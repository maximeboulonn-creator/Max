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Demarrage_Rapide" sheetId="1" r:id="rId5"/>
    <sheet state="visible" name="01_Input" sheetId="2" r:id="rId6"/>
    <sheet state="visible" name="02_Classes_de_Parts" sheetId="3" r:id="rId7"/>
    <sheet state="visible" name="03_Detail_Depositaire_Valo" sheetId="4" r:id="rId8"/>
    <sheet state="visible" name="04_Recap" sheetId="5" r:id="rId9"/>
    <sheet state="visible" name="05_Tresorerie" sheetId="6" r:id="rId10"/>
    <sheet state="visible" name="06_Documentation" sheetId="7" r:id="rId11"/>
    <sheet state="hidden" name="Jours_Feries_FR" sheetId="8" r:id="rId12"/>
  </sheets>
  <definedNames>
    <definedName name="Taux_Constitution">'01_Input'!$F$20</definedName>
    <definedName name="Distrib_Global_Classe_Selectionnee">'01_Input'!$F$30</definedName>
    <definedName name="ActifNet_Prev_An1">'01_Input'!$F$19</definedName>
    <definedName name="Distrib_SousDistrib_Classe_Selectionnee">'01_Input'!$F$31</definedName>
    <definedName name="AUM_Max">'01_Input'!$F$12</definedName>
    <definedName name="Classes_DistribGlobal">'02_Classes_de_Parts'!$D$7:$D$18</definedName>
    <definedName name="Classes_Distribuante">'02_Classes_de_Parts'!$F$7:$F$18</definedName>
    <definedName name="AUM_Min">'01_Input'!$F$11</definedName>
    <definedName name="Cout_Marginal_Investisseur">'01_Input'!$F$18</definedName>
    <definedName name="Nb_KYC_Gratuites_Par_Tranche">'01_Input'!$F$24</definedName>
    <definedName name="Seuil_Bareme_T2">'01_Input'!$F$43</definedName>
    <definedName name="Nb_Investisseurs">'01_Input'!$F$17</definedName>
    <definedName name="Conseil_Taux_T1">'01_Input'!$F$46</definedName>
    <definedName name="Majoration_Valorisation">'01_Input'!$F$38</definedName>
    <definedName name="Classes_Nom">'02_Classes_de_Parts'!$C$7:$C$18</definedName>
    <definedName name="Nb_Categories_Parts">'01_Input'!$F$37</definedName>
    <definedName name="Seuil_Bareme_T1">'01_Input'!$F$42</definedName>
    <definedName name="Plancher_Constitution">'01_Input'!$F$21</definedName>
    <definedName name="Nom_Fonds">'01_Input'!$F$8</definedName>
    <definedName name="Frequence_VL">'01_Input'!$F$35</definedName>
    <definedName name="Cout_Par_KYC_Supplementaire">'01_Input'!$F$26</definedName>
    <definedName name="Jours_Feries_FR">Jours_Feries_FR!$A$2:$A$452</definedName>
    <definedName name="AUM_Ladder">'01_Input'!$AS$7:$AS$156</definedName>
    <definedName name="Conseil_Taux_T2">'01_Input'!$F$47</definedName>
    <definedName name="Nb_Distributions_Par_An">'01_Input'!$F$22</definedName>
    <definedName name="Conseil_Taux_T3">'01_Input'!$F$48</definedName>
    <definedName name="Cout_Par_Distribution_CAC">'01_Input'!$F$23</definedName>
    <definedName name="AUM_Pas">'01_Input'!$F$13</definedName>
    <definedName name="Classe_Selectionnee_Distribue">'01_Input'!$F$32</definedName>
    <definedName name="Gestion_Taux_T2">'01_Input'!$E$47</definedName>
    <definedName name="Classes_DistribSousDistrib">'02_Classes_de_Parts'!$E$7:$E$18</definedName>
    <definedName name="Gestion_Taux_T1">'01_Input'!$E$46</definedName>
    <definedName name="Gestion_Taux_T3">'01_Input'!$E$48</definedName>
    <definedName name="Nb_Lignes_Valorisation">'01_Input'!$F$36</definedName>
    <definedName name="Classe_Selectionnee">'01_Input'!$F$29</definedName>
    <definedName name="Taille_Tranche_KYC">'01_Input'!$F$25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7">
      <text>
        <t xml:space="preserve">Barème standard Fundcraft, identique pour tous les fonds — ne pas modifier sans validation du Comité (voir légende en tête d'onglet).</t>
      </text>
    </comment>
    <comment authorId="0" ref="H67">
      <text>
        <t xml:space="preserve">Barème standard Fundcraft, identique pour tous les fonds — ne pas modifier sans validation du Comité (voir légende en tête d'onglet).</t>
      </text>
    </comment>
    <comment authorId="0" ref="I67">
      <text>
        <t xml:space="preserve">Barème standard Fundcraft, identique pour tous les fonds — ne pas modifier sans validation du Comité (voir légende en tête d'onglet).</t>
      </text>
    </comment>
    <comment authorId="0" ref="J67">
      <text>
        <t xml:space="preserve">Barème standard Fundcraft, identique pour tous les fonds — ne pas modifier sans validation du Comité (voir légende en tête d'onglet).</t>
      </text>
    </comment>
    <comment authorId="0" ref="K67">
      <text>
        <t xml:space="preserve">Barème standard Fundcraft, identique pour tous les fonds — ne pas modifier sans validation du Comité (voir légende en tête d'onglet).</t>
      </text>
    </comment>
    <comment authorId="0" ref="L67">
      <text>
        <t xml:space="preserve">Barème standard Fundcraft, identique pour tous les fonds — ne pas modifier sans validation du Comité (voir légende en tête d'onglet).</t>
      </text>
    </comment>
    <comment authorId="0" ref="M67">
      <text>
        <t xml:space="preserve">Barème standard Fundcraft, identique pour tous les fonds — ne pas modifier sans validation du Comité (voir légende en tête d'onglet).</t>
      </text>
    </comment>
    <comment authorId="0" ref="N67">
      <text>
        <t xml:space="preserve">Barème standard Fundcraft, identique pour tous les fonds — ne pas modifier sans validation du Comité (voir légende en tête d'onglet).</t>
      </text>
    </comment>
    <comment authorId="0" ref="O67">
      <text>
        <t xml:space="preserve">Barème standard Fundcraft, identique pour tous les fonds — ne pas modifier sans validation du Comité (voir légende en tête d'onglet).</t>
      </text>
    </comment>
    <comment authorId="0" ref="P67">
      <text>
        <t xml:space="preserve">Barème standard Fundcraft, identique pour tous les fonds — ne pas modifier sans validation du Comité (voir légende en tête d'onglet).</t>
      </text>
    </comment>
    <comment authorId="0" ref="Q67">
      <text>
        <t xml:space="preserve">Barème standard Fundcraft, identique pour tous les fonds — ne pas modifier sans validation du Comité (voir légende en tête d'onglet).</t>
      </text>
    </comment>
    <comment authorId="0" ref="R67">
      <text>
        <t xml:space="preserve">Barème standard Fundcraft, identique pour tous les fonds — ne pas modifier sans validation du Comité (voir légende en tête d'onglet).</t>
      </text>
    </comment>
    <comment authorId="0" ref="S67">
      <text>
        <t xml:space="preserve">Barème standard Fundcraft, identique pour tous les fonds — ne pas modifier sans validation du Comité (voir légende en tête d'onglet).</t>
      </text>
    </comment>
    <comment authorId="0" ref="T67">
      <text>
        <t xml:space="preserve">Barème standard Fundcraft, identique pour tous les fonds — ne pas modifier sans validation du Comité (voir légende en tête d'onglet).</t>
      </text>
    </comment>
    <comment authorId="0" ref="U67">
      <text>
        <t xml:space="preserve">Barème standard Fundcraft, identique pour tous les fonds — ne pas modifier sans validation du Comité (voir légende en tête d'onglet).</t>
      </text>
    </comment>
    <comment authorId="0" ref="V67">
      <text>
        <t xml:space="preserve">Barème standard Fundcraft, identique pour tous les fonds — ne pas modifier sans validation du Comité (voir légende en tête d'onglet).</t>
      </text>
    </comment>
    <comment authorId="0" ref="F18">
      <text>
        <t xml:space="preserve">Annexe 11 de la Convention Dépositaire BFCM (voir Tenue du Passif ci-dessous) — valable pour tous les fonds. Barème standard Fundcraft, identique pour tous les fonds — ne pas modifier sans validation du Comité (voir légende en tête d'onglet).</t>
      </text>
    </comment>
    <comment authorId="0" ref="W67">
      <text>
        <t xml:space="preserve">Barème standard Fundcraft, identique pour tous les fonds — ne pas modifier sans validation du Comité (voir légende en tête d'onglet).</t>
      </text>
    </comment>
    <comment authorId="0" ref="X67">
      <text>
        <t xml:space="preserve">Barème standard Fundcraft, identique pour tous les fonds — ne pas modifier sans validation du Comité (voir légende en tête d'onglet).</t>
      </text>
    </comment>
    <comment authorId="0" ref="Y67">
      <text>
        <t xml:space="preserve">Barème standard Fundcraft, identique pour tous les fonds — ne pas modifier sans validation du Comité (voir légende en tête d'onglet).</t>
      </text>
    </comment>
    <comment authorId="0" ref="Z67">
      <text>
        <t xml:space="preserve">Barème standard Fundcraft, identique pour tous les fonds — ne pas modifier sans validation du Comité (voir légende en tête d'onglet).</t>
      </text>
    </comment>
    <comment authorId="0" ref="AA67">
      <text>
        <t xml:space="preserve">Barème standard Fundcraft, identique pour tous les fonds — ne pas modifier sans validation du Comité (voir légende en tête d'onglet).</t>
      </text>
    </comment>
    <comment authorId="0" ref="AB67">
      <text>
        <t xml:space="preserve">Barème standard Fundcraft, identique pour tous les fonds — ne pas modifier sans validation du Comité (voir légende en tête d'onglet).</t>
      </text>
    </comment>
    <comment authorId="0" ref="AC67">
      <text>
        <t xml:space="preserve">Barème standard Fundcraft, identique pour tous les fonds — ne pas modifier sans validation du Comité (voir légende en tête d'onglet).</t>
      </text>
    </comment>
    <comment authorId="0" ref="F35">
      <text>
        <t xml:space="preserve">Cohérent avec l'Article 1.10 du Prospectus AirFund (Valeur Liquidative établie "le dernier Jour Ouvré de chaque mois"). Gardé en paramètre modifiable : le barème CIC dépend fortement de cette fréquence (écart de l'ordre de 30 à 40% entre les deux colonnes) — à ajuster pour tout autre fonds testé avec ce classeur.</t>
      </text>
    </comment>
    <comment authorId="0" ref="G68">
      <text>
        <t xml:space="preserve">Barème standard Fundcraft, identique pour tous les fonds — ne pas modifier sans validation du Comité (voir légende en tête d'onglet).</t>
      </text>
    </comment>
    <comment authorId="0" ref="H68">
      <text>
        <t xml:space="preserve">Barème standard Fundcraft, identique pour tous les fonds — ne pas modifier sans validation du Comité (voir légende en tête d'onglet).</t>
      </text>
    </comment>
    <comment authorId="0" ref="I68">
      <text>
        <t xml:space="preserve">Barème standard Fundcraft, identique pour tous les fonds — ne pas modifier sans validation du Comité (voir légende en tête d'onglet).</t>
      </text>
    </comment>
    <comment authorId="0" ref="J68">
      <text>
        <t xml:space="preserve">Barème standard Fundcraft, identique pour tous les fonds — ne pas modifier sans validation du Comité (voir légende en tête d'onglet).</t>
      </text>
    </comment>
    <comment authorId="0" ref="K68">
      <text>
        <t xml:space="preserve">Barème standard Fundcraft, identique pour tous les fonds — ne pas modifier sans validation du Comité (voir légende en tête d'onglet).</t>
      </text>
    </comment>
    <comment authorId="0" ref="L68">
      <text>
        <t xml:space="preserve">Barème standard Fundcraft, identique pour tous les fonds — ne pas modifier sans validation du Comité (voir légende en tête d'onglet).</t>
      </text>
    </comment>
    <comment authorId="0" ref="M68">
      <text>
        <t xml:space="preserve">Barème standard Fundcraft, identique pour tous les fonds — ne pas modifier sans validation du Comité (voir légende en tête d'onglet).</t>
      </text>
    </comment>
    <comment authorId="0" ref="N68">
      <text>
        <t xml:space="preserve">Barème standard Fundcraft, identique pour tous les fonds — ne pas modifier sans validation du Comité (voir légende en tête d'onglet).</t>
      </text>
    </comment>
    <comment authorId="0" ref="O68">
      <text>
        <t xml:space="preserve">Barème standard Fundcraft, identique pour tous les fonds — ne pas modifier sans validation du Comité (voir légende en tête d'onglet).</t>
      </text>
    </comment>
    <comment authorId="0" ref="P68">
      <text>
        <t xml:space="preserve">Barème standard Fundcraft, identique pour tous les fonds — ne pas modifier sans validation du Comité (voir légende en tête d'onglet).</t>
      </text>
    </comment>
    <comment authorId="0" ref="Q68">
      <text>
        <t xml:space="preserve">Barème standard Fundcraft, identique pour tous les fonds — ne pas modifier sans validation du Comité (voir légende en tête d'onglet).</t>
      </text>
    </comment>
    <comment authorId="0" ref="R68">
      <text>
        <t xml:space="preserve">Barème standard Fundcraft, identique pour tous les fonds — ne pas modifier sans validation du Comité (voir légende en tête d'onglet).</t>
      </text>
    </comment>
    <comment authorId="0" ref="S68">
      <text>
        <t xml:space="preserve">Barème standard Fundcraft, identique pour tous les fonds — ne pas modifier sans validation du Comité (voir légende en tête d'onglet).</t>
      </text>
    </comment>
    <comment authorId="0" ref="T68">
      <text>
        <t xml:space="preserve">Barème standard Fundcraft, identique pour tous les fonds — ne pas modifier sans validation du Comité (voir légende en tête d'onglet).</t>
      </text>
    </comment>
    <comment authorId="0" ref="U68">
      <text>
        <t xml:space="preserve">Barème standard Fundcraft, identique pour tous les fonds — ne pas modifier sans validation du Comité (voir légende en tête d'onglet).</t>
      </text>
    </comment>
    <comment authorId="0" ref="V68">
      <text>
        <t xml:space="preserve">Barème standard Fundcraft, identique pour tous les fonds — ne pas modifier sans validation du Comité (voir légende en tête d'onglet).</t>
      </text>
    </comment>
    <comment authorId="0" ref="W68">
      <text>
        <t xml:space="preserve">Barème standard Fundcraft, identique pour tous les fonds — ne pas modifier sans validation du Comité (voir légende en tête d'onglet).</t>
      </text>
    </comment>
    <comment authorId="0" ref="X68">
      <text>
        <t xml:space="preserve">Barème standard Fundcraft, identique pour tous les fonds — ne pas modifier sans validation du Comité (voir légende en tête d'onglet).</t>
      </text>
    </comment>
    <comment authorId="0" ref="Y68">
      <text>
        <t xml:space="preserve">Barème standard Fundcraft, identique pour tous les fonds — ne pas modifier sans validation du Comité (voir légende en tête d'onglet).</t>
      </text>
    </comment>
    <comment authorId="0" ref="Z68">
      <text>
        <t xml:space="preserve">Barème standard Fundcraft, identique pour tous les fonds — ne pas modifier sans validation du Comité (voir légende en tête d'onglet).</t>
      </text>
    </comment>
    <comment authorId="0" ref="AA68">
      <text>
        <t xml:space="preserve">Barème standard Fundcraft, identique pour tous les fonds — ne pas modifier sans validation du Comité (voir légende en tête d'onglet).</t>
      </text>
    </comment>
    <comment authorId="0" ref="AB68">
      <text>
        <t xml:space="preserve">Barème standard Fundcraft, identique pour tous les fonds — ne pas modifier sans validation du Comité (voir légende en tête d'onglet).</t>
      </text>
    </comment>
    <comment authorId="0" ref="AC68">
      <text>
        <t xml:space="preserve">Barème standard Fundcraft, identique pour tous les fonds — ne pas modifier sans validation du Comité (voir légende en tête d'onglet).</t>
      </text>
    </comment>
    <comment authorId="0" ref="F36">
      <text>
        <t xml:space="preserve">Grille CIC : jusqu'à 10 lignes inclus dans le forfait de base ; supplément de 500€HT par tranche de 10 lignes supplémentaires.</t>
      </text>
    </comment>
    <comment authorId="0" ref="G69">
      <text>
        <t xml:space="preserve">Barème standard Fundcraft, identique pour tous les fonds — ne pas modifier sans validation du Comité (voir légende en tête d'onglet).</t>
      </text>
    </comment>
    <comment authorId="0" ref="H69">
      <text>
        <t xml:space="preserve">Barème standard Fundcraft, identique pour tous les fonds — ne pas modifier sans validation du Comité (voir légende en tête d'onglet).</t>
      </text>
    </comment>
    <comment authorId="0" ref="I69">
      <text>
        <t xml:space="preserve">Barème standard Fundcraft, identique pour tous les fonds — ne pas modifier sans validation du Comité (voir légende en tête d'onglet).</t>
      </text>
    </comment>
    <comment authorId="0" ref="J69">
      <text>
        <t xml:space="preserve">Barème standard Fundcraft, identique pour tous les fonds — ne pas modifier sans validation du Comité (voir légende en tête d'onglet).</t>
      </text>
    </comment>
    <comment authorId="0" ref="K69">
      <text>
        <t xml:space="preserve">Barème standard Fundcraft, identique pour tous les fonds — ne pas modifier sans validation du Comité (voir légende en tête d'onglet).</t>
      </text>
    </comment>
    <comment authorId="0" ref="L69">
      <text>
        <t xml:space="preserve">Barème standard Fundcraft, identique pour tous les fonds — ne pas modifier sans validation du Comité (voir légende en tête d'onglet).</t>
      </text>
    </comment>
    <comment authorId="0" ref="M69">
      <text>
        <t xml:space="preserve">Barème standard Fundcraft, identique pour tous les fonds — ne pas modifier sans validation du Comité (voir légende en tête d'onglet).</t>
      </text>
    </comment>
    <comment authorId="0" ref="N69">
      <text>
        <t xml:space="preserve">Barème standard Fundcraft, identique pour tous les fonds — ne pas modifier sans validation du Comité (voir légende en tête d'onglet).</t>
      </text>
    </comment>
    <comment authorId="0" ref="O69">
      <text>
        <t xml:space="preserve">Barème standard Fundcraft, identique pour tous les fonds — ne pas modifier sans validation du Comité (voir légende en tête d'onglet).</t>
      </text>
    </comment>
    <comment authorId="0" ref="P69">
      <text>
        <t xml:space="preserve">Barème standard Fundcraft, identique pour tous les fonds — ne pas modifier sans validation du Comité (voir légende en tête d'onglet).</t>
      </text>
    </comment>
    <comment authorId="0" ref="Q69">
      <text>
        <t xml:space="preserve">Barème standard Fundcraft, identique pour tous les fonds — ne pas modifier sans validation du Comité (voir légende en tête d'onglet).</t>
      </text>
    </comment>
    <comment authorId="0" ref="R69">
      <text>
        <t xml:space="preserve">Barème standard Fundcraft, identique pour tous les fonds — ne pas modifier sans validation du Comité (voir légende en tête d'onglet).</t>
      </text>
    </comment>
    <comment authorId="0" ref="S69">
      <text>
        <t xml:space="preserve">Barème standard Fundcraft, identique pour tous les fonds — ne pas modifier sans validation du Comité (voir légende en tête d'onglet).</t>
      </text>
    </comment>
    <comment authorId="0" ref="T69">
      <text>
        <t xml:space="preserve">Barème standard Fundcraft, identique pour tous les fonds — ne pas modifier sans validation du Comité (voir légende en tête d'onglet).</t>
      </text>
    </comment>
    <comment authorId="0" ref="U69">
      <text>
        <t xml:space="preserve">Barème standard Fundcraft, identique pour tous les fonds — ne pas modifier sans validation du Comité (voir légende en tête d'onglet).</t>
      </text>
    </comment>
    <comment authorId="0" ref="V69">
      <text>
        <t xml:space="preserve">Barème standard Fundcraft, identique pour tous les fonds — ne pas modifier sans validation du Comité (voir légende en tête d'onglet).</t>
      </text>
    </comment>
    <comment authorId="0" ref="F20">
      <text>
        <t xml:space="preserve">Article 9.6 du Prospectus AirFund (22/06/2026) : MAX(Plancher, Taux x Actif Net au 1er anniversaire du Premier Jour de Souscription) — 1% ici (le Prospectus indique 1%, pas 1,25%). Utilisé par 05_Tresorerie pour calculer l'éventuel complément facturé à l'anniversaire. ⚠ Le Prospectus évoque par ailleurs un amortissement "sur les cinq (5) premiers exercices" : confirmé erroné (Apolline, 14/09/2026) — les règles comptables françaises imposent un amortissement intégral sur le premier exercice comptable, ce que fait 05_Tresorerie §8. Ne pas aligner le modèle sur la formulation du Prospectus sur ce point.</t>
      </text>
    </comment>
    <comment authorId="0" ref="W69">
      <text>
        <t xml:space="preserve">Barème standard Fundcraft, identique pour tous les fonds — ne pas modifier sans validation du Comité (voir légende en tête d'onglet).</t>
      </text>
    </comment>
    <comment authorId="0" ref="X69">
      <text>
        <t xml:space="preserve">Barème standard Fundcraft, identique pour tous les fonds — ne pas modifier sans validation du Comité (voir légende en tête d'onglet).</t>
      </text>
    </comment>
    <comment authorId="0" ref="Y69">
      <text>
        <t xml:space="preserve">Barème standard Fundcraft, identique pour tous les fonds — ne pas modifier sans validation du Comité (voir légende en tête d'onglet).</t>
      </text>
    </comment>
    <comment authorId="0" ref="Z69">
      <text>
        <t xml:space="preserve">Barème standard Fundcraft, identique pour tous les fonds — ne pas modifier sans validation du Comité (voir légende en tête d'onglet).</t>
      </text>
    </comment>
    <comment authorId="0" ref="K53">
      <text>
        <t xml:space="preserve">Ne pas modifier ici : cette borne vient du paramètre "Seuil_Bareme_T1" (01_Input §3D ci-dessus, tableau "Barèmes de Commissions"). Un seul endroit de saisie : éditez §3D pour changer ce seuil — il se répercute automatiquement ici (Gestion ET Conseil simultanément), dans 04_Recap et 05_Tresorerie.</t>
      </text>
    </comment>
    <comment authorId="0" ref="AA69">
      <text>
        <t xml:space="preserve">Barème standard Fundcraft, identique pour tous les fonds — ne pas modifier sans validation du Comité (voir légende en tête d'onglet).</t>
      </text>
    </comment>
    <comment authorId="0" ref="AB69">
      <text>
        <t xml:space="preserve">Barème standard Fundcraft, identique pour tous les fonds — ne pas modifier sans validation du Comité (voir légende en tête d'onglet).</t>
      </text>
    </comment>
    <comment authorId="0" ref="M53">
      <text>
        <t xml:space="preserve">Ne pas modifier ici : cette valeur vient du paramètre "Gestion_Taux_T1" (01_Input §3D ci-dessus). Un seul endroit de saisie : éditez §3D pour changer cette valeur, elle se répercute automatiquement ici, dans 04_Recap et 05_Tresorerie.</t>
      </text>
    </comment>
    <comment authorId="0" ref="AC69">
      <text>
        <t xml:space="preserve">Barème standard Fundcraft, identique pour tous les fonds — ne pas modifier sans validation du Comité (voir légende en tête d'onglet).</t>
      </text>
    </comment>
    <comment authorId="0" ref="N53">
      <text>
        <t xml:space="preserve">Ne pas modifier ici : cette borne vient du paramètre "Seuil_Bareme_T1" (01_Input §3D ci-dessus, tableau "Barèmes de Commissions"). Un seul endroit de saisie : éditez §3D pour changer ce seuil — il se répercute automatiquement ici (Gestion ET Conseil simultanément), dans 04_Recap et 05_Tresorerie.</t>
      </text>
    </comment>
    <comment authorId="0" ref="O53">
      <text>
        <t xml:space="preserve">Ne pas modifier ici : cette borne vient du paramètre "Seuil_Bareme_T2" (01_Input §3D ci-dessus, tableau "Barèmes de Commissions"). Un seul endroit de saisie : éditez §3D pour changer ce seuil — il se répercute automatiquement ici (Gestion ET Conseil simultanément), dans 04_Recap et 05_Tresorerie.</t>
      </text>
    </comment>
    <comment authorId="0" ref="Q53">
      <text>
        <t xml:space="preserve">Ne pas modifier ici : cette valeur vient du paramètre "Gestion_Taux_T2" (01_Input §3D ci-dessus). Un seul endroit de saisie : éditez §3D pour changer cette valeur, elle se répercute automatiquement ici, dans 04_Recap et 05_Tresorerie.</t>
      </text>
    </comment>
    <comment authorId="0" ref="R53">
      <text>
        <t xml:space="preserve">Ne pas modifier ici : cette borne vient du paramètre "Seuil_Bareme_T2" (01_Input §3D ci-dessus, tableau "Barèmes de Commissions"). Un seul endroit de saisie : éditez §3D pour changer ce seuil — il se répercute automatiquement ici (Gestion ET Conseil simultanément), dans 04_Recap et 05_Tresorerie.</t>
      </text>
    </comment>
    <comment authorId="0" ref="U53">
      <text>
        <t xml:space="preserve">Ne pas modifier ici : cette valeur vient du paramètre "Gestion_Taux_T3" (01_Input §3D ci-dessus). Un seul endroit de saisie : éditez §3D pour changer cette valeur, elle se répercute automatiquement ici, dans 04_Recap et 05_Tresorerie.</t>
      </text>
    </comment>
    <comment authorId="0" ref="F37">
      <text>
        <t xml:space="preserve">Grille CIC : majoration de +10% (3-4 catégories) ou +15% (5 catégories et plus). Déduit automatiquement du nombre de lignes renseignées (nom non vide) en 02_Classes_de_Parts — plus besoin de le ressaisir ici. Si votre fonds a des catégories de parts qui ne nécessitent aucune différenciation de frais (donc absentes de 02_Classes_de_Parts), ajoutez-les quand même sur cet onglet (Taux de Distribution à 0% par exemple) pour que ce décompte reste exact.</t>
      </text>
    </comment>
    <comment authorId="0" ref="F21">
      <text>
        <t xml:space="preserve">Minimum obligatoirement facturé sur le 1er exercice comptable du fonds (voir 05_Tresorerie), quel que soit l'Actif Net au 1er anniversaire.</t>
      </text>
    </comment>
    <comment authorId="0" ref="K54">
      <text>
        <t xml:space="preserve">Ne pas modifier ici : cette borne vient du paramètre "Seuil_Bareme_T1" (01_Input §3D ci-dessus, tableau "Barèmes de Commissions"). Un seul endroit de saisie : éditez §3D pour changer ce seuil — il se répercute automatiquement ici (Gestion ET Conseil simultanément), dans 04_Recap et 05_Tresorerie.</t>
      </text>
    </comment>
    <comment authorId="0" ref="M54">
      <text>
        <t xml:space="preserve">Ne pas modifier ici : cette valeur vient du paramètre "Conseil_Taux_T1" (01_Input §3D ci-dessus). Un seul endroit de saisie : éditez §3D pour changer cette valeur, elle se répercute automatiquement ici, dans 04_Recap et 05_Tresorerie.</t>
      </text>
    </comment>
    <comment authorId="0" ref="N54">
      <text>
        <t xml:space="preserve">Ne pas modifier ici : cette borne vient du paramètre "Seuil_Bareme_T1" (01_Input §3D ci-dessus, tableau "Barèmes de Commissions"). Un seul endroit de saisie : éditez §3D pour changer ce seuil — il se répercute automatiquement ici (Gestion ET Conseil simultanément), dans 04_Recap et 05_Tresorerie.</t>
      </text>
    </comment>
    <comment authorId="0" ref="O54">
      <text>
        <t xml:space="preserve">Ne pas modifier ici : cette borne vient du paramètre "Seuil_Bareme_T2" (01_Input §3D ci-dessus, tableau "Barèmes de Commissions"). Un seul endroit de saisie : éditez §3D pour changer ce seuil — il se répercute automatiquement ici (Gestion ET Conseil simultanément), dans 04_Recap et 05_Tresorerie.</t>
      </text>
    </comment>
    <comment authorId="0" ref="Q54">
      <text>
        <t xml:space="preserve">Ne pas modifier ici : cette valeur vient du paramètre "Conseil_Taux_T2" (01_Input §3D ci-dessus). Un seul endroit de saisie : éditez §3D pour changer cette valeur, elle se répercute automatiquement ici, dans 04_Recap et 05_Tresorerie.</t>
      </text>
    </comment>
    <comment authorId="0" ref="R54">
      <text>
        <t xml:space="preserve">Ne pas modifier ici : cette borne vient du paramètre "Seuil_Bareme_T2" (01_Input §3D ci-dessus, tableau "Barèmes de Commissions"). Un seul endroit de saisie : éditez §3D pour changer ce seuil — il se répercute automatiquement ici (Gestion ET Conseil simultanément), dans 04_Recap et 05_Tresorerie.</t>
      </text>
    </comment>
    <comment authorId="0" ref="U54">
      <text>
        <t xml:space="preserve">Ne pas modifier ici : cette valeur vient du paramètre "Conseil_Taux_T3" (01_Input §3D ci-dessus). Un seul endroit de saisie : éditez §3D pour changer cette valeur, elle se répercute automatiquement ici, dans 04_Recap et 05_Tresorerie.</t>
      </text>
    </comment>
    <comment authorId="0" ref="F22">
      <text>
        <t xml:space="preserve">Hypothèse fixe (pas un vrai calendrier de dates) : nombre de distributions assumées par an pour chiffrer le forfait CAC "par distribution" — à ajuster selon la politique de distribution réelle du fonds testé (ex. trimestrielle = 4, semestrielle = 2).</t>
      </text>
    </comment>
    <comment authorId="0" ref="M55">
      <text>
        <t xml:space="preserve">Ne pas modifier ici : ce taux vient de 02_Classes_de_Parts (colonne correspondante), pour la classe sélectionnée en 01_Input §3B. Un seul endroit de saisie : éditez 02_Classes_de_Parts pour changer ce taux, il se répercute automatiquement partout (cette cellule, 04_Recap, 05_Tresorerie).</t>
      </text>
    </comment>
    <comment authorId="0" ref="F23">
      <text>
        <t xml:space="preserve">Lettre de mission / e-mail du CAC (Maxime Gallet, Aplitec, 11/09/2026) : notes d'honoraires sur opérations spécifiques facturées au comptant, ~1.600€ en moyenne par distribution — à la charge des seules classes distribuantes (voir 02_Classes_de_Parts, colonne "Distribuante ?"). Valable pour tous les fonds suivis par ce même CAC. Barème standard Fundcraft, identique pour tous les fonds — ne pas modifier sans validation du Comité (voir légende en tête d'onglet).</t>
      </text>
    </comment>
    <comment authorId="0" ref="M56">
      <text>
        <t xml:space="preserve">Ne pas modifier ici : ce taux vient de 02_Classes_de_Parts (colonne correspondante), pour la classe sélectionnée en 01_Input §3B. Un seul endroit de saisie : éditez 02_Classes_de_Parts pour changer ce taux, il se répercute automatiquement partout (cette cellule, 04_Recap, 05_Tresorerie).</t>
      </text>
    </comment>
    <comment authorId="0" ref="G57">
      <text>
        <t xml:space="preserve">Barème standard Fundcraft, identique pour tous les fonds — ne pas modifier sans validation du Comité (voir légende en tête d'onglet).</t>
      </text>
    </comment>
    <comment authorId="0" ref="F24">
      <text>
        <t xml:space="preserve">Article 9(f)(i) du Prospectus AirFund (22/06/2026) : "cent (100) diligences KYC sont incluses sans facturation par tranche cumulée de cent millions (100.000.000) Euros de souscriptions reçues dans le Fonds". Valeur propre à la clause négociée pour AirFund — à vérifier fonds par fonds (pas un tarif Fundcraft standard).</t>
      </text>
    </comment>
    <comment authorId="0" ref="H57">
      <text>
        <t xml:space="preserve">Barème standard Fundcraft, identique pour tous les fonds — ne pas modifier sans validation du Comité (voir légende en tête d'onglet).</t>
      </text>
    </comment>
    <comment authorId="0" ref="I57">
      <text>
        <t xml:space="preserve">Barème standard Fundcraft, identique pour tous les fonds — ne pas modifier sans validation du Comité (voir légende en tête d'onglet).</t>
      </text>
    </comment>
    <comment authorId="0" ref="J57">
      <text>
        <t xml:space="preserve">Barème standard Fundcraft, identique pour tous les fonds — ne pas modifier sans validation du Comité (voir légende en tête d'onglet).</t>
      </text>
    </comment>
    <comment authorId="0" ref="K57">
      <text>
        <t xml:space="preserve">Barème standard Fundcraft, identique pour tous les fonds — ne pas modifier sans validation du Comité (voir légende en tête d'onglet).</t>
      </text>
    </comment>
    <comment authorId="0" ref="L57">
      <text>
        <t xml:space="preserve">Barème standard Fundcraft, identique pour tous les fonds — ne pas modifier sans validation du Comité (voir légende en tête d'onglet).</t>
      </text>
    </comment>
    <comment authorId="0" ref="M57">
      <text>
        <t xml:space="preserve">Barème standard Fundcraft, identique pour tous les fonds — ne pas modifier sans validation du Comité (voir légende en tête d'onglet).</t>
      </text>
    </comment>
    <comment authorId="0" ref="N57">
      <text>
        <t xml:space="preserve">Barème standard Fundcraft, identique pour tous les fonds — ne pas modifier sans validation du Comité (voir légende en tête d'onglet).</t>
      </text>
    </comment>
    <comment authorId="0" ref="O57">
      <text>
        <t xml:space="preserve">Barème standard Fundcraft, identique pour tous les fonds — ne pas modifier sans validation du Comité (voir légende en tête d'onglet).</t>
      </text>
    </comment>
    <comment authorId="0" ref="P57">
      <text>
        <t xml:space="preserve">Barème standard Fundcraft, identique pour tous les fonds — ne pas modifier sans validation du Comité (voir légende en tête d'onglet).</t>
      </text>
    </comment>
    <comment authorId="0" ref="Q57">
      <text>
        <t xml:space="preserve">Barème standard Fundcraft, identique pour tous les fonds — ne pas modifier sans validation du Comité (voir légende en tête d'onglet).</t>
      </text>
    </comment>
    <comment authorId="0" ref="R57">
      <text>
        <t xml:space="preserve">Barème standard Fundcraft, identique pour tous les fonds — ne pas modifier sans validation du Comité (voir légende en tête d'onglet).</t>
      </text>
    </comment>
    <comment authorId="0" ref="S57">
      <text>
        <t xml:space="preserve">Barème standard Fundcraft, identique pour tous les fonds — ne pas modifier sans validation du Comité (voir légende en tête d'onglet).</t>
      </text>
    </comment>
    <comment authorId="0" ref="T57">
      <text>
        <t xml:space="preserve">Barème standard Fundcraft, identique pour tous les fonds — ne pas modifier sans validation du Comité (voir légende en tête d'onglet).</t>
      </text>
    </comment>
    <comment authorId="0" ref="U57">
      <text>
        <t xml:space="preserve">Barème standard Fundcraft, identique pour tous les fonds — ne pas modifier sans validation du Comité (voir légende en tête d'onglet).</t>
      </text>
    </comment>
    <comment authorId="0" ref="V57">
      <text>
        <t xml:space="preserve">Barème standard Fundcraft, identique pour tous les fonds — ne pas modifier sans validation du Comité (voir légende en tête d'onglet).</t>
      </text>
    </comment>
    <comment authorId="0" ref="W57">
      <text>
        <t xml:space="preserve">Barème standard Fundcraft, identique pour tous les fonds — ne pas modifier sans validation du Comité (voir légende en tête d'onglet).</t>
      </text>
    </comment>
    <comment authorId="0" ref="X57">
      <text>
        <t xml:space="preserve">Barème standard Fundcraft, identique pour tous les fonds — ne pas modifier sans validation du Comité (voir légende en tête d'onglet).</t>
      </text>
    </comment>
    <comment authorId="0" ref="Y57">
      <text>
        <t xml:space="preserve">Barème standard Fundcraft, identique pour tous les fonds — ne pas modifier sans validation du Comité (voir légende en tête d'onglet).</t>
      </text>
    </comment>
    <comment authorId="0" ref="Z57">
      <text>
        <t xml:space="preserve">Barème standard Fundcraft, identique pour tous les fonds — ne pas modifier sans validation du Comité (voir légende en tête d'onglet).</t>
      </text>
    </comment>
    <comment authorId="0" ref="AA57">
      <text>
        <t xml:space="preserve">Barème standard Fundcraft, identique pour tous les fonds — ne pas modifier sans validation du Comité (voir légende en tête d'onglet).</t>
      </text>
    </comment>
    <comment authorId="0" ref="AB57">
      <text>
        <t xml:space="preserve">Barème standard Fundcraft, identique pour tous les fonds — ne pas modifier sans validation du Comité (voir légende en tête d'onglet).</t>
      </text>
    </comment>
    <comment authorId="0" ref="AC57">
      <text>
        <t xml:space="preserve">Barème standard Fundcraft, identique pour tous les fonds — ne pas modifier sans validation du Comité (voir légende en tête d'onglet).</t>
      </text>
    </comment>
    <comment authorId="0" ref="F25">
      <text>
        <t xml:space="preserve">Article 9(f)(i) du Prospectus : le quota de 100 diligences gratuites se renouvelle "par tranche cumulée" de ce montant de souscriptions reçues dans le fonds — 100M€ pour AirFund. Approximé ici par l'Actif Net du fonds (l'axe d'AUM de 04_Recap), à défaut de suivi séparé des souscriptions cumulées brutes (avant rachats) dans ce modèle.</t>
      </text>
    </comment>
    <comment authorId="0" ref="F42">
      <text>
        <t xml:space="preserve">Commun à la Commission de Gestion ET à la Commission de Conseil (Article 9.2(a) et 9.2(b) du Prospectus AirFund : mêmes seuils pour les 2 commissions). Modifiez cette seule cellule pour ajuster ce seuil sur les 2 postes à la fois. Pré-rempli à 100M€ même dans le modèle vierge (seuil le plus courant) — à ajuster si le mandat négocié en prévoit un autre.</t>
      </text>
    </comment>
    <comment authorId="0" ref="F26">
      <text>
        <t xml:space="preserve">Article 9(f)(i) du Prospectus : "chaque diligence KYC supplémentaire est facturée au Fonds au tarif forfaitaire de dix (10) Euros", au-delà du quota gratuit ci-dessus.</t>
      </text>
    </comment>
    <comment authorId="0" ref="F43">
      <text>
        <t xml:space="preserve">Idem ci-dessus pour la 2e limite de tranche (au-delà de ce seuil : tranche 3). Pré-rempli à 500M€ même dans le modèle vierge.</t>
      </text>
    </comment>
    <comment authorId="0" ref="G60">
      <text>
        <t xml:space="preserve">Barème standard Fundcraft, identique pour tous les fonds — ne pas modifier sans validation du Comité (voir légende en tête d'onglet).</t>
      </text>
    </comment>
    <comment authorId="0" ref="H60">
      <text>
        <t xml:space="preserve">Barème standard Fundcraft, identique pour tous les fonds — ne pas modifier sans validation du Comité (voir légende en tête d'onglet).</t>
      </text>
    </comment>
    <comment authorId="0" ref="I60">
      <text>
        <t xml:space="preserve">Barème standard Fundcraft, identique pour tous les fonds — ne pas modifier sans validation du Comité (voir légende en tête d'onglet).</t>
      </text>
    </comment>
    <comment authorId="0" ref="J60">
      <text>
        <t xml:space="preserve">Barème standard Fundcraft, identique pour tous les fonds — ne pas modifier sans validation du Comité (voir légende en tête d'onglet).</t>
      </text>
    </comment>
    <comment authorId="0" ref="K60">
      <text>
        <t xml:space="preserve">Barème standard Fundcraft, identique pour tous les fonds — ne pas modifier sans validation du Comité (voir légende en tête d'onglet).</t>
      </text>
    </comment>
    <comment authorId="0" ref="L60">
      <text>
        <t xml:space="preserve">Barème standard Fundcraft, identique pour tous les fonds — ne pas modifier sans validation du Comité (voir légende en tête d'onglet).</t>
      </text>
    </comment>
    <comment authorId="0" ref="M60">
      <text>
        <t xml:space="preserve">Barème standard Fundcraft, identique pour tous les fonds — ne pas modifier sans validation du Comité (voir légende en tête d'onglet).</t>
      </text>
    </comment>
    <comment authorId="0" ref="N60">
      <text>
        <t xml:space="preserve">Barème standard Fundcraft, identique pour tous les fonds — ne pas modifier sans validation du Comité (voir légende en tête d'onglet).</t>
      </text>
    </comment>
    <comment authorId="0" ref="O60">
      <text>
        <t xml:space="preserve">Barème standard Fundcraft, identique pour tous les fonds — ne pas modifier sans validation du Comité (voir légende en tête d'onglet).</t>
      </text>
    </comment>
    <comment authorId="0" ref="P60">
      <text>
        <t xml:space="preserve">Barème standard Fundcraft, identique pour tous les fonds — ne pas modifier sans validation du Comité (voir légende en tête d'onglet).</t>
      </text>
    </comment>
    <comment authorId="0" ref="Q60">
      <text>
        <t xml:space="preserve">Barème standard Fundcraft, identique pour tous les fonds — ne pas modifier sans validation du Comité (voir légende en tête d'onglet).</t>
      </text>
    </comment>
    <comment authorId="0" ref="R60">
      <text>
        <t xml:space="preserve">Barème standard Fundcraft, identique pour tous les fonds — ne pas modifier sans validation du Comité (voir légende en tête d'onglet).</t>
      </text>
    </comment>
    <comment authorId="0" ref="S60">
      <text>
        <t xml:space="preserve">Barème standard Fundcraft, identique pour tous les fonds — ne pas modifier sans validation du Comité (voir légende en tête d'onglet).</t>
      </text>
    </comment>
    <comment authorId="0" ref="T60">
      <text>
        <t xml:space="preserve">Barème standard Fundcraft, identique pour tous les fonds — ne pas modifier sans validation du Comité (voir légende en tête d'onglet).</t>
      </text>
    </comment>
    <comment authorId="0" ref="U60">
      <text>
        <t xml:space="preserve">Barème standard Fundcraft, identique pour tous les fonds — ne pas modifier sans validation du Comité (voir légende en tête d'onglet).</t>
      </text>
    </comment>
    <comment authorId="0" ref="V60">
      <text>
        <t xml:space="preserve">Barème standard Fundcraft, identique pour tous les fonds — ne pas modifier sans validation du Comité (voir légende en tête d'onglet).</t>
      </text>
    </comment>
    <comment authorId="0" ref="W60">
      <text>
        <t xml:space="preserve">Barème standard Fundcraft, identique pour tous les fonds — ne pas modifier sans validation du Comité (voir légende en tête d'onglet).</t>
      </text>
    </comment>
    <comment authorId="0" ref="X60">
      <text>
        <t xml:space="preserve">Barème standard Fundcraft, identique pour tous les fonds — ne pas modifier sans validation du Comité (voir légende en tête d'onglet).</t>
      </text>
    </comment>
    <comment authorId="0" ref="Y60">
      <text>
        <t xml:space="preserve">Barème standard Fundcraft, identique pour tous les fonds — ne pas modifier sans validation du Comité (voir légende en tête d'onglet).</t>
      </text>
    </comment>
    <comment authorId="0" ref="Z60">
      <text>
        <t xml:space="preserve">Barème standard Fundcraft, identique pour tous les fonds — ne pas modifier sans validation du Comité (voir légende en tête d'onglet).</t>
      </text>
    </comment>
    <comment authorId="0" ref="AA60">
      <text>
        <t xml:space="preserve">Barème standard Fundcraft, identique pour tous les fonds — ne pas modifier sans validation du Comité (voir légende en tête d'onglet).</t>
      </text>
    </comment>
    <comment authorId="0" ref="AB60">
      <text>
        <t xml:space="preserve">Barème standard Fundcraft, identique pour tous les fonds — ne pas modifier sans validation du Comité (voir légende en tête d'onglet).</t>
      </text>
    </comment>
    <comment authorId="0" ref="AC60">
      <text>
        <t xml:space="preserve">Barème standard Fundcraft, identique pour tous les fonds — ne pas modifier sans validation du Comité (voir légende en tête d'onglet).</t>
      </text>
    </comment>
    <comment authorId="0" ref="G61">
      <text>
        <t xml:space="preserve">Barème standard Fundcraft, identique pour tous les fonds — ne pas modifier sans validation du Comité (voir légende en tête d'onglet).</t>
      </text>
    </comment>
    <comment authorId="0" ref="H61">
      <text>
        <t xml:space="preserve">Barème standard Fundcraft, identique pour tous les fonds — ne pas modifier sans validation du Comité (voir légende en tête d'onglet).</t>
      </text>
    </comment>
    <comment authorId="0" ref="I61">
      <text>
        <t xml:space="preserve">Barème standard Fundcraft, identique pour tous les fonds — ne pas modifier sans validation du Comité (voir légende en tête d'onglet).</t>
      </text>
    </comment>
    <comment authorId="0" ref="J61">
      <text>
        <t xml:space="preserve">Barème standard Fundcraft, identique pour tous les fonds — ne pas modifier sans validation du Comité (voir légende en tête d'onglet).</t>
      </text>
    </comment>
    <comment authorId="0" ref="K61">
      <text>
        <t xml:space="preserve">Barème standard Fundcraft, identique pour tous les fonds — ne pas modifier sans validation du Comité (voir légende en tête d'onglet).</t>
      </text>
    </comment>
    <comment authorId="0" ref="L61">
      <text>
        <t xml:space="preserve">Barème standard Fundcraft, identique pour tous les fonds — ne pas modifier sans validation du Comité (voir légende en tête d'onglet).</t>
      </text>
    </comment>
    <comment authorId="0" ref="M61">
      <text>
        <t xml:space="preserve">Barème standard Fundcraft, identique pour tous les fonds — ne pas modifier sans validation du Comité (voir légende en tête d'onglet).</t>
      </text>
    </comment>
    <comment authorId="0" ref="N61">
      <text>
        <t xml:space="preserve">Barème standard Fundcraft, identique pour tous les fonds — ne pas modifier sans validation du Comité (voir légende en tête d'onglet).</t>
      </text>
    </comment>
    <comment authorId="0" ref="O61">
      <text>
        <t xml:space="preserve">Barème standard Fundcraft, identique pour tous les fonds — ne pas modifier sans validation du Comité (voir légende en tête d'onglet).</t>
      </text>
    </comment>
    <comment authorId="0" ref="P61">
      <text>
        <t xml:space="preserve">Barème standard Fundcraft, identique pour tous les fonds — ne pas modifier sans validation du Comité (voir légende en tête d'onglet).</t>
      </text>
    </comment>
    <comment authorId="0" ref="Q61">
      <text>
        <t xml:space="preserve">Barème standard Fundcraft, identique pour tous les fonds — ne pas modifier sans validation du Comité (voir légende en tête d'onglet).</t>
      </text>
    </comment>
    <comment authorId="0" ref="R61">
      <text>
        <t xml:space="preserve">Barème standard Fundcraft, identique pour tous les fonds — ne pas modifier sans validation du Comité (voir légende en tête d'onglet).</t>
      </text>
    </comment>
    <comment authorId="0" ref="S61">
      <text>
        <t xml:space="preserve">Barème standard Fundcraft, identique pour tous les fonds — ne pas modifier sans validation du Comité (voir légende en tête d'onglet).</t>
      </text>
    </comment>
    <comment authorId="0" ref="T61">
      <text>
        <t xml:space="preserve">Barème standard Fundcraft, identique pour tous les fonds — ne pas modifier sans validation du Comité (voir légende en tête d'onglet).</t>
      </text>
    </comment>
    <comment authorId="0" ref="U61">
      <text>
        <t xml:space="preserve">Barème standard Fundcraft, identique pour tous les fonds — ne pas modifier sans validation du Comité (voir légende en tête d'onglet).</t>
      </text>
    </comment>
    <comment authorId="0" ref="V61">
      <text>
        <t xml:space="preserve">Barème standard Fundcraft, identique pour tous les fonds — ne pas modifier sans validation du Comité (voir légende en tête d'onglet).</t>
      </text>
    </comment>
    <comment authorId="0" ref="F12">
      <text>
        <t xml:space="preserve">150 paliers pré-calculés disponibles : (Max-Min)/Pas doit rester &lt;= 150.</t>
      </text>
    </comment>
    <comment authorId="0" ref="W61">
      <text>
        <t xml:space="preserve">Barème standard Fundcraft, identique pour tous les fonds — ne pas modifier sans validation du Comité (voir légende en tête d'onglet).</t>
      </text>
    </comment>
    <comment authorId="0" ref="X61">
      <text>
        <t xml:space="preserve">Barème standard Fundcraft, identique pour tous les fonds — ne pas modifier sans validation du Comité (voir légende en tête d'onglet).</t>
      </text>
    </comment>
    <comment authorId="0" ref="Y61">
      <text>
        <t xml:space="preserve">Barème standard Fundcraft, identique pour tous les fonds — ne pas modifier sans validation du Comité (voir légende en tête d'onglet).</t>
      </text>
    </comment>
    <comment authorId="0" ref="Z61">
      <text>
        <t xml:space="preserve">Barème standard Fundcraft, identique pour tous les fonds — ne pas modifier sans validation du Comité (voir légende en tête d'onglet).</t>
      </text>
    </comment>
    <comment authorId="0" ref="AA61">
      <text>
        <t xml:space="preserve">Barème standard Fundcraft, identique pour tous les fonds — ne pas modifier sans validation du Comité (voir légende en tête d'onglet).</t>
      </text>
    </comment>
    <comment authorId="0" ref="AB61">
      <text>
        <t xml:space="preserve">Barème standard Fundcraft, identique pour tous les fonds — ne pas modifier sans validation du Comité (voir légende en tête d'onglet).</t>
      </text>
    </comment>
    <comment authorId="0" ref="AC61">
      <text>
        <t xml:space="preserve">Barème standard Fundcraft, identique pour tous les fonds — ne pas modifier sans validation du Comité (voir légende en tête d'onglet).</t>
      </text>
    </comment>
    <comment authorId="0" ref="F29">
      <text>
        <t xml:space="preserve">Choisissez la classe sur laquelle 04_Recap calcule le détail. N'est utilisée que par les postes de frais dont le "Mode de calcul" (tableau ci-dessous, colonne G) est "Taux Classe sélectionnée" — sans objet si tous les postes restent en mode "Barème" (fonds sans frais différenciés par classe). Le mode "Résiduel vs Gestion" reste disponible dans la colonne G mais n'a plus de cible de référence depuis le retrait de la colonne "Cible Gestion+Conseil" de 02_Classes_de_Parts (Commission de Gestion et Commission de Conseil sont maintenant toutes deux calculées par barème direct) : il renverrait 0 s'il était sélectionné.</t>
      </text>
    </comment>
    <comment authorId="0" ref="G62">
      <text>
        <t xml:space="preserve">Barème standard Fundcraft, identique pour tous les fonds — ne pas modifier sans validation du Comité (voir légende en tête d'onglet).</t>
      </text>
    </comment>
    <comment authorId="0" ref="H62">
      <text>
        <t xml:space="preserve">Barème standard Fundcraft, identique pour tous les fonds — ne pas modifier sans validation du Comité (voir légende en tête d'onglet).</t>
      </text>
    </comment>
    <comment authorId="0" ref="I62">
      <text>
        <t xml:space="preserve">Barème standard Fundcraft, identique pour tous les fonds — ne pas modifier sans validation du Comité (voir légende en tête d'onglet).</t>
      </text>
    </comment>
    <comment authorId="0" ref="J62">
      <text>
        <t xml:space="preserve">Barème standard Fundcraft, identique pour tous les fonds — ne pas modifier sans validation du Comité (voir légende en tête d'onglet).</t>
      </text>
    </comment>
    <comment authorId="0" ref="K62">
      <text>
        <t xml:space="preserve">Barème standard Fundcraft, identique pour tous les fonds — ne pas modifier sans validation du Comité (voir légende en tête d'onglet).</t>
      </text>
    </comment>
    <comment authorId="0" ref="L62">
      <text>
        <t xml:space="preserve">Barème standard Fundcraft, identique pour tous les fonds — ne pas modifier sans validation du Comité (voir légende en tête d'onglet).</t>
      </text>
    </comment>
    <comment authorId="0" ref="M62">
      <text>
        <t xml:space="preserve">Barème standard Fundcraft, identique pour tous les fonds — ne pas modifier sans validation du Comité (voir légende en tête d'onglet).</t>
      </text>
    </comment>
    <comment authorId="0" ref="N62">
      <text>
        <t xml:space="preserve">Barème standard Fundcraft, identique pour tous les fonds — ne pas modifier sans validation du Comité (voir légende en tête d'onglet).</t>
      </text>
    </comment>
    <comment authorId="0" ref="O62">
      <text>
        <t xml:space="preserve">Barème standard Fundcraft, identique pour tous les fonds — ne pas modifier sans validation du Comité (voir légende en tête d'onglet).</t>
      </text>
    </comment>
    <comment authorId="0" ref="P62">
      <text>
        <t xml:space="preserve">Barème standard Fundcraft, identique pour tous les fonds — ne pas modifier sans validation du Comité (voir légende en tête d'onglet).</t>
      </text>
    </comment>
    <comment authorId="0" ref="Q62">
      <text>
        <t xml:space="preserve">Barème standard Fundcraft, identique pour tous les fonds — ne pas modifier sans validation du Comité (voir légende en tête d'onglet).</t>
      </text>
    </comment>
    <comment authorId="0" ref="R62">
      <text>
        <t xml:space="preserve">Barème standard Fundcraft, identique pour tous les fonds — ne pas modifier sans validation du Comité (voir légende en tête d'onglet).</t>
      </text>
    </comment>
    <comment authorId="0" ref="S62">
      <text>
        <t xml:space="preserve">Barème standard Fundcraft, identique pour tous les fonds — ne pas modifier sans validation du Comité (voir légende en tête d'onglet).</t>
      </text>
    </comment>
    <comment authorId="0" ref="T62">
      <text>
        <t xml:space="preserve">Barème standard Fundcraft, identique pour tous les fonds — ne pas modifier sans validation du Comité (voir légende en tête d'onglet).</t>
      </text>
    </comment>
    <comment authorId="0" ref="E46">
      <text>
        <t xml:space="preserve">Taux de la Commission de Gestion pour cette tranche — propre à ce fonds (mandat négocié, Article 9.2(a) du Prospectus AirFund). Se répercute automatiquement dans le tableau du §4 (ligne "Commission de Gestion", case grisée) et dans 04_Recap/05_Tresorerie.</t>
      </text>
    </comment>
    <comment authorId="0" ref="U62">
      <text>
        <t xml:space="preserve">Barème standard Fundcraft, identique pour tous les fonds — ne pas modifier sans validation du Comité (voir légende en tête d'onglet).</t>
      </text>
    </comment>
    <comment authorId="0" ref="F46">
      <text>
        <t xml:space="preserve">Taux de la Commission de Conseil pour cette tranche — propre à ce fonds (mandat négocié, Article 9.2(b) du Prospectus AirFund). Se répercute automatiquement dans le tableau du §4 (ligne "Commission de Conseil", case grisée) et dans 04_Recap/05_Tresorerie.</t>
      </text>
    </comment>
    <comment authorId="0" ref="V62">
      <text>
        <t xml:space="preserve">Barème standard Fundcraft, identique pour tous les fonds — ne pas modifier sans validation du Comité (voir légende en tête d'onglet).</t>
      </text>
    </comment>
    <comment authorId="0" ref="W62">
      <text>
        <t xml:space="preserve">Barème standard Fundcraft, identique pour tous les fonds — ne pas modifier sans validation du Comité (voir légende en tête d'onglet).</t>
      </text>
    </comment>
    <comment authorId="0" ref="X62">
      <text>
        <t xml:space="preserve">Barème standard Fundcraft, identique pour tous les fonds — ne pas modifier sans validation du Comité (voir légende en tête d'onglet).</t>
      </text>
    </comment>
    <comment authorId="0" ref="Y62">
      <text>
        <t xml:space="preserve">Barème standard Fundcraft, identique pour tous les fonds — ne pas modifier sans validation du Comité (voir légende en tête d'onglet).</t>
      </text>
    </comment>
    <comment authorId="0" ref="Z62">
      <text>
        <t xml:space="preserve">Barème standard Fundcraft, identique pour tous les fonds — ne pas modifier sans validation du Comité (voir légende en tête d'onglet).</t>
      </text>
    </comment>
    <comment authorId="0" ref="AA62">
      <text>
        <t xml:space="preserve">Barème standard Fundcraft, identique pour tous les fonds — ne pas modifier sans validation du Comité (voir légende en tête d'onglet).</t>
      </text>
    </comment>
    <comment authorId="0" ref="AB62">
      <text>
        <t xml:space="preserve">Barème standard Fundcraft, identique pour tous les fonds — ne pas modifier sans validation du Comité (voir légende en tête d'onglet).</t>
      </text>
    </comment>
    <comment authorId="0" ref="AC62">
      <text>
        <t xml:space="preserve">Barème standard Fundcraft, identique pour tous les fonds — ne pas modifier sans validation du Comité (voir légende en tête d'onglet).</t>
      </text>
    </comment>
    <comment authorId="0" ref="G63">
      <text>
        <t xml:space="preserve">Barème standard Fundcraft, identique pour tous les fonds — ne pas modifier sans validation du Comité (voir légende en tête d'onglet).</t>
      </text>
    </comment>
    <comment authorId="0" ref="H63">
      <text>
        <t xml:space="preserve">Barème standard Fundcraft, identique pour tous les fonds — ne pas modifier sans validation du Comité (voir légende en tête d'onglet).</t>
      </text>
    </comment>
    <comment authorId="0" ref="I63">
      <text>
        <t xml:space="preserve">Barème standard Fundcraft, identique pour tous les fonds — ne pas modifier sans validation du Comité (voir légende en tête d'onglet).</t>
      </text>
    </comment>
    <comment authorId="0" ref="J63">
      <text>
        <t xml:space="preserve">Barème standard Fundcraft, identique pour tous les fonds — ne pas modifier sans validation du Comité (voir légende en tête d'onglet).</t>
      </text>
    </comment>
    <comment authorId="0" ref="K63">
      <text>
        <t xml:space="preserve">Barème standard Fundcraft, identique pour tous les fonds — ne pas modifier sans validation du Comité (voir légende en tête d'onglet).</t>
      </text>
    </comment>
    <comment authorId="0" ref="L63">
      <text>
        <t xml:space="preserve">Barème standard Fundcraft, identique pour tous les fonds — ne pas modifier sans validation du Comité (voir légende en tête d'onglet).</t>
      </text>
    </comment>
    <comment authorId="0" ref="M63">
      <text>
        <t xml:space="preserve">Barème standard Fundcraft, identique pour tous les fonds — ne pas modifier sans validation du Comité (voir légende en tête d'onglet).</t>
      </text>
    </comment>
    <comment authorId="0" ref="N63">
      <text>
        <t xml:space="preserve">Barème standard Fundcraft, identique pour tous les fonds — ne pas modifier sans validation du Comité (voir légende en tête d'onglet).</t>
      </text>
    </comment>
    <comment authorId="0" ref="O63">
      <text>
        <t xml:space="preserve">Barème standard Fundcraft, identique pour tous les fonds — ne pas modifier sans validation du Comité (voir légende en tête d'onglet).</t>
      </text>
    </comment>
    <comment authorId="0" ref="P63">
      <text>
        <t xml:space="preserve">Barème standard Fundcraft, identique pour tous les fonds — ne pas modifier sans validation du Comité (voir légende en tête d'onglet).</t>
      </text>
    </comment>
    <comment authorId="0" ref="Q63">
      <text>
        <t xml:space="preserve">Barème standard Fundcraft, identique pour tous les fonds — ne pas modifier sans validation du Comité (voir légende en tête d'onglet).</t>
      </text>
    </comment>
    <comment authorId="0" ref="R63">
      <text>
        <t xml:space="preserve">Barème standard Fundcraft, identique pour tous les fonds — ne pas modifier sans validation du Comité (voir légende en tête d'onglet).</t>
      </text>
    </comment>
    <comment authorId="0" ref="S63">
      <text>
        <t xml:space="preserve">Barème standard Fundcraft, identique pour tous les fonds — ne pas modifier sans validation du Comité (voir légende en tête d'onglet).</t>
      </text>
    </comment>
    <comment authorId="0" ref="T63">
      <text>
        <t xml:space="preserve">Barème standard Fundcraft, identique pour tous les fonds — ne pas modifier sans validation du Comité (voir légende en tête d'onglet).</t>
      </text>
    </comment>
    <comment authorId="0" ref="E47">
      <text>
        <t xml:space="preserve">Taux de la Commission de Gestion pour cette tranche — propre à ce fonds (mandat négocié, Article 9.2(a) du Prospectus AirFund). Se répercute automatiquement dans le tableau du §4 (ligne "Commission de Gestion", case grisée) et dans 04_Recap/05_Tresorerie.</t>
      </text>
    </comment>
    <comment authorId="0" ref="U63">
      <text>
        <t xml:space="preserve">Barème standard Fundcraft, identique pour tous les fonds — ne pas modifier sans validation du Comité (voir légende en tête d'onglet).</t>
      </text>
    </comment>
    <comment authorId="0" ref="F47">
      <text>
        <t xml:space="preserve">Taux de la Commission de Conseil pour cette tranche — propre à ce fonds (mandat négocié, Article 9.2(b) du Prospectus AirFund). Se répercute automatiquement dans le tableau du §4 (ligne "Commission de Conseil", case grisée) et dans 04_Recap/05_Tresorerie.</t>
      </text>
    </comment>
    <comment authorId="0" ref="V63">
      <text>
        <t xml:space="preserve">Barème standard Fundcraft, identique pour tous les fonds — ne pas modifier sans validation du Comité (voir légende en tête d'onglet).</t>
      </text>
    </comment>
    <comment authorId="0" ref="W63">
      <text>
        <t xml:space="preserve">Barème standard Fundcraft, identique pour tous les fonds — ne pas modifier sans validation du Comité (voir légende en tête d'onglet).</t>
      </text>
    </comment>
    <comment authorId="0" ref="X63">
      <text>
        <t xml:space="preserve">Barème standard Fundcraft, identique pour tous les fonds — ne pas modifier sans validation du Comité (voir légende en tête d'onglet).</t>
      </text>
    </comment>
    <comment authorId="0" ref="Y63">
      <text>
        <t xml:space="preserve">Barème standard Fundcraft, identique pour tous les fonds — ne pas modifier sans validation du Comité (voir légende en tête d'onglet).</t>
      </text>
    </comment>
    <comment authorId="0" ref="Z63">
      <text>
        <t xml:space="preserve">Barème standard Fundcraft, identique pour tous les fonds — ne pas modifier sans validation du Comité (voir légende en tête d'onglet).</t>
      </text>
    </comment>
    <comment authorId="0" ref="AA63">
      <text>
        <t xml:space="preserve">Barème standard Fundcraft, identique pour tous les fonds — ne pas modifier sans validation du Comité (voir légende en tête d'onglet).</t>
      </text>
    </comment>
    <comment authorId="0" ref="AB63">
      <text>
        <t xml:space="preserve">Barème standard Fundcraft, identique pour tous les fonds — ne pas modifier sans validation du Comité (voir légende en tête d'onglet).</t>
      </text>
    </comment>
    <comment authorId="0" ref="AC63">
      <text>
        <t xml:space="preserve">Barème standard Fundcraft, identique pour tous les fonds — ne pas modifier sans validation du Comité (voir légende en tête d'onglet).</t>
      </text>
    </comment>
    <comment authorId="0" ref="G64">
      <text>
        <t xml:space="preserve">Barème standard Fundcraft, identique pour tous les fonds — ne pas modifier sans validation du Comité (voir légende en tête d'onglet).</t>
      </text>
    </comment>
    <comment authorId="0" ref="H64">
      <text>
        <t xml:space="preserve">Barème standard Fundcraft, identique pour tous les fonds — ne pas modifier sans validation du Comité (voir légende en tête d'onglet).</t>
      </text>
    </comment>
    <comment authorId="0" ref="I64">
      <text>
        <t xml:space="preserve">Barème standard Fundcraft, identique pour tous les fonds — ne pas modifier sans validation du Comité (voir légende en tête d'onglet).</t>
      </text>
    </comment>
    <comment authorId="0" ref="J64">
      <text>
        <t xml:space="preserve">Barème standard Fundcraft, identique pour tous les fonds — ne pas modifier sans validation du Comité (voir légende en tête d'onglet).</t>
      </text>
    </comment>
    <comment authorId="0" ref="K64">
      <text>
        <t xml:space="preserve">Barème standard Fundcraft, identique pour tous les fonds — ne pas modifier sans validation du Comité (voir légende en tête d'onglet).</t>
      </text>
    </comment>
    <comment authorId="0" ref="L64">
      <text>
        <t xml:space="preserve">Barème standard Fundcraft, identique pour tous les fonds — ne pas modifier sans validation du Comité (voir légende en tête d'onglet).</t>
      </text>
    </comment>
    <comment authorId="0" ref="M64">
      <text>
        <t xml:space="preserve">Barème standard Fundcraft, identique pour tous les fonds — ne pas modifier sans validation du Comité (voir légende en tête d'onglet).</t>
      </text>
    </comment>
    <comment authorId="0" ref="N64">
      <text>
        <t xml:space="preserve">Barème standard Fundcraft, identique pour tous les fonds — ne pas modifier sans validation du Comité (voir légende en tête d'onglet).</t>
      </text>
    </comment>
    <comment authorId="0" ref="O64">
      <text>
        <t xml:space="preserve">Barème standard Fundcraft, identique pour tous les fonds — ne pas modifier sans validation du Comité (voir légende en tête d'onglet).</t>
      </text>
    </comment>
    <comment authorId="0" ref="P64">
      <text>
        <t xml:space="preserve">Barème standard Fundcraft, identique pour tous les fonds — ne pas modifier sans validation du Comité (voir légende en tête d'onglet).</t>
      </text>
    </comment>
    <comment authorId="0" ref="Q64">
      <text>
        <t xml:space="preserve">Barème standard Fundcraft, identique pour tous les fonds — ne pas modifier sans validation du Comité (voir légende en tête d'onglet).</t>
      </text>
    </comment>
    <comment authorId="0" ref="R64">
      <text>
        <t xml:space="preserve">Barème standard Fundcraft, identique pour tous les fonds — ne pas modifier sans validation du Comité (voir légende en tête d'onglet).</t>
      </text>
    </comment>
    <comment authorId="0" ref="S64">
      <text>
        <t xml:space="preserve">Barème standard Fundcraft, identique pour tous les fonds — ne pas modifier sans validation du Comité (voir légende en tête d'onglet).</t>
      </text>
    </comment>
    <comment authorId="0" ref="T64">
      <text>
        <t xml:space="preserve">Barème standard Fundcraft, identique pour tous les fonds — ne pas modifier sans validation du Comité (voir légende en tête d'onglet).</t>
      </text>
    </comment>
    <comment authorId="0" ref="E48">
      <text>
        <t xml:space="preserve">Taux de la Commission de Gestion pour cette tranche — propre à ce fonds (mandat négocié, Article 9.2(a) du Prospectus AirFund). Se répercute automatiquement dans le tableau du §4 (ligne "Commission de Gestion", case grisée) et dans 04_Recap/05_Tresorerie.</t>
      </text>
    </comment>
    <comment authorId="0" ref="U64">
      <text>
        <t xml:space="preserve">Barème standard Fundcraft, identique pour tous les fonds — ne pas modifier sans validation du Comité (voir légende en tête d'onglet).</t>
      </text>
    </comment>
    <comment authorId="0" ref="F48">
      <text>
        <t xml:space="preserve">Taux de la Commission de Conseil pour cette tranche — propre à ce fonds (mandat négocié, Article 9.2(b) du Prospectus AirFund). Se répercute automatiquement dans le tableau du §4 (ligne "Commission de Conseil", case grisée) et dans 04_Recap/05_Tresorerie.</t>
      </text>
    </comment>
    <comment authorId="0" ref="V64">
      <text>
        <t xml:space="preserve">Barème standard Fundcraft, identique pour tous les fonds — ne pas modifier sans validation du Comité (voir légende en tête d'onglet).</t>
      </text>
    </comment>
    <comment authorId="0" ref="W64">
      <text>
        <t xml:space="preserve">Barème standard Fundcraft, identique pour tous les fonds — ne pas modifier sans validation du Comité (voir légende en tête d'onglet).</t>
      </text>
    </comment>
    <comment authorId="0" ref="X64">
      <text>
        <t xml:space="preserve">Barème standard Fundcraft, identique pour tous les fonds — ne pas modifier sans validation du Comité (voir légende en tête d'onglet).</t>
      </text>
    </comment>
    <comment authorId="0" ref="Y64">
      <text>
        <t xml:space="preserve">Barème standard Fundcraft, identique pour tous les fonds — ne pas modifier sans validation du Comité (voir légende en tête d'onglet).</t>
      </text>
    </comment>
    <comment authorId="0" ref="Z64">
      <text>
        <t xml:space="preserve">Barème standard Fundcraft, identique pour tous les fonds — ne pas modifier sans validation du Comité (voir légende en tête d'onglet).</t>
      </text>
    </comment>
    <comment authorId="0" ref="AA64">
      <text>
        <t xml:space="preserve">Barème standard Fundcraft, identique pour tous les fonds — ne pas modifier sans validation du Comité (voir légende en tête d'onglet).</t>
      </text>
    </comment>
    <comment authorId="0" ref="AB64">
      <text>
        <t xml:space="preserve">Barème standard Fundcraft, identique pour tous les fonds — ne pas modifier sans validation du Comité (voir légende en tête d'onglet).</t>
      </text>
    </comment>
    <comment authorId="0" ref="AC64">
      <text>
        <t xml:space="preserve">Barème standard Fundcraft, identique pour tous les fonds — ne pas modifier sans validation du Comité (voir légende en tête d'onglet).</t>
      </text>
    </comment>
    <comment authorId="0" ref="M65">
      <text>
        <t xml:space="preserve">Sans objet en mode "Frais KYC (paliers de 100M€)" : ce poste se calcule à partir des paramètres dédiés de 01_Input §3 (nombre de diligences incluses, taille de tranche, coût par diligence supplémentaire) et du Nombre d'investisseurs — pas des tranches de cette ligne.</t>
      </text>
    </comment>
    <comment authorId="0" ref="Q65">
      <text>
        <t xml:space="preserve">Sans objet en mode "Frais KYC (paliers de 100M€)" : ce poste se calcule à partir des paramètres dédiés de 01_Input §3 (nombre de diligences incluses, taille de tranche, coût par diligence supplémentaire) et du Nombre d'investisseurs — pas des tranches de cette ligne.</t>
      </text>
    </comment>
    <comment authorId="0" ref="U65">
      <text>
        <t xml:space="preserve">Sans objet en mode "Frais KYC (paliers de 100M€)" : ce poste se calcule à partir des paramètres dédiés de 01_Input §3 (nombre de diligences incluses, taille de tranche, coût par diligence supplémentaire) et du Nombre d'investisseurs — pas des tranches de cette ligne.</t>
      </text>
    </comment>
    <comment authorId="0" ref="Y65">
      <text>
        <t xml:space="preserve">Sans objet en mode "Frais KYC (paliers de 100M€)" : ce poste se calcule à partir des paramètres dédiés de 01_Input §3 (nombre de diligences incluses, taille de tranche, coût par diligence supplémentaire) et du Nombre d'investisseurs — pas des tranches de cette ligne.</t>
      </text>
    </comment>
    <comment authorId="0" ref="AC65">
      <text>
        <t xml:space="preserve">Sans objet en mode "Frais KYC (paliers de 100M€)" : ce poste se calcule à partir des paramètres dédiés de 01_Input §3 (nombre de diligences incluses, taille de tranche, coût par diligence supplémentaire) et du Nombre d'investisseurs — pas des tranches de cette ligne.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Point de départ du mois 1 du prévisionnel ET du calcul des exercices comptables (§8). Doit rester une VRAIE date Excel (pas du texte) — resaisissez via le sélecteur de date si vous copiez-collez une valeur depuis ailleurs. Un lancement en cours de mois (ex. 13/08) proratise automatiquement en jours exacts le premier mois de chaque poste, en vue comptable ET en vue cash (voir prorata calculé ci-dessous).</t>
      </text>
    </comment>
    <comment authorId="0" ref="F166">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162">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62">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F162">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26">
      <text>
        <t xml:space="preserve">Fréquence dérivée automatiquement de "Nombre de distributions par an" (01_Input §3). Un seul endroit de saisie : modifiez ce paramètre en 01_Input, pas ici.</t>
      </text>
    </comment>
    <comment authorId="0" ref="E10">
      <text>
        <t xml:space="preserve">Convention retenue (confirmée par retour utilisateur du 14/09/2026) : prorata en JOURS OUVRÉS (lundi-vendredi, hors jours fériés) du mois de lancement — jours ouvrés du lancement à la fin du mois inclus, divisé par le nombre total de jours ouvrés de ce même mois — appliqué au montant mensuel lissé de chaque poste (§5). Jours fériés français EXCLUS (3e argument de NETWORKDAYS) via la plage nommée Jours_Feries_FR : les 11 jours fériés légaux français (8 fixes + Lundi de Pâques/Ascension/Lundi de Pentecôte, calculés algorithmiquement) sur 2020-2060, listés dans l'onglet technique masqué "Jours_Feries_FR" — dépliez-le (clic droit sur un onglet &gt; Afficher) pour vérifier une date. Cette formule n'est calculée qu'à cet unique endroit, tout le reste de l'onglet en dépend.</t>
      </text>
    </comment>
    <comment authorId="0" ref="D167">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67">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E6">
      <text>
        <t xml:space="preserve">Borne la période sur laquelle les 60.000€ minimum de Frais de Constitution doivent obligatoirement être lissés (§8). Les exercices suivants sont supposés être des blocs pleins de 12 mois consécutifs à partir de cette date (hypothèse à corriger manuellement si votre fonds change de date de clôture en cours de route).</t>
      </text>
    </comment>
    <comment authorId="0" ref="F167">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163">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63">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F163">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E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F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G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H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I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J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K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D168">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L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E168">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E7">
      <text>
        <t xml:space="preserve">Horizon affiché dans les tableaux ci-dessous. Plafonné à 36 mois (3 ans) : au-delà, un prévisionnel de trésorerie mensuel perd son utilité opérationnelle — utilisez 04_Recap pour une vue structurelle pluriannuelle.</t>
      </text>
    </comment>
    <comment authorId="0" ref="M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F168">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N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O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D164">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P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E164">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Q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F164">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R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S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T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U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V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W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X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Y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Z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A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B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C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D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E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F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G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H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I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J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K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L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AM15">
      <text>
        <t xml:space="preserve">AUM (Actif Net) de ce mois : connu (arrêté comptable) pour un mois déjà passé, meilleure prévision pour un mois à venir. Utilisé par tous les postes de frais ci-dessous pour recalculer leur barème mois par mois (§4). Laissé VIDE par défaut : tant que ce mois n'est pas renseigné, §4 à §7 restent vierges pour ce mois (aucun montant affiché sur la base d'un AUM que vous n'avez pas encore saisi).</t>
      </text>
    </comment>
    <comment authorId="0" ref="D169">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69">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F169">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165">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65">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F165">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161">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61">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F161">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170">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70">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 authorId="0" ref="F170">
      <text>
        <t xml:space="preserve">Calculée : la Date de paiement (colonne précédente) si elle est renseignée, sinon la Date de facturation + 1 mois (même convention de décalage que le reste de cet onglet). C'est cette date qui pilote effectivement la vue cash ci-dessous — pas de saisie possible ici.</t>
      </text>
    </comment>
    <comment authorId="0" ref="D166">
      <text>
        <t xml:space="preserve">Pilote le ré-amortissement de la provision comptable (§8 ci-dessous) ET, par défaut (voir colonne "Date de paiement effective"), la vue cash : dès que cette date est renseignée, le Montant de cette facture est déduit du solde restant à amortir sur l'exercice concerné, et décaissé le mois suivant. Doit rester une VRAIE date Excel (pas du texte). Laissez vide tant que la facture n'est pas reçue.</t>
      </text>
    </comment>
    <comment authorId="0" ref="E166">
      <text>
        <t xml:space="preserve">OPTIONNEL — ne renseigner que si le paiement réel diffère de l'hypothèse par défaut (Date de facturation + 1 mois, colonne "Date de paiement effective"). Une fois renseignée, cette date réelle prévaut pour la vue cash. Doit rester une VRAIE date Excel (pas du texte).</t>
      </text>
    </comment>
  </commentList>
</comments>
</file>

<file path=xl/sharedStrings.xml><?xml version="1.0" encoding="utf-8"?>
<sst xmlns="http://schemas.openxmlformats.org/spreadsheetml/2006/main" count="932" uniqueCount="291">
  <si>
    <t>00_DÉMARRAGE RAPIDE — Comment utiliser ce classeur en 5 étapes</t>
  </si>
  <si>
    <t>02_CLASSES DE PARTS — Optionnel — uniquement pour un fonds à frais différenciés par classe</t>
  </si>
  <si>
    <t>01_INPUT — Seule zone de saisie manuelle du classeur</t>
  </si>
  <si>
    <t>Pour la méthode de calcul détaillée, les sources documentaires et les hypothèses retenues poste par poste : onglet 06_Documentation. Cet onglet-ci ne couvre que l'essentiel pour démarrer sans se tromper.</t>
  </si>
  <si>
    <t>N'est utilisé par 01_Input / 04_Recap QUE pour les postes de frais dont le "Mode de calcul" (colonne du tableau de frais en 01_Input) est "Taux Classe sélectionnée" — ex. les 2 lignes de Commission de Distribution (Distributeur Global / Sous-distributeurs), qui varient par classe de parts. Si votre fonds n'a pas ce mécanisme, laissez cet onglet inutilisé et gardez tous les postes de 01_Input en mode "Barème". Sert aussi à déduire automatiquement le nombre de catégories de parts du fonds (01_Input §3C).</t>
  </si>
  <si>
    <t>Renseignez ici l'échelle d'AUM à tester et la liste des frais/provisions du fonds. L'onglet 04_Recap se met à jour automatiquement, ligne par ligne, sans aucune autre saisie. L'onglet 02_Classes_de_Parts est optionnel : à utiliser seulement si le fonds a des frais différenciés par classe (§3B et colonne "Mode de calcul" ci-dessous).</t>
  </si>
  <si>
    <t>1. Renommez le fonds</t>
  </si>
  <si>
    <t>Dans 01_Input, vous choisissez UNE classe — celle sur laquelle 04_Recap calcule le détail. Un poste en mode "Taux Classe sélectionnée" = Taux de cette classe x AUM. Détail de la méthode et des sources : onglet 06_Documentation.</t>
  </si>
  <si>
    <t>Légende :</t>
  </si>
  <si>
    <t>01_Input, §1 "FONDS TESTÉ" — une seule cellule (lime) à remplir.</t>
  </si>
  <si>
    <t>2. Fixez l'échelle d'AUM à tester</t>
  </si>
  <si>
    <t>cellule à saisir</t>
  </si>
  <si>
    <t>01_Input, §2 "ÉCHELLE D'AUM" — AUM minimum, maximum et pas. 04_Recap calculera chaque poste de frais pour tous les paliers de cette échelle, automatiquement.</t>
  </si>
  <si>
    <t>3. Remplissez les paramètres et le tableau de frais</t>
  </si>
  <si>
    <t>01_Input, §3 à §4 : renseignez les paramètres auxiliaires (§3), les 2 seuils et les 6 taux du tableau "Barèmes de Commissions" (§3D, pour Commission de Gestion et Commission de Conseil), puis une ligne par poste de frais (§4 — "Actif" = Oui/Non). Ne remplissez QUE les cases lime : les cases grises sont verrouillées (barèmes standard Fundcraft ou valeurs pilotées depuis un autre paramètre) et les cases rouges signalent une incohérence à corriger (voir légende en tête de 01_Input).</t>
  </si>
  <si>
    <t>03_DÉTAIL DÉPOSITAIRE / VALORISATION — Zéro saisie manuelle — décompose pas à pas 2 postes de 01_Input dont le calcul n'est pas un simple taux</t>
  </si>
  <si>
    <t>4. Vérifiez le résultat</t>
  </si>
  <si>
    <t>04_Recap se met à jour automatiquement, ligne par ligne, palier d'AUM par palier d'AUM — aucune saisie supplémentaire n'y est nécessaire.</t>
  </si>
  <si>
    <t>barème standard — ne pas modifier</t>
  </si>
  <si>
    <t>5. Réglez le prévisionnel de trésorerie</t>
  </si>
  <si>
    <t>"Commission Dépositaire (BFCM)" (taux + plancher + PLAFOND) et "Valorisation (CIC)" (barème par tranche d'actif, fréquence de VL, majoration par nombre de catégories de parts, supplément lignes de portefeuille) sont les 2 postes les moins immédiats à lire directement dans le tableau de 01_Input. Cet onglet réexplique chaque paramètre, puis reconstitue le calcul complet sur toute l'échelle d'AUM testée — les lignes "Écart vs 04_Recap" prouvent que ce détail correspond exactement (doit toujours afficher 0).</t>
  </si>
  <si>
    <t>05_Tresorerie, §1 : date de lancement du fonds. §2 : AUM mensuel réel/prévisionnel. §3 et suivants : fréquence de facturation par poste (pré-remplie, modifiable). Le prorata du 1er mois et les jours fériés français sont gérés automatiquement.</t>
  </si>
  <si>
    <t>Nom de la classe</t>
  </si>
  <si>
    <t>RAPPEL — CODE COULEUR (identique sur tout le classeur)</t>
  </si>
  <si>
    <t>incohérence détectée — à corriger</t>
  </si>
  <si>
    <t>Zéro saisie manuelle : reconstitue pas à pas le calcul des 2 postes les moins immédiats à lire en 01_Input (Dépositaire, Valorisation). Détail de la méthode et des sources : onglet 06_Documentation.</t>
  </si>
  <si>
    <t>Taux
Distributeur
Global</t>
  </si>
  <si>
    <t>Taux
Sous-
distributeurs</t>
  </si>
  <si>
    <t>Distribuante ?</t>
  </si>
  <si>
    <t>Commentaire / Source</t>
  </si>
  <si>
    <t>A</t>
  </si>
  <si>
    <t>lime</t>
  </si>
  <si>
    <t>Palier</t>
  </si>
  <si>
    <t>PARAMÈTRES ACTIFS (repris de 01_Input — rien à saisir ici)</t>
  </si>
  <si>
    <t>cellule à saisir — propre à ce fonds.</t>
  </si>
  <si>
    <t>AUM (Actif Net)</t>
  </si>
  <si>
    <t>Commission Dépositaire (BFCM)</t>
  </si>
  <si>
    <t>1. FONDS TESTÉ</t>
  </si>
  <si>
    <t>gris</t>
  </si>
  <si>
    <t>Taux appliqué</t>
  </si>
  <si>
    <t>cellule verrouillée — barème standard Fundcraft, ou valeur pilotée depuis un autre paramètre. Ne pas modifier.</t>
  </si>
  <si>
    <t>rouge</t>
  </si>
  <si>
    <t>incohérence détectée (ex. AUM min ≥ AUM max) — à corriger avant de continuer.</t>
  </si>
  <si>
    <t>Non</t>
  </si>
  <si>
    <t>Nom du fonds</t>
  </si>
  <si>
    <t>Plancher annuel</t>
  </si>
  <si>
    <t>B</t>
  </si>
  <si>
    <t>AF CVC</t>
  </si>
  <si>
    <t>Plafond annuel</t>
  </si>
  <si>
    <t>Lignes libres : ajoutez une classe en renseignant une ligne vide (jusqu'à 12 classes disponibles). Une ligne dont le nom est vide est ignorée par le sélecteur de 01_Input.</t>
  </si>
  <si>
    <t>Valorisation (CIC)</t>
  </si>
  <si>
    <t>Fréquence de VL retenue</t>
  </si>
  <si>
    <t>2. ÉCHELLE D'AUM (axe du Récap — Actif Net du fonds)</t>
  </si>
  <si>
    <t>AUM minimum testé (€)</t>
  </si>
  <si>
    <t>Nombre de lignes du portefeuille</t>
  </si>
  <si>
    <t>AUM maximum testé (€)</t>
  </si>
  <si>
    <t>Pas / incrément (€)</t>
  </si>
  <si>
    <t>Nombre de catégories de parts</t>
  </si>
  <si>
    <t>Nombre de paliers utilisés / disponibles</t>
  </si>
  <si>
    <t>Majoration applicable</t>
  </si>
  <si>
    <t>3. PARAMÈTRES AUXILIAIRES — utilisés par certaines lignes de frais (formules ci-dessous)</t>
  </si>
  <si>
    <t>DÉTAIL DU CALCUL SUR L'ÉCHELLE D'AUM TESTÉE (01_Input §2)</t>
  </si>
  <si>
    <t>Nombre d'investisseurs (hypothèse fixe)</t>
  </si>
  <si>
    <t>Étape de calcul</t>
  </si>
  <si>
    <t>Coût marginal par investisseur, €/an (Tenue du Passif)</t>
  </si>
  <si>
    <t>Actif Net prévisionnel au 1er anniversaire, € (Frais de Constitution)</t>
  </si>
  <si>
    <t>Taux des Frais de Constitution (%)</t>
  </si>
  <si>
    <t>Plancher des Frais de Constitution (€)</t>
  </si>
  <si>
    <t>Nombre de distributions par an (Commissaire aux Comptes)</t>
  </si>
  <si>
    <t>Coût moyen par distribution, € (Commissaire aux Comptes)</t>
  </si>
  <si>
    <t>Nombre de diligences KYC incluses par tranche (Frais KYC)</t>
  </si>
  <si>
    <t>Taille de la tranche d'AUM pour le renouvellement du forfait KYC, € (Frais KYC)</t>
  </si>
  <si>
    <t>Coût par diligence KYC supplémentaire, € (Frais KYC)</t>
  </si>
  <si>
    <t>3B. CLASSE DE PARTS SÉLECTIONNÉE (optionnel — voir 02_Classes_de_Parts)</t>
  </si>
  <si>
    <t>Classe de parts sélectionnée pour le calcul de 04_Recap</t>
  </si>
  <si>
    <t>→ Taux Distributeur Global de cette classe (calculé)</t>
  </si>
  <si>
    <t>→ Taux Sous-distributeurs de cette classe (calculé)</t>
  </si>
  <si>
    <t>→ Cette classe distribue-t-elle ? (calculé)</t>
  </si>
  <si>
    <t>3C. PARAMÈTRES VALORISATION (CIC) — utilisés par la ligne "Valorisation (CIC)"</t>
  </si>
  <si>
    <t>Fréquence de la VL (Mensuelle / Bi-mensuelle)</t>
  </si>
  <si>
    <t>Mensuelle</t>
  </si>
  <si>
    <t>Nombre de lignes du portefeuille (valorisation)</t>
  </si>
  <si>
    <t>→ Nombre de catégories de parts du fonds (déduit de 02_Classes_de_Parts)</t>
  </si>
  <si>
    <t>→ Majoration applicable (calculée)</t>
  </si>
  <si>
    <t>3D. BARÈMES DE COMMISSIONS (Commission de Gestion + Commission de Conseil)</t>
  </si>
  <si>
    <t>UN SEUL TABLEAU pour saisir les 2 commissions calculées par barème (Commission de Gestion, Commission de Conseil) : les 2 seuils et les 6 taux ci-dessous se répercutent automatiquement dans le tableau large du §4 (cases grisées, non éditables — à titre de contrôle visuel seulement) ainsi que dans 04_Recap et 05_Tresorerie. Décision du 14/09/2026 suite à un retour utilisateur : éviter d'avoir à modifier le tableau large (source d'erreur) — ne changez les taux ou les seuils de ces 2 commissions qu'ICI.</t>
  </si>
  <si>
    <t>Seuil tranche 1 → 2, € d'Actif Net (commun aux 2 commissions)</t>
  </si>
  <si>
    <t>Seuil tranche 2 → 3, € d'Actif Net (commun aux 2 commissions)</t>
  </si>
  <si>
    <t>Tranche (Actif Net du fonds)</t>
  </si>
  <si>
    <t>Commission de
Gestion (taux)</t>
  </si>
  <si>
    <t>Commission de
Conseil (taux)</t>
  </si>
  <si>
    <t>05_TRÉSORERIE — Prévisionnel mensuel de provisions et de décaissements — vue comptable vs vue cash</t>
  </si>
  <si>
    <t>Refonte du 11/09/2026 (retour utilisateur — cas d'un lancement en cours de mois type AirFund, 13/08/2026) : l'AUM se saisit désormais mois par mois (§2 — connu pour les mois déjà clos, prévisionnel pour les mois à venir) au lieu d'un AUM unique constant sur tout l'horizon. Chaque poste recalcule son barème à l'AUM du mois concerné (§4), en provisionne le montant lissé chaque mois — proratisé en jours exacts sur le mois de lancement si celui-ci démarre en cours de mois (§5), SAUF Finologee (forfait mensuel fixe facturé en totalité dès le mois entamé, sans prorata — décision du 14/09/2026) — puis facture, à chaque échéance, exactement la somme des provisions accumulées depuis la précédente échéance (§6) ; le décaissement suit la facturation avec un décalage d'un mois (§7). Provision, facturation et cash sont ainsi chaînés (French GAAP : on provisionne, puis on facture ce qui a été provisionné, puis on décaisse), plutôt que calculés indépendamment. Aucun AUM n'est pré-rempli en §2 (décision du 14/09/2026) : tant qu'un mois y reste vide, §4 à §7 restent vierges pour ce mois plutôt que d'afficher un montant sur une hypothèse d'AUM non saisie. Les Frais de Constitution suivent une logique séparée (§8), active par défaut : 60.000€ amortis mensuellement jusqu'à la fin de l'exercice comptable 1, ré-étalés automatiquement dès qu'une facture réelle est saisie, et décaissés le mois suivant sa date de facturation comme le reste de cet onglet.</t>
  </si>
  <si>
    <t>1. PARAMÈTRES DU PRÉVISIONNEL</t>
  </si>
  <si>
    <t>4. FRAIS &amp; PROVISIONS DU FONDS</t>
  </si>
  <si>
    <t>Date de lancement du fonds</t>
  </si>
  <si>
    <t>Une ligne par frais/provision (jusqu'à 5 tranches Forfait/Taux/Palier). Basculez "Actif" sur Non plutôt que de supprimer une ligne. Détail des sources, de la méthode de calcul et du mode d'emploi complet : onglet 06_Documentation.</t>
  </si>
  <si>
    <t>#</t>
  </si>
  <si>
    <t>Actif ?</t>
  </si>
  <si>
    <t>Nom du poste</t>
  </si>
  <si>
    <t>Bénéficiaire
(à qui ça revient)</t>
  </si>
  <si>
    <t>Récurrent ?</t>
  </si>
  <si>
    <t>Mode de
calcul</t>
  </si>
  <si>
    <t>Plancher
annuel (€)</t>
  </si>
  <si>
    <t>Plafond
annuel (€)</t>
  </si>
  <si>
    <t>T1
Borne inf.</t>
  </si>
  <si>
    <t>T1
Borne sup.</t>
  </si>
  <si>
    <t>T1
Nature</t>
  </si>
  <si>
    <t>T1
Valeur</t>
  </si>
  <si>
    <t>T2
Borne inf.</t>
  </si>
  <si>
    <t>T2
Borne sup.</t>
  </si>
  <si>
    <t>T2
Nature</t>
  </si>
  <si>
    <t>T2
Valeur</t>
  </si>
  <si>
    <t>T3
Borne inf.</t>
  </si>
  <si>
    <t>Date de fin du 1er exercice comptable</t>
  </si>
  <si>
    <t>T3
Borne sup.</t>
  </si>
  <si>
    <t>T3
Nature</t>
  </si>
  <si>
    <t>T3
Valeur</t>
  </si>
  <si>
    <t>T4
Borne inf.</t>
  </si>
  <si>
    <t>T4
Borne sup.</t>
  </si>
  <si>
    <t>T4
Nature</t>
  </si>
  <si>
    <t>T4
Valeur</t>
  </si>
  <si>
    <t>T5
Borne inf.</t>
  </si>
  <si>
    <t>T5
Borne sup.</t>
  </si>
  <si>
    <t>T5
Nature</t>
  </si>
  <si>
    <t>T5
Valeur</t>
  </si>
  <si>
    <t>Oui</t>
  </si>
  <si>
    <t>Commission de Gestion</t>
  </si>
  <si>
    <t>Nombre de mois du prévisionnel (max 36)</t>
  </si>
  <si>
    <t>Barème (Forfait/Taux/Palier)</t>
  </si>
  <si>
    <t>→ Date de fin du prévisionnel (calculé)</t>
  </si>
  <si>
    <t>→ Prorata du mois de lancement (jours ouvrés actifs ÷ jours ouvrés du mois civil) (calculé)</t>
  </si>
  <si>
    <t>Taux</t>
  </si>
  <si>
    <t>2. AUM MENSUEL DU FONDS (€) — CONNU POUR LES MOIS PASSÉS, PRÉVISIONNEL POUR LES MOIS À VENIR</t>
  </si>
  <si>
    <t>Remplace un AUM unique constant sur tout l'horizon (faussait tous les montants dès que l'AUM évolue dans le temps) — décision du 11/09/2026 suite à un retour utilisateur. Renseignez l'Actif Net réellement constaté pour chaque mois déjà clos, et votre meilleure prévision pour les mois à venir : chaque poste de frais (§4 à §7) recalcule son barème à l'AUM du mois concerné, plutôt qu'à un AUM figé sur tout l'horizon. AUCUN AUM n'est pré-rempli par défaut (décision du 14/09/2026, suite à un retour utilisateur : une valeur d'exemple ici était trompeuse — un mois volontairement laissé vide ne doit pas être confondu avec un mois à 100M€) : tant qu'un mois reste vide ci-dessous, tous les tableaux suivants (§4 à §7) restent VIERGES pour ce mois plutôt que d'afficher un montant sur une hypothèse d'AUM que vous n'avez pas encore saisie.</t>
  </si>
  <si>
    <t>AUM mensuel →</t>
  </si>
  <si>
    <t>Commission de Conseil</t>
  </si>
  <si>
    <t>Distribution — Distributeur Global</t>
  </si>
  <si>
    <t>Taux Classe sélectionnée</t>
  </si>
  <si>
    <t>Distribution — Sous-distributeurs</t>
  </si>
  <si>
    <t>Dépositaire (BFCM)</t>
  </si>
  <si>
    <t>Annexe 11 "Conditions financières" de la Convention Dépositaire – Société de Gestion BFCM / Fundcraft France SAS, applicable au 01/06/2026 (assiette : Actif Net Comptable). Taux de 0,030%, montant MINIMUM annuel de 12.000€/OPC, montant MAXIMUM annuel PLAFONNÉ à 50.000€/OPC. Remplace la précédente ventilation en 4 lignes (Garde/Contrôle/Teneur de registre/Distribution) : non retrouvée telle quelle dans la grille tarifaire réelle — probable reprise erronée d'un autre document. Un forfait spécifique de liquidation existe séparément (voir ligne dédiée, à activer le cas échéant en désactivant celle-ci).</t>
  </si>
  <si>
    <t>Commissaire aux Comptes</t>
  </si>
  <si>
    <t>CAC</t>
  </si>
  <si>
    <t>Forfait</t>
  </si>
  <si>
    <t>Lettre de mission Aplitec du 01/07/2026 (associé signataire Maxime Gallet, chef de mission Antony Aplogan), spécifique au FIPS AirFund Conviction Value Capital : honoraires de 5.500€ HT/an, correspondant à 2 interventions semestrielles (contrôle des situations semestrielles + comptes annuels). Ce montant est calculé par le CAC en fonction de la taille visée DE CE FONDS (objectif de collecte 30M€, hard cap 70-100M€) — CE N'EST PAS un tarif fixe applicable à tous les fonds Fundcraft (contrairement au coût par distribution ci-dessous, lui issu d'une pratique tarifaire générique du même CAC) : cellule volontairement laissée éditable (lime), reprise ici à 5.500€ par défaut (valeur AirFund) à confirmer/ajuster avec le CAC pour chaque nouveau fonds — et remise à blanc dans le modèle vierge. Hors forfait, facturés en sus par le CAC : TVA, frais de déplacement, et cotisation H2A (~100€ HT/an) — non modélisés séparément ici, montants mineurs au vu de la matérialité de ce poste.</t>
  </si>
  <si>
    <t>CAC — Frais par Distribution</t>
  </si>
  <si>
    <t>Reporting — Rapport Annuel (CIC)</t>
  </si>
  <si>
    <t>CIC Administration de Fonds</t>
  </si>
  <si>
    <t>Annexe Tarifaire du "CONTRAT DE DELEGATION DE VALORISATION ENTRE FUNDCRAFT FRANCE SAS ET CIC" signé le 24/06/2026, section II.B.1 "Rapport annuel" : commission forfaitaire de 800€HT par an et par FIA. ⚠ Précédemment classée par erreur sous "Valorisation" — c'est une prestation de reporting.</t>
  </si>
  <si>
    <t>Valorisateur (CIC / SOC Asset Servicing)</t>
  </si>
  <si>
    <t>Annexe Tarifaire du "CONTRAT DE DELEGATION DE VALORISATION ENTRE FUNDCRAFT FRANCE SAS ET CIC" signé le 24/06/2026, section I.B. 4 tranches "Palier" exclusives par Actif Net (0-40M/40-80M/80-120M/&gt;120M€), montant selon la fréquence de VL choisie en §3C, majoré de +10% (3-4 catégories de parts) ou +15% (5 et plus, cas d'Openstone avec 9 classes), + supplément de 500€ par tranche de 10 lignes de portefeuille au-delà de 10 (tranche Forfait séparée, toujours active). ⚠ Remplace le précédent forfait de 12.000€ (recopié par erreur du Dépositaire). Le barème "Période de liquidation de l'OPC" (14.000€/12.000€) n'est pas modélisé ici (dépend du statut du fonds, pas de l'AUM) : à activer manuellement le cas échéant.</t>
  </si>
  <si>
    <t>Reporting AIFM (part refacturée au fonds)</t>
  </si>
  <si>
    <t>Prestataire reporting</t>
  </si>
  <si>
    <t>Annexe Tarifaire du "CONTRAT DE DELEGATION DE VALORISATION ENTRE FUNDCRAFT FRANCE SAS ET CIC" signé le 24/06/2026, section II.B.3 "AIFM – Reporting périodique complet ou push de données" : 3.000€HT à la mise en place (mutualisé, absorbé par la SGP, non modélisé ici) + 500€HT par reporting annuel et par FIA (modélisé ici). Ce même document précise explicitement "Non retenu par la société de gestion" pour cette prestation — désactivée (Actif = Non) le 14/09/2026 en conséquence, à la demande d'Apolline. Ne réactiver que si Fundcraft souscrit effectivement cette option auprès de CIC pour ce fonds.</t>
  </si>
  <si>
    <t>Tenue du Passif</t>
  </si>
  <si>
    <t>Teneur de registre / Transfer Agent</t>
  </si>
  <si>
    <t>AUM (Actif Net) du fonds</t>
  </si>
  <si>
    <t>Annexe 11 de la Convention Dépositaire BFCM (applicable au 01/06/2026) : forfait fixe de 1.000€/OPC + montant annuel par porteur (15€ ci-dessous, paramètre §3). Confirmé conforme à la grille tarifaire réelle.</t>
  </si>
  <si>
    <t>Finologee</t>
  </si>
  <si>
    <t>116€HT par OPC et par mois, soit 1.392€HT/an (116 x 12) — forfait fixe indépendant de l'Actif Net du fonds. Facturé et payé mensuellement (virement automatique le 10 de chaque mois, par fonds) — fréquence "Mensuel" pré-réglée dans 05_Tresorerie §3 en conséquence. SANS PRORATA sur le mois de lancement (confirmé par Apolline, 14/09/2026 : "un mois entamé est dû en totalité") — contrairement aux autres postes mensuels, dont le tout premier mois est proratisé en jours ouvrés (05_Tresorerie §1/§5) : le virement Finologee est un forfait mensuel fixe, pas un service facturé au prorata du temps réellement presté. Poste TOUJOURS présent, sur tous les fonds Fundcraft (confirmé par Apolline, 14/09/2026) : traité comme les autres plaquettes tarifaires prestataires (Dépositaire BFCM, Valorisation/Reporting CIC) — verrouillé (gris), pas une donnée propre au fonds testé. ⚠ Confiance MOYENNE sur le montant : information communiquée directement par Apolline en conversation, non retrouvée à ce jour dans une convention Finologee signée dans les pièces disponibles pour AirFund — à sourcer avec le contrat Finologee dès qu'il est disponible et à corriger ici si le montant réel diffère.</t>
  </si>
  <si>
    <t>Frais KYC (au-delà du forfait inclus)</t>
  </si>
  <si>
    <t>Frais KYC (paliers de 100M€)</t>
  </si>
  <si>
    <t>Frais de Constitution (hors barème — actif par défaut, voir 05_Tresorerie)</t>
  </si>
  <si>
    <t>Dépositaire — Forfait liquidation (ANC&lt;5M€)</t>
  </si>
  <si>
    <t>3. POSTES DE FRAIS — BÉNÉFICIAIRE ET FRÉQUENCE DE FACTURATION</t>
  </si>
  <si>
    <t>Fréquence par défaut (modifiable ligne par ligne via la liste déroulante) : Mensuel pour Commission de Gestion / Conseil / Distribution / Finologee (virement automatique le 10 de chaque mois) ; Semestriel pour Dépositaire / Valorisation / CAC (forfait récurrent, cf. lettre de mission du 11/09/2026) ; Annuel pour les autres postes. Le forfait CAC "par distribution" suit une règle à part (voir §6) : sa fréquence est dérivée automatiquement du paramètre "Nombre de distributions par an" (01_Input §3), verrouillée ici pour éviter une double saisie. Le montant annuel de chaque poste n'est plus affiché ici : il varie désormais mois par mois avec l'AUM (§2) — voir §4.</t>
  </si>
  <si>
    <t>Poste de frais</t>
  </si>
  <si>
    <t>Bénéficiaire</t>
  </si>
  <si>
    <t>Fréquence de
facturation</t>
  </si>
  <si>
    <t>Annexe 11 de la Convention Dépositaire BFCM : forfait spécifique de 7.000€ pour les OPC en liquidation dont l'ANC est inférieur à 5M€. À activer (et à désactiver "Commission Dépositaire (BFCM)" en parallèle) uniquement lorsque le fonds est effectivement en phase de liquidation.</t>
  </si>
  <si>
    <t>Dépositaire — Admission Euroclear (par ISIN)</t>
  </si>
  <si>
    <t>Annexe 11 de la Convention Dépositaire BFCM : 1.000€ par code ISIN admis à l'admission Euroclear France. Frais ponctuel (à l'acte), à activer l'année d'admission d'une nouvelle classe/ligne.</t>
  </si>
  <si>
    <t>Reporting — Solvabilité II (optionnel)</t>
  </si>
  <si>
    <t>Mensuel</t>
  </si>
  <si>
    <t>Annexe Tarifaire du "CONTRAT DE DELEGATION DE VALORISATION ENTRE FUNDCRAFT FRANCE SAS ET CIC" signé le 24/06/2026, section II.B.2 : fourniture de données d'inventaires transparisés sur demande (investisseurs assurantiels). Commission forfaitaire de 3.000€ à la mise en place (mutualisée, non modélisée ici, cf. Reporting AIFM) + 500€ par reporting, modélisé ici. Ce même document précise "Non retenu par la société de gestion" — cohérent avec Actif = Non par défaut. À activer seulement si le fonds compte des investisseurs assujettis à Solvabilité II ET que Fundcraft souscrit effectivement cette option.</t>
  </si>
  <si>
    <t>Lignes libres : ajoutez un poste en renseignant une ligne "Actif = Non" existante (jusqu'à 20 postes disponibles), désactivez-en un en repassant "Actif" à Non plutôt qu'en effaçant la ligne.</t>
  </si>
  <si>
    <t>— COMMISSION DÉPOSITAIRE (BFCM) —</t>
  </si>
  <si>
    <t>Taux appliqué (%)</t>
  </si>
  <si>
    <t>Semestriel</t>
  </si>
  <si>
    <t>Annuel</t>
  </si>
  <si>
    <t>4. MONTANT ANNUEL ÉQUIVALENT AU BARÈME — CALCULÉ MOIS PAR MOIS, À L'AUM DE CE MOIS (§2)</t>
  </si>
  <si>
    <t>Rejoue le barème de chaque poste (01_Input §4) à l'AUM du mois concerné (§2) plutôt qu'à un AUM unique : le montant annuel équivalent d'un poste peut donc changer de mois en mois si l'AUM évolue (montée en charge, rachats...). Sert de base à la provision comptable (§5).</t>
  </si>
  <si>
    <t>Montant annuel équivalent →</t>
  </si>
  <si>
    <t>Montant théorique = Taux x AUM (€)</t>
  </si>
  <si>
    <t>Plancher annuel (€)</t>
  </si>
  <si>
    <t>06_DOCUMENTATION — Référence — méthode, hypothèses et sources détaillées (zéro impact sur le calcul)</t>
  </si>
  <si>
    <t>Les onglets de travail (01 à 05) restent volontairement épurés : cet onglet rassemble les explications détaillées (description, mode de calcul, méthode, sources) qui les auraient autrement encombrés. Rien ici n'est utilisé par une formule du classeur.</t>
  </si>
  <si>
    <t>01_INPUT — 4. FRAIS &amp; PROVISIONS DU FONDS</t>
  </si>
  <si>
    <t>Description</t>
  </si>
  <si>
    <t>Une ligne par frais ou provision du fonds (jusqu'à 5 tranches Forfait/Taux/Palier chacune). Forfait = montant fixe dès que l'AUM atteint la borne inférieure (plusieurs Forfait sur une même ligne se cumulent — utile pour un forfait de base + un montant variable par ailleurs, comme la Tenue du Passif). Taux = portion de l'AUM dans la tranche x taux, par palier d'imposition si plusieurs tranches Taux se suivent. Palier = montant fixe EXCLUSIF de la tranche atteinte (ne se cumule PAS avec les autres — ex. barème de Valorisation CIC par tranche d'actif). Le résultat est plafonné par le bas par le "Plancher annuel" ET par le haut par le "Plafond annuel". Le barème Forfait/Taux/Palier n'est utilisé que si "Mode de calcul" = "Barème" (colonne dédiée du tableau).</t>
  </si>
  <si>
    <t>Mode de calcul</t>
  </si>
  <si>
    <t>Par défaut "Barème (Forfait/Taux/Palier)" : utilise le barème de la ligne. Pour un fonds où un poste varie par classe de parts (ex. Openstone) : "Résiduel vs Gestion" = Cible Gestion+Conseil de la classe sélectionnée (01_Input §3B) x AUM − Commission de Gestion (sans son plancher) ; "Taux Classe sélectionnée" = Taux (ex. de Distribution) de la classe sélectionnée x AUM. Optionnel : ignorez si votre fonds n'a pas ce mécanisme (voir 02_Classes_de_Parts).</t>
  </si>
  <si>
    <t>Méthode</t>
  </si>
  <si>
    <t>Basculez "Actif" sur Non plutôt que de supprimer une ligne : 04_Recap s'ajuste automatiquement. Désactivez ou dupliquez une ligne pour représenter un frais propre à une classe de parts spécifique si nécessaire. Les postes à tranches multiples (Commission de Conseil, Délégataire Comptable) se paramètrent en 01_Input §3D plutôt que dans le tableau : les cases Valeur correspondantes y sont verrouillées et suivent automatiquement ces paramètres. Les 2 lignes de Distribution (mode "Taux Classe sélectionnée") suivent, de la même façon, 02_Classes_de_Parts.</t>
  </si>
  <si>
    <t>Source</t>
  </si>
  <si>
    <t>Prospectus Openstone Infraworld du 03/09/2026 (Article 27) ; grille tarifaire dépositaire BFCM - Fundcraft France du 01/03/2026 ; offre tarifaire valorisation/reporting CIC / SOC Asset Servicing du 25/03/2026 ; lettre de mission / e-mail du Commissaire aux Comptes (Maxime Gallet, Aplitec) du 11/09/2026.</t>
  </si>
  <si>
    <t>02_CLASSES_DE_PARTS</t>
  </si>
  <si>
    <t>Chaque classe porte ses propres taux de Commission de Distribution : "Distributeur Global" et "Sous-distributeurs" sont 2 étages distincts, à 2 bénéficiaires différents, mis à 0% l'un d'eux si votre fonds n'a qu'un seul étage (cas d'Openstone : Sous-distributeurs = 0% partout). La colonne "Distribuante ?" est un attribut structurel séparé (capitalisante vs distribuante) — sert notamment à activer le forfait CAC "par distribution" (01_Input) selon la classe testée, indépendamment du taux de rétrocession. Dans 01_Input, vous choisissez UNE classe — celle sur laquelle 04_Recap calcule le détail. Un poste en mode "Taux Classe sélectionnée" = Taux de cette classe x AUM. Le nombre de lignes renseignées (nom non vide) est aussi repris automatiquement en 01_Input §3C comme "Nombre de catégories de parts du fonds".</t>
  </si>
  <si>
    <t>Calcul "une classe à la fois" (pas de mix pondéré multi-classes) : plus simple à lire, à condition de relancer le calcul pour chaque classe qui vous intéresse en changeant la sélection en 01_Input. Reste valable même si le taux "Distributeur Global" porte, au Prospectus, sur une assiette combinant plusieurs classes (ex. Parts A+B) TANT QUE ce taux est identique pour toutes les classes concernées — sinon, le résultat dépend de la classe choisie dans le sélecteur, ce qui ne représente plus une répartition réelle multi-classes de l'AUM (limite structurelle de l'onglet, pas un point de saisie). Une ligne avec un nom de classe vide n'apparaît pas dans la liste déroulante du sélecteur (ni dans le décompte du nombre de catégories).</t>
  </si>
  <si>
    <t>Grille de frais transmise par Nadim ; Prospectus Openstone Infraworld du 03/09/2026, Article 27 (exemple vivant — à effacer/adapter pour un autre fonds). Structure à 2 étages (Distributeur Global / Sous-distributeurs) ajoutée suite à la revue du Prospectus AirFund Conviction Value Capital du 22/06/2026, Article 9.7. Colonne "Distribuante ?" ajoutée suite à la lettre de mission / e-mail du Commissaire aux Comptes (Maxime Gallet, Aplitec) du 11/09/2026.</t>
  </si>
  <si>
    <t>03_DETAIL_DEPOSITAIRE_VALO</t>
  </si>
  <si>
    <t>Deux mécanismes rendent ces postes moins lisibles qu'un simple taux : le Dépositaire a un plancher ET un plafond annuels (le taux plein ne s'applique qu'entre les deux) ; la Valorisation dépend de la tranche d'actif atteinte (barème "Palier", exclusif), de la fréquence de VL choisie, d'une majoration selon le nombre de catégories de parts, et d'un supplément si le portefeuille dépasse 10 lignes.</t>
  </si>
  <si>
    <t>Les paramètres actifs (taux, plancher, plafond, fréquence VL, majoration...) sont rappelés une seule fois en tête de l'onglet. Le tableau plus bas répète ensuite le calcul complet sur toute l'échelle d'AUM testée en 01_Input (mêmes colonnes que 04_Recap), pour voir à quel niveau d'actif chaque mécanisme prend le relais. Les lignes "Écart vs 04_Recap" doivent toujours afficher 0 : elles prouvent que ce détail correspond exactement au calcul de 04_Recap.</t>
  </si>
  <si>
    <t>Grille tarifaire dépositaire BFCM - Fundcraft France du 01/03/2026 ; offre tarifaire valorisation/reporting CIC / SOC Asset Servicing du 25/03/2026.</t>
  </si>
  <si>
    <t>05_TRESORERIE — FRAIS DE CONSTITUTION</t>
  </si>
  <si>
    <t>Principe</t>
  </si>
  <si>
    <t>Les Frais de Constitution sont actifs par défaut (60.000€, Article 27.1 : MAX(60.000€, 1,25% Actif Net au 1er anniversaire)), amortis mensuellement jusqu'à la fin de l'exercice comptable 1. Indication du CAC : l'amortissement sur 5 exercices n'est pas autorisé — plus de lissage au-delà de l'exercice qui contient le 1er anniversaire du fonds.</t>
  </si>
  <si>
    <t>Ré-amortissement dynamique</t>
  </si>
  <si>
    <t>Dès qu'une facture réelle (avec sa Date de facturation) est saisie dans le tableau de suivi, elle est déduite du montant cible de la fenêtre en cours (60.000€ pour l'exercice 1, complément éventuel pour l'exercice de l'anniversaire) ; le solde restant est ré-étalé automatiquement, à parts égales, sur les mois restants de cette fenêtre — recalculé mois par mois à chaque nouvelle facture saisie, jusqu'à absorber tout le solde au dernier mois de la fenêtre. La vue cash reste pilotée séparément par la Date de paiement de chaque facture (décision du 11/09/2026).</t>
  </si>
  <si>
    <t>Date</t>
  </si>
  <si>
    <t>Jour férié (France métropolitaine)</t>
  </si>
  <si>
    <t>Jour de l'An</t>
  </si>
  <si>
    <t>Lundi de Pâques</t>
  </si>
  <si>
    <t>Fête du Travail</t>
  </si>
  <si>
    <t>Victoire 1945</t>
  </si>
  <si>
    <t>Ascension</t>
  </si>
  <si>
    <t>Lundi de Pentecôte</t>
  </si>
  <si>
    <t>Fête Nationale</t>
  </si>
  <si>
    <t>Assomption</t>
  </si>
  <si>
    <t>Toussaint</t>
  </si>
  <si>
    <t>Armistice</t>
  </si>
  <si>
    <t>Noël</t>
  </si>
  <si>
    <t>Plafond annuel (€)</t>
  </si>
  <si>
    <t>04_RÉCAP — Zéro saisie manuelle — tout provient de 01_Input (et 02_Classes_de_Parts si utilisé)</t>
  </si>
  <si>
    <t>Une ligne par frais/provision, une colonne par niveau d'Actif Net (repris de l'échelle définie en 01_Input) — pour lire d'un coup d'œil comment chaque poste évolue avec la taille du fonds. Les postes en mode "Résiduel vs Gestion" ou "Taux Classe sélectionnée" (01_Input) reflètent la classe de parts choisie en 01_Input §3B. Détail pas-à-pas des postes Dépositaire et Valorisation : voir 03_Detail_Depositaire_Valo.</t>
  </si>
  <si>
    <t>Fonds testé :</t>
  </si>
  <si>
    <t>Classe testée (si applicable) :</t>
  </si>
  <si>
    <t>Mécanisme retenu</t>
  </si>
  <si>
    <t>→ Commission Dépositaire retenue (€)</t>
  </si>
  <si>
    <t>Écart vs 04_Recap (doit être 0)</t>
  </si>
  <si>
    <t>— VALORISATION (CIC) —</t>
  </si>
  <si>
    <t>Tranche d'actif atteinte</t>
  </si>
  <si>
    <t>Montant de la tranche (majoration incluse) (€)</t>
  </si>
  <si>
    <t>Majoration appliquée (%)</t>
  </si>
  <si>
    <t>Supplément lignes (€)</t>
  </si>
  <si>
    <t>→ Valorisation (CIC) retenue (€)</t>
  </si>
  <si>
    <t>5. VUE COMPTABLE — PROVISIONS MENSUELLES (charge lissée à l'AUM de chaque mois, proratisée en jours sur le mois de lancement — sauf Finologee, voir ci-dessous)</t>
  </si>
  <si>
    <t>Provision comptable →</t>
  </si>
  <si>
    <t>Frais de Constitution (provision, voir §8)</t>
  </si>
  <si>
    <t>TOTAL COMPTABLE (€)</t>
  </si>
  <si>
    <t>6. FACTURATION — ÉCHÉANCES PAR POSTE (= somme des provisions §5 accumulées depuis la précédente échéance — intermédiaire, sert à construire la vue Cash §7 — repliable)</t>
  </si>
  <si>
    <t>Une facture est émise le mois de fin de période calendaire (mensuelle/trimestrielle : mars, juin, sept., déc. / semestrielle : juin, déc. / annuelle : déc.), pour un montant égal à la SOMME des provisions comptables (§5) du mois de la précédente échéance (exclu) au mois courant (inclus) — et non plus un taux figé x nombre de mois : la facturation reprend ainsi exactement ce qui a été provisionné, y compris le prorata du premier mois et les variations d'AUM d'un mois sur l'autre. Exception : le forfait CAC "par distribution" facture 1 mois après chaque distribution plutôt qu'en fin de période calendaire (sauf la dernière distribution de l'année, facturée en décembre sans décalage) — ex. distributions semestrielles = factures en juillet et décembre.</t>
  </si>
  <si>
    <t>Facturation émise →</t>
  </si>
  <si>
    <t>TOTAL FACTURÉ (€)</t>
  </si>
  <si>
    <t>7. VUE CASH — DÉCAISSEMENTS MENSUELS (facture émise en fin de période, payée le mois suivant — même règle quelle que soit la fréquence)</t>
  </si>
  <si>
    <t>Décaissement →</t>
  </si>
  <si>
    <t>Frais de Constitution (cash, voir §8)</t>
  </si>
  <si>
    <t>TOTAL CASH (€)</t>
  </si>
  <si>
    <t>8. FRAIS DE CONSTITUTION — ACTIF PAR DÉFAUT, CALENDRIER RÉGLEMENTAIRE ET SUIVI RÉEL</t>
  </si>
  <si>
    <t>Ce poste est ACTIF PAR DÉFAUT (60.000€, MAX(Plancher, Taux x Actif Net au 1er anniversaire) — 01_Input §3) : les 60.000€ (Plancher_Constitution) sont obligatoirement provisionnés sur le 1er exercice comptable, quoi qu'il arrive, sans aucune action de votre part. Au 1er anniversaire du fonds, le montant réellement dû est comparé à ces 60.000€ : le complément éventuel est provisionné sur l'exercice qui contient cet anniversaire — sans lissage au-delà (indication du CAC : l'amortissement sur 5 exercices n'est pas autorisé). RÉ-AMORTISSEMENT BIDIRECTIONNEL (décision du 14/09/2026) : ajoutez vos factures réelles au fur et à mesure ci-dessous, avec leur Date de facturation. Un mois qui a une facture réellement datée est provisionné pour le montant exact de cette facture (plus de lissage théorique ce mois-là) ; le solde de la cible qui n'est PAS ENCORE facturé est réparti à parts égales sur les mois qui n'ont pas encore de facture — recalculé automatiquement à chaque facture ajoutée, à la hausse comme à la baisse. La somme provisionnée sur la fenêtre (exercice 1, puis complément le cas échéant) reste TOUJOURS égale à la cible, quel que soit le rythme réel de facturation. LA VUE CASH EST DÉRIVÉE DE LA DATE DE FACTURATION (comme le reste de cet onglet, décalage d'1 mois) plutôt que d'une saisie séparée : dès qu'une facture a une Date de facturation, elle se décaisse le mois suivant — sauf si vous renseignez une Date de paiement réelle différente, qui prévaut alors (décision du 11/09/2026 : la vue cash ne peut pas rester indépendante de la facturation).</t>
  </si>
  <si>
    <t>Exercice</t>
  </si>
  <si>
    <t>Début</t>
  </si>
  <si>
    <t>Fin</t>
  </si>
  <si>
    <t>Nb mois</t>
  </si>
  <si>
    <t>Exercice 1 (1er, partiel)</t>
  </si>
  <si>
    <t>Exercice 2</t>
  </si>
  <si>
    <t>Exercice 3</t>
  </si>
  <si>
    <t>Exercice 4</t>
  </si>
  <si>
    <t>Exercice 5</t>
  </si>
  <si>
    <t>→ 1er anniversaire du fonds (calculé)</t>
  </si>
  <si>
    <t>→ Exercice contenant l'anniversaire — début / fin (calculé)</t>
  </si>
  <si>
    <t>→ Nombre de mois de cet exercice (calculé)</t>
  </si>
  <si>
    <t>→ Montant total dû au Prospectus (MAX(Plancher, Taux x Actif Net An1)) (calculé)</t>
  </si>
  <si>
    <t>→ Montant reconnu sur l'Exercice 1 (calculé)</t>
  </si>
  <si>
    <t>→ Complément facturé sur l'exercice de l'anniversaire (calculé)</t>
  </si>
  <si>
    <t>SUIVI DES FRAIS DE CONSTITUTION RÉELLEMENT ENGAGÉS</t>
  </si>
  <si>
    <t>Renseignez ici chaque facture réelle reçue (avocat, dépositaire, AMF...). La Date de facturation pilote le ré-amortissement de la provision comptable ci-dessous : dès qu'elle est renseignée, son Montant est déduit du solde restant à amortir, recalculé sur les mois restants — ET pilote désormais aussi la vue cash (colonne "Date de paiement effective" ci-contre, calculée) : décaissée par défaut le mois suivant la Date de facturation, comme le reste de cet onglet. Ne renseignez la Date de paiement que si le règlement réel diffère de cette hypothèse par défaut (délai de paiement plus long, paiement le mois même...) — elle prévaut alors sur le décalage d'1 mois automatique. ⚠ Si le Dépositaire vous facture ses propres frais de mise en place/admission Euroclear, saisissez-les ICI et gardez les lignes correspondantes de 01_Input ("Dépositaire — Forfait liquidation", "Dépositaire — Admission Euroclear") en Actif = Non, pour ne pas les compter deux fois.</t>
  </si>
  <si>
    <t>Type de frais</t>
  </si>
  <si>
    <t>Montant (€)</t>
  </si>
  <si>
    <t>Date de
facturation</t>
  </si>
  <si>
    <t>Date de
paiement
(optionnel)</t>
  </si>
  <si>
    <t>Date de paiement
effective (calculée)</t>
  </si>
  <si>
    <t>Fundcraft</t>
  </si>
  <si>
    <t>Set up cost BFCM</t>
  </si>
  <si>
    <t>Avocate</t>
  </si>
  <si>
    <t>TOTAL réel engagé (€)</t>
  </si>
  <si>
    <t>→ Reste dans la poche sur le forfait Année 1 (60.000€ − total réel) (calculé)</t>
  </si>
  <si>
    <t>Frais Constitution — calendrier →</t>
  </si>
  <si>
    <t>→ Une facture réelle est-elle datée ce mois-ci ? (calculé, aide au calcul ci-dessous)</t>
  </si>
  <si>
    <t>→ Montant réel facturé ce mois-ci, le cas échéant (calculé, aide au calcul ci-dessous)</t>
  </si>
  <si>
    <t>→ Nombre de mois déjà facturés (réel) sur l'Exercice 1 (calculé)</t>
  </si>
  <si>
    <t>→ Montant déjà facturé (réel) sur l'Exercice 1 (calculé)</t>
  </si>
  <si>
    <t>→ Nombre de mois déjà facturés (réel) sur l'exercice de l'anniversaire (calculé)</t>
  </si>
  <si>
    <t>→ Montant déjà facturé (réel) sur l'exercice de l'anniversaire (calculé)</t>
  </si>
  <si>
    <t>Provision mensuelle (mois déjà facturé réellement = montant réel ; sinon, solde de la cible non encore facturé, réparti sur les mois pas-encore-facturés — recalculé à chaque nouvelle facture saisie ; alimente la vue comptable §5 uniquement)</t>
  </si>
  <si>
    <t>Vue cash réelle (détail par Date de paiement effective, colonne F du tableau de suivi ci-dessus) — remplace l'hypothèse "cash = comptable" pour cette ligne : chaque facture est décaissée le mois de sa Date de paiement effective (Date de paiement si renseignée, sinon Date de facturation + 1 mois). Alimente §7 (recopie ci-dessous). Une facture sans Date de facturation ne contribue à aucun mois (Date de paiement effective vide).</t>
  </si>
  <si>
    <t>Frais Constitution — cash réel →</t>
  </si>
  <si>
    <t>Décaissement réel (somme des factures par Date de paiement effective)</t>
  </si>
  <si>
    <t>TOTAL (€)</t>
  </si>
  <si>
    <t>TOTAL (% AUM)</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</si>
</sst>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
    <numFmt numFmtId="165" formatCode="#,##0&quot; €&quot;;\(#,##0&quot; €)&quot;;\-"/>
    <numFmt numFmtId="166" formatCode="[&gt;=999999999999]\∞;[&lt;0]#,##0&quot; €&quot;;\-"/>
    <numFmt numFmtId="167" formatCode="#,##0.00&quot; €&quot;;\(#,##0.00&quot; €)&quot;;\-"/>
    <numFmt numFmtId="168" formatCode="dd/mm/yyyy"/>
    <numFmt numFmtId="169" formatCode="mmm\-yy"/>
    <numFmt numFmtId="170" formatCode="mm/dd/yyyy"/>
  </numFmts>
  <fonts count="25">
    <font>
      <sz val="11.0"/>
      <color theme="1"/>
      <name val="Calibri"/>
      <scheme val="minor"/>
    </font>
    <font>
      <b/>
      <sz val="14.0"/>
      <color rgb="FF1A2027"/>
      <name val="Arial"/>
    </font>
    <font>
      <i/>
      <sz val="10.0"/>
      <color rgb="FF404040"/>
      <name val="Arial"/>
    </font>
    <font>
      <b/>
      <sz val="12.0"/>
      <color rgb="FF14595A"/>
      <name val="Arial"/>
    </font>
    <font>
      <sz val="10.0"/>
      <color rgb="FF404040"/>
      <name val="Arial"/>
    </font>
    <font>
      <b/>
      <sz val="9.0"/>
      <color theme="1"/>
      <name val="Arial"/>
    </font>
    <font>
      <i/>
      <sz val="9.0"/>
      <color rgb="FF1A2027"/>
      <name val="Arial"/>
    </font>
    <font>
      <sz val="10.0"/>
      <color rgb="FF14595A"/>
      <name val="Arial"/>
    </font>
    <font/>
    <font>
      <i/>
      <sz val="10.0"/>
      <color rgb="FF5B6472"/>
      <name val="Arial"/>
    </font>
    <font>
      <b/>
      <sz val="10.0"/>
      <color rgb="FFFFFFFF"/>
      <name val="Arial"/>
    </font>
    <font>
      <b/>
      <sz val="11.0"/>
      <color rgb="FFFFFFFF"/>
      <name val="Arial"/>
    </font>
    <font>
      <i/>
      <sz val="9.0"/>
      <color rgb="FF842029"/>
      <name val="Arial"/>
    </font>
    <font>
      <sz val="11.0"/>
      <color theme="1"/>
      <name val="Calibri"/>
    </font>
    <font>
      <b/>
      <i/>
      <sz val="9.0"/>
      <color rgb="FF1A2027"/>
      <name val="Arial"/>
    </font>
    <font>
      <i/>
      <sz val="9.0"/>
      <color rgb="FF7F7F7F"/>
      <name val="Arial"/>
    </font>
    <font>
      <sz val="10.0"/>
      <color rgb="FF000000"/>
      <name val="Arial"/>
    </font>
    <font>
      <sz val="10.0"/>
      <color rgb="FF6B8F1A"/>
      <name val="Arial"/>
    </font>
    <font>
      <b/>
      <sz val="9.0"/>
      <color rgb="FFFFFFFF"/>
      <name val="Arial"/>
    </font>
    <font>
      <b/>
      <sz val="9.0"/>
      <color rgb="FF1A2027"/>
      <name val="Arial"/>
    </font>
    <font>
      <sz val="9.0"/>
      <color rgb="FF000000"/>
      <name val="Arial"/>
    </font>
    <font>
      <sz val="9.0"/>
      <color rgb="FF404040"/>
      <name val="Arial"/>
    </font>
    <font>
      <b/>
      <sz val="10.0"/>
      <color theme="1"/>
      <name val="Arial"/>
    </font>
    <font>
      <i/>
      <sz val="9.0"/>
      <color rgb="FF000000"/>
      <name val="Arial"/>
    </font>
    <font>
      <i/>
      <sz val="10.0"/>
      <color theme="1"/>
      <name val="Arial"/>
    </font>
  </fonts>
  <fills count="10">
    <fill>
      <patternFill patternType="none"/>
    </fill>
    <fill>
      <patternFill patternType="lightGray"/>
    </fill>
    <fill>
      <patternFill patternType="solid">
        <fgColor rgb="FFD9F785"/>
        <bgColor rgb="FFD9F785"/>
      </patternFill>
    </fill>
    <fill>
      <patternFill patternType="solid">
        <fgColor rgb="FFF4FDDA"/>
        <bgColor rgb="FFF4FDDA"/>
      </patternFill>
    </fill>
    <fill>
      <patternFill patternType="solid">
        <fgColor rgb="FFE4E7EB"/>
        <bgColor rgb="FFE4E7EB"/>
      </patternFill>
    </fill>
    <fill>
      <patternFill patternType="solid">
        <fgColor rgb="FF218E8E"/>
        <bgColor rgb="FF218E8E"/>
      </patternFill>
    </fill>
    <fill>
      <patternFill patternType="solid">
        <fgColor rgb="FF1A2027"/>
        <bgColor rgb="FF1A2027"/>
      </patternFill>
    </fill>
    <fill>
      <patternFill patternType="solid">
        <fgColor rgb="FFF8D7DA"/>
        <bgColor rgb="FFF8D7DA"/>
      </patternFill>
    </fill>
    <fill>
      <patternFill patternType="solid">
        <fgColor rgb="FFF2F4F7"/>
        <bgColor rgb="FFF2F4F7"/>
      </patternFill>
    </fill>
    <fill>
      <patternFill patternType="solid">
        <fgColor rgb="FFDCEEEE"/>
        <bgColor rgb="FFDCEEEE"/>
      </patternFill>
    </fill>
  </fills>
  <borders count="17">
    <border/>
    <border>
      <left/>
      <top/>
      <bottom/>
    </border>
    <border>
      <top/>
      <bottom/>
    </border>
    <border>
      <right/>
      <top/>
      <bottom/>
    </border>
    <border>
      <left style="thin">
        <color rgb="FFC7CDD4"/>
      </left>
      <right style="thin">
        <color rgb="FFC7CDD4"/>
      </right>
      <top style="thin">
        <color rgb="FFC7CDD4"/>
      </top>
      <bottom style="thin">
        <color rgb="FFC7CDD4"/>
      </bottom>
    </border>
    <border>
      <left/>
      <right/>
      <top/>
      <bottom/>
    </border>
    <border>
      <left/>
      <top/>
    </border>
    <border>
      <top/>
    </border>
    <border>
      <right/>
      <top/>
    </border>
    <border>
      <left/>
    </border>
    <border>
      <right/>
    </border>
    <border>
      <left/>
      <bottom/>
    </border>
    <border>
      <bottom/>
    </border>
    <border>
      <right/>
      <bottom/>
    </border>
    <border>
      <left style="thin">
        <color rgb="FFC7CDD4"/>
      </left>
      <top style="thin">
        <color rgb="FFC7CDD4"/>
      </top>
      <bottom style="thin">
        <color rgb="FFC7CDD4"/>
      </bottom>
    </border>
    <border>
      <top style="thin">
        <color rgb="FFC7CDD4"/>
      </top>
      <bottom style="thin">
        <color rgb="FFC7CDD4"/>
      </bottom>
    </border>
    <border>
      <right style="thin">
        <color rgb="FFC7CDD4"/>
      </right>
      <top style="thin">
        <color rgb="FFC7CDD4"/>
      </top>
      <bottom style="thin">
        <color rgb="FFC7CDD4"/>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1"/>
    </xf>
    <xf borderId="0" fillId="0" fontId="3" numFmtId="0" xfId="0" applyAlignment="1" applyFont="1">
      <alignment shrinkToFit="0" vertical="bottom" wrapText="0"/>
    </xf>
    <xf borderId="0" fillId="0" fontId="4" numFmtId="0" xfId="0" applyAlignment="1" applyFont="1">
      <alignment shrinkToFit="0" vertical="top" wrapText="1"/>
    </xf>
    <xf borderId="0" fillId="0" fontId="5" numFmtId="0" xfId="0" applyAlignment="1" applyFont="1">
      <alignment shrinkToFit="0" vertical="bottom" wrapText="0"/>
    </xf>
    <xf borderId="1" fillId="2" fontId="6" numFmtId="0" xfId="0" applyAlignment="1" applyBorder="1" applyFill="1" applyFont="1">
      <alignment shrinkToFit="0" vertical="top" wrapText="1"/>
    </xf>
    <xf borderId="2" fillId="0" fontId="8" numFmtId="0" xfId="0" applyBorder="1" applyFont="1"/>
    <xf borderId="1" fillId="3" fontId="7" numFmtId="0" xfId="0" applyAlignment="1" applyBorder="1" applyFill="1" applyFont="1">
      <alignment shrinkToFit="0" vertical="bottom" wrapText="0"/>
    </xf>
    <xf borderId="3" fillId="0" fontId="8" numFmtId="0" xfId="0" applyBorder="1" applyFont="1"/>
    <xf borderId="1" fillId="4" fontId="9" numFmtId="0" xfId="0" applyAlignment="1" applyBorder="1" applyFill="1" applyFont="1">
      <alignment shrinkToFit="0" vertical="bottom" wrapText="0"/>
    </xf>
    <xf borderId="4" fillId="5" fontId="10" numFmtId="0" xfId="0" applyAlignment="1" applyBorder="1" applyFill="1" applyFont="1">
      <alignment horizontal="center" shrinkToFit="0" vertical="center" wrapText="1"/>
    </xf>
    <xf borderId="5" fillId="6" fontId="11" numFmtId="0" xfId="0" applyAlignment="1" applyBorder="1" applyFill="1" applyFont="1">
      <alignment shrinkToFit="0" vertical="bottom" wrapText="0"/>
    </xf>
    <xf borderId="1" fillId="7" fontId="12" numFmtId="0" xfId="0" applyAlignment="1" applyBorder="1" applyFill="1" applyFont="1">
      <alignment shrinkToFit="0" vertical="bottom" wrapText="0"/>
    </xf>
    <xf borderId="4" fillId="3" fontId="7" numFmtId="0" xfId="0" applyAlignment="1" applyBorder="1" applyFill="1" applyFont="1">
      <alignment readingOrder="0" shrinkToFit="0" vertical="bottom" wrapText="0"/>
    </xf>
    <xf borderId="5" fillId="3" fontId="7" numFmtId="0" xfId="0" applyAlignment="1" applyBorder="1" applyFill="1" applyFont="1">
      <alignment shrinkToFit="0" vertical="bottom" wrapText="0"/>
    </xf>
    <xf borderId="5" fillId="5" fontId="10" numFmtId="0" xfId="0" applyAlignment="1" applyBorder="1" applyFill="1" applyFont="1">
      <alignment horizontal="center" shrinkToFit="0" vertical="bottom" wrapText="0"/>
    </xf>
    <xf borderId="0" fillId="0" fontId="13" numFmtId="0" xfId="0" applyAlignment="1" applyFont="1">
      <alignment shrinkToFit="0" vertical="center" wrapText="0"/>
    </xf>
    <xf borderId="4" fillId="3" fontId="7" numFmtId="164" xfId="0" applyAlignment="1" applyBorder="1" applyFill="1" applyFont="1" applyNumberFormat="1">
      <alignment readingOrder="0" shrinkToFit="0" vertical="bottom" wrapText="0"/>
    </xf>
    <xf borderId="0" fillId="0" fontId="14" numFmtId="0" xfId="0" applyAlignment="1" applyFont="1">
      <alignment shrinkToFit="0" vertical="bottom" wrapText="0"/>
    </xf>
    <xf borderId="0" fillId="0" fontId="15" numFmtId="0" xfId="0" applyAlignment="1" applyFont="1">
      <alignment horizontal="center" shrinkToFit="0" vertical="bottom" wrapText="0"/>
    </xf>
    <xf borderId="5" fillId="4" fontId="9" numFmtId="0" xfId="0" applyAlignment="1" applyBorder="1" applyFill="1" applyFont="1">
      <alignment shrinkToFit="0" vertical="bottom" wrapText="0"/>
    </xf>
    <xf borderId="5" fillId="7" fontId="12" numFmtId="0" xfId="0" applyAlignment="1" applyBorder="1" applyFill="1" applyFont="1">
      <alignment shrinkToFit="0" vertical="bottom" wrapText="0"/>
    </xf>
    <xf borderId="4" fillId="3" fontId="7" numFmtId="0" xfId="0" applyAlignment="1" applyBorder="1" applyFill="1" applyFont="1">
      <alignment horizontal="center" shrinkToFit="0" vertical="bottom" wrapText="0"/>
    </xf>
    <xf borderId="4" fillId="3" fontId="7" numFmtId="0" xfId="0" applyAlignment="1" applyBorder="1" applyFill="1" applyFont="1">
      <alignment shrinkToFit="0" vertical="top" wrapText="1"/>
    </xf>
    <xf borderId="0" fillId="0" fontId="16" numFmtId="165" xfId="0" applyAlignment="1" applyFont="1" applyNumberFormat="1">
      <alignment shrinkToFit="0" vertical="bottom" wrapText="0"/>
    </xf>
    <xf borderId="0" fillId="0" fontId="17" numFmtId="164" xfId="0" applyAlignment="1" applyFont="1" applyNumberFormat="1">
      <alignment shrinkToFit="0" vertical="bottom" wrapText="0"/>
    </xf>
    <xf borderId="0" fillId="0" fontId="13" numFmtId="0" xfId="0" applyAlignment="1" applyFont="1">
      <alignment shrinkToFit="0" vertical="center" wrapText="1"/>
    </xf>
    <xf borderId="4" fillId="3" fontId="7" numFmtId="0" xfId="0" applyAlignment="1" applyBorder="1" applyFill="1" applyFont="1">
      <alignment shrinkToFit="0" vertical="bottom" wrapText="0"/>
    </xf>
    <xf borderId="4" fillId="3" fontId="7" numFmtId="164" xfId="0" applyAlignment="1" applyBorder="1" applyFill="1" applyFont="1" applyNumberFormat="1">
      <alignment shrinkToFit="0" vertical="bottom" wrapText="0"/>
    </xf>
    <xf borderId="0" fillId="0" fontId="17" numFmtId="165" xfId="0" applyAlignment="1" applyFont="1" applyNumberFormat="1">
      <alignment shrinkToFit="0" vertical="bottom" wrapText="0"/>
    </xf>
    <xf borderId="0" fillId="0" fontId="17" numFmtId="166" xfId="0" applyAlignment="1" applyFont="1" applyNumberFormat="1">
      <alignment shrinkToFit="0" vertical="bottom" wrapText="0"/>
    </xf>
    <xf borderId="6" fillId="2" fontId="6" numFmtId="0" xfId="0" applyAlignment="1" applyBorder="1" applyFill="1" applyFont="1">
      <alignment shrinkToFit="0" vertical="top" wrapText="1"/>
    </xf>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0" fillId="0" fontId="17" numFmtId="0" xfId="0" applyAlignment="1" applyFont="1">
      <alignment shrinkToFit="0" vertical="bottom" wrapText="0"/>
    </xf>
    <xf borderId="4" fillId="3" fontId="7" numFmtId="165" xfId="0" applyAlignment="1" applyBorder="1" applyFill="1" applyFont="1" applyNumberFormat="1">
      <alignment readingOrder="0" shrinkToFit="0" vertical="bottom" wrapText="0"/>
    </xf>
    <xf borderId="0" fillId="0" fontId="17" numFmtId="1" xfId="0" applyAlignment="1" applyFont="1" applyNumberFormat="1">
      <alignment shrinkToFit="0" vertical="bottom" wrapText="0"/>
    </xf>
    <xf borderId="4" fillId="3" fontId="7" numFmtId="165" xfId="0" applyAlignment="1" applyBorder="1" applyFill="1" applyFont="1" applyNumberFormat="1">
      <alignment shrinkToFit="0" vertical="bottom" wrapText="0"/>
    </xf>
    <xf borderId="0" fillId="0" fontId="15" numFmtId="0" xfId="0" applyAlignment="1" applyFont="1">
      <alignment shrinkToFit="0" vertical="bottom" wrapText="0"/>
    </xf>
    <xf borderId="0" fillId="0" fontId="16" numFmtId="0" xfId="0" applyAlignment="1" applyFont="1">
      <alignment shrinkToFit="0" vertical="bottom" wrapText="0"/>
    </xf>
    <xf borderId="0" fillId="0" fontId="17" numFmtId="10" xfId="0" applyAlignment="1" applyFont="1" applyNumberFormat="1">
      <alignment shrinkToFit="0" vertical="bottom" wrapText="0"/>
    </xf>
    <xf borderId="4" fillId="4" fontId="9" numFmtId="167" xfId="0" applyAlignment="1" applyBorder="1" applyFill="1" applyFont="1" applyNumberFormat="1">
      <alignment shrinkToFit="0" vertical="bottom" wrapText="0"/>
    </xf>
    <xf borderId="5" fillId="5" fontId="18" numFmtId="165" xfId="0" applyAlignment="1" applyBorder="1" applyFill="1" applyFont="1" applyNumberFormat="1">
      <alignment horizontal="center" shrinkToFit="0" vertical="bottom" wrapText="0"/>
    </xf>
    <xf borderId="4" fillId="3" fontId="7" numFmtId="167" xfId="0" applyAlignment="1" applyBorder="1" applyFill="1" applyFont="1" applyNumberFormat="1">
      <alignment shrinkToFit="0" vertical="bottom" wrapText="0"/>
    </xf>
    <xf borderId="0" fillId="0" fontId="15" numFmtId="0" xfId="0" applyAlignment="1" applyFont="1">
      <alignment shrinkToFit="0" vertical="center" wrapText="1"/>
    </xf>
    <xf borderId="0" fillId="0" fontId="17" numFmtId="0" xfId="0" applyAlignment="1" applyFont="1">
      <alignment horizontal="center" shrinkToFit="0" vertical="bottom" wrapText="0"/>
    </xf>
    <xf borderId="0" fillId="0" fontId="15" numFmtId="0" xfId="0" applyAlignment="1" applyFont="1">
      <alignment shrinkToFit="0" vertical="top" wrapText="1"/>
    </xf>
    <xf borderId="14" fillId="5" fontId="10" numFmtId="0" xfId="0" applyAlignment="1" applyBorder="1" applyFill="1" applyFont="1">
      <alignment horizontal="center" shrinkToFit="0" vertical="center" wrapText="1"/>
    </xf>
    <xf borderId="15" fillId="0" fontId="8" numFmtId="0" xfId="0" applyBorder="1" applyFont="1"/>
    <xf borderId="16" fillId="0" fontId="8" numFmtId="0" xfId="0" applyBorder="1" applyFont="1"/>
    <xf borderId="0" fillId="0" fontId="16" numFmtId="0" xfId="0" applyAlignment="1" applyFont="1">
      <alignment shrinkToFit="0" vertical="center" wrapText="0"/>
    </xf>
    <xf borderId="4" fillId="3" fontId="7" numFmtId="168" xfId="0" applyAlignment="1" applyBorder="1" applyFill="1" applyFont="1" applyNumberFormat="1">
      <alignment readingOrder="0" shrinkToFit="0" vertical="bottom" wrapText="0"/>
    </xf>
    <xf borderId="4" fillId="3" fontId="7" numFmtId="168" xfId="0" applyAlignment="1" applyBorder="1" applyFill="1" applyFont="1" applyNumberFormat="1">
      <alignment shrinkToFit="0" vertical="bottom" wrapText="0"/>
    </xf>
    <xf borderId="4" fillId="3" fontId="7" numFmtId="166" xfId="0" applyAlignment="1" applyBorder="1" applyFill="1" applyFont="1" applyNumberFormat="1">
      <alignment shrinkToFit="0" vertical="bottom" wrapText="0"/>
    </xf>
    <xf borderId="4" fillId="3" fontId="7" numFmtId="1" xfId="0" applyAlignment="1" applyBorder="1" applyFill="1" applyFont="1" applyNumberFormat="1">
      <alignment shrinkToFit="0" vertical="bottom" wrapText="0"/>
    </xf>
    <xf borderId="0" fillId="0" fontId="17" numFmtId="168" xfId="0" applyAlignment="1" applyFont="1" applyNumberFormat="1">
      <alignment shrinkToFit="0" vertical="bottom" wrapText="0"/>
    </xf>
    <xf borderId="4" fillId="4" fontId="9" numFmtId="166" xfId="0" applyAlignment="1" applyBorder="1" applyFill="1" applyFont="1" applyNumberFormat="1">
      <alignment shrinkToFit="0" vertical="bottom" wrapText="0"/>
    </xf>
    <xf borderId="4" fillId="4" fontId="9" numFmtId="164" xfId="0" applyAlignment="1" applyBorder="1" applyFill="1" applyFont="1" applyNumberFormat="1">
      <alignment shrinkToFit="0" vertical="bottom" wrapText="0"/>
    </xf>
    <xf borderId="4" fillId="4" fontId="9" numFmtId="165" xfId="0" applyAlignment="1" applyBorder="1" applyFill="1" applyFont="1" applyNumberFormat="1">
      <alignment shrinkToFit="0" vertical="bottom" wrapText="0"/>
    </xf>
    <xf borderId="5" fillId="5" fontId="18" numFmtId="0" xfId="0" applyAlignment="1" applyBorder="1" applyFill="1" applyFont="1">
      <alignment shrinkToFit="0" vertical="bottom" wrapText="0"/>
    </xf>
    <xf borderId="5" fillId="5" fontId="18" numFmtId="169" xfId="0" applyAlignment="1" applyBorder="1" applyFill="1" applyFont="1" applyNumberFormat="1">
      <alignment horizontal="center" shrinkToFit="0" vertical="bottom" wrapText="0"/>
    </xf>
    <xf borderId="4" fillId="4" fontId="9" numFmtId="0" xfId="0" applyAlignment="1" applyBorder="1" applyFill="1" applyFont="1">
      <alignment shrinkToFit="0" vertical="bottom" wrapText="0"/>
    </xf>
    <xf borderId="5" fillId="8" fontId="17" numFmtId="0" xfId="0" applyAlignment="1" applyBorder="1" applyFill="1" applyFont="1">
      <alignment shrinkToFit="0" vertical="bottom" wrapText="0"/>
    </xf>
    <xf borderId="4" fillId="8" fontId="7" numFmtId="0" xfId="0" applyAlignment="1" applyBorder="1" applyFill="1" applyFont="1">
      <alignment shrinkToFit="0" vertical="bottom" wrapText="0"/>
    </xf>
    <xf borderId="0" fillId="0" fontId="19" numFmtId="0" xfId="0" applyAlignment="1" applyFont="1">
      <alignment shrinkToFit="0" vertical="bottom" wrapText="0"/>
    </xf>
    <xf borderId="0" fillId="0" fontId="20" numFmtId="0" xfId="0" applyAlignment="1" applyFont="1">
      <alignment shrinkToFit="0" vertical="bottom" wrapText="0"/>
    </xf>
    <xf borderId="0" fillId="0" fontId="16" numFmtId="164" xfId="0" applyAlignment="1" applyFont="1" applyNumberFormat="1">
      <alignment shrinkToFit="0" vertical="bottom" wrapText="0"/>
    </xf>
    <xf borderId="0" fillId="0" fontId="19" numFmtId="0" xfId="0" applyAlignment="1" applyFont="1">
      <alignment shrinkToFit="0" vertical="top" wrapText="1"/>
    </xf>
    <xf borderId="0" fillId="0" fontId="21" numFmtId="0" xfId="0" applyAlignment="1" applyFont="1">
      <alignment shrinkToFit="0" vertical="top" wrapText="1"/>
    </xf>
    <xf borderId="0" fillId="0" fontId="10" numFmtId="0" xfId="0" applyAlignment="1" applyFont="1">
      <alignment shrinkToFit="0" vertical="bottom" wrapText="0"/>
    </xf>
    <xf borderId="0" fillId="0" fontId="13" numFmtId="168" xfId="0" applyAlignment="1" applyFont="1" applyNumberFormat="1">
      <alignment shrinkToFit="0" vertical="bottom" wrapText="0"/>
    </xf>
    <xf borderId="0" fillId="0" fontId="13" numFmtId="0" xfId="0" applyAlignment="1" applyFont="1">
      <alignment shrinkToFit="0" vertical="bottom" wrapText="0"/>
    </xf>
    <xf borderId="0" fillId="0" fontId="16" numFmtId="166" xfId="0" applyAlignment="1" applyFont="1" applyNumberFormat="1">
      <alignment shrinkToFit="0" vertical="bottom" wrapText="0"/>
    </xf>
    <xf borderId="0" fillId="0" fontId="22" numFmtId="0" xfId="0" applyAlignment="1" applyFont="1">
      <alignment shrinkToFit="0" vertical="bottom" wrapText="0"/>
    </xf>
    <xf borderId="0" fillId="0" fontId="22" numFmtId="165" xfId="0" applyAlignment="1" applyFont="1" applyNumberFormat="1">
      <alignment shrinkToFit="0" vertical="bottom" wrapText="0"/>
    </xf>
    <xf borderId="0" fillId="0" fontId="23" numFmtId="0" xfId="0" applyAlignment="1" applyFont="1">
      <alignment shrinkToFit="0" vertical="bottom" wrapText="0"/>
    </xf>
    <xf borderId="0" fillId="0" fontId="16" numFmtId="167" xfId="0" applyAlignment="1" applyFont="1" applyNumberFormat="1">
      <alignment shrinkToFit="0" vertical="bottom" wrapText="0"/>
    </xf>
    <xf borderId="5" fillId="8" fontId="16" numFmtId="165" xfId="0" applyAlignment="1" applyBorder="1" applyFill="1" applyFont="1" applyNumberFormat="1">
      <alignment shrinkToFit="0" vertical="bottom" wrapText="0"/>
    </xf>
    <xf borderId="0" fillId="0" fontId="16" numFmtId="10" xfId="0" applyAlignment="1" applyFont="1" applyNumberFormat="1">
      <alignment shrinkToFit="0" vertical="bottom" wrapText="0"/>
    </xf>
    <xf borderId="0" fillId="0" fontId="16" numFmtId="1" xfId="0" applyAlignment="1" applyFont="1" applyNumberFormat="1">
      <alignment shrinkToFit="0" vertical="bottom" wrapText="0"/>
    </xf>
    <xf borderId="5" fillId="8" fontId="17" numFmtId="0" xfId="0" applyAlignment="1" applyBorder="1" applyFill="1" applyFont="1">
      <alignment horizontal="center" shrinkToFit="0" vertical="bottom" wrapText="0"/>
    </xf>
    <xf borderId="0" fillId="0" fontId="24" numFmtId="0" xfId="0" applyAlignment="1" applyFont="1">
      <alignment shrinkToFit="0" vertical="bottom" wrapText="0"/>
    </xf>
    <xf borderId="0" fillId="0" fontId="13" numFmtId="165" xfId="0" applyAlignment="1" applyFont="1" applyNumberFormat="1">
      <alignment shrinkToFit="0" vertical="bottom" wrapText="0"/>
    </xf>
    <xf borderId="5" fillId="9" fontId="22" numFmtId="165" xfId="0" applyAlignment="1" applyBorder="1" applyFill="1" applyFont="1" applyNumberFormat="1">
      <alignment shrinkToFit="0" vertical="bottom" wrapText="0"/>
    </xf>
    <xf borderId="0" fillId="0" fontId="16" numFmtId="168" xfId="0" applyAlignment="1" applyFont="1" applyNumberFormat="1">
      <alignment shrinkToFit="0" vertical="bottom" wrapText="0"/>
    </xf>
    <xf borderId="4" fillId="3" fontId="7" numFmtId="170" xfId="0" applyAlignment="1" applyBorder="1" applyFill="1" applyFont="1" applyNumberFormat="1">
      <alignment readingOrder="0" shrinkToFit="0" vertical="bottom" wrapText="0"/>
    </xf>
    <xf borderId="0" fillId="0" fontId="15" numFmtId="1" xfId="0" applyAlignment="1" applyFont="1" applyNumberFormat="1">
      <alignment shrinkToFit="0" vertical="bottom" wrapText="0"/>
    </xf>
    <xf borderId="0" fillId="0" fontId="15" numFmtId="165" xfId="0" applyAlignment="1" applyFont="1" applyNumberFormat="1">
      <alignment shrinkToFit="0" vertical="bottom" wrapText="0"/>
    </xf>
    <xf borderId="5" fillId="9" fontId="22" numFmtId="164" xfId="0" applyAlignment="1" applyBorder="1" applyFill="1" applyFont="1" applyNumberFormat="1">
      <alignment shrinkToFit="0" vertical="bottom" wrapText="0"/>
    </xf>
  </cellXfs>
  <cellStyles count="1">
    <cellStyle xfId="0" name="Normal" builtinId="0"/>
  </cellStyles>
  <dxfs count="2">
    <dxf>
      <font/>
      <fill>
        <patternFill patternType="solid">
          <fgColor rgb="FFF8D7DA"/>
          <bgColor rgb="FFF8D7DA"/>
        </patternFill>
      </fill>
      <border/>
    </dxf>
    <dxf>
      <font/>
      <fill>
        <patternFill patternType="solid">
          <fgColor rgb="FFDFF3F2"/>
          <bgColor rgb="FFDFF3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Total des frais &amp; provisions (% de l'AUM) par niveau d'Actif Net</a:t>
            </a:r>
          </a:p>
        </c:rich>
      </c:tx>
      <c:overlay val="0"/>
    </c:title>
    <c:plotArea>
      <c:layout/>
      <c:lineChart>
        <c:varyColors val="0"/>
        <c:ser>
          <c:idx val="0"/>
          <c:order val="0"/>
          <c:tx>
            <c:v>TOTAL (% AUM)</c:v>
          </c:tx>
          <c:spPr>
            <a:ln cmpd="sng" w="19050">
              <a:solidFill>
                <a:srgbClr val="218E8E">
                  <a:alpha val="100000"/>
                </a:srgbClr>
              </a:solidFill>
            </a:ln>
          </c:spPr>
          <c:marker>
            <c:symbol val="none"/>
          </c:marker>
          <c:cat>
            <c:strRef>
              <c:f>'04_Recap'!$E$20:$EX$20</c:f>
            </c:strRef>
          </c:cat>
          <c:val>
            <c:numRef>
              <c:f>'04_Recap'!$E$43:$EX$43</c:f>
              <c:numCache/>
            </c:numRef>
          </c:val>
          <c:smooth val="0"/>
        </c:ser>
        <c:axId val="1579387251"/>
        <c:axId val="26200657"/>
      </c:lineChart>
      <c:catAx>
        <c:axId val="1579387251"/>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Actif Net (AUM)</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6200657"/>
      </c:catAx>
      <c:valAx>
        <c:axId val="2620065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de l'AUM</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57938725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Décomposition des frais &amp; provisions (€) par poste et par niveau d'AUM</a:t>
            </a:r>
          </a:p>
        </c:rich>
      </c:tx>
      <c:overlay val="0"/>
    </c:title>
    <c:plotArea>
      <c:layout/>
      <c:areaChart>
        <c:grouping val="stacked"/>
        <c:ser>
          <c:idx val="0"/>
          <c:order val="0"/>
          <c:tx>
            <c:v>Commission de Gestion</c:v>
          </c:tx>
          <c:spPr>
            <a:solidFill>
              <a:srgbClr val="F9F9F9">
                <a:alpha val="30000"/>
              </a:srgbClr>
            </a:solidFill>
            <a:ln cmpd="sng">
              <a:noFill/>
            </a:ln>
          </c:spPr>
          <c:cat>
            <c:strRef>
              <c:f>'04_Recap'!$E$20:$EX$20</c:f>
            </c:strRef>
          </c:cat>
          <c:val>
            <c:numRef>
              <c:f>'04_Recap'!$E$21:$EX$21</c:f>
              <c:numCache/>
            </c:numRef>
          </c:val>
        </c:ser>
        <c:ser>
          <c:idx val="1"/>
          <c:order val="1"/>
          <c:tx>
            <c:v>Commission de Conseil</c:v>
          </c:tx>
          <c:spPr>
            <a:solidFill>
              <a:srgbClr val="F9F9F9">
                <a:alpha val="30000"/>
              </a:srgbClr>
            </a:solidFill>
            <a:ln cmpd="sng">
              <a:noFill/>
            </a:ln>
          </c:spPr>
          <c:cat>
            <c:strRef>
              <c:f>'04_Recap'!$E$20:$EX$20</c:f>
            </c:strRef>
          </c:cat>
          <c:val>
            <c:numRef>
              <c:f>'04_Recap'!$E$22:$EX$22</c:f>
              <c:numCache/>
            </c:numRef>
          </c:val>
        </c:ser>
        <c:ser>
          <c:idx val="2"/>
          <c:order val="2"/>
          <c:tx>
            <c:v>Distribution — Distributeur Global</c:v>
          </c:tx>
          <c:spPr>
            <a:solidFill>
              <a:srgbClr val="F9F9F9">
                <a:alpha val="30000"/>
              </a:srgbClr>
            </a:solidFill>
            <a:ln cmpd="sng">
              <a:noFill/>
            </a:ln>
          </c:spPr>
          <c:cat>
            <c:strRef>
              <c:f>'04_Recap'!$E$20:$EX$20</c:f>
            </c:strRef>
          </c:cat>
          <c:val>
            <c:numRef>
              <c:f>'04_Recap'!$E$23:$EX$23</c:f>
              <c:numCache/>
            </c:numRef>
          </c:val>
        </c:ser>
        <c:ser>
          <c:idx val="3"/>
          <c:order val="3"/>
          <c:tx>
            <c:v>Distribution — Sous-distributeurs</c:v>
          </c:tx>
          <c:spPr>
            <a:solidFill>
              <a:srgbClr val="F9F9F9">
                <a:alpha val="30000"/>
              </a:srgbClr>
            </a:solidFill>
            <a:ln cmpd="sng">
              <a:noFill/>
            </a:ln>
          </c:spPr>
          <c:cat>
            <c:strRef>
              <c:f>'04_Recap'!$E$20:$EX$20</c:f>
            </c:strRef>
          </c:cat>
          <c:val>
            <c:numRef>
              <c:f>'04_Recap'!$E$24:$EX$24</c:f>
              <c:numCache/>
            </c:numRef>
          </c:val>
        </c:ser>
        <c:ser>
          <c:idx val="4"/>
          <c:order val="4"/>
          <c:tx>
            <c:v>Commission Dépositaire (BFCM)</c:v>
          </c:tx>
          <c:spPr>
            <a:solidFill>
              <a:srgbClr val="F9F9F9">
                <a:alpha val="30000"/>
              </a:srgbClr>
            </a:solidFill>
            <a:ln cmpd="sng">
              <a:noFill/>
            </a:ln>
          </c:spPr>
          <c:cat>
            <c:strRef>
              <c:f>'04_Recap'!$E$20:$EX$20</c:f>
            </c:strRef>
          </c:cat>
          <c:val>
            <c:numRef>
              <c:f>'04_Recap'!$E$25:$EX$25</c:f>
              <c:numCache/>
            </c:numRef>
          </c:val>
        </c:ser>
        <c:ser>
          <c:idx val="5"/>
          <c:order val="5"/>
          <c:tx>
            <c:v>Commissaire aux Comptes</c:v>
          </c:tx>
          <c:spPr>
            <a:solidFill>
              <a:srgbClr val="F9F9F9">
                <a:alpha val="30000"/>
              </a:srgbClr>
            </a:solidFill>
            <a:ln cmpd="sng">
              <a:noFill/>
            </a:ln>
          </c:spPr>
          <c:cat>
            <c:strRef>
              <c:f>'04_Recap'!$E$20:$EX$20</c:f>
            </c:strRef>
          </c:cat>
          <c:val>
            <c:numRef>
              <c:f>'04_Recap'!$E$26:$EX$26</c:f>
              <c:numCache/>
            </c:numRef>
          </c:val>
        </c:ser>
        <c:ser>
          <c:idx val="6"/>
          <c:order val="6"/>
          <c:tx>
            <c:v>CAC — Frais par Distribution</c:v>
          </c:tx>
          <c:spPr>
            <a:solidFill>
              <a:srgbClr val="F9F9F9">
                <a:alpha val="30000"/>
              </a:srgbClr>
            </a:solidFill>
            <a:ln cmpd="sng">
              <a:noFill/>
            </a:ln>
          </c:spPr>
          <c:cat>
            <c:strRef>
              <c:f>'04_Recap'!$E$20:$EX$20</c:f>
            </c:strRef>
          </c:cat>
          <c:val>
            <c:numRef>
              <c:f>'04_Recap'!$E$27:$EX$27</c:f>
              <c:numCache/>
            </c:numRef>
          </c:val>
        </c:ser>
        <c:ser>
          <c:idx val="7"/>
          <c:order val="7"/>
          <c:tx>
            <c:v>Reporting — Rapport Annuel (CIC)</c:v>
          </c:tx>
          <c:spPr>
            <a:solidFill>
              <a:srgbClr val="F9F9F9">
                <a:alpha val="30000"/>
              </a:srgbClr>
            </a:solidFill>
            <a:ln cmpd="sng">
              <a:noFill/>
            </a:ln>
          </c:spPr>
          <c:cat>
            <c:strRef>
              <c:f>'04_Recap'!$E$20:$EX$20</c:f>
            </c:strRef>
          </c:cat>
          <c:val>
            <c:numRef>
              <c:f>'04_Recap'!$E$28:$EX$28</c:f>
              <c:numCache/>
            </c:numRef>
          </c:val>
        </c:ser>
        <c:ser>
          <c:idx val="8"/>
          <c:order val="8"/>
          <c:tx>
            <c:v>Valorisation (CIC)</c:v>
          </c:tx>
          <c:spPr>
            <a:solidFill>
              <a:srgbClr val="F9F9F9">
                <a:alpha val="30000"/>
              </a:srgbClr>
            </a:solidFill>
            <a:ln cmpd="sng">
              <a:noFill/>
            </a:ln>
          </c:spPr>
          <c:cat>
            <c:strRef>
              <c:f>'04_Recap'!$E$20:$EX$20</c:f>
            </c:strRef>
          </c:cat>
          <c:val>
            <c:numRef>
              <c:f>'04_Recap'!$E$29:$EX$29</c:f>
              <c:numCache/>
            </c:numRef>
          </c:val>
        </c:ser>
        <c:ser>
          <c:idx val="9"/>
          <c:order val="9"/>
          <c:tx>
            <c:v>Reporting AIFM (part refacturée au fonds)</c:v>
          </c:tx>
          <c:spPr>
            <a:solidFill>
              <a:srgbClr val="F9F9F9">
                <a:alpha val="30000"/>
              </a:srgbClr>
            </a:solidFill>
            <a:ln cmpd="sng">
              <a:noFill/>
            </a:ln>
          </c:spPr>
          <c:cat>
            <c:strRef>
              <c:f>'04_Recap'!$E$20:$EX$20</c:f>
            </c:strRef>
          </c:cat>
          <c:val>
            <c:numRef>
              <c:f>'04_Recap'!$E$30:$EX$30</c:f>
              <c:numCache/>
            </c:numRef>
          </c:val>
        </c:ser>
        <c:ser>
          <c:idx val="10"/>
          <c:order val="10"/>
          <c:tx>
            <c:v>Tenue du Passif</c:v>
          </c:tx>
          <c:spPr>
            <a:solidFill>
              <a:srgbClr val="F9F9F9">
                <a:alpha val="30000"/>
              </a:srgbClr>
            </a:solidFill>
            <a:ln cmpd="sng">
              <a:noFill/>
            </a:ln>
          </c:spPr>
          <c:cat>
            <c:strRef>
              <c:f>'04_Recap'!$E$20:$EX$20</c:f>
            </c:strRef>
          </c:cat>
          <c:val>
            <c:numRef>
              <c:f>'04_Recap'!$E$31:$EX$31</c:f>
              <c:numCache/>
            </c:numRef>
          </c:val>
        </c:ser>
        <c:ser>
          <c:idx val="11"/>
          <c:order val="11"/>
          <c:tx>
            <c:v>Finologee</c:v>
          </c:tx>
          <c:spPr>
            <a:solidFill>
              <a:srgbClr val="F9F9F9">
                <a:alpha val="30000"/>
              </a:srgbClr>
            </a:solidFill>
            <a:ln cmpd="sng">
              <a:noFill/>
            </a:ln>
          </c:spPr>
          <c:cat>
            <c:strRef>
              <c:f>'04_Recap'!$E$20:$EX$20</c:f>
            </c:strRef>
          </c:cat>
          <c:val>
            <c:numRef>
              <c:f>'04_Recap'!$E$32:$EX$32</c:f>
              <c:numCache/>
            </c:numRef>
          </c:val>
        </c:ser>
        <c:ser>
          <c:idx val="12"/>
          <c:order val="12"/>
          <c:tx>
            <c:v>Frais KYC (au-delà du forfait inclus)</c:v>
          </c:tx>
          <c:spPr>
            <a:solidFill>
              <a:srgbClr val="F9F9F9">
                <a:alpha val="30000"/>
              </a:srgbClr>
            </a:solidFill>
            <a:ln cmpd="sng">
              <a:noFill/>
            </a:ln>
          </c:spPr>
          <c:cat>
            <c:strRef>
              <c:f>'04_Recap'!$E$20:$EX$20</c:f>
            </c:strRef>
          </c:cat>
          <c:val>
            <c:numRef>
              <c:f>'04_Recap'!$E$33:$EX$33</c:f>
              <c:numCache/>
            </c:numRef>
          </c:val>
        </c:ser>
        <c:ser>
          <c:idx val="13"/>
          <c:order val="13"/>
          <c:tx>
            <c:v>Frais de Constitution (hors barème — actif par défaut, voir 05_Tresorerie)</c:v>
          </c:tx>
          <c:spPr>
            <a:solidFill>
              <a:srgbClr val="F9F9F9">
                <a:alpha val="30000"/>
              </a:srgbClr>
            </a:solidFill>
            <a:ln cmpd="sng">
              <a:noFill/>
            </a:ln>
          </c:spPr>
          <c:cat>
            <c:strRef>
              <c:f>'04_Recap'!$E$20:$EX$20</c:f>
            </c:strRef>
          </c:cat>
          <c:val>
            <c:numRef>
              <c:f>'04_Recap'!$E$34:$EX$34</c:f>
              <c:numCache/>
            </c:numRef>
          </c:val>
        </c:ser>
        <c:ser>
          <c:idx val="14"/>
          <c:order val="14"/>
          <c:tx>
            <c:v>Dépositaire — Forfait liquidation (ANC&lt;5M€)</c:v>
          </c:tx>
          <c:spPr>
            <a:solidFill>
              <a:srgbClr val="F9F9F9">
                <a:alpha val="30000"/>
              </a:srgbClr>
            </a:solidFill>
            <a:ln cmpd="sng">
              <a:noFill/>
            </a:ln>
          </c:spPr>
          <c:cat>
            <c:strRef>
              <c:f>'04_Recap'!$E$20:$EX$20</c:f>
            </c:strRef>
          </c:cat>
          <c:val>
            <c:numRef>
              <c:f>'04_Recap'!$E$35:$EX$35</c:f>
              <c:numCache/>
            </c:numRef>
          </c:val>
        </c:ser>
        <c:ser>
          <c:idx val="15"/>
          <c:order val="15"/>
          <c:tx>
            <c:v>Dépositaire — Admission Euroclear (par ISIN)</c:v>
          </c:tx>
          <c:spPr>
            <a:solidFill>
              <a:srgbClr val="F9F9F9">
                <a:alpha val="30000"/>
              </a:srgbClr>
            </a:solidFill>
            <a:ln cmpd="sng">
              <a:noFill/>
            </a:ln>
          </c:spPr>
          <c:cat>
            <c:strRef>
              <c:f>'04_Recap'!$E$20:$EX$20</c:f>
            </c:strRef>
          </c:cat>
          <c:val>
            <c:numRef>
              <c:f>'04_Recap'!$E$36:$EX$36</c:f>
              <c:numCache/>
            </c:numRef>
          </c:val>
        </c:ser>
        <c:ser>
          <c:idx val="16"/>
          <c:order val="16"/>
          <c:tx>
            <c:v>Reporting — Solvabilité II (optionnel)</c:v>
          </c:tx>
          <c:spPr>
            <a:solidFill>
              <a:srgbClr val="F9F9F9">
                <a:alpha val="30000"/>
              </a:srgbClr>
            </a:solidFill>
            <a:ln cmpd="sng">
              <a:noFill/>
            </a:ln>
          </c:spPr>
          <c:cat>
            <c:strRef>
              <c:f>'04_Recap'!$E$20:$EX$20</c:f>
            </c:strRef>
          </c:cat>
          <c:val>
            <c:numRef>
              <c:f>'04_Recap'!$E$37:$EX$37</c:f>
              <c:numCache/>
            </c:numRef>
          </c:val>
        </c:ser>
        <c:ser>
          <c:idx val="17"/>
          <c:order val="17"/>
          <c:tx>
            <c:v>(inactif)</c:v>
          </c:tx>
          <c:spPr>
            <a:solidFill>
              <a:srgbClr val="F9F9F9">
                <a:alpha val="30000"/>
              </a:srgbClr>
            </a:solidFill>
            <a:ln cmpd="sng">
              <a:noFill/>
            </a:ln>
          </c:spPr>
          <c:cat>
            <c:strRef>
              <c:f>'04_Recap'!$E$20:$EX$20</c:f>
            </c:strRef>
          </c:cat>
          <c:val>
            <c:numRef>
              <c:f>'04_Recap'!$E$38:$EX$38</c:f>
              <c:numCache/>
            </c:numRef>
          </c:val>
        </c:ser>
        <c:ser>
          <c:idx val="18"/>
          <c:order val="18"/>
          <c:tx>
            <c:v>(inactif)</c:v>
          </c:tx>
          <c:spPr>
            <a:solidFill>
              <a:srgbClr val="F9F9F9">
                <a:alpha val="30000"/>
              </a:srgbClr>
            </a:solidFill>
            <a:ln cmpd="sng">
              <a:noFill/>
            </a:ln>
          </c:spPr>
          <c:cat>
            <c:strRef>
              <c:f>'04_Recap'!$E$20:$EX$20</c:f>
            </c:strRef>
          </c:cat>
          <c:val>
            <c:numRef>
              <c:f>'04_Recap'!$E$39:$EX$39</c:f>
              <c:numCache/>
            </c:numRef>
          </c:val>
        </c:ser>
        <c:ser>
          <c:idx val="19"/>
          <c:order val="19"/>
          <c:tx>
            <c:v>(inactif)</c:v>
          </c:tx>
          <c:spPr>
            <a:solidFill>
              <a:srgbClr val="F9F9F9">
                <a:alpha val="30000"/>
              </a:srgbClr>
            </a:solidFill>
            <a:ln cmpd="sng">
              <a:noFill/>
            </a:ln>
          </c:spPr>
          <c:cat>
            <c:strRef>
              <c:f>'04_Recap'!$E$20:$EX$20</c:f>
            </c:strRef>
          </c:cat>
          <c:val>
            <c:numRef>
              <c:f>'04_Recap'!$E$40:$EX$40</c:f>
              <c:numCache/>
            </c:numRef>
          </c:val>
        </c:ser>
        <c:axId val="920926453"/>
        <c:axId val="1579049245"/>
      </c:areaChart>
      <c:catAx>
        <c:axId val="920926453"/>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Actif Net (AUM)</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579049245"/>
      </c:catAx>
      <c:valAx>
        <c:axId val="157904924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 / 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920926453"/>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44</xdr:row>
      <xdr:rowOff>152400</xdr:rowOff>
    </xdr:from>
    <xdr:ext cx="8858250" cy="3400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63</xdr:row>
      <xdr:rowOff>152400</xdr:rowOff>
    </xdr:from>
    <xdr:ext cx="8858250" cy="53054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2027"/>
    <pageSetUpPr fitToPage="1"/>
  </sheetPr>
  <sheetViews>
    <sheetView showGridLines="0" workbookViewId="0"/>
  </sheetViews>
  <sheetFormatPr customHeight="1" defaultColWidth="14.43" defaultRowHeight="15.0" outlineLevelRow="1"/>
  <cols>
    <col customWidth="1" min="1" max="1" width="2.0"/>
    <col customWidth="1" min="2" max="2" width="6.0"/>
    <col customWidth="1" min="3" max="3" width="100.0"/>
    <col customWidth="1" min="4" max="26" width="8.71"/>
  </cols>
  <sheetData>
    <row r="1">
      <c r="B1" s="1" t="s">
        <v>0</v>
      </c>
    </row>
    <row r="2" ht="27.75" customHeight="1">
      <c r="B2" s="2" t="s">
        <v>3</v>
      </c>
    </row>
    <row r="4">
      <c r="B4" s="3" t="s">
        <v>6</v>
      </c>
    </row>
    <row r="5" ht="45.0" customHeight="1">
      <c r="C5" s="4" t="s">
        <v>9</v>
      </c>
    </row>
    <row r="7">
      <c r="B7" s="3" t="s">
        <v>10</v>
      </c>
    </row>
    <row r="8" ht="45.0" customHeight="1">
      <c r="C8" s="4" t="s">
        <v>12</v>
      </c>
    </row>
    <row r="10">
      <c r="B10" s="3" t="s">
        <v>13</v>
      </c>
    </row>
    <row r="11" ht="45.0" customHeight="1">
      <c r="C11" s="4" t="s">
        <v>14</v>
      </c>
    </row>
    <row r="13">
      <c r="B13" s="3" t="s">
        <v>16</v>
      </c>
    </row>
    <row r="14" ht="45.0" customHeight="1">
      <c r="C14" s="4" t="s">
        <v>17</v>
      </c>
    </row>
    <row r="16">
      <c r="B16" s="3" t="s">
        <v>19</v>
      </c>
    </row>
    <row r="17" ht="45.0" customHeight="1">
      <c r="C17" s="4" t="s">
        <v>21</v>
      </c>
    </row>
    <row r="19" ht="18.0" customHeight="1">
      <c r="B19" s="12" t="s">
        <v>23</v>
      </c>
      <c r="C19" s="12"/>
    </row>
    <row r="20">
      <c r="B20" s="15" t="s">
        <v>31</v>
      </c>
      <c r="C20" s="17" t="s">
        <v>34</v>
      </c>
    </row>
    <row r="21" ht="15.75" customHeight="1">
      <c r="B21" s="21" t="s">
        <v>38</v>
      </c>
      <c r="C21" s="17" t="s">
        <v>40</v>
      </c>
    </row>
    <row r="22" ht="15.75" customHeight="1">
      <c r="B22" s="22" t="s">
        <v>41</v>
      </c>
      <c r="C22" s="17" t="s">
        <v>42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R1"/>
    <mergeCell ref="B2:R2"/>
    <mergeCell ref="B4:C4"/>
    <mergeCell ref="B7:C7"/>
    <mergeCell ref="B10:C10"/>
    <mergeCell ref="B13:C13"/>
    <mergeCell ref="B16:C16"/>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8E8E"/>
    <pageSetUpPr fitToPage="1"/>
  </sheetPr>
  <sheetViews>
    <sheetView showGridLines="0" workbookViewId="0"/>
  </sheetViews>
  <sheetFormatPr customHeight="1" defaultColWidth="14.43" defaultRowHeight="15.0" outlineLevelRow="1"/>
  <cols>
    <col customWidth="1" min="1" max="1" width="2.0"/>
    <col customWidth="1" min="2" max="2" width="4.0"/>
    <col customWidth="1" min="3" max="3" width="8.0"/>
    <col customWidth="1" min="4" max="4" width="40.0"/>
    <col customWidth="1" min="5" max="5" width="20.0"/>
    <col customWidth="1" min="6" max="6" width="16.0"/>
    <col customWidth="1" min="7" max="7" width="24.0"/>
    <col customWidth="1" min="8" max="10" width="12.0"/>
    <col customWidth="1" min="11" max="11" width="10.0"/>
    <col customWidth="1" min="12" max="12" width="8.0"/>
    <col customWidth="1" min="13" max="14" width="12.0"/>
    <col customWidth="1" min="15" max="15" width="10.0"/>
    <col customWidth="1" min="16" max="16" width="8.0"/>
    <col customWidth="1" min="17" max="18" width="12.0"/>
    <col customWidth="1" min="19" max="19" width="10.0"/>
    <col customWidth="1" min="20" max="20" width="8.0"/>
    <col customWidth="1" min="21" max="22" width="12.0"/>
    <col customWidth="1" min="23" max="23" width="10.0"/>
    <col customWidth="1" min="24" max="24" width="8.0"/>
    <col customWidth="1" min="25" max="26" width="12.0"/>
    <col customWidth="1" min="27" max="27" width="10.0"/>
    <col customWidth="1" min="28" max="28" width="8.0"/>
    <col customWidth="1" min="29" max="29" width="12.0"/>
    <col customWidth="1" min="30" max="30" width="50.0"/>
    <col customWidth="1" min="31" max="43" width="8.71"/>
    <col customWidth="1" min="44" max="44" width="8.0"/>
    <col customWidth="1" min="45" max="45" width="16.0"/>
  </cols>
  <sheetData>
    <row r="1">
      <c r="B1" s="1" t="s">
        <v>2</v>
      </c>
    </row>
    <row r="2" ht="27.75" customHeight="1">
      <c r="B2" s="2" t="s">
        <v>5</v>
      </c>
    </row>
    <row r="4">
      <c r="B4" s="5" t="s">
        <v>8</v>
      </c>
      <c r="C4" s="8" t="s">
        <v>11</v>
      </c>
      <c r="D4" s="9"/>
      <c r="E4" s="10" t="s">
        <v>18</v>
      </c>
      <c r="F4" s="9"/>
    </row>
    <row r="5">
      <c r="C5" s="13" t="s">
        <v>24</v>
      </c>
      <c r="D5" s="7"/>
      <c r="E5" s="7"/>
      <c r="F5" s="9"/>
    </row>
    <row r="6">
      <c r="AR6" s="16" t="s">
        <v>32</v>
      </c>
      <c r="AS6" s="16" t="s">
        <v>35</v>
      </c>
    </row>
    <row r="7" ht="18.0" customHeight="1">
      <c r="B7" s="12" t="s">
        <v>37</v>
      </c>
      <c r="C7" s="12"/>
      <c r="D7" s="12"/>
      <c r="E7" s="12"/>
      <c r="F7" s="12"/>
      <c r="AR7" s="20">
        <v>1.0</v>
      </c>
      <c r="AS7" s="25">
        <f>F11</f>
        <v>5000000</v>
      </c>
    </row>
    <row r="8" ht="18.0" customHeight="1">
      <c r="B8" s="27" t="s">
        <v>44</v>
      </c>
      <c r="F8" s="14" t="s">
        <v>47</v>
      </c>
      <c r="AR8" s="20">
        <v>2.0</v>
      </c>
      <c r="AS8" s="25">
        <f t="shared" ref="AS8:AS156" si="1">IF(AS7="","",IF(AS7+$F$13&gt;$F$12,"",AS7+$F$13))</f>
        <v>10000000</v>
      </c>
    </row>
    <row r="9">
      <c r="AR9" s="20">
        <v>3.0</v>
      </c>
      <c r="AS9" s="25">
        <f t="shared" si="1"/>
        <v>15000000</v>
      </c>
    </row>
    <row r="10" ht="18.0" customHeight="1">
      <c r="B10" s="12" t="s">
        <v>52</v>
      </c>
      <c r="C10" s="12"/>
      <c r="D10" s="12"/>
      <c r="E10" s="12"/>
      <c r="F10" s="12"/>
      <c r="AR10" s="20">
        <v>4.0</v>
      </c>
      <c r="AS10" s="25">
        <f t="shared" si="1"/>
        <v>20000000</v>
      </c>
    </row>
    <row r="11" ht="18.0" customHeight="1">
      <c r="B11" s="27" t="s">
        <v>53</v>
      </c>
      <c r="F11" s="41">
        <v>5000000.0</v>
      </c>
      <c r="AR11" s="20">
        <v>5.0</v>
      </c>
      <c r="AS11" s="25">
        <f t="shared" si="1"/>
        <v>25000000</v>
      </c>
    </row>
    <row r="12" ht="18.0" customHeight="1">
      <c r="B12" s="27" t="s">
        <v>55</v>
      </c>
      <c r="F12" s="41">
        <v>5.0E7</v>
      </c>
      <c r="AR12" s="20">
        <v>6.0</v>
      </c>
      <c r="AS12" s="25">
        <f t="shared" si="1"/>
        <v>30000000</v>
      </c>
    </row>
    <row r="13" ht="18.0" customHeight="1">
      <c r="B13" s="27" t="s">
        <v>56</v>
      </c>
      <c r="F13" s="43">
        <v>5000000.0</v>
      </c>
      <c r="AR13" s="20">
        <v>7.0</v>
      </c>
      <c r="AS13" s="25">
        <f t="shared" si="1"/>
        <v>35000000</v>
      </c>
    </row>
    <row r="14">
      <c r="B14" s="44" t="s">
        <v>58</v>
      </c>
      <c r="F14" s="45" t="str">
        <f>COUNT(AS7:AS156)&amp;" / 150"</f>
        <v>10 / 150</v>
      </c>
      <c r="AR14" s="20">
        <v>8.0</v>
      </c>
      <c r="AS14" s="25">
        <f t="shared" si="1"/>
        <v>40000000</v>
      </c>
    </row>
    <row r="15">
      <c r="AR15" s="20">
        <v>9.0</v>
      </c>
      <c r="AS15" s="25">
        <f t="shared" si="1"/>
        <v>45000000</v>
      </c>
    </row>
    <row r="16" ht="18.0" customHeight="1">
      <c r="B16" s="12" t="s">
        <v>60</v>
      </c>
      <c r="C16" s="12"/>
      <c r="D16" s="12"/>
      <c r="E16" s="12"/>
      <c r="F16" s="12"/>
      <c r="AR16" s="20">
        <v>10.0</v>
      </c>
      <c r="AS16" s="25">
        <f t="shared" si="1"/>
        <v>50000000</v>
      </c>
    </row>
    <row r="17" ht="18.0" customHeight="1">
      <c r="B17" s="27" t="s">
        <v>62</v>
      </c>
      <c r="F17" s="14">
        <v>60.0</v>
      </c>
      <c r="AR17" s="20">
        <v>11.0</v>
      </c>
      <c r="AS17" s="25" t="str">
        <f t="shared" si="1"/>
        <v/>
      </c>
    </row>
    <row r="18" ht="18.0" customHeight="1">
      <c r="B18" s="27" t="s">
        <v>64</v>
      </c>
      <c r="F18" s="47">
        <v>15.0</v>
      </c>
      <c r="AR18" s="20">
        <v>12.0</v>
      </c>
      <c r="AS18" s="25" t="str">
        <f t="shared" si="1"/>
        <v/>
      </c>
    </row>
    <row r="19" ht="18.0" customHeight="1">
      <c r="B19" s="27" t="s">
        <v>65</v>
      </c>
      <c r="F19" s="43">
        <v>0.0</v>
      </c>
      <c r="AR19" s="20">
        <v>13.0</v>
      </c>
      <c r="AS19" s="25" t="str">
        <f t="shared" si="1"/>
        <v/>
      </c>
    </row>
    <row r="20" ht="18.0" customHeight="1">
      <c r="B20" s="27" t="s">
        <v>66</v>
      </c>
      <c r="F20" s="18">
        <v>0.01</v>
      </c>
      <c r="AR20" s="20">
        <v>14.0</v>
      </c>
      <c r="AS20" s="25" t="str">
        <f t="shared" si="1"/>
        <v/>
      </c>
    </row>
    <row r="21" ht="18.0" customHeight="1">
      <c r="B21" s="27" t="s">
        <v>67</v>
      </c>
      <c r="F21" s="43">
        <v>60000.0</v>
      </c>
      <c r="AR21" s="20">
        <v>15.0</v>
      </c>
      <c r="AS21" s="25" t="str">
        <f t="shared" si="1"/>
        <v/>
      </c>
    </row>
    <row r="22" ht="18.0" customHeight="1">
      <c r="B22" s="27" t="s">
        <v>68</v>
      </c>
      <c r="F22" s="28">
        <v>0.0</v>
      </c>
      <c r="AR22" s="20">
        <v>16.0</v>
      </c>
      <c r="AS22" s="25" t="str">
        <f t="shared" si="1"/>
        <v/>
      </c>
    </row>
    <row r="23" ht="18.0" customHeight="1">
      <c r="B23" s="27" t="s">
        <v>69</v>
      </c>
      <c r="F23" s="47">
        <v>1600.0</v>
      </c>
      <c r="AR23" s="20">
        <v>17.0</v>
      </c>
      <c r="AS23" s="25" t="str">
        <f t="shared" si="1"/>
        <v/>
      </c>
    </row>
    <row r="24" ht="18.0" customHeight="1">
      <c r="B24" s="27" t="s">
        <v>70</v>
      </c>
      <c r="F24" s="28">
        <v>100.0</v>
      </c>
      <c r="AR24" s="20">
        <v>18.0</v>
      </c>
      <c r="AS24" s="25" t="str">
        <f t="shared" si="1"/>
        <v/>
      </c>
    </row>
    <row r="25" ht="18.0" customHeight="1">
      <c r="B25" s="27" t="s">
        <v>71</v>
      </c>
      <c r="F25" s="43">
        <v>1.0E8</v>
      </c>
      <c r="AR25" s="20">
        <v>19.0</v>
      </c>
      <c r="AS25" s="25" t="str">
        <f t="shared" si="1"/>
        <v/>
      </c>
    </row>
    <row r="26" ht="18.0" customHeight="1">
      <c r="B26" s="27" t="s">
        <v>72</v>
      </c>
      <c r="F26" s="49">
        <v>10.0</v>
      </c>
      <c r="AR26" s="20">
        <v>20.0</v>
      </c>
      <c r="AS26" s="25" t="str">
        <f t="shared" si="1"/>
        <v/>
      </c>
    </row>
    <row r="27" ht="15.75" customHeight="1">
      <c r="AR27" s="20">
        <v>21.0</v>
      </c>
      <c r="AS27" s="25" t="str">
        <f t="shared" si="1"/>
        <v/>
      </c>
    </row>
    <row r="28" ht="18.0" customHeight="1">
      <c r="B28" s="12" t="s">
        <v>73</v>
      </c>
      <c r="C28" s="12"/>
      <c r="D28" s="12"/>
      <c r="E28" s="12"/>
      <c r="F28" s="12"/>
      <c r="AR28" s="20">
        <v>22.0</v>
      </c>
      <c r="AS28" s="25" t="str">
        <f t="shared" si="1"/>
        <v/>
      </c>
    </row>
    <row r="29" ht="18.0" customHeight="1">
      <c r="B29" s="27" t="s">
        <v>74</v>
      </c>
      <c r="F29" s="14" t="s">
        <v>30</v>
      </c>
      <c r="AR29" s="20">
        <v>23.0</v>
      </c>
      <c r="AS29" s="25" t="str">
        <f t="shared" si="1"/>
        <v/>
      </c>
    </row>
    <row r="30" ht="15.0" customHeight="1">
      <c r="B30" s="50" t="s">
        <v>75</v>
      </c>
      <c r="F30" s="26">
        <f t="array" ref="F30">IFERROR(INDEX(Classes_DistribGlobal,MATCH($F$29,Classes_Nom,0)),0)</f>
        <v>0.001</v>
      </c>
      <c r="AR30" s="20">
        <v>24.0</v>
      </c>
      <c r="AS30" s="25" t="str">
        <f t="shared" si="1"/>
        <v/>
      </c>
    </row>
    <row r="31" ht="15.0" customHeight="1">
      <c r="B31" s="50" t="s">
        <v>76</v>
      </c>
      <c r="F31" s="26">
        <f t="array" ref="F31">IFERROR(INDEX(Classes_DistribSousDistrib,MATCH($F$29,Classes_Nom,0)),0)</f>
        <v>0.009</v>
      </c>
      <c r="AR31" s="20">
        <v>25.0</v>
      </c>
      <c r="AS31" s="25" t="str">
        <f t="shared" si="1"/>
        <v/>
      </c>
    </row>
    <row r="32" ht="15.0" customHeight="1">
      <c r="B32" s="50" t="s">
        <v>77</v>
      </c>
      <c r="F32" s="51" t="str">
        <f t="array" ref="F32">IFERROR(INDEX(Classes_Distribuante,MATCH($F$29,Classes_Nom,0)),"Non")</f>
        <v>Non</v>
      </c>
      <c r="AR32" s="20">
        <v>26.0</v>
      </c>
      <c r="AS32" s="25" t="str">
        <f t="shared" si="1"/>
        <v/>
      </c>
    </row>
    <row r="33" ht="15.75" customHeight="1">
      <c r="AR33" s="20">
        <v>27.0</v>
      </c>
      <c r="AS33" s="25" t="str">
        <f t="shared" si="1"/>
        <v/>
      </c>
    </row>
    <row r="34" ht="18.0" customHeight="1">
      <c r="B34" s="12" t="s">
        <v>78</v>
      </c>
      <c r="C34" s="12"/>
      <c r="D34" s="12"/>
      <c r="E34" s="12"/>
      <c r="F34" s="12"/>
      <c r="AR34" s="20">
        <v>28.0</v>
      </c>
      <c r="AS34" s="25" t="str">
        <f t="shared" si="1"/>
        <v/>
      </c>
    </row>
    <row r="35" ht="18.0" customHeight="1">
      <c r="B35" s="27" t="s">
        <v>79</v>
      </c>
      <c r="F35" s="28" t="s">
        <v>80</v>
      </c>
      <c r="AR35" s="20">
        <v>29.0</v>
      </c>
      <c r="AS35" s="25" t="str">
        <f t="shared" si="1"/>
        <v/>
      </c>
    </row>
    <row r="36" ht="18.0" customHeight="1">
      <c r="B36" s="27" t="s">
        <v>81</v>
      </c>
      <c r="F36" s="14">
        <v>2.0</v>
      </c>
      <c r="AR36" s="20">
        <v>30.0</v>
      </c>
      <c r="AS36" s="25" t="str">
        <f t="shared" si="1"/>
        <v/>
      </c>
    </row>
    <row r="37" ht="18.0" customHeight="1">
      <c r="B37" s="50" t="s">
        <v>82</v>
      </c>
      <c r="F37" s="42">
        <f>COUNTIF(Classes_Nom,"&lt;&gt;")</f>
        <v>2</v>
      </c>
      <c r="AR37" s="20">
        <v>31.0</v>
      </c>
      <c r="AS37" s="25" t="str">
        <f t="shared" si="1"/>
        <v/>
      </c>
    </row>
    <row r="38" ht="15.0" customHeight="1">
      <c r="B38" s="50" t="s">
        <v>83</v>
      </c>
      <c r="F38" s="46">
        <f>IF(F37&gt;=5,0.15,IF(F37&gt;=3,0.1,0))</f>
        <v>0</v>
      </c>
      <c r="AR38" s="20">
        <v>32.0</v>
      </c>
      <c r="AS38" s="25" t="str">
        <f t="shared" si="1"/>
        <v/>
      </c>
    </row>
    <row r="39" ht="15.75" customHeight="1">
      <c r="AR39" s="20">
        <v>33.0</v>
      </c>
      <c r="AS39" s="25" t="str">
        <f t="shared" si="1"/>
        <v/>
      </c>
    </row>
    <row r="40" ht="18.0" customHeight="1">
      <c r="B40" s="12" t="s">
        <v>84</v>
      </c>
      <c r="C40" s="12"/>
      <c r="D40" s="12"/>
      <c r="E40" s="12"/>
      <c r="F40" s="12"/>
      <c r="AR40" s="20">
        <v>34.0</v>
      </c>
      <c r="AS40" s="25" t="str">
        <f t="shared" si="1"/>
        <v/>
      </c>
    </row>
    <row r="41" ht="37.5" customHeight="1">
      <c r="B41" s="52" t="s">
        <v>85</v>
      </c>
      <c r="AR41" s="20">
        <v>35.0</v>
      </c>
      <c r="AS41" s="25" t="str">
        <f t="shared" si="1"/>
        <v/>
      </c>
    </row>
    <row r="42" ht="18.0" customHeight="1">
      <c r="B42" s="27" t="s">
        <v>86</v>
      </c>
      <c r="F42" s="43">
        <v>1.0E8</v>
      </c>
      <c r="AR42" s="20">
        <v>36.0</v>
      </c>
      <c r="AS42" s="25" t="str">
        <f t="shared" si="1"/>
        <v/>
      </c>
    </row>
    <row r="43" ht="18.0" customHeight="1">
      <c r="B43" s="27" t="s">
        <v>87</v>
      </c>
      <c r="F43" s="43">
        <v>5.0E8</v>
      </c>
      <c r="AR43" s="20">
        <v>37.0</v>
      </c>
      <c r="AS43" s="25" t="str">
        <f t="shared" si="1"/>
        <v/>
      </c>
    </row>
    <row r="44" ht="15.75" customHeight="1">
      <c r="AR44" s="20">
        <v>38.0</v>
      </c>
      <c r="AS44" s="25" t="str">
        <f t="shared" si="1"/>
        <v/>
      </c>
    </row>
    <row r="45" ht="30.0" customHeight="1">
      <c r="B45" s="53" t="s">
        <v>88</v>
      </c>
      <c r="C45" s="54"/>
      <c r="D45" s="55"/>
      <c r="E45" s="11" t="s">
        <v>89</v>
      </c>
      <c r="F45" s="11" t="s">
        <v>90</v>
      </c>
      <c r="AR45" s="20">
        <v>39.0</v>
      </c>
      <c r="AS45" s="25" t="str">
        <f t="shared" si="1"/>
        <v/>
      </c>
    </row>
    <row r="46" ht="18.0" customHeight="1">
      <c r="B46" s="56" t="str">
        <f>"Tranche 1 : 0 € → "&amp;TEXT(F42,"#,##0")&amp;" €"</f>
        <v>Tranche 1 : 0 € → 100,000,000 €</v>
      </c>
      <c r="E46" s="18">
        <v>0.0018</v>
      </c>
      <c r="F46" s="18">
        <v>0.0045</v>
      </c>
      <c r="AR46" s="20">
        <v>40.0</v>
      </c>
      <c r="AS46" s="25" t="str">
        <f t="shared" si="1"/>
        <v/>
      </c>
    </row>
    <row r="47" ht="18.0" customHeight="1">
      <c r="B47" s="56" t="str">
        <f>"Tranche 2 : "&amp;TEXT(F42,"#,##0")&amp;" € → "&amp;TEXT(F43,"#,##0")&amp;" €"</f>
        <v>Tranche 2 : 100,000,000 € → 500,000,000 €</v>
      </c>
      <c r="E47" s="18">
        <v>0.0014</v>
      </c>
      <c r="F47" s="18">
        <v>0.0035</v>
      </c>
      <c r="AR47" s="20">
        <v>41.0</v>
      </c>
      <c r="AS47" s="25" t="str">
        <f t="shared" si="1"/>
        <v/>
      </c>
    </row>
    <row r="48" ht="18.0" customHeight="1">
      <c r="B48" s="56" t="str">
        <f>"Tranche 3 : au-delà de "&amp;TEXT(F43,"#,##0")&amp;" €"</f>
        <v>Tranche 3 : au-delà de 500,000,000 €</v>
      </c>
      <c r="E48" s="18">
        <v>9.0E-4</v>
      </c>
      <c r="F48" s="18">
        <v>0.0025</v>
      </c>
      <c r="AR48" s="20">
        <v>42.0</v>
      </c>
      <c r="AS48" s="25" t="str">
        <f t="shared" si="1"/>
        <v/>
      </c>
    </row>
    <row r="49" ht="15.75" customHeight="1">
      <c r="AR49" s="20">
        <v>43.0</v>
      </c>
      <c r="AS49" s="25" t="str">
        <f t="shared" si="1"/>
        <v/>
      </c>
    </row>
    <row r="50" ht="18.0" customHeight="1">
      <c r="B50" s="12" t="s">
        <v>94</v>
      </c>
      <c r="C50" s="12"/>
      <c r="D50" s="12"/>
      <c r="E50" s="12"/>
      <c r="F50" s="12"/>
      <c r="AR50" s="20">
        <v>44.0</v>
      </c>
      <c r="AS50" s="25" t="str">
        <f t="shared" si="1"/>
        <v/>
      </c>
    </row>
    <row r="51" ht="25.5" customHeight="1">
      <c r="B51" s="6" t="s">
        <v>96</v>
      </c>
      <c r="C51" s="7"/>
      <c r="D51" s="7"/>
      <c r="E51" s="7"/>
      <c r="F51" s="7"/>
      <c r="G51" s="7"/>
      <c r="H51" s="7"/>
      <c r="I51" s="7"/>
      <c r="J51" s="7"/>
      <c r="K51" s="7"/>
      <c r="L51" s="7"/>
      <c r="M51" s="7"/>
      <c r="N51" s="7"/>
      <c r="O51" s="7"/>
      <c r="P51" s="7"/>
      <c r="Q51" s="7"/>
      <c r="R51" s="7"/>
      <c r="S51" s="7"/>
      <c r="T51" s="7"/>
      <c r="U51" s="7"/>
      <c r="V51" s="7"/>
      <c r="W51" s="7"/>
      <c r="X51" s="7"/>
      <c r="Y51" s="7"/>
      <c r="Z51" s="7"/>
      <c r="AA51" s="7"/>
      <c r="AB51" s="7"/>
      <c r="AC51" s="9"/>
      <c r="AR51" s="20">
        <v>45.0</v>
      </c>
      <c r="AS51" s="25" t="str">
        <f t="shared" si="1"/>
        <v/>
      </c>
    </row>
    <row r="52" ht="30.0" customHeight="1">
      <c r="B52" s="11" t="s">
        <v>97</v>
      </c>
      <c r="C52" s="11" t="s">
        <v>98</v>
      </c>
      <c r="D52" s="11" t="s">
        <v>99</v>
      </c>
      <c r="E52" s="11" t="s">
        <v>100</v>
      </c>
      <c r="F52" s="11" t="s">
        <v>101</v>
      </c>
      <c r="G52" s="11" t="s">
        <v>102</v>
      </c>
      <c r="H52" s="11" t="s">
        <v>103</v>
      </c>
      <c r="I52" s="11" t="s">
        <v>104</v>
      </c>
      <c r="J52" s="11" t="s">
        <v>105</v>
      </c>
      <c r="K52" s="11" t="s">
        <v>106</v>
      </c>
      <c r="L52" s="11" t="s">
        <v>107</v>
      </c>
      <c r="M52" s="11" t="s">
        <v>108</v>
      </c>
      <c r="N52" s="11" t="s">
        <v>109</v>
      </c>
      <c r="O52" s="11" t="s">
        <v>110</v>
      </c>
      <c r="P52" s="11" t="s">
        <v>111</v>
      </c>
      <c r="Q52" s="11" t="s">
        <v>112</v>
      </c>
      <c r="R52" s="11" t="s">
        <v>113</v>
      </c>
      <c r="S52" s="11" t="s">
        <v>115</v>
      </c>
      <c r="T52" s="11" t="s">
        <v>116</v>
      </c>
      <c r="U52" s="11" t="s">
        <v>117</v>
      </c>
      <c r="V52" s="11" t="s">
        <v>118</v>
      </c>
      <c r="W52" s="11" t="s">
        <v>119</v>
      </c>
      <c r="X52" s="11" t="s">
        <v>120</v>
      </c>
      <c r="Y52" s="11" t="s">
        <v>121</v>
      </c>
      <c r="Z52" s="11" t="s">
        <v>122</v>
      </c>
      <c r="AA52" s="11" t="s">
        <v>123</v>
      </c>
      <c r="AB52" s="11" t="s">
        <v>124</v>
      </c>
      <c r="AC52" s="11" t="s">
        <v>125</v>
      </c>
      <c r="AD52" s="11" t="s">
        <v>29</v>
      </c>
      <c r="AR52" s="20">
        <v>46.0</v>
      </c>
      <c r="AS52" s="25" t="str">
        <f t="shared" si="1"/>
        <v/>
      </c>
    </row>
    <row r="53" ht="30.0" customHeight="1">
      <c r="B53" s="20">
        <v>1.0</v>
      </c>
      <c r="C53" s="28" t="s">
        <v>126</v>
      </c>
      <c r="D53" s="28" t="s">
        <v>127</v>
      </c>
      <c r="E53" s="28"/>
      <c r="F53" s="28" t="s">
        <v>126</v>
      </c>
      <c r="G53" s="28" t="s">
        <v>129</v>
      </c>
      <c r="H53" s="43">
        <v>60000.0</v>
      </c>
      <c r="I53" s="59">
        <v>9.99999999999E11</v>
      </c>
      <c r="J53" s="43">
        <v>0.0</v>
      </c>
      <c r="K53" s="62">
        <f>Seuil_Bareme_T1</f>
        <v>100000000</v>
      </c>
      <c r="L53" s="28" t="s">
        <v>132</v>
      </c>
      <c r="M53" s="63">
        <f>Gestion_Taux_T1</f>
        <v>0.0018</v>
      </c>
      <c r="N53" s="64">
        <f>Seuil_Bareme_T1</f>
        <v>100000000</v>
      </c>
      <c r="O53" s="62">
        <f>Seuil_Bareme_T2</f>
        <v>500000000</v>
      </c>
      <c r="P53" s="28" t="s">
        <v>132</v>
      </c>
      <c r="Q53" s="63">
        <f>Gestion_Taux_T2</f>
        <v>0.0014</v>
      </c>
      <c r="R53" s="64">
        <f>Seuil_Bareme_T2</f>
        <v>500000000</v>
      </c>
      <c r="S53" s="59">
        <v>9.99999999999E11</v>
      </c>
      <c r="T53" s="28" t="s">
        <v>132</v>
      </c>
      <c r="U53" s="63">
        <f>Gestion_Taux_T3</f>
        <v>0.0009</v>
      </c>
      <c r="V53" s="43">
        <v>0.0</v>
      </c>
      <c r="W53" s="59">
        <v>0.0</v>
      </c>
      <c r="X53" s="28" t="s">
        <v>132</v>
      </c>
      <c r="Y53" s="29">
        <v>0.0</v>
      </c>
      <c r="Z53" s="43">
        <v>0.0</v>
      </c>
      <c r="AA53" s="59">
        <v>0.0</v>
      </c>
      <c r="AB53" s="28" t="s">
        <v>132</v>
      </c>
      <c r="AC53" s="29">
        <v>0.0</v>
      </c>
      <c r="AD53" s="24"/>
      <c r="AR53" s="20">
        <v>47.0</v>
      </c>
      <c r="AS53" s="25" t="str">
        <f t="shared" si="1"/>
        <v/>
      </c>
    </row>
    <row r="54" ht="30.0" customHeight="1">
      <c r="B54" s="20">
        <v>2.0</v>
      </c>
      <c r="C54" s="28" t="s">
        <v>126</v>
      </c>
      <c r="D54" s="28" t="s">
        <v>136</v>
      </c>
      <c r="E54" s="28"/>
      <c r="F54" s="28" t="s">
        <v>126</v>
      </c>
      <c r="G54" s="28" t="s">
        <v>129</v>
      </c>
      <c r="H54" s="43">
        <v>0.0</v>
      </c>
      <c r="I54" s="59">
        <v>9.99999999999E11</v>
      </c>
      <c r="J54" s="43">
        <v>0.0</v>
      </c>
      <c r="K54" s="62">
        <f>Seuil_Bareme_T1</f>
        <v>100000000</v>
      </c>
      <c r="L54" s="28" t="s">
        <v>132</v>
      </c>
      <c r="M54" s="63">
        <f>Conseil_Taux_T1</f>
        <v>0.0045</v>
      </c>
      <c r="N54" s="64">
        <f>Seuil_Bareme_T1</f>
        <v>100000000</v>
      </c>
      <c r="O54" s="62">
        <f>Seuil_Bareme_T2</f>
        <v>500000000</v>
      </c>
      <c r="P54" s="28" t="s">
        <v>132</v>
      </c>
      <c r="Q54" s="63">
        <f>Conseil_Taux_T2</f>
        <v>0.0035</v>
      </c>
      <c r="R54" s="64">
        <f>Seuil_Bareme_T2</f>
        <v>500000000</v>
      </c>
      <c r="S54" s="59">
        <v>9.99999999999E11</v>
      </c>
      <c r="T54" s="28" t="s">
        <v>132</v>
      </c>
      <c r="U54" s="63">
        <f>Conseil_Taux_T3</f>
        <v>0.0025</v>
      </c>
      <c r="V54" s="43">
        <v>0.0</v>
      </c>
      <c r="W54" s="59">
        <v>0.0</v>
      </c>
      <c r="X54" s="28" t="s">
        <v>132</v>
      </c>
      <c r="Y54" s="29">
        <v>0.0</v>
      </c>
      <c r="Z54" s="43">
        <v>0.0</v>
      </c>
      <c r="AA54" s="59">
        <v>0.0</v>
      </c>
      <c r="AB54" s="28" t="s">
        <v>132</v>
      </c>
      <c r="AC54" s="29">
        <v>0.0</v>
      </c>
      <c r="AD54" s="24"/>
      <c r="AR54" s="20">
        <v>48.0</v>
      </c>
      <c r="AS54" s="25" t="str">
        <f t="shared" si="1"/>
        <v/>
      </c>
    </row>
    <row r="55" ht="30.0" customHeight="1">
      <c r="B55" s="20">
        <v>3.0</v>
      </c>
      <c r="C55" s="28" t="s">
        <v>126</v>
      </c>
      <c r="D55" s="28" t="s">
        <v>137</v>
      </c>
      <c r="E55" s="28"/>
      <c r="F55" s="28" t="s">
        <v>126</v>
      </c>
      <c r="G55" s="28" t="s">
        <v>138</v>
      </c>
      <c r="H55" s="43">
        <v>0.0</v>
      </c>
      <c r="I55" s="59">
        <v>9.99999999999E11</v>
      </c>
      <c r="J55" s="43">
        <v>0.0</v>
      </c>
      <c r="K55" s="59">
        <v>9.99999999999E11</v>
      </c>
      <c r="L55" s="28" t="s">
        <v>132</v>
      </c>
      <c r="M55" s="63">
        <f>Distrib_Global_Classe_Selectionnee</f>
        <v>0.001</v>
      </c>
      <c r="N55" s="43">
        <v>0.0</v>
      </c>
      <c r="O55" s="59">
        <v>0.0</v>
      </c>
      <c r="P55" s="28" t="s">
        <v>132</v>
      </c>
      <c r="Q55" s="29">
        <v>0.0</v>
      </c>
      <c r="R55" s="43">
        <v>0.0</v>
      </c>
      <c r="S55" s="59">
        <v>0.0</v>
      </c>
      <c r="T55" s="28" t="s">
        <v>132</v>
      </c>
      <c r="U55" s="29">
        <v>0.0</v>
      </c>
      <c r="V55" s="43">
        <v>0.0</v>
      </c>
      <c r="W55" s="59">
        <v>0.0</v>
      </c>
      <c r="X55" s="28" t="s">
        <v>132</v>
      </c>
      <c r="Y55" s="29">
        <v>0.0</v>
      </c>
      <c r="Z55" s="43">
        <v>0.0</v>
      </c>
      <c r="AA55" s="59">
        <v>0.0</v>
      </c>
      <c r="AB55" s="28" t="s">
        <v>132</v>
      </c>
      <c r="AC55" s="29">
        <v>0.0</v>
      </c>
      <c r="AD55" s="24"/>
      <c r="AR55" s="20">
        <v>49.0</v>
      </c>
      <c r="AS55" s="25" t="str">
        <f t="shared" si="1"/>
        <v/>
      </c>
    </row>
    <row r="56" ht="30.0" customHeight="1">
      <c r="B56" s="20">
        <v>4.0</v>
      </c>
      <c r="C56" s="28" t="s">
        <v>126</v>
      </c>
      <c r="D56" s="28" t="s">
        <v>139</v>
      </c>
      <c r="E56" s="28"/>
      <c r="F56" s="28" t="s">
        <v>126</v>
      </c>
      <c r="G56" s="28" t="s">
        <v>138</v>
      </c>
      <c r="H56" s="43">
        <v>0.0</v>
      </c>
      <c r="I56" s="59">
        <v>9.99999999999E11</v>
      </c>
      <c r="J56" s="43">
        <v>0.0</v>
      </c>
      <c r="K56" s="59">
        <v>9.99999999999E11</v>
      </c>
      <c r="L56" s="28" t="s">
        <v>132</v>
      </c>
      <c r="M56" s="63">
        <f>Distrib_SousDistrib_Classe_Selectionnee</f>
        <v>0.009</v>
      </c>
      <c r="N56" s="43">
        <v>0.0</v>
      </c>
      <c r="O56" s="59">
        <v>0.0</v>
      </c>
      <c r="P56" s="28" t="s">
        <v>132</v>
      </c>
      <c r="Q56" s="29">
        <v>0.0</v>
      </c>
      <c r="R56" s="43">
        <v>0.0</v>
      </c>
      <c r="S56" s="59">
        <v>0.0</v>
      </c>
      <c r="T56" s="28" t="s">
        <v>132</v>
      </c>
      <c r="U56" s="29">
        <v>0.0</v>
      </c>
      <c r="V56" s="43">
        <v>0.0</v>
      </c>
      <c r="W56" s="59">
        <v>0.0</v>
      </c>
      <c r="X56" s="28" t="s">
        <v>132</v>
      </c>
      <c r="Y56" s="29">
        <v>0.0</v>
      </c>
      <c r="Z56" s="43">
        <v>0.0</v>
      </c>
      <c r="AA56" s="59">
        <v>0.0</v>
      </c>
      <c r="AB56" s="28" t="s">
        <v>132</v>
      </c>
      <c r="AC56" s="29">
        <v>0.0</v>
      </c>
      <c r="AD56" s="24"/>
      <c r="AR56" s="20">
        <v>50.0</v>
      </c>
      <c r="AS56" s="25" t="str">
        <f t="shared" si="1"/>
        <v/>
      </c>
    </row>
    <row r="57" ht="30.0" customHeight="1">
      <c r="B57" s="20">
        <v>5.0</v>
      </c>
      <c r="C57" s="28" t="s">
        <v>126</v>
      </c>
      <c r="D57" s="28" t="s">
        <v>36</v>
      </c>
      <c r="E57" s="28" t="s">
        <v>140</v>
      </c>
      <c r="F57" s="28" t="s">
        <v>126</v>
      </c>
      <c r="G57" s="67" t="s">
        <v>129</v>
      </c>
      <c r="H57" s="64">
        <v>12000.0</v>
      </c>
      <c r="I57" s="62">
        <v>50000.0</v>
      </c>
      <c r="J57" s="64">
        <v>0.0</v>
      </c>
      <c r="K57" s="62">
        <v>9.99999999999E11</v>
      </c>
      <c r="L57" s="67" t="s">
        <v>132</v>
      </c>
      <c r="M57" s="63">
        <v>3.0E-4</v>
      </c>
      <c r="N57" s="64">
        <v>0.0</v>
      </c>
      <c r="O57" s="62">
        <v>0.0</v>
      </c>
      <c r="P57" s="67" t="s">
        <v>132</v>
      </c>
      <c r="Q57" s="63">
        <v>0.0</v>
      </c>
      <c r="R57" s="64">
        <v>0.0</v>
      </c>
      <c r="S57" s="62">
        <v>0.0</v>
      </c>
      <c r="T57" s="67" t="s">
        <v>132</v>
      </c>
      <c r="U57" s="63">
        <v>0.0</v>
      </c>
      <c r="V57" s="64">
        <v>0.0</v>
      </c>
      <c r="W57" s="62">
        <v>0.0</v>
      </c>
      <c r="X57" s="67" t="s">
        <v>132</v>
      </c>
      <c r="Y57" s="63">
        <v>0.0</v>
      </c>
      <c r="Z57" s="64">
        <v>0.0</v>
      </c>
      <c r="AA57" s="62">
        <v>0.0</v>
      </c>
      <c r="AB57" s="67" t="s">
        <v>132</v>
      </c>
      <c r="AC57" s="63">
        <v>0.0</v>
      </c>
      <c r="AD57" s="24" t="s">
        <v>141</v>
      </c>
      <c r="AR57" s="20">
        <v>51.0</v>
      </c>
      <c r="AS57" s="25" t="str">
        <f t="shared" si="1"/>
        <v/>
      </c>
    </row>
    <row r="58" ht="30.0" customHeight="1">
      <c r="B58" s="20">
        <v>6.0</v>
      </c>
      <c r="C58" s="28" t="s">
        <v>126</v>
      </c>
      <c r="D58" s="28" t="s">
        <v>142</v>
      </c>
      <c r="E58" s="28" t="s">
        <v>143</v>
      </c>
      <c r="F58" s="28" t="s">
        <v>126</v>
      </c>
      <c r="G58" s="28" t="s">
        <v>129</v>
      </c>
      <c r="H58" s="43">
        <v>0.0</v>
      </c>
      <c r="I58" s="59">
        <v>9.99999999999E11</v>
      </c>
      <c r="J58" s="43">
        <v>0.0</v>
      </c>
      <c r="K58" s="59">
        <v>9.99999999999E11</v>
      </c>
      <c r="L58" s="28" t="s">
        <v>144</v>
      </c>
      <c r="M58" s="49">
        <v>5500.0</v>
      </c>
      <c r="N58" s="43">
        <v>0.0</v>
      </c>
      <c r="O58" s="59">
        <v>0.0</v>
      </c>
      <c r="P58" s="28" t="s">
        <v>132</v>
      </c>
      <c r="Q58" s="29">
        <v>0.0</v>
      </c>
      <c r="R58" s="43">
        <v>0.0</v>
      </c>
      <c r="S58" s="59">
        <v>0.0</v>
      </c>
      <c r="T58" s="28" t="s">
        <v>132</v>
      </c>
      <c r="U58" s="29">
        <v>0.0</v>
      </c>
      <c r="V58" s="43">
        <v>0.0</v>
      </c>
      <c r="W58" s="59">
        <v>0.0</v>
      </c>
      <c r="X58" s="28" t="s">
        <v>132</v>
      </c>
      <c r="Y58" s="29">
        <v>0.0</v>
      </c>
      <c r="Z58" s="43">
        <v>0.0</v>
      </c>
      <c r="AA58" s="59">
        <v>0.0</v>
      </c>
      <c r="AB58" s="28" t="s">
        <v>132</v>
      </c>
      <c r="AC58" s="29">
        <v>0.0</v>
      </c>
      <c r="AD58" s="24" t="s">
        <v>145</v>
      </c>
      <c r="AR58" s="20">
        <v>52.0</v>
      </c>
      <c r="AS58" s="25" t="str">
        <f t="shared" si="1"/>
        <v/>
      </c>
    </row>
    <row r="59" ht="30.0" customHeight="1">
      <c r="B59" s="20">
        <v>7.0</v>
      </c>
      <c r="C59" s="28" t="s">
        <v>126</v>
      </c>
      <c r="D59" s="28" t="s">
        <v>146</v>
      </c>
      <c r="E59" s="28"/>
      <c r="F59" s="28" t="s">
        <v>126</v>
      </c>
      <c r="G59" s="28" t="s">
        <v>129</v>
      </c>
      <c r="H59" s="43">
        <v>0.0</v>
      </c>
      <c r="I59" s="59">
        <v>9.99999999999E11</v>
      </c>
      <c r="J59" s="43">
        <v>0.0</v>
      </c>
      <c r="K59" s="59">
        <v>9.99999999999E11</v>
      </c>
      <c r="L59" s="28" t="s">
        <v>144</v>
      </c>
      <c r="M59" s="49">
        <f>IF(Classe_Selectionnee_Distribue="Oui",Nb_Distributions_Par_An*Cout_Par_Distribution_CAC,0)</f>
        <v>0</v>
      </c>
      <c r="N59" s="43">
        <v>0.0</v>
      </c>
      <c r="O59" s="59">
        <v>0.0</v>
      </c>
      <c r="P59" s="28" t="s">
        <v>132</v>
      </c>
      <c r="Q59" s="29">
        <v>0.0</v>
      </c>
      <c r="R59" s="43">
        <v>0.0</v>
      </c>
      <c r="S59" s="59">
        <v>0.0</v>
      </c>
      <c r="T59" s="28" t="s">
        <v>132</v>
      </c>
      <c r="U59" s="29">
        <v>0.0</v>
      </c>
      <c r="V59" s="43">
        <v>0.0</v>
      </c>
      <c r="W59" s="59">
        <v>0.0</v>
      </c>
      <c r="X59" s="28" t="s">
        <v>132</v>
      </c>
      <c r="Y59" s="29">
        <v>0.0</v>
      </c>
      <c r="Z59" s="43">
        <v>0.0</v>
      </c>
      <c r="AA59" s="59">
        <v>0.0</v>
      </c>
      <c r="AB59" s="28" t="s">
        <v>132</v>
      </c>
      <c r="AC59" s="29">
        <v>0.0</v>
      </c>
      <c r="AD59" s="24"/>
      <c r="AR59" s="20">
        <v>53.0</v>
      </c>
      <c r="AS59" s="25" t="str">
        <f t="shared" si="1"/>
        <v/>
      </c>
    </row>
    <row r="60" ht="30.0" customHeight="1">
      <c r="B60" s="20">
        <v>8.0</v>
      </c>
      <c r="C60" s="28" t="s">
        <v>126</v>
      </c>
      <c r="D60" s="28" t="s">
        <v>147</v>
      </c>
      <c r="E60" s="28" t="s">
        <v>148</v>
      </c>
      <c r="F60" s="28" t="s">
        <v>126</v>
      </c>
      <c r="G60" s="67" t="s">
        <v>129</v>
      </c>
      <c r="H60" s="64">
        <v>0.0</v>
      </c>
      <c r="I60" s="62">
        <v>9.99999999999E11</v>
      </c>
      <c r="J60" s="64">
        <v>0.0</v>
      </c>
      <c r="K60" s="62">
        <v>9.99999999999E11</v>
      </c>
      <c r="L60" s="67" t="s">
        <v>144</v>
      </c>
      <c r="M60" s="47">
        <v>800.0</v>
      </c>
      <c r="N60" s="64">
        <v>0.0</v>
      </c>
      <c r="O60" s="62">
        <v>0.0</v>
      </c>
      <c r="P60" s="67" t="s">
        <v>132</v>
      </c>
      <c r="Q60" s="63">
        <v>0.0</v>
      </c>
      <c r="R60" s="64">
        <v>0.0</v>
      </c>
      <c r="S60" s="62">
        <v>0.0</v>
      </c>
      <c r="T60" s="67" t="s">
        <v>132</v>
      </c>
      <c r="U60" s="63">
        <v>0.0</v>
      </c>
      <c r="V60" s="64">
        <v>0.0</v>
      </c>
      <c r="W60" s="62">
        <v>0.0</v>
      </c>
      <c r="X60" s="67" t="s">
        <v>132</v>
      </c>
      <c r="Y60" s="63">
        <v>0.0</v>
      </c>
      <c r="Z60" s="64">
        <v>0.0</v>
      </c>
      <c r="AA60" s="62">
        <v>0.0</v>
      </c>
      <c r="AB60" s="67" t="s">
        <v>132</v>
      </c>
      <c r="AC60" s="63">
        <v>0.0</v>
      </c>
      <c r="AD60" s="24" t="s">
        <v>149</v>
      </c>
      <c r="AR60" s="20">
        <v>54.0</v>
      </c>
      <c r="AS60" s="25" t="str">
        <f t="shared" si="1"/>
        <v/>
      </c>
    </row>
    <row r="61" ht="30.0" customHeight="1">
      <c r="B61" s="20">
        <v>9.0</v>
      </c>
      <c r="C61" s="28" t="s">
        <v>126</v>
      </c>
      <c r="D61" s="28" t="s">
        <v>50</v>
      </c>
      <c r="E61" s="28" t="s">
        <v>150</v>
      </c>
      <c r="F61" s="28" t="s">
        <v>126</v>
      </c>
      <c r="G61" s="67" t="s">
        <v>129</v>
      </c>
      <c r="H61" s="64">
        <v>0.0</v>
      </c>
      <c r="I61" s="62">
        <v>9.99999999999E11</v>
      </c>
      <c r="J61" s="64">
        <v>0.0</v>
      </c>
      <c r="K61" s="62">
        <v>4.0E7</v>
      </c>
      <c r="L61" s="67" t="s">
        <v>32</v>
      </c>
      <c r="M61" s="47">
        <f>IF(Frequence_VL="Mensuelle",12000,17000)*(1+Majoration_Valorisation)</f>
        <v>12000</v>
      </c>
      <c r="N61" s="64">
        <v>4.0E7</v>
      </c>
      <c r="O61" s="62">
        <v>8.0E7</v>
      </c>
      <c r="P61" s="67" t="s">
        <v>32</v>
      </c>
      <c r="Q61" s="47">
        <f>IF(Frequence_VL="Mensuelle",14000,20000)*(1+Majoration_Valorisation)</f>
        <v>14000</v>
      </c>
      <c r="R61" s="64">
        <v>8.0E7</v>
      </c>
      <c r="S61" s="62">
        <v>1.2E8</v>
      </c>
      <c r="T61" s="67" t="s">
        <v>32</v>
      </c>
      <c r="U61" s="47">
        <f>IF(Frequence_VL="Mensuelle",16000,22000)*(1+Majoration_Valorisation)</f>
        <v>16000</v>
      </c>
      <c r="V61" s="64">
        <v>1.2E8</v>
      </c>
      <c r="W61" s="62">
        <v>9.99999999999E11</v>
      </c>
      <c r="X61" s="67" t="s">
        <v>32</v>
      </c>
      <c r="Y61" s="47">
        <f>IF(Frequence_VL="Mensuelle",18000,24000)*(1+Majoration_Valorisation)</f>
        <v>18000</v>
      </c>
      <c r="Z61" s="64">
        <v>0.0</v>
      </c>
      <c r="AA61" s="62">
        <v>9.99999999999E11</v>
      </c>
      <c r="AB61" s="67" t="s">
        <v>144</v>
      </c>
      <c r="AC61" s="47">
        <f>IF(Nb_Lignes_Valorisation&lt;=10,0,ROUNDUP((Nb_Lignes_Valorisation-10)/10,0)*500)</f>
        <v>0</v>
      </c>
      <c r="AD61" s="24" t="s">
        <v>151</v>
      </c>
      <c r="AR61" s="20">
        <v>55.0</v>
      </c>
      <c r="AS61" s="25" t="str">
        <f t="shared" si="1"/>
        <v/>
      </c>
    </row>
    <row r="62" ht="30.0" customHeight="1">
      <c r="B62" s="20">
        <v>10.0</v>
      </c>
      <c r="C62" s="28" t="s">
        <v>43</v>
      </c>
      <c r="D62" s="28" t="s">
        <v>152</v>
      </c>
      <c r="E62" s="28" t="s">
        <v>153</v>
      </c>
      <c r="F62" s="28" t="s">
        <v>126</v>
      </c>
      <c r="G62" s="67" t="s">
        <v>129</v>
      </c>
      <c r="H62" s="64">
        <v>0.0</v>
      </c>
      <c r="I62" s="62">
        <v>9.99999999999E11</v>
      </c>
      <c r="J62" s="64">
        <v>0.0</v>
      </c>
      <c r="K62" s="62">
        <v>9.99999999999E11</v>
      </c>
      <c r="L62" s="67" t="s">
        <v>144</v>
      </c>
      <c r="M62" s="47">
        <v>500.0</v>
      </c>
      <c r="N62" s="64">
        <v>0.0</v>
      </c>
      <c r="O62" s="62">
        <v>0.0</v>
      </c>
      <c r="P62" s="67" t="s">
        <v>132</v>
      </c>
      <c r="Q62" s="63">
        <v>0.0</v>
      </c>
      <c r="R62" s="64">
        <v>0.0</v>
      </c>
      <c r="S62" s="62">
        <v>0.0</v>
      </c>
      <c r="T62" s="67" t="s">
        <v>132</v>
      </c>
      <c r="U62" s="63">
        <v>0.0</v>
      </c>
      <c r="V62" s="64">
        <v>0.0</v>
      </c>
      <c r="W62" s="62">
        <v>0.0</v>
      </c>
      <c r="X62" s="67" t="s">
        <v>132</v>
      </c>
      <c r="Y62" s="63">
        <v>0.0</v>
      </c>
      <c r="Z62" s="64">
        <v>0.0</v>
      </c>
      <c r="AA62" s="62">
        <v>0.0</v>
      </c>
      <c r="AB62" s="67" t="s">
        <v>132</v>
      </c>
      <c r="AC62" s="63">
        <v>0.0</v>
      </c>
      <c r="AD62" s="24" t="s">
        <v>154</v>
      </c>
      <c r="AR62" s="20">
        <v>56.0</v>
      </c>
      <c r="AS62" s="25" t="str">
        <f t="shared" si="1"/>
        <v/>
      </c>
    </row>
    <row r="63" ht="30.0" customHeight="1">
      <c r="B63" s="20">
        <v>11.0</v>
      </c>
      <c r="C63" s="28" t="s">
        <v>126</v>
      </c>
      <c r="D63" s="28" t="s">
        <v>155</v>
      </c>
      <c r="E63" s="28" t="s">
        <v>156</v>
      </c>
      <c r="F63" s="28" t="s">
        <v>126</v>
      </c>
      <c r="G63" s="67" t="s">
        <v>129</v>
      </c>
      <c r="H63" s="64">
        <v>0.0</v>
      </c>
      <c r="I63" s="62">
        <v>9.99999999999E11</v>
      </c>
      <c r="J63" s="64">
        <v>0.0</v>
      </c>
      <c r="K63" s="62">
        <v>9.99999999999E11</v>
      </c>
      <c r="L63" s="67" t="s">
        <v>144</v>
      </c>
      <c r="M63" s="47">
        <v>1000.0</v>
      </c>
      <c r="N63" s="64">
        <v>0.0</v>
      </c>
      <c r="O63" s="62">
        <v>9.99999999999E11</v>
      </c>
      <c r="P63" s="67" t="s">
        <v>144</v>
      </c>
      <c r="Q63" s="47">
        <f>Cout_Marginal_Investisseur*Nb_Investisseurs</f>
        <v>900</v>
      </c>
      <c r="R63" s="64">
        <v>0.0</v>
      </c>
      <c r="S63" s="62">
        <v>0.0</v>
      </c>
      <c r="T63" s="67" t="s">
        <v>132</v>
      </c>
      <c r="U63" s="63">
        <v>0.0</v>
      </c>
      <c r="V63" s="64">
        <v>0.0</v>
      </c>
      <c r="W63" s="62">
        <v>0.0</v>
      </c>
      <c r="X63" s="67" t="s">
        <v>132</v>
      </c>
      <c r="Y63" s="63">
        <v>0.0</v>
      </c>
      <c r="Z63" s="64">
        <v>0.0</v>
      </c>
      <c r="AA63" s="62">
        <v>0.0</v>
      </c>
      <c r="AB63" s="67" t="s">
        <v>132</v>
      </c>
      <c r="AC63" s="63">
        <v>0.0</v>
      </c>
      <c r="AD63" s="24" t="s">
        <v>158</v>
      </c>
      <c r="AR63" s="20">
        <v>57.0</v>
      </c>
      <c r="AS63" s="25" t="str">
        <f t="shared" si="1"/>
        <v/>
      </c>
    </row>
    <row r="64" ht="30.0" customHeight="1">
      <c r="B64" s="20">
        <v>12.0</v>
      </c>
      <c r="C64" s="28" t="s">
        <v>126</v>
      </c>
      <c r="D64" s="28" t="s">
        <v>159</v>
      </c>
      <c r="E64" s="28" t="s">
        <v>159</v>
      </c>
      <c r="F64" s="28" t="s">
        <v>126</v>
      </c>
      <c r="G64" s="67" t="s">
        <v>129</v>
      </c>
      <c r="H64" s="64">
        <v>0.0</v>
      </c>
      <c r="I64" s="62">
        <v>9.99999999999E11</v>
      </c>
      <c r="J64" s="64">
        <v>0.0</v>
      </c>
      <c r="K64" s="62">
        <v>9.99999999999E11</v>
      </c>
      <c r="L64" s="67" t="s">
        <v>144</v>
      </c>
      <c r="M64" s="47">
        <v>1392.0</v>
      </c>
      <c r="N64" s="64">
        <v>0.0</v>
      </c>
      <c r="O64" s="62">
        <v>0.0</v>
      </c>
      <c r="P64" s="67" t="s">
        <v>132</v>
      </c>
      <c r="Q64" s="63">
        <v>0.0</v>
      </c>
      <c r="R64" s="64">
        <v>0.0</v>
      </c>
      <c r="S64" s="62">
        <v>0.0</v>
      </c>
      <c r="T64" s="67" t="s">
        <v>132</v>
      </c>
      <c r="U64" s="63">
        <v>0.0</v>
      </c>
      <c r="V64" s="64">
        <v>0.0</v>
      </c>
      <c r="W64" s="62">
        <v>0.0</v>
      </c>
      <c r="X64" s="67" t="s">
        <v>132</v>
      </c>
      <c r="Y64" s="63">
        <v>0.0</v>
      </c>
      <c r="Z64" s="64">
        <v>0.0</v>
      </c>
      <c r="AA64" s="62">
        <v>0.0</v>
      </c>
      <c r="AB64" s="67" t="s">
        <v>132</v>
      </c>
      <c r="AC64" s="63">
        <v>0.0</v>
      </c>
      <c r="AD64" s="24" t="s">
        <v>160</v>
      </c>
      <c r="AR64" s="20">
        <v>58.0</v>
      </c>
      <c r="AS64" s="25" t="str">
        <f t="shared" si="1"/>
        <v/>
      </c>
    </row>
    <row r="65" ht="30.0" customHeight="1">
      <c r="B65" s="20">
        <v>13.0</v>
      </c>
      <c r="C65" s="28" t="s">
        <v>126</v>
      </c>
      <c r="D65" s="28" t="s">
        <v>161</v>
      </c>
      <c r="E65" s="28"/>
      <c r="F65" s="28" t="s">
        <v>126</v>
      </c>
      <c r="G65" s="28" t="s">
        <v>162</v>
      </c>
      <c r="H65" s="43">
        <v>0.0</v>
      </c>
      <c r="I65" s="59">
        <v>9.99999999999E11</v>
      </c>
      <c r="J65" s="43">
        <v>0.0</v>
      </c>
      <c r="K65" s="59">
        <v>0.0</v>
      </c>
      <c r="L65" s="28" t="s">
        <v>132</v>
      </c>
      <c r="M65" s="63">
        <v>0.0</v>
      </c>
      <c r="N65" s="43">
        <v>0.0</v>
      </c>
      <c r="O65" s="59">
        <v>0.0</v>
      </c>
      <c r="P65" s="28" t="s">
        <v>132</v>
      </c>
      <c r="Q65" s="63">
        <v>0.0</v>
      </c>
      <c r="R65" s="43">
        <v>0.0</v>
      </c>
      <c r="S65" s="59">
        <v>0.0</v>
      </c>
      <c r="T65" s="28" t="s">
        <v>132</v>
      </c>
      <c r="U65" s="63">
        <v>0.0</v>
      </c>
      <c r="V65" s="43">
        <v>0.0</v>
      </c>
      <c r="W65" s="59">
        <v>0.0</v>
      </c>
      <c r="X65" s="28" t="s">
        <v>132</v>
      </c>
      <c r="Y65" s="63">
        <v>0.0</v>
      </c>
      <c r="Z65" s="43">
        <v>0.0</v>
      </c>
      <c r="AA65" s="59">
        <v>0.0</v>
      </c>
      <c r="AB65" s="28" t="s">
        <v>132</v>
      </c>
      <c r="AC65" s="63">
        <v>0.0</v>
      </c>
      <c r="AD65" s="24"/>
      <c r="AR65" s="20">
        <v>59.0</v>
      </c>
      <c r="AS65" s="25" t="str">
        <f t="shared" si="1"/>
        <v/>
      </c>
    </row>
    <row r="66" ht="30.0" customHeight="1">
      <c r="B66" s="20">
        <v>14.0</v>
      </c>
      <c r="C66" s="28" t="s">
        <v>43</v>
      </c>
      <c r="D66" s="28" t="s">
        <v>163</v>
      </c>
      <c r="E66" s="28"/>
      <c r="F66" s="28" t="s">
        <v>43</v>
      </c>
      <c r="G66" s="28" t="s">
        <v>129</v>
      </c>
      <c r="H66" s="43">
        <f>Plancher_Constitution</f>
        <v>60000</v>
      </c>
      <c r="I66" s="59">
        <v>9.99999999999E11</v>
      </c>
      <c r="J66" s="43">
        <v>0.0</v>
      </c>
      <c r="K66" s="59">
        <v>9.99999999999E11</v>
      </c>
      <c r="L66" s="28" t="s">
        <v>144</v>
      </c>
      <c r="M66" s="49">
        <f>MAX(Plancher_Constitution,Taux_Constitution*ActifNet_Prev_An1)</f>
        <v>60000</v>
      </c>
      <c r="N66" s="43">
        <v>0.0</v>
      </c>
      <c r="O66" s="59">
        <v>0.0</v>
      </c>
      <c r="P66" s="28" t="s">
        <v>132</v>
      </c>
      <c r="Q66" s="29">
        <v>0.0</v>
      </c>
      <c r="R66" s="43">
        <v>0.0</v>
      </c>
      <c r="S66" s="59">
        <v>0.0</v>
      </c>
      <c r="T66" s="28" t="s">
        <v>132</v>
      </c>
      <c r="U66" s="29">
        <v>0.0</v>
      </c>
      <c r="V66" s="43">
        <v>0.0</v>
      </c>
      <c r="W66" s="59">
        <v>0.0</v>
      </c>
      <c r="X66" s="28" t="s">
        <v>132</v>
      </c>
      <c r="Y66" s="29">
        <v>0.0</v>
      </c>
      <c r="Z66" s="43">
        <v>0.0</v>
      </c>
      <c r="AA66" s="59">
        <v>0.0</v>
      </c>
      <c r="AB66" s="28" t="s">
        <v>132</v>
      </c>
      <c r="AC66" s="29">
        <v>0.0</v>
      </c>
      <c r="AD66" s="24"/>
      <c r="AR66" s="20">
        <v>60.0</v>
      </c>
      <c r="AS66" s="25" t="str">
        <f t="shared" si="1"/>
        <v/>
      </c>
    </row>
    <row r="67" ht="30.0" customHeight="1">
      <c r="B67" s="20">
        <v>15.0</v>
      </c>
      <c r="C67" s="28" t="s">
        <v>43</v>
      </c>
      <c r="D67" s="28" t="s">
        <v>164</v>
      </c>
      <c r="E67" s="28" t="s">
        <v>140</v>
      </c>
      <c r="F67" s="28" t="s">
        <v>126</v>
      </c>
      <c r="G67" s="67" t="s">
        <v>129</v>
      </c>
      <c r="H67" s="64">
        <v>0.0</v>
      </c>
      <c r="I67" s="62">
        <v>9.99999999999E11</v>
      </c>
      <c r="J67" s="64">
        <v>0.0</v>
      </c>
      <c r="K67" s="62">
        <v>9.99999999999E11</v>
      </c>
      <c r="L67" s="67" t="s">
        <v>144</v>
      </c>
      <c r="M67" s="47">
        <v>7000.0</v>
      </c>
      <c r="N67" s="64">
        <v>0.0</v>
      </c>
      <c r="O67" s="62">
        <v>0.0</v>
      </c>
      <c r="P67" s="67" t="s">
        <v>132</v>
      </c>
      <c r="Q67" s="63">
        <v>0.0</v>
      </c>
      <c r="R67" s="64">
        <v>0.0</v>
      </c>
      <c r="S67" s="62">
        <v>0.0</v>
      </c>
      <c r="T67" s="67" t="s">
        <v>132</v>
      </c>
      <c r="U67" s="63">
        <v>0.0</v>
      </c>
      <c r="V67" s="64">
        <v>0.0</v>
      </c>
      <c r="W67" s="62">
        <v>0.0</v>
      </c>
      <c r="X67" s="67" t="s">
        <v>132</v>
      </c>
      <c r="Y67" s="63">
        <v>0.0</v>
      </c>
      <c r="Z67" s="64">
        <v>0.0</v>
      </c>
      <c r="AA67" s="62">
        <v>0.0</v>
      </c>
      <c r="AB67" s="67" t="s">
        <v>132</v>
      </c>
      <c r="AC67" s="63">
        <v>0.0</v>
      </c>
      <c r="AD67" s="24" t="s">
        <v>170</v>
      </c>
      <c r="AR67" s="20">
        <v>61.0</v>
      </c>
      <c r="AS67" s="25" t="str">
        <f t="shared" si="1"/>
        <v/>
      </c>
    </row>
    <row r="68" ht="30.0" customHeight="1">
      <c r="B68" s="20">
        <v>16.0</v>
      </c>
      <c r="C68" s="28" t="s">
        <v>43</v>
      </c>
      <c r="D68" s="28" t="s">
        <v>171</v>
      </c>
      <c r="E68" s="28" t="s">
        <v>140</v>
      </c>
      <c r="F68" s="28" t="s">
        <v>43</v>
      </c>
      <c r="G68" s="67" t="s">
        <v>129</v>
      </c>
      <c r="H68" s="64">
        <v>0.0</v>
      </c>
      <c r="I68" s="62">
        <v>9.99999999999E11</v>
      </c>
      <c r="J68" s="64">
        <v>0.0</v>
      </c>
      <c r="K68" s="62">
        <v>9.99999999999E11</v>
      </c>
      <c r="L68" s="67" t="s">
        <v>144</v>
      </c>
      <c r="M68" s="47">
        <v>1000.0</v>
      </c>
      <c r="N68" s="64">
        <v>0.0</v>
      </c>
      <c r="O68" s="62">
        <v>0.0</v>
      </c>
      <c r="P68" s="67" t="s">
        <v>132</v>
      </c>
      <c r="Q68" s="63">
        <v>0.0</v>
      </c>
      <c r="R68" s="64">
        <v>0.0</v>
      </c>
      <c r="S68" s="62">
        <v>0.0</v>
      </c>
      <c r="T68" s="67" t="s">
        <v>132</v>
      </c>
      <c r="U68" s="63">
        <v>0.0</v>
      </c>
      <c r="V68" s="64">
        <v>0.0</v>
      </c>
      <c r="W68" s="62">
        <v>0.0</v>
      </c>
      <c r="X68" s="67" t="s">
        <v>132</v>
      </c>
      <c r="Y68" s="63">
        <v>0.0</v>
      </c>
      <c r="Z68" s="64">
        <v>0.0</v>
      </c>
      <c r="AA68" s="62">
        <v>0.0</v>
      </c>
      <c r="AB68" s="67" t="s">
        <v>132</v>
      </c>
      <c r="AC68" s="63">
        <v>0.0</v>
      </c>
      <c r="AD68" s="24" t="s">
        <v>172</v>
      </c>
      <c r="AR68" s="20">
        <v>62.0</v>
      </c>
      <c r="AS68" s="25" t="str">
        <f t="shared" si="1"/>
        <v/>
      </c>
    </row>
    <row r="69" ht="30.0" customHeight="1">
      <c r="B69" s="20">
        <v>17.0</v>
      </c>
      <c r="C69" s="28" t="s">
        <v>43</v>
      </c>
      <c r="D69" s="28" t="s">
        <v>173</v>
      </c>
      <c r="E69" s="28" t="s">
        <v>153</v>
      </c>
      <c r="F69" s="28" t="s">
        <v>126</v>
      </c>
      <c r="G69" s="67" t="s">
        <v>129</v>
      </c>
      <c r="H69" s="64">
        <v>0.0</v>
      </c>
      <c r="I69" s="62">
        <v>9.99999999999E11</v>
      </c>
      <c r="J69" s="64">
        <v>0.0</v>
      </c>
      <c r="K69" s="62">
        <v>9.99999999999E11</v>
      </c>
      <c r="L69" s="67" t="s">
        <v>144</v>
      </c>
      <c r="M69" s="47">
        <v>500.0</v>
      </c>
      <c r="N69" s="64">
        <v>0.0</v>
      </c>
      <c r="O69" s="62">
        <v>0.0</v>
      </c>
      <c r="P69" s="67" t="s">
        <v>132</v>
      </c>
      <c r="Q69" s="63">
        <v>0.0</v>
      </c>
      <c r="R69" s="64">
        <v>0.0</v>
      </c>
      <c r="S69" s="62">
        <v>0.0</v>
      </c>
      <c r="T69" s="67" t="s">
        <v>132</v>
      </c>
      <c r="U69" s="63">
        <v>0.0</v>
      </c>
      <c r="V69" s="64">
        <v>0.0</v>
      </c>
      <c r="W69" s="62">
        <v>0.0</v>
      </c>
      <c r="X69" s="67" t="s">
        <v>132</v>
      </c>
      <c r="Y69" s="63">
        <v>0.0</v>
      </c>
      <c r="Z69" s="64">
        <v>0.0</v>
      </c>
      <c r="AA69" s="62">
        <v>0.0</v>
      </c>
      <c r="AB69" s="67" t="s">
        <v>132</v>
      </c>
      <c r="AC69" s="63">
        <v>0.0</v>
      </c>
      <c r="AD69" s="24" t="s">
        <v>175</v>
      </c>
      <c r="AR69" s="20">
        <v>63.0</v>
      </c>
      <c r="AS69" s="25" t="str">
        <f t="shared" si="1"/>
        <v/>
      </c>
    </row>
    <row r="70" ht="30.0" hidden="1" customHeight="1" outlineLevel="1">
      <c r="B70" s="20">
        <v>18.0</v>
      </c>
      <c r="C70" s="28" t="s">
        <v>43</v>
      </c>
      <c r="D70" s="28"/>
      <c r="E70" s="28"/>
      <c r="F70" s="28" t="s">
        <v>126</v>
      </c>
      <c r="G70" s="28" t="s">
        <v>129</v>
      </c>
      <c r="H70" s="43">
        <v>0.0</v>
      </c>
      <c r="I70" s="59">
        <v>9.99999999999E11</v>
      </c>
      <c r="J70" s="43">
        <v>0.0</v>
      </c>
      <c r="K70" s="59">
        <v>0.0</v>
      </c>
      <c r="L70" s="28" t="s">
        <v>132</v>
      </c>
      <c r="M70" s="29">
        <v>0.0</v>
      </c>
      <c r="N70" s="43">
        <v>0.0</v>
      </c>
      <c r="O70" s="59">
        <v>0.0</v>
      </c>
      <c r="P70" s="28" t="s">
        <v>132</v>
      </c>
      <c r="Q70" s="29">
        <v>0.0</v>
      </c>
      <c r="R70" s="43">
        <v>0.0</v>
      </c>
      <c r="S70" s="59">
        <v>0.0</v>
      </c>
      <c r="T70" s="28" t="s">
        <v>132</v>
      </c>
      <c r="U70" s="29">
        <v>0.0</v>
      </c>
      <c r="V70" s="43">
        <v>0.0</v>
      </c>
      <c r="W70" s="59">
        <v>0.0</v>
      </c>
      <c r="X70" s="28" t="s">
        <v>132</v>
      </c>
      <c r="Y70" s="29">
        <v>0.0</v>
      </c>
      <c r="Z70" s="43">
        <v>0.0</v>
      </c>
      <c r="AA70" s="59">
        <v>0.0</v>
      </c>
      <c r="AB70" s="28" t="s">
        <v>132</v>
      </c>
      <c r="AC70" s="29">
        <v>0.0</v>
      </c>
      <c r="AD70" s="28"/>
      <c r="AR70" s="20">
        <v>64.0</v>
      </c>
      <c r="AS70" s="25" t="str">
        <f t="shared" si="1"/>
        <v/>
      </c>
    </row>
    <row r="71" ht="30.0" hidden="1" customHeight="1" outlineLevel="1">
      <c r="B71" s="20">
        <v>19.0</v>
      </c>
      <c r="C71" s="28" t="s">
        <v>43</v>
      </c>
      <c r="D71" s="28"/>
      <c r="E71" s="28"/>
      <c r="F71" s="28" t="s">
        <v>126</v>
      </c>
      <c r="G71" s="28" t="s">
        <v>129</v>
      </c>
      <c r="H71" s="43">
        <v>0.0</v>
      </c>
      <c r="I71" s="59">
        <v>9.99999999999E11</v>
      </c>
      <c r="J71" s="43">
        <v>0.0</v>
      </c>
      <c r="K71" s="59">
        <v>0.0</v>
      </c>
      <c r="L71" s="28" t="s">
        <v>132</v>
      </c>
      <c r="M71" s="29">
        <v>0.0</v>
      </c>
      <c r="N71" s="43">
        <v>0.0</v>
      </c>
      <c r="O71" s="59">
        <v>0.0</v>
      </c>
      <c r="P71" s="28" t="s">
        <v>132</v>
      </c>
      <c r="Q71" s="29">
        <v>0.0</v>
      </c>
      <c r="R71" s="43">
        <v>0.0</v>
      </c>
      <c r="S71" s="59">
        <v>0.0</v>
      </c>
      <c r="T71" s="28" t="s">
        <v>132</v>
      </c>
      <c r="U71" s="29">
        <v>0.0</v>
      </c>
      <c r="V71" s="43">
        <v>0.0</v>
      </c>
      <c r="W71" s="59">
        <v>0.0</v>
      </c>
      <c r="X71" s="28" t="s">
        <v>132</v>
      </c>
      <c r="Y71" s="29">
        <v>0.0</v>
      </c>
      <c r="Z71" s="43">
        <v>0.0</v>
      </c>
      <c r="AA71" s="59">
        <v>0.0</v>
      </c>
      <c r="AB71" s="28" t="s">
        <v>132</v>
      </c>
      <c r="AC71" s="29">
        <v>0.0</v>
      </c>
      <c r="AD71" s="28"/>
      <c r="AR71" s="20">
        <v>65.0</v>
      </c>
      <c r="AS71" s="25" t="str">
        <f t="shared" si="1"/>
        <v/>
      </c>
    </row>
    <row r="72" ht="30.0" hidden="1" customHeight="1" outlineLevel="1">
      <c r="B72" s="20">
        <v>20.0</v>
      </c>
      <c r="C72" s="28" t="s">
        <v>43</v>
      </c>
      <c r="D72" s="28"/>
      <c r="E72" s="28"/>
      <c r="F72" s="28" t="s">
        <v>126</v>
      </c>
      <c r="G72" s="28" t="s">
        <v>129</v>
      </c>
      <c r="H72" s="43">
        <v>0.0</v>
      </c>
      <c r="I72" s="59">
        <v>9.99999999999E11</v>
      </c>
      <c r="J72" s="43">
        <v>0.0</v>
      </c>
      <c r="K72" s="59">
        <v>0.0</v>
      </c>
      <c r="L72" s="28" t="s">
        <v>132</v>
      </c>
      <c r="M72" s="29">
        <v>0.0</v>
      </c>
      <c r="N72" s="43">
        <v>0.0</v>
      </c>
      <c r="O72" s="59">
        <v>0.0</v>
      </c>
      <c r="P72" s="28" t="s">
        <v>132</v>
      </c>
      <c r="Q72" s="29">
        <v>0.0</v>
      </c>
      <c r="R72" s="43">
        <v>0.0</v>
      </c>
      <c r="S72" s="59">
        <v>0.0</v>
      </c>
      <c r="T72" s="28" t="s">
        <v>132</v>
      </c>
      <c r="U72" s="29">
        <v>0.0</v>
      </c>
      <c r="V72" s="43">
        <v>0.0</v>
      </c>
      <c r="W72" s="59">
        <v>0.0</v>
      </c>
      <c r="X72" s="28" t="s">
        <v>132</v>
      </c>
      <c r="Y72" s="29">
        <v>0.0</v>
      </c>
      <c r="Z72" s="43">
        <v>0.0</v>
      </c>
      <c r="AA72" s="59">
        <v>0.0</v>
      </c>
      <c r="AB72" s="28" t="s">
        <v>132</v>
      </c>
      <c r="AC72" s="29">
        <v>0.0</v>
      </c>
      <c r="AD72" s="28"/>
      <c r="AR72" s="20">
        <v>66.0</v>
      </c>
      <c r="AS72" s="25" t="str">
        <f t="shared" si="1"/>
        <v/>
      </c>
    </row>
    <row r="73" ht="15.75" customHeight="1">
      <c r="AR73" s="20">
        <v>67.0</v>
      </c>
      <c r="AS73" s="25" t="str">
        <f t="shared" si="1"/>
        <v/>
      </c>
    </row>
    <row r="74" ht="15.75" customHeight="1">
      <c r="AR74" s="20">
        <v>68.0</v>
      </c>
      <c r="AS74" s="25" t="str">
        <f t="shared" si="1"/>
        <v/>
      </c>
    </row>
    <row r="75" ht="45.0" customHeight="1">
      <c r="B75" s="32" t="s">
        <v>176</v>
      </c>
      <c r="C75" s="33"/>
      <c r="D75" s="33"/>
      <c r="E75" s="33"/>
      <c r="F75" s="33"/>
      <c r="G75" s="34"/>
      <c r="AR75" s="20">
        <v>69.0</v>
      </c>
      <c r="AS75" s="25" t="str">
        <f t="shared" si="1"/>
        <v/>
      </c>
    </row>
    <row r="76" ht="15.75" customHeight="1">
      <c r="B76" s="35"/>
      <c r="G76" s="36"/>
      <c r="AR76" s="20">
        <v>70.0</v>
      </c>
      <c r="AS76" s="25" t="str">
        <f t="shared" si="1"/>
        <v/>
      </c>
    </row>
    <row r="77" ht="15.75" customHeight="1">
      <c r="B77" s="37"/>
      <c r="C77" s="38"/>
      <c r="D77" s="38"/>
      <c r="E77" s="38"/>
      <c r="F77" s="38"/>
      <c r="G77" s="39"/>
      <c r="AR77" s="20">
        <v>71.0</v>
      </c>
      <c r="AS77" s="25" t="str">
        <f t="shared" si="1"/>
        <v/>
      </c>
    </row>
    <row r="78" ht="15.75" customHeight="1">
      <c r="AR78" s="20">
        <v>72.0</v>
      </c>
      <c r="AS78" s="25" t="str">
        <f t="shared" si="1"/>
        <v/>
      </c>
    </row>
    <row r="79" ht="15.75" customHeight="1">
      <c r="AR79" s="20">
        <v>73.0</v>
      </c>
      <c r="AS79" s="25" t="str">
        <f t="shared" si="1"/>
        <v/>
      </c>
    </row>
    <row r="80" ht="15.75" customHeight="1">
      <c r="AR80" s="20">
        <v>74.0</v>
      </c>
      <c r="AS80" s="25" t="str">
        <f t="shared" si="1"/>
        <v/>
      </c>
    </row>
    <row r="81" ht="15.75" customHeight="1">
      <c r="AR81" s="20">
        <v>75.0</v>
      </c>
      <c r="AS81" s="25" t="str">
        <f t="shared" si="1"/>
        <v/>
      </c>
    </row>
    <row r="82" ht="15.75" customHeight="1">
      <c r="AR82" s="20">
        <v>76.0</v>
      </c>
      <c r="AS82" s="25" t="str">
        <f t="shared" si="1"/>
        <v/>
      </c>
    </row>
    <row r="83" ht="15.75" customHeight="1">
      <c r="AR83" s="20">
        <v>77.0</v>
      </c>
      <c r="AS83" s="25" t="str">
        <f t="shared" si="1"/>
        <v/>
      </c>
    </row>
    <row r="84" ht="15.75" customHeight="1">
      <c r="AR84" s="20">
        <v>78.0</v>
      </c>
      <c r="AS84" s="25" t="str">
        <f t="shared" si="1"/>
        <v/>
      </c>
    </row>
    <row r="85" ht="15.75" customHeight="1">
      <c r="AR85" s="20">
        <v>79.0</v>
      </c>
      <c r="AS85" s="25" t="str">
        <f t="shared" si="1"/>
        <v/>
      </c>
    </row>
    <row r="86" ht="15.75" customHeight="1">
      <c r="AR86" s="20">
        <v>80.0</v>
      </c>
      <c r="AS86" s="25" t="str">
        <f t="shared" si="1"/>
        <v/>
      </c>
    </row>
    <row r="87" ht="15.75" customHeight="1">
      <c r="AR87" s="20">
        <v>81.0</v>
      </c>
      <c r="AS87" s="25" t="str">
        <f t="shared" si="1"/>
        <v/>
      </c>
    </row>
    <row r="88" ht="15.75" customHeight="1">
      <c r="AR88" s="20">
        <v>82.0</v>
      </c>
      <c r="AS88" s="25" t="str">
        <f t="shared" si="1"/>
        <v/>
      </c>
    </row>
    <row r="89" ht="15.75" customHeight="1">
      <c r="AR89" s="20">
        <v>83.0</v>
      </c>
      <c r="AS89" s="25" t="str">
        <f t="shared" si="1"/>
        <v/>
      </c>
    </row>
    <row r="90" ht="15.75" customHeight="1">
      <c r="AR90" s="20">
        <v>84.0</v>
      </c>
      <c r="AS90" s="25" t="str">
        <f t="shared" si="1"/>
        <v/>
      </c>
    </row>
    <row r="91" ht="15.75" customHeight="1">
      <c r="AR91" s="20">
        <v>85.0</v>
      </c>
      <c r="AS91" s="25" t="str">
        <f t="shared" si="1"/>
        <v/>
      </c>
    </row>
    <row r="92" ht="15.75" customHeight="1">
      <c r="AR92" s="20">
        <v>86.0</v>
      </c>
      <c r="AS92" s="25" t="str">
        <f t="shared" si="1"/>
        <v/>
      </c>
    </row>
    <row r="93" ht="15.75" customHeight="1">
      <c r="AR93" s="20">
        <v>87.0</v>
      </c>
      <c r="AS93" s="25" t="str">
        <f t="shared" si="1"/>
        <v/>
      </c>
    </row>
    <row r="94" ht="15.75" customHeight="1">
      <c r="AR94" s="20">
        <v>88.0</v>
      </c>
      <c r="AS94" s="25" t="str">
        <f t="shared" si="1"/>
        <v/>
      </c>
    </row>
    <row r="95" ht="15.75" customHeight="1">
      <c r="AR95" s="20">
        <v>89.0</v>
      </c>
      <c r="AS95" s="25" t="str">
        <f t="shared" si="1"/>
        <v/>
      </c>
    </row>
    <row r="96" ht="15.75" customHeight="1">
      <c r="AR96" s="20">
        <v>90.0</v>
      </c>
      <c r="AS96" s="25" t="str">
        <f t="shared" si="1"/>
        <v/>
      </c>
    </row>
    <row r="97" ht="15.75" customHeight="1">
      <c r="AR97" s="20">
        <v>91.0</v>
      </c>
      <c r="AS97" s="25" t="str">
        <f t="shared" si="1"/>
        <v/>
      </c>
    </row>
    <row r="98" ht="15.75" customHeight="1">
      <c r="AR98" s="20">
        <v>92.0</v>
      </c>
      <c r="AS98" s="25" t="str">
        <f t="shared" si="1"/>
        <v/>
      </c>
    </row>
    <row r="99" ht="15.75" customHeight="1">
      <c r="AR99" s="20">
        <v>93.0</v>
      </c>
      <c r="AS99" s="25" t="str">
        <f t="shared" si="1"/>
        <v/>
      </c>
    </row>
    <row r="100" ht="15.75" customHeight="1">
      <c r="AR100" s="20">
        <v>94.0</v>
      </c>
      <c r="AS100" s="25" t="str">
        <f t="shared" si="1"/>
        <v/>
      </c>
    </row>
    <row r="101" ht="15.75" customHeight="1">
      <c r="AR101" s="20">
        <v>95.0</v>
      </c>
      <c r="AS101" s="25" t="str">
        <f t="shared" si="1"/>
        <v/>
      </c>
    </row>
    <row r="102" ht="15.75" customHeight="1">
      <c r="AR102" s="20">
        <v>96.0</v>
      </c>
      <c r="AS102" s="25" t="str">
        <f t="shared" si="1"/>
        <v/>
      </c>
    </row>
    <row r="103" ht="15.75" customHeight="1">
      <c r="AR103" s="20">
        <v>97.0</v>
      </c>
      <c r="AS103" s="25" t="str">
        <f t="shared" si="1"/>
        <v/>
      </c>
    </row>
    <row r="104" ht="15.75" customHeight="1">
      <c r="AR104" s="20">
        <v>98.0</v>
      </c>
      <c r="AS104" s="25" t="str">
        <f t="shared" si="1"/>
        <v/>
      </c>
    </row>
    <row r="105" ht="15.75" customHeight="1">
      <c r="AR105" s="20">
        <v>99.0</v>
      </c>
      <c r="AS105" s="25" t="str">
        <f t="shared" si="1"/>
        <v/>
      </c>
    </row>
    <row r="106" ht="15.75" customHeight="1">
      <c r="AR106" s="20">
        <v>100.0</v>
      </c>
      <c r="AS106" s="25" t="str">
        <f t="shared" si="1"/>
        <v/>
      </c>
    </row>
    <row r="107" ht="15.75" customHeight="1">
      <c r="AR107" s="20">
        <v>101.0</v>
      </c>
      <c r="AS107" s="25" t="str">
        <f t="shared" si="1"/>
        <v/>
      </c>
    </row>
    <row r="108" ht="15.75" customHeight="1">
      <c r="AR108" s="20">
        <v>102.0</v>
      </c>
      <c r="AS108" s="25" t="str">
        <f t="shared" si="1"/>
        <v/>
      </c>
    </row>
    <row r="109" ht="15.75" customHeight="1">
      <c r="AR109" s="20">
        <v>103.0</v>
      </c>
      <c r="AS109" s="25" t="str">
        <f t="shared" si="1"/>
        <v/>
      </c>
    </row>
    <row r="110" ht="15.75" customHeight="1">
      <c r="AR110" s="20">
        <v>104.0</v>
      </c>
      <c r="AS110" s="25" t="str">
        <f t="shared" si="1"/>
        <v/>
      </c>
    </row>
    <row r="111" ht="15.75" customHeight="1">
      <c r="AR111" s="20">
        <v>105.0</v>
      </c>
      <c r="AS111" s="25" t="str">
        <f t="shared" si="1"/>
        <v/>
      </c>
    </row>
    <row r="112" ht="15.75" customHeight="1">
      <c r="AR112" s="20">
        <v>106.0</v>
      </c>
      <c r="AS112" s="25" t="str">
        <f t="shared" si="1"/>
        <v/>
      </c>
    </row>
    <row r="113" ht="15.75" customHeight="1">
      <c r="AR113" s="20">
        <v>107.0</v>
      </c>
      <c r="AS113" s="25" t="str">
        <f t="shared" si="1"/>
        <v/>
      </c>
    </row>
    <row r="114" ht="15.75" customHeight="1">
      <c r="AR114" s="20">
        <v>108.0</v>
      </c>
      <c r="AS114" s="25" t="str">
        <f t="shared" si="1"/>
        <v/>
      </c>
    </row>
    <row r="115" ht="15.75" customHeight="1">
      <c r="AR115" s="20">
        <v>109.0</v>
      </c>
      <c r="AS115" s="25" t="str">
        <f t="shared" si="1"/>
        <v/>
      </c>
    </row>
    <row r="116" ht="15.75" customHeight="1">
      <c r="AR116" s="20">
        <v>110.0</v>
      </c>
      <c r="AS116" s="25" t="str">
        <f t="shared" si="1"/>
        <v/>
      </c>
    </row>
    <row r="117" ht="15.75" customHeight="1">
      <c r="AR117" s="20">
        <v>111.0</v>
      </c>
      <c r="AS117" s="25" t="str">
        <f t="shared" si="1"/>
        <v/>
      </c>
    </row>
    <row r="118" ht="15.75" customHeight="1">
      <c r="AR118" s="20">
        <v>112.0</v>
      </c>
      <c r="AS118" s="25" t="str">
        <f t="shared" si="1"/>
        <v/>
      </c>
    </row>
    <row r="119" ht="15.75" customHeight="1">
      <c r="AR119" s="20">
        <v>113.0</v>
      </c>
      <c r="AS119" s="25" t="str">
        <f t="shared" si="1"/>
        <v/>
      </c>
    </row>
    <row r="120" ht="15.75" customHeight="1">
      <c r="AR120" s="20">
        <v>114.0</v>
      </c>
      <c r="AS120" s="25" t="str">
        <f t="shared" si="1"/>
        <v/>
      </c>
    </row>
    <row r="121" ht="15.75" customHeight="1">
      <c r="AR121" s="20">
        <v>115.0</v>
      </c>
      <c r="AS121" s="25" t="str">
        <f t="shared" si="1"/>
        <v/>
      </c>
    </row>
    <row r="122" ht="15.75" customHeight="1">
      <c r="AR122" s="20">
        <v>116.0</v>
      </c>
      <c r="AS122" s="25" t="str">
        <f t="shared" si="1"/>
        <v/>
      </c>
    </row>
    <row r="123" ht="15.75" customHeight="1">
      <c r="AR123" s="20">
        <v>117.0</v>
      </c>
      <c r="AS123" s="25" t="str">
        <f t="shared" si="1"/>
        <v/>
      </c>
    </row>
    <row r="124" ht="15.75" customHeight="1">
      <c r="AR124" s="20">
        <v>118.0</v>
      </c>
      <c r="AS124" s="25" t="str">
        <f t="shared" si="1"/>
        <v/>
      </c>
    </row>
    <row r="125" ht="15.75" customHeight="1">
      <c r="AR125" s="20">
        <v>119.0</v>
      </c>
      <c r="AS125" s="25" t="str">
        <f t="shared" si="1"/>
        <v/>
      </c>
    </row>
    <row r="126" ht="15.75" customHeight="1">
      <c r="AR126" s="20">
        <v>120.0</v>
      </c>
      <c r="AS126" s="25" t="str">
        <f t="shared" si="1"/>
        <v/>
      </c>
    </row>
    <row r="127" ht="15.75" customHeight="1">
      <c r="AR127" s="20">
        <v>121.0</v>
      </c>
      <c r="AS127" s="25" t="str">
        <f t="shared" si="1"/>
        <v/>
      </c>
    </row>
    <row r="128" ht="15.75" customHeight="1">
      <c r="AR128" s="20">
        <v>122.0</v>
      </c>
      <c r="AS128" s="25" t="str">
        <f t="shared" si="1"/>
        <v/>
      </c>
    </row>
    <row r="129" ht="15.75" customHeight="1">
      <c r="AR129" s="20">
        <v>123.0</v>
      </c>
      <c r="AS129" s="25" t="str">
        <f t="shared" si="1"/>
        <v/>
      </c>
    </row>
    <row r="130" ht="15.75" customHeight="1">
      <c r="AR130" s="20">
        <v>124.0</v>
      </c>
      <c r="AS130" s="25" t="str">
        <f t="shared" si="1"/>
        <v/>
      </c>
    </row>
    <row r="131" ht="15.75" customHeight="1">
      <c r="AR131" s="20">
        <v>125.0</v>
      </c>
      <c r="AS131" s="25" t="str">
        <f t="shared" si="1"/>
        <v/>
      </c>
    </row>
    <row r="132" ht="15.75" customHeight="1">
      <c r="AR132" s="20">
        <v>126.0</v>
      </c>
      <c r="AS132" s="25" t="str">
        <f t="shared" si="1"/>
        <v/>
      </c>
    </row>
    <row r="133" ht="15.75" customHeight="1">
      <c r="AR133" s="20">
        <v>127.0</v>
      </c>
      <c r="AS133" s="25" t="str">
        <f t="shared" si="1"/>
        <v/>
      </c>
    </row>
    <row r="134" ht="15.75" customHeight="1">
      <c r="AR134" s="20">
        <v>128.0</v>
      </c>
      <c r="AS134" s="25" t="str">
        <f t="shared" si="1"/>
        <v/>
      </c>
    </row>
    <row r="135" ht="15.75" customHeight="1">
      <c r="AR135" s="20">
        <v>129.0</v>
      </c>
      <c r="AS135" s="25" t="str">
        <f t="shared" si="1"/>
        <v/>
      </c>
    </row>
    <row r="136" ht="15.75" customHeight="1">
      <c r="AR136" s="20">
        <v>130.0</v>
      </c>
      <c r="AS136" s="25" t="str">
        <f t="shared" si="1"/>
        <v/>
      </c>
    </row>
    <row r="137" ht="15.75" customHeight="1">
      <c r="AR137" s="20">
        <v>131.0</v>
      </c>
      <c r="AS137" s="25" t="str">
        <f t="shared" si="1"/>
        <v/>
      </c>
    </row>
    <row r="138" ht="15.75" customHeight="1">
      <c r="AR138" s="20">
        <v>132.0</v>
      </c>
      <c r="AS138" s="25" t="str">
        <f t="shared" si="1"/>
        <v/>
      </c>
    </row>
    <row r="139" ht="15.75" customHeight="1">
      <c r="AR139" s="20">
        <v>133.0</v>
      </c>
      <c r="AS139" s="25" t="str">
        <f t="shared" si="1"/>
        <v/>
      </c>
    </row>
    <row r="140" ht="15.75" customHeight="1">
      <c r="AR140" s="20">
        <v>134.0</v>
      </c>
      <c r="AS140" s="25" t="str">
        <f t="shared" si="1"/>
        <v/>
      </c>
    </row>
    <row r="141" ht="15.75" customHeight="1">
      <c r="AR141" s="20">
        <v>135.0</v>
      </c>
      <c r="AS141" s="25" t="str">
        <f t="shared" si="1"/>
        <v/>
      </c>
    </row>
    <row r="142" ht="15.75" customHeight="1">
      <c r="AR142" s="20">
        <v>136.0</v>
      </c>
      <c r="AS142" s="25" t="str">
        <f t="shared" si="1"/>
        <v/>
      </c>
    </row>
    <row r="143" ht="15.75" customHeight="1">
      <c r="AR143" s="20">
        <v>137.0</v>
      </c>
      <c r="AS143" s="25" t="str">
        <f t="shared" si="1"/>
        <v/>
      </c>
    </row>
    <row r="144" ht="15.75" customHeight="1">
      <c r="AR144" s="20">
        <v>138.0</v>
      </c>
      <c r="AS144" s="25" t="str">
        <f t="shared" si="1"/>
        <v/>
      </c>
    </row>
    <row r="145" ht="15.75" customHeight="1">
      <c r="AR145" s="20">
        <v>139.0</v>
      </c>
      <c r="AS145" s="25" t="str">
        <f t="shared" si="1"/>
        <v/>
      </c>
    </row>
    <row r="146" ht="15.75" customHeight="1">
      <c r="AR146" s="20">
        <v>140.0</v>
      </c>
      <c r="AS146" s="25" t="str">
        <f t="shared" si="1"/>
        <v/>
      </c>
    </row>
    <row r="147" ht="15.75" customHeight="1">
      <c r="AR147" s="20">
        <v>141.0</v>
      </c>
      <c r="AS147" s="25" t="str">
        <f t="shared" si="1"/>
        <v/>
      </c>
    </row>
    <row r="148" ht="15.75" customHeight="1">
      <c r="AR148" s="20">
        <v>142.0</v>
      </c>
      <c r="AS148" s="25" t="str">
        <f t="shared" si="1"/>
        <v/>
      </c>
    </row>
    <row r="149" ht="15.75" customHeight="1">
      <c r="AR149" s="20">
        <v>143.0</v>
      </c>
      <c r="AS149" s="25" t="str">
        <f t="shared" si="1"/>
        <v/>
      </c>
    </row>
    <row r="150" ht="15.75" customHeight="1">
      <c r="AR150" s="20">
        <v>144.0</v>
      </c>
      <c r="AS150" s="25" t="str">
        <f t="shared" si="1"/>
        <v/>
      </c>
    </row>
    <row r="151" ht="15.75" customHeight="1">
      <c r="AR151" s="20">
        <v>145.0</v>
      </c>
      <c r="AS151" s="25" t="str">
        <f t="shared" si="1"/>
        <v/>
      </c>
    </row>
    <row r="152" ht="15.75" customHeight="1">
      <c r="AR152" s="20">
        <v>146.0</v>
      </c>
      <c r="AS152" s="25" t="str">
        <f t="shared" si="1"/>
        <v/>
      </c>
    </row>
    <row r="153" ht="15.75" customHeight="1">
      <c r="AR153" s="20">
        <v>147.0</v>
      </c>
      <c r="AS153" s="25" t="str">
        <f t="shared" si="1"/>
        <v/>
      </c>
    </row>
    <row r="154" ht="15.75" customHeight="1">
      <c r="AR154" s="20">
        <v>148.0</v>
      </c>
      <c r="AS154" s="25" t="str">
        <f t="shared" si="1"/>
        <v/>
      </c>
    </row>
    <row r="155" ht="15.75" customHeight="1">
      <c r="AR155" s="20">
        <v>149.0</v>
      </c>
      <c r="AS155" s="25" t="str">
        <f t="shared" si="1"/>
        <v/>
      </c>
    </row>
    <row r="156" ht="15.75" customHeight="1">
      <c r="AR156" s="20">
        <v>150.0</v>
      </c>
      <c r="AS156" s="25" t="str">
        <f t="shared" si="1"/>
        <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R1"/>
    <mergeCell ref="B2:R2"/>
    <mergeCell ref="C4:D4"/>
    <mergeCell ref="E4:F4"/>
    <mergeCell ref="C5:F5"/>
    <mergeCell ref="B8:E8"/>
    <mergeCell ref="B11:E11"/>
    <mergeCell ref="B12:E12"/>
    <mergeCell ref="B13:E13"/>
    <mergeCell ref="B14:E14"/>
    <mergeCell ref="B17:E17"/>
    <mergeCell ref="B18:E18"/>
    <mergeCell ref="B19:E19"/>
    <mergeCell ref="B20:E20"/>
    <mergeCell ref="B21:E21"/>
    <mergeCell ref="B22:E22"/>
    <mergeCell ref="B23:E23"/>
    <mergeCell ref="B24:E24"/>
    <mergeCell ref="B25:E25"/>
    <mergeCell ref="B26:E26"/>
    <mergeCell ref="B29:E29"/>
    <mergeCell ref="B41:F41"/>
    <mergeCell ref="B42:E42"/>
    <mergeCell ref="B43:E43"/>
    <mergeCell ref="B45:D45"/>
    <mergeCell ref="B46:D46"/>
    <mergeCell ref="B47:D47"/>
    <mergeCell ref="B48:D48"/>
    <mergeCell ref="B51:AC51"/>
    <mergeCell ref="B30:E30"/>
    <mergeCell ref="B31:E31"/>
    <mergeCell ref="B32:E32"/>
    <mergeCell ref="B35:E35"/>
    <mergeCell ref="B36:E36"/>
    <mergeCell ref="B37:E37"/>
    <mergeCell ref="B38:E38"/>
    <mergeCell ref="B75:G77"/>
  </mergeCells>
  <conditionalFormatting sqref="F11:F12">
    <cfRule type="expression" dxfId="0" priority="1">
      <formula>$F$11&gt;=$F$12</formula>
    </cfRule>
  </conditionalFormatting>
  <conditionalFormatting sqref="F42:F43">
    <cfRule type="expression" dxfId="0" priority="2">
      <formula>$F$42&gt;=$F$43</formula>
    </cfRule>
  </conditionalFormatting>
  <conditionalFormatting sqref="C53:D72">
    <cfRule type="expression" dxfId="0" priority="3">
      <formula>AND($C53="Oui",$D53="")</formula>
    </cfRule>
  </conditionalFormatting>
  <dataValidations>
    <dataValidation type="list" allowBlank="1" sqref="L53:L56 P53:P56 T53:T56 X53:X56 AB53:AB56 L58:L59 P58:P59 T58:T59 X58:X59 AB58:AB59 L65:L66 P65:P66 T65:T66 X65:X66 AB65:AB66 L70:L72 P70:P72 T70:T72 X70:X72 AB70:AB72">
      <formula1>"Forfait,Taux,Palier"</formula1>
    </dataValidation>
    <dataValidation type="list" allowBlank="1" sqref="C53:C72 F53:F72">
      <formula1>"Oui,Non"</formula1>
    </dataValidation>
    <dataValidation type="list" allowBlank="1" sqref="F29">
      <formula1>Classes_Nom</formula1>
    </dataValidation>
    <dataValidation type="list" allowBlank="1" sqref="F35">
      <formula1>"Mensuelle,Bi-mensuelle"</formula1>
    </dataValidation>
    <dataValidation type="list" allowBlank="1" sqref="G53:G56 G58:G59 G65:G66 G70:G72">
      <formula1>"Barème (Forfait/Taux/Palier),Résiduel vs Gestion,Taux Classe sélectionnée,Frais KYC (paliers de 100M€)"</formula1>
    </dataValidation>
  </dataValidations>
  <printOptions/>
  <pageMargins bottom="1.0" footer="0.0" header="0.0" left="0.75" right="0.75" top="1.0"/>
  <pageSetup fitToHeight="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8E8E"/>
    <pageSetUpPr fitToPage="1"/>
  </sheetPr>
  <sheetViews>
    <sheetView showGridLines="0" workbookViewId="0"/>
  </sheetViews>
  <sheetFormatPr customHeight="1" defaultColWidth="14.43" defaultRowHeight="15.0" outlineLevelRow="1"/>
  <cols>
    <col customWidth="1" min="1" max="1" width="2.0"/>
    <col customWidth="1" min="2" max="2" width="13.0"/>
    <col customWidth="1" min="3" max="3" width="15.0"/>
    <col customWidth="1" min="4" max="5" width="16.0"/>
    <col customWidth="1" min="6" max="6" width="14.0"/>
    <col customWidth="1" min="7" max="7" width="60.0"/>
    <col customWidth="1" min="8" max="26" width="8.71"/>
  </cols>
  <sheetData>
    <row r="1">
      <c r="B1" s="1" t="s">
        <v>1</v>
      </c>
    </row>
    <row r="2" ht="27.75" customHeight="1">
      <c r="B2" s="2" t="s">
        <v>4</v>
      </c>
    </row>
    <row r="4" ht="30.0" customHeight="1">
      <c r="B4" s="6" t="s">
        <v>7</v>
      </c>
      <c r="C4" s="7"/>
      <c r="D4" s="7"/>
      <c r="E4" s="7"/>
      <c r="F4" s="7"/>
      <c r="G4" s="9"/>
    </row>
    <row r="6" ht="39.75" customHeight="1">
      <c r="C6" s="11" t="s">
        <v>22</v>
      </c>
      <c r="D6" s="11" t="s">
        <v>26</v>
      </c>
      <c r="E6" s="11" t="s">
        <v>27</v>
      </c>
      <c r="F6" s="11" t="s">
        <v>28</v>
      </c>
      <c r="G6" s="11" t="s">
        <v>29</v>
      </c>
    </row>
    <row r="7" ht="25.5" customHeight="1">
      <c r="C7" s="14" t="s">
        <v>30</v>
      </c>
      <c r="D7" s="18">
        <v>0.001</v>
      </c>
      <c r="E7" s="18">
        <v>0.009</v>
      </c>
      <c r="F7" s="23" t="s">
        <v>43</v>
      </c>
      <c r="G7" s="24"/>
    </row>
    <row r="8" ht="25.5" customHeight="1">
      <c r="C8" s="14" t="s">
        <v>46</v>
      </c>
      <c r="D8" s="18">
        <v>0.001</v>
      </c>
      <c r="E8" s="18">
        <v>0.0</v>
      </c>
      <c r="F8" s="23" t="s">
        <v>43</v>
      </c>
      <c r="G8" s="24"/>
    </row>
    <row r="9" ht="25.5" customHeight="1">
      <c r="C9" s="28"/>
      <c r="D9" s="29">
        <v>0.0</v>
      </c>
      <c r="E9" s="29">
        <v>0.0</v>
      </c>
      <c r="F9" s="23" t="s">
        <v>43</v>
      </c>
      <c r="G9" s="24"/>
    </row>
    <row r="10" ht="25.5" hidden="1" customHeight="1" outlineLevel="1">
      <c r="C10" s="28"/>
      <c r="D10" s="29">
        <v>0.0</v>
      </c>
      <c r="E10" s="29">
        <v>0.0</v>
      </c>
      <c r="F10" s="23" t="s">
        <v>43</v>
      </c>
      <c r="G10" s="24"/>
    </row>
    <row r="11" ht="25.5" hidden="1" customHeight="1" outlineLevel="1">
      <c r="C11" s="28"/>
      <c r="D11" s="29">
        <v>0.0</v>
      </c>
      <c r="E11" s="29">
        <v>0.0</v>
      </c>
      <c r="F11" s="23" t="s">
        <v>43</v>
      </c>
      <c r="G11" s="24"/>
    </row>
    <row r="12" ht="25.5" hidden="1" customHeight="1" outlineLevel="1">
      <c r="C12" s="28"/>
      <c r="D12" s="29">
        <v>0.0</v>
      </c>
      <c r="E12" s="29">
        <v>0.0</v>
      </c>
      <c r="F12" s="23" t="s">
        <v>43</v>
      </c>
      <c r="G12" s="24"/>
    </row>
    <row r="13" ht="25.5" hidden="1" customHeight="1" outlineLevel="1">
      <c r="C13" s="28"/>
      <c r="D13" s="29">
        <v>0.0</v>
      </c>
      <c r="E13" s="29">
        <v>0.0</v>
      </c>
      <c r="F13" s="23" t="s">
        <v>43</v>
      </c>
      <c r="G13" s="24"/>
    </row>
    <row r="14" ht="25.5" hidden="1" customHeight="1" outlineLevel="1">
      <c r="C14" s="28"/>
      <c r="D14" s="29">
        <v>0.0</v>
      </c>
      <c r="E14" s="29">
        <v>0.0</v>
      </c>
      <c r="F14" s="23" t="s">
        <v>43</v>
      </c>
      <c r="G14" s="24"/>
    </row>
    <row r="15" ht="25.5" hidden="1" customHeight="1" outlineLevel="1">
      <c r="C15" s="28"/>
      <c r="D15" s="29">
        <v>0.0</v>
      </c>
      <c r="E15" s="29">
        <v>0.0</v>
      </c>
      <c r="F15" s="23" t="s">
        <v>43</v>
      </c>
      <c r="G15" s="24"/>
    </row>
    <row r="16" ht="25.5" hidden="1" customHeight="1" outlineLevel="1">
      <c r="C16" s="28"/>
      <c r="D16" s="29">
        <v>0.0</v>
      </c>
      <c r="E16" s="29">
        <v>0.0</v>
      </c>
      <c r="F16" s="23" t="s">
        <v>43</v>
      </c>
      <c r="G16" s="24"/>
    </row>
    <row r="17" ht="25.5" hidden="1" customHeight="1" outlineLevel="1">
      <c r="C17" s="28"/>
      <c r="D17" s="29">
        <v>0.0</v>
      </c>
      <c r="E17" s="29">
        <v>0.0</v>
      </c>
      <c r="F17" s="23" t="s">
        <v>43</v>
      </c>
      <c r="G17" s="24"/>
    </row>
    <row r="18" ht="25.5" hidden="1" customHeight="1" outlineLevel="1">
      <c r="C18" s="28"/>
      <c r="D18" s="29">
        <v>0.0</v>
      </c>
      <c r="E18" s="29">
        <v>0.0</v>
      </c>
      <c r="F18" s="23" t="s">
        <v>43</v>
      </c>
      <c r="G18" s="24"/>
    </row>
    <row r="21" ht="39.75" customHeight="1">
      <c r="B21" s="32" t="s">
        <v>49</v>
      </c>
      <c r="C21" s="33"/>
      <c r="D21" s="33"/>
      <c r="E21" s="33"/>
      <c r="F21" s="33"/>
      <c r="G21" s="34"/>
    </row>
    <row r="22" ht="15.75" customHeight="1">
      <c r="B22" s="35"/>
      <c r="G22" s="36"/>
    </row>
    <row r="23" ht="15.75" customHeight="1">
      <c r="B23" s="37"/>
      <c r="C23" s="38"/>
      <c r="D23" s="38"/>
      <c r="E23" s="38"/>
      <c r="F23" s="38"/>
      <c r="G23" s="39"/>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R1"/>
    <mergeCell ref="B2:R2"/>
    <mergeCell ref="B4:G4"/>
    <mergeCell ref="B21:G23"/>
  </mergeCells>
  <dataValidations>
    <dataValidation type="list" allowBlank="1" sqref="F7:F18">
      <formula1>"Oui,Non"</formula1>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785"/>
    <pageSetUpPr fitToPage="1"/>
  </sheetPr>
  <sheetViews>
    <sheetView showGridLines="0" workbookViewId="0"/>
  </sheetViews>
  <sheetFormatPr customHeight="1" defaultColWidth="14.43" defaultRowHeight="15.0" outlineLevelRow="1"/>
  <cols>
    <col customWidth="1" min="1" max="1" width="2.0"/>
    <col customWidth="1" min="2" max="2" width="40.0"/>
    <col customWidth="1" min="3" max="3" width="16.0"/>
    <col customWidth="1" min="4" max="4" width="8.71"/>
    <col customWidth="1" min="5" max="154" width="12.0"/>
  </cols>
  <sheetData>
    <row r="1">
      <c r="B1" s="1" t="s">
        <v>15</v>
      </c>
    </row>
    <row r="2" ht="27.75" customHeight="1">
      <c r="B2" s="2" t="s">
        <v>20</v>
      </c>
    </row>
    <row r="5" ht="25.5" customHeight="1">
      <c r="B5" s="6" t="s">
        <v>25</v>
      </c>
      <c r="C5" s="7"/>
      <c r="D5" s="7"/>
      <c r="E5" s="7"/>
      <c r="F5" s="7"/>
      <c r="G5" s="7"/>
      <c r="H5" s="7"/>
      <c r="I5" s="7"/>
      <c r="J5" s="7"/>
      <c r="K5" s="7"/>
      <c r="L5" s="7"/>
      <c r="M5" s="7"/>
      <c r="N5" s="7"/>
      <c r="O5" s="7"/>
      <c r="P5" s="7"/>
      <c r="Q5" s="7"/>
      <c r="R5" s="9"/>
    </row>
    <row r="7" ht="18.0" customHeight="1">
      <c r="B7" s="12" t="s">
        <v>33</v>
      </c>
      <c r="C7" s="12"/>
      <c r="D7" s="12"/>
      <c r="E7" s="12"/>
      <c r="F7" s="12"/>
    </row>
    <row r="8">
      <c r="B8" s="19" t="s">
        <v>36</v>
      </c>
    </row>
    <row r="9" ht="15.75" customHeight="1">
      <c r="B9" s="17" t="s">
        <v>39</v>
      </c>
      <c r="C9" s="26">
        <f>'01_Input'!$M$57</f>
        <v>0.0003</v>
      </c>
    </row>
    <row r="10" ht="15.75" customHeight="1">
      <c r="B10" s="17" t="s">
        <v>45</v>
      </c>
      <c r="C10" s="30">
        <f>'01_Input'!$H$57</f>
        <v>12000</v>
      </c>
    </row>
    <row r="11" ht="15.75" customHeight="1">
      <c r="B11" s="17" t="s">
        <v>48</v>
      </c>
      <c r="C11" s="31">
        <f>'01_Input'!$I$57</f>
        <v>50000</v>
      </c>
    </row>
    <row r="13">
      <c r="B13" s="19" t="s">
        <v>50</v>
      </c>
    </row>
    <row r="14" ht="15.75" customHeight="1">
      <c r="B14" s="17" t="s">
        <v>51</v>
      </c>
      <c r="C14" s="40" t="str">
        <f>Frequence_VL</f>
        <v>Mensuelle</v>
      </c>
    </row>
    <row r="15" ht="15.75" customHeight="1">
      <c r="B15" s="17" t="s">
        <v>54</v>
      </c>
      <c r="C15" s="42">
        <f>Nb_Lignes_Valorisation</f>
        <v>2</v>
      </c>
    </row>
    <row r="16" ht="15.75" customHeight="1">
      <c r="B16" s="17" t="s">
        <v>57</v>
      </c>
      <c r="C16" s="42">
        <f>Nb_Categories_Parts</f>
        <v>2</v>
      </c>
    </row>
    <row r="17" ht="15.75" customHeight="1">
      <c r="B17" s="17" t="s">
        <v>59</v>
      </c>
      <c r="C17" s="46">
        <f>Majoration_Valorisation</f>
        <v>0</v>
      </c>
    </row>
    <row r="20" ht="18.0" customHeight="1">
      <c r="B20" s="12" t="s">
        <v>61</v>
      </c>
      <c r="C20" s="12"/>
      <c r="D20" s="12"/>
      <c r="E20" s="12"/>
      <c r="F20" s="12"/>
    </row>
    <row r="21" ht="18.0" customHeight="1">
      <c r="B21" s="11" t="s">
        <v>63</v>
      </c>
      <c r="E21" s="48">
        <f t="array" ref="E21">INDEX(AUM_Ladder,1)</f>
        <v>5000000</v>
      </c>
      <c r="F21" s="48">
        <f t="array" ref="F21">INDEX(AUM_Ladder,2)</f>
        <v>10000000</v>
      </c>
      <c r="G21" s="48">
        <f t="array" ref="G21">INDEX(AUM_Ladder,3)</f>
        <v>15000000</v>
      </c>
      <c r="H21" s="48">
        <f t="array" ref="H21">INDEX(AUM_Ladder,4)</f>
        <v>20000000</v>
      </c>
      <c r="I21" s="48">
        <f t="array" ref="I21">INDEX(AUM_Ladder,5)</f>
        <v>25000000</v>
      </c>
      <c r="J21" s="48">
        <f t="array" ref="J21">INDEX(AUM_Ladder,6)</f>
        <v>30000000</v>
      </c>
      <c r="K21" s="48">
        <f t="array" ref="K21">INDEX(AUM_Ladder,7)</f>
        <v>35000000</v>
      </c>
      <c r="L21" s="48">
        <f t="array" ref="L21">INDEX(AUM_Ladder,8)</f>
        <v>40000000</v>
      </c>
      <c r="M21" s="48">
        <f t="array" ref="M21">INDEX(AUM_Ladder,9)</f>
        <v>45000000</v>
      </c>
      <c r="N21" s="48">
        <f t="array" ref="N21">INDEX(AUM_Ladder,10)</f>
        <v>50000000</v>
      </c>
      <c r="O21" s="48" t="str">
        <f t="array" ref="O21">INDEX(AUM_Ladder,11)</f>
        <v/>
      </c>
      <c r="P21" s="48" t="str">
        <f t="array" ref="P21">INDEX(AUM_Ladder,12)</f>
        <v/>
      </c>
      <c r="Q21" s="48" t="str">
        <f t="array" ref="Q21">INDEX(AUM_Ladder,13)</f>
        <v/>
      </c>
      <c r="R21" s="48" t="str">
        <f t="array" ref="R21">INDEX(AUM_Ladder,14)</f>
        <v/>
      </c>
      <c r="S21" s="48" t="str">
        <f t="array" ref="S21">INDEX(AUM_Ladder,15)</f>
        <v/>
      </c>
      <c r="T21" s="48" t="str">
        <f t="array" ref="T21">INDEX(AUM_Ladder,16)</f>
        <v/>
      </c>
      <c r="U21" s="48" t="str">
        <f t="array" ref="U21">INDEX(AUM_Ladder,17)</f>
        <v/>
      </c>
      <c r="V21" s="48" t="str">
        <f t="array" ref="V21">INDEX(AUM_Ladder,18)</f>
        <v/>
      </c>
      <c r="W21" s="48" t="str">
        <f t="array" ref="W21">INDEX(AUM_Ladder,19)</f>
        <v/>
      </c>
      <c r="X21" s="48" t="str">
        <f t="array" ref="X21">INDEX(AUM_Ladder,20)</f>
        <v/>
      </c>
      <c r="Y21" s="48" t="str">
        <f t="array" ref="Y21">INDEX(AUM_Ladder,21)</f>
        <v/>
      </c>
      <c r="Z21" s="48" t="str">
        <f t="array" ref="Z21">INDEX(AUM_Ladder,22)</f>
        <v/>
      </c>
      <c r="AA21" s="48" t="str">
        <f t="array" ref="AA21">INDEX(AUM_Ladder,23)</f>
        <v/>
      </c>
      <c r="AB21" s="48" t="str">
        <f t="array" ref="AB21">INDEX(AUM_Ladder,24)</f>
        <v/>
      </c>
      <c r="AC21" s="48" t="str">
        <f t="array" ref="AC21">INDEX(AUM_Ladder,25)</f>
        <v/>
      </c>
      <c r="AD21" s="48" t="str">
        <f t="array" ref="AD21">INDEX(AUM_Ladder,26)</f>
        <v/>
      </c>
      <c r="AE21" s="48" t="str">
        <f t="array" ref="AE21">INDEX(AUM_Ladder,27)</f>
        <v/>
      </c>
      <c r="AF21" s="48" t="str">
        <f t="array" ref="AF21">INDEX(AUM_Ladder,28)</f>
        <v/>
      </c>
      <c r="AG21" s="48" t="str">
        <f t="array" ref="AG21">INDEX(AUM_Ladder,29)</f>
        <v/>
      </c>
      <c r="AH21" s="48" t="str">
        <f t="array" ref="AH21">INDEX(AUM_Ladder,30)</f>
        <v/>
      </c>
      <c r="AI21" s="48" t="str">
        <f t="array" ref="AI21">INDEX(AUM_Ladder,31)</f>
        <v/>
      </c>
      <c r="AJ21" s="48" t="str">
        <f t="array" ref="AJ21">INDEX(AUM_Ladder,32)</f>
        <v/>
      </c>
      <c r="AK21" s="48" t="str">
        <f t="array" ref="AK21">INDEX(AUM_Ladder,33)</f>
        <v/>
      </c>
      <c r="AL21" s="48" t="str">
        <f t="array" ref="AL21">INDEX(AUM_Ladder,34)</f>
        <v/>
      </c>
      <c r="AM21" s="48" t="str">
        <f t="array" ref="AM21">INDEX(AUM_Ladder,35)</f>
        <v/>
      </c>
      <c r="AN21" s="48" t="str">
        <f t="array" ref="AN21">INDEX(AUM_Ladder,36)</f>
        <v/>
      </c>
      <c r="AO21" s="48" t="str">
        <f t="array" ref="AO21">INDEX(AUM_Ladder,37)</f>
        <v/>
      </c>
      <c r="AP21" s="48" t="str">
        <f t="array" ref="AP21">INDEX(AUM_Ladder,38)</f>
        <v/>
      </c>
      <c r="AQ21" s="48" t="str">
        <f t="array" ref="AQ21">INDEX(AUM_Ladder,39)</f>
        <v/>
      </c>
      <c r="AR21" s="48" t="str">
        <f t="array" ref="AR21">INDEX(AUM_Ladder,40)</f>
        <v/>
      </c>
      <c r="AS21" s="48" t="str">
        <f t="array" ref="AS21">INDEX(AUM_Ladder,41)</f>
        <v/>
      </c>
      <c r="AT21" s="48" t="str">
        <f t="array" ref="AT21">INDEX(AUM_Ladder,42)</f>
        <v/>
      </c>
      <c r="AU21" s="48" t="str">
        <f t="array" ref="AU21">INDEX(AUM_Ladder,43)</f>
        <v/>
      </c>
      <c r="AV21" s="48" t="str">
        <f t="array" ref="AV21">INDEX(AUM_Ladder,44)</f>
        <v/>
      </c>
      <c r="AW21" s="48" t="str">
        <f t="array" ref="AW21">INDEX(AUM_Ladder,45)</f>
        <v/>
      </c>
      <c r="AX21" s="48" t="str">
        <f t="array" ref="AX21">INDEX(AUM_Ladder,46)</f>
        <v/>
      </c>
      <c r="AY21" s="48" t="str">
        <f t="array" ref="AY21">INDEX(AUM_Ladder,47)</f>
        <v/>
      </c>
      <c r="AZ21" s="48" t="str">
        <f t="array" ref="AZ21">INDEX(AUM_Ladder,48)</f>
        <v/>
      </c>
      <c r="BA21" s="48" t="str">
        <f t="array" ref="BA21">INDEX(AUM_Ladder,49)</f>
        <v/>
      </c>
      <c r="BB21" s="48" t="str">
        <f t="array" ref="BB21">INDEX(AUM_Ladder,50)</f>
        <v/>
      </c>
      <c r="BC21" s="48" t="str">
        <f t="array" ref="BC21">INDEX(AUM_Ladder,51)</f>
        <v/>
      </c>
      <c r="BD21" s="48" t="str">
        <f t="array" ref="BD21">INDEX(AUM_Ladder,52)</f>
        <v/>
      </c>
      <c r="BE21" s="48" t="str">
        <f t="array" ref="BE21">INDEX(AUM_Ladder,53)</f>
        <v/>
      </c>
      <c r="BF21" s="48" t="str">
        <f t="array" ref="BF21">INDEX(AUM_Ladder,54)</f>
        <v/>
      </c>
      <c r="BG21" s="48" t="str">
        <f t="array" ref="BG21">INDEX(AUM_Ladder,55)</f>
        <v/>
      </c>
      <c r="BH21" s="48" t="str">
        <f t="array" ref="BH21">INDEX(AUM_Ladder,56)</f>
        <v/>
      </c>
      <c r="BI21" s="48" t="str">
        <f t="array" ref="BI21">INDEX(AUM_Ladder,57)</f>
        <v/>
      </c>
      <c r="BJ21" s="48" t="str">
        <f t="array" ref="BJ21">INDEX(AUM_Ladder,58)</f>
        <v/>
      </c>
      <c r="BK21" s="48" t="str">
        <f t="array" ref="BK21">INDEX(AUM_Ladder,59)</f>
        <v/>
      </c>
      <c r="BL21" s="48" t="str">
        <f t="array" ref="BL21">INDEX(AUM_Ladder,60)</f>
        <v/>
      </c>
      <c r="BM21" s="48" t="str">
        <f t="array" ref="BM21">INDEX(AUM_Ladder,61)</f>
        <v/>
      </c>
      <c r="BN21" s="48" t="str">
        <f t="array" ref="BN21">INDEX(AUM_Ladder,62)</f>
        <v/>
      </c>
      <c r="BO21" s="48" t="str">
        <f t="array" ref="BO21">INDEX(AUM_Ladder,63)</f>
        <v/>
      </c>
      <c r="BP21" s="48" t="str">
        <f t="array" ref="BP21">INDEX(AUM_Ladder,64)</f>
        <v/>
      </c>
      <c r="BQ21" s="48" t="str">
        <f t="array" ref="BQ21">INDEX(AUM_Ladder,65)</f>
        <v/>
      </c>
      <c r="BR21" s="48" t="str">
        <f t="array" ref="BR21">INDEX(AUM_Ladder,66)</f>
        <v/>
      </c>
      <c r="BS21" s="48" t="str">
        <f t="array" ref="BS21">INDEX(AUM_Ladder,67)</f>
        <v/>
      </c>
      <c r="BT21" s="48" t="str">
        <f t="array" ref="BT21">INDEX(AUM_Ladder,68)</f>
        <v/>
      </c>
      <c r="BU21" s="48" t="str">
        <f t="array" ref="BU21">INDEX(AUM_Ladder,69)</f>
        <v/>
      </c>
      <c r="BV21" s="48" t="str">
        <f t="array" ref="BV21">INDEX(AUM_Ladder,70)</f>
        <v/>
      </c>
      <c r="BW21" s="48" t="str">
        <f t="array" ref="BW21">INDEX(AUM_Ladder,71)</f>
        <v/>
      </c>
      <c r="BX21" s="48" t="str">
        <f t="array" ref="BX21">INDEX(AUM_Ladder,72)</f>
        <v/>
      </c>
      <c r="BY21" s="48" t="str">
        <f t="array" ref="BY21">INDEX(AUM_Ladder,73)</f>
        <v/>
      </c>
      <c r="BZ21" s="48" t="str">
        <f t="array" ref="BZ21">INDEX(AUM_Ladder,74)</f>
        <v/>
      </c>
      <c r="CA21" s="48" t="str">
        <f t="array" ref="CA21">INDEX(AUM_Ladder,75)</f>
        <v/>
      </c>
      <c r="CB21" s="48" t="str">
        <f t="array" ref="CB21">INDEX(AUM_Ladder,76)</f>
        <v/>
      </c>
      <c r="CC21" s="48" t="str">
        <f t="array" ref="CC21">INDEX(AUM_Ladder,77)</f>
        <v/>
      </c>
      <c r="CD21" s="48" t="str">
        <f t="array" ref="CD21">INDEX(AUM_Ladder,78)</f>
        <v/>
      </c>
      <c r="CE21" s="48" t="str">
        <f t="array" ref="CE21">INDEX(AUM_Ladder,79)</f>
        <v/>
      </c>
      <c r="CF21" s="48" t="str">
        <f t="array" ref="CF21">INDEX(AUM_Ladder,80)</f>
        <v/>
      </c>
      <c r="CG21" s="48" t="str">
        <f t="array" ref="CG21">INDEX(AUM_Ladder,81)</f>
        <v/>
      </c>
      <c r="CH21" s="48" t="str">
        <f t="array" ref="CH21">INDEX(AUM_Ladder,82)</f>
        <v/>
      </c>
      <c r="CI21" s="48" t="str">
        <f t="array" ref="CI21">INDEX(AUM_Ladder,83)</f>
        <v/>
      </c>
      <c r="CJ21" s="48" t="str">
        <f t="array" ref="CJ21">INDEX(AUM_Ladder,84)</f>
        <v/>
      </c>
      <c r="CK21" s="48" t="str">
        <f t="array" ref="CK21">INDEX(AUM_Ladder,85)</f>
        <v/>
      </c>
      <c r="CL21" s="48" t="str">
        <f t="array" ref="CL21">INDEX(AUM_Ladder,86)</f>
        <v/>
      </c>
      <c r="CM21" s="48" t="str">
        <f t="array" ref="CM21">INDEX(AUM_Ladder,87)</f>
        <v/>
      </c>
      <c r="CN21" s="48" t="str">
        <f t="array" ref="CN21">INDEX(AUM_Ladder,88)</f>
        <v/>
      </c>
      <c r="CO21" s="48" t="str">
        <f t="array" ref="CO21">INDEX(AUM_Ladder,89)</f>
        <v/>
      </c>
      <c r="CP21" s="48" t="str">
        <f t="array" ref="CP21">INDEX(AUM_Ladder,90)</f>
        <v/>
      </c>
      <c r="CQ21" s="48" t="str">
        <f t="array" ref="CQ21">INDEX(AUM_Ladder,91)</f>
        <v/>
      </c>
      <c r="CR21" s="48" t="str">
        <f t="array" ref="CR21">INDEX(AUM_Ladder,92)</f>
        <v/>
      </c>
      <c r="CS21" s="48" t="str">
        <f t="array" ref="CS21">INDEX(AUM_Ladder,93)</f>
        <v/>
      </c>
      <c r="CT21" s="48" t="str">
        <f t="array" ref="CT21">INDEX(AUM_Ladder,94)</f>
        <v/>
      </c>
      <c r="CU21" s="48" t="str">
        <f t="array" ref="CU21">INDEX(AUM_Ladder,95)</f>
        <v/>
      </c>
      <c r="CV21" s="48" t="str">
        <f t="array" ref="CV21">INDEX(AUM_Ladder,96)</f>
        <v/>
      </c>
      <c r="CW21" s="48" t="str">
        <f t="array" ref="CW21">INDEX(AUM_Ladder,97)</f>
        <v/>
      </c>
      <c r="CX21" s="48" t="str">
        <f t="array" ref="CX21">INDEX(AUM_Ladder,98)</f>
        <v/>
      </c>
      <c r="CY21" s="48" t="str">
        <f t="array" ref="CY21">INDEX(AUM_Ladder,99)</f>
        <v/>
      </c>
      <c r="CZ21" s="48" t="str">
        <f t="array" ref="CZ21">INDEX(AUM_Ladder,100)</f>
        <v/>
      </c>
      <c r="DA21" s="48" t="str">
        <f t="array" ref="DA21">INDEX(AUM_Ladder,101)</f>
        <v/>
      </c>
      <c r="DB21" s="48" t="str">
        <f t="array" ref="DB21">INDEX(AUM_Ladder,102)</f>
        <v/>
      </c>
      <c r="DC21" s="48" t="str">
        <f t="array" ref="DC21">INDEX(AUM_Ladder,103)</f>
        <v/>
      </c>
      <c r="DD21" s="48" t="str">
        <f t="array" ref="DD21">INDEX(AUM_Ladder,104)</f>
        <v/>
      </c>
      <c r="DE21" s="48" t="str">
        <f t="array" ref="DE21">INDEX(AUM_Ladder,105)</f>
        <v/>
      </c>
      <c r="DF21" s="48" t="str">
        <f t="array" ref="DF21">INDEX(AUM_Ladder,106)</f>
        <v/>
      </c>
      <c r="DG21" s="48" t="str">
        <f t="array" ref="DG21">INDEX(AUM_Ladder,107)</f>
        <v/>
      </c>
      <c r="DH21" s="48" t="str">
        <f t="array" ref="DH21">INDEX(AUM_Ladder,108)</f>
        <v/>
      </c>
      <c r="DI21" s="48" t="str">
        <f t="array" ref="DI21">INDEX(AUM_Ladder,109)</f>
        <v/>
      </c>
      <c r="DJ21" s="48" t="str">
        <f t="array" ref="DJ21">INDEX(AUM_Ladder,110)</f>
        <v/>
      </c>
      <c r="DK21" s="48" t="str">
        <f t="array" ref="DK21">INDEX(AUM_Ladder,111)</f>
        <v/>
      </c>
      <c r="DL21" s="48" t="str">
        <f t="array" ref="DL21">INDEX(AUM_Ladder,112)</f>
        <v/>
      </c>
      <c r="DM21" s="48" t="str">
        <f t="array" ref="DM21">INDEX(AUM_Ladder,113)</f>
        <v/>
      </c>
      <c r="DN21" s="48" t="str">
        <f t="array" ref="DN21">INDEX(AUM_Ladder,114)</f>
        <v/>
      </c>
      <c r="DO21" s="48" t="str">
        <f t="array" ref="DO21">INDEX(AUM_Ladder,115)</f>
        <v/>
      </c>
      <c r="DP21" s="48" t="str">
        <f t="array" ref="DP21">INDEX(AUM_Ladder,116)</f>
        <v/>
      </c>
      <c r="DQ21" s="48" t="str">
        <f t="array" ref="DQ21">INDEX(AUM_Ladder,117)</f>
        <v/>
      </c>
      <c r="DR21" s="48" t="str">
        <f t="array" ref="DR21">INDEX(AUM_Ladder,118)</f>
        <v/>
      </c>
      <c r="DS21" s="48" t="str">
        <f t="array" ref="DS21">INDEX(AUM_Ladder,119)</f>
        <v/>
      </c>
      <c r="DT21" s="48" t="str">
        <f t="array" ref="DT21">INDEX(AUM_Ladder,120)</f>
        <v/>
      </c>
      <c r="DU21" s="48" t="str">
        <f t="array" ref="DU21">INDEX(AUM_Ladder,121)</f>
        <v/>
      </c>
      <c r="DV21" s="48" t="str">
        <f t="array" ref="DV21">INDEX(AUM_Ladder,122)</f>
        <v/>
      </c>
      <c r="DW21" s="48" t="str">
        <f t="array" ref="DW21">INDEX(AUM_Ladder,123)</f>
        <v/>
      </c>
      <c r="DX21" s="48" t="str">
        <f t="array" ref="DX21">INDEX(AUM_Ladder,124)</f>
        <v/>
      </c>
      <c r="DY21" s="48" t="str">
        <f t="array" ref="DY21">INDEX(AUM_Ladder,125)</f>
        <v/>
      </c>
      <c r="DZ21" s="48" t="str">
        <f t="array" ref="DZ21">INDEX(AUM_Ladder,126)</f>
        <v/>
      </c>
      <c r="EA21" s="48" t="str">
        <f t="array" ref="EA21">INDEX(AUM_Ladder,127)</f>
        <v/>
      </c>
      <c r="EB21" s="48" t="str">
        <f t="array" ref="EB21">INDEX(AUM_Ladder,128)</f>
        <v/>
      </c>
      <c r="EC21" s="48" t="str">
        <f t="array" ref="EC21">INDEX(AUM_Ladder,129)</f>
        <v/>
      </c>
      <c r="ED21" s="48" t="str">
        <f t="array" ref="ED21">INDEX(AUM_Ladder,130)</f>
        <v/>
      </c>
      <c r="EE21" s="48" t="str">
        <f t="array" ref="EE21">INDEX(AUM_Ladder,131)</f>
        <v/>
      </c>
      <c r="EF21" s="48" t="str">
        <f t="array" ref="EF21">INDEX(AUM_Ladder,132)</f>
        <v/>
      </c>
      <c r="EG21" s="48" t="str">
        <f t="array" ref="EG21">INDEX(AUM_Ladder,133)</f>
        <v/>
      </c>
      <c r="EH21" s="48" t="str">
        <f t="array" ref="EH21">INDEX(AUM_Ladder,134)</f>
        <v/>
      </c>
      <c r="EI21" s="48" t="str">
        <f t="array" ref="EI21">INDEX(AUM_Ladder,135)</f>
        <v/>
      </c>
      <c r="EJ21" s="48" t="str">
        <f t="array" ref="EJ21">INDEX(AUM_Ladder,136)</f>
        <v/>
      </c>
      <c r="EK21" s="48" t="str">
        <f t="array" ref="EK21">INDEX(AUM_Ladder,137)</f>
        <v/>
      </c>
      <c r="EL21" s="48" t="str">
        <f t="array" ref="EL21">INDEX(AUM_Ladder,138)</f>
        <v/>
      </c>
      <c r="EM21" s="48" t="str">
        <f t="array" ref="EM21">INDEX(AUM_Ladder,139)</f>
        <v/>
      </c>
      <c r="EN21" s="48" t="str">
        <f t="array" ref="EN21">INDEX(AUM_Ladder,140)</f>
        <v/>
      </c>
      <c r="EO21" s="48" t="str">
        <f t="array" ref="EO21">INDEX(AUM_Ladder,141)</f>
        <v/>
      </c>
      <c r="EP21" s="48" t="str">
        <f t="array" ref="EP21">INDEX(AUM_Ladder,142)</f>
        <v/>
      </c>
      <c r="EQ21" s="48" t="str">
        <f t="array" ref="EQ21">INDEX(AUM_Ladder,143)</f>
        <v/>
      </c>
      <c r="ER21" s="48" t="str">
        <f t="array" ref="ER21">INDEX(AUM_Ladder,144)</f>
        <v/>
      </c>
      <c r="ES21" s="48" t="str">
        <f t="array" ref="ES21">INDEX(AUM_Ladder,145)</f>
        <v/>
      </c>
      <c r="ET21" s="48" t="str">
        <f t="array" ref="ET21">INDEX(AUM_Ladder,146)</f>
        <v/>
      </c>
      <c r="EU21" s="48" t="str">
        <f t="array" ref="EU21">INDEX(AUM_Ladder,147)</f>
        <v/>
      </c>
      <c r="EV21" s="48" t="str">
        <f t="array" ref="EV21">INDEX(AUM_Ladder,148)</f>
        <v/>
      </c>
      <c r="EW21" s="48" t="str">
        <f t="array" ref="EW21">INDEX(AUM_Ladder,149)</f>
        <v/>
      </c>
      <c r="EX21" s="48" t="str">
        <f t="array" ref="EX21">INDEX(AUM_Ladder,150)</f>
        <v/>
      </c>
    </row>
    <row r="22" ht="15.75" customHeight="1">
      <c r="B22" s="70" t="s">
        <v>177</v>
      </c>
    </row>
    <row r="23" ht="15.75" customHeight="1">
      <c r="B23" s="71" t="s">
        <v>178</v>
      </c>
      <c r="E23" s="72">
        <f>'01_Input'!$M$57</f>
        <v>0.0003</v>
      </c>
      <c r="F23" s="72">
        <f>'01_Input'!$M$57</f>
        <v>0.0003</v>
      </c>
      <c r="G23" s="72">
        <f>'01_Input'!$M$57</f>
        <v>0.0003</v>
      </c>
      <c r="H23" s="72">
        <f>'01_Input'!$M$57</f>
        <v>0.0003</v>
      </c>
      <c r="I23" s="72">
        <f>'01_Input'!$M$57</f>
        <v>0.0003</v>
      </c>
      <c r="J23" s="72">
        <f>'01_Input'!$M$57</f>
        <v>0.0003</v>
      </c>
      <c r="K23" s="72">
        <f>'01_Input'!$M$57</f>
        <v>0.0003</v>
      </c>
      <c r="L23" s="72">
        <f>'01_Input'!$M$57</f>
        <v>0.0003</v>
      </c>
      <c r="M23" s="72">
        <f>'01_Input'!$M$57</f>
        <v>0.0003</v>
      </c>
      <c r="N23" s="72">
        <f>'01_Input'!$M$57</f>
        <v>0.0003</v>
      </c>
      <c r="O23" s="72">
        <f>'01_Input'!$M$57</f>
        <v>0.0003</v>
      </c>
      <c r="P23" s="72">
        <f>'01_Input'!$M$57</f>
        <v>0.0003</v>
      </c>
      <c r="Q23" s="72">
        <f>'01_Input'!$M$57</f>
        <v>0.0003</v>
      </c>
      <c r="R23" s="72">
        <f>'01_Input'!$M$57</f>
        <v>0.0003</v>
      </c>
      <c r="S23" s="72">
        <f>'01_Input'!$M$57</f>
        <v>0.0003</v>
      </c>
      <c r="T23" s="72">
        <f>'01_Input'!$M$57</f>
        <v>0.0003</v>
      </c>
      <c r="U23" s="72">
        <f>'01_Input'!$M$57</f>
        <v>0.0003</v>
      </c>
      <c r="V23" s="72">
        <f>'01_Input'!$M$57</f>
        <v>0.0003</v>
      </c>
      <c r="W23" s="72">
        <f>'01_Input'!$M$57</f>
        <v>0.0003</v>
      </c>
      <c r="X23" s="72">
        <f>'01_Input'!$M$57</f>
        <v>0.0003</v>
      </c>
      <c r="Y23" s="72">
        <f>'01_Input'!$M$57</f>
        <v>0.0003</v>
      </c>
      <c r="Z23" s="72">
        <f>'01_Input'!$M$57</f>
        <v>0.0003</v>
      </c>
      <c r="AA23" s="72">
        <f>'01_Input'!$M$57</f>
        <v>0.0003</v>
      </c>
      <c r="AB23" s="72">
        <f>'01_Input'!$M$57</f>
        <v>0.0003</v>
      </c>
      <c r="AC23" s="72">
        <f>'01_Input'!$M$57</f>
        <v>0.0003</v>
      </c>
      <c r="AD23" s="72">
        <f>'01_Input'!$M$57</f>
        <v>0.0003</v>
      </c>
      <c r="AE23" s="72">
        <f>'01_Input'!$M$57</f>
        <v>0.0003</v>
      </c>
      <c r="AF23" s="72">
        <f>'01_Input'!$M$57</f>
        <v>0.0003</v>
      </c>
      <c r="AG23" s="72">
        <f>'01_Input'!$M$57</f>
        <v>0.0003</v>
      </c>
      <c r="AH23" s="72">
        <f>'01_Input'!$M$57</f>
        <v>0.0003</v>
      </c>
      <c r="AI23" s="72">
        <f>'01_Input'!$M$57</f>
        <v>0.0003</v>
      </c>
      <c r="AJ23" s="72">
        <f>'01_Input'!$M$57</f>
        <v>0.0003</v>
      </c>
      <c r="AK23" s="72">
        <f>'01_Input'!$M$57</f>
        <v>0.0003</v>
      </c>
      <c r="AL23" s="72">
        <f>'01_Input'!$M$57</f>
        <v>0.0003</v>
      </c>
      <c r="AM23" s="72">
        <f>'01_Input'!$M$57</f>
        <v>0.0003</v>
      </c>
      <c r="AN23" s="72">
        <f>'01_Input'!$M$57</f>
        <v>0.0003</v>
      </c>
      <c r="AO23" s="72">
        <f>'01_Input'!$M$57</f>
        <v>0.0003</v>
      </c>
      <c r="AP23" s="72">
        <f>'01_Input'!$M$57</f>
        <v>0.0003</v>
      </c>
      <c r="AQ23" s="72">
        <f>'01_Input'!$M$57</f>
        <v>0.0003</v>
      </c>
      <c r="AR23" s="72">
        <f>'01_Input'!$M$57</f>
        <v>0.0003</v>
      </c>
      <c r="AS23" s="72">
        <f>'01_Input'!$M$57</f>
        <v>0.0003</v>
      </c>
      <c r="AT23" s="72">
        <f>'01_Input'!$M$57</f>
        <v>0.0003</v>
      </c>
      <c r="AU23" s="72">
        <f>'01_Input'!$M$57</f>
        <v>0.0003</v>
      </c>
      <c r="AV23" s="72">
        <f>'01_Input'!$M$57</f>
        <v>0.0003</v>
      </c>
      <c r="AW23" s="72">
        <f>'01_Input'!$M$57</f>
        <v>0.0003</v>
      </c>
      <c r="AX23" s="72">
        <f>'01_Input'!$M$57</f>
        <v>0.0003</v>
      </c>
      <c r="AY23" s="72">
        <f>'01_Input'!$M$57</f>
        <v>0.0003</v>
      </c>
      <c r="AZ23" s="72">
        <f>'01_Input'!$M$57</f>
        <v>0.0003</v>
      </c>
      <c r="BA23" s="72">
        <f>'01_Input'!$M$57</f>
        <v>0.0003</v>
      </c>
      <c r="BB23" s="72">
        <f>'01_Input'!$M$57</f>
        <v>0.0003</v>
      </c>
      <c r="BC23" s="72">
        <f>'01_Input'!$M$57</f>
        <v>0.0003</v>
      </c>
      <c r="BD23" s="72">
        <f>'01_Input'!$M$57</f>
        <v>0.0003</v>
      </c>
      <c r="BE23" s="72">
        <f>'01_Input'!$M$57</f>
        <v>0.0003</v>
      </c>
      <c r="BF23" s="72">
        <f>'01_Input'!$M$57</f>
        <v>0.0003</v>
      </c>
      <c r="BG23" s="72">
        <f>'01_Input'!$M$57</f>
        <v>0.0003</v>
      </c>
      <c r="BH23" s="72">
        <f>'01_Input'!$M$57</f>
        <v>0.0003</v>
      </c>
      <c r="BI23" s="72">
        <f>'01_Input'!$M$57</f>
        <v>0.0003</v>
      </c>
      <c r="BJ23" s="72">
        <f>'01_Input'!$M$57</f>
        <v>0.0003</v>
      </c>
      <c r="BK23" s="72">
        <f>'01_Input'!$M$57</f>
        <v>0.0003</v>
      </c>
      <c r="BL23" s="72">
        <f>'01_Input'!$M$57</f>
        <v>0.0003</v>
      </c>
      <c r="BM23" s="72">
        <f>'01_Input'!$M$57</f>
        <v>0.0003</v>
      </c>
      <c r="BN23" s="72">
        <f>'01_Input'!$M$57</f>
        <v>0.0003</v>
      </c>
      <c r="BO23" s="72">
        <f>'01_Input'!$M$57</f>
        <v>0.0003</v>
      </c>
      <c r="BP23" s="72">
        <f>'01_Input'!$M$57</f>
        <v>0.0003</v>
      </c>
      <c r="BQ23" s="72">
        <f>'01_Input'!$M$57</f>
        <v>0.0003</v>
      </c>
      <c r="BR23" s="72">
        <f>'01_Input'!$M$57</f>
        <v>0.0003</v>
      </c>
      <c r="BS23" s="72">
        <f>'01_Input'!$M$57</f>
        <v>0.0003</v>
      </c>
      <c r="BT23" s="72">
        <f>'01_Input'!$M$57</f>
        <v>0.0003</v>
      </c>
      <c r="BU23" s="72">
        <f>'01_Input'!$M$57</f>
        <v>0.0003</v>
      </c>
      <c r="BV23" s="72">
        <f>'01_Input'!$M$57</f>
        <v>0.0003</v>
      </c>
      <c r="BW23" s="72">
        <f>'01_Input'!$M$57</f>
        <v>0.0003</v>
      </c>
      <c r="BX23" s="72">
        <f>'01_Input'!$M$57</f>
        <v>0.0003</v>
      </c>
      <c r="BY23" s="72">
        <f>'01_Input'!$M$57</f>
        <v>0.0003</v>
      </c>
      <c r="BZ23" s="72">
        <f>'01_Input'!$M$57</f>
        <v>0.0003</v>
      </c>
      <c r="CA23" s="72">
        <f>'01_Input'!$M$57</f>
        <v>0.0003</v>
      </c>
      <c r="CB23" s="72">
        <f>'01_Input'!$M$57</f>
        <v>0.0003</v>
      </c>
      <c r="CC23" s="72">
        <f>'01_Input'!$M$57</f>
        <v>0.0003</v>
      </c>
      <c r="CD23" s="72">
        <f>'01_Input'!$M$57</f>
        <v>0.0003</v>
      </c>
      <c r="CE23" s="72">
        <f>'01_Input'!$M$57</f>
        <v>0.0003</v>
      </c>
      <c r="CF23" s="72">
        <f>'01_Input'!$M$57</f>
        <v>0.0003</v>
      </c>
      <c r="CG23" s="72">
        <f>'01_Input'!$M$57</f>
        <v>0.0003</v>
      </c>
      <c r="CH23" s="72">
        <f>'01_Input'!$M$57</f>
        <v>0.0003</v>
      </c>
      <c r="CI23" s="72">
        <f>'01_Input'!$M$57</f>
        <v>0.0003</v>
      </c>
      <c r="CJ23" s="72">
        <f>'01_Input'!$M$57</f>
        <v>0.0003</v>
      </c>
      <c r="CK23" s="72">
        <f>'01_Input'!$M$57</f>
        <v>0.0003</v>
      </c>
      <c r="CL23" s="72">
        <f>'01_Input'!$M$57</f>
        <v>0.0003</v>
      </c>
      <c r="CM23" s="72">
        <f>'01_Input'!$M$57</f>
        <v>0.0003</v>
      </c>
      <c r="CN23" s="72">
        <f>'01_Input'!$M$57</f>
        <v>0.0003</v>
      </c>
      <c r="CO23" s="72">
        <f>'01_Input'!$M$57</f>
        <v>0.0003</v>
      </c>
      <c r="CP23" s="72">
        <f>'01_Input'!$M$57</f>
        <v>0.0003</v>
      </c>
      <c r="CQ23" s="72">
        <f>'01_Input'!$M$57</f>
        <v>0.0003</v>
      </c>
      <c r="CR23" s="72">
        <f>'01_Input'!$M$57</f>
        <v>0.0003</v>
      </c>
      <c r="CS23" s="72">
        <f>'01_Input'!$M$57</f>
        <v>0.0003</v>
      </c>
      <c r="CT23" s="72">
        <f>'01_Input'!$M$57</f>
        <v>0.0003</v>
      </c>
      <c r="CU23" s="72">
        <f>'01_Input'!$M$57</f>
        <v>0.0003</v>
      </c>
      <c r="CV23" s="72">
        <f>'01_Input'!$M$57</f>
        <v>0.0003</v>
      </c>
      <c r="CW23" s="72">
        <f>'01_Input'!$M$57</f>
        <v>0.0003</v>
      </c>
      <c r="CX23" s="72">
        <f>'01_Input'!$M$57</f>
        <v>0.0003</v>
      </c>
      <c r="CY23" s="72">
        <f>'01_Input'!$M$57</f>
        <v>0.0003</v>
      </c>
      <c r="CZ23" s="72">
        <f>'01_Input'!$M$57</f>
        <v>0.0003</v>
      </c>
      <c r="DA23" s="72">
        <f>'01_Input'!$M$57</f>
        <v>0.0003</v>
      </c>
      <c r="DB23" s="72">
        <f>'01_Input'!$M$57</f>
        <v>0.0003</v>
      </c>
      <c r="DC23" s="72">
        <f>'01_Input'!$M$57</f>
        <v>0.0003</v>
      </c>
      <c r="DD23" s="72">
        <f>'01_Input'!$M$57</f>
        <v>0.0003</v>
      </c>
      <c r="DE23" s="72">
        <f>'01_Input'!$M$57</f>
        <v>0.0003</v>
      </c>
      <c r="DF23" s="72">
        <f>'01_Input'!$M$57</f>
        <v>0.0003</v>
      </c>
      <c r="DG23" s="72">
        <f>'01_Input'!$M$57</f>
        <v>0.0003</v>
      </c>
      <c r="DH23" s="72">
        <f>'01_Input'!$M$57</f>
        <v>0.0003</v>
      </c>
      <c r="DI23" s="72">
        <f>'01_Input'!$M$57</f>
        <v>0.0003</v>
      </c>
      <c r="DJ23" s="72">
        <f>'01_Input'!$M$57</f>
        <v>0.0003</v>
      </c>
      <c r="DK23" s="72">
        <f>'01_Input'!$M$57</f>
        <v>0.0003</v>
      </c>
      <c r="DL23" s="72">
        <f>'01_Input'!$M$57</f>
        <v>0.0003</v>
      </c>
      <c r="DM23" s="72">
        <f>'01_Input'!$M$57</f>
        <v>0.0003</v>
      </c>
      <c r="DN23" s="72">
        <f>'01_Input'!$M$57</f>
        <v>0.0003</v>
      </c>
      <c r="DO23" s="72">
        <f>'01_Input'!$M$57</f>
        <v>0.0003</v>
      </c>
      <c r="DP23" s="72">
        <f>'01_Input'!$M$57</f>
        <v>0.0003</v>
      </c>
      <c r="DQ23" s="72">
        <f>'01_Input'!$M$57</f>
        <v>0.0003</v>
      </c>
      <c r="DR23" s="72">
        <f>'01_Input'!$M$57</f>
        <v>0.0003</v>
      </c>
      <c r="DS23" s="72">
        <f>'01_Input'!$M$57</f>
        <v>0.0003</v>
      </c>
      <c r="DT23" s="72">
        <f>'01_Input'!$M$57</f>
        <v>0.0003</v>
      </c>
      <c r="DU23" s="72">
        <f>'01_Input'!$M$57</f>
        <v>0.0003</v>
      </c>
      <c r="DV23" s="72">
        <f>'01_Input'!$M$57</f>
        <v>0.0003</v>
      </c>
      <c r="DW23" s="72">
        <f>'01_Input'!$M$57</f>
        <v>0.0003</v>
      </c>
      <c r="DX23" s="72">
        <f>'01_Input'!$M$57</f>
        <v>0.0003</v>
      </c>
      <c r="DY23" s="72">
        <f>'01_Input'!$M$57</f>
        <v>0.0003</v>
      </c>
      <c r="DZ23" s="72">
        <f>'01_Input'!$M$57</f>
        <v>0.0003</v>
      </c>
      <c r="EA23" s="72">
        <f>'01_Input'!$M$57</f>
        <v>0.0003</v>
      </c>
      <c r="EB23" s="72">
        <f>'01_Input'!$M$57</f>
        <v>0.0003</v>
      </c>
      <c r="EC23" s="72">
        <f>'01_Input'!$M$57</f>
        <v>0.0003</v>
      </c>
      <c r="ED23" s="72">
        <f>'01_Input'!$M$57</f>
        <v>0.0003</v>
      </c>
      <c r="EE23" s="72">
        <f>'01_Input'!$M$57</f>
        <v>0.0003</v>
      </c>
      <c r="EF23" s="72">
        <f>'01_Input'!$M$57</f>
        <v>0.0003</v>
      </c>
      <c r="EG23" s="72">
        <f>'01_Input'!$M$57</f>
        <v>0.0003</v>
      </c>
      <c r="EH23" s="72">
        <f>'01_Input'!$M$57</f>
        <v>0.0003</v>
      </c>
      <c r="EI23" s="72">
        <f>'01_Input'!$M$57</f>
        <v>0.0003</v>
      </c>
      <c r="EJ23" s="72">
        <f>'01_Input'!$M$57</f>
        <v>0.0003</v>
      </c>
      <c r="EK23" s="72">
        <f>'01_Input'!$M$57</f>
        <v>0.0003</v>
      </c>
      <c r="EL23" s="72">
        <f>'01_Input'!$M$57</f>
        <v>0.0003</v>
      </c>
      <c r="EM23" s="72">
        <f>'01_Input'!$M$57</f>
        <v>0.0003</v>
      </c>
      <c r="EN23" s="72">
        <f>'01_Input'!$M$57</f>
        <v>0.0003</v>
      </c>
      <c r="EO23" s="72">
        <f>'01_Input'!$M$57</f>
        <v>0.0003</v>
      </c>
      <c r="EP23" s="72">
        <f>'01_Input'!$M$57</f>
        <v>0.0003</v>
      </c>
      <c r="EQ23" s="72">
        <f>'01_Input'!$M$57</f>
        <v>0.0003</v>
      </c>
      <c r="ER23" s="72">
        <f>'01_Input'!$M$57</f>
        <v>0.0003</v>
      </c>
      <c r="ES23" s="72">
        <f>'01_Input'!$M$57</f>
        <v>0.0003</v>
      </c>
      <c r="ET23" s="72">
        <f>'01_Input'!$M$57</f>
        <v>0.0003</v>
      </c>
      <c r="EU23" s="72">
        <f>'01_Input'!$M$57</f>
        <v>0.0003</v>
      </c>
      <c r="EV23" s="72">
        <f>'01_Input'!$M$57</f>
        <v>0.0003</v>
      </c>
      <c r="EW23" s="72">
        <f>'01_Input'!$M$57</f>
        <v>0.0003</v>
      </c>
      <c r="EX23" s="72">
        <f>'01_Input'!$M$57</f>
        <v>0.0003</v>
      </c>
    </row>
    <row r="24" ht="15.75" customHeight="1">
      <c r="B24" s="71" t="s">
        <v>184</v>
      </c>
      <c r="E24" s="25">
        <f t="shared" ref="E24:EX24" si="1">E$21*E23</f>
        <v>1500</v>
      </c>
      <c r="F24" s="25">
        <f t="shared" si="1"/>
        <v>3000</v>
      </c>
      <c r="G24" s="25">
        <f t="shared" si="1"/>
        <v>4500</v>
      </c>
      <c r="H24" s="25">
        <f t="shared" si="1"/>
        <v>6000</v>
      </c>
      <c r="I24" s="25">
        <f t="shared" si="1"/>
        <v>7500</v>
      </c>
      <c r="J24" s="25">
        <f t="shared" si="1"/>
        <v>9000</v>
      </c>
      <c r="K24" s="25">
        <f t="shared" si="1"/>
        <v>10500</v>
      </c>
      <c r="L24" s="25">
        <f t="shared" si="1"/>
        <v>12000</v>
      </c>
      <c r="M24" s="25">
        <f t="shared" si="1"/>
        <v>13500</v>
      </c>
      <c r="N24" s="25">
        <f t="shared" si="1"/>
        <v>15000</v>
      </c>
      <c r="O24" s="25">
        <f t="shared" si="1"/>
        <v>0</v>
      </c>
      <c r="P24" s="25">
        <f t="shared" si="1"/>
        <v>0</v>
      </c>
      <c r="Q24" s="25">
        <f t="shared" si="1"/>
        <v>0</v>
      </c>
      <c r="R24" s="25">
        <f t="shared" si="1"/>
        <v>0</v>
      </c>
      <c r="S24" s="25">
        <f t="shared" si="1"/>
        <v>0</v>
      </c>
      <c r="T24" s="25">
        <f t="shared" si="1"/>
        <v>0</v>
      </c>
      <c r="U24" s="25">
        <f t="shared" si="1"/>
        <v>0</v>
      </c>
      <c r="V24" s="25">
        <f t="shared" si="1"/>
        <v>0</v>
      </c>
      <c r="W24" s="25">
        <f t="shared" si="1"/>
        <v>0</v>
      </c>
      <c r="X24" s="25">
        <f t="shared" si="1"/>
        <v>0</v>
      </c>
      <c r="Y24" s="25">
        <f t="shared" si="1"/>
        <v>0</v>
      </c>
      <c r="Z24" s="25">
        <f t="shared" si="1"/>
        <v>0</v>
      </c>
      <c r="AA24" s="25">
        <f t="shared" si="1"/>
        <v>0</v>
      </c>
      <c r="AB24" s="25">
        <f t="shared" si="1"/>
        <v>0</v>
      </c>
      <c r="AC24" s="25">
        <f t="shared" si="1"/>
        <v>0</v>
      </c>
      <c r="AD24" s="25">
        <f t="shared" si="1"/>
        <v>0</v>
      </c>
      <c r="AE24" s="25">
        <f t="shared" si="1"/>
        <v>0</v>
      </c>
      <c r="AF24" s="25">
        <f t="shared" si="1"/>
        <v>0</v>
      </c>
      <c r="AG24" s="25">
        <f t="shared" si="1"/>
        <v>0</v>
      </c>
      <c r="AH24" s="25">
        <f t="shared" si="1"/>
        <v>0</v>
      </c>
      <c r="AI24" s="25">
        <f t="shared" si="1"/>
        <v>0</v>
      </c>
      <c r="AJ24" s="25">
        <f t="shared" si="1"/>
        <v>0</v>
      </c>
      <c r="AK24" s="25">
        <f t="shared" si="1"/>
        <v>0</v>
      </c>
      <c r="AL24" s="25">
        <f t="shared" si="1"/>
        <v>0</v>
      </c>
      <c r="AM24" s="25">
        <f t="shared" si="1"/>
        <v>0</v>
      </c>
      <c r="AN24" s="25">
        <f t="shared" si="1"/>
        <v>0</v>
      </c>
      <c r="AO24" s="25">
        <f t="shared" si="1"/>
        <v>0</v>
      </c>
      <c r="AP24" s="25">
        <f t="shared" si="1"/>
        <v>0</v>
      </c>
      <c r="AQ24" s="25">
        <f t="shared" si="1"/>
        <v>0</v>
      </c>
      <c r="AR24" s="25">
        <f t="shared" si="1"/>
        <v>0</v>
      </c>
      <c r="AS24" s="25">
        <f t="shared" si="1"/>
        <v>0</v>
      </c>
      <c r="AT24" s="25">
        <f t="shared" si="1"/>
        <v>0</v>
      </c>
      <c r="AU24" s="25">
        <f t="shared" si="1"/>
        <v>0</v>
      </c>
      <c r="AV24" s="25">
        <f t="shared" si="1"/>
        <v>0</v>
      </c>
      <c r="AW24" s="25">
        <f t="shared" si="1"/>
        <v>0</v>
      </c>
      <c r="AX24" s="25">
        <f t="shared" si="1"/>
        <v>0</v>
      </c>
      <c r="AY24" s="25">
        <f t="shared" si="1"/>
        <v>0</v>
      </c>
      <c r="AZ24" s="25">
        <f t="shared" si="1"/>
        <v>0</v>
      </c>
      <c r="BA24" s="25">
        <f t="shared" si="1"/>
        <v>0</v>
      </c>
      <c r="BB24" s="25">
        <f t="shared" si="1"/>
        <v>0</v>
      </c>
      <c r="BC24" s="25">
        <f t="shared" si="1"/>
        <v>0</v>
      </c>
      <c r="BD24" s="25">
        <f t="shared" si="1"/>
        <v>0</v>
      </c>
      <c r="BE24" s="25">
        <f t="shared" si="1"/>
        <v>0</v>
      </c>
      <c r="BF24" s="25">
        <f t="shared" si="1"/>
        <v>0</v>
      </c>
      <c r="BG24" s="25">
        <f t="shared" si="1"/>
        <v>0</v>
      </c>
      <c r="BH24" s="25">
        <f t="shared" si="1"/>
        <v>0</v>
      </c>
      <c r="BI24" s="25">
        <f t="shared" si="1"/>
        <v>0</v>
      </c>
      <c r="BJ24" s="25">
        <f t="shared" si="1"/>
        <v>0</v>
      </c>
      <c r="BK24" s="25">
        <f t="shared" si="1"/>
        <v>0</v>
      </c>
      <c r="BL24" s="25">
        <f t="shared" si="1"/>
        <v>0</v>
      </c>
      <c r="BM24" s="25">
        <f t="shared" si="1"/>
        <v>0</v>
      </c>
      <c r="BN24" s="25">
        <f t="shared" si="1"/>
        <v>0</v>
      </c>
      <c r="BO24" s="25">
        <f t="shared" si="1"/>
        <v>0</v>
      </c>
      <c r="BP24" s="25">
        <f t="shared" si="1"/>
        <v>0</v>
      </c>
      <c r="BQ24" s="25">
        <f t="shared" si="1"/>
        <v>0</v>
      </c>
      <c r="BR24" s="25">
        <f t="shared" si="1"/>
        <v>0</v>
      </c>
      <c r="BS24" s="25">
        <f t="shared" si="1"/>
        <v>0</v>
      </c>
      <c r="BT24" s="25">
        <f t="shared" si="1"/>
        <v>0</v>
      </c>
      <c r="BU24" s="25">
        <f t="shared" si="1"/>
        <v>0</v>
      </c>
      <c r="BV24" s="25">
        <f t="shared" si="1"/>
        <v>0</v>
      </c>
      <c r="BW24" s="25">
        <f t="shared" si="1"/>
        <v>0</v>
      </c>
      <c r="BX24" s="25">
        <f t="shared" si="1"/>
        <v>0</v>
      </c>
      <c r="BY24" s="25">
        <f t="shared" si="1"/>
        <v>0</v>
      </c>
      <c r="BZ24" s="25">
        <f t="shared" si="1"/>
        <v>0</v>
      </c>
      <c r="CA24" s="25">
        <f t="shared" si="1"/>
        <v>0</v>
      </c>
      <c r="CB24" s="25">
        <f t="shared" si="1"/>
        <v>0</v>
      </c>
      <c r="CC24" s="25">
        <f t="shared" si="1"/>
        <v>0</v>
      </c>
      <c r="CD24" s="25">
        <f t="shared" si="1"/>
        <v>0</v>
      </c>
      <c r="CE24" s="25">
        <f t="shared" si="1"/>
        <v>0</v>
      </c>
      <c r="CF24" s="25">
        <f t="shared" si="1"/>
        <v>0</v>
      </c>
      <c r="CG24" s="25">
        <f t="shared" si="1"/>
        <v>0</v>
      </c>
      <c r="CH24" s="25">
        <f t="shared" si="1"/>
        <v>0</v>
      </c>
      <c r="CI24" s="25">
        <f t="shared" si="1"/>
        <v>0</v>
      </c>
      <c r="CJ24" s="25">
        <f t="shared" si="1"/>
        <v>0</v>
      </c>
      <c r="CK24" s="25">
        <f t="shared" si="1"/>
        <v>0</v>
      </c>
      <c r="CL24" s="25">
        <f t="shared" si="1"/>
        <v>0</v>
      </c>
      <c r="CM24" s="25">
        <f t="shared" si="1"/>
        <v>0</v>
      </c>
      <c r="CN24" s="25">
        <f t="shared" si="1"/>
        <v>0</v>
      </c>
      <c r="CO24" s="25">
        <f t="shared" si="1"/>
        <v>0</v>
      </c>
      <c r="CP24" s="25">
        <f t="shared" si="1"/>
        <v>0</v>
      </c>
      <c r="CQ24" s="25">
        <f t="shared" si="1"/>
        <v>0</v>
      </c>
      <c r="CR24" s="25">
        <f t="shared" si="1"/>
        <v>0</v>
      </c>
      <c r="CS24" s="25">
        <f t="shared" si="1"/>
        <v>0</v>
      </c>
      <c r="CT24" s="25">
        <f t="shared" si="1"/>
        <v>0</v>
      </c>
      <c r="CU24" s="25">
        <f t="shared" si="1"/>
        <v>0</v>
      </c>
      <c r="CV24" s="25">
        <f t="shared" si="1"/>
        <v>0</v>
      </c>
      <c r="CW24" s="25">
        <f t="shared" si="1"/>
        <v>0</v>
      </c>
      <c r="CX24" s="25">
        <f t="shared" si="1"/>
        <v>0</v>
      </c>
      <c r="CY24" s="25">
        <f t="shared" si="1"/>
        <v>0</v>
      </c>
      <c r="CZ24" s="25">
        <f t="shared" si="1"/>
        <v>0</v>
      </c>
      <c r="DA24" s="25">
        <f t="shared" si="1"/>
        <v>0</v>
      </c>
      <c r="DB24" s="25">
        <f t="shared" si="1"/>
        <v>0</v>
      </c>
      <c r="DC24" s="25">
        <f t="shared" si="1"/>
        <v>0</v>
      </c>
      <c r="DD24" s="25">
        <f t="shared" si="1"/>
        <v>0</v>
      </c>
      <c r="DE24" s="25">
        <f t="shared" si="1"/>
        <v>0</v>
      </c>
      <c r="DF24" s="25">
        <f t="shared" si="1"/>
        <v>0</v>
      </c>
      <c r="DG24" s="25">
        <f t="shared" si="1"/>
        <v>0</v>
      </c>
      <c r="DH24" s="25">
        <f t="shared" si="1"/>
        <v>0</v>
      </c>
      <c r="DI24" s="25">
        <f t="shared" si="1"/>
        <v>0</v>
      </c>
      <c r="DJ24" s="25">
        <f t="shared" si="1"/>
        <v>0</v>
      </c>
      <c r="DK24" s="25">
        <f t="shared" si="1"/>
        <v>0</v>
      </c>
      <c r="DL24" s="25">
        <f t="shared" si="1"/>
        <v>0</v>
      </c>
      <c r="DM24" s="25">
        <f t="shared" si="1"/>
        <v>0</v>
      </c>
      <c r="DN24" s="25">
        <f t="shared" si="1"/>
        <v>0</v>
      </c>
      <c r="DO24" s="25">
        <f t="shared" si="1"/>
        <v>0</v>
      </c>
      <c r="DP24" s="25">
        <f t="shared" si="1"/>
        <v>0</v>
      </c>
      <c r="DQ24" s="25">
        <f t="shared" si="1"/>
        <v>0</v>
      </c>
      <c r="DR24" s="25">
        <f t="shared" si="1"/>
        <v>0</v>
      </c>
      <c r="DS24" s="25">
        <f t="shared" si="1"/>
        <v>0</v>
      </c>
      <c r="DT24" s="25">
        <f t="shared" si="1"/>
        <v>0</v>
      </c>
      <c r="DU24" s="25">
        <f t="shared" si="1"/>
        <v>0</v>
      </c>
      <c r="DV24" s="25">
        <f t="shared" si="1"/>
        <v>0</v>
      </c>
      <c r="DW24" s="25">
        <f t="shared" si="1"/>
        <v>0</v>
      </c>
      <c r="DX24" s="25">
        <f t="shared" si="1"/>
        <v>0</v>
      </c>
      <c r="DY24" s="25">
        <f t="shared" si="1"/>
        <v>0</v>
      </c>
      <c r="DZ24" s="25">
        <f t="shared" si="1"/>
        <v>0</v>
      </c>
      <c r="EA24" s="25">
        <f t="shared" si="1"/>
        <v>0</v>
      </c>
      <c r="EB24" s="25">
        <f t="shared" si="1"/>
        <v>0</v>
      </c>
      <c r="EC24" s="25">
        <f t="shared" si="1"/>
        <v>0</v>
      </c>
      <c r="ED24" s="25">
        <f t="shared" si="1"/>
        <v>0</v>
      </c>
      <c r="EE24" s="25">
        <f t="shared" si="1"/>
        <v>0</v>
      </c>
      <c r="EF24" s="25">
        <f t="shared" si="1"/>
        <v>0</v>
      </c>
      <c r="EG24" s="25">
        <f t="shared" si="1"/>
        <v>0</v>
      </c>
      <c r="EH24" s="25">
        <f t="shared" si="1"/>
        <v>0</v>
      </c>
      <c r="EI24" s="25">
        <f t="shared" si="1"/>
        <v>0</v>
      </c>
      <c r="EJ24" s="25">
        <f t="shared" si="1"/>
        <v>0</v>
      </c>
      <c r="EK24" s="25">
        <f t="shared" si="1"/>
        <v>0</v>
      </c>
      <c r="EL24" s="25">
        <f t="shared" si="1"/>
        <v>0</v>
      </c>
      <c r="EM24" s="25">
        <f t="shared" si="1"/>
        <v>0</v>
      </c>
      <c r="EN24" s="25">
        <f t="shared" si="1"/>
        <v>0</v>
      </c>
      <c r="EO24" s="25">
        <f t="shared" si="1"/>
        <v>0</v>
      </c>
      <c r="EP24" s="25">
        <f t="shared" si="1"/>
        <v>0</v>
      </c>
      <c r="EQ24" s="25">
        <f t="shared" si="1"/>
        <v>0</v>
      </c>
      <c r="ER24" s="25">
        <f t="shared" si="1"/>
        <v>0</v>
      </c>
      <c r="ES24" s="25">
        <f t="shared" si="1"/>
        <v>0</v>
      </c>
      <c r="ET24" s="25">
        <f t="shared" si="1"/>
        <v>0</v>
      </c>
      <c r="EU24" s="25">
        <f t="shared" si="1"/>
        <v>0</v>
      </c>
      <c r="EV24" s="25">
        <f t="shared" si="1"/>
        <v>0</v>
      </c>
      <c r="EW24" s="25">
        <f t="shared" si="1"/>
        <v>0</v>
      </c>
      <c r="EX24" s="25">
        <f t="shared" si="1"/>
        <v>0</v>
      </c>
    </row>
    <row r="25" ht="15.75" customHeight="1">
      <c r="B25" s="71" t="s">
        <v>185</v>
      </c>
      <c r="E25" s="25">
        <f>'01_Input'!$H$57</f>
        <v>12000</v>
      </c>
      <c r="F25" s="25">
        <f>'01_Input'!$H$57</f>
        <v>12000</v>
      </c>
      <c r="G25" s="25">
        <f>'01_Input'!$H$57</f>
        <v>12000</v>
      </c>
      <c r="H25" s="25">
        <f>'01_Input'!$H$57</f>
        <v>12000</v>
      </c>
      <c r="I25" s="25">
        <f>'01_Input'!$H$57</f>
        <v>12000</v>
      </c>
      <c r="J25" s="25">
        <f>'01_Input'!$H$57</f>
        <v>12000</v>
      </c>
      <c r="K25" s="25">
        <f>'01_Input'!$H$57</f>
        <v>12000</v>
      </c>
      <c r="L25" s="25">
        <f>'01_Input'!$H$57</f>
        <v>12000</v>
      </c>
      <c r="M25" s="25">
        <f>'01_Input'!$H$57</f>
        <v>12000</v>
      </c>
      <c r="N25" s="25">
        <f>'01_Input'!$H$57</f>
        <v>12000</v>
      </c>
      <c r="O25" s="25">
        <f>'01_Input'!$H$57</f>
        <v>12000</v>
      </c>
      <c r="P25" s="25">
        <f>'01_Input'!$H$57</f>
        <v>12000</v>
      </c>
      <c r="Q25" s="25">
        <f>'01_Input'!$H$57</f>
        <v>12000</v>
      </c>
      <c r="R25" s="25">
        <f>'01_Input'!$H$57</f>
        <v>12000</v>
      </c>
      <c r="S25" s="25">
        <f>'01_Input'!$H$57</f>
        <v>12000</v>
      </c>
      <c r="T25" s="25">
        <f>'01_Input'!$H$57</f>
        <v>12000</v>
      </c>
      <c r="U25" s="25">
        <f>'01_Input'!$H$57</f>
        <v>12000</v>
      </c>
      <c r="V25" s="25">
        <f>'01_Input'!$H$57</f>
        <v>12000</v>
      </c>
      <c r="W25" s="25">
        <f>'01_Input'!$H$57</f>
        <v>12000</v>
      </c>
      <c r="X25" s="25">
        <f>'01_Input'!$H$57</f>
        <v>12000</v>
      </c>
      <c r="Y25" s="25">
        <f>'01_Input'!$H$57</f>
        <v>12000</v>
      </c>
      <c r="Z25" s="25">
        <f>'01_Input'!$H$57</f>
        <v>12000</v>
      </c>
      <c r="AA25" s="25">
        <f>'01_Input'!$H$57</f>
        <v>12000</v>
      </c>
      <c r="AB25" s="25">
        <f>'01_Input'!$H$57</f>
        <v>12000</v>
      </c>
      <c r="AC25" s="25">
        <f>'01_Input'!$H$57</f>
        <v>12000</v>
      </c>
      <c r="AD25" s="25">
        <f>'01_Input'!$H$57</f>
        <v>12000</v>
      </c>
      <c r="AE25" s="25">
        <f>'01_Input'!$H$57</f>
        <v>12000</v>
      </c>
      <c r="AF25" s="25">
        <f>'01_Input'!$H$57</f>
        <v>12000</v>
      </c>
      <c r="AG25" s="25">
        <f>'01_Input'!$H$57</f>
        <v>12000</v>
      </c>
      <c r="AH25" s="25">
        <f>'01_Input'!$H$57</f>
        <v>12000</v>
      </c>
      <c r="AI25" s="25">
        <f>'01_Input'!$H$57</f>
        <v>12000</v>
      </c>
      <c r="AJ25" s="25">
        <f>'01_Input'!$H$57</f>
        <v>12000</v>
      </c>
      <c r="AK25" s="25">
        <f>'01_Input'!$H$57</f>
        <v>12000</v>
      </c>
      <c r="AL25" s="25">
        <f>'01_Input'!$H$57</f>
        <v>12000</v>
      </c>
      <c r="AM25" s="25">
        <f>'01_Input'!$H$57</f>
        <v>12000</v>
      </c>
      <c r="AN25" s="25">
        <f>'01_Input'!$H$57</f>
        <v>12000</v>
      </c>
      <c r="AO25" s="25">
        <f>'01_Input'!$H$57</f>
        <v>12000</v>
      </c>
      <c r="AP25" s="25">
        <f>'01_Input'!$H$57</f>
        <v>12000</v>
      </c>
      <c r="AQ25" s="25">
        <f>'01_Input'!$H$57</f>
        <v>12000</v>
      </c>
      <c r="AR25" s="25">
        <f>'01_Input'!$H$57</f>
        <v>12000</v>
      </c>
      <c r="AS25" s="25">
        <f>'01_Input'!$H$57</f>
        <v>12000</v>
      </c>
      <c r="AT25" s="25">
        <f>'01_Input'!$H$57</f>
        <v>12000</v>
      </c>
      <c r="AU25" s="25">
        <f>'01_Input'!$H$57</f>
        <v>12000</v>
      </c>
      <c r="AV25" s="25">
        <f>'01_Input'!$H$57</f>
        <v>12000</v>
      </c>
      <c r="AW25" s="25">
        <f>'01_Input'!$H$57</f>
        <v>12000</v>
      </c>
      <c r="AX25" s="25">
        <f>'01_Input'!$H$57</f>
        <v>12000</v>
      </c>
      <c r="AY25" s="25">
        <f>'01_Input'!$H$57</f>
        <v>12000</v>
      </c>
      <c r="AZ25" s="25">
        <f>'01_Input'!$H$57</f>
        <v>12000</v>
      </c>
      <c r="BA25" s="25">
        <f>'01_Input'!$H$57</f>
        <v>12000</v>
      </c>
      <c r="BB25" s="25">
        <f>'01_Input'!$H$57</f>
        <v>12000</v>
      </c>
      <c r="BC25" s="25">
        <f>'01_Input'!$H$57</f>
        <v>12000</v>
      </c>
      <c r="BD25" s="25">
        <f>'01_Input'!$H$57</f>
        <v>12000</v>
      </c>
      <c r="BE25" s="25">
        <f>'01_Input'!$H$57</f>
        <v>12000</v>
      </c>
      <c r="BF25" s="25">
        <f>'01_Input'!$H$57</f>
        <v>12000</v>
      </c>
      <c r="BG25" s="25">
        <f>'01_Input'!$H$57</f>
        <v>12000</v>
      </c>
      <c r="BH25" s="25">
        <f>'01_Input'!$H$57</f>
        <v>12000</v>
      </c>
      <c r="BI25" s="25">
        <f>'01_Input'!$H$57</f>
        <v>12000</v>
      </c>
      <c r="BJ25" s="25">
        <f>'01_Input'!$H$57</f>
        <v>12000</v>
      </c>
      <c r="BK25" s="25">
        <f>'01_Input'!$H$57</f>
        <v>12000</v>
      </c>
      <c r="BL25" s="25">
        <f>'01_Input'!$H$57</f>
        <v>12000</v>
      </c>
      <c r="BM25" s="25">
        <f>'01_Input'!$H$57</f>
        <v>12000</v>
      </c>
      <c r="BN25" s="25">
        <f>'01_Input'!$H$57</f>
        <v>12000</v>
      </c>
      <c r="BO25" s="25">
        <f>'01_Input'!$H$57</f>
        <v>12000</v>
      </c>
      <c r="BP25" s="25">
        <f>'01_Input'!$H$57</f>
        <v>12000</v>
      </c>
      <c r="BQ25" s="25">
        <f>'01_Input'!$H$57</f>
        <v>12000</v>
      </c>
      <c r="BR25" s="25">
        <f>'01_Input'!$H$57</f>
        <v>12000</v>
      </c>
      <c r="BS25" s="25">
        <f>'01_Input'!$H$57</f>
        <v>12000</v>
      </c>
      <c r="BT25" s="25">
        <f>'01_Input'!$H$57</f>
        <v>12000</v>
      </c>
      <c r="BU25" s="25">
        <f>'01_Input'!$H$57</f>
        <v>12000</v>
      </c>
      <c r="BV25" s="25">
        <f>'01_Input'!$H$57</f>
        <v>12000</v>
      </c>
      <c r="BW25" s="25">
        <f>'01_Input'!$H$57</f>
        <v>12000</v>
      </c>
      <c r="BX25" s="25">
        <f>'01_Input'!$H$57</f>
        <v>12000</v>
      </c>
      <c r="BY25" s="25">
        <f>'01_Input'!$H$57</f>
        <v>12000</v>
      </c>
      <c r="BZ25" s="25">
        <f>'01_Input'!$H$57</f>
        <v>12000</v>
      </c>
      <c r="CA25" s="25">
        <f>'01_Input'!$H$57</f>
        <v>12000</v>
      </c>
      <c r="CB25" s="25">
        <f>'01_Input'!$H$57</f>
        <v>12000</v>
      </c>
      <c r="CC25" s="25">
        <f>'01_Input'!$H$57</f>
        <v>12000</v>
      </c>
      <c r="CD25" s="25">
        <f>'01_Input'!$H$57</f>
        <v>12000</v>
      </c>
      <c r="CE25" s="25">
        <f>'01_Input'!$H$57</f>
        <v>12000</v>
      </c>
      <c r="CF25" s="25">
        <f>'01_Input'!$H$57</f>
        <v>12000</v>
      </c>
      <c r="CG25" s="25">
        <f>'01_Input'!$H$57</f>
        <v>12000</v>
      </c>
      <c r="CH25" s="25">
        <f>'01_Input'!$H$57</f>
        <v>12000</v>
      </c>
      <c r="CI25" s="25">
        <f>'01_Input'!$H$57</f>
        <v>12000</v>
      </c>
      <c r="CJ25" s="25">
        <f>'01_Input'!$H$57</f>
        <v>12000</v>
      </c>
      <c r="CK25" s="25">
        <f>'01_Input'!$H$57</f>
        <v>12000</v>
      </c>
      <c r="CL25" s="25">
        <f>'01_Input'!$H$57</f>
        <v>12000</v>
      </c>
      <c r="CM25" s="25">
        <f>'01_Input'!$H$57</f>
        <v>12000</v>
      </c>
      <c r="CN25" s="25">
        <f>'01_Input'!$H$57</f>
        <v>12000</v>
      </c>
      <c r="CO25" s="25">
        <f>'01_Input'!$H$57</f>
        <v>12000</v>
      </c>
      <c r="CP25" s="25">
        <f>'01_Input'!$H$57</f>
        <v>12000</v>
      </c>
      <c r="CQ25" s="25">
        <f>'01_Input'!$H$57</f>
        <v>12000</v>
      </c>
      <c r="CR25" s="25">
        <f>'01_Input'!$H$57</f>
        <v>12000</v>
      </c>
      <c r="CS25" s="25">
        <f>'01_Input'!$H$57</f>
        <v>12000</v>
      </c>
      <c r="CT25" s="25">
        <f>'01_Input'!$H$57</f>
        <v>12000</v>
      </c>
      <c r="CU25" s="25">
        <f>'01_Input'!$H$57</f>
        <v>12000</v>
      </c>
      <c r="CV25" s="25">
        <f>'01_Input'!$H$57</f>
        <v>12000</v>
      </c>
      <c r="CW25" s="25">
        <f>'01_Input'!$H$57</f>
        <v>12000</v>
      </c>
      <c r="CX25" s="25">
        <f>'01_Input'!$H$57</f>
        <v>12000</v>
      </c>
      <c r="CY25" s="25">
        <f>'01_Input'!$H$57</f>
        <v>12000</v>
      </c>
      <c r="CZ25" s="25">
        <f>'01_Input'!$H$57</f>
        <v>12000</v>
      </c>
      <c r="DA25" s="25">
        <f>'01_Input'!$H$57</f>
        <v>12000</v>
      </c>
      <c r="DB25" s="25">
        <f>'01_Input'!$H$57</f>
        <v>12000</v>
      </c>
      <c r="DC25" s="25">
        <f>'01_Input'!$H$57</f>
        <v>12000</v>
      </c>
      <c r="DD25" s="25">
        <f>'01_Input'!$H$57</f>
        <v>12000</v>
      </c>
      <c r="DE25" s="25">
        <f>'01_Input'!$H$57</f>
        <v>12000</v>
      </c>
      <c r="DF25" s="25">
        <f>'01_Input'!$H$57</f>
        <v>12000</v>
      </c>
      <c r="DG25" s="25">
        <f>'01_Input'!$H$57</f>
        <v>12000</v>
      </c>
      <c r="DH25" s="25">
        <f>'01_Input'!$H$57</f>
        <v>12000</v>
      </c>
      <c r="DI25" s="25">
        <f>'01_Input'!$H$57</f>
        <v>12000</v>
      </c>
      <c r="DJ25" s="25">
        <f>'01_Input'!$H$57</f>
        <v>12000</v>
      </c>
      <c r="DK25" s="25">
        <f>'01_Input'!$H$57</f>
        <v>12000</v>
      </c>
      <c r="DL25" s="25">
        <f>'01_Input'!$H$57</f>
        <v>12000</v>
      </c>
      <c r="DM25" s="25">
        <f>'01_Input'!$H$57</f>
        <v>12000</v>
      </c>
      <c r="DN25" s="25">
        <f>'01_Input'!$H$57</f>
        <v>12000</v>
      </c>
      <c r="DO25" s="25">
        <f>'01_Input'!$H$57</f>
        <v>12000</v>
      </c>
      <c r="DP25" s="25">
        <f>'01_Input'!$H$57</f>
        <v>12000</v>
      </c>
      <c r="DQ25" s="25">
        <f>'01_Input'!$H$57</f>
        <v>12000</v>
      </c>
      <c r="DR25" s="25">
        <f>'01_Input'!$H$57</f>
        <v>12000</v>
      </c>
      <c r="DS25" s="25">
        <f>'01_Input'!$H$57</f>
        <v>12000</v>
      </c>
      <c r="DT25" s="25">
        <f>'01_Input'!$H$57</f>
        <v>12000</v>
      </c>
      <c r="DU25" s="25">
        <f>'01_Input'!$H$57</f>
        <v>12000</v>
      </c>
      <c r="DV25" s="25">
        <f>'01_Input'!$H$57</f>
        <v>12000</v>
      </c>
      <c r="DW25" s="25">
        <f>'01_Input'!$H$57</f>
        <v>12000</v>
      </c>
      <c r="DX25" s="25">
        <f>'01_Input'!$H$57</f>
        <v>12000</v>
      </c>
      <c r="DY25" s="25">
        <f>'01_Input'!$H$57</f>
        <v>12000</v>
      </c>
      <c r="DZ25" s="25">
        <f>'01_Input'!$H$57</f>
        <v>12000</v>
      </c>
      <c r="EA25" s="25">
        <f>'01_Input'!$H$57</f>
        <v>12000</v>
      </c>
      <c r="EB25" s="25">
        <f>'01_Input'!$H$57</f>
        <v>12000</v>
      </c>
      <c r="EC25" s="25">
        <f>'01_Input'!$H$57</f>
        <v>12000</v>
      </c>
      <c r="ED25" s="25">
        <f>'01_Input'!$H$57</f>
        <v>12000</v>
      </c>
      <c r="EE25" s="25">
        <f>'01_Input'!$H$57</f>
        <v>12000</v>
      </c>
      <c r="EF25" s="25">
        <f>'01_Input'!$H$57</f>
        <v>12000</v>
      </c>
      <c r="EG25" s="25">
        <f>'01_Input'!$H$57</f>
        <v>12000</v>
      </c>
      <c r="EH25" s="25">
        <f>'01_Input'!$H$57</f>
        <v>12000</v>
      </c>
      <c r="EI25" s="25">
        <f>'01_Input'!$H$57</f>
        <v>12000</v>
      </c>
      <c r="EJ25" s="25">
        <f>'01_Input'!$H$57</f>
        <v>12000</v>
      </c>
      <c r="EK25" s="25">
        <f>'01_Input'!$H$57</f>
        <v>12000</v>
      </c>
      <c r="EL25" s="25">
        <f>'01_Input'!$H$57</f>
        <v>12000</v>
      </c>
      <c r="EM25" s="25">
        <f>'01_Input'!$H$57</f>
        <v>12000</v>
      </c>
      <c r="EN25" s="25">
        <f>'01_Input'!$H$57</f>
        <v>12000</v>
      </c>
      <c r="EO25" s="25">
        <f>'01_Input'!$H$57</f>
        <v>12000</v>
      </c>
      <c r="EP25" s="25">
        <f>'01_Input'!$H$57</f>
        <v>12000</v>
      </c>
      <c r="EQ25" s="25">
        <f>'01_Input'!$H$57</f>
        <v>12000</v>
      </c>
      <c r="ER25" s="25">
        <f>'01_Input'!$H$57</f>
        <v>12000</v>
      </c>
      <c r="ES25" s="25">
        <f>'01_Input'!$H$57</f>
        <v>12000</v>
      </c>
      <c r="ET25" s="25">
        <f>'01_Input'!$H$57</f>
        <v>12000</v>
      </c>
      <c r="EU25" s="25">
        <f>'01_Input'!$H$57</f>
        <v>12000</v>
      </c>
      <c r="EV25" s="25">
        <f>'01_Input'!$H$57</f>
        <v>12000</v>
      </c>
      <c r="EW25" s="25">
        <f>'01_Input'!$H$57</f>
        <v>12000</v>
      </c>
      <c r="EX25" s="25">
        <f>'01_Input'!$H$57</f>
        <v>12000</v>
      </c>
    </row>
    <row r="26" ht="15.75" customHeight="1">
      <c r="B26" s="71" t="s">
        <v>223</v>
      </c>
      <c r="E26" s="78">
        <f>'01_Input'!$I$57</f>
        <v>50000</v>
      </c>
      <c r="F26" s="78">
        <f>'01_Input'!$I$57</f>
        <v>50000</v>
      </c>
      <c r="G26" s="78">
        <f>'01_Input'!$I$57</f>
        <v>50000</v>
      </c>
      <c r="H26" s="78">
        <f>'01_Input'!$I$57</f>
        <v>50000</v>
      </c>
      <c r="I26" s="78">
        <f>'01_Input'!$I$57</f>
        <v>50000</v>
      </c>
      <c r="J26" s="78">
        <f>'01_Input'!$I$57</f>
        <v>50000</v>
      </c>
      <c r="K26" s="78">
        <f>'01_Input'!$I$57</f>
        <v>50000</v>
      </c>
      <c r="L26" s="78">
        <f>'01_Input'!$I$57</f>
        <v>50000</v>
      </c>
      <c r="M26" s="78">
        <f>'01_Input'!$I$57</f>
        <v>50000</v>
      </c>
      <c r="N26" s="78">
        <f>'01_Input'!$I$57</f>
        <v>50000</v>
      </c>
      <c r="O26" s="78">
        <f>'01_Input'!$I$57</f>
        <v>50000</v>
      </c>
      <c r="P26" s="78">
        <f>'01_Input'!$I$57</f>
        <v>50000</v>
      </c>
      <c r="Q26" s="78">
        <f>'01_Input'!$I$57</f>
        <v>50000</v>
      </c>
      <c r="R26" s="78">
        <f>'01_Input'!$I$57</f>
        <v>50000</v>
      </c>
      <c r="S26" s="78">
        <f>'01_Input'!$I$57</f>
        <v>50000</v>
      </c>
      <c r="T26" s="78">
        <f>'01_Input'!$I$57</f>
        <v>50000</v>
      </c>
      <c r="U26" s="78">
        <f>'01_Input'!$I$57</f>
        <v>50000</v>
      </c>
      <c r="V26" s="78">
        <f>'01_Input'!$I$57</f>
        <v>50000</v>
      </c>
      <c r="W26" s="78">
        <f>'01_Input'!$I$57</f>
        <v>50000</v>
      </c>
      <c r="X26" s="78">
        <f>'01_Input'!$I$57</f>
        <v>50000</v>
      </c>
      <c r="Y26" s="78">
        <f>'01_Input'!$I$57</f>
        <v>50000</v>
      </c>
      <c r="Z26" s="78">
        <f>'01_Input'!$I$57</f>
        <v>50000</v>
      </c>
      <c r="AA26" s="78">
        <f>'01_Input'!$I$57</f>
        <v>50000</v>
      </c>
      <c r="AB26" s="78">
        <f>'01_Input'!$I$57</f>
        <v>50000</v>
      </c>
      <c r="AC26" s="78">
        <f>'01_Input'!$I$57</f>
        <v>50000</v>
      </c>
      <c r="AD26" s="78">
        <f>'01_Input'!$I$57</f>
        <v>50000</v>
      </c>
      <c r="AE26" s="78">
        <f>'01_Input'!$I$57</f>
        <v>50000</v>
      </c>
      <c r="AF26" s="78">
        <f>'01_Input'!$I$57</f>
        <v>50000</v>
      </c>
      <c r="AG26" s="78">
        <f>'01_Input'!$I$57</f>
        <v>50000</v>
      </c>
      <c r="AH26" s="78">
        <f>'01_Input'!$I$57</f>
        <v>50000</v>
      </c>
      <c r="AI26" s="78">
        <f>'01_Input'!$I$57</f>
        <v>50000</v>
      </c>
      <c r="AJ26" s="78">
        <f>'01_Input'!$I$57</f>
        <v>50000</v>
      </c>
      <c r="AK26" s="78">
        <f>'01_Input'!$I$57</f>
        <v>50000</v>
      </c>
      <c r="AL26" s="78">
        <f>'01_Input'!$I$57</f>
        <v>50000</v>
      </c>
      <c r="AM26" s="78">
        <f>'01_Input'!$I$57</f>
        <v>50000</v>
      </c>
      <c r="AN26" s="78">
        <f>'01_Input'!$I$57</f>
        <v>50000</v>
      </c>
      <c r="AO26" s="78">
        <f>'01_Input'!$I$57</f>
        <v>50000</v>
      </c>
      <c r="AP26" s="78">
        <f>'01_Input'!$I$57</f>
        <v>50000</v>
      </c>
      <c r="AQ26" s="78">
        <f>'01_Input'!$I$57</f>
        <v>50000</v>
      </c>
      <c r="AR26" s="78">
        <f>'01_Input'!$I$57</f>
        <v>50000</v>
      </c>
      <c r="AS26" s="78">
        <f>'01_Input'!$I$57</f>
        <v>50000</v>
      </c>
      <c r="AT26" s="78">
        <f>'01_Input'!$I$57</f>
        <v>50000</v>
      </c>
      <c r="AU26" s="78">
        <f>'01_Input'!$I$57</f>
        <v>50000</v>
      </c>
      <c r="AV26" s="78">
        <f>'01_Input'!$I$57</f>
        <v>50000</v>
      </c>
      <c r="AW26" s="78">
        <f>'01_Input'!$I$57</f>
        <v>50000</v>
      </c>
      <c r="AX26" s="78">
        <f>'01_Input'!$I$57</f>
        <v>50000</v>
      </c>
      <c r="AY26" s="78">
        <f>'01_Input'!$I$57</f>
        <v>50000</v>
      </c>
      <c r="AZ26" s="78">
        <f>'01_Input'!$I$57</f>
        <v>50000</v>
      </c>
      <c r="BA26" s="78">
        <f>'01_Input'!$I$57</f>
        <v>50000</v>
      </c>
      <c r="BB26" s="78">
        <f>'01_Input'!$I$57</f>
        <v>50000</v>
      </c>
      <c r="BC26" s="78">
        <f>'01_Input'!$I$57</f>
        <v>50000</v>
      </c>
      <c r="BD26" s="78">
        <f>'01_Input'!$I$57</f>
        <v>50000</v>
      </c>
      <c r="BE26" s="78">
        <f>'01_Input'!$I$57</f>
        <v>50000</v>
      </c>
      <c r="BF26" s="78">
        <f>'01_Input'!$I$57</f>
        <v>50000</v>
      </c>
      <c r="BG26" s="78">
        <f>'01_Input'!$I$57</f>
        <v>50000</v>
      </c>
      <c r="BH26" s="78">
        <f>'01_Input'!$I$57</f>
        <v>50000</v>
      </c>
      <c r="BI26" s="78">
        <f>'01_Input'!$I$57</f>
        <v>50000</v>
      </c>
      <c r="BJ26" s="78">
        <f>'01_Input'!$I$57</f>
        <v>50000</v>
      </c>
      <c r="BK26" s="78">
        <f>'01_Input'!$I$57</f>
        <v>50000</v>
      </c>
      <c r="BL26" s="78">
        <f>'01_Input'!$I$57</f>
        <v>50000</v>
      </c>
      <c r="BM26" s="78">
        <f>'01_Input'!$I$57</f>
        <v>50000</v>
      </c>
      <c r="BN26" s="78">
        <f>'01_Input'!$I$57</f>
        <v>50000</v>
      </c>
      <c r="BO26" s="78">
        <f>'01_Input'!$I$57</f>
        <v>50000</v>
      </c>
      <c r="BP26" s="78">
        <f>'01_Input'!$I$57</f>
        <v>50000</v>
      </c>
      <c r="BQ26" s="78">
        <f>'01_Input'!$I$57</f>
        <v>50000</v>
      </c>
      <c r="BR26" s="78">
        <f>'01_Input'!$I$57</f>
        <v>50000</v>
      </c>
      <c r="BS26" s="78">
        <f>'01_Input'!$I$57</f>
        <v>50000</v>
      </c>
      <c r="BT26" s="78">
        <f>'01_Input'!$I$57</f>
        <v>50000</v>
      </c>
      <c r="BU26" s="78">
        <f>'01_Input'!$I$57</f>
        <v>50000</v>
      </c>
      <c r="BV26" s="78">
        <f>'01_Input'!$I$57</f>
        <v>50000</v>
      </c>
      <c r="BW26" s="78">
        <f>'01_Input'!$I$57</f>
        <v>50000</v>
      </c>
      <c r="BX26" s="78">
        <f>'01_Input'!$I$57</f>
        <v>50000</v>
      </c>
      <c r="BY26" s="78">
        <f>'01_Input'!$I$57</f>
        <v>50000</v>
      </c>
      <c r="BZ26" s="78">
        <f>'01_Input'!$I$57</f>
        <v>50000</v>
      </c>
      <c r="CA26" s="78">
        <f>'01_Input'!$I$57</f>
        <v>50000</v>
      </c>
      <c r="CB26" s="78">
        <f>'01_Input'!$I$57</f>
        <v>50000</v>
      </c>
      <c r="CC26" s="78">
        <f>'01_Input'!$I$57</f>
        <v>50000</v>
      </c>
      <c r="CD26" s="78">
        <f>'01_Input'!$I$57</f>
        <v>50000</v>
      </c>
      <c r="CE26" s="78">
        <f>'01_Input'!$I$57</f>
        <v>50000</v>
      </c>
      <c r="CF26" s="78">
        <f>'01_Input'!$I$57</f>
        <v>50000</v>
      </c>
      <c r="CG26" s="78">
        <f>'01_Input'!$I$57</f>
        <v>50000</v>
      </c>
      <c r="CH26" s="78">
        <f>'01_Input'!$I$57</f>
        <v>50000</v>
      </c>
      <c r="CI26" s="78">
        <f>'01_Input'!$I$57</f>
        <v>50000</v>
      </c>
      <c r="CJ26" s="78">
        <f>'01_Input'!$I$57</f>
        <v>50000</v>
      </c>
      <c r="CK26" s="78">
        <f>'01_Input'!$I$57</f>
        <v>50000</v>
      </c>
      <c r="CL26" s="78">
        <f>'01_Input'!$I$57</f>
        <v>50000</v>
      </c>
      <c r="CM26" s="78">
        <f>'01_Input'!$I$57</f>
        <v>50000</v>
      </c>
      <c r="CN26" s="78">
        <f>'01_Input'!$I$57</f>
        <v>50000</v>
      </c>
      <c r="CO26" s="78">
        <f>'01_Input'!$I$57</f>
        <v>50000</v>
      </c>
      <c r="CP26" s="78">
        <f>'01_Input'!$I$57</f>
        <v>50000</v>
      </c>
      <c r="CQ26" s="78">
        <f>'01_Input'!$I$57</f>
        <v>50000</v>
      </c>
      <c r="CR26" s="78">
        <f>'01_Input'!$I$57</f>
        <v>50000</v>
      </c>
      <c r="CS26" s="78">
        <f>'01_Input'!$I$57</f>
        <v>50000</v>
      </c>
      <c r="CT26" s="78">
        <f>'01_Input'!$I$57</f>
        <v>50000</v>
      </c>
      <c r="CU26" s="78">
        <f>'01_Input'!$I$57</f>
        <v>50000</v>
      </c>
      <c r="CV26" s="78">
        <f>'01_Input'!$I$57</f>
        <v>50000</v>
      </c>
      <c r="CW26" s="78">
        <f>'01_Input'!$I$57</f>
        <v>50000</v>
      </c>
      <c r="CX26" s="78">
        <f>'01_Input'!$I$57</f>
        <v>50000</v>
      </c>
      <c r="CY26" s="78">
        <f>'01_Input'!$I$57</f>
        <v>50000</v>
      </c>
      <c r="CZ26" s="78">
        <f>'01_Input'!$I$57</f>
        <v>50000</v>
      </c>
      <c r="DA26" s="78">
        <f>'01_Input'!$I$57</f>
        <v>50000</v>
      </c>
      <c r="DB26" s="78">
        <f>'01_Input'!$I$57</f>
        <v>50000</v>
      </c>
      <c r="DC26" s="78">
        <f>'01_Input'!$I$57</f>
        <v>50000</v>
      </c>
      <c r="DD26" s="78">
        <f>'01_Input'!$I$57</f>
        <v>50000</v>
      </c>
      <c r="DE26" s="78">
        <f>'01_Input'!$I$57</f>
        <v>50000</v>
      </c>
      <c r="DF26" s="78">
        <f>'01_Input'!$I$57</f>
        <v>50000</v>
      </c>
      <c r="DG26" s="78">
        <f>'01_Input'!$I$57</f>
        <v>50000</v>
      </c>
      <c r="DH26" s="78">
        <f>'01_Input'!$I$57</f>
        <v>50000</v>
      </c>
      <c r="DI26" s="78">
        <f>'01_Input'!$I$57</f>
        <v>50000</v>
      </c>
      <c r="DJ26" s="78">
        <f>'01_Input'!$I$57</f>
        <v>50000</v>
      </c>
      <c r="DK26" s="78">
        <f>'01_Input'!$I$57</f>
        <v>50000</v>
      </c>
      <c r="DL26" s="78">
        <f>'01_Input'!$I$57</f>
        <v>50000</v>
      </c>
      <c r="DM26" s="78">
        <f>'01_Input'!$I$57</f>
        <v>50000</v>
      </c>
      <c r="DN26" s="78">
        <f>'01_Input'!$I$57</f>
        <v>50000</v>
      </c>
      <c r="DO26" s="78">
        <f>'01_Input'!$I$57</f>
        <v>50000</v>
      </c>
      <c r="DP26" s="78">
        <f>'01_Input'!$I$57</f>
        <v>50000</v>
      </c>
      <c r="DQ26" s="78">
        <f>'01_Input'!$I$57</f>
        <v>50000</v>
      </c>
      <c r="DR26" s="78">
        <f>'01_Input'!$I$57</f>
        <v>50000</v>
      </c>
      <c r="DS26" s="78">
        <f>'01_Input'!$I$57</f>
        <v>50000</v>
      </c>
      <c r="DT26" s="78">
        <f>'01_Input'!$I$57</f>
        <v>50000</v>
      </c>
      <c r="DU26" s="78">
        <f>'01_Input'!$I$57</f>
        <v>50000</v>
      </c>
      <c r="DV26" s="78">
        <f>'01_Input'!$I$57</f>
        <v>50000</v>
      </c>
      <c r="DW26" s="78">
        <f>'01_Input'!$I$57</f>
        <v>50000</v>
      </c>
      <c r="DX26" s="78">
        <f>'01_Input'!$I$57</f>
        <v>50000</v>
      </c>
      <c r="DY26" s="78">
        <f>'01_Input'!$I$57</f>
        <v>50000</v>
      </c>
      <c r="DZ26" s="78">
        <f>'01_Input'!$I$57</f>
        <v>50000</v>
      </c>
      <c r="EA26" s="78">
        <f>'01_Input'!$I$57</f>
        <v>50000</v>
      </c>
      <c r="EB26" s="78">
        <f>'01_Input'!$I$57</f>
        <v>50000</v>
      </c>
      <c r="EC26" s="78">
        <f>'01_Input'!$I$57</f>
        <v>50000</v>
      </c>
      <c r="ED26" s="78">
        <f>'01_Input'!$I$57</f>
        <v>50000</v>
      </c>
      <c r="EE26" s="78">
        <f>'01_Input'!$I$57</f>
        <v>50000</v>
      </c>
      <c r="EF26" s="78">
        <f>'01_Input'!$I$57</f>
        <v>50000</v>
      </c>
      <c r="EG26" s="78">
        <f>'01_Input'!$I$57</f>
        <v>50000</v>
      </c>
      <c r="EH26" s="78">
        <f>'01_Input'!$I$57</f>
        <v>50000</v>
      </c>
      <c r="EI26" s="78">
        <f>'01_Input'!$I$57</f>
        <v>50000</v>
      </c>
      <c r="EJ26" s="78">
        <f>'01_Input'!$I$57</f>
        <v>50000</v>
      </c>
      <c r="EK26" s="78">
        <f>'01_Input'!$I$57</f>
        <v>50000</v>
      </c>
      <c r="EL26" s="78">
        <f>'01_Input'!$I$57</f>
        <v>50000</v>
      </c>
      <c r="EM26" s="78">
        <f>'01_Input'!$I$57</f>
        <v>50000</v>
      </c>
      <c r="EN26" s="78">
        <f>'01_Input'!$I$57</f>
        <v>50000</v>
      </c>
      <c r="EO26" s="78">
        <f>'01_Input'!$I$57</f>
        <v>50000</v>
      </c>
      <c r="EP26" s="78">
        <f>'01_Input'!$I$57</f>
        <v>50000</v>
      </c>
      <c r="EQ26" s="78">
        <f>'01_Input'!$I$57</f>
        <v>50000</v>
      </c>
      <c r="ER26" s="78">
        <f>'01_Input'!$I$57</f>
        <v>50000</v>
      </c>
      <c r="ES26" s="78">
        <f>'01_Input'!$I$57</f>
        <v>50000</v>
      </c>
      <c r="ET26" s="78">
        <f>'01_Input'!$I$57</f>
        <v>50000</v>
      </c>
      <c r="EU26" s="78">
        <f>'01_Input'!$I$57</f>
        <v>50000</v>
      </c>
      <c r="EV26" s="78">
        <f>'01_Input'!$I$57</f>
        <v>50000</v>
      </c>
      <c r="EW26" s="78">
        <f>'01_Input'!$I$57</f>
        <v>50000</v>
      </c>
      <c r="EX26" s="78">
        <f>'01_Input'!$I$57</f>
        <v>50000</v>
      </c>
    </row>
    <row r="27" ht="15.75" customHeight="1">
      <c r="B27" s="71" t="s">
        <v>228</v>
      </c>
      <c r="E27" s="45" t="str">
        <f t="shared" ref="E27:EX27" si="2">IF(E24&lt;E25,"Plancher (min.)",IF(E24&gt;E26,"Plafond (max.)","Barème (plein)"))</f>
        <v>Plancher (min.)</v>
      </c>
      <c r="F27" s="45" t="str">
        <f t="shared" si="2"/>
        <v>Plancher (min.)</v>
      </c>
      <c r="G27" s="45" t="str">
        <f t="shared" si="2"/>
        <v>Plancher (min.)</v>
      </c>
      <c r="H27" s="45" t="str">
        <f t="shared" si="2"/>
        <v>Plancher (min.)</v>
      </c>
      <c r="I27" s="45" t="str">
        <f t="shared" si="2"/>
        <v>Plancher (min.)</v>
      </c>
      <c r="J27" s="45" t="str">
        <f t="shared" si="2"/>
        <v>Plancher (min.)</v>
      </c>
      <c r="K27" s="45" t="str">
        <f t="shared" si="2"/>
        <v>Plancher (min.)</v>
      </c>
      <c r="L27" s="45" t="str">
        <f t="shared" si="2"/>
        <v>Barème (plein)</v>
      </c>
      <c r="M27" s="45" t="str">
        <f t="shared" si="2"/>
        <v>Barème (plein)</v>
      </c>
      <c r="N27" s="45" t="str">
        <f t="shared" si="2"/>
        <v>Barème (plein)</v>
      </c>
      <c r="O27" s="45" t="str">
        <f t="shared" si="2"/>
        <v>Plancher (min.)</v>
      </c>
      <c r="P27" s="45" t="str">
        <f t="shared" si="2"/>
        <v>Plancher (min.)</v>
      </c>
      <c r="Q27" s="45" t="str">
        <f t="shared" si="2"/>
        <v>Plancher (min.)</v>
      </c>
      <c r="R27" s="45" t="str">
        <f t="shared" si="2"/>
        <v>Plancher (min.)</v>
      </c>
      <c r="S27" s="45" t="str">
        <f t="shared" si="2"/>
        <v>Plancher (min.)</v>
      </c>
      <c r="T27" s="45" t="str">
        <f t="shared" si="2"/>
        <v>Plancher (min.)</v>
      </c>
      <c r="U27" s="45" t="str">
        <f t="shared" si="2"/>
        <v>Plancher (min.)</v>
      </c>
      <c r="V27" s="45" t="str">
        <f t="shared" si="2"/>
        <v>Plancher (min.)</v>
      </c>
      <c r="W27" s="45" t="str">
        <f t="shared" si="2"/>
        <v>Plancher (min.)</v>
      </c>
      <c r="X27" s="45" t="str">
        <f t="shared" si="2"/>
        <v>Plancher (min.)</v>
      </c>
      <c r="Y27" s="45" t="str">
        <f t="shared" si="2"/>
        <v>Plancher (min.)</v>
      </c>
      <c r="Z27" s="45" t="str">
        <f t="shared" si="2"/>
        <v>Plancher (min.)</v>
      </c>
      <c r="AA27" s="45" t="str">
        <f t="shared" si="2"/>
        <v>Plancher (min.)</v>
      </c>
      <c r="AB27" s="45" t="str">
        <f t="shared" si="2"/>
        <v>Plancher (min.)</v>
      </c>
      <c r="AC27" s="45" t="str">
        <f t="shared" si="2"/>
        <v>Plancher (min.)</v>
      </c>
      <c r="AD27" s="45" t="str">
        <f t="shared" si="2"/>
        <v>Plancher (min.)</v>
      </c>
      <c r="AE27" s="45" t="str">
        <f t="shared" si="2"/>
        <v>Plancher (min.)</v>
      </c>
      <c r="AF27" s="45" t="str">
        <f t="shared" si="2"/>
        <v>Plancher (min.)</v>
      </c>
      <c r="AG27" s="45" t="str">
        <f t="shared" si="2"/>
        <v>Plancher (min.)</v>
      </c>
      <c r="AH27" s="45" t="str">
        <f t="shared" si="2"/>
        <v>Plancher (min.)</v>
      </c>
      <c r="AI27" s="45" t="str">
        <f t="shared" si="2"/>
        <v>Plancher (min.)</v>
      </c>
      <c r="AJ27" s="45" t="str">
        <f t="shared" si="2"/>
        <v>Plancher (min.)</v>
      </c>
      <c r="AK27" s="45" t="str">
        <f t="shared" si="2"/>
        <v>Plancher (min.)</v>
      </c>
      <c r="AL27" s="45" t="str">
        <f t="shared" si="2"/>
        <v>Plancher (min.)</v>
      </c>
      <c r="AM27" s="45" t="str">
        <f t="shared" si="2"/>
        <v>Plancher (min.)</v>
      </c>
      <c r="AN27" s="45" t="str">
        <f t="shared" si="2"/>
        <v>Plancher (min.)</v>
      </c>
      <c r="AO27" s="45" t="str">
        <f t="shared" si="2"/>
        <v>Plancher (min.)</v>
      </c>
      <c r="AP27" s="45" t="str">
        <f t="shared" si="2"/>
        <v>Plancher (min.)</v>
      </c>
      <c r="AQ27" s="45" t="str">
        <f t="shared" si="2"/>
        <v>Plancher (min.)</v>
      </c>
      <c r="AR27" s="45" t="str">
        <f t="shared" si="2"/>
        <v>Plancher (min.)</v>
      </c>
      <c r="AS27" s="45" t="str">
        <f t="shared" si="2"/>
        <v>Plancher (min.)</v>
      </c>
      <c r="AT27" s="45" t="str">
        <f t="shared" si="2"/>
        <v>Plancher (min.)</v>
      </c>
      <c r="AU27" s="45" t="str">
        <f t="shared" si="2"/>
        <v>Plancher (min.)</v>
      </c>
      <c r="AV27" s="45" t="str">
        <f t="shared" si="2"/>
        <v>Plancher (min.)</v>
      </c>
      <c r="AW27" s="45" t="str">
        <f t="shared" si="2"/>
        <v>Plancher (min.)</v>
      </c>
      <c r="AX27" s="45" t="str">
        <f t="shared" si="2"/>
        <v>Plancher (min.)</v>
      </c>
      <c r="AY27" s="45" t="str">
        <f t="shared" si="2"/>
        <v>Plancher (min.)</v>
      </c>
      <c r="AZ27" s="45" t="str">
        <f t="shared" si="2"/>
        <v>Plancher (min.)</v>
      </c>
      <c r="BA27" s="45" t="str">
        <f t="shared" si="2"/>
        <v>Plancher (min.)</v>
      </c>
      <c r="BB27" s="45" t="str">
        <f t="shared" si="2"/>
        <v>Plancher (min.)</v>
      </c>
      <c r="BC27" s="45" t="str">
        <f t="shared" si="2"/>
        <v>Plancher (min.)</v>
      </c>
      <c r="BD27" s="45" t="str">
        <f t="shared" si="2"/>
        <v>Plancher (min.)</v>
      </c>
      <c r="BE27" s="45" t="str">
        <f t="shared" si="2"/>
        <v>Plancher (min.)</v>
      </c>
      <c r="BF27" s="45" t="str">
        <f t="shared" si="2"/>
        <v>Plancher (min.)</v>
      </c>
      <c r="BG27" s="45" t="str">
        <f t="shared" si="2"/>
        <v>Plancher (min.)</v>
      </c>
      <c r="BH27" s="45" t="str">
        <f t="shared" si="2"/>
        <v>Plancher (min.)</v>
      </c>
      <c r="BI27" s="45" t="str">
        <f t="shared" si="2"/>
        <v>Plancher (min.)</v>
      </c>
      <c r="BJ27" s="45" t="str">
        <f t="shared" si="2"/>
        <v>Plancher (min.)</v>
      </c>
      <c r="BK27" s="45" t="str">
        <f t="shared" si="2"/>
        <v>Plancher (min.)</v>
      </c>
      <c r="BL27" s="45" t="str">
        <f t="shared" si="2"/>
        <v>Plancher (min.)</v>
      </c>
      <c r="BM27" s="45" t="str">
        <f t="shared" si="2"/>
        <v>Plancher (min.)</v>
      </c>
      <c r="BN27" s="45" t="str">
        <f t="shared" si="2"/>
        <v>Plancher (min.)</v>
      </c>
      <c r="BO27" s="45" t="str">
        <f t="shared" si="2"/>
        <v>Plancher (min.)</v>
      </c>
      <c r="BP27" s="45" t="str">
        <f t="shared" si="2"/>
        <v>Plancher (min.)</v>
      </c>
      <c r="BQ27" s="45" t="str">
        <f t="shared" si="2"/>
        <v>Plancher (min.)</v>
      </c>
      <c r="BR27" s="45" t="str">
        <f t="shared" si="2"/>
        <v>Plancher (min.)</v>
      </c>
      <c r="BS27" s="45" t="str">
        <f t="shared" si="2"/>
        <v>Plancher (min.)</v>
      </c>
      <c r="BT27" s="45" t="str">
        <f t="shared" si="2"/>
        <v>Plancher (min.)</v>
      </c>
      <c r="BU27" s="45" t="str">
        <f t="shared" si="2"/>
        <v>Plancher (min.)</v>
      </c>
      <c r="BV27" s="45" t="str">
        <f t="shared" si="2"/>
        <v>Plancher (min.)</v>
      </c>
      <c r="BW27" s="45" t="str">
        <f t="shared" si="2"/>
        <v>Plancher (min.)</v>
      </c>
      <c r="BX27" s="45" t="str">
        <f t="shared" si="2"/>
        <v>Plancher (min.)</v>
      </c>
      <c r="BY27" s="45" t="str">
        <f t="shared" si="2"/>
        <v>Plancher (min.)</v>
      </c>
      <c r="BZ27" s="45" t="str">
        <f t="shared" si="2"/>
        <v>Plancher (min.)</v>
      </c>
      <c r="CA27" s="45" t="str">
        <f t="shared" si="2"/>
        <v>Plancher (min.)</v>
      </c>
      <c r="CB27" s="45" t="str">
        <f t="shared" si="2"/>
        <v>Plancher (min.)</v>
      </c>
      <c r="CC27" s="45" t="str">
        <f t="shared" si="2"/>
        <v>Plancher (min.)</v>
      </c>
      <c r="CD27" s="45" t="str">
        <f t="shared" si="2"/>
        <v>Plancher (min.)</v>
      </c>
      <c r="CE27" s="45" t="str">
        <f t="shared" si="2"/>
        <v>Plancher (min.)</v>
      </c>
      <c r="CF27" s="45" t="str">
        <f t="shared" si="2"/>
        <v>Plancher (min.)</v>
      </c>
      <c r="CG27" s="45" t="str">
        <f t="shared" si="2"/>
        <v>Plancher (min.)</v>
      </c>
      <c r="CH27" s="45" t="str">
        <f t="shared" si="2"/>
        <v>Plancher (min.)</v>
      </c>
      <c r="CI27" s="45" t="str">
        <f t="shared" si="2"/>
        <v>Plancher (min.)</v>
      </c>
      <c r="CJ27" s="45" t="str">
        <f t="shared" si="2"/>
        <v>Plancher (min.)</v>
      </c>
      <c r="CK27" s="45" t="str">
        <f t="shared" si="2"/>
        <v>Plancher (min.)</v>
      </c>
      <c r="CL27" s="45" t="str">
        <f t="shared" si="2"/>
        <v>Plancher (min.)</v>
      </c>
      <c r="CM27" s="45" t="str">
        <f t="shared" si="2"/>
        <v>Plancher (min.)</v>
      </c>
      <c r="CN27" s="45" t="str">
        <f t="shared" si="2"/>
        <v>Plancher (min.)</v>
      </c>
      <c r="CO27" s="45" t="str">
        <f t="shared" si="2"/>
        <v>Plancher (min.)</v>
      </c>
      <c r="CP27" s="45" t="str">
        <f t="shared" si="2"/>
        <v>Plancher (min.)</v>
      </c>
      <c r="CQ27" s="45" t="str">
        <f t="shared" si="2"/>
        <v>Plancher (min.)</v>
      </c>
      <c r="CR27" s="45" t="str">
        <f t="shared" si="2"/>
        <v>Plancher (min.)</v>
      </c>
      <c r="CS27" s="45" t="str">
        <f t="shared" si="2"/>
        <v>Plancher (min.)</v>
      </c>
      <c r="CT27" s="45" t="str">
        <f t="shared" si="2"/>
        <v>Plancher (min.)</v>
      </c>
      <c r="CU27" s="45" t="str">
        <f t="shared" si="2"/>
        <v>Plancher (min.)</v>
      </c>
      <c r="CV27" s="45" t="str">
        <f t="shared" si="2"/>
        <v>Plancher (min.)</v>
      </c>
      <c r="CW27" s="45" t="str">
        <f t="shared" si="2"/>
        <v>Plancher (min.)</v>
      </c>
      <c r="CX27" s="45" t="str">
        <f t="shared" si="2"/>
        <v>Plancher (min.)</v>
      </c>
      <c r="CY27" s="45" t="str">
        <f t="shared" si="2"/>
        <v>Plancher (min.)</v>
      </c>
      <c r="CZ27" s="45" t="str">
        <f t="shared" si="2"/>
        <v>Plancher (min.)</v>
      </c>
      <c r="DA27" s="45" t="str">
        <f t="shared" si="2"/>
        <v>Plancher (min.)</v>
      </c>
      <c r="DB27" s="45" t="str">
        <f t="shared" si="2"/>
        <v>Plancher (min.)</v>
      </c>
      <c r="DC27" s="45" t="str">
        <f t="shared" si="2"/>
        <v>Plancher (min.)</v>
      </c>
      <c r="DD27" s="45" t="str">
        <f t="shared" si="2"/>
        <v>Plancher (min.)</v>
      </c>
      <c r="DE27" s="45" t="str">
        <f t="shared" si="2"/>
        <v>Plancher (min.)</v>
      </c>
      <c r="DF27" s="45" t="str">
        <f t="shared" si="2"/>
        <v>Plancher (min.)</v>
      </c>
      <c r="DG27" s="45" t="str">
        <f t="shared" si="2"/>
        <v>Plancher (min.)</v>
      </c>
      <c r="DH27" s="45" t="str">
        <f t="shared" si="2"/>
        <v>Plancher (min.)</v>
      </c>
      <c r="DI27" s="45" t="str">
        <f t="shared" si="2"/>
        <v>Plancher (min.)</v>
      </c>
      <c r="DJ27" s="45" t="str">
        <f t="shared" si="2"/>
        <v>Plancher (min.)</v>
      </c>
      <c r="DK27" s="45" t="str">
        <f t="shared" si="2"/>
        <v>Plancher (min.)</v>
      </c>
      <c r="DL27" s="45" t="str">
        <f t="shared" si="2"/>
        <v>Plancher (min.)</v>
      </c>
      <c r="DM27" s="45" t="str">
        <f t="shared" si="2"/>
        <v>Plancher (min.)</v>
      </c>
      <c r="DN27" s="45" t="str">
        <f t="shared" si="2"/>
        <v>Plancher (min.)</v>
      </c>
      <c r="DO27" s="45" t="str">
        <f t="shared" si="2"/>
        <v>Plancher (min.)</v>
      </c>
      <c r="DP27" s="45" t="str">
        <f t="shared" si="2"/>
        <v>Plancher (min.)</v>
      </c>
      <c r="DQ27" s="45" t="str">
        <f t="shared" si="2"/>
        <v>Plancher (min.)</v>
      </c>
      <c r="DR27" s="45" t="str">
        <f t="shared" si="2"/>
        <v>Plancher (min.)</v>
      </c>
      <c r="DS27" s="45" t="str">
        <f t="shared" si="2"/>
        <v>Plancher (min.)</v>
      </c>
      <c r="DT27" s="45" t="str">
        <f t="shared" si="2"/>
        <v>Plancher (min.)</v>
      </c>
      <c r="DU27" s="45" t="str">
        <f t="shared" si="2"/>
        <v>Plancher (min.)</v>
      </c>
      <c r="DV27" s="45" t="str">
        <f t="shared" si="2"/>
        <v>Plancher (min.)</v>
      </c>
      <c r="DW27" s="45" t="str">
        <f t="shared" si="2"/>
        <v>Plancher (min.)</v>
      </c>
      <c r="DX27" s="45" t="str">
        <f t="shared" si="2"/>
        <v>Plancher (min.)</v>
      </c>
      <c r="DY27" s="45" t="str">
        <f t="shared" si="2"/>
        <v>Plancher (min.)</v>
      </c>
      <c r="DZ27" s="45" t="str">
        <f t="shared" si="2"/>
        <v>Plancher (min.)</v>
      </c>
      <c r="EA27" s="45" t="str">
        <f t="shared" si="2"/>
        <v>Plancher (min.)</v>
      </c>
      <c r="EB27" s="45" t="str">
        <f t="shared" si="2"/>
        <v>Plancher (min.)</v>
      </c>
      <c r="EC27" s="45" t="str">
        <f t="shared" si="2"/>
        <v>Plancher (min.)</v>
      </c>
      <c r="ED27" s="45" t="str">
        <f t="shared" si="2"/>
        <v>Plancher (min.)</v>
      </c>
      <c r="EE27" s="45" t="str">
        <f t="shared" si="2"/>
        <v>Plancher (min.)</v>
      </c>
      <c r="EF27" s="45" t="str">
        <f t="shared" si="2"/>
        <v>Plancher (min.)</v>
      </c>
      <c r="EG27" s="45" t="str">
        <f t="shared" si="2"/>
        <v>Plancher (min.)</v>
      </c>
      <c r="EH27" s="45" t="str">
        <f t="shared" si="2"/>
        <v>Plancher (min.)</v>
      </c>
      <c r="EI27" s="45" t="str">
        <f t="shared" si="2"/>
        <v>Plancher (min.)</v>
      </c>
      <c r="EJ27" s="45" t="str">
        <f t="shared" si="2"/>
        <v>Plancher (min.)</v>
      </c>
      <c r="EK27" s="45" t="str">
        <f t="shared" si="2"/>
        <v>Plancher (min.)</v>
      </c>
      <c r="EL27" s="45" t="str">
        <f t="shared" si="2"/>
        <v>Plancher (min.)</v>
      </c>
      <c r="EM27" s="45" t="str">
        <f t="shared" si="2"/>
        <v>Plancher (min.)</v>
      </c>
      <c r="EN27" s="45" t="str">
        <f t="shared" si="2"/>
        <v>Plancher (min.)</v>
      </c>
      <c r="EO27" s="45" t="str">
        <f t="shared" si="2"/>
        <v>Plancher (min.)</v>
      </c>
      <c r="EP27" s="45" t="str">
        <f t="shared" si="2"/>
        <v>Plancher (min.)</v>
      </c>
      <c r="EQ27" s="45" t="str">
        <f t="shared" si="2"/>
        <v>Plancher (min.)</v>
      </c>
      <c r="ER27" s="45" t="str">
        <f t="shared" si="2"/>
        <v>Plancher (min.)</v>
      </c>
      <c r="ES27" s="45" t="str">
        <f t="shared" si="2"/>
        <v>Plancher (min.)</v>
      </c>
      <c r="ET27" s="45" t="str">
        <f t="shared" si="2"/>
        <v>Plancher (min.)</v>
      </c>
      <c r="EU27" s="45" t="str">
        <f t="shared" si="2"/>
        <v>Plancher (min.)</v>
      </c>
      <c r="EV27" s="45" t="str">
        <f t="shared" si="2"/>
        <v>Plancher (min.)</v>
      </c>
      <c r="EW27" s="45" t="str">
        <f t="shared" si="2"/>
        <v>Plancher (min.)</v>
      </c>
      <c r="EX27" s="45" t="str">
        <f t="shared" si="2"/>
        <v>Plancher (min.)</v>
      </c>
    </row>
    <row r="28" ht="15.75" customHeight="1">
      <c r="B28" s="70" t="s">
        <v>229</v>
      </c>
      <c r="E28" s="80">
        <f t="shared" ref="E28:EX28" si="3">MIN(E26,MAX(E25,E24))</f>
        <v>12000</v>
      </c>
      <c r="F28" s="80">
        <f t="shared" si="3"/>
        <v>12000</v>
      </c>
      <c r="G28" s="80">
        <f t="shared" si="3"/>
        <v>12000</v>
      </c>
      <c r="H28" s="80">
        <f t="shared" si="3"/>
        <v>12000</v>
      </c>
      <c r="I28" s="80">
        <f t="shared" si="3"/>
        <v>12000</v>
      </c>
      <c r="J28" s="80">
        <f t="shared" si="3"/>
        <v>12000</v>
      </c>
      <c r="K28" s="80">
        <f t="shared" si="3"/>
        <v>12000</v>
      </c>
      <c r="L28" s="80">
        <f t="shared" si="3"/>
        <v>12000</v>
      </c>
      <c r="M28" s="80">
        <f t="shared" si="3"/>
        <v>13500</v>
      </c>
      <c r="N28" s="80">
        <f t="shared" si="3"/>
        <v>15000</v>
      </c>
      <c r="O28" s="80">
        <f t="shared" si="3"/>
        <v>12000</v>
      </c>
      <c r="P28" s="80">
        <f t="shared" si="3"/>
        <v>12000</v>
      </c>
      <c r="Q28" s="80">
        <f t="shared" si="3"/>
        <v>12000</v>
      </c>
      <c r="R28" s="80">
        <f t="shared" si="3"/>
        <v>12000</v>
      </c>
      <c r="S28" s="80">
        <f t="shared" si="3"/>
        <v>12000</v>
      </c>
      <c r="T28" s="80">
        <f t="shared" si="3"/>
        <v>12000</v>
      </c>
      <c r="U28" s="80">
        <f t="shared" si="3"/>
        <v>12000</v>
      </c>
      <c r="V28" s="80">
        <f t="shared" si="3"/>
        <v>12000</v>
      </c>
      <c r="W28" s="80">
        <f t="shared" si="3"/>
        <v>12000</v>
      </c>
      <c r="X28" s="80">
        <f t="shared" si="3"/>
        <v>12000</v>
      </c>
      <c r="Y28" s="80">
        <f t="shared" si="3"/>
        <v>12000</v>
      </c>
      <c r="Z28" s="80">
        <f t="shared" si="3"/>
        <v>12000</v>
      </c>
      <c r="AA28" s="80">
        <f t="shared" si="3"/>
        <v>12000</v>
      </c>
      <c r="AB28" s="80">
        <f t="shared" si="3"/>
        <v>12000</v>
      </c>
      <c r="AC28" s="80">
        <f t="shared" si="3"/>
        <v>12000</v>
      </c>
      <c r="AD28" s="80">
        <f t="shared" si="3"/>
        <v>12000</v>
      </c>
      <c r="AE28" s="80">
        <f t="shared" si="3"/>
        <v>12000</v>
      </c>
      <c r="AF28" s="80">
        <f t="shared" si="3"/>
        <v>12000</v>
      </c>
      <c r="AG28" s="80">
        <f t="shared" si="3"/>
        <v>12000</v>
      </c>
      <c r="AH28" s="80">
        <f t="shared" si="3"/>
        <v>12000</v>
      </c>
      <c r="AI28" s="80">
        <f t="shared" si="3"/>
        <v>12000</v>
      </c>
      <c r="AJ28" s="80">
        <f t="shared" si="3"/>
        <v>12000</v>
      </c>
      <c r="AK28" s="80">
        <f t="shared" si="3"/>
        <v>12000</v>
      </c>
      <c r="AL28" s="80">
        <f t="shared" si="3"/>
        <v>12000</v>
      </c>
      <c r="AM28" s="80">
        <f t="shared" si="3"/>
        <v>12000</v>
      </c>
      <c r="AN28" s="80">
        <f t="shared" si="3"/>
        <v>12000</v>
      </c>
      <c r="AO28" s="80">
        <f t="shared" si="3"/>
        <v>12000</v>
      </c>
      <c r="AP28" s="80">
        <f t="shared" si="3"/>
        <v>12000</v>
      </c>
      <c r="AQ28" s="80">
        <f t="shared" si="3"/>
        <v>12000</v>
      </c>
      <c r="AR28" s="80">
        <f t="shared" si="3"/>
        <v>12000</v>
      </c>
      <c r="AS28" s="80">
        <f t="shared" si="3"/>
        <v>12000</v>
      </c>
      <c r="AT28" s="80">
        <f t="shared" si="3"/>
        <v>12000</v>
      </c>
      <c r="AU28" s="80">
        <f t="shared" si="3"/>
        <v>12000</v>
      </c>
      <c r="AV28" s="80">
        <f t="shared" si="3"/>
        <v>12000</v>
      </c>
      <c r="AW28" s="80">
        <f t="shared" si="3"/>
        <v>12000</v>
      </c>
      <c r="AX28" s="80">
        <f t="shared" si="3"/>
        <v>12000</v>
      </c>
      <c r="AY28" s="80">
        <f t="shared" si="3"/>
        <v>12000</v>
      </c>
      <c r="AZ28" s="80">
        <f t="shared" si="3"/>
        <v>12000</v>
      </c>
      <c r="BA28" s="80">
        <f t="shared" si="3"/>
        <v>12000</v>
      </c>
      <c r="BB28" s="80">
        <f t="shared" si="3"/>
        <v>12000</v>
      </c>
      <c r="BC28" s="80">
        <f t="shared" si="3"/>
        <v>12000</v>
      </c>
      <c r="BD28" s="80">
        <f t="shared" si="3"/>
        <v>12000</v>
      </c>
      <c r="BE28" s="80">
        <f t="shared" si="3"/>
        <v>12000</v>
      </c>
      <c r="BF28" s="80">
        <f t="shared" si="3"/>
        <v>12000</v>
      </c>
      <c r="BG28" s="80">
        <f t="shared" si="3"/>
        <v>12000</v>
      </c>
      <c r="BH28" s="80">
        <f t="shared" si="3"/>
        <v>12000</v>
      </c>
      <c r="BI28" s="80">
        <f t="shared" si="3"/>
        <v>12000</v>
      </c>
      <c r="BJ28" s="80">
        <f t="shared" si="3"/>
        <v>12000</v>
      </c>
      <c r="BK28" s="80">
        <f t="shared" si="3"/>
        <v>12000</v>
      </c>
      <c r="BL28" s="80">
        <f t="shared" si="3"/>
        <v>12000</v>
      </c>
      <c r="BM28" s="80">
        <f t="shared" si="3"/>
        <v>12000</v>
      </c>
      <c r="BN28" s="80">
        <f t="shared" si="3"/>
        <v>12000</v>
      </c>
      <c r="BO28" s="80">
        <f t="shared" si="3"/>
        <v>12000</v>
      </c>
      <c r="BP28" s="80">
        <f t="shared" si="3"/>
        <v>12000</v>
      </c>
      <c r="BQ28" s="80">
        <f t="shared" si="3"/>
        <v>12000</v>
      </c>
      <c r="BR28" s="80">
        <f t="shared" si="3"/>
        <v>12000</v>
      </c>
      <c r="BS28" s="80">
        <f t="shared" si="3"/>
        <v>12000</v>
      </c>
      <c r="BT28" s="80">
        <f t="shared" si="3"/>
        <v>12000</v>
      </c>
      <c r="BU28" s="80">
        <f t="shared" si="3"/>
        <v>12000</v>
      </c>
      <c r="BV28" s="80">
        <f t="shared" si="3"/>
        <v>12000</v>
      </c>
      <c r="BW28" s="80">
        <f t="shared" si="3"/>
        <v>12000</v>
      </c>
      <c r="BX28" s="80">
        <f t="shared" si="3"/>
        <v>12000</v>
      </c>
      <c r="BY28" s="80">
        <f t="shared" si="3"/>
        <v>12000</v>
      </c>
      <c r="BZ28" s="80">
        <f t="shared" si="3"/>
        <v>12000</v>
      </c>
      <c r="CA28" s="80">
        <f t="shared" si="3"/>
        <v>12000</v>
      </c>
      <c r="CB28" s="80">
        <f t="shared" si="3"/>
        <v>12000</v>
      </c>
      <c r="CC28" s="80">
        <f t="shared" si="3"/>
        <v>12000</v>
      </c>
      <c r="CD28" s="80">
        <f t="shared" si="3"/>
        <v>12000</v>
      </c>
      <c r="CE28" s="80">
        <f t="shared" si="3"/>
        <v>12000</v>
      </c>
      <c r="CF28" s="80">
        <f t="shared" si="3"/>
        <v>12000</v>
      </c>
      <c r="CG28" s="80">
        <f t="shared" si="3"/>
        <v>12000</v>
      </c>
      <c r="CH28" s="80">
        <f t="shared" si="3"/>
        <v>12000</v>
      </c>
      <c r="CI28" s="80">
        <f t="shared" si="3"/>
        <v>12000</v>
      </c>
      <c r="CJ28" s="80">
        <f t="shared" si="3"/>
        <v>12000</v>
      </c>
      <c r="CK28" s="80">
        <f t="shared" si="3"/>
        <v>12000</v>
      </c>
      <c r="CL28" s="80">
        <f t="shared" si="3"/>
        <v>12000</v>
      </c>
      <c r="CM28" s="80">
        <f t="shared" si="3"/>
        <v>12000</v>
      </c>
      <c r="CN28" s="80">
        <f t="shared" si="3"/>
        <v>12000</v>
      </c>
      <c r="CO28" s="80">
        <f t="shared" si="3"/>
        <v>12000</v>
      </c>
      <c r="CP28" s="80">
        <f t="shared" si="3"/>
        <v>12000</v>
      </c>
      <c r="CQ28" s="80">
        <f t="shared" si="3"/>
        <v>12000</v>
      </c>
      <c r="CR28" s="80">
        <f t="shared" si="3"/>
        <v>12000</v>
      </c>
      <c r="CS28" s="80">
        <f t="shared" si="3"/>
        <v>12000</v>
      </c>
      <c r="CT28" s="80">
        <f t="shared" si="3"/>
        <v>12000</v>
      </c>
      <c r="CU28" s="80">
        <f t="shared" si="3"/>
        <v>12000</v>
      </c>
      <c r="CV28" s="80">
        <f t="shared" si="3"/>
        <v>12000</v>
      </c>
      <c r="CW28" s="80">
        <f t="shared" si="3"/>
        <v>12000</v>
      </c>
      <c r="CX28" s="80">
        <f t="shared" si="3"/>
        <v>12000</v>
      </c>
      <c r="CY28" s="80">
        <f t="shared" si="3"/>
        <v>12000</v>
      </c>
      <c r="CZ28" s="80">
        <f t="shared" si="3"/>
        <v>12000</v>
      </c>
      <c r="DA28" s="80">
        <f t="shared" si="3"/>
        <v>12000</v>
      </c>
      <c r="DB28" s="80">
        <f t="shared" si="3"/>
        <v>12000</v>
      </c>
      <c r="DC28" s="80">
        <f t="shared" si="3"/>
        <v>12000</v>
      </c>
      <c r="DD28" s="80">
        <f t="shared" si="3"/>
        <v>12000</v>
      </c>
      <c r="DE28" s="80">
        <f t="shared" si="3"/>
        <v>12000</v>
      </c>
      <c r="DF28" s="80">
        <f t="shared" si="3"/>
        <v>12000</v>
      </c>
      <c r="DG28" s="80">
        <f t="shared" si="3"/>
        <v>12000</v>
      </c>
      <c r="DH28" s="80">
        <f t="shared" si="3"/>
        <v>12000</v>
      </c>
      <c r="DI28" s="80">
        <f t="shared" si="3"/>
        <v>12000</v>
      </c>
      <c r="DJ28" s="80">
        <f t="shared" si="3"/>
        <v>12000</v>
      </c>
      <c r="DK28" s="80">
        <f t="shared" si="3"/>
        <v>12000</v>
      </c>
      <c r="DL28" s="80">
        <f t="shared" si="3"/>
        <v>12000</v>
      </c>
      <c r="DM28" s="80">
        <f t="shared" si="3"/>
        <v>12000</v>
      </c>
      <c r="DN28" s="80">
        <f t="shared" si="3"/>
        <v>12000</v>
      </c>
      <c r="DO28" s="80">
        <f t="shared" si="3"/>
        <v>12000</v>
      </c>
      <c r="DP28" s="80">
        <f t="shared" si="3"/>
        <v>12000</v>
      </c>
      <c r="DQ28" s="80">
        <f t="shared" si="3"/>
        <v>12000</v>
      </c>
      <c r="DR28" s="80">
        <f t="shared" si="3"/>
        <v>12000</v>
      </c>
      <c r="DS28" s="80">
        <f t="shared" si="3"/>
        <v>12000</v>
      </c>
      <c r="DT28" s="80">
        <f t="shared" si="3"/>
        <v>12000</v>
      </c>
      <c r="DU28" s="80">
        <f t="shared" si="3"/>
        <v>12000</v>
      </c>
      <c r="DV28" s="80">
        <f t="shared" si="3"/>
        <v>12000</v>
      </c>
      <c r="DW28" s="80">
        <f t="shared" si="3"/>
        <v>12000</v>
      </c>
      <c r="DX28" s="80">
        <f t="shared" si="3"/>
        <v>12000</v>
      </c>
      <c r="DY28" s="80">
        <f t="shared" si="3"/>
        <v>12000</v>
      </c>
      <c r="DZ28" s="80">
        <f t="shared" si="3"/>
        <v>12000</v>
      </c>
      <c r="EA28" s="80">
        <f t="shared" si="3"/>
        <v>12000</v>
      </c>
      <c r="EB28" s="80">
        <f t="shared" si="3"/>
        <v>12000</v>
      </c>
      <c r="EC28" s="80">
        <f t="shared" si="3"/>
        <v>12000</v>
      </c>
      <c r="ED28" s="80">
        <f t="shared" si="3"/>
        <v>12000</v>
      </c>
      <c r="EE28" s="80">
        <f t="shared" si="3"/>
        <v>12000</v>
      </c>
      <c r="EF28" s="80">
        <f t="shared" si="3"/>
        <v>12000</v>
      </c>
      <c r="EG28" s="80">
        <f t="shared" si="3"/>
        <v>12000</v>
      </c>
      <c r="EH28" s="80">
        <f t="shared" si="3"/>
        <v>12000</v>
      </c>
      <c r="EI28" s="80">
        <f t="shared" si="3"/>
        <v>12000</v>
      </c>
      <c r="EJ28" s="80">
        <f t="shared" si="3"/>
        <v>12000</v>
      </c>
      <c r="EK28" s="80">
        <f t="shared" si="3"/>
        <v>12000</v>
      </c>
      <c r="EL28" s="80">
        <f t="shared" si="3"/>
        <v>12000</v>
      </c>
      <c r="EM28" s="80">
        <f t="shared" si="3"/>
        <v>12000</v>
      </c>
      <c r="EN28" s="80">
        <f t="shared" si="3"/>
        <v>12000</v>
      </c>
      <c r="EO28" s="80">
        <f t="shared" si="3"/>
        <v>12000</v>
      </c>
      <c r="EP28" s="80">
        <f t="shared" si="3"/>
        <v>12000</v>
      </c>
      <c r="EQ28" s="80">
        <f t="shared" si="3"/>
        <v>12000</v>
      </c>
      <c r="ER28" s="80">
        <f t="shared" si="3"/>
        <v>12000</v>
      </c>
      <c r="ES28" s="80">
        <f t="shared" si="3"/>
        <v>12000</v>
      </c>
      <c r="ET28" s="80">
        <f t="shared" si="3"/>
        <v>12000</v>
      </c>
      <c r="EU28" s="80">
        <f t="shared" si="3"/>
        <v>12000</v>
      </c>
      <c r="EV28" s="80">
        <f t="shared" si="3"/>
        <v>12000</v>
      </c>
      <c r="EW28" s="80">
        <f t="shared" si="3"/>
        <v>12000</v>
      </c>
      <c r="EX28" s="80">
        <f t="shared" si="3"/>
        <v>12000</v>
      </c>
    </row>
    <row r="29" ht="15.75" customHeight="1">
      <c r="B29" s="81" t="s">
        <v>230</v>
      </c>
      <c r="E29" s="82">
        <f>ROUND(E28-'04_Recap'!E25,2)</f>
        <v>0</v>
      </c>
      <c r="F29" s="82">
        <f>ROUND(F28-'04_Recap'!F25,2)</f>
        <v>0</v>
      </c>
      <c r="G29" s="82">
        <f>ROUND(G28-'04_Recap'!G25,2)</f>
        <v>0</v>
      </c>
      <c r="H29" s="82">
        <f>ROUND(H28-'04_Recap'!H25,2)</f>
        <v>0</v>
      </c>
      <c r="I29" s="82">
        <f>ROUND(I28-'04_Recap'!I25,2)</f>
        <v>0</v>
      </c>
      <c r="J29" s="82">
        <f>ROUND(J28-'04_Recap'!J25,2)</f>
        <v>0</v>
      </c>
      <c r="K29" s="82">
        <f>ROUND(K28-'04_Recap'!K25,2)</f>
        <v>0</v>
      </c>
      <c r="L29" s="82">
        <f>ROUND(L28-'04_Recap'!L25,2)</f>
        <v>0</v>
      </c>
      <c r="M29" s="82">
        <f>ROUND(M28-'04_Recap'!M25,2)</f>
        <v>0</v>
      </c>
      <c r="N29" s="82">
        <f>ROUND(N28-'04_Recap'!N25,2)</f>
        <v>0</v>
      </c>
      <c r="O29" s="82">
        <f>ROUND(O28-'04_Recap'!O25,2)</f>
        <v>-38000</v>
      </c>
      <c r="P29" s="82">
        <f>ROUND(P28-'04_Recap'!P25,2)</f>
        <v>-38000</v>
      </c>
      <c r="Q29" s="82">
        <f>ROUND(Q28-'04_Recap'!Q25,2)</f>
        <v>-38000</v>
      </c>
      <c r="R29" s="82">
        <f>ROUND(R28-'04_Recap'!R25,2)</f>
        <v>-38000</v>
      </c>
      <c r="S29" s="82">
        <f>ROUND(S28-'04_Recap'!S25,2)</f>
        <v>-38000</v>
      </c>
      <c r="T29" s="82">
        <f>ROUND(T28-'04_Recap'!T25,2)</f>
        <v>-38000</v>
      </c>
      <c r="U29" s="82">
        <f>ROUND(U28-'04_Recap'!U25,2)</f>
        <v>-38000</v>
      </c>
      <c r="V29" s="82">
        <f>ROUND(V28-'04_Recap'!V25,2)</f>
        <v>-38000</v>
      </c>
      <c r="W29" s="82">
        <f>ROUND(W28-'04_Recap'!W25,2)</f>
        <v>-38000</v>
      </c>
      <c r="X29" s="82">
        <f>ROUND(X28-'04_Recap'!X25,2)</f>
        <v>-38000</v>
      </c>
      <c r="Y29" s="82">
        <f>ROUND(Y28-'04_Recap'!Y25,2)</f>
        <v>-38000</v>
      </c>
      <c r="Z29" s="82">
        <f>ROUND(Z28-'04_Recap'!Z25,2)</f>
        <v>-38000</v>
      </c>
      <c r="AA29" s="82">
        <f>ROUND(AA28-'04_Recap'!AA25,2)</f>
        <v>-38000</v>
      </c>
      <c r="AB29" s="82">
        <f>ROUND(AB28-'04_Recap'!AB25,2)</f>
        <v>-38000</v>
      </c>
      <c r="AC29" s="82">
        <f>ROUND(AC28-'04_Recap'!AC25,2)</f>
        <v>-38000</v>
      </c>
      <c r="AD29" s="82">
        <f>ROUND(AD28-'04_Recap'!AD25,2)</f>
        <v>-38000</v>
      </c>
      <c r="AE29" s="82">
        <f>ROUND(AE28-'04_Recap'!AE25,2)</f>
        <v>-38000</v>
      </c>
      <c r="AF29" s="82">
        <f>ROUND(AF28-'04_Recap'!AF25,2)</f>
        <v>-38000</v>
      </c>
      <c r="AG29" s="82">
        <f>ROUND(AG28-'04_Recap'!AG25,2)</f>
        <v>-38000</v>
      </c>
      <c r="AH29" s="82">
        <f>ROUND(AH28-'04_Recap'!AH25,2)</f>
        <v>-38000</v>
      </c>
      <c r="AI29" s="82">
        <f>ROUND(AI28-'04_Recap'!AI25,2)</f>
        <v>-38000</v>
      </c>
      <c r="AJ29" s="82">
        <f>ROUND(AJ28-'04_Recap'!AJ25,2)</f>
        <v>-38000</v>
      </c>
      <c r="AK29" s="82">
        <f>ROUND(AK28-'04_Recap'!AK25,2)</f>
        <v>-38000</v>
      </c>
      <c r="AL29" s="82">
        <f>ROUND(AL28-'04_Recap'!AL25,2)</f>
        <v>-38000</v>
      </c>
      <c r="AM29" s="82">
        <f>ROUND(AM28-'04_Recap'!AM25,2)</f>
        <v>-38000</v>
      </c>
      <c r="AN29" s="82">
        <f>ROUND(AN28-'04_Recap'!AN25,2)</f>
        <v>-38000</v>
      </c>
      <c r="AO29" s="82">
        <f>ROUND(AO28-'04_Recap'!AO25,2)</f>
        <v>-38000</v>
      </c>
      <c r="AP29" s="82">
        <f>ROUND(AP28-'04_Recap'!AP25,2)</f>
        <v>-38000</v>
      </c>
      <c r="AQ29" s="82">
        <f>ROUND(AQ28-'04_Recap'!AQ25,2)</f>
        <v>-38000</v>
      </c>
      <c r="AR29" s="82">
        <f>ROUND(AR28-'04_Recap'!AR25,2)</f>
        <v>-38000</v>
      </c>
      <c r="AS29" s="82">
        <f>ROUND(AS28-'04_Recap'!AS25,2)</f>
        <v>-38000</v>
      </c>
      <c r="AT29" s="82">
        <f>ROUND(AT28-'04_Recap'!AT25,2)</f>
        <v>-38000</v>
      </c>
      <c r="AU29" s="82">
        <f>ROUND(AU28-'04_Recap'!AU25,2)</f>
        <v>-38000</v>
      </c>
      <c r="AV29" s="82">
        <f>ROUND(AV28-'04_Recap'!AV25,2)</f>
        <v>-38000</v>
      </c>
      <c r="AW29" s="82">
        <f>ROUND(AW28-'04_Recap'!AW25,2)</f>
        <v>-38000</v>
      </c>
      <c r="AX29" s="82">
        <f>ROUND(AX28-'04_Recap'!AX25,2)</f>
        <v>-38000</v>
      </c>
      <c r="AY29" s="82">
        <f>ROUND(AY28-'04_Recap'!AY25,2)</f>
        <v>-38000</v>
      </c>
      <c r="AZ29" s="82">
        <f>ROUND(AZ28-'04_Recap'!AZ25,2)</f>
        <v>-38000</v>
      </c>
      <c r="BA29" s="82">
        <f>ROUND(BA28-'04_Recap'!BA25,2)</f>
        <v>-38000</v>
      </c>
      <c r="BB29" s="82">
        <f>ROUND(BB28-'04_Recap'!BB25,2)</f>
        <v>-38000</v>
      </c>
      <c r="BC29" s="82">
        <f>ROUND(BC28-'04_Recap'!BC25,2)</f>
        <v>-38000</v>
      </c>
      <c r="BD29" s="82">
        <f>ROUND(BD28-'04_Recap'!BD25,2)</f>
        <v>-38000</v>
      </c>
      <c r="BE29" s="82">
        <f>ROUND(BE28-'04_Recap'!BE25,2)</f>
        <v>-38000</v>
      </c>
      <c r="BF29" s="82">
        <f>ROUND(BF28-'04_Recap'!BF25,2)</f>
        <v>-38000</v>
      </c>
      <c r="BG29" s="82">
        <f>ROUND(BG28-'04_Recap'!BG25,2)</f>
        <v>-38000</v>
      </c>
      <c r="BH29" s="82">
        <f>ROUND(BH28-'04_Recap'!BH25,2)</f>
        <v>-38000</v>
      </c>
      <c r="BI29" s="82">
        <f>ROUND(BI28-'04_Recap'!BI25,2)</f>
        <v>-38000</v>
      </c>
      <c r="BJ29" s="82">
        <f>ROUND(BJ28-'04_Recap'!BJ25,2)</f>
        <v>-38000</v>
      </c>
      <c r="BK29" s="82">
        <f>ROUND(BK28-'04_Recap'!BK25,2)</f>
        <v>-38000</v>
      </c>
      <c r="BL29" s="82">
        <f>ROUND(BL28-'04_Recap'!BL25,2)</f>
        <v>-38000</v>
      </c>
      <c r="BM29" s="82">
        <f>ROUND(BM28-'04_Recap'!BM25,2)</f>
        <v>-38000</v>
      </c>
      <c r="BN29" s="82">
        <f>ROUND(BN28-'04_Recap'!BN25,2)</f>
        <v>-38000</v>
      </c>
      <c r="BO29" s="82">
        <f>ROUND(BO28-'04_Recap'!BO25,2)</f>
        <v>-38000</v>
      </c>
      <c r="BP29" s="82">
        <f>ROUND(BP28-'04_Recap'!BP25,2)</f>
        <v>-38000</v>
      </c>
      <c r="BQ29" s="82">
        <f>ROUND(BQ28-'04_Recap'!BQ25,2)</f>
        <v>-38000</v>
      </c>
      <c r="BR29" s="82">
        <f>ROUND(BR28-'04_Recap'!BR25,2)</f>
        <v>-38000</v>
      </c>
      <c r="BS29" s="82">
        <f>ROUND(BS28-'04_Recap'!BS25,2)</f>
        <v>-38000</v>
      </c>
      <c r="BT29" s="82">
        <f>ROUND(BT28-'04_Recap'!BT25,2)</f>
        <v>-38000</v>
      </c>
      <c r="BU29" s="82">
        <f>ROUND(BU28-'04_Recap'!BU25,2)</f>
        <v>-38000</v>
      </c>
      <c r="BV29" s="82">
        <f>ROUND(BV28-'04_Recap'!BV25,2)</f>
        <v>-38000</v>
      </c>
      <c r="BW29" s="82">
        <f>ROUND(BW28-'04_Recap'!BW25,2)</f>
        <v>-38000</v>
      </c>
      <c r="BX29" s="82">
        <f>ROUND(BX28-'04_Recap'!BX25,2)</f>
        <v>-38000</v>
      </c>
      <c r="BY29" s="82">
        <f>ROUND(BY28-'04_Recap'!BY25,2)</f>
        <v>-38000</v>
      </c>
      <c r="BZ29" s="82">
        <f>ROUND(BZ28-'04_Recap'!BZ25,2)</f>
        <v>-38000</v>
      </c>
      <c r="CA29" s="82">
        <f>ROUND(CA28-'04_Recap'!CA25,2)</f>
        <v>-38000</v>
      </c>
      <c r="CB29" s="82">
        <f>ROUND(CB28-'04_Recap'!CB25,2)</f>
        <v>-38000</v>
      </c>
      <c r="CC29" s="82">
        <f>ROUND(CC28-'04_Recap'!CC25,2)</f>
        <v>-38000</v>
      </c>
      <c r="CD29" s="82">
        <f>ROUND(CD28-'04_Recap'!CD25,2)</f>
        <v>-38000</v>
      </c>
      <c r="CE29" s="82">
        <f>ROUND(CE28-'04_Recap'!CE25,2)</f>
        <v>-38000</v>
      </c>
      <c r="CF29" s="82">
        <f>ROUND(CF28-'04_Recap'!CF25,2)</f>
        <v>-38000</v>
      </c>
      <c r="CG29" s="82">
        <f>ROUND(CG28-'04_Recap'!CG25,2)</f>
        <v>-38000</v>
      </c>
      <c r="CH29" s="82">
        <f>ROUND(CH28-'04_Recap'!CH25,2)</f>
        <v>-38000</v>
      </c>
      <c r="CI29" s="82">
        <f>ROUND(CI28-'04_Recap'!CI25,2)</f>
        <v>-38000</v>
      </c>
      <c r="CJ29" s="82">
        <f>ROUND(CJ28-'04_Recap'!CJ25,2)</f>
        <v>-38000</v>
      </c>
      <c r="CK29" s="82">
        <f>ROUND(CK28-'04_Recap'!CK25,2)</f>
        <v>-38000</v>
      </c>
      <c r="CL29" s="82">
        <f>ROUND(CL28-'04_Recap'!CL25,2)</f>
        <v>-38000</v>
      </c>
      <c r="CM29" s="82">
        <f>ROUND(CM28-'04_Recap'!CM25,2)</f>
        <v>-38000</v>
      </c>
      <c r="CN29" s="82">
        <f>ROUND(CN28-'04_Recap'!CN25,2)</f>
        <v>-38000</v>
      </c>
      <c r="CO29" s="82">
        <f>ROUND(CO28-'04_Recap'!CO25,2)</f>
        <v>-38000</v>
      </c>
      <c r="CP29" s="82">
        <f>ROUND(CP28-'04_Recap'!CP25,2)</f>
        <v>-38000</v>
      </c>
      <c r="CQ29" s="82">
        <f>ROUND(CQ28-'04_Recap'!CQ25,2)</f>
        <v>-38000</v>
      </c>
      <c r="CR29" s="82">
        <f>ROUND(CR28-'04_Recap'!CR25,2)</f>
        <v>-38000</v>
      </c>
      <c r="CS29" s="82">
        <f>ROUND(CS28-'04_Recap'!CS25,2)</f>
        <v>-38000</v>
      </c>
      <c r="CT29" s="82">
        <f>ROUND(CT28-'04_Recap'!CT25,2)</f>
        <v>-38000</v>
      </c>
      <c r="CU29" s="82">
        <f>ROUND(CU28-'04_Recap'!CU25,2)</f>
        <v>-38000</v>
      </c>
      <c r="CV29" s="82">
        <f>ROUND(CV28-'04_Recap'!CV25,2)</f>
        <v>-38000</v>
      </c>
      <c r="CW29" s="82">
        <f>ROUND(CW28-'04_Recap'!CW25,2)</f>
        <v>-38000</v>
      </c>
      <c r="CX29" s="82">
        <f>ROUND(CX28-'04_Recap'!CX25,2)</f>
        <v>-38000</v>
      </c>
      <c r="CY29" s="82">
        <f>ROUND(CY28-'04_Recap'!CY25,2)</f>
        <v>-38000</v>
      </c>
      <c r="CZ29" s="82">
        <f>ROUND(CZ28-'04_Recap'!CZ25,2)</f>
        <v>-38000</v>
      </c>
      <c r="DA29" s="82">
        <f>ROUND(DA28-'04_Recap'!DA25,2)</f>
        <v>-38000</v>
      </c>
      <c r="DB29" s="82">
        <f>ROUND(DB28-'04_Recap'!DB25,2)</f>
        <v>-38000</v>
      </c>
      <c r="DC29" s="82">
        <f>ROUND(DC28-'04_Recap'!DC25,2)</f>
        <v>-38000</v>
      </c>
      <c r="DD29" s="82">
        <f>ROUND(DD28-'04_Recap'!DD25,2)</f>
        <v>-38000</v>
      </c>
      <c r="DE29" s="82">
        <f>ROUND(DE28-'04_Recap'!DE25,2)</f>
        <v>-38000</v>
      </c>
      <c r="DF29" s="82">
        <f>ROUND(DF28-'04_Recap'!DF25,2)</f>
        <v>-38000</v>
      </c>
      <c r="DG29" s="82">
        <f>ROUND(DG28-'04_Recap'!DG25,2)</f>
        <v>-38000</v>
      </c>
      <c r="DH29" s="82">
        <f>ROUND(DH28-'04_Recap'!DH25,2)</f>
        <v>-38000</v>
      </c>
      <c r="DI29" s="82">
        <f>ROUND(DI28-'04_Recap'!DI25,2)</f>
        <v>-38000</v>
      </c>
      <c r="DJ29" s="82">
        <f>ROUND(DJ28-'04_Recap'!DJ25,2)</f>
        <v>-38000</v>
      </c>
      <c r="DK29" s="82">
        <f>ROUND(DK28-'04_Recap'!DK25,2)</f>
        <v>-38000</v>
      </c>
      <c r="DL29" s="82">
        <f>ROUND(DL28-'04_Recap'!DL25,2)</f>
        <v>-38000</v>
      </c>
      <c r="DM29" s="82">
        <f>ROUND(DM28-'04_Recap'!DM25,2)</f>
        <v>-38000</v>
      </c>
      <c r="DN29" s="82">
        <f>ROUND(DN28-'04_Recap'!DN25,2)</f>
        <v>-38000</v>
      </c>
      <c r="DO29" s="82">
        <f>ROUND(DO28-'04_Recap'!DO25,2)</f>
        <v>-38000</v>
      </c>
      <c r="DP29" s="82">
        <f>ROUND(DP28-'04_Recap'!DP25,2)</f>
        <v>-38000</v>
      </c>
      <c r="DQ29" s="82">
        <f>ROUND(DQ28-'04_Recap'!DQ25,2)</f>
        <v>-38000</v>
      </c>
      <c r="DR29" s="82">
        <f>ROUND(DR28-'04_Recap'!DR25,2)</f>
        <v>-38000</v>
      </c>
      <c r="DS29" s="82">
        <f>ROUND(DS28-'04_Recap'!DS25,2)</f>
        <v>-38000</v>
      </c>
      <c r="DT29" s="82">
        <f>ROUND(DT28-'04_Recap'!DT25,2)</f>
        <v>-38000</v>
      </c>
      <c r="DU29" s="82">
        <f>ROUND(DU28-'04_Recap'!DU25,2)</f>
        <v>-38000</v>
      </c>
      <c r="DV29" s="82">
        <f>ROUND(DV28-'04_Recap'!DV25,2)</f>
        <v>-38000</v>
      </c>
      <c r="DW29" s="82">
        <f>ROUND(DW28-'04_Recap'!DW25,2)</f>
        <v>-38000</v>
      </c>
      <c r="DX29" s="82">
        <f>ROUND(DX28-'04_Recap'!DX25,2)</f>
        <v>-38000</v>
      </c>
      <c r="DY29" s="82">
        <f>ROUND(DY28-'04_Recap'!DY25,2)</f>
        <v>-38000</v>
      </c>
      <c r="DZ29" s="82">
        <f>ROUND(DZ28-'04_Recap'!DZ25,2)</f>
        <v>-38000</v>
      </c>
      <c r="EA29" s="82">
        <f>ROUND(EA28-'04_Recap'!EA25,2)</f>
        <v>-38000</v>
      </c>
      <c r="EB29" s="82">
        <f>ROUND(EB28-'04_Recap'!EB25,2)</f>
        <v>-38000</v>
      </c>
      <c r="EC29" s="82">
        <f>ROUND(EC28-'04_Recap'!EC25,2)</f>
        <v>-38000</v>
      </c>
      <c r="ED29" s="82">
        <f>ROUND(ED28-'04_Recap'!ED25,2)</f>
        <v>-38000</v>
      </c>
      <c r="EE29" s="82">
        <f>ROUND(EE28-'04_Recap'!EE25,2)</f>
        <v>-38000</v>
      </c>
      <c r="EF29" s="82">
        <f>ROUND(EF28-'04_Recap'!EF25,2)</f>
        <v>-38000</v>
      </c>
      <c r="EG29" s="82">
        <f>ROUND(EG28-'04_Recap'!EG25,2)</f>
        <v>-38000</v>
      </c>
      <c r="EH29" s="82">
        <f>ROUND(EH28-'04_Recap'!EH25,2)</f>
        <v>-38000</v>
      </c>
      <c r="EI29" s="82">
        <f>ROUND(EI28-'04_Recap'!EI25,2)</f>
        <v>-38000</v>
      </c>
      <c r="EJ29" s="82">
        <f>ROUND(EJ28-'04_Recap'!EJ25,2)</f>
        <v>-38000</v>
      </c>
      <c r="EK29" s="82">
        <f>ROUND(EK28-'04_Recap'!EK25,2)</f>
        <v>-38000</v>
      </c>
      <c r="EL29" s="82">
        <f>ROUND(EL28-'04_Recap'!EL25,2)</f>
        <v>-38000</v>
      </c>
      <c r="EM29" s="82">
        <f>ROUND(EM28-'04_Recap'!EM25,2)</f>
        <v>-38000</v>
      </c>
      <c r="EN29" s="82">
        <f>ROUND(EN28-'04_Recap'!EN25,2)</f>
        <v>-38000</v>
      </c>
      <c r="EO29" s="82">
        <f>ROUND(EO28-'04_Recap'!EO25,2)</f>
        <v>-38000</v>
      </c>
      <c r="EP29" s="82">
        <f>ROUND(EP28-'04_Recap'!EP25,2)</f>
        <v>-38000</v>
      </c>
      <c r="EQ29" s="82">
        <f>ROUND(EQ28-'04_Recap'!EQ25,2)</f>
        <v>-38000</v>
      </c>
      <c r="ER29" s="82">
        <f>ROUND(ER28-'04_Recap'!ER25,2)</f>
        <v>-38000</v>
      </c>
      <c r="ES29" s="82">
        <f>ROUND(ES28-'04_Recap'!ES25,2)</f>
        <v>-38000</v>
      </c>
      <c r="ET29" s="82">
        <f>ROUND(ET28-'04_Recap'!ET25,2)</f>
        <v>-38000</v>
      </c>
      <c r="EU29" s="82">
        <f>ROUND(EU28-'04_Recap'!EU25,2)</f>
        <v>-38000</v>
      </c>
      <c r="EV29" s="82">
        <f>ROUND(EV28-'04_Recap'!EV25,2)</f>
        <v>-38000</v>
      </c>
      <c r="EW29" s="82">
        <f>ROUND(EW28-'04_Recap'!EW25,2)</f>
        <v>-38000</v>
      </c>
      <c r="EX29" s="82">
        <f>ROUND(EX28-'04_Recap'!EX25,2)</f>
        <v>-38000</v>
      </c>
    </row>
    <row r="30" ht="15.75" customHeight="1"/>
    <row r="31" ht="15.75" customHeight="1">
      <c r="B31" s="70" t="s">
        <v>231</v>
      </c>
    </row>
    <row r="32" ht="15.75" customHeight="1">
      <c r="B32" s="71" t="s">
        <v>51</v>
      </c>
      <c r="E32" s="45" t="str">
        <f>Frequence_VL</f>
        <v>Mensuelle</v>
      </c>
      <c r="F32" s="45" t="str">
        <f>Frequence_VL</f>
        <v>Mensuelle</v>
      </c>
      <c r="G32" s="45" t="str">
        <f>Frequence_VL</f>
        <v>Mensuelle</v>
      </c>
      <c r="H32" s="45" t="str">
        <f>Frequence_VL</f>
        <v>Mensuelle</v>
      </c>
      <c r="I32" s="45" t="str">
        <f>Frequence_VL</f>
        <v>Mensuelle</v>
      </c>
      <c r="J32" s="45" t="str">
        <f>Frequence_VL</f>
        <v>Mensuelle</v>
      </c>
      <c r="K32" s="45" t="str">
        <f>Frequence_VL</f>
        <v>Mensuelle</v>
      </c>
      <c r="L32" s="45" t="str">
        <f>Frequence_VL</f>
        <v>Mensuelle</v>
      </c>
      <c r="M32" s="45" t="str">
        <f>Frequence_VL</f>
        <v>Mensuelle</v>
      </c>
      <c r="N32" s="45" t="str">
        <f>Frequence_VL</f>
        <v>Mensuelle</v>
      </c>
      <c r="O32" s="45" t="str">
        <f>Frequence_VL</f>
        <v>Mensuelle</v>
      </c>
      <c r="P32" s="45" t="str">
        <f>Frequence_VL</f>
        <v>Mensuelle</v>
      </c>
      <c r="Q32" s="45" t="str">
        <f>Frequence_VL</f>
        <v>Mensuelle</v>
      </c>
      <c r="R32" s="45" t="str">
        <f>Frequence_VL</f>
        <v>Mensuelle</v>
      </c>
      <c r="S32" s="45" t="str">
        <f>Frequence_VL</f>
        <v>Mensuelle</v>
      </c>
      <c r="T32" s="45" t="str">
        <f>Frequence_VL</f>
        <v>Mensuelle</v>
      </c>
      <c r="U32" s="45" t="str">
        <f>Frequence_VL</f>
        <v>Mensuelle</v>
      </c>
      <c r="V32" s="45" t="str">
        <f>Frequence_VL</f>
        <v>Mensuelle</v>
      </c>
      <c r="W32" s="45" t="str">
        <f>Frequence_VL</f>
        <v>Mensuelle</v>
      </c>
      <c r="X32" s="45" t="str">
        <f>Frequence_VL</f>
        <v>Mensuelle</v>
      </c>
      <c r="Y32" s="45" t="str">
        <f>Frequence_VL</f>
        <v>Mensuelle</v>
      </c>
      <c r="Z32" s="45" t="str">
        <f>Frequence_VL</f>
        <v>Mensuelle</v>
      </c>
      <c r="AA32" s="45" t="str">
        <f>Frequence_VL</f>
        <v>Mensuelle</v>
      </c>
      <c r="AB32" s="45" t="str">
        <f>Frequence_VL</f>
        <v>Mensuelle</v>
      </c>
      <c r="AC32" s="45" t="str">
        <f>Frequence_VL</f>
        <v>Mensuelle</v>
      </c>
      <c r="AD32" s="45" t="str">
        <f>Frequence_VL</f>
        <v>Mensuelle</v>
      </c>
      <c r="AE32" s="45" t="str">
        <f>Frequence_VL</f>
        <v>Mensuelle</v>
      </c>
      <c r="AF32" s="45" t="str">
        <f>Frequence_VL</f>
        <v>Mensuelle</v>
      </c>
      <c r="AG32" s="45" t="str">
        <f>Frequence_VL</f>
        <v>Mensuelle</v>
      </c>
      <c r="AH32" s="45" t="str">
        <f>Frequence_VL</f>
        <v>Mensuelle</v>
      </c>
      <c r="AI32" s="45" t="str">
        <f>Frequence_VL</f>
        <v>Mensuelle</v>
      </c>
      <c r="AJ32" s="45" t="str">
        <f>Frequence_VL</f>
        <v>Mensuelle</v>
      </c>
      <c r="AK32" s="45" t="str">
        <f>Frequence_VL</f>
        <v>Mensuelle</v>
      </c>
      <c r="AL32" s="45" t="str">
        <f>Frequence_VL</f>
        <v>Mensuelle</v>
      </c>
      <c r="AM32" s="45" t="str">
        <f>Frequence_VL</f>
        <v>Mensuelle</v>
      </c>
      <c r="AN32" s="45" t="str">
        <f>Frequence_VL</f>
        <v>Mensuelle</v>
      </c>
      <c r="AO32" s="45" t="str">
        <f>Frequence_VL</f>
        <v>Mensuelle</v>
      </c>
      <c r="AP32" s="45" t="str">
        <f>Frequence_VL</f>
        <v>Mensuelle</v>
      </c>
      <c r="AQ32" s="45" t="str">
        <f>Frequence_VL</f>
        <v>Mensuelle</v>
      </c>
      <c r="AR32" s="45" t="str">
        <f>Frequence_VL</f>
        <v>Mensuelle</v>
      </c>
      <c r="AS32" s="45" t="str">
        <f>Frequence_VL</f>
        <v>Mensuelle</v>
      </c>
      <c r="AT32" s="45" t="str">
        <f>Frequence_VL</f>
        <v>Mensuelle</v>
      </c>
      <c r="AU32" s="45" t="str">
        <f>Frequence_VL</f>
        <v>Mensuelle</v>
      </c>
      <c r="AV32" s="45" t="str">
        <f>Frequence_VL</f>
        <v>Mensuelle</v>
      </c>
      <c r="AW32" s="45" t="str">
        <f>Frequence_VL</f>
        <v>Mensuelle</v>
      </c>
      <c r="AX32" s="45" t="str">
        <f>Frequence_VL</f>
        <v>Mensuelle</v>
      </c>
      <c r="AY32" s="45" t="str">
        <f>Frequence_VL</f>
        <v>Mensuelle</v>
      </c>
      <c r="AZ32" s="45" t="str">
        <f>Frequence_VL</f>
        <v>Mensuelle</v>
      </c>
      <c r="BA32" s="45" t="str">
        <f>Frequence_VL</f>
        <v>Mensuelle</v>
      </c>
      <c r="BB32" s="45" t="str">
        <f>Frequence_VL</f>
        <v>Mensuelle</v>
      </c>
      <c r="BC32" s="45" t="str">
        <f>Frequence_VL</f>
        <v>Mensuelle</v>
      </c>
      <c r="BD32" s="45" t="str">
        <f>Frequence_VL</f>
        <v>Mensuelle</v>
      </c>
      <c r="BE32" s="45" t="str">
        <f>Frequence_VL</f>
        <v>Mensuelle</v>
      </c>
      <c r="BF32" s="45" t="str">
        <f>Frequence_VL</f>
        <v>Mensuelle</v>
      </c>
      <c r="BG32" s="45" t="str">
        <f>Frequence_VL</f>
        <v>Mensuelle</v>
      </c>
      <c r="BH32" s="45" t="str">
        <f>Frequence_VL</f>
        <v>Mensuelle</v>
      </c>
      <c r="BI32" s="45" t="str">
        <f>Frequence_VL</f>
        <v>Mensuelle</v>
      </c>
      <c r="BJ32" s="45" t="str">
        <f>Frequence_VL</f>
        <v>Mensuelle</v>
      </c>
      <c r="BK32" s="45" t="str">
        <f>Frequence_VL</f>
        <v>Mensuelle</v>
      </c>
      <c r="BL32" s="45" t="str">
        <f>Frequence_VL</f>
        <v>Mensuelle</v>
      </c>
      <c r="BM32" s="45" t="str">
        <f>Frequence_VL</f>
        <v>Mensuelle</v>
      </c>
      <c r="BN32" s="45" t="str">
        <f>Frequence_VL</f>
        <v>Mensuelle</v>
      </c>
      <c r="BO32" s="45" t="str">
        <f>Frequence_VL</f>
        <v>Mensuelle</v>
      </c>
      <c r="BP32" s="45" t="str">
        <f>Frequence_VL</f>
        <v>Mensuelle</v>
      </c>
      <c r="BQ32" s="45" t="str">
        <f>Frequence_VL</f>
        <v>Mensuelle</v>
      </c>
      <c r="BR32" s="45" t="str">
        <f>Frequence_VL</f>
        <v>Mensuelle</v>
      </c>
      <c r="BS32" s="45" t="str">
        <f>Frequence_VL</f>
        <v>Mensuelle</v>
      </c>
      <c r="BT32" s="45" t="str">
        <f>Frequence_VL</f>
        <v>Mensuelle</v>
      </c>
      <c r="BU32" s="45" t="str">
        <f>Frequence_VL</f>
        <v>Mensuelle</v>
      </c>
      <c r="BV32" s="45" t="str">
        <f>Frequence_VL</f>
        <v>Mensuelle</v>
      </c>
      <c r="BW32" s="45" t="str">
        <f>Frequence_VL</f>
        <v>Mensuelle</v>
      </c>
      <c r="BX32" s="45" t="str">
        <f>Frequence_VL</f>
        <v>Mensuelle</v>
      </c>
      <c r="BY32" s="45" t="str">
        <f>Frequence_VL</f>
        <v>Mensuelle</v>
      </c>
      <c r="BZ32" s="45" t="str">
        <f>Frequence_VL</f>
        <v>Mensuelle</v>
      </c>
      <c r="CA32" s="45" t="str">
        <f>Frequence_VL</f>
        <v>Mensuelle</v>
      </c>
      <c r="CB32" s="45" t="str">
        <f>Frequence_VL</f>
        <v>Mensuelle</v>
      </c>
      <c r="CC32" s="45" t="str">
        <f>Frequence_VL</f>
        <v>Mensuelle</v>
      </c>
      <c r="CD32" s="45" t="str">
        <f>Frequence_VL</f>
        <v>Mensuelle</v>
      </c>
      <c r="CE32" s="45" t="str">
        <f>Frequence_VL</f>
        <v>Mensuelle</v>
      </c>
      <c r="CF32" s="45" t="str">
        <f>Frequence_VL</f>
        <v>Mensuelle</v>
      </c>
      <c r="CG32" s="45" t="str">
        <f>Frequence_VL</f>
        <v>Mensuelle</v>
      </c>
      <c r="CH32" s="45" t="str">
        <f>Frequence_VL</f>
        <v>Mensuelle</v>
      </c>
      <c r="CI32" s="45" t="str">
        <f>Frequence_VL</f>
        <v>Mensuelle</v>
      </c>
      <c r="CJ32" s="45" t="str">
        <f>Frequence_VL</f>
        <v>Mensuelle</v>
      </c>
      <c r="CK32" s="45" t="str">
        <f>Frequence_VL</f>
        <v>Mensuelle</v>
      </c>
      <c r="CL32" s="45" t="str">
        <f>Frequence_VL</f>
        <v>Mensuelle</v>
      </c>
      <c r="CM32" s="45" t="str">
        <f>Frequence_VL</f>
        <v>Mensuelle</v>
      </c>
      <c r="CN32" s="45" t="str">
        <f>Frequence_VL</f>
        <v>Mensuelle</v>
      </c>
      <c r="CO32" s="45" t="str">
        <f>Frequence_VL</f>
        <v>Mensuelle</v>
      </c>
      <c r="CP32" s="45" t="str">
        <f>Frequence_VL</f>
        <v>Mensuelle</v>
      </c>
      <c r="CQ32" s="45" t="str">
        <f>Frequence_VL</f>
        <v>Mensuelle</v>
      </c>
      <c r="CR32" s="45" t="str">
        <f>Frequence_VL</f>
        <v>Mensuelle</v>
      </c>
      <c r="CS32" s="45" t="str">
        <f>Frequence_VL</f>
        <v>Mensuelle</v>
      </c>
      <c r="CT32" s="45" t="str">
        <f>Frequence_VL</f>
        <v>Mensuelle</v>
      </c>
      <c r="CU32" s="45" t="str">
        <f>Frequence_VL</f>
        <v>Mensuelle</v>
      </c>
      <c r="CV32" s="45" t="str">
        <f>Frequence_VL</f>
        <v>Mensuelle</v>
      </c>
      <c r="CW32" s="45" t="str">
        <f>Frequence_VL</f>
        <v>Mensuelle</v>
      </c>
      <c r="CX32" s="45" t="str">
        <f>Frequence_VL</f>
        <v>Mensuelle</v>
      </c>
      <c r="CY32" s="45" t="str">
        <f>Frequence_VL</f>
        <v>Mensuelle</v>
      </c>
      <c r="CZ32" s="45" t="str">
        <f>Frequence_VL</f>
        <v>Mensuelle</v>
      </c>
      <c r="DA32" s="45" t="str">
        <f>Frequence_VL</f>
        <v>Mensuelle</v>
      </c>
      <c r="DB32" s="45" t="str">
        <f>Frequence_VL</f>
        <v>Mensuelle</v>
      </c>
      <c r="DC32" s="45" t="str">
        <f>Frequence_VL</f>
        <v>Mensuelle</v>
      </c>
      <c r="DD32" s="45" t="str">
        <f>Frequence_VL</f>
        <v>Mensuelle</v>
      </c>
      <c r="DE32" s="45" t="str">
        <f>Frequence_VL</f>
        <v>Mensuelle</v>
      </c>
      <c r="DF32" s="45" t="str">
        <f>Frequence_VL</f>
        <v>Mensuelle</v>
      </c>
      <c r="DG32" s="45" t="str">
        <f>Frequence_VL</f>
        <v>Mensuelle</v>
      </c>
      <c r="DH32" s="45" t="str">
        <f>Frequence_VL</f>
        <v>Mensuelle</v>
      </c>
      <c r="DI32" s="45" t="str">
        <f>Frequence_VL</f>
        <v>Mensuelle</v>
      </c>
      <c r="DJ32" s="45" t="str">
        <f>Frequence_VL</f>
        <v>Mensuelle</v>
      </c>
      <c r="DK32" s="45" t="str">
        <f>Frequence_VL</f>
        <v>Mensuelle</v>
      </c>
      <c r="DL32" s="45" t="str">
        <f>Frequence_VL</f>
        <v>Mensuelle</v>
      </c>
      <c r="DM32" s="45" t="str">
        <f>Frequence_VL</f>
        <v>Mensuelle</v>
      </c>
      <c r="DN32" s="45" t="str">
        <f>Frequence_VL</f>
        <v>Mensuelle</v>
      </c>
      <c r="DO32" s="45" t="str">
        <f>Frequence_VL</f>
        <v>Mensuelle</v>
      </c>
      <c r="DP32" s="45" t="str">
        <f>Frequence_VL</f>
        <v>Mensuelle</v>
      </c>
      <c r="DQ32" s="45" t="str">
        <f>Frequence_VL</f>
        <v>Mensuelle</v>
      </c>
      <c r="DR32" s="45" t="str">
        <f>Frequence_VL</f>
        <v>Mensuelle</v>
      </c>
      <c r="DS32" s="45" t="str">
        <f>Frequence_VL</f>
        <v>Mensuelle</v>
      </c>
      <c r="DT32" s="45" t="str">
        <f>Frequence_VL</f>
        <v>Mensuelle</v>
      </c>
      <c r="DU32" s="45" t="str">
        <f>Frequence_VL</f>
        <v>Mensuelle</v>
      </c>
      <c r="DV32" s="45" t="str">
        <f>Frequence_VL</f>
        <v>Mensuelle</v>
      </c>
      <c r="DW32" s="45" t="str">
        <f>Frequence_VL</f>
        <v>Mensuelle</v>
      </c>
      <c r="DX32" s="45" t="str">
        <f>Frequence_VL</f>
        <v>Mensuelle</v>
      </c>
      <c r="DY32" s="45" t="str">
        <f>Frequence_VL</f>
        <v>Mensuelle</v>
      </c>
      <c r="DZ32" s="45" t="str">
        <f>Frequence_VL</f>
        <v>Mensuelle</v>
      </c>
      <c r="EA32" s="45" t="str">
        <f>Frequence_VL</f>
        <v>Mensuelle</v>
      </c>
      <c r="EB32" s="45" t="str">
        <f>Frequence_VL</f>
        <v>Mensuelle</v>
      </c>
      <c r="EC32" s="45" t="str">
        <f>Frequence_VL</f>
        <v>Mensuelle</v>
      </c>
      <c r="ED32" s="45" t="str">
        <f>Frequence_VL</f>
        <v>Mensuelle</v>
      </c>
      <c r="EE32" s="45" t="str">
        <f>Frequence_VL</f>
        <v>Mensuelle</v>
      </c>
      <c r="EF32" s="45" t="str">
        <f>Frequence_VL</f>
        <v>Mensuelle</v>
      </c>
      <c r="EG32" s="45" t="str">
        <f>Frequence_VL</f>
        <v>Mensuelle</v>
      </c>
      <c r="EH32" s="45" t="str">
        <f>Frequence_VL</f>
        <v>Mensuelle</v>
      </c>
      <c r="EI32" s="45" t="str">
        <f>Frequence_VL</f>
        <v>Mensuelle</v>
      </c>
      <c r="EJ32" s="45" t="str">
        <f>Frequence_VL</f>
        <v>Mensuelle</v>
      </c>
      <c r="EK32" s="45" t="str">
        <f>Frequence_VL</f>
        <v>Mensuelle</v>
      </c>
      <c r="EL32" s="45" t="str">
        <f>Frequence_VL</f>
        <v>Mensuelle</v>
      </c>
      <c r="EM32" s="45" t="str">
        <f>Frequence_VL</f>
        <v>Mensuelle</v>
      </c>
      <c r="EN32" s="45" t="str">
        <f>Frequence_VL</f>
        <v>Mensuelle</v>
      </c>
      <c r="EO32" s="45" t="str">
        <f>Frequence_VL</f>
        <v>Mensuelle</v>
      </c>
      <c r="EP32" s="45" t="str">
        <f>Frequence_VL</f>
        <v>Mensuelle</v>
      </c>
      <c r="EQ32" s="45" t="str">
        <f>Frequence_VL</f>
        <v>Mensuelle</v>
      </c>
      <c r="ER32" s="45" t="str">
        <f>Frequence_VL</f>
        <v>Mensuelle</v>
      </c>
      <c r="ES32" s="45" t="str">
        <f>Frequence_VL</f>
        <v>Mensuelle</v>
      </c>
      <c r="ET32" s="45" t="str">
        <f>Frequence_VL</f>
        <v>Mensuelle</v>
      </c>
      <c r="EU32" s="45" t="str">
        <f>Frequence_VL</f>
        <v>Mensuelle</v>
      </c>
      <c r="EV32" s="45" t="str">
        <f>Frequence_VL</f>
        <v>Mensuelle</v>
      </c>
      <c r="EW32" s="45" t="str">
        <f>Frequence_VL</f>
        <v>Mensuelle</v>
      </c>
      <c r="EX32" s="45" t="str">
        <f>Frequence_VL</f>
        <v>Mensuelle</v>
      </c>
    </row>
    <row r="33" ht="15.75" customHeight="1">
      <c r="B33" s="71" t="s">
        <v>232</v>
      </c>
      <c r="E33" s="45" t="str">
        <f>IF(E$21&lt;'01_Input'!$K$61,"0 - "&amp;TEXT('01_Input'!$K$61/1000000,"0")&amp;"M€",IF(E$21&lt;'01_Input'!$O$61,TEXT('01_Input'!$K$61/1000000,"0")&amp;" - "&amp;TEXT('01_Input'!$O$61/1000000,"0")&amp;"M€",IF(E$21&lt;'01_Input'!$S$61,TEXT('01_Input'!$O$61/1000000,"0")&amp;" - "&amp;TEXT('01_Input'!$S$61/1000000,"0")&amp;"M€","&gt; "&amp;TEXT('01_Input'!$S$61/1000000,"0")&amp;"M€")))</f>
        <v>0 - 40M€</v>
      </c>
      <c r="F33" s="45" t="str">
        <f>IF(F$21&lt;'01_Input'!$K$61,"0 - "&amp;TEXT('01_Input'!$K$61/1000000,"0")&amp;"M€",IF(F$21&lt;'01_Input'!$O$61,TEXT('01_Input'!$K$61/1000000,"0")&amp;" - "&amp;TEXT('01_Input'!$O$61/1000000,"0")&amp;"M€",IF(F$21&lt;'01_Input'!$S$61,TEXT('01_Input'!$O$61/1000000,"0")&amp;" - "&amp;TEXT('01_Input'!$S$61/1000000,"0")&amp;"M€","&gt; "&amp;TEXT('01_Input'!$S$61/1000000,"0")&amp;"M€")))</f>
        <v>0 - 40M€</v>
      </c>
      <c r="G33" s="45" t="str">
        <f>IF(G$21&lt;'01_Input'!$K$61,"0 - "&amp;TEXT('01_Input'!$K$61/1000000,"0")&amp;"M€",IF(G$21&lt;'01_Input'!$O$61,TEXT('01_Input'!$K$61/1000000,"0")&amp;" - "&amp;TEXT('01_Input'!$O$61/1000000,"0")&amp;"M€",IF(G$21&lt;'01_Input'!$S$61,TEXT('01_Input'!$O$61/1000000,"0")&amp;" - "&amp;TEXT('01_Input'!$S$61/1000000,"0")&amp;"M€","&gt; "&amp;TEXT('01_Input'!$S$61/1000000,"0")&amp;"M€")))</f>
        <v>0 - 40M€</v>
      </c>
      <c r="H33" s="45" t="str">
        <f>IF(H$21&lt;'01_Input'!$K$61,"0 - "&amp;TEXT('01_Input'!$K$61/1000000,"0")&amp;"M€",IF(H$21&lt;'01_Input'!$O$61,TEXT('01_Input'!$K$61/1000000,"0")&amp;" - "&amp;TEXT('01_Input'!$O$61/1000000,"0")&amp;"M€",IF(H$21&lt;'01_Input'!$S$61,TEXT('01_Input'!$O$61/1000000,"0")&amp;" - "&amp;TEXT('01_Input'!$S$61/1000000,"0")&amp;"M€","&gt; "&amp;TEXT('01_Input'!$S$61/1000000,"0")&amp;"M€")))</f>
        <v>0 - 40M€</v>
      </c>
      <c r="I33" s="45" t="str">
        <f>IF(I$21&lt;'01_Input'!$K$61,"0 - "&amp;TEXT('01_Input'!$K$61/1000000,"0")&amp;"M€",IF(I$21&lt;'01_Input'!$O$61,TEXT('01_Input'!$K$61/1000000,"0")&amp;" - "&amp;TEXT('01_Input'!$O$61/1000000,"0")&amp;"M€",IF(I$21&lt;'01_Input'!$S$61,TEXT('01_Input'!$O$61/1000000,"0")&amp;" - "&amp;TEXT('01_Input'!$S$61/1000000,"0")&amp;"M€","&gt; "&amp;TEXT('01_Input'!$S$61/1000000,"0")&amp;"M€")))</f>
        <v>0 - 40M€</v>
      </c>
      <c r="J33" s="45" t="str">
        <f>IF(J$21&lt;'01_Input'!$K$61,"0 - "&amp;TEXT('01_Input'!$K$61/1000000,"0")&amp;"M€",IF(J$21&lt;'01_Input'!$O$61,TEXT('01_Input'!$K$61/1000000,"0")&amp;" - "&amp;TEXT('01_Input'!$O$61/1000000,"0")&amp;"M€",IF(J$21&lt;'01_Input'!$S$61,TEXT('01_Input'!$O$61/1000000,"0")&amp;" - "&amp;TEXT('01_Input'!$S$61/1000000,"0")&amp;"M€","&gt; "&amp;TEXT('01_Input'!$S$61/1000000,"0")&amp;"M€")))</f>
        <v>0 - 40M€</v>
      </c>
      <c r="K33" s="45" t="str">
        <f>IF(K$21&lt;'01_Input'!$K$61,"0 - "&amp;TEXT('01_Input'!$K$61/1000000,"0")&amp;"M€",IF(K$21&lt;'01_Input'!$O$61,TEXT('01_Input'!$K$61/1000000,"0")&amp;" - "&amp;TEXT('01_Input'!$O$61/1000000,"0")&amp;"M€",IF(K$21&lt;'01_Input'!$S$61,TEXT('01_Input'!$O$61/1000000,"0")&amp;" - "&amp;TEXT('01_Input'!$S$61/1000000,"0")&amp;"M€","&gt; "&amp;TEXT('01_Input'!$S$61/1000000,"0")&amp;"M€")))</f>
        <v>0 - 40M€</v>
      </c>
      <c r="L33" s="45" t="str">
        <f>IF(L$21&lt;'01_Input'!$K$61,"0 - "&amp;TEXT('01_Input'!$K$61/1000000,"0")&amp;"M€",IF(L$21&lt;'01_Input'!$O$61,TEXT('01_Input'!$K$61/1000000,"0")&amp;" - "&amp;TEXT('01_Input'!$O$61/1000000,"0")&amp;"M€",IF(L$21&lt;'01_Input'!$S$61,TEXT('01_Input'!$O$61/1000000,"0")&amp;" - "&amp;TEXT('01_Input'!$S$61/1000000,"0")&amp;"M€","&gt; "&amp;TEXT('01_Input'!$S$61/1000000,"0")&amp;"M€")))</f>
        <v>40 - 80M€</v>
      </c>
      <c r="M33" s="45" t="str">
        <f>IF(M$21&lt;'01_Input'!$K$61,"0 - "&amp;TEXT('01_Input'!$K$61/1000000,"0")&amp;"M€",IF(M$21&lt;'01_Input'!$O$61,TEXT('01_Input'!$K$61/1000000,"0")&amp;" - "&amp;TEXT('01_Input'!$O$61/1000000,"0")&amp;"M€",IF(M$21&lt;'01_Input'!$S$61,TEXT('01_Input'!$O$61/1000000,"0")&amp;" - "&amp;TEXT('01_Input'!$S$61/1000000,"0")&amp;"M€","&gt; "&amp;TEXT('01_Input'!$S$61/1000000,"0")&amp;"M€")))</f>
        <v>40 - 80M€</v>
      </c>
      <c r="N33" s="45" t="str">
        <f>IF(N$21&lt;'01_Input'!$K$61,"0 - "&amp;TEXT('01_Input'!$K$61/1000000,"0")&amp;"M€",IF(N$21&lt;'01_Input'!$O$61,TEXT('01_Input'!$K$61/1000000,"0")&amp;" - "&amp;TEXT('01_Input'!$O$61/1000000,"0")&amp;"M€",IF(N$21&lt;'01_Input'!$S$61,TEXT('01_Input'!$O$61/1000000,"0")&amp;" - "&amp;TEXT('01_Input'!$S$61/1000000,"0")&amp;"M€","&gt; "&amp;TEXT('01_Input'!$S$61/1000000,"0")&amp;"M€")))</f>
        <v>40 - 80M€</v>
      </c>
      <c r="O33" s="45" t="str">
        <f>IF(O$21&lt;'01_Input'!$K$61,"0 - "&amp;TEXT('01_Input'!$K$61/1000000,"0")&amp;"M€",IF(O$21&lt;'01_Input'!$O$61,TEXT('01_Input'!$K$61/1000000,"0")&amp;" - "&amp;TEXT('01_Input'!$O$61/1000000,"0")&amp;"M€",IF(O$21&lt;'01_Input'!$S$61,TEXT('01_Input'!$O$61/1000000,"0")&amp;" - "&amp;TEXT('01_Input'!$S$61/1000000,"0")&amp;"M€","&gt; "&amp;TEXT('01_Input'!$S$61/1000000,"0")&amp;"M€")))</f>
        <v>&gt; 120M€</v>
      </c>
      <c r="P33" s="45" t="str">
        <f>IF(P$21&lt;'01_Input'!$K$61,"0 - "&amp;TEXT('01_Input'!$K$61/1000000,"0")&amp;"M€",IF(P$21&lt;'01_Input'!$O$61,TEXT('01_Input'!$K$61/1000000,"0")&amp;" - "&amp;TEXT('01_Input'!$O$61/1000000,"0")&amp;"M€",IF(P$21&lt;'01_Input'!$S$61,TEXT('01_Input'!$O$61/1000000,"0")&amp;" - "&amp;TEXT('01_Input'!$S$61/1000000,"0")&amp;"M€","&gt; "&amp;TEXT('01_Input'!$S$61/1000000,"0")&amp;"M€")))</f>
        <v>&gt; 120M€</v>
      </c>
      <c r="Q33" s="45" t="str">
        <f>IF(Q$21&lt;'01_Input'!$K$61,"0 - "&amp;TEXT('01_Input'!$K$61/1000000,"0")&amp;"M€",IF(Q$21&lt;'01_Input'!$O$61,TEXT('01_Input'!$K$61/1000000,"0")&amp;" - "&amp;TEXT('01_Input'!$O$61/1000000,"0")&amp;"M€",IF(Q$21&lt;'01_Input'!$S$61,TEXT('01_Input'!$O$61/1000000,"0")&amp;" - "&amp;TEXT('01_Input'!$S$61/1000000,"0")&amp;"M€","&gt; "&amp;TEXT('01_Input'!$S$61/1000000,"0")&amp;"M€")))</f>
        <v>&gt; 120M€</v>
      </c>
      <c r="R33" s="45" t="str">
        <f>IF(R$21&lt;'01_Input'!$K$61,"0 - "&amp;TEXT('01_Input'!$K$61/1000000,"0")&amp;"M€",IF(R$21&lt;'01_Input'!$O$61,TEXT('01_Input'!$K$61/1000000,"0")&amp;" - "&amp;TEXT('01_Input'!$O$61/1000000,"0")&amp;"M€",IF(R$21&lt;'01_Input'!$S$61,TEXT('01_Input'!$O$61/1000000,"0")&amp;" - "&amp;TEXT('01_Input'!$S$61/1000000,"0")&amp;"M€","&gt; "&amp;TEXT('01_Input'!$S$61/1000000,"0")&amp;"M€")))</f>
        <v>&gt; 120M€</v>
      </c>
      <c r="S33" s="45" t="str">
        <f>IF(S$21&lt;'01_Input'!$K$61,"0 - "&amp;TEXT('01_Input'!$K$61/1000000,"0")&amp;"M€",IF(S$21&lt;'01_Input'!$O$61,TEXT('01_Input'!$K$61/1000000,"0")&amp;" - "&amp;TEXT('01_Input'!$O$61/1000000,"0")&amp;"M€",IF(S$21&lt;'01_Input'!$S$61,TEXT('01_Input'!$O$61/1000000,"0")&amp;" - "&amp;TEXT('01_Input'!$S$61/1000000,"0")&amp;"M€","&gt; "&amp;TEXT('01_Input'!$S$61/1000000,"0")&amp;"M€")))</f>
        <v>&gt; 120M€</v>
      </c>
      <c r="T33" s="45" t="str">
        <f>IF(T$21&lt;'01_Input'!$K$61,"0 - "&amp;TEXT('01_Input'!$K$61/1000000,"0")&amp;"M€",IF(T$21&lt;'01_Input'!$O$61,TEXT('01_Input'!$K$61/1000000,"0")&amp;" - "&amp;TEXT('01_Input'!$O$61/1000000,"0")&amp;"M€",IF(T$21&lt;'01_Input'!$S$61,TEXT('01_Input'!$O$61/1000000,"0")&amp;" - "&amp;TEXT('01_Input'!$S$61/1000000,"0")&amp;"M€","&gt; "&amp;TEXT('01_Input'!$S$61/1000000,"0")&amp;"M€")))</f>
        <v>&gt; 120M€</v>
      </c>
      <c r="U33" s="45" t="str">
        <f>IF(U$21&lt;'01_Input'!$K$61,"0 - "&amp;TEXT('01_Input'!$K$61/1000000,"0")&amp;"M€",IF(U$21&lt;'01_Input'!$O$61,TEXT('01_Input'!$K$61/1000000,"0")&amp;" - "&amp;TEXT('01_Input'!$O$61/1000000,"0")&amp;"M€",IF(U$21&lt;'01_Input'!$S$61,TEXT('01_Input'!$O$61/1000000,"0")&amp;" - "&amp;TEXT('01_Input'!$S$61/1000000,"0")&amp;"M€","&gt; "&amp;TEXT('01_Input'!$S$61/1000000,"0")&amp;"M€")))</f>
        <v>&gt; 120M€</v>
      </c>
      <c r="V33" s="45" t="str">
        <f>IF(V$21&lt;'01_Input'!$K$61,"0 - "&amp;TEXT('01_Input'!$K$61/1000000,"0")&amp;"M€",IF(V$21&lt;'01_Input'!$O$61,TEXT('01_Input'!$K$61/1000000,"0")&amp;" - "&amp;TEXT('01_Input'!$O$61/1000000,"0")&amp;"M€",IF(V$21&lt;'01_Input'!$S$61,TEXT('01_Input'!$O$61/1000000,"0")&amp;" - "&amp;TEXT('01_Input'!$S$61/1000000,"0")&amp;"M€","&gt; "&amp;TEXT('01_Input'!$S$61/1000000,"0")&amp;"M€")))</f>
        <v>&gt; 120M€</v>
      </c>
      <c r="W33" s="45" t="str">
        <f>IF(W$21&lt;'01_Input'!$K$61,"0 - "&amp;TEXT('01_Input'!$K$61/1000000,"0")&amp;"M€",IF(W$21&lt;'01_Input'!$O$61,TEXT('01_Input'!$K$61/1000000,"0")&amp;" - "&amp;TEXT('01_Input'!$O$61/1000000,"0")&amp;"M€",IF(W$21&lt;'01_Input'!$S$61,TEXT('01_Input'!$O$61/1000000,"0")&amp;" - "&amp;TEXT('01_Input'!$S$61/1000000,"0")&amp;"M€","&gt; "&amp;TEXT('01_Input'!$S$61/1000000,"0")&amp;"M€")))</f>
        <v>&gt; 120M€</v>
      </c>
      <c r="X33" s="45" t="str">
        <f>IF(X$21&lt;'01_Input'!$K$61,"0 - "&amp;TEXT('01_Input'!$K$61/1000000,"0")&amp;"M€",IF(X$21&lt;'01_Input'!$O$61,TEXT('01_Input'!$K$61/1000000,"0")&amp;" - "&amp;TEXT('01_Input'!$O$61/1000000,"0")&amp;"M€",IF(X$21&lt;'01_Input'!$S$61,TEXT('01_Input'!$O$61/1000000,"0")&amp;" - "&amp;TEXT('01_Input'!$S$61/1000000,"0")&amp;"M€","&gt; "&amp;TEXT('01_Input'!$S$61/1000000,"0")&amp;"M€")))</f>
        <v>&gt; 120M€</v>
      </c>
      <c r="Y33" s="45" t="str">
        <f>IF(Y$21&lt;'01_Input'!$K$61,"0 - "&amp;TEXT('01_Input'!$K$61/1000000,"0")&amp;"M€",IF(Y$21&lt;'01_Input'!$O$61,TEXT('01_Input'!$K$61/1000000,"0")&amp;" - "&amp;TEXT('01_Input'!$O$61/1000000,"0")&amp;"M€",IF(Y$21&lt;'01_Input'!$S$61,TEXT('01_Input'!$O$61/1000000,"0")&amp;" - "&amp;TEXT('01_Input'!$S$61/1000000,"0")&amp;"M€","&gt; "&amp;TEXT('01_Input'!$S$61/1000000,"0")&amp;"M€")))</f>
        <v>&gt; 120M€</v>
      </c>
      <c r="Z33" s="45" t="str">
        <f>IF(Z$21&lt;'01_Input'!$K$61,"0 - "&amp;TEXT('01_Input'!$K$61/1000000,"0")&amp;"M€",IF(Z$21&lt;'01_Input'!$O$61,TEXT('01_Input'!$K$61/1000000,"0")&amp;" - "&amp;TEXT('01_Input'!$O$61/1000000,"0")&amp;"M€",IF(Z$21&lt;'01_Input'!$S$61,TEXT('01_Input'!$O$61/1000000,"0")&amp;" - "&amp;TEXT('01_Input'!$S$61/1000000,"0")&amp;"M€","&gt; "&amp;TEXT('01_Input'!$S$61/1000000,"0")&amp;"M€")))</f>
        <v>&gt; 120M€</v>
      </c>
      <c r="AA33" s="45" t="str">
        <f>IF(AA$21&lt;'01_Input'!$K$61,"0 - "&amp;TEXT('01_Input'!$K$61/1000000,"0")&amp;"M€",IF(AA$21&lt;'01_Input'!$O$61,TEXT('01_Input'!$K$61/1000000,"0")&amp;" - "&amp;TEXT('01_Input'!$O$61/1000000,"0")&amp;"M€",IF(AA$21&lt;'01_Input'!$S$61,TEXT('01_Input'!$O$61/1000000,"0")&amp;" - "&amp;TEXT('01_Input'!$S$61/1000000,"0")&amp;"M€","&gt; "&amp;TEXT('01_Input'!$S$61/1000000,"0")&amp;"M€")))</f>
        <v>&gt; 120M€</v>
      </c>
      <c r="AB33" s="45" t="str">
        <f>IF(AB$21&lt;'01_Input'!$K$61,"0 - "&amp;TEXT('01_Input'!$K$61/1000000,"0")&amp;"M€",IF(AB$21&lt;'01_Input'!$O$61,TEXT('01_Input'!$K$61/1000000,"0")&amp;" - "&amp;TEXT('01_Input'!$O$61/1000000,"0")&amp;"M€",IF(AB$21&lt;'01_Input'!$S$61,TEXT('01_Input'!$O$61/1000000,"0")&amp;" - "&amp;TEXT('01_Input'!$S$61/1000000,"0")&amp;"M€","&gt; "&amp;TEXT('01_Input'!$S$61/1000000,"0")&amp;"M€")))</f>
        <v>&gt; 120M€</v>
      </c>
      <c r="AC33" s="45" t="str">
        <f>IF(AC$21&lt;'01_Input'!$K$61,"0 - "&amp;TEXT('01_Input'!$K$61/1000000,"0")&amp;"M€",IF(AC$21&lt;'01_Input'!$O$61,TEXT('01_Input'!$K$61/1000000,"0")&amp;" - "&amp;TEXT('01_Input'!$O$61/1000000,"0")&amp;"M€",IF(AC$21&lt;'01_Input'!$S$61,TEXT('01_Input'!$O$61/1000000,"0")&amp;" - "&amp;TEXT('01_Input'!$S$61/1000000,"0")&amp;"M€","&gt; "&amp;TEXT('01_Input'!$S$61/1000000,"0")&amp;"M€")))</f>
        <v>&gt; 120M€</v>
      </c>
      <c r="AD33" s="45" t="str">
        <f>IF(AD$21&lt;'01_Input'!$K$61,"0 - "&amp;TEXT('01_Input'!$K$61/1000000,"0")&amp;"M€",IF(AD$21&lt;'01_Input'!$O$61,TEXT('01_Input'!$K$61/1000000,"0")&amp;" - "&amp;TEXT('01_Input'!$O$61/1000000,"0")&amp;"M€",IF(AD$21&lt;'01_Input'!$S$61,TEXT('01_Input'!$O$61/1000000,"0")&amp;" - "&amp;TEXT('01_Input'!$S$61/1000000,"0")&amp;"M€","&gt; "&amp;TEXT('01_Input'!$S$61/1000000,"0")&amp;"M€")))</f>
        <v>&gt; 120M€</v>
      </c>
      <c r="AE33" s="45" t="str">
        <f>IF(AE$21&lt;'01_Input'!$K$61,"0 - "&amp;TEXT('01_Input'!$K$61/1000000,"0")&amp;"M€",IF(AE$21&lt;'01_Input'!$O$61,TEXT('01_Input'!$K$61/1000000,"0")&amp;" - "&amp;TEXT('01_Input'!$O$61/1000000,"0")&amp;"M€",IF(AE$21&lt;'01_Input'!$S$61,TEXT('01_Input'!$O$61/1000000,"0")&amp;" - "&amp;TEXT('01_Input'!$S$61/1000000,"0")&amp;"M€","&gt; "&amp;TEXT('01_Input'!$S$61/1000000,"0")&amp;"M€")))</f>
        <v>&gt; 120M€</v>
      </c>
      <c r="AF33" s="45" t="str">
        <f>IF(AF$21&lt;'01_Input'!$K$61,"0 - "&amp;TEXT('01_Input'!$K$61/1000000,"0")&amp;"M€",IF(AF$21&lt;'01_Input'!$O$61,TEXT('01_Input'!$K$61/1000000,"0")&amp;" - "&amp;TEXT('01_Input'!$O$61/1000000,"0")&amp;"M€",IF(AF$21&lt;'01_Input'!$S$61,TEXT('01_Input'!$O$61/1000000,"0")&amp;" - "&amp;TEXT('01_Input'!$S$61/1000000,"0")&amp;"M€","&gt; "&amp;TEXT('01_Input'!$S$61/1000000,"0")&amp;"M€")))</f>
        <v>&gt; 120M€</v>
      </c>
      <c r="AG33" s="45" t="str">
        <f>IF(AG$21&lt;'01_Input'!$K$61,"0 - "&amp;TEXT('01_Input'!$K$61/1000000,"0")&amp;"M€",IF(AG$21&lt;'01_Input'!$O$61,TEXT('01_Input'!$K$61/1000000,"0")&amp;" - "&amp;TEXT('01_Input'!$O$61/1000000,"0")&amp;"M€",IF(AG$21&lt;'01_Input'!$S$61,TEXT('01_Input'!$O$61/1000000,"0")&amp;" - "&amp;TEXT('01_Input'!$S$61/1000000,"0")&amp;"M€","&gt; "&amp;TEXT('01_Input'!$S$61/1000000,"0")&amp;"M€")))</f>
        <v>&gt; 120M€</v>
      </c>
      <c r="AH33" s="45" t="str">
        <f>IF(AH$21&lt;'01_Input'!$K$61,"0 - "&amp;TEXT('01_Input'!$K$61/1000000,"0")&amp;"M€",IF(AH$21&lt;'01_Input'!$O$61,TEXT('01_Input'!$K$61/1000000,"0")&amp;" - "&amp;TEXT('01_Input'!$O$61/1000000,"0")&amp;"M€",IF(AH$21&lt;'01_Input'!$S$61,TEXT('01_Input'!$O$61/1000000,"0")&amp;" - "&amp;TEXT('01_Input'!$S$61/1000000,"0")&amp;"M€","&gt; "&amp;TEXT('01_Input'!$S$61/1000000,"0")&amp;"M€")))</f>
        <v>&gt; 120M€</v>
      </c>
      <c r="AI33" s="45" t="str">
        <f>IF(AI$21&lt;'01_Input'!$K$61,"0 - "&amp;TEXT('01_Input'!$K$61/1000000,"0")&amp;"M€",IF(AI$21&lt;'01_Input'!$O$61,TEXT('01_Input'!$K$61/1000000,"0")&amp;" - "&amp;TEXT('01_Input'!$O$61/1000000,"0")&amp;"M€",IF(AI$21&lt;'01_Input'!$S$61,TEXT('01_Input'!$O$61/1000000,"0")&amp;" - "&amp;TEXT('01_Input'!$S$61/1000000,"0")&amp;"M€","&gt; "&amp;TEXT('01_Input'!$S$61/1000000,"0")&amp;"M€")))</f>
        <v>&gt; 120M€</v>
      </c>
      <c r="AJ33" s="45" t="str">
        <f>IF(AJ$21&lt;'01_Input'!$K$61,"0 - "&amp;TEXT('01_Input'!$K$61/1000000,"0")&amp;"M€",IF(AJ$21&lt;'01_Input'!$O$61,TEXT('01_Input'!$K$61/1000000,"0")&amp;" - "&amp;TEXT('01_Input'!$O$61/1000000,"0")&amp;"M€",IF(AJ$21&lt;'01_Input'!$S$61,TEXT('01_Input'!$O$61/1000000,"0")&amp;" - "&amp;TEXT('01_Input'!$S$61/1000000,"0")&amp;"M€","&gt; "&amp;TEXT('01_Input'!$S$61/1000000,"0")&amp;"M€")))</f>
        <v>&gt; 120M€</v>
      </c>
      <c r="AK33" s="45" t="str">
        <f>IF(AK$21&lt;'01_Input'!$K$61,"0 - "&amp;TEXT('01_Input'!$K$61/1000000,"0")&amp;"M€",IF(AK$21&lt;'01_Input'!$O$61,TEXT('01_Input'!$K$61/1000000,"0")&amp;" - "&amp;TEXT('01_Input'!$O$61/1000000,"0")&amp;"M€",IF(AK$21&lt;'01_Input'!$S$61,TEXT('01_Input'!$O$61/1000000,"0")&amp;" - "&amp;TEXT('01_Input'!$S$61/1000000,"0")&amp;"M€","&gt; "&amp;TEXT('01_Input'!$S$61/1000000,"0")&amp;"M€")))</f>
        <v>&gt; 120M€</v>
      </c>
      <c r="AL33" s="45" t="str">
        <f>IF(AL$21&lt;'01_Input'!$K$61,"0 - "&amp;TEXT('01_Input'!$K$61/1000000,"0")&amp;"M€",IF(AL$21&lt;'01_Input'!$O$61,TEXT('01_Input'!$K$61/1000000,"0")&amp;" - "&amp;TEXT('01_Input'!$O$61/1000000,"0")&amp;"M€",IF(AL$21&lt;'01_Input'!$S$61,TEXT('01_Input'!$O$61/1000000,"0")&amp;" - "&amp;TEXT('01_Input'!$S$61/1000000,"0")&amp;"M€","&gt; "&amp;TEXT('01_Input'!$S$61/1000000,"0")&amp;"M€")))</f>
        <v>&gt; 120M€</v>
      </c>
      <c r="AM33" s="45" t="str">
        <f>IF(AM$21&lt;'01_Input'!$K$61,"0 - "&amp;TEXT('01_Input'!$K$61/1000000,"0")&amp;"M€",IF(AM$21&lt;'01_Input'!$O$61,TEXT('01_Input'!$K$61/1000000,"0")&amp;" - "&amp;TEXT('01_Input'!$O$61/1000000,"0")&amp;"M€",IF(AM$21&lt;'01_Input'!$S$61,TEXT('01_Input'!$O$61/1000000,"0")&amp;" - "&amp;TEXT('01_Input'!$S$61/1000000,"0")&amp;"M€","&gt; "&amp;TEXT('01_Input'!$S$61/1000000,"0")&amp;"M€")))</f>
        <v>&gt; 120M€</v>
      </c>
      <c r="AN33" s="45" t="str">
        <f>IF(AN$21&lt;'01_Input'!$K$61,"0 - "&amp;TEXT('01_Input'!$K$61/1000000,"0")&amp;"M€",IF(AN$21&lt;'01_Input'!$O$61,TEXT('01_Input'!$K$61/1000000,"0")&amp;" - "&amp;TEXT('01_Input'!$O$61/1000000,"0")&amp;"M€",IF(AN$21&lt;'01_Input'!$S$61,TEXT('01_Input'!$O$61/1000000,"0")&amp;" - "&amp;TEXT('01_Input'!$S$61/1000000,"0")&amp;"M€","&gt; "&amp;TEXT('01_Input'!$S$61/1000000,"0")&amp;"M€")))</f>
        <v>&gt; 120M€</v>
      </c>
      <c r="AO33" s="45" t="str">
        <f>IF(AO$21&lt;'01_Input'!$K$61,"0 - "&amp;TEXT('01_Input'!$K$61/1000000,"0")&amp;"M€",IF(AO$21&lt;'01_Input'!$O$61,TEXT('01_Input'!$K$61/1000000,"0")&amp;" - "&amp;TEXT('01_Input'!$O$61/1000000,"0")&amp;"M€",IF(AO$21&lt;'01_Input'!$S$61,TEXT('01_Input'!$O$61/1000000,"0")&amp;" - "&amp;TEXT('01_Input'!$S$61/1000000,"0")&amp;"M€","&gt; "&amp;TEXT('01_Input'!$S$61/1000000,"0")&amp;"M€")))</f>
        <v>&gt; 120M€</v>
      </c>
      <c r="AP33" s="45" t="str">
        <f>IF(AP$21&lt;'01_Input'!$K$61,"0 - "&amp;TEXT('01_Input'!$K$61/1000000,"0")&amp;"M€",IF(AP$21&lt;'01_Input'!$O$61,TEXT('01_Input'!$K$61/1000000,"0")&amp;" - "&amp;TEXT('01_Input'!$O$61/1000000,"0")&amp;"M€",IF(AP$21&lt;'01_Input'!$S$61,TEXT('01_Input'!$O$61/1000000,"0")&amp;" - "&amp;TEXT('01_Input'!$S$61/1000000,"0")&amp;"M€","&gt; "&amp;TEXT('01_Input'!$S$61/1000000,"0")&amp;"M€")))</f>
        <v>&gt; 120M€</v>
      </c>
      <c r="AQ33" s="45" t="str">
        <f>IF(AQ$21&lt;'01_Input'!$K$61,"0 - "&amp;TEXT('01_Input'!$K$61/1000000,"0")&amp;"M€",IF(AQ$21&lt;'01_Input'!$O$61,TEXT('01_Input'!$K$61/1000000,"0")&amp;" - "&amp;TEXT('01_Input'!$O$61/1000000,"0")&amp;"M€",IF(AQ$21&lt;'01_Input'!$S$61,TEXT('01_Input'!$O$61/1000000,"0")&amp;" - "&amp;TEXT('01_Input'!$S$61/1000000,"0")&amp;"M€","&gt; "&amp;TEXT('01_Input'!$S$61/1000000,"0")&amp;"M€")))</f>
        <v>&gt; 120M€</v>
      </c>
      <c r="AR33" s="45" t="str">
        <f>IF(AR$21&lt;'01_Input'!$K$61,"0 - "&amp;TEXT('01_Input'!$K$61/1000000,"0")&amp;"M€",IF(AR$21&lt;'01_Input'!$O$61,TEXT('01_Input'!$K$61/1000000,"0")&amp;" - "&amp;TEXT('01_Input'!$O$61/1000000,"0")&amp;"M€",IF(AR$21&lt;'01_Input'!$S$61,TEXT('01_Input'!$O$61/1000000,"0")&amp;" - "&amp;TEXT('01_Input'!$S$61/1000000,"0")&amp;"M€","&gt; "&amp;TEXT('01_Input'!$S$61/1000000,"0")&amp;"M€")))</f>
        <v>&gt; 120M€</v>
      </c>
      <c r="AS33" s="45" t="str">
        <f>IF(AS$21&lt;'01_Input'!$K$61,"0 - "&amp;TEXT('01_Input'!$K$61/1000000,"0")&amp;"M€",IF(AS$21&lt;'01_Input'!$O$61,TEXT('01_Input'!$K$61/1000000,"0")&amp;" - "&amp;TEXT('01_Input'!$O$61/1000000,"0")&amp;"M€",IF(AS$21&lt;'01_Input'!$S$61,TEXT('01_Input'!$O$61/1000000,"0")&amp;" - "&amp;TEXT('01_Input'!$S$61/1000000,"0")&amp;"M€","&gt; "&amp;TEXT('01_Input'!$S$61/1000000,"0")&amp;"M€")))</f>
        <v>&gt; 120M€</v>
      </c>
      <c r="AT33" s="45" t="str">
        <f>IF(AT$21&lt;'01_Input'!$K$61,"0 - "&amp;TEXT('01_Input'!$K$61/1000000,"0")&amp;"M€",IF(AT$21&lt;'01_Input'!$O$61,TEXT('01_Input'!$K$61/1000000,"0")&amp;" - "&amp;TEXT('01_Input'!$O$61/1000000,"0")&amp;"M€",IF(AT$21&lt;'01_Input'!$S$61,TEXT('01_Input'!$O$61/1000000,"0")&amp;" - "&amp;TEXT('01_Input'!$S$61/1000000,"0")&amp;"M€","&gt; "&amp;TEXT('01_Input'!$S$61/1000000,"0")&amp;"M€")))</f>
        <v>&gt; 120M€</v>
      </c>
      <c r="AU33" s="45" t="str">
        <f>IF(AU$21&lt;'01_Input'!$K$61,"0 - "&amp;TEXT('01_Input'!$K$61/1000000,"0")&amp;"M€",IF(AU$21&lt;'01_Input'!$O$61,TEXT('01_Input'!$K$61/1000000,"0")&amp;" - "&amp;TEXT('01_Input'!$O$61/1000000,"0")&amp;"M€",IF(AU$21&lt;'01_Input'!$S$61,TEXT('01_Input'!$O$61/1000000,"0")&amp;" - "&amp;TEXT('01_Input'!$S$61/1000000,"0")&amp;"M€","&gt; "&amp;TEXT('01_Input'!$S$61/1000000,"0")&amp;"M€")))</f>
        <v>&gt; 120M€</v>
      </c>
      <c r="AV33" s="45" t="str">
        <f>IF(AV$21&lt;'01_Input'!$K$61,"0 - "&amp;TEXT('01_Input'!$K$61/1000000,"0")&amp;"M€",IF(AV$21&lt;'01_Input'!$O$61,TEXT('01_Input'!$K$61/1000000,"0")&amp;" - "&amp;TEXT('01_Input'!$O$61/1000000,"0")&amp;"M€",IF(AV$21&lt;'01_Input'!$S$61,TEXT('01_Input'!$O$61/1000000,"0")&amp;" - "&amp;TEXT('01_Input'!$S$61/1000000,"0")&amp;"M€","&gt; "&amp;TEXT('01_Input'!$S$61/1000000,"0")&amp;"M€")))</f>
        <v>&gt; 120M€</v>
      </c>
      <c r="AW33" s="45" t="str">
        <f>IF(AW$21&lt;'01_Input'!$K$61,"0 - "&amp;TEXT('01_Input'!$K$61/1000000,"0")&amp;"M€",IF(AW$21&lt;'01_Input'!$O$61,TEXT('01_Input'!$K$61/1000000,"0")&amp;" - "&amp;TEXT('01_Input'!$O$61/1000000,"0")&amp;"M€",IF(AW$21&lt;'01_Input'!$S$61,TEXT('01_Input'!$O$61/1000000,"0")&amp;" - "&amp;TEXT('01_Input'!$S$61/1000000,"0")&amp;"M€","&gt; "&amp;TEXT('01_Input'!$S$61/1000000,"0")&amp;"M€")))</f>
        <v>&gt; 120M€</v>
      </c>
      <c r="AX33" s="45" t="str">
        <f>IF(AX$21&lt;'01_Input'!$K$61,"0 - "&amp;TEXT('01_Input'!$K$61/1000000,"0")&amp;"M€",IF(AX$21&lt;'01_Input'!$O$61,TEXT('01_Input'!$K$61/1000000,"0")&amp;" - "&amp;TEXT('01_Input'!$O$61/1000000,"0")&amp;"M€",IF(AX$21&lt;'01_Input'!$S$61,TEXT('01_Input'!$O$61/1000000,"0")&amp;" - "&amp;TEXT('01_Input'!$S$61/1000000,"0")&amp;"M€","&gt; "&amp;TEXT('01_Input'!$S$61/1000000,"0")&amp;"M€")))</f>
        <v>&gt; 120M€</v>
      </c>
      <c r="AY33" s="45" t="str">
        <f>IF(AY$21&lt;'01_Input'!$K$61,"0 - "&amp;TEXT('01_Input'!$K$61/1000000,"0")&amp;"M€",IF(AY$21&lt;'01_Input'!$O$61,TEXT('01_Input'!$K$61/1000000,"0")&amp;" - "&amp;TEXT('01_Input'!$O$61/1000000,"0")&amp;"M€",IF(AY$21&lt;'01_Input'!$S$61,TEXT('01_Input'!$O$61/1000000,"0")&amp;" - "&amp;TEXT('01_Input'!$S$61/1000000,"0")&amp;"M€","&gt; "&amp;TEXT('01_Input'!$S$61/1000000,"0")&amp;"M€")))</f>
        <v>&gt; 120M€</v>
      </c>
      <c r="AZ33" s="45" t="str">
        <f>IF(AZ$21&lt;'01_Input'!$K$61,"0 - "&amp;TEXT('01_Input'!$K$61/1000000,"0")&amp;"M€",IF(AZ$21&lt;'01_Input'!$O$61,TEXT('01_Input'!$K$61/1000000,"0")&amp;" - "&amp;TEXT('01_Input'!$O$61/1000000,"0")&amp;"M€",IF(AZ$21&lt;'01_Input'!$S$61,TEXT('01_Input'!$O$61/1000000,"0")&amp;" - "&amp;TEXT('01_Input'!$S$61/1000000,"0")&amp;"M€","&gt; "&amp;TEXT('01_Input'!$S$61/1000000,"0")&amp;"M€")))</f>
        <v>&gt; 120M€</v>
      </c>
      <c r="BA33" s="45" t="str">
        <f>IF(BA$21&lt;'01_Input'!$K$61,"0 - "&amp;TEXT('01_Input'!$K$61/1000000,"0")&amp;"M€",IF(BA$21&lt;'01_Input'!$O$61,TEXT('01_Input'!$K$61/1000000,"0")&amp;" - "&amp;TEXT('01_Input'!$O$61/1000000,"0")&amp;"M€",IF(BA$21&lt;'01_Input'!$S$61,TEXT('01_Input'!$O$61/1000000,"0")&amp;" - "&amp;TEXT('01_Input'!$S$61/1000000,"0")&amp;"M€","&gt; "&amp;TEXT('01_Input'!$S$61/1000000,"0")&amp;"M€")))</f>
        <v>&gt; 120M€</v>
      </c>
      <c r="BB33" s="45" t="str">
        <f>IF(BB$21&lt;'01_Input'!$K$61,"0 - "&amp;TEXT('01_Input'!$K$61/1000000,"0")&amp;"M€",IF(BB$21&lt;'01_Input'!$O$61,TEXT('01_Input'!$K$61/1000000,"0")&amp;" - "&amp;TEXT('01_Input'!$O$61/1000000,"0")&amp;"M€",IF(BB$21&lt;'01_Input'!$S$61,TEXT('01_Input'!$O$61/1000000,"0")&amp;" - "&amp;TEXT('01_Input'!$S$61/1000000,"0")&amp;"M€","&gt; "&amp;TEXT('01_Input'!$S$61/1000000,"0")&amp;"M€")))</f>
        <v>&gt; 120M€</v>
      </c>
      <c r="BC33" s="45" t="str">
        <f>IF(BC$21&lt;'01_Input'!$K$61,"0 - "&amp;TEXT('01_Input'!$K$61/1000000,"0")&amp;"M€",IF(BC$21&lt;'01_Input'!$O$61,TEXT('01_Input'!$K$61/1000000,"0")&amp;" - "&amp;TEXT('01_Input'!$O$61/1000000,"0")&amp;"M€",IF(BC$21&lt;'01_Input'!$S$61,TEXT('01_Input'!$O$61/1000000,"0")&amp;" - "&amp;TEXT('01_Input'!$S$61/1000000,"0")&amp;"M€","&gt; "&amp;TEXT('01_Input'!$S$61/1000000,"0")&amp;"M€")))</f>
        <v>&gt; 120M€</v>
      </c>
      <c r="BD33" s="45" t="str">
        <f>IF(BD$21&lt;'01_Input'!$K$61,"0 - "&amp;TEXT('01_Input'!$K$61/1000000,"0")&amp;"M€",IF(BD$21&lt;'01_Input'!$O$61,TEXT('01_Input'!$K$61/1000000,"0")&amp;" - "&amp;TEXT('01_Input'!$O$61/1000000,"0")&amp;"M€",IF(BD$21&lt;'01_Input'!$S$61,TEXT('01_Input'!$O$61/1000000,"0")&amp;" - "&amp;TEXT('01_Input'!$S$61/1000000,"0")&amp;"M€","&gt; "&amp;TEXT('01_Input'!$S$61/1000000,"0")&amp;"M€")))</f>
        <v>&gt; 120M€</v>
      </c>
      <c r="BE33" s="45" t="str">
        <f>IF(BE$21&lt;'01_Input'!$K$61,"0 - "&amp;TEXT('01_Input'!$K$61/1000000,"0")&amp;"M€",IF(BE$21&lt;'01_Input'!$O$61,TEXT('01_Input'!$K$61/1000000,"0")&amp;" - "&amp;TEXT('01_Input'!$O$61/1000000,"0")&amp;"M€",IF(BE$21&lt;'01_Input'!$S$61,TEXT('01_Input'!$O$61/1000000,"0")&amp;" - "&amp;TEXT('01_Input'!$S$61/1000000,"0")&amp;"M€","&gt; "&amp;TEXT('01_Input'!$S$61/1000000,"0")&amp;"M€")))</f>
        <v>&gt; 120M€</v>
      </c>
      <c r="BF33" s="45" t="str">
        <f>IF(BF$21&lt;'01_Input'!$K$61,"0 - "&amp;TEXT('01_Input'!$K$61/1000000,"0")&amp;"M€",IF(BF$21&lt;'01_Input'!$O$61,TEXT('01_Input'!$K$61/1000000,"0")&amp;" - "&amp;TEXT('01_Input'!$O$61/1000000,"0")&amp;"M€",IF(BF$21&lt;'01_Input'!$S$61,TEXT('01_Input'!$O$61/1000000,"0")&amp;" - "&amp;TEXT('01_Input'!$S$61/1000000,"0")&amp;"M€","&gt; "&amp;TEXT('01_Input'!$S$61/1000000,"0")&amp;"M€")))</f>
        <v>&gt; 120M€</v>
      </c>
      <c r="BG33" s="45" t="str">
        <f>IF(BG$21&lt;'01_Input'!$K$61,"0 - "&amp;TEXT('01_Input'!$K$61/1000000,"0")&amp;"M€",IF(BG$21&lt;'01_Input'!$O$61,TEXT('01_Input'!$K$61/1000000,"0")&amp;" - "&amp;TEXT('01_Input'!$O$61/1000000,"0")&amp;"M€",IF(BG$21&lt;'01_Input'!$S$61,TEXT('01_Input'!$O$61/1000000,"0")&amp;" - "&amp;TEXT('01_Input'!$S$61/1000000,"0")&amp;"M€","&gt; "&amp;TEXT('01_Input'!$S$61/1000000,"0")&amp;"M€")))</f>
        <v>&gt; 120M€</v>
      </c>
      <c r="BH33" s="45" t="str">
        <f>IF(BH$21&lt;'01_Input'!$K$61,"0 - "&amp;TEXT('01_Input'!$K$61/1000000,"0")&amp;"M€",IF(BH$21&lt;'01_Input'!$O$61,TEXT('01_Input'!$K$61/1000000,"0")&amp;" - "&amp;TEXT('01_Input'!$O$61/1000000,"0")&amp;"M€",IF(BH$21&lt;'01_Input'!$S$61,TEXT('01_Input'!$O$61/1000000,"0")&amp;" - "&amp;TEXT('01_Input'!$S$61/1000000,"0")&amp;"M€","&gt; "&amp;TEXT('01_Input'!$S$61/1000000,"0")&amp;"M€")))</f>
        <v>&gt; 120M€</v>
      </c>
      <c r="BI33" s="45" t="str">
        <f>IF(BI$21&lt;'01_Input'!$K$61,"0 - "&amp;TEXT('01_Input'!$K$61/1000000,"0")&amp;"M€",IF(BI$21&lt;'01_Input'!$O$61,TEXT('01_Input'!$K$61/1000000,"0")&amp;" - "&amp;TEXT('01_Input'!$O$61/1000000,"0")&amp;"M€",IF(BI$21&lt;'01_Input'!$S$61,TEXT('01_Input'!$O$61/1000000,"0")&amp;" - "&amp;TEXT('01_Input'!$S$61/1000000,"0")&amp;"M€","&gt; "&amp;TEXT('01_Input'!$S$61/1000000,"0")&amp;"M€")))</f>
        <v>&gt; 120M€</v>
      </c>
      <c r="BJ33" s="45" t="str">
        <f>IF(BJ$21&lt;'01_Input'!$K$61,"0 - "&amp;TEXT('01_Input'!$K$61/1000000,"0")&amp;"M€",IF(BJ$21&lt;'01_Input'!$O$61,TEXT('01_Input'!$K$61/1000000,"0")&amp;" - "&amp;TEXT('01_Input'!$O$61/1000000,"0")&amp;"M€",IF(BJ$21&lt;'01_Input'!$S$61,TEXT('01_Input'!$O$61/1000000,"0")&amp;" - "&amp;TEXT('01_Input'!$S$61/1000000,"0")&amp;"M€","&gt; "&amp;TEXT('01_Input'!$S$61/1000000,"0")&amp;"M€")))</f>
        <v>&gt; 120M€</v>
      </c>
      <c r="BK33" s="45" t="str">
        <f>IF(BK$21&lt;'01_Input'!$K$61,"0 - "&amp;TEXT('01_Input'!$K$61/1000000,"0")&amp;"M€",IF(BK$21&lt;'01_Input'!$O$61,TEXT('01_Input'!$K$61/1000000,"0")&amp;" - "&amp;TEXT('01_Input'!$O$61/1000000,"0")&amp;"M€",IF(BK$21&lt;'01_Input'!$S$61,TEXT('01_Input'!$O$61/1000000,"0")&amp;" - "&amp;TEXT('01_Input'!$S$61/1000000,"0")&amp;"M€","&gt; "&amp;TEXT('01_Input'!$S$61/1000000,"0")&amp;"M€")))</f>
        <v>&gt; 120M€</v>
      </c>
      <c r="BL33" s="45" t="str">
        <f>IF(BL$21&lt;'01_Input'!$K$61,"0 - "&amp;TEXT('01_Input'!$K$61/1000000,"0")&amp;"M€",IF(BL$21&lt;'01_Input'!$O$61,TEXT('01_Input'!$K$61/1000000,"0")&amp;" - "&amp;TEXT('01_Input'!$O$61/1000000,"0")&amp;"M€",IF(BL$21&lt;'01_Input'!$S$61,TEXT('01_Input'!$O$61/1000000,"0")&amp;" - "&amp;TEXT('01_Input'!$S$61/1000000,"0")&amp;"M€","&gt; "&amp;TEXT('01_Input'!$S$61/1000000,"0")&amp;"M€")))</f>
        <v>&gt; 120M€</v>
      </c>
      <c r="BM33" s="45" t="str">
        <f>IF(BM$21&lt;'01_Input'!$K$61,"0 - "&amp;TEXT('01_Input'!$K$61/1000000,"0")&amp;"M€",IF(BM$21&lt;'01_Input'!$O$61,TEXT('01_Input'!$K$61/1000000,"0")&amp;" - "&amp;TEXT('01_Input'!$O$61/1000000,"0")&amp;"M€",IF(BM$21&lt;'01_Input'!$S$61,TEXT('01_Input'!$O$61/1000000,"0")&amp;" - "&amp;TEXT('01_Input'!$S$61/1000000,"0")&amp;"M€","&gt; "&amp;TEXT('01_Input'!$S$61/1000000,"0")&amp;"M€")))</f>
        <v>&gt; 120M€</v>
      </c>
      <c r="BN33" s="45" t="str">
        <f>IF(BN$21&lt;'01_Input'!$K$61,"0 - "&amp;TEXT('01_Input'!$K$61/1000000,"0")&amp;"M€",IF(BN$21&lt;'01_Input'!$O$61,TEXT('01_Input'!$K$61/1000000,"0")&amp;" - "&amp;TEXT('01_Input'!$O$61/1000000,"0")&amp;"M€",IF(BN$21&lt;'01_Input'!$S$61,TEXT('01_Input'!$O$61/1000000,"0")&amp;" - "&amp;TEXT('01_Input'!$S$61/1000000,"0")&amp;"M€","&gt; "&amp;TEXT('01_Input'!$S$61/1000000,"0")&amp;"M€")))</f>
        <v>&gt; 120M€</v>
      </c>
      <c r="BO33" s="45" t="str">
        <f>IF(BO$21&lt;'01_Input'!$K$61,"0 - "&amp;TEXT('01_Input'!$K$61/1000000,"0")&amp;"M€",IF(BO$21&lt;'01_Input'!$O$61,TEXT('01_Input'!$K$61/1000000,"0")&amp;" - "&amp;TEXT('01_Input'!$O$61/1000000,"0")&amp;"M€",IF(BO$21&lt;'01_Input'!$S$61,TEXT('01_Input'!$O$61/1000000,"0")&amp;" - "&amp;TEXT('01_Input'!$S$61/1000000,"0")&amp;"M€","&gt; "&amp;TEXT('01_Input'!$S$61/1000000,"0")&amp;"M€")))</f>
        <v>&gt; 120M€</v>
      </c>
      <c r="BP33" s="45" t="str">
        <f>IF(BP$21&lt;'01_Input'!$K$61,"0 - "&amp;TEXT('01_Input'!$K$61/1000000,"0")&amp;"M€",IF(BP$21&lt;'01_Input'!$O$61,TEXT('01_Input'!$K$61/1000000,"0")&amp;" - "&amp;TEXT('01_Input'!$O$61/1000000,"0")&amp;"M€",IF(BP$21&lt;'01_Input'!$S$61,TEXT('01_Input'!$O$61/1000000,"0")&amp;" - "&amp;TEXT('01_Input'!$S$61/1000000,"0")&amp;"M€","&gt; "&amp;TEXT('01_Input'!$S$61/1000000,"0")&amp;"M€")))</f>
        <v>&gt; 120M€</v>
      </c>
      <c r="BQ33" s="45" t="str">
        <f>IF(BQ$21&lt;'01_Input'!$K$61,"0 - "&amp;TEXT('01_Input'!$K$61/1000000,"0")&amp;"M€",IF(BQ$21&lt;'01_Input'!$O$61,TEXT('01_Input'!$K$61/1000000,"0")&amp;" - "&amp;TEXT('01_Input'!$O$61/1000000,"0")&amp;"M€",IF(BQ$21&lt;'01_Input'!$S$61,TEXT('01_Input'!$O$61/1000000,"0")&amp;" - "&amp;TEXT('01_Input'!$S$61/1000000,"0")&amp;"M€","&gt; "&amp;TEXT('01_Input'!$S$61/1000000,"0")&amp;"M€")))</f>
        <v>&gt; 120M€</v>
      </c>
      <c r="BR33" s="45" t="str">
        <f>IF(BR$21&lt;'01_Input'!$K$61,"0 - "&amp;TEXT('01_Input'!$K$61/1000000,"0")&amp;"M€",IF(BR$21&lt;'01_Input'!$O$61,TEXT('01_Input'!$K$61/1000000,"0")&amp;" - "&amp;TEXT('01_Input'!$O$61/1000000,"0")&amp;"M€",IF(BR$21&lt;'01_Input'!$S$61,TEXT('01_Input'!$O$61/1000000,"0")&amp;" - "&amp;TEXT('01_Input'!$S$61/1000000,"0")&amp;"M€","&gt; "&amp;TEXT('01_Input'!$S$61/1000000,"0")&amp;"M€")))</f>
        <v>&gt; 120M€</v>
      </c>
      <c r="BS33" s="45" t="str">
        <f>IF(BS$21&lt;'01_Input'!$K$61,"0 - "&amp;TEXT('01_Input'!$K$61/1000000,"0")&amp;"M€",IF(BS$21&lt;'01_Input'!$O$61,TEXT('01_Input'!$K$61/1000000,"0")&amp;" - "&amp;TEXT('01_Input'!$O$61/1000000,"0")&amp;"M€",IF(BS$21&lt;'01_Input'!$S$61,TEXT('01_Input'!$O$61/1000000,"0")&amp;" - "&amp;TEXT('01_Input'!$S$61/1000000,"0")&amp;"M€","&gt; "&amp;TEXT('01_Input'!$S$61/1000000,"0")&amp;"M€")))</f>
        <v>&gt; 120M€</v>
      </c>
      <c r="BT33" s="45" t="str">
        <f>IF(BT$21&lt;'01_Input'!$K$61,"0 - "&amp;TEXT('01_Input'!$K$61/1000000,"0")&amp;"M€",IF(BT$21&lt;'01_Input'!$O$61,TEXT('01_Input'!$K$61/1000000,"0")&amp;" - "&amp;TEXT('01_Input'!$O$61/1000000,"0")&amp;"M€",IF(BT$21&lt;'01_Input'!$S$61,TEXT('01_Input'!$O$61/1000000,"0")&amp;" - "&amp;TEXT('01_Input'!$S$61/1000000,"0")&amp;"M€","&gt; "&amp;TEXT('01_Input'!$S$61/1000000,"0")&amp;"M€")))</f>
        <v>&gt; 120M€</v>
      </c>
      <c r="BU33" s="45" t="str">
        <f>IF(BU$21&lt;'01_Input'!$K$61,"0 - "&amp;TEXT('01_Input'!$K$61/1000000,"0")&amp;"M€",IF(BU$21&lt;'01_Input'!$O$61,TEXT('01_Input'!$K$61/1000000,"0")&amp;" - "&amp;TEXT('01_Input'!$O$61/1000000,"0")&amp;"M€",IF(BU$21&lt;'01_Input'!$S$61,TEXT('01_Input'!$O$61/1000000,"0")&amp;" - "&amp;TEXT('01_Input'!$S$61/1000000,"0")&amp;"M€","&gt; "&amp;TEXT('01_Input'!$S$61/1000000,"0")&amp;"M€")))</f>
        <v>&gt; 120M€</v>
      </c>
      <c r="BV33" s="45" t="str">
        <f>IF(BV$21&lt;'01_Input'!$K$61,"0 - "&amp;TEXT('01_Input'!$K$61/1000000,"0")&amp;"M€",IF(BV$21&lt;'01_Input'!$O$61,TEXT('01_Input'!$K$61/1000000,"0")&amp;" - "&amp;TEXT('01_Input'!$O$61/1000000,"0")&amp;"M€",IF(BV$21&lt;'01_Input'!$S$61,TEXT('01_Input'!$O$61/1000000,"0")&amp;" - "&amp;TEXT('01_Input'!$S$61/1000000,"0")&amp;"M€","&gt; "&amp;TEXT('01_Input'!$S$61/1000000,"0")&amp;"M€")))</f>
        <v>&gt; 120M€</v>
      </c>
      <c r="BW33" s="45" t="str">
        <f>IF(BW$21&lt;'01_Input'!$K$61,"0 - "&amp;TEXT('01_Input'!$K$61/1000000,"0")&amp;"M€",IF(BW$21&lt;'01_Input'!$O$61,TEXT('01_Input'!$K$61/1000000,"0")&amp;" - "&amp;TEXT('01_Input'!$O$61/1000000,"0")&amp;"M€",IF(BW$21&lt;'01_Input'!$S$61,TEXT('01_Input'!$O$61/1000000,"0")&amp;" - "&amp;TEXT('01_Input'!$S$61/1000000,"0")&amp;"M€","&gt; "&amp;TEXT('01_Input'!$S$61/1000000,"0")&amp;"M€")))</f>
        <v>&gt; 120M€</v>
      </c>
      <c r="BX33" s="45" t="str">
        <f>IF(BX$21&lt;'01_Input'!$K$61,"0 - "&amp;TEXT('01_Input'!$K$61/1000000,"0")&amp;"M€",IF(BX$21&lt;'01_Input'!$O$61,TEXT('01_Input'!$K$61/1000000,"0")&amp;" - "&amp;TEXT('01_Input'!$O$61/1000000,"0")&amp;"M€",IF(BX$21&lt;'01_Input'!$S$61,TEXT('01_Input'!$O$61/1000000,"0")&amp;" - "&amp;TEXT('01_Input'!$S$61/1000000,"0")&amp;"M€","&gt; "&amp;TEXT('01_Input'!$S$61/1000000,"0")&amp;"M€")))</f>
        <v>&gt; 120M€</v>
      </c>
      <c r="BY33" s="45" t="str">
        <f>IF(BY$21&lt;'01_Input'!$K$61,"0 - "&amp;TEXT('01_Input'!$K$61/1000000,"0")&amp;"M€",IF(BY$21&lt;'01_Input'!$O$61,TEXT('01_Input'!$K$61/1000000,"0")&amp;" - "&amp;TEXT('01_Input'!$O$61/1000000,"0")&amp;"M€",IF(BY$21&lt;'01_Input'!$S$61,TEXT('01_Input'!$O$61/1000000,"0")&amp;" - "&amp;TEXT('01_Input'!$S$61/1000000,"0")&amp;"M€","&gt; "&amp;TEXT('01_Input'!$S$61/1000000,"0")&amp;"M€")))</f>
        <v>&gt; 120M€</v>
      </c>
      <c r="BZ33" s="45" t="str">
        <f>IF(BZ$21&lt;'01_Input'!$K$61,"0 - "&amp;TEXT('01_Input'!$K$61/1000000,"0")&amp;"M€",IF(BZ$21&lt;'01_Input'!$O$61,TEXT('01_Input'!$K$61/1000000,"0")&amp;" - "&amp;TEXT('01_Input'!$O$61/1000000,"0")&amp;"M€",IF(BZ$21&lt;'01_Input'!$S$61,TEXT('01_Input'!$O$61/1000000,"0")&amp;" - "&amp;TEXT('01_Input'!$S$61/1000000,"0")&amp;"M€","&gt; "&amp;TEXT('01_Input'!$S$61/1000000,"0")&amp;"M€")))</f>
        <v>&gt; 120M€</v>
      </c>
      <c r="CA33" s="45" t="str">
        <f>IF(CA$21&lt;'01_Input'!$K$61,"0 - "&amp;TEXT('01_Input'!$K$61/1000000,"0")&amp;"M€",IF(CA$21&lt;'01_Input'!$O$61,TEXT('01_Input'!$K$61/1000000,"0")&amp;" - "&amp;TEXT('01_Input'!$O$61/1000000,"0")&amp;"M€",IF(CA$21&lt;'01_Input'!$S$61,TEXT('01_Input'!$O$61/1000000,"0")&amp;" - "&amp;TEXT('01_Input'!$S$61/1000000,"0")&amp;"M€","&gt; "&amp;TEXT('01_Input'!$S$61/1000000,"0")&amp;"M€")))</f>
        <v>&gt; 120M€</v>
      </c>
      <c r="CB33" s="45" t="str">
        <f>IF(CB$21&lt;'01_Input'!$K$61,"0 - "&amp;TEXT('01_Input'!$K$61/1000000,"0")&amp;"M€",IF(CB$21&lt;'01_Input'!$O$61,TEXT('01_Input'!$K$61/1000000,"0")&amp;" - "&amp;TEXT('01_Input'!$O$61/1000000,"0")&amp;"M€",IF(CB$21&lt;'01_Input'!$S$61,TEXT('01_Input'!$O$61/1000000,"0")&amp;" - "&amp;TEXT('01_Input'!$S$61/1000000,"0")&amp;"M€","&gt; "&amp;TEXT('01_Input'!$S$61/1000000,"0")&amp;"M€")))</f>
        <v>&gt; 120M€</v>
      </c>
      <c r="CC33" s="45" t="str">
        <f>IF(CC$21&lt;'01_Input'!$K$61,"0 - "&amp;TEXT('01_Input'!$K$61/1000000,"0")&amp;"M€",IF(CC$21&lt;'01_Input'!$O$61,TEXT('01_Input'!$K$61/1000000,"0")&amp;" - "&amp;TEXT('01_Input'!$O$61/1000000,"0")&amp;"M€",IF(CC$21&lt;'01_Input'!$S$61,TEXT('01_Input'!$O$61/1000000,"0")&amp;" - "&amp;TEXT('01_Input'!$S$61/1000000,"0")&amp;"M€","&gt; "&amp;TEXT('01_Input'!$S$61/1000000,"0")&amp;"M€")))</f>
        <v>&gt; 120M€</v>
      </c>
      <c r="CD33" s="45" t="str">
        <f>IF(CD$21&lt;'01_Input'!$K$61,"0 - "&amp;TEXT('01_Input'!$K$61/1000000,"0")&amp;"M€",IF(CD$21&lt;'01_Input'!$O$61,TEXT('01_Input'!$K$61/1000000,"0")&amp;" - "&amp;TEXT('01_Input'!$O$61/1000000,"0")&amp;"M€",IF(CD$21&lt;'01_Input'!$S$61,TEXT('01_Input'!$O$61/1000000,"0")&amp;" - "&amp;TEXT('01_Input'!$S$61/1000000,"0")&amp;"M€","&gt; "&amp;TEXT('01_Input'!$S$61/1000000,"0")&amp;"M€")))</f>
        <v>&gt; 120M€</v>
      </c>
      <c r="CE33" s="45" t="str">
        <f>IF(CE$21&lt;'01_Input'!$K$61,"0 - "&amp;TEXT('01_Input'!$K$61/1000000,"0")&amp;"M€",IF(CE$21&lt;'01_Input'!$O$61,TEXT('01_Input'!$K$61/1000000,"0")&amp;" - "&amp;TEXT('01_Input'!$O$61/1000000,"0")&amp;"M€",IF(CE$21&lt;'01_Input'!$S$61,TEXT('01_Input'!$O$61/1000000,"0")&amp;" - "&amp;TEXT('01_Input'!$S$61/1000000,"0")&amp;"M€","&gt; "&amp;TEXT('01_Input'!$S$61/1000000,"0")&amp;"M€")))</f>
        <v>&gt; 120M€</v>
      </c>
      <c r="CF33" s="45" t="str">
        <f>IF(CF$21&lt;'01_Input'!$K$61,"0 - "&amp;TEXT('01_Input'!$K$61/1000000,"0")&amp;"M€",IF(CF$21&lt;'01_Input'!$O$61,TEXT('01_Input'!$K$61/1000000,"0")&amp;" - "&amp;TEXT('01_Input'!$O$61/1000000,"0")&amp;"M€",IF(CF$21&lt;'01_Input'!$S$61,TEXT('01_Input'!$O$61/1000000,"0")&amp;" - "&amp;TEXT('01_Input'!$S$61/1000000,"0")&amp;"M€","&gt; "&amp;TEXT('01_Input'!$S$61/1000000,"0")&amp;"M€")))</f>
        <v>&gt; 120M€</v>
      </c>
      <c r="CG33" s="45" t="str">
        <f>IF(CG$21&lt;'01_Input'!$K$61,"0 - "&amp;TEXT('01_Input'!$K$61/1000000,"0")&amp;"M€",IF(CG$21&lt;'01_Input'!$O$61,TEXT('01_Input'!$K$61/1000000,"0")&amp;" - "&amp;TEXT('01_Input'!$O$61/1000000,"0")&amp;"M€",IF(CG$21&lt;'01_Input'!$S$61,TEXT('01_Input'!$O$61/1000000,"0")&amp;" - "&amp;TEXT('01_Input'!$S$61/1000000,"0")&amp;"M€","&gt; "&amp;TEXT('01_Input'!$S$61/1000000,"0")&amp;"M€")))</f>
        <v>&gt; 120M€</v>
      </c>
      <c r="CH33" s="45" t="str">
        <f>IF(CH$21&lt;'01_Input'!$K$61,"0 - "&amp;TEXT('01_Input'!$K$61/1000000,"0")&amp;"M€",IF(CH$21&lt;'01_Input'!$O$61,TEXT('01_Input'!$K$61/1000000,"0")&amp;" - "&amp;TEXT('01_Input'!$O$61/1000000,"0")&amp;"M€",IF(CH$21&lt;'01_Input'!$S$61,TEXT('01_Input'!$O$61/1000000,"0")&amp;" - "&amp;TEXT('01_Input'!$S$61/1000000,"0")&amp;"M€","&gt; "&amp;TEXT('01_Input'!$S$61/1000000,"0")&amp;"M€")))</f>
        <v>&gt; 120M€</v>
      </c>
      <c r="CI33" s="45" t="str">
        <f>IF(CI$21&lt;'01_Input'!$K$61,"0 - "&amp;TEXT('01_Input'!$K$61/1000000,"0")&amp;"M€",IF(CI$21&lt;'01_Input'!$O$61,TEXT('01_Input'!$K$61/1000000,"0")&amp;" - "&amp;TEXT('01_Input'!$O$61/1000000,"0")&amp;"M€",IF(CI$21&lt;'01_Input'!$S$61,TEXT('01_Input'!$O$61/1000000,"0")&amp;" - "&amp;TEXT('01_Input'!$S$61/1000000,"0")&amp;"M€","&gt; "&amp;TEXT('01_Input'!$S$61/1000000,"0")&amp;"M€")))</f>
        <v>&gt; 120M€</v>
      </c>
      <c r="CJ33" s="45" t="str">
        <f>IF(CJ$21&lt;'01_Input'!$K$61,"0 - "&amp;TEXT('01_Input'!$K$61/1000000,"0")&amp;"M€",IF(CJ$21&lt;'01_Input'!$O$61,TEXT('01_Input'!$K$61/1000000,"0")&amp;" - "&amp;TEXT('01_Input'!$O$61/1000000,"0")&amp;"M€",IF(CJ$21&lt;'01_Input'!$S$61,TEXT('01_Input'!$O$61/1000000,"0")&amp;" - "&amp;TEXT('01_Input'!$S$61/1000000,"0")&amp;"M€","&gt; "&amp;TEXT('01_Input'!$S$61/1000000,"0")&amp;"M€")))</f>
        <v>&gt; 120M€</v>
      </c>
      <c r="CK33" s="45" t="str">
        <f>IF(CK$21&lt;'01_Input'!$K$61,"0 - "&amp;TEXT('01_Input'!$K$61/1000000,"0")&amp;"M€",IF(CK$21&lt;'01_Input'!$O$61,TEXT('01_Input'!$K$61/1000000,"0")&amp;" - "&amp;TEXT('01_Input'!$O$61/1000000,"0")&amp;"M€",IF(CK$21&lt;'01_Input'!$S$61,TEXT('01_Input'!$O$61/1000000,"0")&amp;" - "&amp;TEXT('01_Input'!$S$61/1000000,"0")&amp;"M€","&gt; "&amp;TEXT('01_Input'!$S$61/1000000,"0")&amp;"M€")))</f>
        <v>&gt; 120M€</v>
      </c>
      <c r="CL33" s="45" t="str">
        <f>IF(CL$21&lt;'01_Input'!$K$61,"0 - "&amp;TEXT('01_Input'!$K$61/1000000,"0")&amp;"M€",IF(CL$21&lt;'01_Input'!$O$61,TEXT('01_Input'!$K$61/1000000,"0")&amp;" - "&amp;TEXT('01_Input'!$O$61/1000000,"0")&amp;"M€",IF(CL$21&lt;'01_Input'!$S$61,TEXT('01_Input'!$O$61/1000000,"0")&amp;" - "&amp;TEXT('01_Input'!$S$61/1000000,"0")&amp;"M€","&gt; "&amp;TEXT('01_Input'!$S$61/1000000,"0")&amp;"M€")))</f>
        <v>&gt; 120M€</v>
      </c>
      <c r="CM33" s="45" t="str">
        <f>IF(CM$21&lt;'01_Input'!$K$61,"0 - "&amp;TEXT('01_Input'!$K$61/1000000,"0")&amp;"M€",IF(CM$21&lt;'01_Input'!$O$61,TEXT('01_Input'!$K$61/1000000,"0")&amp;" - "&amp;TEXT('01_Input'!$O$61/1000000,"0")&amp;"M€",IF(CM$21&lt;'01_Input'!$S$61,TEXT('01_Input'!$O$61/1000000,"0")&amp;" - "&amp;TEXT('01_Input'!$S$61/1000000,"0")&amp;"M€","&gt; "&amp;TEXT('01_Input'!$S$61/1000000,"0")&amp;"M€")))</f>
        <v>&gt; 120M€</v>
      </c>
      <c r="CN33" s="45" t="str">
        <f>IF(CN$21&lt;'01_Input'!$K$61,"0 - "&amp;TEXT('01_Input'!$K$61/1000000,"0")&amp;"M€",IF(CN$21&lt;'01_Input'!$O$61,TEXT('01_Input'!$K$61/1000000,"0")&amp;" - "&amp;TEXT('01_Input'!$O$61/1000000,"0")&amp;"M€",IF(CN$21&lt;'01_Input'!$S$61,TEXT('01_Input'!$O$61/1000000,"0")&amp;" - "&amp;TEXT('01_Input'!$S$61/1000000,"0")&amp;"M€","&gt; "&amp;TEXT('01_Input'!$S$61/1000000,"0")&amp;"M€")))</f>
        <v>&gt; 120M€</v>
      </c>
      <c r="CO33" s="45" t="str">
        <f>IF(CO$21&lt;'01_Input'!$K$61,"0 - "&amp;TEXT('01_Input'!$K$61/1000000,"0")&amp;"M€",IF(CO$21&lt;'01_Input'!$O$61,TEXT('01_Input'!$K$61/1000000,"0")&amp;" - "&amp;TEXT('01_Input'!$O$61/1000000,"0")&amp;"M€",IF(CO$21&lt;'01_Input'!$S$61,TEXT('01_Input'!$O$61/1000000,"0")&amp;" - "&amp;TEXT('01_Input'!$S$61/1000000,"0")&amp;"M€","&gt; "&amp;TEXT('01_Input'!$S$61/1000000,"0")&amp;"M€")))</f>
        <v>&gt; 120M€</v>
      </c>
      <c r="CP33" s="45" t="str">
        <f>IF(CP$21&lt;'01_Input'!$K$61,"0 - "&amp;TEXT('01_Input'!$K$61/1000000,"0")&amp;"M€",IF(CP$21&lt;'01_Input'!$O$61,TEXT('01_Input'!$K$61/1000000,"0")&amp;" - "&amp;TEXT('01_Input'!$O$61/1000000,"0")&amp;"M€",IF(CP$21&lt;'01_Input'!$S$61,TEXT('01_Input'!$O$61/1000000,"0")&amp;" - "&amp;TEXT('01_Input'!$S$61/1000000,"0")&amp;"M€","&gt; "&amp;TEXT('01_Input'!$S$61/1000000,"0")&amp;"M€")))</f>
        <v>&gt; 120M€</v>
      </c>
      <c r="CQ33" s="45" t="str">
        <f>IF(CQ$21&lt;'01_Input'!$K$61,"0 - "&amp;TEXT('01_Input'!$K$61/1000000,"0")&amp;"M€",IF(CQ$21&lt;'01_Input'!$O$61,TEXT('01_Input'!$K$61/1000000,"0")&amp;" - "&amp;TEXT('01_Input'!$O$61/1000000,"0")&amp;"M€",IF(CQ$21&lt;'01_Input'!$S$61,TEXT('01_Input'!$O$61/1000000,"0")&amp;" - "&amp;TEXT('01_Input'!$S$61/1000000,"0")&amp;"M€","&gt; "&amp;TEXT('01_Input'!$S$61/1000000,"0")&amp;"M€")))</f>
        <v>&gt; 120M€</v>
      </c>
      <c r="CR33" s="45" t="str">
        <f>IF(CR$21&lt;'01_Input'!$K$61,"0 - "&amp;TEXT('01_Input'!$K$61/1000000,"0")&amp;"M€",IF(CR$21&lt;'01_Input'!$O$61,TEXT('01_Input'!$K$61/1000000,"0")&amp;" - "&amp;TEXT('01_Input'!$O$61/1000000,"0")&amp;"M€",IF(CR$21&lt;'01_Input'!$S$61,TEXT('01_Input'!$O$61/1000000,"0")&amp;" - "&amp;TEXT('01_Input'!$S$61/1000000,"0")&amp;"M€","&gt; "&amp;TEXT('01_Input'!$S$61/1000000,"0")&amp;"M€")))</f>
        <v>&gt; 120M€</v>
      </c>
      <c r="CS33" s="45" t="str">
        <f>IF(CS$21&lt;'01_Input'!$K$61,"0 - "&amp;TEXT('01_Input'!$K$61/1000000,"0")&amp;"M€",IF(CS$21&lt;'01_Input'!$O$61,TEXT('01_Input'!$K$61/1000000,"0")&amp;" - "&amp;TEXT('01_Input'!$O$61/1000000,"0")&amp;"M€",IF(CS$21&lt;'01_Input'!$S$61,TEXT('01_Input'!$O$61/1000000,"0")&amp;" - "&amp;TEXT('01_Input'!$S$61/1000000,"0")&amp;"M€","&gt; "&amp;TEXT('01_Input'!$S$61/1000000,"0")&amp;"M€")))</f>
        <v>&gt; 120M€</v>
      </c>
      <c r="CT33" s="45" t="str">
        <f>IF(CT$21&lt;'01_Input'!$K$61,"0 - "&amp;TEXT('01_Input'!$K$61/1000000,"0")&amp;"M€",IF(CT$21&lt;'01_Input'!$O$61,TEXT('01_Input'!$K$61/1000000,"0")&amp;" - "&amp;TEXT('01_Input'!$O$61/1000000,"0")&amp;"M€",IF(CT$21&lt;'01_Input'!$S$61,TEXT('01_Input'!$O$61/1000000,"0")&amp;" - "&amp;TEXT('01_Input'!$S$61/1000000,"0")&amp;"M€","&gt; "&amp;TEXT('01_Input'!$S$61/1000000,"0")&amp;"M€")))</f>
        <v>&gt; 120M€</v>
      </c>
      <c r="CU33" s="45" t="str">
        <f>IF(CU$21&lt;'01_Input'!$K$61,"0 - "&amp;TEXT('01_Input'!$K$61/1000000,"0")&amp;"M€",IF(CU$21&lt;'01_Input'!$O$61,TEXT('01_Input'!$K$61/1000000,"0")&amp;" - "&amp;TEXT('01_Input'!$O$61/1000000,"0")&amp;"M€",IF(CU$21&lt;'01_Input'!$S$61,TEXT('01_Input'!$O$61/1000000,"0")&amp;" - "&amp;TEXT('01_Input'!$S$61/1000000,"0")&amp;"M€","&gt; "&amp;TEXT('01_Input'!$S$61/1000000,"0")&amp;"M€")))</f>
        <v>&gt; 120M€</v>
      </c>
      <c r="CV33" s="45" t="str">
        <f>IF(CV$21&lt;'01_Input'!$K$61,"0 - "&amp;TEXT('01_Input'!$K$61/1000000,"0")&amp;"M€",IF(CV$21&lt;'01_Input'!$O$61,TEXT('01_Input'!$K$61/1000000,"0")&amp;" - "&amp;TEXT('01_Input'!$O$61/1000000,"0")&amp;"M€",IF(CV$21&lt;'01_Input'!$S$61,TEXT('01_Input'!$O$61/1000000,"0")&amp;" - "&amp;TEXT('01_Input'!$S$61/1000000,"0")&amp;"M€","&gt; "&amp;TEXT('01_Input'!$S$61/1000000,"0")&amp;"M€")))</f>
        <v>&gt; 120M€</v>
      </c>
      <c r="CW33" s="45" t="str">
        <f>IF(CW$21&lt;'01_Input'!$K$61,"0 - "&amp;TEXT('01_Input'!$K$61/1000000,"0")&amp;"M€",IF(CW$21&lt;'01_Input'!$O$61,TEXT('01_Input'!$K$61/1000000,"0")&amp;" - "&amp;TEXT('01_Input'!$O$61/1000000,"0")&amp;"M€",IF(CW$21&lt;'01_Input'!$S$61,TEXT('01_Input'!$O$61/1000000,"0")&amp;" - "&amp;TEXT('01_Input'!$S$61/1000000,"0")&amp;"M€","&gt; "&amp;TEXT('01_Input'!$S$61/1000000,"0")&amp;"M€")))</f>
        <v>&gt; 120M€</v>
      </c>
      <c r="CX33" s="45" t="str">
        <f>IF(CX$21&lt;'01_Input'!$K$61,"0 - "&amp;TEXT('01_Input'!$K$61/1000000,"0")&amp;"M€",IF(CX$21&lt;'01_Input'!$O$61,TEXT('01_Input'!$K$61/1000000,"0")&amp;" - "&amp;TEXT('01_Input'!$O$61/1000000,"0")&amp;"M€",IF(CX$21&lt;'01_Input'!$S$61,TEXT('01_Input'!$O$61/1000000,"0")&amp;" - "&amp;TEXT('01_Input'!$S$61/1000000,"0")&amp;"M€","&gt; "&amp;TEXT('01_Input'!$S$61/1000000,"0")&amp;"M€")))</f>
        <v>&gt; 120M€</v>
      </c>
      <c r="CY33" s="45" t="str">
        <f>IF(CY$21&lt;'01_Input'!$K$61,"0 - "&amp;TEXT('01_Input'!$K$61/1000000,"0")&amp;"M€",IF(CY$21&lt;'01_Input'!$O$61,TEXT('01_Input'!$K$61/1000000,"0")&amp;" - "&amp;TEXT('01_Input'!$O$61/1000000,"0")&amp;"M€",IF(CY$21&lt;'01_Input'!$S$61,TEXT('01_Input'!$O$61/1000000,"0")&amp;" - "&amp;TEXT('01_Input'!$S$61/1000000,"0")&amp;"M€","&gt; "&amp;TEXT('01_Input'!$S$61/1000000,"0")&amp;"M€")))</f>
        <v>&gt; 120M€</v>
      </c>
      <c r="CZ33" s="45" t="str">
        <f>IF(CZ$21&lt;'01_Input'!$K$61,"0 - "&amp;TEXT('01_Input'!$K$61/1000000,"0")&amp;"M€",IF(CZ$21&lt;'01_Input'!$O$61,TEXT('01_Input'!$K$61/1000000,"0")&amp;" - "&amp;TEXT('01_Input'!$O$61/1000000,"0")&amp;"M€",IF(CZ$21&lt;'01_Input'!$S$61,TEXT('01_Input'!$O$61/1000000,"0")&amp;" - "&amp;TEXT('01_Input'!$S$61/1000000,"0")&amp;"M€","&gt; "&amp;TEXT('01_Input'!$S$61/1000000,"0")&amp;"M€")))</f>
        <v>&gt; 120M€</v>
      </c>
      <c r="DA33" s="45" t="str">
        <f>IF(DA$21&lt;'01_Input'!$K$61,"0 - "&amp;TEXT('01_Input'!$K$61/1000000,"0")&amp;"M€",IF(DA$21&lt;'01_Input'!$O$61,TEXT('01_Input'!$K$61/1000000,"0")&amp;" - "&amp;TEXT('01_Input'!$O$61/1000000,"0")&amp;"M€",IF(DA$21&lt;'01_Input'!$S$61,TEXT('01_Input'!$O$61/1000000,"0")&amp;" - "&amp;TEXT('01_Input'!$S$61/1000000,"0")&amp;"M€","&gt; "&amp;TEXT('01_Input'!$S$61/1000000,"0")&amp;"M€")))</f>
        <v>&gt; 120M€</v>
      </c>
      <c r="DB33" s="45" t="str">
        <f>IF(DB$21&lt;'01_Input'!$K$61,"0 - "&amp;TEXT('01_Input'!$K$61/1000000,"0")&amp;"M€",IF(DB$21&lt;'01_Input'!$O$61,TEXT('01_Input'!$K$61/1000000,"0")&amp;" - "&amp;TEXT('01_Input'!$O$61/1000000,"0")&amp;"M€",IF(DB$21&lt;'01_Input'!$S$61,TEXT('01_Input'!$O$61/1000000,"0")&amp;" - "&amp;TEXT('01_Input'!$S$61/1000000,"0")&amp;"M€","&gt; "&amp;TEXT('01_Input'!$S$61/1000000,"0")&amp;"M€")))</f>
        <v>&gt; 120M€</v>
      </c>
      <c r="DC33" s="45" t="str">
        <f>IF(DC$21&lt;'01_Input'!$K$61,"0 - "&amp;TEXT('01_Input'!$K$61/1000000,"0")&amp;"M€",IF(DC$21&lt;'01_Input'!$O$61,TEXT('01_Input'!$K$61/1000000,"0")&amp;" - "&amp;TEXT('01_Input'!$O$61/1000000,"0")&amp;"M€",IF(DC$21&lt;'01_Input'!$S$61,TEXT('01_Input'!$O$61/1000000,"0")&amp;" - "&amp;TEXT('01_Input'!$S$61/1000000,"0")&amp;"M€","&gt; "&amp;TEXT('01_Input'!$S$61/1000000,"0")&amp;"M€")))</f>
        <v>&gt; 120M€</v>
      </c>
      <c r="DD33" s="45" t="str">
        <f>IF(DD$21&lt;'01_Input'!$K$61,"0 - "&amp;TEXT('01_Input'!$K$61/1000000,"0")&amp;"M€",IF(DD$21&lt;'01_Input'!$O$61,TEXT('01_Input'!$K$61/1000000,"0")&amp;" - "&amp;TEXT('01_Input'!$O$61/1000000,"0")&amp;"M€",IF(DD$21&lt;'01_Input'!$S$61,TEXT('01_Input'!$O$61/1000000,"0")&amp;" - "&amp;TEXT('01_Input'!$S$61/1000000,"0")&amp;"M€","&gt; "&amp;TEXT('01_Input'!$S$61/1000000,"0")&amp;"M€")))</f>
        <v>&gt; 120M€</v>
      </c>
      <c r="DE33" s="45" t="str">
        <f>IF(DE$21&lt;'01_Input'!$K$61,"0 - "&amp;TEXT('01_Input'!$K$61/1000000,"0")&amp;"M€",IF(DE$21&lt;'01_Input'!$O$61,TEXT('01_Input'!$K$61/1000000,"0")&amp;" - "&amp;TEXT('01_Input'!$O$61/1000000,"0")&amp;"M€",IF(DE$21&lt;'01_Input'!$S$61,TEXT('01_Input'!$O$61/1000000,"0")&amp;" - "&amp;TEXT('01_Input'!$S$61/1000000,"0")&amp;"M€","&gt; "&amp;TEXT('01_Input'!$S$61/1000000,"0")&amp;"M€")))</f>
        <v>&gt; 120M€</v>
      </c>
      <c r="DF33" s="45" t="str">
        <f>IF(DF$21&lt;'01_Input'!$K$61,"0 - "&amp;TEXT('01_Input'!$K$61/1000000,"0")&amp;"M€",IF(DF$21&lt;'01_Input'!$O$61,TEXT('01_Input'!$K$61/1000000,"0")&amp;" - "&amp;TEXT('01_Input'!$O$61/1000000,"0")&amp;"M€",IF(DF$21&lt;'01_Input'!$S$61,TEXT('01_Input'!$O$61/1000000,"0")&amp;" - "&amp;TEXT('01_Input'!$S$61/1000000,"0")&amp;"M€","&gt; "&amp;TEXT('01_Input'!$S$61/1000000,"0")&amp;"M€")))</f>
        <v>&gt; 120M€</v>
      </c>
      <c r="DG33" s="45" t="str">
        <f>IF(DG$21&lt;'01_Input'!$K$61,"0 - "&amp;TEXT('01_Input'!$K$61/1000000,"0")&amp;"M€",IF(DG$21&lt;'01_Input'!$O$61,TEXT('01_Input'!$K$61/1000000,"0")&amp;" - "&amp;TEXT('01_Input'!$O$61/1000000,"0")&amp;"M€",IF(DG$21&lt;'01_Input'!$S$61,TEXT('01_Input'!$O$61/1000000,"0")&amp;" - "&amp;TEXT('01_Input'!$S$61/1000000,"0")&amp;"M€","&gt; "&amp;TEXT('01_Input'!$S$61/1000000,"0")&amp;"M€")))</f>
        <v>&gt; 120M€</v>
      </c>
      <c r="DH33" s="45" t="str">
        <f>IF(DH$21&lt;'01_Input'!$K$61,"0 - "&amp;TEXT('01_Input'!$K$61/1000000,"0")&amp;"M€",IF(DH$21&lt;'01_Input'!$O$61,TEXT('01_Input'!$K$61/1000000,"0")&amp;" - "&amp;TEXT('01_Input'!$O$61/1000000,"0")&amp;"M€",IF(DH$21&lt;'01_Input'!$S$61,TEXT('01_Input'!$O$61/1000000,"0")&amp;" - "&amp;TEXT('01_Input'!$S$61/1000000,"0")&amp;"M€","&gt; "&amp;TEXT('01_Input'!$S$61/1000000,"0")&amp;"M€")))</f>
        <v>&gt; 120M€</v>
      </c>
      <c r="DI33" s="45" t="str">
        <f>IF(DI$21&lt;'01_Input'!$K$61,"0 - "&amp;TEXT('01_Input'!$K$61/1000000,"0")&amp;"M€",IF(DI$21&lt;'01_Input'!$O$61,TEXT('01_Input'!$K$61/1000000,"0")&amp;" - "&amp;TEXT('01_Input'!$O$61/1000000,"0")&amp;"M€",IF(DI$21&lt;'01_Input'!$S$61,TEXT('01_Input'!$O$61/1000000,"0")&amp;" - "&amp;TEXT('01_Input'!$S$61/1000000,"0")&amp;"M€","&gt; "&amp;TEXT('01_Input'!$S$61/1000000,"0")&amp;"M€")))</f>
        <v>&gt; 120M€</v>
      </c>
      <c r="DJ33" s="45" t="str">
        <f>IF(DJ$21&lt;'01_Input'!$K$61,"0 - "&amp;TEXT('01_Input'!$K$61/1000000,"0")&amp;"M€",IF(DJ$21&lt;'01_Input'!$O$61,TEXT('01_Input'!$K$61/1000000,"0")&amp;" - "&amp;TEXT('01_Input'!$O$61/1000000,"0")&amp;"M€",IF(DJ$21&lt;'01_Input'!$S$61,TEXT('01_Input'!$O$61/1000000,"0")&amp;" - "&amp;TEXT('01_Input'!$S$61/1000000,"0")&amp;"M€","&gt; "&amp;TEXT('01_Input'!$S$61/1000000,"0")&amp;"M€")))</f>
        <v>&gt; 120M€</v>
      </c>
      <c r="DK33" s="45" t="str">
        <f>IF(DK$21&lt;'01_Input'!$K$61,"0 - "&amp;TEXT('01_Input'!$K$61/1000000,"0")&amp;"M€",IF(DK$21&lt;'01_Input'!$O$61,TEXT('01_Input'!$K$61/1000000,"0")&amp;" - "&amp;TEXT('01_Input'!$O$61/1000000,"0")&amp;"M€",IF(DK$21&lt;'01_Input'!$S$61,TEXT('01_Input'!$O$61/1000000,"0")&amp;" - "&amp;TEXT('01_Input'!$S$61/1000000,"0")&amp;"M€","&gt; "&amp;TEXT('01_Input'!$S$61/1000000,"0")&amp;"M€")))</f>
        <v>&gt; 120M€</v>
      </c>
      <c r="DL33" s="45" t="str">
        <f>IF(DL$21&lt;'01_Input'!$K$61,"0 - "&amp;TEXT('01_Input'!$K$61/1000000,"0")&amp;"M€",IF(DL$21&lt;'01_Input'!$O$61,TEXT('01_Input'!$K$61/1000000,"0")&amp;" - "&amp;TEXT('01_Input'!$O$61/1000000,"0")&amp;"M€",IF(DL$21&lt;'01_Input'!$S$61,TEXT('01_Input'!$O$61/1000000,"0")&amp;" - "&amp;TEXT('01_Input'!$S$61/1000000,"0")&amp;"M€","&gt; "&amp;TEXT('01_Input'!$S$61/1000000,"0")&amp;"M€")))</f>
        <v>&gt; 120M€</v>
      </c>
      <c r="DM33" s="45" t="str">
        <f>IF(DM$21&lt;'01_Input'!$K$61,"0 - "&amp;TEXT('01_Input'!$K$61/1000000,"0")&amp;"M€",IF(DM$21&lt;'01_Input'!$O$61,TEXT('01_Input'!$K$61/1000000,"0")&amp;" - "&amp;TEXT('01_Input'!$O$61/1000000,"0")&amp;"M€",IF(DM$21&lt;'01_Input'!$S$61,TEXT('01_Input'!$O$61/1000000,"0")&amp;" - "&amp;TEXT('01_Input'!$S$61/1000000,"0")&amp;"M€","&gt; "&amp;TEXT('01_Input'!$S$61/1000000,"0")&amp;"M€")))</f>
        <v>&gt; 120M€</v>
      </c>
      <c r="DN33" s="45" t="str">
        <f>IF(DN$21&lt;'01_Input'!$K$61,"0 - "&amp;TEXT('01_Input'!$K$61/1000000,"0")&amp;"M€",IF(DN$21&lt;'01_Input'!$O$61,TEXT('01_Input'!$K$61/1000000,"0")&amp;" - "&amp;TEXT('01_Input'!$O$61/1000000,"0")&amp;"M€",IF(DN$21&lt;'01_Input'!$S$61,TEXT('01_Input'!$O$61/1000000,"0")&amp;" - "&amp;TEXT('01_Input'!$S$61/1000000,"0")&amp;"M€","&gt; "&amp;TEXT('01_Input'!$S$61/1000000,"0")&amp;"M€")))</f>
        <v>&gt; 120M€</v>
      </c>
      <c r="DO33" s="45" t="str">
        <f>IF(DO$21&lt;'01_Input'!$K$61,"0 - "&amp;TEXT('01_Input'!$K$61/1000000,"0")&amp;"M€",IF(DO$21&lt;'01_Input'!$O$61,TEXT('01_Input'!$K$61/1000000,"0")&amp;" - "&amp;TEXT('01_Input'!$O$61/1000000,"0")&amp;"M€",IF(DO$21&lt;'01_Input'!$S$61,TEXT('01_Input'!$O$61/1000000,"0")&amp;" - "&amp;TEXT('01_Input'!$S$61/1000000,"0")&amp;"M€","&gt; "&amp;TEXT('01_Input'!$S$61/1000000,"0")&amp;"M€")))</f>
        <v>&gt; 120M€</v>
      </c>
      <c r="DP33" s="45" t="str">
        <f>IF(DP$21&lt;'01_Input'!$K$61,"0 - "&amp;TEXT('01_Input'!$K$61/1000000,"0")&amp;"M€",IF(DP$21&lt;'01_Input'!$O$61,TEXT('01_Input'!$K$61/1000000,"0")&amp;" - "&amp;TEXT('01_Input'!$O$61/1000000,"0")&amp;"M€",IF(DP$21&lt;'01_Input'!$S$61,TEXT('01_Input'!$O$61/1000000,"0")&amp;" - "&amp;TEXT('01_Input'!$S$61/1000000,"0")&amp;"M€","&gt; "&amp;TEXT('01_Input'!$S$61/1000000,"0")&amp;"M€")))</f>
        <v>&gt; 120M€</v>
      </c>
      <c r="DQ33" s="45" t="str">
        <f>IF(DQ$21&lt;'01_Input'!$K$61,"0 - "&amp;TEXT('01_Input'!$K$61/1000000,"0")&amp;"M€",IF(DQ$21&lt;'01_Input'!$O$61,TEXT('01_Input'!$K$61/1000000,"0")&amp;" - "&amp;TEXT('01_Input'!$O$61/1000000,"0")&amp;"M€",IF(DQ$21&lt;'01_Input'!$S$61,TEXT('01_Input'!$O$61/1000000,"0")&amp;" - "&amp;TEXT('01_Input'!$S$61/1000000,"0")&amp;"M€","&gt; "&amp;TEXT('01_Input'!$S$61/1000000,"0")&amp;"M€")))</f>
        <v>&gt; 120M€</v>
      </c>
      <c r="DR33" s="45" t="str">
        <f>IF(DR$21&lt;'01_Input'!$K$61,"0 - "&amp;TEXT('01_Input'!$K$61/1000000,"0")&amp;"M€",IF(DR$21&lt;'01_Input'!$O$61,TEXT('01_Input'!$K$61/1000000,"0")&amp;" - "&amp;TEXT('01_Input'!$O$61/1000000,"0")&amp;"M€",IF(DR$21&lt;'01_Input'!$S$61,TEXT('01_Input'!$O$61/1000000,"0")&amp;" - "&amp;TEXT('01_Input'!$S$61/1000000,"0")&amp;"M€","&gt; "&amp;TEXT('01_Input'!$S$61/1000000,"0")&amp;"M€")))</f>
        <v>&gt; 120M€</v>
      </c>
      <c r="DS33" s="45" t="str">
        <f>IF(DS$21&lt;'01_Input'!$K$61,"0 - "&amp;TEXT('01_Input'!$K$61/1000000,"0")&amp;"M€",IF(DS$21&lt;'01_Input'!$O$61,TEXT('01_Input'!$K$61/1000000,"0")&amp;" - "&amp;TEXT('01_Input'!$O$61/1000000,"0")&amp;"M€",IF(DS$21&lt;'01_Input'!$S$61,TEXT('01_Input'!$O$61/1000000,"0")&amp;" - "&amp;TEXT('01_Input'!$S$61/1000000,"0")&amp;"M€","&gt; "&amp;TEXT('01_Input'!$S$61/1000000,"0")&amp;"M€")))</f>
        <v>&gt; 120M€</v>
      </c>
      <c r="DT33" s="45" t="str">
        <f>IF(DT$21&lt;'01_Input'!$K$61,"0 - "&amp;TEXT('01_Input'!$K$61/1000000,"0")&amp;"M€",IF(DT$21&lt;'01_Input'!$O$61,TEXT('01_Input'!$K$61/1000000,"0")&amp;" - "&amp;TEXT('01_Input'!$O$61/1000000,"0")&amp;"M€",IF(DT$21&lt;'01_Input'!$S$61,TEXT('01_Input'!$O$61/1000000,"0")&amp;" - "&amp;TEXT('01_Input'!$S$61/1000000,"0")&amp;"M€","&gt; "&amp;TEXT('01_Input'!$S$61/1000000,"0")&amp;"M€")))</f>
        <v>&gt; 120M€</v>
      </c>
      <c r="DU33" s="45" t="str">
        <f>IF(DU$21&lt;'01_Input'!$K$61,"0 - "&amp;TEXT('01_Input'!$K$61/1000000,"0")&amp;"M€",IF(DU$21&lt;'01_Input'!$O$61,TEXT('01_Input'!$K$61/1000000,"0")&amp;" - "&amp;TEXT('01_Input'!$O$61/1000000,"0")&amp;"M€",IF(DU$21&lt;'01_Input'!$S$61,TEXT('01_Input'!$O$61/1000000,"0")&amp;" - "&amp;TEXT('01_Input'!$S$61/1000000,"0")&amp;"M€","&gt; "&amp;TEXT('01_Input'!$S$61/1000000,"0")&amp;"M€")))</f>
        <v>&gt; 120M€</v>
      </c>
      <c r="DV33" s="45" t="str">
        <f>IF(DV$21&lt;'01_Input'!$K$61,"0 - "&amp;TEXT('01_Input'!$K$61/1000000,"0")&amp;"M€",IF(DV$21&lt;'01_Input'!$O$61,TEXT('01_Input'!$K$61/1000000,"0")&amp;" - "&amp;TEXT('01_Input'!$O$61/1000000,"0")&amp;"M€",IF(DV$21&lt;'01_Input'!$S$61,TEXT('01_Input'!$O$61/1000000,"0")&amp;" - "&amp;TEXT('01_Input'!$S$61/1000000,"0")&amp;"M€","&gt; "&amp;TEXT('01_Input'!$S$61/1000000,"0")&amp;"M€")))</f>
        <v>&gt; 120M€</v>
      </c>
      <c r="DW33" s="45" t="str">
        <f>IF(DW$21&lt;'01_Input'!$K$61,"0 - "&amp;TEXT('01_Input'!$K$61/1000000,"0")&amp;"M€",IF(DW$21&lt;'01_Input'!$O$61,TEXT('01_Input'!$K$61/1000000,"0")&amp;" - "&amp;TEXT('01_Input'!$O$61/1000000,"0")&amp;"M€",IF(DW$21&lt;'01_Input'!$S$61,TEXT('01_Input'!$O$61/1000000,"0")&amp;" - "&amp;TEXT('01_Input'!$S$61/1000000,"0")&amp;"M€","&gt; "&amp;TEXT('01_Input'!$S$61/1000000,"0")&amp;"M€")))</f>
        <v>&gt; 120M€</v>
      </c>
      <c r="DX33" s="45" t="str">
        <f>IF(DX$21&lt;'01_Input'!$K$61,"0 - "&amp;TEXT('01_Input'!$K$61/1000000,"0")&amp;"M€",IF(DX$21&lt;'01_Input'!$O$61,TEXT('01_Input'!$K$61/1000000,"0")&amp;" - "&amp;TEXT('01_Input'!$O$61/1000000,"0")&amp;"M€",IF(DX$21&lt;'01_Input'!$S$61,TEXT('01_Input'!$O$61/1000000,"0")&amp;" - "&amp;TEXT('01_Input'!$S$61/1000000,"0")&amp;"M€","&gt; "&amp;TEXT('01_Input'!$S$61/1000000,"0")&amp;"M€")))</f>
        <v>&gt; 120M€</v>
      </c>
      <c r="DY33" s="45" t="str">
        <f>IF(DY$21&lt;'01_Input'!$K$61,"0 - "&amp;TEXT('01_Input'!$K$61/1000000,"0")&amp;"M€",IF(DY$21&lt;'01_Input'!$O$61,TEXT('01_Input'!$K$61/1000000,"0")&amp;" - "&amp;TEXT('01_Input'!$O$61/1000000,"0")&amp;"M€",IF(DY$21&lt;'01_Input'!$S$61,TEXT('01_Input'!$O$61/1000000,"0")&amp;" - "&amp;TEXT('01_Input'!$S$61/1000000,"0")&amp;"M€","&gt; "&amp;TEXT('01_Input'!$S$61/1000000,"0")&amp;"M€")))</f>
        <v>&gt; 120M€</v>
      </c>
      <c r="DZ33" s="45" t="str">
        <f>IF(DZ$21&lt;'01_Input'!$K$61,"0 - "&amp;TEXT('01_Input'!$K$61/1000000,"0")&amp;"M€",IF(DZ$21&lt;'01_Input'!$O$61,TEXT('01_Input'!$K$61/1000000,"0")&amp;" - "&amp;TEXT('01_Input'!$O$61/1000000,"0")&amp;"M€",IF(DZ$21&lt;'01_Input'!$S$61,TEXT('01_Input'!$O$61/1000000,"0")&amp;" - "&amp;TEXT('01_Input'!$S$61/1000000,"0")&amp;"M€","&gt; "&amp;TEXT('01_Input'!$S$61/1000000,"0")&amp;"M€")))</f>
        <v>&gt; 120M€</v>
      </c>
      <c r="EA33" s="45" t="str">
        <f>IF(EA$21&lt;'01_Input'!$K$61,"0 - "&amp;TEXT('01_Input'!$K$61/1000000,"0")&amp;"M€",IF(EA$21&lt;'01_Input'!$O$61,TEXT('01_Input'!$K$61/1000000,"0")&amp;" - "&amp;TEXT('01_Input'!$O$61/1000000,"0")&amp;"M€",IF(EA$21&lt;'01_Input'!$S$61,TEXT('01_Input'!$O$61/1000000,"0")&amp;" - "&amp;TEXT('01_Input'!$S$61/1000000,"0")&amp;"M€","&gt; "&amp;TEXT('01_Input'!$S$61/1000000,"0")&amp;"M€")))</f>
        <v>&gt; 120M€</v>
      </c>
      <c r="EB33" s="45" t="str">
        <f>IF(EB$21&lt;'01_Input'!$K$61,"0 - "&amp;TEXT('01_Input'!$K$61/1000000,"0")&amp;"M€",IF(EB$21&lt;'01_Input'!$O$61,TEXT('01_Input'!$K$61/1000000,"0")&amp;" - "&amp;TEXT('01_Input'!$O$61/1000000,"0")&amp;"M€",IF(EB$21&lt;'01_Input'!$S$61,TEXT('01_Input'!$O$61/1000000,"0")&amp;" - "&amp;TEXT('01_Input'!$S$61/1000000,"0")&amp;"M€","&gt; "&amp;TEXT('01_Input'!$S$61/1000000,"0")&amp;"M€")))</f>
        <v>&gt; 120M€</v>
      </c>
      <c r="EC33" s="45" t="str">
        <f>IF(EC$21&lt;'01_Input'!$K$61,"0 - "&amp;TEXT('01_Input'!$K$61/1000000,"0")&amp;"M€",IF(EC$21&lt;'01_Input'!$O$61,TEXT('01_Input'!$K$61/1000000,"0")&amp;" - "&amp;TEXT('01_Input'!$O$61/1000000,"0")&amp;"M€",IF(EC$21&lt;'01_Input'!$S$61,TEXT('01_Input'!$O$61/1000000,"0")&amp;" - "&amp;TEXT('01_Input'!$S$61/1000000,"0")&amp;"M€","&gt; "&amp;TEXT('01_Input'!$S$61/1000000,"0")&amp;"M€")))</f>
        <v>&gt; 120M€</v>
      </c>
      <c r="ED33" s="45" t="str">
        <f>IF(ED$21&lt;'01_Input'!$K$61,"0 - "&amp;TEXT('01_Input'!$K$61/1000000,"0")&amp;"M€",IF(ED$21&lt;'01_Input'!$O$61,TEXT('01_Input'!$K$61/1000000,"0")&amp;" - "&amp;TEXT('01_Input'!$O$61/1000000,"0")&amp;"M€",IF(ED$21&lt;'01_Input'!$S$61,TEXT('01_Input'!$O$61/1000000,"0")&amp;" - "&amp;TEXT('01_Input'!$S$61/1000000,"0")&amp;"M€","&gt; "&amp;TEXT('01_Input'!$S$61/1000000,"0")&amp;"M€")))</f>
        <v>&gt; 120M€</v>
      </c>
      <c r="EE33" s="45" t="str">
        <f>IF(EE$21&lt;'01_Input'!$K$61,"0 - "&amp;TEXT('01_Input'!$K$61/1000000,"0")&amp;"M€",IF(EE$21&lt;'01_Input'!$O$61,TEXT('01_Input'!$K$61/1000000,"0")&amp;" - "&amp;TEXT('01_Input'!$O$61/1000000,"0")&amp;"M€",IF(EE$21&lt;'01_Input'!$S$61,TEXT('01_Input'!$O$61/1000000,"0")&amp;" - "&amp;TEXT('01_Input'!$S$61/1000000,"0")&amp;"M€","&gt; "&amp;TEXT('01_Input'!$S$61/1000000,"0")&amp;"M€")))</f>
        <v>&gt; 120M€</v>
      </c>
      <c r="EF33" s="45" t="str">
        <f>IF(EF$21&lt;'01_Input'!$K$61,"0 - "&amp;TEXT('01_Input'!$K$61/1000000,"0")&amp;"M€",IF(EF$21&lt;'01_Input'!$O$61,TEXT('01_Input'!$K$61/1000000,"0")&amp;" - "&amp;TEXT('01_Input'!$O$61/1000000,"0")&amp;"M€",IF(EF$21&lt;'01_Input'!$S$61,TEXT('01_Input'!$O$61/1000000,"0")&amp;" - "&amp;TEXT('01_Input'!$S$61/1000000,"0")&amp;"M€","&gt; "&amp;TEXT('01_Input'!$S$61/1000000,"0")&amp;"M€")))</f>
        <v>&gt; 120M€</v>
      </c>
      <c r="EG33" s="45" t="str">
        <f>IF(EG$21&lt;'01_Input'!$K$61,"0 - "&amp;TEXT('01_Input'!$K$61/1000000,"0")&amp;"M€",IF(EG$21&lt;'01_Input'!$O$61,TEXT('01_Input'!$K$61/1000000,"0")&amp;" - "&amp;TEXT('01_Input'!$O$61/1000000,"0")&amp;"M€",IF(EG$21&lt;'01_Input'!$S$61,TEXT('01_Input'!$O$61/1000000,"0")&amp;" - "&amp;TEXT('01_Input'!$S$61/1000000,"0")&amp;"M€","&gt; "&amp;TEXT('01_Input'!$S$61/1000000,"0")&amp;"M€")))</f>
        <v>&gt; 120M€</v>
      </c>
      <c r="EH33" s="45" t="str">
        <f>IF(EH$21&lt;'01_Input'!$K$61,"0 - "&amp;TEXT('01_Input'!$K$61/1000000,"0")&amp;"M€",IF(EH$21&lt;'01_Input'!$O$61,TEXT('01_Input'!$K$61/1000000,"0")&amp;" - "&amp;TEXT('01_Input'!$O$61/1000000,"0")&amp;"M€",IF(EH$21&lt;'01_Input'!$S$61,TEXT('01_Input'!$O$61/1000000,"0")&amp;" - "&amp;TEXT('01_Input'!$S$61/1000000,"0")&amp;"M€","&gt; "&amp;TEXT('01_Input'!$S$61/1000000,"0")&amp;"M€")))</f>
        <v>&gt; 120M€</v>
      </c>
      <c r="EI33" s="45" t="str">
        <f>IF(EI$21&lt;'01_Input'!$K$61,"0 - "&amp;TEXT('01_Input'!$K$61/1000000,"0")&amp;"M€",IF(EI$21&lt;'01_Input'!$O$61,TEXT('01_Input'!$K$61/1000000,"0")&amp;" - "&amp;TEXT('01_Input'!$O$61/1000000,"0")&amp;"M€",IF(EI$21&lt;'01_Input'!$S$61,TEXT('01_Input'!$O$61/1000000,"0")&amp;" - "&amp;TEXT('01_Input'!$S$61/1000000,"0")&amp;"M€","&gt; "&amp;TEXT('01_Input'!$S$61/1000000,"0")&amp;"M€")))</f>
        <v>&gt; 120M€</v>
      </c>
      <c r="EJ33" s="45" t="str">
        <f>IF(EJ$21&lt;'01_Input'!$K$61,"0 - "&amp;TEXT('01_Input'!$K$61/1000000,"0")&amp;"M€",IF(EJ$21&lt;'01_Input'!$O$61,TEXT('01_Input'!$K$61/1000000,"0")&amp;" - "&amp;TEXT('01_Input'!$O$61/1000000,"0")&amp;"M€",IF(EJ$21&lt;'01_Input'!$S$61,TEXT('01_Input'!$O$61/1000000,"0")&amp;" - "&amp;TEXT('01_Input'!$S$61/1000000,"0")&amp;"M€","&gt; "&amp;TEXT('01_Input'!$S$61/1000000,"0")&amp;"M€")))</f>
        <v>&gt; 120M€</v>
      </c>
      <c r="EK33" s="45" t="str">
        <f>IF(EK$21&lt;'01_Input'!$K$61,"0 - "&amp;TEXT('01_Input'!$K$61/1000000,"0")&amp;"M€",IF(EK$21&lt;'01_Input'!$O$61,TEXT('01_Input'!$K$61/1000000,"0")&amp;" - "&amp;TEXT('01_Input'!$O$61/1000000,"0")&amp;"M€",IF(EK$21&lt;'01_Input'!$S$61,TEXT('01_Input'!$O$61/1000000,"0")&amp;" - "&amp;TEXT('01_Input'!$S$61/1000000,"0")&amp;"M€","&gt; "&amp;TEXT('01_Input'!$S$61/1000000,"0")&amp;"M€")))</f>
        <v>&gt; 120M€</v>
      </c>
      <c r="EL33" s="45" t="str">
        <f>IF(EL$21&lt;'01_Input'!$K$61,"0 - "&amp;TEXT('01_Input'!$K$61/1000000,"0")&amp;"M€",IF(EL$21&lt;'01_Input'!$O$61,TEXT('01_Input'!$K$61/1000000,"0")&amp;" - "&amp;TEXT('01_Input'!$O$61/1000000,"0")&amp;"M€",IF(EL$21&lt;'01_Input'!$S$61,TEXT('01_Input'!$O$61/1000000,"0")&amp;" - "&amp;TEXT('01_Input'!$S$61/1000000,"0")&amp;"M€","&gt; "&amp;TEXT('01_Input'!$S$61/1000000,"0")&amp;"M€")))</f>
        <v>&gt; 120M€</v>
      </c>
      <c r="EM33" s="45" t="str">
        <f>IF(EM$21&lt;'01_Input'!$K$61,"0 - "&amp;TEXT('01_Input'!$K$61/1000000,"0")&amp;"M€",IF(EM$21&lt;'01_Input'!$O$61,TEXT('01_Input'!$K$61/1000000,"0")&amp;" - "&amp;TEXT('01_Input'!$O$61/1000000,"0")&amp;"M€",IF(EM$21&lt;'01_Input'!$S$61,TEXT('01_Input'!$O$61/1000000,"0")&amp;" - "&amp;TEXT('01_Input'!$S$61/1000000,"0")&amp;"M€","&gt; "&amp;TEXT('01_Input'!$S$61/1000000,"0")&amp;"M€")))</f>
        <v>&gt; 120M€</v>
      </c>
      <c r="EN33" s="45" t="str">
        <f>IF(EN$21&lt;'01_Input'!$K$61,"0 - "&amp;TEXT('01_Input'!$K$61/1000000,"0")&amp;"M€",IF(EN$21&lt;'01_Input'!$O$61,TEXT('01_Input'!$K$61/1000000,"0")&amp;" - "&amp;TEXT('01_Input'!$O$61/1000000,"0")&amp;"M€",IF(EN$21&lt;'01_Input'!$S$61,TEXT('01_Input'!$O$61/1000000,"0")&amp;" - "&amp;TEXT('01_Input'!$S$61/1000000,"0")&amp;"M€","&gt; "&amp;TEXT('01_Input'!$S$61/1000000,"0")&amp;"M€")))</f>
        <v>&gt; 120M€</v>
      </c>
      <c r="EO33" s="45" t="str">
        <f>IF(EO$21&lt;'01_Input'!$K$61,"0 - "&amp;TEXT('01_Input'!$K$61/1000000,"0")&amp;"M€",IF(EO$21&lt;'01_Input'!$O$61,TEXT('01_Input'!$K$61/1000000,"0")&amp;" - "&amp;TEXT('01_Input'!$O$61/1000000,"0")&amp;"M€",IF(EO$21&lt;'01_Input'!$S$61,TEXT('01_Input'!$O$61/1000000,"0")&amp;" - "&amp;TEXT('01_Input'!$S$61/1000000,"0")&amp;"M€","&gt; "&amp;TEXT('01_Input'!$S$61/1000000,"0")&amp;"M€")))</f>
        <v>&gt; 120M€</v>
      </c>
      <c r="EP33" s="45" t="str">
        <f>IF(EP$21&lt;'01_Input'!$K$61,"0 - "&amp;TEXT('01_Input'!$K$61/1000000,"0")&amp;"M€",IF(EP$21&lt;'01_Input'!$O$61,TEXT('01_Input'!$K$61/1000000,"0")&amp;" - "&amp;TEXT('01_Input'!$O$61/1000000,"0")&amp;"M€",IF(EP$21&lt;'01_Input'!$S$61,TEXT('01_Input'!$O$61/1000000,"0")&amp;" - "&amp;TEXT('01_Input'!$S$61/1000000,"0")&amp;"M€","&gt; "&amp;TEXT('01_Input'!$S$61/1000000,"0")&amp;"M€")))</f>
        <v>&gt; 120M€</v>
      </c>
      <c r="EQ33" s="45" t="str">
        <f>IF(EQ$21&lt;'01_Input'!$K$61,"0 - "&amp;TEXT('01_Input'!$K$61/1000000,"0")&amp;"M€",IF(EQ$21&lt;'01_Input'!$O$61,TEXT('01_Input'!$K$61/1000000,"0")&amp;" - "&amp;TEXT('01_Input'!$O$61/1000000,"0")&amp;"M€",IF(EQ$21&lt;'01_Input'!$S$61,TEXT('01_Input'!$O$61/1000000,"0")&amp;" - "&amp;TEXT('01_Input'!$S$61/1000000,"0")&amp;"M€","&gt; "&amp;TEXT('01_Input'!$S$61/1000000,"0")&amp;"M€")))</f>
        <v>&gt; 120M€</v>
      </c>
      <c r="ER33" s="45" t="str">
        <f>IF(ER$21&lt;'01_Input'!$K$61,"0 - "&amp;TEXT('01_Input'!$K$61/1000000,"0")&amp;"M€",IF(ER$21&lt;'01_Input'!$O$61,TEXT('01_Input'!$K$61/1000000,"0")&amp;" - "&amp;TEXT('01_Input'!$O$61/1000000,"0")&amp;"M€",IF(ER$21&lt;'01_Input'!$S$61,TEXT('01_Input'!$O$61/1000000,"0")&amp;" - "&amp;TEXT('01_Input'!$S$61/1000000,"0")&amp;"M€","&gt; "&amp;TEXT('01_Input'!$S$61/1000000,"0")&amp;"M€")))</f>
        <v>&gt; 120M€</v>
      </c>
      <c r="ES33" s="45" t="str">
        <f>IF(ES$21&lt;'01_Input'!$K$61,"0 - "&amp;TEXT('01_Input'!$K$61/1000000,"0")&amp;"M€",IF(ES$21&lt;'01_Input'!$O$61,TEXT('01_Input'!$K$61/1000000,"0")&amp;" - "&amp;TEXT('01_Input'!$O$61/1000000,"0")&amp;"M€",IF(ES$21&lt;'01_Input'!$S$61,TEXT('01_Input'!$O$61/1000000,"0")&amp;" - "&amp;TEXT('01_Input'!$S$61/1000000,"0")&amp;"M€","&gt; "&amp;TEXT('01_Input'!$S$61/1000000,"0")&amp;"M€")))</f>
        <v>&gt; 120M€</v>
      </c>
      <c r="ET33" s="45" t="str">
        <f>IF(ET$21&lt;'01_Input'!$K$61,"0 - "&amp;TEXT('01_Input'!$K$61/1000000,"0")&amp;"M€",IF(ET$21&lt;'01_Input'!$O$61,TEXT('01_Input'!$K$61/1000000,"0")&amp;" - "&amp;TEXT('01_Input'!$O$61/1000000,"0")&amp;"M€",IF(ET$21&lt;'01_Input'!$S$61,TEXT('01_Input'!$O$61/1000000,"0")&amp;" - "&amp;TEXT('01_Input'!$S$61/1000000,"0")&amp;"M€","&gt; "&amp;TEXT('01_Input'!$S$61/1000000,"0")&amp;"M€")))</f>
        <v>&gt; 120M€</v>
      </c>
      <c r="EU33" s="45" t="str">
        <f>IF(EU$21&lt;'01_Input'!$K$61,"0 - "&amp;TEXT('01_Input'!$K$61/1000000,"0")&amp;"M€",IF(EU$21&lt;'01_Input'!$O$61,TEXT('01_Input'!$K$61/1000000,"0")&amp;" - "&amp;TEXT('01_Input'!$O$61/1000000,"0")&amp;"M€",IF(EU$21&lt;'01_Input'!$S$61,TEXT('01_Input'!$O$61/1000000,"0")&amp;" - "&amp;TEXT('01_Input'!$S$61/1000000,"0")&amp;"M€","&gt; "&amp;TEXT('01_Input'!$S$61/1000000,"0")&amp;"M€")))</f>
        <v>&gt; 120M€</v>
      </c>
      <c r="EV33" s="45" t="str">
        <f>IF(EV$21&lt;'01_Input'!$K$61,"0 - "&amp;TEXT('01_Input'!$K$61/1000000,"0")&amp;"M€",IF(EV$21&lt;'01_Input'!$O$61,TEXT('01_Input'!$K$61/1000000,"0")&amp;" - "&amp;TEXT('01_Input'!$O$61/1000000,"0")&amp;"M€",IF(EV$21&lt;'01_Input'!$S$61,TEXT('01_Input'!$O$61/1000000,"0")&amp;" - "&amp;TEXT('01_Input'!$S$61/1000000,"0")&amp;"M€","&gt; "&amp;TEXT('01_Input'!$S$61/1000000,"0")&amp;"M€")))</f>
        <v>&gt; 120M€</v>
      </c>
      <c r="EW33" s="45" t="str">
        <f>IF(EW$21&lt;'01_Input'!$K$61,"0 - "&amp;TEXT('01_Input'!$K$61/1000000,"0")&amp;"M€",IF(EW$21&lt;'01_Input'!$O$61,TEXT('01_Input'!$K$61/1000000,"0")&amp;" - "&amp;TEXT('01_Input'!$O$61/1000000,"0")&amp;"M€",IF(EW$21&lt;'01_Input'!$S$61,TEXT('01_Input'!$O$61/1000000,"0")&amp;" - "&amp;TEXT('01_Input'!$S$61/1000000,"0")&amp;"M€","&gt; "&amp;TEXT('01_Input'!$S$61/1000000,"0")&amp;"M€")))</f>
        <v>&gt; 120M€</v>
      </c>
      <c r="EX33" s="45" t="str">
        <f>IF(EX$21&lt;'01_Input'!$K$61,"0 - "&amp;TEXT('01_Input'!$K$61/1000000,"0")&amp;"M€",IF(EX$21&lt;'01_Input'!$O$61,TEXT('01_Input'!$K$61/1000000,"0")&amp;" - "&amp;TEXT('01_Input'!$O$61/1000000,"0")&amp;"M€",IF(EX$21&lt;'01_Input'!$S$61,TEXT('01_Input'!$O$61/1000000,"0")&amp;" - "&amp;TEXT('01_Input'!$S$61/1000000,"0")&amp;"M€","&gt; "&amp;TEXT('01_Input'!$S$61/1000000,"0")&amp;"M€")))</f>
        <v>&gt; 120M€</v>
      </c>
    </row>
    <row r="34" ht="15.75" customHeight="1">
      <c r="B34" s="71" t="s">
        <v>233</v>
      </c>
      <c r="E34" s="25">
        <f>IF(E$21&lt;'01_Input'!$K$61,'01_Input'!$M$61,IF(E$21&lt;'01_Input'!$O$61,'01_Input'!$Q$61,IF(E$21&lt;'01_Input'!$S$61,'01_Input'!$U$61,'01_Input'!$Y$61)))</f>
        <v>12000</v>
      </c>
      <c r="F34" s="25">
        <f>IF(F$21&lt;'01_Input'!$K$61,'01_Input'!$M$61,IF(F$21&lt;'01_Input'!$O$61,'01_Input'!$Q$61,IF(F$21&lt;'01_Input'!$S$61,'01_Input'!$U$61,'01_Input'!$Y$61)))</f>
        <v>12000</v>
      </c>
      <c r="G34" s="25">
        <f>IF(G$21&lt;'01_Input'!$K$61,'01_Input'!$M$61,IF(G$21&lt;'01_Input'!$O$61,'01_Input'!$Q$61,IF(G$21&lt;'01_Input'!$S$61,'01_Input'!$U$61,'01_Input'!$Y$61)))</f>
        <v>12000</v>
      </c>
      <c r="H34" s="25">
        <f>IF(H$21&lt;'01_Input'!$K$61,'01_Input'!$M$61,IF(H$21&lt;'01_Input'!$O$61,'01_Input'!$Q$61,IF(H$21&lt;'01_Input'!$S$61,'01_Input'!$U$61,'01_Input'!$Y$61)))</f>
        <v>12000</v>
      </c>
      <c r="I34" s="25">
        <f>IF(I$21&lt;'01_Input'!$K$61,'01_Input'!$M$61,IF(I$21&lt;'01_Input'!$O$61,'01_Input'!$Q$61,IF(I$21&lt;'01_Input'!$S$61,'01_Input'!$U$61,'01_Input'!$Y$61)))</f>
        <v>12000</v>
      </c>
      <c r="J34" s="25">
        <f>IF(J$21&lt;'01_Input'!$K$61,'01_Input'!$M$61,IF(J$21&lt;'01_Input'!$O$61,'01_Input'!$Q$61,IF(J$21&lt;'01_Input'!$S$61,'01_Input'!$U$61,'01_Input'!$Y$61)))</f>
        <v>12000</v>
      </c>
      <c r="K34" s="25">
        <f>IF(K$21&lt;'01_Input'!$K$61,'01_Input'!$M$61,IF(K$21&lt;'01_Input'!$O$61,'01_Input'!$Q$61,IF(K$21&lt;'01_Input'!$S$61,'01_Input'!$U$61,'01_Input'!$Y$61)))</f>
        <v>12000</v>
      </c>
      <c r="L34" s="25">
        <f>IF(L$21&lt;'01_Input'!$K$61,'01_Input'!$M$61,IF(L$21&lt;'01_Input'!$O$61,'01_Input'!$Q$61,IF(L$21&lt;'01_Input'!$S$61,'01_Input'!$U$61,'01_Input'!$Y$61)))</f>
        <v>14000</v>
      </c>
      <c r="M34" s="25">
        <f>IF(M$21&lt;'01_Input'!$K$61,'01_Input'!$M$61,IF(M$21&lt;'01_Input'!$O$61,'01_Input'!$Q$61,IF(M$21&lt;'01_Input'!$S$61,'01_Input'!$U$61,'01_Input'!$Y$61)))</f>
        <v>14000</v>
      </c>
      <c r="N34" s="25">
        <f>IF(N$21&lt;'01_Input'!$K$61,'01_Input'!$M$61,IF(N$21&lt;'01_Input'!$O$61,'01_Input'!$Q$61,IF(N$21&lt;'01_Input'!$S$61,'01_Input'!$U$61,'01_Input'!$Y$61)))</f>
        <v>14000</v>
      </c>
      <c r="O34" s="25">
        <f>IF(O$21&lt;'01_Input'!$K$61,'01_Input'!$M$61,IF(O$21&lt;'01_Input'!$O$61,'01_Input'!$Q$61,IF(O$21&lt;'01_Input'!$S$61,'01_Input'!$U$61,'01_Input'!$Y$61)))</f>
        <v>18000</v>
      </c>
      <c r="P34" s="25">
        <f>IF(P$21&lt;'01_Input'!$K$61,'01_Input'!$M$61,IF(P$21&lt;'01_Input'!$O$61,'01_Input'!$Q$61,IF(P$21&lt;'01_Input'!$S$61,'01_Input'!$U$61,'01_Input'!$Y$61)))</f>
        <v>18000</v>
      </c>
      <c r="Q34" s="25">
        <f>IF(Q$21&lt;'01_Input'!$K$61,'01_Input'!$M$61,IF(Q$21&lt;'01_Input'!$O$61,'01_Input'!$Q$61,IF(Q$21&lt;'01_Input'!$S$61,'01_Input'!$U$61,'01_Input'!$Y$61)))</f>
        <v>18000</v>
      </c>
      <c r="R34" s="25">
        <f>IF(R$21&lt;'01_Input'!$K$61,'01_Input'!$M$61,IF(R$21&lt;'01_Input'!$O$61,'01_Input'!$Q$61,IF(R$21&lt;'01_Input'!$S$61,'01_Input'!$U$61,'01_Input'!$Y$61)))</f>
        <v>18000</v>
      </c>
      <c r="S34" s="25">
        <f>IF(S$21&lt;'01_Input'!$K$61,'01_Input'!$M$61,IF(S$21&lt;'01_Input'!$O$61,'01_Input'!$Q$61,IF(S$21&lt;'01_Input'!$S$61,'01_Input'!$U$61,'01_Input'!$Y$61)))</f>
        <v>18000</v>
      </c>
      <c r="T34" s="25">
        <f>IF(T$21&lt;'01_Input'!$K$61,'01_Input'!$M$61,IF(T$21&lt;'01_Input'!$O$61,'01_Input'!$Q$61,IF(T$21&lt;'01_Input'!$S$61,'01_Input'!$U$61,'01_Input'!$Y$61)))</f>
        <v>18000</v>
      </c>
      <c r="U34" s="25">
        <f>IF(U$21&lt;'01_Input'!$K$61,'01_Input'!$M$61,IF(U$21&lt;'01_Input'!$O$61,'01_Input'!$Q$61,IF(U$21&lt;'01_Input'!$S$61,'01_Input'!$U$61,'01_Input'!$Y$61)))</f>
        <v>18000</v>
      </c>
      <c r="V34" s="25">
        <f>IF(V$21&lt;'01_Input'!$K$61,'01_Input'!$M$61,IF(V$21&lt;'01_Input'!$O$61,'01_Input'!$Q$61,IF(V$21&lt;'01_Input'!$S$61,'01_Input'!$U$61,'01_Input'!$Y$61)))</f>
        <v>18000</v>
      </c>
      <c r="W34" s="25">
        <f>IF(W$21&lt;'01_Input'!$K$61,'01_Input'!$M$61,IF(W$21&lt;'01_Input'!$O$61,'01_Input'!$Q$61,IF(W$21&lt;'01_Input'!$S$61,'01_Input'!$U$61,'01_Input'!$Y$61)))</f>
        <v>18000</v>
      </c>
      <c r="X34" s="25">
        <f>IF(X$21&lt;'01_Input'!$K$61,'01_Input'!$M$61,IF(X$21&lt;'01_Input'!$O$61,'01_Input'!$Q$61,IF(X$21&lt;'01_Input'!$S$61,'01_Input'!$U$61,'01_Input'!$Y$61)))</f>
        <v>18000</v>
      </c>
      <c r="Y34" s="25">
        <f>IF(Y$21&lt;'01_Input'!$K$61,'01_Input'!$M$61,IF(Y$21&lt;'01_Input'!$O$61,'01_Input'!$Q$61,IF(Y$21&lt;'01_Input'!$S$61,'01_Input'!$U$61,'01_Input'!$Y$61)))</f>
        <v>18000</v>
      </c>
      <c r="Z34" s="25">
        <f>IF(Z$21&lt;'01_Input'!$K$61,'01_Input'!$M$61,IF(Z$21&lt;'01_Input'!$O$61,'01_Input'!$Q$61,IF(Z$21&lt;'01_Input'!$S$61,'01_Input'!$U$61,'01_Input'!$Y$61)))</f>
        <v>18000</v>
      </c>
      <c r="AA34" s="25">
        <f>IF(AA$21&lt;'01_Input'!$K$61,'01_Input'!$M$61,IF(AA$21&lt;'01_Input'!$O$61,'01_Input'!$Q$61,IF(AA$21&lt;'01_Input'!$S$61,'01_Input'!$U$61,'01_Input'!$Y$61)))</f>
        <v>18000</v>
      </c>
      <c r="AB34" s="25">
        <f>IF(AB$21&lt;'01_Input'!$K$61,'01_Input'!$M$61,IF(AB$21&lt;'01_Input'!$O$61,'01_Input'!$Q$61,IF(AB$21&lt;'01_Input'!$S$61,'01_Input'!$U$61,'01_Input'!$Y$61)))</f>
        <v>18000</v>
      </c>
      <c r="AC34" s="25">
        <f>IF(AC$21&lt;'01_Input'!$K$61,'01_Input'!$M$61,IF(AC$21&lt;'01_Input'!$O$61,'01_Input'!$Q$61,IF(AC$21&lt;'01_Input'!$S$61,'01_Input'!$U$61,'01_Input'!$Y$61)))</f>
        <v>18000</v>
      </c>
      <c r="AD34" s="25">
        <f>IF(AD$21&lt;'01_Input'!$K$61,'01_Input'!$M$61,IF(AD$21&lt;'01_Input'!$O$61,'01_Input'!$Q$61,IF(AD$21&lt;'01_Input'!$S$61,'01_Input'!$U$61,'01_Input'!$Y$61)))</f>
        <v>18000</v>
      </c>
      <c r="AE34" s="25">
        <f>IF(AE$21&lt;'01_Input'!$K$61,'01_Input'!$M$61,IF(AE$21&lt;'01_Input'!$O$61,'01_Input'!$Q$61,IF(AE$21&lt;'01_Input'!$S$61,'01_Input'!$U$61,'01_Input'!$Y$61)))</f>
        <v>18000</v>
      </c>
      <c r="AF34" s="25">
        <f>IF(AF$21&lt;'01_Input'!$K$61,'01_Input'!$M$61,IF(AF$21&lt;'01_Input'!$O$61,'01_Input'!$Q$61,IF(AF$21&lt;'01_Input'!$S$61,'01_Input'!$U$61,'01_Input'!$Y$61)))</f>
        <v>18000</v>
      </c>
      <c r="AG34" s="25">
        <f>IF(AG$21&lt;'01_Input'!$K$61,'01_Input'!$M$61,IF(AG$21&lt;'01_Input'!$O$61,'01_Input'!$Q$61,IF(AG$21&lt;'01_Input'!$S$61,'01_Input'!$U$61,'01_Input'!$Y$61)))</f>
        <v>18000</v>
      </c>
      <c r="AH34" s="25">
        <f>IF(AH$21&lt;'01_Input'!$K$61,'01_Input'!$M$61,IF(AH$21&lt;'01_Input'!$O$61,'01_Input'!$Q$61,IF(AH$21&lt;'01_Input'!$S$61,'01_Input'!$U$61,'01_Input'!$Y$61)))</f>
        <v>18000</v>
      </c>
      <c r="AI34" s="25">
        <f>IF(AI$21&lt;'01_Input'!$K$61,'01_Input'!$M$61,IF(AI$21&lt;'01_Input'!$O$61,'01_Input'!$Q$61,IF(AI$21&lt;'01_Input'!$S$61,'01_Input'!$U$61,'01_Input'!$Y$61)))</f>
        <v>18000</v>
      </c>
      <c r="AJ34" s="25">
        <f>IF(AJ$21&lt;'01_Input'!$K$61,'01_Input'!$M$61,IF(AJ$21&lt;'01_Input'!$O$61,'01_Input'!$Q$61,IF(AJ$21&lt;'01_Input'!$S$61,'01_Input'!$U$61,'01_Input'!$Y$61)))</f>
        <v>18000</v>
      </c>
      <c r="AK34" s="25">
        <f>IF(AK$21&lt;'01_Input'!$K$61,'01_Input'!$M$61,IF(AK$21&lt;'01_Input'!$O$61,'01_Input'!$Q$61,IF(AK$21&lt;'01_Input'!$S$61,'01_Input'!$U$61,'01_Input'!$Y$61)))</f>
        <v>18000</v>
      </c>
      <c r="AL34" s="25">
        <f>IF(AL$21&lt;'01_Input'!$K$61,'01_Input'!$M$61,IF(AL$21&lt;'01_Input'!$O$61,'01_Input'!$Q$61,IF(AL$21&lt;'01_Input'!$S$61,'01_Input'!$U$61,'01_Input'!$Y$61)))</f>
        <v>18000</v>
      </c>
      <c r="AM34" s="25">
        <f>IF(AM$21&lt;'01_Input'!$K$61,'01_Input'!$M$61,IF(AM$21&lt;'01_Input'!$O$61,'01_Input'!$Q$61,IF(AM$21&lt;'01_Input'!$S$61,'01_Input'!$U$61,'01_Input'!$Y$61)))</f>
        <v>18000</v>
      </c>
      <c r="AN34" s="25">
        <f>IF(AN$21&lt;'01_Input'!$K$61,'01_Input'!$M$61,IF(AN$21&lt;'01_Input'!$O$61,'01_Input'!$Q$61,IF(AN$21&lt;'01_Input'!$S$61,'01_Input'!$U$61,'01_Input'!$Y$61)))</f>
        <v>18000</v>
      </c>
      <c r="AO34" s="25">
        <f>IF(AO$21&lt;'01_Input'!$K$61,'01_Input'!$M$61,IF(AO$21&lt;'01_Input'!$O$61,'01_Input'!$Q$61,IF(AO$21&lt;'01_Input'!$S$61,'01_Input'!$U$61,'01_Input'!$Y$61)))</f>
        <v>18000</v>
      </c>
      <c r="AP34" s="25">
        <f>IF(AP$21&lt;'01_Input'!$K$61,'01_Input'!$M$61,IF(AP$21&lt;'01_Input'!$O$61,'01_Input'!$Q$61,IF(AP$21&lt;'01_Input'!$S$61,'01_Input'!$U$61,'01_Input'!$Y$61)))</f>
        <v>18000</v>
      </c>
      <c r="AQ34" s="25">
        <f>IF(AQ$21&lt;'01_Input'!$K$61,'01_Input'!$M$61,IF(AQ$21&lt;'01_Input'!$O$61,'01_Input'!$Q$61,IF(AQ$21&lt;'01_Input'!$S$61,'01_Input'!$U$61,'01_Input'!$Y$61)))</f>
        <v>18000</v>
      </c>
      <c r="AR34" s="25">
        <f>IF(AR$21&lt;'01_Input'!$K$61,'01_Input'!$M$61,IF(AR$21&lt;'01_Input'!$O$61,'01_Input'!$Q$61,IF(AR$21&lt;'01_Input'!$S$61,'01_Input'!$U$61,'01_Input'!$Y$61)))</f>
        <v>18000</v>
      </c>
      <c r="AS34" s="25">
        <f>IF(AS$21&lt;'01_Input'!$K$61,'01_Input'!$M$61,IF(AS$21&lt;'01_Input'!$O$61,'01_Input'!$Q$61,IF(AS$21&lt;'01_Input'!$S$61,'01_Input'!$U$61,'01_Input'!$Y$61)))</f>
        <v>18000</v>
      </c>
      <c r="AT34" s="25">
        <f>IF(AT$21&lt;'01_Input'!$K$61,'01_Input'!$M$61,IF(AT$21&lt;'01_Input'!$O$61,'01_Input'!$Q$61,IF(AT$21&lt;'01_Input'!$S$61,'01_Input'!$U$61,'01_Input'!$Y$61)))</f>
        <v>18000</v>
      </c>
      <c r="AU34" s="25">
        <f>IF(AU$21&lt;'01_Input'!$K$61,'01_Input'!$M$61,IF(AU$21&lt;'01_Input'!$O$61,'01_Input'!$Q$61,IF(AU$21&lt;'01_Input'!$S$61,'01_Input'!$U$61,'01_Input'!$Y$61)))</f>
        <v>18000</v>
      </c>
      <c r="AV34" s="25">
        <f>IF(AV$21&lt;'01_Input'!$K$61,'01_Input'!$M$61,IF(AV$21&lt;'01_Input'!$O$61,'01_Input'!$Q$61,IF(AV$21&lt;'01_Input'!$S$61,'01_Input'!$U$61,'01_Input'!$Y$61)))</f>
        <v>18000</v>
      </c>
      <c r="AW34" s="25">
        <f>IF(AW$21&lt;'01_Input'!$K$61,'01_Input'!$M$61,IF(AW$21&lt;'01_Input'!$O$61,'01_Input'!$Q$61,IF(AW$21&lt;'01_Input'!$S$61,'01_Input'!$U$61,'01_Input'!$Y$61)))</f>
        <v>18000</v>
      </c>
      <c r="AX34" s="25">
        <f>IF(AX$21&lt;'01_Input'!$K$61,'01_Input'!$M$61,IF(AX$21&lt;'01_Input'!$O$61,'01_Input'!$Q$61,IF(AX$21&lt;'01_Input'!$S$61,'01_Input'!$U$61,'01_Input'!$Y$61)))</f>
        <v>18000</v>
      </c>
      <c r="AY34" s="25">
        <f>IF(AY$21&lt;'01_Input'!$K$61,'01_Input'!$M$61,IF(AY$21&lt;'01_Input'!$O$61,'01_Input'!$Q$61,IF(AY$21&lt;'01_Input'!$S$61,'01_Input'!$U$61,'01_Input'!$Y$61)))</f>
        <v>18000</v>
      </c>
      <c r="AZ34" s="25">
        <f>IF(AZ$21&lt;'01_Input'!$K$61,'01_Input'!$M$61,IF(AZ$21&lt;'01_Input'!$O$61,'01_Input'!$Q$61,IF(AZ$21&lt;'01_Input'!$S$61,'01_Input'!$U$61,'01_Input'!$Y$61)))</f>
        <v>18000</v>
      </c>
      <c r="BA34" s="25">
        <f>IF(BA$21&lt;'01_Input'!$K$61,'01_Input'!$M$61,IF(BA$21&lt;'01_Input'!$O$61,'01_Input'!$Q$61,IF(BA$21&lt;'01_Input'!$S$61,'01_Input'!$U$61,'01_Input'!$Y$61)))</f>
        <v>18000</v>
      </c>
      <c r="BB34" s="25">
        <f>IF(BB$21&lt;'01_Input'!$K$61,'01_Input'!$M$61,IF(BB$21&lt;'01_Input'!$O$61,'01_Input'!$Q$61,IF(BB$21&lt;'01_Input'!$S$61,'01_Input'!$U$61,'01_Input'!$Y$61)))</f>
        <v>18000</v>
      </c>
      <c r="BC34" s="25">
        <f>IF(BC$21&lt;'01_Input'!$K$61,'01_Input'!$M$61,IF(BC$21&lt;'01_Input'!$O$61,'01_Input'!$Q$61,IF(BC$21&lt;'01_Input'!$S$61,'01_Input'!$U$61,'01_Input'!$Y$61)))</f>
        <v>18000</v>
      </c>
      <c r="BD34" s="25">
        <f>IF(BD$21&lt;'01_Input'!$K$61,'01_Input'!$M$61,IF(BD$21&lt;'01_Input'!$O$61,'01_Input'!$Q$61,IF(BD$21&lt;'01_Input'!$S$61,'01_Input'!$U$61,'01_Input'!$Y$61)))</f>
        <v>18000</v>
      </c>
      <c r="BE34" s="25">
        <f>IF(BE$21&lt;'01_Input'!$K$61,'01_Input'!$M$61,IF(BE$21&lt;'01_Input'!$O$61,'01_Input'!$Q$61,IF(BE$21&lt;'01_Input'!$S$61,'01_Input'!$U$61,'01_Input'!$Y$61)))</f>
        <v>18000</v>
      </c>
      <c r="BF34" s="25">
        <f>IF(BF$21&lt;'01_Input'!$K$61,'01_Input'!$M$61,IF(BF$21&lt;'01_Input'!$O$61,'01_Input'!$Q$61,IF(BF$21&lt;'01_Input'!$S$61,'01_Input'!$U$61,'01_Input'!$Y$61)))</f>
        <v>18000</v>
      </c>
      <c r="BG34" s="25">
        <f>IF(BG$21&lt;'01_Input'!$K$61,'01_Input'!$M$61,IF(BG$21&lt;'01_Input'!$O$61,'01_Input'!$Q$61,IF(BG$21&lt;'01_Input'!$S$61,'01_Input'!$U$61,'01_Input'!$Y$61)))</f>
        <v>18000</v>
      </c>
      <c r="BH34" s="25">
        <f>IF(BH$21&lt;'01_Input'!$K$61,'01_Input'!$M$61,IF(BH$21&lt;'01_Input'!$O$61,'01_Input'!$Q$61,IF(BH$21&lt;'01_Input'!$S$61,'01_Input'!$U$61,'01_Input'!$Y$61)))</f>
        <v>18000</v>
      </c>
      <c r="BI34" s="25">
        <f>IF(BI$21&lt;'01_Input'!$K$61,'01_Input'!$M$61,IF(BI$21&lt;'01_Input'!$O$61,'01_Input'!$Q$61,IF(BI$21&lt;'01_Input'!$S$61,'01_Input'!$U$61,'01_Input'!$Y$61)))</f>
        <v>18000</v>
      </c>
      <c r="BJ34" s="25">
        <f>IF(BJ$21&lt;'01_Input'!$K$61,'01_Input'!$M$61,IF(BJ$21&lt;'01_Input'!$O$61,'01_Input'!$Q$61,IF(BJ$21&lt;'01_Input'!$S$61,'01_Input'!$U$61,'01_Input'!$Y$61)))</f>
        <v>18000</v>
      </c>
      <c r="BK34" s="25">
        <f>IF(BK$21&lt;'01_Input'!$K$61,'01_Input'!$M$61,IF(BK$21&lt;'01_Input'!$O$61,'01_Input'!$Q$61,IF(BK$21&lt;'01_Input'!$S$61,'01_Input'!$U$61,'01_Input'!$Y$61)))</f>
        <v>18000</v>
      </c>
      <c r="BL34" s="25">
        <f>IF(BL$21&lt;'01_Input'!$K$61,'01_Input'!$M$61,IF(BL$21&lt;'01_Input'!$O$61,'01_Input'!$Q$61,IF(BL$21&lt;'01_Input'!$S$61,'01_Input'!$U$61,'01_Input'!$Y$61)))</f>
        <v>18000</v>
      </c>
      <c r="BM34" s="25">
        <f>IF(BM$21&lt;'01_Input'!$K$61,'01_Input'!$M$61,IF(BM$21&lt;'01_Input'!$O$61,'01_Input'!$Q$61,IF(BM$21&lt;'01_Input'!$S$61,'01_Input'!$U$61,'01_Input'!$Y$61)))</f>
        <v>18000</v>
      </c>
      <c r="BN34" s="25">
        <f>IF(BN$21&lt;'01_Input'!$K$61,'01_Input'!$M$61,IF(BN$21&lt;'01_Input'!$O$61,'01_Input'!$Q$61,IF(BN$21&lt;'01_Input'!$S$61,'01_Input'!$U$61,'01_Input'!$Y$61)))</f>
        <v>18000</v>
      </c>
      <c r="BO34" s="25">
        <f>IF(BO$21&lt;'01_Input'!$K$61,'01_Input'!$M$61,IF(BO$21&lt;'01_Input'!$O$61,'01_Input'!$Q$61,IF(BO$21&lt;'01_Input'!$S$61,'01_Input'!$U$61,'01_Input'!$Y$61)))</f>
        <v>18000</v>
      </c>
      <c r="BP34" s="25">
        <f>IF(BP$21&lt;'01_Input'!$K$61,'01_Input'!$M$61,IF(BP$21&lt;'01_Input'!$O$61,'01_Input'!$Q$61,IF(BP$21&lt;'01_Input'!$S$61,'01_Input'!$U$61,'01_Input'!$Y$61)))</f>
        <v>18000</v>
      </c>
      <c r="BQ34" s="25">
        <f>IF(BQ$21&lt;'01_Input'!$K$61,'01_Input'!$M$61,IF(BQ$21&lt;'01_Input'!$O$61,'01_Input'!$Q$61,IF(BQ$21&lt;'01_Input'!$S$61,'01_Input'!$U$61,'01_Input'!$Y$61)))</f>
        <v>18000</v>
      </c>
      <c r="BR34" s="25">
        <f>IF(BR$21&lt;'01_Input'!$K$61,'01_Input'!$M$61,IF(BR$21&lt;'01_Input'!$O$61,'01_Input'!$Q$61,IF(BR$21&lt;'01_Input'!$S$61,'01_Input'!$U$61,'01_Input'!$Y$61)))</f>
        <v>18000</v>
      </c>
      <c r="BS34" s="25">
        <f>IF(BS$21&lt;'01_Input'!$K$61,'01_Input'!$M$61,IF(BS$21&lt;'01_Input'!$O$61,'01_Input'!$Q$61,IF(BS$21&lt;'01_Input'!$S$61,'01_Input'!$U$61,'01_Input'!$Y$61)))</f>
        <v>18000</v>
      </c>
      <c r="BT34" s="25">
        <f>IF(BT$21&lt;'01_Input'!$K$61,'01_Input'!$M$61,IF(BT$21&lt;'01_Input'!$O$61,'01_Input'!$Q$61,IF(BT$21&lt;'01_Input'!$S$61,'01_Input'!$U$61,'01_Input'!$Y$61)))</f>
        <v>18000</v>
      </c>
      <c r="BU34" s="25">
        <f>IF(BU$21&lt;'01_Input'!$K$61,'01_Input'!$M$61,IF(BU$21&lt;'01_Input'!$O$61,'01_Input'!$Q$61,IF(BU$21&lt;'01_Input'!$S$61,'01_Input'!$U$61,'01_Input'!$Y$61)))</f>
        <v>18000</v>
      </c>
      <c r="BV34" s="25">
        <f>IF(BV$21&lt;'01_Input'!$K$61,'01_Input'!$M$61,IF(BV$21&lt;'01_Input'!$O$61,'01_Input'!$Q$61,IF(BV$21&lt;'01_Input'!$S$61,'01_Input'!$U$61,'01_Input'!$Y$61)))</f>
        <v>18000</v>
      </c>
      <c r="BW34" s="25">
        <f>IF(BW$21&lt;'01_Input'!$K$61,'01_Input'!$M$61,IF(BW$21&lt;'01_Input'!$O$61,'01_Input'!$Q$61,IF(BW$21&lt;'01_Input'!$S$61,'01_Input'!$U$61,'01_Input'!$Y$61)))</f>
        <v>18000</v>
      </c>
      <c r="BX34" s="25">
        <f>IF(BX$21&lt;'01_Input'!$K$61,'01_Input'!$M$61,IF(BX$21&lt;'01_Input'!$O$61,'01_Input'!$Q$61,IF(BX$21&lt;'01_Input'!$S$61,'01_Input'!$U$61,'01_Input'!$Y$61)))</f>
        <v>18000</v>
      </c>
      <c r="BY34" s="25">
        <f>IF(BY$21&lt;'01_Input'!$K$61,'01_Input'!$M$61,IF(BY$21&lt;'01_Input'!$O$61,'01_Input'!$Q$61,IF(BY$21&lt;'01_Input'!$S$61,'01_Input'!$U$61,'01_Input'!$Y$61)))</f>
        <v>18000</v>
      </c>
      <c r="BZ34" s="25">
        <f>IF(BZ$21&lt;'01_Input'!$K$61,'01_Input'!$M$61,IF(BZ$21&lt;'01_Input'!$O$61,'01_Input'!$Q$61,IF(BZ$21&lt;'01_Input'!$S$61,'01_Input'!$U$61,'01_Input'!$Y$61)))</f>
        <v>18000</v>
      </c>
      <c r="CA34" s="25">
        <f>IF(CA$21&lt;'01_Input'!$K$61,'01_Input'!$M$61,IF(CA$21&lt;'01_Input'!$O$61,'01_Input'!$Q$61,IF(CA$21&lt;'01_Input'!$S$61,'01_Input'!$U$61,'01_Input'!$Y$61)))</f>
        <v>18000</v>
      </c>
      <c r="CB34" s="25">
        <f>IF(CB$21&lt;'01_Input'!$K$61,'01_Input'!$M$61,IF(CB$21&lt;'01_Input'!$O$61,'01_Input'!$Q$61,IF(CB$21&lt;'01_Input'!$S$61,'01_Input'!$U$61,'01_Input'!$Y$61)))</f>
        <v>18000</v>
      </c>
      <c r="CC34" s="25">
        <f>IF(CC$21&lt;'01_Input'!$K$61,'01_Input'!$M$61,IF(CC$21&lt;'01_Input'!$O$61,'01_Input'!$Q$61,IF(CC$21&lt;'01_Input'!$S$61,'01_Input'!$U$61,'01_Input'!$Y$61)))</f>
        <v>18000</v>
      </c>
      <c r="CD34" s="25">
        <f>IF(CD$21&lt;'01_Input'!$K$61,'01_Input'!$M$61,IF(CD$21&lt;'01_Input'!$O$61,'01_Input'!$Q$61,IF(CD$21&lt;'01_Input'!$S$61,'01_Input'!$U$61,'01_Input'!$Y$61)))</f>
        <v>18000</v>
      </c>
      <c r="CE34" s="25">
        <f>IF(CE$21&lt;'01_Input'!$K$61,'01_Input'!$M$61,IF(CE$21&lt;'01_Input'!$O$61,'01_Input'!$Q$61,IF(CE$21&lt;'01_Input'!$S$61,'01_Input'!$U$61,'01_Input'!$Y$61)))</f>
        <v>18000</v>
      </c>
      <c r="CF34" s="25">
        <f>IF(CF$21&lt;'01_Input'!$K$61,'01_Input'!$M$61,IF(CF$21&lt;'01_Input'!$O$61,'01_Input'!$Q$61,IF(CF$21&lt;'01_Input'!$S$61,'01_Input'!$U$61,'01_Input'!$Y$61)))</f>
        <v>18000</v>
      </c>
      <c r="CG34" s="25">
        <f>IF(CG$21&lt;'01_Input'!$K$61,'01_Input'!$M$61,IF(CG$21&lt;'01_Input'!$O$61,'01_Input'!$Q$61,IF(CG$21&lt;'01_Input'!$S$61,'01_Input'!$U$61,'01_Input'!$Y$61)))</f>
        <v>18000</v>
      </c>
      <c r="CH34" s="25">
        <f>IF(CH$21&lt;'01_Input'!$K$61,'01_Input'!$M$61,IF(CH$21&lt;'01_Input'!$O$61,'01_Input'!$Q$61,IF(CH$21&lt;'01_Input'!$S$61,'01_Input'!$U$61,'01_Input'!$Y$61)))</f>
        <v>18000</v>
      </c>
      <c r="CI34" s="25">
        <f>IF(CI$21&lt;'01_Input'!$K$61,'01_Input'!$M$61,IF(CI$21&lt;'01_Input'!$O$61,'01_Input'!$Q$61,IF(CI$21&lt;'01_Input'!$S$61,'01_Input'!$U$61,'01_Input'!$Y$61)))</f>
        <v>18000</v>
      </c>
      <c r="CJ34" s="25">
        <f>IF(CJ$21&lt;'01_Input'!$K$61,'01_Input'!$M$61,IF(CJ$21&lt;'01_Input'!$O$61,'01_Input'!$Q$61,IF(CJ$21&lt;'01_Input'!$S$61,'01_Input'!$U$61,'01_Input'!$Y$61)))</f>
        <v>18000</v>
      </c>
      <c r="CK34" s="25">
        <f>IF(CK$21&lt;'01_Input'!$K$61,'01_Input'!$M$61,IF(CK$21&lt;'01_Input'!$O$61,'01_Input'!$Q$61,IF(CK$21&lt;'01_Input'!$S$61,'01_Input'!$U$61,'01_Input'!$Y$61)))</f>
        <v>18000</v>
      </c>
      <c r="CL34" s="25">
        <f>IF(CL$21&lt;'01_Input'!$K$61,'01_Input'!$M$61,IF(CL$21&lt;'01_Input'!$O$61,'01_Input'!$Q$61,IF(CL$21&lt;'01_Input'!$S$61,'01_Input'!$U$61,'01_Input'!$Y$61)))</f>
        <v>18000</v>
      </c>
      <c r="CM34" s="25">
        <f>IF(CM$21&lt;'01_Input'!$K$61,'01_Input'!$M$61,IF(CM$21&lt;'01_Input'!$O$61,'01_Input'!$Q$61,IF(CM$21&lt;'01_Input'!$S$61,'01_Input'!$U$61,'01_Input'!$Y$61)))</f>
        <v>18000</v>
      </c>
      <c r="CN34" s="25">
        <f>IF(CN$21&lt;'01_Input'!$K$61,'01_Input'!$M$61,IF(CN$21&lt;'01_Input'!$O$61,'01_Input'!$Q$61,IF(CN$21&lt;'01_Input'!$S$61,'01_Input'!$U$61,'01_Input'!$Y$61)))</f>
        <v>18000</v>
      </c>
      <c r="CO34" s="25">
        <f>IF(CO$21&lt;'01_Input'!$K$61,'01_Input'!$M$61,IF(CO$21&lt;'01_Input'!$O$61,'01_Input'!$Q$61,IF(CO$21&lt;'01_Input'!$S$61,'01_Input'!$U$61,'01_Input'!$Y$61)))</f>
        <v>18000</v>
      </c>
      <c r="CP34" s="25">
        <f>IF(CP$21&lt;'01_Input'!$K$61,'01_Input'!$M$61,IF(CP$21&lt;'01_Input'!$O$61,'01_Input'!$Q$61,IF(CP$21&lt;'01_Input'!$S$61,'01_Input'!$U$61,'01_Input'!$Y$61)))</f>
        <v>18000</v>
      </c>
      <c r="CQ34" s="25">
        <f>IF(CQ$21&lt;'01_Input'!$K$61,'01_Input'!$M$61,IF(CQ$21&lt;'01_Input'!$O$61,'01_Input'!$Q$61,IF(CQ$21&lt;'01_Input'!$S$61,'01_Input'!$U$61,'01_Input'!$Y$61)))</f>
        <v>18000</v>
      </c>
      <c r="CR34" s="25">
        <f>IF(CR$21&lt;'01_Input'!$K$61,'01_Input'!$M$61,IF(CR$21&lt;'01_Input'!$O$61,'01_Input'!$Q$61,IF(CR$21&lt;'01_Input'!$S$61,'01_Input'!$U$61,'01_Input'!$Y$61)))</f>
        <v>18000</v>
      </c>
      <c r="CS34" s="25">
        <f>IF(CS$21&lt;'01_Input'!$K$61,'01_Input'!$M$61,IF(CS$21&lt;'01_Input'!$O$61,'01_Input'!$Q$61,IF(CS$21&lt;'01_Input'!$S$61,'01_Input'!$U$61,'01_Input'!$Y$61)))</f>
        <v>18000</v>
      </c>
      <c r="CT34" s="25">
        <f>IF(CT$21&lt;'01_Input'!$K$61,'01_Input'!$M$61,IF(CT$21&lt;'01_Input'!$O$61,'01_Input'!$Q$61,IF(CT$21&lt;'01_Input'!$S$61,'01_Input'!$U$61,'01_Input'!$Y$61)))</f>
        <v>18000</v>
      </c>
      <c r="CU34" s="25">
        <f>IF(CU$21&lt;'01_Input'!$K$61,'01_Input'!$M$61,IF(CU$21&lt;'01_Input'!$O$61,'01_Input'!$Q$61,IF(CU$21&lt;'01_Input'!$S$61,'01_Input'!$U$61,'01_Input'!$Y$61)))</f>
        <v>18000</v>
      </c>
      <c r="CV34" s="25">
        <f>IF(CV$21&lt;'01_Input'!$K$61,'01_Input'!$M$61,IF(CV$21&lt;'01_Input'!$O$61,'01_Input'!$Q$61,IF(CV$21&lt;'01_Input'!$S$61,'01_Input'!$U$61,'01_Input'!$Y$61)))</f>
        <v>18000</v>
      </c>
      <c r="CW34" s="25">
        <f>IF(CW$21&lt;'01_Input'!$K$61,'01_Input'!$M$61,IF(CW$21&lt;'01_Input'!$O$61,'01_Input'!$Q$61,IF(CW$21&lt;'01_Input'!$S$61,'01_Input'!$U$61,'01_Input'!$Y$61)))</f>
        <v>18000</v>
      </c>
      <c r="CX34" s="25">
        <f>IF(CX$21&lt;'01_Input'!$K$61,'01_Input'!$M$61,IF(CX$21&lt;'01_Input'!$O$61,'01_Input'!$Q$61,IF(CX$21&lt;'01_Input'!$S$61,'01_Input'!$U$61,'01_Input'!$Y$61)))</f>
        <v>18000</v>
      </c>
      <c r="CY34" s="25">
        <f>IF(CY$21&lt;'01_Input'!$K$61,'01_Input'!$M$61,IF(CY$21&lt;'01_Input'!$O$61,'01_Input'!$Q$61,IF(CY$21&lt;'01_Input'!$S$61,'01_Input'!$U$61,'01_Input'!$Y$61)))</f>
        <v>18000</v>
      </c>
      <c r="CZ34" s="25">
        <f>IF(CZ$21&lt;'01_Input'!$K$61,'01_Input'!$M$61,IF(CZ$21&lt;'01_Input'!$O$61,'01_Input'!$Q$61,IF(CZ$21&lt;'01_Input'!$S$61,'01_Input'!$U$61,'01_Input'!$Y$61)))</f>
        <v>18000</v>
      </c>
      <c r="DA34" s="25">
        <f>IF(DA$21&lt;'01_Input'!$K$61,'01_Input'!$M$61,IF(DA$21&lt;'01_Input'!$O$61,'01_Input'!$Q$61,IF(DA$21&lt;'01_Input'!$S$61,'01_Input'!$U$61,'01_Input'!$Y$61)))</f>
        <v>18000</v>
      </c>
      <c r="DB34" s="25">
        <f>IF(DB$21&lt;'01_Input'!$K$61,'01_Input'!$M$61,IF(DB$21&lt;'01_Input'!$O$61,'01_Input'!$Q$61,IF(DB$21&lt;'01_Input'!$S$61,'01_Input'!$U$61,'01_Input'!$Y$61)))</f>
        <v>18000</v>
      </c>
      <c r="DC34" s="25">
        <f>IF(DC$21&lt;'01_Input'!$K$61,'01_Input'!$M$61,IF(DC$21&lt;'01_Input'!$O$61,'01_Input'!$Q$61,IF(DC$21&lt;'01_Input'!$S$61,'01_Input'!$U$61,'01_Input'!$Y$61)))</f>
        <v>18000</v>
      </c>
      <c r="DD34" s="25">
        <f>IF(DD$21&lt;'01_Input'!$K$61,'01_Input'!$M$61,IF(DD$21&lt;'01_Input'!$O$61,'01_Input'!$Q$61,IF(DD$21&lt;'01_Input'!$S$61,'01_Input'!$U$61,'01_Input'!$Y$61)))</f>
        <v>18000</v>
      </c>
      <c r="DE34" s="25">
        <f>IF(DE$21&lt;'01_Input'!$K$61,'01_Input'!$M$61,IF(DE$21&lt;'01_Input'!$O$61,'01_Input'!$Q$61,IF(DE$21&lt;'01_Input'!$S$61,'01_Input'!$U$61,'01_Input'!$Y$61)))</f>
        <v>18000</v>
      </c>
      <c r="DF34" s="25">
        <f>IF(DF$21&lt;'01_Input'!$K$61,'01_Input'!$M$61,IF(DF$21&lt;'01_Input'!$O$61,'01_Input'!$Q$61,IF(DF$21&lt;'01_Input'!$S$61,'01_Input'!$U$61,'01_Input'!$Y$61)))</f>
        <v>18000</v>
      </c>
      <c r="DG34" s="25">
        <f>IF(DG$21&lt;'01_Input'!$K$61,'01_Input'!$M$61,IF(DG$21&lt;'01_Input'!$O$61,'01_Input'!$Q$61,IF(DG$21&lt;'01_Input'!$S$61,'01_Input'!$U$61,'01_Input'!$Y$61)))</f>
        <v>18000</v>
      </c>
      <c r="DH34" s="25">
        <f>IF(DH$21&lt;'01_Input'!$K$61,'01_Input'!$M$61,IF(DH$21&lt;'01_Input'!$O$61,'01_Input'!$Q$61,IF(DH$21&lt;'01_Input'!$S$61,'01_Input'!$U$61,'01_Input'!$Y$61)))</f>
        <v>18000</v>
      </c>
      <c r="DI34" s="25">
        <f>IF(DI$21&lt;'01_Input'!$K$61,'01_Input'!$M$61,IF(DI$21&lt;'01_Input'!$O$61,'01_Input'!$Q$61,IF(DI$21&lt;'01_Input'!$S$61,'01_Input'!$U$61,'01_Input'!$Y$61)))</f>
        <v>18000</v>
      </c>
      <c r="DJ34" s="25">
        <f>IF(DJ$21&lt;'01_Input'!$K$61,'01_Input'!$M$61,IF(DJ$21&lt;'01_Input'!$O$61,'01_Input'!$Q$61,IF(DJ$21&lt;'01_Input'!$S$61,'01_Input'!$U$61,'01_Input'!$Y$61)))</f>
        <v>18000</v>
      </c>
      <c r="DK34" s="25">
        <f>IF(DK$21&lt;'01_Input'!$K$61,'01_Input'!$M$61,IF(DK$21&lt;'01_Input'!$O$61,'01_Input'!$Q$61,IF(DK$21&lt;'01_Input'!$S$61,'01_Input'!$U$61,'01_Input'!$Y$61)))</f>
        <v>18000</v>
      </c>
      <c r="DL34" s="25">
        <f>IF(DL$21&lt;'01_Input'!$K$61,'01_Input'!$M$61,IF(DL$21&lt;'01_Input'!$O$61,'01_Input'!$Q$61,IF(DL$21&lt;'01_Input'!$S$61,'01_Input'!$U$61,'01_Input'!$Y$61)))</f>
        <v>18000</v>
      </c>
      <c r="DM34" s="25">
        <f>IF(DM$21&lt;'01_Input'!$K$61,'01_Input'!$M$61,IF(DM$21&lt;'01_Input'!$O$61,'01_Input'!$Q$61,IF(DM$21&lt;'01_Input'!$S$61,'01_Input'!$U$61,'01_Input'!$Y$61)))</f>
        <v>18000</v>
      </c>
      <c r="DN34" s="25">
        <f>IF(DN$21&lt;'01_Input'!$K$61,'01_Input'!$M$61,IF(DN$21&lt;'01_Input'!$O$61,'01_Input'!$Q$61,IF(DN$21&lt;'01_Input'!$S$61,'01_Input'!$U$61,'01_Input'!$Y$61)))</f>
        <v>18000</v>
      </c>
      <c r="DO34" s="25">
        <f>IF(DO$21&lt;'01_Input'!$K$61,'01_Input'!$M$61,IF(DO$21&lt;'01_Input'!$O$61,'01_Input'!$Q$61,IF(DO$21&lt;'01_Input'!$S$61,'01_Input'!$U$61,'01_Input'!$Y$61)))</f>
        <v>18000</v>
      </c>
      <c r="DP34" s="25">
        <f>IF(DP$21&lt;'01_Input'!$K$61,'01_Input'!$M$61,IF(DP$21&lt;'01_Input'!$O$61,'01_Input'!$Q$61,IF(DP$21&lt;'01_Input'!$S$61,'01_Input'!$U$61,'01_Input'!$Y$61)))</f>
        <v>18000</v>
      </c>
      <c r="DQ34" s="25">
        <f>IF(DQ$21&lt;'01_Input'!$K$61,'01_Input'!$M$61,IF(DQ$21&lt;'01_Input'!$O$61,'01_Input'!$Q$61,IF(DQ$21&lt;'01_Input'!$S$61,'01_Input'!$U$61,'01_Input'!$Y$61)))</f>
        <v>18000</v>
      </c>
      <c r="DR34" s="25">
        <f>IF(DR$21&lt;'01_Input'!$K$61,'01_Input'!$M$61,IF(DR$21&lt;'01_Input'!$O$61,'01_Input'!$Q$61,IF(DR$21&lt;'01_Input'!$S$61,'01_Input'!$U$61,'01_Input'!$Y$61)))</f>
        <v>18000</v>
      </c>
      <c r="DS34" s="25">
        <f>IF(DS$21&lt;'01_Input'!$K$61,'01_Input'!$M$61,IF(DS$21&lt;'01_Input'!$O$61,'01_Input'!$Q$61,IF(DS$21&lt;'01_Input'!$S$61,'01_Input'!$U$61,'01_Input'!$Y$61)))</f>
        <v>18000</v>
      </c>
      <c r="DT34" s="25">
        <f>IF(DT$21&lt;'01_Input'!$K$61,'01_Input'!$M$61,IF(DT$21&lt;'01_Input'!$O$61,'01_Input'!$Q$61,IF(DT$21&lt;'01_Input'!$S$61,'01_Input'!$U$61,'01_Input'!$Y$61)))</f>
        <v>18000</v>
      </c>
      <c r="DU34" s="25">
        <f>IF(DU$21&lt;'01_Input'!$K$61,'01_Input'!$M$61,IF(DU$21&lt;'01_Input'!$O$61,'01_Input'!$Q$61,IF(DU$21&lt;'01_Input'!$S$61,'01_Input'!$U$61,'01_Input'!$Y$61)))</f>
        <v>18000</v>
      </c>
      <c r="DV34" s="25">
        <f>IF(DV$21&lt;'01_Input'!$K$61,'01_Input'!$M$61,IF(DV$21&lt;'01_Input'!$O$61,'01_Input'!$Q$61,IF(DV$21&lt;'01_Input'!$S$61,'01_Input'!$U$61,'01_Input'!$Y$61)))</f>
        <v>18000</v>
      </c>
      <c r="DW34" s="25">
        <f>IF(DW$21&lt;'01_Input'!$K$61,'01_Input'!$M$61,IF(DW$21&lt;'01_Input'!$O$61,'01_Input'!$Q$61,IF(DW$21&lt;'01_Input'!$S$61,'01_Input'!$U$61,'01_Input'!$Y$61)))</f>
        <v>18000</v>
      </c>
      <c r="DX34" s="25">
        <f>IF(DX$21&lt;'01_Input'!$K$61,'01_Input'!$M$61,IF(DX$21&lt;'01_Input'!$O$61,'01_Input'!$Q$61,IF(DX$21&lt;'01_Input'!$S$61,'01_Input'!$U$61,'01_Input'!$Y$61)))</f>
        <v>18000</v>
      </c>
      <c r="DY34" s="25">
        <f>IF(DY$21&lt;'01_Input'!$K$61,'01_Input'!$M$61,IF(DY$21&lt;'01_Input'!$O$61,'01_Input'!$Q$61,IF(DY$21&lt;'01_Input'!$S$61,'01_Input'!$U$61,'01_Input'!$Y$61)))</f>
        <v>18000</v>
      </c>
      <c r="DZ34" s="25">
        <f>IF(DZ$21&lt;'01_Input'!$K$61,'01_Input'!$M$61,IF(DZ$21&lt;'01_Input'!$O$61,'01_Input'!$Q$61,IF(DZ$21&lt;'01_Input'!$S$61,'01_Input'!$U$61,'01_Input'!$Y$61)))</f>
        <v>18000</v>
      </c>
      <c r="EA34" s="25">
        <f>IF(EA$21&lt;'01_Input'!$K$61,'01_Input'!$M$61,IF(EA$21&lt;'01_Input'!$O$61,'01_Input'!$Q$61,IF(EA$21&lt;'01_Input'!$S$61,'01_Input'!$U$61,'01_Input'!$Y$61)))</f>
        <v>18000</v>
      </c>
      <c r="EB34" s="25">
        <f>IF(EB$21&lt;'01_Input'!$K$61,'01_Input'!$M$61,IF(EB$21&lt;'01_Input'!$O$61,'01_Input'!$Q$61,IF(EB$21&lt;'01_Input'!$S$61,'01_Input'!$U$61,'01_Input'!$Y$61)))</f>
        <v>18000</v>
      </c>
      <c r="EC34" s="25">
        <f>IF(EC$21&lt;'01_Input'!$K$61,'01_Input'!$M$61,IF(EC$21&lt;'01_Input'!$O$61,'01_Input'!$Q$61,IF(EC$21&lt;'01_Input'!$S$61,'01_Input'!$U$61,'01_Input'!$Y$61)))</f>
        <v>18000</v>
      </c>
      <c r="ED34" s="25">
        <f>IF(ED$21&lt;'01_Input'!$K$61,'01_Input'!$M$61,IF(ED$21&lt;'01_Input'!$O$61,'01_Input'!$Q$61,IF(ED$21&lt;'01_Input'!$S$61,'01_Input'!$U$61,'01_Input'!$Y$61)))</f>
        <v>18000</v>
      </c>
      <c r="EE34" s="25">
        <f>IF(EE$21&lt;'01_Input'!$K$61,'01_Input'!$M$61,IF(EE$21&lt;'01_Input'!$O$61,'01_Input'!$Q$61,IF(EE$21&lt;'01_Input'!$S$61,'01_Input'!$U$61,'01_Input'!$Y$61)))</f>
        <v>18000</v>
      </c>
      <c r="EF34" s="25">
        <f>IF(EF$21&lt;'01_Input'!$K$61,'01_Input'!$M$61,IF(EF$21&lt;'01_Input'!$O$61,'01_Input'!$Q$61,IF(EF$21&lt;'01_Input'!$S$61,'01_Input'!$U$61,'01_Input'!$Y$61)))</f>
        <v>18000</v>
      </c>
      <c r="EG34" s="25">
        <f>IF(EG$21&lt;'01_Input'!$K$61,'01_Input'!$M$61,IF(EG$21&lt;'01_Input'!$O$61,'01_Input'!$Q$61,IF(EG$21&lt;'01_Input'!$S$61,'01_Input'!$U$61,'01_Input'!$Y$61)))</f>
        <v>18000</v>
      </c>
      <c r="EH34" s="25">
        <f>IF(EH$21&lt;'01_Input'!$K$61,'01_Input'!$M$61,IF(EH$21&lt;'01_Input'!$O$61,'01_Input'!$Q$61,IF(EH$21&lt;'01_Input'!$S$61,'01_Input'!$U$61,'01_Input'!$Y$61)))</f>
        <v>18000</v>
      </c>
      <c r="EI34" s="25">
        <f>IF(EI$21&lt;'01_Input'!$K$61,'01_Input'!$M$61,IF(EI$21&lt;'01_Input'!$O$61,'01_Input'!$Q$61,IF(EI$21&lt;'01_Input'!$S$61,'01_Input'!$U$61,'01_Input'!$Y$61)))</f>
        <v>18000</v>
      </c>
      <c r="EJ34" s="25">
        <f>IF(EJ$21&lt;'01_Input'!$K$61,'01_Input'!$M$61,IF(EJ$21&lt;'01_Input'!$O$61,'01_Input'!$Q$61,IF(EJ$21&lt;'01_Input'!$S$61,'01_Input'!$U$61,'01_Input'!$Y$61)))</f>
        <v>18000</v>
      </c>
      <c r="EK34" s="25">
        <f>IF(EK$21&lt;'01_Input'!$K$61,'01_Input'!$M$61,IF(EK$21&lt;'01_Input'!$O$61,'01_Input'!$Q$61,IF(EK$21&lt;'01_Input'!$S$61,'01_Input'!$U$61,'01_Input'!$Y$61)))</f>
        <v>18000</v>
      </c>
      <c r="EL34" s="25">
        <f>IF(EL$21&lt;'01_Input'!$K$61,'01_Input'!$M$61,IF(EL$21&lt;'01_Input'!$O$61,'01_Input'!$Q$61,IF(EL$21&lt;'01_Input'!$S$61,'01_Input'!$U$61,'01_Input'!$Y$61)))</f>
        <v>18000</v>
      </c>
      <c r="EM34" s="25">
        <f>IF(EM$21&lt;'01_Input'!$K$61,'01_Input'!$M$61,IF(EM$21&lt;'01_Input'!$O$61,'01_Input'!$Q$61,IF(EM$21&lt;'01_Input'!$S$61,'01_Input'!$U$61,'01_Input'!$Y$61)))</f>
        <v>18000</v>
      </c>
      <c r="EN34" s="25">
        <f>IF(EN$21&lt;'01_Input'!$K$61,'01_Input'!$M$61,IF(EN$21&lt;'01_Input'!$O$61,'01_Input'!$Q$61,IF(EN$21&lt;'01_Input'!$S$61,'01_Input'!$U$61,'01_Input'!$Y$61)))</f>
        <v>18000</v>
      </c>
      <c r="EO34" s="25">
        <f>IF(EO$21&lt;'01_Input'!$K$61,'01_Input'!$M$61,IF(EO$21&lt;'01_Input'!$O$61,'01_Input'!$Q$61,IF(EO$21&lt;'01_Input'!$S$61,'01_Input'!$U$61,'01_Input'!$Y$61)))</f>
        <v>18000</v>
      </c>
      <c r="EP34" s="25">
        <f>IF(EP$21&lt;'01_Input'!$K$61,'01_Input'!$M$61,IF(EP$21&lt;'01_Input'!$O$61,'01_Input'!$Q$61,IF(EP$21&lt;'01_Input'!$S$61,'01_Input'!$U$61,'01_Input'!$Y$61)))</f>
        <v>18000</v>
      </c>
      <c r="EQ34" s="25">
        <f>IF(EQ$21&lt;'01_Input'!$K$61,'01_Input'!$M$61,IF(EQ$21&lt;'01_Input'!$O$61,'01_Input'!$Q$61,IF(EQ$21&lt;'01_Input'!$S$61,'01_Input'!$U$61,'01_Input'!$Y$61)))</f>
        <v>18000</v>
      </c>
      <c r="ER34" s="25">
        <f>IF(ER$21&lt;'01_Input'!$K$61,'01_Input'!$M$61,IF(ER$21&lt;'01_Input'!$O$61,'01_Input'!$Q$61,IF(ER$21&lt;'01_Input'!$S$61,'01_Input'!$U$61,'01_Input'!$Y$61)))</f>
        <v>18000</v>
      </c>
      <c r="ES34" s="25">
        <f>IF(ES$21&lt;'01_Input'!$K$61,'01_Input'!$M$61,IF(ES$21&lt;'01_Input'!$O$61,'01_Input'!$Q$61,IF(ES$21&lt;'01_Input'!$S$61,'01_Input'!$U$61,'01_Input'!$Y$61)))</f>
        <v>18000</v>
      </c>
      <c r="ET34" s="25">
        <f>IF(ET$21&lt;'01_Input'!$K$61,'01_Input'!$M$61,IF(ET$21&lt;'01_Input'!$O$61,'01_Input'!$Q$61,IF(ET$21&lt;'01_Input'!$S$61,'01_Input'!$U$61,'01_Input'!$Y$61)))</f>
        <v>18000</v>
      </c>
      <c r="EU34" s="25">
        <f>IF(EU$21&lt;'01_Input'!$K$61,'01_Input'!$M$61,IF(EU$21&lt;'01_Input'!$O$61,'01_Input'!$Q$61,IF(EU$21&lt;'01_Input'!$S$61,'01_Input'!$U$61,'01_Input'!$Y$61)))</f>
        <v>18000</v>
      </c>
      <c r="EV34" s="25">
        <f>IF(EV$21&lt;'01_Input'!$K$61,'01_Input'!$M$61,IF(EV$21&lt;'01_Input'!$O$61,'01_Input'!$Q$61,IF(EV$21&lt;'01_Input'!$S$61,'01_Input'!$U$61,'01_Input'!$Y$61)))</f>
        <v>18000</v>
      </c>
      <c r="EW34" s="25">
        <f>IF(EW$21&lt;'01_Input'!$K$61,'01_Input'!$M$61,IF(EW$21&lt;'01_Input'!$O$61,'01_Input'!$Q$61,IF(EW$21&lt;'01_Input'!$S$61,'01_Input'!$U$61,'01_Input'!$Y$61)))</f>
        <v>18000</v>
      </c>
      <c r="EX34" s="25">
        <f>IF(EX$21&lt;'01_Input'!$K$61,'01_Input'!$M$61,IF(EX$21&lt;'01_Input'!$O$61,'01_Input'!$Q$61,IF(EX$21&lt;'01_Input'!$S$61,'01_Input'!$U$61,'01_Input'!$Y$61)))</f>
        <v>18000</v>
      </c>
    </row>
    <row r="35" ht="15.75" customHeight="1">
      <c r="B35" s="71" t="s">
        <v>234</v>
      </c>
      <c r="E35" s="84">
        <f>Majoration_Valorisation</f>
        <v>0</v>
      </c>
      <c r="F35" s="84">
        <f>Majoration_Valorisation</f>
        <v>0</v>
      </c>
      <c r="G35" s="84">
        <f>Majoration_Valorisation</f>
        <v>0</v>
      </c>
      <c r="H35" s="84">
        <f>Majoration_Valorisation</f>
        <v>0</v>
      </c>
      <c r="I35" s="84">
        <f>Majoration_Valorisation</f>
        <v>0</v>
      </c>
      <c r="J35" s="84">
        <f>Majoration_Valorisation</f>
        <v>0</v>
      </c>
      <c r="K35" s="84">
        <f>Majoration_Valorisation</f>
        <v>0</v>
      </c>
      <c r="L35" s="84">
        <f>Majoration_Valorisation</f>
        <v>0</v>
      </c>
      <c r="M35" s="84">
        <f>Majoration_Valorisation</f>
        <v>0</v>
      </c>
      <c r="N35" s="84">
        <f>Majoration_Valorisation</f>
        <v>0</v>
      </c>
      <c r="O35" s="84">
        <f>Majoration_Valorisation</f>
        <v>0</v>
      </c>
      <c r="P35" s="84">
        <f>Majoration_Valorisation</f>
        <v>0</v>
      </c>
      <c r="Q35" s="84">
        <f>Majoration_Valorisation</f>
        <v>0</v>
      </c>
      <c r="R35" s="84">
        <f>Majoration_Valorisation</f>
        <v>0</v>
      </c>
      <c r="S35" s="84">
        <f>Majoration_Valorisation</f>
        <v>0</v>
      </c>
      <c r="T35" s="84">
        <f>Majoration_Valorisation</f>
        <v>0</v>
      </c>
      <c r="U35" s="84">
        <f>Majoration_Valorisation</f>
        <v>0</v>
      </c>
      <c r="V35" s="84">
        <f>Majoration_Valorisation</f>
        <v>0</v>
      </c>
      <c r="W35" s="84">
        <f>Majoration_Valorisation</f>
        <v>0</v>
      </c>
      <c r="X35" s="84">
        <f>Majoration_Valorisation</f>
        <v>0</v>
      </c>
      <c r="Y35" s="84">
        <f>Majoration_Valorisation</f>
        <v>0</v>
      </c>
      <c r="Z35" s="84">
        <f>Majoration_Valorisation</f>
        <v>0</v>
      </c>
      <c r="AA35" s="84">
        <f>Majoration_Valorisation</f>
        <v>0</v>
      </c>
      <c r="AB35" s="84">
        <f>Majoration_Valorisation</f>
        <v>0</v>
      </c>
      <c r="AC35" s="84">
        <f>Majoration_Valorisation</f>
        <v>0</v>
      </c>
      <c r="AD35" s="84">
        <f>Majoration_Valorisation</f>
        <v>0</v>
      </c>
      <c r="AE35" s="84">
        <f>Majoration_Valorisation</f>
        <v>0</v>
      </c>
      <c r="AF35" s="84">
        <f>Majoration_Valorisation</f>
        <v>0</v>
      </c>
      <c r="AG35" s="84">
        <f>Majoration_Valorisation</f>
        <v>0</v>
      </c>
      <c r="AH35" s="84">
        <f>Majoration_Valorisation</f>
        <v>0</v>
      </c>
      <c r="AI35" s="84">
        <f>Majoration_Valorisation</f>
        <v>0</v>
      </c>
      <c r="AJ35" s="84">
        <f>Majoration_Valorisation</f>
        <v>0</v>
      </c>
      <c r="AK35" s="84">
        <f>Majoration_Valorisation</f>
        <v>0</v>
      </c>
      <c r="AL35" s="84">
        <f>Majoration_Valorisation</f>
        <v>0</v>
      </c>
      <c r="AM35" s="84">
        <f>Majoration_Valorisation</f>
        <v>0</v>
      </c>
      <c r="AN35" s="84">
        <f>Majoration_Valorisation</f>
        <v>0</v>
      </c>
      <c r="AO35" s="84">
        <f>Majoration_Valorisation</f>
        <v>0</v>
      </c>
      <c r="AP35" s="84">
        <f>Majoration_Valorisation</f>
        <v>0</v>
      </c>
      <c r="AQ35" s="84">
        <f>Majoration_Valorisation</f>
        <v>0</v>
      </c>
      <c r="AR35" s="84">
        <f>Majoration_Valorisation</f>
        <v>0</v>
      </c>
      <c r="AS35" s="84">
        <f>Majoration_Valorisation</f>
        <v>0</v>
      </c>
      <c r="AT35" s="84">
        <f>Majoration_Valorisation</f>
        <v>0</v>
      </c>
      <c r="AU35" s="84">
        <f>Majoration_Valorisation</f>
        <v>0</v>
      </c>
      <c r="AV35" s="84">
        <f>Majoration_Valorisation</f>
        <v>0</v>
      </c>
      <c r="AW35" s="84">
        <f>Majoration_Valorisation</f>
        <v>0</v>
      </c>
      <c r="AX35" s="84">
        <f>Majoration_Valorisation</f>
        <v>0</v>
      </c>
      <c r="AY35" s="84">
        <f>Majoration_Valorisation</f>
        <v>0</v>
      </c>
      <c r="AZ35" s="84">
        <f>Majoration_Valorisation</f>
        <v>0</v>
      </c>
      <c r="BA35" s="84">
        <f>Majoration_Valorisation</f>
        <v>0</v>
      </c>
      <c r="BB35" s="84">
        <f>Majoration_Valorisation</f>
        <v>0</v>
      </c>
      <c r="BC35" s="84">
        <f>Majoration_Valorisation</f>
        <v>0</v>
      </c>
      <c r="BD35" s="84">
        <f>Majoration_Valorisation</f>
        <v>0</v>
      </c>
      <c r="BE35" s="84">
        <f>Majoration_Valorisation</f>
        <v>0</v>
      </c>
      <c r="BF35" s="84">
        <f>Majoration_Valorisation</f>
        <v>0</v>
      </c>
      <c r="BG35" s="84">
        <f>Majoration_Valorisation</f>
        <v>0</v>
      </c>
      <c r="BH35" s="84">
        <f>Majoration_Valorisation</f>
        <v>0</v>
      </c>
      <c r="BI35" s="84">
        <f>Majoration_Valorisation</f>
        <v>0</v>
      </c>
      <c r="BJ35" s="84">
        <f>Majoration_Valorisation</f>
        <v>0</v>
      </c>
      <c r="BK35" s="84">
        <f>Majoration_Valorisation</f>
        <v>0</v>
      </c>
      <c r="BL35" s="84">
        <f>Majoration_Valorisation</f>
        <v>0</v>
      </c>
      <c r="BM35" s="84">
        <f>Majoration_Valorisation</f>
        <v>0</v>
      </c>
      <c r="BN35" s="84">
        <f>Majoration_Valorisation</f>
        <v>0</v>
      </c>
      <c r="BO35" s="84">
        <f>Majoration_Valorisation</f>
        <v>0</v>
      </c>
      <c r="BP35" s="84">
        <f>Majoration_Valorisation</f>
        <v>0</v>
      </c>
      <c r="BQ35" s="84">
        <f>Majoration_Valorisation</f>
        <v>0</v>
      </c>
      <c r="BR35" s="84">
        <f>Majoration_Valorisation</f>
        <v>0</v>
      </c>
      <c r="BS35" s="84">
        <f>Majoration_Valorisation</f>
        <v>0</v>
      </c>
      <c r="BT35" s="84">
        <f>Majoration_Valorisation</f>
        <v>0</v>
      </c>
      <c r="BU35" s="84">
        <f>Majoration_Valorisation</f>
        <v>0</v>
      </c>
      <c r="BV35" s="84">
        <f>Majoration_Valorisation</f>
        <v>0</v>
      </c>
      <c r="BW35" s="84">
        <f>Majoration_Valorisation</f>
        <v>0</v>
      </c>
      <c r="BX35" s="84">
        <f>Majoration_Valorisation</f>
        <v>0</v>
      </c>
      <c r="BY35" s="84">
        <f>Majoration_Valorisation</f>
        <v>0</v>
      </c>
      <c r="BZ35" s="84">
        <f>Majoration_Valorisation</f>
        <v>0</v>
      </c>
      <c r="CA35" s="84">
        <f>Majoration_Valorisation</f>
        <v>0</v>
      </c>
      <c r="CB35" s="84">
        <f>Majoration_Valorisation</f>
        <v>0</v>
      </c>
      <c r="CC35" s="84">
        <f>Majoration_Valorisation</f>
        <v>0</v>
      </c>
      <c r="CD35" s="84">
        <f>Majoration_Valorisation</f>
        <v>0</v>
      </c>
      <c r="CE35" s="84">
        <f>Majoration_Valorisation</f>
        <v>0</v>
      </c>
      <c r="CF35" s="84">
        <f>Majoration_Valorisation</f>
        <v>0</v>
      </c>
      <c r="CG35" s="84">
        <f>Majoration_Valorisation</f>
        <v>0</v>
      </c>
      <c r="CH35" s="84">
        <f>Majoration_Valorisation</f>
        <v>0</v>
      </c>
      <c r="CI35" s="84">
        <f>Majoration_Valorisation</f>
        <v>0</v>
      </c>
      <c r="CJ35" s="84">
        <f>Majoration_Valorisation</f>
        <v>0</v>
      </c>
      <c r="CK35" s="84">
        <f>Majoration_Valorisation</f>
        <v>0</v>
      </c>
      <c r="CL35" s="84">
        <f>Majoration_Valorisation</f>
        <v>0</v>
      </c>
      <c r="CM35" s="84">
        <f>Majoration_Valorisation</f>
        <v>0</v>
      </c>
      <c r="CN35" s="84">
        <f>Majoration_Valorisation</f>
        <v>0</v>
      </c>
      <c r="CO35" s="84">
        <f>Majoration_Valorisation</f>
        <v>0</v>
      </c>
      <c r="CP35" s="84">
        <f>Majoration_Valorisation</f>
        <v>0</v>
      </c>
      <c r="CQ35" s="84">
        <f>Majoration_Valorisation</f>
        <v>0</v>
      </c>
      <c r="CR35" s="84">
        <f>Majoration_Valorisation</f>
        <v>0</v>
      </c>
      <c r="CS35" s="84">
        <f>Majoration_Valorisation</f>
        <v>0</v>
      </c>
      <c r="CT35" s="84">
        <f>Majoration_Valorisation</f>
        <v>0</v>
      </c>
      <c r="CU35" s="84">
        <f>Majoration_Valorisation</f>
        <v>0</v>
      </c>
      <c r="CV35" s="84">
        <f>Majoration_Valorisation</f>
        <v>0</v>
      </c>
      <c r="CW35" s="84">
        <f>Majoration_Valorisation</f>
        <v>0</v>
      </c>
      <c r="CX35" s="84">
        <f>Majoration_Valorisation</f>
        <v>0</v>
      </c>
      <c r="CY35" s="84">
        <f>Majoration_Valorisation</f>
        <v>0</v>
      </c>
      <c r="CZ35" s="84">
        <f>Majoration_Valorisation</f>
        <v>0</v>
      </c>
      <c r="DA35" s="84">
        <f>Majoration_Valorisation</f>
        <v>0</v>
      </c>
      <c r="DB35" s="84">
        <f>Majoration_Valorisation</f>
        <v>0</v>
      </c>
      <c r="DC35" s="84">
        <f>Majoration_Valorisation</f>
        <v>0</v>
      </c>
      <c r="DD35" s="84">
        <f>Majoration_Valorisation</f>
        <v>0</v>
      </c>
      <c r="DE35" s="84">
        <f>Majoration_Valorisation</f>
        <v>0</v>
      </c>
      <c r="DF35" s="84">
        <f>Majoration_Valorisation</f>
        <v>0</v>
      </c>
      <c r="DG35" s="84">
        <f>Majoration_Valorisation</f>
        <v>0</v>
      </c>
      <c r="DH35" s="84">
        <f>Majoration_Valorisation</f>
        <v>0</v>
      </c>
      <c r="DI35" s="84">
        <f>Majoration_Valorisation</f>
        <v>0</v>
      </c>
      <c r="DJ35" s="84">
        <f>Majoration_Valorisation</f>
        <v>0</v>
      </c>
      <c r="DK35" s="84">
        <f>Majoration_Valorisation</f>
        <v>0</v>
      </c>
      <c r="DL35" s="84">
        <f>Majoration_Valorisation</f>
        <v>0</v>
      </c>
      <c r="DM35" s="84">
        <f>Majoration_Valorisation</f>
        <v>0</v>
      </c>
      <c r="DN35" s="84">
        <f>Majoration_Valorisation</f>
        <v>0</v>
      </c>
      <c r="DO35" s="84">
        <f>Majoration_Valorisation</f>
        <v>0</v>
      </c>
      <c r="DP35" s="84">
        <f>Majoration_Valorisation</f>
        <v>0</v>
      </c>
      <c r="DQ35" s="84">
        <f>Majoration_Valorisation</f>
        <v>0</v>
      </c>
      <c r="DR35" s="84">
        <f>Majoration_Valorisation</f>
        <v>0</v>
      </c>
      <c r="DS35" s="84">
        <f>Majoration_Valorisation</f>
        <v>0</v>
      </c>
      <c r="DT35" s="84">
        <f>Majoration_Valorisation</f>
        <v>0</v>
      </c>
      <c r="DU35" s="84">
        <f>Majoration_Valorisation</f>
        <v>0</v>
      </c>
      <c r="DV35" s="84">
        <f>Majoration_Valorisation</f>
        <v>0</v>
      </c>
      <c r="DW35" s="84">
        <f>Majoration_Valorisation</f>
        <v>0</v>
      </c>
      <c r="DX35" s="84">
        <f>Majoration_Valorisation</f>
        <v>0</v>
      </c>
      <c r="DY35" s="84">
        <f>Majoration_Valorisation</f>
        <v>0</v>
      </c>
      <c r="DZ35" s="84">
        <f>Majoration_Valorisation</f>
        <v>0</v>
      </c>
      <c r="EA35" s="84">
        <f>Majoration_Valorisation</f>
        <v>0</v>
      </c>
      <c r="EB35" s="84">
        <f>Majoration_Valorisation</f>
        <v>0</v>
      </c>
      <c r="EC35" s="84">
        <f>Majoration_Valorisation</f>
        <v>0</v>
      </c>
      <c r="ED35" s="84">
        <f>Majoration_Valorisation</f>
        <v>0</v>
      </c>
      <c r="EE35" s="84">
        <f>Majoration_Valorisation</f>
        <v>0</v>
      </c>
      <c r="EF35" s="84">
        <f>Majoration_Valorisation</f>
        <v>0</v>
      </c>
      <c r="EG35" s="84">
        <f>Majoration_Valorisation</f>
        <v>0</v>
      </c>
      <c r="EH35" s="84">
        <f>Majoration_Valorisation</f>
        <v>0</v>
      </c>
      <c r="EI35" s="84">
        <f>Majoration_Valorisation</f>
        <v>0</v>
      </c>
      <c r="EJ35" s="84">
        <f>Majoration_Valorisation</f>
        <v>0</v>
      </c>
      <c r="EK35" s="84">
        <f>Majoration_Valorisation</f>
        <v>0</v>
      </c>
      <c r="EL35" s="84">
        <f>Majoration_Valorisation</f>
        <v>0</v>
      </c>
      <c r="EM35" s="84">
        <f>Majoration_Valorisation</f>
        <v>0</v>
      </c>
      <c r="EN35" s="84">
        <f>Majoration_Valorisation</f>
        <v>0</v>
      </c>
      <c r="EO35" s="84">
        <f>Majoration_Valorisation</f>
        <v>0</v>
      </c>
      <c r="EP35" s="84">
        <f>Majoration_Valorisation</f>
        <v>0</v>
      </c>
      <c r="EQ35" s="84">
        <f>Majoration_Valorisation</f>
        <v>0</v>
      </c>
      <c r="ER35" s="84">
        <f>Majoration_Valorisation</f>
        <v>0</v>
      </c>
      <c r="ES35" s="84">
        <f>Majoration_Valorisation</f>
        <v>0</v>
      </c>
      <c r="ET35" s="84">
        <f>Majoration_Valorisation</f>
        <v>0</v>
      </c>
      <c r="EU35" s="84">
        <f>Majoration_Valorisation</f>
        <v>0</v>
      </c>
      <c r="EV35" s="84">
        <f>Majoration_Valorisation</f>
        <v>0</v>
      </c>
      <c r="EW35" s="84">
        <f>Majoration_Valorisation</f>
        <v>0</v>
      </c>
      <c r="EX35" s="84">
        <f>Majoration_Valorisation</f>
        <v>0</v>
      </c>
    </row>
    <row r="36" ht="15.75" customHeight="1">
      <c r="B36" s="71" t="s">
        <v>54</v>
      </c>
      <c r="E36" s="85">
        <f>Nb_Lignes_Valorisation</f>
        <v>2</v>
      </c>
      <c r="F36" s="85">
        <f>Nb_Lignes_Valorisation</f>
        <v>2</v>
      </c>
      <c r="G36" s="85">
        <f>Nb_Lignes_Valorisation</f>
        <v>2</v>
      </c>
      <c r="H36" s="85">
        <f>Nb_Lignes_Valorisation</f>
        <v>2</v>
      </c>
      <c r="I36" s="85">
        <f>Nb_Lignes_Valorisation</f>
        <v>2</v>
      </c>
      <c r="J36" s="85">
        <f>Nb_Lignes_Valorisation</f>
        <v>2</v>
      </c>
      <c r="K36" s="85">
        <f>Nb_Lignes_Valorisation</f>
        <v>2</v>
      </c>
      <c r="L36" s="85">
        <f>Nb_Lignes_Valorisation</f>
        <v>2</v>
      </c>
      <c r="M36" s="85">
        <f>Nb_Lignes_Valorisation</f>
        <v>2</v>
      </c>
      <c r="N36" s="85">
        <f>Nb_Lignes_Valorisation</f>
        <v>2</v>
      </c>
      <c r="O36" s="85">
        <f>Nb_Lignes_Valorisation</f>
        <v>2</v>
      </c>
      <c r="P36" s="85">
        <f>Nb_Lignes_Valorisation</f>
        <v>2</v>
      </c>
      <c r="Q36" s="85">
        <f>Nb_Lignes_Valorisation</f>
        <v>2</v>
      </c>
      <c r="R36" s="85">
        <f>Nb_Lignes_Valorisation</f>
        <v>2</v>
      </c>
      <c r="S36" s="85">
        <f>Nb_Lignes_Valorisation</f>
        <v>2</v>
      </c>
      <c r="T36" s="85">
        <f>Nb_Lignes_Valorisation</f>
        <v>2</v>
      </c>
      <c r="U36" s="85">
        <f>Nb_Lignes_Valorisation</f>
        <v>2</v>
      </c>
      <c r="V36" s="85">
        <f>Nb_Lignes_Valorisation</f>
        <v>2</v>
      </c>
      <c r="W36" s="85">
        <f>Nb_Lignes_Valorisation</f>
        <v>2</v>
      </c>
      <c r="X36" s="85">
        <f>Nb_Lignes_Valorisation</f>
        <v>2</v>
      </c>
      <c r="Y36" s="85">
        <f>Nb_Lignes_Valorisation</f>
        <v>2</v>
      </c>
      <c r="Z36" s="85">
        <f>Nb_Lignes_Valorisation</f>
        <v>2</v>
      </c>
      <c r="AA36" s="85">
        <f>Nb_Lignes_Valorisation</f>
        <v>2</v>
      </c>
      <c r="AB36" s="85">
        <f>Nb_Lignes_Valorisation</f>
        <v>2</v>
      </c>
      <c r="AC36" s="85">
        <f>Nb_Lignes_Valorisation</f>
        <v>2</v>
      </c>
      <c r="AD36" s="85">
        <f>Nb_Lignes_Valorisation</f>
        <v>2</v>
      </c>
      <c r="AE36" s="85">
        <f>Nb_Lignes_Valorisation</f>
        <v>2</v>
      </c>
      <c r="AF36" s="85">
        <f>Nb_Lignes_Valorisation</f>
        <v>2</v>
      </c>
      <c r="AG36" s="85">
        <f>Nb_Lignes_Valorisation</f>
        <v>2</v>
      </c>
      <c r="AH36" s="85">
        <f>Nb_Lignes_Valorisation</f>
        <v>2</v>
      </c>
      <c r="AI36" s="85">
        <f>Nb_Lignes_Valorisation</f>
        <v>2</v>
      </c>
      <c r="AJ36" s="85">
        <f>Nb_Lignes_Valorisation</f>
        <v>2</v>
      </c>
      <c r="AK36" s="85">
        <f>Nb_Lignes_Valorisation</f>
        <v>2</v>
      </c>
      <c r="AL36" s="85">
        <f>Nb_Lignes_Valorisation</f>
        <v>2</v>
      </c>
      <c r="AM36" s="85">
        <f>Nb_Lignes_Valorisation</f>
        <v>2</v>
      </c>
      <c r="AN36" s="85">
        <f>Nb_Lignes_Valorisation</f>
        <v>2</v>
      </c>
      <c r="AO36" s="85">
        <f>Nb_Lignes_Valorisation</f>
        <v>2</v>
      </c>
      <c r="AP36" s="85">
        <f>Nb_Lignes_Valorisation</f>
        <v>2</v>
      </c>
      <c r="AQ36" s="85">
        <f>Nb_Lignes_Valorisation</f>
        <v>2</v>
      </c>
      <c r="AR36" s="85">
        <f>Nb_Lignes_Valorisation</f>
        <v>2</v>
      </c>
      <c r="AS36" s="85">
        <f>Nb_Lignes_Valorisation</f>
        <v>2</v>
      </c>
      <c r="AT36" s="85">
        <f>Nb_Lignes_Valorisation</f>
        <v>2</v>
      </c>
      <c r="AU36" s="85">
        <f>Nb_Lignes_Valorisation</f>
        <v>2</v>
      </c>
      <c r="AV36" s="85">
        <f>Nb_Lignes_Valorisation</f>
        <v>2</v>
      </c>
      <c r="AW36" s="85">
        <f>Nb_Lignes_Valorisation</f>
        <v>2</v>
      </c>
      <c r="AX36" s="85">
        <f>Nb_Lignes_Valorisation</f>
        <v>2</v>
      </c>
      <c r="AY36" s="85">
        <f>Nb_Lignes_Valorisation</f>
        <v>2</v>
      </c>
      <c r="AZ36" s="85">
        <f>Nb_Lignes_Valorisation</f>
        <v>2</v>
      </c>
      <c r="BA36" s="85">
        <f>Nb_Lignes_Valorisation</f>
        <v>2</v>
      </c>
      <c r="BB36" s="85">
        <f>Nb_Lignes_Valorisation</f>
        <v>2</v>
      </c>
      <c r="BC36" s="85">
        <f>Nb_Lignes_Valorisation</f>
        <v>2</v>
      </c>
      <c r="BD36" s="85">
        <f>Nb_Lignes_Valorisation</f>
        <v>2</v>
      </c>
      <c r="BE36" s="85">
        <f>Nb_Lignes_Valorisation</f>
        <v>2</v>
      </c>
      <c r="BF36" s="85">
        <f>Nb_Lignes_Valorisation</f>
        <v>2</v>
      </c>
      <c r="BG36" s="85">
        <f>Nb_Lignes_Valorisation</f>
        <v>2</v>
      </c>
      <c r="BH36" s="85">
        <f>Nb_Lignes_Valorisation</f>
        <v>2</v>
      </c>
      <c r="BI36" s="85">
        <f>Nb_Lignes_Valorisation</f>
        <v>2</v>
      </c>
      <c r="BJ36" s="85">
        <f>Nb_Lignes_Valorisation</f>
        <v>2</v>
      </c>
      <c r="BK36" s="85">
        <f>Nb_Lignes_Valorisation</f>
        <v>2</v>
      </c>
      <c r="BL36" s="85">
        <f>Nb_Lignes_Valorisation</f>
        <v>2</v>
      </c>
      <c r="BM36" s="85">
        <f>Nb_Lignes_Valorisation</f>
        <v>2</v>
      </c>
      <c r="BN36" s="85">
        <f>Nb_Lignes_Valorisation</f>
        <v>2</v>
      </c>
      <c r="BO36" s="85">
        <f>Nb_Lignes_Valorisation</f>
        <v>2</v>
      </c>
      <c r="BP36" s="85">
        <f>Nb_Lignes_Valorisation</f>
        <v>2</v>
      </c>
      <c r="BQ36" s="85">
        <f>Nb_Lignes_Valorisation</f>
        <v>2</v>
      </c>
      <c r="BR36" s="85">
        <f>Nb_Lignes_Valorisation</f>
        <v>2</v>
      </c>
      <c r="BS36" s="85">
        <f>Nb_Lignes_Valorisation</f>
        <v>2</v>
      </c>
      <c r="BT36" s="85">
        <f>Nb_Lignes_Valorisation</f>
        <v>2</v>
      </c>
      <c r="BU36" s="85">
        <f>Nb_Lignes_Valorisation</f>
        <v>2</v>
      </c>
      <c r="BV36" s="85">
        <f>Nb_Lignes_Valorisation</f>
        <v>2</v>
      </c>
      <c r="BW36" s="85">
        <f>Nb_Lignes_Valorisation</f>
        <v>2</v>
      </c>
      <c r="BX36" s="85">
        <f>Nb_Lignes_Valorisation</f>
        <v>2</v>
      </c>
      <c r="BY36" s="85">
        <f>Nb_Lignes_Valorisation</f>
        <v>2</v>
      </c>
      <c r="BZ36" s="85">
        <f>Nb_Lignes_Valorisation</f>
        <v>2</v>
      </c>
      <c r="CA36" s="85">
        <f>Nb_Lignes_Valorisation</f>
        <v>2</v>
      </c>
      <c r="CB36" s="85">
        <f>Nb_Lignes_Valorisation</f>
        <v>2</v>
      </c>
      <c r="CC36" s="85">
        <f>Nb_Lignes_Valorisation</f>
        <v>2</v>
      </c>
      <c r="CD36" s="85">
        <f>Nb_Lignes_Valorisation</f>
        <v>2</v>
      </c>
      <c r="CE36" s="85">
        <f>Nb_Lignes_Valorisation</f>
        <v>2</v>
      </c>
      <c r="CF36" s="85">
        <f>Nb_Lignes_Valorisation</f>
        <v>2</v>
      </c>
      <c r="CG36" s="85">
        <f>Nb_Lignes_Valorisation</f>
        <v>2</v>
      </c>
      <c r="CH36" s="85">
        <f>Nb_Lignes_Valorisation</f>
        <v>2</v>
      </c>
      <c r="CI36" s="85">
        <f>Nb_Lignes_Valorisation</f>
        <v>2</v>
      </c>
      <c r="CJ36" s="85">
        <f>Nb_Lignes_Valorisation</f>
        <v>2</v>
      </c>
      <c r="CK36" s="85">
        <f>Nb_Lignes_Valorisation</f>
        <v>2</v>
      </c>
      <c r="CL36" s="85">
        <f>Nb_Lignes_Valorisation</f>
        <v>2</v>
      </c>
      <c r="CM36" s="85">
        <f>Nb_Lignes_Valorisation</f>
        <v>2</v>
      </c>
      <c r="CN36" s="85">
        <f>Nb_Lignes_Valorisation</f>
        <v>2</v>
      </c>
      <c r="CO36" s="85">
        <f>Nb_Lignes_Valorisation</f>
        <v>2</v>
      </c>
      <c r="CP36" s="85">
        <f>Nb_Lignes_Valorisation</f>
        <v>2</v>
      </c>
      <c r="CQ36" s="85">
        <f>Nb_Lignes_Valorisation</f>
        <v>2</v>
      </c>
      <c r="CR36" s="85">
        <f>Nb_Lignes_Valorisation</f>
        <v>2</v>
      </c>
      <c r="CS36" s="85">
        <f>Nb_Lignes_Valorisation</f>
        <v>2</v>
      </c>
      <c r="CT36" s="85">
        <f>Nb_Lignes_Valorisation</f>
        <v>2</v>
      </c>
      <c r="CU36" s="85">
        <f>Nb_Lignes_Valorisation</f>
        <v>2</v>
      </c>
      <c r="CV36" s="85">
        <f>Nb_Lignes_Valorisation</f>
        <v>2</v>
      </c>
      <c r="CW36" s="85">
        <f>Nb_Lignes_Valorisation</f>
        <v>2</v>
      </c>
      <c r="CX36" s="85">
        <f>Nb_Lignes_Valorisation</f>
        <v>2</v>
      </c>
      <c r="CY36" s="85">
        <f>Nb_Lignes_Valorisation</f>
        <v>2</v>
      </c>
      <c r="CZ36" s="85">
        <f>Nb_Lignes_Valorisation</f>
        <v>2</v>
      </c>
      <c r="DA36" s="85">
        <f>Nb_Lignes_Valorisation</f>
        <v>2</v>
      </c>
      <c r="DB36" s="85">
        <f>Nb_Lignes_Valorisation</f>
        <v>2</v>
      </c>
      <c r="DC36" s="85">
        <f>Nb_Lignes_Valorisation</f>
        <v>2</v>
      </c>
      <c r="DD36" s="85">
        <f>Nb_Lignes_Valorisation</f>
        <v>2</v>
      </c>
      <c r="DE36" s="85">
        <f>Nb_Lignes_Valorisation</f>
        <v>2</v>
      </c>
      <c r="DF36" s="85">
        <f>Nb_Lignes_Valorisation</f>
        <v>2</v>
      </c>
      <c r="DG36" s="85">
        <f>Nb_Lignes_Valorisation</f>
        <v>2</v>
      </c>
      <c r="DH36" s="85">
        <f>Nb_Lignes_Valorisation</f>
        <v>2</v>
      </c>
      <c r="DI36" s="85">
        <f>Nb_Lignes_Valorisation</f>
        <v>2</v>
      </c>
      <c r="DJ36" s="85">
        <f>Nb_Lignes_Valorisation</f>
        <v>2</v>
      </c>
      <c r="DK36" s="85">
        <f>Nb_Lignes_Valorisation</f>
        <v>2</v>
      </c>
      <c r="DL36" s="85">
        <f>Nb_Lignes_Valorisation</f>
        <v>2</v>
      </c>
      <c r="DM36" s="85">
        <f>Nb_Lignes_Valorisation</f>
        <v>2</v>
      </c>
      <c r="DN36" s="85">
        <f>Nb_Lignes_Valorisation</f>
        <v>2</v>
      </c>
      <c r="DO36" s="85">
        <f>Nb_Lignes_Valorisation</f>
        <v>2</v>
      </c>
      <c r="DP36" s="85">
        <f>Nb_Lignes_Valorisation</f>
        <v>2</v>
      </c>
      <c r="DQ36" s="85">
        <f>Nb_Lignes_Valorisation</f>
        <v>2</v>
      </c>
      <c r="DR36" s="85">
        <f>Nb_Lignes_Valorisation</f>
        <v>2</v>
      </c>
      <c r="DS36" s="85">
        <f>Nb_Lignes_Valorisation</f>
        <v>2</v>
      </c>
      <c r="DT36" s="85">
        <f>Nb_Lignes_Valorisation</f>
        <v>2</v>
      </c>
      <c r="DU36" s="85">
        <f>Nb_Lignes_Valorisation</f>
        <v>2</v>
      </c>
      <c r="DV36" s="85">
        <f>Nb_Lignes_Valorisation</f>
        <v>2</v>
      </c>
      <c r="DW36" s="85">
        <f>Nb_Lignes_Valorisation</f>
        <v>2</v>
      </c>
      <c r="DX36" s="85">
        <f>Nb_Lignes_Valorisation</f>
        <v>2</v>
      </c>
      <c r="DY36" s="85">
        <f>Nb_Lignes_Valorisation</f>
        <v>2</v>
      </c>
      <c r="DZ36" s="85">
        <f>Nb_Lignes_Valorisation</f>
        <v>2</v>
      </c>
      <c r="EA36" s="85">
        <f>Nb_Lignes_Valorisation</f>
        <v>2</v>
      </c>
      <c r="EB36" s="85">
        <f>Nb_Lignes_Valorisation</f>
        <v>2</v>
      </c>
      <c r="EC36" s="85">
        <f>Nb_Lignes_Valorisation</f>
        <v>2</v>
      </c>
      <c r="ED36" s="85">
        <f>Nb_Lignes_Valorisation</f>
        <v>2</v>
      </c>
      <c r="EE36" s="85">
        <f>Nb_Lignes_Valorisation</f>
        <v>2</v>
      </c>
      <c r="EF36" s="85">
        <f>Nb_Lignes_Valorisation</f>
        <v>2</v>
      </c>
      <c r="EG36" s="85">
        <f>Nb_Lignes_Valorisation</f>
        <v>2</v>
      </c>
      <c r="EH36" s="85">
        <f>Nb_Lignes_Valorisation</f>
        <v>2</v>
      </c>
      <c r="EI36" s="85">
        <f>Nb_Lignes_Valorisation</f>
        <v>2</v>
      </c>
      <c r="EJ36" s="85">
        <f>Nb_Lignes_Valorisation</f>
        <v>2</v>
      </c>
      <c r="EK36" s="85">
        <f>Nb_Lignes_Valorisation</f>
        <v>2</v>
      </c>
      <c r="EL36" s="85">
        <f>Nb_Lignes_Valorisation</f>
        <v>2</v>
      </c>
      <c r="EM36" s="85">
        <f>Nb_Lignes_Valorisation</f>
        <v>2</v>
      </c>
      <c r="EN36" s="85">
        <f>Nb_Lignes_Valorisation</f>
        <v>2</v>
      </c>
      <c r="EO36" s="85">
        <f>Nb_Lignes_Valorisation</f>
        <v>2</v>
      </c>
      <c r="EP36" s="85">
        <f>Nb_Lignes_Valorisation</f>
        <v>2</v>
      </c>
      <c r="EQ36" s="85">
        <f>Nb_Lignes_Valorisation</f>
        <v>2</v>
      </c>
      <c r="ER36" s="85">
        <f>Nb_Lignes_Valorisation</f>
        <v>2</v>
      </c>
      <c r="ES36" s="85">
        <f>Nb_Lignes_Valorisation</f>
        <v>2</v>
      </c>
      <c r="ET36" s="85">
        <f>Nb_Lignes_Valorisation</f>
        <v>2</v>
      </c>
      <c r="EU36" s="85">
        <f>Nb_Lignes_Valorisation</f>
        <v>2</v>
      </c>
      <c r="EV36" s="85">
        <f>Nb_Lignes_Valorisation</f>
        <v>2</v>
      </c>
      <c r="EW36" s="85">
        <f>Nb_Lignes_Valorisation</f>
        <v>2</v>
      </c>
      <c r="EX36" s="85">
        <f>Nb_Lignes_Valorisation</f>
        <v>2</v>
      </c>
    </row>
    <row r="37" ht="15.75" customHeight="1">
      <c r="B37" s="71" t="s">
        <v>235</v>
      </c>
      <c r="E37" s="25">
        <f>'01_Input'!$AC$61</f>
        <v>0</v>
      </c>
      <c r="F37" s="25">
        <f>'01_Input'!$AC$61</f>
        <v>0</v>
      </c>
      <c r="G37" s="25">
        <f>'01_Input'!$AC$61</f>
        <v>0</v>
      </c>
      <c r="H37" s="25">
        <f>'01_Input'!$AC$61</f>
        <v>0</v>
      </c>
      <c r="I37" s="25">
        <f>'01_Input'!$AC$61</f>
        <v>0</v>
      </c>
      <c r="J37" s="25">
        <f>'01_Input'!$AC$61</f>
        <v>0</v>
      </c>
      <c r="K37" s="25">
        <f>'01_Input'!$AC$61</f>
        <v>0</v>
      </c>
      <c r="L37" s="25">
        <f>'01_Input'!$AC$61</f>
        <v>0</v>
      </c>
      <c r="M37" s="25">
        <f>'01_Input'!$AC$61</f>
        <v>0</v>
      </c>
      <c r="N37" s="25">
        <f>'01_Input'!$AC$61</f>
        <v>0</v>
      </c>
      <c r="O37" s="25">
        <f>'01_Input'!$AC$61</f>
        <v>0</v>
      </c>
      <c r="P37" s="25">
        <f>'01_Input'!$AC$61</f>
        <v>0</v>
      </c>
      <c r="Q37" s="25">
        <f>'01_Input'!$AC$61</f>
        <v>0</v>
      </c>
      <c r="R37" s="25">
        <f>'01_Input'!$AC$61</f>
        <v>0</v>
      </c>
      <c r="S37" s="25">
        <f>'01_Input'!$AC$61</f>
        <v>0</v>
      </c>
      <c r="T37" s="25">
        <f>'01_Input'!$AC$61</f>
        <v>0</v>
      </c>
      <c r="U37" s="25">
        <f>'01_Input'!$AC$61</f>
        <v>0</v>
      </c>
      <c r="V37" s="25">
        <f>'01_Input'!$AC$61</f>
        <v>0</v>
      </c>
      <c r="W37" s="25">
        <f>'01_Input'!$AC$61</f>
        <v>0</v>
      </c>
      <c r="X37" s="25">
        <f>'01_Input'!$AC$61</f>
        <v>0</v>
      </c>
      <c r="Y37" s="25">
        <f>'01_Input'!$AC$61</f>
        <v>0</v>
      </c>
      <c r="Z37" s="25">
        <f>'01_Input'!$AC$61</f>
        <v>0</v>
      </c>
      <c r="AA37" s="25">
        <f>'01_Input'!$AC$61</f>
        <v>0</v>
      </c>
      <c r="AB37" s="25">
        <f>'01_Input'!$AC$61</f>
        <v>0</v>
      </c>
      <c r="AC37" s="25">
        <f>'01_Input'!$AC$61</f>
        <v>0</v>
      </c>
      <c r="AD37" s="25">
        <f>'01_Input'!$AC$61</f>
        <v>0</v>
      </c>
      <c r="AE37" s="25">
        <f>'01_Input'!$AC$61</f>
        <v>0</v>
      </c>
      <c r="AF37" s="25">
        <f>'01_Input'!$AC$61</f>
        <v>0</v>
      </c>
      <c r="AG37" s="25">
        <f>'01_Input'!$AC$61</f>
        <v>0</v>
      </c>
      <c r="AH37" s="25">
        <f>'01_Input'!$AC$61</f>
        <v>0</v>
      </c>
      <c r="AI37" s="25">
        <f>'01_Input'!$AC$61</f>
        <v>0</v>
      </c>
      <c r="AJ37" s="25">
        <f>'01_Input'!$AC$61</f>
        <v>0</v>
      </c>
      <c r="AK37" s="25">
        <f>'01_Input'!$AC$61</f>
        <v>0</v>
      </c>
      <c r="AL37" s="25">
        <f>'01_Input'!$AC$61</f>
        <v>0</v>
      </c>
      <c r="AM37" s="25">
        <f>'01_Input'!$AC$61</f>
        <v>0</v>
      </c>
      <c r="AN37" s="25">
        <f>'01_Input'!$AC$61</f>
        <v>0</v>
      </c>
      <c r="AO37" s="25">
        <f>'01_Input'!$AC$61</f>
        <v>0</v>
      </c>
      <c r="AP37" s="25">
        <f>'01_Input'!$AC$61</f>
        <v>0</v>
      </c>
      <c r="AQ37" s="25">
        <f>'01_Input'!$AC$61</f>
        <v>0</v>
      </c>
      <c r="AR37" s="25">
        <f>'01_Input'!$AC$61</f>
        <v>0</v>
      </c>
      <c r="AS37" s="25">
        <f>'01_Input'!$AC$61</f>
        <v>0</v>
      </c>
      <c r="AT37" s="25">
        <f>'01_Input'!$AC$61</f>
        <v>0</v>
      </c>
      <c r="AU37" s="25">
        <f>'01_Input'!$AC$61</f>
        <v>0</v>
      </c>
      <c r="AV37" s="25">
        <f>'01_Input'!$AC$61</f>
        <v>0</v>
      </c>
      <c r="AW37" s="25">
        <f>'01_Input'!$AC$61</f>
        <v>0</v>
      </c>
      <c r="AX37" s="25">
        <f>'01_Input'!$AC$61</f>
        <v>0</v>
      </c>
      <c r="AY37" s="25">
        <f>'01_Input'!$AC$61</f>
        <v>0</v>
      </c>
      <c r="AZ37" s="25">
        <f>'01_Input'!$AC$61</f>
        <v>0</v>
      </c>
      <c r="BA37" s="25">
        <f>'01_Input'!$AC$61</f>
        <v>0</v>
      </c>
      <c r="BB37" s="25">
        <f>'01_Input'!$AC$61</f>
        <v>0</v>
      </c>
      <c r="BC37" s="25">
        <f>'01_Input'!$AC$61</f>
        <v>0</v>
      </c>
      <c r="BD37" s="25">
        <f>'01_Input'!$AC$61</f>
        <v>0</v>
      </c>
      <c r="BE37" s="25">
        <f>'01_Input'!$AC$61</f>
        <v>0</v>
      </c>
      <c r="BF37" s="25">
        <f>'01_Input'!$AC$61</f>
        <v>0</v>
      </c>
      <c r="BG37" s="25">
        <f>'01_Input'!$AC$61</f>
        <v>0</v>
      </c>
      <c r="BH37" s="25">
        <f>'01_Input'!$AC$61</f>
        <v>0</v>
      </c>
      <c r="BI37" s="25">
        <f>'01_Input'!$AC$61</f>
        <v>0</v>
      </c>
      <c r="BJ37" s="25">
        <f>'01_Input'!$AC$61</f>
        <v>0</v>
      </c>
      <c r="BK37" s="25">
        <f>'01_Input'!$AC$61</f>
        <v>0</v>
      </c>
      <c r="BL37" s="25">
        <f>'01_Input'!$AC$61</f>
        <v>0</v>
      </c>
      <c r="BM37" s="25">
        <f>'01_Input'!$AC$61</f>
        <v>0</v>
      </c>
      <c r="BN37" s="25">
        <f>'01_Input'!$AC$61</f>
        <v>0</v>
      </c>
      <c r="BO37" s="25">
        <f>'01_Input'!$AC$61</f>
        <v>0</v>
      </c>
      <c r="BP37" s="25">
        <f>'01_Input'!$AC$61</f>
        <v>0</v>
      </c>
      <c r="BQ37" s="25">
        <f>'01_Input'!$AC$61</f>
        <v>0</v>
      </c>
      <c r="BR37" s="25">
        <f>'01_Input'!$AC$61</f>
        <v>0</v>
      </c>
      <c r="BS37" s="25">
        <f>'01_Input'!$AC$61</f>
        <v>0</v>
      </c>
      <c r="BT37" s="25">
        <f>'01_Input'!$AC$61</f>
        <v>0</v>
      </c>
      <c r="BU37" s="25">
        <f>'01_Input'!$AC$61</f>
        <v>0</v>
      </c>
      <c r="BV37" s="25">
        <f>'01_Input'!$AC$61</f>
        <v>0</v>
      </c>
      <c r="BW37" s="25">
        <f>'01_Input'!$AC$61</f>
        <v>0</v>
      </c>
      <c r="BX37" s="25">
        <f>'01_Input'!$AC$61</f>
        <v>0</v>
      </c>
      <c r="BY37" s="25">
        <f>'01_Input'!$AC$61</f>
        <v>0</v>
      </c>
      <c r="BZ37" s="25">
        <f>'01_Input'!$AC$61</f>
        <v>0</v>
      </c>
      <c r="CA37" s="25">
        <f>'01_Input'!$AC$61</f>
        <v>0</v>
      </c>
      <c r="CB37" s="25">
        <f>'01_Input'!$AC$61</f>
        <v>0</v>
      </c>
      <c r="CC37" s="25">
        <f>'01_Input'!$AC$61</f>
        <v>0</v>
      </c>
      <c r="CD37" s="25">
        <f>'01_Input'!$AC$61</f>
        <v>0</v>
      </c>
      <c r="CE37" s="25">
        <f>'01_Input'!$AC$61</f>
        <v>0</v>
      </c>
      <c r="CF37" s="25">
        <f>'01_Input'!$AC$61</f>
        <v>0</v>
      </c>
      <c r="CG37" s="25">
        <f>'01_Input'!$AC$61</f>
        <v>0</v>
      </c>
      <c r="CH37" s="25">
        <f>'01_Input'!$AC$61</f>
        <v>0</v>
      </c>
      <c r="CI37" s="25">
        <f>'01_Input'!$AC$61</f>
        <v>0</v>
      </c>
      <c r="CJ37" s="25">
        <f>'01_Input'!$AC$61</f>
        <v>0</v>
      </c>
      <c r="CK37" s="25">
        <f>'01_Input'!$AC$61</f>
        <v>0</v>
      </c>
      <c r="CL37" s="25">
        <f>'01_Input'!$AC$61</f>
        <v>0</v>
      </c>
      <c r="CM37" s="25">
        <f>'01_Input'!$AC$61</f>
        <v>0</v>
      </c>
      <c r="CN37" s="25">
        <f>'01_Input'!$AC$61</f>
        <v>0</v>
      </c>
      <c r="CO37" s="25">
        <f>'01_Input'!$AC$61</f>
        <v>0</v>
      </c>
      <c r="CP37" s="25">
        <f>'01_Input'!$AC$61</f>
        <v>0</v>
      </c>
      <c r="CQ37" s="25">
        <f>'01_Input'!$AC$61</f>
        <v>0</v>
      </c>
      <c r="CR37" s="25">
        <f>'01_Input'!$AC$61</f>
        <v>0</v>
      </c>
      <c r="CS37" s="25">
        <f>'01_Input'!$AC$61</f>
        <v>0</v>
      </c>
      <c r="CT37" s="25">
        <f>'01_Input'!$AC$61</f>
        <v>0</v>
      </c>
      <c r="CU37" s="25">
        <f>'01_Input'!$AC$61</f>
        <v>0</v>
      </c>
      <c r="CV37" s="25">
        <f>'01_Input'!$AC$61</f>
        <v>0</v>
      </c>
      <c r="CW37" s="25">
        <f>'01_Input'!$AC$61</f>
        <v>0</v>
      </c>
      <c r="CX37" s="25">
        <f>'01_Input'!$AC$61</f>
        <v>0</v>
      </c>
      <c r="CY37" s="25">
        <f>'01_Input'!$AC$61</f>
        <v>0</v>
      </c>
      <c r="CZ37" s="25">
        <f>'01_Input'!$AC$61</f>
        <v>0</v>
      </c>
      <c r="DA37" s="25">
        <f>'01_Input'!$AC$61</f>
        <v>0</v>
      </c>
      <c r="DB37" s="25">
        <f>'01_Input'!$AC$61</f>
        <v>0</v>
      </c>
      <c r="DC37" s="25">
        <f>'01_Input'!$AC$61</f>
        <v>0</v>
      </c>
      <c r="DD37" s="25">
        <f>'01_Input'!$AC$61</f>
        <v>0</v>
      </c>
      <c r="DE37" s="25">
        <f>'01_Input'!$AC$61</f>
        <v>0</v>
      </c>
      <c r="DF37" s="25">
        <f>'01_Input'!$AC$61</f>
        <v>0</v>
      </c>
      <c r="DG37" s="25">
        <f>'01_Input'!$AC$61</f>
        <v>0</v>
      </c>
      <c r="DH37" s="25">
        <f>'01_Input'!$AC$61</f>
        <v>0</v>
      </c>
      <c r="DI37" s="25">
        <f>'01_Input'!$AC$61</f>
        <v>0</v>
      </c>
      <c r="DJ37" s="25">
        <f>'01_Input'!$AC$61</f>
        <v>0</v>
      </c>
      <c r="DK37" s="25">
        <f>'01_Input'!$AC$61</f>
        <v>0</v>
      </c>
      <c r="DL37" s="25">
        <f>'01_Input'!$AC$61</f>
        <v>0</v>
      </c>
      <c r="DM37" s="25">
        <f>'01_Input'!$AC$61</f>
        <v>0</v>
      </c>
      <c r="DN37" s="25">
        <f>'01_Input'!$AC$61</f>
        <v>0</v>
      </c>
      <c r="DO37" s="25">
        <f>'01_Input'!$AC$61</f>
        <v>0</v>
      </c>
      <c r="DP37" s="25">
        <f>'01_Input'!$AC$61</f>
        <v>0</v>
      </c>
      <c r="DQ37" s="25">
        <f>'01_Input'!$AC$61</f>
        <v>0</v>
      </c>
      <c r="DR37" s="25">
        <f>'01_Input'!$AC$61</f>
        <v>0</v>
      </c>
      <c r="DS37" s="25">
        <f>'01_Input'!$AC$61</f>
        <v>0</v>
      </c>
      <c r="DT37" s="25">
        <f>'01_Input'!$AC$61</f>
        <v>0</v>
      </c>
      <c r="DU37" s="25">
        <f>'01_Input'!$AC$61</f>
        <v>0</v>
      </c>
      <c r="DV37" s="25">
        <f>'01_Input'!$AC$61</f>
        <v>0</v>
      </c>
      <c r="DW37" s="25">
        <f>'01_Input'!$AC$61</f>
        <v>0</v>
      </c>
      <c r="DX37" s="25">
        <f>'01_Input'!$AC$61</f>
        <v>0</v>
      </c>
      <c r="DY37" s="25">
        <f>'01_Input'!$AC$61</f>
        <v>0</v>
      </c>
      <c r="DZ37" s="25">
        <f>'01_Input'!$AC$61</f>
        <v>0</v>
      </c>
      <c r="EA37" s="25">
        <f>'01_Input'!$AC$61</f>
        <v>0</v>
      </c>
      <c r="EB37" s="25">
        <f>'01_Input'!$AC$61</f>
        <v>0</v>
      </c>
      <c r="EC37" s="25">
        <f>'01_Input'!$AC$61</f>
        <v>0</v>
      </c>
      <c r="ED37" s="25">
        <f>'01_Input'!$AC$61</f>
        <v>0</v>
      </c>
      <c r="EE37" s="25">
        <f>'01_Input'!$AC$61</f>
        <v>0</v>
      </c>
      <c r="EF37" s="25">
        <f>'01_Input'!$AC$61</f>
        <v>0</v>
      </c>
      <c r="EG37" s="25">
        <f>'01_Input'!$AC$61</f>
        <v>0</v>
      </c>
      <c r="EH37" s="25">
        <f>'01_Input'!$AC$61</f>
        <v>0</v>
      </c>
      <c r="EI37" s="25">
        <f>'01_Input'!$AC$61</f>
        <v>0</v>
      </c>
      <c r="EJ37" s="25">
        <f>'01_Input'!$AC$61</f>
        <v>0</v>
      </c>
      <c r="EK37" s="25">
        <f>'01_Input'!$AC$61</f>
        <v>0</v>
      </c>
      <c r="EL37" s="25">
        <f>'01_Input'!$AC$61</f>
        <v>0</v>
      </c>
      <c r="EM37" s="25">
        <f>'01_Input'!$AC$61</f>
        <v>0</v>
      </c>
      <c r="EN37" s="25">
        <f>'01_Input'!$AC$61</f>
        <v>0</v>
      </c>
      <c r="EO37" s="25">
        <f>'01_Input'!$AC$61</f>
        <v>0</v>
      </c>
      <c r="EP37" s="25">
        <f>'01_Input'!$AC$61</f>
        <v>0</v>
      </c>
      <c r="EQ37" s="25">
        <f>'01_Input'!$AC$61</f>
        <v>0</v>
      </c>
      <c r="ER37" s="25">
        <f>'01_Input'!$AC$61</f>
        <v>0</v>
      </c>
      <c r="ES37" s="25">
        <f>'01_Input'!$AC$61</f>
        <v>0</v>
      </c>
      <c r="ET37" s="25">
        <f>'01_Input'!$AC$61</f>
        <v>0</v>
      </c>
      <c r="EU37" s="25">
        <f>'01_Input'!$AC$61</f>
        <v>0</v>
      </c>
      <c r="EV37" s="25">
        <f>'01_Input'!$AC$61</f>
        <v>0</v>
      </c>
      <c r="EW37" s="25">
        <f>'01_Input'!$AC$61</f>
        <v>0</v>
      </c>
      <c r="EX37" s="25">
        <f>'01_Input'!$AC$61</f>
        <v>0</v>
      </c>
    </row>
    <row r="38" ht="15.75" customHeight="1">
      <c r="B38" s="70" t="s">
        <v>236</v>
      </c>
      <c r="E38" s="80">
        <f t="shared" ref="E38:EX38" si="4">E34+E37</f>
        <v>12000</v>
      </c>
      <c r="F38" s="80">
        <f t="shared" si="4"/>
        <v>12000</v>
      </c>
      <c r="G38" s="80">
        <f t="shared" si="4"/>
        <v>12000</v>
      </c>
      <c r="H38" s="80">
        <f t="shared" si="4"/>
        <v>12000</v>
      </c>
      <c r="I38" s="80">
        <f t="shared" si="4"/>
        <v>12000</v>
      </c>
      <c r="J38" s="80">
        <f t="shared" si="4"/>
        <v>12000</v>
      </c>
      <c r="K38" s="80">
        <f t="shared" si="4"/>
        <v>12000</v>
      </c>
      <c r="L38" s="80">
        <f t="shared" si="4"/>
        <v>14000</v>
      </c>
      <c r="M38" s="80">
        <f t="shared" si="4"/>
        <v>14000</v>
      </c>
      <c r="N38" s="80">
        <f t="shared" si="4"/>
        <v>14000</v>
      </c>
      <c r="O38" s="80">
        <f t="shared" si="4"/>
        <v>18000</v>
      </c>
      <c r="P38" s="80">
        <f t="shared" si="4"/>
        <v>18000</v>
      </c>
      <c r="Q38" s="80">
        <f t="shared" si="4"/>
        <v>18000</v>
      </c>
      <c r="R38" s="80">
        <f t="shared" si="4"/>
        <v>18000</v>
      </c>
      <c r="S38" s="80">
        <f t="shared" si="4"/>
        <v>18000</v>
      </c>
      <c r="T38" s="80">
        <f t="shared" si="4"/>
        <v>18000</v>
      </c>
      <c r="U38" s="80">
        <f t="shared" si="4"/>
        <v>18000</v>
      </c>
      <c r="V38" s="80">
        <f t="shared" si="4"/>
        <v>18000</v>
      </c>
      <c r="W38" s="80">
        <f t="shared" si="4"/>
        <v>18000</v>
      </c>
      <c r="X38" s="80">
        <f t="shared" si="4"/>
        <v>18000</v>
      </c>
      <c r="Y38" s="80">
        <f t="shared" si="4"/>
        <v>18000</v>
      </c>
      <c r="Z38" s="80">
        <f t="shared" si="4"/>
        <v>18000</v>
      </c>
      <c r="AA38" s="80">
        <f t="shared" si="4"/>
        <v>18000</v>
      </c>
      <c r="AB38" s="80">
        <f t="shared" si="4"/>
        <v>18000</v>
      </c>
      <c r="AC38" s="80">
        <f t="shared" si="4"/>
        <v>18000</v>
      </c>
      <c r="AD38" s="80">
        <f t="shared" si="4"/>
        <v>18000</v>
      </c>
      <c r="AE38" s="80">
        <f t="shared" si="4"/>
        <v>18000</v>
      </c>
      <c r="AF38" s="80">
        <f t="shared" si="4"/>
        <v>18000</v>
      </c>
      <c r="AG38" s="80">
        <f t="shared" si="4"/>
        <v>18000</v>
      </c>
      <c r="AH38" s="80">
        <f t="shared" si="4"/>
        <v>18000</v>
      </c>
      <c r="AI38" s="80">
        <f t="shared" si="4"/>
        <v>18000</v>
      </c>
      <c r="AJ38" s="80">
        <f t="shared" si="4"/>
        <v>18000</v>
      </c>
      <c r="AK38" s="80">
        <f t="shared" si="4"/>
        <v>18000</v>
      </c>
      <c r="AL38" s="80">
        <f t="shared" si="4"/>
        <v>18000</v>
      </c>
      <c r="AM38" s="80">
        <f t="shared" si="4"/>
        <v>18000</v>
      </c>
      <c r="AN38" s="80">
        <f t="shared" si="4"/>
        <v>18000</v>
      </c>
      <c r="AO38" s="80">
        <f t="shared" si="4"/>
        <v>18000</v>
      </c>
      <c r="AP38" s="80">
        <f t="shared" si="4"/>
        <v>18000</v>
      </c>
      <c r="AQ38" s="80">
        <f t="shared" si="4"/>
        <v>18000</v>
      </c>
      <c r="AR38" s="80">
        <f t="shared" si="4"/>
        <v>18000</v>
      </c>
      <c r="AS38" s="80">
        <f t="shared" si="4"/>
        <v>18000</v>
      </c>
      <c r="AT38" s="80">
        <f t="shared" si="4"/>
        <v>18000</v>
      </c>
      <c r="AU38" s="80">
        <f t="shared" si="4"/>
        <v>18000</v>
      </c>
      <c r="AV38" s="80">
        <f t="shared" si="4"/>
        <v>18000</v>
      </c>
      <c r="AW38" s="80">
        <f t="shared" si="4"/>
        <v>18000</v>
      </c>
      <c r="AX38" s="80">
        <f t="shared" si="4"/>
        <v>18000</v>
      </c>
      <c r="AY38" s="80">
        <f t="shared" si="4"/>
        <v>18000</v>
      </c>
      <c r="AZ38" s="80">
        <f t="shared" si="4"/>
        <v>18000</v>
      </c>
      <c r="BA38" s="80">
        <f t="shared" si="4"/>
        <v>18000</v>
      </c>
      <c r="BB38" s="80">
        <f t="shared" si="4"/>
        <v>18000</v>
      </c>
      <c r="BC38" s="80">
        <f t="shared" si="4"/>
        <v>18000</v>
      </c>
      <c r="BD38" s="80">
        <f t="shared" si="4"/>
        <v>18000</v>
      </c>
      <c r="BE38" s="80">
        <f t="shared" si="4"/>
        <v>18000</v>
      </c>
      <c r="BF38" s="80">
        <f t="shared" si="4"/>
        <v>18000</v>
      </c>
      <c r="BG38" s="80">
        <f t="shared" si="4"/>
        <v>18000</v>
      </c>
      <c r="BH38" s="80">
        <f t="shared" si="4"/>
        <v>18000</v>
      </c>
      <c r="BI38" s="80">
        <f t="shared" si="4"/>
        <v>18000</v>
      </c>
      <c r="BJ38" s="80">
        <f t="shared" si="4"/>
        <v>18000</v>
      </c>
      <c r="BK38" s="80">
        <f t="shared" si="4"/>
        <v>18000</v>
      </c>
      <c r="BL38" s="80">
        <f t="shared" si="4"/>
        <v>18000</v>
      </c>
      <c r="BM38" s="80">
        <f t="shared" si="4"/>
        <v>18000</v>
      </c>
      <c r="BN38" s="80">
        <f t="shared" si="4"/>
        <v>18000</v>
      </c>
      <c r="BO38" s="80">
        <f t="shared" si="4"/>
        <v>18000</v>
      </c>
      <c r="BP38" s="80">
        <f t="shared" si="4"/>
        <v>18000</v>
      </c>
      <c r="BQ38" s="80">
        <f t="shared" si="4"/>
        <v>18000</v>
      </c>
      <c r="BR38" s="80">
        <f t="shared" si="4"/>
        <v>18000</v>
      </c>
      <c r="BS38" s="80">
        <f t="shared" si="4"/>
        <v>18000</v>
      </c>
      <c r="BT38" s="80">
        <f t="shared" si="4"/>
        <v>18000</v>
      </c>
      <c r="BU38" s="80">
        <f t="shared" si="4"/>
        <v>18000</v>
      </c>
      <c r="BV38" s="80">
        <f t="shared" si="4"/>
        <v>18000</v>
      </c>
      <c r="BW38" s="80">
        <f t="shared" si="4"/>
        <v>18000</v>
      </c>
      <c r="BX38" s="80">
        <f t="shared" si="4"/>
        <v>18000</v>
      </c>
      <c r="BY38" s="80">
        <f t="shared" si="4"/>
        <v>18000</v>
      </c>
      <c r="BZ38" s="80">
        <f t="shared" si="4"/>
        <v>18000</v>
      </c>
      <c r="CA38" s="80">
        <f t="shared" si="4"/>
        <v>18000</v>
      </c>
      <c r="CB38" s="80">
        <f t="shared" si="4"/>
        <v>18000</v>
      </c>
      <c r="CC38" s="80">
        <f t="shared" si="4"/>
        <v>18000</v>
      </c>
      <c r="CD38" s="80">
        <f t="shared" si="4"/>
        <v>18000</v>
      </c>
      <c r="CE38" s="80">
        <f t="shared" si="4"/>
        <v>18000</v>
      </c>
      <c r="CF38" s="80">
        <f t="shared" si="4"/>
        <v>18000</v>
      </c>
      <c r="CG38" s="80">
        <f t="shared" si="4"/>
        <v>18000</v>
      </c>
      <c r="CH38" s="80">
        <f t="shared" si="4"/>
        <v>18000</v>
      </c>
      <c r="CI38" s="80">
        <f t="shared" si="4"/>
        <v>18000</v>
      </c>
      <c r="CJ38" s="80">
        <f t="shared" si="4"/>
        <v>18000</v>
      </c>
      <c r="CK38" s="80">
        <f t="shared" si="4"/>
        <v>18000</v>
      </c>
      <c r="CL38" s="80">
        <f t="shared" si="4"/>
        <v>18000</v>
      </c>
      <c r="CM38" s="80">
        <f t="shared" si="4"/>
        <v>18000</v>
      </c>
      <c r="CN38" s="80">
        <f t="shared" si="4"/>
        <v>18000</v>
      </c>
      <c r="CO38" s="80">
        <f t="shared" si="4"/>
        <v>18000</v>
      </c>
      <c r="CP38" s="80">
        <f t="shared" si="4"/>
        <v>18000</v>
      </c>
      <c r="CQ38" s="80">
        <f t="shared" si="4"/>
        <v>18000</v>
      </c>
      <c r="CR38" s="80">
        <f t="shared" si="4"/>
        <v>18000</v>
      </c>
      <c r="CS38" s="80">
        <f t="shared" si="4"/>
        <v>18000</v>
      </c>
      <c r="CT38" s="80">
        <f t="shared" si="4"/>
        <v>18000</v>
      </c>
      <c r="CU38" s="80">
        <f t="shared" si="4"/>
        <v>18000</v>
      </c>
      <c r="CV38" s="80">
        <f t="shared" si="4"/>
        <v>18000</v>
      </c>
      <c r="CW38" s="80">
        <f t="shared" si="4"/>
        <v>18000</v>
      </c>
      <c r="CX38" s="80">
        <f t="shared" si="4"/>
        <v>18000</v>
      </c>
      <c r="CY38" s="80">
        <f t="shared" si="4"/>
        <v>18000</v>
      </c>
      <c r="CZ38" s="80">
        <f t="shared" si="4"/>
        <v>18000</v>
      </c>
      <c r="DA38" s="80">
        <f t="shared" si="4"/>
        <v>18000</v>
      </c>
      <c r="DB38" s="80">
        <f t="shared" si="4"/>
        <v>18000</v>
      </c>
      <c r="DC38" s="80">
        <f t="shared" si="4"/>
        <v>18000</v>
      </c>
      <c r="DD38" s="80">
        <f t="shared" si="4"/>
        <v>18000</v>
      </c>
      <c r="DE38" s="80">
        <f t="shared" si="4"/>
        <v>18000</v>
      </c>
      <c r="DF38" s="80">
        <f t="shared" si="4"/>
        <v>18000</v>
      </c>
      <c r="DG38" s="80">
        <f t="shared" si="4"/>
        <v>18000</v>
      </c>
      <c r="DH38" s="80">
        <f t="shared" si="4"/>
        <v>18000</v>
      </c>
      <c r="DI38" s="80">
        <f t="shared" si="4"/>
        <v>18000</v>
      </c>
      <c r="DJ38" s="80">
        <f t="shared" si="4"/>
        <v>18000</v>
      </c>
      <c r="DK38" s="80">
        <f t="shared" si="4"/>
        <v>18000</v>
      </c>
      <c r="DL38" s="80">
        <f t="shared" si="4"/>
        <v>18000</v>
      </c>
      <c r="DM38" s="80">
        <f t="shared" si="4"/>
        <v>18000</v>
      </c>
      <c r="DN38" s="80">
        <f t="shared" si="4"/>
        <v>18000</v>
      </c>
      <c r="DO38" s="80">
        <f t="shared" si="4"/>
        <v>18000</v>
      </c>
      <c r="DP38" s="80">
        <f t="shared" si="4"/>
        <v>18000</v>
      </c>
      <c r="DQ38" s="80">
        <f t="shared" si="4"/>
        <v>18000</v>
      </c>
      <c r="DR38" s="80">
        <f t="shared" si="4"/>
        <v>18000</v>
      </c>
      <c r="DS38" s="80">
        <f t="shared" si="4"/>
        <v>18000</v>
      </c>
      <c r="DT38" s="80">
        <f t="shared" si="4"/>
        <v>18000</v>
      </c>
      <c r="DU38" s="80">
        <f t="shared" si="4"/>
        <v>18000</v>
      </c>
      <c r="DV38" s="80">
        <f t="shared" si="4"/>
        <v>18000</v>
      </c>
      <c r="DW38" s="80">
        <f t="shared" si="4"/>
        <v>18000</v>
      </c>
      <c r="DX38" s="80">
        <f t="shared" si="4"/>
        <v>18000</v>
      </c>
      <c r="DY38" s="80">
        <f t="shared" si="4"/>
        <v>18000</v>
      </c>
      <c r="DZ38" s="80">
        <f t="shared" si="4"/>
        <v>18000</v>
      </c>
      <c r="EA38" s="80">
        <f t="shared" si="4"/>
        <v>18000</v>
      </c>
      <c r="EB38" s="80">
        <f t="shared" si="4"/>
        <v>18000</v>
      </c>
      <c r="EC38" s="80">
        <f t="shared" si="4"/>
        <v>18000</v>
      </c>
      <c r="ED38" s="80">
        <f t="shared" si="4"/>
        <v>18000</v>
      </c>
      <c r="EE38" s="80">
        <f t="shared" si="4"/>
        <v>18000</v>
      </c>
      <c r="EF38" s="80">
        <f t="shared" si="4"/>
        <v>18000</v>
      </c>
      <c r="EG38" s="80">
        <f t="shared" si="4"/>
        <v>18000</v>
      </c>
      <c r="EH38" s="80">
        <f t="shared" si="4"/>
        <v>18000</v>
      </c>
      <c r="EI38" s="80">
        <f t="shared" si="4"/>
        <v>18000</v>
      </c>
      <c r="EJ38" s="80">
        <f t="shared" si="4"/>
        <v>18000</v>
      </c>
      <c r="EK38" s="80">
        <f t="shared" si="4"/>
        <v>18000</v>
      </c>
      <c r="EL38" s="80">
        <f t="shared" si="4"/>
        <v>18000</v>
      </c>
      <c r="EM38" s="80">
        <f t="shared" si="4"/>
        <v>18000</v>
      </c>
      <c r="EN38" s="80">
        <f t="shared" si="4"/>
        <v>18000</v>
      </c>
      <c r="EO38" s="80">
        <f t="shared" si="4"/>
        <v>18000</v>
      </c>
      <c r="EP38" s="80">
        <f t="shared" si="4"/>
        <v>18000</v>
      </c>
      <c r="EQ38" s="80">
        <f t="shared" si="4"/>
        <v>18000</v>
      </c>
      <c r="ER38" s="80">
        <f t="shared" si="4"/>
        <v>18000</v>
      </c>
      <c r="ES38" s="80">
        <f t="shared" si="4"/>
        <v>18000</v>
      </c>
      <c r="ET38" s="80">
        <f t="shared" si="4"/>
        <v>18000</v>
      </c>
      <c r="EU38" s="80">
        <f t="shared" si="4"/>
        <v>18000</v>
      </c>
      <c r="EV38" s="80">
        <f t="shared" si="4"/>
        <v>18000</v>
      </c>
      <c r="EW38" s="80">
        <f t="shared" si="4"/>
        <v>18000</v>
      </c>
      <c r="EX38" s="80">
        <f t="shared" si="4"/>
        <v>18000</v>
      </c>
    </row>
    <row r="39" ht="15.75" customHeight="1">
      <c r="B39" s="81" t="s">
        <v>230</v>
      </c>
      <c r="E39" s="82">
        <f>ROUND(E38-'04_Recap'!E29,2)</f>
        <v>0</v>
      </c>
      <c r="F39" s="82">
        <f>ROUND(F38-'04_Recap'!F29,2)</f>
        <v>0</v>
      </c>
      <c r="G39" s="82">
        <f>ROUND(G38-'04_Recap'!G29,2)</f>
        <v>0</v>
      </c>
      <c r="H39" s="82">
        <f>ROUND(H38-'04_Recap'!H29,2)</f>
        <v>0</v>
      </c>
      <c r="I39" s="82">
        <f>ROUND(I38-'04_Recap'!I29,2)</f>
        <v>0</v>
      </c>
      <c r="J39" s="82">
        <f>ROUND(J38-'04_Recap'!J29,2)</f>
        <v>0</v>
      </c>
      <c r="K39" s="82">
        <f>ROUND(K38-'04_Recap'!K29,2)</f>
        <v>0</v>
      </c>
      <c r="L39" s="82">
        <f>ROUND(L38-'04_Recap'!L29,2)</f>
        <v>0</v>
      </c>
      <c r="M39" s="82">
        <f>ROUND(M38-'04_Recap'!M29,2)</f>
        <v>0</v>
      </c>
      <c r="N39" s="82">
        <f>ROUND(N38-'04_Recap'!N29,2)</f>
        <v>0</v>
      </c>
      <c r="O39" s="82">
        <f>ROUND(O38-'04_Recap'!O29,2)</f>
        <v>18000</v>
      </c>
      <c r="P39" s="82">
        <f>ROUND(P38-'04_Recap'!P29,2)</f>
        <v>18000</v>
      </c>
      <c r="Q39" s="82">
        <f>ROUND(Q38-'04_Recap'!Q29,2)</f>
        <v>18000</v>
      </c>
      <c r="R39" s="82">
        <f>ROUND(R38-'04_Recap'!R29,2)</f>
        <v>18000</v>
      </c>
      <c r="S39" s="82">
        <f>ROUND(S38-'04_Recap'!S29,2)</f>
        <v>18000</v>
      </c>
      <c r="T39" s="82">
        <f>ROUND(T38-'04_Recap'!T29,2)</f>
        <v>18000</v>
      </c>
      <c r="U39" s="82">
        <f>ROUND(U38-'04_Recap'!U29,2)</f>
        <v>18000</v>
      </c>
      <c r="V39" s="82">
        <f>ROUND(V38-'04_Recap'!V29,2)</f>
        <v>18000</v>
      </c>
      <c r="W39" s="82">
        <f>ROUND(W38-'04_Recap'!W29,2)</f>
        <v>18000</v>
      </c>
      <c r="X39" s="82">
        <f>ROUND(X38-'04_Recap'!X29,2)</f>
        <v>18000</v>
      </c>
      <c r="Y39" s="82">
        <f>ROUND(Y38-'04_Recap'!Y29,2)</f>
        <v>18000</v>
      </c>
      <c r="Z39" s="82">
        <f>ROUND(Z38-'04_Recap'!Z29,2)</f>
        <v>18000</v>
      </c>
      <c r="AA39" s="82">
        <f>ROUND(AA38-'04_Recap'!AA29,2)</f>
        <v>18000</v>
      </c>
      <c r="AB39" s="82">
        <f>ROUND(AB38-'04_Recap'!AB29,2)</f>
        <v>18000</v>
      </c>
      <c r="AC39" s="82">
        <f>ROUND(AC38-'04_Recap'!AC29,2)</f>
        <v>18000</v>
      </c>
      <c r="AD39" s="82">
        <f>ROUND(AD38-'04_Recap'!AD29,2)</f>
        <v>18000</v>
      </c>
      <c r="AE39" s="82">
        <f>ROUND(AE38-'04_Recap'!AE29,2)</f>
        <v>18000</v>
      </c>
      <c r="AF39" s="82">
        <f>ROUND(AF38-'04_Recap'!AF29,2)</f>
        <v>18000</v>
      </c>
      <c r="AG39" s="82">
        <f>ROUND(AG38-'04_Recap'!AG29,2)</f>
        <v>18000</v>
      </c>
      <c r="AH39" s="82">
        <f>ROUND(AH38-'04_Recap'!AH29,2)</f>
        <v>18000</v>
      </c>
      <c r="AI39" s="82">
        <f>ROUND(AI38-'04_Recap'!AI29,2)</f>
        <v>18000</v>
      </c>
      <c r="AJ39" s="82">
        <f>ROUND(AJ38-'04_Recap'!AJ29,2)</f>
        <v>18000</v>
      </c>
      <c r="AK39" s="82">
        <f>ROUND(AK38-'04_Recap'!AK29,2)</f>
        <v>18000</v>
      </c>
      <c r="AL39" s="82">
        <f>ROUND(AL38-'04_Recap'!AL29,2)</f>
        <v>18000</v>
      </c>
      <c r="AM39" s="82">
        <f>ROUND(AM38-'04_Recap'!AM29,2)</f>
        <v>18000</v>
      </c>
      <c r="AN39" s="82">
        <f>ROUND(AN38-'04_Recap'!AN29,2)</f>
        <v>18000</v>
      </c>
      <c r="AO39" s="82">
        <f>ROUND(AO38-'04_Recap'!AO29,2)</f>
        <v>18000</v>
      </c>
      <c r="AP39" s="82">
        <f>ROUND(AP38-'04_Recap'!AP29,2)</f>
        <v>18000</v>
      </c>
      <c r="AQ39" s="82">
        <f>ROUND(AQ38-'04_Recap'!AQ29,2)</f>
        <v>18000</v>
      </c>
      <c r="AR39" s="82">
        <f>ROUND(AR38-'04_Recap'!AR29,2)</f>
        <v>18000</v>
      </c>
      <c r="AS39" s="82">
        <f>ROUND(AS38-'04_Recap'!AS29,2)</f>
        <v>18000</v>
      </c>
      <c r="AT39" s="82">
        <f>ROUND(AT38-'04_Recap'!AT29,2)</f>
        <v>18000</v>
      </c>
      <c r="AU39" s="82">
        <f>ROUND(AU38-'04_Recap'!AU29,2)</f>
        <v>18000</v>
      </c>
      <c r="AV39" s="82">
        <f>ROUND(AV38-'04_Recap'!AV29,2)</f>
        <v>18000</v>
      </c>
      <c r="AW39" s="82">
        <f>ROUND(AW38-'04_Recap'!AW29,2)</f>
        <v>18000</v>
      </c>
      <c r="AX39" s="82">
        <f>ROUND(AX38-'04_Recap'!AX29,2)</f>
        <v>18000</v>
      </c>
      <c r="AY39" s="82">
        <f>ROUND(AY38-'04_Recap'!AY29,2)</f>
        <v>18000</v>
      </c>
      <c r="AZ39" s="82">
        <f>ROUND(AZ38-'04_Recap'!AZ29,2)</f>
        <v>18000</v>
      </c>
      <c r="BA39" s="82">
        <f>ROUND(BA38-'04_Recap'!BA29,2)</f>
        <v>18000</v>
      </c>
      <c r="BB39" s="82">
        <f>ROUND(BB38-'04_Recap'!BB29,2)</f>
        <v>18000</v>
      </c>
      <c r="BC39" s="82">
        <f>ROUND(BC38-'04_Recap'!BC29,2)</f>
        <v>18000</v>
      </c>
      <c r="BD39" s="82">
        <f>ROUND(BD38-'04_Recap'!BD29,2)</f>
        <v>18000</v>
      </c>
      <c r="BE39" s="82">
        <f>ROUND(BE38-'04_Recap'!BE29,2)</f>
        <v>18000</v>
      </c>
      <c r="BF39" s="82">
        <f>ROUND(BF38-'04_Recap'!BF29,2)</f>
        <v>18000</v>
      </c>
      <c r="BG39" s="82">
        <f>ROUND(BG38-'04_Recap'!BG29,2)</f>
        <v>18000</v>
      </c>
      <c r="BH39" s="82">
        <f>ROUND(BH38-'04_Recap'!BH29,2)</f>
        <v>18000</v>
      </c>
      <c r="BI39" s="82">
        <f>ROUND(BI38-'04_Recap'!BI29,2)</f>
        <v>18000</v>
      </c>
      <c r="BJ39" s="82">
        <f>ROUND(BJ38-'04_Recap'!BJ29,2)</f>
        <v>18000</v>
      </c>
      <c r="BK39" s="82">
        <f>ROUND(BK38-'04_Recap'!BK29,2)</f>
        <v>18000</v>
      </c>
      <c r="BL39" s="82">
        <f>ROUND(BL38-'04_Recap'!BL29,2)</f>
        <v>18000</v>
      </c>
      <c r="BM39" s="82">
        <f>ROUND(BM38-'04_Recap'!BM29,2)</f>
        <v>18000</v>
      </c>
      <c r="BN39" s="82">
        <f>ROUND(BN38-'04_Recap'!BN29,2)</f>
        <v>18000</v>
      </c>
      <c r="BO39" s="82">
        <f>ROUND(BO38-'04_Recap'!BO29,2)</f>
        <v>18000</v>
      </c>
      <c r="BP39" s="82">
        <f>ROUND(BP38-'04_Recap'!BP29,2)</f>
        <v>18000</v>
      </c>
      <c r="BQ39" s="82">
        <f>ROUND(BQ38-'04_Recap'!BQ29,2)</f>
        <v>18000</v>
      </c>
      <c r="BR39" s="82">
        <f>ROUND(BR38-'04_Recap'!BR29,2)</f>
        <v>18000</v>
      </c>
      <c r="BS39" s="82">
        <f>ROUND(BS38-'04_Recap'!BS29,2)</f>
        <v>18000</v>
      </c>
      <c r="BT39" s="82">
        <f>ROUND(BT38-'04_Recap'!BT29,2)</f>
        <v>18000</v>
      </c>
      <c r="BU39" s="82">
        <f>ROUND(BU38-'04_Recap'!BU29,2)</f>
        <v>18000</v>
      </c>
      <c r="BV39" s="82">
        <f>ROUND(BV38-'04_Recap'!BV29,2)</f>
        <v>18000</v>
      </c>
      <c r="BW39" s="82">
        <f>ROUND(BW38-'04_Recap'!BW29,2)</f>
        <v>18000</v>
      </c>
      <c r="BX39" s="82">
        <f>ROUND(BX38-'04_Recap'!BX29,2)</f>
        <v>18000</v>
      </c>
      <c r="BY39" s="82">
        <f>ROUND(BY38-'04_Recap'!BY29,2)</f>
        <v>18000</v>
      </c>
      <c r="BZ39" s="82">
        <f>ROUND(BZ38-'04_Recap'!BZ29,2)</f>
        <v>18000</v>
      </c>
      <c r="CA39" s="82">
        <f>ROUND(CA38-'04_Recap'!CA29,2)</f>
        <v>18000</v>
      </c>
      <c r="CB39" s="82">
        <f>ROUND(CB38-'04_Recap'!CB29,2)</f>
        <v>18000</v>
      </c>
      <c r="CC39" s="82">
        <f>ROUND(CC38-'04_Recap'!CC29,2)</f>
        <v>18000</v>
      </c>
      <c r="CD39" s="82">
        <f>ROUND(CD38-'04_Recap'!CD29,2)</f>
        <v>18000</v>
      </c>
      <c r="CE39" s="82">
        <f>ROUND(CE38-'04_Recap'!CE29,2)</f>
        <v>18000</v>
      </c>
      <c r="CF39" s="82">
        <f>ROUND(CF38-'04_Recap'!CF29,2)</f>
        <v>18000</v>
      </c>
      <c r="CG39" s="82">
        <f>ROUND(CG38-'04_Recap'!CG29,2)</f>
        <v>18000</v>
      </c>
      <c r="CH39" s="82">
        <f>ROUND(CH38-'04_Recap'!CH29,2)</f>
        <v>18000</v>
      </c>
      <c r="CI39" s="82">
        <f>ROUND(CI38-'04_Recap'!CI29,2)</f>
        <v>18000</v>
      </c>
      <c r="CJ39" s="82">
        <f>ROUND(CJ38-'04_Recap'!CJ29,2)</f>
        <v>18000</v>
      </c>
      <c r="CK39" s="82">
        <f>ROUND(CK38-'04_Recap'!CK29,2)</f>
        <v>18000</v>
      </c>
      <c r="CL39" s="82">
        <f>ROUND(CL38-'04_Recap'!CL29,2)</f>
        <v>18000</v>
      </c>
      <c r="CM39" s="82">
        <f>ROUND(CM38-'04_Recap'!CM29,2)</f>
        <v>18000</v>
      </c>
      <c r="CN39" s="82">
        <f>ROUND(CN38-'04_Recap'!CN29,2)</f>
        <v>18000</v>
      </c>
      <c r="CO39" s="82">
        <f>ROUND(CO38-'04_Recap'!CO29,2)</f>
        <v>18000</v>
      </c>
      <c r="CP39" s="82">
        <f>ROUND(CP38-'04_Recap'!CP29,2)</f>
        <v>18000</v>
      </c>
      <c r="CQ39" s="82">
        <f>ROUND(CQ38-'04_Recap'!CQ29,2)</f>
        <v>18000</v>
      </c>
      <c r="CR39" s="82">
        <f>ROUND(CR38-'04_Recap'!CR29,2)</f>
        <v>18000</v>
      </c>
      <c r="CS39" s="82">
        <f>ROUND(CS38-'04_Recap'!CS29,2)</f>
        <v>18000</v>
      </c>
      <c r="CT39" s="82">
        <f>ROUND(CT38-'04_Recap'!CT29,2)</f>
        <v>18000</v>
      </c>
      <c r="CU39" s="82">
        <f>ROUND(CU38-'04_Recap'!CU29,2)</f>
        <v>18000</v>
      </c>
      <c r="CV39" s="82">
        <f>ROUND(CV38-'04_Recap'!CV29,2)</f>
        <v>18000</v>
      </c>
      <c r="CW39" s="82">
        <f>ROUND(CW38-'04_Recap'!CW29,2)</f>
        <v>18000</v>
      </c>
      <c r="CX39" s="82">
        <f>ROUND(CX38-'04_Recap'!CX29,2)</f>
        <v>18000</v>
      </c>
      <c r="CY39" s="82">
        <f>ROUND(CY38-'04_Recap'!CY29,2)</f>
        <v>18000</v>
      </c>
      <c r="CZ39" s="82">
        <f>ROUND(CZ38-'04_Recap'!CZ29,2)</f>
        <v>18000</v>
      </c>
      <c r="DA39" s="82">
        <f>ROUND(DA38-'04_Recap'!DA29,2)</f>
        <v>18000</v>
      </c>
      <c r="DB39" s="82">
        <f>ROUND(DB38-'04_Recap'!DB29,2)</f>
        <v>18000</v>
      </c>
      <c r="DC39" s="82">
        <f>ROUND(DC38-'04_Recap'!DC29,2)</f>
        <v>18000</v>
      </c>
      <c r="DD39" s="82">
        <f>ROUND(DD38-'04_Recap'!DD29,2)</f>
        <v>18000</v>
      </c>
      <c r="DE39" s="82">
        <f>ROUND(DE38-'04_Recap'!DE29,2)</f>
        <v>18000</v>
      </c>
      <c r="DF39" s="82">
        <f>ROUND(DF38-'04_Recap'!DF29,2)</f>
        <v>18000</v>
      </c>
      <c r="DG39" s="82">
        <f>ROUND(DG38-'04_Recap'!DG29,2)</f>
        <v>18000</v>
      </c>
      <c r="DH39" s="82">
        <f>ROUND(DH38-'04_Recap'!DH29,2)</f>
        <v>18000</v>
      </c>
      <c r="DI39" s="82">
        <f>ROUND(DI38-'04_Recap'!DI29,2)</f>
        <v>18000</v>
      </c>
      <c r="DJ39" s="82">
        <f>ROUND(DJ38-'04_Recap'!DJ29,2)</f>
        <v>18000</v>
      </c>
      <c r="DK39" s="82">
        <f>ROUND(DK38-'04_Recap'!DK29,2)</f>
        <v>18000</v>
      </c>
      <c r="DL39" s="82">
        <f>ROUND(DL38-'04_Recap'!DL29,2)</f>
        <v>18000</v>
      </c>
      <c r="DM39" s="82">
        <f>ROUND(DM38-'04_Recap'!DM29,2)</f>
        <v>18000</v>
      </c>
      <c r="DN39" s="82">
        <f>ROUND(DN38-'04_Recap'!DN29,2)</f>
        <v>18000</v>
      </c>
      <c r="DO39" s="82">
        <f>ROUND(DO38-'04_Recap'!DO29,2)</f>
        <v>18000</v>
      </c>
      <c r="DP39" s="82">
        <f>ROUND(DP38-'04_Recap'!DP29,2)</f>
        <v>18000</v>
      </c>
      <c r="DQ39" s="82">
        <f>ROUND(DQ38-'04_Recap'!DQ29,2)</f>
        <v>18000</v>
      </c>
      <c r="DR39" s="82">
        <f>ROUND(DR38-'04_Recap'!DR29,2)</f>
        <v>18000</v>
      </c>
      <c r="DS39" s="82">
        <f>ROUND(DS38-'04_Recap'!DS29,2)</f>
        <v>18000</v>
      </c>
      <c r="DT39" s="82">
        <f>ROUND(DT38-'04_Recap'!DT29,2)</f>
        <v>18000</v>
      </c>
      <c r="DU39" s="82">
        <f>ROUND(DU38-'04_Recap'!DU29,2)</f>
        <v>18000</v>
      </c>
      <c r="DV39" s="82">
        <f>ROUND(DV38-'04_Recap'!DV29,2)</f>
        <v>18000</v>
      </c>
      <c r="DW39" s="82">
        <f>ROUND(DW38-'04_Recap'!DW29,2)</f>
        <v>18000</v>
      </c>
      <c r="DX39" s="82">
        <f>ROUND(DX38-'04_Recap'!DX29,2)</f>
        <v>18000</v>
      </c>
      <c r="DY39" s="82">
        <f>ROUND(DY38-'04_Recap'!DY29,2)</f>
        <v>18000</v>
      </c>
      <c r="DZ39" s="82">
        <f>ROUND(DZ38-'04_Recap'!DZ29,2)</f>
        <v>18000</v>
      </c>
      <c r="EA39" s="82">
        <f>ROUND(EA38-'04_Recap'!EA29,2)</f>
        <v>18000</v>
      </c>
      <c r="EB39" s="82">
        <f>ROUND(EB38-'04_Recap'!EB29,2)</f>
        <v>18000</v>
      </c>
      <c r="EC39" s="82">
        <f>ROUND(EC38-'04_Recap'!EC29,2)</f>
        <v>18000</v>
      </c>
      <c r="ED39" s="82">
        <f>ROUND(ED38-'04_Recap'!ED29,2)</f>
        <v>18000</v>
      </c>
      <c r="EE39" s="82">
        <f>ROUND(EE38-'04_Recap'!EE29,2)</f>
        <v>18000</v>
      </c>
      <c r="EF39" s="82">
        <f>ROUND(EF38-'04_Recap'!EF29,2)</f>
        <v>18000</v>
      </c>
      <c r="EG39" s="82">
        <f>ROUND(EG38-'04_Recap'!EG29,2)</f>
        <v>18000</v>
      </c>
      <c r="EH39" s="82">
        <f>ROUND(EH38-'04_Recap'!EH29,2)</f>
        <v>18000</v>
      </c>
      <c r="EI39" s="82">
        <f>ROUND(EI38-'04_Recap'!EI29,2)</f>
        <v>18000</v>
      </c>
      <c r="EJ39" s="82">
        <f>ROUND(EJ38-'04_Recap'!EJ29,2)</f>
        <v>18000</v>
      </c>
      <c r="EK39" s="82">
        <f>ROUND(EK38-'04_Recap'!EK29,2)</f>
        <v>18000</v>
      </c>
      <c r="EL39" s="82">
        <f>ROUND(EL38-'04_Recap'!EL29,2)</f>
        <v>18000</v>
      </c>
      <c r="EM39" s="82">
        <f>ROUND(EM38-'04_Recap'!EM29,2)</f>
        <v>18000</v>
      </c>
      <c r="EN39" s="82">
        <f>ROUND(EN38-'04_Recap'!EN29,2)</f>
        <v>18000</v>
      </c>
      <c r="EO39" s="82">
        <f>ROUND(EO38-'04_Recap'!EO29,2)</f>
        <v>18000</v>
      </c>
      <c r="EP39" s="82">
        <f>ROUND(EP38-'04_Recap'!EP29,2)</f>
        <v>18000</v>
      </c>
      <c r="EQ39" s="82">
        <f>ROUND(EQ38-'04_Recap'!EQ29,2)</f>
        <v>18000</v>
      </c>
      <c r="ER39" s="82">
        <f>ROUND(ER38-'04_Recap'!ER29,2)</f>
        <v>18000</v>
      </c>
      <c r="ES39" s="82">
        <f>ROUND(ES38-'04_Recap'!ES29,2)</f>
        <v>18000</v>
      </c>
      <c r="ET39" s="82">
        <f>ROUND(ET38-'04_Recap'!ET29,2)</f>
        <v>18000</v>
      </c>
      <c r="EU39" s="82">
        <f>ROUND(EU38-'04_Recap'!EU29,2)</f>
        <v>18000</v>
      </c>
      <c r="EV39" s="82">
        <f>ROUND(EV38-'04_Recap'!EV29,2)</f>
        <v>18000</v>
      </c>
      <c r="EW39" s="82">
        <f>ROUND(EW38-'04_Recap'!EW29,2)</f>
        <v>18000</v>
      </c>
      <c r="EX39" s="82">
        <f>ROUND(EX38-'04_Recap'!EX29,2)</f>
        <v>18000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R1"/>
    <mergeCell ref="B2:R2"/>
    <mergeCell ref="B5:R5"/>
  </mergeCells>
  <conditionalFormatting sqref="E29:EX29">
    <cfRule type="expression" dxfId="0" priority="1">
      <formula>ABS(E29)&gt;0.01</formula>
    </cfRule>
  </conditionalFormatting>
  <conditionalFormatting sqref="E29:EX29">
    <cfRule type="expression" dxfId="1" priority="2">
      <formula>ABS(E29)&lt;=0.01</formula>
    </cfRule>
  </conditionalFormatting>
  <conditionalFormatting sqref="E39:EX39">
    <cfRule type="expression" dxfId="0" priority="3">
      <formula>ABS(E39)&gt;0.01</formula>
    </cfRule>
  </conditionalFormatting>
  <conditionalFormatting sqref="E39:EX39">
    <cfRule type="expression" dxfId="1" priority="4">
      <formula>ABS(E39)&lt;=0.01</formula>
    </cfRule>
  </conditionalFormatting>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2027"/>
    <pageSetUpPr fitToPage="1"/>
  </sheetPr>
  <sheetViews>
    <sheetView showGridLines="0" workbookViewId="0"/>
  </sheetViews>
  <sheetFormatPr customHeight="1" defaultColWidth="14.43" defaultRowHeight="15.0" outlineLevelRow="1"/>
  <cols>
    <col customWidth="1" min="1" max="1" width="2.0"/>
    <col customWidth="1" min="2" max="2" width="30.0"/>
    <col customWidth="1" min="3" max="3" width="20.0"/>
    <col customWidth="1" min="4" max="4" width="8.0"/>
    <col customWidth="1" min="5" max="154" width="12.0"/>
  </cols>
  <sheetData>
    <row r="1">
      <c r="B1" s="1" t="s">
        <v>224</v>
      </c>
    </row>
    <row r="2" ht="27.75" customHeight="1">
      <c r="B2" s="2" t="s">
        <v>225</v>
      </c>
    </row>
    <row r="4">
      <c r="B4" s="79" t="s">
        <v>226</v>
      </c>
      <c r="C4" s="40" t="str">
        <f>Nom_Fonds</f>
        <v>AF CVC</v>
      </c>
    </row>
    <row r="5">
      <c r="B5" s="79" t="s">
        <v>227</v>
      </c>
      <c r="C5" s="40" t="str">
        <f>Classe_Selectionnee</f>
        <v>A</v>
      </c>
    </row>
    <row r="20" ht="18.0" customHeight="1">
      <c r="B20" s="11" t="s">
        <v>167</v>
      </c>
      <c r="C20" s="11" t="s">
        <v>168</v>
      </c>
      <c r="D20" s="11" t="s">
        <v>98</v>
      </c>
      <c r="E20" s="48">
        <f t="array" ref="E20">INDEX(AUM_Ladder,1)</f>
        <v>5000000</v>
      </c>
      <c r="F20" s="48">
        <f t="array" ref="F20">INDEX(AUM_Ladder,2)</f>
        <v>10000000</v>
      </c>
      <c r="G20" s="48">
        <f t="array" ref="G20">INDEX(AUM_Ladder,3)</f>
        <v>15000000</v>
      </c>
      <c r="H20" s="48">
        <f t="array" ref="H20">INDEX(AUM_Ladder,4)</f>
        <v>20000000</v>
      </c>
      <c r="I20" s="48">
        <f t="array" ref="I20">INDEX(AUM_Ladder,5)</f>
        <v>25000000</v>
      </c>
      <c r="J20" s="48">
        <f t="array" ref="J20">INDEX(AUM_Ladder,6)</f>
        <v>30000000</v>
      </c>
      <c r="K20" s="48">
        <f t="array" ref="K20">INDEX(AUM_Ladder,7)</f>
        <v>35000000</v>
      </c>
      <c r="L20" s="48">
        <f t="array" ref="L20">INDEX(AUM_Ladder,8)</f>
        <v>40000000</v>
      </c>
      <c r="M20" s="48">
        <f t="array" ref="M20">INDEX(AUM_Ladder,9)</f>
        <v>45000000</v>
      </c>
      <c r="N20" s="48">
        <f t="array" ref="N20">INDEX(AUM_Ladder,10)</f>
        <v>50000000</v>
      </c>
      <c r="O20" s="48" t="str">
        <f t="array" ref="O20">INDEX(AUM_Ladder,11)</f>
        <v/>
      </c>
      <c r="P20" s="48" t="str">
        <f t="array" ref="P20">INDEX(AUM_Ladder,12)</f>
        <v/>
      </c>
      <c r="Q20" s="48" t="str">
        <f t="array" ref="Q20">INDEX(AUM_Ladder,13)</f>
        <v/>
      </c>
      <c r="R20" s="48" t="str">
        <f t="array" ref="R20">INDEX(AUM_Ladder,14)</f>
        <v/>
      </c>
      <c r="S20" s="48" t="str">
        <f t="array" ref="S20">INDEX(AUM_Ladder,15)</f>
        <v/>
      </c>
      <c r="T20" s="48" t="str">
        <f t="array" ref="T20">INDEX(AUM_Ladder,16)</f>
        <v/>
      </c>
      <c r="U20" s="48" t="str">
        <f t="array" ref="U20">INDEX(AUM_Ladder,17)</f>
        <v/>
      </c>
      <c r="V20" s="48" t="str">
        <f t="array" ref="V20">INDEX(AUM_Ladder,18)</f>
        <v/>
      </c>
      <c r="W20" s="48" t="str">
        <f t="array" ref="W20">INDEX(AUM_Ladder,19)</f>
        <v/>
      </c>
      <c r="X20" s="48" t="str">
        <f t="array" ref="X20">INDEX(AUM_Ladder,20)</f>
        <v/>
      </c>
      <c r="Y20" s="48" t="str">
        <f t="array" ref="Y20">INDEX(AUM_Ladder,21)</f>
        <v/>
      </c>
      <c r="Z20" s="48" t="str">
        <f t="array" ref="Z20">INDEX(AUM_Ladder,22)</f>
        <v/>
      </c>
      <c r="AA20" s="48" t="str">
        <f t="array" ref="AA20">INDEX(AUM_Ladder,23)</f>
        <v/>
      </c>
      <c r="AB20" s="48" t="str">
        <f t="array" ref="AB20">INDEX(AUM_Ladder,24)</f>
        <v/>
      </c>
      <c r="AC20" s="48" t="str">
        <f t="array" ref="AC20">INDEX(AUM_Ladder,25)</f>
        <v/>
      </c>
      <c r="AD20" s="48" t="str">
        <f t="array" ref="AD20">INDEX(AUM_Ladder,26)</f>
        <v/>
      </c>
      <c r="AE20" s="48" t="str">
        <f t="array" ref="AE20">INDEX(AUM_Ladder,27)</f>
        <v/>
      </c>
      <c r="AF20" s="48" t="str">
        <f t="array" ref="AF20">INDEX(AUM_Ladder,28)</f>
        <v/>
      </c>
      <c r="AG20" s="48" t="str">
        <f t="array" ref="AG20">INDEX(AUM_Ladder,29)</f>
        <v/>
      </c>
      <c r="AH20" s="48" t="str">
        <f t="array" ref="AH20">INDEX(AUM_Ladder,30)</f>
        <v/>
      </c>
      <c r="AI20" s="48" t="str">
        <f t="array" ref="AI20">INDEX(AUM_Ladder,31)</f>
        <v/>
      </c>
      <c r="AJ20" s="48" t="str">
        <f t="array" ref="AJ20">INDEX(AUM_Ladder,32)</f>
        <v/>
      </c>
      <c r="AK20" s="48" t="str">
        <f t="array" ref="AK20">INDEX(AUM_Ladder,33)</f>
        <v/>
      </c>
      <c r="AL20" s="48" t="str">
        <f t="array" ref="AL20">INDEX(AUM_Ladder,34)</f>
        <v/>
      </c>
      <c r="AM20" s="48" t="str">
        <f t="array" ref="AM20">INDEX(AUM_Ladder,35)</f>
        <v/>
      </c>
      <c r="AN20" s="48" t="str">
        <f t="array" ref="AN20">INDEX(AUM_Ladder,36)</f>
        <v/>
      </c>
      <c r="AO20" s="48" t="str">
        <f t="array" ref="AO20">INDEX(AUM_Ladder,37)</f>
        <v/>
      </c>
      <c r="AP20" s="48" t="str">
        <f t="array" ref="AP20">INDEX(AUM_Ladder,38)</f>
        <v/>
      </c>
      <c r="AQ20" s="48" t="str">
        <f t="array" ref="AQ20">INDEX(AUM_Ladder,39)</f>
        <v/>
      </c>
      <c r="AR20" s="48" t="str">
        <f t="array" ref="AR20">INDEX(AUM_Ladder,40)</f>
        <v/>
      </c>
      <c r="AS20" s="48" t="str">
        <f t="array" ref="AS20">INDEX(AUM_Ladder,41)</f>
        <v/>
      </c>
      <c r="AT20" s="48" t="str">
        <f t="array" ref="AT20">INDEX(AUM_Ladder,42)</f>
        <v/>
      </c>
      <c r="AU20" s="48" t="str">
        <f t="array" ref="AU20">INDEX(AUM_Ladder,43)</f>
        <v/>
      </c>
      <c r="AV20" s="48" t="str">
        <f t="array" ref="AV20">INDEX(AUM_Ladder,44)</f>
        <v/>
      </c>
      <c r="AW20" s="48" t="str">
        <f t="array" ref="AW20">INDEX(AUM_Ladder,45)</f>
        <v/>
      </c>
      <c r="AX20" s="48" t="str">
        <f t="array" ref="AX20">INDEX(AUM_Ladder,46)</f>
        <v/>
      </c>
      <c r="AY20" s="48" t="str">
        <f t="array" ref="AY20">INDEX(AUM_Ladder,47)</f>
        <v/>
      </c>
      <c r="AZ20" s="48" t="str">
        <f t="array" ref="AZ20">INDEX(AUM_Ladder,48)</f>
        <v/>
      </c>
      <c r="BA20" s="48" t="str">
        <f t="array" ref="BA20">INDEX(AUM_Ladder,49)</f>
        <v/>
      </c>
      <c r="BB20" s="48" t="str">
        <f t="array" ref="BB20">INDEX(AUM_Ladder,50)</f>
        <v/>
      </c>
      <c r="BC20" s="48" t="str">
        <f t="array" ref="BC20">INDEX(AUM_Ladder,51)</f>
        <v/>
      </c>
      <c r="BD20" s="48" t="str">
        <f t="array" ref="BD20">INDEX(AUM_Ladder,52)</f>
        <v/>
      </c>
      <c r="BE20" s="48" t="str">
        <f t="array" ref="BE20">INDEX(AUM_Ladder,53)</f>
        <v/>
      </c>
      <c r="BF20" s="48" t="str">
        <f t="array" ref="BF20">INDEX(AUM_Ladder,54)</f>
        <v/>
      </c>
      <c r="BG20" s="48" t="str">
        <f t="array" ref="BG20">INDEX(AUM_Ladder,55)</f>
        <v/>
      </c>
      <c r="BH20" s="48" t="str">
        <f t="array" ref="BH20">INDEX(AUM_Ladder,56)</f>
        <v/>
      </c>
      <c r="BI20" s="48" t="str">
        <f t="array" ref="BI20">INDEX(AUM_Ladder,57)</f>
        <v/>
      </c>
      <c r="BJ20" s="48" t="str">
        <f t="array" ref="BJ20">INDEX(AUM_Ladder,58)</f>
        <v/>
      </c>
      <c r="BK20" s="48" t="str">
        <f t="array" ref="BK20">INDEX(AUM_Ladder,59)</f>
        <v/>
      </c>
      <c r="BL20" s="48" t="str">
        <f t="array" ref="BL20">INDEX(AUM_Ladder,60)</f>
        <v/>
      </c>
      <c r="BM20" s="48" t="str">
        <f t="array" ref="BM20">INDEX(AUM_Ladder,61)</f>
        <v/>
      </c>
      <c r="BN20" s="48" t="str">
        <f t="array" ref="BN20">INDEX(AUM_Ladder,62)</f>
        <v/>
      </c>
      <c r="BO20" s="48" t="str">
        <f t="array" ref="BO20">INDEX(AUM_Ladder,63)</f>
        <v/>
      </c>
      <c r="BP20" s="48" t="str">
        <f t="array" ref="BP20">INDEX(AUM_Ladder,64)</f>
        <v/>
      </c>
      <c r="BQ20" s="48" t="str">
        <f t="array" ref="BQ20">INDEX(AUM_Ladder,65)</f>
        <v/>
      </c>
      <c r="BR20" s="48" t="str">
        <f t="array" ref="BR20">INDEX(AUM_Ladder,66)</f>
        <v/>
      </c>
      <c r="BS20" s="48" t="str">
        <f t="array" ref="BS20">INDEX(AUM_Ladder,67)</f>
        <v/>
      </c>
      <c r="BT20" s="48" t="str">
        <f t="array" ref="BT20">INDEX(AUM_Ladder,68)</f>
        <v/>
      </c>
      <c r="BU20" s="48" t="str">
        <f t="array" ref="BU20">INDEX(AUM_Ladder,69)</f>
        <v/>
      </c>
      <c r="BV20" s="48" t="str">
        <f t="array" ref="BV20">INDEX(AUM_Ladder,70)</f>
        <v/>
      </c>
      <c r="BW20" s="48" t="str">
        <f t="array" ref="BW20">INDEX(AUM_Ladder,71)</f>
        <v/>
      </c>
      <c r="BX20" s="48" t="str">
        <f t="array" ref="BX20">INDEX(AUM_Ladder,72)</f>
        <v/>
      </c>
      <c r="BY20" s="48" t="str">
        <f t="array" ref="BY20">INDEX(AUM_Ladder,73)</f>
        <v/>
      </c>
      <c r="BZ20" s="48" t="str">
        <f t="array" ref="BZ20">INDEX(AUM_Ladder,74)</f>
        <v/>
      </c>
      <c r="CA20" s="48" t="str">
        <f t="array" ref="CA20">INDEX(AUM_Ladder,75)</f>
        <v/>
      </c>
      <c r="CB20" s="48" t="str">
        <f t="array" ref="CB20">INDEX(AUM_Ladder,76)</f>
        <v/>
      </c>
      <c r="CC20" s="48" t="str">
        <f t="array" ref="CC20">INDEX(AUM_Ladder,77)</f>
        <v/>
      </c>
      <c r="CD20" s="48" t="str">
        <f t="array" ref="CD20">INDEX(AUM_Ladder,78)</f>
        <v/>
      </c>
      <c r="CE20" s="48" t="str">
        <f t="array" ref="CE20">INDEX(AUM_Ladder,79)</f>
        <v/>
      </c>
      <c r="CF20" s="48" t="str">
        <f t="array" ref="CF20">INDEX(AUM_Ladder,80)</f>
        <v/>
      </c>
      <c r="CG20" s="48" t="str">
        <f t="array" ref="CG20">INDEX(AUM_Ladder,81)</f>
        <v/>
      </c>
      <c r="CH20" s="48" t="str">
        <f t="array" ref="CH20">INDEX(AUM_Ladder,82)</f>
        <v/>
      </c>
      <c r="CI20" s="48" t="str">
        <f t="array" ref="CI20">INDEX(AUM_Ladder,83)</f>
        <v/>
      </c>
      <c r="CJ20" s="48" t="str">
        <f t="array" ref="CJ20">INDEX(AUM_Ladder,84)</f>
        <v/>
      </c>
      <c r="CK20" s="48" t="str">
        <f t="array" ref="CK20">INDEX(AUM_Ladder,85)</f>
        <v/>
      </c>
      <c r="CL20" s="48" t="str">
        <f t="array" ref="CL20">INDEX(AUM_Ladder,86)</f>
        <v/>
      </c>
      <c r="CM20" s="48" t="str">
        <f t="array" ref="CM20">INDEX(AUM_Ladder,87)</f>
        <v/>
      </c>
      <c r="CN20" s="48" t="str">
        <f t="array" ref="CN20">INDEX(AUM_Ladder,88)</f>
        <v/>
      </c>
      <c r="CO20" s="48" t="str">
        <f t="array" ref="CO20">INDEX(AUM_Ladder,89)</f>
        <v/>
      </c>
      <c r="CP20" s="48" t="str">
        <f t="array" ref="CP20">INDEX(AUM_Ladder,90)</f>
        <v/>
      </c>
      <c r="CQ20" s="48" t="str">
        <f t="array" ref="CQ20">INDEX(AUM_Ladder,91)</f>
        <v/>
      </c>
      <c r="CR20" s="48" t="str">
        <f t="array" ref="CR20">INDEX(AUM_Ladder,92)</f>
        <v/>
      </c>
      <c r="CS20" s="48" t="str">
        <f t="array" ref="CS20">INDEX(AUM_Ladder,93)</f>
        <v/>
      </c>
      <c r="CT20" s="48" t="str">
        <f t="array" ref="CT20">INDEX(AUM_Ladder,94)</f>
        <v/>
      </c>
      <c r="CU20" s="48" t="str">
        <f t="array" ref="CU20">INDEX(AUM_Ladder,95)</f>
        <v/>
      </c>
      <c r="CV20" s="48" t="str">
        <f t="array" ref="CV20">INDEX(AUM_Ladder,96)</f>
        <v/>
      </c>
      <c r="CW20" s="48" t="str">
        <f t="array" ref="CW20">INDEX(AUM_Ladder,97)</f>
        <v/>
      </c>
      <c r="CX20" s="48" t="str">
        <f t="array" ref="CX20">INDEX(AUM_Ladder,98)</f>
        <v/>
      </c>
      <c r="CY20" s="48" t="str">
        <f t="array" ref="CY20">INDEX(AUM_Ladder,99)</f>
        <v/>
      </c>
      <c r="CZ20" s="48" t="str">
        <f t="array" ref="CZ20">INDEX(AUM_Ladder,100)</f>
        <v/>
      </c>
      <c r="DA20" s="48" t="str">
        <f t="array" ref="DA20">INDEX(AUM_Ladder,101)</f>
        <v/>
      </c>
      <c r="DB20" s="48" t="str">
        <f t="array" ref="DB20">INDEX(AUM_Ladder,102)</f>
        <v/>
      </c>
      <c r="DC20" s="48" t="str">
        <f t="array" ref="DC20">INDEX(AUM_Ladder,103)</f>
        <v/>
      </c>
      <c r="DD20" s="48" t="str">
        <f t="array" ref="DD20">INDEX(AUM_Ladder,104)</f>
        <v/>
      </c>
      <c r="DE20" s="48" t="str">
        <f t="array" ref="DE20">INDEX(AUM_Ladder,105)</f>
        <v/>
      </c>
      <c r="DF20" s="48" t="str">
        <f t="array" ref="DF20">INDEX(AUM_Ladder,106)</f>
        <v/>
      </c>
      <c r="DG20" s="48" t="str">
        <f t="array" ref="DG20">INDEX(AUM_Ladder,107)</f>
        <v/>
      </c>
      <c r="DH20" s="48" t="str">
        <f t="array" ref="DH20">INDEX(AUM_Ladder,108)</f>
        <v/>
      </c>
      <c r="DI20" s="48" t="str">
        <f t="array" ref="DI20">INDEX(AUM_Ladder,109)</f>
        <v/>
      </c>
      <c r="DJ20" s="48" t="str">
        <f t="array" ref="DJ20">INDEX(AUM_Ladder,110)</f>
        <v/>
      </c>
      <c r="DK20" s="48" t="str">
        <f t="array" ref="DK20">INDEX(AUM_Ladder,111)</f>
        <v/>
      </c>
      <c r="DL20" s="48" t="str">
        <f t="array" ref="DL20">INDEX(AUM_Ladder,112)</f>
        <v/>
      </c>
      <c r="DM20" s="48" t="str">
        <f t="array" ref="DM20">INDEX(AUM_Ladder,113)</f>
        <v/>
      </c>
      <c r="DN20" s="48" t="str">
        <f t="array" ref="DN20">INDEX(AUM_Ladder,114)</f>
        <v/>
      </c>
      <c r="DO20" s="48" t="str">
        <f t="array" ref="DO20">INDEX(AUM_Ladder,115)</f>
        <v/>
      </c>
      <c r="DP20" s="48" t="str">
        <f t="array" ref="DP20">INDEX(AUM_Ladder,116)</f>
        <v/>
      </c>
      <c r="DQ20" s="48" t="str">
        <f t="array" ref="DQ20">INDEX(AUM_Ladder,117)</f>
        <v/>
      </c>
      <c r="DR20" s="48" t="str">
        <f t="array" ref="DR20">INDEX(AUM_Ladder,118)</f>
        <v/>
      </c>
      <c r="DS20" s="48" t="str">
        <f t="array" ref="DS20">INDEX(AUM_Ladder,119)</f>
        <v/>
      </c>
      <c r="DT20" s="48" t="str">
        <f t="array" ref="DT20">INDEX(AUM_Ladder,120)</f>
        <v/>
      </c>
      <c r="DU20" s="48" t="str">
        <f t="array" ref="DU20">INDEX(AUM_Ladder,121)</f>
        <v/>
      </c>
      <c r="DV20" s="48" t="str">
        <f t="array" ref="DV20">INDEX(AUM_Ladder,122)</f>
        <v/>
      </c>
      <c r="DW20" s="48" t="str">
        <f t="array" ref="DW20">INDEX(AUM_Ladder,123)</f>
        <v/>
      </c>
      <c r="DX20" s="48" t="str">
        <f t="array" ref="DX20">INDEX(AUM_Ladder,124)</f>
        <v/>
      </c>
      <c r="DY20" s="48" t="str">
        <f t="array" ref="DY20">INDEX(AUM_Ladder,125)</f>
        <v/>
      </c>
      <c r="DZ20" s="48" t="str">
        <f t="array" ref="DZ20">INDEX(AUM_Ladder,126)</f>
        <v/>
      </c>
      <c r="EA20" s="48" t="str">
        <f t="array" ref="EA20">INDEX(AUM_Ladder,127)</f>
        <v/>
      </c>
      <c r="EB20" s="48" t="str">
        <f t="array" ref="EB20">INDEX(AUM_Ladder,128)</f>
        <v/>
      </c>
      <c r="EC20" s="48" t="str">
        <f t="array" ref="EC20">INDEX(AUM_Ladder,129)</f>
        <v/>
      </c>
      <c r="ED20" s="48" t="str">
        <f t="array" ref="ED20">INDEX(AUM_Ladder,130)</f>
        <v/>
      </c>
      <c r="EE20" s="48" t="str">
        <f t="array" ref="EE20">INDEX(AUM_Ladder,131)</f>
        <v/>
      </c>
      <c r="EF20" s="48" t="str">
        <f t="array" ref="EF20">INDEX(AUM_Ladder,132)</f>
        <v/>
      </c>
      <c r="EG20" s="48" t="str">
        <f t="array" ref="EG20">INDEX(AUM_Ladder,133)</f>
        <v/>
      </c>
      <c r="EH20" s="48" t="str">
        <f t="array" ref="EH20">INDEX(AUM_Ladder,134)</f>
        <v/>
      </c>
      <c r="EI20" s="48" t="str">
        <f t="array" ref="EI20">INDEX(AUM_Ladder,135)</f>
        <v/>
      </c>
      <c r="EJ20" s="48" t="str">
        <f t="array" ref="EJ20">INDEX(AUM_Ladder,136)</f>
        <v/>
      </c>
      <c r="EK20" s="48" t="str">
        <f t="array" ref="EK20">INDEX(AUM_Ladder,137)</f>
        <v/>
      </c>
      <c r="EL20" s="48" t="str">
        <f t="array" ref="EL20">INDEX(AUM_Ladder,138)</f>
        <v/>
      </c>
      <c r="EM20" s="48" t="str">
        <f t="array" ref="EM20">INDEX(AUM_Ladder,139)</f>
        <v/>
      </c>
      <c r="EN20" s="48" t="str">
        <f t="array" ref="EN20">INDEX(AUM_Ladder,140)</f>
        <v/>
      </c>
      <c r="EO20" s="48" t="str">
        <f t="array" ref="EO20">INDEX(AUM_Ladder,141)</f>
        <v/>
      </c>
      <c r="EP20" s="48" t="str">
        <f t="array" ref="EP20">INDEX(AUM_Ladder,142)</f>
        <v/>
      </c>
      <c r="EQ20" s="48" t="str">
        <f t="array" ref="EQ20">INDEX(AUM_Ladder,143)</f>
        <v/>
      </c>
      <c r="ER20" s="48" t="str">
        <f t="array" ref="ER20">INDEX(AUM_Ladder,144)</f>
        <v/>
      </c>
      <c r="ES20" s="48" t="str">
        <f t="array" ref="ES20">INDEX(AUM_Ladder,145)</f>
        <v/>
      </c>
      <c r="ET20" s="48" t="str">
        <f t="array" ref="ET20">INDEX(AUM_Ladder,146)</f>
        <v/>
      </c>
      <c r="EU20" s="48" t="str">
        <f t="array" ref="EU20">INDEX(AUM_Ladder,147)</f>
        <v/>
      </c>
      <c r="EV20" s="48" t="str">
        <f t="array" ref="EV20">INDEX(AUM_Ladder,148)</f>
        <v/>
      </c>
      <c r="EW20" s="48" t="str">
        <f t="array" ref="EW20">INDEX(AUM_Ladder,149)</f>
        <v/>
      </c>
      <c r="EX20" s="48" t="str">
        <f t="array" ref="EX20">INDEX(AUM_Ladder,150)</f>
        <v/>
      </c>
    </row>
    <row r="21" ht="15.75" customHeight="1">
      <c r="B21" s="40" t="str">
        <f>IF('01_Input'!D53="","(inactif)",'01_Input'!D53)</f>
        <v>Commission de Gestion</v>
      </c>
      <c r="C21" s="40" t="str">
        <f>IF('01_Input'!E53="","",'01_Input'!E53)</f>
        <v/>
      </c>
      <c r="D21" s="51" t="str">
        <f>'01_Input'!C53</f>
        <v>Oui</v>
      </c>
      <c r="E21" s="25">
        <f>IF('01_Input'!$C$53="Non",0,MIN('01_Input'!$I$53,MAX('01_Input'!$H$53,IF('01_Input'!$G$53="Résiduel vs Gestion",0,IF('01_Input'!$G$53="Taux Classe sélectionnée",Distrib_Global_Classe_Selectionnee*E$20,IF('01_Input'!$G$53="Frais KYC (paliers de 100M€)",MAX(0,Nb_Investisseurs-Nb_KYC_Gratuites_Par_Tranche*(FLOOR(E$20/Taille_Tranche_KYC,1)+1))*Cout_Par_KYC_Supplementaire,(IF('01_Input'!$L$53="Forfait",IF(E$20&gt;='01_Input'!$J$53,'01_Input'!$M$53,0),IF('01_Input'!$L$53="Palier",IF(AND(E$20&gt;='01_Input'!$J$53,E$20&lt;'01_Input'!$K$53),'01_Input'!$M$53,0),MAX(MIN(E$20,'01_Input'!$K$53)-'01_Input'!$J$53,0)*'01_Input'!$M$53))+IF('01_Input'!$P$53="Forfait",IF(E$20&gt;='01_Input'!$N$53,'01_Input'!$Q$53,0),IF('01_Input'!$P$53="Palier",IF(AND(E$20&gt;='01_Input'!$N$53,E$20&lt;'01_Input'!$O$53),'01_Input'!$Q$53,0),MAX(MIN(E$20,'01_Input'!$O$53)-'01_Input'!$N$53,0)*'01_Input'!$Q$53))+IF('01_Input'!$T$53="Forfait",IF(E$20&gt;='01_Input'!$R$53,'01_Input'!$U$53,0),IF('01_Input'!$T$53="Palier",IF(AND(E$20&gt;='01_Input'!$R$53,E$20&lt;'01_Input'!$S$53),'01_Input'!$U$53,0),MAX(MIN(E$20,'01_Input'!$S$53)-'01_Input'!$R$53,0)*'01_Input'!$U$53))+IF('01_Input'!$X$53="Forfait",IF(E$20&gt;='01_Input'!$V$53,'01_Input'!$Y$53,0),IF('01_Input'!$X$53="Palier",IF(AND(E$20&gt;='01_Input'!$V$53,E$20&lt;'01_Input'!$W$53),'01_Input'!$Y$53,0),MAX(MIN(E$20,'01_Input'!$W$53)-'01_Input'!$V$53,0)*'01_Input'!$Y$53))+IF('01_Input'!$AB$53="Forfait",IF(E$20&gt;='01_Input'!$Z$53,'01_Input'!$AC$53,0),IF('01_Input'!$AB$53="Palier",IF(AND(E$20&gt;='01_Input'!$Z$53,E$20&lt;'01_Input'!$AA$53),'01_Input'!$AC$53,0),MAX(MIN(E$20,'01_Input'!$AA$53)-'01_Input'!$Z$53,0)*'01_Input'!$AC$53)))))))))</f>
        <v>60000</v>
      </c>
      <c r="F21" s="25">
        <f>IF('01_Input'!$C$53="Non",0,MIN('01_Input'!$I$53,MAX('01_Input'!$H$53,IF('01_Input'!$G$53="Résiduel vs Gestion",0,IF('01_Input'!$G$53="Taux Classe sélectionnée",Distrib_Global_Classe_Selectionnee*F$20,IF('01_Input'!$G$53="Frais KYC (paliers de 100M€)",MAX(0,Nb_Investisseurs-Nb_KYC_Gratuites_Par_Tranche*(FLOOR(F$20/Taille_Tranche_KYC,1)+1))*Cout_Par_KYC_Supplementaire,(IF('01_Input'!$L$53="Forfait",IF(F$20&gt;='01_Input'!$J$53,'01_Input'!$M$53,0),IF('01_Input'!$L$53="Palier",IF(AND(F$20&gt;='01_Input'!$J$53,F$20&lt;'01_Input'!$K$53),'01_Input'!$M$53,0),MAX(MIN(F$20,'01_Input'!$K$53)-'01_Input'!$J$53,0)*'01_Input'!$M$53))+IF('01_Input'!$P$53="Forfait",IF(F$20&gt;='01_Input'!$N$53,'01_Input'!$Q$53,0),IF('01_Input'!$P$53="Palier",IF(AND(F$20&gt;='01_Input'!$N$53,F$20&lt;'01_Input'!$O$53),'01_Input'!$Q$53,0),MAX(MIN(F$20,'01_Input'!$O$53)-'01_Input'!$N$53,0)*'01_Input'!$Q$53))+IF('01_Input'!$T$53="Forfait",IF(F$20&gt;='01_Input'!$R$53,'01_Input'!$U$53,0),IF('01_Input'!$T$53="Palier",IF(AND(F$20&gt;='01_Input'!$R$53,F$20&lt;'01_Input'!$S$53),'01_Input'!$U$53,0),MAX(MIN(F$20,'01_Input'!$S$53)-'01_Input'!$R$53,0)*'01_Input'!$U$53))+IF('01_Input'!$X$53="Forfait",IF(F$20&gt;='01_Input'!$V$53,'01_Input'!$Y$53,0),IF('01_Input'!$X$53="Palier",IF(AND(F$20&gt;='01_Input'!$V$53,F$20&lt;'01_Input'!$W$53),'01_Input'!$Y$53,0),MAX(MIN(F$20,'01_Input'!$W$53)-'01_Input'!$V$53,0)*'01_Input'!$Y$53))+IF('01_Input'!$AB$53="Forfait",IF(F$20&gt;='01_Input'!$Z$53,'01_Input'!$AC$53,0),IF('01_Input'!$AB$53="Palier",IF(AND(F$20&gt;='01_Input'!$Z$53,F$20&lt;'01_Input'!$AA$53),'01_Input'!$AC$53,0),MAX(MIN(F$20,'01_Input'!$AA$53)-'01_Input'!$Z$53,0)*'01_Input'!$AC$53)))))))))</f>
        <v>60000</v>
      </c>
      <c r="G21" s="25">
        <f>IF('01_Input'!$C$53="Non",0,MIN('01_Input'!$I$53,MAX('01_Input'!$H$53,IF('01_Input'!$G$53="Résiduel vs Gestion",0,IF('01_Input'!$G$53="Taux Classe sélectionnée",Distrib_Global_Classe_Selectionnee*G$20,IF('01_Input'!$G$53="Frais KYC (paliers de 100M€)",MAX(0,Nb_Investisseurs-Nb_KYC_Gratuites_Par_Tranche*(FLOOR(G$20/Taille_Tranche_KYC,1)+1))*Cout_Par_KYC_Supplementaire,(IF('01_Input'!$L$53="Forfait",IF(G$20&gt;='01_Input'!$J$53,'01_Input'!$M$53,0),IF('01_Input'!$L$53="Palier",IF(AND(G$20&gt;='01_Input'!$J$53,G$20&lt;'01_Input'!$K$53),'01_Input'!$M$53,0),MAX(MIN(G$20,'01_Input'!$K$53)-'01_Input'!$J$53,0)*'01_Input'!$M$53))+IF('01_Input'!$P$53="Forfait",IF(G$20&gt;='01_Input'!$N$53,'01_Input'!$Q$53,0),IF('01_Input'!$P$53="Palier",IF(AND(G$20&gt;='01_Input'!$N$53,G$20&lt;'01_Input'!$O$53),'01_Input'!$Q$53,0),MAX(MIN(G$20,'01_Input'!$O$53)-'01_Input'!$N$53,0)*'01_Input'!$Q$53))+IF('01_Input'!$T$53="Forfait",IF(G$20&gt;='01_Input'!$R$53,'01_Input'!$U$53,0),IF('01_Input'!$T$53="Palier",IF(AND(G$20&gt;='01_Input'!$R$53,G$20&lt;'01_Input'!$S$53),'01_Input'!$U$53,0),MAX(MIN(G$20,'01_Input'!$S$53)-'01_Input'!$R$53,0)*'01_Input'!$U$53))+IF('01_Input'!$X$53="Forfait",IF(G$20&gt;='01_Input'!$V$53,'01_Input'!$Y$53,0),IF('01_Input'!$X$53="Palier",IF(AND(G$20&gt;='01_Input'!$V$53,G$20&lt;'01_Input'!$W$53),'01_Input'!$Y$53,0),MAX(MIN(G$20,'01_Input'!$W$53)-'01_Input'!$V$53,0)*'01_Input'!$Y$53))+IF('01_Input'!$AB$53="Forfait",IF(G$20&gt;='01_Input'!$Z$53,'01_Input'!$AC$53,0),IF('01_Input'!$AB$53="Palier",IF(AND(G$20&gt;='01_Input'!$Z$53,G$20&lt;'01_Input'!$AA$53),'01_Input'!$AC$53,0),MAX(MIN(G$20,'01_Input'!$AA$53)-'01_Input'!$Z$53,0)*'01_Input'!$AC$53)))))))))</f>
        <v>60000</v>
      </c>
      <c r="H21" s="25">
        <f>IF('01_Input'!$C$53="Non",0,MIN('01_Input'!$I$53,MAX('01_Input'!$H$53,IF('01_Input'!$G$53="Résiduel vs Gestion",0,IF('01_Input'!$G$53="Taux Classe sélectionnée",Distrib_Global_Classe_Selectionnee*H$20,IF('01_Input'!$G$53="Frais KYC (paliers de 100M€)",MAX(0,Nb_Investisseurs-Nb_KYC_Gratuites_Par_Tranche*(FLOOR(H$20/Taille_Tranche_KYC,1)+1))*Cout_Par_KYC_Supplementaire,(IF('01_Input'!$L$53="Forfait",IF(H$20&gt;='01_Input'!$J$53,'01_Input'!$M$53,0),IF('01_Input'!$L$53="Palier",IF(AND(H$20&gt;='01_Input'!$J$53,H$20&lt;'01_Input'!$K$53),'01_Input'!$M$53,0),MAX(MIN(H$20,'01_Input'!$K$53)-'01_Input'!$J$53,0)*'01_Input'!$M$53))+IF('01_Input'!$P$53="Forfait",IF(H$20&gt;='01_Input'!$N$53,'01_Input'!$Q$53,0),IF('01_Input'!$P$53="Palier",IF(AND(H$20&gt;='01_Input'!$N$53,H$20&lt;'01_Input'!$O$53),'01_Input'!$Q$53,0),MAX(MIN(H$20,'01_Input'!$O$53)-'01_Input'!$N$53,0)*'01_Input'!$Q$53))+IF('01_Input'!$T$53="Forfait",IF(H$20&gt;='01_Input'!$R$53,'01_Input'!$U$53,0),IF('01_Input'!$T$53="Palier",IF(AND(H$20&gt;='01_Input'!$R$53,H$20&lt;'01_Input'!$S$53),'01_Input'!$U$53,0),MAX(MIN(H$20,'01_Input'!$S$53)-'01_Input'!$R$53,0)*'01_Input'!$U$53))+IF('01_Input'!$X$53="Forfait",IF(H$20&gt;='01_Input'!$V$53,'01_Input'!$Y$53,0),IF('01_Input'!$X$53="Palier",IF(AND(H$20&gt;='01_Input'!$V$53,H$20&lt;'01_Input'!$W$53),'01_Input'!$Y$53,0),MAX(MIN(H$20,'01_Input'!$W$53)-'01_Input'!$V$53,0)*'01_Input'!$Y$53))+IF('01_Input'!$AB$53="Forfait",IF(H$20&gt;='01_Input'!$Z$53,'01_Input'!$AC$53,0),IF('01_Input'!$AB$53="Palier",IF(AND(H$20&gt;='01_Input'!$Z$53,H$20&lt;'01_Input'!$AA$53),'01_Input'!$AC$53,0),MAX(MIN(H$20,'01_Input'!$AA$53)-'01_Input'!$Z$53,0)*'01_Input'!$AC$53)))))))))</f>
        <v>60000</v>
      </c>
      <c r="I21" s="25">
        <f>IF('01_Input'!$C$53="Non",0,MIN('01_Input'!$I$53,MAX('01_Input'!$H$53,IF('01_Input'!$G$53="Résiduel vs Gestion",0,IF('01_Input'!$G$53="Taux Classe sélectionnée",Distrib_Global_Classe_Selectionnee*I$20,IF('01_Input'!$G$53="Frais KYC (paliers de 100M€)",MAX(0,Nb_Investisseurs-Nb_KYC_Gratuites_Par_Tranche*(FLOOR(I$20/Taille_Tranche_KYC,1)+1))*Cout_Par_KYC_Supplementaire,(IF('01_Input'!$L$53="Forfait",IF(I$20&gt;='01_Input'!$J$53,'01_Input'!$M$53,0),IF('01_Input'!$L$53="Palier",IF(AND(I$20&gt;='01_Input'!$J$53,I$20&lt;'01_Input'!$K$53),'01_Input'!$M$53,0),MAX(MIN(I$20,'01_Input'!$K$53)-'01_Input'!$J$53,0)*'01_Input'!$M$53))+IF('01_Input'!$P$53="Forfait",IF(I$20&gt;='01_Input'!$N$53,'01_Input'!$Q$53,0),IF('01_Input'!$P$53="Palier",IF(AND(I$20&gt;='01_Input'!$N$53,I$20&lt;'01_Input'!$O$53),'01_Input'!$Q$53,0),MAX(MIN(I$20,'01_Input'!$O$53)-'01_Input'!$N$53,0)*'01_Input'!$Q$53))+IF('01_Input'!$T$53="Forfait",IF(I$20&gt;='01_Input'!$R$53,'01_Input'!$U$53,0),IF('01_Input'!$T$53="Palier",IF(AND(I$20&gt;='01_Input'!$R$53,I$20&lt;'01_Input'!$S$53),'01_Input'!$U$53,0),MAX(MIN(I$20,'01_Input'!$S$53)-'01_Input'!$R$53,0)*'01_Input'!$U$53))+IF('01_Input'!$X$53="Forfait",IF(I$20&gt;='01_Input'!$V$53,'01_Input'!$Y$53,0),IF('01_Input'!$X$53="Palier",IF(AND(I$20&gt;='01_Input'!$V$53,I$20&lt;'01_Input'!$W$53),'01_Input'!$Y$53,0),MAX(MIN(I$20,'01_Input'!$W$53)-'01_Input'!$V$53,0)*'01_Input'!$Y$53))+IF('01_Input'!$AB$53="Forfait",IF(I$20&gt;='01_Input'!$Z$53,'01_Input'!$AC$53,0),IF('01_Input'!$AB$53="Palier",IF(AND(I$20&gt;='01_Input'!$Z$53,I$20&lt;'01_Input'!$AA$53),'01_Input'!$AC$53,0),MAX(MIN(I$20,'01_Input'!$AA$53)-'01_Input'!$Z$53,0)*'01_Input'!$AC$53)))))))))</f>
        <v>60000</v>
      </c>
      <c r="J21" s="25">
        <f>IF('01_Input'!$C$53="Non",0,MIN('01_Input'!$I$53,MAX('01_Input'!$H$53,IF('01_Input'!$G$53="Résiduel vs Gestion",0,IF('01_Input'!$G$53="Taux Classe sélectionnée",Distrib_Global_Classe_Selectionnee*J$20,IF('01_Input'!$G$53="Frais KYC (paliers de 100M€)",MAX(0,Nb_Investisseurs-Nb_KYC_Gratuites_Par_Tranche*(FLOOR(J$20/Taille_Tranche_KYC,1)+1))*Cout_Par_KYC_Supplementaire,(IF('01_Input'!$L$53="Forfait",IF(J$20&gt;='01_Input'!$J$53,'01_Input'!$M$53,0),IF('01_Input'!$L$53="Palier",IF(AND(J$20&gt;='01_Input'!$J$53,J$20&lt;'01_Input'!$K$53),'01_Input'!$M$53,0),MAX(MIN(J$20,'01_Input'!$K$53)-'01_Input'!$J$53,0)*'01_Input'!$M$53))+IF('01_Input'!$P$53="Forfait",IF(J$20&gt;='01_Input'!$N$53,'01_Input'!$Q$53,0),IF('01_Input'!$P$53="Palier",IF(AND(J$20&gt;='01_Input'!$N$53,J$20&lt;'01_Input'!$O$53),'01_Input'!$Q$53,0),MAX(MIN(J$20,'01_Input'!$O$53)-'01_Input'!$N$53,0)*'01_Input'!$Q$53))+IF('01_Input'!$T$53="Forfait",IF(J$20&gt;='01_Input'!$R$53,'01_Input'!$U$53,0),IF('01_Input'!$T$53="Palier",IF(AND(J$20&gt;='01_Input'!$R$53,J$20&lt;'01_Input'!$S$53),'01_Input'!$U$53,0),MAX(MIN(J$20,'01_Input'!$S$53)-'01_Input'!$R$53,0)*'01_Input'!$U$53))+IF('01_Input'!$X$53="Forfait",IF(J$20&gt;='01_Input'!$V$53,'01_Input'!$Y$53,0),IF('01_Input'!$X$53="Palier",IF(AND(J$20&gt;='01_Input'!$V$53,J$20&lt;'01_Input'!$W$53),'01_Input'!$Y$53,0),MAX(MIN(J$20,'01_Input'!$W$53)-'01_Input'!$V$53,0)*'01_Input'!$Y$53))+IF('01_Input'!$AB$53="Forfait",IF(J$20&gt;='01_Input'!$Z$53,'01_Input'!$AC$53,0),IF('01_Input'!$AB$53="Palier",IF(AND(J$20&gt;='01_Input'!$Z$53,J$20&lt;'01_Input'!$AA$53),'01_Input'!$AC$53,0),MAX(MIN(J$20,'01_Input'!$AA$53)-'01_Input'!$Z$53,0)*'01_Input'!$AC$53)))))))))</f>
        <v>60000</v>
      </c>
      <c r="K21" s="25">
        <f>IF('01_Input'!$C$53="Non",0,MIN('01_Input'!$I$53,MAX('01_Input'!$H$53,IF('01_Input'!$G$53="Résiduel vs Gestion",0,IF('01_Input'!$G$53="Taux Classe sélectionnée",Distrib_Global_Classe_Selectionnee*K$20,IF('01_Input'!$G$53="Frais KYC (paliers de 100M€)",MAX(0,Nb_Investisseurs-Nb_KYC_Gratuites_Par_Tranche*(FLOOR(K$20/Taille_Tranche_KYC,1)+1))*Cout_Par_KYC_Supplementaire,(IF('01_Input'!$L$53="Forfait",IF(K$20&gt;='01_Input'!$J$53,'01_Input'!$M$53,0),IF('01_Input'!$L$53="Palier",IF(AND(K$20&gt;='01_Input'!$J$53,K$20&lt;'01_Input'!$K$53),'01_Input'!$M$53,0),MAX(MIN(K$20,'01_Input'!$K$53)-'01_Input'!$J$53,0)*'01_Input'!$M$53))+IF('01_Input'!$P$53="Forfait",IF(K$20&gt;='01_Input'!$N$53,'01_Input'!$Q$53,0),IF('01_Input'!$P$53="Palier",IF(AND(K$20&gt;='01_Input'!$N$53,K$20&lt;'01_Input'!$O$53),'01_Input'!$Q$53,0),MAX(MIN(K$20,'01_Input'!$O$53)-'01_Input'!$N$53,0)*'01_Input'!$Q$53))+IF('01_Input'!$T$53="Forfait",IF(K$20&gt;='01_Input'!$R$53,'01_Input'!$U$53,0),IF('01_Input'!$T$53="Palier",IF(AND(K$20&gt;='01_Input'!$R$53,K$20&lt;'01_Input'!$S$53),'01_Input'!$U$53,0),MAX(MIN(K$20,'01_Input'!$S$53)-'01_Input'!$R$53,0)*'01_Input'!$U$53))+IF('01_Input'!$X$53="Forfait",IF(K$20&gt;='01_Input'!$V$53,'01_Input'!$Y$53,0),IF('01_Input'!$X$53="Palier",IF(AND(K$20&gt;='01_Input'!$V$53,K$20&lt;'01_Input'!$W$53),'01_Input'!$Y$53,0),MAX(MIN(K$20,'01_Input'!$W$53)-'01_Input'!$V$53,0)*'01_Input'!$Y$53))+IF('01_Input'!$AB$53="Forfait",IF(K$20&gt;='01_Input'!$Z$53,'01_Input'!$AC$53,0),IF('01_Input'!$AB$53="Palier",IF(AND(K$20&gt;='01_Input'!$Z$53,K$20&lt;'01_Input'!$AA$53),'01_Input'!$AC$53,0),MAX(MIN(K$20,'01_Input'!$AA$53)-'01_Input'!$Z$53,0)*'01_Input'!$AC$53)))))))))</f>
        <v>63000</v>
      </c>
      <c r="L21" s="25">
        <f>IF('01_Input'!$C$53="Non",0,MIN('01_Input'!$I$53,MAX('01_Input'!$H$53,IF('01_Input'!$G$53="Résiduel vs Gestion",0,IF('01_Input'!$G$53="Taux Classe sélectionnée",Distrib_Global_Classe_Selectionnee*L$20,IF('01_Input'!$G$53="Frais KYC (paliers de 100M€)",MAX(0,Nb_Investisseurs-Nb_KYC_Gratuites_Par_Tranche*(FLOOR(L$20/Taille_Tranche_KYC,1)+1))*Cout_Par_KYC_Supplementaire,(IF('01_Input'!$L$53="Forfait",IF(L$20&gt;='01_Input'!$J$53,'01_Input'!$M$53,0),IF('01_Input'!$L$53="Palier",IF(AND(L$20&gt;='01_Input'!$J$53,L$20&lt;'01_Input'!$K$53),'01_Input'!$M$53,0),MAX(MIN(L$20,'01_Input'!$K$53)-'01_Input'!$J$53,0)*'01_Input'!$M$53))+IF('01_Input'!$P$53="Forfait",IF(L$20&gt;='01_Input'!$N$53,'01_Input'!$Q$53,0),IF('01_Input'!$P$53="Palier",IF(AND(L$20&gt;='01_Input'!$N$53,L$20&lt;'01_Input'!$O$53),'01_Input'!$Q$53,0),MAX(MIN(L$20,'01_Input'!$O$53)-'01_Input'!$N$53,0)*'01_Input'!$Q$53))+IF('01_Input'!$T$53="Forfait",IF(L$20&gt;='01_Input'!$R$53,'01_Input'!$U$53,0),IF('01_Input'!$T$53="Palier",IF(AND(L$20&gt;='01_Input'!$R$53,L$20&lt;'01_Input'!$S$53),'01_Input'!$U$53,0),MAX(MIN(L$20,'01_Input'!$S$53)-'01_Input'!$R$53,0)*'01_Input'!$U$53))+IF('01_Input'!$X$53="Forfait",IF(L$20&gt;='01_Input'!$V$53,'01_Input'!$Y$53,0),IF('01_Input'!$X$53="Palier",IF(AND(L$20&gt;='01_Input'!$V$53,L$20&lt;'01_Input'!$W$53),'01_Input'!$Y$53,0),MAX(MIN(L$20,'01_Input'!$W$53)-'01_Input'!$V$53,0)*'01_Input'!$Y$53))+IF('01_Input'!$AB$53="Forfait",IF(L$20&gt;='01_Input'!$Z$53,'01_Input'!$AC$53,0),IF('01_Input'!$AB$53="Palier",IF(AND(L$20&gt;='01_Input'!$Z$53,L$20&lt;'01_Input'!$AA$53),'01_Input'!$AC$53,0),MAX(MIN(L$20,'01_Input'!$AA$53)-'01_Input'!$Z$53,0)*'01_Input'!$AC$53)))))))))</f>
        <v>72000</v>
      </c>
      <c r="M21" s="25">
        <f>IF('01_Input'!$C$53="Non",0,MIN('01_Input'!$I$53,MAX('01_Input'!$H$53,IF('01_Input'!$G$53="Résiduel vs Gestion",0,IF('01_Input'!$G$53="Taux Classe sélectionnée",Distrib_Global_Classe_Selectionnee*M$20,IF('01_Input'!$G$53="Frais KYC (paliers de 100M€)",MAX(0,Nb_Investisseurs-Nb_KYC_Gratuites_Par_Tranche*(FLOOR(M$20/Taille_Tranche_KYC,1)+1))*Cout_Par_KYC_Supplementaire,(IF('01_Input'!$L$53="Forfait",IF(M$20&gt;='01_Input'!$J$53,'01_Input'!$M$53,0),IF('01_Input'!$L$53="Palier",IF(AND(M$20&gt;='01_Input'!$J$53,M$20&lt;'01_Input'!$K$53),'01_Input'!$M$53,0),MAX(MIN(M$20,'01_Input'!$K$53)-'01_Input'!$J$53,0)*'01_Input'!$M$53))+IF('01_Input'!$P$53="Forfait",IF(M$20&gt;='01_Input'!$N$53,'01_Input'!$Q$53,0),IF('01_Input'!$P$53="Palier",IF(AND(M$20&gt;='01_Input'!$N$53,M$20&lt;'01_Input'!$O$53),'01_Input'!$Q$53,0),MAX(MIN(M$20,'01_Input'!$O$53)-'01_Input'!$N$53,0)*'01_Input'!$Q$53))+IF('01_Input'!$T$53="Forfait",IF(M$20&gt;='01_Input'!$R$53,'01_Input'!$U$53,0),IF('01_Input'!$T$53="Palier",IF(AND(M$20&gt;='01_Input'!$R$53,M$20&lt;'01_Input'!$S$53),'01_Input'!$U$53,0),MAX(MIN(M$20,'01_Input'!$S$53)-'01_Input'!$R$53,0)*'01_Input'!$U$53))+IF('01_Input'!$X$53="Forfait",IF(M$20&gt;='01_Input'!$V$53,'01_Input'!$Y$53,0),IF('01_Input'!$X$53="Palier",IF(AND(M$20&gt;='01_Input'!$V$53,M$20&lt;'01_Input'!$W$53),'01_Input'!$Y$53,0),MAX(MIN(M$20,'01_Input'!$W$53)-'01_Input'!$V$53,0)*'01_Input'!$Y$53))+IF('01_Input'!$AB$53="Forfait",IF(M$20&gt;='01_Input'!$Z$53,'01_Input'!$AC$53,0),IF('01_Input'!$AB$53="Palier",IF(AND(M$20&gt;='01_Input'!$Z$53,M$20&lt;'01_Input'!$AA$53),'01_Input'!$AC$53,0),MAX(MIN(M$20,'01_Input'!$AA$53)-'01_Input'!$Z$53,0)*'01_Input'!$AC$53)))))))))</f>
        <v>81000</v>
      </c>
      <c r="N21" s="25">
        <f>IF('01_Input'!$C$53="Non",0,MIN('01_Input'!$I$53,MAX('01_Input'!$H$53,IF('01_Input'!$G$53="Résiduel vs Gestion",0,IF('01_Input'!$G$53="Taux Classe sélectionnée",Distrib_Global_Classe_Selectionnee*N$20,IF('01_Input'!$G$53="Frais KYC (paliers de 100M€)",MAX(0,Nb_Investisseurs-Nb_KYC_Gratuites_Par_Tranche*(FLOOR(N$20/Taille_Tranche_KYC,1)+1))*Cout_Par_KYC_Supplementaire,(IF('01_Input'!$L$53="Forfait",IF(N$20&gt;='01_Input'!$J$53,'01_Input'!$M$53,0),IF('01_Input'!$L$53="Palier",IF(AND(N$20&gt;='01_Input'!$J$53,N$20&lt;'01_Input'!$K$53),'01_Input'!$M$53,0),MAX(MIN(N$20,'01_Input'!$K$53)-'01_Input'!$J$53,0)*'01_Input'!$M$53))+IF('01_Input'!$P$53="Forfait",IF(N$20&gt;='01_Input'!$N$53,'01_Input'!$Q$53,0),IF('01_Input'!$P$53="Palier",IF(AND(N$20&gt;='01_Input'!$N$53,N$20&lt;'01_Input'!$O$53),'01_Input'!$Q$53,0),MAX(MIN(N$20,'01_Input'!$O$53)-'01_Input'!$N$53,0)*'01_Input'!$Q$53))+IF('01_Input'!$T$53="Forfait",IF(N$20&gt;='01_Input'!$R$53,'01_Input'!$U$53,0),IF('01_Input'!$T$53="Palier",IF(AND(N$20&gt;='01_Input'!$R$53,N$20&lt;'01_Input'!$S$53),'01_Input'!$U$53,0),MAX(MIN(N$20,'01_Input'!$S$53)-'01_Input'!$R$53,0)*'01_Input'!$U$53))+IF('01_Input'!$X$53="Forfait",IF(N$20&gt;='01_Input'!$V$53,'01_Input'!$Y$53,0),IF('01_Input'!$X$53="Palier",IF(AND(N$20&gt;='01_Input'!$V$53,N$20&lt;'01_Input'!$W$53),'01_Input'!$Y$53,0),MAX(MIN(N$20,'01_Input'!$W$53)-'01_Input'!$V$53,0)*'01_Input'!$Y$53))+IF('01_Input'!$AB$53="Forfait",IF(N$20&gt;='01_Input'!$Z$53,'01_Input'!$AC$53,0),IF('01_Input'!$AB$53="Palier",IF(AND(N$20&gt;='01_Input'!$Z$53,N$20&lt;'01_Input'!$AA$53),'01_Input'!$AC$53,0),MAX(MIN(N$20,'01_Input'!$AA$53)-'01_Input'!$Z$53,0)*'01_Input'!$AC$53)))))))))</f>
        <v>90000</v>
      </c>
      <c r="O21" s="25">
        <f>IF('01_Input'!$C$53="Non",0,MIN('01_Input'!$I$53,MAX('01_Input'!$H$53,IF('01_Input'!$G$53="Résiduel vs Gestion",0,IF('01_Input'!$G$53="Taux Classe sélectionnée",Distrib_Global_Classe_Selectionnee*O$20,IF('01_Input'!$G$53="Frais KYC (paliers de 100M€)",MAX(0,Nb_Investisseurs-Nb_KYC_Gratuites_Par_Tranche*(FLOOR(O$20/Taille_Tranche_KYC,1)+1))*Cout_Par_KYC_Supplementaire,(IF('01_Input'!$L$53="Forfait",IF(O$20&gt;='01_Input'!$J$53,'01_Input'!$M$53,0),IF('01_Input'!$L$53="Palier",IF(AND(O$20&gt;='01_Input'!$J$53,O$20&lt;'01_Input'!$K$53),'01_Input'!$M$53,0),MAX(MIN(O$20,'01_Input'!$K$53)-'01_Input'!$J$53,0)*'01_Input'!$M$53))+IF('01_Input'!$P$53="Forfait",IF(O$20&gt;='01_Input'!$N$53,'01_Input'!$Q$53,0),IF('01_Input'!$P$53="Palier",IF(AND(O$20&gt;='01_Input'!$N$53,O$20&lt;'01_Input'!$O$53),'01_Input'!$Q$53,0),MAX(MIN(O$20,'01_Input'!$O$53)-'01_Input'!$N$53,0)*'01_Input'!$Q$53))+IF('01_Input'!$T$53="Forfait",IF(O$20&gt;='01_Input'!$R$53,'01_Input'!$U$53,0),IF('01_Input'!$T$53="Palier",IF(AND(O$20&gt;='01_Input'!$R$53,O$20&lt;'01_Input'!$S$53),'01_Input'!$U$53,0),MAX(MIN(O$20,'01_Input'!$S$53)-'01_Input'!$R$53,0)*'01_Input'!$U$53))+IF('01_Input'!$X$53="Forfait",IF(O$20&gt;='01_Input'!$V$53,'01_Input'!$Y$53,0),IF('01_Input'!$X$53="Palier",IF(AND(O$20&gt;='01_Input'!$V$53,O$20&lt;'01_Input'!$W$53),'01_Input'!$Y$53,0),MAX(MIN(O$20,'01_Input'!$W$53)-'01_Input'!$V$53,0)*'01_Input'!$Y$53))+IF('01_Input'!$AB$53="Forfait",IF(O$20&gt;='01_Input'!$Z$53,'01_Input'!$AC$53,0),IF('01_Input'!$AB$53="Palier",IF(AND(O$20&gt;='01_Input'!$Z$53,O$20&lt;'01_Input'!$AA$53),'01_Input'!$AC$53,0),MAX(MIN(O$20,'01_Input'!$AA$53)-'01_Input'!$Z$53,0)*'01_Input'!$AC$53)))))))))</f>
        <v>900290000</v>
      </c>
      <c r="P21" s="25">
        <f>IF('01_Input'!$C$53="Non",0,MIN('01_Input'!$I$53,MAX('01_Input'!$H$53,IF('01_Input'!$G$53="Résiduel vs Gestion",0,IF('01_Input'!$G$53="Taux Classe sélectionnée",Distrib_Global_Classe_Selectionnee*P$20,IF('01_Input'!$G$53="Frais KYC (paliers de 100M€)",MAX(0,Nb_Investisseurs-Nb_KYC_Gratuites_Par_Tranche*(FLOOR(P$20/Taille_Tranche_KYC,1)+1))*Cout_Par_KYC_Supplementaire,(IF('01_Input'!$L$53="Forfait",IF(P$20&gt;='01_Input'!$J$53,'01_Input'!$M$53,0),IF('01_Input'!$L$53="Palier",IF(AND(P$20&gt;='01_Input'!$J$53,P$20&lt;'01_Input'!$K$53),'01_Input'!$M$53,0),MAX(MIN(P$20,'01_Input'!$K$53)-'01_Input'!$J$53,0)*'01_Input'!$M$53))+IF('01_Input'!$P$53="Forfait",IF(P$20&gt;='01_Input'!$N$53,'01_Input'!$Q$53,0),IF('01_Input'!$P$53="Palier",IF(AND(P$20&gt;='01_Input'!$N$53,P$20&lt;'01_Input'!$O$53),'01_Input'!$Q$53,0),MAX(MIN(P$20,'01_Input'!$O$53)-'01_Input'!$N$53,0)*'01_Input'!$Q$53))+IF('01_Input'!$T$53="Forfait",IF(P$20&gt;='01_Input'!$R$53,'01_Input'!$U$53,0),IF('01_Input'!$T$53="Palier",IF(AND(P$20&gt;='01_Input'!$R$53,P$20&lt;'01_Input'!$S$53),'01_Input'!$U$53,0),MAX(MIN(P$20,'01_Input'!$S$53)-'01_Input'!$R$53,0)*'01_Input'!$U$53))+IF('01_Input'!$X$53="Forfait",IF(P$20&gt;='01_Input'!$V$53,'01_Input'!$Y$53,0),IF('01_Input'!$X$53="Palier",IF(AND(P$20&gt;='01_Input'!$V$53,P$20&lt;'01_Input'!$W$53),'01_Input'!$Y$53,0),MAX(MIN(P$20,'01_Input'!$W$53)-'01_Input'!$V$53,0)*'01_Input'!$Y$53))+IF('01_Input'!$AB$53="Forfait",IF(P$20&gt;='01_Input'!$Z$53,'01_Input'!$AC$53,0),IF('01_Input'!$AB$53="Palier",IF(AND(P$20&gt;='01_Input'!$Z$53,P$20&lt;'01_Input'!$AA$53),'01_Input'!$AC$53,0),MAX(MIN(P$20,'01_Input'!$AA$53)-'01_Input'!$Z$53,0)*'01_Input'!$AC$53)))))))))</f>
        <v>900290000</v>
      </c>
      <c r="Q21" s="25">
        <f>IF('01_Input'!$C$53="Non",0,MIN('01_Input'!$I$53,MAX('01_Input'!$H$53,IF('01_Input'!$G$53="Résiduel vs Gestion",0,IF('01_Input'!$G$53="Taux Classe sélectionnée",Distrib_Global_Classe_Selectionnee*Q$20,IF('01_Input'!$G$53="Frais KYC (paliers de 100M€)",MAX(0,Nb_Investisseurs-Nb_KYC_Gratuites_Par_Tranche*(FLOOR(Q$20/Taille_Tranche_KYC,1)+1))*Cout_Par_KYC_Supplementaire,(IF('01_Input'!$L$53="Forfait",IF(Q$20&gt;='01_Input'!$J$53,'01_Input'!$M$53,0),IF('01_Input'!$L$53="Palier",IF(AND(Q$20&gt;='01_Input'!$J$53,Q$20&lt;'01_Input'!$K$53),'01_Input'!$M$53,0),MAX(MIN(Q$20,'01_Input'!$K$53)-'01_Input'!$J$53,0)*'01_Input'!$M$53))+IF('01_Input'!$P$53="Forfait",IF(Q$20&gt;='01_Input'!$N$53,'01_Input'!$Q$53,0),IF('01_Input'!$P$53="Palier",IF(AND(Q$20&gt;='01_Input'!$N$53,Q$20&lt;'01_Input'!$O$53),'01_Input'!$Q$53,0),MAX(MIN(Q$20,'01_Input'!$O$53)-'01_Input'!$N$53,0)*'01_Input'!$Q$53))+IF('01_Input'!$T$53="Forfait",IF(Q$20&gt;='01_Input'!$R$53,'01_Input'!$U$53,0),IF('01_Input'!$T$53="Palier",IF(AND(Q$20&gt;='01_Input'!$R$53,Q$20&lt;'01_Input'!$S$53),'01_Input'!$U$53,0),MAX(MIN(Q$20,'01_Input'!$S$53)-'01_Input'!$R$53,0)*'01_Input'!$U$53))+IF('01_Input'!$X$53="Forfait",IF(Q$20&gt;='01_Input'!$V$53,'01_Input'!$Y$53,0),IF('01_Input'!$X$53="Palier",IF(AND(Q$20&gt;='01_Input'!$V$53,Q$20&lt;'01_Input'!$W$53),'01_Input'!$Y$53,0),MAX(MIN(Q$20,'01_Input'!$W$53)-'01_Input'!$V$53,0)*'01_Input'!$Y$53))+IF('01_Input'!$AB$53="Forfait",IF(Q$20&gt;='01_Input'!$Z$53,'01_Input'!$AC$53,0),IF('01_Input'!$AB$53="Palier",IF(AND(Q$20&gt;='01_Input'!$Z$53,Q$20&lt;'01_Input'!$AA$53),'01_Input'!$AC$53,0),MAX(MIN(Q$20,'01_Input'!$AA$53)-'01_Input'!$Z$53,0)*'01_Input'!$AC$53)))))))))</f>
        <v>900290000</v>
      </c>
      <c r="R21" s="25">
        <f>IF('01_Input'!$C$53="Non",0,MIN('01_Input'!$I$53,MAX('01_Input'!$H$53,IF('01_Input'!$G$53="Résiduel vs Gestion",0,IF('01_Input'!$G$53="Taux Classe sélectionnée",Distrib_Global_Classe_Selectionnee*R$20,IF('01_Input'!$G$53="Frais KYC (paliers de 100M€)",MAX(0,Nb_Investisseurs-Nb_KYC_Gratuites_Par_Tranche*(FLOOR(R$20/Taille_Tranche_KYC,1)+1))*Cout_Par_KYC_Supplementaire,(IF('01_Input'!$L$53="Forfait",IF(R$20&gt;='01_Input'!$J$53,'01_Input'!$M$53,0),IF('01_Input'!$L$53="Palier",IF(AND(R$20&gt;='01_Input'!$J$53,R$20&lt;'01_Input'!$K$53),'01_Input'!$M$53,0),MAX(MIN(R$20,'01_Input'!$K$53)-'01_Input'!$J$53,0)*'01_Input'!$M$53))+IF('01_Input'!$P$53="Forfait",IF(R$20&gt;='01_Input'!$N$53,'01_Input'!$Q$53,0),IF('01_Input'!$P$53="Palier",IF(AND(R$20&gt;='01_Input'!$N$53,R$20&lt;'01_Input'!$O$53),'01_Input'!$Q$53,0),MAX(MIN(R$20,'01_Input'!$O$53)-'01_Input'!$N$53,0)*'01_Input'!$Q$53))+IF('01_Input'!$T$53="Forfait",IF(R$20&gt;='01_Input'!$R$53,'01_Input'!$U$53,0),IF('01_Input'!$T$53="Palier",IF(AND(R$20&gt;='01_Input'!$R$53,R$20&lt;'01_Input'!$S$53),'01_Input'!$U$53,0),MAX(MIN(R$20,'01_Input'!$S$53)-'01_Input'!$R$53,0)*'01_Input'!$U$53))+IF('01_Input'!$X$53="Forfait",IF(R$20&gt;='01_Input'!$V$53,'01_Input'!$Y$53,0),IF('01_Input'!$X$53="Palier",IF(AND(R$20&gt;='01_Input'!$V$53,R$20&lt;'01_Input'!$W$53),'01_Input'!$Y$53,0),MAX(MIN(R$20,'01_Input'!$W$53)-'01_Input'!$V$53,0)*'01_Input'!$Y$53))+IF('01_Input'!$AB$53="Forfait",IF(R$20&gt;='01_Input'!$Z$53,'01_Input'!$AC$53,0),IF('01_Input'!$AB$53="Palier",IF(AND(R$20&gt;='01_Input'!$Z$53,R$20&lt;'01_Input'!$AA$53),'01_Input'!$AC$53,0),MAX(MIN(R$20,'01_Input'!$AA$53)-'01_Input'!$Z$53,0)*'01_Input'!$AC$53)))))))))</f>
        <v>900290000</v>
      </c>
      <c r="S21" s="25">
        <f>IF('01_Input'!$C$53="Non",0,MIN('01_Input'!$I$53,MAX('01_Input'!$H$53,IF('01_Input'!$G$53="Résiduel vs Gestion",0,IF('01_Input'!$G$53="Taux Classe sélectionnée",Distrib_Global_Classe_Selectionnee*S$20,IF('01_Input'!$G$53="Frais KYC (paliers de 100M€)",MAX(0,Nb_Investisseurs-Nb_KYC_Gratuites_Par_Tranche*(FLOOR(S$20/Taille_Tranche_KYC,1)+1))*Cout_Par_KYC_Supplementaire,(IF('01_Input'!$L$53="Forfait",IF(S$20&gt;='01_Input'!$J$53,'01_Input'!$M$53,0),IF('01_Input'!$L$53="Palier",IF(AND(S$20&gt;='01_Input'!$J$53,S$20&lt;'01_Input'!$K$53),'01_Input'!$M$53,0),MAX(MIN(S$20,'01_Input'!$K$53)-'01_Input'!$J$53,0)*'01_Input'!$M$53))+IF('01_Input'!$P$53="Forfait",IF(S$20&gt;='01_Input'!$N$53,'01_Input'!$Q$53,0),IF('01_Input'!$P$53="Palier",IF(AND(S$20&gt;='01_Input'!$N$53,S$20&lt;'01_Input'!$O$53),'01_Input'!$Q$53,0),MAX(MIN(S$20,'01_Input'!$O$53)-'01_Input'!$N$53,0)*'01_Input'!$Q$53))+IF('01_Input'!$T$53="Forfait",IF(S$20&gt;='01_Input'!$R$53,'01_Input'!$U$53,0),IF('01_Input'!$T$53="Palier",IF(AND(S$20&gt;='01_Input'!$R$53,S$20&lt;'01_Input'!$S$53),'01_Input'!$U$53,0),MAX(MIN(S$20,'01_Input'!$S$53)-'01_Input'!$R$53,0)*'01_Input'!$U$53))+IF('01_Input'!$X$53="Forfait",IF(S$20&gt;='01_Input'!$V$53,'01_Input'!$Y$53,0),IF('01_Input'!$X$53="Palier",IF(AND(S$20&gt;='01_Input'!$V$53,S$20&lt;'01_Input'!$W$53),'01_Input'!$Y$53,0),MAX(MIN(S$20,'01_Input'!$W$53)-'01_Input'!$V$53,0)*'01_Input'!$Y$53))+IF('01_Input'!$AB$53="Forfait",IF(S$20&gt;='01_Input'!$Z$53,'01_Input'!$AC$53,0),IF('01_Input'!$AB$53="Palier",IF(AND(S$20&gt;='01_Input'!$Z$53,S$20&lt;'01_Input'!$AA$53),'01_Input'!$AC$53,0),MAX(MIN(S$20,'01_Input'!$AA$53)-'01_Input'!$Z$53,0)*'01_Input'!$AC$53)))))))))</f>
        <v>900290000</v>
      </c>
      <c r="T21" s="25">
        <f>IF('01_Input'!$C$53="Non",0,MIN('01_Input'!$I$53,MAX('01_Input'!$H$53,IF('01_Input'!$G$53="Résiduel vs Gestion",0,IF('01_Input'!$G$53="Taux Classe sélectionnée",Distrib_Global_Classe_Selectionnee*T$20,IF('01_Input'!$G$53="Frais KYC (paliers de 100M€)",MAX(0,Nb_Investisseurs-Nb_KYC_Gratuites_Par_Tranche*(FLOOR(T$20/Taille_Tranche_KYC,1)+1))*Cout_Par_KYC_Supplementaire,(IF('01_Input'!$L$53="Forfait",IF(T$20&gt;='01_Input'!$J$53,'01_Input'!$M$53,0),IF('01_Input'!$L$53="Palier",IF(AND(T$20&gt;='01_Input'!$J$53,T$20&lt;'01_Input'!$K$53),'01_Input'!$M$53,0),MAX(MIN(T$20,'01_Input'!$K$53)-'01_Input'!$J$53,0)*'01_Input'!$M$53))+IF('01_Input'!$P$53="Forfait",IF(T$20&gt;='01_Input'!$N$53,'01_Input'!$Q$53,0),IF('01_Input'!$P$53="Palier",IF(AND(T$20&gt;='01_Input'!$N$53,T$20&lt;'01_Input'!$O$53),'01_Input'!$Q$53,0),MAX(MIN(T$20,'01_Input'!$O$53)-'01_Input'!$N$53,0)*'01_Input'!$Q$53))+IF('01_Input'!$T$53="Forfait",IF(T$20&gt;='01_Input'!$R$53,'01_Input'!$U$53,0),IF('01_Input'!$T$53="Palier",IF(AND(T$20&gt;='01_Input'!$R$53,T$20&lt;'01_Input'!$S$53),'01_Input'!$U$53,0),MAX(MIN(T$20,'01_Input'!$S$53)-'01_Input'!$R$53,0)*'01_Input'!$U$53))+IF('01_Input'!$X$53="Forfait",IF(T$20&gt;='01_Input'!$V$53,'01_Input'!$Y$53,0),IF('01_Input'!$X$53="Palier",IF(AND(T$20&gt;='01_Input'!$V$53,T$20&lt;'01_Input'!$W$53),'01_Input'!$Y$53,0),MAX(MIN(T$20,'01_Input'!$W$53)-'01_Input'!$V$53,0)*'01_Input'!$Y$53))+IF('01_Input'!$AB$53="Forfait",IF(T$20&gt;='01_Input'!$Z$53,'01_Input'!$AC$53,0),IF('01_Input'!$AB$53="Palier",IF(AND(T$20&gt;='01_Input'!$Z$53,T$20&lt;'01_Input'!$AA$53),'01_Input'!$AC$53,0),MAX(MIN(T$20,'01_Input'!$AA$53)-'01_Input'!$Z$53,0)*'01_Input'!$AC$53)))))))))</f>
        <v>900290000</v>
      </c>
      <c r="U21" s="25">
        <f>IF('01_Input'!$C$53="Non",0,MIN('01_Input'!$I$53,MAX('01_Input'!$H$53,IF('01_Input'!$G$53="Résiduel vs Gestion",0,IF('01_Input'!$G$53="Taux Classe sélectionnée",Distrib_Global_Classe_Selectionnee*U$20,IF('01_Input'!$G$53="Frais KYC (paliers de 100M€)",MAX(0,Nb_Investisseurs-Nb_KYC_Gratuites_Par_Tranche*(FLOOR(U$20/Taille_Tranche_KYC,1)+1))*Cout_Par_KYC_Supplementaire,(IF('01_Input'!$L$53="Forfait",IF(U$20&gt;='01_Input'!$J$53,'01_Input'!$M$53,0),IF('01_Input'!$L$53="Palier",IF(AND(U$20&gt;='01_Input'!$J$53,U$20&lt;'01_Input'!$K$53),'01_Input'!$M$53,0),MAX(MIN(U$20,'01_Input'!$K$53)-'01_Input'!$J$53,0)*'01_Input'!$M$53))+IF('01_Input'!$P$53="Forfait",IF(U$20&gt;='01_Input'!$N$53,'01_Input'!$Q$53,0),IF('01_Input'!$P$53="Palier",IF(AND(U$20&gt;='01_Input'!$N$53,U$20&lt;'01_Input'!$O$53),'01_Input'!$Q$53,0),MAX(MIN(U$20,'01_Input'!$O$53)-'01_Input'!$N$53,0)*'01_Input'!$Q$53))+IF('01_Input'!$T$53="Forfait",IF(U$20&gt;='01_Input'!$R$53,'01_Input'!$U$53,0),IF('01_Input'!$T$53="Palier",IF(AND(U$20&gt;='01_Input'!$R$53,U$20&lt;'01_Input'!$S$53),'01_Input'!$U$53,0),MAX(MIN(U$20,'01_Input'!$S$53)-'01_Input'!$R$53,0)*'01_Input'!$U$53))+IF('01_Input'!$X$53="Forfait",IF(U$20&gt;='01_Input'!$V$53,'01_Input'!$Y$53,0),IF('01_Input'!$X$53="Palier",IF(AND(U$20&gt;='01_Input'!$V$53,U$20&lt;'01_Input'!$W$53),'01_Input'!$Y$53,0),MAX(MIN(U$20,'01_Input'!$W$53)-'01_Input'!$V$53,0)*'01_Input'!$Y$53))+IF('01_Input'!$AB$53="Forfait",IF(U$20&gt;='01_Input'!$Z$53,'01_Input'!$AC$53,0),IF('01_Input'!$AB$53="Palier",IF(AND(U$20&gt;='01_Input'!$Z$53,U$20&lt;'01_Input'!$AA$53),'01_Input'!$AC$53,0),MAX(MIN(U$20,'01_Input'!$AA$53)-'01_Input'!$Z$53,0)*'01_Input'!$AC$53)))))))))</f>
        <v>900290000</v>
      </c>
      <c r="V21" s="25">
        <f>IF('01_Input'!$C$53="Non",0,MIN('01_Input'!$I$53,MAX('01_Input'!$H$53,IF('01_Input'!$G$53="Résiduel vs Gestion",0,IF('01_Input'!$G$53="Taux Classe sélectionnée",Distrib_Global_Classe_Selectionnee*V$20,IF('01_Input'!$G$53="Frais KYC (paliers de 100M€)",MAX(0,Nb_Investisseurs-Nb_KYC_Gratuites_Par_Tranche*(FLOOR(V$20/Taille_Tranche_KYC,1)+1))*Cout_Par_KYC_Supplementaire,(IF('01_Input'!$L$53="Forfait",IF(V$20&gt;='01_Input'!$J$53,'01_Input'!$M$53,0),IF('01_Input'!$L$53="Palier",IF(AND(V$20&gt;='01_Input'!$J$53,V$20&lt;'01_Input'!$K$53),'01_Input'!$M$53,0),MAX(MIN(V$20,'01_Input'!$K$53)-'01_Input'!$J$53,0)*'01_Input'!$M$53))+IF('01_Input'!$P$53="Forfait",IF(V$20&gt;='01_Input'!$N$53,'01_Input'!$Q$53,0),IF('01_Input'!$P$53="Palier",IF(AND(V$20&gt;='01_Input'!$N$53,V$20&lt;'01_Input'!$O$53),'01_Input'!$Q$53,0),MAX(MIN(V$20,'01_Input'!$O$53)-'01_Input'!$N$53,0)*'01_Input'!$Q$53))+IF('01_Input'!$T$53="Forfait",IF(V$20&gt;='01_Input'!$R$53,'01_Input'!$U$53,0),IF('01_Input'!$T$53="Palier",IF(AND(V$20&gt;='01_Input'!$R$53,V$20&lt;'01_Input'!$S$53),'01_Input'!$U$53,0),MAX(MIN(V$20,'01_Input'!$S$53)-'01_Input'!$R$53,0)*'01_Input'!$U$53))+IF('01_Input'!$X$53="Forfait",IF(V$20&gt;='01_Input'!$V$53,'01_Input'!$Y$53,0),IF('01_Input'!$X$53="Palier",IF(AND(V$20&gt;='01_Input'!$V$53,V$20&lt;'01_Input'!$W$53),'01_Input'!$Y$53,0),MAX(MIN(V$20,'01_Input'!$W$53)-'01_Input'!$V$53,0)*'01_Input'!$Y$53))+IF('01_Input'!$AB$53="Forfait",IF(V$20&gt;='01_Input'!$Z$53,'01_Input'!$AC$53,0),IF('01_Input'!$AB$53="Palier",IF(AND(V$20&gt;='01_Input'!$Z$53,V$20&lt;'01_Input'!$AA$53),'01_Input'!$AC$53,0),MAX(MIN(V$20,'01_Input'!$AA$53)-'01_Input'!$Z$53,0)*'01_Input'!$AC$53)))))))))</f>
        <v>900290000</v>
      </c>
      <c r="W21" s="25">
        <f>IF('01_Input'!$C$53="Non",0,MIN('01_Input'!$I$53,MAX('01_Input'!$H$53,IF('01_Input'!$G$53="Résiduel vs Gestion",0,IF('01_Input'!$G$53="Taux Classe sélectionnée",Distrib_Global_Classe_Selectionnee*W$20,IF('01_Input'!$G$53="Frais KYC (paliers de 100M€)",MAX(0,Nb_Investisseurs-Nb_KYC_Gratuites_Par_Tranche*(FLOOR(W$20/Taille_Tranche_KYC,1)+1))*Cout_Par_KYC_Supplementaire,(IF('01_Input'!$L$53="Forfait",IF(W$20&gt;='01_Input'!$J$53,'01_Input'!$M$53,0),IF('01_Input'!$L$53="Palier",IF(AND(W$20&gt;='01_Input'!$J$53,W$20&lt;'01_Input'!$K$53),'01_Input'!$M$53,0),MAX(MIN(W$20,'01_Input'!$K$53)-'01_Input'!$J$53,0)*'01_Input'!$M$53))+IF('01_Input'!$P$53="Forfait",IF(W$20&gt;='01_Input'!$N$53,'01_Input'!$Q$53,0),IF('01_Input'!$P$53="Palier",IF(AND(W$20&gt;='01_Input'!$N$53,W$20&lt;'01_Input'!$O$53),'01_Input'!$Q$53,0),MAX(MIN(W$20,'01_Input'!$O$53)-'01_Input'!$N$53,0)*'01_Input'!$Q$53))+IF('01_Input'!$T$53="Forfait",IF(W$20&gt;='01_Input'!$R$53,'01_Input'!$U$53,0),IF('01_Input'!$T$53="Palier",IF(AND(W$20&gt;='01_Input'!$R$53,W$20&lt;'01_Input'!$S$53),'01_Input'!$U$53,0),MAX(MIN(W$20,'01_Input'!$S$53)-'01_Input'!$R$53,0)*'01_Input'!$U$53))+IF('01_Input'!$X$53="Forfait",IF(W$20&gt;='01_Input'!$V$53,'01_Input'!$Y$53,0),IF('01_Input'!$X$53="Palier",IF(AND(W$20&gt;='01_Input'!$V$53,W$20&lt;'01_Input'!$W$53),'01_Input'!$Y$53,0),MAX(MIN(W$20,'01_Input'!$W$53)-'01_Input'!$V$53,0)*'01_Input'!$Y$53))+IF('01_Input'!$AB$53="Forfait",IF(W$20&gt;='01_Input'!$Z$53,'01_Input'!$AC$53,0),IF('01_Input'!$AB$53="Palier",IF(AND(W$20&gt;='01_Input'!$Z$53,W$20&lt;'01_Input'!$AA$53),'01_Input'!$AC$53,0),MAX(MIN(W$20,'01_Input'!$AA$53)-'01_Input'!$Z$53,0)*'01_Input'!$AC$53)))))))))</f>
        <v>900290000</v>
      </c>
      <c r="X21" s="25">
        <f>IF('01_Input'!$C$53="Non",0,MIN('01_Input'!$I$53,MAX('01_Input'!$H$53,IF('01_Input'!$G$53="Résiduel vs Gestion",0,IF('01_Input'!$G$53="Taux Classe sélectionnée",Distrib_Global_Classe_Selectionnee*X$20,IF('01_Input'!$G$53="Frais KYC (paliers de 100M€)",MAX(0,Nb_Investisseurs-Nb_KYC_Gratuites_Par_Tranche*(FLOOR(X$20/Taille_Tranche_KYC,1)+1))*Cout_Par_KYC_Supplementaire,(IF('01_Input'!$L$53="Forfait",IF(X$20&gt;='01_Input'!$J$53,'01_Input'!$M$53,0),IF('01_Input'!$L$53="Palier",IF(AND(X$20&gt;='01_Input'!$J$53,X$20&lt;'01_Input'!$K$53),'01_Input'!$M$53,0),MAX(MIN(X$20,'01_Input'!$K$53)-'01_Input'!$J$53,0)*'01_Input'!$M$53))+IF('01_Input'!$P$53="Forfait",IF(X$20&gt;='01_Input'!$N$53,'01_Input'!$Q$53,0),IF('01_Input'!$P$53="Palier",IF(AND(X$20&gt;='01_Input'!$N$53,X$20&lt;'01_Input'!$O$53),'01_Input'!$Q$53,0),MAX(MIN(X$20,'01_Input'!$O$53)-'01_Input'!$N$53,0)*'01_Input'!$Q$53))+IF('01_Input'!$T$53="Forfait",IF(X$20&gt;='01_Input'!$R$53,'01_Input'!$U$53,0),IF('01_Input'!$T$53="Palier",IF(AND(X$20&gt;='01_Input'!$R$53,X$20&lt;'01_Input'!$S$53),'01_Input'!$U$53,0),MAX(MIN(X$20,'01_Input'!$S$53)-'01_Input'!$R$53,0)*'01_Input'!$U$53))+IF('01_Input'!$X$53="Forfait",IF(X$20&gt;='01_Input'!$V$53,'01_Input'!$Y$53,0),IF('01_Input'!$X$53="Palier",IF(AND(X$20&gt;='01_Input'!$V$53,X$20&lt;'01_Input'!$W$53),'01_Input'!$Y$53,0),MAX(MIN(X$20,'01_Input'!$W$53)-'01_Input'!$V$53,0)*'01_Input'!$Y$53))+IF('01_Input'!$AB$53="Forfait",IF(X$20&gt;='01_Input'!$Z$53,'01_Input'!$AC$53,0),IF('01_Input'!$AB$53="Palier",IF(AND(X$20&gt;='01_Input'!$Z$53,X$20&lt;'01_Input'!$AA$53),'01_Input'!$AC$53,0),MAX(MIN(X$20,'01_Input'!$AA$53)-'01_Input'!$Z$53,0)*'01_Input'!$AC$53)))))))))</f>
        <v>900290000</v>
      </c>
      <c r="Y21" s="25">
        <f>IF('01_Input'!$C$53="Non",0,MIN('01_Input'!$I$53,MAX('01_Input'!$H$53,IF('01_Input'!$G$53="Résiduel vs Gestion",0,IF('01_Input'!$G$53="Taux Classe sélectionnée",Distrib_Global_Classe_Selectionnee*Y$20,IF('01_Input'!$G$53="Frais KYC (paliers de 100M€)",MAX(0,Nb_Investisseurs-Nb_KYC_Gratuites_Par_Tranche*(FLOOR(Y$20/Taille_Tranche_KYC,1)+1))*Cout_Par_KYC_Supplementaire,(IF('01_Input'!$L$53="Forfait",IF(Y$20&gt;='01_Input'!$J$53,'01_Input'!$M$53,0),IF('01_Input'!$L$53="Palier",IF(AND(Y$20&gt;='01_Input'!$J$53,Y$20&lt;'01_Input'!$K$53),'01_Input'!$M$53,0),MAX(MIN(Y$20,'01_Input'!$K$53)-'01_Input'!$J$53,0)*'01_Input'!$M$53))+IF('01_Input'!$P$53="Forfait",IF(Y$20&gt;='01_Input'!$N$53,'01_Input'!$Q$53,0),IF('01_Input'!$P$53="Palier",IF(AND(Y$20&gt;='01_Input'!$N$53,Y$20&lt;'01_Input'!$O$53),'01_Input'!$Q$53,0),MAX(MIN(Y$20,'01_Input'!$O$53)-'01_Input'!$N$53,0)*'01_Input'!$Q$53))+IF('01_Input'!$T$53="Forfait",IF(Y$20&gt;='01_Input'!$R$53,'01_Input'!$U$53,0),IF('01_Input'!$T$53="Palier",IF(AND(Y$20&gt;='01_Input'!$R$53,Y$20&lt;'01_Input'!$S$53),'01_Input'!$U$53,0),MAX(MIN(Y$20,'01_Input'!$S$53)-'01_Input'!$R$53,0)*'01_Input'!$U$53))+IF('01_Input'!$X$53="Forfait",IF(Y$20&gt;='01_Input'!$V$53,'01_Input'!$Y$53,0),IF('01_Input'!$X$53="Palier",IF(AND(Y$20&gt;='01_Input'!$V$53,Y$20&lt;'01_Input'!$W$53),'01_Input'!$Y$53,0),MAX(MIN(Y$20,'01_Input'!$W$53)-'01_Input'!$V$53,0)*'01_Input'!$Y$53))+IF('01_Input'!$AB$53="Forfait",IF(Y$20&gt;='01_Input'!$Z$53,'01_Input'!$AC$53,0),IF('01_Input'!$AB$53="Palier",IF(AND(Y$20&gt;='01_Input'!$Z$53,Y$20&lt;'01_Input'!$AA$53),'01_Input'!$AC$53,0),MAX(MIN(Y$20,'01_Input'!$AA$53)-'01_Input'!$Z$53,0)*'01_Input'!$AC$53)))))))))</f>
        <v>900290000</v>
      </c>
      <c r="Z21" s="25">
        <f>IF('01_Input'!$C$53="Non",0,MIN('01_Input'!$I$53,MAX('01_Input'!$H$53,IF('01_Input'!$G$53="Résiduel vs Gestion",0,IF('01_Input'!$G$53="Taux Classe sélectionnée",Distrib_Global_Classe_Selectionnee*Z$20,IF('01_Input'!$G$53="Frais KYC (paliers de 100M€)",MAX(0,Nb_Investisseurs-Nb_KYC_Gratuites_Par_Tranche*(FLOOR(Z$20/Taille_Tranche_KYC,1)+1))*Cout_Par_KYC_Supplementaire,(IF('01_Input'!$L$53="Forfait",IF(Z$20&gt;='01_Input'!$J$53,'01_Input'!$M$53,0),IF('01_Input'!$L$53="Palier",IF(AND(Z$20&gt;='01_Input'!$J$53,Z$20&lt;'01_Input'!$K$53),'01_Input'!$M$53,0),MAX(MIN(Z$20,'01_Input'!$K$53)-'01_Input'!$J$53,0)*'01_Input'!$M$53))+IF('01_Input'!$P$53="Forfait",IF(Z$20&gt;='01_Input'!$N$53,'01_Input'!$Q$53,0),IF('01_Input'!$P$53="Palier",IF(AND(Z$20&gt;='01_Input'!$N$53,Z$20&lt;'01_Input'!$O$53),'01_Input'!$Q$53,0),MAX(MIN(Z$20,'01_Input'!$O$53)-'01_Input'!$N$53,0)*'01_Input'!$Q$53))+IF('01_Input'!$T$53="Forfait",IF(Z$20&gt;='01_Input'!$R$53,'01_Input'!$U$53,0),IF('01_Input'!$T$53="Palier",IF(AND(Z$20&gt;='01_Input'!$R$53,Z$20&lt;'01_Input'!$S$53),'01_Input'!$U$53,0),MAX(MIN(Z$20,'01_Input'!$S$53)-'01_Input'!$R$53,0)*'01_Input'!$U$53))+IF('01_Input'!$X$53="Forfait",IF(Z$20&gt;='01_Input'!$V$53,'01_Input'!$Y$53,0),IF('01_Input'!$X$53="Palier",IF(AND(Z$20&gt;='01_Input'!$V$53,Z$20&lt;'01_Input'!$W$53),'01_Input'!$Y$53,0),MAX(MIN(Z$20,'01_Input'!$W$53)-'01_Input'!$V$53,0)*'01_Input'!$Y$53))+IF('01_Input'!$AB$53="Forfait",IF(Z$20&gt;='01_Input'!$Z$53,'01_Input'!$AC$53,0),IF('01_Input'!$AB$53="Palier",IF(AND(Z$20&gt;='01_Input'!$Z$53,Z$20&lt;'01_Input'!$AA$53),'01_Input'!$AC$53,0),MAX(MIN(Z$20,'01_Input'!$AA$53)-'01_Input'!$Z$53,0)*'01_Input'!$AC$53)))))))))</f>
        <v>900290000</v>
      </c>
      <c r="AA21" s="25">
        <f>IF('01_Input'!$C$53="Non",0,MIN('01_Input'!$I$53,MAX('01_Input'!$H$53,IF('01_Input'!$G$53="Résiduel vs Gestion",0,IF('01_Input'!$G$53="Taux Classe sélectionnée",Distrib_Global_Classe_Selectionnee*AA$20,IF('01_Input'!$G$53="Frais KYC (paliers de 100M€)",MAX(0,Nb_Investisseurs-Nb_KYC_Gratuites_Par_Tranche*(FLOOR(AA$20/Taille_Tranche_KYC,1)+1))*Cout_Par_KYC_Supplementaire,(IF('01_Input'!$L$53="Forfait",IF(AA$20&gt;='01_Input'!$J$53,'01_Input'!$M$53,0),IF('01_Input'!$L$53="Palier",IF(AND(AA$20&gt;='01_Input'!$J$53,AA$20&lt;'01_Input'!$K$53),'01_Input'!$M$53,0),MAX(MIN(AA$20,'01_Input'!$K$53)-'01_Input'!$J$53,0)*'01_Input'!$M$53))+IF('01_Input'!$P$53="Forfait",IF(AA$20&gt;='01_Input'!$N$53,'01_Input'!$Q$53,0),IF('01_Input'!$P$53="Palier",IF(AND(AA$20&gt;='01_Input'!$N$53,AA$20&lt;'01_Input'!$O$53),'01_Input'!$Q$53,0),MAX(MIN(AA$20,'01_Input'!$O$53)-'01_Input'!$N$53,0)*'01_Input'!$Q$53))+IF('01_Input'!$T$53="Forfait",IF(AA$20&gt;='01_Input'!$R$53,'01_Input'!$U$53,0),IF('01_Input'!$T$53="Palier",IF(AND(AA$20&gt;='01_Input'!$R$53,AA$20&lt;'01_Input'!$S$53),'01_Input'!$U$53,0),MAX(MIN(AA$20,'01_Input'!$S$53)-'01_Input'!$R$53,0)*'01_Input'!$U$53))+IF('01_Input'!$X$53="Forfait",IF(AA$20&gt;='01_Input'!$V$53,'01_Input'!$Y$53,0),IF('01_Input'!$X$53="Palier",IF(AND(AA$20&gt;='01_Input'!$V$53,AA$20&lt;'01_Input'!$W$53),'01_Input'!$Y$53,0),MAX(MIN(AA$20,'01_Input'!$W$53)-'01_Input'!$V$53,0)*'01_Input'!$Y$53))+IF('01_Input'!$AB$53="Forfait",IF(AA$20&gt;='01_Input'!$Z$53,'01_Input'!$AC$53,0),IF('01_Input'!$AB$53="Palier",IF(AND(AA$20&gt;='01_Input'!$Z$53,AA$20&lt;'01_Input'!$AA$53),'01_Input'!$AC$53,0),MAX(MIN(AA$20,'01_Input'!$AA$53)-'01_Input'!$Z$53,0)*'01_Input'!$AC$53)))))))))</f>
        <v>900290000</v>
      </c>
      <c r="AB21" s="25">
        <f>IF('01_Input'!$C$53="Non",0,MIN('01_Input'!$I$53,MAX('01_Input'!$H$53,IF('01_Input'!$G$53="Résiduel vs Gestion",0,IF('01_Input'!$G$53="Taux Classe sélectionnée",Distrib_Global_Classe_Selectionnee*AB$20,IF('01_Input'!$G$53="Frais KYC (paliers de 100M€)",MAX(0,Nb_Investisseurs-Nb_KYC_Gratuites_Par_Tranche*(FLOOR(AB$20/Taille_Tranche_KYC,1)+1))*Cout_Par_KYC_Supplementaire,(IF('01_Input'!$L$53="Forfait",IF(AB$20&gt;='01_Input'!$J$53,'01_Input'!$M$53,0),IF('01_Input'!$L$53="Palier",IF(AND(AB$20&gt;='01_Input'!$J$53,AB$20&lt;'01_Input'!$K$53),'01_Input'!$M$53,0),MAX(MIN(AB$20,'01_Input'!$K$53)-'01_Input'!$J$53,0)*'01_Input'!$M$53))+IF('01_Input'!$P$53="Forfait",IF(AB$20&gt;='01_Input'!$N$53,'01_Input'!$Q$53,0),IF('01_Input'!$P$53="Palier",IF(AND(AB$20&gt;='01_Input'!$N$53,AB$20&lt;'01_Input'!$O$53),'01_Input'!$Q$53,0),MAX(MIN(AB$20,'01_Input'!$O$53)-'01_Input'!$N$53,0)*'01_Input'!$Q$53))+IF('01_Input'!$T$53="Forfait",IF(AB$20&gt;='01_Input'!$R$53,'01_Input'!$U$53,0),IF('01_Input'!$T$53="Palier",IF(AND(AB$20&gt;='01_Input'!$R$53,AB$20&lt;'01_Input'!$S$53),'01_Input'!$U$53,0),MAX(MIN(AB$20,'01_Input'!$S$53)-'01_Input'!$R$53,0)*'01_Input'!$U$53))+IF('01_Input'!$X$53="Forfait",IF(AB$20&gt;='01_Input'!$V$53,'01_Input'!$Y$53,0),IF('01_Input'!$X$53="Palier",IF(AND(AB$20&gt;='01_Input'!$V$53,AB$20&lt;'01_Input'!$W$53),'01_Input'!$Y$53,0),MAX(MIN(AB$20,'01_Input'!$W$53)-'01_Input'!$V$53,0)*'01_Input'!$Y$53))+IF('01_Input'!$AB$53="Forfait",IF(AB$20&gt;='01_Input'!$Z$53,'01_Input'!$AC$53,0),IF('01_Input'!$AB$53="Palier",IF(AND(AB$20&gt;='01_Input'!$Z$53,AB$20&lt;'01_Input'!$AA$53),'01_Input'!$AC$53,0),MAX(MIN(AB$20,'01_Input'!$AA$53)-'01_Input'!$Z$53,0)*'01_Input'!$AC$53)))))))))</f>
        <v>900290000</v>
      </c>
      <c r="AC21" s="25">
        <f>IF('01_Input'!$C$53="Non",0,MIN('01_Input'!$I$53,MAX('01_Input'!$H$53,IF('01_Input'!$G$53="Résiduel vs Gestion",0,IF('01_Input'!$G$53="Taux Classe sélectionnée",Distrib_Global_Classe_Selectionnee*AC$20,IF('01_Input'!$G$53="Frais KYC (paliers de 100M€)",MAX(0,Nb_Investisseurs-Nb_KYC_Gratuites_Par_Tranche*(FLOOR(AC$20/Taille_Tranche_KYC,1)+1))*Cout_Par_KYC_Supplementaire,(IF('01_Input'!$L$53="Forfait",IF(AC$20&gt;='01_Input'!$J$53,'01_Input'!$M$53,0),IF('01_Input'!$L$53="Palier",IF(AND(AC$20&gt;='01_Input'!$J$53,AC$20&lt;'01_Input'!$K$53),'01_Input'!$M$53,0),MAX(MIN(AC$20,'01_Input'!$K$53)-'01_Input'!$J$53,0)*'01_Input'!$M$53))+IF('01_Input'!$P$53="Forfait",IF(AC$20&gt;='01_Input'!$N$53,'01_Input'!$Q$53,0),IF('01_Input'!$P$53="Palier",IF(AND(AC$20&gt;='01_Input'!$N$53,AC$20&lt;'01_Input'!$O$53),'01_Input'!$Q$53,0),MAX(MIN(AC$20,'01_Input'!$O$53)-'01_Input'!$N$53,0)*'01_Input'!$Q$53))+IF('01_Input'!$T$53="Forfait",IF(AC$20&gt;='01_Input'!$R$53,'01_Input'!$U$53,0),IF('01_Input'!$T$53="Palier",IF(AND(AC$20&gt;='01_Input'!$R$53,AC$20&lt;'01_Input'!$S$53),'01_Input'!$U$53,0),MAX(MIN(AC$20,'01_Input'!$S$53)-'01_Input'!$R$53,0)*'01_Input'!$U$53))+IF('01_Input'!$X$53="Forfait",IF(AC$20&gt;='01_Input'!$V$53,'01_Input'!$Y$53,0),IF('01_Input'!$X$53="Palier",IF(AND(AC$20&gt;='01_Input'!$V$53,AC$20&lt;'01_Input'!$W$53),'01_Input'!$Y$53,0),MAX(MIN(AC$20,'01_Input'!$W$53)-'01_Input'!$V$53,0)*'01_Input'!$Y$53))+IF('01_Input'!$AB$53="Forfait",IF(AC$20&gt;='01_Input'!$Z$53,'01_Input'!$AC$53,0),IF('01_Input'!$AB$53="Palier",IF(AND(AC$20&gt;='01_Input'!$Z$53,AC$20&lt;'01_Input'!$AA$53),'01_Input'!$AC$53,0),MAX(MIN(AC$20,'01_Input'!$AA$53)-'01_Input'!$Z$53,0)*'01_Input'!$AC$53)))))))))</f>
        <v>900290000</v>
      </c>
      <c r="AD21" s="25">
        <f>IF('01_Input'!$C$53="Non",0,MIN('01_Input'!$I$53,MAX('01_Input'!$H$53,IF('01_Input'!$G$53="Résiduel vs Gestion",0,IF('01_Input'!$G$53="Taux Classe sélectionnée",Distrib_Global_Classe_Selectionnee*AD$20,IF('01_Input'!$G$53="Frais KYC (paliers de 100M€)",MAX(0,Nb_Investisseurs-Nb_KYC_Gratuites_Par_Tranche*(FLOOR(AD$20/Taille_Tranche_KYC,1)+1))*Cout_Par_KYC_Supplementaire,(IF('01_Input'!$L$53="Forfait",IF(AD$20&gt;='01_Input'!$J$53,'01_Input'!$M$53,0),IF('01_Input'!$L$53="Palier",IF(AND(AD$20&gt;='01_Input'!$J$53,AD$20&lt;'01_Input'!$K$53),'01_Input'!$M$53,0),MAX(MIN(AD$20,'01_Input'!$K$53)-'01_Input'!$J$53,0)*'01_Input'!$M$53))+IF('01_Input'!$P$53="Forfait",IF(AD$20&gt;='01_Input'!$N$53,'01_Input'!$Q$53,0),IF('01_Input'!$P$53="Palier",IF(AND(AD$20&gt;='01_Input'!$N$53,AD$20&lt;'01_Input'!$O$53),'01_Input'!$Q$53,0),MAX(MIN(AD$20,'01_Input'!$O$53)-'01_Input'!$N$53,0)*'01_Input'!$Q$53))+IF('01_Input'!$T$53="Forfait",IF(AD$20&gt;='01_Input'!$R$53,'01_Input'!$U$53,0),IF('01_Input'!$T$53="Palier",IF(AND(AD$20&gt;='01_Input'!$R$53,AD$20&lt;'01_Input'!$S$53),'01_Input'!$U$53,0),MAX(MIN(AD$20,'01_Input'!$S$53)-'01_Input'!$R$53,0)*'01_Input'!$U$53))+IF('01_Input'!$X$53="Forfait",IF(AD$20&gt;='01_Input'!$V$53,'01_Input'!$Y$53,0),IF('01_Input'!$X$53="Palier",IF(AND(AD$20&gt;='01_Input'!$V$53,AD$20&lt;'01_Input'!$W$53),'01_Input'!$Y$53,0),MAX(MIN(AD$20,'01_Input'!$W$53)-'01_Input'!$V$53,0)*'01_Input'!$Y$53))+IF('01_Input'!$AB$53="Forfait",IF(AD$20&gt;='01_Input'!$Z$53,'01_Input'!$AC$53,0),IF('01_Input'!$AB$53="Palier",IF(AND(AD$20&gt;='01_Input'!$Z$53,AD$20&lt;'01_Input'!$AA$53),'01_Input'!$AC$53,0),MAX(MIN(AD$20,'01_Input'!$AA$53)-'01_Input'!$Z$53,0)*'01_Input'!$AC$53)))))))))</f>
        <v>900290000</v>
      </c>
      <c r="AE21" s="25">
        <f>IF('01_Input'!$C$53="Non",0,MIN('01_Input'!$I$53,MAX('01_Input'!$H$53,IF('01_Input'!$G$53="Résiduel vs Gestion",0,IF('01_Input'!$G$53="Taux Classe sélectionnée",Distrib_Global_Classe_Selectionnee*AE$20,IF('01_Input'!$G$53="Frais KYC (paliers de 100M€)",MAX(0,Nb_Investisseurs-Nb_KYC_Gratuites_Par_Tranche*(FLOOR(AE$20/Taille_Tranche_KYC,1)+1))*Cout_Par_KYC_Supplementaire,(IF('01_Input'!$L$53="Forfait",IF(AE$20&gt;='01_Input'!$J$53,'01_Input'!$M$53,0),IF('01_Input'!$L$53="Palier",IF(AND(AE$20&gt;='01_Input'!$J$53,AE$20&lt;'01_Input'!$K$53),'01_Input'!$M$53,0),MAX(MIN(AE$20,'01_Input'!$K$53)-'01_Input'!$J$53,0)*'01_Input'!$M$53))+IF('01_Input'!$P$53="Forfait",IF(AE$20&gt;='01_Input'!$N$53,'01_Input'!$Q$53,0),IF('01_Input'!$P$53="Palier",IF(AND(AE$20&gt;='01_Input'!$N$53,AE$20&lt;'01_Input'!$O$53),'01_Input'!$Q$53,0),MAX(MIN(AE$20,'01_Input'!$O$53)-'01_Input'!$N$53,0)*'01_Input'!$Q$53))+IF('01_Input'!$T$53="Forfait",IF(AE$20&gt;='01_Input'!$R$53,'01_Input'!$U$53,0),IF('01_Input'!$T$53="Palier",IF(AND(AE$20&gt;='01_Input'!$R$53,AE$20&lt;'01_Input'!$S$53),'01_Input'!$U$53,0),MAX(MIN(AE$20,'01_Input'!$S$53)-'01_Input'!$R$53,0)*'01_Input'!$U$53))+IF('01_Input'!$X$53="Forfait",IF(AE$20&gt;='01_Input'!$V$53,'01_Input'!$Y$53,0),IF('01_Input'!$X$53="Palier",IF(AND(AE$20&gt;='01_Input'!$V$53,AE$20&lt;'01_Input'!$W$53),'01_Input'!$Y$53,0),MAX(MIN(AE$20,'01_Input'!$W$53)-'01_Input'!$V$53,0)*'01_Input'!$Y$53))+IF('01_Input'!$AB$53="Forfait",IF(AE$20&gt;='01_Input'!$Z$53,'01_Input'!$AC$53,0),IF('01_Input'!$AB$53="Palier",IF(AND(AE$20&gt;='01_Input'!$Z$53,AE$20&lt;'01_Input'!$AA$53),'01_Input'!$AC$53,0),MAX(MIN(AE$20,'01_Input'!$AA$53)-'01_Input'!$Z$53,0)*'01_Input'!$AC$53)))))))))</f>
        <v>900290000</v>
      </c>
      <c r="AF21" s="25">
        <f>IF('01_Input'!$C$53="Non",0,MIN('01_Input'!$I$53,MAX('01_Input'!$H$53,IF('01_Input'!$G$53="Résiduel vs Gestion",0,IF('01_Input'!$G$53="Taux Classe sélectionnée",Distrib_Global_Classe_Selectionnee*AF$20,IF('01_Input'!$G$53="Frais KYC (paliers de 100M€)",MAX(0,Nb_Investisseurs-Nb_KYC_Gratuites_Par_Tranche*(FLOOR(AF$20/Taille_Tranche_KYC,1)+1))*Cout_Par_KYC_Supplementaire,(IF('01_Input'!$L$53="Forfait",IF(AF$20&gt;='01_Input'!$J$53,'01_Input'!$M$53,0),IF('01_Input'!$L$53="Palier",IF(AND(AF$20&gt;='01_Input'!$J$53,AF$20&lt;'01_Input'!$K$53),'01_Input'!$M$53,0),MAX(MIN(AF$20,'01_Input'!$K$53)-'01_Input'!$J$53,0)*'01_Input'!$M$53))+IF('01_Input'!$P$53="Forfait",IF(AF$20&gt;='01_Input'!$N$53,'01_Input'!$Q$53,0),IF('01_Input'!$P$53="Palier",IF(AND(AF$20&gt;='01_Input'!$N$53,AF$20&lt;'01_Input'!$O$53),'01_Input'!$Q$53,0),MAX(MIN(AF$20,'01_Input'!$O$53)-'01_Input'!$N$53,0)*'01_Input'!$Q$53))+IF('01_Input'!$T$53="Forfait",IF(AF$20&gt;='01_Input'!$R$53,'01_Input'!$U$53,0),IF('01_Input'!$T$53="Palier",IF(AND(AF$20&gt;='01_Input'!$R$53,AF$20&lt;'01_Input'!$S$53),'01_Input'!$U$53,0),MAX(MIN(AF$20,'01_Input'!$S$53)-'01_Input'!$R$53,0)*'01_Input'!$U$53))+IF('01_Input'!$X$53="Forfait",IF(AF$20&gt;='01_Input'!$V$53,'01_Input'!$Y$53,0),IF('01_Input'!$X$53="Palier",IF(AND(AF$20&gt;='01_Input'!$V$53,AF$20&lt;'01_Input'!$W$53),'01_Input'!$Y$53,0),MAX(MIN(AF$20,'01_Input'!$W$53)-'01_Input'!$V$53,0)*'01_Input'!$Y$53))+IF('01_Input'!$AB$53="Forfait",IF(AF$20&gt;='01_Input'!$Z$53,'01_Input'!$AC$53,0),IF('01_Input'!$AB$53="Palier",IF(AND(AF$20&gt;='01_Input'!$Z$53,AF$20&lt;'01_Input'!$AA$53),'01_Input'!$AC$53,0),MAX(MIN(AF$20,'01_Input'!$AA$53)-'01_Input'!$Z$53,0)*'01_Input'!$AC$53)))))))))</f>
        <v>900290000</v>
      </c>
      <c r="AG21" s="25">
        <f>IF('01_Input'!$C$53="Non",0,MIN('01_Input'!$I$53,MAX('01_Input'!$H$53,IF('01_Input'!$G$53="Résiduel vs Gestion",0,IF('01_Input'!$G$53="Taux Classe sélectionnée",Distrib_Global_Classe_Selectionnee*AG$20,IF('01_Input'!$G$53="Frais KYC (paliers de 100M€)",MAX(0,Nb_Investisseurs-Nb_KYC_Gratuites_Par_Tranche*(FLOOR(AG$20/Taille_Tranche_KYC,1)+1))*Cout_Par_KYC_Supplementaire,(IF('01_Input'!$L$53="Forfait",IF(AG$20&gt;='01_Input'!$J$53,'01_Input'!$M$53,0),IF('01_Input'!$L$53="Palier",IF(AND(AG$20&gt;='01_Input'!$J$53,AG$20&lt;'01_Input'!$K$53),'01_Input'!$M$53,0),MAX(MIN(AG$20,'01_Input'!$K$53)-'01_Input'!$J$53,0)*'01_Input'!$M$53))+IF('01_Input'!$P$53="Forfait",IF(AG$20&gt;='01_Input'!$N$53,'01_Input'!$Q$53,0),IF('01_Input'!$P$53="Palier",IF(AND(AG$20&gt;='01_Input'!$N$53,AG$20&lt;'01_Input'!$O$53),'01_Input'!$Q$53,0),MAX(MIN(AG$20,'01_Input'!$O$53)-'01_Input'!$N$53,0)*'01_Input'!$Q$53))+IF('01_Input'!$T$53="Forfait",IF(AG$20&gt;='01_Input'!$R$53,'01_Input'!$U$53,0),IF('01_Input'!$T$53="Palier",IF(AND(AG$20&gt;='01_Input'!$R$53,AG$20&lt;'01_Input'!$S$53),'01_Input'!$U$53,0),MAX(MIN(AG$20,'01_Input'!$S$53)-'01_Input'!$R$53,0)*'01_Input'!$U$53))+IF('01_Input'!$X$53="Forfait",IF(AG$20&gt;='01_Input'!$V$53,'01_Input'!$Y$53,0),IF('01_Input'!$X$53="Palier",IF(AND(AG$20&gt;='01_Input'!$V$53,AG$20&lt;'01_Input'!$W$53),'01_Input'!$Y$53,0),MAX(MIN(AG$20,'01_Input'!$W$53)-'01_Input'!$V$53,0)*'01_Input'!$Y$53))+IF('01_Input'!$AB$53="Forfait",IF(AG$20&gt;='01_Input'!$Z$53,'01_Input'!$AC$53,0),IF('01_Input'!$AB$53="Palier",IF(AND(AG$20&gt;='01_Input'!$Z$53,AG$20&lt;'01_Input'!$AA$53),'01_Input'!$AC$53,0),MAX(MIN(AG$20,'01_Input'!$AA$53)-'01_Input'!$Z$53,0)*'01_Input'!$AC$53)))))))))</f>
        <v>900290000</v>
      </c>
      <c r="AH21" s="25">
        <f>IF('01_Input'!$C$53="Non",0,MIN('01_Input'!$I$53,MAX('01_Input'!$H$53,IF('01_Input'!$G$53="Résiduel vs Gestion",0,IF('01_Input'!$G$53="Taux Classe sélectionnée",Distrib_Global_Classe_Selectionnee*AH$20,IF('01_Input'!$G$53="Frais KYC (paliers de 100M€)",MAX(0,Nb_Investisseurs-Nb_KYC_Gratuites_Par_Tranche*(FLOOR(AH$20/Taille_Tranche_KYC,1)+1))*Cout_Par_KYC_Supplementaire,(IF('01_Input'!$L$53="Forfait",IF(AH$20&gt;='01_Input'!$J$53,'01_Input'!$M$53,0),IF('01_Input'!$L$53="Palier",IF(AND(AH$20&gt;='01_Input'!$J$53,AH$20&lt;'01_Input'!$K$53),'01_Input'!$M$53,0),MAX(MIN(AH$20,'01_Input'!$K$53)-'01_Input'!$J$53,0)*'01_Input'!$M$53))+IF('01_Input'!$P$53="Forfait",IF(AH$20&gt;='01_Input'!$N$53,'01_Input'!$Q$53,0),IF('01_Input'!$P$53="Palier",IF(AND(AH$20&gt;='01_Input'!$N$53,AH$20&lt;'01_Input'!$O$53),'01_Input'!$Q$53,0),MAX(MIN(AH$20,'01_Input'!$O$53)-'01_Input'!$N$53,0)*'01_Input'!$Q$53))+IF('01_Input'!$T$53="Forfait",IF(AH$20&gt;='01_Input'!$R$53,'01_Input'!$U$53,0),IF('01_Input'!$T$53="Palier",IF(AND(AH$20&gt;='01_Input'!$R$53,AH$20&lt;'01_Input'!$S$53),'01_Input'!$U$53,0),MAX(MIN(AH$20,'01_Input'!$S$53)-'01_Input'!$R$53,0)*'01_Input'!$U$53))+IF('01_Input'!$X$53="Forfait",IF(AH$20&gt;='01_Input'!$V$53,'01_Input'!$Y$53,0),IF('01_Input'!$X$53="Palier",IF(AND(AH$20&gt;='01_Input'!$V$53,AH$20&lt;'01_Input'!$W$53),'01_Input'!$Y$53,0),MAX(MIN(AH$20,'01_Input'!$W$53)-'01_Input'!$V$53,0)*'01_Input'!$Y$53))+IF('01_Input'!$AB$53="Forfait",IF(AH$20&gt;='01_Input'!$Z$53,'01_Input'!$AC$53,0),IF('01_Input'!$AB$53="Palier",IF(AND(AH$20&gt;='01_Input'!$Z$53,AH$20&lt;'01_Input'!$AA$53),'01_Input'!$AC$53,0),MAX(MIN(AH$20,'01_Input'!$AA$53)-'01_Input'!$Z$53,0)*'01_Input'!$AC$53)))))))))</f>
        <v>900290000</v>
      </c>
      <c r="AI21" s="25">
        <f>IF('01_Input'!$C$53="Non",0,MIN('01_Input'!$I$53,MAX('01_Input'!$H$53,IF('01_Input'!$G$53="Résiduel vs Gestion",0,IF('01_Input'!$G$53="Taux Classe sélectionnée",Distrib_Global_Classe_Selectionnee*AI$20,IF('01_Input'!$G$53="Frais KYC (paliers de 100M€)",MAX(0,Nb_Investisseurs-Nb_KYC_Gratuites_Par_Tranche*(FLOOR(AI$20/Taille_Tranche_KYC,1)+1))*Cout_Par_KYC_Supplementaire,(IF('01_Input'!$L$53="Forfait",IF(AI$20&gt;='01_Input'!$J$53,'01_Input'!$M$53,0),IF('01_Input'!$L$53="Palier",IF(AND(AI$20&gt;='01_Input'!$J$53,AI$20&lt;'01_Input'!$K$53),'01_Input'!$M$53,0),MAX(MIN(AI$20,'01_Input'!$K$53)-'01_Input'!$J$53,0)*'01_Input'!$M$53))+IF('01_Input'!$P$53="Forfait",IF(AI$20&gt;='01_Input'!$N$53,'01_Input'!$Q$53,0),IF('01_Input'!$P$53="Palier",IF(AND(AI$20&gt;='01_Input'!$N$53,AI$20&lt;'01_Input'!$O$53),'01_Input'!$Q$53,0),MAX(MIN(AI$20,'01_Input'!$O$53)-'01_Input'!$N$53,0)*'01_Input'!$Q$53))+IF('01_Input'!$T$53="Forfait",IF(AI$20&gt;='01_Input'!$R$53,'01_Input'!$U$53,0),IF('01_Input'!$T$53="Palier",IF(AND(AI$20&gt;='01_Input'!$R$53,AI$20&lt;'01_Input'!$S$53),'01_Input'!$U$53,0),MAX(MIN(AI$20,'01_Input'!$S$53)-'01_Input'!$R$53,0)*'01_Input'!$U$53))+IF('01_Input'!$X$53="Forfait",IF(AI$20&gt;='01_Input'!$V$53,'01_Input'!$Y$53,0),IF('01_Input'!$X$53="Palier",IF(AND(AI$20&gt;='01_Input'!$V$53,AI$20&lt;'01_Input'!$W$53),'01_Input'!$Y$53,0),MAX(MIN(AI$20,'01_Input'!$W$53)-'01_Input'!$V$53,0)*'01_Input'!$Y$53))+IF('01_Input'!$AB$53="Forfait",IF(AI$20&gt;='01_Input'!$Z$53,'01_Input'!$AC$53,0),IF('01_Input'!$AB$53="Palier",IF(AND(AI$20&gt;='01_Input'!$Z$53,AI$20&lt;'01_Input'!$AA$53),'01_Input'!$AC$53,0),MAX(MIN(AI$20,'01_Input'!$AA$53)-'01_Input'!$Z$53,0)*'01_Input'!$AC$53)))))))))</f>
        <v>900290000</v>
      </c>
      <c r="AJ21" s="25">
        <f>IF('01_Input'!$C$53="Non",0,MIN('01_Input'!$I$53,MAX('01_Input'!$H$53,IF('01_Input'!$G$53="Résiduel vs Gestion",0,IF('01_Input'!$G$53="Taux Classe sélectionnée",Distrib_Global_Classe_Selectionnee*AJ$20,IF('01_Input'!$G$53="Frais KYC (paliers de 100M€)",MAX(0,Nb_Investisseurs-Nb_KYC_Gratuites_Par_Tranche*(FLOOR(AJ$20/Taille_Tranche_KYC,1)+1))*Cout_Par_KYC_Supplementaire,(IF('01_Input'!$L$53="Forfait",IF(AJ$20&gt;='01_Input'!$J$53,'01_Input'!$M$53,0),IF('01_Input'!$L$53="Palier",IF(AND(AJ$20&gt;='01_Input'!$J$53,AJ$20&lt;'01_Input'!$K$53),'01_Input'!$M$53,0),MAX(MIN(AJ$20,'01_Input'!$K$53)-'01_Input'!$J$53,0)*'01_Input'!$M$53))+IF('01_Input'!$P$53="Forfait",IF(AJ$20&gt;='01_Input'!$N$53,'01_Input'!$Q$53,0),IF('01_Input'!$P$53="Palier",IF(AND(AJ$20&gt;='01_Input'!$N$53,AJ$20&lt;'01_Input'!$O$53),'01_Input'!$Q$53,0),MAX(MIN(AJ$20,'01_Input'!$O$53)-'01_Input'!$N$53,0)*'01_Input'!$Q$53))+IF('01_Input'!$T$53="Forfait",IF(AJ$20&gt;='01_Input'!$R$53,'01_Input'!$U$53,0),IF('01_Input'!$T$53="Palier",IF(AND(AJ$20&gt;='01_Input'!$R$53,AJ$20&lt;'01_Input'!$S$53),'01_Input'!$U$53,0),MAX(MIN(AJ$20,'01_Input'!$S$53)-'01_Input'!$R$53,0)*'01_Input'!$U$53))+IF('01_Input'!$X$53="Forfait",IF(AJ$20&gt;='01_Input'!$V$53,'01_Input'!$Y$53,0),IF('01_Input'!$X$53="Palier",IF(AND(AJ$20&gt;='01_Input'!$V$53,AJ$20&lt;'01_Input'!$W$53),'01_Input'!$Y$53,0),MAX(MIN(AJ$20,'01_Input'!$W$53)-'01_Input'!$V$53,0)*'01_Input'!$Y$53))+IF('01_Input'!$AB$53="Forfait",IF(AJ$20&gt;='01_Input'!$Z$53,'01_Input'!$AC$53,0),IF('01_Input'!$AB$53="Palier",IF(AND(AJ$20&gt;='01_Input'!$Z$53,AJ$20&lt;'01_Input'!$AA$53),'01_Input'!$AC$53,0),MAX(MIN(AJ$20,'01_Input'!$AA$53)-'01_Input'!$Z$53,0)*'01_Input'!$AC$53)))))))))</f>
        <v>900290000</v>
      </c>
      <c r="AK21" s="25">
        <f>IF('01_Input'!$C$53="Non",0,MIN('01_Input'!$I$53,MAX('01_Input'!$H$53,IF('01_Input'!$G$53="Résiduel vs Gestion",0,IF('01_Input'!$G$53="Taux Classe sélectionnée",Distrib_Global_Classe_Selectionnee*AK$20,IF('01_Input'!$G$53="Frais KYC (paliers de 100M€)",MAX(0,Nb_Investisseurs-Nb_KYC_Gratuites_Par_Tranche*(FLOOR(AK$20/Taille_Tranche_KYC,1)+1))*Cout_Par_KYC_Supplementaire,(IF('01_Input'!$L$53="Forfait",IF(AK$20&gt;='01_Input'!$J$53,'01_Input'!$M$53,0),IF('01_Input'!$L$53="Palier",IF(AND(AK$20&gt;='01_Input'!$J$53,AK$20&lt;'01_Input'!$K$53),'01_Input'!$M$53,0),MAX(MIN(AK$20,'01_Input'!$K$53)-'01_Input'!$J$53,0)*'01_Input'!$M$53))+IF('01_Input'!$P$53="Forfait",IF(AK$20&gt;='01_Input'!$N$53,'01_Input'!$Q$53,0),IF('01_Input'!$P$53="Palier",IF(AND(AK$20&gt;='01_Input'!$N$53,AK$20&lt;'01_Input'!$O$53),'01_Input'!$Q$53,0),MAX(MIN(AK$20,'01_Input'!$O$53)-'01_Input'!$N$53,0)*'01_Input'!$Q$53))+IF('01_Input'!$T$53="Forfait",IF(AK$20&gt;='01_Input'!$R$53,'01_Input'!$U$53,0),IF('01_Input'!$T$53="Palier",IF(AND(AK$20&gt;='01_Input'!$R$53,AK$20&lt;'01_Input'!$S$53),'01_Input'!$U$53,0),MAX(MIN(AK$20,'01_Input'!$S$53)-'01_Input'!$R$53,0)*'01_Input'!$U$53))+IF('01_Input'!$X$53="Forfait",IF(AK$20&gt;='01_Input'!$V$53,'01_Input'!$Y$53,0),IF('01_Input'!$X$53="Palier",IF(AND(AK$20&gt;='01_Input'!$V$53,AK$20&lt;'01_Input'!$W$53),'01_Input'!$Y$53,0),MAX(MIN(AK$20,'01_Input'!$W$53)-'01_Input'!$V$53,0)*'01_Input'!$Y$53))+IF('01_Input'!$AB$53="Forfait",IF(AK$20&gt;='01_Input'!$Z$53,'01_Input'!$AC$53,0),IF('01_Input'!$AB$53="Palier",IF(AND(AK$20&gt;='01_Input'!$Z$53,AK$20&lt;'01_Input'!$AA$53),'01_Input'!$AC$53,0),MAX(MIN(AK$20,'01_Input'!$AA$53)-'01_Input'!$Z$53,0)*'01_Input'!$AC$53)))))))))</f>
        <v>900290000</v>
      </c>
      <c r="AL21" s="25">
        <f>IF('01_Input'!$C$53="Non",0,MIN('01_Input'!$I$53,MAX('01_Input'!$H$53,IF('01_Input'!$G$53="Résiduel vs Gestion",0,IF('01_Input'!$G$53="Taux Classe sélectionnée",Distrib_Global_Classe_Selectionnee*AL$20,IF('01_Input'!$G$53="Frais KYC (paliers de 100M€)",MAX(0,Nb_Investisseurs-Nb_KYC_Gratuites_Par_Tranche*(FLOOR(AL$20/Taille_Tranche_KYC,1)+1))*Cout_Par_KYC_Supplementaire,(IF('01_Input'!$L$53="Forfait",IF(AL$20&gt;='01_Input'!$J$53,'01_Input'!$M$53,0),IF('01_Input'!$L$53="Palier",IF(AND(AL$20&gt;='01_Input'!$J$53,AL$20&lt;'01_Input'!$K$53),'01_Input'!$M$53,0),MAX(MIN(AL$20,'01_Input'!$K$53)-'01_Input'!$J$53,0)*'01_Input'!$M$53))+IF('01_Input'!$P$53="Forfait",IF(AL$20&gt;='01_Input'!$N$53,'01_Input'!$Q$53,0),IF('01_Input'!$P$53="Palier",IF(AND(AL$20&gt;='01_Input'!$N$53,AL$20&lt;'01_Input'!$O$53),'01_Input'!$Q$53,0),MAX(MIN(AL$20,'01_Input'!$O$53)-'01_Input'!$N$53,0)*'01_Input'!$Q$53))+IF('01_Input'!$T$53="Forfait",IF(AL$20&gt;='01_Input'!$R$53,'01_Input'!$U$53,0),IF('01_Input'!$T$53="Palier",IF(AND(AL$20&gt;='01_Input'!$R$53,AL$20&lt;'01_Input'!$S$53),'01_Input'!$U$53,0),MAX(MIN(AL$20,'01_Input'!$S$53)-'01_Input'!$R$53,0)*'01_Input'!$U$53))+IF('01_Input'!$X$53="Forfait",IF(AL$20&gt;='01_Input'!$V$53,'01_Input'!$Y$53,0),IF('01_Input'!$X$53="Palier",IF(AND(AL$20&gt;='01_Input'!$V$53,AL$20&lt;'01_Input'!$W$53),'01_Input'!$Y$53,0),MAX(MIN(AL$20,'01_Input'!$W$53)-'01_Input'!$V$53,0)*'01_Input'!$Y$53))+IF('01_Input'!$AB$53="Forfait",IF(AL$20&gt;='01_Input'!$Z$53,'01_Input'!$AC$53,0),IF('01_Input'!$AB$53="Palier",IF(AND(AL$20&gt;='01_Input'!$Z$53,AL$20&lt;'01_Input'!$AA$53),'01_Input'!$AC$53,0),MAX(MIN(AL$20,'01_Input'!$AA$53)-'01_Input'!$Z$53,0)*'01_Input'!$AC$53)))))))))</f>
        <v>900290000</v>
      </c>
      <c r="AM21" s="25">
        <f>IF('01_Input'!$C$53="Non",0,MIN('01_Input'!$I$53,MAX('01_Input'!$H$53,IF('01_Input'!$G$53="Résiduel vs Gestion",0,IF('01_Input'!$G$53="Taux Classe sélectionnée",Distrib_Global_Classe_Selectionnee*AM$20,IF('01_Input'!$G$53="Frais KYC (paliers de 100M€)",MAX(0,Nb_Investisseurs-Nb_KYC_Gratuites_Par_Tranche*(FLOOR(AM$20/Taille_Tranche_KYC,1)+1))*Cout_Par_KYC_Supplementaire,(IF('01_Input'!$L$53="Forfait",IF(AM$20&gt;='01_Input'!$J$53,'01_Input'!$M$53,0),IF('01_Input'!$L$53="Palier",IF(AND(AM$20&gt;='01_Input'!$J$53,AM$20&lt;'01_Input'!$K$53),'01_Input'!$M$53,0),MAX(MIN(AM$20,'01_Input'!$K$53)-'01_Input'!$J$53,0)*'01_Input'!$M$53))+IF('01_Input'!$P$53="Forfait",IF(AM$20&gt;='01_Input'!$N$53,'01_Input'!$Q$53,0),IF('01_Input'!$P$53="Palier",IF(AND(AM$20&gt;='01_Input'!$N$53,AM$20&lt;'01_Input'!$O$53),'01_Input'!$Q$53,0),MAX(MIN(AM$20,'01_Input'!$O$53)-'01_Input'!$N$53,0)*'01_Input'!$Q$53))+IF('01_Input'!$T$53="Forfait",IF(AM$20&gt;='01_Input'!$R$53,'01_Input'!$U$53,0),IF('01_Input'!$T$53="Palier",IF(AND(AM$20&gt;='01_Input'!$R$53,AM$20&lt;'01_Input'!$S$53),'01_Input'!$U$53,0),MAX(MIN(AM$20,'01_Input'!$S$53)-'01_Input'!$R$53,0)*'01_Input'!$U$53))+IF('01_Input'!$X$53="Forfait",IF(AM$20&gt;='01_Input'!$V$53,'01_Input'!$Y$53,0),IF('01_Input'!$X$53="Palier",IF(AND(AM$20&gt;='01_Input'!$V$53,AM$20&lt;'01_Input'!$W$53),'01_Input'!$Y$53,0),MAX(MIN(AM$20,'01_Input'!$W$53)-'01_Input'!$V$53,0)*'01_Input'!$Y$53))+IF('01_Input'!$AB$53="Forfait",IF(AM$20&gt;='01_Input'!$Z$53,'01_Input'!$AC$53,0),IF('01_Input'!$AB$53="Palier",IF(AND(AM$20&gt;='01_Input'!$Z$53,AM$20&lt;'01_Input'!$AA$53),'01_Input'!$AC$53,0),MAX(MIN(AM$20,'01_Input'!$AA$53)-'01_Input'!$Z$53,0)*'01_Input'!$AC$53)))))))))</f>
        <v>900290000</v>
      </c>
      <c r="AN21" s="25">
        <f>IF('01_Input'!$C$53="Non",0,MIN('01_Input'!$I$53,MAX('01_Input'!$H$53,IF('01_Input'!$G$53="Résiduel vs Gestion",0,IF('01_Input'!$G$53="Taux Classe sélectionnée",Distrib_Global_Classe_Selectionnee*AN$20,IF('01_Input'!$G$53="Frais KYC (paliers de 100M€)",MAX(0,Nb_Investisseurs-Nb_KYC_Gratuites_Par_Tranche*(FLOOR(AN$20/Taille_Tranche_KYC,1)+1))*Cout_Par_KYC_Supplementaire,(IF('01_Input'!$L$53="Forfait",IF(AN$20&gt;='01_Input'!$J$53,'01_Input'!$M$53,0),IF('01_Input'!$L$53="Palier",IF(AND(AN$20&gt;='01_Input'!$J$53,AN$20&lt;'01_Input'!$K$53),'01_Input'!$M$53,0),MAX(MIN(AN$20,'01_Input'!$K$53)-'01_Input'!$J$53,0)*'01_Input'!$M$53))+IF('01_Input'!$P$53="Forfait",IF(AN$20&gt;='01_Input'!$N$53,'01_Input'!$Q$53,0),IF('01_Input'!$P$53="Palier",IF(AND(AN$20&gt;='01_Input'!$N$53,AN$20&lt;'01_Input'!$O$53),'01_Input'!$Q$53,0),MAX(MIN(AN$20,'01_Input'!$O$53)-'01_Input'!$N$53,0)*'01_Input'!$Q$53))+IF('01_Input'!$T$53="Forfait",IF(AN$20&gt;='01_Input'!$R$53,'01_Input'!$U$53,0),IF('01_Input'!$T$53="Palier",IF(AND(AN$20&gt;='01_Input'!$R$53,AN$20&lt;'01_Input'!$S$53),'01_Input'!$U$53,0),MAX(MIN(AN$20,'01_Input'!$S$53)-'01_Input'!$R$53,0)*'01_Input'!$U$53))+IF('01_Input'!$X$53="Forfait",IF(AN$20&gt;='01_Input'!$V$53,'01_Input'!$Y$53,0),IF('01_Input'!$X$53="Palier",IF(AND(AN$20&gt;='01_Input'!$V$53,AN$20&lt;'01_Input'!$W$53),'01_Input'!$Y$53,0),MAX(MIN(AN$20,'01_Input'!$W$53)-'01_Input'!$V$53,0)*'01_Input'!$Y$53))+IF('01_Input'!$AB$53="Forfait",IF(AN$20&gt;='01_Input'!$Z$53,'01_Input'!$AC$53,0),IF('01_Input'!$AB$53="Palier",IF(AND(AN$20&gt;='01_Input'!$Z$53,AN$20&lt;'01_Input'!$AA$53),'01_Input'!$AC$53,0),MAX(MIN(AN$20,'01_Input'!$AA$53)-'01_Input'!$Z$53,0)*'01_Input'!$AC$53)))))))))</f>
        <v>900290000</v>
      </c>
      <c r="AO21" s="25">
        <f>IF('01_Input'!$C$53="Non",0,MIN('01_Input'!$I$53,MAX('01_Input'!$H$53,IF('01_Input'!$G$53="Résiduel vs Gestion",0,IF('01_Input'!$G$53="Taux Classe sélectionnée",Distrib_Global_Classe_Selectionnee*AO$20,IF('01_Input'!$G$53="Frais KYC (paliers de 100M€)",MAX(0,Nb_Investisseurs-Nb_KYC_Gratuites_Par_Tranche*(FLOOR(AO$20/Taille_Tranche_KYC,1)+1))*Cout_Par_KYC_Supplementaire,(IF('01_Input'!$L$53="Forfait",IF(AO$20&gt;='01_Input'!$J$53,'01_Input'!$M$53,0),IF('01_Input'!$L$53="Palier",IF(AND(AO$20&gt;='01_Input'!$J$53,AO$20&lt;'01_Input'!$K$53),'01_Input'!$M$53,0),MAX(MIN(AO$20,'01_Input'!$K$53)-'01_Input'!$J$53,0)*'01_Input'!$M$53))+IF('01_Input'!$P$53="Forfait",IF(AO$20&gt;='01_Input'!$N$53,'01_Input'!$Q$53,0),IF('01_Input'!$P$53="Palier",IF(AND(AO$20&gt;='01_Input'!$N$53,AO$20&lt;'01_Input'!$O$53),'01_Input'!$Q$53,0),MAX(MIN(AO$20,'01_Input'!$O$53)-'01_Input'!$N$53,0)*'01_Input'!$Q$53))+IF('01_Input'!$T$53="Forfait",IF(AO$20&gt;='01_Input'!$R$53,'01_Input'!$U$53,0),IF('01_Input'!$T$53="Palier",IF(AND(AO$20&gt;='01_Input'!$R$53,AO$20&lt;'01_Input'!$S$53),'01_Input'!$U$53,0),MAX(MIN(AO$20,'01_Input'!$S$53)-'01_Input'!$R$53,0)*'01_Input'!$U$53))+IF('01_Input'!$X$53="Forfait",IF(AO$20&gt;='01_Input'!$V$53,'01_Input'!$Y$53,0),IF('01_Input'!$X$53="Palier",IF(AND(AO$20&gt;='01_Input'!$V$53,AO$20&lt;'01_Input'!$W$53),'01_Input'!$Y$53,0),MAX(MIN(AO$20,'01_Input'!$W$53)-'01_Input'!$V$53,0)*'01_Input'!$Y$53))+IF('01_Input'!$AB$53="Forfait",IF(AO$20&gt;='01_Input'!$Z$53,'01_Input'!$AC$53,0),IF('01_Input'!$AB$53="Palier",IF(AND(AO$20&gt;='01_Input'!$Z$53,AO$20&lt;'01_Input'!$AA$53),'01_Input'!$AC$53,0),MAX(MIN(AO$20,'01_Input'!$AA$53)-'01_Input'!$Z$53,0)*'01_Input'!$AC$53)))))))))</f>
        <v>900290000</v>
      </c>
      <c r="AP21" s="25">
        <f>IF('01_Input'!$C$53="Non",0,MIN('01_Input'!$I$53,MAX('01_Input'!$H$53,IF('01_Input'!$G$53="Résiduel vs Gestion",0,IF('01_Input'!$G$53="Taux Classe sélectionnée",Distrib_Global_Classe_Selectionnee*AP$20,IF('01_Input'!$G$53="Frais KYC (paliers de 100M€)",MAX(0,Nb_Investisseurs-Nb_KYC_Gratuites_Par_Tranche*(FLOOR(AP$20/Taille_Tranche_KYC,1)+1))*Cout_Par_KYC_Supplementaire,(IF('01_Input'!$L$53="Forfait",IF(AP$20&gt;='01_Input'!$J$53,'01_Input'!$M$53,0),IF('01_Input'!$L$53="Palier",IF(AND(AP$20&gt;='01_Input'!$J$53,AP$20&lt;'01_Input'!$K$53),'01_Input'!$M$53,0),MAX(MIN(AP$20,'01_Input'!$K$53)-'01_Input'!$J$53,0)*'01_Input'!$M$53))+IF('01_Input'!$P$53="Forfait",IF(AP$20&gt;='01_Input'!$N$53,'01_Input'!$Q$53,0),IF('01_Input'!$P$53="Palier",IF(AND(AP$20&gt;='01_Input'!$N$53,AP$20&lt;'01_Input'!$O$53),'01_Input'!$Q$53,0),MAX(MIN(AP$20,'01_Input'!$O$53)-'01_Input'!$N$53,0)*'01_Input'!$Q$53))+IF('01_Input'!$T$53="Forfait",IF(AP$20&gt;='01_Input'!$R$53,'01_Input'!$U$53,0),IF('01_Input'!$T$53="Palier",IF(AND(AP$20&gt;='01_Input'!$R$53,AP$20&lt;'01_Input'!$S$53),'01_Input'!$U$53,0),MAX(MIN(AP$20,'01_Input'!$S$53)-'01_Input'!$R$53,0)*'01_Input'!$U$53))+IF('01_Input'!$X$53="Forfait",IF(AP$20&gt;='01_Input'!$V$53,'01_Input'!$Y$53,0),IF('01_Input'!$X$53="Palier",IF(AND(AP$20&gt;='01_Input'!$V$53,AP$20&lt;'01_Input'!$W$53),'01_Input'!$Y$53,0),MAX(MIN(AP$20,'01_Input'!$W$53)-'01_Input'!$V$53,0)*'01_Input'!$Y$53))+IF('01_Input'!$AB$53="Forfait",IF(AP$20&gt;='01_Input'!$Z$53,'01_Input'!$AC$53,0),IF('01_Input'!$AB$53="Palier",IF(AND(AP$20&gt;='01_Input'!$Z$53,AP$20&lt;'01_Input'!$AA$53),'01_Input'!$AC$53,0),MAX(MIN(AP$20,'01_Input'!$AA$53)-'01_Input'!$Z$53,0)*'01_Input'!$AC$53)))))))))</f>
        <v>900290000</v>
      </c>
      <c r="AQ21" s="25">
        <f>IF('01_Input'!$C$53="Non",0,MIN('01_Input'!$I$53,MAX('01_Input'!$H$53,IF('01_Input'!$G$53="Résiduel vs Gestion",0,IF('01_Input'!$G$53="Taux Classe sélectionnée",Distrib_Global_Classe_Selectionnee*AQ$20,IF('01_Input'!$G$53="Frais KYC (paliers de 100M€)",MAX(0,Nb_Investisseurs-Nb_KYC_Gratuites_Par_Tranche*(FLOOR(AQ$20/Taille_Tranche_KYC,1)+1))*Cout_Par_KYC_Supplementaire,(IF('01_Input'!$L$53="Forfait",IF(AQ$20&gt;='01_Input'!$J$53,'01_Input'!$M$53,0),IF('01_Input'!$L$53="Palier",IF(AND(AQ$20&gt;='01_Input'!$J$53,AQ$20&lt;'01_Input'!$K$53),'01_Input'!$M$53,0),MAX(MIN(AQ$20,'01_Input'!$K$53)-'01_Input'!$J$53,0)*'01_Input'!$M$53))+IF('01_Input'!$P$53="Forfait",IF(AQ$20&gt;='01_Input'!$N$53,'01_Input'!$Q$53,0),IF('01_Input'!$P$53="Palier",IF(AND(AQ$20&gt;='01_Input'!$N$53,AQ$20&lt;'01_Input'!$O$53),'01_Input'!$Q$53,0),MAX(MIN(AQ$20,'01_Input'!$O$53)-'01_Input'!$N$53,0)*'01_Input'!$Q$53))+IF('01_Input'!$T$53="Forfait",IF(AQ$20&gt;='01_Input'!$R$53,'01_Input'!$U$53,0),IF('01_Input'!$T$53="Palier",IF(AND(AQ$20&gt;='01_Input'!$R$53,AQ$20&lt;'01_Input'!$S$53),'01_Input'!$U$53,0),MAX(MIN(AQ$20,'01_Input'!$S$53)-'01_Input'!$R$53,0)*'01_Input'!$U$53))+IF('01_Input'!$X$53="Forfait",IF(AQ$20&gt;='01_Input'!$V$53,'01_Input'!$Y$53,0),IF('01_Input'!$X$53="Palier",IF(AND(AQ$20&gt;='01_Input'!$V$53,AQ$20&lt;'01_Input'!$W$53),'01_Input'!$Y$53,0),MAX(MIN(AQ$20,'01_Input'!$W$53)-'01_Input'!$V$53,0)*'01_Input'!$Y$53))+IF('01_Input'!$AB$53="Forfait",IF(AQ$20&gt;='01_Input'!$Z$53,'01_Input'!$AC$53,0),IF('01_Input'!$AB$53="Palier",IF(AND(AQ$20&gt;='01_Input'!$Z$53,AQ$20&lt;'01_Input'!$AA$53),'01_Input'!$AC$53,0),MAX(MIN(AQ$20,'01_Input'!$AA$53)-'01_Input'!$Z$53,0)*'01_Input'!$AC$53)))))))))</f>
        <v>900290000</v>
      </c>
      <c r="AR21" s="25">
        <f>IF('01_Input'!$C$53="Non",0,MIN('01_Input'!$I$53,MAX('01_Input'!$H$53,IF('01_Input'!$G$53="Résiduel vs Gestion",0,IF('01_Input'!$G$53="Taux Classe sélectionnée",Distrib_Global_Classe_Selectionnee*AR$20,IF('01_Input'!$G$53="Frais KYC (paliers de 100M€)",MAX(0,Nb_Investisseurs-Nb_KYC_Gratuites_Par_Tranche*(FLOOR(AR$20/Taille_Tranche_KYC,1)+1))*Cout_Par_KYC_Supplementaire,(IF('01_Input'!$L$53="Forfait",IF(AR$20&gt;='01_Input'!$J$53,'01_Input'!$M$53,0),IF('01_Input'!$L$53="Palier",IF(AND(AR$20&gt;='01_Input'!$J$53,AR$20&lt;'01_Input'!$K$53),'01_Input'!$M$53,0),MAX(MIN(AR$20,'01_Input'!$K$53)-'01_Input'!$J$53,0)*'01_Input'!$M$53))+IF('01_Input'!$P$53="Forfait",IF(AR$20&gt;='01_Input'!$N$53,'01_Input'!$Q$53,0),IF('01_Input'!$P$53="Palier",IF(AND(AR$20&gt;='01_Input'!$N$53,AR$20&lt;'01_Input'!$O$53),'01_Input'!$Q$53,0),MAX(MIN(AR$20,'01_Input'!$O$53)-'01_Input'!$N$53,0)*'01_Input'!$Q$53))+IF('01_Input'!$T$53="Forfait",IF(AR$20&gt;='01_Input'!$R$53,'01_Input'!$U$53,0),IF('01_Input'!$T$53="Palier",IF(AND(AR$20&gt;='01_Input'!$R$53,AR$20&lt;'01_Input'!$S$53),'01_Input'!$U$53,0),MAX(MIN(AR$20,'01_Input'!$S$53)-'01_Input'!$R$53,0)*'01_Input'!$U$53))+IF('01_Input'!$X$53="Forfait",IF(AR$20&gt;='01_Input'!$V$53,'01_Input'!$Y$53,0),IF('01_Input'!$X$53="Palier",IF(AND(AR$20&gt;='01_Input'!$V$53,AR$20&lt;'01_Input'!$W$53),'01_Input'!$Y$53,0),MAX(MIN(AR$20,'01_Input'!$W$53)-'01_Input'!$V$53,0)*'01_Input'!$Y$53))+IF('01_Input'!$AB$53="Forfait",IF(AR$20&gt;='01_Input'!$Z$53,'01_Input'!$AC$53,0),IF('01_Input'!$AB$53="Palier",IF(AND(AR$20&gt;='01_Input'!$Z$53,AR$20&lt;'01_Input'!$AA$53),'01_Input'!$AC$53,0),MAX(MIN(AR$20,'01_Input'!$AA$53)-'01_Input'!$Z$53,0)*'01_Input'!$AC$53)))))))))</f>
        <v>900290000</v>
      </c>
      <c r="AS21" s="25">
        <f>IF('01_Input'!$C$53="Non",0,MIN('01_Input'!$I$53,MAX('01_Input'!$H$53,IF('01_Input'!$G$53="Résiduel vs Gestion",0,IF('01_Input'!$G$53="Taux Classe sélectionnée",Distrib_Global_Classe_Selectionnee*AS$20,IF('01_Input'!$G$53="Frais KYC (paliers de 100M€)",MAX(0,Nb_Investisseurs-Nb_KYC_Gratuites_Par_Tranche*(FLOOR(AS$20/Taille_Tranche_KYC,1)+1))*Cout_Par_KYC_Supplementaire,(IF('01_Input'!$L$53="Forfait",IF(AS$20&gt;='01_Input'!$J$53,'01_Input'!$M$53,0),IF('01_Input'!$L$53="Palier",IF(AND(AS$20&gt;='01_Input'!$J$53,AS$20&lt;'01_Input'!$K$53),'01_Input'!$M$53,0),MAX(MIN(AS$20,'01_Input'!$K$53)-'01_Input'!$J$53,0)*'01_Input'!$M$53))+IF('01_Input'!$P$53="Forfait",IF(AS$20&gt;='01_Input'!$N$53,'01_Input'!$Q$53,0),IF('01_Input'!$P$53="Palier",IF(AND(AS$20&gt;='01_Input'!$N$53,AS$20&lt;'01_Input'!$O$53),'01_Input'!$Q$53,0),MAX(MIN(AS$20,'01_Input'!$O$53)-'01_Input'!$N$53,0)*'01_Input'!$Q$53))+IF('01_Input'!$T$53="Forfait",IF(AS$20&gt;='01_Input'!$R$53,'01_Input'!$U$53,0),IF('01_Input'!$T$53="Palier",IF(AND(AS$20&gt;='01_Input'!$R$53,AS$20&lt;'01_Input'!$S$53),'01_Input'!$U$53,0),MAX(MIN(AS$20,'01_Input'!$S$53)-'01_Input'!$R$53,0)*'01_Input'!$U$53))+IF('01_Input'!$X$53="Forfait",IF(AS$20&gt;='01_Input'!$V$53,'01_Input'!$Y$53,0),IF('01_Input'!$X$53="Palier",IF(AND(AS$20&gt;='01_Input'!$V$53,AS$20&lt;'01_Input'!$W$53),'01_Input'!$Y$53,0),MAX(MIN(AS$20,'01_Input'!$W$53)-'01_Input'!$V$53,0)*'01_Input'!$Y$53))+IF('01_Input'!$AB$53="Forfait",IF(AS$20&gt;='01_Input'!$Z$53,'01_Input'!$AC$53,0),IF('01_Input'!$AB$53="Palier",IF(AND(AS$20&gt;='01_Input'!$Z$53,AS$20&lt;'01_Input'!$AA$53),'01_Input'!$AC$53,0),MAX(MIN(AS$20,'01_Input'!$AA$53)-'01_Input'!$Z$53,0)*'01_Input'!$AC$53)))))))))</f>
        <v>900290000</v>
      </c>
      <c r="AT21" s="25">
        <f>IF('01_Input'!$C$53="Non",0,MIN('01_Input'!$I$53,MAX('01_Input'!$H$53,IF('01_Input'!$G$53="Résiduel vs Gestion",0,IF('01_Input'!$G$53="Taux Classe sélectionnée",Distrib_Global_Classe_Selectionnee*AT$20,IF('01_Input'!$G$53="Frais KYC (paliers de 100M€)",MAX(0,Nb_Investisseurs-Nb_KYC_Gratuites_Par_Tranche*(FLOOR(AT$20/Taille_Tranche_KYC,1)+1))*Cout_Par_KYC_Supplementaire,(IF('01_Input'!$L$53="Forfait",IF(AT$20&gt;='01_Input'!$J$53,'01_Input'!$M$53,0),IF('01_Input'!$L$53="Palier",IF(AND(AT$20&gt;='01_Input'!$J$53,AT$20&lt;'01_Input'!$K$53),'01_Input'!$M$53,0),MAX(MIN(AT$20,'01_Input'!$K$53)-'01_Input'!$J$53,0)*'01_Input'!$M$53))+IF('01_Input'!$P$53="Forfait",IF(AT$20&gt;='01_Input'!$N$53,'01_Input'!$Q$53,0),IF('01_Input'!$P$53="Palier",IF(AND(AT$20&gt;='01_Input'!$N$53,AT$20&lt;'01_Input'!$O$53),'01_Input'!$Q$53,0),MAX(MIN(AT$20,'01_Input'!$O$53)-'01_Input'!$N$53,0)*'01_Input'!$Q$53))+IF('01_Input'!$T$53="Forfait",IF(AT$20&gt;='01_Input'!$R$53,'01_Input'!$U$53,0),IF('01_Input'!$T$53="Palier",IF(AND(AT$20&gt;='01_Input'!$R$53,AT$20&lt;'01_Input'!$S$53),'01_Input'!$U$53,0),MAX(MIN(AT$20,'01_Input'!$S$53)-'01_Input'!$R$53,0)*'01_Input'!$U$53))+IF('01_Input'!$X$53="Forfait",IF(AT$20&gt;='01_Input'!$V$53,'01_Input'!$Y$53,0),IF('01_Input'!$X$53="Palier",IF(AND(AT$20&gt;='01_Input'!$V$53,AT$20&lt;'01_Input'!$W$53),'01_Input'!$Y$53,0),MAX(MIN(AT$20,'01_Input'!$W$53)-'01_Input'!$V$53,0)*'01_Input'!$Y$53))+IF('01_Input'!$AB$53="Forfait",IF(AT$20&gt;='01_Input'!$Z$53,'01_Input'!$AC$53,0),IF('01_Input'!$AB$53="Palier",IF(AND(AT$20&gt;='01_Input'!$Z$53,AT$20&lt;'01_Input'!$AA$53),'01_Input'!$AC$53,0),MAX(MIN(AT$20,'01_Input'!$AA$53)-'01_Input'!$Z$53,0)*'01_Input'!$AC$53)))))))))</f>
        <v>900290000</v>
      </c>
      <c r="AU21" s="25">
        <f>IF('01_Input'!$C$53="Non",0,MIN('01_Input'!$I$53,MAX('01_Input'!$H$53,IF('01_Input'!$G$53="Résiduel vs Gestion",0,IF('01_Input'!$G$53="Taux Classe sélectionnée",Distrib_Global_Classe_Selectionnee*AU$20,IF('01_Input'!$G$53="Frais KYC (paliers de 100M€)",MAX(0,Nb_Investisseurs-Nb_KYC_Gratuites_Par_Tranche*(FLOOR(AU$20/Taille_Tranche_KYC,1)+1))*Cout_Par_KYC_Supplementaire,(IF('01_Input'!$L$53="Forfait",IF(AU$20&gt;='01_Input'!$J$53,'01_Input'!$M$53,0),IF('01_Input'!$L$53="Palier",IF(AND(AU$20&gt;='01_Input'!$J$53,AU$20&lt;'01_Input'!$K$53),'01_Input'!$M$53,0),MAX(MIN(AU$20,'01_Input'!$K$53)-'01_Input'!$J$53,0)*'01_Input'!$M$53))+IF('01_Input'!$P$53="Forfait",IF(AU$20&gt;='01_Input'!$N$53,'01_Input'!$Q$53,0),IF('01_Input'!$P$53="Palier",IF(AND(AU$20&gt;='01_Input'!$N$53,AU$20&lt;'01_Input'!$O$53),'01_Input'!$Q$53,0),MAX(MIN(AU$20,'01_Input'!$O$53)-'01_Input'!$N$53,0)*'01_Input'!$Q$53))+IF('01_Input'!$T$53="Forfait",IF(AU$20&gt;='01_Input'!$R$53,'01_Input'!$U$53,0),IF('01_Input'!$T$53="Palier",IF(AND(AU$20&gt;='01_Input'!$R$53,AU$20&lt;'01_Input'!$S$53),'01_Input'!$U$53,0),MAX(MIN(AU$20,'01_Input'!$S$53)-'01_Input'!$R$53,0)*'01_Input'!$U$53))+IF('01_Input'!$X$53="Forfait",IF(AU$20&gt;='01_Input'!$V$53,'01_Input'!$Y$53,0),IF('01_Input'!$X$53="Palier",IF(AND(AU$20&gt;='01_Input'!$V$53,AU$20&lt;'01_Input'!$W$53),'01_Input'!$Y$53,0),MAX(MIN(AU$20,'01_Input'!$W$53)-'01_Input'!$V$53,0)*'01_Input'!$Y$53))+IF('01_Input'!$AB$53="Forfait",IF(AU$20&gt;='01_Input'!$Z$53,'01_Input'!$AC$53,0),IF('01_Input'!$AB$53="Palier",IF(AND(AU$20&gt;='01_Input'!$Z$53,AU$20&lt;'01_Input'!$AA$53),'01_Input'!$AC$53,0),MAX(MIN(AU$20,'01_Input'!$AA$53)-'01_Input'!$Z$53,0)*'01_Input'!$AC$53)))))))))</f>
        <v>900290000</v>
      </c>
      <c r="AV21" s="25">
        <f>IF('01_Input'!$C$53="Non",0,MIN('01_Input'!$I$53,MAX('01_Input'!$H$53,IF('01_Input'!$G$53="Résiduel vs Gestion",0,IF('01_Input'!$G$53="Taux Classe sélectionnée",Distrib_Global_Classe_Selectionnee*AV$20,IF('01_Input'!$G$53="Frais KYC (paliers de 100M€)",MAX(0,Nb_Investisseurs-Nb_KYC_Gratuites_Par_Tranche*(FLOOR(AV$20/Taille_Tranche_KYC,1)+1))*Cout_Par_KYC_Supplementaire,(IF('01_Input'!$L$53="Forfait",IF(AV$20&gt;='01_Input'!$J$53,'01_Input'!$M$53,0),IF('01_Input'!$L$53="Palier",IF(AND(AV$20&gt;='01_Input'!$J$53,AV$20&lt;'01_Input'!$K$53),'01_Input'!$M$53,0),MAX(MIN(AV$20,'01_Input'!$K$53)-'01_Input'!$J$53,0)*'01_Input'!$M$53))+IF('01_Input'!$P$53="Forfait",IF(AV$20&gt;='01_Input'!$N$53,'01_Input'!$Q$53,0),IF('01_Input'!$P$53="Palier",IF(AND(AV$20&gt;='01_Input'!$N$53,AV$20&lt;'01_Input'!$O$53),'01_Input'!$Q$53,0),MAX(MIN(AV$20,'01_Input'!$O$53)-'01_Input'!$N$53,0)*'01_Input'!$Q$53))+IF('01_Input'!$T$53="Forfait",IF(AV$20&gt;='01_Input'!$R$53,'01_Input'!$U$53,0),IF('01_Input'!$T$53="Palier",IF(AND(AV$20&gt;='01_Input'!$R$53,AV$20&lt;'01_Input'!$S$53),'01_Input'!$U$53,0),MAX(MIN(AV$20,'01_Input'!$S$53)-'01_Input'!$R$53,0)*'01_Input'!$U$53))+IF('01_Input'!$X$53="Forfait",IF(AV$20&gt;='01_Input'!$V$53,'01_Input'!$Y$53,0),IF('01_Input'!$X$53="Palier",IF(AND(AV$20&gt;='01_Input'!$V$53,AV$20&lt;'01_Input'!$W$53),'01_Input'!$Y$53,0),MAX(MIN(AV$20,'01_Input'!$W$53)-'01_Input'!$V$53,0)*'01_Input'!$Y$53))+IF('01_Input'!$AB$53="Forfait",IF(AV$20&gt;='01_Input'!$Z$53,'01_Input'!$AC$53,0),IF('01_Input'!$AB$53="Palier",IF(AND(AV$20&gt;='01_Input'!$Z$53,AV$20&lt;'01_Input'!$AA$53),'01_Input'!$AC$53,0),MAX(MIN(AV$20,'01_Input'!$AA$53)-'01_Input'!$Z$53,0)*'01_Input'!$AC$53)))))))))</f>
        <v>900290000</v>
      </c>
      <c r="AW21" s="25">
        <f>IF('01_Input'!$C$53="Non",0,MIN('01_Input'!$I$53,MAX('01_Input'!$H$53,IF('01_Input'!$G$53="Résiduel vs Gestion",0,IF('01_Input'!$G$53="Taux Classe sélectionnée",Distrib_Global_Classe_Selectionnee*AW$20,IF('01_Input'!$G$53="Frais KYC (paliers de 100M€)",MAX(0,Nb_Investisseurs-Nb_KYC_Gratuites_Par_Tranche*(FLOOR(AW$20/Taille_Tranche_KYC,1)+1))*Cout_Par_KYC_Supplementaire,(IF('01_Input'!$L$53="Forfait",IF(AW$20&gt;='01_Input'!$J$53,'01_Input'!$M$53,0),IF('01_Input'!$L$53="Palier",IF(AND(AW$20&gt;='01_Input'!$J$53,AW$20&lt;'01_Input'!$K$53),'01_Input'!$M$53,0),MAX(MIN(AW$20,'01_Input'!$K$53)-'01_Input'!$J$53,0)*'01_Input'!$M$53))+IF('01_Input'!$P$53="Forfait",IF(AW$20&gt;='01_Input'!$N$53,'01_Input'!$Q$53,0),IF('01_Input'!$P$53="Palier",IF(AND(AW$20&gt;='01_Input'!$N$53,AW$20&lt;'01_Input'!$O$53),'01_Input'!$Q$53,0),MAX(MIN(AW$20,'01_Input'!$O$53)-'01_Input'!$N$53,0)*'01_Input'!$Q$53))+IF('01_Input'!$T$53="Forfait",IF(AW$20&gt;='01_Input'!$R$53,'01_Input'!$U$53,0),IF('01_Input'!$T$53="Palier",IF(AND(AW$20&gt;='01_Input'!$R$53,AW$20&lt;'01_Input'!$S$53),'01_Input'!$U$53,0),MAX(MIN(AW$20,'01_Input'!$S$53)-'01_Input'!$R$53,0)*'01_Input'!$U$53))+IF('01_Input'!$X$53="Forfait",IF(AW$20&gt;='01_Input'!$V$53,'01_Input'!$Y$53,0),IF('01_Input'!$X$53="Palier",IF(AND(AW$20&gt;='01_Input'!$V$53,AW$20&lt;'01_Input'!$W$53),'01_Input'!$Y$53,0),MAX(MIN(AW$20,'01_Input'!$W$53)-'01_Input'!$V$53,0)*'01_Input'!$Y$53))+IF('01_Input'!$AB$53="Forfait",IF(AW$20&gt;='01_Input'!$Z$53,'01_Input'!$AC$53,0),IF('01_Input'!$AB$53="Palier",IF(AND(AW$20&gt;='01_Input'!$Z$53,AW$20&lt;'01_Input'!$AA$53),'01_Input'!$AC$53,0),MAX(MIN(AW$20,'01_Input'!$AA$53)-'01_Input'!$Z$53,0)*'01_Input'!$AC$53)))))))))</f>
        <v>900290000</v>
      </c>
      <c r="AX21" s="25">
        <f>IF('01_Input'!$C$53="Non",0,MIN('01_Input'!$I$53,MAX('01_Input'!$H$53,IF('01_Input'!$G$53="Résiduel vs Gestion",0,IF('01_Input'!$G$53="Taux Classe sélectionnée",Distrib_Global_Classe_Selectionnee*AX$20,IF('01_Input'!$G$53="Frais KYC (paliers de 100M€)",MAX(0,Nb_Investisseurs-Nb_KYC_Gratuites_Par_Tranche*(FLOOR(AX$20/Taille_Tranche_KYC,1)+1))*Cout_Par_KYC_Supplementaire,(IF('01_Input'!$L$53="Forfait",IF(AX$20&gt;='01_Input'!$J$53,'01_Input'!$M$53,0),IF('01_Input'!$L$53="Palier",IF(AND(AX$20&gt;='01_Input'!$J$53,AX$20&lt;'01_Input'!$K$53),'01_Input'!$M$53,0),MAX(MIN(AX$20,'01_Input'!$K$53)-'01_Input'!$J$53,0)*'01_Input'!$M$53))+IF('01_Input'!$P$53="Forfait",IF(AX$20&gt;='01_Input'!$N$53,'01_Input'!$Q$53,0),IF('01_Input'!$P$53="Palier",IF(AND(AX$20&gt;='01_Input'!$N$53,AX$20&lt;'01_Input'!$O$53),'01_Input'!$Q$53,0),MAX(MIN(AX$20,'01_Input'!$O$53)-'01_Input'!$N$53,0)*'01_Input'!$Q$53))+IF('01_Input'!$T$53="Forfait",IF(AX$20&gt;='01_Input'!$R$53,'01_Input'!$U$53,0),IF('01_Input'!$T$53="Palier",IF(AND(AX$20&gt;='01_Input'!$R$53,AX$20&lt;'01_Input'!$S$53),'01_Input'!$U$53,0),MAX(MIN(AX$20,'01_Input'!$S$53)-'01_Input'!$R$53,0)*'01_Input'!$U$53))+IF('01_Input'!$X$53="Forfait",IF(AX$20&gt;='01_Input'!$V$53,'01_Input'!$Y$53,0),IF('01_Input'!$X$53="Palier",IF(AND(AX$20&gt;='01_Input'!$V$53,AX$20&lt;'01_Input'!$W$53),'01_Input'!$Y$53,0),MAX(MIN(AX$20,'01_Input'!$W$53)-'01_Input'!$V$53,0)*'01_Input'!$Y$53))+IF('01_Input'!$AB$53="Forfait",IF(AX$20&gt;='01_Input'!$Z$53,'01_Input'!$AC$53,0),IF('01_Input'!$AB$53="Palier",IF(AND(AX$20&gt;='01_Input'!$Z$53,AX$20&lt;'01_Input'!$AA$53),'01_Input'!$AC$53,0),MAX(MIN(AX$20,'01_Input'!$AA$53)-'01_Input'!$Z$53,0)*'01_Input'!$AC$53)))))))))</f>
        <v>900290000</v>
      </c>
      <c r="AY21" s="25">
        <f>IF('01_Input'!$C$53="Non",0,MIN('01_Input'!$I$53,MAX('01_Input'!$H$53,IF('01_Input'!$G$53="Résiduel vs Gestion",0,IF('01_Input'!$G$53="Taux Classe sélectionnée",Distrib_Global_Classe_Selectionnee*AY$20,IF('01_Input'!$G$53="Frais KYC (paliers de 100M€)",MAX(0,Nb_Investisseurs-Nb_KYC_Gratuites_Par_Tranche*(FLOOR(AY$20/Taille_Tranche_KYC,1)+1))*Cout_Par_KYC_Supplementaire,(IF('01_Input'!$L$53="Forfait",IF(AY$20&gt;='01_Input'!$J$53,'01_Input'!$M$53,0),IF('01_Input'!$L$53="Palier",IF(AND(AY$20&gt;='01_Input'!$J$53,AY$20&lt;'01_Input'!$K$53),'01_Input'!$M$53,0),MAX(MIN(AY$20,'01_Input'!$K$53)-'01_Input'!$J$53,0)*'01_Input'!$M$53))+IF('01_Input'!$P$53="Forfait",IF(AY$20&gt;='01_Input'!$N$53,'01_Input'!$Q$53,0),IF('01_Input'!$P$53="Palier",IF(AND(AY$20&gt;='01_Input'!$N$53,AY$20&lt;'01_Input'!$O$53),'01_Input'!$Q$53,0),MAX(MIN(AY$20,'01_Input'!$O$53)-'01_Input'!$N$53,0)*'01_Input'!$Q$53))+IF('01_Input'!$T$53="Forfait",IF(AY$20&gt;='01_Input'!$R$53,'01_Input'!$U$53,0),IF('01_Input'!$T$53="Palier",IF(AND(AY$20&gt;='01_Input'!$R$53,AY$20&lt;'01_Input'!$S$53),'01_Input'!$U$53,0),MAX(MIN(AY$20,'01_Input'!$S$53)-'01_Input'!$R$53,0)*'01_Input'!$U$53))+IF('01_Input'!$X$53="Forfait",IF(AY$20&gt;='01_Input'!$V$53,'01_Input'!$Y$53,0),IF('01_Input'!$X$53="Palier",IF(AND(AY$20&gt;='01_Input'!$V$53,AY$20&lt;'01_Input'!$W$53),'01_Input'!$Y$53,0),MAX(MIN(AY$20,'01_Input'!$W$53)-'01_Input'!$V$53,0)*'01_Input'!$Y$53))+IF('01_Input'!$AB$53="Forfait",IF(AY$20&gt;='01_Input'!$Z$53,'01_Input'!$AC$53,0),IF('01_Input'!$AB$53="Palier",IF(AND(AY$20&gt;='01_Input'!$Z$53,AY$20&lt;'01_Input'!$AA$53),'01_Input'!$AC$53,0),MAX(MIN(AY$20,'01_Input'!$AA$53)-'01_Input'!$Z$53,0)*'01_Input'!$AC$53)))))))))</f>
        <v>900290000</v>
      </c>
      <c r="AZ21" s="25">
        <f>IF('01_Input'!$C$53="Non",0,MIN('01_Input'!$I$53,MAX('01_Input'!$H$53,IF('01_Input'!$G$53="Résiduel vs Gestion",0,IF('01_Input'!$G$53="Taux Classe sélectionnée",Distrib_Global_Classe_Selectionnee*AZ$20,IF('01_Input'!$G$53="Frais KYC (paliers de 100M€)",MAX(0,Nb_Investisseurs-Nb_KYC_Gratuites_Par_Tranche*(FLOOR(AZ$20/Taille_Tranche_KYC,1)+1))*Cout_Par_KYC_Supplementaire,(IF('01_Input'!$L$53="Forfait",IF(AZ$20&gt;='01_Input'!$J$53,'01_Input'!$M$53,0),IF('01_Input'!$L$53="Palier",IF(AND(AZ$20&gt;='01_Input'!$J$53,AZ$20&lt;'01_Input'!$K$53),'01_Input'!$M$53,0),MAX(MIN(AZ$20,'01_Input'!$K$53)-'01_Input'!$J$53,0)*'01_Input'!$M$53))+IF('01_Input'!$P$53="Forfait",IF(AZ$20&gt;='01_Input'!$N$53,'01_Input'!$Q$53,0),IF('01_Input'!$P$53="Palier",IF(AND(AZ$20&gt;='01_Input'!$N$53,AZ$20&lt;'01_Input'!$O$53),'01_Input'!$Q$53,0),MAX(MIN(AZ$20,'01_Input'!$O$53)-'01_Input'!$N$53,0)*'01_Input'!$Q$53))+IF('01_Input'!$T$53="Forfait",IF(AZ$20&gt;='01_Input'!$R$53,'01_Input'!$U$53,0),IF('01_Input'!$T$53="Palier",IF(AND(AZ$20&gt;='01_Input'!$R$53,AZ$20&lt;'01_Input'!$S$53),'01_Input'!$U$53,0),MAX(MIN(AZ$20,'01_Input'!$S$53)-'01_Input'!$R$53,0)*'01_Input'!$U$53))+IF('01_Input'!$X$53="Forfait",IF(AZ$20&gt;='01_Input'!$V$53,'01_Input'!$Y$53,0),IF('01_Input'!$X$53="Palier",IF(AND(AZ$20&gt;='01_Input'!$V$53,AZ$20&lt;'01_Input'!$W$53),'01_Input'!$Y$53,0),MAX(MIN(AZ$20,'01_Input'!$W$53)-'01_Input'!$V$53,0)*'01_Input'!$Y$53))+IF('01_Input'!$AB$53="Forfait",IF(AZ$20&gt;='01_Input'!$Z$53,'01_Input'!$AC$53,0),IF('01_Input'!$AB$53="Palier",IF(AND(AZ$20&gt;='01_Input'!$Z$53,AZ$20&lt;'01_Input'!$AA$53),'01_Input'!$AC$53,0),MAX(MIN(AZ$20,'01_Input'!$AA$53)-'01_Input'!$Z$53,0)*'01_Input'!$AC$53)))))))))</f>
        <v>900290000</v>
      </c>
      <c r="BA21" s="25">
        <f>IF('01_Input'!$C$53="Non",0,MIN('01_Input'!$I$53,MAX('01_Input'!$H$53,IF('01_Input'!$G$53="Résiduel vs Gestion",0,IF('01_Input'!$G$53="Taux Classe sélectionnée",Distrib_Global_Classe_Selectionnee*BA$20,IF('01_Input'!$G$53="Frais KYC (paliers de 100M€)",MAX(0,Nb_Investisseurs-Nb_KYC_Gratuites_Par_Tranche*(FLOOR(BA$20/Taille_Tranche_KYC,1)+1))*Cout_Par_KYC_Supplementaire,(IF('01_Input'!$L$53="Forfait",IF(BA$20&gt;='01_Input'!$J$53,'01_Input'!$M$53,0),IF('01_Input'!$L$53="Palier",IF(AND(BA$20&gt;='01_Input'!$J$53,BA$20&lt;'01_Input'!$K$53),'01_Input'!$M$53,0),MAX(MIN(BA$20,'01_Input'!$K$53)-'01_Input'!$J$53,0)*'01_Input'!$M$53))+IF('01_Input'!$P$53="Forfait",IF(BA$20&gt;='01_Input'!$N$53,'01_Input'!$Q$53,0),IF('01_Input'!$P$53="Palier",IF(AND(BA$20&gt;='01_Input'!$N$53,BA$20&lt;'01_Input'!$O$53),'01_Input'!$Q$53,0),MAX(MIN(BA$20,'01_Input'!$O$53)-'01_Input'!$N$53,0)*'01_Input'!$Q$53))+IF('01_Input'!$T$53="Forfait",IF(BA$20&gt;='01_Input'!$R$53,'01_Input'!$U$53,0),IF('01_Input'!$T$53="Palier",IF(AND(BA$20&gt;='01_Input'!$R$53,BA$20&lt;'01_Input'!$S$53),'01_Input'!$U$53,0),MAX(MIN(BA$20,'01_Input'!$S$53)-'01_Input'!$R$53,0)*'01_Input'!$U$53))+IF('01_Input'!$X$53="Forfait",IF(BA$20&gt;='01_Input'!$V$53,'01_Input'!$Y$53,0),IF('01_Input'!$X$53="Palier",IF(AND(BA$20&gt;='01_Input'!$V$53,BA$20&lt;'01_Input'!$W$53),'01_Input'!$Y$53,0),MAX(MIN(BA$20,'01_Input'!$W$53)-'01_Input'!$V$53,0)*'01_Input'!$Y$53))+IF('01_Input'!$AB$53="Forfait",IF(BA$20&gt;='01_Input'!$Z$53,'01_Input'!$AC$53,0),IF('01_Input'!$AB$53="Palier",IF(AND(BA$20&gt;='01_Input'!$Z$53,BA$20&lt;'01_Input'!$AA$53),'01_Input'!$AC$53,0),MAX(MIN(BA$20,'01_Input'!$AA$53)-'01_Input'!$Z$53,0)*'01_Input'!$AC$53)))))))))</f>
        <v>900290000</v>
      </c>
      <c r="BB21" s="25">
        <f>IF('01_Input'!$C$53="Non",0,MIN('01_Input'!$I$53,MAX('01_Input'!$H$53,IF('01_Input'!$G$53="Résiduel vs Gestion",0,IF('01_Input'!$G$53="Taux Classe sélectionnée",Distrib_Global_Classe_Selectionnee*BB$20,IF('01_Input'!$G$53="Frais KYC (paliers de 100M€)",MAX(0,Nb_Investisseurs-Nb_KYC_Gratuites_Par_Tranche*(FLOOR(BB$20/Taille_Tranche_KYC,1)+1))*Cout_Par_KYC_Supplementaire,(IF('01_Input'!$L$53="Forfait",IF(BB$20&gt;='01_Input'!$J$53,'01_Input'!$M$53,0),IF('01_Input'!$L$53="Palier",IF(AND(BB$20&gt;='01_Input'!$J$53,BB$20&lt;'01_Input'!$K$53),'01_Input'!$M$53,0),MAX(MIN(BB$20,'01_Input'!$K$53)-'01_Input'!$J$53,0)*'01_Input'!$M$53))+IF('01_Input'!$P$53="Forfait",IF(BB$20&gt;='01_Input'!$N$53,'01_Input'!$Q$53,0),IF('01_Input'!$P$53="Palier",IF(AND(BB$20&gt;='01_Input'!$N$53,BB$20&lt;'01_Input'!$O$53),'01_Input'!$Q$53,0),MAX(MIN(BB$20,'01_Input'!$O$53)-'01_Input'!$N$53,0)*'01_Input'!$Q$53))+IF('01_Input'!$T$53="Forfait",IF(BB$20&gt;='01_Input'!$R$53,'01_Input'!$U$53,0),IF('01_Input'!$T$53="Palier",IF(AND(BB$20&gt;='01_Input'!$R$53,BB$20&lt;'01_Input'!$S$53),'01_Input'!$U$53,0),MAX(MIN(BB$20,'01_Input'!$S$53)-'01_Input'!$R$53,0)*'01_Input'!$U$53))+IF('01_Input'!$X$53="Forfait",IF(BB$20&gt;='01_Input'!$V$53,'01_Input'!$Y$53,0),IF('01_Input'!$X$53="Palier",IF(AND(BB$20&gt;='01_Input'!$V$53,BB$20&lt;'01_Input'!$W$53),'01_Input'!$Y$53,0),MAX(MIN(BB$20,'01_Input'!$W$53)-'01_Input'!$V$53,0)*'01_Input'!$Y$53))+IF('01_Input'!$AB$53="Forfait",IF(BB$20&gt;='01_Input'!$Z$53,'01_Input'!$AC$53,0),IF('01_Input'!$AB$53="Palier",IF(AND(BB$20&gt;='01_Input'!$Z$53,BB$20&lt;'01_Input'!$AA$53),'01_Input'!$AC$53,0),MAX(MIN(BB$20,'01_Input'!$AA$53)-'01_Input'!$Z$53,0)*'01_Input'!$AC$53)))))))))</f>
        <v>900290000</v>
      </c>
      <c r="BC21" s="25">
        <f>IF('01_Input'!$C$53="Non",0,MIN('01_Input'!$I$53,MAX('01_Input'!$H$53,IF('01_Input'!$G$53="Résiduel vs Gestion",0,IF('01_Input'!$G$53="Taux Classe sélectionnée",Distrib_Global_Classe_Selectionnee*BC$20,IF('01_Input'!$G$53="Frais KYC (paliers de 100M€)",MAX(0,Nb_Investisseurs-Nb_KYC_Gratuites_Par_Tranche*(FLOOR(BC$20/Taille_Tranche_KYC,1)+1))*Cout_Par_KYC_Supplementaire,(IF('01_Input'!$L$53="Forfait",IF(BC$20&gt;='01_Input'!$J$53,'01_Input'!$M$53,0),IF('01_Input'!$L$53="Palier",IF(AND(BC$20&gt;='01_Input'!$J$53,BC$20&lt;'01_Input'!$K$53),'01_Input'!$M$53,0),MAX(MIN(BC$20,'01_Input'!$K$53)-'01_Input'!$J$53,0)*'01_Input'!$M$53))+IF('01_Input'!$P$53="Forfait",IF(BC$20&gt;='01_Input'!$N$53,'01_Input'!$Q$53,0),IF('01_Input'!$P$53="Palier",IF(AND(BC$20&gt;='01_Input'!$N$53,BC$20&lt;'01_Input'!$O$53),'01_Input'!$Q$53,0),MAX(MIN(BC$20,'01_Input'!$O$53)-'01_Input'!$N$53,0)*'01_Input'!$Q$53))+IF('01_Input'!$T$53="Forfait",IF(BC$20&gt;='01_Input'!$R$53,'01_Input'!$U$53,0),IF('01_Input'!$T$53="Palier",IF(AND(BC$20&gt;='01_Input'!$R$53,BC$20&lt;'01_Input'!$S$53),'01_Input'!$U$53,0),MAX(MIN(BC$20,'01_Input'!$S$53)-'01_Input'!$R$53,0)*'01_Input'!$U$53))+IF('01_Input'!$X$53="Forfait",IF(BC$20&gt;='01_Input'!$V$53,'01_Input'!$Y$53,0),IF('01_Input'!$X$53="Palier",IF(AND(BC$20&gt;='01_Input'!$V$53,BC$20&lt;'01_Input'!$W$53),'01_Input'!$Y$53,0),MAX(MIN(BC$20,'01_Input'!$W$53)-'01_Input'!$V$53,0)*'01_Input'!$Y$53))+IF('01_Input'!$AB$53="Forfait",IF(BC$20&gt;='01_Input'!$Z$53,'01_Input'!$AC$53,0),IF('01_Input'!$AB$53="Palier",IF(AND(BC$20&gt;='01_Input'!$Z$53,BC$20&lt;'01_Input'!$AA$53),'01_Input'!$AC$53,0),MAX(MIN(BC$20,'01_Input'!$AA$53)-'01_Input'!$Z$53,0)*'01_Input'!$AC$53)))))))))</f>
        <v>900290000</v>
      </c>
      <c r="BD21" s="25">
        <f>IF('01_Input'!$C$53="Non",0,MIN('01_Input'!$I$53,MAX('01_Input'!$H$53,IF('01_Input'!$G$53="Résiduel vs Gestion",0,IF('01_Input'!$G$53="Taux Classe sélectionnée",Distrib_Global_Classe_Selectionnee*BD$20,IF('01_Input'!$G$53="Frais KYC (paliers de 100M€)",MAX(0,Nb_Investisseurs-Nb_KYC_Gratuites_Par_Tranche*(FLOOR(BD$20/Taille_Tranche_KYC,1)+1))*Cout_Par_KYC_Supplementaire,(IF('01_Input'!$L$53="Forfait",IF(BD$20&gt;='01_Input'!$J$53,'01_Input'!$M$53,0),IF('01_Input'!$L$53="Palier",IF(AND(BD$20&gt;='01_Input'!$J$53,BD$20&lt;'01_Input'!$K$53),'01_Input'!$M$53,0),MAX(MIN(BD$20,'01_Input'!$K$53)-'01_Input'!$J$53,0)*'01_Input'!$M$53))+IF('01_Input'!$P$53="Forfait",IF(BD$20&gt;='01_Input'!$N$53,'01_Input'!$Q$53,0),IF('01_Input'!$P$53="Palier",IF(AND(BD$20&gt;='01_Input'!$N$53,BD$20&lt;'01_Input'!$O$53),'01_Input'!$Q$53,0),MAX(MIN(BD$20,'01_Input'!$O$53)-'01_Input'!$N$53,0)*'01_Input'!$Q$53))+IF('01_Input'!$T$53="Forfait",IF(BD$20&gt;='01_Input'!$R$53,'01_Input'!$U$53,0),IF('01_Input'!$T$53="Palier",IF(AND(BD$20&gt;='01_Input'!$R$53,BD$20&lt;'01_Input'!$S$53),'01_Input'!$U$53,0),MAX(MIN(BD$20,'01_Input'!$S$53)-'01_Input'!$R$53,0)*'01_Input'!$U$53))+IF('01_Input'!$X$53="Forfait",IF(BD$20&gt;='01_Input'!$V$53,'01_Input'!$Y$53,0),IF('01_Input'!$X$53="Palier",IF(AND(BD$20&gt;='01_Input'!$V$53,BD$20&lt;'01_Input'!$W$53),'01_Input'!$Y$53,0),MAX(MIN(BD$20,'01_Input'!$W$53)-'01_Input'!$V$53,0)*'01_Input'!$Y$53))+IF('01_Input'!$AB$53="Forfait",IF(BD$20&gt;='01_Input'!$Z$53,'01_Input'!$AC$53,0),IF('01_Input'!$AB$53="Palier",IF(AND(BD$20&gt;='01_Input'!$Z$53,BD$20&lt;'01_Input'!$AA$53),'01_Input'!$AC$53,0),MAX(MIN(BD$20,'01_Input'!$AA$53)-'01_Input'!$Z$53,0)*'01_Input'!$AC$53)))))))))</f>
        <v>900290000</v>
      </c>
      <c r="BE21" s="25">
        <f>IF('01_Input'!$C$53="Non",0,MIN('01_Input'!$I$53,MAX('01_Input'!$H$53,IF('01_Input'!$G$53="Résiduel vs Gestion",0,IF('01_Input'!$G$53="Taux Classe sélectionnée",Distrib_Global_Classe_Selectionnee*BE$20,IF('01_Input'!$G$53="Frais KYC (paliers de 100M€)",MAX(0,Nb_Investisseurs-Nb_KYC_Gratuites_Par_Tranche*(FLOOR(BE$20/Taille_Tranche_KYC,1)+1))*Cout_Par_KYC_Supplementaire,(IF('01_Input'!$L$53="Forfait",IF(BE$20&gt;='01_Input'!$J$53,'01_Input'!$M$53,0),IF('01_Input'!$L$53="Palier",IF(AND(BE$20&gt;='01_Input'!$J$53,BE$20&lt;'01_Input'!$K$53),'01_Input'!$M$53,0),MAX(MIN(BE$20,'01_Input'!$K$53)-'01_Input'!$J$53,0)*'01_Input'!$M$53))+IF('01_Input'!$P$53="Forfait",IF(BE$20&gt;='01_Input'!$N$53,'01_Input'!$Q$53,0),IF('01_Input'!$P$53="Palier",IF(AND(BE$20&gt;='01_Input'!$N$53,BE$20&lt;'01_Input'!$O$53),'01_Input'!$Q$53,0),MAX(MIN(BE$20,'01_Input'!$O$53)-'01_Input'!$N$53,0)*'01_Input'!$Q$53))+IF('01_Input'!$T$53="Forfait",IF(BE$20&gt;='01_Input'!$R$53,'01_Input'!$U$53,0),IF('01_Input'!$T$53="Palier",IF(AND(BE$20&gt;='01_Input'!$R$53,BE$20&lt;'01_Input'!$S$53),'01_Input'!$U$53,0),MAX(MIN(BE$20,'01_Input'!$S$53)-'01_Input'!$R$53,0)*'01_Input'!$U$53))+IF('01_Input'!$X$53="Forfait",IF(BE$20&gt;='01_Input'!$V$53,'01_Input'!$Y$53,0),IF('01_Input'!$X$53="Palier",IF(AND(BE$20&gt;='01_Input'!$V$53,BE$20&lt;'01_Input'!$W$53),'01_Input'!$Y$53,0),MAX(MIN(BE$20,'01_Input'!$W$53)-'01_Input'!$V$53,0)*'01_Input'!$Y$53))+IF('01_Input'!$AB$53="Forfait",IF(BE$20&gt;='01_Input'!$Z$53,'01_Input'!$AC$53,0),IF('01_Input'!$AB$53="Palier",IF(AND(BE$20&gt;='01_Input'!$Z$53,BE$20&lt;'01_Input'!$AA$53),'01_Input'!$AC$53,0),MAX(MIN(BE$20,'01_Input'!$AA$53)-'01_Input'!$Z$53,0)*'01_Input'!$AC$53)))))))))</f>
        <v>900290000</v>
      </c>
      <c r="BF21" s="25">
        <f>IF('01_Input'!$C$53="Non",0,MIN('01_Input'!$I$53,MAX('01_Input'!$H$53,IF('01_Input'!$G$53="Résiduel vs Gestion",0,IF('01_Input'!$G$53="Taux Classe sélectionnée",Distrib_Global_Classe_Selectionnee*BF$20,IF('01_Input'!$G$53="Frais KYC (paliers de 100M€)",MAX(0,Nb_Investisseurs-Nb_KYC_Gratuites_Par_Tranche*(FLOOR(BF$20/Taille_Tranche_KYC,1)+1))*Cout_Par_KYC_Supplementaire,(IF('01_Input'!$L$53="Forfait",IF(BF$20&gt;='01_Input'!$J$53,'01_Input'!$M$53,0),IF('01_Input'!$L$53="Palier",IF(AND(BF$20&gt;='01_Input'!$J$53,BF$20&lt;'01_Input'!$K$53),'01_Input'!$M$53,0),MAX(MIN(BF$20,'01_Input'!$K$53)-'01_Input'!$J$53,0)*'01_Input'!$M$53))+IF('01_Input'!$P$53="Forfait",IF(BF$20&gt;='01_Input'!$N$53,'01_Input'!$Q$53,0),IF('01_Input'!$P$53="Palier",IF(AND(BF$20&gt;='01_Input'!$N$53,BF$20&lt;'01_Input'!$O$53),'01_Input'!$Q$53,0),MAX(MIN(BF$20,'01_Input'!$O$53)-'01_Input'!$N$53,0)*'01_Input'!$Q$53))+IF('01_Input'!$T$53="Forfait",IF(BF$20&gt;='01_Input'!$R$53,'01_Input'!$U$53,0),IF('01_Input'!$T$53="Palier",IF(AND(BF$20&gt;='01_Input'!$R$53,BF$20&lt;'01_Input'!$S$53),'01_Input'!$U$53,0),MAX(MIN(BF$20,'01_Input'!$S$53)-'01_Input'!$R$53,0)*'01_Input'!$U$53))+IF('01_Input'!$X$53="Forfait",IF(BF$20&gt;='01_Input'!$V$53,'01_Input'!$Y$53,0),IF('01_Input'!$X$53="Palier",IF(AND(BF$20&gt;='01_Input'!$V$53,BF$20&lt;'01_Input'!$W$53),'01_Input'!$Y$53,0),MAX(MIN(BF$20,'01_Input'!$W$53)-'01_Input'!$V$53,0)*'01_Input'!$Y$53))+IF('01_Input'!$AB$53="Forfait",IF(BF$20&gt;='01_Input'!$Z$53,'01_Input'!$AC$53,0),IF('01_Input'!$AB$53="Palier",IF(AND(BF$20&gt;='01_Input'!$Z$53,BF$20&lt;'01_Input'!$AA$53),'01_Input'!$AC$53,0),MAX(MIN(BF$20,'01_Input'!$AA$53)-'01_Input'!$Z$53,0)*'01_Input'!$AC$53)))))))))</f>
        <v>900290000</v>
      </c>
      <c r="BG21" s="25">
        <f>IF('01_Input'!$C$53="Non",0,MIN('01_Input'!$I$53,MAX('01_Input'!$H$53,IF('01_Input'!$G$53="Résiduel vs Gestion",0,IF('01_Input'!$G$53="Taux Classe sélectionnée",Distrib_Global_Classe_Selectionnee*BG$20,IF('01_Input'!$G$53="Frais KYC (paliers de 100M€)",MAX(0,Nb_Investisseurs-Nb_KYC_Gratuites_Par_Tranche*(FLOOR(BG$20/Taille_Tranche_KYC,1)+1))*Cout_Par_KYC_Supplementaire,(IF('01_Input'!$L$53="Forfait",IF(BG$20&gt;='01_Input'!$J$53,'01_Input'!$M$53,0),IF('01_Input'!$L$53="Palier",IF(AND(BG$20&gt;='01_Input'!$J$53,BG$20&lt;'01_Input'!$K$53),'01_Input'!$M$53,0),MAX(MIN(BG$20,'01_Input'!$K$53)-'01_Input'!$J$53,0)*'01_Input'!$M$53))+IF('01_Input'!$P$53="Forfait",IF(BG$20&gt;='01_Input'!$N$53,'01_Input'!$Q$53,0),IF('01_Input'!$P$53="Palier",IF(AND(BG$20&gt;='01_Input'!$N$53,BG$20&lt;'01_Input'!$O$53),'01_Input'!$Q$53,0),MAX(MIN(BG$20,'01_Input'!$O$53)-'01_Input'!$N$53,0)*'01_Input'!$Q$53))+IF('01_Input'!$T$53="Forfait",IF(BG$20&gt;='01_Input'!$R$53,'01_Input'!$U$53,0),IF('01_Input'!$T$53="Palier",IF(AND(BG$20&gt;='01_Input'!$R$53,BG$20&lt;'01_Input'!$S$53),'01_Input'!$U$53,0),MAX(MIN(BG$20,'01_Input'!$S$53)-'01_Input'!$R$53,0)*'01_Input'!$U$53))+IF('01_Input'!$X$53="Forfait",IF(BG$20&gt;='01_Input'!$V$53,'01_Input'!$Y$53,0),IF('01_Input'!$X$53="Palier",IF(AND(BG$20&gt;='01_Input'!$V$53,BG$20&lt;'01_Input'!$W$53),'01_Input'!$Y$53,0),MAX(MIN(BG$20,'01_Input'!$W$53)-'01_Input'!$V$53,0)*'01_Input'!$Y$53))+IF('01_Input'!$AB$53="Forfait",IF(BG$20&gt;='01_Input'!$Z$53,'01_Input'!$AC$53,0),IF('01_Input'!$AB$53="Palier",IF(AND(BG$20&gt;='01_Input'!$Z$53,BG$20&lt;'01_Input'!$AA$53),'01_Input'!$AC$53,0),MAX(MIN(BG$20,'01_Input'!$AA$53)-'01_Input'!$Z$53,0)*'01_Input'!$AC$53)))))))))</f>
        <v>900290000</v>
      </c>
      <c r="BH21" s="25">
        <f>IF('01_Input'!$C$53="Non",0,MIN('01_Input'!$I$53,MAX('01_Input'!$H$53,IF('01_Input'!$G$53="Résiduel vs Gestion",0,IF('01_Input'!$G$53="Taux Classe sélectionnée",Distrib_Global_Classe_Selectionnee*BH$20,IF('01_Input'!$G$53="Frais KYC (paliers de 100M€)",MAX(0,Nb_Investisseurs-Nb_KYC_Gratuites_Par_Tranche*(FLOOR(BH$20/Taille_Tranche_KYC,1)+1))*Cout_Par_KYC_Supplementaire,(IF('01_Input'!$L$53="Forfait",IF(BH$20&gt;='01_Input'!$J$53,'01_Input'!$M$53,0),IF('01_Input'!$L$53="Palier",IF(AND(BH$20&gt;='01_Input'!$J$53,BH$20&lt;'01_Input'!$K$53),'01_Input'!$M$53,0),MAX(MIN(BH$20,'01_Input'!$K$53)-'01_Input'!$J$53,0)*'01_Input'!$M$53))+IF('01_Input'!$P$53="Forfait",IF(BH$20&gt;='01_Input'!$N$53,'01_Input'!$Q$53,0),IF('01_Input'!$P$53="Palier",IF(AND(BH$20&gt;='01_Input'!$N$53,BH$20&lt;'01_Input'!$O$53),'01_Input'!$Q$53,0),MAX(MIN(BH$20,'01_Input'!$O$53)-'01_Input'!$N$53,0)*'01_Input'!$Q$53))+IF('01_Input'!$T$53="Forfait",IF(BH$20&gt;='01_Input'!$R$53,'01_Input'!$U$53,0),IF('01_Input'!$T$53="Palier",IF(AND(BH$20&gt;='01_Input'!$R$53,BH$20&lt;'01_Input'!$S$53),'01_Input'!$U$53,0),MAX(MIN(BH$20,'01_Input'!$S$53)-'01_Input'!$R$53,0)*'01_Input'!$U$53))+IF('01_Input'!$X$53="Forfait",IF(BH$20&gt;='01_Input'!$V$53,'01_Input'!$Y$53,0),IF('01_Input'!$X$53="Palier",IF(AND(BH$20&gt;='01_Input'!$V$53,BH$20&lt;'01_Input'!$W$53),'01_Input'!$Y$53,0),MAX(MIN(BH$20,'01_Input'!$W$53)-'01_Input'!$V$53,0)*'01_Input'!$Y$53))+IF('01_Input'!$AB$53="Forfait",IF(BH$20&gt;='01_Input'!$Z$53,'01_Input'!$AC$53,0),IF('01_Input'!$AB$53="Palier",IF(AND(BH$20&gt;='01_Input'!$Z$53,BH$20&lt;'01_Input'!$AA$53),'01_Input'!$AC$53,0),MAX(MIN(BH$20,'01_Input'!$AA$53)-'01_Input'!$Z$53,0)*'01_Input'!$AC$53)))))))))</f>
        <v>900290000</v>
      </c>
      <c r="BI21" s="25">
        <f>IF('01_Input'!$C$53="Non",0,MIN('01_Input'!$I$53,MAX('01_Input'!$H$53,IF('01_Input'!$G$53="Résiduel vs Gestion",0,IF('01_Input'!$G$53="Taux Classe sélectionnée",Distrib_Global_Classe_Selectionnee*BI$20,IF('01_Input'!$G$53="Frais KYC (paliers de 100M€)",MAX(0,Nb_Investisseurs-Nb_KYC_Gratuites_Par_Tranche*(FLOOR(BI$20/Taille_Tranche_KYC,1)+1))*Cout_Par_KYC_Supplementaire,(IF('01_Input'!$L$53="Forfait",IF(BI$20&gt;='01_Input'!$J$53,'01_Input'!$M$53,0),IF('01_Input'!$L$53="Palier",IF(AND(BI$20&gt;='01_Input'!$J$53,BI$20&lt;'01_Input'!$K$53),'01_Input'!$M$53,0),MAX(MIN(BI$20,'01_Input'!$K$53)-'01_Input'!$J$53,0)*'01_Input'!$M$53))+IF('01_Input'!$P$53="Forfait",IF(BI$20&gt;='01_Input'!$N$53,'01_Input'!$Q$53,0),IF('01_Input'!$P$53="Palier",IF(AND(BI$20&gt;='01_Input'!$N$53,BI$20&lt;'01_Input'!$O$53),'01_Input'!$Q$53,0),MAX(MIN(BI$20,'01_Input'!$O$53)-'01_Input'!$N$53,0)*'01_Input'!$Q$53))+IF('01_Input'!$T$53="Forfait",IF(BI$20&gt;='01_Input'!$R$53,'01_Input'!$U$53,0),IF('01_Input'!$T$53="Palier",IF(AND(BI$20&gt;='01_Input'!$R$53,BI$20&lt;'01_Input'!$S$53),'01_Input'!$U$53,0),MAX(MIN(BI$20,'01_Input'!$S$53)-'01_Input'!$R$53,0)*'01_Input'!$U$53))+IF('01_Input'!$X$53="Forfait",IF(BI$20&gt;='01_Input'!$V$53,'01_Input'!$Y$53,0),IF('01_Input'!$X$53="Palier",IF(AND(BI$20&gt;='01_Input'!$V$53,BI$20&lt;'01_Input'!$W$53),'01_Input'!$Y$53,0),MAX(MIN(BI$20,'01_Input'!$W$53)-'01_Input'!$V$53,0)*'01_Input'!$Y$53))+IF('01_Input'!$AB$53="Forfait",IF(BI$20&gt;='01_Input'!$Z$53,'01_Input'!$AC$53,0),IF('01_Input'!$AB$53="Palier",IF(AND(BI$20&gt;='01_Input'!$Z$53,BI$20&lt;'01_Input'!$AA$53),'01_Input'!$AC$53,0),MAX(MIN(BI$20,'01_Input'!$AA$53)-'01_Input'!$Z$53,0)*'01_Input'!$AC$53)))))))))</f>
        <v>900290000</v>
      </c>
      <c r="BJ21" s="25">
        <f>IF('01_Input'!$C$53="Non",0,MIN('01_Input'!$I$53,MAX('01_Input'!$H$53,IF('01_Input'!$G$53="Résiduel vs Gestion",0,IF('01_Input'!$G$53="Taux Classe sélectionnée",Distrib_Global_Classe_Selectionnee*BJ$20,IF('01_Input'!$G$53="Frais KYC (paliers de 100M€)",MAX(0,Nb_Investisseurs-Nb_KYC_Gratuites_Par_Tranche*(FLOOR(BJ$20/Taille_Tranche_KYC,1)+1))*Cout_Par_KYC_Supplementaire,(IF('01_Input'!$L$53="Forfait",IF(BJ$20&gt;='01_Input'!$J$53,'01_Input'!$M$53,0),IF('01_Input'!$L$53="Palier",IF(AND(BJ$20&gt;='01_Input'!$J$53,BJ$20&lt;'01_Input'!$K$53),'01_Input'!$M$53,0),MAX(MIN(BJ$20,'01_Input'!$K$53)-'01_Input'!$J$53,0)*'01_Input'!$M$53))+IF('01_Input'!$P$53="Forfait",IF(BJ$20&gt;='01_Input'!$N$53,'01_Input'!$Q$53,0),IF('01_Input'!$P$53="Palier",IF(AND(BJ$20&gt;='01_Input'!$N$53,BJ$20&lt;'01_Input'!$O$53),'01_Input'!$Q$53,0),MAX(MIN(BJ$20,'01_Input'!$O$53)-'01_Input'!$N$53,0)*'01_Input'!$Q$53))+IF('01_Input'!$T$53="Forfait",IF(BJ$20&gt;='01_Input'!$R$53,'01_Input'!$U$53,0),IF('01_Input'!$T$53="Palier",IF(AND(BJ$20&gt;='01_Input'!$R$53,BJ$20&lt;'01_Input'!$S$53),'01_Input'!$U$53,0),MAX(MIN(BJ$20,'01_Input'!$S$53)-'01_Input'!$R$53,0)*'01_Input'!$U$53))+IF('01_Input'!$X$53="Forfait",IF(BJ$20&gt;='01_Input'!$V$53,'01_Input'!$Y$53,0),IF('01_Input'!$X$53="Palier",IF(AND(BJ$20&gt;='01_Input'!$V$53,BJ$20&lt;'01_Input'!$W$53),'01_Input'!$Y$53,0),MAX(MIN(BJ$20,'01_Input'!$W$53)-'01_Input'!$V$53,0)*'01_Input'!$Y$53))+IF('01_Input'!$AB$53="Forfait",IF(BJ$20&gt;='01_Input'!$Z$53,'01_Input'!$AC$53,0),IF('01_Input'!$AB$53="Palier",IF(AND(BJ$20&gt;='01_Input'!$Z$53,BJ$20&lt;'01_Input'!$AA$53),'01_Input'!$AC$53,0),MAX(MIN(BJ$20,'01_Input'!$AA$53)-'01_Input'!$Z$53,0)*'01_Input'!$AC$53)))))))))</f>
        <v>900290000</v>
      </c>
      <c r="BK21" s="25">
        <f>IF('01_Input'!$C$53="Non",0,MIN('01_Input'!$I$53,MAX('01_Input'!$H$53,IF('01_Input'!$G$53="Résiduel vs Gestion",0,IF('01_Input'!$G$53="Taux Classe sélectionnée",Distrib_Global_Classe_Selectionnee*BK$20,IF('01_Input'!$G$53="Frais KYC (paliers de 100M€)",MAX(0,Nb_Investisseurs-Nb_KYC_Gratuites_Par_Tranche*(FLOOR(BK$20/Taille_Tranche_KYC,1)+1))*Cout_Par_KYC_Supplementaire,(IF('01_Input'!$L$53="Forfait",IF(BK$20&gt;='01_Input'!$J$53,'01_Input'!$M$53,0),IF('01_Input'!$L$53="Palier",IF(AND(BK$20&gt;='01_Input'!$J$53,BK$20&lt;'01_Input'!$K$53),'01_Input'!$M$53,0),MAX(MIN(BK$20,'01_Input'!$K$53)-'01_Input'!$J$53,0)*'01_Input'!$M$53))+IF('01_Input'!$P$53="Forfait",IF(BK$20&gt;='01_Input'!$N$53,'01_Input'!$Q$53,0),IF('01_Input'!$P$53="Palier",IF(AND(BK$20&gt;='01_Input'!$N$53,BK$20&lt;'01_Input'!$O$53),'01_Input'!$Q$53,0),MAX(MIN(BK$20,'01_Input'!$O$53)-'01_Input'!$N$53,0)*'01_Input'!$Q$53))+IF('01_Input'!$T$53="Forfait",IF(BK$20&gt;='01_Input'!$R$53,'01_Input'!$U$53,0),IF('01_Input'!$T$53="Palier",IF(AND(BK$20&gt;='01_Input'!$R$53,BK$20&lt;'01_Input'!$S$53),'01_Input'!$U$53,0),MAX(MIN(BK$20,'01_Input'!$S$53)-'01_Input'!$R$53,0)*'01_Input'!$U$53))+IF('01_Input'!$X$53="Forfait",IF(BK$20&gt;='01_Input'!$V$53,'01_Input'!$Y$53,0),IF('01_Input'!$X$53="Palier",IF(AND(BK$20&gt;='01_Input'!$V$53,BK$20&lt;'01_Input'!$W$53),'01_Input'!$Y$53,0),MAX(MIN(BK$20,'01_Input'!$W$53)-'01_Input'!$V$53,0)*'01_Input'!$Y$53))+IF('01_Input'!$AB$53="Forfait",IF(BK$20&gt;='01_Input'!$Z$53,'01_Input'!$AC$53,0),IF('01_Input'!$AB$53="Palier",IF(AND(BK$20&gt;='01_Input'!$Z$53,BK$20&lt;'01_Input'!$AA$53),'01_Input'!$AC$53,0),MAX(MIN(BK$20,'01_Input'!$AA$53)-'01_Input'!$Z$53,0)*'01_Input'!$AC$53)))))))))</f>
        <v>900290000</v>
      </c>
      <c r="BL21" s="25">
        <f>IF('01_Input'!$C$53="Non",0,MIN('01_Input'!$I$53,MAX('01_Input'!$H$53,IF('01_Input'!$G$53="Résiduel vs Gestion",0,IF('01_Input'!$G$53="Taux Classe sélectionnée",Distrib_Global_Classe_Selectionnee*BL$20,IF('01_Input'!$G$53="Frais KYC (paliers de 100M€)",MAX(0,Nb_Investisseurs-Nb_KYC_Gratuites_Par_Tranche*(FLOOR(BL$20/Taille_Tranche_KYC,1)+1))*Cout_Par_KYC_Supplementaire,(IF('01_Input'!$L$53="Forfait",IF(BL$20&gt;='01_Input'!$J$53,'01_Input'!$M$53,0),IF('01_Input'!$L$53="Palier",IF(AND(BL$20&gt;='01_Input'!$J$53,BL$20&lt;'01_Input'!$K$53),'01_Input'!$M$53,0),MAX(MIN(BL$20,'01_Input'!$K$53)-'01_Input'!$J$53,0)*'01_Input'!$M$53))+IF('01_Input'!$P$53="Forfait",IF(BL$20&gt;='01_Input'!$N$53,'01_Input'!$Q$53,0),IF('01_Input'!$P$53="Palier",IF(AND(BL$20&gt;='01_Input'!$N$53,BL$20&lt;'01_Input'!$O$53),'01_Input'!$Q$53,0),MAX(MIN(BL$20,'01_Input'!$O$53)-'01_Input'!$N$53,0)*'01_Input'!$Q$53))+IF('01_Input'!$T$53="Forfait",IF(BL$20&gt;='01_Input'!$R$53,'01_Input'!$U$53,0),IF('01_Input'!$T$53="Palier",IF(AND(BL$20&gt;='01_Input'!$R$53,BL$20&lt;'01_Input'!$S$53),'01_Input'!$U$53,0),MAX(MIN(BL$20,'01_Input'!$S$53)-'01_Input'!$R$53,0)*'01_Input'!$U$53))+IF('01_Input'!$X$53="Forfait",IF(BL$20&gt;='01_Input'!$V$53,'01_Input'!$Y$53,0),IF('01_Input'!$X$53="Palier",IF(AND(BL$20&gt;='01_Input'!$V$53,BL$20&lt;'01_Input'!$W$53),'01_Input'!$Y$53,0),MAX(MIN(BL$20,'01_Input'!$W$53)-'01_Input'!$V$53,0)*'01_Input'!$Y$53))+IF('01_Input'!$AB$53="Forfait",IF(BL$20&gt;='01_Input'!$Z$53,'01_Input'!$AC$53,0),IF('01_Input'!$AB$53="Palier",IF(AND(BL$20&gt;='01_Input'!$Z$53,BL$20&lt;'01_Input'!$AA$53),'01_Input'!$AC$53,0),MAX(MIN(BL$20,'01_Input'!$AA$53)-'01_Input'!$Z$53,0)*'01_Input'!$AC$53)))))))))</f>
        <v>900290000</v>
      </c>
      <c r="BM21" s="25">
        <f>IF('01_Input'!$C$53="Non",0,MIN('01_Input'!$I$53,MAX('01_Input'!$H$53,IF('01_Input'!$G$53="Résiduel vs Gestion",0,IF('01_Input'!$G$53="Taux Classe sélectionnée",Distrib_Global_Classe_Selectionnee*BM$20,IF('01_Input'!$G$53="Frais KYC (paliers de 100M€)",MAX(0,Nb_Investisseurs-Nb_KYC_Gratuites_Par_Tranche*(FLOOR(BM$20/Taille_Tranche_KYC,1)+1))*Cout_Par_KYC_Supplementaire,(IF('01_Input'!$L$53="Forfait",IF(BM$20&gt;='01_Input'!$J$53,'01_Input'!$M$53,0),IF('01_Input'!$L$53="Palier",IF(AND(BM$20&gt;='01_Input'!$J$53,BM$20&lt;'01_Input'!$K$53),'01_Input'!$M$53,0),MAX(MIN(BM$20,'01_Input'!$K$53)-'01_Input'!$J$53,0)*'01_Input'!$M$53))+IF('01_Input'!$P$53="Forfait",IF(BM$20&gt;='01_Input'!$N$53,'01_Input'!$Q$53,0),IF('01_Input'!$P$53="Palier",IF(AND(BM$20&gt;='01_Input'!$N$53,BM$20&lt;'01_Input'!$O$53),'01_Input'!$Q$53,0),MAX(MIN(BM$20,'01_Input'!$O$53)-'01_Input'!$N$53,0)*'01_Input'!$Q$53))+IF('01_Input'!$T$53="Forfait",IF(BM$20&gt;='01_Input'!$R$53,'01_Input'!$U$53,0),IF('01_Input'!$T$53="Palier",IF(AND(BM$20&gt;='01_Input'!$R$53,BM$20&lt;'01_Input'!$S$53),'01_Input'!$U$53,0),MAX(MIN(BM$20,'01_Input'!$S$53)-'01_Input'!$R$53,0)*'01_Input'!$U$53))+IF('01_Input'!$X$53="Forfait",IF(BM$20&gt;='01_Input'!$V$53,'01_Input'!$Y$53,0),IF('01_Input'!$X$53="Palier",IF(AND(BM$20&gt;='01_Input'!$V$53,BM$20&lt;'01_Input'!$W$53),'01_Input'!$Y$53,0),MAX(MIN(BM$20,'01_Input'!$W$53)-'01_Input'!$V$53,0)*'01_Input'!$Y$53))+IF('01_Input'!$AB$53="Forfait",IF(BM$20&gt;='01_Input'!$Z$53,'01_Input'!$AC$53,0),IF('01_Input'!$AB$53="Palier",IF(AND(BM$20&gt;='01_Input'!$Z$53,BM$20&lt;'01_Input'!$AA$53),'01_Input'!$AC$53,0),MAX(MIN(BM$20,'01_Input'!$AA$53)-'01_Input'!$Z$53,0)*'01_Input'!$AC$53)))))))))</f>
        <v>900290000</v>
      </c>
      <c r="BN21" s="25">
        <f>IF('01_Input'!$C$53="Non",0,MIN('01_Input'!$I$53,MAX('01_Input'!$H$53,IF('01_Input'!$G$53="Résiduel vs Gestion",0,IF('01_Input'!$G$53="Taux Classe sélectionnée",Distrib_Global_Classe_Selectionnee*BN$20,IF('01_Input'!$G$53="Frais KYC (paliers de 100M€)",MAX(0,Nb_Investisseurs-Nb_KYC_Gratuites_Par_Tranche*(FLOOR(BN$20/Taille_Tranche_KYC,1)+1))*Cout_Par_KYC_Supplementaire,(IF('01_Input'!$L$53="Forfait",IF(BN$20&gt;='01_Input'!$J$53,'01_Input'!$M$53,0),IF('01_Input'!$L$53="Palier",IF(AND(BN$20&gt;='01_Input'!$J$53,BN$20&lt;'01_Input'!$K$53),'01_Input'!$M$53,0),MAX(MIN(BN$20,'01_Input'!$K$53)-'01_Input'!$J$53,0)*'01_Input'!$M$53))+IF('01_Input'!$P$53="Forfait",IF(BN$20&gt;='01_Input'!$N$53,'01_Input'!$Q$53,0),IF('01_Input'!$P$53="Palier",IF(AND(BN$20&gt;='01_Input'!$N$53,BN$20&lt;'01_Input'!$O$53),'01_Input'!$Q$53,0),MAX(MIN(BN$20,'01_Input'!$O$53)-'01_Input'!$N$53,0)*'01_Input'!$Q$53))+IF('01_Input'!$T$53="Forfait",IF(BN$20&gt;='01_Input'!$R$53,'01_Input'!$U$53,0),IF('01_Input'!$T$53="Palier",IF(AND(BN$20&gt;='01_Input'!$R$53,BN$20&lt;'01_Input'!$S$53),'01_Input'!$U$53,0),MAX(MIN(BN$20,'01_Input'!$S$53)-'01_Input'!$R$53,0)*'01_Input'!$U$53))+IF('01_Input'!$X$53="Forfait",IF(BN$20&gt;='01_Input'!$V$53,'01_Input'!$Y$53,0),IF('01_Input'!$X$53="Palier",IF(AND(BN$20&gt;='01_Input'!$V$53,BN$20&lt;'01_Input'!$W$53),'01_Input'!$Y$53,0),MAX(MIN(BN$20,'01_Input'!$W$53)-'01_Input'!$V$53,0)*'01_Input'!$Y$53))+IF('01_Input'!$AB$53="Forfait",IF(BN$20&gt;='01_Input'!$Z$53,'01_Input'!$AC$53,0),IF('01_Input'!$AB$53="Palier",IF(AND(BN$20&gt;='01_Input'!$Z$53,BN$20&lt;'01_Input'!$AA$53),'01_Input'!$AC$53,0),MAX(MIN(BN$20,'01_Input'!$AA$53)-'01_Input'!$Z$53,0)*'01_Input'!$AC$53)))))))))</f>
        <v>900290000</v>
      </c>
      <c r="BO21" s="25">
        <f>IF('01_Input'!$C$53="Non",0,MIN('01_Input'!$I$53,MAX('01_Input'!$H$53,IF('01_Input'!$G$53="Résiduel vs Gestion",0,IF('01_Input'!$G$53="Taux Classe sélectionnée",Distrib_Global_Classe_Selectionnee*BO$20,IF('01_Input'!$G$53="Frais KYC (paliers de 100M€)",MAX(0,Nb_Investisseurs-Nb_KYC_Gratuites_Par_Tranche*(FLOOR(BO$20/Taille_Tranche_KYC,1)+1))*Cout_Par_KYC_Supplementaire,(IF('01_Input'!$L$53="Forfait",IF(BO$20&gt;='01_Input'!$J$53,'01_Input'!$M$53,0),IF('01_Input'!$L$53="Palier",IF(AND(BO$20&gt;='01_Input'!$J$53,BO$20&lt;'01_Input'!$K$53),'01_Input'!$M$53,0),MAX(MIN(BO$20,'01_Input'!$K$53)-'01_Input'!$J$53,0)*'01_Input'!$M$53))+IF('01_Input'!$P$53="Forfait",IF(BO$20&gt;='01_Input'!$N$53,'01_Input'!$Q$53,0),IF('01_Input'!$P$53="Palier",IF(AND(BO$20&gt;='01_Input'!$N$53,BO$20&lt;'01_Input'!$O$53),'01_Input'!$Q$53,0),MAX(MIN(BO$20,'01_Input'!$O$53)-'01_Input'!$N$53,0)*'01_Input'!$Q$53))+IF('01_Input'!$T$53="Forfait",IF(BO$20&gt;='01_Input'!$R$53,'01_Input'!$U$53,0),IF('01_Input'!$T$53="Palier",IF(AND(BO$20&gt;='01_Input'!$R$53,BO$20&lt;'01_Input'!$S$53),'01_Input'!$U$53,0),MAX(MIN(BO$20,'01_Input'!$S$53)-'01_Input'!$R$53,0)*'01_Input'!$U$53))+IF('01_Input'!$X$53="Forfait",IF(BO$20&gt;='01_Input'!$V$53,'01_Input'!$Y$53,0),IF('01_Input'!$X$53="Palier",IF(AND(BO$20&gt;='01_Input'!$V$53,BO$20&lt;'01_Input'!$W$53),'01_Input'!$Y$53,0),MAX(MIN(BO$20,'01_Input'!$W$53)-'01_Input'!$V$53,0)*'01_Input'!$Y$53))+IF('01_Input'!$AB$53="Forfait",IF(BO$20&gt;='01_Input'!$Z$53,'01_Input'!$AC$53,0),IF('01_Input'!$AB$53="Palier",IF(AND(BO$20&gt;='01_Input'!$Z$53,BO$20&lt;'01_Input'!$AA$53),'01_Input'!$AC$53,0),MAX(MIN(BO$20,'01_Input'!$AA$53)-'01_Input'!$Z$53,0)*'01_Input'!$AC$53)))))))))</f>
        <v>900290000</v>
      </c>
      <c r="BP21" s="25">
        <f>IF('01_Input'!$C$53="Non",0,MIN('01_Input'!$I$53,MAX('01_Input'!$H$53,IF('01_Input'!$G$53="Résiduel vs Gestion",0,IF('01_Input'!$G$53="Taux Classe sélectionnée",Distrib_Global_Classe_Selectionnee*BP$20,IF('01_Input'!$G$53="Frais KYC (paliers de 100M€)",MAX(0,Nb_Investisseurs-Nb_KYC_Gratuites_Par_Tranche*(FLOOR(BP$20/Taille_Tranche_KYC,1)+1))*Cout_Par_KYC_Supplementaire,(IF('01_Input'!$L$53="Forfait",IF(BP$20&gt;='01_Input'!$J$53,'01_Input'!$M$53,0),IF('01_Input'!$L$53="Palier",IF(AND(BP$20&gt;='01_Input'!$J$53,BP$20&lt;'01_Input'!$K$53),'01_Input'!$M$53,0),MAX(MIN(BP$20,'01_Input'!$K$53)-'01_Input'!$J$53,0)*'01_Input'!$M$53))+IF('01_Input'!$P$53="Forfait",IF(BP$20&gt;='01_Input'!$N$53,'01_Input'!$Q$53,0),IF('01_Input'!$P$53="Palier",IF(AND(BP$20&gt;='01_Input'!$N$53,BP$20&lt;'01_Input'!$O$53),'01_Input'!$Q$53,0),MAX(MIN(BP$20,'01_Input'!$O$53)-'01_Input'!$N$53,0)*'01_Input'!$Q$53))+IF('01_Input'!$T$53="Forfait",IF(BP$20&gt;='01_Input'!$R$53,'01_Input'!$U$53,0),IF('01_Input'!$T$53="Palier",IF(AND(BP$20&gt;='01_Input'!$R$53,BP$20&lt;'01_Input'!$S$53),'01_Input'!$U$53,0),MAX(MIN(BP$20,'01_Input'!$S$53)-'01_Input'!$R$53,0)*'01_Input'!$U$53))+IF('01_Input'!$X$53="Forfait",IF(BP$20&gt;='01_Input'!$V$53,'01_Input'!$Y$53,0),IF('01_Input'!$X$53="Palier",IF(AND(BP$20&gt;='01_Input'!$V$53,BP$20&lt;'01_Input'!$W$53),'01_Input'!$Y$53,0),MAX(MIN(BP$20,'01_Input'!$W$53)-'01_Input'!$V$53,0)*'01_Input'!$Y$53))+IF('01_Input'!$AB$53="Forfait",IF(BP$20&gt;='01_Input'!$Z$53,'01_Input'!$AC$53,0),IF('01_Input'!$AB$53="Palier",IF(AND(BP$20&gt;='01_Input'!$Z$53,BP$20&lt;'01_Input'!$AA$53),'01_Input'!$AC$53,0),MAX(MIN(BP$20,'01_Input'!$AA$53)-'01_Input'!$Z$53,0)*'01_Input'!$AC$53)))))))))</f>
        <v>900290000</v>
      </c>
      <c r="BQ21" s="25">
        <f>IF('01_Input'!$C$53="Non",0,MIN('01_Input'!$I$53,MAX('01_Input'!$H$53,IF('01_Input'!$G$53="Résiduel vs Gestion",0,IF('01_Input'!$G$53="Taux Classe sélectionnée",Distrib_Global_Classe_Selectionnee*BQ$20,IF('01_Input'!$G$53="Frais KYC (paliers de 100M€)",MAX(0,Nb_Investisseurs-Nb_KYC_Gratuites_Par_Tranche*(FLOOR(BQ$20/Taille_Tranche_KYC,1)+1))*Cout_Par_KYC_Supplementaire,(IF('01_Input'!$L$53="Forfait",IF(BQ$20&gt;='01_Input'!$J$53,'01_Input'!$M$53,0),IF('01_Input'!$L$53="Palier",IF(AND(BQ$20&gt;='01_Input'!$J$53,BQ$20&lt;'01_Input'!$K$53),'01_Input'!$M$53,0),MAX(MIN(BQ$20,'01_Input'!$K$53)-'01_Input'!$J$53,0)*'01_Input'!$M$53))+IF('01_Input'!$P$53="Forfait",IF(BQ$20&gt;='01_Input'!$N$53,'01_Input'!$Q$53,0),IF('01_Input'!$P$53="Palier",IF(AND(BQ$20&gt;='01_Input'!$N$53,BQ$20&lt;'01_Input'!$O$53),'01_Input'!$Q$53,0),MAX(MIN(BQ$20,'01_Input'!$O$53)-'01_Input'!$N$53,0)*'01_Input'!$Q$53))+IF('01_Input'!$T$53="Forfait",IF(BQ$20&gt;='01_Input'!$R$53,'01_Input'!$U$53,0),IF('01_Input'!$T$53="Palier",IF(AND(BQ$20&gt;='01_Input'!$R$53,BQ$20&lt;'01_Input'!$S$53),'01_Input'!$U$53,0),MAX(MIN(BQ$20,'01_Input'!$S$53)-'01_Input'!$R$53,0)*'01_Input'!$U$53))+IF('01_Input'!$X$53="Forfait",IF(BQ$20&gt;='01_Input'!$V$53,'01_Input'!$Y$53,0),IF('01_Input'!$X$53="Palier",IF(AND(BQ$20&gt;='01_Input'!$V$53,BQ$20&lt;'01_Input'!$W$53),'01_Input'!$Y$53,0),MAX(MIN(BQ$20,'01_Input'!$W$53)-'01_Input'!$V$53,0)*'01_Input'!$Y$53))+IF('01_Input'!$AB$53="Forfait",IF(BQ$20&gt;='01_Input'!$Z$53,'01_Input'!$AC$53,0),IF('01_Input'!$AB$53="Palier",IF(AND(BQ$20&gt;='01_Input'!$Z$53,BQ$20&lt;'01_Input'!$AA$53),'01_Input'!$AC$53,0),MAX(MIN(BQ$20,'01_Input'!$AA$53)-'01_Input'!$Z$53,0)*'01_Input'!$AC$53)))))))))</f>
        <v>900290000</v>
      </c>
      <c r="BR21" s="25">
        <f>IF('01_Input'!$C$53="Non",0,MIN('01_Input'!$I$53,MAX('01_Input'!$H$53,IF('01_Input'!$G$53="Résiduel vs Gestion",0,IF('01_Input'!$G$53="Taux Classe sélectionnée",Distrib_Global_Classe_Selectionnee*BR$20,IF('01_Input'!$G$53="Frais KYC (paliers de 100M€)",MAX(0,Nb_Investisseurs-Nb_KYC_Gratuites_Par_Tranche*(FLOOR(BR$20/Taille_Tranche_KYC,1)+1))*Cout_Par_KYC_Supplementaire,(IF('01_Input'!$L$53="Forfait",IF(BR$20&gt;='01_Input'!$J$53,'01_Input'!$M$53,0),IF('01_Input'!$L$53="Palier",IF(AND(BR$20&gt;='01_Input'!$J$53,BR$20&lt;'01_Input'!$K$53),'01_Input'!$M$53,0),MAX(MIN(BR$20,'01_Input'!$K$53)-'01_Input'!$J$53,0)*'01_Input'!$M$53))+IF('01_Input'!$P$53="Forfait",IF(BR$20&gt;='01_Input'!$N$53,'01_Input'!$Q$53,0),IF('01_Input'!$P$53="Palier",IF(AND(BR$20&gt;='01_Input'!$N$53,BR$20&lt;'01_Input'!$O$53),'01_Input'!$Q$53,0),MAX(MIN(BR$20,'01_Input'!$O$53)-'01_Input'!$N$53,0)*'01_Input'!$Q$53))+IF('01_Input'!$T$53="Forfait",IF(BR$20&gt;='01_Input'!$R$53,'01_Input'!$U$53,0),IF('01_Input'!$T$53="Palier",IF(AND(BR$20&gt;='01_Input'!$R$53,BR$20&lt;'01_Input'!$S$53),'01_Input'!$U$53,0),MAX(MIN(BR$20,'01_Input'!$S$53)-'01_Input'!$R$53,0)*'01_Input'!$U$53))+IF('01_Input'!$X$53="Forfait",IF(BR$20&gt;='01_Input'!$V$53,'01_Input'!$Y$53,0),IF('01_Input'!$X$53="Palier",IF(AND(BR$20&gt;='01_Input'!$V$53,BR$20&lt;'01_Input'!$W$53),'01_Input'!$Y$53,0),MAX(MIN(BR$20,'01_Input'!$W$53)-'01_Input'!$V$53,0)*'01_Input'!$Y$53))+IF('01_Input'!$AB$53="Forfait",IF(BR$20&gt;='01_Input'!$Z$53,'01_Input'!$AC$53,0),IF('01_Input'!$AB$53="Palier",IF(AND(BR$20&gt;='01_Input'!$Z$53,BR$20&lt;'01_Input'!$AA$53),'01_Input'!$AC$53,0),MAX(MIN(BR$20,'01_Input'!$AA$53)-'01_Input'!$Z$53,0)*'01_Input'!$AC$53)))))))))</f>
        <v>900290000</v>
      </c>
      <c r="BS21" s="25">
        <f>IF('01_Input'!$C$53="Non",0,MIN('01_Input'!$I$53,MAX('01_Input'!$H$53,IF('01_Input'!$G$53="Résiduel vs Gestion",0,IF('01_Input'!$G$53="Taux Classe sélectionnée",Distrib_Global_Classe_Selectionnee*BS$20,IF('01_Input'!$G$53="Frais KYC (paliers de 100M€)",MAX(0,Nb_Investisseurs-Nb_KYC_Gratuites_Par_Tranche*(FLOOR(BS$20/Taille_Tranche_KYC,1)+1))*Cout_Par_KYC_Supplementaire,(IF('01_Input'!$L$53="Forfait",IF(BS$20&gt;='01_Input'!$J$53,'01_Input'!$M$53,0),IF('01_Input'!$L$53="Palier",IF(AND(BS$20&gt;='01_Input'!$J$53,BS$20&lt;'01_Input'!$K$53),'01_Input'!$M$53,0),MAX(MIN(BS$20,'01_Input'!$K$53)-'01_Input'!$J$53,0)*'01_Input'!$M$53))+IF('01_Input'!$P$53="Forfait",IF(BS$20&gt;='01_Input'!$N$53,'01_Input'!$Q$53,0),IF('01_Input'!$P$53="Palier",IF(AND(BS$20&gt;='01_Input'!$N$53,BS$20&lt;'01_Input'!$O$53),'01_Input'!$Q$53,0),MAX(MIN(BS$20,'01_Input'!$O$53)-'01_Input'!$N$53,0)*'01_Input'!$Q$53))+IF('01_Input'!$T$53="Forfait",IF(BS$20&gt;='01_Input'!$R$53,'01_Input'!$U$53,0),IF('01_Input'!$T$53="Palier",IF(AND(BS$20&gt;='01_Input'!$R$53,BS$20&lt;'01_Input'!$S$53),'01_Input'!$U$53,0),MAX(MIN(BS$20,'01_Input'!$S$53)-'01_Input'!$R$53,0)*'01_Input'!$U$53))+IF('01_Input'!$X$53="Forfait",IF(BS$20&gt;='01_Input'!$V$53,'01_Input'!$Y$53,0),IF('01_Input'!$X$53="Palier",IF(AND(BS$20&gt;='01_Input'!$V$53,BS$20&lt;'01_Input'!$W$53),'01_Input'!$Y$53,0),MAX(MIN(BS$20,'01_Input'!$W$53)-'01_Input'!$V$53,0)*'01_Input'!$Y$53))+IF('01_Input'!$AB$53="Forfait",IF(BS$20&gt;='01_Input'!$Z$53,'01_Input'!$AC$53,0),IF('01_Input'!$AB$53="Palier",IF(AND(BS$20&gt;='01_Input'!$Z$53,BS$20&lt;'01_Input'!$AA$53),'01_Input'!$AC$53,0),MAX(MIN(BS$20,'01_Input'!$AA$53)-'01_Input'!$Z$53,0)*'01_Input'!$AC$53)))))))))</f>
        <v>900290000</v>
      </c>
      <c r="BT21" s="25">
        <f>IF('01_Input'!$C$53="Non",0,MIN('01_Input'!$I$53,MAX('01_Input'!$H$53,IF('01_Input'!$G$53="Résiduel vs Gestion",0,IF('01_Input'!$G$53="Taux Classe sélectionnée",Distrib_Global_Classe_Selectionnee*BT$20,IF('01_Input'!$G$53="Frais KYC (paliers de 100M€)",MAX(0,Nb_Investisseurs-Nb_KYC_Gratuites_Par_Tranche*(FLOOR(BT$20/Taille_Tranche_KYC,1)+1))*Cout_Par_KYC_Supplementaire,(IF('01_Input'!$L$53="Forfait",IF(BT$20&gt;='01_Input'!$J$53,'01_Input'!$M$53,0),IF('01_Input'!$L$53="Palier",IF(AND(BT$20&gt;='01_Input'!$J$53,BT$20&lt;'01_Input'!$K$53),'01_Input'!$M$53,0),MAX(MIN(BT$20,'01_Input'!$K$53)-'01_Input'!$J$53,0)*'01_Input'!$M$53))+IF('01_Input'!$P$53="Forfait",IF(BT$20&gt;='01_Input'!$N$53,'01_Input'!$Q$53,0),IF('01_Input'!$P$53="Palier",IF(AND(BT$20&gt;='01_Input'!$N$53,BT$20&lt;'01_Input'!$O$53),'01_Input'!$Q$53,0),MAX(MIN(BT$20,'01_Input'!$O$53)-'01_Input'!$N$53,0)*'01_Input'!$Q$53))+IF('01_Input'!$T$53="Forfait",IF(BT$20&gt;='01_Input'!$R$53,'01_Input'!$U$53,0),IF('01_Input'!$T$53="Palier",IF(AND(BT$20&gt;='01_Input'!$R$53,BT$20&lt;'01_Input'!$S$53),'01_Input'!$U$53,0),MAX(MIN(BT$20,'01_Input'!$S$53)-'01_Input'!$R$53,0)*'01_Input'!$U$53))+IF('01_Input'!$X$53="Forfait",IF(BT$20&gt;='01_Input'!$V$53,'01_Input'!$Y$53,0),IF('01_Input'!$X$53="Palier",IF(AND(BT$20&gt;='01_Input'!$V$53,BT$20&lt;'01_Input'!$W$53),'01_Input'!$Y$53,0),MAX(MIN(BT$20,'01_Input'!$W$53)-'01_Input'!$V$53,0)*'01_Input'!$Y$53))+IF('01_Input'!$AB$53="Forfait",IF(BT$20&gt;='01_Input'!$Z$53,'01_Input'!$AC$53,0),IF('01_Input'!$AB$53="Palier",IF(AND(BT$20&gt;='01_Input'!$Z$53,BT$20&lt;'01_Input'!$AA$53),'01_Input'!$AC$53,0),MAX(MIN(BT$20,'01_Input'!$AA$53)-'01_Input'!$Z$53,0)*'01_Input'!$AC$53)))))))))</f>
        <v>900290000</v>
      </c>
      <c r="BU21" s="25">
        <f>IF('01_Input'!$C$53="Non",0,MIN('01_Input'!$I$53,MAX('01_Input'!$H$53,IF('01_Input'!$G$53="Résiduel vs Gestion",0,IF('01_Input'!$G$53="Taux Classe sélectionnée",Distrib_Global_Classe_Selectionnee*BU$20,IF('01_Input'!$G$53="Frais KYC (paliers de 100M€)",MAX(0,Nb_Investisseurs-Nb_KYC_Gratuites_Par_Tranche*(FLOOR(BU$20/Taille_Tranche_KYC,1)+1))*Cout_Par_KYC_Supplementaire,(IF('01_Input'!$L$53="Forfait",IF(BU$20&gt;='01_Input'!$J$53,'01_Input'!$M$53,0),IF('01_Input'!$L$53="Palier",IF(AND(BU$20&gt;='01_Input'!$J$53,BU$20&lt;'01_Input'!$K$53),'01_Input'!$M$53,0),MAX(MIN(BU$20,'01_Input'!$K$53)-'01_Input'!$J$53,0)*'01_Input'!$M$53))+IF('01_Input'!$P$53="Forfait",IF(BU$20&gt;='01_Input'!$N$53,'01_Input'!$Q$53,0),IF('01_Input'!$P$53="Palier",IF(AND(BU$20&gt;='01_Input'!$N$53,BU$20&lt;'01_Input'!$O$53),'01_Input'!$Q$53,0),MAX(MIN(BU$20,'01_Input'!$O$53)-'01_Input'!$N$53,0)*'01_Input'!$Q$53))+IF('01_Input'!$T$53="Forfait",IF(BU$20&gt;='01_Input'!$R$53,'01_Input'!$U$53,0),IF('01_Input'!$T$53="Palier",IF(AND(BU$20&gt;='01_Input'!$R$53,BU$20&lt;'01_Input'!$S$53),'01_Input'!$U$53,0),MAX(MIN(BU$20,'01_Input'!$S$53)-'01_Input'!$R$53,0)*'01_Input'!$U$53))+IF('01_Input'!$X$53="Forfait",IF(BU$20&gt;='01_Input'!$V$53,'01_Input'!$Y$53,0),IF('01_Input'!$X$53="Palier",IF(AND(BU$20&gt;='01_Input'!$V$53,BU$20&lt;'01_Input'!$W$53),'01_Input'!$Y$53,0),MAX(MIN(BU$20,'01_Input'!$W$53)-'01_Input'!$V$53,0)*'01_Input'!$Y$53))+IF('01_Input'!$AB$53="Forfait",IF(BU$20&gt;='01_Input'!$Z$53,'01_Input'!$AC$53,0),IF('01_Input'!$AB$53="Palier",IF(AND(BU$20&gt;='01_Input'!$Z$53,BU$20&lt;'01_Input'!$AA$53),'01_Input'!$AC$53,0),MAX(MIN(BU$20,'01_Input'!$AA$53)-'01_Input'!$Z$53,0)*'01_Input'!$AC$53)))))))))</f>
        <v>900290000</v>
      </c>
      <c r="BV21" s="25">
        <f>IF('01_Input'!$C$53="Non",0,MIN('01_Input'!$I$53,MAX('01_Input'!$H$53,IF('01_Input'!$G$53="Résiduel vs Gestion",0,IF('01_Input'!$G$53="Taux Classe sélectionnée",Distrib_Global_Classe_Selectionnee*BV$20,IF('01_Input'!$G$53="Frais KYC (paliers de 100M€)",MAX(0,Nb_Investisseurs-Nb_KYC_Gratuites_Par_Tranche*(FLOOR(BV$20/Taille_Tranche_KYC,1)+1))*Cout_Par_KYC_Supplementaire,(IF('01_Input'!$L$53="Forfait",IF(BV$20&gt;='01_Input'!$J$53,'01_Input'!$M$53,0),IF('01_Input'!$L$53="Palier",IF(AND(BV$20&gt;='01_Input'!$J$53,BV$20&lt;'01_Input'!$K$53),'01_Input'!$M$53,0),MAX(MIN(BV$20,'01_Input'!$K$53)-'01_Input'!$J$53,0)*'01_Input'!$M$53))+IF('01_Input'!$P$53="Forfait",IF(BV$20&gt;='01_Input'!$N$53,'01_Input'!$Q$53,0),IF('01_Input'!$P$53="Palier",IF(AND(BV$20&gt;='01_Input'!$N$53,BV$20&lt;'01_Input'!$O$53),'01_Input'!$Q$53,0),MAX(MIN(BV$20,'01_Input'!$O$53)-'01_Input'!$N$53,0)*'01_Input'!$Q$53))+IF('01_Input'!$T$53="Forfait",IF(BV$20&gt;='01_Input'!$R$53,'01_Input'!$U$53,0),IF('01_Input'!$T$53="Palier",IF(AND(BV$20&gt;='01_Input'!$R$53,BV$20&lt;'01_Input'!$S$53),'01_Input'!$U$53,0),MAX(MIN(BV$20,'01_Input'!$S$53)-'01_Input'!$R$53,0)*'01_Input'!$U$53))+IF('01_Input'!$X$53="Forfait",IF(BV$20&gt;='01_Input'!$V$53,'01_Input'!$Y$53,0),IF('01_Input'!$X$53="Palier",IF(AND(BV$20&gt;='01_Input'!$V$53,BV$20&lt;'01_Input'!$W$53),'01_Input'!$Y$53,0),MAX(MIN(BV$20,'01_Input'!$W$53)-'01_Input'!$V$53,0)*'01_Input'!$Y$53))+IF('01_Input'!$AB$53="Forfait",IF(BV$20&gt;='01_Input'!$Z$53,'01_Input'!$AC$53,0),IF('01_Input'!$AB$53="Palier",IF(AND(BV$20&gt;='01_Input'!$Z$53,BV$20&lt;'01_Input'!$AA$53),'01_Input'!$AC$53,0),MAX(MIN(BV$20,'01_Input'!$AA$53)-'01_Input'!$Z$53,0)*'01_Input'!$AC$53)))))))))</f>
        <v>900290000</v>
      </c>
      <c r="BW21" s="25">
        <f>IF('01_Input'!$C$53="Non",0,MIN('01_Input'!$I$53,MAX('01_Input'!$H$53,IF('01_Input'!$G$53="Résiduel vs Gestion",0,IF('01_Input'!$G$53="Taux Classe sélectionnée",Distrib_Global_Classe_Selectionnee*BW$20,IF('01_Input'!$G$53="Frais KYC (paliers de 100M€)",MAX(0,Nb_Investisseurs-Nb_KYC_Gratuites_Par_Tranche*(FLOOR(BW$20/Taille_Tranche_KYC,1)+1))*Cout_Par_KYC_Supplementaire,(IF('01_Input'!$L$53="Forfait",IF(BW$20&gt;='01_Input'!$J$53,'01_Input'!$M$53,0),IF('01_Input'!$L$53="Palier",IF(AND(BW$20&gt;='01_Input'!$J$53,BW$20&lt;'01_Input'!$K$53),'01_Input'!$M$53,0),MAX(MIN(BW$20,'01_Input'!$K$53)-'01_Input'!$J$53,0)*'01_Input'!$M$53))+IF('01_Input'!$P$53="Forfait",IF(BW$20&gt;='01_Input'!$N$53,'01_Input'!$Q$53,0),IF('01_Input'!$P$53="Palier",IF(AND(BW$20&gt;='01_Input'!$N$53,BW$20&lt;'01_Input'!$O$53),'01_Input'!$Q$53,0),MAX(MIN(BW$20,'01_Input'!$O$53)-'01_Input'!$N$53,0)*'01_Input'!$Q$53))+IF('01_Input'!$T$53="Forfait",IF(BW$20&gt;='01_Input'!$R$53,'01_Input'!$U$53,0),IF('01_Input'!$T$53="Palier",IF(AND(BW$20&gt;='01_Input'!$R$53,BW$20&lt;'01_Input'!$S$53),'01_Input'!$U$53,0),MAX(MIN(BW$20,'01_Input'!$S$53)-'01_Input'!$R$53,0)*'01_Input'!$U$53))+IF('01_Input'!$X$53="Forfait",IF(BW$20&gt;='01_Input'!$V$53,'01_Input'!$Y$53,0),IF('01_Input'!$X$53="Palier",IF(AND(BW$20&gt;='01_Input'!$V$53,BW$20&lt;'01_Input'!$W$53),'01_Input'!$Y$53,0),MAX(MIN(BW$20,'01_Input'!$W$53)-'01_Input'!$V$53,0)*'01_Input'!$Y$53))+IF('01_Input'!$AB$53="Forfait",IF(BW$20&gt;='01_Input'!$Z$53,'01_Input'!$AC$53,0),IF('01_Input'!$AB$53="Palier",IF(AND(BW$20&gt;='01_Input'!$Z$53,BW$20&lt;'01_Input'!$AA$53),'01_Input'!$AC$53,0),MAX(MIN(BW$20,'01_Input'!$AA$53)-'01_Input'!$Z$53,0)*'01_Input'!$AC$53)))))))))</f>
        <v>900290000</v>
      </c>
      <c r="BX21" s="25">
        <f>IF('01_Input'!$C$53="Non",0,MIN('01_Input'!$I$53,MAX('01_Input'!$H$53,IF('01_Input'!$G$53="Résiduel vs Gestion",0,IF('01_Input'!$G$53="Taux Classe sélectionnée",Distrib_Global_Classe_Selectionnee*BX$20,IF('01_Input'!$G$53="Frais KYC (paliers de 100M€)",MAX(0,Nb_Investisseurs-Nb_KYC_Gratuites_Par_Tranche*(FLOOR(BX$20/Taille_Tranche_KYC,1)+1))*Cout_Par_KYC_Supplementaire,(IF('01_Input'!$L$53="Forfait",IF(BX$20&gt;='01_Input'!$J$53,'01_Input'!$M$53,0),IF('01_Input'!$L$53="Palier",IF(AND(BX$20&gt;='01_Input'!$J$53,BX$20&lt;'01_Input'!$K$53),'01_Input'!$M$53,0),MAX(MIN(BX$20,'01_Input'!$K$53)-'01_Input'!$J$53,0)*'01_Input'!$M$53))+IF('01_Input'!$P$53="Forfait",IF(BX$20&gt;='01_Input'!$N$53,'01_Input'!$Q$53,0),IF('01_Input'!$P$53="Palier",IF(AND(BX$20&gt;='01_Input'!$N$53,BX$20&lt;'01_Input'!$O$53),'01_Input'!$Q$53,0),MAX(MIN(BX$20,'01_Input'!$O$53)-'01_Input'!$N$53,0)*'01_Input'!$Q$53))+IF('01_Input'!$T$53="Forfait",IF(BX$20&gt;='01_Input'!$R$53,'01_Input'!$U$53,0),IF('01_Input'!$T$53="Palier",IF(AND(BX$20&gt;='01_Input'!$R$53,BX$20&lt;'01_Input'!$S$53),'01_Input'!$U$53,0),MAX(MIN(BX$20,'01_Input'!$S$53)-'01_Input'!$R$53,0)*'01_Input'!$U$53))+IF('01_Input'!$X$53="Forfait",IF(BX$20&gt;='01_Input'!$V$53,'01_Input'!$Y$53,0),IF('01_Input'!$X$53="Palier",IF(AND(BX$20&gt;='01_Input'!$V$53,BX$20&lt;'01_Input'!$W$53),'01_Input'!$Y$53,0),MAX(MIN(BX$20,'01_Input'!$W$53)-'01_Input'!$V$53,0)*'01_Input'!$Y$53))+IF('01_Input'!$AB$53="Forfait",IF(BX$20&gt;='01_Input'!$Z$53,'01_Input'!$AC$53,0),IF('01_Input'!$AB$53="Palier",IF(AND(BX$20&gt;='01_Input'!$Z$53,BX$20&lt;'01_Input'!$AA$53),'01_Input'!$AC$53,0),MAX(MIN(BX$20,'01_Input'!$AA$53)-'01_Input'!$Z$53,0)*'01_Input'!$AC$53)))))))))</f>
        <v>900290000</v>
      </c>
      <c r="BY21" s="25">
        <f>IF('01_Input'!$C$53="Non",0,MIN('01_Input'!$I$53,MAX('01_Input'!$H$53,IF('01_Input'!$G$53="Résiduel vs Gestion",0,IF('01_Input'!$G$53="Taux Classe sélectionnée",Distrib_Global_Classe_Selectionnee*BY$20,IF('01_Input'!$G$53="Frais KYC (paliers de 100M€)",MAX(0,Nb_Investisseurs-Nb_KYC_Gratuites_Par_Tranche*(FLOOR(BY$20/Taille_Tranche_KYC,1)+1))*Cout_Par_KYC_Supplementaire,(IF('01_Input'!$L$53="Forfait",IF(BY$20&gt;='01_Input'!$J$53,'01_Input'!$M$53,0),IF('01_Input'!$L$53="Palier",IF(AND(BY$20&gt;='01_Input'!$J$53,BY$20&lt;'01_Input'!$K$53),'01_Input'!$M$53,0),MAX(MIN(BY$20,'01_Input'!$K$53)-'01_Input'!$J$53,0)*'01_Input'!$M$53))+IF('01_Input'!$P$53="Forfait",IF(BY$20&gt;='01_Input'!$N$53,'01_Input'!$Q$53,0),IF('01_Input'!$P$53="Palier",IF(AND(BY$20&gt;='01_Input'!$N$53,BY$20&lt;'01_Input'!$O$53),'01_Input'!$Q$53,0),MAX(MIN(BY$20,'01_Input'!$O$53)-'01_Input'!$N$53,0)*'01_Input'!$Q$53))+IF('01_Input'!$T$53="Forfait",IF(BY$20&gt;='01_Input'!$R$53,'01_Input'!$U$53,0),IF('01_Input'!$T$53="Palier",IF(AND(BY$20&gt;='01_Input'!$R$53,BY$20&lt;'01_Input'!$S$53),'01_Input'!$U$53,0),MAX(MIN(BY$20,'01_Input'!$S$53)-'01_Input'!$R$53,0)*'01_Input'!$U$53))+IF('01_Input'!$X$53="Forfait",IF(BY$20&gt;='01_Input'!$V$53,'01_Input'!$Y$53,0),IF('01_Input'!$X$53="Palier",IF(AND(BY$20&gt;='01_Input'!$V$53,BY$20&lt;'01_Input'!$W$53),'01_Input'!$Y$53,0),MAX(MIN(BY$20,'01_Input'!$W$53)-'01_Input'!$V$53,0)*'01_Input'!$Y$53))+IF('01_Input'!$AB$53="Forfait",IF(BY$20&gt;='01_Input'!$Z$53,'01_Input'!$AC$53,0),IF('01_Input'!$AB$53="Palier",IF(AND(BY$20&gt;='01_Input'!$Z$53,BY$20&lt;'01_Input'!$AA$53),'01_Input'!$AC$53,0),MAX(MIN(BY$20,'01_Input'!$AA$53)-'01_Input'!$Z$53,0)*'01_Input'!$AC$53)))))))))</f>
        <v>900290000</v>
      </c>
      <c r="BZ21" s="25">
        <f>IF('01_Input'!$C$53="Non",0,MIN('01_Input'!$I$53,MAX('01_Input'!$H$53,IF('01_Input'!$G$53="Résiduel vs Gestion",0,IF('01_Input'!$G$53="Taux Classe sélectionnée",Distrib_Global_Classe_Selectionnee*BZ$20,IF('01_Input'!$G$53="Frais KYC (paliers de 100M€)",MAX(0,Nb_Investisseurs-Nb_KYC_Gratuites_Par_Tranche*(FLOOR(BZ$20/Taille_Tranche_KYC,1)+1))*Cout_Par_KYC_Supplementaire,(IF('01_Input'!$L$53="Forfait",IF(BZ$20&gt;='01_Input'!$J$53,'01_Input'!$M$53,0),IF('01_Input'!$L$53="Palier",IF(AND(BZ$20&gt;='01_Input'!$J$53,BZ$20&lt;'01_Input'!$K$53),'01_Input'!$M$53,0),MAX(MIN(BZ$20,'01_Input'!$K$53)-'01_Input'!$J$53,0)*'01_Input'!$M$53))+IF('01_Input'!$P$53="Forfait",IF(BZ$20&gt;='01_Input'!$N$53,'01_Input'!$Q$53,0),IF('01_Input'!$P$53="Palier",IF(AND(BZ$20&gt;='01_Input'!$N$53,BZ$20&lt;'01_Input'!$O$53),'01_Input'!$Q$53,0),MAX(MIN(BZ$20,'01_Input'!$O$53)-'01_Input'!$N$53,0)*'01_Input'!$Q$53))+IF('01_Input'!$T$53="Forfait",IF(BZ$20&gt;='01_Input'!$R$53,'01_Input'!$U$53,0),IF('01_Input'!$T$53="Palier",IF(AND(BZ$20&gt;='01_Input'!$R$53,BZ$20&lt;'01_Input'!$S$53),'01_Input'!$U$53,0),MAX(MIN(BZ$20,'01_Input'!$S$53)-'01_Input'!$R$53,0)*'01_Input'!$U$53))+IF('01_Input'!$X$53="Forfait",IF(BZ$20&gt;='01_Input'!$V$53,'01_Input'!$Y$53,0),IF('01_Input'!$X$53="Palier",IF(AND(BZ$20&gt;='01_Input'!$V$53,BZ$20&lt;'01_Input'!$W$53),'01_Input'!$Y$53,0),MAX(MIN(BZ$20,'01_Input'!$W$53)-'01_Input'!$V$53,0)*'01_Input'!$Y$53))+IF('01_Input'!$AB$53="Forfait",IF(BZ$20&gt;='01_Input'!$Z$53,'01_Input'!$AC$53,0),IF('01_Input'!$AB$53="Palier",IF(AND(BZ$20&gt;='01_Input'!$Z$53,BZ$20&lt;'01_Input'!$AA$53),'01_Input'!$AC$53,0),MAX(MIN(BZ$20,'01_Input'!$AA$53)-'01_Input'!$Z$53,0)*'01_Input'!$AC$53)))))))))</f>
        <v>900290000</v>
      </c>
      <c r="CA21" s="25">
        <f>IF('01_Input'!$C$53="Non",0,MIN('01_Input'!$I$53,MAX('01_Input'!$H$53,IF('01_Input'!$G$53="Résiduel vs Gestion",0,IF('01_Input'!$G$53="Taux Classe sélectionnée",Distrib_Global_Classe_Selectionnee*CA$20,IF('01_Input'!$G$53="Frais KYC (paliers de 100M€)",MAX(0,Nb_Investisseurs-Nb_KYC_Gratuites_Par_Tranche*(FLOOR(CA$20/Taille_Tranche_KYC,1)+1))*Cout_Par_KYC_Supplementaire,(IF('01_Input'!$L$53="Forfait",IF(CA$20&gt;='01_Input'!$J$53,'01_Input'!$M$53,0),IF('01_Input'!$L$53="Palier",IF(AND(CA$20&gt;='01_Input'!$J$53,CA$20&lt;'01_Input'!$K$53),'01_Input'!$M$53,0),MAX(MIN(CA$20,'01_Input'!$K$53)-'01_Input'!$J$53,0)*'01_Input'!$M$53))+IF('01_Input'!$P$53="Forfait",IF(CA$20&gt;='01_Input'!$N$53,'01_Input'!$Q$53,0),IF('01_Input'!$P$53="Palier",IF(AND(CA$20&gt;='01_Input'!$N$53,CA$20&lt;'01_Input'!$O$53),'01_Input'!$Q$53,0),MAX(MIN(CA$20,'01_Input'!$O$53)-'01_Input'!$N$53,0)*'01_Input'!$Q$53))+IF('01_Input'!$T$53="Forfait",IF(CA$20&gt;='01_Input'!$R$53,'01_Input'!$U$53,0),IF('01_Input'!$T$53="Palier",IF(AND(CA$20&gt;='01_Input'!$R$53,CA$20&lt;'01_Input'!$S$53),'01_Input'!$U$53,0),MAX(MIN(CA$20,'01_Input'!$S$53)-'01_Input'!$R$53,0)*'01_Input'!$U$53))+IF('01_Input'!$X$53="Forfait",IF(CA$20&gt;='01_Input'!$V$53,'01_Input'!$Y$53,0),IF('01_Input'!$X$53="Palier",IF(AND(CA$20&gt;='01_Input'!$V$53,CA$20&lt;'01_Input'!$W$53),'01_Input'!$Y$53,0),MAX(MIN(CA$20,'01_Input'!$W$53)-'01_Input'!$V$53,0)*'01_Input'!$Y$53))+IF('01_Input'!$AB$53="Forfait",IF(CA$20&gt;='01_Input'!$Z$53,'01_Input'!$AC$53,0),IF('01_Input'!$AB$53="Palier",IF(AND(CA$20&gt;='01_Input'!$Z$53,CA$20&lt;'01_Input'!$AA$53),'01_Input'!$AC$53,0),MAX(MIN(CA$20,'01_Input'!$AA$53)-'01_Input'!$Z$53,0)*'01_Input'!$AC$53)))))))))</f>
        <v>900290000</v>
      </c>
      <c r="CB21" s="25">
        <f>IF('01_Input'!$C$53="Non",0,MIN('01_Input'!$I$53,MAX('01_Input'!$H$53,IF('01_Input'!$G$53="Résiduel vs Gestion",0,IF('01_Input'!$G$53="Taux Classe sélectionnée",Distrib_Global_Classe_Selectionnee*CB$20,IF('01_Input'!$G$53="Frais KYC (paliers de 100M€)",MAX(0,Nb_Investisseurs-Nb_KYC_Gratuites_Par_Tranche*(FLOOR(CB$20/Taille_Tranche_KYC,1)+1))*Cout_Par_KYC_Supplementaire,(IF('01_Input'!$L$53="Forfait",IF(CB$20&gt;='01_Input'!$J$53,'01_Input'!$M$53,0),IF('01_Input'!$L$53="Palier",IF(AND(CB$20&gt;='01_Input'!$J$53,CB$20&lt;'01_Input'!$K$53),'01_Input'!$M$53,0),MAX(MIN(CB$20,'01_Input'!$K$53)-'01_Input'!$J$53,0)*'01_Input'!$M$53))+IF('01_Input'!$P$53="Forfait",IF(CB$20&gt;='01_Input'!$N$53,'01_Input'!$Q$53,0),IF('01_Input'!$P$53="Palier",IF(AND(CB$20&gt;='01_Input'!$N$53,CB$20&lt;'01_Input'!$O$53),'01_Input'!$Q$53,0),MAX(MIN(CB$20,'01_Input'!$O$53)-'01_Input'!$N$53,0)*'01_Input'!$Q$53))+IF('01_Input'!$T$53="Forfait",IF(CB$20&gt;='01_Input'!$R$53,'01_Input'!$U$53,0),IF('01_Input'!$T$53="Palier",IF(AND(CB$20&gt;='01_Input'!$R$53,CB$20&lt;'01_Input'!$S$53),'01_Input'!$U$53,0),MAX(MIN(CB$20,'01_Input'!$S$53)-'01_Input'!$R$53,0)*'01_Input'!$U$53))+IF('01_Input'!$X$53="Forfait",IF(CB$20&gt;='01_Input'!$V$53,'01_Input'!$Y$53,0),IF('01_Input'!$X$53="Palier",IF(AND(CB$20&gt;='01_Input'!$V$53,CB$20&lt;'01_Input'!$W$53),'01_Input'!$Y$53,0),MAX(MIN(CB$20,'01_Input'!$W$53)-'01_Input'!$V$53,0)*'01_Input'!$Y$53))+IF('01_Input'!$AB$53="Forfait",IF(CB$20&gt;='01_Input'!$Z$53,'01_Input'!$AC$53,0),IF('01_Input'!$AB$53="Palier",IF(AND(CB$20&gt;='01_Input'!$Z$53,CB$20&lt;'01_Input'!$AA$53),'01_Input'!$AC$53,0),MAX(MIN(CB$20,'01_Input'!$AA$53)-'01_Input'!$Z$53,0)*'01_Input'!$AC$53)))))))))</f>
        <v>900290000</v>
      </c>
      <c r="CC21" s="25">
        <f>IF('01_Input'!$C$53="Non",0,MIN('01_Input'!$I$53,MAX('01_Input'!$H$53,IF('01_Input'!$G$53="Résiduel vs Gestion",0,IF('01_Input'!$G$53="Taux Classe sélectionnée",Distrib_Global_Classe_Selectionnee*CC$20,IF('01_Input'!$G$53="Frais KYC (paliers de 100M€)",MAX(0,Nb_Investisseurs-Nb_KYC_Gratuites_Par_Tranche*(FLOOR(CC$20/Taille_Tranche_KYC,1)+1))*Cout_Par_KYC_Supplementaire,(IF('01_Input'!$L$53="Forfait",IF(CC$20&gt;='01_Input'!$J$53,'01_Input'!$M$53,0),IF('01_Input'!$L$53="Palier",IF(AND(CC$20&gt;='01_Input'!$J$53,CC$20&lt;'01_Input'!$K$53),'01_Input'!$M$53,0),MAX(MIN(CC$20,'01_Input'!$K$53)-'01_Input'!$J$53,0)*'01_Input'!$M$53))+IF('01_Input'!$P$53="Forfait",IF(CC$20&gt;='01_Input'!$N$53,'01_Input'!$Q$53,0),IF('01_Input'!$P$53="Palier",IF(AND(CC$20&gt;='01_Input'!$N$53,CC$20&lt;'01_Input'!$O$53),'01_Input'!$Q$53,0),MAX(MIN(CC$20,'01_Input'!$O$53)-'01_Input'!$N$53,0)*'01_Input'!$Q$53))+IF('01_Input'!$T$53="Forfait",IF(CC$20&gt;='01_Input'!$R$53,'01_Input'!$U$53,0),IF('01_Input'!$T$53="Palier",IF(AND(CC$20&gt;='01_Input'!$R$53,CC$20&lt;'01_Input'!$S$53),'01_Input'!$U$53,0),MAX(MIN(CC$20,'01_Input'!$S$53)-'01_Input'!$R$53,0)*'01_Input'!$U$53))+IF('01_Input'!$X$53="Forfait",IF(CC$20&gt;='01_Input'!$V$53,'01_Input'!$Y$53,0),IF('01_Input'!$X$53="Palier",IF(AND(CC$20&gt;='01_Input'!$V$53,CC$20&lt;'01_Input'!$W$53),'01_Input'!$Y$53,0),MAX(MIN(CC$20,'01_Input'!$W$53)-'01_Input'!$V$53,0)*'01_Input'!$Y$53))+IF('01_Input'!$AB$53="Forfait",IF(CC$20&gt;='01_Input'!$Z$53,'01_Input'!$AC$53,0),IF('01_Input'!$AB$53="Palier",IF(AND(CC$20&gt;='01_Input'!$Z$53,CC$20&lt;'01_Input'!$AA$53),'01_Input'!$AC$53,0),MAX(MIN(CC$20,'01_Input'!$AA$53)-'01_Input'!$Z$53,0)*'01_Input'!$AC$53)))))))))</f>
        <v>900290000</v>
      </c>
      <c r="CD21" s="25">
        <f>IF('01_Input'!$C$53="Non",0,MIN('01_Input'!$I$53,MAX('01_Input'!$H$53,IF('01_Input'!$G$53="Résiduel vs Gestion",0,IF('01_Input'!$G$53="Taux Classe sélectionnée",Distrib_Global_Classe_Selectionnee*CD$20,IF('01_Input'!$G$53="Frais KYC (paliers de 100M€)",MAX(0,Nb_Investisseurs-Nb_KYC_Gratuites_Par_Tranche*(FLOOR(CD$20/Taille_Tranche_KYC,1)+1))*Cout_Par_KYC_Supplementaire,(IF('01_Input'!$L$53="Forfait",IF(CD$20&gt;='01_Input'!$J$53,'01_Input'!$M$53,0),IF('01_Input'!$L$53="Palier",IF(AND(CD$20&gt;='01_Input'!$J$53,CD$20&lt;'01_Input'!$K$53),'01_Input'!$M$53,0),MAX(MIN(CD$20,'01_Input'!$K$53)-'01_Input'!$J$53,0)*'01_Input'!$M$53))+IF('01_Input'!$P$53="Forfait",IF(CD$20&gt;='01_Input'!$N$53,'01_Input'!$Q$53,0),IF('01_Input'!$P$53="Palier",IF(AND(CD$20&gt;='01_Input'!$N$53,CD$20&lt;'01_Input'!$O$53),'01_Input'!$Q$53,0),MAX(MIN(CD$20,'01_Input'!$O$53)-'01_Input'!$N$53,0)*'01_Input'!$Q$53))+IF('01_Input'!$T$53="Forfait",IF(CD$20&gt;='01_Input'!$R$53,'01_Input'!$U$53,0),IF('01_Input'!$T$53="Palier",IF(AND(CD$20&gt;='01_Input'!$R$53,CD$20&lt;'01_Input'!$S$53),'01_Input'!$U$53,0),MAX(MIN(CD$20,'01_Input'!$S$53)-'01_Input'!$R$53,0)*'01_Input'!$U$53))+IF('01_Input'!$X$53="Forfait",IF(CD$20&gt;='01_Input'!$V$53,'01_Input'!$Y$53,0),IF('01_Input'!$X$53="Palier",IF(AND(CD$20&gt;='01_Input'!$V$53,CD$20&lt;'01_Input'!$W$53),'01_Input'!$Y$53,0),MAX(MIN(CD$20,'01_Input'!$W$53)-'01_Input'!$V$53,0)*'01_Input'!$Y$53))+IF('01_Input'!$AB$53="Forfait",IF(CD$20&gt;='01_Input'!$Z$53,'01_Input'!$AC$53,0),IF('01_Input'!$AB$53="Palier",IF(AND(CD$20&gt;='01_Input'!$Z$53,CD$20&lt;'01_Input'!$AA$53),'01_Input'!$AC$53,0),MAX(MIN(CD$20,'01_Input'!$AA$53)-'01_Input'!$Z$53,0)*'01_Input'!$AC$53)))))))))</f>
        <v>900290000</v>
      </c>
      <c r="CE21" s="25">
        <f>IF('01_Input'!$C$53="Non",0,MIN('01_Input'!$I$53,MAX('01_Input'!$H$53,IF('01_Input'!$G$53="Résiduel vs Gestion",0,IF('01_Input'!$G$53="Taux Classe sélectionnée",Distrib_Global_Classe_Selectionnee*CE$20,IF('01_Input'!$G$53="Frais KYC (paliers de 100M€)",MAX(0,Nb_Investisseurs-Nb_KYC_Gratuites_Par_Tranche*(FLOOR(CE$20/Taille_Tranche_KYC,1)+1))*Cout_Par_KYC_Supplementaire,(IF('01_Input'!$L$53="Forfait",IF(CE$20&gt;='01_Input'!$J$53,'01_Input'!$M$53,0),IF('01_Input'!$L$53="Palier",IF(AND(CE$20&gt;='01_Input'!$J$53,CE$20&lt;'01_Input'!$K$53),'01_Input'!$M$53,0),MAX(MIN(CE$20,'01_Input'!$K$53)-'01_Input'!$J$53,0)*'01_Input'!$M$53))+IF('01_Input'!$P$53="Forfait",IF(CE$20&gt;='01_Input'!$N$53,'01_Input'!$Q$53,0),IF('01_Input'!$P$53="Palier",IF(AND(CE$20&gt;='01_Input'!$N$53,CE$20&lt;'01_Input'!$O$53),'01_Input'!$Q$53,0),MAX(MIN(CE$20,'01_Input'!$O$53)-'01_Input'!$N$53,0)*'01_Input'!$Q$53))+IF('01_Input'!$T$53="Forfait",IF(CE$20&gt;='01_Input'!$R$53,'01_Input'!$U$53,0),IF('01_Input'!$T$53="Palier",IF(AND(CE$20&gt;='01_Input'!$R$53,CE$20&lt;'01_Input'!$S$53),'01_Input'!$U$53,0),MAX(MIN(CE$20,'01_Input'!$S$53)-'01_Input'!$R$53,0)*'01_Input'!$U$53))+IF('01_Input'!$X$53="Forfait",IF(CE$20&gt;='01_Input'!$V$53,'01_Input'!$Y$53,0),IF('01_Input'!$X$53="Palier",IF(AND(CE$20&gt;='01_Input'!$V$53,CE$20&lt;'01_Input'!$W$53),'01_Input'!$Y$53,0),MAX(MIN(CE$20,'01_Input'!$W$53)-'01_Input'!$V$53,0)*'01_Input'!$Y$53))+IF('01_Input'!$AB$53="Forfait",IF(CE$20&gt;='01_Input'!$Z$53,'01_Input'!$AC$53,0),IF('01_Input'!$AB$53="Palier",IF(AND(CE$20&gt;='01_Input'!$Z$53,CE$20&lt;'01_Input'!$AA$53),'01_Input'!$AC$53,0),MAX(MIN(CE$20,'01_Input'!$AA$53)-'01_Input'!$Z$53,0)*'01_Input'!$AC$53)))))))))</f>
        <v>900290000</v>
      </c>
      <c r="CF21" s="25">
        <f>IF('01_Input'!$C$53="Non",0,MIN('01_Input'!$I$53,MAX('01_Input'!$H$53,IF('01_Input'!$G$53="Résiduel vs Gestion",0,IF('01_Input'!$G$53="Taux Classe sélectionnée",Distrib_Global_Classe_Selectionnee*CF$20,IF('01_Input'!$G$53="Frais KYC (paliers de 100M€)",MAX(0,Nb_Investisseurs-Nb_KYC_Gratuites_Par_Tranche*(FLOOR(CF$20/Taille_Tranche_KYC,1)+1))*Cout_Par_KYC_Supplementaire,(IF('01_Input'!$L$53="Forfait",IF(CF$20&gt;='01_Input'!$J$53,'01_Input'!$M$53,0),IF('01_Input'!$L$53="Palier",IF(AND(CF$20&gt;='01_Input'!$J$53,CF$20&lt;'01_Input'!$K$53),'01_Input'!$M$53,0),MAX(MIN(CF$20,'01_Input'!$K$53)-'01_Input'!$J$53,0)*'01_Input'!$M$53))+IF('01_Input'!$P$53="Forfait",IF(CF$20&gt;='01_Input'!$N$53,'01_Input'!$Q$53,0),IF('01_Input'!$P$53="Palier",IF(AND(CF$20&gt;='01_Input'!$N$53,CF$20&lt;'01_Input'!$O$53),'01_Input'!$Q$53,0),MAX(MIN(CF$20,'01_Input'!$O$53)-'01_Input'!$N$53,0)*'01_Input'!$Q$53))+IF('01_Input'!$T$53="Forfait",IF(CF$20&gt;='01_Input'!$R$53,'01_Input'!$U$53,0),IF('01_Input'!$T$53="Palier",IF(AND(CF$20&gt;='01_Input'!$R$53,CF$20&lt;'01_Input'!$S$53),'01_Input'!$U$53,0),MAX(MIN(CF$20,'01_Input'!$S$53)-'01_Input'!$R$53,0)*'01_Input'!$U$53))+IF('01_Input'!$X$53="Forfait",IF(CF$20&gt;='01_Input'!$V$53,'01_Input'!$Y$53,0),IF('01_Input'!$X$53="Palier",IF(AND(CF$20&gt;='01_Input'!$V$53,CF$20&lt;'01_Input'!$W$53),'01_Input'!$Y$53,0),MAX(MIN(CF$20,'01_Input'!$W$53)-'01_Input'!$V$53,0)*'01_Input'!$Y$53))+IF('01_Input'!$AB$53="Forfait",IF(CF$20&gt;='01_Input'!$Z$53,'01_Input'!$AC$53,0),IF('01_Input'!$AB$53="Palier",IF(AND(CF$20&gt;='01_Input'!$Z$53,CF$20&lt;'01_Input'!$AA$53),'01_Input'!$AC$53,0),MAX(MIN(CF$20,'01_Input'!$AA$53)-'01_Input'!$Z$53,0)*'01_Input'!$AC$53)))))))))</f>
        <v>900290000</v>
      </c>
      <c r="CG21" s="25">
        <f>IF('01_Input'!$C$53="Non",0,MIN('01_Input'!$I$53,MAX('01_Input'!$H$53,IF('01_Input'!$G$53="Résiduel vs Gestion",0,IF('01_Input'!$G$53="Taux Classe sélectionnée",Distrib_Global_Classe_Selectionnee*CG$20,IF('01_Input'!$G$53="Frais KYC (paliers de 100M€)",MAX(0,Nb_Investisseurs-Nb_KYC_Gratuites_Par_Tranche*(FLOOR(CG$20/Taille_Tranche_KYC,1)+1))*Cout_Par_KYC_Supplementaire,(IF('01_Input'!$L$53="Forfait",IF(CG$20&gt;='01_Input'!$J$53,'01_Input'!$M$53,0),IF('01_Input'!$L$53="Palier",IF(AND(CG$20&gt;='01_Input'!$J$53,CG$20&lt;'01_Input'!$K$53),'01_Input'!$M$53,0),MAX(MIN(CG$20,'01_Input'!$K$53)-'01_Input'!$J$53,0)*'01_Input'!$M$53))+IF('01_Input'!$P$53="Forfait",IF(CG$20&gt;='01_Input'!$N$53,'01_Input'!$Q$53,0),IF('01_Input'!$P$53="Palier",IF(AND(CG$20&gt;='01_Input'!$N$53,CG$20&lt;'01_Input'!$O$53),'01_Input'!$Q$53,0),MAX(MIN(CG$20,'01_Input'!$O$53)-'01_Input'!$N$53,0)*'01_Input'!$Q$53))+IF('01_Input'!$T$53="Forfait",IF(CG$20&gt;='01_Input'!$R$53,'01_Input'!$U$53,0),IF('01_Input'!$T$53="Palier",IF(AND(CG$20&gt;='01_Input'!$R$53,CG$20&lt;'01_Input'!$S$53),'01_Input'!$U$53,0),MAX(MIN(CG$20,'01_Input'!$S$53)-'01_Input'!$R$53,0)*'01_Input'!$U$53))+IF('01_Input'!$X$53="Forfait",IF(CG$20&gt;='01_Input'!$V$53,'01_Input'!$Y$53,0),IF('01_Input'!$X$53="Palier",IF(AND(CG$20&gt;='01_Input'!$V$53,CG$20&lt;'01_Input'!$W$53),'01_Input'!$Y$53,0),MAX(MIN(CG$20,'01_Input'!$W$53)-'01_Input'!$V$53,0)*'01_Input'!$Y$53))+IF('01_Input'!$AB$53="Forfait",IF(CG$20&gt;='01_Input'!$Z$53,'01_Input'!$AC$53,0),IF('01_Input'!$AB$53="Palier",IF(AND(CG$20&gt;='01_Input'!$Z$53,CG$20&lt;'01_Input'!$AA$53),'01_Input'!$AC$53,0),MAX(MIN(CG$20,'01_Input'!$AA$53)-'01_Input'!$Z$53,0)*'01_Input'!$AC$53)))))))))</f>
        <v>900290000</v>
      </c>
      <c r="CH21" s="25">
        <f>IF('01_Input'!$C$53="Non",0,MIN('01_Input'!$I$53,MAX('01_Input'!$H$53,IF('01_Input'!$G$53="Résiduel vs Gestion",0,IF('01_Input'!$G$53="Taux Classe sélectionnée",Distrib_Global_Classe_Selectionnee*CH$20,IF('01_Input'!$G$53="Frais KYC (paliers de 100M€)",MAX(0,Nb_Investisseurs-Nb_KYC_Gratuites_Par_Tranche*(FLOOR(CH$20/Taille_Tranche_KYC,1)+1))*Cout_Par_KYC_Supplementaire,(IF('01_Input'!$L$53="Forfait",IF(CH$20&gt;='01_Input'!$J$53,'01_Input'!$M$53,0),IF('01_Input'!$L$53="Palier",IF(AND(CH$20&gt;='01_Input'!$J$53,CH$20&lt;'01_Input'!$K$53),'01_Input'!$M$53,0),MAX(MIN(CH$20,'01_Input'!$K$53)-'01_Input'!$J$53,0)*'01_Input'!$M$53))+IF('01_Input'!$P$53="Forfait",IF(CH$20&gt;='01_Input'!$N$53,'01_Input'!$Q$53,0),IF('01_Input'!$P$53="Palier",IF(AND(CH$20&gt;='01_Input'!$N$53,CH$20&lt;'01_Input'!$O$53),'01_Input'!$Q$53,0),MAX(MIN(CH$20,'01_Input'!$O$53)-'01_Input'!$N$53,0)*'01_Input'!$Q$53))+IF('01_Input'!$T$53="Forfait",IF(CH$20&gt;='01_Input'!$R$53,'01_Input'!$U$53,0),IF('01_Input'!$T$53="Palier",IF(AND(CH$20&gt;='01_Input'!$R$53,CH$20&lt;'01_Input'!$S$53),'01_Input'!$U$53,0),MAX(MIN(CH$20,'01_Input'!$S$53)-'01_Input'!$R$53,0)*'01_Input'!$U$53))+IF('01_Input'!$X$53="Forfait",IF(CH$20&gt;='01_Input'!$V$53,'01_Input'!$Y$53,0),IF('01_Input'!$X$53="Palier",IF(AND(CH$20&gt;='01_Input'!$V$53,CH$20&lt;'01_Input'!$W$53),'01_Input'!$Y$53,0),MAX(MIN(CH$20,'01_Input'!$W$53)-'01_Input'!$V$53,0)*'01_Input'!$Y$53))+IF('01_Input'!$AB$53="Forfait",IF(CH$20&gt;='01_Input'!$Z$53,'01_Input'!$AC$53,0),IF('01_Input'!$AB$53="Palier",IF(AND(CH$20&gt;='01_Input'!$Z$53,CH$20&lt;'01_Input'!$AA$53),'01_Input'!$AC$53,0),MAX(MIN(CH$20,'01_Input'!$AA$53)-'01_Input'!$Z$53,0)*'01_Input'!$AC$53)))))))))</f>
        <v>900290000</v>
      </c>
      <c r="CI21" s="25">
        <f>IF('01_Input'!$C$53="Non",0,MIN('01_Input'!$I$53,MAX('01_Input'!$H$53,IF('01_Input'!$G$53="Résiduel vs Gestion",0,IF('01_Input'!$G$53="Taux Classe sélectionnée",Distrib_Global_Classe_Selectionnee*CI$20,IF('01_Input'!$G$53="Frais KYC (paliers de 100M€)",MAX(0,Nb_Investisseurs-Nb_KYC_Gratuites_Par_Tranche*(FLOOR(CI$20/Taille_Tranche_KYC,1)+1))*Cout_Par_KYC_Supplementaire,(IF('01_Input'!$L$53="Forfait",IF(CI$20&gt;='01_Input'!$J$53,'01_Input'!$M$53,0),IF('01_Input'!$L$53="Palier",IF(AND(CI$20&gt;='01_Input'!$J$53,CI$20&lt;'01_Input'!$K$53),'01_Input'!$M$53,0),MAX(MIN(CI$20,'01_Input'!$K$53)-'01_Input'!$J$53,0)*'01_Input'!$M$53))+IF('01_Input'!$P$53="Forfait",IF(CI$20&gt;='01_Input'!$N$53,'01_Input'!$Q$53,0),IF('01_Input'!$P$53="Palier",IF(AND(CI$20&gt;='01_Input'!$N$53,CI$20&lt;'01_Input'!$O$53),'01_Input'!$Q$53,0),MAX(MIN(CI$20,'01_Input'!$O$53)-'01_Input'!$N$53,0)*'01_Input'!$Q$53))+IF('01_Input'!$T$53="Forfait",IF(CI$20&gt;='01_Input'!$R$53,'01_Input'!$U$53,0),IF('01_Input'!$T$53="Palier",IF(AND(CI$20&gt;='01_Input'!$R$53,CI$20&lt;'01_Input'!$S$53),'01_Input'!$U$53,0),MAX(MIN(CI$20,'01_Input'!$S$53)-'01_Input'!$R$53,0)*'01_Input'!$U$53))+IF('01_Input'!$X$53="Forfait",IF(CI$20&gt;='01_Input'!$V$53,'01_Input'!$Y$53,0),IF('01_Input'!$X$53="Palier",IF(AND(CI$20&gt;='01_Input'!$V$53,CI$20&lt;'01_Input'!$W$53),'01_Input'!$Y$53,0),MAX(MIN(CI$20,'01_Input'!$W$53)-'01_Input'!$V$53,0)*'01_Input'!$Y$53))+IF('01_Input'!$AB$53="Forfait",IF(CI$20&gt;='01_Input'!$Z$53,'01_Input'!$AC$53,0),IF('01_Input'!$AB$53="Palier",IF(AND(CI$20&gt;='01_Input'!$Z$53,CI$20&lt;'01_Input'!$AA$53),'01_Input'!$AC$53,0),MAX(MIN(CI$20,'01_Input'!$AA$53)-'01_Input'!$Z$53,0)*'01_Input'!$AC$53)))))))))</f>
        <v>900290000</v>
      </c>
      <c r="CJ21" s="25">
        <f>IF('01_Input'!$C$53="Non",0,MIN('01_Input'!$I$53,MAX('01_Input'!$H$53,IF('01_Input'!$G$53="Résiduel vs Gestion",0,IF('01_Input'!$G$53="Taux Classe sélectionnée",Distrib_Global_Classe_Selectionnee*CJ$20,IF('01_Input'!$G$53="Frais KYC (paliers de 100M€)",MAX(0,Nb_Investisseurs-Nb_KYC_Gratuites_Par_Tranche*(FLOOR(CJ$20/Taille_Tranche_KYC,1)+1))*Cout_Par_KYC_Supplementaire,(IF('01_Input'!$L$53="Forfait",IF(CJ$20&gt;='01_Input'!$J$53,'01_Input'!$M$53,0),IF('01_Input'!$L$53="Palier",IF(AND(CJ$20&gt;='01_Input'!$J$53,CJ$20&lt;'01_Input'!$K$53),'01_Input'!$M$53,0),MAX(MIN(CJ$20,'01_Input'!$K$53)-'01_Input'!$J$53,0)*'01_Input'!$M$53))+IF('01_Input'!$P$53="Forfait",IF(CJ$20&gt;='01_Input'!$N$53,'01_Input'!$Q$53,0),IF('01_Input'!$P$53="Palier",IF(AND(CJ$20&gt;='01_Input'!$N$53,CJ$20&lt;'01_Input'!$O$53),'01_Input'!$Q$53,0),MAX(MIN(CJ$20,'01_Input'!$O$53)-'01_Input'!$N$53,0)*'01_Input'!$Q$53))+IF('01_Input'!$T$53="Forfait",IF(CJ$20&gt;='01_Input'!$R$53,'01_Input'!$U$53,0),IF('01_Input'!$T$53="Palier",IF(AND(CJ$20&gt;='01_Input'!$R$53,CJ$20&lt;'01_Input'!$S$53),'01_Input'!$U$53,0),MAX(MIN(CJ$20,'01_Input'!$S$53)-'01_Input'!$R$53,0)*'01_Input'!$U$53))+IF('01_Input'!$X$53="Forfait",IF(CJ$20&gt;='01_Input'!$V$53,'01_Input'!$Y$53,0),IF('01_Input'!$X$53="Palier",IF(AND(CJ$20&gt;='01_Input'!$V$53,CJ$20&lt;'01_Input'!$W$53),'01_Input'!$Y$53,0),MAX(MIN(CJ$20,'01_Input'!$W$53)-'01_Input'!$V$53,0)*'01_Input'!$Y$53))+IF('01_Input'!$AB$53="Forfait",IF(CJ$20&gt;='01_Input'!$Z$53,'01_Input'!$AC$53,0),IF('01_Input'!$AB$53="Palier",IF(AND(CJ$20&gt;='01_Input'!$Z$53,CJ$20&lt;'01_Input'!$AA$53),'01_Input'!$AC$53,0),MAX(MIN(CJ$20,'01_Input'!$AA$53)-'01_Input'!$Z$53,0)*'01_Input'!$AC$53)))))))))</f>
        <v>900290000</v>
      </c>
      <c r="CK21" s="25">
        <f>IF('01_Input'!$C$53="Non",0,MIN('01_Input'!$I$53,MAX('01_Input'!$H$53,IF('01_Input'!$G$53="Résiduel vs Gestion",0,IF('01_Input'!$G$53="Taux Classe sélectionnée",Distrib_Global_Classe_Selectionnee*CK$20,IF('01_Input'!$G$53="Frais KYC (paliers de 100M€)",MAX(0,Nb_Investisseurs-Nb_KYC_Gratuites_Par_Tranche*(FLOOR(CK$20/Taille_Tranche_KYC,1)+1))*Cout_Par_KYC_Supplementaire,(IF('01_Input'!$L$53="Forfait",IF(CK$20&gt;='01_Input'!$J$53,'01_Input'!$M$53,0),IF('01_Input'!$L$53="Palier",IF(AND(CK$20&gt;='01_Input'!$J$53,CK$20&lt;'01_Input'!$K$53),'01_Input'!$M$53,0),MAX(MIN(CK$20,'01_Input'!$K$53)-'01_Input'!$J$53,0)*'01_Input'!$M$53))+IF('01_Input'!$P$53="Forfait",IF(CK$20&gt;='01_Input'!$N$53,'01_Input'!$Q$53,0),IF('01_Input'!$P$53="Palier",IF(AND(CK$20&gt;='01_Input'!$N$53,CK$20&lt;'01_Input'!$O$53),'01_Input'!$Q$53,0),MAX(MIN(CK$20,'01_Input'!$O$53)-'01_Input'!$N$53,0)*'01_Input'!$Q$53))+IF('01_Input'!$T$53="Forfait",IF(CK$20&gt;='01_Input'!$R$53,'01_Input'!$U$53,0),IF('01_Input'!$T$53="Palier",IF(AND(CK$20&gt;='01_Input'!$R$53,CK$20&lt;'01_Input'!$S$53),'01_Input'!$U$53,0),MAX(MIN(CK$20,'01_Input'!$S$53)-'01_Input'!$R$53,0)*'01_Input'!$U$53))+IF('01_Input'!$X$53="Forfait",IF(CK$20&gt;='01_Input'!$V$53,'01_Input'!$Y$53,0),IF('01_Input'!$X$53="Palier",IF(AND(CK$20&gt;='01_Input'!$V$53,CK$20&lt;'01_Input'!$W$53),'01_Input'!$Y$53,0),MAX(MIN(CK$20,'01_Input'!$W$53)-'01_Input'!$V$53,0)*'01_Input'!$Y$53))+IF('01_Input'!$AB$53="Forfait",IF(CK$20&gt;='01_Input'!$Z$53,'01_Input'!$AC$53,0),IF('01_Input'!$AB$53="Palier",IF(AND(CK$20&gt;='01_Input'!$Z$53,CK$20&lt;'01_Input'!$AA$53),'01_Input'!$AC$53,0),MAX(MIN(CK$20,'01_Input'!$AA$53)-'01_Input'!$Z$53,0)*'01_Input'!$AC$53)))))))))</f>
        <v>900290000</v>
      </c>
      <c r="CL21" s="25">
        <f>IF('01_Input'!$C$53="Non",0,MIN('01_Input'!$I$53,MAX('01_Input'!$H$53,IF('01_Input'!$G$53="Résiduel vs Gestion",0,IF('01_Input'!$G$53="Taux Classe sélectionnée",Distrib_Global_Classe_Selectionnee*CL$20,IF('01_Input'!$G$53="Frais KYC (paliers de 100M€)",MAX(0,Nb_Investisseurs-Nb_KYC_Gratuites_Par_Tranche*(FLOOR(CL$20/Taille_Tranche_KYC,1)+1))*Cout_Par_KYC_Supplementaire,(IF('01_Input'!$L$53="Forfait",IF(CL$20&gt;='01_Input'!$J$53,'01_Input'!$M$53,0),IF('01_Input'!$L$53="Palier",IF(AND(CL$20&gt;='01_Input'!$J$53,CL$20&lt;'01_Input'!$K$53),'01_Input'!$M$53,0),MAX(MIN(CL$20,'01_Input'!$K$53)-'01_Input'!$J$53,0)*'01_Input'!$M$53))+IF('01_Input'!$P$53="Forfait",IF(CL$20&gt;='01_Input'!$N$53,'01_Input'!$Q$53,0),IF('01_Input'!$P$53="Palier",IF(AND(CL$20&gt;='01_Input'!$N$53,CL$20&lt;'01_Input'!$O$53),'01_Input'!$Q$53,0),MAX(MIN(CL$20,'01_Input'!$O$53)-'01_Input'!$N$53,0)*'01_Input'!$Q$53))+IF('01_Input'!$T$53="Forfait",IF(CL$20&gt;='01_Input'!$R$53,'01_Input'!$U$53,0),IF('01_Input'!$T$53="Palier",IF(AND(CL$20&gt;='01_Input'!$R$53,CL$20&lt;'01_Input'!$S$53),'01_Input'!$U$53,0),MAX(MIN(CL$20,'01_Input'!$S$53)-'01_Input'!$R$53,0)*'01_Input'!$U$53))+IF('01_Input'!$X$53="Forfait",IF(CL$20&gt;='01_Input'!$V$53,'01_Input'!$Y$53,0),IF('01_Input'!$X$53="Palier",IF(AND(CL$20&gt;='01_Input'!$V$53,CL$20&lt;'01_Input'!$W$53),'01_Input'!$Y$53,0),MAX(MIN(CL$20,'01_Input'!$W$53)-'01_Input'!$V$53,0)*'01_Input'!$Y$53))+IF('01_Input'!$AB$53="Forfait",IF(CL$20&gt;='01_Input'!$Z$53,'01_Input'!$AC$53,0),IF('01_Input'!$AB$53="Palier",IF(AND(CL$20&gt;='01_Input'!$Z$53,CL$20&lt;'01_Input'!$AA$53),'01_Input'!$AC$53,0),MAX(MIN(CL$20,'01_Input'!$AA$53)-'01_Input'!$Z$53,0)*'01_Input'!$AC$53)))))))))</f>
        <v>900290000</v>
      </c>
      <c r="CM21" s="25">
        <f>IF('01_Input'!$C$53="Non",0,MIN('01_Input'!$I$53,MAX('01_Input'!$H$53,IF('01_Input'!$G$53="Résiduel vs Gestion",0,IF('01_Input'!$G$53="Taux Classe sélectionnée",Distrib_Global_Classe_Selectionnee*CM$20,IF('01_Input'!$G$53="Frais KYC (paliers de 100M€)",MAX(0,Nb_Investisseurs-Nb_KYC_Gratuites_Par_Tranche*(FLOOR(CM$20/Taille_Tranche_KYC,1)+1))*Cout_Par_KYC_Supplementaire,(IF('01_Input'!$L$53="Forfait",IF(CM$20&gt;='01_Input'!$J$53,'01_Input'!$M$53,0),IF('01_Input'!$L$53="Palier",IF(AND(CM$20&gt;='01_Input'!$J$53,CM$20&lt;'01_Input'!$K$53),'01_Input'!$M$53,0),MAX(MIN(CM$20,'01_Input'!$K$53)-'01_Input'!$J$53,0)*'01_Input'!$M$53))+IF('01_Input'!$P$53="Forfait",IF(CM$20&gt;='01_Input'!$N$53,'01_Input'!$Q$53,0),IF('01_Input'!$P$53="Palier",IF(AND(CM$20&gt;='01_Input'!$N$53,CM$20&lt;'01_Input'!$O$53),'01_Input'!$Q$53,0),MAX(MIN(CM$20,'01_Input'!$O$53)-'01_Input'!$N$53,0)*'01_Input'!$Q$53))+IF('01_Input'!$T$53="Forfait",IF(CM$20&gt;='01_Input'!$R$53,'01_Input'!$U$53,0),IF('01_Input'!$T$53="Palier",IF(AND(CM$20&gt;='01_Input'!$R$53,CM$20&lt;'01_Input'!$S$53),'01_Input'!$U$53,0),MAX(MIN(CM$20,'01_Input'!$S$53)-'01_Input'!$R$53,0)*'01_Input'!$U$53))+IF('01_Input'!$X$53="Forfait",IF(CM$20&gt;='01_Input'!$V$53,'01_Input'!$Y$53,0),IF('01_Input'!$X$53="Palier",IF(AND(CM$20&gt;='01_Input'!$V$53,CM$20&lt;'01_Input'!$W$53),'01_Input'!$Y$53,0),MAX(MIN(CM$20,'01_Input'!$W$53)-'01_Input'!$V$53,0)*'01_Input'!$Y$53))+IF('01_Input'!$AB$53="Forfait",IF(CM$20&gt;='01_Input'!$Z$53,'01_Input'!$AC$53,0),IF('01_Input'!$AB$53="Palier",IF(AND(CM$20&gt;='01_Input'!$Z$53,CM$20&lt;'01_Input'!$AA$53),'01_Input'!$AC$53,0),MAX(MIN(CM$20,'01_Input'!$AA$53)-'01_Input'!$Z$53,0)*'01_Input'!$AC$53)))))))))</f>
        <v>900290000</v>
      </c>
      <c r="CN21" s="25">
        <f>IF('01_Input'!$C$53="Non",0,MIN('01_Input'!$I$53,MAX('01_Input'!$H$53,IF('01_Input'!$G$53="Résiduel vs Gestion",0,IF('01_Input'!$G$53="Taux Classe sélectionnée",Distrib_Global_Classe_Selectionnee*CN$20,IF('01_Input'!$G$53="Frais KYC (paliers de 100M€)",MAX(0,Nb_Investisseurs-Nb_KYC_Gratuites_Par_Tranche*(FLOOR(CN$20/Taille_Tranche_KYC,1)+1))*Cout_Par_KYC_Supplementaire,(IF('01_Input'!$L$53="Forfait",IF(CN$20&gt;='01_Input'!$J$53,'01_Input'!$M$53,0),IF('01_Input'!$L$53="Palier",IF(AND(CN$20&gt;='01_Input'!$J$53,CN$20&lt;'01_Input'!$K$53),'01_Input'!$M$53,0),MAX(MIN(CN$20,'01_Input'!$K$53)-'01_Input'!$J$53,0)*'01_Input'!$M$53))+IF('01_Input'!$P$53="Forfait",IF(CN$20&gt;='01_Input'!$N$53,'01_Input'!$Q$53,0),IF('01_Input'!$P$53="Palier",IF(AND(CN$20&gt;='01_Input'!$N$53,CN$20&lt;'01_Input'!$O$53),'01_Input'!$Q$53,0),MAX(MIN(CN$20,'01_Input'!$O$53)-'01_Input'!$N$53,0)*'01_Input'!$Q$53))+IF('01_Input'!$T$53="Forfait",IF(CN$20&gt;='01_Input'!$R$53,'01_Input'!$U$53,0),IF('01_Input'!$T$53="Palier",IF(AND(CN$20&gt;='01_Input'!$R$53,CN$20&lt;'01_Input'!$S$53),'01_Input'!$U$53,0),MAX(MIN(CN$20,'01_Input'!$S$53)-'01_Input'!$R$53,0)*'01_Input'!$U$53))+IF('01_Input'!$X$53="Forfait",IF(CN$20&gt;='01_Input'!$V$53,'01_Input'!$Y$53,0),IF('01_Input'!$X$53="Palier",IF(AND(CN$20&gt;='01_Input'!$V$53,CN$20&lt;'01_Input'!$W$53),'01_Input'!$Y$53,0),MAX(MIN(CN$20,'01_Input'!$W$53)-'01_Input'!$V$53,0)*'01_Input'!$Y$53))+IF('01_Input'!$AB$53="Forfait",IF(CN$20&gt;='01_Input'!$Z$53,'01_Input'!$AC$53,0),IF('01_Input'!$AB$53="Palier",IF(AND(CN$20&gt;='01_Input'!$Z$53,CN$20&lt;'01_Input'!$AA$53),'01_Input'!$AC$53,0),MAX(MIN(CN$20,'01_Input'!$AA$53)-'01_Input'!$Z$53,0)*'01_Input'!$AC$53)))))))))</f>
        <v>900290000</v>
      </c>
      <c r="CO21" s="25">
        <f>IF('01_Input'!$C$53="Non",0,MIN('01_Input'!$I$53,MAX('01_Input'!$H$53,IF('01_Input'!$G$53="Résiduel vs Gestion",0,IF('01_Input'!$G$53="Taux Classe sélectionnée",Distrib_Global_Classe_Selectionnee*CO$20,IF('01_Input'!$G$53="Frais KYC (paliers de 100M€)",MAX(0,Nb_Investisseurs-Nb_KYC_Gratuites_Par_Tranche*(FLOOR(CO$20/Taille_Tranche_KYC,1)+1))*Cout_Par_KYC_Supplementaire,(IF('01_Input'!$L$53="Forfait",IF(CO$20&gt;='01_Input'!$J$53,'01_Input'!$M$53,0),IF('01_Input'!$L$53="Palier",IF(AND(CO$20&gt;='01_Input'!$J$53,CO$20&lt;'01_Input'!$K$53),'01_Input'!$M$53,0),MAX(MIN(CO$20,'01_Input'!$K$53)-'01_Input'!$J$53,0)*'01_Input'!$M$53))+IF('01_Input'!$P$53="Forfait",IF(CO$20&gt;='01_Input'!$N$53,'01_Input'!$Q$53,0),IF('01_Input'!$P$53="Palier",IF(AND(CO$20&gt;='01_Input'!$N$53,CO$20&lt;'01_Input'!$O$53),'01_Input'!$Q$53,0),MAX(MIN(CO$20,'01_Input'!$O$53)-'01_Input'!$N$53,0)*'01_Input'!$Q$53))+IF('01_Input'!$T$53="Forfait",IF(CO$20&gt;='01_Input'!$R$53,'01_Input'!$U$53,0),IF('01_Input'!$T$53="Palier",IF(AND(CO$20&gt;='01_Input'!$R$53,CO$20&lt;'01_Input'!$S$53),'01_Input'!$U$53,0),MAX(MIN(CO$20,'01_Input'!$S$53)-'01_Input'!$R$53,0)*'01_Input'!$U$53))+IF('01_Input'!$X$53="Forfait",IF(CO$20&gt;='01_Input'!$V$53,'01_Input'!$Y$53,0),IF('01_Input'!$X$53="Palier",IF(AND(CO$20&gt;='01_Input'!$V$53,CO$20&lt;'01_Input'!$W$53),'01_Input'!$Y$53,0),MAX(MIN(CO$20,'01_Input'!$W$53)-'01_Input'!$V$53,0)*'01_Input'!$Y$53))+IF('01_Input'!$AB$53="Forfait",IF(CO$20&gt;='01_Input'!$Z$53,'01_Input'!$AC$53,0),IF('01_Input'!$AB$53="Palier",IF(AND(CO$20&gt;='01_Input'!$Z$53,CO$20&lt;'01_Input'!$AA$53),'01_Input'!$AC$53,0),MAX(MIN(CO$20,'01_Input'!$AA$53)-'01_Input'!$Z$53,0)*'01_Input'!$AC$53)))))))))</f>
        <v>900290000</v>
      </c>
      <c r="CP21" s="25">
        <f>IF('01_Input'!$C$53="Non",0,MIN('01_Input'!$I$53,MAX('01_Input'!$H$53,IF('01_Input'!$G$53="Résiduel vs Gestion",0,IF('01_Input'!$G$53="Taux Classe sélectionnée",Distrib_Global_Classe_Selectionnee*CP$20,IF('01_Input'!$G$53="Frais KYC (paliers de 100M€)",MAX(0,Nb_Investisseurs-Nb_KYC_Gratuites_Par_Tranche*(FLOOR(CP$20/Taille_Tranche_KYC,1)+1))*Cout_Par_KYC_Supplementaire,(IF('01_Input'!$L$53="Forfait",IF(CP$20&gt;='01_Input'!$J$53,'01_Input'!$M$53,0),IF('01_Input'!$L$53="Palier",IF(AND(CP$20&gt;='01_Input'!$J$53,CP$20&lt;'01_Input'!$K$53),'01_Input'!$M$53,0),MAX(MIN(CP$20,'01_Input'!$K$53)-'01_Input'!$J$53,0)*'01_Input'!$M$53))+IF('01_Input'!$P$53="Forfait",IF(CP$20&gt;='01_Input'!$N$53,'01_Input'!$Q$53,0),IF('01_Input'!$P$53="Palier",IF(AND(CP$20&gt;='01_Input'!$N$53,CP$20&lt;'01_Input'!$O$53),'01_Input'!$Q$53,0),MAX(MIN(CP$20,'01_Input'!$O$53)-'01_Input'!$N$53,0)*'01_Input'!$Q$53))+IF('01_Input'!$T$53="Forfait",IF(CP$20&gt;='01_Input'!$R$53,'01_Input'!$U$53,0),IF('01_Input'!$T$53="Palier",IF(AND(CP$20&gt;='01_Input'!$R$53,CP$20&lt;'01_Input'!$S$53),'01_Input'!$U$53,0),MAX(MIN(CP$20,'01_Input'!$S$53)-'01_Input'!$R$53,0)*'01_Input'!$U$53))+IF('01_Input'!$X$53="Forfait",IF(CP$20&gt;='01_Input'!$V$53,'01_Input'!$Y$53,0),IF('01_Input'!$X$53="Palier",IF(AND(CP$20&gt;='01_Input'!$V$53,CP$20&lt;'01_Input'!$W$53),'01_Input'!$Y$53,0),MAX(MIN(CP$20,'01_Input'!$W$53)-'01_Input'!$V$53,0)*'01_Input'!$Y$53))+IF('01_Input'!$AB$53="Forfait",IF(CP$20&gt;='01_Input'!$Z$53,'01_Input'!$AC$53,0),IF('01_Input'!$AB$53="Palier",IF(AND(CP$20&gt;='01_Input'!$Z$53,CP$20&lt;'01_Input'!$AA$53),'01_Input'!$AC$53,0),MAX(MIN(CP$20,'01_Input'!$AA$53)-'01_Input'!$Z$53,0)*'01_Input'!$AC$53)))))))))</f>
        <v>900290000</v>
      </c>
      <c r="CQ21" s="25">
        <f>IF('01_Input'!$C$53="Non",0,MIN('01_Input'!$I$53,MAX('01_Input'!$H$53,IF('01_Input'!$G$53="Résiduel vs Gestion",0,IF('01_Input'!$G$53="Taux Classe sélectionnée",Distrib_Global_Classe_Selectionnee*CQ$20,IF('01_Input'!$G$53="Frais KYC (paliers de 100M€)",MAX(0,Nb_Investisseurs-Nb_KYC_Gratuites_Par_Tranche*(FLOOR(CQ$20/Taille_Tranche_KYC,1)+1))*Cout_Par_KYC_Supplementaire,(IF('01_Input'!$L$53="Forfait",IF(CQ$20&gt;='01_Input'!$J$53,'01_Input'!$M$53,0),IF('01_Input'!$L$53="Palier",IF(AND(CQ$20&gt;='01_Input'!$J$53,CQ$20&lt;'01_Input'!$K$53),'01_Input'!$M$53,0),MAX(MIN(CQ$20,'01_Input'!$K$53)-'01_Input'!$J$53,0)*'01_Input'!$M$53))+IF('01_Input'!$P$53="Forfait",IF(CQ$20&gt;='01_Input'!$N$53,'01_Input'!$Q$53,0),IF('01_Input'!$P$53="Palier",IF(AND(CQ$20&gt;='01_Input'!$N$53,CQ$20&lt;'01_Input'!$O$53),'01_Input'!$Q$53,0),MAX(MIN(CQ$20,'01_Input'!$O$53)-'01_Input'!$N$53,0)*'01_Input'!$Q$53))+IF('01_Input'!$T$53="Forfait",IF(CQ$20&gt;='01_Input'!$R$53,'01_Input'!$U$53,0),IF('01_Input'!$T$53="Palier",IF(AND(CQ$20&gt;='01_Input'!$R$53,CQ$20&lt;'01_Input'!$S$53),'01_Input'!$U$53,0),MAX(MIN(CQ$20,'01_Input'!$S$53)-'01_Input'!$R$53,0)*'01_Input'!$U$53))+IF('01_Input'!$X$53="Forfait",IF(CQ$20&gt;='01_Input'!$V$53,'01_Input'!$Y$53,0),IF('01_Input'!$X$53="Palier",IF(AND(CQ$20&gt;='01_Input'!$V$53,CQ$20&lt;'01_Input'!$W$53),'01_Input'!$Y$53,0),MAX(MIN(CQ$20,'01_Input'!$W$53)-'01_Input'!$V$53,0)*'01_Input'!$Y$53))+IF('01_Input'!$AB$53="Forfait",IF(CQ$20&gt;='01_Input'!$Z$53,'01_Input'!$AC$53,0),IF('01_Input'!$AB$53="Palier",IF(AND(CQ$20&gt;='01_Input'!$Z$53,CQ$20&lt;'01_Input'!$AA$53),'01_Input'!$AC$53,0),MAX(MIN(CQ$20,'01_Input'!$AA$53)-'01_Input'!$Z$53,0)*'01_Input'!$AC$53)))))))))</f>
        <v>900290000</v>
      </c>
      <c r="CR21" s="25">
        <f>IF('01_Input'!$C$53="Non",0,MIN('01_Input'!$I$53,MAX('01_Input'!$H$53,IF('01_Input'!$G$53="Résiduel vs Gestion",0,IF('01_Input'!$G$53="Taux Classe sélectionnée",Distrib_Global_Classe_Selectionnee*CR$20,IF('01_Input'!$G$53="Frais KYC (paliers de 100M€)",MAX(0,Nb_Investisseurs-Nb_KYC_Gratuites_Par_Tranche*(FLOOR(CR$20/Taille_Tranche_KYC,1)+1))*Cout_Par_KYC_Supplementaire,(IF('01_Input'!$L$53="Forfait",IF(CR$20&gt;='01_Input'!$J$53,'01_Input'!$M$53,0),IF('01_Input'!$L$53="Palier",IF(AND(CR$20&gt;='01_Input'!$J$53,CR$20&lt;'01_Input'!$K$53),'01_Input'!$M$53,0),MAX(MIN(CR$20,'01_Input'!$K$53)-'01_Input'!$J$53,0)*'01_Input'!$M$53))+IF('01_Input'!$P$53="Forfait",IF(CR$20&gt;='01_Input'!$N$53,'01_Input'!$Q$53,0),IF('01_Input'!$P$53="Palier",IF(AND(CR$20&gt;='01_Input'!$N$53,CR$20&lt;'01_Input'!$O$53),'01_Input'!$Q$53,0),MAX(MIN(CR$20,'01_Input'!$O$53)-'01_Input'!$N$53,0)*'01_Input'!$Q$53))+IF('01_Input'!$T$53="Forfait",IF(CR$20&gt;='01_Input'!$R$53,'01_Input'!$U$53,0),IF('01_Input'!$T$53="Palier",IF(AND(CR$20&gt;='01_Input'!$R$53,CR$20&lt;'01_Input'!$S$53),'01_Input'!$U$53,0),MAX(MIN(CR$20,'01_Input'!$S$53)-'01_Input'!$R$53,0)*'01_Input'!$U$53))+IF('01_Input'!$X$53="Forfait",IF(CR$20&gt;='01_Input'!$V$53,'01_Input'!$Y$53,0),IF('01_Input'!$X$53="Palier",IF(AND(CR$20&gt;='01_Input'!$V$53,CR$20&lt;'01_Input'!$W$53),'01_Input'!$Y$53,0),MAX(MIN(CR$20,'01_Input'!$W$53)-'01_Input'!$V$53,0)*'01_Input'!$Y$53))+IF('01_Input'!$AB$53="Forfait",IF(CR$20&gt;='01_Input'!$Z$53,'01_Input'!$AC$53,0),IF('01_Input'!$AB$53="Palier",IF(AND(CR$20&gt;='01_Input'!$Z$53,CR$20&lt;'01_Input'!$AA$53),'01_Input'!$AC$53,0),MAX(MIN(CR$20,'01_Input'!$AA$53)-'01_Input'!$Z$53,0)*'01_Input'!$AC$53)))))))))</f>
        <v>900290000</v>
      </c>
      <c r="CS21" s="25">
        <f>IF('01_Input'!$C$53="Non",0,MIN('01_Input'!$I$53,MAX('01_Input'!$H$53,IF('01_Input'!$G$53="Résiduel vs Gestion",0,IF('01_Input'!$G$53="Taux Classe sélectionnée",Distrib_Global_Classe_Selectionnee*CS$20,IF('01_Input'!$G$53="Frais KYC (paliers de 100M€)",MAX(0,Nb_Investisseurs-Nb_KYC_Gratuites_Par_Tranche*(FLOOR(CS$20/Taille_Tranche_KYC,1)+1))*Cout_Par_KYC_Supplementaire,(IF('01_Input'!$L$53="Forfait",IF(CS$20&gt;='01_Input'!$J$53,'01_Input'!$M$53,0),IF('01_Input'!$L$53="Palier",IF(AND(CS$20&gt;='01_Input'!$J$53,CS$20&lt;'01_Input'!$K$53),'01_Input'!$M$53,0),MAX(MIN(CS$20,'01_Input'!$K$53)-'01_Input'!$J$53,0)*'01_Input'!$M$53))+IF('01_Input'!$P$53="Forfait",IF(CS$20&gt;='01_Input'!$N$53,'01_Input'!$Q$53,0),IF('01_Input'!$P$53="Palier",IF(AND(CS$20&gt;='01_Input'!$N$53,CS$20&lt;'01_Input'!$O$53),'01_Input'!$Q$53,0),MAX(MIN(CS$20,'01_Input'!$O$53)-'01_Input'!$N$53,0)*'01_Input'!$Q$53))+IF('01_Input'!$T$53="Forfait",IF(CS$20&gt;='01_Input'!$R$53,'01_Input'!$U$53,0),IF('01_Input'!$T$53="Palier",IF(AND(CS$20&gt;='01_Input'!$R$53,CS$20&lt;'01_Input'!$S$53),'01_Input'!$U$53,0),MAX(MIN(CS$20,'01_Input'!$S$53)-'01_Input'!$R$53,0)*'01_Input'!$U$53))+IF('01_Input'!$X$53="Forfait",IF(CS$20&gt;='01_Input'!$V$53,'01_Input'!$Y$53,0),IF('01_Input'!$X$53="Palier",IF(AND(CS$20&gt;='01_Input'!$V$53,CS$20&lt;'01_Input'!$W$53),'01_Input'!$Y$53,0),MAX(MIN(CS$20,'01_Input'!$W$53)-'01_Input'!$V$53,0)*'01_Input'!$Y$53))+IF('01_Input'!$AB$53="Forfait",IF(CS$20&gt;='01_Input'!$Z$53,'01_Input'!$AC$53,0),IF('01_Input'!$AB$53="Palier",IF(AND(CS$20&gt;='01_Input'!$Z$53,CS$20&lt;'01_Input'!$AA$53),'01_Input'!$AC$53,0),MAX(MIN(CS$20,'01_Input'!$AA$53)-'01_Input'!$Z$53,0)*'01_Input'!$AC$53)))))))))</f>
        <v>900290000</v>
      </c>
      <c r="CT21" s="25">
        <f>IF('01_Input'!$C$53="Non",0,MIN('01_Input'!$I$53,MAX('01_Input'!$H$53,IF('01_Input'!$G$53="Résiduel vs Gestion",0,IF('01_Input'!$G$53="Taux Classe sélectionnée",Distrib_Global_Classe_Selectionnee*CT$20,IF('01_Input'!$G$53="Frais KYC (paliers de 100M€)",MAX(0,Nb_Investisseurs-Nb_KYC_Gratuites_Par_Tranche*(FLOOR(CT$20/Taille_Tranche_KYC,1)+1))*Cout_Par_KYC_Supplementaire,(IF('01_Input'!$L$53="Forfait",IF(CT$20&gt;='01_Input'!$J$53,'01_Input'!$M$53,0),IF('01_Input'!$L$53="Palier",IF(AND(CT$20&gt;='01_Input'!$J$53,CT$20&lt;'01_Input'!$K$53),'01_Input'!$M$53,0),MAX(MIN(CT$20,'01_Input'!$K$53)-'01_Input'!$J$53,0)*'01_Input'!$M$53))+IF('01_Input'!$P$53="Forfait",IF(CT$20&gt;='01_Input'!$N$53,'01_Input'!$Q$53,0),IF('01_Input'!$P$53="Palier",IF(AND(CT$20&gt;='01_Input'!$N$53,CT$20&lt;'01_Input'!$O$53),'01_Input'!$Q$53,0),MAX(MIN(CT$20,'01_Input'!$O$53)-'01_Input'!$N$53,0)*'01_Input'!$Q$53))+IF('01_Input'!$T$53="Forfait",IF(CT$20&gt;='01_Input'!$R$53,'01_Input'!$U$53,0),IF('01_Input'!$T$53="Palier",IF(AND(CT$20&gt;='01_Input'!$R$53,CT$20&lt;'01_Input'!$S$53),'01_Input'!$U$53,0),MAX(MIN(CT$20,'01_Input'!$S$53)-'01_Input'!$R$53,0)*'01_Input'!$U$53))+IF('01_Input'!$X$53="Forfait",IF(CT$20&gt;='01_Input'!$V$53,'01_Input'!$Y$53,0),IF('01_Input'!$X$53="Palier",IF(AND(CT$20&gt;='01_Input'!$V$53,CT$20&lt;'01_Input'!$W$53),'01_Input'!$Y$53,0),MAX(MIN(CT$20,'01_Input'!$W$53)-'01_Input'!$V$53,0)*'01_Input'!$Y$53))+IF('01_Input'!$AB$53="Forfait",IF(CT$20&gt;='01_Input'!$Z$53,'01_Input'!$AC$53,0),IF('01_Input'!$AB$53="Palier",IF(AND(CT$20&gt;='01_Input'!$Z$53,CT$20&lt;'01_Input'!$AA$53),'01_Input'!$AC$53,0),MAX(MIN(CT$20,'01_Input'!$AA$53)-'01_Input'!$Z$53,0)*'01_Input'!$AC$53)))))))))</f>
        <v>900290000</v>
      </c>
      <c r="CU21" s="25">
        <f>IF('01_Input'!$C$53="Non",0,MIN('01_Input'!$I$53,MAX('01_Input'!$H$53,IF('01_Input'!$G$53="Résiduel vs Gestion",0,IF('01_Input'!$G$53="Taux Classe sélectionnée",Distrib_Global_Classe_Selectionnee*CU$20,IF('01_Input'!$G$53="Frais KYC (paliers de 100M€)",MAX(0,Nb_Investisseurs-Nb_KYC_Gratuites_Par_Tranche*(FLOOR(CU$20/Taille_Tranche_KYC,1)+1))*Cout_Par_KYC_Supplementaire,(IF('01_Input'!$L$53="Forfait",IF(CU$20&gt;='01_Input'!$J$53,'01_Input'!$M$53,0),IF('01_Input'!$L$53="Palier",IF(AND(CU$20&gt;='01_Input'!$J$53,CU$20&lt;'01_Input'!$K$53),'01_Input'!$M$53,0),MAX(MIN(CU$20,'01_Input'!$K$53)-'01_Input'!$J$53,0)*'01_Input'!$M$53))+IF('01_Input'!$P$53="Forfait",IF(CU$20&gt;='01_Input'!$N$53,'01_Input'!$Q$53,0),IF('01_Input'!$P$53="Palier",IF(AND(CU$20&gt;='01_Input'!$N$53,CU$20&lt;'01_Input'!$O$53),'01_Input'!$Q$53,0),MAX(MIN(CU$20,'01_Input'!$O$53)-'01_Input'!$N$53,0)*'01_Input'!$Q$53))+IF('01_Input'!$T$53="Forfait",IF(CU$20&gt;='01_Input'!$R$53,'01_Input'!$U$53,0),IF('01_Input'!$T$53="Palier",IF(AND(CU$20&gt;='01_Input'!$R$53,CU$20&lt;'01_Input'!$S$53),'01_Input'!$U$53,0),MAX(MIN(CU$20,'01_Input'!$S$53)-'01_Input'!$R$53,0)*'01_Input'!$U$53))+IF('01_Input'!$X$53="Forfait",IF(CU$20&gt;='01_Input'!$V$53,'01_Input'!$Y$53,0),IF('01_Input'!$X$53="Palier",IF(AND(CU$20&gt;='01_Input'!$V$53,CU$20&lt;'01_Input'!$W$53),'01_Input'!$Y$53,0),MAX(MIN(CU$20,'01_Input'!$W$53)-'01_Input'!$V$53,0)*'01_Input'!$Y$53))+IF('01_Input'!$AB$53="Forfait",IF(CU$20&gt;='01_Input'!$Z$53,'01_Input'!$AC$53,0),IF('01_Input'!$AB$53="Palier",IF(AND(CU$20&gt;='01_Input'!$Z$53,CU$20&lt;'01_Input'!$AA$53),'01_Input'!$AC$53,0),MAX(MIN(CU$20,'01_Input'!$AA$53)-'01_Input'!$Z$53,0)*'01_Input'!$AC$53)))))))))</f>
        <v>900290000</v>
      </c>
      <c r="CV21" s="25">
        <f>IF('01_Input'!$C$53="Non",0,MIN('01_Input'!$I$53,MAX('01_Input'!$H$53,IF('01_Input'!$G$53="Résiduel vs Gestion",0,IF('01_Input'!$G$53="Taux Classe sélectionnée",Distrib_Global_Classe_Selectionnee*CV$20,IF('01_Input'!$G$53="Frais KYC (paliers de 100M€)",MAX(0,Nb_Investisseurs-Nb_KYC_Gratuites_Par_Tranche*(FLOOR(CV$20/Taille_Tranche_KYC,1)+1))*Cout_Par_KYC_Supplementaire,(IF('01_Input'!$L$53="Forfait",IF(CV$20&gt;='01_Input'!$J$53,'01_Input'!$M$53,0),IF('01_Input'!$L$53="Palier",IF(AND(CV$20&gt;='01_Input'!$J$53,CV$20&lt;'01_Input'!$K$53),'01_Input'!$M$53,0),MAX(MIN(CV$20,'01_Input'!$K$53)-'01_Input'!$J$53,0)*'01_Input'!$M$53))+IF('01_Input'!$P$53="Forfait",IF(CV$20&gt;='01_Input'!$N$53,'01_Input'!$Q$53,0),IF('01_Input'!$P$53="Palier",IF(AND(CV$20&gt;='01_Input'!$N$53,CV$20&lt;'01_Input'!$O$53),'01_Input'!$Q$53,0),MAX(MIN(CV$20,'01_Input'!$O$53)-'01_Input'!$N$53,0)*'01_Input'!$Q$53))+IF('01_Input'!$T$53="Forfait",IF(CV$20&gt;='01_Input'!$R$53,'01_Input'!$U$53,0),IF('01_Input'!$T$53="Palier",IF(AND(CV$20&gt;='01_Input'!$R$53,CV$20&lt;'01_Input'!$S$53),'01_Input'!$U$53,0),MAX(MIN(CV$20,'01_Input'!$S$53)-'01_Input'!$R$53,0)*'01_Input'!$U$53))+IF('01_Input'!$X$53="Forfait",IF(CV$20&gt;='01_Input'!$V$53,'01_Input'!$Y$53,0),IF('01_Input'!$X$53="Palier",IF(AND(CV$20&gt;='01_Input'!$V$53,CV$20&lt;'01_Input'!$W$53),'01_Input'!$Y$53,0),MAX(MIN(CV$20,'01_Input'!$W$53)-'01_Input'!$V$53,0)*'01_Input'!$Y$53))+IF('01_Input'!$AB$53="Forfait",IF(CV$20&gt;='01_Input'!$Z$53,'01_Input'!$AC$53,0),IF('01_Input'!$AB$53="Palier",IF(AND(CV$20&gt;='01_Input'!$Z$53,CV$20&lt;'01_Input'!$AA$53),'01_Input'!$AC$53,0),MAX(MIN(CV$20,'01_Input'!$AA$53)-'01_Input'!$Z$53,0)*'01_Input'!$AC$53)))))))))</f>
        <v>900290000</v>
      </c>
      <c r="CW21" s="25">
        <f>IF('01_Input'!$C$53="Non",0,MIN('01_Input'!$I$53,MAX('01_Input'!$H$53,IF('01_Input'!$G$53="Résiduel vs Gestion",0,IF('01_Input'!$G$53="Taux Classe sélectionnée",Distrib_Global_Classe_Selectionnee*CW$20,IF('01_Input'!$G$53="Frais KYC (paliers de 100M€)",MAX(0,Nb_Investisseurs-Nb_KYC_Gratuites_Par_Tranche*(FLOOR(CW$20/Taille_Tranche_KYC,1)+1))*Cout_Par_KYC_Supplementaire,(IF('01_Input'!$L$53="Forfait",IF(CW$20&gt;='01_Input'!$J$53,'01_Input'!$M$53,0),IF('01_Input'!$L$53="Palier",IF(AND(CW$20&gt;='01_Input'!$J$53,CW$20&lt;'01_Input'!$K$53),'01_Input'!$M$53,0),MAX(MIN(CW$20,'01_Input'!$K$53)-'01_Input'!$J$53,0)*'01_Input'!$M$53))+IF('01_Input'!$P$53="Forfait",IF(CW$20&gt;='01_Input'!$N$53,'01_Input'!$Q$53,0),IF('01_Input'!$P$53="Palier",IF(AND(CW$20&gt;='01_Input'!$N$53,CW$20&lt;'01_Input'!$O$53),'01_Input'!$Q$53,0),MAX(MIN(CW$20,'01_Input'!$O$53)-'01_Input'!$N$53,0)*'01_Input'!$Q$53))+IF('01_Input'!$T$53="Forfait",IF(CW$20&gt;='01_Input'!$R$53,'01_Input'!$U$53,0),IF('01_Input'!$T$53="Palier",IF(AND(CW$20&gt;='01_Input'!$R$53,CW$20&lt;'01_Input'!$S$53),'01_Input'!$U$53,0),MAX(MIN(CW$20,'01_Input'!$S$53)-'01_Input'!$R$53,0)*'01_Input'!$U$53))+IF('01_Input'!$X$53="Forfait",IF(CW$20&gt;='01_Input'!$V$53,'01_Input'!$Y$53,0),IF('01_Input'!$X$53="Palier",IF(AND(CW$20&gt;='01_Input'!$V$53,CW$20&lt;'01_Input'!$W$53),'01_Input'!$Y$53,0),MAX(MIN(CW$20,'01_Input'!$W$53)-'01_Input'!$V$53,0)*'01_Input'!$Y$53))+IF('01_Input'!$AB$53="Forfait",IF(CW$20&gt;='01_Input'!$Z$53,'01_Input'!$AC$53,0),IF('01_Input'!$AB$53="Palier",IF(AND(CW$20&gt;='01_Input'!$Z$53,CW$20&lt;'01_Input'!$AA$53),'01_Input'!$AC$53,0),MAX(MIN(CW$20,'01_Input'!$AA$53)-'01_Input'!$Z$53,0)*'01_Input'!$AC$53)))))))))</f>
        <v>900290000</v>
      </c>
      <c r="CX21" s="25">
        <f>IF('01_Input'!$C$53="Non",0,MIN('01_Input'!$I$53,MAX('01_Input'!$H$53,IF('01_Input'!$G$53="Résiduel vs Gestion",0,IF('01_Input'!$G$53="Taux Classe sélectionnée",Distrib_Global_Classe_Selectionnee*CX$20,IF('01_Input'!$G$53="Frais KYC (paliers de 100M€)",MAX(0,Nb_Investisseurs-Nb_KYC_Gratuites_Par_Tranche*(FLOOR(CX$20/Taille_Tranche_KYC,1)+1))*Cout_Par_KYC_Supplementaire,(IF('01_Input'!$L$53="Forfait",IF(CX$20&gt;='01_Input'!$J$53,'01_Input'!$M$53,0),IF('01_Input'!$L$53="Palier",IF(AND(CX$20&gt;='01_Input'!$J$53,CX$20&lt;'01_Input'!$K$53),'01_Input'!$M$53,0),MAX(MIN(CX$20,'01_Input'!$K$53)-'01_Input'!$J$53,0)*'01_Input'!$M$53))+IF('01_Input'!$P$53="Forfait",IF(CX$20&gt;='01_Input'!$N$53,'01_Input'!$Q$53,0),IF('01_Input'!$P$53="Palier",IF(AND(CX$20&gt;='01_Input'!$N$53,CX$20&lt;'01_Input'!$O$53),'01_Input'!$Q$53,0),MAX(MIN(CX$20,'01_Input'!$O$53)-'01_Input'!$N$53,0)*'01_Input'!$Q$53))+IF('01_Input'!$T$53="Forfait",IF(CX$20&gt;='01_Input'!$R$53,'01_Input'!$U$53,0),IF('01_Input'!$T$53="Palier",IF(AND(CX$20&gt;='01_Input'!$R$53,CX$20&lt;'01_Input'!$S$53),'01_Input'!$U$53,0),MAX(MIN(CX$20,'01_Input'!$S$53)-'01_Input'!$R$53,0)*'01_Input'!$U$53))+IF('01_Input'!$X$53="Forfait",IF(CX$20&gt;='01_Input'!$V$53,'01_Input'!$Y$53,0),IF('01_Input'!$X$53="Palier",IF(AND(CX$20&gt;='01_Input'!$V$53,CX$20&lt;'01_Input'!$W$53),'01_Input'!$Y$53,0),MAX(MIN(CX$20,'01_Input'!$W$53)-'01_Input'!$V$53,0)*'01_Input'!$Y$53))+IF('01_Input'!$AB$53="Forfait",IF(CX$20&gt;='01_Input'!$Z$53,'01_Input'!$AC$53,0),IF('01_Input'!$AB$53="Palier",IF(AND(CX$20&gt;='01_Input'!$Z$53,CX$20&lt;'01_Input'!$AA$53),'01_Input'!$AC$53,0),MAX(MIN(CX$20,'01_Input'!$AA$53)-'01_Input'!$Z$53,0)*'01_Input'!$AC$53)))))))))</f>
        <v>900290000</v>
      </c>
      <c r="CY21" s="25">
        <f>IF('01_Input'!$C$53="Non",0,MIN('01_Input'!$I$53,MAX('01_Input'!$H$53,IF('01_Input'!$G$53="Résiduel vs Gestion",0,IF('01_Input'!$G$53="Taux Classe sélectionnée",Distrib_Global_Classe_Selectionnee*CY$20,IF('01_Input'!$G$53="Frais KYC (paliers de 100M€)",MAX(0,Nb_Investisseurs-Nb_KYC_Gratuites_Par_Tranche*(FLOOR(CY$20/Taille_Tranche_KYC,1)+1))*Cout_Par_KYC_Supplementaire,(IF('01_Input'!$L$53="Forfait",IF(CY$20&gt;='01_Input'!$J$53,'01_Input'!$M$53,0),IF('01_Input'!$L$53="Palier",IF(AND(CY$20&gt;='01_Input'!$J$53,CY$20&lt;'01_Input'!$K$53),'01_Input'!$M$53,0),MAX(MIN(CY$20,'01_Input'!$K$53)-'01_Input'!$J$53,0)*'01_Input'!$M$53))+IF('01_Input'!$P$53="Forfait",IF(CY$20&gt;='01_Input'!$N$53,'01_Input'!$Q$53,0),IF('01_Input'!$P$53="Palier",IF(AND(CY$20&gt;='01_Input'!$N$53,CY$20&lt;'01_Input'!$O$53),'01_Input'!$Q$53,0),MAX(MIN(CY$20,'01_Input'!$O$53)-'01_Input'!$N$53,0)*'01_Input'!$Q$53))+IF('01_Input'!$T$53="Forfait",IF(CY$20&gt;='01_Input'!$R$53,'01_Input'!$U$53,0),IF('01_Input'!$T$53="Palier",IF(AND(CY$20&gt;='01_Input'!$R$53,CY$20&lt;'01_Input'!$S$53),'01_Input'!$U$53,0),MAX(MIN(CY$20,'01_Input'!$S$53)-'01_Input'!$R$53,0)*'01_Input'!$U$53))+IF('01_Input'!$X$53="Forfait",IF(CY$20&gt;='01_Input'!$V$53,'01_Input'!$Y$53,0),IF('01_Input'!$X$53="Palier",IF(AND(CY$20&gt;='01_Input'!$V$53,CY$20&lt;'01_Input'!$W$53),'01_Input'!$Y$53,0),MAX(MIN(CY$20,'01_Input'!$W$53)-'01_Input'!$V$53,0)*'01_Input'!$Y$53))+IF('01_Input'!$AB$53="Forfait",IF(CY$20&gt;='01_Input'!$Z$53,'01_Input'!$AC$53,0),IF('01_Input'!$AB$53="Palier",IF(AND(CY$20&gt;='01_Input'!$Z$53,CY$20&lt;'01_Input'!$AA$53),'01_Input'!$AC$53,0),MAX(MIN(CY$20,'01_Input'!$AA$53)-'01_Input'!$Z$53,0)*'01_Input'!$AC$53)))))))))</f>
        <v>900290000</v>
      </c>
      <c r="CZ21" s="25">
        <f>IF('01_Input'!$C$53="Non",0,MIN('01_Input'!$I$53,MAX('01_Input'!$H$53,IF('01_Input'!$G$53="Résiduel vs Gestion",0,IF('01_Input'!$G$53="Taux Classe sélectionnée",Distrib_Global_Classe_Selectionnee*CZ$20,IF('01_Input'!$G$53="Frais KYC (paliers de 100M€)",MAX(0,Nb_Investisseurs-Nb_KYC_Gratuites_Par_Tranche*(FLOOR(CZ$20/Taille_Tranche_KYC,1)+1))*Cout_Par_KYC_Supplementaire,(IF('01_Input'!$L$53="Forfait",IF(CZ$20&gt;='01_Input'!$J$53,'01_Input'!$M$53,0),IF('01_Input'!$L$53="Palier",IF(AND(CZ$20&gt;='01_Input'!$J$53,CZ$20&lt;'01_Input'!$K$53),'01_Input'!$M$53,0),MAX(MIN(CZ$20,'01_Input'!$K$53)-'01_Input'!$J$53,0)*'01_Input'!$M$53))+IF('01_Input'!$P$53="Forfait",IF(CZ$20&gt;='01_Input'!$N$53,'01_Input'!$Q$53,0),IF('01_Input'!$P$53="Palier",IF(AND(CZ$20&gt;='01_Input'!$N$53,CZ$20&lt;'01_Input'!$O$53),'01_Input'!$Q$53,0),MAX(MIN(CZ$20,'01_Input'!$O$53)-'01_Input'!$N$53,0)*'01_Input'!$Q$53))+IF('01_Input'!$T$53="Forfait",IF(CZ$20&gt;='01_Input'!$R$53,'01_Input'!$U$53,0),IF('01_Input'!$T$53="Palier",IF(AND(CZ$20&gt;='01_Input'!$R$53,CZ$20&lt;'01_Input'!$S$53),'01_Input'!$U$53,0),MAX(MIN(CZ$20,'01_Input'!$S$53)-'01_Input'!$R$53,0)*'01_Input'!$U$53))+IF('01_Input'!$X$53="Forfait",IF(CZ$20&gt;='01_Input'!$V$53,'01_Input'!$Y$53,0),IF('01_Input'!$X$53="Palier",IF(AND(CZ$20&gt;='01_Input'!$V$53,CZ$20&lt;'01_Input'!$W$53),'01_Input'!$Y$53,0),MAX(MIN(CZ$20,'01_Input'!$W$53)-'01_Input'!$V$53,0)*'01_Input'!$Y$53))+IF('01_Input'!$AB$53="Forfait",IF(CZ$20&gt;='01_Input'!$Z$53,'01_Input'!$AC$53,0),IF('01_Input'!$AB$53="Palier",IF(AND(CZ$20&gt;='01_Input'!$Z$53,CZ$20&lt;'01_Input'!$AA$53),'01_Input'!$AC$53,0),MAX(MIN(CZ$20,'01_Input'!$AA$53)-'01_Input'!$Z$53,0)*'01_Input'!$AC$53)))))))))</f>
        <v>900290000</v>
      </c>
      <c r="DA21" s="25">
        <f>IF('01_Input'!$C$53="Non",0,MIN('01_Input'!$I$53,MAX('01_Input'!$H$53,IF('01_Input'!$G$53="Résiduel vs Gestion",0,IF('01_Input'!$G$53="Taux Classe sélectionnée",Distrib_Global_Classe_Selectionnee*DA$20,IF('01_Input'!$G$53="Frais KYC (paliers de 100M€)",MAX(0,Nb_Investisseurs-Nb_KYC_Gratuites_Par_Tranche*(FLOOR(DA$20/Taille_Tranche_KYC,1)+1))*Cout_Par_KYC_Supplementaire,(IF('01_Input'!$L$53="Forfait",IF(DA$20&gt;='01_Input'!$J$53,'01_Input'!$M$53,0),IF('01_Input'!$L$53="Palier",IF(AND(DA$20&gt;='01_Input'!$J$53,DA$20&lt;'01_Input'!$K$53),'01_Input'!$M$53,0),MAX(MIN(DA$20,'01_Input'!$K$53)-'01_Input'!$J$53,0)*'01_Input'!$M$53))+IF('01_Input'!$P$53="Forfait",IF(DA$20&gt;='01_Input'!$N$53,'01_Input'!$Q$53,0),IF('01_Input'!$P$53="Palier",IF(AND(DA$20&gt;='01_Input'!$N$53,DA$20&lt;'01_Input'!$O$53),'01_Input'!$Q$53,0),MAX(MIN(DA$20,'01_Input'!$O$53)-'01_Input'!$N$53,0)*'01_Input'!$Q$53))+IF('01_Input'!$T$53="Forfait",IF(DA$20&gt;='01_Input'!$R$53,'01_Input'!$U$53,0),IF('01_Input'!$T$53="Palier",IF(AND(DA$20&gt;='01_Input'!$R$53,DA$20&lt;'01_Input'!$S$53),'01_Input'!$U$53,0),MAX(MIN(DA$20,'01_Input'!$S$53)-'01_Input'!$R$53,0)*'01_Input'!$U$53))+IF('01_Input'!$X$53="Forfait",IF(DA$20&gt;='01_Input'!$V$53,'01_Input'!$Y$53,0),IF('01_Input'!$X$53="Palier",IF(AND(DA$20&gt;='01_Input'!$V$53,DA$20&lt;'01_Input'!$W$53),'01_Input'!$Y$53,0),MAX(MIN(DA$20,'01_Input'!$W$53)-'01_Input'!$V$53,0)*'01_Input'!$Y$53))+IF('01_Input'!$AB$53="Forfait",IF(DA$20&gt;='01_Input'!$Z$53,'01_Input'!$AC$53,0),IF('01_Input'!$AB$53="Palier",IF(AND(DA$20&gt;='01_Input'!$Z$53,DA$20&lt;'01_Input'!$AA$53),'01_Input'!$AC$53,0),MAX(MIN(DA$20,'01_Input'!$AA$53)-'01_Input'!$Z$53,0)*'01_Input'!$AC$53)))))))))</f>
        <v>900290000</v>
      </c>
      <c r="DB21" s="25">
        <f>IF('01_Input'!$C$53="Non",0,MIN('01_Input'!$I$53,MAX('01_Input'!$H$53,IF('01_Input'!$G$53="Résiduel vs Gestion",0,IF('01_Input'!$G$53="Taux Classe sélectionnée",Distrib_Global_Classe_Selectionnee*DB$20,IF('01_Input'!$G$53="Frais KYC (paliers de 100M€)",MAX(0,Nb_Investisseurs-Nb_KYC_Gratuites_Par_Tranche*(FLOOR(DB$20/Taille_Tranche_KYC,1)+1))*Cout_Par_KYC_Supplementaire,(IF('01_Input'!$L$53="Forfait",IF(DB$20&gt;='01_Input'!$J$53,'01_Input'!$M$53,0),IF('01_Input'!$L$53="Palier",IF(AND(DB$20&gt;='01_Input'!$J$53,DB$20&lt;'01_Input'!$K$53),'01_Input'!$M$53,0),MAX(MIN(DB$20,'01_Input'!$K$53)-'01_Input'!$J$53,0)*'01_Input'!$M$53))+IF('01_Input'!$P$53="Forfait",IF(DB$20&gt;='01_Input'!$N$53,'01_Input'!$Q$53,0),IF('01_Input'!$P$53="Palier",IF(AND(DB$20&gt;='01_Input'!$N$53,DB$20&lt;'01_Input'!$O$53),'01_Input'!$Q$53,0),MAX(MIN(DB$20,'01_Input'!$O$53)-'01_Input'!$N$53,0)*'01_Input'!$Q$53))+IF('01_Input'!$T$53="Forfait",IF(DB$20&gt;='01_Input'!$R$53,'01_Input'!$U$53,0),IF('01_Input'!$T$53="Palier",IF(AND(DB$20&gt;='01_Input'!$R$53,DB$20&lt;'01_Input'!$S$53),'01_Input'!$U$53,0),MAX(MIN(DB$20,'01_Input'!$S$53)-'01_Input'!$R$53,0)*'01_Input'!$U$53))+IF('01_Input'!$X$53="Forfait",IF(DB$20&gt;='01_Input'!$V$53,'01_Input'!$Y$53,0),IF('01_Input'!$X$53="Palier",IF(AND(DB$20&gt;='01_Input'!$V$53,DB$20&lt;'01_Input'!$W$53),'01_Input'!$Y$53,0),MAX(MIN(DB$20,'01_Input'!$W$53)-'01_Input'!$V$53,0)*'01_Input'!$Y$53))+IF('01_Input'!$AB$53="Forfait",IF(DB$20&gt;='01_Input'!$Z$53,'01_Input'!$AC$53,0),IF('01_Input'!$AB$53="Palier",IF(AND(DB$20&gt;='01_Input'!$Z$53,DB$20&lt;'01_Input'!$AA$53),'01_Input'!$AC$53,0),MAX(MIN(DB$20,'01_Input'!$AA$53)-'01_Input'!$Z$53,0)*'01_Input'!$AC$53)))))))))</f>
        <v>900290000</v>
      </c>
      <c r="DC21" s="25">
        <f>IF('01_Input'!$C$53="Non",0,MIN('01_Input'!$I$53,MAX('01_Input'!$H$53,IF('01_Input'!$G$53="Résiduel vs Gestion",0,IF('01_Input'!$G$53="Taux Classe sélectionnée",Distrib_Global_Classe_Selectionnee*DC$20,IF('01_Input'!$G$53="Frais KYC (paliers de 100M€)",MAX(0,Nb_Investisseurs-Nb_KYC_Gratuites_Par_Tranche*(FLOOR(DC$20/Taille_Tranche_KYC,1)+1))*Cout_Par_KYC_Supplementaire,(IF('01_Input'!$L$53="Forfait",IF(DC$20&gt;='01_Input'!$J$53,'01_Input'!$M$53,0),IF('01_Input'!$L$53="Palier",IF(AND(DC$20&gt;='01_Input'!$J$53,DC$20&lt;'01_Input'!$K$53),'01_Input'!$M$53,0),MAX(MIN(DC$20,'01_Input'!$K$53)-'01_Input'!$J$53,0)*'01_Input'!$M$53))+IF('01_Input'!$P$53="Forfait",IF(DC$20&gt;='01_Input'!$N$53,'01_Input'!$Q$53,0),IF('01_Input'!$P$53="Palier",IF(AND(DC$20&gt;='01_Input'!$N$53,DC$20&lt;'01_Input'!$O$53),'01_Input'!$Q$53,0),MAX(MIN(DC$20,'01_Input'!$O$53)-'01_Input'!$N$53,0)*'01_Input'!$Q$53))+IF('01_Input'!$T$53="Forfait",IF(DC$20&gt;='01_Input'!$R$53,'01_Input'!$U$53,0),IF('01_Input'!$T$53="Palier",IF(AND(DC$20&gt;='01_Input'!$R$53,DC$20&lt;'01_Input'!$S$53),'01_Input'!$U$53,0),MAX(MIN(DC$20,'01_Input'!$S$53)-'01_Input'!$R$53,0)*'01_Input'!$U$53))+IF('01_Input'!$X$53="Forfait",IF(DC$20&gt;='01_Input'!$V$53,'01_Input'!$Y$53,0),IF('01_Input'!$X$53="Palier",IF(AND(DC$20&gt;='01_Input'!$V$53,DC$20&lt;'01_Input'!$W$53),'01_Input'!$Y$53,0),MAX(MIN(DC$20,'01_Input'!$W$53)-'01_Input'!$V$53,0)*'01_Input'!$Y$53))+IF('01_Input'!$AB$53="Forfait",IF(DC$20&gt;='01_Input'!$Z$53,'01_Input'!$AC$53,0),IF('01_Input'!$AB$53="Palier",IF(AND(DC$20&gt;='01_Input'!$Z$53,DC$20&lt;'01_Input'!$AA$53),'01_Input'!$AC$53,0),MAX(MIN(DC$20,'01_Input'!$AA$53)-'01_Input'!$Z$53,0)*'01_Input'!$AC$53)))))))))</f>
        <v>900290000</v>
      </c>
      <c r="DD21" s="25">
        <f>IF('01_Input'!$C$53="Non",0,MIN('01_Input'!$I$53,MAX('01_Input'!$H$53,IF('01_Input'!$G$53="Résiduel vs Gestion",0,IF('01_Input'!$G$53="Taux Classe sélectionnée",Distrib_Global_Classe_Selectionnee*DD$20,IF('01_Input'!$G$53="Frais KYC (paliers de 100M€)",MAX(0,Nb_Investisseurs-Nb_KYC_Gratuites_Par_Tranche*(FLOOR(DD$20/Taille_Tranche_KYC,1)+1))*Cout_Par_KYC_Supplementaire,(IF('01_Input'!$L$53="Forfait",IF(DD$20&gt;='01_Input'!$J$53,'01_Input'!$M$53,0),IF('01_Input'!$L$53="Palier",IF(AND(DD$20&gt;='01_Input'!$J$53,DD$20&lt;'01_Input'!$K$53),'01_Input'!$M$53,0),MAX(MIN(DD$20,'01_Input'!$K$53)-'01_Input'!$J$53,0)*'01_Input'!$M$53))+IF('01_Input'!$P$53="Forfait",IF(DD$20&gt;='01_Input'!$N$53,'01_Input'!$Q$53,0),IF('01_Input'!$P$53="Palier",IF(AND(DD$20&gt;='01_Input'!$N$53,DD$20&lt;'01_Input'!$O$53),'01_Input'!$Q$53,0),MAX(MIN(DD$20,'01_Input'!$O$53)-'01_Input'!$N$53,0)*'01_Input'!$Q$53))+IF('01_Input'!$T$53="Forfait",IF(DD$20&gt;='01_Input'!$R$53,'01_Input'!$U$53,0),IF('01_Input'!$T$53="Palier",IF(AND(DD$20&gt;='01_Input'!$R$53,DD$20&lt;'01_Input'!$S$53),'01_Input'!$U$53,0),MAX(MIN(DD$20,'01_Input'!$S$53)-'01_Input'!$R$53,0)*'01_Input'!$U$53))+IF('01_Input'!$X$53="Forfait",IF(DD$20&gt;='01_Input'!$V$53,'01_Input'!$Y$53,0),IF('01_Input'!$X$53="Palier",IF(AND(DD$20&gt;='01_Input'!$V$53,DD$20&lt;'01_Input'!$W$53),'01_Input'!$Y$53,0),MAX(MIN(DD$20,'01_Input'!$W$53)-'01_Input'!$V$53,0)*'01_Input'!$Y$53))+IF('01_Input'!$AB$53="Forfait",IF(DD$20&gt;='01_Input'!$Z$53,'01_Input'!$AC$53,0),IF('01_Input'!$AB$53="Palier",IF(AND(DD$20&gt;='01_Input'!$Z$53,DD$20&lt;'01_Input'!$AA$53),'01_Input'!$AC$53,0),MAX(MIN(DD$20,'01_Input'!$AA$53)-'01_Input'!$Z$53,0)*'01_Input'!$AC$53)))))))))</f>
        <v>900290000</v>
      </c>
      <c r="DE21" s="25">
        <f>IF('01_Input'!$C$53="Non",0,MIN('01_Input'!$I$53,MAX('01_Input'!$H$53,IF('01_Input'!$G$53="Résiduel vs Gestion",0,IF('01_Input'!$G$53="Taux Classe sélectionnée",Distrib_Global_Classe_Selectionnee*DE$20,IF('01_Input'!$G$53="Frais KYC (paliers de 100M€)",MAX(0,Nb_Investisseurs-Nb_KYC_Gratuites_Par_Tranche*(FLOOR(DE$20/Taille_Tranche_KYC,1)+1))*Cout_Par_KYC_Supplementaire,(IF('01_Input'!$L$53="Forfait",IF(DE$20&gt;='01_Input'!$J$53,'01_Input'!$M$53,0),IF('01_Input'!$L$53="Palier",IF(AND(DE$20&gt;='01_Input'!$J$53,DE$20&lt;'01_Input'!$K$53),'01_Input'!$M$53,0),MAX(MIN(DE$20,'01_Input'!$K$53)-'01_Input'!$J$53,0)*'01_Input'!$M$53))+IF('01_Input'!$P$53="Forfait",IF(DE$20&gt;='01_Input'!$N$53,'01_Input'!$Q$53,0),IF('01_Input'!$P$53="Palier",IF(AND(DE$20&gt;='01_Input'!$N$53,DE$20&lt;'01_Input'!$O$53),'01_Input'!$Q$53,0),MAX(MIN(DE$20,'01_Input'!$O$53)-'01_Input'!$N$53,0)*'01_Input'!$Q$53))+IF('01_Input'!$T$53="Forfait",IF(DE$20&gt;='01_Input'!$R$53,'01_Input'!$U$53,0),IF('01_Input'!$T$53="Palier",IF(AND(DE$20&gt;='01_Input'!$R$53,DE$20&lt;'01_Input'!$S$53),'01_Input'!$U$53,0),MAX(MIN(DE$20,'01_Input'!$S$53)-'01_Input'!$R$53,0)*'01_Input'!$U$53))+IF('01_Input'!$X$53="Forfait",IF(DE$20&gt;='01_Input'!$V$53,'01_Input'!$Y$53,0),IF('01_Input'!$X$53="Palier",IF(AND(DE$20&gt;='01_Input'!$V$53,DE$20&lt;'01_Input'!$W$53),'01_Input'!$Y$53,0),MAX(MIN(DE$20,'01_Input'!$W$53)-'01_Input'!$V$53,0)*'01_Input'!$Y$53))+IF('01_Input'!$AB$53="Forfait",IF(DE$20&gt;='01_Input'!$Z$53,'01_Input'!$AC$53,0),IF('01_Input'!$AB$53="Palier",IF(AND(DE$20&gt;='01_Input'!$Z$53,DE$20&lt;'01_Input'!$AA$53),'01_Input'!$AC$53,0),MAX(MIN(DE$20,'01_Input'!$AA$53)-'01_Input'!$Z$53,0)*'01_Input'!$AC$53)))))))))</f>
        <v>900290000</v>
      </c>
      <c r="DF21" s="25">
        <f>IF('01_Input'!$C$53="Non",0,MIN('01_Input'!$I$53,MAX('01_Input'!$H$53,IF('01_Input'!$G$53="Résiduel vs Gestion",0,IF('01_Input'!$G$53="Taux Classe sélectionnée",Distrib_Global_Classe_Selectionnee*DF$20,IF('01_Input'!$G$53="Frais KYC (paliers de 100M€)",MAX(0,Nb_Investisseurs-Nb_KYC_Gratuites_Par_Tranche*(FLOOR(DF$20/Taille_Tranche_KYC,1)+1))*Cout_Par_KYC_Supplementaire,(IF('01_Input'!$L$53="Forfait",IF(DF$20&gt;='01_Input'!$J$53,'01_Input'!$M$53,0),IF('01_Input'!$L$53="Palier",IF(AND(DF$20&gt;='01_Input'!$J$53,DF$20&lt;'01_Input'!$K$53),'01_Input'!$M$53,0),MAX(MIN(DF$20,'01_Input'!$K$53)-'01_Input'!$J$53,0)*'01_Input'!$M$53))+IF('01_Input'!$P$53="Forfait",IF(DF$20&gt;='01_Input'!$N$53,'01_Input'!$Q$53,0),IF('01_Input'!$P$53="Palier",IF(AND(DF$20&gt;='01_Input'!$N$53,DF$20&lt;'01_Input'!$O$53),'01_Input'!$Q$53,0),MAX(MIN(DF$20,'01_Input'!$O$53)-'01_Input'!$N$53,0)*'01_Input'!$Q$53))+IF('01_Input'!$T$53="Forfait",IF(DF$20&gt;='01_Input'!$R$53,'01_Input'!$U$53,0),IF('01_Input'!$T$53="Palier",IF(AND(DF$20&gt;='01_Input'!$R$53,DF$20&lt;'01_Input'!$S$53),'01_Input'!$U$53,0),MAX(MIN(DF$20,'01_Input'!$S$53)-'01_Input'!$R$53,0)*'01_Input'!$U$53))+IF('01_Input'!$X$53="Forfait",IF(DF$20&gt;='01_Input'!$V$53,'01_Input'!$Y$53,0),IF('01_Input'!$X$53="Palier",IF(AND(DF$20&gt;='01_Input'!$V$53,DF$20&lt;'01_Input'!$W$53),'01_Input'!$Y$53,0),MAX(MIN(DF$20,'01_Input'!$W$53)-'01_Input'!$V$53,0)*'01_Input'!$Y$53))+IF('01_Input'!$AB$53="Forfait",IF(DF$20&gt;='01_Input'!$Z$53,'01_Input'!$AC$53,0),IF('01_Input'!$AB$53="Palier",IF(AND(DF$20&gt;='01_Input'!$Z$53,DF$20&lt;'01_Input'!$AA$53),'01_Input'!$AC$53,0),MAX(MIN(DF$20,'01_Input'!$AA$53)-'01_Input'!$Z$53,0)*'01_Input'!$AC$53)))))))))</f>
        <v>900290000</v>
      </c>
      <c r="DG21" s="25">
        <f>IF('01_Input'!$C$53="Non",0,MIN('01_Input'!$I$53,MAX('01_Input'!$H$53,IF('01_Input'!$G$53="Résiduel vs Gestion",0,IF('01_Input'!$G$53="Taux Classe sélectionnée",Distrib_Global_Classe_Selectionnee*DG$20,IF('01_Input'!$G$53="Frais KYC (paliers de 100M€)",MAX(0,Nb_Investisseurs-Nb_KYC_Gratuites_Par_Tranche*(FLOOR(DG$20/Taille_Tranche_KYC,1)+1))*Cout_Par_KYC_Supplementaire,(IF('01_Input'!$L$53="Forfait",IF(DG$20&gt;='01_Input'!$J$53,'01_Input'!$M$53,0),IF('01_Input'!$L$53="Palier",IF(AND(DG$20&gt;='01_Input'!$J$53,DG$20&lt;'01_Input'!$K$53),'01_Input'!$M$53,0),MAX(MIN(DG$20,'01_Input'!$K$53)-'01_Input'!$J$53,0)*'01_Input'!$M$53))+IF('01_Input'!$P$53="Forfait",IF(DG$20&gt;='01_Input'!$N$53,'01_Input'!$Q$53,0),IF('01_Input'!$P$53="Palier",IF(AND(DG$20&gt;='01_Input'!$N$53,DG$20&lt;'01_Input'!$O$53),'01_Input'!$Q$53,0),MAX(MIN(DG$20,'01_Input'!$O$53)-'01_Input'!$N$53,0)*'01_Input'!$Q$53))+IF('01_Input'!$T$53="Forfait",IF(DG$20&gt;='01_Input'!$R$53,'01_Input'!$U$53,0),IF('01_Input'!$T$53="Palier",IF(AND(DG$20&gt;='01_Input'!$R$53,DG$20&lt;'01_Input'!$S$53),'01_Input'!$U$53,0),MAX(MIN(DG$20,'01_Input'!$S$53)-'01_Input'!$R$53,0)*'01_Input'!$U$53))+IF('01_Input'!$X$53="Forfait",IF(DG$20&gt;='01_Input'!$V$53,'01_Input'!$Y$53,0),IF('01_Input'!$X$53="Palier",IF(AND(DG$20&gt;='01_Input'!$V$53,DG$20&lt;'01_Input'!$W$53),'01_Input'!$Y$53,0),MAX(MIN(DG$20,'01_Input'!$W$53)-'01_Input'!$V$53,0)*'01_Input'!$Y$53))+IF('01_Input'!$AB$53="Forfait",IF(DG$20&gt;='01_Input'!$Z$53,'01_Input'!$AC$53,0),IF('01_Input'!$AB$53="Palier",IF(AND(DG$20&gt;='01_Input'!$Z$53,DG$20&lt;'01_Input'!$AA$53),'01_Input'!$AC$53,0),MAX(MIN(DG$20,'01_Input'!$AA$53)-'01_Input'!$Z$53,0)*'01_Input'!$AC$53)))))))))</f>
        <v>900290000</v>
      </c>
      <c r="DH21" s="25">
        <f>IF('01_Input'!$C$53="Non",0,MIN('01_Input'!$I$53,MAX('01_Input'!$H$53,IF('01_Input'!$G$53="Résiduel vs Gestion",0,IF('01_Input'!$G$53="Taux Classe sélectionnée",Distrib_Global_Classe_Selectionnee*DH$20,IF('01_Input'!$G$53="Frais KYC (paliers de 100M€)",MAX(0,Nb_Investisseurs-Nb_KYC_Gratuites_Par_Tranche*(FLOOR(DH$20/Taille_Tranche_KYC,1)+1))*Cout_Par_KYC_Supplementaire,(IF('01_Input'!$L$53="Forfait",IF(DH$20&gt;='01_Input'!$J$53,'01_Input'!$M$53,0),IF('01_Input'!$L$53="Palier",IF(AND(DH$20&gt;='01_Input'!$J$53,DH$20&lt;'01_Input'!$K$53),'01_Input'!$M$53,0),MAX(MIN(DH$20,'01_Input'!$K$53)-'01_Input'!$J$53,0)*'01_Input'!$M$53))+IF('01_Input'!$P$53="Forfait",IF(DH$20&gt;='01_Input'!$N$53,'01_Input'!$Q$53,0),IF('01_Input'!$P$53="Palier",IF(AND(DH$20&gt;='01_Input'!$N$53,DH$20&lt;'01_Input'!$O$53),'01_Input'!$Q$53,0),MAX(MIN(DH$20,'01_Input'!$O$53)-'01_Input'!$N$53,0)*'01_Input'!$Q$53))+IF('01_Input'!$T$53="Forfait",IF(DH$20&gt;='01_Input'!$R$53,'01_Input'!$U$53,0),IF('01_Input'!$T$53="Palier",IF(AND(DH$20&gt;='01_Input'!$R$53,DH$20&lt;'01_Input'!$S$53),'01_Input'!$U$53,0),MAX(MIN(DH$20,'01_Input'!$S$53)-'01_Input'!$R$53,0)*'01_Input'!$U$53))+IF('01_Input'!$X$53="Forfait",IF(DH$20&gt;='01_Input'!$V$53,'01_Input'!$Y$53,0),IF('01_Input'!$X$53="Palier",IF(AND(DH$20&gt;='01_Input'!$V$53,DH$20&lt;'01_Input'!$W$53),'01_Input'!$Y$53,0),MAX(MIN(DH$20,'01_Input'!$W$53)-'01_Input'!$V$53,0)*'01_Input'!$Y$53))+IF('01_Input'!$AB$53="Forfait",IF(DH$20&gt;='01_Input'!$Z$53,'01_Input'!$AC$53,0),IF('01_Input'!$AB$53="Palier",IF(AND(DH$20&gt;='01_Input'!$Z$53,DH$20&lt;'01_Input'!$AA$53),'01_Input'!$AC$53,0),MAX(MIN(DH$20,'01_Input'!$AA$53)-'01_Input'!$Z$53,0)*'01_Input'!$AC$53)))))))))</f>
        <v>900290000</v>
      </c>
      <c r="DI21" s="25">
        <f>IF('01_Input'!$C$53="Non",0,MIN('01_Input'!$I$53,MAX('01_Input'!$H$53,IF('01_Input'!$G$53="Résiduel vs Gestion",0,IF('01_Input'!$G$53="Taux Classe sélectionnée",Distrib_Global_Classe_Selectionnee*DI$20,IF('01_Input'!$G$53="Frais KYC (paliers de 100M€)",MAX(0,Nb_Investisseurs-Nb_KYC_Gratuites_Par_Tranche*(FLOOR(DI$20/Taille_Tranche_KYC,1)+1))*Cout_Par_KYC_Supplementaire,(IF('01_Input'!$L$53="Forfait",IF(DI$20&gt;='01_Input'!$J$53,'01_Input'!$M$53,0),IF('01_Input'!$L$53="Palier",IF(AND(DI$20&gt;='01_Input'!$J$53,DI$20&lt;'01_Input'!$K$53),'01_Input'!$M$53,0),MAX(MIN(DI$20,'01_Input'!$K$53)-'01_Input'!$J$53,0)*'01_Input'!$M$53))+IF('01_Input'!$P$53="Forfait",IF(DI$20&gt;='01_Input'!$N$53,'01_Input'!$Q$53,0),IF('01_Input'!$P$53="Palier",IF(AND(DI$20&gt;='01_Input'!$N$53,DI$20&lt;'01_Input'!$O$53),'01_Input'!$Q$53,0),MAX(MIN(DI$20,'01_Input'!$O$53)-'01_Input'!$N$53,0)*'01_Input'!$Q$53))+IF('01_Input'!$T$53="Forfait",IF(DI$20&gt;='01_Input'!$R$53,'01_Input'!$U$53,0),IF('01_Input'!$T$53="Palier",IF(AND(DI$20&gt;='01_Input'!$R$53,DI$20&lt;'01_Input'!$S$53),'01_Input'!$U$53,0),MAX(MIN(DI$20,'01_Input'!$S$53)-'01_Input'!$R$53,0)*'01_Input'!$U$53))+IF('01_Input'!$X$53="Forfait",IF(DI$20&gt;='01_Input'!$V$53,'01_Input'!$Y$53,0),IF('01_Input'!$X$53="Palier",IF(AND(DI$20&gt;='01_Input'!$V$53,DI$20&lt;'01_Input'!$W$53),'01_Input'!$Y$53,0),MAX(MIN(DI$20,'01_Input'!$W$53)-'01_Input'!$V$53,0)*'01_Input'!$Y$53))+IF('01_Input'!$AB$53="Forfait",IF(DI$20&gt;='01_Input'!$Z$53,'01_Input'!$AC$53,0),IF('01_Input'!$AB$53="Palier",IF(AND(DI$20&gt;='01_Input'!$Z$53,DI$20&lt;'01_Input'!$AA$53),'01_Input'!$AC$53,0),MAX(MIN(DI$20,'01_Input'!$AA$53)-'01_Input'!$Z$53,0)*'01_Input'!$AC$53)))))))))</f>
        <v>900290000</v>
      </c>
      <c r="DJ21" s="25">
        <f>IF('01_Input'!$C$53="Non",0,MIN('01_Input'!$I$53,MAX('01_Input'!$H$53,IF('01_Input'!$G$53="Résiduel vs Gestion",0,IF('01_Input'!$G$53="Taux Classe sélectionnée",Distrib_Global_Classe_Selectionnee*DJ$20,IF('01_Input'!$G$53="Frais KYC (paliers de 100M€)",MAX(0,Nb_Investisseurs-Nb_KYC_Gratuites_Par_Tranche*(FLOOR(DJ$20/Taille_Tranche_KYC,1)+1))*Cout_Par_KYC_Supplementaire,(IF('01_Input'!$L$53="Forfait",IF(DJ$20&gt;='01_Input'!$J$53,'01_Input'!$M$53,0),IF('01_Input'!$L$53="Palier",IF(AND(DJ$20&gt;='01_Input'!$J$53,DJ$20&lt;'01_Input'!$K$53),'01_Input'!$M$53,0),MAX(MIN(DJ$20,'01_Input'!$K$53)-'01_Input'!$J$53,0)*'01_Input'!$M$53))+IF('01_Input'!$P$53="Forfait",IF(DJ$20&gt;='01_Input'!$N$53,'01_Input'!$Q$53,0),IF('01_Input'!$P$53="Palier",IF(AND(DJ$20&gt;='01_Input'!$N$53,DJ$20&lt;'01_Input'!$O$53),'01_Input'!$Q$53,0),MAX(MIN(DJ$20,'01_Input'!$O$53)-'01_Input'!$N$53,0)*'01_Input'!$Q$53))+IF('01_Input'!$T$53="Forfait",IF(DJ$20&gt;='01_Input'!$R$53,'01_Input'!$U$53,0),IF('01_Input'!$T$53="Palier",IF(AND(DJ$20&gt;='01_Input'!$R$53,DJ$20&lt;'01_Input'!$S$53),'01_Input'!$U$53,0),MAX(MIN(DJ$20,'01_Input'!$S$53)-'01_Input'!$R$53,0)*'01_Input'!$U$53))+IF('01_Input'!$X$53="Forfait",IF(DJ$20&gt;='01_Input'!$V$53,'01_Input'!$Y$53,0),IF('01_Input'!$X$53="Palier",IF(AND(DJ$20&gt;='01_Input'!$V$53,DJ$20&lt;'01_Input'!$W$53),'01_Input'!$Y$53,0),MAX(MIN(DJ$20,'01_Input'!$W$53)-'01_Input'!$V$53,0)*'01_Input'!$Y$53))+IF('01_Input'!$AB$53="Forfait",IF(DJ$20&gt;='01_Input'!$Z$53,'01_Input'!$AC$53,0),IF('01_Input'!$AB$53="Palier",IF(AND(DJ$20&gt;='01_Input'!$Z$53,DJ$20&lt;'01_Input'!$AA$53),'01_Input'!$AC$53,0),MAX(MIN(DJ$20,'01_Input'!$AA$53)-'01_Input'!$Z$53,0)*'01_Input'!$AC$53)))))))))</f>
        <v>900290000</v>
      </c>
      <c r="DK21" s="25">
        <f>IF('01_Input'!$C$53="Non",0,MIN('01_Input'!$I$53,MAX('01_Input'!$H$53,IF('01_Input'!$G$53="Résiduel vs Gestion",0,IF('01_Input'!$G$53="Taux Classe sélectionnée",Distrib_Global_Classe_Selectionnee*DK$20,IF('01_Input'!$G$53="Frais KYC (paliers de 100M€)",MAX(0,Nb_Investisseurs-Nb_KYC_Gratuites_Par_Tranche*(FLOOR(DK$20/Taille_Tranche_KYC,1)+1))*Cout_Par_KYC_Supplementaire,(IF('01_Input'!$L$53="Forfait",IF(DK$20&gt;='01_Input'!$J$53,'01_Input'!$M$53,0),IF('01_Input'!$L$53="Palier",IF(AND(DK$20&gt;='01_Input'!$J$53,DK$20&lt;'01_Input'!$K$53),'01_Input'!$M$53,0),MAX(MIN(DK$20,'01_Input'!$K$53)-'01_Input'!$J$53,0)*'01_Input'!$M$53))+IF('01_Input'!$P$53="Forfait",IF(DK$20&gt;='01_Input'!$N$53,'01_Input'!$Q$53,0),IF('01_Input'!$P$53="Palier",IF(AND(DK$20&gt;='01_Input'!$N$53,DK$20&lt;'01_Input'!$O$53),'01_Input'!$Q$53,0),MAX(MIN(DK$20,'01_Input'!$O$53)-'01_Input'!$N$53,0)*'01_Input'!$Q$53))+IF('01_Input'!$T$53="Forfait",IF(DK$20&gt;='01_Input'!$R$53,'01_Input'!$U$53,0),IF('01_Input'!$T$53="Palier",IF(AND(DK$20&gt;='01_Input'!$R$53,DK$20&lt;'01_Input'!$S$53),'01_Input'!$U$53,0),MAX(MIN(DK$20,'01_Input'!$S$53)-'01_Input'!$R$53,0)*'01_Input'!$U$53))+IF('01_Input'!$X$53="Forfait",IF(DK$20&gt;='01_Input'!$V$53,'01_Input'!$Y$53,0),IF('01_Input'!$X$53="Palier",IF(AND(DK$20&gt;='01_Input'!$V$53,DK$20&lt;'01_Input'!$W$53),'01_Input'!$Y$53,0),MAX(MIN(DK$20,'01_Input'!$W$53)-'01_Input'!$V$53,0)*'01_Input'!$Y$53))+IF('01_Input'!$AB$53="Forfait",IF(DK$20&gt;='01_Input'!$Z$53,'01_Input'!$AC$53,0),IF('01_Input'!$AB$53="Palier",IF(AND(DK$20&gt;='01_Input'!$Z$53,DK$20&lt;'01_Input'!$AA$53),'01_Input'!$AC$53,0),MAX(MIN(DK$20,'01_Input'!$AA$53)-'01_Input'!$Z$53,0)*'01_Input'!$AC$53)))))))))</f>
        <v>900290000</v>
      </c>
      <c r="DL21" s="25">
        <f>IF('01_Input'!$C$53="Non",0,MIN('01_Input'!$I$53,MAX('01_Input'!$H$53,IF('01_Input'!$G$53="Résiduel vs Gestion",0,IF('01_Input'!$G$53="Taux Classe sélectionnée",Distrib_Global_Classe_Selectionnee*DL$20,IF('01_Input'!$G$53="Frais KYC (paliers de 100M€)",MAX(0,Nb_Investisseurs-Nb_KYC_Gratuites_Par_Tranche*(FLOOR(DL$20/Taille_Tranche_KYC,1)+1))*Cout_Par_KYC_Supplementaire,(IF('01_Input'!$L$53="Forfait",IF(DL$20&gt;='01_Input'!$J$53,'01_Input'!$M$53,0),IF('01_Input'!$L$53="Palier",IF(AND(DL$20&gt;='01_Input'!$J$53,DL$20&lt;'01_Input'!$K$53),'01_Input'!$M$53,0),MAX(MIN(DL$20,'01_Input'!$K$53)-'01_Input'!$J$53,0)*'01_Input'!$M$53))+IF('01_Input'!$P$53="Forfait",IF(DL$20&gt;='01_Input'!$N$53,'01_Input'!$Q$53,0),IF('01_Input'!$P$53="Palier",IF(AND(DL$20&gt;='01_Input'!$N$53,DL$20&lt;'01_Input'!$O$53),'01_Input'!$Q$53,0),MAX(MIN(DL$20,'01_Input'!$O$53)-'01_Input'!$N$53,0)*'01_Input'!$Q$53))+IF('01_Input'!$T$53="Forfait",IF(DL$20&gt;='01_Input'!$R$53,'01_Input'!$U$53,0),IF('01_Input'!$T$53="Palier",IF(AND(DL$20&gt;='01_Input'!$R$53,DL$20&lt;'01_Input'!$S$53),'01_Input'!$U$53,0),MAX(MIN(DL$20,'01_Input'!$S$53)-'01_Input'!$R$53,0)*'01_Input'!$U$53))+IF('01_Input'!$X$53="Forfait",IF(DL$20&gt;='01_Input'!$V$53,'01_Input'!$Y$53,0),IF('01_Input'!$X$53="Palier",IF(AND(DL$20&gt;='01_Input'!$V$53,DL$20&lt;'01_Input'!$W$53),'01_Input'!$Y$53,0),MAX(MIN(DL$20,'01_Input'!$W$53)-'01_Input'!$V$53,0)*'01_Input'!$Y$53))+IF('01_Input'!$AB$53="Forfait",IF(DL$20&gt;='01_Input'!$Z$53,'01_Input'!$AC$53,0),IF('01_Input'!$AB$53="Palier",IF(AND(DL$20&gt;='01_Input'!$Z$53,DL$20&lt;'01_Input'!$AA$53),'01_Input'!$AC$53,0),MAX(MIN(DL$20,'01_Input'!$AA$53)-'01_Input'!$Z$53,0)*'01_Input'!$AC$53)))))))))</f>
        <v>900290000</v>
      </c>
      <c r="DM21" s="25">
        <f>IF('01_Input'!$C$53="Non",0,MIN('01_Input'!$I$53,MAX('01_Input'!$H$53,IF('01_Input'!$G$53="Résiduel vs Gestion",0,IF('01_Input'!$G$53="Taux Classe sélectionnée",Distrib_Global_Classe_Selectionnee*DM$20,IF('01_Input'!$G$53="Frais KYC (paliers de 100M€)",MAX(0,Nb_Investisseurs-Nb_KYC_Gratuites_Par_Tranche*(FLOOR(DM$20/Taille_Tranche_KYC,1)+1))*Cout_Par_KYC_Supplementaire,(IF('01_Input'!$L$53="Forfait",IF(DM$20&gt;='01_Input'!$J$53,'01_Input'!$M$53,0),IF('01_Input'!$L$53="Palier",IF(AND(DM$20&gt;='01_Input'!$J$53,DM$20&lt;'01_Input'!$K$53),'01_Input'!$M$53,0),MAX(MIN(DM$20,'01_Input'!$K$53)-'01_Input'!$J$53,0)*'01_Input'!$M$53))+IF('01_Input'!$P$53="Forfait",IF(DM$20&gt;='01_Input'!$N$53,'01_Input'!$Q$53,0),IF('01_Input'!$P$53="Palier",IF(AND(DM$20&gt;='01_Input'!$N$53,DM$20&lt;'01_Input'!$O$53),'01_Input'!$Q$53,0),MAX(MIN(DM$20,'01_Input'!$O$53)-'01_Input'!$N$53,0)*'01_Input'!$Q$53))+IF('01_Input'!$T$53="Forfait",IF(DM$20&gt;='01_Input'!$R$53,'01_Input'!$U$53,0),IF('01_Input'!$T$53="Palier",IF(AND(DM$20&gt;='01_Input'!$R$53,DM$20&lt;'01_Input'!$S$53),'01_Input'!$U$53,0),MAX(MIN(DM$20,'01_Input'!$S$53)-'01_Input'!$R$53,0)*'01_Input'!$U$53))+IF('01_Input'!$X$53="Forfait",IF(DM$20&gt;='01_Input'!$V$53,'01_Input'!$Y$53,0),IF('01_Input'!$X$53="Palier",IF(AND(DM$20&gt;='01_Input'!$V$53,DM$20&lt;'01_Input'!$W$53),'01_Input'!$Y$53,0),MAX(MIN(DM$20,'01_Input'!$W$53)-'01_Input'!$V$53,0)*'01_Input'!$Y$53))+IF('01_Input'!$AB$53="Forfait",IF(DM$20&gt;='01_Input'!$Z$53,'01_Input'!$AC$53,0),IF('01_Input'!$AB$53="Palier",IF(AND(DM$20&gt;='01_Input'!$Z$53,DM$20&lt;'01_Input'!$AA$53),'01_Input'!$AC$53,0),MAX(MIN(DM$20,'01_Input'!$AA$53)-'01_Input'!$Z$53,0)*'01_Input'!$AC$53)))))))))</f>
        <v>900290000</v>
      </c>
      <c r="DN21" s="25">
        <f>IF('01_Input'!$C$53="Non",0,MIN('01_Input'!$I$53,MAX('01_Input'!$H$53,IF('01_Input'!$G$53="Résiduel vs Gestion",0,IF('01_Input'!$G$53="Taux Classe sélectionnée",Distrib_Global_Classe_Selectionnee*DN$20,IF('01_Input'!$G$53="Frais KYC (paliers de 100M€)",MAX(0,Nb_Investisseurs-Nb_KYC_Gratuites_Par_Tranche*(FLOOR(DN$20/Taille_Tranche_KYC,1)+1))*Cout_Par_KYC_Supplementaire,(IF('01_Input'!$L$53="Forfait",IF(DN$20&gt;='01_Input'!$J$53,'01_Input'!$M$53,0),IF('01_Input'!$L$53="Palier",IF(AND(DN$20&gt;='01_Input'!$J$53,DN$20&lt;'01_Input'!$K$53),'01_Input'!$M$53,0),MAX(MIN(DN$20,'01_Input'!$K$53)-'01_Input'!$J$53,0)*'01_Input'!$M$53))+IF('01_Input'!$P$53="Forfait",IF(DN$20&gt;='01_Input'!$N$53,'01_Input'!$Q$53,0),IF('01_Input'!$P$53="Palier",IF(AND(DN$20&gt;='01_Input'!$N$53,DN$20&lt;'01_Input'!$O$53),'01_Input'!$Q$53,0),MAX(MIN(DN$20,'01_Input'!$O$53)-'01_Input'!$N$53,0)*'01_Input'!$Q$53))+IF('01_Input'!$T$53="Forfait",IF(DN$20&gt;='01_Input'!$R$53,'01_Input'!$U$53,0),IF('01_Input'!$T$53="Palier",IF(AND(DN$20&gt;='01_Input'!$R$53,DN$20&lt;'01_Input'!$S$53),'01_Input'!$U$53,0),MAX(MIN(DN$20,'01_Input'!$S$53)-'01_Input'!$R$53,0)*'01_Input'!$U$53))+IF('01_Input'!$X$53="Forfait",IF(DN$20&gt;='01_Input'!$V$53,'01_Input'!$Y$53,0),IF('01_Input'!$X$53="Palier",IF(AND(DN$20&gt;='01_Input'!$V$53,DN$20&lt;'01_Input'!$W$53),'01_Input'!$Y$53,0),MAX(MIN(DN$20,'01_Input'!$W$53)-'01_Input'!$V$53,0)*'01_Input'!$Y$53))+IF('01_Input'!$AB$53="Forfait",IF(DN$20&gt;='01_Input'!$Z$53,'01_Input'!$AC$53,0),IF('01_Input'!$AB$53="Palier",IF(AND(DN$20&gt;='01_Input'!$Z$53,DN$20&lt;'01_Input'!$AA$53),'01_Input'!$AC$53,0),MAX(MIN(DN$20,'01_Input'!$AA$53)-'01_Input'!$Z$53,0)*'01_Input'!$AC$53)))))))))</f>
        <v>900290000</v>
      </c>
      <c r="DO21" s="25">
        <f>IF('01_Input'!$C$53="Non",0,MIN('01_Input'!$I$53,MAX('01_Input'!$H$53,IF('01_Input'!$G$53="Résiduel vs Gestion",0,IF('01_Input'!$G$53="Taux Classe sélectionnée",Distrib_Global_Classe_Selectionnee*DO$20,IF('01_Input'!$G$53="Frais KYC (paliers de 100M€)",MAX(0,Nb_Investisseurs-Nb_KYC_Gratuites_Par_Tranche*(FLOOR(DO$20/Taille_Tranche_KYC,1)+1))*Cout_Par_KYC_Supplementaire,(IF('01_Input'!$L$53="Forfait",IF(DO$20&gt;='01_Input'!$J$53,'01_Input'!$M$53,0),IF('01_Input'!$L$53="Palier",IF(AND(DO$20&gt;='01_Input'!$J$53,DO$20&lt;'01_Input'!$K$53),'01_Input'!$M$53,0),MAX(MIN(DO$20,'01_Input'!$K$53)-'01_Input'!$J$53,0)*'01_Input'!$M$53))+IF('01_Input'!$P$53="Forfait",IF(DO$20&gt;='01_Input'!$N$53,'01_Input'!$Q$53,0),IF('01_Input'!$P$53="Palier",IF(AND(DO$20&gt;='01_Input'!$N$53,DO$20&lt;'01_Input'!$O$53),'01_Input'!$Q$53,0),MAX(MIN(DO$20,'01_Input'!$O$53)-'01_Input'!$N$53,0)*'01_Input'!$Q$53))+IF('01_Input'!$T$53="Forfait",IF(DO$20&gt;='01_Input'!$R$53,'01_Input'!$U$53,0),IF('01_Input'!$T$53="Palier",IF(AND(DO$20&gt;='01_Input'!$R$53,DO$20&lt;'01_Input'!$S$53),'01_Input'!$U$53,0),MAX(MIN(DO$20,'01_Input'!$S$53)-'01_Input'!$R$53,0)*'01_Input'!$U$53))+IF('01_Input'!$X$53="Forfait",IF(DO$20&gt;='01_Input'!$V$53,'01_Input'!$Y$53,0),IF('01_Input'!$X$53="Palier",IF(AND(DO$20&gt;='01_Input'!$V$53,DO$20&lt;'01_Input'!$W$53),'01_Input'!$Y$53,0),MAX(MIN(DO$20,'01_Input'!$W$53)-'01_Input'!$V$53,0)*'01_Input'!$Y$53))+IF('01_Input'!$AB$53="Forfait",IF(DO$20&gt;='01_Input'!$Z$53,'01_Input'!$AC$53,0),IF('01_Input'!$AB$53="Palier",IF(AND(DO$20&gt;='01_Input'!$Z$53,DO$20&lt;'01_Input'!$AA$53),'01_Input'!$AC$53,0),MAX(MIN(DO$20,'01_Input'!$AA$53)-'01_Input'!$Z$53,0)*'01_Input'!$AC$53)))))))))</f>
        <v>900290000</v>
      </c>
      <c r="DP21" s="25">
        <f>IF('01_Input'!$C$53="Non",0,MIN('01_Input'!$I$53,MAX('01_Input'!$H$53,IF('01_Input'!$G$53="Résiduel vs Gestion",0,IF('01_Input'!$G$53="Taux Classe sélectionnée",Distrib_Global_Classe_Selectionnee*DP$20,IF('01_Input'!$G$53="Frais KYC (paliers de 100M€)",MAX(0,Nb_Investisseurs-Nb_KYC_Gratuites_Par_Tranche*(FLOOR(DP$20/Taille_Tranche_KYC,1)+1))*Cout_Par_KYC_Supplementaire,(IF('01_Input'!$L$53="Forfait",IF(DP$20&gt;='01_Input'!$J$53,'01_Input'!$M$53,0),IF('01_Input'!$L$53="Palier",IF(AND(DP$20&gt;='01_Input'!$J$53,DP$20&lt;'01_Input'!$K$53),'01_Input'!$M$53,0),MAX(MIN(DP$20,'01_Input'!$K$53)-'01_Input'!$J$53,0)*'01_Input'!$M$53))+IF('01_Input'!$P$53="Forfait",IF(DP$20&gt;='01_Input'!$N$53,'01_Input'!$Q$53,0),IF('01_Input'!$P$53="Palier",IF(AND(DP$20&gt;='01_Input'!$N$53,DP$20&lt;'01_Input'!$O$53),'01_Input'!$Q$53,0),MAX(MIN(DP$20,'01_Input'!$O$53)-'01_Input'!$N$53,0)*'01_Input'!$Q$53))+IF('01_Input'!$T$53="Forfait",IF(DP$20&gt;='01_Input'!$R$53,'01_Input'!$U$53,0),IF('01_Input'!$T$53="Palier",IF(AND(DP$20&gt;='01_Input'!$R$53,DP$20&lt;'01_Input'!$S$53),'01_Input'!$U$53,0),MAX(MIN(DP$20,'01_Input'!$S$53)-'01_Input'!$R$53,0)*'01_Input'!$U$53))+IF('01_Input'!$X$53="Forfait",IF(DP$20&gt;='01_Input'!$V$53,'01_Input'!$Y$53,0),IF('01_Input'!$X$53="Palier",IF(AND(DP$20&gt;='01_Input'!$V$53,DP$20&lt;'01_Input'!$W$53),'01_Input'!$Y$53,0),MAX(MIN(DP$20,'01_Input'!$W$53)-'01_Input'!$V$53,0)*'01_Input'!$Y$53))+IF('01_Input'!$AB$53="Forfait",IF(DP$20&gt;='01_Input'!$Z$53,'01_Input'!$AC$53,0),IF('01_Input'!$AB$53="Palier",IF(AND(DP$20&gt;='01_Input'!$Z$53,DP$20&lt;'01_Input'!$AA$53),'01_Input'!$AC$53,0),MAX(MIN(DP$20,'01_Input'!$AA$53)-'01_Input'!$Z$53,0)*'01_Input'!$AC$53)))))))))</f>
        <v>900290000</v>
      </c>
      <c r="DQ21" s="25">
        <f>IF('01_Input'!$C$53="Non",0,MIN('01_Input'!$I$53,MAX('01_Input'!$H$53,IF('01_Input'!$G$53="Résiduel vs Gestion",0,IF('01_Input'!$G$53="Taux Classe sélectionnée",Distrib_Global_Classe_Selectionnee*DQ$20,IF('01_Input'!$G$53="Frais KYC (paliers de 100M€)",MAX(0,Nb_Investisseurs-Nb_KYC_Gratuites_Par_Tranche*(FLOOR(DQ$20/Taille_Tranche_KYC,1)+1))*Cout_Par_KYC_Supplementaire,(IF('01_Input'!$L$53="Forfait",IF(DQ$20&gt;='01_Input'!$J$53,'01_Input'!$M$53,0),IF('01_Input'!$L$53="Palier",IF(AND(DQ$20&gt;='01_Input'!$J$53,DQ$20&lt;'01_Input'!$K$53),'01_Input'!$M$53,0),MAX(MIN(DQ$20,'01_Input'!$K$53)-'01_Input'!$J$53,0)*'01_Input'!$M$53))+IF('01_Input'!$P$53="Forfait",IF(DQ$20&gt;='01_Input'!$N$53,'01_Input'!$Q$53,0),IF('01_Input'!$P$53="Palier",IF(AND(DQ$20&gt;='01_Input'!$N$53,DQ$20&lt;'01_Input'!$O$53),'01_Input'!$Q$53,0),MAX(MIN(DQ$20,'01_Input'!$O$53)-'01_Input'!$N$53,0)*'01_Input'!$Q$53))+IF('01_Input'!$T$53="Forfait",IF(DQ$20&gt;='01_Input'!$R$53,'01_Input'!$U$53,0),IF('01_Input'!$T$53="Palier",IF(AND(DQ$20&gt;='01_Input'!$R$53,DQ$20&lt;'01_Input'!$S$53),'01_Input'!$U$53,0),MAX(MIN(DQ$20,'01_Input'!$S$53)-'01_Input'!$R$53,0)*'01_Input'!$U$53))+IF('01_Input'!$X$53="Forfait",IF(DQ$20&gt;='01_Input'!$V$53,'01_Input'!$Y$53,0),IF('01_Input'!$X$53="Palier",IF(AND(DQ$20&gt;='01_Input'!$V$53,DQ$20&lt;'01_Input'!$W$53),'01_Input'!$Y$53,0),MAX(MIN(DQ$20,'01_Input'!$W$53)-'01_Input'!$V$53,0)*'01_Input'!$Y$53))+IF('01_Input'!$AB$53="Forfait",IF(DQ$20&gt;='01_Input'!$Z$53,'01_Input'!$AC$53,0),IF('01_Input'!$AB$53="Palier",IF(AND(DQ$20&gt;='01_Input'!$Z$53,DQ$20&lt;'01_Input'!$AA$53),'01_Input'!$AC$53,0),MAX(MIN(DQ$20,'01_Input'!$AA$53)-'01_Input'!$Z$53,0)*'01_Input'!$AC$53)))))))))</f>
        <v>900290000</v>
      </c>
      <c r="DR21" s="25">
        <f>IF('01_Input'!$C$53="Non",0,MIN('01_Input'!$I$53,MAX('01_Input'!$H$53,IF('01_Input'!$G$53="Résiduel vs Gestion",0,IF('01_Input'!$G$53="Taux Classe sélectionnée",Distrib_Global_Classe_Selectionnee*DR$20,IF('01_Input'!$G$53="Frais KYC (paliers de 100M€)",MAX(0,Nb_Investisseurs-Nb_KYC_Gratuites_Par_Tranche*(FLOOR(DR$20/Taille_Tranche_KYC,1)+1))*Cout_Par_KYC_Supplementaire,(IF('01_Input'!$L$53="Forfait",IF(DR$20&gt;='01_Input'!$J$53,'01_Input'!$M$53,0),IF('01_Input'!$L$53="Palier",IF(AND(DR$20&gt;='01_Input'!$J$53,DR$20&lt;'01_Input'!$K$53),'01_Input'!$M$53,0),MAX(MIN(DR$20,'01_Input'!$K$53)-'01_Input'!$J$53,0)*'01_Input'!$M$53))+IF('01_Input'!$P$53="Forfait",IF(DR$20&gt;='01_Input'!$N$53,'01_Input'!$Q$53,0),IF('01_Input'!$P$53="Palier",IF(AND(DR$20&gt;='01_Input'!$N$53,DR$20&lt;'01_Input'!$O$53),'01_Input'!$Q$53,0),MAX(MIN(DR$20,'01_Input'!$O$53)-'01_Input'!$N$53,0)*'01_Input'!$Q$53))+IF('01_Input'!$T$53="Forfait",IF(DR$20&gt;='01_Input'!$R$53,'01_Input'!$U$53,0),IF('01_Input'!$T$53="Palier",IF(AND(DR$20&gt;='01_Input'!$R$53,DR$20&lt;'01_Input'!$S$53),'01_Input'!$U$53,0),MAX(MIN(DR$20,'01_Input'!$S$53)-'01_Input'!$R$53,0)*'01_Input'!$U$53))+IF('01_Input'!$X$53="Forfait",IF(DR$20&gt;='01_Input'!$V$53,'01_Input'!$Y$53,0),IF('01_Input'!$X$53="Palier",IF(AND(DR$20&gt;='01_Input'!$V$53,DR$20&lt;'01_Input'!$W$53),'01_Input'!$Y$53,0),MAX(MIN(DR$20,'01_Input'!$W$53)-'01_Input'!$V$53,0)*'01_Input'!$Y$53))+IF('01_Input'!$AB$53="Forfait",IF(DR$20&gt;='01_Input'!$Z$53,'01_Input'!$AC$53,0),IF('01_Input'!$AB$53="Palier",IF(AND(DR$20&gt;='01_Input'!$Z$53,DR$20&lt;'01_Input'!$AA$53),'01_Input'!$AC$53,0),MAX(MIN(DR$20,'01_Input'!$AA$53)-'01_Input'!$Z$53,0)*'01_Input'!$AC$53)))))))))</f>
        <v>900290000</v>
      </c>
      <c r="DS21" s="25">
        <f>IF('01_Input'!$C$53="Non",0,MIN('01_Input'!$I$53,MAX('01_Input'!$H$53,IF('01_Input'!$G$53="Résiduel vs Gestion",0,IF('01_Input'!$G$53="Taux Classe sélectionnée",Distrib_Global_Classe_Selectionnee*DS$20,IF('01_Input'!$G$53="Frais KYC (paliers de 100M€)",MAX(0,Nb_Investisseurs-Nb_KYC_Gratuites_Par_Tranche*(FLOOR(DS$20/Taille_Tranche_KYC,1)+1))*Cout_Par_KYC_Supplementaire,(IF('01_Input'!$L$53="Forfait",IF(DS$20&gt;='01_Input'!$J$53,'01_Input'!$M$53,0),IF('01_Input'!$L$53="Palier",IF(AND(DS$20&gt;='01_Input'!$J$53,DS$20&lt;'01_Input'!$K$53),'01_Input'!$M$53,0),MAX(MIN(DS$20,'01_Input'!$K$53)-'01_Input'!$J$53,0)*'01_Input'!$M$53))+IF('01_Input'!$P$53="Forfait",IF(DS$20&gt;='01_Input'!$N$53,'01_Input'!$Q$53,0),IF('01_Input'!$P$53="Palier",IF(AND(DS$20&gt;='01_Input'!$N$53,DS$20&lt;'01_Input'!$O$53),'01_Input'!$Q$53,0),MAX(MIN(DS$20,'01_Input'!$O$53)-'01_Input'!$N$53,0)*'01_Input'!$Q$53))+IF('01_Input'!$T$53="Forfait",IF(DS$20&gt;='01_Input'!$R$53,'01_Input'!$U$53,0),IF('01_Input'!$T$53="Palier",IF(AND(DS$20&gt;='01_Input'!$R$53,DS$20&lt;'01_Input'!$S$53),'01_Input'!$U$53,0),MAX(MIN(DS$20,'01_Input'!$S$53)-'01_Input'!$R$53,0)*'01_Input'!$U$53))+IF('01_Input'!$X$53="Forfait",IF(DS$20&gt;='01_Input'!$V$53,'01_Input'!$Y$53,0),IF('01_Input'!$X$53="Palier",IF(AND(DS$20&gt;='01_Input'!$V$53,DS$20&lt;'01_Input'!$W$53),'01_Input'!$Y$53,0),MAX(MIN(DS$20,'01_Input'!$W$53)-'01_Input'!$V$53,0)*'01_Input'!$Y$53))+IF('01_Input'!$AB$53="Forfait",IF(DS$20&gt;='01_Input'!$Z$53,'01_Input'!$AC$53,0),IF('01_Input'!$AB$53="Palier",IF(AND(DS$20&gt;='01_Input'!$Z$53,DS$20&lt;'01_Input'!$AA$53),'01_Input'!$AC$53,0),MAX(MIN(DS$20,'01_Input'!$AA$53)-'01_Input'!$Z$53,0)*'01_Input'!$AC$53)))))))))</f>
        <v>900290000</v>
      </c>
      <c r="DT21" s="25">
        <f>IF('01_Input'!$C$53="Non",0,MIN('01_Input'!$I$53,MAX('01_Input'!$H$53,IF('01_Input'!$G$53="Résiduel vs Gestion",0,IF('01_Input'!$G$53="Taux Classe sélectionnée",Distrib_Global_Classe_Selectionnee*DT$20,IF('01_Input'!$G$53="Frais KYC (paliers de 100M€)",MAX(0,Nb_Investisseurs-Nb_KYC_Gratuites_Par_Tranche*(FLOOR(DT$20/Taille_Tranche_KYC,1)+1))*Cout_Par_KYC_Supplementaire,(IF('01_Input'!$L$53="Forfait",IF(DT$20&gt;='01_Input'!$J$53,'01_Input'!$M$53,0),IF('01_Input'!$L$53="Palier",IF(AND(DT$20&gt;='01_Input'!$J$53,DT$20&lt;'01_Input'!$K$53),'01_Input'!$M$53,0),MAX(MIN(DT$20,'01_Input'!$K$53)-'01_Input'!$J$53,0)*'01_Input'!$M$53))+IF('01_Input'!$P$53="Forfait",IF(DT$20&gt;='01_Input'!$N$53,'01_Input'!$Q$53,0),IF('01_Input'!$P$53="Palier",IF(AND(DT$20&gt;='01_Input'!$N$53,DT$20&lt;'01_Input'!$O$53),'01_Input'!$Q$53,0),MAX(MIN(DT$20,'01_Input'!$O$53)-'01_Input'!$N$53,0)*'01_Input'!$Q$53))+IF('01_Input'!$T$53="Forfait",IF(DT$20&gt;='01_Input'!$R$53,'01_Input'!$U$53,0),IF('01_Input'!$T$53="Palier",IF(AND(DT$20&gt;='01_Input'!$R$53,DT$20&lt;'01_Input'!$S$53),'01_Input'!$U$53,0),MAX(MIN(DT$20,'01_Input'!$S$53)-'01_Input'!$R$53,0)*'01_Input'!$U$53))+IF('01_Input'!$X$53="Forfait",IF(DT$20&gt;='01_Input'!$V$53,'01_Input'!$Y$53,0),IF('01_Input'!$X$53="Palier",IF(AND(DT$20&gt;='01_Input'!$V$53,DT$20&lt;'01_Input'!$W$53),'01_Input'!$Y$53,0),MAX(MIN(DT$20,'01_Input'!$W$53)-'01_Input'!$V$53,0)*'01_Input'!$Y$53))+IF('01_Input'!$AB$53="Forfait",IF(DT$20&gt;='01_Input'!$Z$53,'01_Input'!$AC$53,0),IF('01_Input'!$AB$53="Palier",IF(AND(DT$20&gt;='01_Input'!$Z$53,DT$20&lt;'01_Input'!$AA$53),'01_Input'!$AC$53,0),MAX(MIN(DT$20,'01_Input'!$AA$53)-'01_Input'!$Z$53,0)*'01_Input'!$AC$53)))))))))</f>
        <v>900290000</v>
      </c>
      <c r="DU21" s="25">
        <f>IF('01_Input'!$C$53="Non",0,MIN('01_Input'!$I$53,MAX('01_Input'!$H$53,IF('01_Input'!$G$53="Résiduel vs Gestion",0,IF('01_Input'!$G$53="Taux Classe sélectionnée",Distrib_Global_Classe_Selectionnee*DU$20,IF('01_Input'!$G$53="Frais KYC (paliers de 100M€)",MAX(0,Nb_Investisseurs-Nb_KYC_Gratuites_Par_Tranche*(FLOOR(DU$20/Taille_Tranche_KYC,1)+1))*Cout_Par_KYC_Supplementaire,(IF('01_Input'!$L$53="Forfait",IF(DU$20&gt;='01_Input'!$J$53,'01_Input'!$M$53,0),IF('01_Input'!$L$53="Palier",IF(AND(DU$20&gt;='01_Input'!$J$53,DU$20&lt;'01_Input'!$K$53),'01_Input'!$M$53,0),MAX(MIN(DU$20,'01_Input'!$K$53)-'01_Input'!$J$53,0)*'01_Input'!$M$53))+IF('01_Input'!$P$53="Forfait",IF(DU$20&gt;='01_Input'!$N$53,'01_Input'!$Q$53,0),IF('01_Input'!$P$53="Palier",IF(AND(DU$20&gt;='01_Input'!$N$53,DU$20&lt;'01_Input'!$O$53),'01_Input'!$Q$53,0),MAX(MIN(DU$20,'01_Input'!$O$53)-'01_Input'!$N$53,0)*'01_Input'!$Q$53))+IF('01_Input'!$T$53="Forfait",IF(DU$20&gt;='01_Input'!$R$53,'01_Input'!$U$53,0),IF('01_Input'!$T$53="Palier",IF(AND(DU$20&gt;='01_Input'!$R$53,DU$20&lt;'01_Input'!$S$53),'01_Input'!$U$53,0),MAX(MIN(DU$20,'01_Input'!$S$53)-'01_Input'!$R$53,0)*'01_Input'!$U$53))+IF('01_Input'!$X$53="Forfait",IF(DU$20&gt;='01_Input'!$V$53,'01_Input'!$Y$53,0),IF('01_Input'!$X$53="Palier",IF(AND(DU$20&gt;='01_Input'!$V$53,DU$20&lt;'01_Input'!$W$53),'01_Input'!$Y$53,0),MAX(MIN(DU$20,'01_Input'!$W$53)-'01_Input'!$V$53,0)*'01_Input'!$Y$53))+IF('01_Input'!$AB$53="Forfait",IF(DU$20&gt;='01_Input'!$Z$53,'01_Input'!$AC$53,0),IF('01_Input'!$AB$53="Palier",IF(AND(DU$20&gt;='01_Input'!$Z$53,DU$20&lt;'01_Input'!$AA$53),'01_Input'!$AC$53,0),MAX(MIN(DU$20,'01_Input'!$AA$53)-'01_Input'!$Z$53,0)*'01_Input'!$AC$53)))))))))</f>
        <v>900290000</v>
      </c>
      <c r="DV21" s="25">
        <f>IF('01_Input'!$C$53="Non",0,MIN('01_Input'!$I$53,MAX('01_Input'!$H$53,IF('01_Input'!$G$53="Résiduel vs Gestion",0,IF('01_Input'!$G$53="Taux Classe sélectionnée",Distrib_Global_Classe_Selectionnee*DV$20,IF('01_Input'!$G$53="Frais KYC (paliers de 100M€)",MAX(0,Nb_Investisseurs-Nb_KYC_Gratuites_Par_Tranche*(FLOOR(DV$20/Taille_Tranche_KYC,1)+1))*Cout_Par_KYC_Supplementaire,(IF('01_Input'!$L$53="Forfait",IF(DV$20&gt;='01_Input'!$J$53,'01_Input'!$M$53,0),IF('01_Input'!$L$53="Palier",IF(AND(DV$20&gt;='01_Input'!$J$53,DV$20&lt;'01_Input'!$K$53),'01_Input'!$M$53,0),MAX(MIN(DV$20,'01_Input'!$K$53)-'01_Input'!$J$53,0)*'01_Input'!$M$53))+IF('01_Input'!$P$53="Forfait",IF(DV$20&gt;='01_Input'!$N$53,'01_Input'!$Q$53,0),IF('01_Input'!$P$53="Palier",IF(AND(DV$20&gt;='01_Input'!$N$53,DV$20&lt;'01_Input'!$O$53),'01_Input'!$Q$53,0),MAX(MIN(DV$20,'01_Input'!$O$53)-'01_Input'!$N$53,0)*'01_Input'!$Q$53))+IF('01_Input'!$T$53="Forfait",IF(DV$20&gt;='01_Input'!$R$53,'01_Input'!$U$53,0),IF('01_Input'!$T$53="Palier",IF(AND(DV$20&gt;='01_Input'!$R$53,DV$20&lt;'01_Input'!$S$53),'01_Input'!$U$53,0),MAX(MIN(DV$20,'01_Input'!$S$53)-'01_Input'!$R$53,0)*'01_Input'!$U$53))+IF('01_Input'!$X$53="Forfait",IF(DV$20&gt;='01_Input'!$V$53,'01_Input'!$Y$53,0),IF('01_Input'!$X$53="Palier",IF(AND(DV$20&gt;='01_Input'!$V$53,DV$20&lt;'01_Input'!$W$53),'01_Input'!$Y$53,0),MAX(MIN(DV$20,'01_Input'!$W$53)-'01_Input'!$V$53,0)*'01_Input'!$Y$53))+IF('01_Input'!$AB$53="Forfait",IF(DV$20&gt;='01_Input'!$Z$53,'01_Input'!$AC$53,0),IF('01_Input'!$AB$53="Palier",IF(AND(DV$20&gt;='01_Input'!$Z$53,DV$20&lt;'01_Input'!$AA$53),'01_Input'!$AC$53,0),MAX(MIN(DV$20,'01_Input'!$AA$53)-'01_Input'!$Z$53,0)*'01_Input'!$AC$53)))))))))</f>
        <v>900290000</v>
      </c>
      <c r="DW21" s="25">
        <f>IF('01_Input'!$C$53="Non",0,MIN('01_Input'!$I$53,MAX('01_Input'!$H$53,IF('01_Input'!$G$53="Résiduel vs Gestion",0,IF('01_Input'!$G$53="Taux Classe sélectionnée",Distrib_Global_Classe_Selectionnee*DW$20,IF('01_Input'!$G$53="Frais KYC (paliers de 100M€)",MAX(0,Nb_Investisseurs-Nb_KYC_Gratuites_Par_Tranche*(FLOOR(DW$20/Taille_Tranche_KYC,1)+1))*Cout_Par_KYC_Supplementaire,(IF('01_Input'!$L$53="Forfait",IF(DW$20&gt;='01_Input'!$J$53,'01_Input'!$M$53,0),IF('01_Input'!$L$53="Palier",IF(AND(DW$20&gt;='01_Input'!$J$53,DW$20&lt;'01_Input'!$K$53),'01_Input'!$M$53,0),MAX(MIN(DW$20,'01_Input'!$K$53)-'01_Input'!$J$53,0)*'01_Input'!$M$53))+IF('01_Input'!$P$53="Forfait",IF(DW$20&gt;='01_Input'!$N$53,'01_Input'!$Q$53,0),IF('01_Input'!$P$53="Palier",IF(AND(DW$20&gt;='01_Input'!$N$53,DW$20&lt;'01_Input'!$O$53),'01_Input'!$Q$53,0),MAX(MIN(DW$20,'01_Input'!$O$53)-'01_Input'!$N$53,0)*'01_Input'!$Q$53))+IF('01_Input'!$T$53="Forfait",IF(DW$20&gt;='01_Input'!$R$53,'01_Input'!$U$53,0),IF('01_Input'!$T$53="Palier",IF(AND(DW$20&gt;='01_Input'!$R$53,DW$20&lt;'01_Input'!$S$53),'01_Input'!$U$53,0),MAX(MIN(DW$20,'01_Input'!$S$53)-'01_Input'!$R$53,0)*'01_Input'!$U$53))+IF('01_Input'!$X$53="Forfait",IF(DW$20&gt;='01_Input'!$V$53,'01_Input'!$Y$53,0),IF('01_Input'!$X$53="Palier",IF(AND(DW$20&gt;='01_Input'!$V$53,DW$20&lt;'01_Input'!$W$53),'01_Input'!$Y$53,0),MAX(MIN(DW$20,'01_Input'!$W$53)-'01_Input'!$V$53,0)*'01_Input'!$Y$53))+IF('01_Input'!$AB$53="Forfait",IF(DW$20&gt;='01_Input'!$Z$53,'01_Input'!$AC$53,0),IF('01_Input'!$AB$53="Palier",IF(AND(DW$20&gt;='01_Input'!$Z$53,DW$20&lt;'01_Input'!$AA$53),'01_Input'!$AC$53,0),MAX(MIN(DW$20,'01_Input'!$AA$53)-'01_Input'!$Z$53,0)*'01_Input'!$AC$53)))))))))</f>
        <v>900290000</v>
      </c>
      <c r="DX21" s="25">
        <f>IF('01_Input'!$C$53="Non",0,MIN('01_Input'!$I$53,MAX('01_Input'!$H$53,IF('01_Input'!$G$53="Résiduel vs Gestion",0,IF('01_Input'!$G$53="Taux Classe sélectionnée",Distrib_Global_Classe_Selectionnee*DX$20,IF('01_Input'!$G$53="Frais KYC (paliers de 100M€)",MAX(0,Nb_Investisseurs-Nb_KYC_Gratuites_Par_Tranche*(FLOOR(DX$20/Taille_Tranche_KYC,1)+1))*Cout_Par_KYC_Supplementaire,(IF('01_Input'!$L$53="Forfait",IF(DX$20&gt;='01_Input'!$J$53,'01_Input'!$M$53,0),IF('01_Input'!$L$53="Palier",IF(AND(DX$20&gt;='01_Input'!$J$53,DX$20&lt;'01_Input'!$K$53),'01_Input'!$M$53,0),MAX(MIN(DX$20,'01_Input'!$K$53)-'01_Input'!$J$53,0)*'01_Input'!$M$53))+IF('01_Input'!$P$53="Forfait",IF(DX$20&gt;='01_Input'!$N$53,'01_Input'!$Q$53,0),IF('01_Input'!$P$53="Palier",IF(AND(DX$20&gt;='01_Input'!$N$53,DX$20&lt;'01_Input'!$O$53),'01_Input'!$Q$53,0),MAX(MIN(DX$20,'01_Input'!$O$53)-'01_Input'!$N$53,0)*'01_Input'!$Q$53))+IF('01_Input'!$T$53="Forfait",IF(DX$20&gt;='01_Input'!$R$53,'01_Input'!$U$53,0),IF('01_Input'!$T$53="Palier",IF(AND(DX$20&gt;='01_Input'!$R$53,DX$20&lt;'01_Input'!$S$53),'01_Input'!$U$53,0),MAX(MIN(DX$20,'01_Input'!$S$53)-'01_Input'!$R$53,0)*'01_Input'!$U$53))+IF('01_Input'!$X$53="Forfait",IF(DX$20&gt;='01_Input'!$V$53,'01_Input'!$Y$53,0),IF('01_Input'!$X$53="Palier",IF(AND(DX$20&gt;='01_Input'!$V$53,DX$20&lt;'01_Input'!$W$53),'01_Input'!$Y$53,0),MAX(MIN(DX$20,'01_Input'!$W$53)-'01_Input'!$V$53,0)*'01_Input'!$Y$53))+IF('01_Input'!$AB$53="Forfait",IF(DX$20&gt;='01_Input'!$Z$53,'01_Input'!$AC$53,0),IF('01_Input'!$AB$53="Palier",IF(AND(DX$20&gt;='01_Input'!$Z$53,DX$20&lt;'01_Input'!$AA$53),'01_Input'!$AC$53,0),MAX(MIN(DX$20,'01_Input'!$AA$53)-'01_Input'!$Z$53,0)*'01_Input'!$AC$53)))))))))</f>
        <v>900290000</v>
      </c>
      <c r="DY21" s="25">
        <f>IF('01_Input'!$C$53="Non",0,MIN('01_Input'!$I$53,MAX('01_Input'!$H$53,IF('01_Input'!$G$53="Résiduel vs Gestion",0,IF('01_Input'!$G$53="Taux Classe sélectionnée",Distrib_Global_Classe_Selectionnee*DY$20,IF('01_Input'!$G$53="Frais KYC (paliers de 100M€)",MAX(0,Nb_Investisseurs-Nb_KYC_Gratuites_Par_Tranche*(FLOOR(DY$20/Taille_Tranche_KYC,1)+1))*Cout_Par_KYC_Supplementaire,(IF('01_Input'!$L$53="Forfait",IF(DY$20&gt;='01_Input'!$J$53,'01_Input'!$M$53,0),IF('01_Input'!$L$53="Palier",IF(AND(DY$20&gt;='01_Input'!$J$53,DY$20&lt;'01_Input'!$K$53),'01_Input'!$M$53,0),MAX(MIN(DY$20,'01_Input'!$K$53)-'01_Input'!$J$53,0)*'01_Input'!$M$53))+IF('01_Input'!$P$53="Forfait",IF(DY$20&gt;='01_Input'!$N$53,'01_Input'!$Q$53,0),IF('01_Input'!$P$53="Palier",IF(AND(DY$20&gt;='01_Input'!$N$53,DY$20&lt;'01_Input'!$O$53),'01_Input'!$Q$53,0),MAX(MIN(DY$20,'01_Input'!$O$53)-'01_Input'!$N$53,0)*'01_Input'!$Q$53))+IF('01_Input'!$T$53="Forfait",IF(DY$20&gt;='01_Input'!$R$53,'01_Input'!$U$53,0),IF('01_Input'!$T$53="Palier",IF(AND(DY$20&gt;='01_Input'!$R$53,DY$20&lt;'01_Input'!$S$53),'01_Input'!$U$53,0),MAX(MIN(DY$20,'01_Input'!$S$53)-'01_Input'!$R$53,0)*'01_Input'!$U$53))+IF('01_Input'!$X$53="Forfait",IF(DY$20&gt;='01_Input'!$V$53,'01_Input'!$Y$53,0),IF('01_Input'!$X$53="Palier",IF(AND(DY$20&gt;='01_Input'!$V$53,DY$20&lt;'01_Input'!$W$53),'01_Input'!$Y$53,0),MAX(MIN(DY$20,'01_Input'!$W$53)-'01_Input'!$V$53,0)*'01_Input'!$Y$53))+IF('01_Input'!$AB$53="Forfait",IF(DY$20&gt;='01_Input'!$Z$53,'01_Input'!$AC$53,0),IF('01_Input'!$AB$53="Palier",IF(AND(DY$20&gt;='01_Input'!$Z$53,DY$20&lt;'01_Input'!$AA$53),'01_Input'!$AC$53,0),MAX(MIN(DY$20,'01_Input'!$AA$53)-'01_Input'!$Z$53,0)*'01_Input'!$AC$53)))))))))</f>
        <v>900290000</v>
      </c>
      <c r="DZ21" s="25">
        <f>IF('01_Input'!$C$53="Non",0,MIN('01_Input'!$I$53,MAX('01_Input'!$H$53,IF('01_Input'!$G$53="Résiduel vs Gestion",0,IF('01_Input'!$G$53="Taux Classe sélectionnée",Distrib_Global_Classe_Selectionnee*DZ$20,IF('01_Input'!$G$53="Frais KYC (paliers de 100M€)",MAX(0,Nb_Investisseurs-Nb_KYC_Gratuites_Par_Tranche*(FLOOR(DZ$20/Taille_Tranche_KYC,1)+1))*Cout_Par_KYC_Supplementaire,(IF('01_Input'!$L$53="Forfait",IF(DZ$20&gt;='01_Input'!$J$53,'01_Input'!$M$53,0),IF('01_Input'!$L$53="Palier",IF(AND(DZ$20&gt;='01_Input'!$J$53,DZ$20&lt;'01_Input'!$K$53),'01_Input'!$M$53,0),MAX(MIN(DZ$20,'01_Input'!$K$53)-'01_Input'!$J$53,0)*'01_Input'!$M$53))+IF('01_Input'!$P$53="Forfait",IF(DZ$20&gt;='01_Input'!$N$53,'01_Input'!$Q$53,0),IF('01_Input'!$P$53="Palier",IF(AND(DZ$20&gt;='01_Input'!$N$53,DZ$20&lt;'01_Input'!$O$53),'01_Input'!$Q$53,0),MAX(MIN(DZ$20,'01_Input'!$O$53)-'01_Input'!$N$53,0)*'01_Input'!$Q$53))+IF('01_Input'!$T$53="Forfait",IF(DZ$20&gt;='01_Input'!$R$53,'01_Input'!$U$53,0),IF('01_Input'!$T$53="Palier",IF(AND(DZ$20&gt;='01_Input'!$R$53,DZ$20&lt;'01_Input'!$S$53),'01_Input'!$U$53,0),MAX(MIN(DZ$20,'01_Input'!$S$53)-'01_Input'!$R$53,0)*'01_Input'!$U$53))+IF('01_Input'!$X$53="Forfait",IF(DZ$20&gt;='01_Input'!$V$53,'01_Input'!$Y$53,0),IF('01_Input'!$X$53="Palier",IF(AND(DZ$20&gt;='01_Input'!$V$53,DZ$20&lt;'01_Input'!$W$53),'01_Input'!$Y$53,0),MAX(MIN(DZ$20,'01_Input'!$W$53)-'01_Input'!$V$53,0)*'01_Input'!$Y$53))+IF('01_Input'!$AB$53="Forfait",IF(DZ$20&gt;='01_Input'!$Z$53,'01_Input'!$AC$53,0),IF('01_Input'!$AB$53="Palier",IF(AND(DZ$20&gt;='01_Input'!$Z$53,DZ$20&lt;'01_Input'!$AA$53),'01_Input'!$AC$53,0),MAX(MIN(DZ$20,'01_Input'!$AA$53)-'01_Input'!$Z$53,0)*'01_Input'!$AC$53)))))))))</f>
        <v>900290000</v>
      </c>
      <c r="EA21" s="25">
        <f>IF('01_Input'!$C$53="Non",0,MIN('01_Input'!$I$53,MAX('01_Input'!$H$53,IF('01_Input'!$G$53="Résiduel vs Gestion",0,IF('01_Input'!$G$53="Taux Classe sélectionnée",Distrib_Global_Classe_Selectionnee*EA$20,IF('01_Input'!$G$53="Frais KYC (paliers de 100M€)",MAX(0,Nb_Investisseurs-Nb_KYC_Gratuites_Par_Tranche*(FLOOR(EA$20/Taille_Tranche_KYC,1)+1))*Cout_Par_KYC_Supplementaire,(IF('01_Input'!$L$53="Forfait",IF(EA$20&gt;='01_Input'!$J$53,'01_Input'!$M$53,0),IF('01_Input'!$L$53="Palier",IF(AND(EA$20&gt;='01_Input'!$J$53,EA$20&lt;'01_Input'!$K$53),'01_Input'!$M$53,0),MAX(MIN(EA$20,'01_Input'!$K$53)-'01_Input'!$J$53,0)*'01_Input'!$M$53))+IF('01_Input'!$P$53="Forfait",IF(EA$20&gt;='01_Input'!$N$53,'01_Input'!$Q$53,0),IF('01_Input'!$P$53="Palier",IF(AND(EA$20&gt;='01_Input'!$N$53,EA$20&lt;'01_Input'!$O$53),'01_Input'!$Q$53,0),MAX(MIN(EA$20,'01_Input'!$O$53)-'01_Input'!$N$53,0)*'01_Input'!$Q$53))+IF('01_Input'!$T$53="Forfait",IF(EA$20&gt;='01_Input'!$R$53,'01_Input'!$U$53,0),IF('01_Input'!$T$53="Palier",IF(AND(EA$20&gt;='01_Input'!$R$53,EA$20&lt;'01_Input'!$S$53),'01_Input'!$U$53,0),MAX(MIN(EA$20,'01_Input'!$S$53)-'01_Input'!$R$53,0)*'01_Input'!$U$53))+IF('01_Input'!$X$53="Forfait",IF(EA$20&gt;='01_Input'!$V$53,'01_Input'!$Y$53,0),IF('01_Input'!$X$53="Palier",IF(AND(EA$20&gt;='01_Input'!$V$53,EA$20&lt;'01_Input'!$W$53),'01_Input'!$Y$53,0),MAX(MIN(EA$20,'01_Input'!$W$53)-'01_Input'!$V$53,0)*'01_Input'!$Y$53))+IF('01_Input'!$AB$53="Forfait",IF(EA$20&gt;='01_Input'!$Z$53,'01_Input'!$AC$53,0),IF('01_Input'!$AB$53="Palier",IF(AND(EA$20&gt;='01_Input'!$Z$53,EA$20&lt;'01_Input'!$AA$53),'01_Input'!$AC$53,0),MAX(MIN(EA$20,'01_Input'!$AA$53)-'01_Input'!$Z$53,0)*'01_Input'!$AC$53)))))))))</f>
        <v>900290000</v>
      </c>
      <c r="EB21" s="25">
        <f>IF('01_Input'!$C$53="Non",0,MIN('01_Input'!$I$53,MAX('01_Input'!$H$53,IF('01_Input'!$G$53="Résiduel vs Gestion",0,IF('01_Input'!$G$53="Taux Classe sélectionnée",Distrib_Global_Classe_Selectionnee*EB$20,IF('01_Input'!$G$53="Frais KYC (paliers de 100M€)",MAX(0,Nb_Investisseurs-Nb_KYC_Gratuites_Par_Tranche*(FLOOR(EB$20/Taille_Tranche_KYC,1)+1))*Cout_Par_KYC_Supplementaire,(IF('01_Input'!$L$53="Forfait",IF(EB$20&gt;='01_Input'!$J$53,'01_Input'!$M$53,0),IF('01_Input'!$L$53="Palier",IF(AND(EB$20&gt;='01_Input'!$J$53,EB$20&lt;'01_Input'!$K$53),'01_Input'!$M$53,0),MAX(MIN(EB$20,'01_Input'!$K$53)-'01_Input'!$J$53,0)*'01_Input'!$M$53))+IF('01_Input'!$P$53="Forfait",IF(EB$20&gt;='01_Input'!$N$53,'01_Input'!$Q$53,0),IF('01_Input'!$P$53="Palier",IF(AND(EB$20&gt;='01_Input'!$N$53,EB$20&lt;'01_Input'!$O$53),'01_Input'!$Q$53,0),MAX(MIN(EB$20,'01_Input'!$O$53)-'01_Input'!$N$53,0)*'01_Input'!$Q$53))+IF('01_Input'!$T$53="Forfait",IF(EB$20&gt;='01_Input'!$R$53,'01_Input'!$U$53,0),IF('01_Input'!$T$53="Palier",IF(AND(EB$20&gt;='01_Input'!$R$53,EB$20&lt;'01_Input'!$S$53),'01_Input'!$U$53,0),MAX(MIN(EB$20,'01_Input'!$S$53)-'01_Input'!$R$53,0)*'01_Input'!$U$53))+IF('01_Input'!$X$53="Forfait",IF(EB$20&gt;='01_Input'!$V$53,'01_Input'!$Y$53,0),IF('01_Input'!$X$53="Palier",IF(AND(EB$20&gt;='01_Input'!$V$53,EB$20&lt;'01_Input'!$W$53),'01_Input'!$Y$53,0),MAX(MIN(EB$20,'01_Input'!$W$53)-'01_Input'!$V$53,0)*'01_Input'!$Y$53))+IF('01_Input'!$AB$53="Forfait",IF(EB$20&gt;='01_Input'!$Z$53,'01_Input'!$AC$53,0),IF('01_Input'!$AB$53="Palier",IF(AND(EB$20&gt;='01_Input'!$Z$53,EB$20&lt;'01_Input'!$AA$53),'01_Input'!$AC$53,0),MAX(MIN(EB$20,'01_Input'!$AA$53)-'01_Input'!$Z$53,0)*'01_Input'!$AC$53)))))))))</f>
        <v>900290000</v>
      </c>
      <c r="EC21" s="25">
        <f>IF('01_Input'!$C$53="Non",0,MIN('01_Input'!$I$53,MAX('01_Input'!$H$53,IF('01_Input'!$G$53="Résiduel vs Gestion",0,IF('01_Input'!$G$53="Taux Classe sélectionnée",Distrib_Global_Classe_Selectionnee*EC$20,IF('01_Input'!$G$53="Frais KYC (paliers de 100M€)",MAX(0,Nb_Investisseurs-Nb_KYC_Gratuites_Par_Tranche*(FLOOR(EC$20/Taille_Tranche_KYC,1)+1))*Cout_Par_KYC_Supplementaire,(IF('01_Input'!$L$53="Forfait",IF(EC$20&gt;='01_Input'!$J$53,'01_Input'!$M$53,0),IF('01_Input'!$L$53="Palier",IF(AND(EC$20&gt;='01_Input'!$J$53,EC$20&lt;'01_Input'!$K$53),'01_Input'!$M$53,0),MAX(MIN(EC$20,'01_Input'!$K$53)-'01_Input'!$J$53,0)*'01_Input'!$M$53))+IF('01_Input'!$P$53="Forfait",IF(EC$20&gt;='01_Input'!$N$53,'01_Input'!$Q$53,0),IF('01_Input'!$P$53="Palier",IF(AND(EC$20&gt;='01_Input'!$N$53,EC$20&lt;'01_Input'!$O$53),'01_Input'!$Q$53,0),MAX(MIN(EC$20,'01_Input'!$O$53)-'01_Input'!$N$53,0)*'01_Input'!$Q$53))+IF('01_Input'!$T$53="Forfait",IF(EC$20&gt;='01_Input'!$R$53,'01_Input'!$U$53,0),IF('01_Input'!$T$53="Palier",IF(AND(EC$20&gt;='01_Input'!$R$53,EC$20&lt;'01_Input'!$S$53),'01_Input'!$U$53,0),MAX(MIN(EC$20,'01_Input'!$S$53)-'01_Input'!$R$53,0)*'01_Input'!$U$53))+IF('01_Input'!$X$53="Forfait",IF(EC$20&gt;='01_Input'!$V$53,'01_Input'!$Y$53,0),IF('01_Input'!$X$53="Palier",IF(AND(EC$20&gt;='01_Input'!$V$53,EC$20&lt;'01_Input'!$W$53),'01_Input'!$Y$53,0),MAX(MIN(EC$20,'01_Input'!$W$53)-'01_Input'!$V$53,0)*'01_Input'!$Y$53))+IF('01_Input'!$AB$53="Forfait",IF(EC$20&gt;='01_Input'!$Z$53,'01_Input'!$AC$53,0),IF('01_Input'!$AB$53="Palier",IF(AND(EC$20&gt;='01_Input'!$Z$53,EC$20&lt;'01_Input'!$AA$53),'01_Input'!$AC$53,0),MAX(MIN(EC$20,'01_Input'!$AA$53)-'01_Input'!$Z$53,0)*'01_Input'!$AC$53)))))))))</f>
        <v>900290000</v>
      </c>
      <c r="ED21" s="25">
        <f>IF('01_Input'!$C$53="Non",0,MIN('01_Input'!$I$53,MAX('01_Input'!$H$53,IF('01_Input'!$G$53="Résiduel vs Gestion",0,IF('01_Input'!$G$53="Taux Classe sélectionnée",Distrib_Global_Classe_Selectionnee*ED$20,IF('01_Input'!$G$53="Frais KYC (paliers de 100M€)",MAX(0,Nb_Investisseurs-Nb_KYC_Gratuites_Par_Tranche*(FLOOR(ED$20/Taille_Tranche_KYC,1)+1))*Cout_Par_KYC_Supplementaire,(IF('01_Input'!$L$53="Forfait",IF(ED$20&gt;='01_Input'!$J$53,'01_Input'!$M$53,0),IF('01_Input'!$L$53="Palier",IF(AND(ED$20&gt;='01_Input'!$J$53,ED$20&lt;'01_Input'!$K$53),'01_Input'!$M$53,0),MAX(MIN(ED$20,'01_Input'!$K$53)-'01_Input'!$J$53,0)*'01_Input'!$M$53))+IF('01_Input'!$P$53="Forfait",IF(ED$20&gt;='01_Input'!$N$53,'01_Input'!$Q$53,0),IF('01_Input'!$P$53="Palier",IF(AND(ED$20&gt;='01_Input'!$N$53,ED$20&lt;'01_Input'!$O$53),'01_Input'!$Q$53,0),MAX(MIN(ED$20,'01_Input'!$O$53)-'01_Input'!$N$53,0)*'01_Input'!$Q$53))+IF('01_Input'!$T$53="Forfait",IF(ED$20&gt;='01_Input'!$R$53,'01_Input'!$U$53,0),IF('01_Input'!$T$53="Palier",IF(AND(ED$20&gt;='01_Input'!$R$53,ED$20&lt;'01_Input'!$S$53),'01_Input'!$U$53,0),MAX(MIN(ED$20,'01_Input'!$S$53)-'01_Input'!$R$53,0)*'01_Input'!$U$53))+IF('01_Input'!$X$53="Forfait",IF(ED$20&gt;='01_Input'!$V$53,'01_Input'!$Y$53,0),IF('01_Input'!$X$53="Palier",IF(AND(ED$20&gt;='01_Input'!$V$53,ED$20&lt;'01_Input'!$W$53),'01_Input'!$Y$53,0),MAX(MIN(ED$20,'01_Input'!$W$53)-'01_Input'!$V$53,0)*'01_Input'!$Y$53))+IF('01_Input'!$AB$53="Forfait",IF(ED$20&gt;='01_Input'!$Z$53,'01_Input'!$AC$53,0),IF('01_Input'!$AB$53="Palier",IF(AND(ED$20&gt;='01_Input'!$Z$53,ED$20&lt;'01_Input'!$AA$53),'01_Input'!$AC$53,0),MAX(MIN(ED$20,'01_Input'!$AA$53)-'01_Input'!$Z$53,0)*'01_Input'!$AC$53)))))))))</f>
        <v>900290000</v>
      </c>
      <c r="EE21" s="25">
        <f>IF('01_Input'!$C$53="Non",0,MIN('01_Input'!$I$53,MAX('01_Input'!$H$53,IF('01_Input'!$G$53="Résiduel vs Gestion",0,IF('01_Input'!$G$53="Taux Classe sélectionnée",Distrib_Global_Classe_Selectionnee*EE$20,IF('01_Input'!$G$53="Frais KYC (paliers de 100M€)",MAX(0,Nb_Investisseurs-Nb_KYC_Gratuites_Par_Tranche*(FLOOR(EE$20/Taille_Tranche_KYC,1)+1))*Cout_Par_KYC_Supplementaire,(IF('01_Input'!$L$53="Forfait",IF(EE$20&gt;='01_Input'!$J$53,'01_Input'!$M$53,0),IF('01_Input'!$L$53="Palier",IF(AND(EE$20&gt;='01_Input'!$J$53,EE$20&lt;'01_Input'!$K$53),'01_Input'!$M$53,0),MAX(MIN(EE$20,'01_Input'!$K$53)-'01_Input'!$J$53,0)*'01_Input'!$M$53))+IF('01_Input'!$P$53="Forfait",IF(EE$20&gt;='01_Input'!$N$53,'01_Input'!$Q$53,0),IF('01_Input'!$P$53="Palier",IF(AND(EE$20&gt;='01_Input'!$N$53,EE$20&lt;'01_Input'!$O$53),'01_Input'!$Q$53,0),MAX(MIN(EE$20,'01_Input'!$O$53)-'01_Input'!$N$53,0)*'01_Input'!$Q$53))+IF('01_Input'!$T$53="Forfait",IF(EE$20&gt;='01_Input'!$R$53,'01_Input'!$U$53,0),IF('01_Input'!$T$53="Palier",IF(AND(EE$20&gt;='01_Input'!$R$53,EE$20&lt;'01_Input'!$S$53),'01_Input'!$U$53,0),MAX(MIN(EE$20,'01_Input'!$S$53)-'01_Input'!$R$53,0)*'01_Input'!$U$53))+IF('01_Input'!$X$53="Forfait",IF(EE$20&gt;='01_Input'!$V$53,'01_Input'!$Y$53,0),IF('01_Input'!$X$53="Palier",IF(AND(EE$20&gt;='01_Input'!$V$53,EE$20&lt;'01_Input'!$W$53),'01_Input'!$Y$53,0),MAX(MIN(EE$20,'01_Input'!$W$53)-'01_Input'!$V$53,0)*'01_Input'!$Y$53))+IF('01_Input'!$AB$53="Forfait",IF(EE$20&gt;='01_Input'!$Z$53,'01_Input'!$AC$53,0),IF('01_Input'!$AB$53="Palier",IF(AND(EE$20&gt;='01_Input'!$Z$53,EE$20&lt;'01_Input'!$AA$53),'01_Input'!$AC$53,0),MAX(MIN(EE$20,'01_Input'!$AA$53)-'01_Input'!$Z$53,0)*'01_Input'!$AC$53)))))))))</f>
        <v>900290000</v>
      </c>
      <c r="EF21" s="25">
        <f>IF('01_Input'!$C$53="Non",0,MIN('01_Input'!$I$53,MAX('01_Input'!$H$53,IF('01_Input'!$G$53="Résiduel vs Gestion",0,IF('01_Input'!$G$53="Taux Classe sélectionnée",Distrib_Global_Classe_Selectionnee*EF$20,IF('01_Input'!$G$53="Frais KYC (paliers de 100M€)",MAX(0,Nb_Investisseurs-Nb_KYC_Gratuites_Par_Tranche*(FLOOR(EF$20/Taille_Tranche_KYC,1)+1))*Cout_Par_KYC_Supplementaire,(IF('01_Input'!$L$53="Forfait",IF(EF$20&gt;='01_Input'!$J$53,'01_Input'!$M$53,0),IF('01_Input'!$L$53="Palier",IF(AND(EF$20&gt;='01_Input'!$J$53,EF$20&lt;'01_Input'!$K$53),'01_Input'!$M$53,0),MAX(MIN(EF$20,'01_Input'!$K$53)-'01_Input'!$J$53,0)*'01_Input'!$M$53))+IF('01_Input'!$P$53="Forfait",IF(EF$20&gt;='01_Input'!$N$53,'01_Input'!$Q$53,0),IF('01_Input'!$P$53="Palier",IF(AND(EF$20&gt;='01_Input'!$N$53,EF$20&lt;'01_Input'!$O$53),'01_Input'!$Q$53,0),MAX(MIN(EF$20,'01_Input'!$O$53)-'01_Input'!$N$53,0)*'01_Input'!$Q$53))+IF('01_Input'!$T$53="Forfait",IF(EF$20&gt;='01_Input'!$R$53,'01_Input'!$U$53,0),IF('01_Input'!$T$53="Palier",IF(AND(EF$20&gt;='01_Input'!$R$53,EF$20&lt;'01_Input'!$S$53),'01_Input'!$U$53,0),MAX(MIN(EF$20,'01_Input'!$S$53)-'01_Input'!$R$53,0)*'01_Input'!$U$53))+IF('01_Input'!$X$53="Forfait",IF(EF$20&gt;='01_Input'!$V$53,'01_Input'!$Y$53,0),IF('01_Input'!$X$53="Palier",IF(AND(EF$20&gt;='01_Input'!$V$53,EF$20&lt;'01_Input'!$W$53),'01_Input'!$Y$53,0),MAX(MIN(EF$20,'01_Input'!$W$53)-'01_Input'!$V$53,0)*'01_Input'!$Y$53))+IF('01_Input'!$AB$53="Forfait",IF(EF$20&gt;='01_Input'!$Z$53,'01_Input'!$AC$53,0),IF('01_Input'!$AB$53="Palier",IF(AND(EF$20&gt;='01_Input'!$Z$53,EF$20&lt;'01_Input'!$AA$53),'01_Input'!$AC$53,0),MAX(MIN(EF$20,'01_Input'!$AA$53)-'01_Input'!$Z$53,0)*'01_Input'!$AC$53)))))))))</f>
        <v>900290000</v>
      </c>
      <c r="EG21" s="25">
        <f>IF('01_Input'!$C$53="Non",0,MIN('01_Input'!$I$53,MAX('01_Input'!$H$53,IF('01_Input'!$G$53="Résiduel vs Gestion",0,IF('01_Input'!$G$53="Taux Classe sélectionnée",Distrib_Global_Classe_Selectionnee*EG$20,IF('01_Input'!$G$53="Frais KYC (paliers de 100M€)",MAX(0,Nb_Investisseurs-Nb_KYC_Gratuites_Par_Tranche*(FLOOR(EG$20/Taille_Tranche_KYC,1)+1))*Cout_Par_KYC_Supplementaire,(IF('01_Input'!$L$53="Forfait",IF(EG$20&gt;='01_Input'!$J$53,'01_Input'!$M$53,0),IF('01_Input'!$L$53="Palier",IF(AND(EG$20&gt;='01_Input'!$J$53,EG$20&lt;'01_Input'!$K$53),'01_Input'!$M$53,0),MAX(MIN(EG$20,'01_Input'!$K$53)-'01_Input'!$J$53,0)*'01_Input'!$M$53))+IF('01_Input'!$P$53="Forfait",IF(EG$20&gt;='01_Input'!$N$53,'01_Input'!$Q$53,0),IF('01_Input'!$P$53="Palier",IF(AND(EG$20&gt;='01_Input'!$N$53,EG$20&lt;'01_Input'!$O$53),'01_Input'!$Q$53,0),MAX(MIN(EG$20,'01_Input'!$O$53)-'01_Input'!$N$53,0)*'01_Input'!$Q$53))+IF('01_Input'!$T$53="Forfait",IF(EG$20&gt;='01_Input'!$R$53,'01_Input'!$U$53,0),IF('01_Input'!$T$53="Palier",IF(AND(EG$20&gt;='01_Input'!$R$53,EG$20&lt;'01_Input'!$S$53),'01_Input'!$U$53,0),MAX(MIN(EG$20,'01_Input'!$S$53)-'01_Input'!$R$53,0)*'01_Input'!$U$53))+IF('01_Input'!$X$53="Forfait",IF(EG$20&gt;='01_Input'!$V$53,'01_Input'!$Y$53,0),IF('01_Input'!$X$53="Palier",IF(AND(EG$20&gt;='01_Input'!$V$53,EG$20&lt;'01_Input'!$W$53),'01_Input'!$Y$53,0),MAX(MIN(EG$20,'01_Input'!$W$53)-'01_Input'!$V$53,0)*'01_Input'!$Y$53))+IF('01_Input'!$AB$53="Forfait",IF(EG$20&gt;='01_Input'!$Z$53,'01_Input'!$AC$53,0),IF('01_Input'!$AB$53="Palier",IF(AND(EG$20&gt;='01_Input'!$Z$53,EG$20&lt;'01_Input'!$AA$53),'01_Input'!$AC$53,0),MAX(MIN(EG$20,'01_Input'!$AA$53)-'01_Input'!$Z$53,0)*'01_Input'!$AC$53)))))))))</f>
        <v>900290000</v>
      </c>
      <c r="EH21" s="25">
        <f>IF('01_Input'!$C$53="Non",0,MIN('01_Input'!$I$53,MAX('01_Input'!$H$53,IF('01_Input'!$G$53="Résiduel vs Gestion",0,IF('01_Input'!$G$53="Taux Classe sélectionnée",Distrib_Global_Classe_Selectionnee*EH$20,IF('01_Input'!$G$53="Frais KYC (paliers de 100M€)",MAX(0,Nb_Investisseurs-Nb_KYC_Gratuites_Par_Tranche*(FLOOR(EH$20/Taille_Tranche_KYC,1)+1))*Cout_Par_KYC_Supplementaire,(IF('01_Input'!$L$53="Forfait",IF(EH$20&gt;='01_Input'!$J$53,'01_Input'!$M$53,0),IF('01_Input'!$L$53="Palier",IF(AND(EH$20&gt;='01_Input'!$J$53,EH$20&lt;'01_Input'!$K$53),'01_Input'!$M$53,0),MAX(MIN(EH$20,'01_Input'!$K$53)-'01_Input'!$J$53,0)*'01_Input'!$M$53))+IF('01_Input'!$P$53="Forfait",IF(EH$20&gt;='01_Input'!$N$53,'01_Input'!$Q$53,0),IF('01_Input'!$P$53="Palier",IF(AND(EH$20&gt;='01_Input'!$N$53,EH$20&lt;'01_Input'!$O$53),'01_Input'!$Q$53,0),MAX(MIN(EH$20,'01_Input'!$O$53)-'01_Input'!$N$53,0)*'01_Input'!$Q$53))+IF('01_Input'!$T$53="Forfait",IF(EH$20&gt;='01_Input'!$R$53,'01_Input'!$U$53,0),IF('01_Input'!$T$53="Palier",IF(AND(EH$20&gt;='01_Input'!$R$53,EH$20&lt;'01_Input'!$S$53),'01_Input'!$U$53,0),MAX(MIN(EH$20,'01_Input'!$S$53)-'01_Input'!$R$53,0)*'01_Input'!$U$53))+IF('01_Input'!$X$53="Forfait",IF(EH$20&gt;='01_Input'!$V$53,'01_Input'!$Y$53,0),IF('01_Input'!$X$53="Palier",IF(AND(EH$20&gt;='01_Input'!$V$53,EH$20&lt;'01_Input'!$W$53),'01_Input'!$Y$53,0),MAX(MIN(EH$20,'01_Input'!$W$53)-'01_Input'!$V$53,0)*'01_Input'!$Y$53))+IF('01_Input'!$AB$53="Forfait",IF(EH$20&gt;='01_Input'!$Z$53,'01_Input'!$AC$53,0),IF('01_Input'!$AB$53="Palier",IF(AND(EH$20&gt;='01_Input'!$Z$53,EH$20&lt;'01_Input'!$AA$53),'01_Input'!$AC$53,0),MAX(MIN(EH$20,'01_Input'!$AA$53)-'01_Input'!$Z$53,0)*'01_Input'!$AC$53)))))))))</f>
        <v>900290000</v>
      </c>
      <c r="EI21" s="25">
        <f>IF('01_Input'!$C$53="Non",0,MIN('01_Input'!$I$53,MAX('01_Input'!$H$53,IF('01_Input'!$G$53="Résiduel vs Gestion",0,IF('01_Input'!$G$53="Taux Classe sélectionnée",Distrib_Global_Classe_Selectionnee*EI$20,IF('01_Input'!$G$53="Frais KYC (paliers de 100M€)",MAX(0,Nb_Investisseurs-Nb_KYC_Gratuites_Par_Tranche*(FLOOR(EI$20/Taille_Tranche_KYC,1)+1))*Cout_Par_KYC_Supplementaire,(IF('01_Input'!$L$53="Forfait",IF(EI$20&gt;='01_Input'!$J$53,'01_Input'!$M$53,0),IF('01_Input'!$L$53="Palier",IF(AND(EI$20&gt;='01_Input'!$J$53,EI$20&lt;'01_Input'!$K$53),'01_Input'!$M$53,0),MAX(MIN(EI$20,'01_Input'!$K$53)-'01_Input'!$J$53,0)*'01_Input'!$M$53))+IF('01_Input'!$P$53="Forfait",IF(EI$20&gt;='01_Input'!$N$53,'01_Input'!$Q$53,0),IF('01_Input'!$P$53="Palier",IF(AND(EI$20&gt;='01_Input'!$N$53,EI$20&lt;'01_Input'!$O$53),'01_Input'!$Q$53,0),MAX(MIN(EI$20,'01_Input'!$O$53)-'01_Input'!$N$53,0)*'01_Input'!$Q$53))+IF('01_Input'!$T$53="Forfait",IF(EI$20&gt;='01_Input'!$R$53,'01_Input'!$U$53,0),IF('01_Input'!$T$53="Palier",IF(AND(EI$20&gt;='01_Input'!$R$53,EI$20&lt;'01_Input'!$S$53),'01_Input'!$U$53,0),MAX(MIN(EI$20,'01_Input'!$S$53)-'01_Input'!$R$53,0)*'01_Input'!$U$53))+IF('01_Input'!$X$53="Forfait",IF(EI$20&gt;='01_Input'!$V$53,'01_Input'!$Y$53,0),IF('01_Input'!$X$53="Palier",IF(AND(EI$20&gt;='01_Input'!$V$53,EI$20&lt;'01_Input'!$W$53),'01_Input'!$Y$53,0),MAX(MIN(EI$20,'01_Input'!$W$53)-'01_Input'!$V$53,0)*'01_Input'!$Y$53))+IF('01_Input'!$AB$53="Forfait",IF(EI$20&gt;='01_Input'!$Z$53,'01_Input'!$AC$53,0),IF('01_Input'!$AB$53="Palier",IF(AND(EI$20&gt;='01_Input'!$Z$53,EI$20&lt;'01_Input'!$AA$53),'01_Input'!$AC$53,0),MAX(MIN(EI$20,'01_Input'!$AA$53)-'01_Input'!$Z$53,0)*'01_Input'!$AC$53)))))))))</f>
        <v>900290000</v>
      </c>
      <c r="EJ21" s="25">
        <f>IF('01_Input'!$C$53="Non",0,MIN('01_Input'!$I$53,MAX('01_Input'!$H$53,IF('01_Input'!$G$53="Résiduel vs Gestion",0,IF('01_Input'!$G$53="Taux Classe sélectionnée",Distrib_Global_Classe_Selectionnee*EJ$20,IF('01_Input'!$G$53="Frais KYC (paliers de 100M€)",MAX(0,Nb_Investisseurs-Nb_KYC_Gratuites_Par_Tranche*(FLOOR(EJ$20/Taille_Tranche_KYC,1)+1))*Cout_Par_KYC_Supplementaire,(IF('01_Input'!$L$53="Forfait",IF(EJ$20&gt;='01_Input'!$J$53,'01_Input'!$M$53,0),IF('01_Input'!$L$53="Palier",IF(AND(EJ$20&gt;='01_Input'!$J$53,EJ$20&lt;'01_Input'!$K$53),'01_Input'!$M$53,0),MAX(MIN(EJ$20,'01_Input'!$K$53)-'01_Input'!$J$53,0)*'01_Input'!$M$53))+IF('01_Input'!$P$53="Forfait",IF(EJ$20&gt;='01_Input'!$N$53,'01_Input'!$Q$53,0),IF('01_Input'!$P$53="Palier",IF(AND(EJ$20&gt;='01_Input'!$N$53,EJ$20&lt;'01_Input'!$O$53),'01_Input'!$Q$53,0),MAX(MIN(EJ$20,'01_Input'!$O$53)-'01_Input'!$N$53,0)*'01_Input'!$Q$53))+IF('01_Input'!$T$53="Forfait",IF(EJ$20&gt;='01_Input'!$R$53,'01_Input'!$U$53,0),IF('01_Input'!$T$53="Palier",IF(AND(EJ$20&gt;='01_Input'!$R$53,EJ$20&lt;'01_Input'!$S$53),'01_Input'!$U$53,0),MAX(MIN(EJ$20,'01_Input'!$S$53)-'01_Input'!$R$53,0)*'01_Input'!$U$53))+IF('01_Input'!$X$53="Forfait",IF(EJ$20&gt;='01_Input'!$V$53,'01_Input'!$Y$53,0),IF('01_Input'!$X$53="Palier",IF(AND(EJ$20&gt;='01_Input'!$V$53,EJ$20&lt;'01_Input'!$W$53),'01_Input'!$Y$53,0),MAX(MIN(EJ$20,'01_Input'!$W$53)-'01_Input'!$V$53,0)*'01_Input'!$Y$53))+IF('01_Input'!$AB$53="Forfait",IF(EJ$20&gt;='01_Input'!$Z$53,'01_Input'!$AC$53,0),IF('01_Input'!$AB$53="Palier",IF(AND(EJ$20&gt;='01_Input'!$Z$53,EJ$20&lt;'01_Input'!$AA$53),'01_Input'!$AC$53,0),MAX(MIN(EJ$20,'01_Input'!$AA$53)-'01_Input'!$Z$53,0)*'01_Input'!$AC$53)))))))))</f>
        <v>900290000</v>
      </c>
      <c r="EK21" s="25">
        <f>IF('01_Input'!$C$53="Non",0,MIN('01_Input'!$I$53,MAX('01_Input'!$H$53,IF('01_Input'!$G$53="Résiduel vs Gestion",0,IF('01_Input'!$G$53="Taux Classe sélectionnée",Distrib_Global_Classe_Selectionnee*EK$20,IF('01_Input'!$G$53="Frais KYC (paliers de 100M€)",MAX(0,Nb_Investisseurs-Nb_KYC_Gratuites_Par_Tranche*(FLOOR(EK$20/Taille_Tranche_KYC,1)+1))*Cout_Par_KYC_Supplementaire,(IF('01_Input'!$L$53="Forfait",IF(EK$20&gt;='01_Input'!$J$53,'01_Input'!$M$53,0),IF('01_Input'!$L$53="Palier",IF(AND(EK$20&gt;='01_Input'!$J$53,EK$20&lt;'01_Input'!$K$53),'01_Input'!$M$53,0),MAX(MIN(EK$20,'01_Input'!$K$53)-'01_Input'!$J$53,0)*'01_Input'!$M$53))+IF('01_Input'!$P$53="Forfait",IF(EK$20&gt;='01_Input'!$N$53,'01_Input'!$Q$53,0),IF('01_Input'!$P$53="Palier",IF(AND(EK$20&gt;='01_Input'!$N$53,EK$20&lt;'01_Input'!$O$53),'01_Input'!$Q$53,0),MAX(MIN(EK$20,'01_Input'!$O$53)-'01_Input'!$N$53,0)*'01_Input'!$Q$53))+IF('01_Input'!$T$53="Forfait",IF(EK$20&gt;='01_Input'!$R$53,'01_Input'!$U$53,0),IF('01_Input'!$T$53="Palier",IF(AND(EK$20&gt;='01_Input'!$R$53,EK$20&lt;'01_Input'!$S$53),'01_Input'!$U$53,0),MAX(MIN(EK$20,'01_Input'!$S$53)-'01_Input'!$R$53,0)*'01_Input'!$U$53))+IF('01_Input'!$X$53="Forfait",IF(EK$20&gt;='01_Input'!$V$53,'01_Input'!$Y$53,0),IF('01_Input'!$X$53="Palier",IF(AND(EK$20&gt;='01_Input'!$V$53,EK$20&lt;'01_Input'!$W$53),'01_Input'!$Y$53,0),MAX(MIN(EK$20,'01_Input'!$W$53)-'01_Input'!$V$53,0)*'01_Input'!$Y$53))+IF('01_Input'!$AB$53="Forfait",IF(EK$20&gt;='01_Input'!$Z$53,'01_Input'!$AC$53,0),IF('01_Input'!$AB$53="Palier",IF(AND(EK$20&gt;='01_Input'!$Z$53,EK$20&lt;'01_Input'!$AA$53),'01_Input'!$AC$53,0),MAX(MIN(EK$20,'01_Input'!$AA$53)-'01_Input'!$Z$53,0)*'01_Input'!$AC$53)))))))))</f>
        <v>900290000</v>
      </c>
      <c r="EL21" s="25">
        <f>IF('01_Input'!$C$53="Non",0,MIN('01_Input'!$I$53,MAX('01_Input'!$H$53,IF('01_Input'!$G$53="Résiduel vs Gestion",0,IF('01_Input'!$G$53="Taux Classe sélectionnée",Distrib_Global_Classe_Selectionnee*EL$20,IF('01_Input'!$G$53="Frais KYC (paliers de 100M€)",MAX(0,Nb_Investisseurs-Nb_KYC_Gratuites_Par_Tranche*(FLOOR(EL$20/Taille_Tranche_KYC,1)+1))*Cout_Par_KYC_Supplementaire,(IF('01_Input'!$L$53="Forfait",IF(EL$20&gt;='01_Input'!$J$53,'01_Input'!$M$53,0),IF('01_Input'!$L$53="Palier",IF(AND(EL$20&gt;='01_Input'!$J$53,EL$20&lt;'01_Input'!$K$53),'01_Input'!$M$53,0),MAX(MIN(EL$20,'01_Input'!$K$53)-'01_Input'!$J$53,0)*'01_Input'!$M$53))+IF('01_Input'!$P$53="Forfait",IF(EL$20&gt;='01_Input'!$N$53,'01_Input'!$Q$53,0),IF('01_Input'!$P$53="Palier",IF(AND(EL$20&gt;='01_Input'!$N$53,EL$20&lt;'01_Input'!$O$53),'01_Input'!$Q$53,0),MAX(MIN(EL$20,'01_Input'!$O$53)-'01_Input'!$N$53,0)*'01_Input'!$Q$53))+IF('01_Input'!$T$53="Forfait",IF(EL$20&gt;='01_Input'!$R$53,'01_Input'!$U$53,0),IF('01_Input'!$T$53="Palier",IF(AND(EL$20&gt;='01_Input'!$R$53,EL$20&lt;'01_Input'!$S$53),'01_Input'!$U$53,0),MAX(MIN(EL$20,'01_Input'!$S$53)-'01_Input'!$R$53,0)*'01_Input'!$U$53))+IF('01_Input'!$X$53="Forfait",IF(EL$20&gt;='01_Input'!$V$53,'01_Input'!$Y$53,0),IF('01_Input'!$X$53="Palier",IF(AND(EL$20&gt;='01_Input'!$V$53,EL$20&lt;'01_Input'!$W$53),'01_Input'!$Y$53,0),MAX(MIN(EL$20,'01_Input'!$W$53)-'01_Input'!$V$53,0)*'01_Input'!$Y$53))+IF('01_Input'!$AB$53="Forfait",IF(EL$20&gt;='01_Input'!$Z$53,'01_Input'!$AC$53,0),IF('01_Input'!$AB$53="Palier",IF(AND(EL$20&gt;='01_Input'!$Z$53,EL$20&lt;'01_Input'!$AA$53),'01_Input'!$AC$53,0),MAX(MIN(EL$20,'01_Input'!$AA$53)-'01_Input'!$Z$53,0)*'01_Input'!$AC$53)))))))))</f>
        <v>900290000</v>
      </c>
      <c r="EM21" s="25">
        <f>IF('01_Input'!$C$53="Non",0,MIN('01_Input'!$I$53,MAX('01_Input'!$H$53,IF('01_Input'!$G$53="Résiduel vs Gestion",0,IF('01_Input'!$G$53="Taux Classe sélectionnée",Distrib_Global_Classe_Selectionnee*EM$20,IF('01_Input'!$G$53="Frais KYC (paliers de 100M€)",MAX(0,Nb_Investisseurs-Nb_KYC_Gratuites_Par_Tranche*(FLOOR(EM$20/Taille_Tranche_KYC,1)+1))*Cout_Par_KYC_Supplementaire,(IF('01_Input'!$L$53="Forfait",IF(EM$20&gt;='01_Input'!$J$53,'01_Input'!$M$53,0),IF('01_Input'!$L$53="Palier",IF(AND(EM$20&gt;='01_Input'!$J$53,EM$20&lt;'01_Input'!$K$53),'01_Input'!$M$53,0),MAX(MIN(EM$20,'01_Input'!$K$53)-'01_Input'!$J$53,0)*'01_Input'!$M$53))+IF('01_Input'!$P$53="Forfait",IF(EM$20&gt;='01_Input'!$N$53,'01_Input'!$Q$53,0),IF('01_Input'!$P$53="Palier",IF(AND(EM$20&gt;='01_Input'!$N$53,EM$20&lt;'01_Input'!$O$53),'01_Input'!$Q$53,0),MAX(MIN(EM$20,'01_Input'!$O$53)-'01_Input'!$N$53,0)*'01_Input'!$Q$53))+IF('01_Input'!$T$53="Forfait",IF(EM$20&gt;='01_Input'!$R$53,'01_Input'!$U$53,0),IF('01_Input'!$T$53="Palier",IF(AND(EM$20&gt;='01_Input'!$R$53,EM$20&lt;'01_Input'!$S$53),'01_Input'!$U$53,0),MAX(MIN(EM$20,'01_Input'!$S$53)-'01_Input'!$R$53,0)*'01_Input'!$U$53))+IF('01_Input'!$X$53="Forfait",IF(EM$20&gt;='01_Input'!$V$53,'01_Input'!$Y$53,0),IF('01_Input'!$X$53="Palier",IF(AND(EM$20&gt;='01_Input'!$V$53,EM$20&lt;'01_Input'!$W$53),'01_Input'!$Y$53,0),MAX(MIN(EM$20,'01_Input'!$W$53)-'01_Input'!$V$53,0)*'01_Input'!$Y$53))+IF('01_Input'!$AB$53="Forfait",IF(EM$20&gt;='01_Input'!$Z$53,'01_Input'!$AC$53,0),IF('01_Input'!$AB$53="Palier",IF(AND(EM$20&gt;='01_Input'!$Z$53,EM$20&lt;'01_Input'!$AA$53),'01_Input'!$AC$53,0),MAX(MIN(EM$20,'01_Input'!$AA$53)-'01_Input'!$Z$53,0)*'01_Input'!$AC$53)))))))))</f>
        <v>900290000</v>
      </c>
      <c r="EN21" s="25">
        <f>IF('01_Input'!$C$53="Non",0,MIN('01_Input'!$I$53,MAX('01_Input'!$H$53,IF('01_Input'!$G$53="Résiduel vs Gestion",0,IF('01_Input'!$G$53="Taux Classe sélectionnée",Distrib_Global_Classe_Selectionnee*EN$20,IF('01_Input'!$G$53="Frais KYC (paliers de 100M€)",MAX(0,Nb_Investisseurs-Nb_KYC_Gratuites_Par_Tranche*(FLOOR(EN$20/Taille_Tranche_KYC,1)+1))*Cout_Par_KYC_Supplementaire,(IF('01_Input'!$L$53="Forfait",IF(EN$20&gt;='01_Input'!$J$53,'01_Input'!$M$53,0),IF('01_Input'!$L$53="Palier",IF(AND(EN$20&gt;='01_Input'!$J$53,EN$20&lt;'01_Input'!$K$53),'01_Input'!$M$53,0),MAX(MIN(EN$20,'01_Input'!$K$53)-'01_Input'!$J$53,0)*'01_Input'!$M$53))+IF('01_Input'!$P$53="Forfait",IF(EN$20&gt;='01_Input'!$N$53,'01_Input'!$Q$53,0),IF('01_Input'!$P$53="Palier",IF(AND(EN$20&gt;='01_Input'!$N$53,EN$20&lt;'01_Input'!$O$53),'01_Input'!$Q$53,0),MAX(MIN(EN$20,'01_Input'!$O$53)-'01_Input'!$N$53,0)*'01_Input'!$Q$53))+IF('01_Input'!$T$53="Forfait",IF(EN$20&gt;='01_Input'!$R$53,'01_Input'!$U$53,0),IF('01_Input'!$T$53="Palier",IF(AND(EN$20&gt;='01_Input'!$R$53,EN$20&lt;'01_Input'!$S$53),'01_Input'!$U$53,0),MAX(MIN(EN$20,'01_Input'!$S$53)-'01_Input'!$R$53,0)*'01_Input'!$U$53))+IF('01_Input'!$X$53="Forfait",IF(EN$20&gt;='01_Input'!$V$53,'01_Input'!$Y$53,0),IF('01_Input'!$X$53="Palier",IF(AND(EN$20&gt;='01_Input'!$V$53,EN$20&lt;'01_Input'!$W$53),'01_Input'!$Y$53,0),MAX(MIN(EN$20,'01_Input'!$W$53)-'01_Input'!$V$53,0)*'01_Input'!$Y$53))+IF('01_Input'!$AB$53="Forfait",IF(EN$20&gt;='01_Input'!$Z$53,'01_Input'!$AC$53,0),IF('01_Input'!$AB$53="Palier",IF(AND(EN$20&gt;='01_Input'!$Z$53,EN$20&lt;'01_Input'!$AA$53),'01_Input'!$AC$53,0),MAX(MIN(EN$20,'01_Input'!$AA$53)-'01_Input'!$Z$53,0)*'01_Input'!$AC$53)))))))))</f>
        <v>900290000</v>
      </c>
      <c r="EO21" s="25">
        <f>IF('01_Input'!$C$53="Non",0,MIN('01_Input'!$I$53,MAX('01_Input'!$H$53,IF('01_Input'!$G$53="Résiduel vs Gestion",0,IF('01_Input'!$G$53="Taux Classe sélectionnée",Distrib_Global_Classe_Selectionnee*EO$20,IF('01_Input'!$G$53="Frais KYC (paliers de 100M€)",MAX(0,Nb_Investisseurs-Nb_KYC_Gratuites_Par_Tranche*(FLOOR(EO$20/Taille_Tranche_KYC,1)+1))*Cout_Par_KYC_Supplementaire,(IF('01_Input'!$L$53="Forfait",IF(EO$20&gt;='01_Input'!$J$53,'01_Input'!$M$53,0),IF('01_Input'!$L$53="Palier",IF(AND(EO$20&gt;='01_Input'!$J$53,EO$20&lt;'01_Input'!$K$53),'01_Input'!$M$53,0),MAX(MIN(EO$20,'01_Input'!$K$53)-'01_Input'!$J$53,0)*'01_Input'!$M$53))+IF('01_Input'!$P$53="Forfait",IF(EO$20&gt;='01_Input'!$N$53,'01_Input'!$Q$53,0),IF('01_Input'!$P$53="Palier",IF(AND(EO$20&gt;='01_Input'!$N$53,EO$20&lt;'01_Input'!$O$53),'01_Input'!$Q$53,0),MAX(MIN(EO$20,'01_Input'!$O$53)-'01_Input'!$N$53,0)*'01_Input'!$Q$53))+IF('01_Input'!$T$53="Forfait",IF(EO$20&gt;='01_Input'!$R$53,'01_Input'!$U$53,0),IF('01_Input'!$T$53="Palier",IF(AND(EO$20&gt;='01_Input'!$R$53,EO$20&lt;'01_Input'!$S$53),'01_Input'!$U$53,0),MAX(MIN(EO$20,'01_Input'!$S$53)-'01_Input'!$R$53,0)*'01_Input'!$U$53))+IF('01_Input'!$X$53="Forfait",IF(EO$20&gt;='01_Input'!$V$53,'01_Input'!$Y$53,0),IF('01_Input'!$X$53="Palier",IF(AND(EO$20&gt;='01_Input'!$V$53,EO$20&lt;'01_Input'!$W$53),'01_Input'!$Y$53,0),MAX(MIN(EO$20,'01_Input'!$W$53)-'01_Input'!$V$53,0)*'01_Input'!$Y$53))+IF('01_Input'!$AB$53="Forfait",IF(EO$20&gt;='01_Input'!$Z$53,'01_Input'!$AC$53,0),IF('01_Input'!$AB$53="Palier",IF(AND(EO$20&gt;='01_Input'!$Z$53,EO$20&lt;'01_Input'!$AA$53),'01_Input'!$AC$53,0),MAX(MIN(EO$20,'01_Input'!$AA$53)-'01_Input'!$Z$53,0)*'01_Input'!$AC$53)))))))))</f>
        <v>900290000</v>
      </c>
      <c r="EP21" s="25">
        <f>IF('01_Input'!$C$53="Non",0,MIN('01_Input'!$I$53,MAX('01_Input'!$H$53,IF('01_Input'!$G$53="Résiduel vs Gestion",0,IF('01_Input'!$G$53="Taux Classe sélectionnée",Distrib_Global_Classe_Selectionnee*EP$20,IF('01_Input'!$G$53="Frais KYC (paliers de 100M€)",MAX(0,Nb_Investisseurs-Nb_KYC_Gratuites_Par_Tranche*(FLOOR(EP$20/Taille_Tranche_KYC,1)+1))*Cout_Par_KYC_Supplementaire,(IF('01_Input'!$L$53="Forfait",IF(EP$20&gt;='01_Input'!$J$53,'01_Input'!$M$53,0),IF('01_Input'!$L$53="Palier",IF(AND(EP$20&gt;='01_Input'!$J$53,EP$20&lt;'01_Input'!$K$53),'01_Input'!$M$53,0),MAX(MIN(EP$20,'01_Input'!$K$53)-'01_Input'!$J$53,0)*'01_Input'!$M$53))+IF('01_Input'!$P$53="Forfait",IF(EP$20&gt;='01_Input'!$N$53,'01_Input'!$Q$53,0),IF('01_Input'!$P$53="Palier",IF(AND(EP$20&gt;='01_Input'!$N$53,EP$20&lt;'01_Input'!$O$53),'01_Input'!$Q$53,0),MAX(MIN(EP$20,'01_Input'!$O$53)-'01_Input'!$N$53,0)*'01_Input'!$Q$53))+IF('01_Input'!$T$53="Forfait",IF(EP$20&gt;='01_Input'!$R$53,'01_Input'!$U$53,0),IF('01_Input'!$T$53="Palier",IF(AND(EP$20&gt;='01_Input'!$R$53,EP$20&lt;'01_Input'!$S$53),'01_Input'!$U$53,0),MAX(MIN(EP$20,'01_Input'!$S$53)-'01_Input'!$R$53,0)*'01_Input'!$U$53))+IF('01_Input'!$X$53="Forfait",IF(EP$20&gt;='01_Input'!$V$53,'01_Input'!$Y$53,0),IF('01_Input'!$X$53="Palier",IF(AND(EP$20&gt;='01_Input'!$V$53,EP$20&lt;'01_Input'!$W$53),'01_Input'!$Y$53,0),MAX(MIN(EP$20,'01_Input'!$W$53)-'01_Input'!$V$53,0)*'01_Input'!$Y$53))+IF('01_Input'!$AB$53="Forfait",IF(EP$20&gt;='01_Input'!$Z$53,'01_Input'!$AC$53,0),IF('01_Input'!$AB$53="Palier",IF(AND(EP$20&gt;='01_Input'!$Z$53,EP$20&lt;'01_Input'!$AA$53),'01_Input'!$AC$53,0),MAX(MIN(EP$20,'01_Input'!$AA$53)-'01_Input'!$Z$53,0)*'01_Input'!$AC$53)))))))))</f>
        <v>900290000</v>
      </c>
      <c r="EQ21" s="25">
        <f>IF('01_Input'!$C$53="Non",0,MIN('01_Input'!$I$53,MAX('01_Input'!$H$53,IF('01_Input'!$G$53="Résiduel vs Gestion",0,IF('01_Input'!$G$53="Taux Classe sélectionnée",Distrib_Global_Classe_Selectionnee*EQ$20,IF('01_Input'!$G$53="Frais KYC (paliers de 100M€)",MAX(0,Nb_Investisseurs-Nb_KYC_Gratuites_Par_Tranche*(FLOOR(EQ$20/Taille_Tranche_KYC,1)+1))*Cout_Par_KYC_Supplementaire,(IF('01_Input'!$L$53="Forfait",IF(EQ$20&gt;='01_Input'!$J$53,'01_Input'!$M$53,0),IF('01_Input'!$L$53="Palier",IF(AND(EQ$20&gt;='01_Input'!$J$53,EQ$20&lt;'01_Input'!$K$53),'01_Input'!$M$53,0),MAX(MIN(EQ$20,'01_Input'!$K$53)-'01_Input'!$J$53,0)*'01_Input'!$M$53))+IF('01_Input'!$P$53="Forfait",IF(EQ$20&gt;='01_Input'!$N$53,'01_Input'!$Q$53,0),IF('01_Input'!$P$53="Palier",IF(AND(EQ$20&gt;='01_Input'!$N$53,EQ$20&lt;'01_Input'!$O$53),'01_Input'!$Q$53,0),MAX(MIN(EQ$20,'01_Input'!$O$53)-'01_Input'!$N$53,0)*'01_Input'!$Q$53))+IF('01_Input'!$T$53="Forfait",IF(EQ$20&gt;='01_Input'!$R$53,'01_Input'!$U$53,0),IF('01_Input'!$T$53="Palier",IF(AND(EQ$20&gt;='01_Input'!$R$53,EQ$20&lt;'01_Input'!$S$53),'01_Input'!$U$53,0),MAX(MIN(EQ$20,'01_Input'!$S$53)-'01_Input'!$R$53,0)*'01_Input'!$U$53))+IF('01_Input'!$X$53="Forfait",IF(EQ$20&gt;='01_Input'!$V$53,'01_Input'!$Y$53,0),IF('01_Input'!$X$53="Palier",IF(AND(EQ$20&gt;='01_Input'!$V$53,EQ$20&lt;'01_Input'!$W$53),'01_Input'!$Y$53,0),MAX(MIN(EQ$20,'01_Input'!$W$53)-'01_Input'!$V$53,0)*'01_Input'!$Y$53))+IF('01_Input'!$AB$53="Forfait",IF(EQ$20&gt;='01_Input'!$Z$53,'01_Input'!$AC$53,0),IF('01_Input'!$AB$53="Palier",IF(AND(EQ$20&gt;='01_Input'!$Z$53,EQ$20&lt;'01_Input'!$AA$53),'01_Input'!$AC$53,0),MAX(MIN(EQ$20,'01_Input'!$AA$53)-'01_Input'!$Z$53,0)*'01_Input'!$AC$53)))))))))</f>
        <v>900290000</v>
      </c>
      <c r="ER21" s="25">
        <f>IF('01_Input'!$C$53="Non",0,MIN('01_Input'!$I$53,MAX('01_Input'!$H$53,IF('01_Input'!$G$53="Résiduel vs Gestion",0,IF('01_Input'!$G$53="Taux Classe sélectionnée",Distrib_Global_Classe_Selectionnee*ER$20,IF('01_Input'!$G$53="Frais KYC (paliers de 100M€)",MAX(0,Nb_Investisseurs-Nb_KYC_Gratuites_Par_Tranche*(FLOOR(ER$20/Taille_Tranche_KYC,1)+1))*Cout_Par_KYC_Supplementaire,(IF('01_Input'!$L$53="Forfait",IF(ER$20&gt;='01_Input'!$J$53,'01_Input'!$M$53,0),IF('01_Input'!$L$53="Palier",IF(AND(ER$20&gt;='01_Input'!$J$53,ER$20&lt;'01_Input'!$K$53),'01_Input'!$M$53,0),MAX(MIN(ER$20,'01_Input'!$K$53)-'01_Input'!$J$53,0)*'01_Input'!$M$53))+IF('01_Input'!$P$53="Forfait",IF(ER$20&gt;='01_Input'!$N$53,'01_Input'!$Q$53,0),IF('01_Input'!$P$53="Palier",IF(AND(ER$20&gt;='01_Input'!$N$53,ER$20&lt;'01_Input'!$O$53),'01_Input'!$Q$53,0),MAX(MIN(ER$20,'01_Input'!$O$53)-'01_Input'!$N$53,0)*'01_Input'!$Q$53))+IF('01_Input'!$T$53="Forfait",IF(ER$20&gt;='01_Input'!$R$53,'01_Input'!$U$53,0),IF('01_Input'!$T$53="Palier",IF(AND(ER$20&gt;='01_Input'!$R$53,ER$20&lt;'01_Input'!$S$53),'01_Input'!$U$53,0),MAX(MIN(ER$20,'01_Input'!$S$53)-'01_Input'!$R$53,0)*'01_Input'!$U$53))+IF('01_Input'!$X$53="Forfait",IF(ER$20&gt;='01_Input'!$V$53,'01_Input'!$Y$53,0),IF('01_Input'!$X$53="Palier",IF(AND(ER$20&gt;='01_Input'!$V$53,ER$20&lt;'01_Input'!$W$53),'01_Input'!$Y$53,0),MAX(MIN(ER$20,'01_Input'!$W$53)-'01_Input'!$V$53,0)*'01_Input'!$Y$53))+IF('01_Input'!$AB$53="Forfait",IF(ER$20&gt;='01_Input'!$Z$53,'01_Input'!$AC$53,0),IF('01_Input'!$AB$53="Palier",IF(AND(ER$20&gt;='01_Input'!$Z$53,ER$20&lt;'01_Input'!$AA$53),'01_Input'!$AC$53,0),MAX(MIN(ER$20,'01_Input'!$AA$53)-'01_Input'!$Z$53,0)*'01_Input'!$AC$53)))))))))</f>
        <v>900290000</v>
      </c>
      <c r="ES21" s="25">
        <f>IF('01_Input'!$C$53="Non",0,MIN('01_Input'!$I$53,MAX('01_Input'!$H$53,IF('01_Input'!$G$53="Résiduel vs Gestion",0,IF('01_Input'!$G$53="Taux Classe sélectionnée",Distrib_Global_Classe_Selectionnee*ES$20,IF('01_Input'!$G$53="Frais KYC (paliers de 100M€)",MAX(0,Nb_Investisseurs-Nb_KYC_Gratuites_Par_Tranche*(FLOOR(ES$20/Taille_Tranche_KYC,1)+1))*Cout_Par_KYC_Supplementaire,(IF('01_Input'!$L$53="Forfait",IF(ES$20&gt;='01_Input'!$J$53,'01_Input'!$M$53,0),IF('01_Input'!$L$53="Palier",IF(AND(ES$20&gt;='01_Input'!$J$53,ES$20&lt;'01_Input'!$K$53),'01_Input'!$M$53,0),MAX(MIN(ES$20,'01_Input'!$K$53)-'01_Input'!$J$53,0)*'01_Input'!$M$53))+IF('01_Input'!$P$53="Forfait",IF(ES$20&gt;='01_Input'!$N$53,'01_Input'!$Q$53,0),IF('01_Input'!$P$53="Palier",IF(AND(ES$20&gt;='01_Input'!$N$53,ES$20&lt;'01_Input'!$O$53),'01_Input'!$Q$53,0),MAX(MIN(ES$20,'01_Input'!$O$53)-'01_Input'!$N$53,0)*'01_Input'!$Q$53))+IF('01_Input'!$T$53="Forfait",IF(ES$20&gt;='01_Input'!$R$53,'01_Input'!$U$53,0),IF('01_Input'!$T$53="Palier",IF(AND(ES$20&gt;='01_Input'!$R$53,ES$20&lt;'01_Input'!$S$53),'01_Input'!$U$53,0),MAX(MIN(ES$20,'01_Input'!$S$53)-'01_Input'!$R$53,0)*'01_Input'!$U$53))+IF('01_Input'!$X$53="Forfait",IF(ES$20&gt;='01_Input'!$V$53,'01_Input'!$Y$53,0),IF('01_Input'!$X$53="Palier",IF(AND(ES$20&gt;='01_Input'!$V$53,ES$20&lt;'01_Input'!$W$53),'01_Input'!$Y$53,0),MAX(MIN(ES$20,'01_Input'!$W$53)-'01_Input'!$V$53,0)*'01_Input'!$Y$53))+IF('01_Input'!$AB$53="Forfait",IF(ES$20&gt;='01_Input'!$Z$53,'01_Input'!$AC$53,0),IF('01_Input'!$AB$53="Palier",IF(AND(ES$20&gt;='01_Input'!$Z$53,ES$20&lt;'01_Input'!$AA$53),'01_Input'!$AC$53,0),MAX(MIN(ES$20,'01_Input'!$AA$53)-'01_Input'!$Z$53,0)*'01_Input'!$AC$53)))))))))</f>
        <v>900290000</v>
      </c>
      <c r="ET21" s="25">
        <f>IF('01_Input'!$C$53="Non",0,MIN('01_Input'!$I$53,MAX('01_Input'!$H$53,IF('01_Input'!$G$53="Résiduel vs Gestion",0,IF('01_Input'!$G$53="Taux Classe sélectionnée",Distrib_Global_Classe_Selectionnee*ET$20,IF('01_Input'!$G$53="Frais KYC (paliers de 100M€)",MAX(0,Nb_Investisseurs-Nb_KYC_Gratuites_Par_Tranche*(FLOOR(ET$20/Taille_Tranche_KYC,1)+1))*Cout_Par_KYC_Supplementaire,(IF('01_Input'!$L$53="Forfait",IF(ET$20&gt;='01_Input'!$J$53,'01_Input'!$M$53,0),IF('01_Input'!$L$53="Palier",IF(AND(ET$20&gt;='01_Input'!$J$53,ET$20&lt;'01_Input'!$K$53),'01_Input'!$M$53,0),MAX(MIN(ET$20,'01_Input'!$K$53)-'01_Input'!$J$53,0)*'01_Input'!$M$53))+IF('01_Input'!$P$53="Forfait",IF(ET$20&gt;='01_Input'!$N$53,'01_Input'!$Q$53,0),IF('01_Input'!$P$53="Palier",IF(AND(ET$20&gt;='01_Input'!$N$53,ET$20&lt;'01_Input'!$O$53),'01_Input'!$Q$53,0),MAX(MIN(ET$20,'01_Input'!$O$53)-'01_Input'!$N$53,0)*'01_Input'!$Q$53))+IF('01_Input'!$T$53="Forfait",IF(ET$20&gt;='01_Input'!$R$53,'01_Input'!$U$53,0),IF('01_Input'!$T$53="Palier",IF(AND(ET$20&gt;='01_Input'!$R$53,ET$20&lt;'01_Input'!$S$53),'01_Input'!$U$53,0),MAX(MIN(ET$20,'01_Input'!$S$53)-'01_Input'!$R$53,0)*'01_Input'!$U$53))+IF('01_Input'!$X$53="Forfait",IF(ET$20&gt;='01_Input'!$V$53,'01_Input'!$Y$53,0),IF('01_Input'!$X$53="Palier",IF(AND(ET$20&gt;='01_Input'!$V$53,ET$20&lt;'01_Input'!$W$53),'01_Input'!$Y$53,0),MAX(MIN(ET$20,'01_Input'!$W$53)-'01_Input'!$V$53,0)*'01_Input'!$Y$53))+IF('01_Input'!$AB$53="Forfait",IF(ET$20&gt;='01_Input'!$Z$53,'01_Input'!$AC$53,0),IF('01_Input'!$AB$53="Palier",IF(AND(ET$20&gt;='01_Input'!$Z$53,ET$20&lt;'01_Input'!$AA$53),'01_Input'!$AC$53,0),MAX(MIN(ET$20,'01_Input'!$AA$53)-'01_Input'!$Z$53,0)*'01_Input'!$AC$53)))))))))</f>
        <v>900290000</v>
      </c>
      <c r="EU21" s="25">
        <f>IF('01_Input'!$C$53="Non",0,MIN('01_Input'!$I$53,MAX('01_Input'!$H$53,IF('01_Input'!$G$53="Résiduel vs Gestion",0,IF('01_Input'!$G$53="Taux Classe sélectionnée",Distrib_Global_Classe_Selectionnee*EU$20,IF('01_Input'!$G$53="Frais KYC (paliers de 100M€)",MAX(0,Nb_Investisseurs-Nb_KYC_Gratuites_Par_Tranche*(FLOOR(EU$20/Taille_Tranche_KYC,1)+1))*Cout_Par_KYC_Supplementaire,(IF('01_Input'!$L$53="Forfait",IF(EU$20&gt;='01_Input'!$J$53,'01_Input'!$M$53,0),IF('01_Input'!$L$53="Palier",IF(AND(EU$20&gt;='01_Input'!$J$53,EU$20&lt;'01_Input'!$K$53),'01_Input'!$M$53,0),MAX(MIN(EU$20,'01_Input'!$K$53)-'01_Input'!$J$53,0)*'01_Input'!$M$53))+IF('01_Input'!$P$53="Forfait",IF(EU$20&gt;='01_Input'!$N$53,'01_Input'!$Q$53,0),IF('01_Input'!$P$53="Palier",IF(AND(EU$20&gt;='01_Input'!$N$53,EU$20&lt;'01_Input'!$O$53),'01_Input'!$Q$53,0),MAX(MIN(EU$20,'01_Input'!$O$53)-'01_Input'!$N$53,0)*'01_Input'!$Q$53))+IF('01_Input'!$T$53="Forfait",IF(EU$20&gt;='01_Input'!$R$53,'01_Input'!$U$53,0),IF('01_Input'!$T$53="Palier",IF(AND(EU$20&gt;='01_Input'!$R$53,EU$20&lt;'01_Input'!$S$53),'01_Input'!$U$53,0),MAX(MIN(EU$20,'01_Input'!$S$53)-'01_Input'!$R$53,0)*'01_Input'!$U$53))+IF('01_Input'!$X$53="Forfait",IF(EU$20&gt;='01_Input'!$V$53,'01_Input'!$Y$53,0),IF('01_Input'!$X$53="Palier",IF(AND(EU$20&gt;='01_Input'!$V$53,EU$20&lt;'01_Input'!$W$53),'01_Input'!$Y$53,0),MAX(MIN(EU$20,'01_Input'!$W$53)-'01_Input'!$V$53,0)*'01_Input'!$Y$53))+IF('01_Input'!$AB$53="Forfait",IF(EU$20&gt;='01_Input'!$Z$53,'01_Input'!$AC$53,0),IF('01_Input'!$AB$53="Palier",IF(AND(EU$20&gt;='01_Input'!$Z$53,EU$20&lt;'01_Input'!$AA$53),'01_Input'!$AC$53,0),MAX(MIN(EU$20,'01_Input'!$AA$53)-'01_Input'!$Z$53,0)*'01_Input'!$AC$53)))))))))</f>
        <v>900290000</v>
      </c>
      <c r="EV21" s="25">
        <f>IF('01_Input'!$C$53="Non",0,MIN('01_Input'!$I$53,MAX('01_Input'!$H$53,IF('01_Input'!$G$53="Résiduel vs Gestion",0,IF('01_Input'!$G$53="Taux Classe sélectionnée",Distrib_Global_Classe_Selectionnee*EV$20,IF('01_Input'!$G$53="Frais KYC (paliers de 100M€)",MAX(0,Nb_Investisseurs-Nb_KYC_Gratuites_Par_Tranche*(FLOOR(EV$20/Taille_Tranche_KYC,1)+1))*Cout_Par_KYC_Supplementaire,(IF('01_Input'!$L$53="Forfait",IF(EV$20&gt;='01_Input'!$J$53,'01_Input'!$M$53,0),IF('01_Input'!$L$53="Palier",IF(AND(EV$20&gt;='01_Input'!$J$53,EV$20&lt;'01_Input'!$K$53),'01_Input'!$M$53,0),MAX(MIN(EV$20,'01_Input'!$K$53)-'01_Input'!$J$53,0)*'01_Input'!$M$53))+IF('01_Input'!$P$53="Forfait",IF(EV$20&gt;='01_Input'!$N$53,'01_Input'!$Q$53,0),IF('01_Input'!$P$53="Palier",IF(AND(EV$20&gt;='01_Input'!$N$53,EV$20&lt;'01_Input'!$O$53),'01_Input'!$Q$53,0),MAX(MIN(EV$20,'01_Input'!$O$53)-'01_Input'!$N$53,0)*'01_Input'!$Q$53))+IF('01_Input'!$T$53="Forfait",IF(EV$20&gt;='01_Input'!$R$53,'01_Input'!$U$53,0),IF('01_Input'!$T$53="Palier",IF(AND(EV$20&gt;='01_Input'!$R$53,EV$20&lt;'01_Input'!$S$53),'01_Input'!$U$53,0),MAX(MIN(EV$20,'01_Input'!$S$53)-'01_Input'!$R$53,0)*'01_Input'!$U$53))+IF('01_Input'!$X$53="Forfait",IF(EV$20&gt;='01_Input'!$V$53,'01_Input'!$Y$53,0),IF('01_Input'!$X$53="Palier",IF(AND(EV$20&gt;='01_Input'!$V$53,EV$20&lt;'01_Input'!$W$53),'01_Input'!$Y$53,0),MAX(MIN(EV$20,'01_Input'!$W$53)-'01_Input'!$V$53,0)*'01_Input'!$Y$53))+IF('01_Input'!$AB$53="Forfait",IF(EV$20&gt;='01_Input'!$Z$53,'01_Input'!$AC$53,0),IF('01_Input'!$AB$53="Palier",IF(AND(EV$20&gt;='01_Input'!$Z$53,EV$20&lt;'01_Input'!$AA$53),'01_Input'!$AC$53,0),MAX(MIN(EV$20,'01_Input'!$AA$53)-'01_Input'!$Z$53,0)*'01_Input'!$AC$53)))))))))</f>
        <v>900290000</v>
      </c>
      <c r="EW21" s="25">
        <f>IF('01_Input'!$C$53="Non",0,MIN('01_Input'!$I$53,MAX('01_Input'!$H$53,IF('01_Input'!$G$53="Résiduel vs Gestion",0,IF('01_Input'!$G$53="Taux Classe sélectionnée",Distrib_Global_Classe_Selectionnee*EW$20,IF('01_Input'!$G$53="Frais KYC (paliers de 100M€)",MAX(0,Nb_Investisseurs-Nb_KYC_Gratuites_Par_Tranche*(FLOOR(EW$20/Taille_Tranche_KYC,1)+1))*Cout_Par_KYC_Supplementaire,(IF('01_Input'!$L$53="Forfait",IF(EW$20&gt;='01_Input'!$J$53,'01_Input'!$M$53,0),IF('01_Input'!$L$53="Palier",IF(AND(EW$20&gt;='01_Input'!$J$53,EW$20&lt;'01_Input'!$K$53),'01_Input'!$M$53,0),MAX(MIN(EW$20,'01_Input'!$K$53)-'01_Input'!$J$53,0)*'01_Input'!$M$53))+IF('01_Input'!$P$53="Forfait",IF(EW$20&gt;='01_Input'!$N$53,'01_Input'!$Q$53,0),IF('01_Input'!$P$53="Palier",IF(AND(EW$20&gt;='01_Input'!$N$53,EW$20&lt;'01_Input'!$O$53),'01_Input'!$Q$53,0),MAX(MIN(EW$20,'01_Input'!$O$53)-'01_Input'!$N$53,0)*'01_Input'!$Q$53))+IF('01_Input'!$T$53="Forfait",IF(EW$20&gt;='01_Input'!$R$53,'01_Input'!$U$53,0),IF('01_Input'!$T$53="Palier",IF(AND(EW$20&gt;='01_Input'!$R$53,EW$20&lt;'01_Input'!$S$53),'01_Input'!$U$53,0),MAX(MIN(EW$20,'01_Input'!$S$53)-'01_Input'!$R$53,0)*'01_Input'!$U$53))+IF('01_Input'!$X$53="Forfait",IF(EW$20&gt;='01_Input'!$V$53,'01_Input'!$Y$53,0),IF('01_Input'!$X$53="Palier",IF(AND(EW$20&gt;='01_Input'!$V$53,EW$20&lt;'01_Input'!$W$53),'01_Input'!$Y$53,0),MAX(MIN(EW$20,'01_Input'!$W$53)-'01_Input'!$V$53,0)*'01_Input'!$Y$53))+IF('01_Input'!$AB$53="Forfait",IF(EW$20&gt;='01_Input'!$Z$53,'01_Input'!$AC$53,0),IF('01_Input'!$AB$53="Palier",IF(AND(EW$20&gt;='01_Input'!$Z$53,EW$20&lt;'01_Input'!$AA$53),'01_Input'!$AC$53,0),MAX(MIN(EW$20,'01_Input'!$AA$53)-'01_Input'!$Z$53,0)*'01_Input'!$AC$53)))))))))</f>
        <v>900290000</v>
      </c>
      <c r="EX21" s="25">
        <f>IF('01_Input'!$C$53="Non",0,MIN('01_Input'!$I$53,MAX('01_Input'!$H$53,IF('01_Input'!$G$53="Résiduel vs Gestion",0,IF('01_Input'!$G$53="Taux Classe sélectionnée",Distrib_Global_Classe_Selectionnee*EX$20,IF('01_Input'!$G$53="Frais KYC (paliers de 100M€)",MAX(0,Nb_Investisseurs-Nb_KYC_Gratuites_Par_Tranche*(FLOOR(EX$20/Taille_Tranche_KYC,1)+1))*Cout_Par_KYC_Supplementaire,(IF('01_Input'!$L$53="Forfait",IF(EX$20&gt;='01_Input'!$J$53,'01_Input'!$M$53,0),IF('01_Input'!$L$53="Palier",IF(AND(EX$20&gt;='01_Input'!$J$53,EX$20&lt;'01_Input'!$K$53),'01_Input'!$M$53,0),MAX(MIN(EX$20,'01_Input'!$K$53)-'01_Input'!$J$53,0)*'01_Input'!$M$53))+IF('01_Input'!$P$53="Forfait",IF(EX$20&gt;='01_Input'!$N$53,'01_Input'!$Q$53,0),IF('01_Input'!$P$53="Palier",IF(AND(EX$20&gt;='01_Input'!$N$53,EX$20&lt;'01_Input'!$O$53),'01_Input'!$Q$53,0),MAX(MIN(EX$20,'01_Input'!$O$53)-'01_Input'!$N$53,0)*'01_Input'!$Q$53))+IF('01_Input'!$T$53="Forfait",IF(EX$20&gt;='01_Input'!$R$53,'01_Input'!$U$53,0),IF('01_Input'!$T$53="Palier",IF(AND(EX$20&gt;='01_Input'!$R$53,EX$20&lt;'01_Input'!$S$53),'01_Input'!$U$53,0),MAX(MIN(EX$20,'01_Input'!$S$53)-'01_Input'!$R$53,0)*'01_Input'!$U$53))+IF('01_Input'!$X$53="Forfait",IF(EX$20&gt;='01_Input'!$V$53,'01_Input'!$Y$53,0),IF('01_Input'!$X$53="Palier",IF(AND(EX$20&gt;='01_Input'!$V$53,EX$20&lt;'01_Input'!$W$53),'01_Input'!$Y$53,0),MAX(MIN(EX$20,'01_Input'!$W$53)-'01_Input'!$V$53,0)*'01_Input'!$Y$53))+IF('01_Input'!$AB$53="Forfait",IF(EX$20&gt;='01_Input'!$Z$53,'01_Input'!$AC$53,0),IF('01_Input'!$AB$53="Palier",IF(AND(EX$20&gt;='01_Input'!$Z$53,EX$20&lt;'01_Input'!$AA$53),'01_Input'!$AC$53,0),MAX(MIN(EX$20,'01_Input'!$AA$53)-'01_Input'!$Z$53,0)*'01_Input'!$AC$53)))))))))</f>
        <v>900290000</v>
      </c>
    </row>
    <row r="22" ht="15.75" customHeight="1">
      <c r="B22" s="68" t="str">
        <f>IF('01_Input'!D54="","(inactif)",'01_Input'!D54)</f>
        <v>Commission de Conseil</v>
      </c>
      <c r="C22" s="68" t="str">
        <f>IF('01_Input'!E54="","",'01_Input'!E54)</f>
        <v/>
      </c>
      <c r="D22" s="86" t="str">
        <f>'01_Input'!C54</f>
        <v>Oui</v>
      </c>
      <c r="E22" s="83">
        <f>IF('01_Input'!$C$54="Non",0,MIN('01_Input'!$I$54,MAX('01_Input'!$H$54,IF('01_Input'!$G$54="Résiduel vs Gestion",0,IF('01_Input'!$G$54="Taux Classe sélectionnée",Distrib_Global_Classe_Selectionnee*E$20,IF('01_Input'!$G$54="Frais KYC (paliers de 100M€)",MAX(0,Nb_Investisseurs-Nb_KYC_Gratuites_Par_Tranche*(FLOOR(E$20/Taille_Tranche_KYC,1)+1))*Cout_Par_KYC_Supplementaire,(IF('01_Input'!$L$54="Forfait",IF(E$20&gt;='01_Input'!$J$54,'01_Input'!$M$54,0),IF('01_Input'!$L$54="Palier",IF(AND(E$20&gt;='01_Input'!$J$54,E$20&lt;'01_Input'!$K$54),'01_Input'!$M$54,0),MAX(MIN(E$20,'01_Input'!$K$54)-'01_Input'!$J$54,0)*'01_Input'!$M$54))+IF('01_Input'!$P$54="Forfait",IF(E$20&gt;='01_Input'!$N$54,'01_Input'!$Q$54,0),IF('01_Input'!$P$54="Palier",IF(AND(E$20&gt;='01_Input'!$N$54,E$20&lt;'01_Input'!$O$54),'01_Input'!$Q$54,0),MAX(MIN(E$20,'01_Input'!$O$54)-'01_Input'!$N$54,0)*'01_Input'!$Q$54))+IF('01_Input'!$T$54="Forfait",IF(E$20&gt;='01_Input'!$R$54,'01_Input'!$U$54,0),IF('01_Input'!$T$54="Palier",IF(AND(E$20&gt;='01_Input'!$R$54,E$20&lt;'01_Input'!$S$54),'01_Input'!$U$54,0),MAX(MIN(E$20,'01_Input'!$S$54)-'01_Input'!$R$54,0)*'01_Input'!$U$54))+IF('01_Input'!$X$54="Forfait",IF(E$20&gt;='01_Input'!$V$54,'01_Input'!$Y$54,0),IF('01_Input'!$X$54="Palier",IF(AND(E$20&gt;='01_Input'!$V$54,E$20&lt;'01_Input'!$W$54),'01_Input'!$Y$54,0),MAX(MIN(E$20,'01_Input'!$W$54)-'01_Input'!$V$54,0)*'01_Input'!$Y$54))+IF('01_Input'!$AB$54="Forfait",IF(E$20&gt;='01_Input'!$Z$54,'01_Input'!$AC$54,0),IF('01_Input'!$AB$54="Palier",IF(AND(E$20&gt;='01_Input'!$Z$54,E$20&lt;'01_Input'!$AA$54),'01_Input'!$AC$54,0),MAX(MIN(E$20,'01_Input'!$AA$54)-'01_Input'!$Z$54,0)*'01_Input'!$AC$54)))))))))</f>
        <v>22500</v>
      </c>
      <c r="F22" s="83">
        <f>IF('01_Input'!$C$54="Non",0,MIN('01_Input'!$I$54,MAX('01_Input'!$H$54,IF('01_Input'!$G$54="Résiduel vs Gestion",0,IF('01_Input'!$G$54="Taux Classe sélectionnée",Distrib_Global_Classe_Selectionnee*F$20,IF('01_Input'!$G$54="Frais KYC (paliers de 100M€)",MAX(0,Nb_Investisseurs-Nb_KYC_Gratuites_Par_Tranche*(FLOOR(F$20/Taille_Tranche_KYC,1)+1))*Cout_Par_KYC_Supplementaire,(IF('01_Input'!$L$54="Forfait",IF(F$20&gt;='01_Input'!$J$54,'01_Input'!$M$54,0),IF('01_Input'!$L$54="Palier",IF(AND(F$20&gt;='01_Input'!$J$54,F$20&lt;'01_Input'!$K$54),'01_Input'!$M$54,0),MAX(MIN(F$20,'01_Input'!$K$54)-'01_Input'!$J$54,0)*'01_Input'!$M$54))+IF('01_Input'!$P$54="Forfait",IF(F$20&gt;='01_Input'!$N$54,'01_Input'!$Q$54,0),IF('01_Input'!$P$54="Palier",IF(AND(F$20&gt;='01_Input'!$N$54,F$20&lt;'01_Input'!$O$54),'01_Input'!$Q$54,0),MAX(MIN(F$20,'01_Input'!$O$54)-'01_Input'!$N$54,0)*'01_Input'!$Q$54))+IF('01_Input'!$T$54="Forfait",IF(F$20&gt;='01_Input'!$R$54,'01_Input'!$U$54,0),IF('01_Input'!$T$54="Palier",IF(AND(F$20&gt;='01_Input'!$R$54,F$20&lt;'01_Input'!$S$54),'01_Input'!$U$54,0),MAX(MIN(F$20,'01_Input'!$S$54)-'01_Input'!$R$54,0)*'01_Input'!$U$54))+IF('01_Input'!$X$54="Forfait",IF(F$20&gt;='01_Input'!$V$54,'01_Input'!$Y$54,0),IF('01_Input'!$X$54="Palier",IF(AND(F$20&gt;='01_Input'!$V$54,F$20&lt;'01_Input'!$W$54),'01_Input'!$Y$54,0),MAX(MIN(F$20,'01_Input'!$W$54)-'01_Input'!$V$54,0)*'01_Input'!$Y$54))+IF('01_Input'!$AB$54="Forfait",IF(F$20&gt;='01_Input'!$Z$54,'01_Input'!$AC$54,0),IF('01_Input'!$AB$54="Palier",IF(AND(F$20&gt;='01_Input'!$Z$54,F$20&lt;'01_Input'!$AA$54),'01_Input'!$AC$54,0),MAX(MIN(F$20,'01_Input'!$AA$54)-'01_Input'!$Z$54,0)*'01_Input'!$AC$54)))))))))</f>
        <v>45000</v>
      </c>
      <c r="G22" s="83">
        <f>IF('01_Input'!$C$54="Non",0,MIN('01_Input'!$I$54,MAX('01_Input'!$H$54,IF('01_Input'!$G$54="Résiduel vs Gestion",0,IF('01_Input'!$G$54="Taux Classe sélectionnée",Distrib_Global_Classe_Selectionnee*G$20,IF('01_Input'!$G$54="Frais KYC (paliers de 100M€)",MAX(0,Nb_Investisseurs-Nb_KYC_Gratuites_Par_Tranche*(FLOOR(G$20/Taille_Tranche_KYC,1)+1))*Cout_Par_KYC_Supplementaire,(IF('01_Input'!$L$54="Forfait",IF(G$20&gt;='01_Input'!$J$54,'01_Input'!$M$54,0),IF('01_Input'!$L$54="Palier",IF(AND(G$20&gt;='01_Input'!$J$54,G$20&lt;'01_Input'!$K$54),'01_Input'!$M$54,0),MAX(MIN(G$20,'01_Input'!$K$54)-'01_Input'!$J$54,0)*'01_Input'!$M$54))+IF('01_Input'!$P$54="Forfait",IF(G$20&gt;='01_Input'!$N$54,'01_Input'!$Q$54,0),IF('01_Input'!$P$54="Palier",IF(AND(G$20&gt;='01_Input'!$N$54,G$20&lt;'01_Input'!$O$54),'01_Input'!$Q$54,0),MAX(MIN(G$20,'01_Input'!$O$54)-'01_Input'!$N$54,0)*'01_Input'!$Q$54))+IF('01_Input'!$T$54="Forfait",IF(G$20&gt;='01_Input'!$R$54,'01_Input'!$U$54,0),IF('01_Input'!$T$54="Palier",IF(AND(G$20&gt;='01_Input'!$R$54,G$20&lt;'01_Input'!$S$54),'01_Input'!$U$54,0),MAX(MIN(G$20,'01_Input'!$S$54)-'01_Input'!$R$54,0)*'01_Input'!$U$54))+IF('01_Input'!$X$54="Forfait",IF(G$20&gt;='01_Input'!$V$54,'01_Input'!$Y$54,0),IF('01_Input'!$X$54="Palier",IF(AND(G$20&gt;='01_Input'!$V$54,G$20&lt;'01_Input'!$W$54),'01_Input'!$Y$54,0),MAX(MIN(G$20,'01_Input'!$W$54)-'01_Input'!$V$54,0)*'01_Input'!$Y$54))+IF('01_Input'!$AB$54="Forfait",IF(G$20&gt;='01_Input'!$Z$54,'01_Input'!$AC$54,0),IF('01_Input'!$AB$54="Palier",IF(AND(G$20&gt;='01_Input'!$Z$54,G$20&lt;'01_Input'!$AA$54),'01_Input'!$AC$54,0),MAX(MIN(G$20,'01_Input'!$AA$54)-'01_Input'!$Z$54,0)*'01_Input'!$AC$54)))))))))</f>
        <v>67500</v>
      </c>
      <c r="H22" s="83">
        <f>IF('01_Input'!$C$54="Non",0,MIN('01_Input'!$I$54,MAX('01_Input'!$H$54,IF('01_Input'!$G$54="Résiduel vs Gestion",0,IF('01_Input'!$G$54="Taux Classe sélectionnée",Distrib_Global_Classe_Selectionnee*H$20,IF('01_Input'!$G$54="Frais KYC (paliers de 100M€)",MAX(0,Nb_Investisseurs-Nb_KYC_Gratuites_Par_Tranche*(FLOOR(H$20/Taille_Tranche_KYC,1)+1))*Cout_Par_KYC_Supplementaire,(IF('01_Input'!$L$54="Forfait",IF(H$20&gt;='01_Input'!$J$54,'01_Input'!$M$54,0),IF('01_Input'!$L$54="Palier",IF(AND(H$20&gt;='01_Input'!$J$54,H$20&lt;'01_Input'!$K$54),'01_Input'!$M$54,0),MAX(MIN(H$20,'01_Input'!$K$54)-'01_Input'!$J$54,0)*'01_Input'!$M$54))+IF('01_Input'!$P$54="Forfait",IF(H$20&gt;='01_Input'!$N$54,'01_Input'!$Q$54,0),IF('01_Input'!$P$54="Palier",IF(AND(H$20&gt;='01_Input'!$N$54,H$20&lt;'01_Input'!$O$54),'01_Input'!$Q$54,0),MAX(MIN(H$20,'01_Input'!$O$54)-'01_Input'!$N$54,0)*'01_Input'!$Q$54))+IF('01_Input'!$T$54="Forfait",IF(H$20&gt;='01_Input'!$R$54,'01_Input'!$U$54,0),IF('01_Input'!$T$54="Palier",IF(AND(H$20&gt;='01_Input'!$R$54,H$20&lt;'01_Input'!$S$54),'01_Input'!$U$54,0),MAX(MIN(H$20,'01_Input'!$S$54)-'01_Input'!$R$54,0)*'01_Input'!$U$54))+IF('01_Input'!$X$54="Forfait",IF(H$20&gt;='01_Input'!$V$54,'01_Input'!$Y$54,0),IF('01_Input'!$X$54="Palier",IF(AND(H$20&gt;='01_Input'!$V$54,H$20&lt;'01_Input'!$W$54),'01_Input'!$Y$54,0),MAX(MIN(H$20,'01_Input'!$W$54)-'01_Input'!$V$54,0)*'01_Input'!$Y$54))+IF('01_Input'!$AB$54="Forfait",IF(H$20&gt;='01_Input'!$Z$54,'01_Input'!$AC$54,0),IF('01_Input'!$AB$54="Palier",IF(AND(H$20&gt;='01_Input'!$Z$54,H$20&lt;'01_Input'!$AA$54),'01_Input'!$AC$54,0),MAX(MIN(H$20,'01_Input'!$AA$54)-'01_Input'!$Z$54,0)*'01_Input'!$AC$54)))))))))</f>
        <v>90000</v>
      </c>
      <c r="I22" s="83">
        <f>IF('01_Input'!$C$54="Non",0,MIN('01_Input'!$I$54,MAX('01_Input'!$H$54,IF('01_Input'!$G$54="Résiduel vs Gestion",0,IF('01_Input'!$G$54="Taux Classe sélectionnée",Distrib_Global_Classe_Selectionnee*I$20,IF('01_Input'!$G$54="Frais KYC (paliers de 100M€)",MAX(0,Nb_Investisseurs-Nb_KYC_Gratuites_Par_Tranche*(FLOOR(I$20/Taille_Tranche_KYC,1)+1))*Cout_Par_KYC_Supplementaire,(IF('01_Input'!$L$54="Forfait",IF(I$20&gt;='01_Input'!$J$54,'01_Input'!$M$54,0),IF('01_Input'!$L$54="Palier",IF(AND(I$20&gt;='01_Input'!$J$54,I$20&lt;'01_Input'!$K$54),'01_Input'!$M$54,0),MAX(MIN(I$20,'01_Input'!$K$54)-'01_Input'!$J$54,0)*'01_Input'!$M$54))+IF('01_Input'!$P$54="Forfait",IF(I$20&gt;='01_Input'!$N$54,'01_Input'!$Q$54,0),IF('01_Input'!$P$54="Palier",IF(AND(I$20&gt;='01_Input'!$N$54,I$20&lt;'01_Input'!$O$54),'01_Input'!$Q$54,0),MAX(MIN(I$20,'01_Input'!$O$54)-'01_Input'!$N$54,0)*'01_Input'!$Q$54))+IF('01_Input'!$T$54="Forfait",IF(I$20&gt;='01_Input'!$R$54,'01_Input'!$U$54,0),IF('01_Input'!$T$54="Palier",IF(AND(I$20&gt;='01_Input'!$R$54,I$20&lt;'01_Input'!$S$54),'01_Input'!$U$54,0),MAX(MIN(I$20,'01_Input'!$S$54)-'01_Input'!$R$54,0)*'01_Input'!$U$54))+IF('01_Input'!$X$54="Forfait",IF(I$20&gt;='01_Input'!$V$54,'01_Input'!$Y$54,0),IF('01_Input'!$X$54="Palier",IF(AND(I$20&gt;='01_Input'!$V$54,I$20&lt;'01_Input'!$W$54),'01_Input'!$Y$54,0),MAX(MIN(I$20,'01_Input'!$W$54)-'01_Input'!$V$54,0)*'01_Input'!$Y$54))+IF('01_Input'!$AB$54="Forfait",IF(I$20&gt;='01_Input'!$Z$54,'01_Input'!$AC$54,0),IF('01_Input'!$AB$54="Palier",IF(AND(I$20&gt;='01_Input'!$Z$54,I$20&lt;'01_Input'!$AA$54),'01_Input'!$AC$54,0),MAX(MIN(I$20,'01_Input'!$AA$54)-'01_Input'!$Z$54,0)*'01_Input'!$AC$54)))))))))</f>
        <v>112500</v>
      </c>
      <c r="J22" s="83">
        <f>IF('01_Input'!$C$54="Non",0,MIN('01_Input'!$I$54,MAX('01_Input'!$H$54,IF('01_Input'!$G$54="Résiduel vs Gestion",0,IF('01_Input'!$G$54="Taux Classe sélectionnée",Distrib_Global_Classe_Selectionnee*J$20,IF('01_Input'!$G$54="Frais KYC (paliers de 100M€)",MAX(0,Nb_Investisseurs-Nb_KYC_Gratuites_Par_Tranche*(FLOOR(J$20/Taille_Tranche_KYC,1)+1))*Cout_Par_KYC_Supplementaire,(IF('01_Input'!$L$54="Forfait",IF(J$20&gt;='01_Input'!$J$54,'01_Input'!$M$54,0),IF('01_Input'!$L$54="Palier",IF(AND(J$20&gt;='01_Input'!$J$54,J$20&lt;'01_Input'!$K$54),'01_Input'!$M$54,0),MAX(MIN(J$20,'01_Input'!$K$54)-'01_Input'!$J$54,0)*'01_Input'!$M$54))+IF('01_Input'!$P$54="Forfait",IF(J$20&gt;='01_Input'!$N$54,'01_Input'!$Q$54,0),IF('01_Input'!$P$54="Palier",IF(AND(J$20&gt;='01_Input'!$N$54,J$20&lt;'01_Input'!$O$54),'01_Input'!$Q$54,0),MAX(MIN(J$20,'01_Input'!$O$54)-'01_Input'!$N$54,0)*'01_Input'!$Q$54))+IF('01_Input'!$T$54="Forfait",IF(J$20&gt;='01_Input'!$R$54,'01_Input'!$U$54,0),IF('01_Input'!$T$54="Palier",IF(AND(J$20&gt;='01_Input'!$R$54,J$20&lt;'01_Input'!$S$54),'01_Input'!$U$54,0),MAX(MIN(J$20,'01_Input'!$S$54)-'01_Input'!$R$54,0)*'01_Input'!$U$54))+IF('01_Input'!$X$54="Forfait",IF(J$20&gt;='01_Input'!$V$54,'01_Input'!$Y$54,0),IF('01_Input'!$X$54="Palier",IF(AND(J$20&gt;='01_Input'!$V$54,J$20&lt;'01_Input'!$W$54),'01_Input'!$Y$54,0),MAX(MIN(J$20,'01_Input'!$W$54)-'01_Input'!$V$54,0)*'01_Input'!$Y$54))+IF('01_Input'!$AB$54="Forfait",IF(J$20&gt;='01_Input'!$Z$54,'01_Input'!$AC$54,0),IF('01_Input'!$AB$54="Palier",IF(AND(J$20&gt;='01_Input'!$Z$54,J$20&lt;'01_Input'!$AA$54),'01_Input'!$AC$54,0),MAX(MIN(J$20,'01_Input'!$AA$54)-'01_Input'!$Z$54,0)*'01_Input'!$AC$54)))))))))</f>
        <v>135000</v>
      </c>
      <c r="K22" s="83">
        <f>IF('01_Input'!$C$54="Non",0,MIN('01_Input'!$I$54,MAX('01_Input'!$H$54,IF('01_Input'!$G$54="Résiduel vs Gestion",0,IF('01_Input'!$G$54="Taux Classe sélectionnée",Distrib_Global_Classe_Selectionnee*K$20,IF('01_Input'!$G$54="Frais KYC (paliers de 100M€)",MAX(0,Nb_Investisseurs-Nb_KYC_Gratuites_Par_Tranche*(FLOOR(K$20/Taille_Tranche_KYC,1)+1))*Cout_Par_KYC_Supplementaire,(IF('01_Input'!$L$54="Forfait",IF(K$20&gt;='01_Input'!$J$54,'01_Input'!$M$54,0),IF('01_Input'!$L$54="Palier",IF(AND(K$20&gt;='01_Input'!$J$54,K$20&lt;'01_Input'!$K$54),'01_Input'!$M$54,0),MAX(MIN(K$20,'01_Input'!$K$54)-'01_Input'!$J$54,0)*'01_Input'!$M$54))+IF('01_Input'!$P$54="Forfait",IF(K$20&gt;='01_Input'!$N$54,'01_Input'!$Q$54,0),IF('01_Input'!$P$54="Palier",IF(AND(K$20&gt;='01_Input'!$N$54,K$20&lt;'01_Input'!$O$54),'01_Input'!$Q$54,0),MAX(MIN(K$20,'01_Input'!$O$54)-'01_Input'!$N$54,0)*'01_Input'!$Q$54))+IF('01_Input'!$T$54="Forfait",IF(K$20&gt;='01_Input'!$R$54,'01_Input'!$U$54,0),IF('01_Input'!$T$54="Palier",IF(AND(K$20&gt;='01_Input'!$R$54,K$20&lt;'01_Input'!$S$54),'01_Input'!$U$54,0),MAX(MIN(K$20,'01_Input'!$S$54)-'01_Input'!$R$54,0)*'01_Input'!$U$54))+IF('01_Input'!$X$54="Forfait",IF(K$20&gt;='01_Input'!$V$54,'01_Input'!$Y$54,0),IF('01_Input'!$X$54="Palier",IF(AND(K$20&gt;='01_Input'!$V$54,K$20&lt;'01_Input'!$W$54),'01_Input'!$Y$54,0),MAX(MIN(K$20,'01_Input'!$W$54)-'01_Input'!$V$54,0)*'01_Input'!$Y$54))+IF('01_Input'!$AB$54="Forfait",IF(K$20&gt;='01_Input'!$Z$54,'01_Input'!$AC$54,0),IF('01_Input'!$AB$54="Palier",IF(AND(K$20&gt;='01_Input'!$Z$54,K$20&lt;'01_Input'!$AA$54),'01_Input'!$AC$54,0),MAX(MIN(K$20,'01_Input'!$AA$54)-'01_Input'!$Z$54,0)*'01_Input'!$AC$54)))))))))</f>
        <v>157500</v>
      </c>
      <c r="L22" s="83">
        <f>IF('01_Input'!$C$54="Non",0,MIN('01_Input'!$I$54,MAX('01_Input'!$H$54,IF('01_Input'!$G$54="Résiduel vs Gestion",0,IF('01_Input'!$G$54="Taux Classe sélectionnée",Distrib_Global_Classe_Selectionnee*L$20,IF('01_Input'!$G$54="Frais KYC (paliers de 100M€)",MAX(0,Nb_Investisseurs-Nb_KYC_Gratuites_Par_Tranche*(FLOOR(L$20/Taille_Tranche_KYC,1)+1))*Cout_Par_KYC_Supplementaire,(IF('01_Input'!$L$54="Forfait",IF(L$20&gt;='01_Input'!$J$54,'01_Input'!$M$54,0),IF('01_Input'!$L$54="Palier",IF(AND(L$20&gt;='01_Input'!$J$54,L$20&lt;'01_Input'!$K$54),'01_Input'!$M$54,0),MAX(MIN(L$20,'01_Input'!$K$54)-'01_Input'!$J$54,0)*'01_Input'!$M$54))+IF('01_Input'!$P$54="Forfait",IF(L$20&gt;='01_Input'!$N$54,'01_Input'!$Q$54,0),IF('01_Input'!$P$54="Palier",IF(AND(L$20&gt;='01_Input'!$N$54,L$20&lt;'01_Input'!$O$54),'01_Input'!$Q$54,0),MAX(MIN(L$20,'01_Input'!$O$54)-'01_Input'!$N$54,0)*'01_Input'!$Q$54))+IF('01_Input'!$T$54="Forfait",IF(L$20&gt;='01_Input'!$R$54,'01_Input'!$U$54,0),IF('01_Input'!$T$54="Palier",IF(AND(L$20&gt;='01_Input'!$R$54,L$20&lt;'01_Input'!$S$54),'01_Input'!$U$54,0),MAX(MIN(L$20,'01_Input'!$S$54)-'01_Input'!$R$54,0)*'01_Input'!$U$54))+IF('01_Input'!$X$54="Forfait",IF(L$20&gt;='01_Input'!$V$54,'01_Input'!$Y$54,0),IF('01_Input'!$X$54="Palier",IF(AND(L$20&gt;='01_Input'!$V$54,L$20&lt;'01_Input'!$W$54),'01_Input'!$Y$54,0),MAX(MIN(L$20,'01_Input'!$W$54)-'01_Input'!$V$54,0)*'01_Input'!$Y$54))+IF('01_Input'!$AB$54="Forfait",IF(L$20&gt;='01_Input'!$Z$54,'01_Input'!$AC$54,0),IF('01_Input'!$AB$54="Palier",IF(AND(L$20&gt;='01_Input'!$Z$54,L$20&lt;'01_Input'!$AA$54),'01_Input'!$AC$54,0),MAX(MIN(L$20,'01_Input'!$AA$54)-'01_Input'!$Z$54,0)*'01_Input'!$AC$54)))))))))</f>
        <v>180000</v>
      </c>
      <c r="M22" s="83">
        <f>IF('01_Input'!$C$54="Non",0,MIN('01_Input'!$I$54,MAX('01_Input'!$H$54,IF('01_Input'!$G$54="Résiduel vs Gestion",0,IF('01_Input'!$G$54="Taux Classe sélectionnée",Distrib_Global_Classe_Selectionnee*M$20,IF('01_Input'!$G$54="Frais KYC (paliers de 100M€)",MAX(0,Nb_Investisseurs-Nb_KYC_Gratuites_Par_Tranche*(FLOOR(M$20/Taille_Tranche_KYC,1)+1))*Cout_Par_KYC_Supplementaire,(IF('01_Input'!$L$54="Forfait",IF(M$20&gt;='01_Input'!$J$54,'01_Input'!$M$54,0),IF('01_Input'!$L$54="Palier",IF(AND(M$20&gt;='01_Input'!$J$54,M$20&lt;'01_Input'!$K$54),'01_Input'!$M$54,0),MAX(MIN(M$20,'01_Input'!$K$54)-'01_Input'!$J$54,0)*'01_Input'!$M$54))+IF('01_Input'!$P$54="Forfait",IF(M$20&gt;='01_Input'!$N$54,'01_Input'!$Q$54,0),IF('01_Input'!$P$54="Palier",IF(AND(M$20&gt;='01_Input'!$N$54,M$20&lt;'01_Input'!$O$54),'01_Input'!$Q$54,0),MAX(MIN(M$20,'01_Input'!$O$54)-'01_Input'!$N$54,0)*'01_Input'!$Q$54))+IF('01_Input'!$T$54="Forfait",IF(M$20&gt;='01_Input'!$R$54,'01_Input'!$U$54,0),IF('01_Input'!$T$54="Palier",IF(AND(M$20&gt;='01_Input'!$R$54,M$20&lt;'01_Input'!$S$54),'01_Input'!$U$54,0),MAX(MIN(M$20,'01_Input'!$S$54)-'01_Input'!$R$54,0)*'01_Input'!$U$54))+IF('01_Input'!$X$54="Forfait",IF(M$20&gt;='01_Input'!$V$54,'01_Input'!$Y$54,0),IF('01_Input'!$X$54="Palier",IF(AND(M$20&gt;='01_Input'!$V$54,M$20&lt;'01_Input'!$W$54),'01_Input'!$Y$54,0),MAX(MIN(M$20,'01_Input'!$W$54)-'01_Input'!$V$54,0)*'01_Input'!$Y$54))+IF('01_Input'!$AB$54="Forfait",IF(M$20&gt;='01_Input'!$Z$54,'01_Input'!$AC$54,0),IF('01_Input'!$AB$54="Palier",IF(AND(M$20&gt;='01_Input'!$Z$54,M$20&lt;'01_Input'!$AA$54),'01_Input'!$AC$54,0),MAX(MIN(M$20,'01_Input'!$AA$54)-'01_Input'!$Z$54,0)*'01_Input'!$AC$54)))))))))</f>
        <v>202500</v>
      </c>
      <c r="N22" s="83">
        <f>IF('01_Input'!$C$54="Non",0,MIN('01_Input'!$I$54,MAX('01_Input'!$H$54,IF('01_Input'!$G$54="Résiduel vs Gestion",0,IF('01_Input'!$G$54="Taux Classe sélectionnée",Distrib_Global_Classe_Selectionnee*N$20,IF('01_Input'!$G$54="Frais KYC (paliers de 100M€)",MAX(0,Nb_Investisseurs-Nb_KYC_Gratuites_Par_Tranche*(FLOOR(N$20/Taille_Tranche_KYC,1)+1))*Cout_Par_KYC_Supplementaire,(IF('01_Input'!$L$54="Forfait",IF(N$20&gt;='01_Input'!$J$54,'01_Input'!$M$54,0),IF('01_Input'!$L$54="Palier",IF(AND(N$20&gt;='01_Input'!$J$54,N$20&lt;'01_Input'!$K$54),'01_Input'!$M$54,0),MAX(MIN(N$20,'01_Input'!$K$54)-'01_Input'!$J$54,0)*'01_Input'!$M$54))+IF('01_Input'!$P$54="Forfait",IF(N$20&gt;='01_Input'!$N$54,'01_Input'!$Q$54,0),IF('01_Input'!$P$54="Palier",IF(AND(N$20&gt;='01_Input'!$N$54,N$20&lt;'01_Input'!$O$54),'01_Input'!$Q$54,0),MAX(MIN(N$20,'01_Input'!$O$54)-'01_Input'!$N$54,0)*'01_Input'!$Q$54))+IF('01_Input'!$T$54="Forfait",IF(N$20&gt;='01_Input'!$R$54,'01_Input'!$U$54,0),IF('01_Input'!$T$54="Palier",IF(AND(N$20&gt;='01_Input'!$R$54,N$20&lt;'01_Input'!$S$54),'01_Input'!$U$54,0),MAX(MIN(N$20,'01_Input'!$S$54)-'01_Input'!$R$54,0)*'01_Input'!$U$54))+IF('01_Input'!$X$54="Forfait",IF(N$20&gt;='01_Input'!$V$54,'01_Input'!$Y$54,0),IF('01_Input'!$X$54="Palier",IF(AND(N$20&gt;='01_Input'!$V$54,N$20&lt;'01_Input'!$W$54),'01_Input'!$Y$54,0),MAX(MIN(N$20,'01_Input'!$W$54)-'01_Input'!$V$54,0)*'01_Input'!$Y$54))+IF('01_Input'!$AB$54="Forfait",IF(N$20&gt;='01_Input'!$Z$54,'01_Input'!$AC$54,0),IF('01_Input'!$AB$54="Palier",IF(AND(N$20&gt;='01_Input'!$Z$54,N$20&lt;'01_Input'!$AA$54),'01_Input'!$AC$54,0),MAX(MIN(N$20,'01_Input'!$AA$54)-'01_Input'!$Z$54,0)*'01_Input'!$AC$54)))))))))</f>
        <v>225000</v>
      </c>
      <c r="O22" s="83">
        <f>IF('01_Input'!$C$54="Non",0,MIN('01_Input'!$I$54,MAX('01_Input'!$H$54,IF('01_Input'!$G$54="Résiduel vs Gestion",0,IF('01_Input'!$G$54="Taux Classe sélectionnée",Distrib_Global_Classe_Selectionnee*O$20,IF('01_Input'!$G$54="Frais KYC (paliers de 100M€)",MAX(0,Nb_Investisseurs-Nb_KYC_Gratuites_Par_Tranche*(FLOOR(O$20/Taille_Tranche_KYC,1)+1))*Cout_Par_KYC_Supplementaire,(IF('01_Input'!$L$54="Forfait",IF(O$20&gt;='01_Input'!$J$54,'01_Input'!$M$54,0),IF('01_Input'!$L$54="Palier",IF(AND(O$20&gt;='01_Input'!$J$54,O$20&lt;'01_Input'!$K$54),'01_Input'!$M$54,0),MAX(MIN(O$20,'01_Input'!$K$54)-'01_Input'!$J$54,0)*'01_Input'!$M$54))+IF('01_Input'!$P$54="Forfait",IF(O$20&gt;='01_Input'!$N$54,'01_Input'!$Q$54,0),IF('01_Input'!$P$54="Palier",IF(AND(O$20&gt;='01_Input'!$N$54,O$20&lt;'01_Input'!$O$54),'01_Input'!$Q$54,0),MAX(MIN(O$20,'01_Input'!$O$54)-'01_Input'!$N$54,0)*'01_Input'!$Q$54))+IF('01_Input'!$T$54="Forfait",IF(O$20&gt;='01_Input'!$R$54,'01_Input'!$U$54,0),IF('01_Input'!$T$54="Palier",IF(AND(O$20&gt;='01_Input'!$R$54,O$20&lt;'01_Input'!$S$54),'01_Input'!$U$54,0),MAX(MIN(O$20,'01_Input'!$S$54)-'01_Input'!$R$54,0)*'01_Input'!$U$54))+IF('01_Input'!$X$54="Forfait",IF(O$20&gt;='01_Input'!$V$54,'01_Input'!$Y$54,0),IF('01_Input'!$X$54="Palier",IF(AND(O$20&gt;='01_Input'!$V$54,O$20&lt;'01_Input'!$W$54),'01_Input'!$Y$54,0),MAX(MIN(O$20,'01_Input'!$W$54)-'01_Input'!$V$54,0)*'01_Input'!$Y$54))+IF('01_Input'!$AB$54="Forfait",IF(O$20&gt;='01_Input'!$Z$54,'01_Input'!$AC$54,0),IF('01_Input'!$AB$54="Palier",IF(AND(O$20&gt;='01_Input'!$Z$54,O$20&lt;'01_Input'!$AA$54),'01_Input'!$AC$54,0),MAX(MIN(O$20,'01_Input'!$AA$54)-'01_Input'!$Z$54,0)*'01_Input'!$AC$54)))))))))</f>
        <v>2500600000</v>
      </c>
      <c r="P22" s="83">
        <f>IF('01_Input'!$C$54="Non",0,MIN('01_Input'!$I$54,MAX('01_Input'!$H$54,IF('01_Input'!$G$54="Résiduel vs Gestion",0,IF('01_Input'!$G$54="Taux Classe sélectionnée",Distrib_Global_Classe_Selectionnee*P$20,IF('01_Input'!$G$54="Frais KYC (paliers de 100M€)",MAX(0,Nb_Investisseurs-Nb_KYC_Gratuites_Par_Tranche*(FLOOR(P$20/Taille_Tranche_KYC,1)+1))*Cout_Par_KYC_Supplementaire,(IF('01_Input'!$L$54="Forfait",IF(P$20&gt;='01_Input'!$J$54,'01_Input'!$M$54,0),IF('01_Input'!$L$54="Palier",IF(AND(P$20&gt;='01_Input'!$J$54,P$20&lt;'01_Input'!$K$54),'01_Input'!$M$54,0),MAX(MIN(P$20,'01_Input'!$K$54)-'01_Input'!$J$54,0)*'01_Input'!$M$54))+IF('01_Input'!$P$54="Forfait",IF(P$20&gt;='01_Input'!$N$54,'01_Input'!$Q$54,0),IF('01_Input'!$P$54="Palier",IF(AND(P$20&gt;='01_Input'!$N$54,P$20&lt;'01_Input'!$O$54),'01_Input'!$Q$54,0),MAX(MIN(P$20,'01_Input'!$O$54)-'01_Input'!$N$54,0)*'01_Input'!$Q$54))+IF('01_Input'!$T$54="Forfait",IF(P$20&gt;='01_Input'!$R$54,'01_Input'!$U$54,0),IF('01_Input'!$T$54="Palier",IF(AND(P$20&gt;='01_Input'!$R$54,P$20&lt;'01_Input'!$S$54),'01_Input'!$U$54,0),MAX(MIN(P$20,'01_Input'!$S$54)-'01_Input'!$R$54,0)*'01_Input'!$U$54))+IF('01_Input'!$X$54="Forfait",IF(P$20&gt;='01_Input'!$V$54,'01_Input'!$Y$54,0),IF('01_Input'!$X$54="Palier",IF(AND(P$20&gt;='01_Input'!$V$54,P$20&lt;'01_Input'!$W$54),'01_Input'!$Y$54,0),MAX(MIN(P$20,'01_Input'!$W$54)-'01_Input'!$V$54,0)*'01_Input'!$Y$54))+IF('01_Input'!$AB$54="Forfait",IF(P$20&gt;='01_Input'!$Z$54,'01_Input'!$AC$54,0),IF('01_Input'!$AB$54="Palier",IF(AND(P$20&gt;='01_Input'!$Z$54,P$20&lt;'01_Input'!$AA$54),'01_Input'!$AC$54,0),MAX(MIN(P$20,'01_Input'!$AA$54)-'01_Input'!$Z$54,0)*'01_Input'!$AC$54)))))))))</f>
        <v>2500600000</v>
      </c>
      <c r="Q22" s="83">
        <f>IF('01_Input'!$C$54="Non",0,MIN('01_Input'!$I$54,MAX('01_Input'!$H$54,IF('01_Input'!$G$54="Résiduel vs Gestion",0,IF('01_Input'!$G$54="Taux Classe sélectionnée",Distrib_Global_Classe_Selectionnee*Q$20,IF('01_Input'!$G$54="Frais KYC (paliers de 100M€)",MAX(0,Nb_Investisseurs-Nb_KYC_Gratuites_Par_Tranche*(FLOOR(Q$20/Taille_Tranche_KYC,1)+1))*Cout_Par_KYC_Supplementaire,(IF('01_Input'!$L$54="Forfait",IF(Q$20&gt;='01_Input'!$J$54,'01_Input'!$M$54,0),IF('01_Input'!$L$54="Palier",IF(AND(Q$20&gt;='01_Input'!$J$54,Q$20&lt;'01_Input'!$K$54),'01_Input'!$M$54,0),MAX(MIN(Q$20,'01_Input'!$K$54)-'01_Input'!$J$54,0)*'01_Input'!$M$54))+IF('01_Input'!$P$54="Forfait",IF(Q$20&gt;='01_Input'!$N$54,'01_Input'!$Q$54,0),IF('01_Input'!$P$54="Palier",IF(AND(Q$20&gt;='01_Input'!$N$54,Q$20&lt;'01_Input'!$O$54),'01_Input'!$Q$54,0),MAX(MIN(Q$20,'01_Input'!$O$54)-'01_Input'!$N$54,0)*'01_Input'!$Q$54))+IF('01_Input'!$T$54="Forfait",IF(Q$20&gt;='01_Input'!$R$54,'01_Input'!$U$54,0),IF('01_Input'!$T$54="Palier",IF(AND(Q$20&gt;='01_Input'!$R$54,Q$20&lt;'01_Input'!$S$54),'01_Input'!$U$54,0),MAX(MIN(Q$20,'01_Input'!$S$54)-'01_Input'!$R$54,0)*'01_Input'!$U$54))+IF('01_Input'!$X$54="Forfait",IF(Q$20&gt;='01_Input'!$V$54,'01_Input'!$Y$54,0),IF('01_Input'!$X$54="Palier",IF(AND(Q$20&gt;='01_Input'!$V$54,Q$20&lt;'01_Input'!$W$54),'01_Input'!$Y$54,0),MAX(MIN(Q$20,'01_Input'!$W$54)-'01_Input'!$V$54,0)*'01_Input'!$Y$54))+IF('01_Input'!$AB$54="Forfait",IF(Q$20&gt;='01_Input'!$Z$54,'01_Input'!$AC$54,0),IF('01_Input'!$AB$54="Palier",IF(AND(Q$20&gt;='01_Input'!$Z$54,Q$20&lt;'01_Input'!$AA$54),'01_Input'!$AC$54,0),MAX(MIN(Q$20,'01_Input'!$AA$54)-'01_Input'!$Z$54,0)*'01_Input'!$AC$54)))))))))</f>
        <v>2500600000</v>
      </c>
      <c r="R22" s="83">
        <f>IF('01_Input'!$C$54="Non",0,MIN('01_Input'!$I$54,MAX('01_Input'!$H$54,IF('01_Input'!$G$54="Résiduel vs Gestion",0,IF('01_Input'!$G$54="Taux Classe sélectionnée",Distrib_Global_Classe_Selectionnee*R$20,IF('01_Input'!$G$54="Frais KYC (paliers de 100M€)",MAX(0,Nb_Investisseurs-Nb_KYC_Gratuites_Par_Tranche*(FLOOR(R$20/Taille_Tranche_KYC,1)+1))*Cout_Par_KYC_Supplementaire,(IF('01_Input'!$L$54="Forfait",IF(R$20&gt;='01_Input'!$J$54,'01_Input'!$M$54,0),IF('01_Input'!$L$54="Palier",IF(AND(R$20&gt;='01_Input'!$J$54,R$20&lt;'01_Input'!$K$54),'01_Input'!$M$54,0),MAX(MIN(R$20,'01_Input'!$K$54)-'01_Input'!$J$54,0)*'01_Input'!$M$54))+IF('01_Input'!$P$54="Forfait",IF(R$20&gt;='01_Input'!$N$54,'01_Input'!$Q$54,0),IF('01_Input'!$P$54="Palier",IF(AND(R$20&gt;='01_Input'!$N$54,R$20&lt;'01_Input'!$O$54),'01_Input'!$Q$54,0),MAX(MIN(R$20,'01_Input'!$O$54)-'01_Input'!$N$54,0)*'01_Input'!$Q$54))+IF('01_Input'!$T$54="Forfait",IF(R$20&gt;='01_Input'!$R$54,'01_Input'!$U$54,0),IF('01_Input'!$T$54="Palier",IF(AND(R$20&gt;='01_Input'!$R$54,R$20&lt;'01_Input'!$S$54),'01_Input'!$U$54,0),MAX(MIN(R$20,'01_Input'!$S$54)-'01_Input'!$R$54,0)*'01_Input'!$U$54))+IF('01_Input'!$X$54="Forfait",IF(R$20&gt;='01_Input'!$V$54,'01_Input'!$Y$54,0),IF('01_Input'!$X$54="Palier",IF(AND(R$20&gt;='01_Input'!$V$54,R$20&lt;'01_Input'!$W$54),'01_Input'!$Y$54,0),MAX(MIN(R$20,'01_Input'!$W$54)-'01_Input'!$V$54,0)*'01_Input'!$Y$54))+IF('01_Input'!$AB$54="Forfait",IF(R$20&gt;='01_Input'!$Z$54,'01_Input'!$AC$54,0),IF('01_Input'!$AB$54="Palier",IF(AND(R$20&gt;='01_Input'!$Z$54,R$20&lt;'01_Input'!$AA$54),'01_Input'!$AC$54,0),MAX(MIN(R$20,'01_Input'!$AA$54)-'01_Input'!$Z$54,0)*'01_Input'!$AC$54)))))))))</f>
        <v>2500600000</v>
      </c>
      <c r="S22" s="83">
        <f>IF('01_Input'!$C$54="Non",0,MIN('01_Input'!$I$54,MAX('01_Input'!$H$54,IF('01_Input'!$G$54="Résiduel vs Gestion",0,IF('01_Input'!$G$54="Taux Classe sélectionnée",Distrib_Global_Classe_Selectionnee*S$20,IF('01_Input'!$G$54="Frais KYC (paliers de 100M€)",MAX(0,Nb_Investisseurs-Nb_KYC_Gratuites_Par_Tranche*(FLOOR(S$20/Taille_Tranche_KYC,1)+1))*Cout_Par_KYC_Supplementaire,(IF('01_Input'!$L$54="Forfait",IF(S$20&gt;='01_Input'!$J$54,'01_Input'!$M$54,0),IF('01_Input'!$L$54="Palier",IF(AND(S$20&gt;='01_Input'!$J$54,S$20&lt;'01_Input'!$K$54),'01_Input'!$M$54,0),MAX(MIN(S$20,'01_Input'!$K$54)-'01_Input'!$J$54,0)*'01_Input'!$M$54))+IF('01_Input'!$P$54="Forfait",IF(S$20&gt;='01_Input'!$N$54,'01_Input'!$Q$54,0),IF('01_Input'!$P$54="Palier",IF(AND(S$20&gt;='01_Input'!$N$54,S$20&lt;'01_Input'!$O$54),'01_Input'!$Q$54,0),MAX(MIN(S$20,'01_Input'!$O$54)-'01_Input'!$N$54,0)*'01_Input'!$Q$54))+IF('01_Input'!$T$54="Forfait",IF(S$20&gt;='01_Input'!$R$54,'01_Input'!$U$54,0),IF('01_Input'!$T$54="Palier",IF(AND(S$20&gt;='01_Input'!$R$54,S$20&lt;'01_Input'!$S$54),'01_Input'!$U$54,0),MAX(MIN(S$20,'01_Input'!$S$54)-'01_Input'!$R$54,0)*'01_Input'!$U$54))+IF('01_Input'!$X$54="Forfait",IF(S$20&gt;='01_Input'!$V$54,'01_Input'!$Y$54,0),IF('01_Input'!$X$54="Palier",IF(AND(S$20&gt;='01_Input'!$V$54,S$20&lt;'01_Input'!$W$54),'01_Input'!$Y$54,0),MAX(MIN(S$20,'01_Input'!$W$54)-'01_Input'!$V$54,0)*'01_Input'!$Y$54))+IF('01_Input'!$AB$54="Forfait",IF(S$20&gt;='01_Input'!$Z$54,'01_Input'!$AC$54,0),IF('01_Input'!$AB$54="Palier",IF(AND(S$20&gt;='01_Input'!$Z$54,S$20&lt;'01_Input'!$AA$54),'01_Input'!$AC$54,0),MAX(MIN(S$20,'01_Input'!$AA$54)-'01_Input'!$Z$54,0)*'01_Input'!$AC$54)))))))))</f>
        <v>2500600000</v>
      </c>
      <c r="T22" s="83">
        <f>IF('01_Input'!$C$54="Non",0,MIN('01_Input'!$I$54,MAX('01_Input'!$H$54,IF('01_Input'!$G$54="Résiduel vs Gestion",0,IF('01_Input'!$G$54="Taux Classe sélectionnée",Distrib_Global_Classe_Selectionnee*T$20,IF('01_Input'!$G$54="Frais KYC (paliers de 100M€)",MAX(0,Nb_Investisseurs-Nb_KYC_Gratuites_Par_Tranche*(FLOOR(T$20/Taille_Tranche_KYC,1)+1))*Cout_Par_KYC_Supplementaire,(IF('01_Input'!$L$54="Forfait",IF(T$20&gt;='01_Input'!$J$54,'01_Input'!$M$54,0),IF('01_Input'!$L$54="Palier",IF(AND(T$20&gt;='01_Input'!$J$54,T$20&lt;'01_Input'!$K$54),'01_Input'!$M$54,0),MAX(MIN(T$20,'01_Input'!$K$54)-'01_Input'!$J$54,0)*'01_Input'!$M$54))+IF('01_Input'!$P$54="Forfait",IF(T$20&gt;='01_Input'!$N$54,'01_Input'!$Q$54,0),IF('01_Input'!$P$54="Palier",IF(AND(T$20&gt;='01_Input'!$N$54,T$20&lt;'01_Input'!$O$54),'01_Input'!$Q$54,0),MAX(MIN(T$20,'01_Input'!$O$54)-'01_Input'!$N$54,0)*'01_Input'!$Q$54))+IF('01_Input'!$T$54="Forfait",IF(T$20&gt;='01_Input'!$R$54,'01_Input'!$U$54,0),IF('01_Input'!$T$54="Palier",IF(AND(T$20&gt;='01_Input'!$R$54,T$20&lt;'01_Input'!$S$54),'01_Input'!$U$54,0),MAX(MIN(T$20,'01_Input'!$S$54)-'01_Input'!$R$54,0)*'01_Input'!$U$54))+IF('01_Input'!$X$54="Forfait",IF(T$20&gt;='01_Input'!$V$54,'01_Input'!$Y$54,0),IF('01_Input'!$X$54="Palier",IF(AND(T$20&gt;='01_Input'!$V$54,T$20&lt;'01_Input'!$W$54),'01_Input'!$Y$54,0),MAX(MIN(T$20,'01_Input'!$W$54)-'01_Input'!$V$54,0)*'01_Input'!$Y$54))+IF('01_Input'!$AB$54="Forfait",IF(T$20&gt;='01_Input'!$Z$54,'01_Input'!$AC$54,0),IF('01_Input'!$AB$54="Palier",IF(AND(T$20&gt;='01_Input'!$Z$54,T$20&lt;'01_Input'!$AA$54),'01_Input'!$AC$54,0),MAX(MIN(T$20,'01_Input'!$AA$54)-'01_Input'!$Z$54,0)*'01_Input'!$AC$54)))))))))</f>
        <v>2500600000</v>
      </c>
      <c r="U22" s="83">
        <f>IF('01_Input'!$C$54="Non",0,MIN('01_Input'!$I$54,MAX('01_Input'!$H$54,IF('01_Input'!$G$54="Résiduel vs Gestion",0,IF('01_Input'!$G$54="Taux Classe sélectionnée",Distrib_Global_Classe_Selectionnee*U$20,IF('01_Input'!$G$54="Frais KYC (paliers de 100M€)",MAX(0,Nb_Investisseurs-Nb_KYC_Gratuites_Par_Tranche*(FLOOR(U$20/Taille_Tranche_KYC,1)+1))*Cout_Par_KYC_Supplementaire,(IF('01_Input'!$L$54="Forfait",IF(U$20&gt;='01_Input'!$J$54,'01_Input'!$M$54,0),IF('01_Input'!$L$54="Palier",IF(AND(U$20&gt;='01_Input'!$J$54,U$20&lt;'01_Input'!$K$54),'01_Input'!$M$54,0),MAX(MIN(U$20,'01_Input'!$K$54)-'01_Input'!$J$54,0)*'01_Input'!$M$54))+IF('01_Input'!$P$54="Forfait",IF(U$20&gt;='01_Input'!$N$54,'01_Input'!$Q$54,0),IF('01_Input'!$P$54="Palier",IF(AND(U$20&gt;='01_Input'!$N$54,U$20&lt;'01_Input'!$O$54),'01_Input'!$Q$54,0),MAX(MIN(U$20,'01_Input'!$O$54)-'01_Input'!$N$54,0)*'01_Input'!$Q$54))+IF('01_Input'!$T$54="Forfait",IF(U$20&gt;='01_Input'!$R$54,'01_Input'!$U$54,0),IF('01_Input'!$T$54="Palier",IF(AND(U$20&gt;='01_Input'!$R$54,U$20&lt;'01_Input'!$S$54),'01_Input'!$U$54,0),MAX(MIN(U$20,'01_Input'!$S$54)-'01_Input'!$R$54,0)*'01_Input'!$U$54))+IF('01_Input'!$X$54="Forfait",IF(U$20&gt;='01_Input'!$V$54,'01_Input'!$Y$54,0),IF('01_Input'!$X$54="Palier",IF(AND(U$20&gt;='01_Input'!$V$54,U$20&lt;'01_Input'!$W$54),'01_Input'!$Y$54,0),MAX(MIN(U$20,'01_Input'!$W$54)-'01_Input'!$V$54,0)*'01_Input'!$Y$54))+IF('01_Input'!$AB$54="Forfait",IF(U$20&gt;='01_Input'!$Z$54,'01_Input'!$AC$54,0),IF('01_Input'!$AB$54="Palier",IF(AND(U$20&gt;='01_Input'!$Z$54,U$20&lt;'01_Input'!$AA$54),'01_Input'!$AC$54,0),MAX(MIN(U$20,'01_Input'!$AA$54)-'01_Input'!$Z$54,0)*'01_Input'!$AC$54)))))))))</f>
        <v>2500600000</v>
      </c>
      <c r="V22" s="83">
        <f>IF('01_Input'!$C$54="Non",0,MIN('01_Input'!$I$54,MAX('01_Input'!$H$54,IF('01_Input'!$G$54="Résiduel vs Gestion",0,IF('01_Input'!$G$54="Taux Classe sélectionnée",Distrib_Global_Classe_Selectionnee*V$20,IF('01_Input'!$G$54="Frais KYC (paliers de 100M€)",MAX(0,Nb_Investisseurs-Nb_KYC_Gratuites_Par_Tranche*(FLOOR(V$20/Taille_Tranche_KYC,1)+1))*Cout_Par_KYC_Supplementaire,(IF('01_Input'!$L$54="Forfait",IF(V$20&gt;='01_Input'!$J$54,'01_Input'!$M$54,0),IF('01_Input'!$L$54="Palier",IF(AND(V$20&gt;='01_Input'!$J$54,V$20&lt;'01_Input'!$K$54),'01_Input'!$M$54,0),MAX(MIN(V$20,'01_Input'!$K$54)-'01_Input'!$J$54,0)*'01_Input'!$M$54))+IF('01_Input'!$P$54="Forfait",IF(V$20&gt;='01_Input'!$N$54,'01_Input'!$Q$54,0),IF('01_Input'!$P$54="Palier",IF(AND(V$20&gt;='01_Input'!$N$54,V$20&lt;'01_Input'!$O$54),'01_Input'!$Q$54,0),MAX(MIN(V$20,'01_Input'!$O$54)-'01_Input'!$N$54,0)*'01_Input'!$Q$54))+IF('01_Input'!$T$54="Forfait",IF(V$20&gt;='01_Input'!$R$54,'01_Input'!$U$54,0),IF('01_Input'!$T$54="Palier",IF(AND(V$20&gt;='01_Input'!$R$54,V$20&lt;'01_Input'!$S$54),'01_Input'!$U$54,0),MAX(MIN(V$20,'01_Input'!$S$54)-'01_Input'!$R$54,0)*'01_Input'!$U$54))+IF('01_Input'!$X$54="Forfait",IF(V$20&gt;='01_Input'!$V$54,'01_Input'!$Y$54,0),IF('01_Input'!$X$54="Palier",IF(AND(V$20&gt;='01_Input'!$V$54,V$20&lt;'01_Input'!$W$54),'01_Input'!$Y$54,0),MAX(MIN(V$20,'01_Input'!$W$54)-'01_Input'!$V$54,0)*'01_Input'!$Y$54))+IF('01_Input'!$AB$54="Forfait",IF(V$20&gt;='01_Input'!$Z$54,'01_Input'!$AC$54,0),IF('01_Input'!$AB$54="Palier",IF(AND(V$20&gt;='01_Input'!$Z$54,V$20&lt;'01_Input'!$AA$54),'01_Input'!$AC$54,0),MAX(MIN(V$20,'01_Input'!$AA$54)-'01_Input'!$Z$54,0)*'01_Input'!$AC$54)))))))))</f>
        <v>2500600000</v>
      </c>
      <c r="W22" s="83">
        <f>IF('01_Input'!$C$54="Non",0,MIN('01_Input'!$I$54,MAX('01_Input'!$H$54,IF('01_Input'!$G$54="Résiduel vs Gestion",0,IF('01_Input'!$G$54="Taux Classe sélectionnée",Distrib_Global_Classe_Selectionnee*W$20,IF('01_Input'!$G$54="Frais KYC (paliers de 100M€)",MAX(0,Nb_Investisseurs-Nb_KYC_Gratuites_Par_Tranche*(FLOOR(W$20/Taille_Tranche_KYC,1)+1))*Cout_Par_KYC_Supplementaire,(IF('01_Input'!$L$54="Forfait",IF(W$20&gt;='01_Input'!$J$54,'01_Input'!$M$54,0),IF('01_Input'!$L$54="Palier",IF(AND(W$20&gt;='01_Input'!$J$54,W$20&lt;'01_Input'!$K$54),'01_Input'!$M$54,0),MAX(MIN(W$20,'01_Input'!$K$54)-'01_Input'!$J$54,0)*'01_Input'!$M$54))+IF('01_Input'!$P$54="Forfait",IF(W$20&gt;='01_Input'!$N$54,'01_Input'!$Q$54,0),IF('01_Input'!$P$54="Palier",IF(AND(W$20&gt;='01_Input'!$N$54,W$20&lt;'01_Input'!$O$54),'01_Input'!$Q$54,0),MAX(MIN(W$20,'01_Input'!$O$54)-'01_Input'!$N$54,0)*'01_Input'!$Q$54))+IF('01_Input'!$T$54="Forfait",IF(W$20&gt;='01_Input'!$R$54,'01_Input'!$U$54,0),IF('01_Input'!$T$54="Palier",IF(AND(W$20&gt;='01_Input'!$R$54,W$20&lt;'01_Input'!$S$54),'01_Input'!$U$54,0),MAX(MIN(W$20,'01_Input'!$S$54)-'01_Input'!$R$54,0)*'01_Input'!$U$54))+IF('01_Input'!$X$54="Forfait",IF(W$20&gt;='01_Input'!$V$54,'01_Input'!$Y$54,0),IF('01_Input'!$X$54="Palier",IF(AND(W$20&gt;='01_Input'!$V$54,W$20&lt;'01_Input'!$W$54),'01_Input'!$Y$54,0),MAX(MIN(W$20,'01_Input'!$W$54)-'01_Input'!$V$54,0)*'01_Input'!$Y$54))+IF('01_Input'!$AB$54="Forfait",IF(W$20&gt;='01_Input'!$Z$54,'01_Input'!$AC$54,0),IF('01_Input'!$AB$54="Palier",IF(AND(W$20&gt;='01_Input'!$Z$54,W$20&lt;'01_Input'!$AA$54),'01_Input'!$AC$54,0),MAX(MIN(W$20,'01_Input'!$AA$54)-'01_Input'!$Z$54,0)*'01_Input'!$AC$54)))))))))</f>
        <v>2500600000</v>
      </c>
      <c r="X22" s="83">
        <f>IF('01_Input'!$C$54="Non",0,MIN('01_Input'!$I$54,MAX('01_Input'!$H$54,IF('01_Input'!$G$54="Résiduel vs Gestion",0,IF('01_Input'!$G$54="Taux Classe sélectionnée",Distrib_Global_Classe_Selectionnee*X$20,IF('01_Input'!$G$54="Frais KYC (paliers de 100M€)",MAX(0,Nb_Investisseurs-Nb_KYC_Gratuites_Par_Tranche*(FLOOR(X$20/Taille_Tranche_KYC,1)+1))*Cout_Par_KYC_Supplementaire,(IF('01_Input'!$L$54="Forfait",IF(X$20&gt;='01_Input'!$J$54,'01_Input'!$M$54,0),IF('01_Input'!$L$54="Palier",IF(AND(X$20&gt;='01_Input'!$J$54,X$20&lt;'01_Input'!$K$54),'01_Input'!$M$54,0),MAX(MIN(X$20,'01_Input'!$K$54)-'01_Input'!$J$54,0)*'01_Input'!$M$54))+IF('01_Input'!$P$54="Forfait",IF(X$20&gt;='01_Input'!$N$54,'01_Input'!$Q$54,0),IF('01_Input'!$P$54="Palier",IF(AND(X$20&gt;='01_Input'!$N$54,X$20&lt;'01_Input'!$O$54),'01_Input'!$Q$54,0),MAX(MIN(X$20,'01_Input'!$O$54)-'01_Input'!$N$54,0)*'01_Input'!$Q$54))+IF('01_Input'!$T$54="Forfait",IF(X$20&gt;='01_Input'!$R$54,'01_Input'!$U$54,0),IF('01_Input'!$T$54="Palier",IF(AND(X$20&gt;='01_Input'!$R$54,X$20&lt;'01_Input'!$S$54),'01_Input'!$U$54,0),MAX(MIN(X$20,'01_Input'!$S$54)-'01_Input'!$R$54,0)*'01_Input'!$U$54))+IF('01_Input'!$X$54="Forfait",IF(X$20&gt;='01_Input'!$V$54,'01_Input'!$Y$54,0),IF('01_Input'!$X$54="Palier",IF(AND(X$20&gt;='01_Input'!$V$54,X$20&lt;'01_Input'!$W$54),'01_Input'!$Y$54,0),MAX(MIN(X$20,'01_Input'!$W$54)-'01_Input'!$V$54,0)*'01_Input'!$Y$54))+IF('01_Input'!$AB$54="Forfait",IF(X$20&gt;='01_Input'!$Z$54,'01_Input'!$AC$54,0),IF('01_Input'!$AB$54="Palier",IF(AND(X$20&gt;='01_Input'!$Z$54,X$20&lt;'01_Input'!$AA$54),'01_Input'!$AC$54,0),MAX(MIN(X$20,'01_Input'!$AA$54)-'01_Input'!$Z$54,0)*'01_Input'!$AC$54)))))))))</f>
        <v>2500600000</v>
      </c>
      <c r="Y22" s="83">
        <f>IF('01_Input'!$C$54="Non",0,MIN('01_Input'!$I$54,MAX('01_Input'!$H$54,IF('01_Input'!$G$54="Résiduel vs Gestion",0,IF('01_Input'!$G$54="Taux Classe sélectionnée",Distrib_Global_Classe_Selectionnee*Y$20,IF('01_Input'!$G$54="Frais KYC (paliers de 100M€)",MAX(0,Nb_Investisseurs-Nb_KYC_Gratuites_Par_Tranche*(FLOOR(Y$20/Taille_Tranche_KYC,1)+1))*Cout_Par_KYC_Supplementaire,(IF('01_Input'!$L$54="Forfait",IF(Y$20&gt;='01_Input'!$J$54,'01_Input'!$M$54,0),IF('01_Input'!$L$54="Palier",IF(AND(Y$20&gt;='01_Input'!$J$54,Y$20&lt;'01_Input'!$K$54),'01_Input'!$M$54,0),MAX(MIN(Y$20,'01_Input'!$K$54)-'01_Input'!$J$54,0)*'01_Input'!$M$54))+IF('01_Input'!$P$54="Forfait",IF(Y$20&gt;='01_Input'!$N$54,'01_Input'!$Q$54,0),IF('01_Input'!$P$54="Palier",IF(AND(Y$20&gt;='01_Input'!$N$54,Y$20&lt;'01_Input'!$O$54),'01_Input'!$Q$54,0),MAX(MIN(Y$20,'01_Input'!$O$54)-'01_Input'!$N$54,0)*'01_Input'!$Q$54))+IF('01_Input'!$T$54="Forfait",IF(Y$20&gt;='01_Input'!$R$54,'01_Input'!$U$54,0),IF('01_Input'!$T$54="Palier",IF(AND(Y$20&gt;='01_Input'!$R$54,Y$20&lt;'01_Input'!$S$54),'01_Input'!$U$54,0),MAX(MIN(Y$20,'01_Input'!$S$54)-'01_Input'!$R$54,0)*'01_Input'!$U$54))+IF('01_Input'!$X$54="Forfait",IF(Y$20&gt;='01_Input'!$V$54,'01_Input'!$Y$54,0),IF('01_Input'!$X$54="Palier",IF(AND(Y$20&gt;='01_Input'!$V$54,Y$20&lt;'01_Input'!$W$54),'01_Input'!$Y$54,0),MAX(MIN(Y$20,'01_Input'!$W$54)-'01_Input'!$V$54,0)*'01_Input'!$Y$54))+IF('01_Input'!$AB$54="Forfait",IF(Y$20&gt;='01_Input'!$Z$54,'01_Input'!$AC$54,0),IF('01_Input'!$AB$54="Palier",IF(AND(Y$20&gt;='01_Input'!$Z$54,Y$20&lt;'01_Input'!$AA$54),'01_Input'!$AC$54,0),MAX(MIN(Y$20,'01_Input'!$AA$54)-'01_Input'!$Z$54,0)*'01_Input'!$AC$54)))))))))</f>
        <v>2500600000</v>
      </c>
      <c r="Z22" s="83">
        <f>IF('01_Input'!$C$54="Non",0,MIN('01_Input'!$I$54,MAX('01_Input'!$H$54,IF('01_Input'!$G$54="Résiduel vs Gestion",0,IF('01_Input'!$G$54="Taux Classe sélectionnée",Distrib_Global_Classe_Selectionnee*Z$20,IF('01_Input'!$G$54="Frais KYC (paliers de 100M€)",MAX(0,Nb_Investisseurs-Nb_KYC_Gratuites_Par_Tranche*(FLOOR(Z$20/Taille_Tranche_KYC,1)+1))*Cout_Par_KYC_Supplementaire,(IF('01_Input'!$L$54="Forfait",IF(Z$20&gt;='01_Input'!$J$54,'01_Input'!$M$54,0),IF('01_Input'!$L$54="Palier",IF(AND(Z$20&gt;='01_Input'!$J$54,Z$20&lt;'01_Input'!$K$54),'01_Input'!$M$54,0),MAX(MIN(Z$20,'01_Input'!$K$54)-'01_Input'!$J$54,0)*'01_Input'!$M$54))+IF('01_Input'!$P$54="Forfait",IF(Z$20&gt;='01_Input'!$N$54,'01_Input'!$Q$54,0),IF('01_Input'!$P$54="Palier",IF(AND(Z$20&gt;='01_Input'!$N$54,Z$20&lt;'01_Input'!$O$54),'01_Input'!$Q$54,0),MAX(MIN(Z$20,'01_Input'!$O$54)-'01_Input'!$N$54,0)*'01_Input'!$Q$54))+IF('01_Input'!$T$54="Forfait",IF(Z$20&gt;='01_Input'!$R$54,'01_Input'!$U$54,0),IF('01_Input'!$T$54="Palier",IF(AND(Z$20&gt;='01_Input'!$R$54,Z$20&lt;'01_Input'!$S$54),'01_Input'!$U$54,0),MAX(MIN(Z$20,'01_Input'!$S$54)-'01_Input'!$R$54,0)*'01_Input'!$U$54))+IF('01_Input'!$X$54="Forfait",IF(Z$20&gt;='01_Input'!$V$54,'01_Input'!$Y$54,0),IF('01_Input'!$X$54="Palier",IF(AND(Z$20&gt;='01_Input'!$V$54,Z$20&lt;'01_Input'!$W$54),'01_Input'!$Y$54,0),MAX(MIN(Z$20,'01_Input'!$W$54)-'01_Input'!$V$54,0)*'01_Input'!$Y$54))+IF('01_Input'!$AB$54="Forfait",IF(Z$20&gt;='01_Input'!$Z$54,'01_Input'!$AC$54,0),IF('01_Input'!$AB$54="Palier",IF(AND(Z$20&gt;='01_Input'!$Z$54,Z$20&lt;'01_Input'!$AA$54),'01_Input'!$AC$54,0),MAX(MIN(Z$20,'01_Input'!$AA$54)-'01_Input'!$Z$54,0)*'01_Input'!$AC$54)))))))))</f>
        <v>2500600000</v>
      </c>
      <c r="AA22" s="83">
        <f>IF('01_Input'!$C$54="Non",0,MIN('01_Input'!$I$54,MAX('01_Input'!$H$54,IF('01_Input'!$G$54="Résiduel vs Gestion",0,IF('01_Input'!$G$54="Taux Classe sélectionnée",Distrib_Global_Classe_Selectionnee*AA$20,IF('01_Input'!$G$54="Frais KYC (paliers de 100M€)",MAX(0,Nb_Investisseurs-Nb_KYC_Gratuites_Par_Tranche*(FLOOR(AA$20/Taille_Tranche_KYC,1)+1))*Cout_Par_KYC_Supplementaire,(IF('01_Input'!$L$54="Forfait",IF(AA$20&gt;='01_Input'!$J$54,'01_Input'!$M$54,0),IF('01_Input'!$L$54="Palier",IF(AND(AA$20&gt;='01_Input'!$J$54,AA$20&lt;'01_Input'!$K$54),'01_Input'!$M$54,0),MAX(MIN(AA$20,'01_Input'!$K$54)-'01_Input'!$J$54,0)*'01_Input'!$M$54))+IF('01_Input'!$P$54="Forfait",IF(AA$20&gt;='01_Input'!$N$54,'01_Input'!$Q$54,0),IF('01_Input'!$P$54="Palier",IF(AND(AA$20&gt;='01_Input'!$N$54,AA$20&lt;'01_Input'!$O$54),'01_Input'!$Q$54,0),MAX(MIN(AA$20,'01_Input'!$O$54)-'01_Input'!$N$54,0)*'01_Input'!$Q$54))+IF('01_Input'!$T$54="Forfait",IF(AA$20&gt;='01_Input'!$R$54,'01_Input'!$U$54,0),IF('01_Input'!$T$54="Palier",IF(AND(AA$20&gt;='01_Input'!$R$54,AA$20&lt;'01_Input'!$S$54),'01_Input'!$U$54,0),MAX(MIN(AA$20,'01_Input'!$S$54)-'01_Input'!$R$54,0)*'01_Input'!$U$54))+IF('01_Input'!$X$54="Forfait",IF(AA$20&gt;='01_Input'!$V$54,'01_Input'!$Y$54,0),IF('01_Input'!$X$54="Palier",IF(AND(AA$20&gt;='01_Input'!$V$54,AA$20&lt;'01_Input'!$W$54),'01_Input'!$Y$54,0),MAX(MIN(AA$20,'01_Input'!$W$54)-'01_Input'!$V$54,0)*'01_Input'!$Y$54))+IF('01_Input'!$AB$54="Forfait",IF(AA$20&gt;='01_Input'!$Z$54,'01_Input'!$AC$54,0),IF('01_Input'!$AB$54="Palier",IF(AND(AA$20&gt;='01_Input'!$Z$54,AA$20&lt;'01_Input'!$AA$54),'01_Input'!$AC$54,0),MAX(MIN(AA$20,'01_Input'!$AA$54)-'01_Input'!$Z$54,0)*'01_Input'!$AC$54)))))))))</f>
        <v>2500600000</v>
      </c>
      <c r="AB22" s="83">
        <f>IF('01_Input'!$C$54="Non",0,MIN('01_Input'!$I$54,MAX('01_Input'!$H$54,IF('01_Input'!$G$54="Résiduel vs Gestion",0,IF('01_Input'!$G$54="Taux Classe sélectionnée",Distrib_Global_Classe_Selectionnee*AB$20,IF('01_Input'!$G$54="Frais KYC (paliers de 100M€)",MAX(0,Nb_Investisseurs-Nb_KYC_Gratuites_Par_Tranche*(FLOOR(AB$20/Taille_Tranche_KYC,1)+1))*Cout_Par_KYC_Supplementaire,(IF('01_Input'!$L$54="Forfait",IF(AB$20&gt;='01_Input'!$J$54,'01_Input'!$M$54,0),IF('01_Input'!$L$54="Palier",IF(AND(AB$20&gt;='01_Input'!$J$54,AB$20&lt;'01_Input'!$K$54),'01_Input'!$M$54,0),MAX(MIN(AB$20,'01_Input'!$K$54)-'01_Input'!$J$54,0)*'01_Input'!$M$54))+IF('01_Input'!$P$54="Forfait",IF(AB$20&gt;='01_Input'!$N$54,'01_Input'!$Q$54,0),IF('01_Input'!$P$54="Palier",IF(AND(AB$20&gt;='01_Input'!$N$54,AB$20&lt;'01_Input'!$O$54),'01_Input'!$Q$54,0),MAX(MIN(AB$20,'01_Input'!$O$54)-'01_Input'!$N$54,0)*'01_Input'!$Q$54))+IF('01_Input'!$T$54="Forfait",IF(AB$20&gt;='01_Input'!$R$54,'01_Input'!$U$54,0),IF('01_Input'!$T$54="Palier",IF(AND(AB$20&gt;='01_Input'!$R$54,AB$20&lt;'01_Input'!$S$54),'01_Input'!$U$54,0),MAX(MIN(AB$20,'01_Input'!$S$54)-'01_Input'!$R$54,0)*'01_Input'!$U$54))+IF('01_Input'!$X$54="Forfait",IF(AB$20&gt;='01_Input'!$V$54,'01_Input'!$Y$54,0),IF('01_Input'!$X$54="Palier",IF(AND(AB$20&gt;='01_Input'!$V$54,AB$20&lt;'01_Input'!$W$54),'01_Input'!$Y$54,0),MAX(MIN(AB$20,'01_Input'!$W$54)-'01_Input'!$V$54,0)*'01_Input'!$Y$54))+IF('01_Input'!$AB$54="Forfait",IF(AB$20&gt;='01_Input'!$Z$54,'01_Input'!$AC$54,0),IF('01_Input'!$AB$54="Palier",IF(AND(AB$20&gt;='01_Input'!$Z$54,AB$20&lt;'01_Input'!$AA$54),'01_Input'!$AC$54,0),MAX(MIN(AB$20,'01_Input'!$AA$54)-'01_Input'!$Z$54,0)*'01_Input'!$AC$54)))))))))</f>
        <v>2500600000</v>
      </c>
      <c r="AC22" s="83">
        <f>IF('01_Input'!$C$54="Non",0,MIN('01_Input'!$I$54,MAX('01_Input'!$H$54,IF('01_Input'!$G$54="Résiduel vs Gestion",0,IF('01_Input'!$G$54="Taux Classe sélectionnée",Distrib_Global_Classe_Selectionnee*AC$20,IF('01_Input'!$G$54="Frais KYC (paliers de 100M€)",MAX(0,Nb_Investisseurs-Nb_KYC_Gratuites_Par_Tranche*(FLOOR(AC$20/Taille_Tranche_KYC,1)+1))*Cout_Par_KYC_Supplementaire,(IF('01_Input'!$L$54="Forfait",IF(AC$20&gt;='01_Input'!$J$54,'01_Input'!$M$54,0),IF('01_Input'!$L$54="Palier",IF(AND(AC$20&gt;='01_Input'!$J$54,AC$20&lt;'01_Input'!$K$54),'01_Input'!$M$54,0),MAX(MIN(AC$20,'01_Input'!$K$54)-'01_Input'!$J$54,0)*'01_Input'!$M$54))+IF('01_Input'!$P$54="Forfait",IF(AC$20&gt;='01_Input'!$N$54,'01_Input'!$Q$54,0),IF('01_Input'!$P$54="Palier",IF(AND(AC$20&gt;='01_Input'!$N$54,AC$20&lt;'01_Input'!$O$54),'01_Input'!$Q$54,0),MAX(MIN(AC$20,'01_Input'!$O$54)-'01_Input'!$N$54,0)*'01_Input'!$Q$54))+IF('01_Input'!$T$54="Forfait",IF(AC$20&gt;='01_Input'!$R$54,'01_Input'!$U$54,0),IF('01_Input'!$T$54="Palier",IF(AND(AC$20&gt;='01_Input'!$R$54,AC$20&lt;'01_Input'!$S$54),'01_Input'!$U$54,0),MAX(MIN(AC$20,'01_Input'!$S$54)-'01_Input'!$R$54,0)*'01_Input'!$U$54))+IF('01_Input'!$X$54="Forfait",IF(AC$20&gt;='01_Input'!$V$54,'01_Input'!$Y$54,0),IF('01_Input'!$X$54="Palier",IF(AND(AC$20&gt;='01_Input'!$V$54,AC$20&lt;'01_Input'!$W$54),'01_Input'!$Y$54,0),MAX(MIN(AC$20,'01_Input'!$W$54)-'01_Input'!$V$54,0)*'01_Input'!$Y$54))+IF('01_Input'!$AB$54="Forfait",IF(AC$20&gt;='01_Input'!$Z$54,'01_Input'!$AC$54,0),IF('01_Input'!$AB$54="Palier",IF(AND(AC$20&gt;='01_Input'!$Z$54,AC$20&lt;'01_Input'!$AA$54),'01_Input'!$AC$54,0),MAX(MIN(AC$20,'01_Input'!$AA$54)-'01_Input'!$Z$54,0)*'01_Input'!$AC$54)))))))))</f>
        <v>2500600000</v>
      </c>
      <c r="AD22" s="83">
        <f>IF('01_Input'!$C$54="Non",0,MIN('01_Input'!$I$54,MAX('01_Input'!$H$54,IF('01_Input'!$G$54="Résiduel vs Gestion",0,IF('01_Input'!$G$54="Taux Classe sélectionnée",Distrib_Global_Classe_Selectionnee*AD$20,IF('01_Input'!$G$54="Frais KYC (paliers de 100M€)",MAX(0,Nb_Investisseurs-Nb_KYC_Gratuites_Par_Tranche*(FLOOR(AD$20/Taille_Tranche_KYC,1)+1))*Cout_Par_KYC_Supplementaire,(IF('01_Input'!$L$54="Forfait",IF(AD$20&gt;='01_Input'!$J$54,'01_Input'!$M$54,0),IF('01_Input'!$L$54="Palier",IF(AND(AD$20&gt;='01_Input'!$J$54,AD$20&lt;'01_Input'!$K$54),'01_Input'!$M$54,0),MAX(MIN(AD$20,'01_Input'!$K$54)-'01_Input'!$J$54,0)*'01_Input'!$M$54))+IF('01_Input'!$P$54="Forfait",IF(AD$20&gt;='01_Input'!$N$54,'01_Input'!$Q$54,0),IF('01_Input'!$P$54="Palier",IF(AND(AD$20&gt;='01_Input'!$N$54,AD$20&lt;'01_Input'!$O$54),'01_Input'!$Q$54,0),MAX(MIN(AD$20,'01_Input'!$O$54)-'01_Input'!$N$54,0)*'01_Input'!$Q$54))+IF('01_Input'!$T$54="Forfait",IF(AD$20&gt;='01_Input'!$R$54,'01_Input'!$U$54,0),IF('01_Input'!$T$54="Palier",IF(AND(AD$20&gt;='01_Input'!$R$54,AD$20&lt;'01_Input'!$S$54),'01_Input'!$U$54,0),MAX(MIN(AD$20,'01_Input'!$S$54)-'01_Input'!$R$54,0)*'01_Input'!$U$54))+IF('01_Input'!$X$54="Forfait",IF(AD$20&gt;='01_Input'!$V$54,'01_Input'!$Y$54,0),IF('01_Input'!$X$54="Palier",IF(AND(AD$20&gt;='01_Input'!$V$54,AD$20&lt;'01_Input'!$W$54),'01_Input'!$Y$54,0),MAX(MIN(AD$20,'01_Input'!$W$54)-'01_Input'!$V$54,0)*'01_Input'!$Y$54))+IF('01_Input'!$AB$54="Forfait",IF(AD$20&gt;='01_Input'!$Z$54,'01_Input'!$AC$54,0),IF('01_Input'!$AB$54="Palier",IF(AND(AD$20&gt;='01_Input'!$Z$54,AD$20&lt;'01_Input'!$AA$54),'01_Input'!$AC$54,0),MAX(MIN(AD$20,'01_Input'!$AA$54)-'01_Input'!$Z$54,0)*'01_Input'!$AC$54)))))))))</f>
        <v>2500600000</v>
      </c>
      <c r="AE22" s="83">
        <f>IF('01_Input'!$C$54="Non",0,MIN('01_Input'!$I$54,MAX('01_Input'!$H$54,IF('01_Input'!$G$54="Résiduel vs Gestion",0,IF('01_Input'!$G$54="Taux Classe sélectionnée",Distrib_Global_Classe_Selectionnee*AE$20,IF('01_Input'!$G$54="Frais KYC (paliers de 100M€)",MAX(0,Nb_Investisseurs-Nb_KYC_Gratuites_Par_Tranche*(FLOOR(AE$20/Taille_Tranche_KYC,1)+1))*Cout_Par_KYC_Supplementaire,(IF('01_Input'!$L$54="Forfait",IF(AE$20&gt;='01_Input'!$J$54,'01_Input'!$M$54,0),IF('01_Input'!$L$54="Palier",IF(AND(AE$20&gt;='01_Input'!$J$54,AE$20&lt;'01_Input'!$K$54),'01_Input'!$M$54,0),MAX(MIN(AE$20,'01_Input'!$K$54)-'01_Input'!$J$54,0)*'01_Input'!$M$54))+IF('01_Input'!$P$54="Forfait",IF(AE$20&gt;='01_Input'!$N$54,'01_Input'!$Q$54,0),IF('01_Input'!$P$54="Palier",IF(AND(AE$20&gt;='01_Input'!$N$54,AE$20&lt;'01_Input'!$O$54),'01_Input'!$Q$54,0),MAX(MIN(AE$20,'01_Input'!$O$54)-'01_Input'!$N$54,0)*'01_Input'!$Q$54))+IF('01_Input'!$T$54="Forfait",IF(AE$20&gt;='01_Input'!$R$54,'01_Input'!$U$54,0),IF('01_Input'!$T$54="Palier",IF(AND(AE$20&gt;='01_Input'!$R$54,AE$20&lt;'01_Input'!$S$54),'01_Input'!$U$54,0),MAX(MIN(AE$20,'01_Input'!$S$54)-'01_Input'!$R$54,0)*'01_Input'!$U$54))+IF('01_Input'!$X$54="Forfait",IF(AE$20&gt;='01_Input'!$V$54,'01_Input'!$Y$54,0),IF('01_Input'!$X$54="Palier",IF(AND(AE$20&gt;='01_Input'!$V$54,AE$20&lt;'01_Input'!$W$54),'01_Input'!$Y$54,0),MAX(MIN(AE$20,'01_Input'!$W$54)-'01_Input'!$V$54,0)*'01_Input'!$Y$54))+IF('01_Input'!$AB$54="Forfait",IF(AE$20&gt;='01_Input'!$Z$54,'01_Input'!$AC$54,0),IF('01_Input'!$AB$54="Palier",IF(AND(AE$20&gt;='01_Input'!$Z$54,AE$20&lt;'01_Input'!$AA$54),'01_Input'!$AC$54,0),MAX(MIN(AE$20,'01_Input'!$AA$54)-'01_Input'!$Z$54,0)*'01_Input'!$AC$54)))))))))</f>
        <v>2500600000</v>
      </c>
      <c r="AF22" s="83">
        <f>IF('01_Input'!$C$54="Non",0,MIN('01_Input'!$I$54,MAX('01_Input'!$H$54,IF('01_Input'!$G$54="Résiduel vs Gestion",0,IF('01_Input'!$G$54="Taux Classe sélectionnée",Distrib_Global_Classe_Selectionnee*AF$20,IF('01_Input'!$G$54="Frais KYC (paliers de 100M€)",MAX(0,Nb_Investisseurs-Nb_KYC_Gratuites_Par_Tranche*(FLOOR(AF$20/Taille_Tranche_KYC,1)+1))*Cout_Par_KYC_Supplementaire,(IF('01_Input'!$L$54="Forfait",IF(AF$20&gt;='01_Input'!$J$54,'01_Input'!$M$54,0),IF('01_Input'!$L$54="Palier",IF(AND(AF$20&gt;='01_Input'!$J$54,AF$20&lt;'01_Input'!$K$54),'01_Input'!$M$54,0),MAX(MIN(AF$20,'01_Input'!$K$54)-'01_Input'!$J$54,0)*'01_Input'!$M$54))+IF('01_Input'!$P$54="Forfait",IF(AF$20&gt;='01_Input'!$N$54,'01_Input'!$Q$54,0),IF('01_Input'!$P$54="Palier",IF(AND(AF$20&gt;='01_Input'!$N$54,AF$20&lt;'01_Input'!$O$54),'01_Input'!$Q$54,0),MAX(MIN(AF$20,'01_Input'!$O$54)-'01_Input'!$N$54,0)*'01_Input'!$Q$54))+IF('01_Input'!$T$54="Forfait",IF(AF$20&gt;='01_Input'!$R$54,'01_Input'!$U$54,0),IF('01_Input'!$T$54="Palier",IF(AND(AF$20&gt;='01_Input'!$R$54,AF$20&lt;'01_Input'!$S$54),'01_Input'!$U$54,0),MAX(MIN(AF$20,'01_Input'!$S$54)-'01_Input'!$R$54,0)*'01_Input'!$U$54))+IF('01_Input'!$X$54="Forfait",IF(AF$20&gt;='01_Input'!$V$54,'01_Input'!$Y$54,0),IF('01_Input'!$X$54="Palier",IF(AND(AF$20&gt;='01_Input'!$V$54,AF$20&lt;'01_Input'!$W$54),'01_Input'!$Y$54,0),MAX(MIN(AF$20,'01_Input'!$W$54)-'01_Input'!$V$54,0)*'01_Input'!$Y$54))+IF('01_Input'!$AB$54="Forfait",IF(AF$20&gt;='01_Input'!$Z$54,'01_Input'!$AC$54,0),IF('01_Input'!$AB$54="Palier",IF(AND(AF$20&gt;='01_Input'!$Z$54,AF$20&lt;'01_Input'!$AA$54),'01_Input'!$AC$54,0),MAX(MIN(AF$20,'01_Input'!$AA$54)-'01_Input'!$Z$54,0)*'01_Input'!$AC$54)))))))))</f>
        <v>2500600000</v>
      </c>
      <c r="AG22" s="83">
        <f>IF('01_Input'!$C$54="Non",0,MIN('01_Input'!$I$54,MAX('01_Input'!$H$54,IF('01_Input'!$G$54="Résiduel vs Gestion",0,IF('01_Input'!$G$54="Taux Classe sélectionnée",Distrib_Global_Classe_Selectionnee*AG$20,IF('01_Input'!$G$54="Frais KYC (paliers de 100M€)",MAX(0,Nb_Investisseurs-Nb_KYC_Gratuites_Par_Tranche*(FLOOR(AG$20/Taille_Tranche_KYC,1)+1))*Cout_Par_KYC_Supplementaire,(IF('01_Input'!$L$54="Forfait",IF(AG$20&gt;='01_Input'!$J$54,'01_Input'!$M$54,0),IF('01_Input'!$L$54="Palier",IF(AND(AG$20&gt;='01_Input'!$J$54,AG$20&lt;'01_Input'!$K$54),'01_Input'!$M$54,0),MAX(MIN(AG$20,'01_Input'!$K$54)-'01_Input'!$J$54,0)*'01_Input'!$M$54))+IF('01_Input'!$P$54="Forfait",IF(AG$20&gt;='01_Input'!$N$54,'01_Input'!$Q$54,0),IF('01_Input'!$P$54="Palier",IF(AND(AG$20&gt;='01_Input'!$N$54,AG$20&lt;'01_Input'!$O$54),'01_Input'!$Q$54,0),MAX(MIN(AG$20,'01_Input'!$O$54)-'01_Input'!$N$54,0)*'01_Input'!$Q$54))+IF('01_Input'!$T$54="Forfait",IF(AG$20&gt;='01_Input'!$R$54,'01_Input'!$U$54,0),IF('01_Input'!$T$54="Palier",IF(AND(AG$20&gt;='01_Input'!$R$54,AG$20&lt;'01_Input'!$S$54),'01_Input'!$U$54,0),MAX(MIN(AG$20,'01_Input'!$S$54)-'01_Input'!$R$54,0)*'01_Input'!$U$54))+IF('01_Input'!$X$54="Forfait",IF(AG$20&gt;='01_Input'!$V$54,'01_Input'!$Y$54,0),IF('01_Input'!$X$54="Palier",IF(AND(AG$20&gt;='01_Input'!$V$54,AG$20&lt;'01_Input'!$W$54),'01_Input'!$Y$54,0),MAX(MIN(AG$20,'01_Input'!$W$54)-'01_Input'!$V$54,0)*'01_Input'!$Y$54))+IF('01_Input'!$AB$54="Forfait",IF(AG$20&gt;='01_Input'!$Z$54,'01_Input'!$AC$54,0),IF('01_Input'!$AB$54="Palier",IF(AND(AG$20&gt;='01_Input'!$Z$54,AG$20&lt;'01_Input'!$AA$54),'01_Input'!$AC$54,0),MAX(MIN(AG$20,'01_Input'!$AA$54)-'01_Input'!$Z$54,0)*'01_Input'!$AC$54)))))))))</f>
        <v>2500600000</v>
      </c>
      <c r="AH22" s="83">
        <f>IF('01_Input'!$C$54="Non",0,MIN('01_Input'!$I$54,MAX('01_Input'!$H$54,IF('01_Input'!$G$54="Résiduel vs Gestion",0,IF('01_Input'!$G$54="Taux Classe sélectionnée",Distrib_Global_Classe_Selectionnee*AH$20,IF('01_Input'!$G$54="Frais KYC (paliers de 100M€)",MAX(0,Nb_Investisseurs-Nb_KYC_Gratuites_Par_Tranche*(FLOOR(AH$20/Taille_Tranche_KYC,1)+1))*Cout_Par_KYC_Supplementaire,(IF('01_Input'!$L$54="Forfait",IF(AH$20&gt;='01_Input'!$J$54,'01_Input'!$M$54,0),IF('01_Input'!$L$54="Palier",IF(AND(AH$20&gt;='01_Input'!$J$54,AH$20&lt;'01_Input'!$K$54),'01_Input'!$M$54,0),MAX(MIN(AH$20,'01_Input'!$K$54)-'01_Input'!$J$54,0)*'01_Input'!$M$54))+IF('01_Input'!$P$54="Forfait",IF(AH$20&gt;='01_Input'!$N$54,'01_Input'!$Q$54,0),IF('01_Input'!$P$54="Palier",IF(AND(AH$20&gt;='01_Input'!$N$54,AH$20&lt;'01_Input'!$O$54),'01_Input'!$Q$54,0),MAX(MIN(AH$20,'01_Input'!$O$54)-'01_Input'!$N$54,0)*'01_Input'!$Q$54))+IF('01_Input'!$T$54="Forfait",IF(AH$20&gt;='01_Input'!$R$54,'01_Input'!$U$54,0),IF('01_Input'!$T$54="Palier",IF(AND(AH$20&gt;='01_Input'!$R$54,AH$20&lt;'01_Input'!$S$54),'01_Input'!$U$54,0),MAX(MIN(AH$20,'01_Input'!$S$54)-'01_Input'!$R$54,0)*'01_Input'!$U$54))+IF('01_Input'!$X$54="Forfait",IF(AH$20&gt;='01_Input'!$V$54,'01_Input'!$Y$54,0),IF('01_Input'!$X$54="Palier",IF(AND(AH$20&gt;='01_Input'!$V$54,AH$20&lt;'01_Input'!$W$54),'01_Input'!$Y$54,0),MAX(MIN(AH$20,'01_Input'!$W$54)-'01_Input'!$V$54,0)*'01_Input'!$Y$54))+IF('01_Input'!$AB$54="Forfait",IF(AH$20&gt;='01_Input'!$Z$54,'01_Input'!$AC$54,0),IF('01_Input'!$AB$54="Palier",IF(AND(AH$20&gt;='01_Input'!$Z$54,AH$20&lt;'01_Input'!$AA$54),'01_Input'!$AC$54,0),MAX(MIN(AH$20,'01_Input'!$AA$54)-'01_Input'!$Z$54,0)*'01_Input'!$AC$54)))))))))</f>
        <v>2500600000</v>
      </c>
      <c r="AI22" s="83">
        <f>IF('01_Input'!$C$54="Non",0,MIN('01_Input'!$I$54,MAX('01_Input'!$H$54,IF('01_Input'!$G$54="Résiduel vs Gestion",0,IF('01_Input'!$G$54="Taux Classe sélectionnée",Distrib_Global_Classe_Selectionnee*AI$20,IF('01_Input'!$G$54="Frais KYC (paliers de 100M€)",MAX(0,Nb_Investisseurs-Nb_KYC_Gratuites_Par_Tranche*(FLOOR(AI$20/Taille_Tranche_KYC,1)+1))*Cout_Par_KYC_Supplementaire,(IF('01_Input'!$L$54="Forfait",IF(AI$20&gt;='01_Input'!$J$54,'01_Input'!$M$54,0),IF('01_Input'!$L$54="Palier",IF(AND(AI$20&gt;='01_Input'!$J$54,AI$20&lt;'01_Input'!$K$54),'01_Input'!$M$54,0),MAX(MIN(AI$20,'01_Input'!$K$54)-'01_Input'!$J$54,0)*'01_Input'!$M$54))+IF('01_Input'!$P$54="Forfait",IF(AI$20&gt;='01_Input'!$N$54,'01_Input'!$Q$54,0),IF('01_Input'!$P$54="Palier",IF(AND(AI$20&gt;='01_Input'!$N$54,AI$20&lt;'01_Input'!$O$54),'01_Input'!$Q$54,0),MAX(MIN(AI$20,'01_Input'!$O$54)-'01_Input'!$N$54,0)*'01_Input'!$Q$54))+IF('01_Input'!$T$54="Forfait",IF(AI$20&gt;='01_Input'!$R$54,'01_Input'!$U$54,0),IF('01_Input'!$T$54="Palier",IF(AND(AI$20&gt;='01_Input'!$R$54,AI$20&lt;'01_Input'!$S$54),'01_Input'!$U$54,0),MAX(MIN(AI$20,'01_Input'!$S$54)-'01_Input'!$R$54,0)*'01_Input'!$U$54))+IF('01_Input'!$X$54="Forfait",IF(AI$20&gt;='01_Input'!$V$54,'01_Input'!$Y$54,0),IF('01_Input'!$X$54="Palier",IF(AND(AI$20&gt;='01_Input'!$V$54,AI$20&lt;'01_Input'!$W$54),'01_Input'!$Y$54,0),MAX(MIN(AI$20,'01_Input'!$W$54)-'01_Input'!$V$54,0)*'01_Input'!$Y$54))+IF('01_Input'!$AB$54="Forfait",IF(AI$20&gt;='01_Input'!$Z$54,'01_Input'!$AC$54,0),IF('01_Input'!$AB$54="Palier",IF(AND(AI$20&gt;='01_Input'!$Z$54,AI$20&lt;'01_Input'!$AA$54),'01_Input'!$AC$54,0),MAX(MIN(AI$20,'01_Input'!$AA$54)-'01_Input'!$Z$54,0)*'01_Input'!$AC$54)))))))))</f>
        <v>2500600000</v>
      </c>
      <c r="AJ22" s="83">
        <f>IF('01_Input'!$C$54="Non",0,MIN('01_Input'!$I$54,MAX('01_Input'!$H$54,IF('01_Input'!$G$54="Résiduel vs Gestion",0,IF('01_Input'!$G$54="Taux Classe sélectionnée",Distrib_Global_Classe_Selectionnee*AJ$20,IF('01_Input'!$G$54="Frais KYC (paliers de 100M€)",MAX(0,Nb_Investisseurs-Nb_KYC_Gratuites_Par_Tranche*(FLOOR(AJ$20/Taille_Tranche_KYC,1)+1))*Cout_Par_KYC_Supplementaire,(IF('01_Input'!$L$54="Forfait",IF(AJ$20&gt;='01_Input'!$J$54,'01_Input'!$M$54,0),IF('01_Input'!$L$54="Palier",IF(AND(AJ$20&gt;='01_Input'!$J$54,AJ$20&lt;'01_Input'!$K$54),'01_Input'!$M$54,0),MAX(MIN(AJ$20,'01_Input'!$K$54)-'01_Input'!$J$54,0)*'01_Input'!$M$54))+IF('01_Input'!$P$54="Forfait",IF(AJ$20&gt;='01_Input'!$N$54,'01_Input'!$Q$54,0),IF('01_Input'!$P$54="Palier",IF(AND(AJ$20&gt;='01_Input'!$N$54,AJ$20&lt;'01_Input'!$O$54),'01_Input'!$Q$54,0),MAX(MIN(AJ$20,'01_Input'!$O$54)-'01_Input'!$N$54,0)*'01_Input'!$Q$54))+IF('01_Input'!$T$54="Forfait",IF(AJ$20&gt;='01_Input'!$R$54,'01_Input'!$U$54,0),IF('01_Input'!$T$54="Palier",IF(AND(AJ$20&gt;='01_Input'!$R$54,AJ$20&lt;'01_Input'!$S$54),'01_Input'!$U$54,0),MAX(MIN(AJ$20,'01_Input'!$S$54)-'01_Input'!$R$54,0)*'01_Input'!$U$54))+IF('01_Input'!$X$54="Forfait",IF(AJ$20&gt;='01_Input'!$V$54,'01_Input'!$Y$54,0),IF('01_Input'!$X$54="Palier",IF(AND(AJ$20&gt;='01_Input'!$V$54,AJ$20&lt;'01_Input'!$W$54),'01_Input'!$Y$54,0),MAX(MIN(AJ$20,'01_Input'!$W$54)-'01_Input'!$V$54,0)*'01_Input'!$Y$54))+IF('01_Input'!$AB$54="Forfait",IF(AJ$20&gt;='01_Input'!$Z$54,'01_Input'!$AC$54,0),IF('01_Input'!$AB$54="Palier",IF(AND(AJ$20&gt;='01_Input'!$Z$54,AJ$20&lt;'01_Input'!$AA$54),'01_Input'!$AC$54,0),MAX(MIN(AJ$20,'01_Input'!$AA$54)-'01_Input'!$Z$54,0)*'01_Input'!$AC$54)))))))))</f>
        <v>2500600000</v>
      </c>
      <c r="AK22" s="83">
        <f>IF('01_Input'!$C$54="Non",0,MIN('01_Input'!$I$54,MAX('01_Input'!$H$54,IF('01_Input'!$G$54="Résiduel vs Gestion",0,IF('01_Input'!$G$54="Taux Classe sélectionnée",Distrib_Global_Classe_Selectionnee*AK$20,IF('01_Input'!$G$54="Frais KYC (paliers de 100M€)",MAX(0,Nb_Investisseurs-Nb_KYC_Gratuites_Par_Tranche*(FLOOR(AK$20/Taille_Tranche_KYC,1)+1))*Cout_Par_KYC_Supplementaire,(IF('01_Input'!$L$54="Forfait",IF(AK$20&gt;='01_Input'!$J$54,'01_Input'!$M$54,0),IF('01_Input'!$L$54="Palier",IF(AND(AK$20&gt;='01_Input'!$J$54,AK$20&lt;'01_Input'!$K$54),'01_Input'!$M$54,0),MAX(MIN(AK$20,'01_Input'!$K$54)-'01_Input'!$J$54,0)*'01_Input'!$M$54))+IF('01_Input'!$P$54="Forfait",IF(AK$20&gt;='01_Input'!$N$54,'01_Input'!$Q$54,0),IF('01_Input'!$P$54="Palier",IF(AND(AK$20&gt;='01_Input'!$N$54,AK$20&lt;'01_Input'!$O$54),'01_Input'!$Q$54,0),MAX(MIN(AK$20,'01_Input'!$O$54)-'01_Input'!$N$54,0)*'01_Input'!$Q$54))+IF('01_Input'!$T$54="Forfait",IF(AK$20&gt;='01_Input'!$R$54,'01_Input'!$U$54,0),IF('01_Input'!$T$54="Palier",IF(AND(AK$20&gt;='01_Input'!$R$54,AK$20&lt;'01_Input'!$S$54),'01_Input'!$U$54,0),MAX(MIN(AK$20,'01_Input'!$S$54)-'01_Input'!$R$54,0)*'01_Input'!$U$54))+IF('01_Input'!$X$54="Forfait",IF(AK$20&gt;='01_Input'!$V$54,'01_Input'!$Y$54,0),IF('01_Input'!$X$54="Palier",IF(AND(AK$20&gt;='01_Input'!$V$54,AK$20&lt;'01_Input'!$W$54),'01_Input'!$Y$54,0),MAX(MIN(AK$20,'01_Input'!$W$54)-'01_Input'!$V$54,0)*'01_Input'!$Y$54))+IF('01_Input'!$AB$54="Forfait",IF(AK$20&gt;='01_Input'!$Z$54,'01_Input'!$AC$54,0),IF('01_Input'!$AB$54="Palier",IF(AND(AK$20&gt;='01_Input'!$Z$54,AK$20&lt;'01_Input'!$AA$54),'01_Input'!$AC$54,0),MAX(MIN(AK$20,'01_Input'!$AA$54)-'01_Input'!$Z$54,0)*'01_Input'!$AC$54)))))))))</f>
        <v>2500600000</v>
      </c>
      <c r="AL22" s="83">
        <f>IF('01_Input'!$C$54="Non",0,MIN('01_Input'!$I$54,MAX('01_Input'!$H$54,IF('01_Input'!$G$54="Résiduel vs Gestion",0,IF('01_Input'!$G$54="Taux Classe sélectionnée",Distrib_Global_Classe_Selectionnee*AL$20,IF('01_Input'!$G$54="Frais KYC (paliers de 100M€)",MAX(0,Nb_Investisseurs-Nb_KYC_Gratuites_Par_Tranche*(FLOOR(AL$20/Taille_Tranche_KYC,1)+1))*Cout_Par_KYC_Supplementaire,(IF('01_Input'!$L$54="Forfait",IF(AL$20&gt;='01_Input'!$J$54,'01_Input'!$M$54,0),IF('01_Input'!$L$54="Palier",IF(AND(AL$20&gt;='01_Input'!$J$54,AL$20&lt;'01_Input'!$K$54),'01_Input'!$M$54,0),MAX(MIN(AL$20,'01_Input'!$K$54)-'01_Input'!$J$54,0)*'01_Input'!$M$54))+IF('01_Input'!$P$54="Forfait",IF(AL$20&gt;='01_Input'!$N$54,'01_Input'!$Q$54,0),IF('01_Input'!$P$54="Palier",IF(AND(AL$20&gt;='01_Input'!$N$54,AL$20&lt;'01_Input'!$O$54),'01_Input'!$Q$54,0),MAX(MIN(AL$20,'01_Input'!$O$54)-'01_Input'!$N$54,0)*'01_Input'!$Q$54))+IF('01_Input'!$T$54="Forfait",IF(AL$20&gt;='01_Input'!$R$54,'01_Input'!$U$54,0),IF('01_Input'!$T$54="Palier",IF(AND(AL$20&gt;='01_Input'!$R$54,AL$20&lt;'01_Input'!$S$54),'01_Input'!$U$54,0),MAX(MIN(AL$20,'01_Input'!$S$54)-'01_Input'!$R$54,0)*'01_Input'!$U$54))+IF('01_Input'!$X$54="Forfait",IF(AL$20&gt;='01_Input'!$V$54,'01_Input'!$Y$54,0),IF('01_Input'!$X$54="Palier",IF(AND(AL$20&gt;='01_Input'!$V$54,AL$20&lt;'01_Input'!$W$54),'01_Input'!$Y$54,0),MAX(MIN(AL$20,'01_Input'!$W$54)-'01_Input'!$V$54,0)*'01_Input'!$Y$54))+IF('01_Input'!$AB$54="Forfait",IF(AL$20&gt;='01_Input'!$Z$54,'01_Input'!$AC$54,0),IF('01_Input'!$AB$54="Palier",IF(AND(AL$20&gt;='01_Input'!$Z$54,AL$20&lt;'01_Input'!$AA$54),'01_Input'!$AC$54,0),MAX(MIN(AL$20,'01_Input'!$AA$54)-'01_Input'!$Z$54,0)*'01_Input'!$AC$54)))))))))</f>
        <v>2500600000</v>
      </c>
      <c r="AM22" s="83">
        <f>IF('01_Input'!$C$54="Non",0,MIN('01_Input'!$I$54,MAX('01_Input'!$H$54,IF('01_Input'!$G$54="Résiduel vs Gestion",0,IF('01_Input'!$G$54="Taux Classe sélectionnée",Distrib_Global_Classe_Selectionnee*AM$20,IF('01_Input'!$G$54="Frais KYC (paliers de 100M€)",MAX(0,Nb_Investisseurs-Nb_KYC_Gratuites_Par_Tranche*(FLOOR(AM$20/Taille_Tranche_KYC,1)+1))*Cout_Par_KYC_Supplementaire,(IF('01_Input'!$L$54="Forfait",IF(AM$20&gt;='01_Input'!$J$54,'01_Input'!$M$54,0),IF('01_Input'!$L$54="Palier",IF(AND(AM$20&gt;='01_Input'!$J$54,AM$20&lt;'01_Input'!$K$54),'01_Input'!$M$54,0),MAX(MIN(AM$20,'01_Input'!$K$54)-'01_Input'!$J$54,0)*'01_Input'!$M$54))+IF('01_Input'!$P$54="Forfait",IF(AM$20&gt;='01_Input'!$N$54,'01_Input'!$Q$54,0),IF('01_Input'!$P$54="Palier",IF(AND(AM$20&gt;='01_Input'!$N$54,AM$20&lt;'01_Input'!$O$54),'01_Input'!$Q$54,0),MAX(MIN(AM$20,'01_Input'!$O$54)-'01_Input'!$N$54,0)*'01_Input'!$Q$54))+IF('01_Input'!$T$54="Forfait",IF(AM$20&gt;='01_Input'!$R$54,'01_Input'!$U$54,0),IF('01_Input'!$T$54="Palier",IF(AND(AM$20&gt;='01_Input'!$R$54,AM$20&lt;'01_Input'!$S$54),'01_Input'!$U$54,0),MAX(MIN(AM$20,'01_Input'!$S$54)-'01_Input'!$R$54,0)*'01_Input'!$U$54))+IF('01_Input'!$X$54="Forfait",IF(AM$20&gt;='01_Input'!$V$54,'01_Input'!$Y$54,0),IF('01_Input'!$X$54="Palier",IF(AND(AM$20&gt;='01_Input'!$V$54,AM$20&lt;'01_Input'!$W$54),'01_Input'!$Y$54,0),MAX(MIN(AM$20,'01_Input'!$W$54)-'01_Input'!$V$54,0)*'01_Input'!$Y$54))+IF('01_Input'!$AB$54="Forfait",IF(AM$20&gt;='01_Input'!$Z$54,'01_Input'!$AC$54,0),IF('01_Input'!$AB$54="Palier",IF(AND(AM$20&gt;='01_Input'!$Z$54,AM$20&lt;'01_Input'!$AA$54),'01_Input'!$AC$54,0),MAX(MIN(AM$20,'01_Input'!$AA$54)-'01_Input'!$Z$54,0)*'01_Input'!$AC$54)))))))))</f>
        <v>2500600000</v>
      </c>
      <c r="AN22" s="83">
        <f>IF('01_Input'!$C$54="Non",0,MIN('01_Input'!$I$54,MAX('01_Input'!$H$54,IF('01_Input'!$G$54="Résiduel vs Gestion",0,IF('01_Input'!$G$54="Taux Classe sélectionnée",Distrib_Global_Classe_Selectionnee*AN$20,IF('01_Input'!$G$54="Frais KYC (paliers de 100M€)",MAX(0,Nb_Investisseurs-Nb_KYC_Gratuites_Par_Tranche*(FLOOR(AN$20/Taille_Tranche_KYC,1)+1))*Cout_Par_KYC_Supplementaire,(IF('01_Input'!$L$54="Forfait",IF(AN$20&gt;='01_Input'!$J$54,'01_Input'!$M$54,0),IF('01_Input'!$L$54="Palier",IF(AND(AN$20&gt;='01_Input'!$J$54,AN$20&lt;'01_Input'!$K$54),'01_Input'!$M$54,0),MAX(MIN(AN$20,'01_Input'!$K$54)-'01_Input'!$J$54,0)*'01_Input'!$M$54))+IF('01_Input'!$P$54="Forfait",IF(AN$20&gt;='01_Input'!$N$54,'01_Input'!$Q$54,0),IF('01_Input'!$P$54="Palier",IF(AND(AN$20&gt;='01_Input'!$N$54,AN$20&lt;'01_Input'!$O$54),'01_Input'!$Q$54,0),MAX(MIN(AN$20,'01_Input'!$O$54)-'01_Input'!$N$54,0)*'01_Input'!$Q$54))+IF('01_Input'!$T$54="Forfait",IF(AN$20&gt;='01_Input'!$R$54,'01_Input'!$U$54,0),IF('01_Input'!$T$54="Palier",IF(AND(AN$20&gt;='01_Input'!$R$54,AN$20&lt;'01_Input'!$S$54),'01_Input'!$U$54,0),MAX(MIN(AN$20,'01_Input'!$S$54)-'01_Input'!$R$54,0)*'01_Input'!$U$54))+IF('01_Input'!$X$54="Forfait",IF(AN$20&gt;='01_Input'!$V$54,'01_Input'!$Y$54,0),IF('01_Input'!$X$54="Palier",IF(AND(AN$20&gt;='01_Input'!$V$54,AN$20&lt;'01_Input'!$W$54),'01_Input'!$Y$54,0),MAX(MIN(AN$20,'01_Input'!$W$54)-'01_Input'!$V$54,0)*'01_Input'!$Y$54))+IF('01_Input'!$AB$54="Forfait",IF(AN$20&gt;='01_Input'!$Z$54,'01_Input'!$AC$54,0),IF('01_Input'!$AB$54="Palier",IF(AND(AN$20&gt;='01_Input'!$Z$54,AN$20&lt;'01_Input'!$AA$54),'01_Input'!$AC$54,0),MAX(MIN(AN$20,'01_Input'!$AA$54)-'01_Input'!$Z$54,0)*'01_Input'!$AC$54)))))))))</f>
        <v>2500600000</v>
      </c>
      <c r="AO22" s="83">
        <f>IF('01_Input'!$C$54="Non",0,MIN('01_Input'!$I$54,MAX('01_Input'!$H$54,IF('01_Input'!$G$54="Résiduel vs Gestion",0,IF('01_Input'!$G$54="Taux Classe sélectionnée",Distrib_Global_Classe_Selectionnee*AO$20,IF('01_Input'!$G$54="Frais KYC (paliers de 100M€)",MAX(0,Nb_Investisseurs-Nb_KYC_Gratuites_Par_Tranche*(FLOOR(AO$20/Taille_Tranche_KYC,1)+1))*Cout_Par_KYC_Supplementaire,(IF('01_Input'!$L$54="Forfait",IF(AO$20&gt;='01_Input'!$J$54,'01_Input'!$M$54,0),IF('01_Input'!$L$54="Palier",IF(AND(AO$20&gt;='01_Input'!$J$54,AO$20&lt;'01_Input'!$K$54),'01_Input'!$M$54,0),MAX(MIN(AO$20,'01_Input'!$K$54)-'01_Input'!$J$54,0)*'01_Input'!$M$54))+IF('01_Input'!$P$54="Forfait",IF(AO$20&gt;='01_Input'!$N$54,'01_Input'!$Q$54,0),IF('01_Input'!$P$54="Palier",IF(AND(AO$20&gt;='01_Input'!$N$54,AO$20&lt;'01_Input'!$O$54),'01_Input'!$Q$54,0),MAX(MIN(AO$20,'01_Input'!$O$54)-'01_Input'!$N$54,0)*'01_Input'!$Q$54))+IF('01_Input'!$T$54="Forfait",IF(AO$20&gt;='01_Input'!$R$54,'01_Input'!$U$54,0),IF('01_Input'!$T$54="Palier",IF(AND(AO$20&gt;='01_Input'!$R$54,AO$20&lt;'01_Input'!$S$54),'01_Input'!$U$54,0),MAX(MIN(AO$20,'01_Input'!$S$54)-'01_Input'!$R$54,0)*'01_Input'!$U$54))+IF('01_Input'!$X$54="Forfait",IF(AO$20&gt;='01_Input'!$V$54,'01_Input'!$Y$54,0),IF('01_Input'!$X$54="Palier",IF(AND(AO$20&gt;='01_Input'!$V$54,AO$20&lt;'01_Input'!$W$54),'01_Input'!$Y$54,0),MAX(MIN(AO$20,'01_Input'!$W$54)-'01_Input'!$V$54,0)*'01_Input'!$Y$54))+IF('01_Input'!$AB$54="Forfait",IF(AO$20&gt;='01_Input'!$Z$54,'01_Input'!$AC$54,0),IF('01_Input'!$AB$54="Palier",IF(AND(AO$20&gt;='01_Input'!$Z$54,AO$20&lt;'01_Input'!$AA$54),'01_Input'!$AC$54,0),MAX(MIN(AO$20,'01_Input'!$AA$54)-'01_Input'!$Z$54,0)*'01_Input'!$AC$54)))))))))</f>
        <v>2500600000</v>
      </c>
      <c r="AP22" s="83">
        <f>IF('01_Input'!$C$54="Non",0,MIN('01_Input'!$I$54,MAX('01_Input'!$H$54,IF('01_Input'!$G$54="Résiduel vs Gestion",0,IF('01_Input'!$G$54="Taux Classe sélectionnée",Distrib_Global_Classe_Selectionnee*AP$20,IF('01_Input'!$G$54="Frais KYC (paliers de 100M€)",MAX(0,Nb_Investisseurs-Nb_KYC_Gratuites_Par_Tranche*(FLOOR(AP$20/Taille_Tranche_KYC,1)+1))*Cout_Par_KYC_Supplementaire,(IF('01_Input'!$L$54="Forfait",IF(AP$20&gt;='01_Input'!$J$54,'01_Input'!$M$54,0),IF('01_Input'!$L$54="Palier",IF(AND(AP$20&gt;='01_Input'!$J$54,AP$20&lt;'01_Input'!$K$54),'01_Input'!$M$54,0),MAX(MIN(AP$20,'01_Input'!$K$54)-'01_Input'!$J$54,0)*'01_Input'!$M$54))+IF('01_Input'!$P$54="Forfait",IF(AP$20&gt;='01_Input'!$N$54,'01_Input'!$Q$54,0),IF('01_Input'!$P$54="Palier",IF(AND(AP$20&gt;='01_Input'!$N$54,AP$20&lt;'01_Input'!$O$54),'01_Input'!$Q$54,0),MAX(MIN(AP$20,'01_Input'!$O$54)-'01_Input'!$N$54,0)*'01_Input'!$Q$54))+IF('01_Input'!$T$54="Forfait",IF(AP$20&gt;='01_Input'!$R$54,'01_Input'!$U$54,0),IF('01_Input'!$T$54="Palier",IF(AND(AP$20&gt;='01_Input'!$R$54,AP$20&lt;'01_Input'!$S$54),'01_Input'!$U$54,0),MAX(MIN(AP$20,'01_Input'!$S$54)-'01_Input'!$R$54,0)*'01_Input'!$U$54))+IF('01_Input'!$X$54="Forfait",IF(AP$20&gt;='01_Input'!$V$54,'01_Input'!$Y$54,0),IF('01_Input'!$X$54="Palier",IF(AND(AP$20&gt;='01_Input'!$V$54,AP$20&lt;'01_Input'!$W$54),'01_Input'!$Y$54,0),MAX(MIN(AP$20,'01_Input'!$W$54)-'01_Input'!$V$54,0)*'01_Input'!$Y$54))+IF('01_Input'!$AB$54="Forfait",IF(AP$20&gt;='01_Input'!$Z$54,'01_Input'!$AC$54,0),IF('01_Input'!$AB$54="Palier",IF(AND(AP$20&gt;='01_Input'!$Z$54,AP$20&lt;'01_Input'!$AA$54),'01_Input'!$AC$54,0),MAX(MIN(AP$20,'01_Input'!$AA$54)-'01_Input'!$Z$54,0)*'01_Input'!$AC$54)))))))))</f>
        <v>2500600000</v>
      </c>
      <c r="AQ22" s="83">
        <f>IF('01_Input'!$C$54="Non",0,MIN('01_Input'!$I$54,MAX('01_Input'!$H$54,IF('01_Input'!$G$54="Résiduel vs Gestion",0,IF('01_Input'!$G$54="Taux Classe sélectionnée",Distrib_Global_Classe_Selectionnee*AQ$20,IF('01_Input'!$G$54="Frais KYC (paliers de 100M€)",MAX(0,Nb_Investisseurs-Nb_KYC_Gratuites_Par_Tranche*(FLOOR(AQ$20/Taille_Tranche_KYC,1)+1))*Cout_Par_KYC_Supplementaire,(IF('01_Input'!$L$54="Forfait",IF(AQ$20&gt;='01_Input'!$J$54,'01_Input'!$M$54,0),IF('01_Input'!$L$54="Palier",IF(AND(AQ$20&gt;='01_Input'!$J$54,AQ$20&lt;'01_Input'!$K$54),'01_Input'!$M$54,0),MAX(MIN(AQ$20,'01_Input'!$K$54)-'01_Input'!$J$54,0)*'01_Input'!$M$54))+IF('01_Input'!$P$54="Forfait",IF(AQ$20&gt;='01_Input'!$N$54,'01_Input'!$Q$54,0),IF('01_Input'!$P$54="Palier",IF(AND(AQ$20&gt;='01_Input'!$N$54,AQ$20&lt;'01_Input'!$O$54),'01_Input'!$Q$54,0),MAX(MIN(AQ$20,'01_Input'!$O$54)-'01_Input'!$N$54,0)*'01_Input'!$Q$54))+IF('01_Input'!$T$54="Forfait",IF(AQ$20&gt;='01_Input'!$R$54,'01_Input'!$U$54,0),IF('01_Input'!$T$54="Palier",IF(AND(AQ$20&gt;='01_Input'!$R$54,AQ$20&lt;'01_Input'!$S$54),'01_Input'!$U$54,0),MAX(MIN(AQ$20,'01_Input'!$S$54)-'01_Input'!$R$54,0)*'01_Input'!$U$54))+IF('01_Input'!$X$54="Forfait",IF(AQ$20&gt;='01_Input'!$V$54,'01_Input'!$Y$54,0),IF('01_Input'!$X$54="Palier",IF(AND(AQ$20&gt;='01_Input'!$V$54,AQ$20&lt;'01_Input'!$W$54),'01_Input'!$Y$54,0),MAX(MIN(AQ$20,'01_Input'!$W$54)-'01_Input'!$V$54,0)*'01_Input'!$Y$54))+IF('01_Input'!$AB$54="Forfait",IF(AQ$20&gt;='01_Input'!$Z$54,'01_Input'!$AC$54,0),IF('01_Input'!$AB$54="Palier",IF(AND(AQ$20&gt;='01_Input'!$Z$54,AQ$20&lt;'01_Input'!$AA$54),'01_Input'!$AC$54,0),MAX(MIN(AQ$20,'01_Input'!$AA$54)-'01_Input'!$Z$54,0)*'01_Input'!$AC$54)))))))))</f>
        <v>2500600000</v>
      </c>
      <c r="AR22" s="83">
        <f>IF('01_Input'!$C$54="Non",0,MIN('01_Input'!$I$54,MAX('01_Input'!$H$54,IF('01_Input'!$G$54="Résiduel vs Gestion",0,IF('01_Input'!$G$54="Taux Classe sélectionnée",Distrib_Global_Classe_Selectionnee*AR$20,IF('01_Input'!$G$54="Frais KYC (paliers de 100M€)",MAX(0,Nb_Investisseurs-Nb_KYC_Gratuites_Par_Tranche*(FLOOR(AR$20/Taille_Tranche_KYC,1)+1))*Cout_Par_KYC_Supplementaire,(IF('01_Input'!$L$54="Forfait",IF(AR$20&gt;='01_Input'!$J$54,'01_Input'!$M$54,0),IF('01_Input'!$L$54="Palier",IF(AND(AR$20&gt;='01_Input'!$J$54,AR$20&lt;'01_Input'!$K$54),'01_Input'!$M$54,0),MAX(MIN(AR$20,'01_Input'!$K$54)-'01_Input'!$J$54,0)*'01_Input'!$M$54))+IF('01_Input'!$P$54="Forfait",IF(AR$20&gt;='01_Input'!$N$54,'01_Input'!$Q$54,0),IF('01_Input'!$P$54="Palier",IF(AND(AR$20&gt;='01_Input'!$N$54,AR$20&lt;'01_Input'!$O$54),'01_Input'!$Q$54,0),MAX(MIN(AR$20,'01_Input'!$O$54)-'01_Input'!$N$54,0)*'01_Input'!$Q$54))+IF('01_Input'!$T$54="Forfait",IF(AR$20&gt;='01_Input'!$R$54,'01_Input'!$U$54,0),IF('01_Input'!$T$54="Palier",IF(AND(AR$20&gt;='01_Input'!$R$54,AR$20&lt;'01_Input'!$S$54),'01_Input'!$U$54,0),MAX(MIN(AR$20,'01_Input'!$S$54)-'01_Input'!$R$54,0)*'01_Input'!$U$54))+IF('01_Input'!$X$54="Forfait",IF(AR$20&gt;='01_Input'!$V$54,'01_Input'!$Y$54,0),IF('01_Input'!$X$54="Palier",IF(AND(AR$20&gt;='01_Input'!$V$54,AR$20&lt;'01_Input'!$W$54),'01_Input'!$Y$54,0),MAX(MIN(AR$20,'01_Input'!$W$54)-'01_Input'!$V$54,0)*'01_Input'!$Y$54))+IF('01_Input'!$AB$54="Forfait",IF(AR$20&gt;='01_Input'!$Z$54,'01_Input'!$AC$54,0),IF('01_Input'!$AB$54="Palier",IF(AND(AR$20&gt;='01_Input'!$Z$54,AR$20&lt;'01_Input'!$AA$54),'01_Input'!$AC$54,0),MAX(MIN(AR$20,'01_Input'!$AA$54)-'01_Input'!$Z$54,0)*'01_Input'!$AC$54)))))))))</f>
        <v>2500600000</v>
      </c>
      <c r="AS22" s="83">
        <f>IF('01_Input'!$C$54="Non",0,MIN('01_Input'!$I$54,MAX('01_Input'!$H$54,IF('01_Input'!$G$54="Résiduel vs Gestion",0,IF('01_Input'!$G$54="Taux Classe sélectionnée",Distrib_Global_Classe_Selectionnee*AS$20,IF('01_Input'!$G$54="Frais KYC (paliers de 100M€)",MAX(0,Nb_Investisseurs-Nb_KYC_Gratuites_Par_Tranche*(FLOOR(AS$20/Taille_Tranche_KYC,1)+1))*Cout_Par_KYC_Supplementaire,(IF('01_Input'!$L$54="Forfait",IF(AS$20&gt;='01_Input'!$J$54,'01_Input'!$M$54,0),IF('01_Input'!$L$54="Palier",IF(AND(AS$20&gt;='01_Input'!$J$54,AS$20&lt;'01_Input'!$K$54),'01_Input'!$M$54,0),MAX(MIN(AS$20,'01_Input'!$K$54)-'01_Input'!$J$54,0)*'01_Input'!$M$54))+IF('01_Input'!$P$54="Forfait",IF(AS$20&gt;='01_Input'!$N$54,'01_Input'!$Q$54,0),IF('01_Input'!$P$54="Palier",IF(AND(AS$20&gt;='01_Input'!$N$54,AS$20&lt;'01_Input'!$O$54),'01_Input'!$Q$54,0),MAX(MIN(AS$20,'01_Input'!$O$54)-'01_Input'!$N$54,0)*'01_Input'!$Q$54))+IF('01_Input'!$T$54="Forfait",IF(AS$20&gt;='01_Input'!$R$54,'01_Input'!$U$54,0),IF('01_Input'!$T$54="Palier",IF(AND(AS$20&gt;='01_Input'!$R$54,AS$20&lt;'01_Input'!$S$54),'01_Input'!$U$54,0),MAX(MIN(AS$20,'01_Input'!$S$54)-'01_Input'!$R$54,0)*'01_Input'!$U$54))+IF('01_Input'!$X$54="Forfait",IF(AS$20&gt;='01_Input'!$V$54,'01_Input'!$Y$54,0),IF('01_Input'!$X$54="Palier",IF(AND(AS$20&gt;='01_Input'!$V$54,AS$20&lt;'01_Input'!$W$54),'01_Input'!$Y$54,0),MAX(MIN(AS$20,'01_Input'!$W$54)-'01_Input'!$V$54,0)*'01_Input'!$Y$54))+IF('01_Input'!$AB$54="Forfait",IF(AS$20&gt;='01_Input'!$Z$54,'01_Input'!$AC$54,0),IF('01_Input'!$AB$54="Palier",IF(AND(AS$20&gt;='01_Input'!$Z$54,AS$20&lt;'01_Input'!$AA$54),'01_Input'!$AC$54,0),MAX(MIN(AS$20,'01_Input'!$AA$54)-'01_Input'!$Z$54,0)*'01_Input'!$AC$54)))))))))</f>
        <v>2500600000</v>
      </c>
      <c r="AT22" s="83">
        <f>IF('01_Input'!$C$54="Non",0,MIN('01_Input'!$I$54,MAX('01_Input'!$H$54,IF('01_Input'!$G$54="Résiduel vs Gestion",0,IF('01_Input'!$G$54="Taux Classe sélectionnée",Distrib_Global_Classe_Selectionnee*AT$20,IF('01_Input'!$G$54="Frais KYC (paliers de 100M€)",MAX(0,Nb_Investisseurs-Nb_KYC_Gratuites_Par_Tranche*(FLOOR(AT$20/Taille_Tranche_KYC,1)+1))*Cout_Par_KYC_Supplementaire,(IF('01_Input'!$L$54="Forfait",IF(AT$20&gt;='01_Input'!$J$54,'01_Input'!$M$54,0),IF('01_Input'!$L$54="Palier",IF(AND(AT$20&gt;='01_Input'!$J$54,AT$20&lt;'01_Input'!$K$54),'01_Input'!$M$54,0),MAX(MIN(AT$20,'01_Input'!$K$54)-'01_Input'!$J$54,0)*'01_Input'!$M$54))+IF('01_Input'!$P$54="Forfait",IF(AT$20&gt;='01_Input'!$N$54,'01_Input'!$Q$54,0),IF('01_Input'!$P$54="Palier",IF(AND(AT$20&gt;='01_Input'!$N$54,AT$20&lt;'01_Input'!$O$54),'01_Input'!$Q$54,0),MAX(MIN(AT$20,'01_Input'!$O$54)-'01_Input'!$N$54,0)*'01_Input'!$Q$54))+IF('01_Input'!$T$54="Forfait",IF(AT$20&gt;='01_Input'!$R$54,'01_Input'!$U$54,0),IF('01_Input'!$T$54="Palier",IF(AND(AT$20&gt;='01_Input'!$R$54,AT$20&lt;'01_Input'!$S$54),'01_Input'!$U$54,0),MAX(MIN(AT$20,'01_Input'!$S$54)-'01_Input'!$R$54,0)*'01_Input'!$U$54))+IF('01_Input'!$X$54="Forfait",IF(AT$20&gt;='01_Input'!$V$54,'01_Input'!$Y$54,0),IF('01_Input'!$X$54="Palier",IF(AND(AT$20&gt;='01_Input'!$V$54,AT$20&lt;'01_Input'!$W$54),'01_Input'!$Y$54,0),MAX(MIN(AT$20,'01_Input'!$W$54)-'01_Input'!$V$54,0)*'01_Input'!$Y$54))+IF('01_Input'!$AB$54="Forfait",IF(AT$20&gt;='01_Input'!$Z$54,'01_Input'!$AC$54,0),IF('01_Input'!$AB$54="Palier",IF(AND(AT$20&gt;='01_Input'!$Z$54,AT$20&lt;'01_Input'!$AA$54),'01_Input'!$AC$54,0),MAX(MIN(AT$20,'01_Input'!$AA$54)-'01_Input'!$Z$54,0)*'01_Input'!$AC$54)))))))))</f>
        <v>2500600000</v>
      </c>
      <c r="AU22" s="83">
        <f>IF('01_Input'!$C$54="Non",0,MIN('01_Input'!$I$54,MAX('01_Input'!$H$54,IF('01_Input'!$G$54="Résiduel vs Gestion",0,IF('01_Input'!$G$54="Taux Classe sélectionnée",Distrib_Global_Classe_Selectionnee*AU$20,IF('01_Input'!$G$54="Frais KYC (paliers de 100M€)",MAX(0,Nb_Investisseurs-Nb_KYC_Gratuites_Par_Tranche*(FLOOR(AU$20/Taille_Tranche_KYC,1)+1))*Cout_Par_KYC_Supplementaire,(IF('01_Input'!$L$54="Forfait",IF(AU$20&gt;='01_Input'!$J$54,'01_Input'!$M$54,0),IF('01_Input'!$L$54="Palier",IF(AND(AU$20&gt;='01_Input'!$J$54,AU$20&lt;'01_Input'!$K$54),'01_Input'!$M$54,0),MAX(MIN(AU$20,'01_Input'!$K$54)-'01_Input'!$J$54,0)*'01_Input'!$M$54))+IF('01_Input'!$P$54="Forfait",IF(AU$20&gt;='01_Input'!$N$54,'01_Input'!$Q$54,0),IF('01_Input'!$P$54="Palier",IF(AND(AU$20&gt;='01_Input'!$N$54,AU$20&lt;'01_Input'!$O$54),'01_Input'!$Q$54,0),MAX(MIN(AU$20,'01_Input'!$O$54)-'01_Input'!$N$54,0)*'01_Input'!$Q$54))+IF('01_Input'!$T$54="Forfait",IF(AU$20&gt;='01_Input'!$R$54,'01_Input'!$U$54,0),IF('01_Input'!$T$54="Palier",IF(AND(AU$20&gt;='01_Input'!$R$54,AU$20&lt;'01_Input'!$S$54),'01_Input'!$U$54,0),MAX(MIN(AU$20,'01_Input'!$S$54)-'01_Input'!$R$54,0)*'01_Input'!$U$54))+IF('01_Input'!$X$54="Forfait",IF(AU$20&gt;='01_Input'!$V$54,'01_Input'!$Y$54,0),IF('01_Input'!$X$54="Palier",IF(AND(AU$20&gt;='01_Input'!$V$54,AU$20&lt;'01_Input'!$W$54),'01_Input'!$Y$54,0),MAX(MIN(AU$20,'01_Input'!$W$54)-'01_Input'!$V$54,0)*'01_Input'!$Y$54))+IF('01_Input'!$AB$54="Forfait",IF(AU$20&gt;='01_Input'!$Z$54,'01_Input'!$AC$54,0),IF('01_Input'!$AB$54="Palier",IF(AND(AU$20&gt;='01_Input'!$Z$54,AU$20&lt;'01_Input'!$AA$54),'01_Input'!$AC$54,0),MAX(MIN(AU$20,'01_Input'!$AA$54)-'01_Input'!$Z$54,0)*'01_Input'!$AC$54)))))))))</f>
        <v>2500600000</v>
      </c>
      <c r="AV22" s="83">
        <f>IF('01_Input'!$C$54="Non",0,MIN('01_Input'!$I$54,MAX('01_Input'!$H$54,IF('01_Input'!$G$54="Résiduel vs Gestion",0,IF('01_Input'!$G$54="Taux Classe sélectionnée",Distrib_Global_Classe_Selectionnee*AV$20,IF('01_Input'!$G$54="Frais KYC (paliers de 100M€)",MAX(0,Nb_Investisseurs-Nb_KYC_Gratuites_Par_Tranche*(FLOOR(AV$20/Taille_Tranche_KYC,1)+1))*Cout_Par_KYC_Supplementaire,(IF('01_Input'!$L$54="Forfait",IF(AV$20&gt;='01_Input'!$J$54,'01_Input'!$M$54,0),IF('01_Input'!$L$54="Palier",IF(AND(AV$20&gt;='01_Input'!$J$54,AV$20&lt;'01_Input'!$K$54),'01_Input'!$M$54,0),MAX(MIN(AV$20,'01_Input'!$K$54)-'01_Input'!$J$54,0)*'01_Input'!$M$54))+IF('01_Input'!$P$54="Forfait",IF(AV$20&gt;='01_Input'!$N$54,'01_Input'!$Q$54,0),IF('01_Input'!$P$54="Palier",IF(AND(AV$20&gt;='01_Input'!$N$54,AV$20&lt;'01_Input'!$O$54),'01_Input'!$Q$54,0),MAX(MIN(AV$20,'01_Input'!$O$54)-'01_Input'!$N$54,0)*'01_Input'!$Q$54))+IF('01_Input'!$T$54="Forfait",IF(AV$20&gt;='01_Input'!$R$54,'01_Input'!$U$54,0),IF('01_Input'!$T$54="Palier",IF(AND(AV$20&gt;='01_Input'!$R$54,AV$20&lt;'01_Input'!$S$54),'01_Input'!$U$54,0),MAX(MIN(AV$20,'01_Input'!$S$54)-'01_Input'!$R$54,0)*'01_Input'!$U$54))+IF('01_Input'!$X$54="Forfait",IF(AV$20&gt;='01_Input'!$V$54,'01_Input'!$Y$54,0),IF('01_Input'!$X$54="Palier",IF(AND(AV$20&gt;='01_Input'!$V$54,AV$20&lt;'01_Input'!$W$54),'01_Input'!$Y$54,0),MAX(MIN(AV$20,'01_Input'!$W$54)-'01_Input'!$V$54,0)*'01_Input'!$Y$54))+IF('01_Input'!$AB$54="Forfait",IF(AV$20&gt;='01_Input'!$Z$54,'01_Input'!$AC$54,0),IF('01_Input'!$AB$54="Palier",IF(AND(AV$20&gt;='01_Input'!$Z$54,AV$20&lt;'01_Input'!$AA$54),'01_Input'!$AC$54,0),MAX(MIN(AV$20,'01_Input'!$AA$54)-'01_Input'!$Z$54,0)*'01_Input'!$AC$54)))))))))</f>
        <v>2500600000</v>
      </c>
      <c r="AW22" s="83">
        <f>IF('01_Input'!$C$54="Non",0,MIN('01_Input'!$I$54,MAX('01_Input'!$H$54,IF('01_Input'!$G$54="Résiduel vs Gestion",0,IF('01_Input'!$G$54="Taux Classe sélectionnée",Distrib_Global_Classe_Selectionnee*AW$20,IF('01_Input'!$G$54="Frais KYC (paliers de 100M€)",MAX(0,Nb_Investisseurs-Nb_KYC_Gratuites_Par_Tranche*(FLOOR(AW$20/Taille_Tranche_KYC,1)+1))*Cout_Par_KYC_Supplementaire,(IF('01_Input'!$L$54="Forfait",IF(AW$20&gt;='01_Input'!$J$54,'01_Input'!$M$54,0),IF('01_Input'!$L$54="Palier",IF(AND(AW$20&gt;='01_Input'!$J$54,AW$20&lt;'01_Input'!$K$54),'01_Input'!$M$54,0),MAX(MIN(AW$20,'01_Input'!$K$54)-'01_Input'!$J$54,0)*'01_Input'!$M$54))+IF('01_Input'!$P$54="Forfait",IF(AW$20&gt;='01_Input'!$N$54,'01_Input'!$Q$54,0),IF('01_Input'!$P$54="Palier",IF(AND(AW$20&gt;='01_Input'!$N$54,AW$20&lt;'01_Input'!$O$54),'01_Input'!$Q$54,0),MAX(MIN(AW$20,'01_Input'!$O$54)-'01_Input'!$N$54,0)*'01_Input'!$Q$54))+IF('01_Input'!$T$54="Forfait",IF(AW$20&gt;='01_Input'!$R$54,'01_Input'!$U$54,0),IF('01_Input'!$T$54="Palier",IF(AND(AW$20&gt;='01_Input'!$R$54,AW$20&lt;'01_Input'!$S$54),'01_Input'!$U$54,0),MAX(MIN(AW$20,'01_Input'!$S$54)-'01_Input'!$R$54,0)*'01_Input'!$U$54))+IF('01_Input'!$X$54="Forfait",IF(AW$20&gt;='01_Input'!$V$54,'01_Input'!$Y$54,0),IF('01_Input'!$X$54="Palier",IF(AND(AW$20&gt;='01_Input'!$V$54,AW$20&lt;'01_Input'!$W$54),'01_Input'!$Y$54,0),MAX(MIN(AW$20,'01_Input'!$W$54)-'01_Input'!$V$54,0)*'01_Input'!$Y$54))+IF('01_Input'!$AB$54="Forfait",IF(AW$20&gt;='01_Input'!$Z$54,'01_Input'!$AC$54,0),IF('01_Input'!$AB$54="Palier",IF(AND(AW$20&gt;='01_Input'!$Z$54,AW$20&lt;'01_Input'!$AA$54),'01_Input'!$AC$54,0),MAX(MIN(AW$20,'01_Input'!$AA$54)-'01_Input'!$Z$54,0)*'01_Input'!$AC$54)))))))))</f>
        <v>2500600000</v>
      </c>
      <c r="AX22" s="83">
        <f>IF('01_Input'!$C$54="Non",0,MIN('01_Input'!$I$54,MAX('01_Input'!$H$54,IF('01_Input'!$G$54="Résiduel vs Gestion",0,IF('01_Input'!$G$54="Taux Classe sélectionnée",Distrib_Global_Classe_Selectionnee*AX$20,IF('01_Input'!$G$54="Frais KYC (paliers de 100M€)",MAX(0,Nb_Investisseurs-Nb_KYC_Gratuites_Par_Tranche*(FLOOR(AX$20/Taille_Tranche_KYC,1)+1))*Cout_Par_KYC_Supplementaire,(IF('01_Input'!$L$54="Forfait",IF(AX$20&gt;='01_Input'!$J$54,'01_Input'!$M$54,0),IF('01_Input'!$L$54="Palier",IF(AND(AX$20&gt;='01_Input'!$J$54,AX$20&lt;'01_Input'!$K$54),'01_Input'!$M$54,0),MAX(MIN(AX$20,'01_Input'!$K$54)-'01_Input'!$J$54,0)*'01_Input'!$M$54))+IF('01_Input'!$P$54="Forfait",IF(AX$20&gt;='01_Input'!$N$54,'01_Input'!$Q$54,0),IF('01_Input'!$P$54="Palier",IF(AND(AX$20&gt;='01_Input'!$N$54,AX$20&lt;'01_Input'!$O$54),'01_Input'!$Q$54,0),MAX(MIN(AX$20,'01_Input'!$O$54)-'01_Input'!$N$54,0)*'01_Input'!$Q$54))+IF('01_Input'!$T$54="Forfait",IF(AX$20&gt;='01_Input'!$R$54,'01_Input'!$U$54,0),IF('01_Input'!$T$54="Palier",IF(AND(AX$20&gt;='01_Input'!$R$54,AX$20&lt;'01_Input'!$S$54),'01_Input'!$U$54,0),MAX(MIN(AX$20,'01_Input'!$S$54)-'01_Input'!$R$54,0)*'01_Input'!$U$54))+IF('01_Input'!$X$54="Forfait",IF(AX$20&gt;='01_Input'!$V$54,'01_Input'!$Y$54,0),IF('01_Input'!$X$54="Palier",IF(AND(AX$20&gt;='01_Input'!$V$54,AX$20&lt;'01_Input'!$W$54),'01_Input'!$Y$54,0),MAX(MIN(AX$20,'01_Input'!$W$54)-'01_Input'!$V$54,0)*'01_Input'!$Y$54))+IF('01_Input'!$AB$54="Forfait",IF(AX$20&gt;='01_Input'!$Z$54,'01_Input'!$AC$54,0),IF('01_Input'!$AB$54="Palier",IF(AND(AX$20&gt;='01_Input'!$Z$54,AX$20&lt;'01_Input'!$AA$54),'01_Input'!$AC$54,0),MAX(MIN(AX$20,'01_Input'!$AA$54)-'01_Input'!$Z$54,0)*'01_Input'!$AC$54)))))))))</f>
        <v>2500600000</v>
      </c>
      <c r="AY22" s="83">
        <f>IF('01_Input'!$C$54="Non",0,MIN('01_Input'!$I$54,MAX('01_Input'!$H$54,IF('01_Input'!$G$54="Résiduel vs Gestion",0,IF('01_Input'!$G$54="Taux Classe sélectionnée",Distrib_Global_Classe_Selectionnee*AY$20,IF('01_Input'!$G$54="Frais KYC (paliers de 100M€)",MAX(0,Nb_Investisseurs-Nb_KYC_Gratuites_Par_Tranche*(FLOOR(AY$20/Taille_Tranche_KYC,1)+1))*Cout_Par_KYC_Supplementaire,(IF('01_Input'!$L$54="Forfait",IF(AY$20&gt;='01_Input'!$J$54,'01_Input'!$M$54,0),IF('01_Input'!$L$54="Palier",IF(AND(AY$20&gt;='01_Input'!$J$54,AY$20&lt;'01_Input'!$K$54),'01_Input'!$M$54,0),MAX(MIN(AY$20,'01_Input'!$K$54)-'01_Input'!$J$54,0)*'01_Input'!$M$54))+IF('01_Input'!$P$54="Forfait",IF(AY$20&gt;='01_Input'!$N$54,'01_Input'!$Q$54,0),IF('01_Input'!$P$54="Palier",IF(AND(AY$20&gt;='01_Input'!$N$54,AY$20&lt;'01_Input'!$O$54),'01_Input'!$Q$54,0),MAX(MIN(AY$20,'01_Input'!$O$54)-'01_Input'!$N$54,0)*'01_Input'!$Q$54))+IF('01_Input'!$T$54="Forfait",IF(AY$20&gt;='01_Input'!$R$54,'01_Input'!$U$54,0),IF('01_Input'!$T$54="Palier",IF(AND(AY$20&gt;='01_Input'!$R$54,AY$20&lt;'01_Input'!$S$54),'01_Input'!$U$54,0),MAX(MIN(AY$20,'01_Input'!$S$54)-'01_Input'!$R$54,0)*'01_Input'!$U$54))+IF('01_Input'!$X$54="Forfait",IF(AY$20&gt;='01_Input'!$V$54,'01_Input'!$Y$54,0),IF('01_Input'!$X$54="Palier",IF(AND(AY$20&gt;='01_Input'!$V$54,AY$20&lt;'01_Input'!$W$54),'01_Input'!$Y$54,0),MAX(MIN(AY$20,'01_Input'!$W$54)-'01_Input'!$V$54,0)*'01_Input'!$Y$54))+IF('01_Input'!$AB$54="Forfait",IF(AY$20&gt;='01_Input'!$Z$54,'01_Input'!$AC$54,0),IF('01_Input'!$AB$54="Palier",IF(AND(AY$20&gt;='01_Input'!$Z$54,AY$20&lt;'01_Input'!$AA$54),'01_Input'!$AC$54,0),MAX(MIN(AY$20,'01_Input'!$AA$54)-'01_Input'!$Z$54,0)*'01_Input'!$AC$54)))))))))</f>
        <v>2500600000</v>
      </c>
      <c r="AZ22" s="83">
        <f>IF('01_Input'!$C$54="Non",0,MIN('01_Input'!$I$54,MAX('01_Input'!$H$54,IF('01_Input'!$G$54="Résiduel vs Gestion",0,IF('01_Input'!$G$54="Taux Classe sélectionnée",Distrib_Global_Classe_Selectionnee*AZ$20,IF('01_Input'!$G$54="Frais KYC (paliers de 100M€)",MAX(0,Nb_Investisseurs-Nb_KYC_Gratuites_Par_Tranche*(FLOOR(AZ$20/Taille_Tranche_KYC,1)+1))*Cout_Par_KYC_Supplementaire,(IF('01_Input'!$L$54="Forfait",IF(AZ$20&gt;='01_Input'!$J$54,'01_Input'!$M$54,0),IF('01_Input'!$L$54="Palier",IF(AND(AZ$20&gt;='01_Input'!$J$54,AZ$20&lt;'01_Input'!$K$54),'01_Input'!$M$54,0),MAX(MIN(AZ$20,'01_Input'!$K$54)-'01_Input'!$J$54,0)*'01_Input'!$M$54))+IF('01_Input'!$P$54="Forfait",IF(AZ$20&gt;='01_Input'!$N$54,'01_Input'!$Q$54,0),IF('01_Input'!$P$54="Palier",IF(AND(AZ$20&gt;='01_Input'!$N$54,AZ$20&lt;'01_Input'!$O$54),'01_Input'!$Q$54,0),MAX(MIN(AZ$20,'01_Input'!$O$54)-'01_Input'!$N$54,0)*'01_Input'!$Q$54))+IF('01_Input'!$T$54="Forfait",IF(AZ$20&gt;='01_Input'!$R$54,'01_Input'!$U$54,0),IF('01_Input'!$T$54="Palier",IF(AND(AZ$20&gt;='01_Input'!$R$54,AZ$20&lt;'01_Input'!$S$54),'01_Input'!$U$54,0),MAX(MIN(AZ$20,'01_Input'!$S$54)-'01_Input'!$R$54,0)*'01_Input'!$U$54))+IF('01_Input'!$X$54="Forfait",IF(AZ$20&gt;='01_Input'!$V$54,'01_Input'!$Y$54,0),IF('01_Input'!$X$54="Palier",IF(AND(AZ$20&gt;='01_Input'!$V$54,AZ$20&lt;'01_Input'!$W$54),'01_Input'!$Y$54,0),MAX(MIN(AZ$20,'01_Input'!$W$54)-'01_Input'!$V$54,0)*'01_Input'!$Y$54))+IF('01_Input'!$AB$54="Forfait",IF(AZ$20&gt;='01_Input'!$Z$54,'01_Input'!$AC$54,0),IF('01_Input'!$AB$54="Palier",IF(AND(AZ$20&gt;='01_Input'!$Z$54,AZ$20&lt;'01_Input'!$AA$54),'01_Input'!$AC$54,0),MAX(MIN(AZ$20,'01_Input'!$AA$54)-'01_Input'!$Z$54,0)*'01_Input'!$AC$54)))))))))</f>
        <v>2500600000</v>
      </c>
      <c r="BA22" s="83">
        <f>IF('01_Input'!$C$54="Non",0,MIN('01_Input'!$I$54,MAX('01_Input'!$H$54,IF('01_Input'!$G$54="Résiduel vs Gestion",0,IF('01_Input'!$G$54="Taux Classe sélectionnée",Distrib_Global_Classe_Selectionnee*BA$20,IF('01_Input'!$G$54="Frais KYC (paliers de 100M€)",MAX(0,Nb_Investisseurs-Nb_KYC_Gratuites_Par_Tranche*(FLOOR(BA$20/Taille_Tranche_KYC,1)+1))*Cout_Par_KYC_Supplementaire,(IF('01_Input'!$L$54="Forfait",IF(BA$20&gt;='01_Input'!$J$54,'01_Input'!$M$54,0),IF('01_Input'!$L$54="Palier",IF(AND(BA$20&gt;='01_Input'!$J$54,BA$20&lt;'01_Input'!$K$54),'01_Input'!$M$54,0),MAX(MIN(BA$20,'01_Input'!$K$54)-'01_Input'!$J$54,0)*'01_Input'!$M$54))+IF('01_Input'!$P$54="Forfait",IF(BA$20&gt;='01_Input'!$N$54,'01_Input'!$Q$54,0),IF('01_Input'!$P$54="Palier",IF(AND(BA$20&gt;='01_Input'!$N$54,BA$20&lt;'01_Input'!$O$54),'01_Input'!$Q$54,0),MAX(MIN(BA$20,'01_Input'!$O$54)-'01_Input'!$N$54,0)*'01_Input'!$Q$54))+IF('01_Input'!$T$54="Forfait",IF(BA$20&gt;='01_Input'!$R$54,'01_Input'!$U$54,0),IF('01_Input'!$T$54="Palier",IF(AND(BA$20&gt;='01_Input'!$R$54,BA$20&lt;'01_Input'!$S$54),'01_Input'!$U$54,0),MAX(MIN(BA$20,'01_Input'!$S$54)-'01_Input'!$R$54,0)*'01_Input'!$U$54))+IF('01_Input'!$X$54="Forfait",IF(BA$20&gt;='01_Input'!$V$54,'01_Input'!$Y$54,0),IF('01_Input'!$X$54="Palier",IF(AND(BA$20&gt;='01_Input'!$V$54,BA$20&lt;'01_Input'!$W$54),'01_Input'!$Y$54,0),MAX(MIN(BA$20,'01_Input'!$W$54)-'01_Input'!$V$54,0)*'01_Input'!$Y$54))+IF('01_Input'!$AB$54="Forfait",IF(BA$20&gt;='01_Input'!$Z$54,'01_Input'!$AC$54,0),IF('01_Input'!$AB$54="Palier",IF(AND(BA$20&gt;='01_Input'!$Z$54,BA$20&lt;'01_Input'!$AA$54),'01_Input'!$AC$54,0),MAX(MIN(BA$20,'01_Input'!$AA$54)-'01_Input'!$Z$54,0)*'01_Input'!$AC$54)))))))))</f>
        <v>2500600000</v>
      </c>
      <c r="BB22" s="83">
        <f>IF('01_Input'!$C$54="Non",0,MIN('01_Input'!$I$54,MAX('01_Input'!$H$54,IF('01_Input'!$G$54="Résiduel vs Gestion",0,IF('01_Input'!$G$54="Taux Classe sélectionnée",Distrib_Global_Classe_Selectionnee*BB$20,IF('01_Input'!$G$54="Frais KYC (paliers de 100M€)",MAX(0,Nb_Investisseurs-Nb_KYC_Gratuites_Par_Tranche*(FLOOR(BB$20/Taille_Tranche_KYC,1)+1))*Cout_Par_KYC_Supplementaire,(IF('01_Input'!$L$54="Forfait",IF(BB$20&gt;='01_Input'!$J$54,'01_Input'!$M$54,0),IF('01_Input'!$L$54="Palier",IF(AND(BB$20&gt;='01_Input'!$J$54,BB$20&lt;'01_Input'!$K$54),'01_Input'!$M$54,0),MAX(MIN(BB$20,'01_Input'!$K$54)-'01_Input'!$J$54,0)*'01_Input'!$M$54))+IF('01_Input'!$P$54="Forfait",IF(BB$20&gt;='01_Input'!$N$54,'01_Input'!$Q$54,0),IF('01_Input'!$P$54="Palier",IF(AND(BB$20&gt;='01_Input'!$N$54,BB$20&lt;'01_Input'!$O$54),'01_Input'!$Q$54,0),MAX(MIN(BB$20,'01_Input'!$O$54)-'01_Input'!$N$54,0)*'01_Input'!$Q$54))+IF('01_Input'!$T$54="Forfait",IF(BB$20&gt;='01_Input'!$R$54,'01_Input'!$U$54,0),IF('01_Input'!$T$54="Palier",IF(AND(BB$20&gt;='01_Input'!$R$54,BB$20&lt;'01_Input'!$S$54),'01_Input'!$U$54,0),MAX(MIN(BB$20,'01_Input'!$S$54)-'01_Input'!$R$54,0)*'01_Input'!$U$54))+IF('01_Input'!$X$54="Forfait",IF(BB$20&gt;='01_Input'!$V$54,'01_Input'!$Y$54,0),IF('01_Input'!$X$54="Palier",IF(AND(BB$20&gt;='01_Input'!$V$54,BB$20&lt;'01_Input'!$W$54),'01_Input'!$Y$54,0),MAX(MIN(BB$20,'01_Input'!$W$54)-'01_Input'!$V$54,0)*'01_Input'!$Y$54))+IF('01_Input'!$AB$54="Forfait",IF(BB$20&gt;='01_Input'!$Z$54,'01_Input'!$AC$54,0),IF('01_Input'!$AB$54="Palier",IF(AND(BB$20&gt;='01_Input'!$Z$54,BB$20&lt;'01_Input'!$AA$54),'01_Input'!$AC$54,0),MAX(MIN(BB$20,'01_Input'!$AA$54)-'01_Input'!$Z$54,0)*'01_Input'!$AC$54)))))))))</f>
        <v>2500600000</v>
      </c>
      <c r="BC22" s="83">
        <f>IF('01_Input'!$C$54="Non",0,MIN('01_Input'!$I$54,MAX('01_Input'!$H$54,IF('01_Input'!$G$54="Résiduel vs Gestion",0,IF('01_Input'!$G$54="Taux Classe sélectionnée",Distrib_Global_Classe_Selectionnee*BC$20,IF('01_Input'!$G$54="Frais KYC (paliers de 100M€)",MAX(0,Nb_Investisseurs-Nb_KYC_Gratuites_Par_Tranche*(FLOOR(BC$20/Taille_Tranche_KYC,1)+1))*Cout_Par_KYC_Supplementaire,(IF('01_Input'!$L$54="Forfait",IF(BC$20&gt;='01_Input'!$J$54,'01_Input'!$M$54,0),IF('01_Input'!$L$54="Palier",IF(AND(BC$20&gt;='01_Input'!$J$54,BC$20&lt;'01_Input'!$K$54),'01_Input'!$M$54,0),MAX(MIN(BC$20,'01_Input'!$K$54)-'01_Input'!$J$54,0)*'01_Input'!$M$54))+IF('01_Input'!$P$54="Forfait",IF(BC$20&gt;='01_Input'!$N$54,'01_Input'!$Q$54,0),IF('01_Input'!$P$54="Palier",IF(AND(BC$20&gt;='01_Input'!$N$54,BC$20&lt;'01_Input'!$O$54),'01_Input'!$Q$54,0),MAX(MIN(BC$20,'01_Input'!$O$54)-'01_Input'!$N$54,0)*'01_Input'!$Q$54))+IF('01_Input'!$T$54="Forfait",IF(BC$20&gt;='01_Input'!$R$54,'01_Input'!$U$54,0),IF('01_Input'!$T$54="Palier",IF(AND(BC$20&gt;='01_Input'!$R$54,BC$20&lt;'01_Input'!$S$54),'01_Input'!$U$54,0),MAX(MIN(BC$20,'01_Input'!$S$54)-'01_Input'!$R$54,0)*'01_Input'!$U$54))+IF('01_Input'!$X$54="Forfait",IF(BC$20&gt;='01_Input'!$V$54,'01_Input'!$Y$54,0),IF('01_Input'!$X$54="Palier",IF(AND(BC$20&gt;='01_Input'!$V$54,BC$20&lt;'01_Input'!$W$54),'01_Input'!$Y$54,0),MAX(MIN(BC$20,'01_Input'!$W$54)-'01_Input'!$V$54,0)*'01_Input'!$Y$54))+IF('01_Input'!$AB$54="Forfait",IF(BC$20&gt;='01_Input'!$Z$54,'01_Input'!$AC$54,0),IF('01_Input'!$AB$54="Palier",IF(AND(BC$20&gt;='01_Input'!$Z$54,BC$20&lt;'01_Input'!$AA$54),'01_Input'!$AC$54,0),MAX(MIN(BC$20,'01_Input'!$AA$54)-'01_Input'!$Z$54,0)*'01_Input'!$AC$54)))))))))</f>
        <v>2500600000</v>
      </c>
      <c r="BD22" s="83">
        <f>IF('01_Input'!$C$54="Non",0,MIN('01_Input'!$I$54,MAX('01_Input'!$H$54,IF('01_Input'!$G$54="Résiduel vs Gestion",0,IF('01_Input'!$G$54="Taux Classe sélectionnée",Distrib_Global_Classe_Selectionnee*BD$20,IF('01_Input'!$G$54="Frais KYC (paliers de 100M€)",MAX(0,Nb_Investisseurs-Nb_KYC_Gratuites_Par_Tranche*(FLOOR(BD$20/Taille_Tranche_KYC,1)+1))*Cout_Par_KYC_Supplementaire,(IF('01_Input'!$L$54="Forfait",IF(BD$20&gt;='01_Input'!$J$54,'01_Input'!$M$54,0),IF('01_Input'!$L$54="Palier",IF(AND(BD$20&gt;='01_Input'!$J$54,BD$20&lt;'01_Input'!$K$54),'01_Input'!$M$54,0),MAX(MIN(BD$20,'01_Input'!$K$54)-'01_Input'!$J$54,0)*'01_Input'!$M$54))+IF('01_Input'!$P$54="Forfait",IF(BD$20&gt;='01_Input'!$N$54,'01_Input'!$Q$54,0),IF('01_Input'!$P$54="Palier",IF(AND(BD$20&gt;='01_Input'!$N$54,BD$20&lt;'01_Input'!$O$54),'01_Input'!$Q$54,0),MAX(MIN(BD$20,'01_Input'!$O$54)-'01_Input'!$N$54,0)*'01_Input'!$Q$54))+IF('01_Input'!$T$54="Forfait",IF(BD$20&gt;='01_Input'!$R$54,'01_Input'!$U$54,0),IF('01_Input'!$T$54="Palier",IF(AND(BD$20&gt;='01_Input'!$R$54,BD$20&lt;'01_Input'!$S$54),'01_Input'!$U$54,0),MAX(MIN(BD$20,'01_Input'!$S$54)-'01_Input'!$R$54,0)*'01_Input'!$U$54))+IF('01_Input'!$X$54="Forfait",IF(BD$20&gt;='01_Input'!$V$54,'01_Input'!$Y$54,0),IF('01_Input'!$X$54="Palier",IF(AND(BD$20&gt;='01_Input'!$V$54,BD$20&lt;'01_Input'!$W$54),'01_Input'!$Y$54,0),MAX(MIN(BD$20,'01_Input'!$W$54)-'01_Input'!$V$54,0)*'01_Input'!$Y$54))+IF('01_Input'!$AB$54="Forfait",IF(BD$20&gt;='01_Input'!$Z$54,'01_Input'!$AC$54,0),IF('01_Input'!$AB$54="Palier",IF(AND(BD$20&gt;='01_Input'!$Z$54,BD$20&lt;'01_Input'!$AA$54),'01_Input'!$AC$54,0),MAX(MIN(BD$20,'01_Input'!$AA$54)-'01_Input'!$Z$54,0)*'01_Input'!$AC$54)))))))))</f>
        <v>2500600000</v>
      </c>
      <c r="BE22" s="83">
        <f>IF('01_Input'!$C$54="Non",0,MIN('01_Input'!$I$54,MAX('01_Input'!$H$54,IF('01_Input'!$G$54="Résiduel vs Gestion",0,IF('01_Input'!$G$54="Taux Classe sélectionnée",Distrib_Global_Classe_Selectionnee*BE$20,IF('01_Input'!$G$54="Frais KYC (paliers de 100M€)",MAX(0,Nb_Investisseurs-Nb_KYC_Gratuites_Par_Tranche*(FLOOR(BE$20/Taille_Tranche_KYC,1)+1))*Cout_Par_KYC_Supplementaire,(IF('01_Input'!$L$54="Forfait",IF(BE$20&gt;='01_Input'!$J$54,'01_Input'!$M$54,0),IF('01_Input'!$L$54="Palier",IF(AND(BE$20&gt;='01_Input'!$J$54,BE$20&lt;'01_Input'!$K$54),'01_Input'!$M$54,0),MAX(MIN(BE$20,'01_Input'!$K$54)-'01_Input'!$J$54,0)*'01_Input'!$M$54))+IF('01_Input'!$P$54="Forfait",IF(BE$20&gt;='01_Input'!$N$54,'01_Input'!$Q$54,0),IF('01_Input'!$P$54="Palier",IF(AND(BE$20&gt;='01_Input'!$N$54,BE$20&lt;'01_Input'!$O$54),'01_Input'!$Q$54,0),MAX(MIN(BE$20,'01_Input'!$O$54)-'01_Input'!$N$54,0)*'01_Input'!$Q$54))+IF('01_Input'!$T$54="Forfait",IF(BE$20&gt;='01_Input'!$R$54,'01_Input'!$U$54,0),IF('01_Input'!$T$54="Palier",IF(AND(BE$20&gt;='01_Input'!$R$54,BE$20&lt;'01_Input'!$S$54),'01_Input'!$U$54,0),MAX(MIN(BE$20,'01_Input'!$S$54)-'01_Input'!$R$54,0)*'01_Input'!$U$54))+IF('01_Input'!$X$54="Forfait",IF(BE$20&gt;='01_Input'!$V$54,'01_Input'!$Y$54,0),IF('01_Input'!$X$54="Palier",IF(AND(BE$20&gt;='01_Input'!$V$54,BE$20&lt;'01_Input'!$W$54),'01_Input'!$Y$54,0),MAX(MIN(BE$20,'01_Input'!$W$54)-'01_Input'!$V$54,0)*'01_Input'!$Y$54))+IF('01_Input'!$AB$54="Forfait",IF(BE$20&gt;='01_Input'!$Z$54,'01_Input'!$AC$54,0),IF('01_Input'!$AB$54="Palier",IF(AND(BE$20&gt;='01_Input'!$Z$54,BE$20&lt;'01_Input'!$AA$54),'01_Input'!$AC$54,0),MAX(MIN(BE$20,'01_Input'!$AA$54)-'01_Input'!$Z$54,0)*'01_Input'!$AC$54)))))))))</f>
        <v>2500600000</v>
      </c>
      <c r="BF22" s="83">
        <f>IF('01_Input'!$C$54="Non",0,MIN('01_Input'!$I$54,MAX('01_Input'!$H$54,IF('01_Input'!$G$54="Résiduel vs Gestion",0,IF('01_Input'!$G$54="Taux Classe sélectionnée",Distrib_Global_Classe_Selectionnee*BF$20,IF('01_Input'!$G$54="Frais KYC (paliers de 100M€)",MAX(0,Nb_Investisseurs-Nb_KYC_Gratuites_Par_Tranche*(FLOOR(BF$20/Taille_Tranche_KYC,1)+1))*Cout_Par_KYC_Supplementaire,(IF('01_Input'!$L$54="Forfait",IF(BF$20&gt;='01_Input'!$J$54,'01_Input'!$M$54,0),IF('01_Input'!$L$54="Palier",IF(AND(BF$20&gt;='01_Input'!$J$54,BF$20&lt;'01_Input'!$K$54),'01_Input'!$M$54,0),MAX(MIN(BF$20,'01_Input'!$K$54)-'01_Input'!$J$54,0)*'01_Input'!$M$54))+IF('01_Input'!$P$54="Forfait",IF(BF$20&gt;='01_Input'!$N$54,'01_Input'!$Q$54,0),IF('01_Input'!$P$54="Palier",IF(AND(BF$20&gt;='01_Input'!$N$54,BF$20&lt;'01_Input'!$O$54),'01_Input'!$Q$54,0),MAX(MIN(BF$20,'01_Input'!$O$54)-'01_Input'!$N$54,0)*'01_Input'!$Q$54))+IF('01_Input'!$T$54="Forfait",IF(BF$20&gt;='01_Input'!$R$54,'01_Input'!$U$54,0),IF('01_Input'!$T$54="Palier",IF(AND(BF$20&gt;='01_Input'!$R$54,BF$20&lt;'01_Input'!$S$54),'01_Input'!$U$54,0),MAX(MIN(BF$20,'01_Input'!$S$54)-'01_Input'!$R$54,0)*'01_Input'!$U$54))+IF('01_Input'!$X$54="Forfait",IF(BF$20&gt;='01_Input'!$V$54,'01_Input'!$Y$54,0),IF('01_Input'!$X$54="Palier",IF(AND(BF$20&gt;='01_Input'!$V$54,BF$20&lt;'01_Input'!$W$54),'01_Input'!$Y$54,0),MAX(MIN(BF$20,'01_Input'!$W$54)-'01_Input'!$V$54,0)*'01_Input'!$Y$54))+IF('01_Input'!$AB$54="Forfait",IF(BF$20&gt;='01_Input'!$Z$54,'01_Input'!$AC$54,0),IF('01_Input'!$AB$54="Palier",IF(AND(BF$20&gt;='01_Input'!$Z$54,BF$20&lt;'01_Input'!$AA$54),'01_Input'!$AC$54,0),MAX(MIN(BF$20,'01_Input'!$AA$54)-'01_Input'!$Z$54,0)*'01_Input'!$AC$54)))))))))</f>
        <v>2500600000</v>
      </c>
      <c r="BG22" s="83">
        <f>IF('01_Input'!$C$54="Non",0,MIN('01_Input'!$I$54,MAX('01_Input'!$H$54,IF('01_Input'!$G$54="Résiduel vs Gestion",0,IF('01_Input'!$G$54="Taux Classe sélectionnée",Distrib_Global_Classe_Selectionnee*BG$20,IF('01_Input'!$G$54="Frais KYC (paliers de 100M€)",MAX(0,Nb_Investisseurs-Nb_KYC_Gratuites_Par_Tranche*(FLOOR(BG$20/Taille_Tranche_KYC,1)+1))*Cout_Par_KYC_Supplementaire,(IF('01_Input'!$L$54="Forfait",IF(BG$20&gt;='01_Input'!$J$54,'01_Input'!$M$54,0),IF('01_Input'!$L$54="Palier",IF(AND(BG$20&gt;='01_Input'!$J$54,BG$20&lt;'01_Input'!$K$54),'01_Input'!$M$54,0),MAX(MIN(BG$20,'01_Input'!$K$54)-'01_Input'!$J$54,0)*'01_Input'!$M$54))+IF('01_Input'!$P$54="Forfait",IF(BG$20&gt;='01_Input'!$N$54,'01_Input'!$Q$54,0),IF('01_Input'!$P$54="Palier",IF(AND(BG$20&gt;='01_Input'!$N$54,BG$20&lt;'01_Input'!$O$54),'01_Input'!$Q$54,0),MAX(MIN(BG$20,'01_Input'!$O$54)-'01_Input'!$N$54,0)*'01_Input'!$Q$54))+IF('01_Input'!$T$54="Forfait",IF(BG$20&gt;='01_Input'!$R$54,'01_Input'!$U$54,0),IF('01_Input'!$T$54="Palier",IF(AND(BG$20&gt;='01_Input'!$R$54,BG$20&lt;'01_Input'!$S$54),'01_Input'!$U$54,0),MAX(MIN(BG$20,'01_Input'!$S$54)-'01_Input'!$R$54,0)*'01_Input'!$U$54))+IF('01_Input'!$X$54="Forfait",IF(BG$20&gt;='01_Input'!$V$54,'01_Input'!$Y$54,0),IF('01_Input'!$X$54="Palier",IF(AND(BG$20&gt;='01_Input'!$V$54,BG$20&lt;'01_Input'!$W$54),'01_Input'!$Y$54,0),MAX(MIN(BG$20,'01_Input'!$W$54)-'01_Input'!$V$54,0)*'01_Input'!$Y$54))+IF('01_Input'!$AB$54="Forfait",IF(BG$20&gt;='01_Input'!$Z$54,'01_Input'!$AC$54,0),IF('01_Input'!$AB$54="Palier",IF(AND(BG$20&gt;='01_Input'!$Z$54,BG$20&lt;'01_Input'!$AA$54),'01_Input'!$AC$54,0),MAX(MIN(BG$20,'01_Input'!$AA$54)-'01_Input'!$Z$54,0)*'01_Input'!$AC$54)))))))))</f>
        <v>2500600000</v>
      </c>
      <c r="BH22" s="83">
        <f>IF('01_Input'!$C$54="Non",0,MIN('01_Input'!$I$54,MAX('01_Input'!$H$54,IF('01_Input'!$G$54="Résiduel vs Gestion",0,IF('01_Input'!$G$54="Taux Classe sélectionnée",Distrib_Global_Classe_Selectionnee*BH$20,IF('01_Input'!$G$54="Frais KYC (paliers de 100M€)",MAX(0,Nb_Investisseurs-Nb_KYC_Gratuites_Par_Tranche*(FLOOR(BH$20/Taille_Tranche_KYC,1)+1))*Cout_Par_KYC_Supplementaire,(IF('01_Input'!$L$54="Forfait",IF(BH$20&gt;='01_Input'!$J$54,'01_Input'!$M$54,0),IF('01_Input'!$L$54="Palier",IF(AND(BH$20&gt;='01_Input'!$J$54,BH$20&lt;'01_Input'!$K$54),'01_Input'!$M$54,0),MAX(MIN(BH$20,'01_Input'!$K$54)-'01_Input'!$J$54,0)*'01_Input'!$M$54))+IF('01_Input'!$P$54="Forfait",IF(BH$20&gt;='01_Input'!$N$54,'01_Input'!$Q$54,0),IF('01_Input'!$P$54="Palier",IF(AND(BH$20&gt;='01_Input'!$N$54,BH$20&lt;'01_Input'!$O$54),'01_Input'!$Q$54,0),MAX(MIN(BH$20,'01_Input'!$O$54)-'01_Input'!$N$54,0)*'01_Input'!$Q$54))+IF('01_Input'!$T$54="Forfait",IF(BH$20&gt;='01_Input'!$R$54,'01_Input'!$U$54,0),IF('01_Input'!$T$54="Palier",IF(AND(BH$20&gt;='01_Input'!$R$54,BH$20&lt;'01_Input'!$S$54),'01_Input'!$U$54,0),MAX(MIN(BH$20,'01_Input'!$S$54)-'01_Input'!$R$54,0)*'01_Input'!$U$54))+IF('01_Input'!$X$54="Forfait",IF(BH$20&gt;='01_Input'!$V$54,'01_Input'!$Y$54,0),IF('01_Input'!$X$54="Palier",IF(AND(BH$20&gt;='01_Input'!$V$54,BH$20&lt;'01_Input'!$W$54),'01_Input'!$Y$54,0),MAX(MIN(BH$20,'01_Input'!$W$54)-'01_Input'!$V$54,0)*'01_Input'!$Y$54))+IF('01_Input'!$AB$54="Forfait",IF(BH$20&gt;='01_Input'!$Z$54,'01_Input'!$AC$54,0),IF('01_Input'!$AB$54="Palier",IF(AND(BH$20&gt;='01_Input'!$Z$54,BH$20&lt;'01_Input'!$AA$54),'01_Input'!$AC$54,0),MAX(MIN(BH$20,'01_Input'!$AA$54)-'01_Input'!$Z$54,0)*'01_Input'!$AC$54)))))))))</f>
        <v>2500600000</v>
      </c>
      <c r="BI22" s="83">
        <f>IF('01_Input'!$C$54="Non",0,MIN('01_Input'!$I$54,MAX('01_Input'!$H$54,IF('01_Input'!$G$54="Résiduel vs Gestion",0,IF('01_Input'!$G$54="Taux Classe sélectionnée",Distrib_Global_Classe_Selectionnee*BI$20,IF('01_Input'!$G$54="Frais KYC (paliers de 100M€)",MAX(0,Nb_Investisseurs-Nb_KYC_Gratuites_Par_Tranche*(FLOOR(BI$20/Taille_Tranche_KYC,1)+1))*Cout_Par_KYC_Supplementaire,(IF('01_Input'!$L$54="Forfait",IF(BI$20&gt;='01_Input'!$J$54,'01_Input'!$M$54,0),IF('01_Input'!$L$54="Palier",IF(AND(BI$20&gt;='01_Input'!$J$54,BI$20&lt;'01_Input'!$K$54),'01_Input'!$M$54,0),MAX(MIN(BI$20,'01_Input'!$K$54)-'01_Input'!$J$54,0)*'01_Input'!$M$54))+IF('01_Input'!$P$54="Forfait",IF(BI$20&gt;='01_Input'!$N$54,'01_Input'!$Q$54,0),IF('01_Input'!$P$54="Palier",IF(AND(BI$20&gt;='01_Input'!$N$54,BI$20&lt;'01_Input'!$O$54),'01_Input'!$Q$54,0),MAX(MIN(BI$20,'01_Input'!$O$54)-'01_Input'!$N$54,0)*'01_Input'!$Q$54))+IF('01_Input'!$T$54="Forfait",IF(BI$20&gt;='01_Input'!$R$54,'01_Input'!$U$54,0),IF('01_Input'!$T$54="Palier",IF(AND(BI$20&gt;='01_Input'!$R$54,BI$20&lt;'01_Input'!$S$54),'01_Input'!$U$54,0),MAX(MIN(BI$20,'01_Input'!$S$54)-'01_Input'!$R$54,0)*'01_Input'!$U$54))+IF('01_Input'!$X$54="Forfait",IF(BI$20&gt;='01_Input'!$V$54,'01_Input'!$Y$54,0),IF('01_Input'!$X$54="Palier",IF(AND(BI$20&gt;='01_Input'!$V$54,BI$20&lt;'01_Input'!$W$54),'01_Input'!$Y$54,0),MAX(MIN(BI$20,'01_Input'!$W$54)-'01_Input'!$V$54,0)*'01_Input'!$Y$54))+IF('01_Input'!$AB$54="Forfait",IF(BI$20&gt;='01_Input'!$Z$54,'01_Input'!$AC$54,0),IF('01_Input'!$AB$54="Palier",IF(AND(BI$20&gt;='01_Input'!$Z$54,BI$20&lt;'01_Input'!$AA$54),'01_Input'!$AC$54,0),MAX(MIN(BI$20,'01_Input'!$AA$54)-'01_Input'!$Z$54,0)*'01_Input'!$AC$54)))))))))</f>
        <v>2500600000</v>
      </c>
      <c r="BJ22" s="83">
        <f>IF('01_Input'!$C$54="Non",0,MIN('01_Input'!$I$54,MAX('01_Input'!$H$54,IF('01_Input'!$G$54="Résiduel vs Gestion",0,IF('01_Input'!$G$54="Taux Classe sélectionnée",Distrib_Global_Classe_Selectionnee*BJ$20,IF('01_Input'!$G$54="Frais KYC (paliers de 100M€)",MAX(0,Nb_Investisseurs-Nb_KYC_Gratuites_Par_Tranche*(FLOOR(BJ$20/Taille_Tranche_KYC,1)+1))*Cout_Par_KYC_Supplementaire,(IF('01_Input'!$L$54="Forfait",IF(BJ$20&gt;='01_Input'!$J$54,'01_Input'!$M$54,0),IF('01_Input'!$L$54="Palier",IF(AND(BJ$20&gt;='01_Input'!$J$54,BJ$20&lt;'01_Input'!$K$54),'01_Input'!$M$54,0),MAX(MIN(BJ$20,'01_Input'!$K$54)-'01_Input'!$J$54,0)*'01_Input'!$M$54))+IF('01_Input'!$P$54="Forfait",IF(BJ$20&gt;='01_Input'!$N$54,'01_Input'!$Q$54,0),IF('01_Input'!$P$54="Palier",IF(AND(BJ$20&gt;='01_Input'!$N$54,BJ$20&lt;'01_Input'!$O$54),'01_Input'!$Q$54,0),MAX(MIN(BJ$20,'01_Input'!$O$54)-'01_Input'!$N$54,0)*'01_Input'!$Q$54))+IF('01_Input'!$T$54="Forfait",IF(BJ$20&gt;='01_Input'!$R$54,'01_Input'!$U$54,0),IF('01_Input'!$T$54="Palier",IF(AND(BJ$20&gt;='01_Input'!$R$54,BJ$20&lt;'01_Input'!$S$54),'01_Input'!$U$54,0),MAX(MIN(BJ$20,'01_Input'!$S$54)-'01_Input'!$R$54,0)*'01_Input'!$U$54))+IF('01_Input'!$X$54="Forfait",IF(BJ$20&gt;='01_Input'!$V$54,'01_Input'!$Y$54,0),IF('01_Input'!$X$54="Palier",IF(AND(BJ$20&gt;='01_Input'!$V$54,BJ$20&lt;'01_Input'!$W$54),'01_Input'!$Y$54,0),MAX(MIN(BJ$20,'01_Input'!$W$54)-'01_Input'!$V$54,0)*'01_Input'!$Y$54))+IF('01_Input'!$AB$54="Forfait",IF(BJ$20&gt;='01_Input'!$Z$54,'01_Input'!$AC$54,0),IF('01_Input'!$AB$54="Palier",IF(AND(BJ$20&gt;='01_Input'!$Z$54,BJ$20&lt;'01_Input'!$AA$54),'01_Input'!$AC$54,0),MAX(MIN(BJ$20,'01_Input'!$AA$54)-'01_Input'!$Z$54,0)*'01_Input'!$AC$54)))))))))</f>
        <v>2500600000</v>
      </c>
      <c r="BK22" s="83">
        <f>IF('01_Input'!$C$54="Non",0,MIN('01_Input'!$I$54,MAX('01_Input'!$H$54,IF('01_Input'!$G$54="Résiduel vs Gestion",0,IF('01_Input'!$G$54="Taux Classe sélectionnée",Distrib_Global_Classe_Selectionnee*BK$20,IF('01_Input'!$G$54="Frais KYC (paliers de 100M€)",MAX(0,Nb_Investisseurs-Nb_KYC_Gratuites_Par_Tranche*(FLOOR(BK$20/Taille_Tranche_KYC,1)+1))*Cout_Par_KYC_Supplementaire,(IF('01_Input'!$L$54="Forfait",IF(BK$20&gt;='01_Input'!$J$54,'01_Input'!$M$54,0),IF('01_Input'!$L$54="Palier",IF(AND(BK$20&gt;='01_Input'!$J$54,BK$20&lt;'01_Input'!$K$54),'01_Input'!$M$54,0),MAX(MIN(BK$20,'01_Input'!$K$54)-'01_Input'!$J$54,0)*'01_Input'!$M$54))+IF('01_Input'!$P$54="Forfait",IF(BK$20&gt;='01_Input'!$N$54,'01_Input'!$Q$54,0),IF('01_Input'!$P$54="Palier",IF(AND(BK$20&gt;='01_Input'!$N$54,BK$20&lt;'01_Input'!$O$54),'01_Input'!$Q$54,0),MAX(MIN(BK$20,'01_Input'!$O$54)-'01_Input'!$N$54,0)*'01_Input'!$Q$54))+IF('01_Input'!$T$54="Forfait",IF(BK$20&gt;='01_Input'!$R$54,'01_Input'!$U$54,0),IF('01_Input'!$T$54="Palier",IF(AND(BK$20&gt;='01_Input'!$R$54,BK$20&lt;'01_Input'!$S$54),'01_Input'!$U$54,0),MAX(MIN(BK$20,'01_Input'!$S$54)-'01_Input'!$R$54,0)*'01_Input'!$U$54))+IF('01_Input'!$X$54="Forfait",IF(BK$20&gt;='01_Input'!$V$54,'01_Input'!$Y$54,0),IF('01_Input'!$X$54="Palier",IF(AND(BK$20&gt;='01_Input'!$V$54,BK$20&lt;'01_Input'!$W$54),'01_Input'!$Y$54,0),MAX(MIN(BK$20,'01_Input'!$W$54)-'01_Input'!$V$54,0)*'01_Input'!$Y$54))+IF('01_Input'!$AB$54="Forfait",IF(BK$20&gt;='01_Input'!$Z$54,'01_Input'!$AC$54,0),IF('01_Input'!$AB$54="Palier",IF(AND(BK$20&gt;='01_Input'!$Z$54,BK$20&lt;'01_Input'!$AA$54),'01_Input'!$AC$54,0),MAX(MIN(BK$20,'01_Input'!$AA$54)-'01_Input'!$Z$54,0)*'01_Input'!$AC$54)))))))))</f>
        <v>2500600000</v>
      </c>
      <c r="BL22" s="83">
        <f>IF('01_Input'!$C$54="Non",0,MIN('01_Input'!$I$54,MAX('01_Input'!$H$54,IF('01_Input'!$G$54="Résiduel vs Gestion",0,IF('01_Input'!$G$54="Taux Classe sélectionnée",Distrib_Global_Classe_Selectionnee*BL$20,IF('01_Input'!$G$54="Frais KYC (paliers de 100M€)",MAX(0,Nb_Investisseurs-Nb_KYC_Gratuites_Par_Tranche*(FLOOR(BL$20/Taille_Tranche_KYC,1)+1))*Cout_Par_KYC_Supplementaire,(IF('01_Input'!$L$54="Forfait",IF(BL$20&gt;='01_Input'!$J$54,'01_Input'!$M$54,0),IF('01_Input'!$L$54="Palier",IF(AND(BL$20&gt;='01_Input'!$J$54,BL$20&lt;'01_Input'!$K$54),'01_Input'!$M$54,0),MAX(MIN(BL$20,'01_Input'!$K$54)-'01_Input'!$J$54,0)*'01_Input'!$M$54))+IF('01_Input'!$P$54="Forfait",IF(BL$20&gt;='01_Input'!$N$54,'01_Input'!$Q$54,0),IF('01_Input'!$P$54="Palier",IF(AND(BL$20&gt;='01_Input'!$N$54,BL$20&lt;'01_Input'!$O$54),'01_Input'!$Q$54,0),MAX(MIN(BL$20,'01_Input'!$O$54)-'01_Input'!$N$54,0)*'01_Input'!$Q$54))+IF('01_Input'!$T$54="Forfait",IF(BL$20&gt;='01_Input'!$R$54,'01_Input'!$U$54,0),IF('01_Input'!$T$54="Palier",IF(AND(BL$20&gt;='01_Input'!$R$54,BL$20&lt;'01_Input'!$S$54),'01_Input'!$U$54,0),MAX(MIN(BL$20,'01_Input'!$S$54)-'01_Input'!$R$54,0)*'01_Input'!$U$54))+IF('01_Input'!$X$54="Forfait",IF(BL$20&gt;='01_Input'!$V$54,'01_Input'!$Y$54,0),IF('01_Input'!$X$54="Palier",IF(AND(BL$20&gt;='01_Input'!$V$54,BL$20&lt;'01_Input'!$W$54),'01_Input'!$Y$54,0),MAX(MIN(BL$20,'01_Input'!$W$54)-'01_Input'!$V$54,0)*'01_Input'!$Y$54))+IF('01_Input'!$AB$54="Forfait",IF(BL$20&gt;='01_Input'!$Z$54,'01_Input'!$AC$54,0),IF('01_Input'!$AB$54="Palier",IF(AND(BL$20&gt;='01_Input'!$Z$54,BL$20&lt;'01_Input'!$AA$54),'01_Input'!$AC$54,0),MAX(MIN(BL$20,'01_Input'!$AA$54)-'01_Input'!$Z$54,0)*'01_Input'!$AC$54)))))))))</f>
        <v>2500600000</v>
      </c>
      <c r="BM22" s="83">
        <f>IF('01_Input'!$C$54="Non",0,MIN('01_Input'!$I$54,MAX('01_Input'!$H$54,IF('01_Input'!$G$54="Résiduel vs Gestion",0,IF('01_Input'!$G$54="Taux Classe sélectionnée",Distrib_Global_Classe_Selectionnee*BM$20,IF('01_Input'!$G$54="Frais KYC (paliers de 100M€)",MAX(0,Nb_Investisseurs-Nb_KYC_Gratuites_Par_Tranche*(FLOOR(BM$20/Taille_Tranche_KYC,1)+1))*Cout_Par_KYC_Supplementaire,(IF('01_Input'!$L$54="Forfait",IF(BM$20&gt;='01_Input'!$J$54,'01_Input'!$M$54,0),IF('01_Input'!$L$54="Palier",IF(AND(BM$20&gt;='01_Input'!$J$54,BM$20&lt;'01_Input'!$K$54),'01_Input'!$M$54,0),MAX(MIN(BM$20,'01_Input'!$K$54)-'01_Input'!$J$54,0)*'01_Input'!$M$54))+IF('01_Input'!$P$54="Forfait",IF(BM$20&gt;='01_Input'!$N$54,'01_Input'!$Q$54,0),IF('01_Input'!$P$54="Palier",IF(AND(BM$20&gt;='01_Input'!$N$54,BM$20&lt;'01_Input'!$O$54),'01_Input'!$Q$54,0),MAX(MIN(BM$20,'01_Input'!$O$54)-'01_Input'!$N$54,0)*'01_Input'!$Q$54))+IF('01_Input'!$T$54="Forfait",IF(BM$20&gt;='01_Input'!$R$54,'01_Input'!$U$54,0),IF('01_Input'!$T$54="Palier",IF(AND(BM$20&gt;='01_Input'!$R$54,BM$20&lt;'01_Input'!$S$54),'01_Input'!$U$54,0),MAX(MIN(BM$20,'01_Input'!$S$54)-'01_Input'!$R$54,0)*'01_Input'!$U$54))+IF('01_Input'!$X$54="Forfait",IF(BM$20&gt;='01_Input'!$V$54,'01_Input'!$Y$54,0),IF('01_Input'!$X$54="Palier",IF(AND(BM$20&gt;='01_Input'!$V$54,BM$20&lt;'01_Input'!$W$54),'01_Input'!$Y$54,0),MAX(MIN(BM$20,'01_Input'!$W$54)-'01_Input'!$V$54,0)*'01_Input'!$Y$54))+IF('01_Input'!$AB$54="Forfait",IF(BM$20&gt;='01_Input'!$Z$54,'01_Input'!$AC$54,0),IF('01_Input'!$AB$54="Palier",IF(AND(BM$20&gt;='01_Input'!$Z$54,BM$20&lt;'01_Input'!$AA$54),'01_Input'!$AC$54,0),MAX(MIN(BM$20,'01_Input'!$AA$54)-'01_Input'!$Z$54,0)*'01_Input'!$AC$54)))))))))</f>
        <v>2500600000</v>
      </c>
      <c r="BN22" s="83">
        <f>IF('01_Input'!$C$54="Non",0,MIN('01_Input'!$I$54,MAX('01_Input'!$H$54,IF('01_Input'!$G$54="Résiduel vs Gestion",0,IF('01_Input'!$G$54="Taux Classe sélectionnée",Distrib_Global_Classe_Selectionnee*BN$20,IF('01_Input'!$G$54="Frais KYC (paliers de 100M€)",MAX(0,Nb_Investisseurs-Nb_KYC_Gratuites_Par_Tranche*(FLOOR(BN$20/Taille_Tranche_KYC,1)+1))*Cout_Par_KYC_Supplementaire,(IF('01_Input'!$L$54="Forfait",IF(BN$20&gt;='01_Input'!$J$54,'01_Input'!$M$54,0),IF('01_Input'!$L$54="Palier",IF(AND(BN$20&gt;='01_Input'!$J$54,BN$20&lt;'01_Input'!$K$54),'01_Input'!$M$54,0),MAX(MIN(BN$20,'01_Input'!$K$54)-'01_Input'!$J$54,0)*'01_Input'!$M$54))+IF('01_Input'!$P$54="Forfait",IF(BN$20&gt;='01_Input'!$N$54,'01_Input'!$Q$54,0),IF('01_Input'!$P$54="Palier",IF(AND(BN$20&gt;='01_Input'!$N$54,BN$20&lt;'01_Input'!$O$54),'01_Input'!$Q$54,0),MAX(MIN(BN$20,'01_Input'!$O$54)-'01_Input'!$N$54,0)*'01_Input'!$Q$54))+IF('01_Input'!$T$54="Forfait",IF(BN$20&gt;='01_Input'!$R$54,'01_Input'!$U$54,0),IF('01_Input'!$T$54="Palier",IF(AND(BN$20&gt;='01_Input'!$R$54,BN$20&lt;'01_Input'!$S$54),'01_Input'!$U$54,0),MAX(MIN(BN$20,'01_Input'!$S$54)-'01_Input'!$R$54,0)*'01_Input'!$U$54))+IF('01_Input'!$X$54="Forfait",IF(BN$20&gt;='01_Input'!$V$54,'01_Input'!$Y$54,0),IF('01_Input'!$X$54="Palier",IF(AND(BN$20&gt;='01_Input'!$V$54,BN$20&lt;'01_Input'!$W$54),'01_Input'!$Y$54,0),MAX(MIN(BN$20,'01_Input'!$W$54)-'01_Input'!$V$54,0)*'01_Input'!$Y$54))+IF('01_Input'!$AB$54="Forfait",IF(BN$20&gt;='01_Input'!$Z$54,'01_Input'!$AC$54,0),IF('01_Input'!$AB$54="Palier",IF(AND(BN$20&gt;='01_Input'!$Z$54,BN$20&lt;'01_Input'!$AA$54),'01_Input'!$AC$54,0),MAX(MIN(BN$20,'01_Input'!$AA$54)-'01_Input'!$Z$54,0)*'01_Input'!$AC$54)))))))))</f>
        <v>2500600000</v>
      </c>
      <c r="BO22" s="83">
        <f>IF('01_Input'!$C$54="Non",0,MIN('01_Input'!$I$54,MAX('01_Input'!$H$54,IF('01_Input'!$G$54="Résiduel vs Gestion",0,IF('01_Input'!$G$54="Taux Classe sélectionnée",Distrib_Global_Classe_Selectionnee*BO$20,IF('01_Input'!$G$54="Frais KYC (paliers de 100M€)",MAX(0,Nb_Investisseurs-Nb_KYC_Gratuites_Par_Tranche*(FLOOR(BO$20/Taille_Tranche_KYC,1)+1))*Cout_Par_KYC_Supplementaire,(IF('01_Input'!$L$54="Forfait",IF(BO$20&gt;='01_Input'!$J$54,'01_Input'!$M$54,0),IF('01_Input'!$L$54="Palier",IF(AND(BO$20&gt;='01_Input'!$J$54,BO$20&lt;'01_Input'!$K$54),'01_Input'!$M$54,0),MAX(MIN(BO$20,'01_Input'!$K$54)-'01_Input'!$J$54,0)*'01_Input'!$M$54))+IF('01_Input'!$P$54="Forfait",IF(BO$20&gt;='01_Input'!$N$54,'01_Input'!$Q$54,0),IF('01_Input'!$P$54="Palier",IF(AND(BO$20&gt;='01_Input'!$N$54,BO$20&lt;'01_Input'!$O$54),'01_Input'!$Q$54,0),MAX(MIN(BO$20,'01_Input'!$O$54)-'01_Input'!$N$54,0)*'01_Input'!$Q$54))+IF('01_Input'!$T$54="Forfait",IF(BO$20&gt;='01_Input'!$R$54,'01_Input'!$U$54,0),IF('01_Input'!$T$54="Palier",IF(AND(BO$20&gt;='01_Input'!$R$54,BO$20&lt;'01_Input'!$S$54),'01_Input'!$U$54,0),MAX(MIN(BO$20,'01_Input'!$S$54)-'01_Input'!$R$54,0)*'01_Input'!$U$54))+IF('01_Input'!$X$54="Forfait",IF(BO$20&gt;='01_Input'!$V$54,'01_Input'!$Y$54,0),IF('01_Input'!$X$54="Palier",IF(AND(BO$20&gt;='01_Input'!$V$54,BO$20&lt;'01_Input'!$W$54),'01_Input'!$Y$54,0),MAX(MIN(BO$20,'01_Input'!$W$54)-'01_Input'!$V$54,0)*'01_Input'!$Y$54))+IF('01_Input'!$AB$54="Forfait",IF(BO$20&gt;='01_Input'!$Z$54,'01_Input'!$AC$54,0),IF('01_Input'!$AB$54="Palier",IF(AND(BO$20&gt;='01_Input'!$Z$54,BO$20&lt;'01_Input'!$AA$54),'01_Input'!$AC$54,0),MAX(MIN(BO$20,'01_Input'!$AA$54)-'01_Input'!$Z$54,0)*'01_Input'!$AC$54)))))))))</f>
        <v>2500600000</v>
      </c>
      <c r="BP22" s="83">
        <f>IF('01_Input'!$C$54="Non",0,MIN('01_Input'!$I$54,MAX('01_Input'!$H$54,IF('01_Input'!$G$54="Résiduel vs Gestion",0,IF('01_Input'!$G$54="Taux Classe sélectionnée",Distrib_Global_Classe_Selectionnee*BP$20,IF('01_Input'!$G$54="Frais KYC (paliers de 100M€)",MAX(0,Nb_Investisseurs-Nb_KYC_Gratuites_Par_Tranche*(FLOOR(BP$20/Taille_Tranche_KYC,1)+1))*Cout_Par_KYC_Supplementaire,(IF('01_Input'!$L$54="Forfait",IF(BP$20&gt;='01_Input'!$J$54,'01_Input'!$M$54,0),IF('01_Input'!$L$54="Palier",IF(AND(BP$20&gt;='01_Input'!$J$54,BP$20&lt;'01_Input'!$K$54),'01_Input'!$M$54,0),MAX(MIN(BP$20,'01_Input'!$K$54)-'01_Input'!$J$54,0)*'01_Input'!$M$54))+IF('01_Input'!$P$54="Forfait",IF(BP$20&gt;='01_Input'!$N$54,'01_Input'!$Q$54,0),IF('01_Input'!$P$54="Palier",IF(AND(BP$20&gt;='01_Input'!$N$54,BP$20&lt;'01_Input'!$O$54),'01_Input'!$Q$54,0),MAX(MIN(BP$20,'01_Input'!$O$54)-'01_Input'!$N$54,0)*'01_Input'!$Q$54))+IF('01_Input'!$T$54="Forfait",IF(BP$20&gt;='01_Input'!$R$54,'01_Input'!$U$54,0),IF('01_Input'!$T$54="Palier",IF(AND(BP$20&gt;='01_Input'!$R$54,BP$20&lt;'01_Input'!$S$54),'01_Input'!$U$54,0),MAX(MIN(BP$20,'01_Input'!$S$54)-'01_Input'!$R$54,0)*'01_Input'!$U$54))+IF('01_Input'!$X$54="Forfait",IF(BP$20&gt;='01_Input'!$V$54,'01_Input'!$Y$54,0),IF('01_Input'!$X$54="Palier",IF(AND(BP$20&gt;='01_Input'!$V$54,BP$20&lt;'01_Input'!$W$54),'01_Input'!$Y$54,0),MAX(MIN(BP$20,'01_Input'!$W$54)-'01_Input'!$V$54,0)*'01_Input'!$Y$54))+IF('01_Input'!$AB$54="Forfait",IF(BP$20&gt;='01_Input'!$Z$54,'01_Input'!$AC$54,0),IF('01_Input'!$AB$54="Palier",IF(AND(BP$20&gt;='01_Input'!$Z$54,BP$20&lt;'01_Input'!$AA$54),'01_Input'!$AC$54,0),MAX(MIN(BP$20,'01_Input'!$AA$54)-'01_Input'!$Z$54,0)*'01_Input'!$AC$54)))))))))</f>
        <v>2500600000</v>
      </c>
      <c r="BQ22" s="83">
        <f>IF('01_Input'!$C$54="Non",0,MIN('01_Input'!$I$54,MAX('01_Input'!$H$54,IF('01_Input'!$G$54="Résiduel vs Gestion",0,IF('01_Input'!$G$54="Taux Classe sélectionnée",Distrib_Global_Classe_Selectionnee*BQ$20,IF('01_Input'!$G$54="Frais KYC (paliers de 100M€)",MAX(0,Nb_Investisseurs-Nb_KYC_Gratuites_Par_Tranche*(FLOOR(BQ$20/Taille_Tranche_KYC,1)+1))*Cout_Par_KYC_Supplementaire,(IF('01_Input'!$L$54="Forfait",IF(BQ$20&gt;='01_Input'!$J$54,'01_Input'!$M$54,0),IF('01_Input'!$L$54="Palier",IF(AND(BQ$20&gt;='01_Input'!$J$54,BQ$20&lt;'01_Input'!$K$54),'01_Input'!$M$54,0),MAX(MIN(BQ$20,'01_Input'!$K$54)-'01_Input'!$J$54,0)*'01_Input'!$M$54))+IF('01_Input'!$P$54="Forfait",IF(BQ$20&gt;='01_Input'!$N$54,'01_Input'!$Q$54,0),IF('01_Input'!$P$54="Palier",IF(AND(BQ$20&gt;='01_Input'!$N$54,BQ$20&lt;'01_Input'!$O$54),'01_Input'!$Q$54,0),MAX(MIN(BQ$20,'01_Input'!$O$54)-'01_Input'!$N$54,0)*'01_Input'!$Q$54))+IF('01_Input'!$T$54="Forfait",IF(BQ$20&gt;='01_Input'!$R$54,'01_Input'!$U$54,0),IF('01_Input'!$T$54="Palier",IF(AND(BQ$20&gt;='01_Input'!$R$54,BQ$20&lt;'01_Input'!$S$54),'01_Input'!$U$54,0),MAX(MIN(BQ$20,'01_Input'!$S$54)-'01_Input'!$R$54,0)*'01_Input'!$U$54))+IF('01_Input'!$X$54="Forfait",IF(BQ$20&gt;='01_Input'!$V$54,'01_Input'!$Y$54,0),IF('01_Input'!$X$54="Palier",IF(AND(BQ$20&gt;='01_Input'!$V$54,BQ$20&lt;'01_Input'!$W$54),'01_Input'!$Y$54,0),MAX(MIN(BQ$20,'01_Input'!$W$54)-'01_Input'!$V$54,0)*'01_Input'!$Y$54))+IF('01_Input'!$AB$54="Forfait",IF(BQ$20&gt;='01_Input'!$Z$54,'01_Input'!$AC$54,0),IF('01_Input'!$AB$54="Palier",IF(AND(BQ$20&gt;='01_Input'!$Z$54,BQ$20&lt;'01_Input'!$AA$54),'01_Input'!$AC$54,0),MAX(MIN(BQ$20,'01_Input'!$AA$54)-'01_Input'!$Z$54,0)*'01_Input'!$AC$54)))))))))</f>
        <v>2500600000</v>
      </c>
      <c r="BR22" s="83">
        <f>IF('01_Input'!$C$54="Non",0,MIN('01_Input'!$I$54,MAX('01_Input'!$H$54,IF('01_Input'!$G$54="Résiduel vs Gestion",0,IF('01_Input'!$G$54="Taux Classe sélectionnée",Distrib_Global_Classe_Selectionnee*BR$20,IF('01_Input'!$G$54="Frais KYC (paliers de 100M€)",MAX(0,Nb_Investisseurs-Nb_KYC_Gratuites_Par_Tranche*(FLOOR(BR$20/Taille_Tranche_KYC,1)+1))*Cout_Par_KYC_Supplementaire,(IF('01_Input'!$L$54="Forfait",IF(BR$20&gt;='01_Input'!$J$54,'01_Input'!$M$54,0),IF('01_Input'!$L$54="Palier",IF(AND(BR$20&gt;='01_Input'!$J$54,BR$20&lt;'01_Input'!$K$54),'01_Input'!$M$54,0),MAX(MIN(BR$20,'01_Input'!$K$54)-'01_Input'!$J$54,0)*'01_Input'!$M$54))+IF('01_Input'!$P$54="Forfait",IF(BR$20&gt;='01_Input'!$N$54,'01_Input'!$Q$54,0),IF('01_Input'!$P$54="Palier",IF(AND(BR$20&gt;='01_Input'!$N$54,BR$20&lt;'01_Input'!$O$54),'01_Input'!$Q$54,0),MAX(MIN(BR$20,'01_Input'!$O$54)-'01_Input'!$N$54,0)*'01_Input'!$Q$54))+IF('01_Input'!$T$54="Forfait",IF(BR$20&gt;='01_Input'!$R$54,'01_Input'!$U$54,0),IF('01_Input'!$T$54="Palier",IF(AND(BR$20&gt;='01_Input'!$R$54,BR$20&lt;'01_Input'!$S$54),'01_Input'!$U$54,0),MAX(MIN(BR$20,'01_Input'!$S$54)-'01_Input'!$R$54,0)*'01_Input'!$U$54))+IF('01_Input'!$X$54="Forfait",IF(BR$20&gt;='01_Input'!$V$54,'01_Input'!$Y$54,0),IF('01_Input'!$X$54="Palier",IF(AND(BR$20&gt;='01_Input'!$V$54,BR$20&lt;'01_Input'!$W$54),'01_Input'!$Y$54,0),MAX(MIN(BR$20,'01_Input'!$W$54)-'01_Input'!$V$54,0)*'01_Input'!$Y$54))+IF('01_Input'!$AB$54="Forfait",IF(BR$20&gt;='01_Input'!$Z$54,'01_Input'!$AC$54,0),IF('01_Input'!$AB$54="Palier",IF(AND(BR$20&gt;='01_Input'!$Z$54,BR$20&lt;'01_Input'!$AA$54),'01_Input'!$AC$54,0),MAX(MIN(BR$20,'01_Input'!$AA$54)-'01_Input'!$Z$54,0)*'01_Input'!$AC$54)))))))))</f>
        <v>2500600000</v>
      </c>
      <c r="BS22" s="83">
        <f>IF('01_Input'!$C$54="Non",0,MIN('01_Input'!$I$54,MAX('01_Input'!$H$54,IF('01_Input'!$G$54="Résiduel vs Gestion",0,IF('01_Input'!$G$54="Taux Classe sélectionnée",Distrib_Global_Classe_Selectionnee*BS$20,IF('01_Input'!$G$54="Frais KYC (paliers de 100M€)",MAX(0,Nb_Investisseurs-Nb_KYC_Gratuites_Par_Tranche*(FLOOR(BS$20/Taille_Tranche_KYC,1)+1))*Cout_Par_KYC_Supplementaire,(IF('01_Input'!$L$54="Forfait",IF(BS$20&gt;='01_Input'!$J$54,'01_Input'!$M$54,0),IF('01_Input'!$L$54="Palier",IF(AND(BS$20&gt;='01_Input'!$J$54,BS$20&lt;'01_Input'!$K$54),'01_Input'!$M$54,0),MAX(MIN(BS$20,'01_Input'!$K$54)-'01_Input'!$J$54,0)*'01_Input'!$M$54))+IF('01_Input'!$P$54="Forfait",IF(BS$20&gt;='01_Input'!$N$54,'01_Input'!$Q$54,0),IF('01_Input'!$P$54="Palier",IF(AND(BS$20&gt;='01_Input'!$N$54,BS$20&lt;'01_Input'!$O$54),'01_Input'!$Q$54,0),MAX(MIN(BS$20,'01_Input'!$O$54)-'01_Input'!$N$54,0)*'01_Input'!$Q$54))+IF('01_Input'!$T$54="Forfait",IF(BS$20&gt;='01_Input'!$R$54,'01_Input'!$U$54,0),IF('01_Input'!$T$54="Palier",IF(AND(BS$20&gt;='01_Input'!$R$54,BS$20&lt;'01_Input'!$S$54),'01_Input'!$U$54,0),MAX(MIN(BS$20,'01_Input'!$S$54)-'01_Input'!$R$54,0)*'01_Input'!$U$54))+IF('01_Input'!$X$54="Forfait",IF(BS$20&gt;='01_Input'!$V$54,'01_Input'!$Y$54,0),IF('01_Input'!$X$54="Palier",IF(AND(BS$20&gt;='01_Input'!$V$54,BS$20&lt;'01_Input'!$W$54),'01_Input'!$Y$54,0),MAX(MIN(BS$20,'01_Input'!$W$54)-'01_Input'!$V$54,0)*'01_Input'!$Y$54))+IF('01_Input'!$AB$54="Forfait",IF(BS$20&gt;='01_Input'!$Z$54,'01_Input'!$AC$54,0),IF('01_Input'!$AB$54="Palier",IF(AND(BS$20&gt;='01_Input'!$Z$54,BS$20&lt;'01_Input'!$AA$54),'01_Input'!$AC$54,0),MAX(MIN(BS$20,'01_Input'!$AA$54)-'01_Input'!$Z$54,0)*'01_Input'!$AC$54)))))))))</f>
        <v>2500600000</v>
      </c>
      <c r="BT22" s="83">
        <f>IF('01_Input'!$C$54="Non",0,MIN('01_Input'!$I$54,MAX('01_Input'!$H$54,IF('01_Input'!$G$54="Résiduel vs Gestion",0,IF('01_Input'!$G$54="Taux Classe sélectionnée",Distrib_Global_Classe_Selectionnee*BT$20,IF('01_Input'!$G$54="Frais KYC (paliers de 100M€)",MAX(0,Nb_Investisseurs-Nb_KYC_Gratuites_Par_Tranche*(FLOOR(BT$20/Taille_Tranche_KYC,1)+1))*Cout_Par_KYC_Supplementaire,(IF('01_Input'!$L$54="Forfait",IF(BT$20&gt;='01_Input'!$J$54,'01_Input'!$M$54,0),IF('01_Input'!$L$54="Palier",IF(AND(BT$20&gt;='01_Input'!$J$54,BT$20&lt;'01_Input'!$K$54),'01_Input'!$M$54,0),MAX(MIN(BT$20,'01_Input'!$K$54)-'01_Input'!$J$54,0)*'01_Input'!$M$54))+IF('01_Input'!$P$54="Forfait",IF(BT$20&gt;='01_Input'!$N$54,'01_Input'!$Q$54,0),IF('01_Input'!$P$54="Palier",IF(AND(BT$20&gt;='01_Input'!$N$54,BT$20&lt;'01_Input'!$O$54),'01_Input'!$Q$54,0),MAX(MIN(BT$20,'01_Input'!$O$54)-'01_Input'!$N$54,0)*'01_Input'!$Q$54))+IF('01_Input'!$T$54="Forfait",IF(BT$20&gt;='01_Input'!$R$54,'01_Input'!$U$54,0),IF('01_Input'!$T$54="Palier",IF(AND(BT$20&gt;='01_Input'!$R$54,BT$20&lt;'01_Input'!$S$54),'01_Input'!$U$54,0),MAX(MIN(BT$20,'01_Input'!$S$54)-'01_Input'!$R$54,0)*'01_Input'!$U$54))+IF('01_Input'!$X$54="Forfait",IF(BT$20&gt;='01_Input'!$V$54,'01_Input'!$Y$54,0),IF('01_Input'!$X$54="Palier",IF(AND(BT$20&gt;='01_Input'!$V$54,BT$20&lt;'01_Input'!$W$54),'01_Input'!$Y$54,0),MAX(MIN(BT$20,'01_Input'!$W$54)-'01_Input'!$V$54,0)*'01_Input'!$Y$54))+IF('01_Input'!$AB$54="Forfait",IF(BT$20&gt;='01_Input'!$Z$54,'01_Input'!$AC$54,0),IF('01_Input'!$AB$54="Palier",IF(AND(BT$20&gt;='01_Input'!$Z$54,BT$20&lt;'01_Input'!$AA$54),'01_Input'!$AC$54,0),MAX(MIN(BT$20,'01_Input'!$AA$54)-'01_Input'!$Z$54,0)*'01_Input'!$AC$54)))))))))</f>
        <v>2500600000</v>
      </c>
      <c r="BU22" s="83">
        <f>IF('01_Input'!$C$54="Non",0,MIN('01_Input'!$I$54,MAX('01_Input'!$H$54,IF('01_Input'!$G$54="Résiduel vs Gestion",0,IF('01_Input'!$G$54="Taux Classe sélectionnée",Distrib_Global_Classe_Selectionnee*BU$20,IF('01_Input'!$G$54="Frais KYC (paliers de 100M€)",MAX(0,Nb_Investisseurs-Nb_KYC_Gratuites_Par_Tranche*(FLOOR(BU$20/Taille_Tranche_KYC,1)+1))*Cout_Par_KYC_Supplementaire,(IF('01_Input'!$L$54="Forfait",IF(BU$20&gt;='01_Input'!$J$54,'01_Input'!$M$54,0),IF('01_Input'!$L$54="Palier",IF(AND(BU$20&gt;='01_Input'!$J$54,BU$20&lt;'01_Input'!$K$54),'01_Input'!$M$54,0),MAX(MIN(BU$20,'01_Input'!$K$54)-'01_Input'!$J$54,0)*'01_Input'!$M$54))+IF('01_Input'!$P$54="Forfait",IF(BU$20&gt;='01_Input'!$N$54,'01_Input'!$Q$54,0),IF('01_Input'!$P$54="Palier",IF(AND(BU$20&gt;='01_Input'!$N$54,BU$20&lt;'01_Input'!$O$54),'01_Input'!$Q$54,0),MAX(MIN(BU$20,'01_Input'!$O$54)-'01_Input'!$N$54,0)*'01_Input'!$Q$54))+IF('01_Input'!$T$54="Forfait",IF(BU$20&gt;='01_Input'!$R$54,'01_Input'!$U$54,0),IF('01_Input'!$T$54="Palier",IF(AND(BU$20&gt;='01_Input'!$R$54,BU$20&lt;'01_Input'!$S$54),'01_Input'!$U$54,0),MAX(MIN(BU$20,'01_Input'!$S$54)-'01_Input'!$R$54,0)*'01_Input'!$U$54))+IF('01_Input'!$X$54="Forfait",IF(BU$20&gt;='01_Input'!$V$54,'01_Input'!$Y$54,0),IF('01_Input'!$X$54="Palier",IF(AND(BU$20&gt;='01_Input'!$V$54,BU$20&lt;'01_Input'!$W$54),'01_Input'!$Y$54,0),MAX(MIN(BU$20,'01_Input'!$W$54)-'01_Input'!$V$54,0)*'01_Input'!$Y$54))+IF('01_Input'!$AB$54="Forfait",IF(BU$20&gt;='01_Input'!$Z$54,'01_Input'!$AC$54,0),IF('01_Input'!$AB$54="Palier",IF(AND(BU$20&gt;='01_Input'!$Z$54,BU$20&lt;'01_Input'!$AA$54),'01_Input'!$AC$54,0),MAX(MIN(BU$20,'01_Input'!$AA$54)-'01_Input'!$Z$54,0)*'01_Input'!$AC$54)))))))))</f>
        <v>2500600000</v>
      </c>
      <c r="BV22" s="83">
        <f>IF('01_Input'!$C$54="Non",0,MIN('01_Input'!$I$54,MAX('01_Input'!$H$54,IF('01_Input'!$G$54="Résiduel vs Gestion",0,IF('01_Input'!$G$54="Taux Classe sélectionnée",Distrib_Global_Classe_Selectionnee*BV$20,IF('01_Input'!$G$54="Frais KYC (paliers de 100M€)",MAX(0,Nb_Investisseurs-Nb_KYC_Gratuites_Par_Tranche*(FLOOR(BV$20/Taille_Tranche_KYC,1)+1))*Cout_Par_KYC_Supplementaire,(IF('01_Input'!$L$54="Forfait",IF(BV$20&gt;='01_Input'!$J$54,'01_Input'!$M$54,0),IF('01_Input'!$L$54="Palier",IF(AND(BV$20&gt;='01_Input'!$J$54,BV$20&lt;'01_Input'!$K$54),'01_Input'!$M$54,0),MAX(MIN(BV$20,'01_Input'!$K$54)-'01_Input'!$J$54,0)*'01_Input'!$M$54))+IF('01_Input'!$P$54="Forfait",IF(BV$20&gt;='01_Input'!$N$54,'01_Input'!$Q$54,0),IF('01_Input'!$P$54="Palier",IF(AND(BV$20&gt;='01_Input'!$N$54,BV$20&lt;'01_Input'!$O$54),'01_Input'!$Q$54,0),MAX(MIN(BV$20,'01_Input'!$O$54)-'01_Input'!$N$54,0)*'01_Input'!$Q$54))+IF('01_Input'!$T$54="Forfait",IF(BV$20&gt;='01_Input'!$R$54,'01_Input'!$U$54,0),IF('01_Input'!$T$54="Palier",IF(AND(BV$20&gt;='01_Input'!$R$54,BV$20&lt;'01_Input'!$S$54),'01_Input'!$U$54,0),MAX(MIN(BV$20,'01_Input'!$S$54)-'01_Input'!$R$54,0)*'01_Input'!$U$54))+IF('01_Input'!$X$54="Forfait",IF(BV$20&gt;='01_Input'!$V$54,'01_Input'!$Y$54,0),IF('01_Input'!$X$54="Palier",IF(AND(BV$20&gt;='01_Input'!$V$54,BV$20&lt;'01_Input'!$W$54),'01_Input'!$Y$54,0),MAX(MIN(BV$20,'01_Input'!$W$54)-'01_Input'!$V$54,0)*'01_Input'!$Y$54))+IF('01_Input'!$AB$54="Forfait",IF(BV$20&gt;='01_Input'!$Z$54,'01_Input'!$AC$54,0),IF('01_Input'!$AB$54="Palier",IF(AND(BV$20&gt;='01_Input'!$Z$54,BV$20&lt;'01_Input'!$AA$54),'01_Input'!$AC$54,0),MAX(MIN(BV$20,'01_Input'!$AA$54)-'01_Input'!$Z$54,0)*'01_Input'!$AC$54)))))))))</f>
        <v>2500600000</v>
      </c>
      <c r="BW22" s="83">
        <f>IF('01_Input'!$C$54="Non",0,MIN('01_Input'!$I$54,MAX('01_Input'!$H$54,IF('01_Input'!$G$54="Résiduel vs Gestion",0,IF('01_Input'!$G$54="Taux Classe sélectionnée",Distrib_Global_Classe_Selectionnee*BW$20,IF('01_Input'!$G$54="Frais KYC (paliers de 100M€)",MAX(0,Nb_Investisseurs-Nb_KYC_Gratuites_Par_Tranche*(FLOOR(BW$20/Taille_Tranche_KYC,1)+1))*Cout_Par_KYC_Supplementaire,(IF('01_Input'!$L$54="Forfait",IF(BW$20&gt;='01_Input'!$J$54,'01_Input'!$M$54,0),IF('01_Input'!$L$54="Palier",IF(AND(BW$20&gt;='01_Input'!$J$54,BW$20&lt;'01_Input'!$K$54),'01_Input'!$M$54,0),MAX(MIN(BW$20,'01_Input'!$K$54)-'01_Input'!$J$54,0)*'01_Input'!$M$54))+IF('01_Input'!$P$54="Forfait",IF(BW$20&gt;='01_Input'!$N$54,'01_Input'!$Q$54,0),IF('01_Input'!$P$54="Palier",IF(AND(BW$20&gt;='01_Input'!$N$54,BW$20&lt;'01_Input'!$O$54),'01_Input'!$Q$54,0),MAX(MIN(BW$20,'01_Input'!$O$54)-'01_Input'!$N$54,0)*'01_Input'!$Q$54))+IF('01_Input'!$T$54="Forfait",IF(BW$20&gt;='01_Input'!$R$54,'01_Input'!$U$54,0),IF('01_Input'!$T$54="Palier",IF(AND(BW$20&gt;='01_Input'!$R$54,BW$20&lt;'01_Input'!$S$54),'01_Input'!$U$54,0),MAX(MIN(BW$20,'01_Input'!$S$54)-'01_Input'!$R$54,0)*'01_Input'!$U$54))+IF('01_Input'!$X$54="Forfait",IF(BW$20&gt;='01_Input'!$V$54,'01_Input'!$Y$54,0),IF('01_Input'!$X$54="Palier",IF(AND(BW$20&gt;='01_Input'!$V$54,BW$20&lt;'01_Input'!$W$54),'01_Input'!$Y$54,0),MAX(MIN(BW$20,'01_Input'!$W$54)-'01_Input'!$V$54,0)*'01_Input'!$Y$54))+IF('01_Input'!$AB$54="Forfait",IF(BW$20&gt;='01_Input'!$Z$54,'01_Input'!$AC$54,0),IF('01_Input'!$AB$54="Palier",IF(AND(BW$20&gt;='01_Input'!$Z$54,BW$20&lt;'01_Input'!$AA$54),'01_Input'!$AC$54,0),MAX(MIN(BW$20,'01_Input'!$AA$54)-'01_Input'!$Z$54,0)*'01_Input'!$AC$54)))))))))</f>
        <v>2500600000</v>
      </c>
      <c r="BX22" s="83">
        <f>IF('01_Input'!$C$54="Non",0,MIN('01_Input'!$I$54,MAX('01_Input'!$H$54,IF('01_Input'!$G$54="Résiduel vs Gestion",0,IF('01_Input'!$G$54="Taux Classe sélectionnée",Distrib_Global_Classe_Selectionnee*BX$20,IF('01_Input'!$G$54="Frais KYC (paliers de 100M€)",MAX(0,Nb_Investisseurs-Nb_KYC_Gratuites_Par_Tranche*(FLOOR(BX$20/Taille_Tranche_KYC,1)+1))*Cout_Par_KYC_Supplementaire,(IF('01_Input'!$L$54="Forfait",IF(BX$20&gt;='01_Input'!$J$54,'01_Input'!$M$54,0),IF('01_Input'!$L$54="Palier",IF(AND(BX$20&gt;='01_Input'!$J$54,BX$20&lt;'01_Input'!$K$54),'01_Input'!$M$54,0),MAX(MIN(BX$20,'01_Input'!$K$54)-'01_Input'!$J$54,0)*'01_Input'!$M$54))+IF('01_Input'!$P$54="Forfait",IF(BX$20&gt;='01_Input'!$N$54,'01_Input'!$Q$54,0),IF('01_Input'!$P$54="Palier",IF(AND(BX$20&gt;='01_Input'!$N$54,BX$20&lt;'01_Input'!$O$54),'01_Input'!$Q$54,0),MAX(MIN(BX$20,'01_Input'!$O$54)-'01_Input'!$N$54,0)*'01_Input'!$Q$54))+IF('01_Input'!$T$54="Forfait",IF(BX$20&gt;='01_Input'!$R$54,'01_Input'!$U$54,0),IF('01_Input'!$T$54="Palier",IF(AND(BX$20&gt;='01_Input'!$R$54,BX$20&lt;'01_Input'!$S$54),'01_Input'!$U$54,0),MAX(MIN(BX$20,'01_Input'!$S$54)-'01_Input'!$R$54,0)*'01_Input'!$U$54))+IF('01_Input'!$X$54="Forfait",IF(BX$20&gt;='01_Input'!$V$54,'01_Input'!$Y$54,0),IF('01_Input'!$X$54="Palier",IF(AND(BX$20&gt;='01_Input'!$V$54,BX$20&lt;'01_Input'!$W$54),'01_Input'!$Y$54,0),MAX(MIN(BX$20,'01_Input'!$W$54)-'01_Input'!$V$54,0)*'01_Input'!$Y$54))+IF('01_Input'!$AB$54="Forfait",IF(BX$20&gt;='01_Input'!$Z$54,'01_Input'!$AC$54,0),IF('01_Input'!$AB$54="Palier",IF(AND(BX$20&gt;='01_Input'!$Z$54,BX$20&lt;'01_Input'!$AA$54),'01_Input'!$AC$54,0),MAX(MIN(BX$20,'01_Input'!$AA$54)-'01_Input'!$Z$54,0)*'01_Input'!$AC$54)))))))))</f>
        <v>2500600000</v>
      </c>
      <c r="BY22" s="83">
        <f>IF('01_Input'!$C$54="Non",0,MIN('01_Input'!$I$54,MAX('01_Input'!$H$54,IF('01_Input'!$G$54="Résiduel vs Gestion",0,IF('01_Input'!$G$54="Taux Classe sélectionnée",Distrib_Global_Classe_Selectionnee*BY$20,IF('01_Input'!$G$54="Frais KYC (paliers de 100M€)",MAX(0,Nb_Investisseurs-Nb_KYC_Gratuites_Par_Tranche*(FLOOR(BY$20/Taille_Tranche_KYC,1)+1))*Cout_Par_KYC_Supplementaire,(IF('01_Input'!$L$54="Forfait",IF(BY$20&gt;='01_Input'!$J$54,'01_Input'!$M$54,0),IF('01_Input'!$L$54="Palier",IF(AND(BY$20&gt;='01_Input'!$J$54,BY$20&lt;'01_Input'!$K$54),'01_Input'!$M$54,0),MAX(MIN(BY$20,'01_Input'!$K$54)-'01_Input'!$J$54,0)*'01_Input'!$M$54))+IF('01_Input'!$P$54="Forfait",IF(BY$20&gt;='01_Input'!$N$54,'01_Input'!$Q$54,0),IF('01_Input'!$P$54="Palier",IF(AND(BY$20&gt;='01_Input'!$N$54,BY$20&lt;'01_Input'!$O$54),'01_Input'!$Q$54,0),MAX(MIN(BY$20,'01_Input'!$O$54)-'01_Input'!$N$54,0)*'01_Input'!$Q$54))+IF('01_Input'!$T$54="Forfait",IF(BY$20&gt;='01_Input'!$R$54,'01_Input'!$U$54,0),IF('01_Input'!$T$54="Palier",IF(AND(BY$20&gt;='01_Input'!$R$54,BY$20&lt;'01_Input'!$S$54),'01_Input'!$U$54,0),MAX(MIN(BY$20,'01_Input'!$S$54)-'01_Input'!$R$54,0)*'01_Input'!$U$54))+IF('01_Input'!$X$54="Forfait",IF(BY$20&gt;='01_Input'!$V$54,'01_Input'!$Y$54,0),IF('01_Input'!$X$54="Palier",IF(AND(BY$20&gt;='01_Input'!$V$54,BY$20&lt;'01_Input'!$W$54),'01_Input'!$Y$54,0),MAX(MIN(BY$20,'01_Input'!$W$54)-'01_Input'!$V$54,0)*'01_Input'!$Y$54))+IF('01_Input'!$AB$54="Forfait",IF(BY$20&gt;='01_Input'!$Z$54,'01_Input'!$AC$54,0),IF('01_Input'!$AB$54="Palier",IF(AND(BY$20&gt;='01_Input'!$Z$54,BY$20&lt;'01_Input'!$AA$54),'01_Input'!$AC$54,0),MAX(MIN(BY$20,'01_Input'!$AA$54)-'01_Input'!$Z$54,0)*'01_Input'!$AC$54)))))))))</f>
        <v>2500600000</v>
      </c>
      <c r="BZ22" s="83">
        <f>IF('01_Input'!$C$54="Non",0,MIN('01_Input'!$I$54,MAX('01_Input'!$H$54,IF('01_Input'!$G$54="Résiduel vs Gestion",0,IF('01_Input'!$G$54="Taux Classe sélectionnée",Distrib_Global_Classe_Selectionnee*BZ$20,IF('01_Input'!$G$54="Frais KYC (paliers de 100M€)",MAX(0,Nb_Investisseurs-Nb_KYC_Gratuites_Par_Tranche*(FLOOR(BZ$20/Taille_Tranche_KYC,1)+1))*Cout_Par_KYC_Supplementaire,(IF('01_Input'!$L$54="Forfait",IF(BZ$20&gt;='01_Input'!$J$54,'01_Input'!$M$54,0),IF('01_Input'!$L$54="Palier",IF(AND(BZ$20&gt;='01_Input'!$J$54,BZ$20&lt;'01_Input'!$K$54),'01_Input'!$M$54,0),MAX(MIN(BZ$20,'01_Input'!$K$54)-'01_Input'!$J$54,0)*'01_Input'!$M$54))+IF('01_Input'!$P$54="Forfait",IF(BZ$20&gt;='01_Input'!$N$54,'01_Input'!$Q$54,0),IF('01_Input'!$P$54="Palier",IF(AND(BZ$20&gt;='01_Input'!$N$54,BZ$20&lt;'01_Input'!$O$54),'01_Input'!$Q$54,0),MAX(MIN(BZ$20,'01_Input'!$O$54)-'01_Input'!$N$54,0)*'01_Input'!$Q$54))+IF('01_Input'!$T$54="Forfait",IF(BZ$20&gt;='01_Input'!$R$54,'01_Input'!$U$54,0),IF('01_Input'!$T$54="Palier",IF(AND(BZ$20&gt;='01_Input'!$R$54,BZ$20&lt;'01_Input'!$S$54),'01_Input'!$U$54,0),MAX(MIN(BZ$20,'01_Input'!$S$54)-'01_Input'!$R$54,0)*'01_Input'!$U$54))+IF('01_Input'!$X$54="Forfait",IF(BZ$20&gt;='01_Input'!$V$54,'01_Input'!$Y$54,0),IF('01_Input'!$X$54="Palier",IF(AND(BZ$20&gt;='01_Input'!$V$54,BZ$20&lt;'01_Input'!$W$54),'01_Input'!$Y$54,0),MAX(MIN(BZ$20,'01_Input'!$W$54)-'01_Input'!$V$54,0)*'01_Input'!$Y$54))+IF('01_Input'!$AB$54="Forfait",IF(BZ$20&gt;='01_Input'!$Z$54,'01_Input'!$AC$54,0),IF('01_Input'!$AB$54="Palier",IF(AND(BZ$20&gt;='01_Input'!$Z$54,BZ$20&lt;'01_Input'!$AA$54),'01_Input'!$AC$54,0),MAX(MIN(BZ$20,'01_Input'!$AA$54)-'01_Input'!$Z$54,0)*'01_Input'!$AC$54)))))))))</f>
        <v>2500600000</v>
      </c>
      <c r="CA22" s="83">
        <f>IF('01_Input'!$C$54="Non",0,MIN('01_Input'!$I$54,MAX('01_Input'!$H$54,IF('01_Input'!$G$54="Résiduel vs Gestion",0,IF('01_Input'!$G$54="Taux Classe sélectionnée",Distrib_Global_Classe_Selectionnee*CA$20,IF('01_Input'!$G$54="Frais KYC (paliers de 100M€)",MAX(0,Nb_Investisseurs-Nb_KYC_Gratuites_Par_Tranche*(FLOOR(CA$20/Taille_Tranche_KYC,1)+1))*Cout_Par_KYC_Supplementaire,(IF('01_Input'!$L$54="Forfait",IF(CA$20&gt;='01_Input'!$J$54,'01_Input'!$M$54,0),IF('01_Input'!$L$54="Palier",IF(AND(CA$20&gt;='01_Input'!$J$54,CA$20&lt;'01_Input'!$K$54),'01_Input'!$M$54,0),MAX(MIN(CA$20,'01_Input'!$K$54)-'01_Input'!$J$54,0)*'01_Input'!$M$54))+IF('01_Input'!$P$54="Forfait",IF(CA$20&gt;='01_Input'!$N$54,'01_Input'!$Q$54,0),IF('01_Input'!$P$54="Palier",IF(AND(CA$20&gt;='01_Input'!$N$54,CA$20&lt;'01_Input'!$O$54),'01_Input'!$Q$54,0),MAX(MIN(CA$20,'01_Input'!$O$54)-'01_Input'!$N$54,0)*'01_Input'!$Q$54))+IF('01_Input'!$T$54="Forfait",IF(CA$20&gt;='01_Input'!$R$54,'01_Input'!$U$54,0),IF('01_Input'!$T$54="Palier",IF(AND(CA$20&gt;='01_Input'!$R$54,CA$20&lt;'01_Input'!$S$54),'01_Input'!$U$54,0),MAX(MIN(CA$20,'01_Input'!$S$54)-'01_Input'!$R$54,0)*'01_Input'!$U$54))+IF('01_Input'!$X$54="Forfait",IF(CA$20&gt;='01_Input'!$V$54,'01_Input'!$Y$54,0),IF('01_Input'!$X$54="Palier",IF(AND(CA$20&gt;='01_Input'!$V$54,CA$20&lt;'01_Input'!$W$54),'01_Input'!$Y$54,0),MAX(MIN(CA$20,'01_Input'!$W$54)-'01_Input'!$V$54,0)*'01_Input'!$Y$54))+IF('01_Input'!$AB$54="Forfait",IF(CA$20&gt;='01_Input'!$Z$54,'01_Input'!$AC$54,0),IF('01_Input'!$AB$54="Palier",IF(AND(CA$20&gt;='01_Input'!$Z$54,CA$20&lt;'01_Input'!$AA$54),'01_Input'!$AC$54,0),MAX(MIN(CA$20,'01_Input'!$AA$54)-'01_Input'!$Z$54,0)*'01_Input'!$AC$54)))))))))</f>
        <v>2500600000</v>
      </c>
      <c r="CB22" s="83">
        <f>IF('01_Input'!$C$54="Non",0,MIN('01_Input'!$I$54,MAX('01_Input'!$H$54,IF('01_Input'!$G$54="Résiduel vs Gestion",0,IF('01_Input'!$G$54="Taux Classe sélectionnée",Distrib_Global_Classe_Selectionnee*CB$20,IF('01_Input'!$G$54="Frais KYC (paliers de 100M€)",MAX(0,Nb_Investisseurs-Nb_KYC_Gratuites_Par_Tranche*(FLOOR(CB$20/Taille_Tranche_KYC,1)+1))*Cout_Par_KYC_Supplementaire,(IF('01_Input'!$L$54="Forfait",IF(CB$20&gt;='01_Input'!$J$54,'01_Input'!$M$54,0),IF('01_Input'!$L$54="Palier",IF(AND(CB$20&gt;='01_Input'!$J$54,CB$20&lt;'01_Input'!$K$54),'01_Input'!$M$54,0),MAX(MIN(CB$20,'01_Input'!$K$54)-'01_Input'!$J$54,0)*'01_Input'!$M$54))+IF('01_Input'!$P$54="Forfait",IF(CB$20&gt;='01_Input'!$N$54,'01_Input'!$Q$54,0),IF('01_Input'!$P$54="Palier",IF(AND(CB$20&gt;='01_Input'!$N$54,CB$20&lt;'01_Input'!$O$54),'01_Input'!$Q$54,0),MAX(MIN(CB$20,'01_Input'!$O$54)-'01_Input'!$N$54,0)*'01_Input'!$Q$54))+IF('01_Input'!$T$54="Forfait",IF(CB$20&gt;='01_Input'!$R$54,'01_Input'!$U$54,0),IF('01_Input'!$T$54="Palier",IF(AND(CB$20&gt;='01_Input'!$R$54,CB$20&lt;'01_Input'!$S$54),'01_Input'!$U$54,0),MAX(MIN(CB$20,'01_Input'!$S$54)-'01_Input'!$R$54,0)*'01_Input'!$U$54))+IF('01_Input'!$X$54="Forfait",IF(CB$20&gt;='01_Input'!$V$54,'01_Input'!$Y$54,0),IF('01_Input'!$X$54="Palier",IF(AND(CB$20&gt;='01_Input'!$V$54,CB$20&lt;'01_Input'!$W$54),'01_Input'!$Y$54,0),MAX(MIN(CB$20,'01_Input'!$W$54)-'01_Input'!$V$54,0)*'01_Input'!$Y$54))+IF('01_Input'!$AB$54="Forfait",IF(CB$20&gt;='01_Input'!$Z$54,'01_Input'!$AC$54,0),IF('01_Input'!$AB$54="Palier",IF(AND(CB$20&gt;='01_Input'!$Z$54,CB$20&lt;'01_Input'!$AA$54),'01_Input'!$AC$54,0),MAX(MIN(CB$20,'01_Input'!$AA$54)-'01_Input'!$Z$54,0)*'01_Input'!$AC$54)))))))))</f>
        <v>2500600000</v>
      </c>
      <c r="CC22" s="83">
        <f>IF('01_Input'!$C$54="Non",0,MIN('01_Input'!$I$54,MAX('01_Input'!$H$54,IF('01_Input'!$G$54="Résiduel vs Gestion",0,IF('01_Input'!$G$54="Taux Classe sélectionnée",Distrib_Global_Classe_Selectionnee*CC$20,IF('01_Input'!$G$54="Frais KYC (paliers de 100M€)",MAX(0,Nb_Investisseurs-Nb_KYC_Gratuites_Par_Tranche*(FLOOR(CC$20/Taille_Tranche_KYC,1)+1))*Cout_Par_KYC_Supplementaire,(IF('01_Input'!$L$54="Forfait",IF(CC$20&gt;='01_Input'!$J$54,'01_Input'!$M$54,0),IF('01_Input'!$L$54="Palier",IF(AND(CC$20&gt;='01_Input'!$J$54,CC$20&lt;'01_Input'!$K$54),'01_Input'!$M$54,0),MAX(MIN(CC$20,'01_Input'!$K$54)-'01_Input'!$J$54,0)*'01_Input'!$M$54))+IF('01_Input'!$P$54="Forfait",IF(CC$20&gt;='01_Input'!$N$54,'01_Input'!$Q$54,0),IF('01_Input'!$P$54="Palier",IF(AND(CC$20&gt;='01_Input'!$N$54,CC$20&lt;'01_Input'!$O$54),'01_Input'!$Q$54,0),MAX(MIN(CC$20,'01_Input'!$O$54)-'01_Input'!$N$54,0)*'01_Input'!$Q$54))+IF('01_Input'!$T$54="Forfait",IF(CC$20&gt;='01_Input'!$R$54,'01_Input'!$U$54,0),IF('01_Input'!$T$54="Palier",IF(AND(CC$20&gt;='01_Input'!$R$54,CC$20&lt;'01_Input'!$S$54),'01_Input'!$U$54,0),MAX(MIN(CC$20,'01_Input'!$S$54)-'01_Input'!$R$54,0)*'01_Input'!$U$54))+IF('01_Input'!$X$54="Forfait",IF(CC$20&gt;='01_Input'!$V$54,'01_Input'!$Y$54,0),IF('01_Input'!$X$54="Palier",IF(AND(CC$20&gt;='01_Input'!$V$54,CC$20&lt;'01_Input'!$W$54),'01_Input'!$Y$54,0),MAX(MIN(CC$20,'01_Input'!$W$54)-'01_Input'!$V$54,0)*'01_Input'!$Y$54))+IF('01_Input'!$AB$54="Forfait",IF(CC$20&gt;='01_Input'!$Z$54,'01_Input'!$AC$54,0),IF('01_Input'!$AB$54="Palier",IF(AND(CC$20&gt;='01_Input'!$Z$54,CC$20&lt;'01_Input'!$AA$54),'01_Input'!$AC$54,0),MAX(MIN(CC$20,'01_Input'!$AA$54)-'01_Input'!$Z$54,0)*'01_Input'!$AC$54)))))))))</f>
        <v>2500600000</v>
      </c>
      <c r="CD22" s="83">
        <f>IF('01_Input'!$C$54="Non",0,MIN('01_Input'!$I$54,MAX('01_Input'!$H$54,IF('01_Input'!$G$54="Résiduel vs Gestion",0,IF('01_Input'!$G$54="Taux Classe sélectionnée",Distrib_Global_Classe_Selectionnee*CD$20,IF('01_Input'!$G$54="Frais KYC (paliers de 100M€)",MAX(0,Nb_Investisseurs-Nb_KYC_Gratuites_Par_Tranche*(FLOOR(CD$20/Taille_Tranche_KYC,1)+1))*Cout_Par_KYC_Supplementaire,(IF('01_Input'!$L$54="Forfait",IF(CD$20&gt;='01_Input'!$J$54,'01_Input'!$M$54,0),IF('01_Input'!$L$54="Palier",IF(AND(CD$20&gt;='01_Input'!$J$54,CD$20&lt;'01_Input'!$K$54),'01_Input'!$M$54,0),MAX(MIN(CD$20,'01_Input'!$K$54)-'01_Input'!$J$54,0)*'01_Input'!$M$54))+IF('01_Input'!$P$54="Forfait",IF(CD$20&gt;='01_Input'!$N$54,'01_Input'!$Q$54,0),IF('01_Input'!$P$54="Palier",IF(AND(CD$20&gt;='01_Input'!$N$54,CD$20&lt;'01_Input'!$O$54),'01_Input'!$Q$54,0),MAX(MIN(CD$20,'01_Input'!$O$54)-'01_Input'!$N$54,0)*'01_Input'!$Q$54))+IF('01_Input'!$T$54="Forfait",IF(CD$20&gt;='01_Input'!$R$54,'01_Input'!$U$54,0),IF('01_Input'!$T$54="Palier",IF(AND(CD$20&gt;='01_Input'!$R$54,CD$20&lt;'01_Input'!$S$54),'01_Input'!$U$54,0),MAX(MIN(CD$20,'01_Input'!$S$54)-'01_Input'!$R$54,0)*'01_Input'!$U$54))+IF('01_Input'!$X$54="Forfait",IF(CD$20&gt;='01_Input'!$V$54,'01_Input'!$Y$54,0),IF('01_Input'!$X$54="Palier",IF(AND(CD$20&gt;='01_Input'!$V$54,CD$20&lt;'01_Input'!$W$54),'01_Input'!$Y$54,0),MAX(MIN(CD$20,'01_Input'!$W$54)-'01_Input'!$V$54,0)*'01_Input'!$Y$54))+IF('01_Input'!$AB$54="Forfait",IF(CD$20&gt;='01_Input'!$Z$54,'01_Input'!$AC$54,0),IF('01_Input'!$AB$54="Palier",IF(AND(CD$20&gt;='01_Input'!$Z$54,CD$20&lt;'01_Input'!$AA$54),'01_Input'!$AC$54,0),MAX(MIN(CD$20,'01_Input'!$AA$54)-'01_Input'!$Z$54,0)*'01_Input'!$AC$54)))))))))</f>
        <v>2500600000</v>
      </c>
      <c r="CE22" s="83">
        <f>IF('01_Input'!$C$54="Non",0,MIN('01_Input'!$I$54,MAX('01_Input'!$H$54,IF('01_Input'!$G$54="Résiduel vs Gestion",0,IF('01_Input'!$G$54="Taux Classe sélectionnée",Distrib_Global_Classe_Selectionnee*CE$20,IF('01_Input'!$G$54="Frais KYC (paliers de 100M€)",MAX(0,Nb_Investisseurs-Nb_KYC_Gratuites_Par_Tranche*(FLOOR(CE$20/Taille_Tranche_KYC,1)+1))*Cout_Par_KYC_Supplementaire,(IF('01_Input'!$L$54="Forfait",IF(CE$20&gt;='01_Input'!$J$54,'01_Input'!$M$54,0),IF('01_Input'!$L$54="Palier",IF(AND(CE$20&gt;='01_Input'!$J$54,CE$20&lt;'01_Input'!$K$54),'01_Input'!$M$54,0),MAX(MIN(CE$20,'01_Input'!$K$54)-'01_Input'!$J$54,0)*'01_Input'!$M$54))+IF('01_Input'!$P$54="Forfait",IF(CE$20&gt;='01_Input'!$N$54,'01_Input'!$Q$54,0),IF('01_Input'!$P$54="Palier",IF(AND(CE$20&gt;='01_Input'!$N$54,CE$20&lt;'01_Input'!$O$54),'01_Input'!$Q$54,0),MAX(MIN(CE$20,'01_Input'!$O$54)-'01_Input'!$N$54,0)*'01_Input'!$Q$54))+IF('01_Input'!$T$54="Forfait",IF(CE$20&gt;='01_Input'!$R$54,'01_Input'!$U$54,0),IF('01_Input'!$T$54="Palier",IF(AND(CE$20&gt;='01_Input'!$R$54,CE$20&lt;'01_Input'!$S$54),'01_Input'!$U$54,0),MAX(MIN(CE$20,'01_Input'!$S$54)-'01_Input'!$R$54,0)*'01_Input'!$U$54))+IF('01_Input'!$X$54="Forfait",IF(CE$20&gt;='01_Input'!$V$54,'01_Input'!$Y$54,0),IF('01_Input'!$X$54="Palier",IF(AND(CE$20&gt;='01_Input'!$V$54,CE$20&lt;'01_Input'!$W$54),'01_Input'!$Y$54,0),MAX(MIN(CE$20,'01_Input'!$W$54)-'01_Input'!$V$54,0)*'01_Input'!$Y$54))+IF('01_Input'!$AB$54="Forfait",IF(CE$20&gt;='01_Input'!$Z$54,'01_Input'!$AC$54,0),IF('01_Input'!$AB$54="Palier",IF(AND(CE$20&gt;='01_Input'!$Z$54,CE$20&lt;'01_Input'!$AA$54),'01_Input'!$AC$54,0),MAX(MIN(CE$20,'01_Input'!$AA$54)-'01_Input'!$Z$54,0)*'01_Input'!$AC$54)))))))))</f>
        <v>2500600000</v>
      </c>
      <c r="CF22" s="83">
        <f>IF('01_Input'!$C$54="Non",0,MIN('01_Input'!$I$54,MAX('01_Input'!$H$54,IF('01_Input'!$G$54="Résiduel vs Gestion",0,IF('01_Input'!$G$54="Taux Classe sélectionnée",Distrib_Global_Classe_Selectionnee*CF$20,IF('01_Input'!$G$54="Frais KYC (paliers de 100M€)",MAX(0,Nb_Investisseurs-Nb_KYC_Gratuites_Par_Tranche*(FLOOR(CF$20/Taille_Tranche_KYC,1)+1))*Cout_Par_KYC_Supplementaire,(IF('01_Input'!$L$54="Forfait",IF(CF$20&gt;='01_Input'!$J$54,'01_Input'!$M$54,0),IF('01_Input'!$L$54="Palier",IF(AND(CF$20&gt;='01_Input'!$J$54,CF$20&lt;'01_Input'!$K$54),'01_Input'!$M$54,0),MAX(MIN(CF$20,'01_Input'!$K$54)-'01_Input'!$J$54,0)*'01_Input'!$M$54))+IF('01_Input'!$P$54="Forfait",IF(CF$20&gt;='01_Input'!$N$54,'01_Input'!$Q$54,0),IF('01_Input'!$P$54="Palier",IF(AND(CF$20&gt;='01_Input'!$N$54,CF$20&lt;'01_Input'!$O$54),'01_Input'!$Q$54,0),MAX(MIN(CF$20,'01_Input'!$O$54)-'01_Input'!$N$54,0)*'01_Input'!$Q$54))+IF('01_Input'!$T$54="Forfait",IF(CF$20&gt;='01_Input'!$R$54,'01_Input'!$U$54,0),IF('01_Input'!$T$54="Palier",IF(AND(CF$20&gt;='01_Input'!$R$54,CF$20&lt;'01_Input'!$S$54),'01_Input'!$U$54,0),MAX(MIN(CF$20,'01_Input'!$S$54)-'01_Input'!$R$54,0)*'01_Input'!$U$54))+IF('01_Input'!$X$54="Forfait",IF(CF$20&gt;='01_Input'!$V$54,'01_Input'!$Y$54,0),IF('01_Input'!$X$54="Palier",IF(AND(CF$20&gt;='01_Input'!$V$54,CF$20&lt;'01_Input'!$W$54),'01_Input'!$Y$54,0),MAX(MIN(CF$20,'01_Input'!$W$54)-'01_Input'!$V$54,0)*'01_Input'!$Y$54))+IF('01_Input'!$AB$54="Forfait",IF(CF$20&gt;='01_Input'!$Z$54,'01_Input'!$AC$54,0),IF('01_Input'!$AB$54="Palier",IF(AND(CF$20&gt;='01_Input'!$Z$54,CF$20&lt;'01_Input'!$AA$54),'01_Input'!$AC$54,0),MAX(MIN(CF$20,'01_Input'!$AA$54)-'01_Input'!$Z$54,0)*'01_Input'!$AC$54)))))))))</f>
        <v>2500600000</v>
      </c>
      <c r="CG22" s="83">
        <f>IF('01_Input'!$C$54="Non",0,MIN('01_Input'!$I$54,MAX('01_Input'!$H$54,IF('01_Input'!$G$54="Résiduel vs Gestion",0,IF('01_Input'!$G$54="Taux Classe sélectionnée",Distrib_Global_Classe_Selectionnee*CG$20,IF('01_Input'!$G$54="Frais KYC (paliers de 100M€)",MAX(0,Nb_Investisseurs-Nb_KYC_Gratuites_Par_Tranche*(FLOOR(CG$20/Taille_Tranche_KYC,1)+1))*Cout_Par_KYC_Supplementaire,(IF('01_Input'!$L$54="Forfait",IF(CG$20&gt;='01_Input'!$J$54,'01_Input'!$M$54,0),IF('01_Input'!$L$54="Palier",IF(AND(CG$20&gt;='01_Input'!$J$54,CG$20&lt;'01_Input'!$K$54),'01_Input'!$M$54,0),MAX(MIN(CG$20,'01_Input'!$K$54)-'01_Input'!$J$54,0)*'01_Input'!$M$54))+IF('01_Input'!$P$54="Forfait",IF(CG$20&gt;='01_Input'!$N$54,'01_Input'!$Q$54,0),IF('01_Input'!$P$54="Palier",IF(AND(CG$20&gt;='01_Input'!$N$54,CG$20&lt;'01_Input'!$O$54),'01_Input'!$Q$54,0),MAX(MIN(CG$20,'01_Input'!$O$54)-'01_Input'!$N$54,0)*'01_Input'!$Q$54))+IF('01_Input'!$T$54="Forfait",IF(CG$20&gt;='01_Input'!$R$54,'01_Input'!$U$54,0),IF('01_Input'!$T$54="Palier",IF(AND(CG$20&gt;='01_Input'!$R$54,CG$20&lt;'01_Input'!$S$54),'01_Input'!$U$54,0),MAX(MIN(CG$20,'01_Input'!$S$54)-'01_Input'!$R$54,0)*'01_Input'!$U$54))+IF('01_Input'!$X$54="Forfait",IF(CG$20&gt;='01_Input'!$V$54,'01_Input'!$Y$54,0),IF('01_Input'!$X$54="Palier",IF(AND(CG$20&gt;='01_Input'!$V$54,CG$20&lt;'01_Input'!$W$54),'01_Input'!$Y$54,0),MAX(MIN(CG$20,'01_Input'!$W$54)-'01_Input'!$V$54,0)*'01_Input'!$Y$54))+IF('01_Input'!$AB$54="Forfait",IF(CG$20&gt;='01_Input'!$Z$54,'01_Input'!$AC$54,0),IF('01_Input'!$AB$54="Palier",IF(AND(CG$20&gt;='01_Input'!$Z$54,CG$20&lt;'01_Input'!$AA$54),'01_Input'!$AC$54,0),MAX(MIN(CG$20,'01_Input'!$AA$54)-'01_Input'!$Z$54,0)*'01_Input'!$AC$54)))))))))</f>
        <v>2500600000</v>
      </c>
      <c r="CH22" s="83">
        <f>IF('01_Input'!$C$54="Non",0,MIN('01_Input'!$I$54,MAX('01_Input'!$H$54,IF('01_Input'!$G$54="Résiduel vs Gestion",0,IF('01_Input'!$G$54="Taux Classe sélectionnée",Distrib_Global_Classe_Selectionnee*CH$20,IF('01_Input'!$G$54="Frais KYC (paliers de 100M€)",MAX(0,Nb_Investisseurs-Nb_KYC_Gratuites_Par_Tranche*(FLOOR(CH$20/Taille_Tranche_KYC,1)+1))*Cout_Par_KYC_Supplementaire,(IF('01_Input'!$L$54="Forfait",IF(CH$20&gt;='01_Input'!$J$54,'01_Input'!$M$54,0),IF('01_Input'!$L$54="Palier",IF(AND(CH$20&gt;='01_Input'!$J$54,CH$20&lt;'01_Input'!$K$54),'01_Input'!$M$54,0),MAX(MIN(CH$20,'01_Input'!$K$54)-'01_Input'!$J$54,0)*'01_Input'!$M$54))+IF('01_Input'!$P$54="Forfait",IF(CH$20&gt;='01_Input'!$N$54,'01_Input'!$Q$54,0),IF('01_Input'!$P$54="Palier",IF(AND(CH$20&gt;='01_Input'!$N$54,CH$20&lt;'01_Input'!$O$54),'01_Input'!$Q$54,0),MAX(MIN(CH$20,'01_Input'!$O$54)-'01_Input'!$N$54,0)*'01_Input'!$Q$54))+IF('01_Input'!$T$54="Forfait",IF(CH$20&gt;='01_Input'!$R$54,'01_Input'!$U$54,0),IF('01_Input'!$T$54="Palier",IF(AND(CH$20&gt;='01_Input'!$R$54,CH$20&lt;'01_Input'!$S$54),'01_Input'!$U$54,0),MAX(MIN(CH$20,'01_Input'!$S$54)-'01_Input'!$R$54,0)*'01_Input'!$U$54))+IF('01_Input'!$X$54="Forfait",IF(CH$20&gt;='01_Input'!$V$54,'01_Input'!$Y$54,0),IF('01_Input'!$X$54="Palier",IF(AND(CH$20&gt;='01_Input'!$V$54,CH$20&lt;'01_Input'!$W$54),'01_Input'!$Y$54,0),MAX(MIN(CH$20,'01_Input'!$W$54)-'01_Input'!$V$54,0)*'01_Input'!$Y$54))+IF('01_Input'!$AB$54="Forfait",IF(CH$20&gt;='01_Input'!$Z$54,'01_Input'!$AC$54,0),IF('01_Input'!$AB$54="Palier",IF(AND(CH$20&gt;='01_Input'!$Z$54,CH$20&lt;'01_Input'!$AA$54),'01_Input'!$AC$54,0),MAX(MIN(CH$20,'01_Input'!$AA$54)-'01_Input'!$Z$54,0)*'01_Input'!$AC$54)))))))))</f>
        <v>2500600000</v>
      </c>
      <c r="CI22" s="83">
        <f>IF('01_Input'!$C$54="Non",0,MIN('01_Input'!$I$54,MAX('01_Input'!$H$54,IF('01_Input'!$G$54="Résiduel vs Gestion",0,IF('01_Input'!$G$54="Taux Classe sélectionnée",Distrib_Global_Classe_Selectionnee*CI$20,IF('01_Input'!$G$54="Frais KYC (paliers de 100M€)",MAX(0,Nb_Investisseurs-Nb_KYC_Gratuites_Par_Tranche*(FLOOR(CI$20/Taille_Tranche_KYC,1)+1))*Cout_Par_KYC_Supplementaire,(IF('01_Input'!$L$54="Forfait",IF(CI$20&gt;='01_Input'!$J$54,'01_Input'!$M$54,0),IF('01_Input'!$L$54="Palier",IF(AND(CI$20&gt;='01_Input'!$J$54,CI$20&lt;'01_Input'!$K$54),'01_Input'!$M$54,0),MAX(MIN(CI$20,'01_Input'!$K$54)-'01_Input'!$J$54,0)*'01_Input'!$M$54))+IF('01_Input'!$P$54="Forfait",IF(CI$20&gt;='01_Input'!$N$54,'01_Input'!$Q$54,0),IF('01_Input'!$P$54="Palier",IF(AND(CI$20&gt;='01_Input'!$N$54,CI$20&lt;'01_Input'!$O$54),'01_Input'!$Q$54,0),MAX(MIN(CI$20,'01_Input'!$O$54)-'01_Input'!$N$54,0)*'01_Input'!$Q$54))+IF('01_Input'!$T$54="Forfait",IF(CI$20&gt;='01_Input'!$R$54,'01_Input'!$U$54,0),IF('01_Input'!$T$54="Palier",IF(AND(CI$20&gt;='01_Input'!$R$54,CI$20&lt;'01_Input'!$S$54),'01_Input'!$U$54,0),MAX(MIN(CI$20,'01_Input'!$S$54)-'01_Input'!$R$54,0)*'01_Input'!$U$54))+IF('01_Input'!$X$54="Forfait",IF(CI$20&gt;='01_Input'!$V$54,'01_Input'!$Y$54,0),IF('01_Input'!$X$54="Palier",IF(AND(CI$20&gt;='01_Input'!$V$54,CI$20&lt;'01_Input'!$W$54),'01_Input'!$Y$54,0),MAX(MIN(CI$20,'01_Input'!$W$54)-'01_Input'!$V$54,0)*'01_Input'!$Y$54))+IF('01_Input'!$AB$54="Forfait",IF(CI$20&gt;='01_Input'!$Z$54,'01_Input'!$AC$54,0),IF('01_Input'!$AB$54="Palier",IF(AND(CI$20&gt;='01_Input'!$Z$54,CI$20&lt;'01_Input'!$AA$54),'01_Input'!$AC$54,0),MAX(MIN(CI$20,'01_Input'!$AA$54)-'01_Input'!$Z$54,0)*'01_Input'!$AC$54)))))))))</f>
        <v>2500600000</v>
      </c>
      <c r="CJ22" s="83">
        <f>IF('01_Input'!$C$54="Non",0,MIN('01_Input'!$I$54,MAX('01_Input'!$H$54,IF('01_Input'!$G$54="Résiduel vs Gestion",0,IF('01_Input'!$G$54="Taux Classe sélectionnée",Distrib_Global_Classe_Selectionnee*CJ$20,IF('01_Input'!$G$54="Frais KYC (paliers de 100M€)",MAX(0,Nb_Investisseurs-Nb_KYC_Gratuites_Par_Tranche*(FLOOR(CJ$20/Taille_Tranche_KYC,1)+1))*Cout_Par_KYC_Supplementaire,(IF('01_Input'!$L$54="Forfait",IF(CJ$20&gt;='01_Input'!$J$54,'01_Input'!$M$54,0),IF('01_Input'!$L$54="Palier",IF(AND(CJ$20&gt;='01_Input'!$J$54,CJ$20&lt;'01_Input'!$K$54),'01_Input'!$M$54,0),MAX(MIN(CJ$20,'01_Input'!$K$54)-'01_Input'!$J$54,0)*'01_Input'!$M$54))+IF('01_Input'!$P$54="Forfait",IF(CJ$20&gt;='01_Input'!$N$54,'01_Input'!$Q$54,0),IF('01_Input'!$P$54="Palier",IF(AND(CJ$20&gt;='01_Input'!$N$54,CJ$20&lt;'01_Input'!$O$54),'01_Input'!$Q$54,0),MAX(MIN(CJ$20,'01_Input'!$O$54)-'01_Input'!$N$54,0)*'01_Input'!$Q$54))+IF('01_Input'!$T$54="Forfait",IF(CJ$20&gt;='01_Input'!$R$54,'01_Input'!$U$54,0),IF('01_Input'!$T$54="Palier",IF(AND(CJ$20&gt;='01_Input'!$R$54,CJ$20&lt;'01_Input'!$S$54),'01_Input'!$U$54,0),MAX(MIN(CJ$20,'01_Input'!$S$54)-'01_Input'!$R$54,0)*'01_Input'!$U$54))+IF('01_Input'!$X$54="Forfait",IF(CJ$20&gt;='01_Input'!$V$54,'01_Input'!$Y$54,0),IF('01_Input'!$X$54="Palier",IF(AND(CJ$20&gt;='01_Input'!$V$54,CJ$20&lt;'01_Input'!$W$54),'01_Input'!$Y$54,0),MAX(MIN(CJ$20,'01_Input'!$W$54)-'01_Input'!$V$54,0)*'01_Input'!$Y$54))+IF('01_Input'!$AB$54="Forfait",IF(CJ$20&gt;='01_Input'!$Z$54,'01_Input'!$AC$54,0),IF('01_Input'!$AB$54="Palier",IF(AND(CJ$20&gt;='01_Input'!$Z$54,CJ$20&lt;'01_Input'!$AA$54),'01_Input'!$AC$54,0),MAX(MIN(CJ$20,'01_Input'!$AA$54)-'01_Input'!$Z$54,0)*'01_Input'!$AC$54)))))))))</f>
        <v>2500600000</v>
      </c>
      <c r="CK22" s="83">
        <f>IF('01_Input'!$C$54="Non",0,MIN('01_Input'!$I$54,MAX('01_Input'!$H$54,IF('01_Input'!$G$54="Résiduel vs Gestion",0,IF('01_Input'!$G$54="Taux Classe sélectionnée",Distrib_Global_Classe_Selectionnee*CK$20,IF('01_Input'!$G$54="Frais KYC (paliers de 100M€)",MAX(0,Nb_Investisseurs-Nb_KYC_Gratuites_Par_Tranche*(FLOOR(CK$20/Taille_Tranche_KYC,1)+1))*Cout_Par_KYC_Supplementaire,(IF('01_Input'!$L$54="Forfait",IF(CK$20&gt;='01_Input'!$J$54,'01_Input'!$M$54,0),IF('01_Input'!$L$54="Palier",IF(AND(CK$20&gt;='01_Input'!$J$54,CK$20&lt;'01_Input'!$K$54),'01_Input'!$M$54,0),MAX(MIN(CK$20,'01_Input'!$K$54)-'01_Input'!$J$54,0)*'01_Input'!$M$54))+IF('01_Input'!$P$54="Forfait",IF(CK$20&gt;='01_Input'!$N$54,'01_Input'!$Q$54,0),IF('01_Input'!$P$54="Palier",IF(AND(CK$20&gt;='01_Input'!$N$54,CK$20&lt;'01_Input'!$O$54),'01_Input'!$Q$54,0),MAX(MIN(CK$20,'01_Input'!$O$54)-'01_Input'!$N$54,0)*'01_Input'!$Q$54))+IF('01_Input'!$T$54="Forfait",IF(CK$20&gt;='01_Input'!$R$54,'01_Input'!$U$54,0),IF('01_Input'!$T$54="Palier",IF(AND(CK$20&gt;='01_Input'!$R$54,CK$20&lt;'01_Input'!$S$54),'01_Input'!$U$54,0),MAX(MIN(CK$20,'01_Input'!$S$54)-'01_Input'!$R$54,0)*'01_Input'!$U$54))+IF('01_Input'!$X$54="Forfait",IF(CK$20&gt;='01_Input'!$V$54,'01_Input'!$Y$54,0),IF('01_Input'!$X$54="Palier",IF(AND(CK$20&gt;='01_Input'!$V$54,CK$20&lt;'01_Input'!$W$54),'01_Input'!$Y$54,0),MAX(MIN(CK$20,'01_Input'!$W$54)-'01_Input'!$V$54,0)*'01_Input'!$Y$54))+IF('01_Input'!$AB$54="Forfait",IF(CK$20&gt;='01_Input'!$Z$54,'01_Input'!$AC$54,0),IF('01_Input'!$AB$54="Palier",IF(AND(CK$20&gt;='01_Input'!$Z$54,CK$20&lt;'01_Input'!$AA$54),'01_Input'!$AC$54,0),MAX(MIN(CK$20,'01_Input'!$AA$54)-'01_Input'!$Z$54,0)*'01_Input'!$AC$54)))))))))</f>
        <v>2500600000</v>
      </c>
      <c r="CL22" s="83">
        <f>IF('01_Input'!$C$54="Non",0,MIN('01_Input'!$I$54,MAX('01_Input'!$H$54,IF('01_Input'!$G$54="Résiduel vs Gestion",0,IF('01_Input'!$G$54="Taux Classe sélectionnée",Distrib_Global_Classe_Selectionnee*CL$20,IF('01_Input'!$G$54="Frais KYC (paliers de 100M€)",MAX(0,Nb_Investisseurs-Nb_KYC_Gratuites_Par_Tranche*(FLOOR(CL$20/Taille_Tranche_KYC,1)+1))*Cout_Par_KYC_Supplementaire,(IF('01_Input'!$L$54="Forfait",IF(CL$20&gt;='01_Input'!$J$54,'01_Input'!$M$54,0),IF('01_Input'!$L$54="Palier",IF(AND(CL$20&gt;='01_Input'!$J$54,CL$20&lt;'01_Input'!$K$54),'01_Input'!$M$54,0),MAX(MIN(CL$20,'01_Input'!$K$54)-'01_Input'!$J$54,0)*'01_Input'!$M$54))+IF('01_Input'!$P$54="Forfait",IF(CL$20&gt;='01_Input'!$N$54,'01_Input'!$Q$54,0),IF('01_Input'!$P$54="Palier",IF(AND(CL$20&gt;='01_Input'!$N$54,CL$20&lt;'01_Input'!$O$54),'01_Input'!$Q$54,0),MAX(MIN(CL$20,'01_Input'!$O$54)-'01_Input'!$N$54,0)*'01_Input'!$Q$54))+IF('01_Input'!$T$54="Forfait",IF(CL$20&gt;='01_Input'!$R$54,'01_Input'!$U$54,0),IF('01_Input'!$T$54="Palier",IF(AND(CL$20&gt;='01_Input'!$R$54,CL$20&lt;'01_Input'!$S$54),'01_Input'!$U$54,0),MAX(MIN(CL$20,'01_Input'!$S$54)-'01_Input'!$R$54,0)*'01_Input'!$U$54))+IF('01_Input'!$X$54="Forfait",IF(CL$20&gt;='01_Input'!$V$54,'01_Input'!$Y$54,0),IF('01_Input'!$X$54="Palier",IF(AND(CL$20&gt;='01_Input'!$V$54,CL$20&lt;'01_Input'!$W$54),'01_Input'!$Y$54,0),MAX(MIN(CL$20,'01_Input'!$W$54)-'01_Input'!$V$54,0)*'01_Input'!$Y$54))+IF('01_Input'!$AB$54="Forfait",IF(CL$20&gt;='01_Input'!$Z$54,'01_Input'!$AC$54,0),IF('01_Input'!$AB$54="Palier",IF(AND(CL$20&gt;='01_Input'!$Z$54,CL$20&lt;'01_Input'!$AA$54),'01_Input'!$AC$54,0),MAX(MIN(CL$20,'01_Input'!$AA$54)-'01_Input'!$Z$54,0)*'01_Input'!$AC$54)))))))))</f>
        <v>2500600000</v>
      </c>
      <c r="CM22" s="83">
        <f>IF('01_Input'!$C$54="Non",0,MIN('01_Input'!$I$54,MAX('01_Input'!$H$54,IF('01_Input'!$G$54="Résiduel vs Gestion",0,IF('01_Input'!$G$54="Taux Classe sélectionnée",Distrib_Global_Classe_Selectionnee*CM$20,IF('01_Input'!$G$54="Frais KYC (paliers de 100M€)",MAX(0,Nb_Investisseurs-Nb_KYC_Gratuites_Par_Tranche*(FLOOR(CM$20/Taille_Tranche_KYC,1)+1))*Cout_Par_KYC_Supplementaire,(IF('01_Input'!$L$54="Forfait",IF(CM$20&gt;='01_Input'!$J$54,'01_Input'!$M$54,0),IF('01_Input'!$L$54="Palier",IF(AND(CM$20&gt;='01_Input'!$J$54,CM$20&lt;'01_Input'!$K$54),'01_Input'!$M$54,0),MAX(MIN(CM$20,'01_Input'!$K$54)-'01_Input'!$J$54,0)*'01_Input'!$M$54))+IF('01_Input'!$P$54="Forfait",IF(CM$20&gt;='01_Input'!$N$54,'01_Input'!$Q$54,0),IF('01_Input'!$P$54="Palier",IF(AND(CM$20&gt;='01_Input'!$N$54,CM$20&lt;'01_Input'!$O$54),'01_Input'!$Q$54,0),MAX(MIN(CM$20,'01_Input'!$O$54)-'01_Input'!$N$54,0)*'01_Input'!$Q$54))+IF('01_Input'!$T$54="Forfait",IF(CM$20&gt;='01_Input'!$R$54,'01_Input'!$U$54,0),IF('01_Input'!$T$54="Palier",IF(AND(CM$20&gt;='01_Input'!$R$54,CM$20&lt;'01_Input'!$S$54),'01_Input'!$U$54,0),MAX(MIN(CM$20,'01_Input'!$S$54)-'01_Input'!$R$54,0)*'01_Input'!$U$54))+IF('01_Input'!$X$54="Forfait",IF(CM$20&gt;='01_Input'!$V$54,'01_Input'!$Y$54,0),IF('01_Input'!$X$54="Palier",IF(AND(CM$20&gt;='01_Input'!$V$54,CM$20&lt;'01_Input'!$W$54),'01_Input'!$Y$54,0),MAX(MIN(CM$20,'01_Input'!$W$54)-'01_Input'!$V$54,0)*'01_Input'!$Y$54))+IF('01_Input'!$AB$54="Forfait",IF(CM$20&gt;='01_Input'!$Z$54,'01_Input'!$AC$54,0),IF('01_Input'!$AB$54="Palier",IF(AND(CM$20&gt;='01_Input'!$Z$54,CM$20&lt;'01_Input'!$AA$54),'01_Input'!$AC$54,0),MAX(MIN(CM$20,'01_Input'!$AA$54)-'01_Input'!$Z$54,0)*'01_Input'!$AC$54)))))))))</f>
        <v>2500600000</v>
      </c>
      <c r="CN22" s="83">
        <f>IF('01_Input'!$C$54="Non",0,MIN('01_Input'!$I$54,MAX('01_Input'!$H$54,IF('01_Input'!$G$54="Résiduel vs Gestion",0,IF('01_Input'!$G$54="Taux Classe sélectionnée",Distrib_Global_Classe_Selectionnee*CN$20,IF('01_Input'!$G$54="Frais KYC (paliers de 100M€)",MAX(0,Nb_Investisseurs-Nb_KYC_Gratuites_Par_Tranche*(FLOOR(CN$20/Taille_Tranche_KYC,1)+1))*Cout_Par_KYC_Supplementaire,(IF('01_Input'!$L$54="Forfait",IF(CN$20&gt;='01_Input'!$J$54,'01_Input'!$M$54,0),IF('01_Input'!$L$54="Palier",IF(AND(CN$20&gt;='01_Input'!$J$54,CN$20&lt;'01_Input'!$K$54),'01_Input'!$M$54,0),MAX(MIN(CN$20,'01_Input'!$K$54)-'01_Input'!$J$54,0)*'01_Input'!$M$54))+IF('01_Input'!$P$54="Forfait",IF(CN$20&gt;='01_Input'!$N$54,'01_Input'!$Q$54,0),IF('01_Input'!$P$54="Palier",IF(AND(CN$20&gt;='01_Input'!$N$54,CN$20&lt;'01_Input'!$O$54),'01_Input'!$Q$54,0),MAX(MIN(CN$20,'01_Input'!$O$54)-'01_Input'!$N$54,0)*'01_Input'!$Q$54))+IF('01_Input'!$T$54="Forfait",IF(CN$20&gt;='01_Input'!$R$54,'01_Input'!$U$54,0),IF('01_Input'!$T$54="Palier",IF(AND(CN$20&gt;='01_Input'!$R$54,CN$20&lt;'01_Input'!$S$54),'01_Input'!$U$54,0),MAX(MIN(CN$20,'01_Input'!$S$54)-'01_Input'!$R$54,0)*'01_Input'!$U$54))+IF('01_Input'!$X$54="Forfait",IF(CN$20&gt;='01_Input'!$V$54,'01_Input'!$Y$54,0),IF('01_Input'!$X$54="Palier",IF(AND(CN$20&gt;='01_Input'!$V$54,CN$20&lt;'01_Input'!$W$54),'01_Input'!$Y$54,0),MAX(MIN(CN$20,'01_Input'!$W$54)-'01_Input'!$V$54,0)*'01_Input'!$Y$54))+IF('01_Input'!$AB$54="Forfait",IF(CN$20&gt;='01_Input'!$Z$54,'01_Input'!$AC$54,0),IF('01_Input'!$AB$54="Palier",IF(AND(CN$20&gt;='01_Input'!$Z$54,CN$20&lt;'01_Input'!$AA$54),'01_Input'!$AC$54,0),MAX(MIN(CN$20,'01_Input'!$AA$54)-'01_Input'!$Z$54,0)*'01_Input'!$AC$54)))))))))</f>
        <v>2500600000</v>
      </c>
      <c r="CO22" s="83">
        <f>IF('01_Input'!$C$54="Non",0,MIN('01_Input'!$I$54,MAX('01_Input'!$H$54,IF('01_Input'!$G$54="Résiduel vs Gestion",0,IF('01_Input'!$G$54="Taux Classe sélectionnée",Distrib_Global_Classe_Selectionnee*CO$20,IF('01_Input'!$G$54="Frais KYC (paliers de 100M€)",MAX(0,Nb_Investisseurs-Nb_KYC_Gratuites_Par_Tranche*(FLOOR(CO$20/Taille_Tranche_KYC,1)+1))*Cout_Par_KYC_Supplementaire,(IF('01_Input'!$L$54="Forfait",IF(CO$20&gt;='01_Input'!$J$54,'01_Input'!$M$54,0),IF('01_Input'!$L$54="Palier",IF(AND(CO$20&gt;='01_Input'!$J$54,CO$20&lt;'01_Input'!$K$54),'01_Input'!$M$54,0),MAX(MIN(CO$20,'01_Input'!$K$54)-'01_Input'!$J$54,0)*'01_Input'!$M$54))+IF('01_Input'!$P$54="Forfait",IF(CO$20&gt;='01_Input'!$N$54,'01_Input'!$Q$54,0),IF('01_Input'!$P$54="Palier",IF(AND(CO$20&gt;='01_Input'!$N$54,CO$20&lt;'01_Input'!$O$54),'01_Input'!$Q$54,0),MAX(MIN(CO$20,'01_Input'!$O$54)-'01_Input'!$N$54,0)*'01_Input'!$Q$54))+IF('01_Input'!$T$54="Forfait",IF(CO$20&gt;='01_Input'!$R$54,'01_Input'!$U$54,0),IF('01_Input'!$T$54="Palier",IF(AND(CO$20&gt;='01_Input'!$R$54,CO$20&lt;'01_Input'!$S$54),'01_Input'!$U$54,0),MAX(MIN(CO$20,'01_Input'!$S$54)-'01_Input'!$R$54,0)*'01_Input'!$U$54))+IF('01_Input'!$X$54="Forfait",IF(CO$20&gt;='01_Input'!$V$54,'01_Input'!$Y$54,0),IF('01_Input'!$X$54="Palier",IF(AND(CO$20&gt;='01_Input'!$V$54,CO$20&lt;'01_Input'!$W$54),'01_Input'!$Y$54,0),MAX(MIN(CO$20,'01_Input'!$W$54)-'01_Input'!$V$54,0)*'01_Input'!$Y$54))+IF('01_Input'!$AB$54="Forfait",IF(CO$20&gt;='01_Input'!$Z$54,'01_Input'!$AC$54,0),IF('01_Input'!$AB$54="Palier",IF(AND(CO$20&gt;='01_Input'!$Z$54,CO$20&lt;'01_Input'!$AA$54),'01_Input'!$AC$54,0),MAX(MIN(CO$20,'01_Input'!$AA$54)-'01_Input'!$Z$54,0)*'01_Input'!$AC$54)))))))))</f>
        <v>2500600000</v>
      </c>
      <c r="CP22" s="83">
        <f>IF('01_Input'!$C$54="Non",0,MIN('01_Input'!$I$54,MAX('01_Input'!$H$54,IF('01_Input'!$G$54="Résiduel vs Gestion",0,IF('01_Input'!$G$54="Taux Classe sélectionnée",Distrib_Global_Classe_Selectionnee*CP$20,IF('01_Input'!$G$54="Frais KYC (paliers de 100M€)",MAX(0,Nb_Investisseurs-Nb_KYC_Gratuites_Par_Tranche*(FLOOR(CP$20/Taille_Tranche_KYC,1)+1))*Cout_Par_KYC_Supplementaire,(IF('01_Input'!$L$54="Forfait",IF(CP$20&gt;='01_Input'!$J$54,'01_Input'!$M$54,0),IF('01_Input'!$L$54="Palier",IF(AND(CP$20&gt;='01_Input'!$J$54,CP$20&lt;'01_Input'!$K$54),'01_Input'!$M$54,0),MAX(MIN(CP$20,'01_Input'!$K$54)-'01_Input'!$J$54,0)*'01_Input'!$M$54))+IF('01_Input'!$P$54="Forfait",IF(CP$20&gt;='01_Input'!$N$54,'01_Input'!$Q$54,0),IF('01_Input'!$P$54="Palier",IF(AND(CP$20&gt;='01_Input'!$N$54,CP$20&lt;'01_Input'!$O$54),'01_Input'!$Q$54,0),MAX(MIN(CP$20,'01_Input'!$O$54)-'01_Input'!$N$54,0)*'01_Input'!$Q$54))+IF('01_Input'!$T$54="Forfait",IF(CP$20&gt;='01_Input'!$R$54,'01_Input'!$U$54,0),IF('01_Input'!$T$54="Palier",IF(AND(CP$20&gt;='01_Input'!$R$54,CP$20&lt;'01_Input'!$S$54),'01_Input'!$U$54,0),MAX(MIN(CP$20,'01_Input'!$S$54)-'01_Input'!$R$54,0)*'01_Input'!$U$54))+IF('01_Input'!$X$54="Forfait",IF(CP$20&gt;='01_Input'!$V$54,'01_Input'!$Y$54,0),IF('01_Input'!$X$54="Palier",IF(AND(CP$20&gt;='01_Input'!$V$54,CP$20&lt;'01_Input'!$W$54),'01_Input'!$Y$54,0),MAX(MIN(CP$20,'01_Input'!$W$54)-'01_Input'!$V$54,0)*'01_Input'!$Y$54))+IF('01_Input'!$AB$54="Forfait",IF(CP$20&gt;='01_Input'!$Z$54,'01_Input'!$AC$54,0),IF('01_Input'!$AB$54="Palier",IF(AND(CP$20&gt;='01_Input'!$Z$54,CP$20&lt;'01_Input'!$AA$54),'01_Input'!$AC$54,0),MAX(MIN(CP$20,'01_Input'!$AA$54)-'01_Input'!$Z$54,0)*'01_Input'!$AC$54)))))))))</f>
        <v>2500600000</v>
      </c>
      <c r="CQ22" s="83">
        <f>IF('01_Input'!$C$54="Non",0,MIN('01_Input'!$I$54,MAX('01_Input'!$H$54,IF('01_Input'!$G$54="Résiduel vs Gestion",0,IF('01_Input'!$G$54="Taux Classe sélectionnée",Distrib_Global_Classe_Selectionnee*CQ$20,IF('01_Input'!$G$54="Frais KYC (paliers de 100M€)",MAX(0,Nb_Investisseurs-Nb_KYC_Gratuites_Par_Tranche*(FLOOR(CQ$20/Taille_Tranche_KYC,1)+1))*Cout_Par_KYC_Supplementaire,(IF('01_Input'!$L$54="Forfait",IF(CQ$20&gt;='01_Input'!$J$54,'01_Input'!$M$54,0),IF('01_Input'!$L$54="Palier",IF(AND(CQ$20&gt;='01_Input'!$J$54,CQ$20&lt;'01_Input'!$K$54),'01_Input'!$M$54,0),MAX(MIN(CQ$20,'01_Input'!$K$54)-'01_Input'!$J$54,0)*'01_Input'!$M$54))+IF('01_Input'!$P$54="Forfait",IF(CQ$20&gt;='01_Input'!$N$54,'01_Input'!$Q$54,0),IF('01_Input'!$P$54="Palier",IF(AND(CQ$20&gt;='01_Input'!$N$54,CQ$20&lt;'01_Input'!$O$54),'01_Input'!$Q$54,0),MAX(MIN(CQ$20,'01_Input'!$O$54)-'01_Input'!$N$54,0)*'01_Input'!$Q$54))+IF('01_Input'!$T$54="Forfait",IF(CQ$20&gt;='01_Input'!$R$54,'01_Input'!$U$54,0),IF('01_Input'!$T$54="Palier",IF(AND(CQ$20&gt;='01_Input'!$R$54,CQ$20&lt;'01_Input'!$S$54),'01_Input'!$U$54,0),MAX(MIN(CQ$20,'01_Input'!$S$54)-'01_Input'!$R$54,0)*'01_Input'!$U$54))+IF('01_Input'!$X$54="Forfait",IF(CQ$20&gt;='01_Input'!$V$54,'01_Input'!$Y$54,0),IF('01_Input'!$X$54="Palier",IF(AND(CQ$20&gt;='01_Input'!$V$54,CQ$20&lt;'01_Input'!$W$54),'01_Input'!$Y$54,0),MAX(MIN(CQ$20,'01_Input'!$W$54)-'01_Input'!$V$54,0)*'01_Input'!$Y$54))+IF('01_Input'!$AB$54="Forfait",IF(CQ$20&gt;='01_Input'!$Z$54,'01_Input'!$AC$54,0),IF('01_Input'!$AB$54="Palier",IF(AND(CQ$20&gt;='01_Input'!$Z$54,CQ$20&lt;'01_Input'!$AA$54),'01_Input'!$AC$54,0),MAX(MIN(CQ$20,'01_Input'!$AA$54)-'01_Input'!$Z$54,0)*'01_Input'!$AC$54)))))))))</f>
        <v>2500600000</v>
      </c>
      <c r="CR22" s="83">
        <f>IF('01_Input'!$C$54="Non",0,MIN('01_Input'!$I$54,MAX('01_Input'!$H$54,IF('01_Input'!$G$54="Résiduel vs Gestion",0,IF('01_Input'!$G$54="Taux Classe sélectionnée",Distrib_Global_Classe_Selectionnee*CR$20,IF('01_Input'!$G$54="Frais KYC (paliers de 100M€)",MAX(0,Nb_Investisseurs-Nb_KYC_Gratuites_Par_Tranche*(FLOOR(CR$20/Taille_Tranche_KYC,1)+1))*Cout_Par_KYC_Supplementaire,(IF('01_Input'!$L$54="Forfait",IF(CR$20&gt;='01_Input'!$J$54,'01_Input'!$M$54,0),IF('01_Input'!$L$54="Palier",IF(AND(CR$20&gt;='01_Input'!$J$54,CR$20&lt;'01_Input'!$K$54),'01_Input'!$M$54,0),MAX(MIN(CR$20,'01_Input'!$K$54)-'01_Input'!$J$54,0)*'01_Input'!$M$54))+IF('01_Input'!$P$54="Forfait",IF(CR$20&gt;='01_Input'!$N$54,'01_Input'!$Q$54,0),IF('01_Input'!$P$54="Palier",IF(AND(CR$20&gt;='01_Input'!$N$54,CR$20&lt;'01_Input'!$O$54),'01_Input'!$Q$54,0),MAX(MIN(CR$20,'01_Input'!$O$54)-'01_Input'!$N$54,0)*'01_Input'!$Q$54))+IF('01_Input'!$T$54="Forfait",IF(CR$20&gt;='01_Input'!$R$54,'01_Input'!$U$54,0),IF('01_Input'!$T$54="Palier",IF(AND(CR$20&gt;='01_Input'!$R$54,CR$20&lt;'01_Input'!$S$54),'01_Input'!$U$54,0),MAX(MIN(CR$20,'01_Input'!$S$54)-'01_Input'!$R$54,0)*'01_Input'!$U$54))+IF('01_Input'!$X$54="Forfait",IF(CR$20&gt;='01_Input'!$V$54,'01_Input'!$Y$54,0),IF('01_Input'!$X$54="Palier",IF(AND(CR$20&gt;='01_Input'!$V$54,CR$20&lt;'01_Input'!$W$54),'01_Input'!$Y$54,0),MAX(MIN(CR$20,'01_Input'!$W$54)-'01_Input'!$V$54,0)*'01_Input'!$Y$54))+IF('01_Input'!$AB$54="Forfait",IF(CR$20&gt;='01_Input'!$Z$54,'01_Input'!$AC$54,0),IF('01_Input'!$AB$54="Palier",IF(AND(CR$20&gt;='01_Input'!$Z$54,CR$20&lt;'01_Input'!$AA$54),'01_Input'!$AC$54,0),MAX(MIN(CR$20,'01_Input'!$AA$54)-'01_Input'!$Z$54,0)*'01_Input'!$AC$54)))))))))</f>
        <v>2500600000</v>
      </c>
      <c r="CS22" s="83">
        <f>IF('01_Input'!$C$54="Non",0,MIN('01_Input'!$I$54,MAX('01_Input'!$H$54,IF('01_Input'!$G$54="Résiduel vs Gestion",0,IF('01_Input'!$G$54="Taux Classe sélectionnée",Distrib_Global_Classe_Selectionnee*CS$20,IF('01_Input'!$G$54="Frais KYC (paliers de 100M€)",MAX(0,Nb_Investisseurs-Nb_KYC_Gratuites_Par_Tranche*(FLOOR(CS$20/Taille_Tranche_KYC,1)+1))*Cout_Par_KYC_Supplementaire,(IF('01_Input'!$L$54="Forfait",IF(CS$20&gt;='01_Input'!$J$54,'01_Input'!$M$54,0),IF('01_Input'!$L$54="Palier",IF(AND(CS$20&gt;='01_Input'!$J$54,CS$20&lt;'01_Input'!$K$54),'01_Input'!$M$54,0),MAX(MIN(CS$20,'01_Input'!$K$54)-'01_Input'!$J$54,0)*'01_Input'!$M$54))+IF('01_Input'!$P$54="Forfait",IF(CS$20&gt;='01_Input'!$N$54,'01_Input'!$Q$54,0),IF('01_Input'!$P$54="Palier",IF(AND(CS$20&gt;='01_Input'!$N$54,CS$20&lt;'01_Input'!$O$54),'01_Input'!$Q$54,0),MAX(MIN(CS$20,'01_Input'!$O$54)-'01_Input'!$N$54,0)*'01_Input'!$Q$54))+IF('01_Input'!$T$54="Forfait",IF(CS$20&gt;='01_Input'!$R$54,'01_Input'!$U$54,0),IF('01_Input'!$T$54="Palier",IF(AND(CS$20&gt;='01_Input'!$R$54,CS$20&lt;'01_Input'!$S$54),'01_Input'!$U$54,0),MAX(MIN(CS$20,'01_Input'!$S$54)-'01_Input'!$R$54,0)*'01_Input'!$U$54))+IF('01_Input'!$X$54="Forfait",IF(CS$20&gt;='01_Input'!$V$54,'01_Input'!$Y$54,0),IF('01_Input'!$X$54="Palier",IF(AND(CS$20&gt;='01_Input'!$V$54,CS$20&lt;'01_Input'!$W$54),'01_Input'!$Y$54,0),MAX(MIN(CS$20,'01_Input'!$W$54)-'01_Input'!$V$54,0)*'01_Input'!$Y$54))+IF('01_Input'!$AB$54="Forfait",IF(CS$20&gt;='01_Input'!$Z$54,'01_Input'!$AC$54,0),IF('01_Input'!$AB$54="Palier",IF(AND(CS$20&gt;='01_Input'!$Z$54,CS$20&lt;'01_Input'!$AA$54),'01_Input'!$AC$54,0),MAX(MIN(CS$20,'01_Input'!$AA$54)-'01_Input'!$Z$54,0)*'01_Input'!$AC$54)))))))))</f>
        <v>2500600000</v>
      </c>
      <c r="CT22" s="83">
        <f>IF('01_Input'!$C$54="Non",0,MIN('01_Input'!$I$54,MAX('01_Input'!$H$54,IF('01_Input'!$G$54="Résiduel vs Gestion",0,IF('01_Input'!$G$54="Taux Classe sélectionnée",Distrib_Global_Classe_Selectionnee*CT$20,IF('01_Input'!$G$54="Frais KYC (paliers de 100M€)",MAX(0,Nb_Investisseurs-Nb_KYC_Gratuites_Par_Tranche*(FLOOR(CT$20/Taille_Tranche_KYC,1)+1))*Cout_Par_KYC_Supplementaire,(IF('01_Input'!$L$54="Forfait",IF(CT$20&gt;='01_Input'!$J$54,'01_Input'!$M$54,0),IF('01_Input'!$L$54="Palier",IF(AND(CT$20&gt;='01_Input'!$J$54,CT$20&lt;'01_Input'!$K$54),'01_Input'!$M$54,0),MAX(MIN(CT$20,'01_Input'!$K$54)-'01_Input'!$J$54,0)*'01_Input'!$M$54))+IF('01_Input'!$P$54="Forfait",IF(CT$20&gt;='01_Input'!$N$54,'01_Input'!$Q$54,0),IF('01_Input'!$P$54="Palier",IF(AND(CT$20&gt;='01_Input'!$N$54,CT$20&lt;'01_Input'!$O$54),'01_Input'!$Q$54,0),MAX(MIN(CT$20,'01_Input'!$O$54)-'01_Input'!$N$54,0)*'01_Input'!$Q$54))+IF('01_Input'!$T$54="Forfait",IF(CT$20&gt;='01_Input'!$R$54,'01_Input'!$U$54,0),IF('01_Input'!$T$54="Palier",IF(AND(CT$20&gt;='01_Input'!$R$54,CT$20&lt;'01_Input'!$S$54),'01_Input'!$U$54,0),MAX(MIN(CT$20,'01_Input'!$S$54)-'01_Input'!$R$54,0)*'01_Input'!$U$54))+IF('01_Input'!$X$54="Forfait",IF(CT$20&gt;='01_Input'!$V$54,'01_Input'!$Y$54,0),IF('01_Input'!$X$54="Palier",IF(AND(CT$20&gt;='01_Input'!$V$54,CT$20&lt;'01_Input'!$W$54),'01_Input'!$Y$54,0),MAX(MIN(CT$20,'01_Input'!$W$54)-'01_Input'!$V$54,0)*'01_Input'!$Y$54))+IF('01_Input'!$AB$54="Forfait",IF(CT$20&gt;='01_Input'!$Z$54,'01_Input'!$AC$54,0),IF('01_Input'!$AB$54="Palier",IF(AND(CT$20&gt;='01_Input'!$Z$54,CT$20&lt;'01_Input'!$AA$54),'01_Input'!$AC$54,0),MAX(MIN(CT$20,'01_Input'!$AA$54)-'01_Input'!$Z$54,0)*'01_Input'!$AC$54)))))))))</f>
        <v>2500600000</v>
      </c>
      <c r="CU22" s="83">
        <f>IF('01_Input'!$C$54="Non",0,MIN('01_Input'!$I$54,MAX('01_Input'!$H$54,IF('01_Input'!$G$54="Résiduel vs Gestion",0,IF('01_Input'!$G$54="Taux Classe sélectionnée",Distrib_Global_Classe_Selectionnee*CU$20,IF('01_Input'!$G$54="Frais KYC (paliers de 100M€)",MAX(0,Nb_Investisseurs-Nb_KYC_Gratuites_Par_Tranche*(FLOOR(CU$20/Taille_Tranche_KYC,1)+1))*Cout_Par_KYC_Supplementaire,(IF('01_Input'!$L$54="Forfait",IF(CU$20&gt;='01_Input'!$J$54,'01_Input'!$M$54,0),IF('01_Input'!$L$54="Palier",IF(AND(CU$20&gt;='01_Input'!$J$54,CU$20&lt;'01_Input'!$K$54),'01_Input'!$M$54,0),MAX(MIN(CU$20,'01_Input'!$K$54)-'01_Input'!$J$54,0)*'01_Input'!$M$54))+IF('01_Input'!$P$54="Forfait",IF(CU$20&gt;='01_Input'!$N$54,'01_Input'!$Q$54,0),IF('01_Input'!$P$54="Palier",IF(AND(CU$20&gt;='01_Input'!$N$54,CU$20&lt;'01_Input'!$O$54),'01_Input'!$Q$54,0),MAX(MIN(CU$20,'01_Input'!$O$54)-'01_Input'!$N$54,0)*'01_Input'!$Q$54))+IF('01_Input'!$T$54="Forfait",IF(CU$20&gt;='01_Input'!$R$54,'01_Input'!$U$54,0),IF('01_Input'!$T$54="Palier",IF(AND(CU$20&gt;='01_Input'!$R$54,CU$20&lt;'01_Input'!$S$54),'01_Input'!$U$54,0),MAX(MIN(CU$20,'01_Input'!$S$54)-'01_Input'!$R$54,0)*'01_Input'!$U$54))+IF('01_Input'!$X$54="Forfait",IF(CU$20&gt;='01_Input'!$V$54,'01_Input'!$Y$54,0),IF('01_Input'!$X$54="Palier",IF(AND(CU$20&gt;='01_Input'!$V$54,CU$20&lt;'01_Input'!$W$54),'01_Input'!$Y$54,0),MAX(MIN(CU$20,'01_Input'!$W$54)-'01_Input'!$V$54,0)*'01_Input'!$Y$54))+IF('01_Input'!$AB$54="Forfait",IF(CU$20&gt;='01_Input'!$Z$54,'01_Input'!$AC$54,0),IF('01_Input'!$AB$54="Palier",IF(AND(CU$20&gt;='01_Input'!$Z$54,CU$20&lt;'01_Input'!$AA$54),'01_Input'!$AC$54,0),MAX(MIN(CU$20,'01_Input'!$AA$54)-'01_Input'!$Z$54,0)*'01_Input'!$AC$54)))))))))</f>
        <v>2500600000</v>
      </c>
      <c r="CV22" s="83">
        <f>IF('01_Input'!$C$54="Non",0,MIN('01_Input'!$I$54,MAX('01_Input'!$H$54,IF('01_Input'!$G$54="Résiduel vs Gestion",0,IF('01_Input'!$G$54="Taux Classe sélectionnée",Distrib_Global_Classe_Selectionnee*CV$20,IF('01_Input'!$G$54="Frais KYC (paliers de 100M€)",MAX(0,Nb_Investisseurs-Nb_KYC_Gratuites_Par_Tranche*(FLOOR(CV$20/Taille_Tranche_KYC,1)+1))*Cout_Par_KYC_Supplementaire,(IF('01_Input'!$L$54="Forfait",IF(CV$20&gt;='01_Input'!$J$54,'01_Input'!$M$54,0),IF('01_Input'!$L$54="Palier",IF(AND(CV$20&gt;='01_Input'!$J$54,CV$20&lt;'01_Input'!$K$54),'01_Input'!$M$54,0),MAX(MIN(CV$20,'01_Input'!$K$54)-'01_Input'!$J$54,0)*'01_Input'!$M$54))+IF('01_Input'!$P$54="Forfait",IF(CV$20&gt;='01_Input'!$N$54,'01_Input'!$Q$54,0),IF('01_Input'!$P$54="Palier",IF(AND(CV$20&gt;='01_Input'!$N$54,CV$20&lt;'01_Input'!$O$54),'01_Input'!$Q$54,0),MAX(MIN(CV$20,'01_Input'!$O$54)-'01_Input'!$N$54,0)*'01_Input'!$Q$54))+IF('01_Input'!$T$54="Forfait",IF(CV$20&gt;='01_Input'!$R$54,'01_Input'!$U$54,0),IF('01_Input'!$T$54="Palier",IF(AND(CV$20&gt;='01_Input'!$R$54,CV$20&lt;'01_Input'!$S$54),'01_Input'!$U$54,0),MAX(MIN(CV$20,'01_Input'!$S$54)-'01_Input'!$R$54,0)*'01_Input'!$U$54))+IF('01_Input'!$X$54="Forfait",IF(CV$20&gt;='01_Input'!$V$54,'01_Input'!$Y$54,0),IF('01_Input'!$X$54="Palier",IF(AND(CV$20&gt;='01_Input'!$V$54,CV$20&lt;'01_Input'!$W$54),'01_Input'!$Y$54,0),MAX(MIN(CV$20,'01_Input'!$W$54)-'01_Input'!$V$54,0)*'01_Input'!$Y$54))+IF('01_Input'!$AB$54="Forfait",IF(CV$20&gt;='01_Input'!$Z$54,'01_Input'!$AC$54,0),IF('01_Input'!$AB$54="Palier",IF(AND(CV$20&gt;='01_Input'!$Z$54,CV$20&lt;'01_Input'!$AA$54),'01_Input'!$AC$54,0),MAX(MIN(CV$20,'01_Input'!$AA$54)-'01_Input'!$Z$54,0)*'01_Input'!$AC$54)))))))))</f>
        <v>2500600000</v>
      </c>
      <c r="CW22" s="83">
        <f>IF('01_Input'!$C$54="Non",0,MIN('01_Input'!$I$54,MAX('01_Input'!$H$54,IF('01_Input'!$G$54="Résiduel vs Gestion",0,IF('01_Input'!$G$54="Taux Classe sélectionnée",Distrib_Global_Classe_Selectionnee*CW$20,IF('01_Input'!$G$54="Frais KYC (paliers de 100M€)",MAX(0,Nb_Investisseurs-Nb_KYC_Gratuites_Par_Tranche*(FLOOR(CW$20/Taille_Tranche_KYC,1)+1))*Cout_Par_KYC_Supplementaire,(IF('01_Input'!$L$54="Forfait",IF(CW$20&gt;='01_Input'!$J$54,'01_Input'!$M$54,0),IF('01_Input'!$L$54="Palier",IF(AND(CW$20&gt;='01_Input'!$J$54,CW$20&lt;'01_Input'!$K$54),'01_Input'!$M$54,0),MAX(MIN(CW$20,'01_Input'!$K$54)-'01_Input'!$J$54,0)*'01_Input'!$M$54))+IF('01_Input'!$P$54="Forfait",IF(CW$20&gt;='01_Input'!$N$54,'01_Input'!$Q$54,0),IF('01_Input'!$P$54="Palier",IF(AND(CW$20&gt;='01_Input'!$N$54,CW$20&lt;'01_Input'!$O$54),'01_Input'!$Q$54,0),MAX(MIN(CW$20,'01_Input'!$O$54)-'01_Input'!$N$54,0)*'01_Input'!$Q$54))+IF('01_Input'!$T$54="Forfait",IF(CW$20&gt;='01_Input'!$R$54,'01_Input'!$U$54,0),IF('01_Input'!$T$54="Palier",IF(AND(CW$20&gt;='01_Input'!$R$54,CW$20&lt;'01_Input'!$S$54),'01_Input'!$U$54,0),MAX(MIN(CW$20,'01_Input'!$S$54)-'01_Input'!$R$54,0)*'01_Input'!$U$54))+IF('01_Input'!$X$54="Forfait",IF(CW$20&gt;='01_Input'!$V$54,'01_Input'!$Y$54,0),IF('01_Input'!$X$54="Palier",IF(AND(CW$20&gt;='01_Input'!$V$54,CW$20&lt;'01_Input'!$W$54),'01_Input'!$Y$54,0),MAX(MIN(CW$20,'01_Input'!$W$54)-'01_Input'!$V$54,0)*'01_Input'!$Y$54))+IF('01_Input'!$AB$54="Forfait",IF(CW$20&gt;='01_Input'!$Z$54,'01_Input'!$AC$54,0),IF('01_Input'!$AB$54="Palier",IF(AND(CW$20&gt;='01_Input'!$Z$54,CW$20&lt;'01_Input'!$AA$54),'01_Input'!$AC$54,0),MAX(MIN(CW$20,'01_Input'!$AA$54)-'01_Input'!$Z$54,0)*'01_Input'!$AC$54)))))))))</f>
        <v>2500600000</v>
      </c>
      <c r="CX22" s="83">
        <f>IF('01_Input'!$C$54="Non",0,MIN('01_Input'!$I$54,MAX('01_Input'!$H$54,IF('01_Input'!$G$54="Résiduel vs Gestion",0,IF('01_Input'!$G$54="Taux Classe sélectionnée",Distrib_Global_Classe_Selectionnee*CX$20,IF('01_Input'!$G$54="Frais KYC (paliers de 100M€)",MAX(0,Nb_Investisseurs-Nb_KYC_Gratuites_Par_Tranche*(FLOOR(CX$20/Taille_Tranche_KYC,1)+1))*Cout_Par_KYC_Supplementaire,(IF('01_Input'!$L$54="Forfait",IF(CX$20&gt;='01_Input'!$J$54,'01_Input'!$M$54,0),IF('01_Input'!$L$54="Palier",IF(AND(CX$20&gt;='01_Input'!$J$54,CX$20&lt;'01_Input'!$K$54),'01_Input'!$M$54,0),MAX(MIN(CX$20,'01_Input'!$K$54)-'01_Input'!$J$54,0)*'01_Input'!$M$54))+IF('01_Input'!$P$54="Forfait",IF(CX$20&gt;='01_Input'!$N$54,'01_Input'!$Q$54,0),IF('01_Input'!$P$54="Palier",IF(AND(CX$20&gt;='01_Input'!$N$54,CX$20&lt;'01_Input'!$O$54),'01_Input'!$Q$54,0),MAX(MIN(CX$20,'01_Input'!$O$54)-'01_Input'!$N$54,0)*'01_Input'!$Q$54))+IF('01_Input'!$T$54="Forfait",IF(CX$20&gt;='01_Input'!$R$54,'01_Input'!$U$54,0),IF('01_Input'!$T$54="Palier",IF(AND(CX$20&gt;='01_Input'!$R$54,CX$20&lt;'01_Input'!$S$54),'01_Input'!$U$54,0),MAX(MIN(CX$20,'01_Input'!$S$54)-'01_Input'!$R$54,0)*'01_Input'!$U$54))+IF('01_Input'!$X$54="Forfait",IF(CX$20&gt;='01_Input'!$V$54,'01_Input'!$Y$54,0),IF('01_Input'!$X$54="Palier",IF(AND(CX$20&gt;='01_Input'!$V$54,CX$20&lt;'01_Input'!$W$54),'01_Input'!$Y$54,0),MAX(MIN(CX$20,'01_Input'!$W$54)-'01_Input'!$V$54,0)*'01_Input'!$Y$54))+IF('01_Input'!$AB$54="Forfait",IF(CX$20&gt;='01_Input'!$Z$54,'01_Input'!$AC$54,0),IF('01_Input'!$AB$54="Palier",IF(AND(CX$20&gt;='01_Input'!$Z$54,CX$20&lt;'01_Input'!$AA$54),'01_Input'!$AC$54,0),MAX(MIN(CX$20,'01_Input'!$AA$54)-'01_Input'!$Z$54,0)*'01_Input'!$AC$54)))))))))</f>
        <v>2500600000</v>
      </c>
      <c r="CY22" s="83">
        <f>IF('01_Input'!$C$54="Non",0,MIN('01_Input'!$I$54,MAX('01_Input'!$H$54,IF('01_Input'!$G$54="Résiduel vs Gestion",0,IF('01_Input'!$G$54="Taux Classe sélectionnée",Distrib_Global_Classe_Selectionnee*CY$20,IF('01_Input'!$G$54="Frais KYC (paliers de 100M€)",MAX(0,Nb_Investisseurs-Nb_KYC_Gratuites_Par_Tranche*(FLOOR(CY$20/Taille_Tranche_KYC,1)+1))*Cout_Par_KYC_Supplementaire,(IF('01_Input'!$L$54="Forfait",IF(CY$20&gt;='01_Input'!$J$54,'01_Input'!$M$54,0),IF('01_Input'!$L$54="Palier",IF(AND(CY$20&gt;='01_Input'!$J$54,CY$20&lt;'01_Input'!$K$54),'01_Input'!$M$54,0),MAX(MIN(CY$20,'01_Input'!$K$54)-'01_Input'!$J$54,0)*'01_Input'!$M$54))+IF('01_Input'!$P$54="Forfait",IF(CY$20&gt;='01_Input'!$N$54,'01_Input'!$Q$54,0),IF('01_Input'!$P$54="Palier",IF(AND(CY$20&gt;='01_Input'!$N$54,CY$20&lt;'01_Input'!$O$54),'01_Input'!$Q$54,0),MAX(MIN(CY$20,'01_Input'!$O$54)-'01_Input'!$N$54,0)*'01_Input'!$Q$54))+IF('01_Input'!$T$54="Forfait",IF(CY$20&gt;='01_Input'!$R$54,'01_Input'!$U$54,0),IF('01_Input'!$T$54="Palier",IF(AND(CY$20&gt;='01_Input'!$R$54,CY$20&lt;'01_Input'!$S$54),'01_Input'!$U$54,0),MAX(MIN(CY$20,'01_Input'!$S$54)-'01_Input'!$R$54,0)*'01_Input'!$U$54))+IF('01_Input'!$X$54="Forfait",IF(CY$20&gt;='01_Input'!$V$54,'01_Input'!$Y$54,0),IF('01_Input'!$X$54="Palier",IF(AND(CY$20&gt;='01_Input'!$V$54,CY$20&lt;'01_Input'!$W$54),'01_Input'!$Y$54,0),MAX(MIN(CY$20,'01_Input'!$W$54)-'01_Input'!$V$54,0)*'01_Input'!$Y$54))+IF('01_Input'!$AB$54="Forfait",IF(CY$20&gt;='01_Input'!$Z$54,'01_Input'!$AC$54,0),IF('01_Input'!$AB$54="Palier",IF(AND(CY$20&gt;='01_Input'!$Z$54,CY$20&lt;'01_Input'!$AA$54),'01_Input'!$AC$54,0),MAX(MIN(CY$20,'01_Input'!$AA$54)-'01_Input'!$Z$54,0)*'01_Input'!$AC$54)))))))))</f>
        <v>2500600000</v>
      </c>
      <c r="CZ22" s="83">
        <f>IF('01_Input'!$C$54="Non",0,MIN('01_Input'!$I$54,MAX('01_Input'!$H$54,IF('01_Input'!$G$54="Résiduel vs Gestion",0,IF('01_Input'!$G$54="Taux Classe sélectionnée",Distrib_Global_Classe_Selectionnee*CZ$20,IF('01_Input'!$G$54="Frais KYC (paliers de 100M€)",MAX(0,Nb_Investisseurs-Nb_KYC_Gratuites_Par_Tranche*(FLOOR(CZ$20/Taille_Tranche_KYC,1)+1))*Cout_Par_KYC_Supplementaire,(IF('01_Input'!$L$54="Forfait",IF(CZ$20&gt;='01_Input'!$J$54,'01_Input'!$M$54,0),IF('01_Input'!$L$54="Palier",IF(AND(CZ$20&gt;='01_Input'!$J$54,CZ$20&lt;'01_Input'!$K$54),'01_Input'!$M$54,0),MAX(MIN(CZ$20,'01_Input'!$K$54)-'01_Input'!$J$54,0)*'01_Input'!$M$54))+IF('01_Input'!$P$54="Forfait",IF(CZ$20&gt;='01_Input'!$N$54,'01_Input'!$Q$54,0),IF('01_Input'!$P$54="Palier",IF(AND(CZ$20&gt;='01_Input'!$N$54,CZ$20&lt;'01_Input'!$O$54),'01_Input'!$Q$54,0),MAX(MIN(CZ$20,'01_Input'!$O$54)-'01_Input'!$N$54,0)*'01_Input'!$Q$54))+IF('01_Input'!$T$54="Forfait",IF(CZ$20&gt;='01_Input'!$R$54,'01_Input'!$U$54,0),IF('01_Input'!$T$54="Palier",IF(AND(CZ$20&gt;='01_Input'!$R$54,CZ$20&lt;'01_Input'!$S$54),'01_Input'!$U$54,0),MAX(MIN(CZ$20,'01_Input'!$S$54)-'01_Input'!$R$54,0)*'01_Input'!$U$54))+IF('01_Input'!$X$54="Forfait",IF(CZ$20&gt;='01_Input'!$V$54,'01_Input'!$Y$54,0),IF('01_Input'!$X$54="Palier",IF(AND(CZ$20&gt;='01_Input'!$V$54,CZ$20&lt;'01_Input'!$W$54),'01_Input'!$Y$54,0),MAX(MIN(CZ$20,'01_Input'!$W$54)-'01_Input'!$V$54,0)*'01_Input'!$Y$54))+IF('01_Input'!$AB$54="Forfait",IF(CZ$20&gt;='01_Input'!$Z$54,'01_Input'!$AC$54,0),IF('01_Input'!$AB$54="Palier",IF(AND(CZ$20&gt;='01_Input'!$Z$54,CZ$20&lt;'01_Input'!$AA$54),'01_Input'!$AC$54,0),MAX(MIN(CZ$20,'01_Input'!$AA$54)-'01_Input'!$Z$54,0)*'01_Input'!$AC$54)))))))))</f>
        <v>2500600000</v>
      </c>
      <c r="DA22" s="83">
        <f>IF('01_Input'!$C$54="Non",0,MIN('01_Input'!$I$54,MAX('01_Input'!$H$54,IF('01_Input'!$G$54="Résiduel vs Gestion",0,IF('01_Input'!$G$54="Taux Classe sélectionnée",Distrib_Global_Classe_Selectionnee*DA$20,IF('01_Input'!$G$54="Frais KYC (paliers de 100M€)",MAX(0,Nb_Investisseurs-Nb_KYC_Gratuites_Par_Tranche*(FLOOR(DA$20/Taille_Tranche_KYC,1)+1))*Cout_Par_KYC_Supplementaire,(IF('01_Input'!$L$54="Forfait",IF(DA$20&gt;='01_Input'!$J$54,'01_Input'!$M$54,0),IF('01_Input'!$L$54="Palier",IF(AND(DA$20&gt;='01_Input'!$J$54,DA$20&lt;'01_Input'!$K$54),'01_Input'!$M$54,0),MAX(MIN(DA$20,'01_Input'!$K$54)-'01_Input'!$J$54,0)*'01_Input'!$M$54))+IF('01_Input'!$P$54="Forfait",IF(DA$20&gt;='01_Input'!$N$54,'01_Input'!$Q$54,0),IF('01_Input'!$P$54="Palier",IF(AND(DA$20&gt;='01_Input'!$N$54,DA$20&lt;'01_Input'!$O$54),'01_Input'!$Q$54,0),MAX(MIN(DA$20,'01_Input'!$O$54)-'01_Input'!$N$54,0)*'01_Input'!$Q$54))+IF('01_Input'!$T$54="Forfait",IF(DA$20&gt;='01_Input'!$R$54,'01_Input'!$U$54,0),IF('01_Input'!$T$54="Palier",IF(AND(DA$20&gt;='01_Input'!$R$54,DA$20&lt;'01_Input'!$S$54),'01_Input'!$U$54,0),MAX(MIN(DA$20,'01_Input'!$S$54)-'01_Input'!$R$54,0)*'01_Input'!$U$54))+IF('01_Input'!$X$54="Forfait",IF(DA$20&gt;='01_Input'!$V$54,'01_Input'!$Y$54,0),IF('01_Input'!$X$54="Palier",IF(AND(DA$20&gt;='01_Input'!$V$54,DA$20&lt;'01_Input'!$W$54),'01_Input'!$Y$54,0),MAX(MIN(DA$20,'01_Input'!$W$54)-'01_Input'!$V$54,0)*'01_Input'!$Y$54))+IF('01_Input'!$AB$54="Forfait",IF(DA$20&gt;='01_Input'!$Z$54,'01_Input'!$AC$54,0),IF('01_Input'!$AB$54="Palier",IF(AND(DA$20&gt;='01_Input'!$Z$54,DA$20&lt;'01_Input'!$AA$54),'01_Input'!$AC$54,0),MAX(MIN(DA$20,'01_Input'!$AA$54)-'01_Input'!$Z$54,0)*'01_Input'!$AC$54)))))))))</f>
        <v>2500600000</v>
      </c>
      <c r="DB22" s="83">
        <f>IF('01_Input'!$C$54="Non",0,MIN('01_Input'!$I$54,MAX('01_Input'!$H$54,IF('01_Input'!$G$54="Résiduel vs Gestion",0,IF('01_Input'!$G$54="Taux Classe sélectionnée",Distrib_Global_Classe_Selectionnee*DB$20,IF('01_Input'!$G$54="Frais KYC (paliers de 100M€)",MAX(0,Nb_Investisseurs-Nb_KYC_Gratuites_Par_Tranche*(FLOOR(DB$20/Taille_Tranche_KYC,1)+1))*Cout_Par_KYC_Supplementaire,(IF('01_Input'!$L$54="Forfait",IF(DB$20&gt;='01_Input'!$J$54,'01_Input'!$M$54,0),IF('01_Input'!$L$54="Palier",IF(AND(DB$20&gt;='01_Input'!$J$54,DB$20&lt;'01_Input'!$K$54),'01_Input'!$M$54,0),MAX(MIN(DB$20,'01_Input'!$K$54)-'01_Input'!$J$54,0)*'01_Input'!$M$54))+IF('01_Input'!$P$54="Forfait",IF(DB$20&gt;='01_Input'!$N$54,'01_Input'!$Q$54,0),IF('01_Input'!$P$54="Palier",IF(AND(DB$20&gt;='01_Input'!$N$54,DB$20&lt;'01_Input'!$O$54),'01_Input'!$Q$54,0),MAX(MIN(DB$20,'01_Input'!$O$54)-'01_Input'!$N$54,0)*'01_Input'!$Q$54))+IF('01_Input'!$T$54="Forfait",IF(DB$20&gt;='01_Input'!$R$54,'01_Input'!$U$54,0),IF('01_Input'!$T$54="Palier",IF(AND(DB$20&gt;='01_Input'!$R$54,DB$20&lt;'01_Input'!$S$54),'01_Input'!$U$54,0),MAX(MIN(DB$20,'01_Input'!$S$54)-'01_Input'!$R$54,0)*'01_Input'!$U$54))+IF('01_Input'!$X$54="Forfait",IF(DB$20&gt;='01_Input'!$V$54,'01_Input'!$Y$54,0),IF('01_Input'!$X$54="Palier",IF(AND(DB$20&gt;='01_Input'!$V$54,DB$20&lt;'01_Input'!$W$54),'01_Input'!$Y$54,0),MAX(MIN(DB$20,'01_Input'!$W$54)-'01_Input'!$V$54,0)*'01_Input'!$Y$54))+IF('01_Input'!$AB$54="Forfait",IF(DB$20&gt;='01_Input'!$Z$54,'01_Input'!$AC$54,0),IF('01_Input'!$AB$54="Palier",IF(AND(DB$20&gt;='01_Input'!$Z$54,DB$20&lt;'01_Input'!$AA$54),'01_Input'!$AC$54,0),MAX(MIN(DB$20,'01_Input'!$AA$54)-'01_Input'!$Z$54,0)*'01_Input'!$AC$54)))))))))</f>
        <v>2500600000</v>
      </c>
      <c r="DC22" s="83">
        <f>IF('01_Input'!$C$54="Non",0,MIN('01_Input'!$I$54,MAX('01_Input'!$H$54,IF('01_Input'!$G$54="Résiduel vs Gestion",0,IF('01_Input'!$G$54="Taux Classe sélectionnée",Distrib_Global_Classe_Selectionnee*DC$20,IF('01_Input'!$G$54="Frais KYC (paliers de 100M€)",MAX(0,Nb_Investisseurs-Nb_KYC_Gratuites_Par_Tranche*(FLOOR(DC$20/Taille_Tranche_KYC,1)+1))*Cout_Par_KYC_Supplementaire,(IF('01_Input'!$L$54="Forfait",IF(DC$20&gt;='01_Input'!$J$54,'01_Input'!$M$54,0),IF('01_Input'!$L$54="Palier",IF(AND(DC$20&gt;='01_Input'!$J$54,DC$20&lt;'01_Input'!$K$54),'01_Input'!$M$54,0),MAX(MIN(DC$20,'01_Input'!$K$54)-'01_Input'!$J$54,0)*'01_Input'!$M$54))+IF('01_Input'!$P$54="Forfait",IF(DC$20&gt;='01_Input'!$N$54,'01_Input'!$Q$54,0),IF('01_Input'!$P$54="Palier",IF(AND(DC$20&gt;='01_Input'!$N$54,DC$20&lt;'01_Input'!$O$54),'01_Input'!$Q$54,0),MAX(MIN(DC$20,'01_Input'!$O$54)-'01_Input'!$N$54,0)*'01_Input'!$Q$54))+IF('01_Input'!$T$54="Forfait",IF(DC$20&gt;='01_Input'!$R$54,'01_Input'!$U$54,0),IF('01_Input'!$T$54="Palier",IF(AND(DC$20&gt;='01_Input'!$R$54,DC$20&lt;'01_Input'!$S$54),'01_Input'!$U$54,0),MAX(MIN(DC$20,'01_Input'!$S$54)-'01_Input'!$R$54,0)*'01_Input'!$U$54))+IF('01_Input'!$X$54="Forfait",IF(DC$20&gt;='01_Input'!$V$54,'01_Input'!$Y$54,0),IF('01_Input'!$X$54="Palier",IF(AND(DC$20&gt;='01_Input'!$V$54,DC$20&lt;'01_Input'!$W$54),'01_Input'!$Y$54,0),MAX(MIN(DC$20,'01_Input'!$W$54)-'01_Input'!$V$54,0)*'01_Input'!$Y$54))+IF('01_Input'!$AB$54="Forfait",IF(DC$20&gt;='01_Input'!$Z$54,'01_Input'!$AC$54,0),IF('01_Input'!$AB$54="Palier",IF(AND(DC$20&gt;='01_Input'!$Z$54,DC$20&lt;'01_Input'!$AA$54),'01_Input'!$AC$54,0),MAX(MIN(DC$20,'01_Input'!$AA$54)-'01_Input'!$Z$54,0)*'01_Input'!$AC$54)))))))))</f>
        <v>2500600000</v>
      </c>
      <c r="DD22" s="83">
        <f>IF('01_Input'!$C$54="Non",0,MIN('01_Input'!$I$54,MAX('01_Input'!$H$54,IF('01_Input'!$G$54="Résiduel vs Gestion",0,IF('01_Input'!$G$54="Taux Classe sélectionnée",Distrib_Global_Classe_Selectionnee*DD$20,IF('01_Input'!$G$54="Frais KYC (paliers de 100M€)",MAX(0,Nb_Investisseurs-Nb_KYC_Gratuites_Par_Tranche*(FLOOR(DD$20/Taille_Tranche_KYC,1)+1))*Cout_Par_KYC_Supplementaire,(IF('01_Input'!$L$54="Forfait",IF(DD$20&gt;='01_Input'!$J$54,'01_Input'!$M$54,0),IF('01_Input'!$L$54="Palier",IF(AND(DD$20&gt;='01_Input'!$J$54,DD$20&lt;'01_Input'!$K$54),'01_Input'!$M$54,0),MAX(MIN(DD$20,'01_Input'!$K$54)-'01_Input'!$J$54,0)*'01_Input'!$M$54))+IF('01_Input'!$P$54="Forfait",IF(DD$20&gt;='01_Input'!$N$54,'01_Input'!$Q$54,0),IF('01_Input'!$P$54="Palier",IF(AND(DD$20&gt;='01_Input'!$N$54,DD$20&lt;'01_Input'!$O$54),'01_Input'!$Q$54,0),MAX(MIN(DD$20,'01_Input'!$O$54)-'01_Input'!$N$54,0)*'01_Input'!$Q$54))+IF('01_Input'!$T$54="Forfait",IF(DD$20&gt;='01_Input'!$R$54,'01_Input'!$U$54,0),IF('01_Input'!$T$54="Palier",IF(AND(DD$20&gt;='01_Input'!$R$54,DD$20&lt;'01_Input'!$S$54),'01_Input'!$U$54,0),MAX(MIN(DD$20,'01_Input'!$S$54)-'01_Input'!$R$54,0)*'01_Input'!$U$54))+IF('01_Input'!$X$54="Forfait",IF(DD$20&gt;='01_Input'!$V$54,'01_Input'!$Y$54,0),IF('01_Input'!$X$54="Palier",IF(AND(DD$20&gt;='01_Input'!$V$54,DD$20&lt;'01_Input'!$W$54),'01_Input'!$Y$54,0),MAX(MIN(DD$20,'01_Input'!$W$54)-'01_Input'!$V$54,0)*'01_Input'!$Y$54))+IF('01_Input'!$AB$54="Forfait",IF(DD$20&gt;='01_Input'!$Z$54,'01_Input'!$AC$54,0),IF('01_Input'!$AB$54="Palier",IF(AND(DD$20&gt;='01_Input'!$Z$54,DD$20&lt;'01_Input'!$AA$54),'01_Input'!$AC$54,0),MAX(MIN(DD$20,'01_Input'!$AA$54)-'01_Input'!$Z$54,0)*'01_Input'!$AC$54)))))))))</f>
        <v>2500600000</v>
      </c>
      <c r="DE22" s="83">
        <f>IF('01_Input'!$C$54="Non",0,MIN('01_Input'!$I$54,MAX('01_Input'!$H$54,IF('01_Input'!$G$54="Résiduel vs Gestion",0,IF('01_Input'!$G$54="Taux Classe sélectionnée",Distrib_Global_Classe_Selectionnee*DE$20,IF('01_Input'!$G$54="Frais KYC (paliers de 100M€)",MAX(0,Nb_Investisseurs-Nb_KYC_Gratuites_Par_Tranche*(FLOOR(DE$20/Taille_Tranche_KYC,1)+1))*Cout_Par_KYC_Supplementaire,(IF('01_Input'!$L$54="Forfait",IF(DE$20&gt;='01_Input'!$J$54,'01_Input'!$M$54,0),IF('01_Input'!$L$54="Palier",IF(AND(DE$20&gt;='01_Input'!$J$54,DE$20&lt;'01_Input'!$K$54),'01_Input'!$M$54,0),MAX(MIN(DE$20,'01_Input'!$K$54)-'01_Input'!$J$54,0)*'01_Input'!$M$54))+IF('01_Input'!$P$54="Forfait",IF(DE$20&gt;='01_Input'!$N$54,'01_Input'!$Q$54,0),IF('01_Input'!$P$54="Palier",IF(AND(DE$20&gt;='01_Input'!$N$54,DE$20&lt;'01_Input'!$O$54),'01_Input'!$Q$54,0),MAX(MIN(DE$20,'01_Input'!$O$54)-'01_Input'!$N$54,0)*'01_Input'!$Q$54))+IF('01_Input'!$T$54="Forfait",IF(DE$20&gt;='01_Input'!$R$54,'01_Input'!$U$54,0),IF('01_Input'!$T$54="Palier",IF(AND(DE$20&gt;='01_Input'!$R$54,DE$20&lt;'01_Input'!$S$54),'01_Input'!$U$54,0),MAX(MIN(DE$20,'01_Input'!$S$54)-'01_Input'!$R$54,0)*'01_Input'!$U$54))+IF('01_Input'!$X$54="Forfait",IF(DE$20&gt;='01_Input'!$V$54,'01_Input'!$Y$54,0),IF('01_Input'!$X$54="Palier",IF(AND(DE$20&gt;='01_Input'!$V$54,DE$20&lt;'01_Input'!$W$54),'01_Input'!$Y$54,0),MAX(MIN(DE$20,'01_Input'!$W$54)-'01_Input'!$V$54,0)*'01_Input'!$Y$54))+IF('01_Input'!$AB$54="Forfait",IF(DE$20&gt;='01_Input'!$Z$54,'01_Input'!$AC$54,0),IF('01_Input'!$AB$54="Palier",IF(AND(DE$20&gt;='01_Input'!$Z$54,DE$20&lt;'01_Input'!$AA$54),'01_Input'!$AC$54,0),MAX(MIN(DE$20,'01_Input'!$AA$54)-'01_Input'!$Z$54,0)*'01_Input'!$AC$54)))))))))</f>
        <v>2500600000</v>
      </c>
      <c r="DF22" s="83">
        <f>IF('01_Input'!$C$54="Non",0,MIN('01_Input'!$I$54,MAX('01_Input'!$H$54,IF('01_Input'!$G$54="Résiduel vs Gestion",0,IF('01_Input'!$G$54="Taux Classe sélectionnée",Distrib_Global_Classe_Selectionnee*DF$20,IF('01_Input'!$G$54="Frais KYC (paliers de 100M€)",MAX(0,Nb_Investisseurs-Nb_KYC_Gratuites_Par_Tranche*(FLOOR(DF$20/Taille_Tranche_KYC,1)+1))*Cout_Par_KYC_Supplementaire,(IF('01_Input'!$L$54="Forfait",IF(DF$20&gt;='01_Input'!$J$54,'01_Input'!$M$54,0),IF('01_Input'!$L$54="Palier",IF(AND(DF$20&gt;='01_Input'!$J$54,DF$20&lt;'01_Input'!$K$54),'01_Input'!$M$54,0),MAX(MIN(DF$20,'01_Input'!$K$54)-'01_Input'!$J$54,0)*'01_Input'!$M$54))+IF('01_Input'!$P$54="Forfait",IF(DF$20&gt;='01_Input'!$N$54,'01_Input'!$Q$54,0),IF('01_Input'!$P$54="Palier",IF(AND(DF$20&gt;='01_Input'!$N$54,DF$20&lt;'01_Input'!$O$54),'01_Input'!$Q$54,0),MAX(MIN(DF$20,'01_Input'!$O$54)-'01_Input'!$N$54,0)*'01_Input'!$Q$54))+IF('01_Input'!$T$54="Forfait",IF(DF$20&gt;='01_Input'!$R$54,'01_Input'!$U$54,0),IF('01_Input'!$T$54="Palier",IF(AND(DF$20&gt;='01_Input'!$R$54,DF$20&lt;'01_Input'!$S$54),'01_Input'!$U$54,0),MAX(MIN(DF$20,'01_Input'!$S$54)-'01_Input'!$R$54,0)*'01_Input'!$U$54))+IF('01_Input'!$X$54="Forfait",IF(DF$20&gt;='01_Input'!$V$54,'01_Input'!$Y$54,0),IF('01_Input'!$X$54="Palier",IF(AND(DF$20&gt;='01_Input'!$V$54,DF$20&lt;'01_Input'!$W$54),'01_Input'!$Y$54,0),MAX(MIN(DF$20,'01_Input'!$W$54)-'01_Input'!$V$54,0)*'01_Input'!$Y$54))+IF('01_Input'!$AB$54="Forfait",IF(DF$20&gt;='01_Input'!$Z$54,'01_Input'!$AC$54,0),IF('01_Input'!$AB$54="Palier",IF(AND(DF$20&gt;='01_Input'!$Z$54,DF$20&lt;'01_Input'!$AA$54),'01_Input'!$AC$54,0),MAX(MIN(DF$20,'01_Input'!$AA$54)-'01_Input'!$Z$54,0)*'01_Input'!$AC$54)))))))))</f>
        <v>2500600000</v>
      </c>
      <c r="DG22" s="83">
        <f>IF('01_Input'!$C$54="Non",0,MIN('01_Input'!$I$54,MAX('01_Input'!$H$54,IF('01_Input'!$G$54="Résiduel vs Gestion",0,IF('01_Input'!$G$54="Taux Classe sélectionnée",Distrib_Global_Classe_Selectionnee*DG$20,IF('01_Input'!$G$54="Frais KYC (paliers de 100M€)",MAX(0,Nb_Investisseurs-Nb_KYC_Gratuites_Par_Tranche*(FLOOR(DG$20/Taille_Tranche_KYC,1)+1))*Cout_Par_KYC_Supplementaire,(IF('01_Input'!$L$54="Forfait",IF(DG$20&gt;='01_Input'!$J$54,'01_Input'!$M$54,0),IF('01_Input'!$L$54="Palier",IF(AND(DG$20&gt;='01_Input'!$J$54,DG$20&lt;'01_Input'!$K$54),'01_Input'!$M$54,0),MAX(MIN(DG$20,'01_Input'!$K$54)-'01_Input'!$J$54,0)*'01_Input'!$M$54))+IF('01_Input'!$P$54="Forfait",IF(DG$20&gt;='01_Input'!$N$54,'01_Input'!$Q$54,0),IF('01_Input'!$P$54="Palier",IF(AND(DG$20&gt;='01_Input'!$N$54,DG$20&lt;'01_Input'!$O$54),'01_Input'!$Q$54,0),MAX(MIN(DG$20,'01_Input'!$O$54)-'01_Input'!$N$54,0)*'01_Input'!$Q$54))+IF('01_Input'!$T$54="Forfait",IF(DG$20&gt;='01_Input'!$R$54,'01_Input'!$U$54,0),IF('01_Input'!$T$54="Palier",IF(AND(DG$20&gt;='01_Input'!$R$54,DG$20&lt;'01_Input'!$S$54),'01_Input'!$U$54,0),MAX(MIN(DG$20,'01_Input'!$S$54)-'01_Input'!$R$54,0)*'01_Input'!$U$54))+IF('01_Input'!$X$54="Forfait",IF(DG$20&gt;='01_Input'!$V$54,'01_Input'!$Y$54,0),IF('01_Input'!$X$54="Palier",IF(AND(DG$20&gt;='01_Input'!$V$54,DG$20&lt;'01_Input'!$W$54),'01_Input'!$Y$54,0),MAX(MIN(DG$20,'01_Input'!$W$54)-'01_Input'!$V$54,0)*'01_Input'!$Y$54))+IF('01_Input'!$AB$54="Forfait",IF(DG$20&gt;='01_Input'!$Z$54,'01_Input'!$AC$54,0),IF('01_Input'!$AB$54="Palier",IF(AND(DG$20&gt;='01_Input'!$Z$54,DG$20&lt;'01_Input'!$AA$54),'01_Input'!$AC$54,0),MAX(MIN(DG$20,'01_Input'!$AA$54)-'01_Input'!$Z$54,0)*'01_Input'!$AC$54)))))))))</f>
        <v>2500600000</v>
      </c>
      <c r="DH22" s="83">
        <f>IF('01_Input'!$C$54="Non",0,MIN('01_Input'!$I$54,MAX('01_Input'!$H$54,IF('01_Input'!$G$54="Résiduel vs Gestion",0,IF('01_Input'!$G$54="Taux Classe sélectionnée",Distrib_Global_Classe_Selectionnee*DH$20,IF('01_Input'!$G$54="Frais KYC (paliers de 100M€)",MAX(0,Nb_Investisseurs-Nb_KYC_Gratuites_Par_Tranche*(FLOOR(DH$20/Taille_Tranche_KYC,1)+1))*Cout_Par_KYC_Supplementaire,(IF('01_Input'!$L$54="Forfait",IF(DH$20&gt;='01_Input'!$J$54,'01_Input'!$M$54,0),IF('01_Input'!$L$54="Palier",IF(AND(DH$20&gt;='01_Input'!$J$54,DH$20&lt;'01_Input'!$K$54),'01_Input'!$M$54,0),MAX(MIN(DH$20,'01_Input'!$K$54)-'01_Input'!$J$54,0)*'01_Input'!$M$54))+IF('01_Input'!$P$54="Forfait",IF(DH$20&gt;='01_Input'!$N$54,'01_Input'!$Q$54,0),IF('01_Input'!$P$54="Palier",IF(AND(DH$20&gt;='01_Input'!$N$54,DH$20&lt;'01_Input'!$O$54),'01_Input'!$Q$54,0),MAX(MIN(DH$20,'01_Input'!$O$54)-'01_Input'!$N$54,0)*'01_Input'!$Q$54))+IF('01_Input'!$T$54="Forfait",IF(DH$20&gt;='01_Input'!$R$54,'01_Input'!$U$54,0),IF('01_Input'!$T$54="Palier",IF(AND(DH$20&gt;='01_Input'!$R$54,DH$20&lt;'01_Input'!$S$54),'01_Input'!$U$54,0),MAX(MIN(DH$20,'01_Input'!$S$54)-'01_Input'!$R$54,0)*'01_Input'!$U$54))+IF('01_Input'!$X$54="Forfait",IF(DH$20&gt;='01_Input'!$V$54,'01_Input'!$Y$54,0),IF('01_Input'!$X$54="Palier",IF(AND(DH$20&gt;='01_Input'!$V$54,DH$20&lt;'01_Input'!$W$54),'01_Input'!$Y$54,0),MAX(MIN(DH$20,'01_Input'!$W$54)-'01_Input'!$V$54,0)*'01_Input'!$Y$54))+IF('01_Input'!$AB$54="Forfait",IF(DH$20&gt;='01_Input'!$Z$54,'01_Input'!$AC$54,0),IF('01_Input'!$AB$54="Palier",IF(AND(DH$20&gt;='01_Input'!$Z$54,DH$20&lt;'01_Input'!$AA$54),'01_Input'!$AC$54,0),MAX(MIN(DH$20,'01_Input'!$AA$54)-'01_Input'!$Z$54,0)*'01_Input'!$AC$54)))))))))</f>
        <v>2500600000</v>
      </c>
      <c r="DI22" s="83">
        <f>IF('01_Input'!$C$54="Non",0,MIN('01_Input'!$I$54,MAX('01_Input'!$H$54,IF('01_Input'!$G$54="Résiduel vs Gestion",0,IF('01_Input'!$G$54="Taux Classe sélectionnée",Distrib_Global_Classe_Selectionnee*DI$20,IF('01_Input'!$G$54="Frais KYC (paliers de 100M€)",MAX(0,Nb_Investisseurs-Nb_KYC_Gratuites_Par_Tranche*(FLOOR(DI$20/Taille_Tranche_KYC,1)+1))*Cout_Par_KYC_Supplementaire,(IF('01_Input'!$L$54="Forfait",IF(DI$20&gt;='01_Input'!$J$54,'01_Input'!$M$54,0),IF('01_Input'!$L$54="Palier",IF(AND(DI$20&gt;='01_Input'!$J$54,DI$20&lt;'01_Input'!$K$54),'01_Input'!$M$54,0),MAX(MIN(DI$20,'01_Input'!$K$54)-'01_Input'!$J$54,0)*'01_Input'!$M$54))+IF('01_Input'!$P$54="Forfait",IF(DI$20&gt;='01_Input'!$N$54,'01_Input'!$Q$54,0),IF('01_Input'!$P$54="Palier",IF(AND(DI$20&gt;='01_Input'!$N$54,DI$20&lt;'01_Input'!$O$54),'01_Input'!$Q$54,0),MAX(MIN(DI$20,'01_Input'!$O$54)-'01_Input'!$N$54,0)*'01_Input'!$Q$54))+IF('01_Input'!$T$54="Forfait",IF(DI$20&gt;='01_Input'!$R$54,'01_Input'!$U$54,0),IF('01_Input'!$T$54="Palier",IF(AND(DI$20&gt;='01_Input'!$R$54,DI$20&lt;'01_Input'!$S$54),'01_Input'!$U$54,0),MAX(MIN(DI$20,'01_Input'!$S$54)-'01_Input'!$R$54,0)*'01_Input'!$U$54))+IF('01_Input'!$X$54="Forfait",IF(DI$20&gt;='01_Input'!$V$54,'01_Input'!$Y$54,0),IF('01_Input'!$X$54="Palier",IF(AND(DI$20&gt;='01_Input'!$V$54,DI$20&lt;'01_Input'!$W$54),'01_Input'!$Y$54,0),MAX(MIN(DI$20,'01_Input'!$W$54)-'01_Input'!$V$54,0)*'01_Input'!$Y$54))+IF('01_Input'!$AB$54="Forfait",IF(DI$20&gt;='01_Input'!$Z$54,'01_Input'!$AC$54,0),IF('01_Input'!$AB$54="Palier",IF(AND(DI$20&gt;='01_Input'!$Z$54,DI$20&lt;'01_Input'!$AA$54),'01_Input'!$AC$54,0),MAX(MIN(DI$20,'01_Input'!$AA$54)-'01_Input'!$Z$54,0)*'01_Input'!$AC$54)))))))))</f>
        <v>2500600000</v>
      </c>
      <c r="DJ22" s="83">
        <f>IF('01_Input'!$C$54="Non",0,MIN('01_Input'!$I$54,MAX('01_Input'!$H$54,IF('01_Input'!$G$54="Résiduel vs Gestion",0,IF('01_Input'!$G$54="Taux Classe sélectionnée",Distrib_Global_Classe_Selectionnee*DJ$20,IF('01_Input'!$G$54="Frais KYC (paliers de 100M€)",MAX(0,Nb_Investisseurs-Nb_KYC_Gratuites_Par_Tranche*(FLOOR(DJ$20/Taille_Tranche_KYC,1)+1))*Cout_Par_KYC_Supplementaire,(IF('01_Input'!$L$54="Forfait",IF(DJ$20&gt;='01_Input'!$J$54,'01_Input'!$M$54,0),IF('01_Input'!$L$54="Palier",IF(AND(DJ$20&gt;='01_Input'!$J$54,DJ$20&lt;'01_Input'!$K$54),'01_Input'!$M$54,0),MAX(MIN(DJ$20,'01_Input'!$K$54)-'01_Input'!$J$54,0)*'01_Input'!$M$54))+IF('01_Input'!$P$54="Forfait",IF(DJ$20&gt;='01_Input'!$N$54,'01_Input'!$Q$54,0),IF('01_Input'!$P$54="Palier",IF(AND(DJ$20&gt;='01_Input'!$N$54,DJ$20&lt;'01_Input'!$O$54),'01_Input'!$Q$54,0),MAX(MIN(DJ$20,'01_Input'!$O$54)-'01_Input'!$N$54,0)*'01_Input'!$Q$54))+IF('01_Input'!$T$54="Forfait",IF(DJ$20&gt;='01_Input'!$R$54,'01_Input'!$U$54,0),IF('01_Input'!$T$54="Palier",IF(AND(DJ$20&gt;='01_Input'!$R$54,DJ$20&lt;'01_Input'!$S$54),'01_Input'!$U$54,0),MAX(MIN(DJ$20,'01_Input'!$S$54)-'01_Input'!$R$54,0)*'01_Input'!$U$54))+IF('01_Input'!$X$54="Forfait",IF(DJ$20&gt;='01_Input'!$V$54,'01_Input'!$Y$54,0),IF('01_Input'!$X$54="Palier",IF(AND(DJ$20&gt;='01_Input'!$V$54,DJ$20&lt;'01_Input'!$W$54),'01_Input'!$Y$54,0),MAX(MIN(DJ$20,'01_Input'!$W$54)-'01_Input'!$V$54,0)*'01_Input'!$Y$54))+IF('01_Input'!$AB$54="Forfait",IF(DJ$20&gt;='01_Input'!$Z$54,'01_Input'!$AC$54,0),IF('01_Input'!$AB$54="Palier",IF(AND(DJ$20&gt;='01_Input'!$Z$54,DJ$20&lt;'01_Input'!$AA$54),'01_Input'!$AC$54,0),MAX(MIN(DJ$20,'01_Input'!$AA$54)-'01_Input'!$Z$54,0)*'01_Input'!$AC$54)))))))))</f>
        <v>2500600000</v>
      </c>
      <c r="DK22" s="83">
        <f>IF('01_Input'!$C$54="Non",0,MIN('01_Input'!$I$54,MAX('01_Input'!$H$54,IF('01_Input'!$G$54="Résiduel vs Gestion",0,IF('01_Input'!$G$54="Taux Classe sélectionnée",Distrib_Global_Classe_Selectionnee*DK$20,IF('01_Input'!$G$54="Frais KYC (paliers de 100M€)",MAX(0,Nb_Investisseurs-Nb_KYC_Gratuites_Par_Tranche*(FLOOR(DK$20/Taille_Tranche_KYC,1)+1))*Cout_Par_KYC_Supplementaire,(IF('01_Input'!$L$54="Forfait",IF(DK$20&gt;='01_Input'!$J$54,'01_Input'!$M$54,0),IF('01_Input'!$L$54="Palier",IF(AND(DK$20&gt;='01_Input'!$J$54,DK$20&lt;'01_Input'!$K$54),'01_Input'!$M$54,0),MAX(MIN(DK$20,'01_Input'!$K$54)-'01_Input'!$J$54,0)*'01_Input'!$M$54))+IF('01_Input'!$P$54="Forfait",IF(DK$20&gt;='01_Input'!$N$54,'01_Input'!$Q$54,0),IF('01_Input'!$P$54="Palier",IF(AND(DK$20&gt;='01_Input'!$N$54,DK$20&lt;'01_Input'!$O$54),'01_Input'!$Q$54,0),MAX(MIN(DK$20,'01_Input'!$O$54)-'01_Input'!$N$54,0)*'01_Input'!$Q$54))+IF('01_Input'!$T$54="Forfait",IF(DK$20&gt;='01_Input'!$R$54,'01_Input'!$U$54,0),IF('01_Input'!$T$54="Palier",IF(AND(DK$20&gt;='01_Input'!$R$54,DK$20&lt;'01_Input'!$S$54),'01_Input'!$U$54,0),MAX(MIN(DK$20,'01_Input'!$S$54)-'01_Input'!$R$54,0)*'01_Input'!$U$54))+IF('01_Input'!$X$54="Forfait",IF(DK$20&gt;='01_Input'!$V$54,'01_Input'!$Y$54,0),IF('01_Input'!$X$54="Palier",IF(AND(DK$20&gt;='01_Input'!$V$54,DK$20&lt;'01_Input'!$W$54),'01_Input'!$Y$54,0),MAX(MIN(DK$20,'01_Input'!$W$54)-'01_Input'!$V$54,0)*'01_Input'!$Y$54))+IF('01_Input'!$AB$54="Forfait",IF(DK$20&gt;='01_Input'!$Z$54,'01_Input'!$AC$54,0),IF('01_Input'!$AB$54="Palier",IF(AND(DK$20&gt;='01_Input'!$Z$54,DK$20&lt;'01_Input'!$AA$54),'01_Input'!$AC$54,0),MAX(MIN(DK$20,'01_Input'!$AA$54)-'01_Input'!$Z$54,0)*'01_Input'!$AC$54)))))))))</f>
        <v>2500600000</v>
      </c>
      <c r="DL22" s="83">
        <f>IF('01_Input'!$C$54="Non",0,MIN('01_Input'!$I$54,MAX('01_Input'!$H$54,IF('01_Input'!$G$54="Résiduel vs Gestion",0,IF('01_Input'!$G$54="Taux Classe sélectionnée",Distrib_Global_Classe_Selectionnee*DL$20,IF('01_Input'!$G$54="Frais KYC (paliers de 100M€)",MAX(0,Nb_Investisseurs-Nb_KYC_Gratuites_Par_Tranche*(FLOOR(DL$20/Taille_Tranche_KYC,1)+1))*Cout_Par_KYC_Supplementaire,(IF('01_Input'!$L$54="Forfait",IF(DL$20&gt;='01_Input'!$J$54,'01_Input'!$M$54,0),IF('01_Input'!$L$54="Palier",IF(AND(DL$20&gt;='01_Input'!$J$54,DL$20&lt;'01_Input'!$K$54),'01_Input'!$M$54,0),MAX(MIN(DL$20,'01_Input'!$K$54)-'01_Input'!$J$54,0)*'01_Input'!$M$54))+IF('01_Input'!$P$54="Forfait",IF(DL$20&gt;='01_Input'!$N$54,'01_Input'!$Q$54,0),IF('01_Input'!$P$54="Palier",IF(AND(DL$20&gt;='01_Input'!$N$54,DL$20&lt;'01_Input'!$O$54),'01_Input'!$Q$54,0),MAX(MIN(DL$20,'01_Input'!$O$54)-'01_Input'!$N$54,0)*'01_Input'!$Q$54))+IF('01_Input'!$T$54="Forfait",IF(DL$20&gt;='01_Input'!$R$54,'01_Input'!$U$54,0),IF('01_Input'!$T$54="Palier",IF(AND(DL$20&gt;='01_Input'!$R$54,DL$20&lt;'01_Input'!$S$54),'01_Input'!$U$54,0),MAX(MIN(DL$20,'01_Input'!$S$54)-'01_Input'!$R$54,0)*'01_Input'!$U$54))+IF('01_Input'!$X$54="Forfait",IF(DL$20&gt;='01_Input'!$V$54,'01_Input'!$Y$54,0),IF('01_Input'!$X$54="Palier",IF(AND(DL$20&gt;='01_Input'!$V$54,DL$20&lt;'01_Input'!$W$54),'01_Input'!$Y$54,0),MAX(MIN(DL$20,'01_Input'!$W$54)-'01_Input'!$V$54,0)*'01_Input'!$Y$54))+IF('01_Input'!$AB$54="Forfait",IF(DL$20&gt;='01_Input'!$Z$54,'01_Input'!$AC$54,0),IF('01_Input'!$AB$54="Palier",IF(AND(DL$20&gt;='01_Input'!$Z$54,DL$20&lt;'01_Input'!$AA$54),'01_Input'!$AC$54,0),MAX(MIN(DL$20,'01_Input'!$AA$54)-'01_Input'!$Z$54,0)*'01_Input'!$AC$54)))))))))</f>
        <v>2500600000</v>
      </c>
      <c r="DM22" s="83">
        <f>IF('01_Input'!$C$54="Non",0,MIN('01_Input'!$I$54,MAX('01_Input'!$H$54,IF('01_Input'!$G$54="Résiduel vs Gestion",0,IF('01_Input'!$G$54="Taux Classe sélectionnée",Distrib_Global_Classe_Selectionnee*DM$20,IF('01_Input'!$G$54="Frais KYC (paliers de 100M€)",MAX(0,Nb_Investisseurs-Nb_KYC_Gratuites_Par_Tranche*(FLOOR(DM$20/Taille_Tranche_KYC,1)+1))*Cout_Par_KYC_Supplementaire,(IF('01_Input'!$L$54="Forfait",IF(DM$20&gt;='01_Input'!$J$54,'01_Input'!$M$54,0),IF('01_Input'!$L$54="Palier",IF(AND(DM$20&gt;='01_Input'!$J$54,DM$20&lt;'01_Input'!$K$54),'01_Input'!$M$54,0),MAX(MIN(DM$20,'01_Input'!$K$54)-'01_Input'!$J$54,0)*'01_Input'!$M$54))+IF('01_Input'!$P$54="Forfait",IF(DM$20&gt;='01_Input'!$N$54,'01_Input'!$Q$54,0),IF('01_Input'!$P$54="Palier",IF(AND(DM$20&gt;='01_Input'!$N$54,DM$20&lt;'01_Input'!$O$54),'01_Input'!$Q$54,0),MAX(MIN(DM$20,'01_Input'!$O$54)-'01_Input'!$N$54,0)*'01_Input'!$Q$54))+IF('01_Input'!$T$54="Forfait",IF(DM$20&gt;='01_Input'!$R$54,'01_Input'!$U$54,0),IF('01_Input'!$T$54="Palier",IF(AND(DM$20&gt;='01_Input'!$R$54,DM$20&lt;'01_Input'!$S$54),'01_Input'!$U$54,0),MAX(MIN(DM$20,'01_Input'!$S$54)-'01_Input'!$R$54,0)*'01_Input'!$U$54))+IF('01_Input'!$X$54="Forfait",IF(DM$20&gt;='01_Input'!$V$54,'01_Input'!$Y$54,0),IF('01_Input'!$X$54="Palier",IF(AND(DM$20&gt;='01_Input'!$V$54,DM$20&lt;'01_Input'!$W$54),'01_Input'!$Y$54,0),MAX(MIN(DM$20,'01_Input'!$W$54)-'01_Input'!$V$54,0)*'01_Input'!$Y$54))+IF('01_Input'!$AB$54="Forfait",IF(DM$20&gt;='01_Input'!$Z$54,'01_Input'!$AC$54,0),IF('01_Input'!$AB$54="Palier",IF(AND(DM$20&gt;='01_Input'!$Z$54,DM$20&lt;'01_Input'!$AA$54),'01_Input'!$AC$54,0),MAX(MIN(DM$20,'01_Input'!$AA$54)-'01_Input'!$Z$54,0)*'01_Input'!$AC$54)))))))))</f>
        <v>2500600000</v>
      </c>
      <c r="DN22" s="83">
        <f>IF('01_Input'!$C$54="Non",0,MIN('01_Input'!$I$54,MAX('01_Input'!$H$54,IF('01_Input'!$G$54="Résiduel vs Gestion",0,IF('01_Input'!$G$54="Taux Classe sélectionnée",Distrib_Global_Classe_Selectionnee*DN$20,IF('01_Input'!$G$54="Frais KYC (paliers de 100M€)",MAX(0,Nb_Investisseurs-Nb_KYC_Gratuites_Par_Tranche*(FLOOR(DN$20/Taille_Tranche_KYC,1)+1))*Cout_Par_KYC_Supplementaire,(IF('01_Input'!$L$54="Forfait",IF(DN$20&gt;='01_Input'!$J$54,'01_Input'!$M$54,0),IF('01_Input'!$L$54="Palier",IF(AND(DN$20&gt;='01_Input'!$J$54,DN$20&lt;'01_Input'!$K$54),'01_Input'!$M$54,0),MAX(MIN(DN$20,'01_Input'!$K$54)-'01_Input'!$J$54,0)*'01_Input'!$M$54))+IF('01_Input'!$P$54="Forfait",IF(DN$20&gt;='01_Input'!$N$54,'01_Input'!$Q$54,0),IF('01_Input'!$P$54="Palier",IF(AND(DN$20&gt;='01_Input'!$N$54,DN$20&lt;'01_Input'!$O$54),'01_Input'!$Q$54,0),MAX(MIN(DN$20,'01_Input'!$O$54)-'01_Input'!$N$54,0)*'01_Input'!$Q$54))+IF('01_Input'!$T$54="Forfait",IF(DN$20&gt;='01_Input'!$R$54,'01_Input'!$U$54,0),IF('01_Input'!$T$54="Palier",IF(AND(DN$20&gt;='01_Input'!$R$54,DN$20&lt;'01_Input'!$S$54),'01_Input'!$U$54,0),MAX(MIN(DN$20,'01_Input'!$S$54)-'01_Input'!$R$54,0)*'01_Input'!$U$54))+IF('01_Input'!$X$54="Forfait",IF(DN$20&gt;='01_Input'!$V$54,'01_Input'!$Y$54,0),IF('01_Input'!$X$54="Palier",IF(AND(DN$20&gt;='01_Input'!$V$54,DN$20&lt;'01_Input'!$W$54),'01_Input'!$Y$54,0),MAX(MIN(DN$20,'01_Input'!$W$54)-'01_Input'!$V$54,0)*'01_Input'!$Y$54))+IF('01_Input'!$AB$54="Forfait",IF(DN$20&gt;='01_Input'!$Z$54,'01_Input'!$AC$54,0),IF('01_Input'!$AB$54="Palier",IF(AND(DN$20&gt;='01_Input'!$Z$54,DN$20&lt;'01_Input'!$AA$54),'01_Input'!$AC$54,0),MAX(MIN(DN$20,'01_Input'!$AA$54)-'01_Input'!$Z$54,0)*'01_Input'!$AC$54)))))))))</f>
        <v>2500600000</v>
      </c>
      <c r="DO22" s="83">
        <f>IF('01_Input'!$C$54="Non",0,MIN('01_Input'!$I$54,MAX('01_Input'!$H$54,IF('01_Input'!$G$54="Résiduel vs Gestion",0,IF('01_Input'!$G$54="Taux Classe sélectionnée",Distrib_Global_Classe_Selectionnee*DO$20,IF('01_Input'!$G$54="Frais KYC (paliers de 100M€)",MAX(0,Nb_Investisseurs-Nb_KYC_Gratuites_Par_Tranche*(FLOOR(DO$20/Taille_Tranche_KYC,1)+1))*Cout_Par_KYC_Supplementaire,(IF('01_Input'!$L$54="Forfait",IF(DO$20&gt;='01_Input'!$J$54,'01_Input'!$M$54,0),IF('01_Input'!$L$54="Palier",IF(AND(DO$20&gt;='01_Input'!$J$54,DO$20&lt;'01_Input'!$K$54),'01_Input'!$M$54,0),MAX(MIN(DO$20,'01_Input'!$K$54)-'01_Input'!$J$54,0)*'01_Input'!$M$54))+IF('01_Input'!$P$54="Forfait",IF(DO$20&gt;='01_Input'!$N$54,'01_Input'!$Q$54,0),IF('01_Input'!$P$54="Palier",IF(AND(DO$20&gt;='01_Input'!$N$54,DO$20&lt;'01_Input'!$O$54),'01_Input'!$Q$54,0),MAX(MIN(DO$20,'01_Input'!$O$54)-'01_Input'!$N$54,0)*'01_Input'!$Q$54))+IF('01_Input'!$T$54="Forfait",IF(DO$20&gt;='01_Input'!$R$54,'01_Input'!$U$54,0),IF('01_Input'!$T$54="Palier",IF(AND(DO$20&gt;='01_Input'!$R$54,DO$20&lt;'01_Input'!$S$54),'01_Input'!$U$54,0),MAX(MIN(DO$20,'01_Input'!$S$54)-'01_Input'!$R$54,0)*'01_Input'!$U$54))+IF('01_Input'!$X$54="Forfait",IF(DO$20&gt;='01_Input'!$V$54,'01_Input'!$Y$54,0),IF('01_Input'!$X$54="Palier",IF(AND(DO$20&gt;='01_Input'!$V$54,DO$20&lt;'01_Input'!$W$54),'01_Input'!$Y$54,0),MAX(MIN(DO$20,'01_Input'!$W$54)-'01_Input'!$V$54,0)*'01_Input'!$Y$54))+IF('01_Input'!$AB$54="Forfait",IF(DO$20&gt;='01_Input'!$Z$54,'01_Input'!$AC$54,0),IF('01_Input'!$AB$54="Palier",IF(AND(DO$20&gt;='01_Input'!$Z$54,DO$20&lt;'01_Input'!$AA$54),'01_Input'!$AC$54,0),MAX(MIN(DO$20,'01_Input'!$AA$54)-'01_Input'!$Z$54,0)*'01_Input'!$AC$54)))))))))</f>
        <v>2500600000</v>
      </c>
      <c r="DP22" s="83">
        <f>IF('01_Input'!$C$54="Non",0,MIN('01_Input'!$I$54,MAX('01_Input'!$H$54,IF('01_Input'!$G$54="Résiduel vs Gestion",0,IF('01_Input'!$G$54="Taux Classe sélectionnée",Distrib_Global_Classe_Selectionnee*DP$20,IF('01_Input'!$G$54="Frais KYC (paliers de 100M€)",MAX(0,Nb_Investisseurs-Nb_KYC_Gratuites_Par_Tranche*(FLOOR(DP$20/Taille_Tranche_KYC,1)+1))*Cout_Par_KYC_Supplementaire,(IF('01_Input'!$L$54="Forfait",IF(DP$20&gt;='01_Input'!$J$54,'01_Input'!$M$54,0),IF('01_Input'!$L$54="Palier",IF(AND(DP$20&gt;='01_Input'!$J$54,DP$20&lt;'01_Input'!$K$54),'01_Input'!$M$54,0),MAX(MIN(DP$20,'01_Input'!$K$54)-'01_Input'!$J$54,0)*'01_Input'!$M$54))+IF('01_Input'!$P$54="Forfait",IF(DP$20&gt;='01_Input'!$N$54,'01_Input'!$Q$54,0),IF('01_Input'!$P$54="Palier",IF(AND(DP$20&gt;='01_Input'!$N$54,DP$20&lt;'01_Input'!$O$54),'01_Input'!$Q$54,0),MAX(MIN(DP$20,'01_Input'!$O$54)-'01_Input'!$N$54,0)*'01_Input'!$Q$54))+IF('01_Input'!$T$54="Forfait",IF(DP$20&gt;='01_Input'!$R$54,'01_Input'!$U$54,0),IF('01_Input'!$T$54="Palier",IF(AND(DP$20&gt;='01_Input'!$R$54,DP$20&lt;'01_Input'!$S$54),'01_Input'!$U$54,0),MAX(MIN(DP$20,'01_Input'!$S$54)-'01_Input'!$R$54,0)*'01_Input'!$U$54))+IF('01_Input'!$X$54="Forfait",IF(DP$20&gt;='01_Input'!$V$54,'01_Input'!$Y$54,0),IF('01_Input'!$X$54="Palier",IF(AND(DP$20&gt;='01_Input'!$V$54,DP$20&lt;'01_Input'!$W$54),'01_Input'!$Y$54,0),MAX(MIN(DP$20,'01_Input'!$W$54)-'01_Input'!$V$54,0)*'01_Input'!$Y$54))+IF('01_Input'!$AB$54="Forfait",IF(DP$20&gt;='01_Input'!$Z$54,'01_Input'!$AC$54,0),IF('01_Input'!$AB$54="Palier",IF(AND(DP$20&gt;='01_Input'!$Z$54,DP$20&lt;'01_Input'!$AA$54),'01_Input'!$AC$54,0),MAX(MIN(DP$20,'01_Input'!$AA$54)-'01_Input'!$Z$54,0)*'01_Input'!$AC$54)))))))))</f>
        <v>2500600000</v>
      </c>
      <c r="DQ22" s="83">
        <f>IF('01_Input'!$C$54="Non",0,MIN('01_Input'!$I$54,MAX('01_Input'!$H$54,IF('01_Input'!$G$54="Résiduel vs Gestion",0,IF('01_Input'!$G$54="Taux Classe sélectionnée",Distrib_Global_Classe_Selectionnee*DQ$20,IF('01_Input'!$G$54="Frais KYC (paliers de 100M€)",MAX(0,Nb_Investisseurs-Nb_KYC_Gratuites_Par_Tranche*(FLOOR(DQ$20/Taille_Tranche_KYC,1)+1))*Cout_Par_KYC_Supplementaire,(IF('01_Input'!$L$54="Forfait",IF(DQ$20&gt;='01_Input'!$J$54,'01_Input'!$M$54,0),IF('01_Input'!$L$54="Palier",IF(AND(DQ$20&gt;='01_Input'!$J$54,DQ$20&lt;'01_Input'!$K$54),'01_Input'!$M$54,0),MAX(MIN(DQ$20,'01_Input'!$K$54)-'01_Input'!$J$54,0)*'01_Input'!$M$54))+IF('01_Input'!$P$54="Forfait",IF(DQ$20&gt;='01_Input'!$N$54,'01_Input'!$Q$54,0),IF('01_Input'!$P$54="Palier",IF(AND(DQ$20&gt;='01_Input'!$N$54,DQ$20&lt;'01_Input'!$O$54),'01_Input'!$Q$54,0),MAX(MIN(DQ$20,'01_Input'!$O$54)-'01_Input'!$N$54,0)*'01_Input'!$Q$54))+IF('01_Input'!$T$54="Forfait",IF(DQ$20&gt;='01_Input'!$R$54,'01_Input'!$U$54,0),IF('01_Input'!$T$54="Palier",IF(AND(DQ$20&gt;='01_Input'!$R$54,DQ$20&lt;'01_Input'!$S$54),'01_Input'!$U$54,0),MAX(MIN(DQ$20,'01_Input'!$S$54)-'01_Input'!$R$54,0)*'01_Input'!$U$54))+IF('01_Input'!$X$54="Forfait",IF(DQ$20&gt;='01_Input'!$V$54,'01_Input'!$Y$54,0),IF('01_Input'!$X$54="Palier",IF(AND(DQ$20&gt;='01_Input'!$V$54,DQ$20&lt;'01_Input'!$W$54),'01_Input'!$Y$54,0),MAX(MIN(DQ$20,'01_Input'!$W$54)-'01_Input'!$V$54,0)*'01_Input'!$Y$54))+IF('01_Input'!$AB$54="Forfait",IF(DQ$20&gt;='01_Input'!$Z$54,'01_Input'!$AC$54,0),IF('01_Input'!$AB$54="Palier",IF(AND(DQ$20&gt;='01_Input'!$Z$54,DQ$20&lt;'01_Input'!$AA$54),'01_Input'!$AC$54,0),MAX(MIN(DQ$20,'01_Input'!$AA$54)-'01_Input'!$Z$54,0)*'01_Input'!$AC$54)))))))))</f>
        <v>2500600000</v>
      </c>
      <c r="DR22" s="83">
        <f>IF('01_Input'!$C$54="Non",0,MIN('01_Input'!$I$54,MAX('01_Input'!$H$54,IF('01_Input'!$G$54="Résiduel vs Gestion",0,IF('01_Input'!$G$54="Taux Classe sélectionnée",Distrib_Global_Classe_Selectionnee*DR$20,IF('01_Input'!$G$54="Frais KYC (paliers de 100M€)",MAX(0,Nb_Investisseurs-Nb_KYC_Gratuites_Par_Tranche*(FLOOR(DR$20/Taille_Tranche_KYC,1)+1))*Cout_Par_KYC_Supplementaire,(IF('01_Input'!$L$54="Forfait",IF(DR$20&gt;='01_Input'!$J$54,'01_Input'!$M$54,0),IF('01_Input'!$L$54="Palier",IF(AND(DR$20&gt;='01_Input'!$J$54,DR$20&lt;'01_Input'!$K$54),'01_Input'!$M$54,0),MAX(MIN(DR$20,'01_Input'!$K$54)-'01_Input'!$J$54,0)*'01_Input'!$M$54))+IF('01_Input'!$P$54="Forfait",IF(DR$20&gt;='01_Input'!$N$54,'01_Input'!$Q$54,0),IF('01_Input'!$P$54="Palier",IF(AND(DR$20&gt;='01_Input'!$N$54,DR$20&lt;'01_Input'!$O$54),'01_Input'!$Q$54,0),MAX(MIN(DR$20,'01_Input'!$O$54)-'01_Input'!$N$54,0)*'01_Input'!$Q$54))+IF('01_Input'!$T$54="Forfait",IF(DR$20&gt;='01_Input'!$R$54,'01_Input'!$U$54,0),IF('01_Input'!$T$54="Palier",IF(AND(DR$20&gt;='01_Input'!$R$54,DR$20&lt;'01_Input'!$S$54),'01_Input'!$U$54,0),MAX(MIN(DR$20,'01_Input'!$S$54)-'01_Input'!$R$54,0)*'01_Input'!$U$54))+IF('01_Input'!$X$54="Forfait",IF(DR$20&gt;='01_Input'!$V$54,'01_Input'!$Y$54,0),IF('01_Input'!$X$54="Palier",IF(AND(DR$20&gt;='01_Input'!$V$54,DR$20&lt;'01_Input'!$W$54),'01_Input'!$Y$54,0),MAX(MIN(DR$20,'01_Input'!$W$54)-'01_Input'!$V$54,0)*'01_Input'!$Y$54))+IF('01_Input'!$AB$54="Forfait",IF(DR$20&gt;='01_Input'!$Z$54,'01_Input'!$AC$54,0),IF('01_Input'!$AB$54="Palier",IF(AND(DR$20&gt;='01_Input'!$Z$54,DR$20&lt;'01_Input'!$AA$54),'01_Input'!$AC$54,0),MAX(MIN(DR$20,'01_Input'!$AA$54)-'01_Input'!$Z$54,0)*'01_Input'!$AC$54)))))))))</f>
        <v>2500600000</v>
      </c>
      <c r="DS22" s="83">
        <f>IF('01_Input'!$C$54="Non",0,MIN('01_Input'!$I$54,MAX('01_Input'!$H$54,IF('01_Input'!$G$54="Résiduel vs Gestion",0,IF('01_Input'!$G$54="Taux Classe sélectionnée",Distrib_Global_Classe_Selectionnee*DS$20,IF('01_Input'!$G$54="Frais KYC (paliers de 100M€)",MAX(0,Nb_Investisseurs-Nb_KYC_Gratuites_Par_Tranche*(FLOOR(DS$20/Taille_Tranche_KYC,1)+1))*Cout_Par_KYC_Supplementaire,(IF('01_Input'!$L$54="Forfait",IF(DS$20&gt;='01_Input'!$J$54,'01_Input'!$M$54,0),IF('01_Input'!$L$54="Palier",IF(AND(DS$20&gt;='01_Input'!$J$54,DS$20&lt;'01_Input'!$K$54),'01_Input'!$M$54,0),MAX(MIN(DS$20,'01_Input'!$K$54)-'01_Input'!$J$54,0)*'01_Input'!$M$54))+IF('01_Input'!$P$54="Forfait",IF(DS$20&gt;='01_Input'!$N$54,'01_Input'!$Q$54,0),IF('01_Input'!$P$54="Palier",IF(AND(DS$20&gt;='01_Input'!$N$54,DS$20&lt;'01_Input'!$O$54),'01_Input'!$Q$54,0),MAX(MIN(DS$20,'01_Input'!$O$54)-'01_Input'!$N$54,0)*'01_Input'!$Q$54))+IF('01_Input'!$T$54="Forfait",IF(DS$20&gt;='01_Input'!$R$54,'01_Input'!$U$54,0),IF('01_Input'!$T$54="Palier",IF(AND(DS$20&gt;='01_Input'!$R$54,DS$20&lt;'01_Input'!$S$54),'01_Input'!$U$54,0),MAX(MIN(DS$20,'01_Input'!$S$54)-'01_Input'!$R$54,0)*'01_Input'!$U$54))+IF('01_Input'!$X$54="Forfait",IF(DS$20&gt;='01_Input'!$V$54,'01_Input'!$Y$54,0),IF('01_Input'!$X$54="Palier",IF(AND(DS$20&gt;='01_Input'!$V$54,DS$20&lt;'01_Input'!$W$54),'01_Input'!$Y$54,0),MAX(MIN(DS$20,'01_Input'!$W$54)-'01_Input'!$V$54,0)*'01_Input'!$Y$54))+IF('01_Input'!$AB$54="Forfait",IF(DS$20&gt;='01_Input'!$Z$54,'01_Input'!$AC$54,0),IF('01_Input'!$AB$54="Palier",IF(AND(DS$20&gt;='01_Input'!$Z$54,DS$20&lt;'01_Input'!$AA$54),'01_Input'!$AC$54,0),MAX(MIN(DS$20,'01_Input'!$AA$54)-'01_Input'!$Z$54,0)*'01_Input'!$AC$54)))))))))</f>
        <v>2500600000</v>
      </c>
      <c r="DT22" s="83">
        <f>IF('01_Input'!$C$54="Non",0,MIN('01_Input'!$I$54,MAX('01_Input'!$H$54,IF('01_Input'!$G$54="Résiduel vs Gestion",0,IF('01_Input'!$G$54="Taux Classe sélectionnée",Distrib_Global_Classe_Selectionnee*DT$20,IF('01_Input'!$G$54="Frais KYC (paliers de 100M€)",MAX(0,Nb_Investisseurs-Nb_KYC_Gratuites_Par_Tranche*(FLOOR(DT$20/Taille_Tranche_KYC,1)+1))*Cout_Par_KYC_Supplementaire,(IF('01_Input'!$L$54="Forfait",IF(DT$20&gt;='01_Input'!$J$54,'01_Input'!$M$54,0),IF('01_Input'!$L$54="Palier",IF(AND(DT$20&gt;='01_Input'!$J$54,DT$20&lt;'01_Input'!$K$54),'01_Input'!$M$54,0),MAX(MIN(DT$20,'01_Input'!$K$54)-'01_Input'!$J$54,0)*'01_Input'!$M$54))+IF('01_Input'!$P$54="Forfait",IF(DT$20&gt;='01_Input'!$N$54,'01_Input'!$Q$54,0),IF('01_Input'!$P$54="Palier",IF(AND(DT$20&gt;='01_Input'!$N$54,DT$20&lt;'01_Input'!$O$54),'01_Input'!$Q$54,0),MAX(MIN(DT$20,'01_Input'!$O$54)-'01_Input'!$N$54,0)*'01_Input'!$Q$54))+IF('01_Input'!$T$54="Forfait",IF(DT$20&gt;='01_Input'!$R$54,'01_Input'!$U$54,0),IF('01_Input'!$T$54="Palier",IF(AND(DT$20&gt;='01_Input'!$R$54,DT$20&lt;'01_Input'!$S$54),'01_Input'!$U$54,0),MAX(MIN(DT$20,'01_Input'!$S$54)-'01_Input'!$R$54,0)*'01_Input'!$U$54))+IF('01_Input'!$X$54="Forfait",IF(DT$20&gt;='01_Input'!$V$54,'01_Input'!$Y$54,0),IF('01_Input'!$X$54="Palier",IF(AND(DT$20&gt;='01_Input'!$V$54,DT$20&lt;'01_Input'!$W$54),'01_Input'!$Y$54,0),MAX(MIN(DT$20,'01_Input'!$W$54)-'01_Input'!$V$54,0)*'01_Input'!$Y$54))+IF('01_Input'!$AB$54="Forfait",IF(DT$20&gt;='01_Input'!$Z$54,'01_Input'!$AC$54,0),IF('01_Input'!$AB$54="Palier",IF(AND(DT$20&gt;='01_Input'!$Z$54,DT$20&lt;'01_Input'!$AA$54),'01_Input'!$AC$54,0),MAX(MIN(DT$20,'01_Input'!$AA$54)-'01_Input'!$Z$54,0)*'01_Input'!$AC$54)))))))))</f>
        <v>2500600000</v>
      </c>
      <c r="DU22" s="83">
        <f>IF('01_Input'!$C$54="Non",0,MIN('01_Input'!$I$54,MAX('01_Input'!$H$54,IF('01_Input'!$G$54="Résiduel vs Gestion",0,IF('01_Input'!$G$54="Taux Classe sélectionnée",Distrib_Global_Classe_Selectionnee*DU$20,IF('01_Input'!$G$54="Frais KYC (paliers de 100M€)",MAX(0,Nb_Investisseurs-Nb_KYC_Gratuites_Par_Tranche*(FLOOR(DU$20/Taille_Tranche_KYC,1)+1))*Cout_Par_KYC_Supplementaire,(IF('01_Input'!$L$54="Forfait",IF(DU$20&gt;='01_Input'!$J$54,'01_Input'!$M$54,0),IF('01_Input'!$L$54="Palier",IF(AND(DU$20&gt;='01_Input'!$J$54,DU$20&lt;'01_Input'!$K$54),'01_Input'!$M$54,0),MAX(MIN(DU$20,'01_Input'!$K$54)-'01_Input'!$J$54,0)*'01_Input'!$M$54))+IF('01_Input'!$P$54="Forfait",IF(DU$20&gt;='01_Input'!$N$54,'01_Input'!$Q$54,0),IF('01_Input'!$P$54="Palier",IF(AND(DU$20&gt;='01_Input'!$N$54,DU$20&lt;'01_Input'!$O$54),'01_Input'!$Q$54,0),MAX(MIN(DU$20,'01_Input'!$O$54)-'01_Input'!$N$54,0)*'01_Input'!$Q$54))+IF('01_Input'!$T$54="Forfait",IF(DU$20&gt;='01_Input'!$R$54,'01_Input'!$U$54,0),IF('01_Input'!$T$54="Palier",IF(AND(DU$20&gt;='01_Input'!$R$54,DU$20&lt;'01_Input'!$S$54),'01_Input'!$U$54,0),MAX(MIN(DU$20,'01_Input'!$S$54)-'01_Input'!$R$54,0)*'01_Input'!$U$54))+IF('01_Input'!$X$54="Forfait",IF(DU$20&gt;='01_Input'!$V$54,'01_Input'!$Y$54,0),IF('01_Input'!$X$54="Palier",IF(AND(DU$20&gt;='01_Input'!$V$54,DU$20&lt;'01_Input'!$W$54),'01_Input'!$Y$54,0),MAX(MIN(DU$20,'01_Input'!$W$54)-'01_Input'!$V$54,0)*'01_Input'!$Y$54))+IF('01_Input'!$AB$54="Forfait",IF(DU$20&gt;='01_Input'!$Z$54,'01_Input'!$AC$54,0),IF('01_Input'!$AB$54="Palier",IF(AND(DU$20&gt;='01_Input'!$Z$54,DU$20&lt;'01_Input'!$AA$54),'01_Input'!$AC$54,0),MAX(MIN(DU$20,'01_Input'!$AA$54)-'01_Input'!$Z$54,0)*'01_Input'!$AC$54)))))))))</f>
        <v>2500600000</v>
      </c>
      <c r="DV22" s="83">
        <f>IF('01_Input'!$C$54="Non",0,MIN('01_Input'!$I$54,MAX('01_Input'!$H$54,IF('01_Input'!$G$54="Résiduel vs Gestion",0,IF('01_Input'!$G$54="Taux Classe sélectionnée",Distrib_Global_Classe_Selectionnee*DV$20,IF('01_Input'!$G$54="Frais KYC (paliers de 100M€)",MAX(0,Nb_Investisseurs-Nb_KYC_Gratuites_Par_Tranche*(FLOOR(DV$20/Taille_Tranche_KYC,1)+1))*Cout_Par_KYC_Supplementaire,(IF('01_Input'!$L$54="Forfait",IF(DV$20&gt;='01_Input'!$J$54,'01_Input'!$M$54,0),IF('01_Input'!$L$54="Palier",IF(AND(DV$20&gt;='01_Input'!$J$54,DV$20&lt;'01_Input'!$K$54),'01_Input'!$M$54,0),MAX(MIN(DV$20,'01_Input'!$K$54)-'01_Input'!$J$54,0)*'01_Input'!$M$54))+IF('01_Input'!$P$54="Forfait",IF(DV$20&gt;='01_Input'!$N$54,'01_Input'!$Q$54,0),IF('01_Input'!$P$54="Palier",IF(AND(DV$20&gt;='01_Input'!$N$54,DV$20&lt;'01_Input'!$O$54),'01_Input'!$Q$54,0),MAX(MIN(DV$20,'01_Input'!$O$54)-'01_Input'!$N$54,0)*'01_Input'!$Q$54))+IF('01_Input'!$T$54="Forfait",IF(DV$20&gt;='01_Input'!$R$54,'01_Input'!$U$54,0),IF('01_Input'!$T$54="Palier",IF(AND(DV$20&gt;='01_Input'!$R$54,DV$20&lt;'01_Input'!$S$54),'01_Input'!$U$54,0),MAX(MIN(DV$20,'01_Input'!$S$54)-'01_Input'!$R$54,0)*'01_Input'!$U$54))+IF('01_Input'!$X$54="Forfait",IF(DV$20&gt;='01_Input'!$V$54,'01_Input'!$Y$54,0),IF('01_Input'!$X$54="Palier",IF(AND(DV$20&gt;='01_Input'!$V$54,DV$20&lt;'01_Input'!$W$54),'01_Input'!$Y$54,0),MAX(MIN(DV$20,'01_Input'!$W$54)-'01_Input'!$V$54,0)*'01_Input'!$Y$54))+IF('01_Input'!$AB$54="Forfait",IF(DV$20&gt;='01_Input'!$Z$54,'01_Input'!$AC$54,0),IF('01_Input'!$AB$54="Palier",IF(AND(DV$20&gt;='01_Input'!$Z$54,DV$20&lt;'01_Input'!$AA$54),'01_Input'!$AC$54,0),MAX(MIN(DV$20,'01_Input'!$AA$54)-'01_Input'!$Z$54,0)*'01_Input'!$AC$54)))))))))</f>
        <v>2500600000</v>
      </c>
      <c r="DW22" s="83">
        <f>IF('01_Input'!$C$54="Non",0,MIN('01_Input'!$I$54,MAX('01_Input'!$H$54,IF('01_Input'!$G$54="Résiduel vs Gestion",0,IF('01_Input'!$G$54="Taux Classe sélectionnée",Distrib_Global_Classe_Selectionnee*DW$20,IF('01_Input'!$G$54="Frais KYC (paliers de 100M€)",MAX(0,Nb_Investisseurs-Nb_KYC_Gratuites_Par_Tranche*(FLOOR(DW$20/Taille_Tranche_KYC,1)+1))*Cout_Par_KYC_Supplementaire,(IF('01_Input'!$L$54="Forfait",IF(DW$20&gt;='01_Input'!$J$54,'01_Input'!$M$54,0),IF('01_Input'!$L$54="Palier",IF(AND(DW$20&gt;='01_Input'!$J$54,DW$20&lt;'01_Input'!$K$54),'01_Input'!$M$54,0),MAX(MIN(DW$20,'01_Input'!$K$54)-'01_Input'!$J$54,0)*'01_Input'!$M$54))+IF('01_Input'!$P$54="Forfait",IF(DW$20&gt;='01_Input'!$N$54,'01_Input'!$Q$54,0),IF('01_Input'!$P$54="Palier",IF(AND(DW$20&gt;='01_Input'!$N$54,DW$20&lt;'01_Input'!$O$54),'01_Input'!$Q$54,0),MAX(MIN(DW$20,'01_Input'!$O$54)-'01_Input'!$N$54,0)*'01_Input'!$Q$54))+IF('01_Input'!$T$54="Forfait",IF(DW$20&gt;='01_Input'!$R$54,'01_Input'!$U$54,0),IF('01_Input'!$T$54="Palier",IF(AND(DW$20&gt;='01_Input'!$R$54,DW$20&lt;'01_Input'!$S$54),'01_Input'!$U$54,0),MAX(MIN(DW$20,'01_Input'!$S$54)-'01_Input'!$R$54,0)*'01_Input'!$U$54))+IF('01_Input'!$X$54="Forfait",IF(DW$20&gt;='01_Input'!$V$54,'01_Input'!$Y$54,0),IF('01_Input'!$X$54="Palier",IF(AND(DW$20&gt;='01_Input'!$V$54,DW$20&lt;'01_Input'!$W$54),'01_Input'!$Y$54,0),MAX(MIN(DW$20,'01_Input'!$W$54)-'01_Input'!$V$54,0)*'01_Input'!$Y$54))+IF('01_Input'!$AB$54="Forfait",IF(DW$20&gt;='01_Input'!$Z$54,'01_Input'!$AC$54,0),IF('01_Input'!$AB$54="Palier",IF(AND(DW$20&gt;='01_Input'!$Z$54,DW$20&lt;'01_Input'!$AA$54),'01_Input'!$AC$54,0),MAX(MIN(DW$20,'01_Input'!$AA$54)-'01_Input'!$Z$54,0)*'01_Input'!$AC$54)))))))))</f>
        <v>2500600000</v>
      </c>
      <c r="DX22" s="83">
        <f>IF('01_Input'!$C$54="Non",0,MIN('01_Input'!$I$54,MAX('01_Input'!$H$54,IF('01_Input'!$G$54="Résiduel vs Gestion",0,IF('01_Input'!$G$54="Taux Classe sélectionnée",Distrib_Global_Classe_Selectionnee*DX$20,IF('01_Input'!$G$54="Frais KYC (paliers de 100M€)",MAX(0,Nb_Investisseurs-Nb_KYC_Gratuites_Par_Tranche*(FLOOR(DX$20/Taille_Tranche_KYC,1)+1))*Cout_Par_KYC_Supplementaire,(IF('01_Input'!$L$54="Forfait",IF(DX$20&gt;='01_Input'!$J$54,'01_Input'!$M$54,0),IF('01_Input'!$L$54="Palier",IF(AND(DX$20&gt;='01_Input'!$J$54,DX$20&lt;'01_Input'!$K$54),'01_Input'!$M$54,0),MAX(MIN(DX$20,'01_Input'!$K$54)-'01_Input'!$J$54,0)*'01_Input'!$M$54))+IF('01_Input'!$P$54="Forfait",IF(DX$20&gt;='01_Input'!$N$54,'01_Input'!$Q$54,0),IF('01_Input'!$P$54="Palier",IF(AND(DX$20&gt;='01_Input'!$N$54,DX$20&lt;'01_Input'!$O$54),'01_Input'!$Q$54,0),MAX(MIN(DX$20,'01_Input'!$O$54)-'01_Input'!$N$54,0)*'01_Input'!$Q$54))+IF('01_Input'!$T$54="Forfait",IF(DX$20&gt;='01_Input'!$R$54,'01_Input'!$U$54,0),IF('01_Input'!$T$54="Palier",IF(AND(DX$20&gt;='01_Input'!$R$54,DX$20&lt;'01_Input'!$S$54),'01_Input'!$U$54,0),MAX(MIN(DX$20,'01_Input'!$S$54)-'01_Input'!$R$54,0)*'01_Input'!$U$54))+IF('01_Input'!$X$54="Forfait",IF(DX$20&gt;='01_Input'!$V$54,'01_Input'!$Y$54,0),IF('01_Input'!$X$54="Palier",IF(AND(DX$20&gt;='01_Input'!$V$54,DX$20&lt;'01_Input'!$W$54),'01_Input'!$Y$54,0),MAX(MIN(DX$20,'01_Input'!$W$54)-'01_Input'!$V$54,0)*'01_Input'!$Y$54))+IF('01_Input'!$AB$54="Forfait",IF(DX$20&gt;='01_Input'!$Z$54,'01_Input'!$AC$54,0),IF('01_Input'!$AB$54="Palier",IF(AND(DX$20&gt;='01_Input'!$Z$54,DX$20&lt;'01_Input'!$AA$54),'01_Input'!$AC$54,0),MAX(MIN(DX$20,'01_Input'!$AA$54)-'01_Input'!$Z$54,0)*'01_Input'!$AC$54)))))))))</f>
        <v>2500600000</v>
      </c>
      <c r="DY22" s="83">
        <f>IF('01_Input'!$C$54="Non",0,MIN('01_Input'!$I$54,MAX('01_Input'!$H$54,IF('01_Input'!$G$54="Résiduel vs Gestion",0,IF('01_Input'!$G$54="Taux Classe sélectionnée",Distrib_Global_Classe_Selectionnee*DY$20,IF('01_Input'!$G$54="Frais KYC (paliers de 100M€)",MAX(0,Nb_Investisseurs-Nb_KYC_Gratuites_Par_Tranche*(FLOOR(DY$20/Taille_Tranche_KYC,1)+1))*Cout_Par_KYC_Supplementaire,(IF('01_Input'!$L$54="Forfait",IF(DY$20&gt;='01_Input'!$J$54,'01_Input'!$M$54,0),IF('01_Input'!$L$54="Palier",IF(AND(DY$20&gt;='01_Input'!$J$54,DY$20&lt;'01_Input'!$K$54),'01_Input'!$M$54,0),MAX(MIN(DY$20,'01_Input'!$K$54)-'01_Input'!$J$54,0)*'01_Input'!$M$54))+IF('01_Input'!$P$54="Forfait",IF(DY$20&gt;='01_Input'!$N$54,'01_Input'!$Q$54,0),IF('01_Input'!$P$54="Palier",IF(AND(DY$20&gt;='01_Input'!$N$54,DY$20&lt;'01_Input'!$O$54),'01_Input'!$Q$54,0),MAX(MIN(DY$20,'01_Input'!$O$54)-'01_Input'!$N$54,0)*'01_Input'!$Q$54))+IF('01_Input'!$T$54="Forfait",IF(DY$20&gt;='01_Input'!$R$54,'01_Input'!$U$54,0),IF('01_Input'!$T$54="Palier",IF(AND(DY$20&gt;='01_Input'!$R$54,DY$20&lt;'01_Input'!$S$54),'01_Input'!$U$54,0),MAX(MIN(DY$20,'01_Input'!$S$54)-'01_Input'!$R$54,0)*'01_Input'!$U$54))+IF('01_Input'!$X$54="Forfait",IF(DY$20&gt;='01_Input'!$V$54,'01_Input'!$Y$54,0),IF('01_Input'!$X$54="Palier",IF(AND(DY$20&gt;='01_Input'!$V$54,DY$20&lt;'01_Input'!$W$54),'01_Input'!$Y$54,0),MAX(MIN(DY$20,'01_Input'!$W$54)-'01_Input'!$V$54,0)*'01_Input'!$Y$54))+IF('01_Input'!$AB$54="Forfait",IF(DY$20&gt;='01_Input'!$Z$54,'01_Input'!$AC$54,0),IF('01_Input'!$AB$54="Palier",IF(AND(DY$20&gt;='01_Input'!$Z$54,DY$20&lt;'01_Input'!$AA$54),'01_Input'!$AC$54,0),MAX(MIN(DY$20,'01_Input'!$AA$54)-'01_Input'!$Z$54,0)*'01_Input'!$AC$54)))))))))</f>
        <v>2500600000</v>
      </c>
      <c r="DZ22" s="83">
        <f>IF('01_Input'!$C$54="Non",0,MIN('01_Input'!$I$54,MAX('01_Input'!$H$54,IF('01_Input'!$G$54="Résiduel vs Gestion",0,IF('01_Input'!$G$54="Taux Classe sélectionnée",Distrib_Global_Classe_Selectionnee*DZ$20,IF('01_Input'!$G$54="Frais KYC (paliers de 100M€)",MAX(0,Nb_Investisseurs-Nb_KYC_Gratuites_Par_Tranche*(FLOOR(DZ$20/Taille_Tranche_KYC,1)+1))*Cout_Par_KYC_Supplementaire,(IF('01_Input'!$L$54="Forfait",IF(DZ$20&gt;='01_Input'!$J$54,'01_Input'!$M$54,0),IF('01_Input'!$L$54="Palier",IF(AND(DZ$20&gt;='01_Input'!$J$54,DZ$20&lt;'01_Input'!$K$54),'01_Input'!$M$54,0),MAX(MIN(DZ$20,'01_Input'!$K$54)-'01_Input'!$J$54,0)*'01_Input'!$M$54))+IF('01_Input'!$P$54="Forfait",IF(DZ$20&gt;='01_Input'!$N$54,'01_Input'!$Q$54,0),IF('01_Input'!$P$54="Palier",IF(AND(DZ$20&gt;='01_Input'!$N$54,DZ$20&lt;'01_Input'!$O$54),'01_Input'!$Q$54,0),MAX(MIN(DZ$20,'01_Input'!$O$54)-'01_Input'!$N$54,0)*'01_Input'!$Q$54))+IF('01_Input'!$T$54="Forfait",IF(DZ$20&gt;='01_Input'!$R$54,'01_Input'!$U$54,0),IF('01_Input'!$T$54="Palier",IF(AND(DZ$20&gt;='01_Input'!$R$54,DZ$20&lt;'01_Input'!$S$54),'01_Input'!$U$54,0),MAX(MIN(DZ$20,'01_Input'!$S$54)-'01_Input'!$R$54,0)*'01_Input'!$U$54))+IF('01_Input'!$X$54="Forfait",IF(DZ$20&gt;='01_Input'!$V$54,'01_Input'!$Y$54,0),IF('01_Input'!$X$54="Palier",IF(AND(DZ$20&gt;='01_Input'!$V$54,DZ$20&lt;'01_Input'!$W$54),'01_Input'!$Y$54,0),MAX(MIN(DZ$20,'01_Input'!$W$54)-'01_Input'!$V$54,0)*'01_Input'!$Y$54))+IF('01_Input'!$AB$54="Forfait",IF(DZ$20&gt;='01_Input'!$Z$54,'01_Input'!$AC$54,0),IF('01_Input'!$AB$54="Palier",IF(AND(DZ$20&gt;='01_Input'!$Z$54,DZ$20&lt;'01_Input'!$AA$54),'01_Input'!$AC$54,0),MAX(MIN(DZ$20,'01_Input'!$AA$54)-'01_Input'!$Z$54,0)*'01_Input'!$AC$54)))))))))</f>
        <v>2500600000</v>
      </c>
      <c r="EA22" s="83">
        <f>IF('01_Input'!$C$54="Non",0,MIN('01_Input'!$I$54,MAX('01_Input'!$H$54,IF('01_Input'!$G$54="Résiduel vs Gestion",0,IF('01_Input'!$G$54="Taux Classe sélectionnée",Distrib_Global_Classe_Selectionnee*EA$20,IF('01_Input'!$G$54="Frais KYC (paliers de 100M€)",MAX(0,Nb_Investisseurs-Nb_KYC_Gratuites_Par_Tranche*(FLOOR(EA$20/Taille_Tranche_KYC,1)+1))*Cout_Par_KYC_Supplementaire,(IF('01_Input'!$L$54="Forfait",IF(EA$20&gt;='01_Input'!$J$54,'01_Input'!$M$54,0),IF('01_Input'!$L$54="Palier",IF(AND(EA$20&gt;='01_Input'!$J$54,EA$20&lt;'01_Input'!$K$54),'01_Input'!$M$54,0),MAX(MIN(EA$20,'01_Input'!$K$54)-'01_Input'!$J$54,0)*'01_Input'!$M$54))+IF('01_Input'!$P$54="Forfait",IF(EA$20&gt;='01_Input'!$N$54,'01_Input'!$Q$54,0),IF('01_Input'!$P$54="Palier",IF(AND(EA$20&gt;='01_Input'!$N$54,EA$20&lt;'01_Input'!$O$54),'01_Input'!$Q$54,0),MAX(MIN(EA$20,'01_Input'!$O$54)-'01_Input'!$N$54,0)*'01_Input'!$Q$54))+IF('01_Input'!$T$54="Forfait",IF(EA$20&gt;='01_Input'!$R$54,'01_Input'!$U$54,0),IF('01_Input'!$T$54="Palier",IF(AND(EA$20&gt;='01_Input'!$R$54,EA$20&lt;'01_Input'!$S$54),'01_Input'!$U$54,0),MAX(MIN(EA$20,'01_Input'!$S$54)-'01_Input'!$R$54,0)*'01_Input'!$U$54))+IF('01_Input'!$X$54="Forfait",IF(EA$20&gt;='01_Input'!$V$54,'01_Input'!$Y$54,0),IF('01_Input'!$X$54="Palier",IF(AND(EA$20&gt;='01_Input'!$V$54,EA$20&lt;'01_Input'!$W$54),'01_Input'!$Y$54,0),MAX(MIN(EA$20,'01_Input'!$W$54)-'01_Input'!$V$54,0)*'01_Input'!$Y$54))+IF('01_Input'!$AB$54="Forfait",IF(EA$20&gt;='01_Input'!$Z$54,'01_Input'!$AC$54,0),IF('01_Input'!$AB$54="Palier",IF(AND(EA$20&gt;='01_Input'!$Z$54,EA$20&lt;'01_Input'!$AA$54),'01_Input'!$AC$54,0),MAX(MIN(EA$20,'01_Input'!$AA$54)-'01_Input'!$Z$54,0)*'01_Input'!$AC$54)))))))))</f>
        <v>2500600000</v>
      </c>
      <c r="EB22" s="83">
        <f>IF('01_Input'!$C$54="Non",0,MIN('01_Input'!$I$54,MAX('01_Input'!$H$54,IF('01_Input'!$G$54="Résiduel vs Gestion",0,IF('01_Input'!$G$54="Taux Classe sélectionnée",Distrib_Global_Classe_Selectionnee*EB$20,IF('01_Input'!$G$54="Frais KYC (paliers de 100M€)",MAX(0,Nb_Investisseurs-Nb_KYC_Gratuites_Par_Tranche*(FLOOR(EB$20/Taille_Tranche_KYC,1)+1))*Cout_Par_KYC_Supplementaire,(IF('01_Input'!$L$54="Forfait",IF(EB$20&gt;='01_Input'!$J$54,'01_Input'!$M$54,0),IF('01_Input'!$L$54="Palier",IF(AND(EB$20&gt;='01_Input'!$J$54,EB$20&lt;'01_Input'!$K$54),'01_Input'!$M$54,0),MAX(MIN(EB$20,'01_Input'!$K$54)-'01_Input'!$J$54,0)*'01_Input'!$M$54))+IF('01_Input'!$P$54="Forfait",IF(EB$20&gt;='01_Input'!$N$54,'01_Input'!$Q$54,0),IF('01_Input'!$P$54="Palier",IF(AND(EB$20&gt;='01_Input'!$N$54,EB$20&lt;'01_Input'!$O$54),'01_Input'!$Q$54,0),MAX(MIN(EB$20,'01_Input'!$O$54)-'01_Input'!$N$54,0)*'01_Input'!$Q$54))+IF('01_Input'!$T$54="Forfait",IF(EB$20&gt;='01_Input'!$R$54,'01_Input'!$U$54,0),IF('01_Input'!$T$54="Palier",IF(AND(EB$20&gt;='01_Input'!$R$54,EB$20&lt;'01_Input'!$S$54),'01_Input'!$U$54,0),MAX(MIN(EB$20,'01_Input'!$S$54)-'01_Input'!$R$54,0)*'01_Input'!$U$54))+IF('01_Input'!$X$54="Forfait",IF(EB$20&gt;='01_Input'!$V$54,'01_Input'!$Y$54,0),IF('01_Input'!$X$54="Palier",IF(AND(EB$20&gt;='01_Input'!$V$54,EB$20&lt;'01_Input'!$W$54),'01_Input'!$Y$54,0),MAX(MIN(EB$20,'01_Input'!$W$54)-'01_Input'!$V$54,0)*'01_Input'!$Y$54))+IF('01_Input'!$AB$54="Forfait",IF(EB$20&gt;='01_Input'!$Z$54,'01_Input'!$AC$54,0),IF('01_Input'!$AB$54="Palier",IF(AND(EB$20&gt;='01_Input'!$Z$54,EB$20&lt;'01_Input'!$AA$54),'01_Input'!$AC$54,0),MAX(MIN(EB$20,'01_Input'!$AA$54)-'01_Input'!$Z$54,0)*'01_Input'!$AC$54)))))))))</f>
        <v>2500600000</v>
      </c>
      <c r="EC22" s="83">
        <f>IF('01_Input'!$C$54="Non",0,MIN('01_Input'!$I$54,MAX('01_Input'!$H$54,IF('01_Input'!$G$54="Résiduel vs Gestion",0,IF('01_Input'!$G$54="Taux Classe sélectionnée",Distrib_Global_Classe_Selectionnee*EC$20,IF('01_Input'!$G$54="Frais KYC (paliers de 100M€)",MAX(0,Nb_Investisseurs-Nb_KYC_Gratuites_Par_Tranche*(FLOOR(EC$20/Taille_Tranche_KYC,1)+1))*Cout_Par_KYC_Supplementaire,(IF('01_Input'!$L$54="Forfait",IF(EC$20&gt;='01_Input'!$J$54,'01_Input'!$M$54,0),IF('01_Input'!$L$54="Palier",IF(AND(EC$20&gt;='01_Input'!$J$54,EC$20&lt;'01_Input'!$K$54),'01_Input'!$M$54,0),MAX(MIN(EC$20,'01_Input'!$K$54)-'01_Input'!$J$54,0)*'01_Input'!$M$54))+IF('01_Input'!$P$54="Forfait",IF(EC$20&gt;='01_Input'!$N$54,'01_Input'!$Q$54,0),IF('01_Input'!$P$54="Palier",IF(AND(EC$20&gt;='01_Input'!$N$54,EC$20&lt;'01_Input'!$O$54),'01_Input'!$Q$54,0),MAX(MIN(EC$20,'01_Input'!$O$54)-'01_Input'!$N$54,0)*'01_Input'!$Q$54))+IF('01_Input'!$T$54="Forfait",IF(EC$20&gt;='01_Input'!$R$54,'01_Input'!$U$54,0),IF('01_Input'!$T$54="Palier",IF(AND(EC$20&gt;='01_Input'!$R$54,EC$20&lt;'01_Input'!$S$54),'01_Input'!$U$54,0),MAX(MIN(EC$20,'01_Input'!$S$54)-'01_Input'!$R$54,0)*'01_Input'!$U$54))+IF('01_Input'!$X$54="Forfait",IF(EC$20&gt;='01_Input'!$V$54,'01_Input'!$Y$54,0),IF('01_Input'!$X$54="Palier",IF(AND(EC$20&gt;='01_Input'!$V$54,EC$20&lt;'01_Input'!$W$54),'01_Input'!$Y$54,0),MAX(MIN(EC$20,'01_Input'!$W$54)-'01_Input'!$V$54,0)*'01_Input'!$Y$54))+IF('01_Input'!$AB$54="Forfait",IF(EC$20&gt;='01_Input'!$Z$54,'01_Input'!$AC$54,0),IF('01_Input'!$AB$54="Palier",IF(AND(EC$20&gt;='01_Input'!$Z$54,EC$20&lt;'01_Input'!$AA$54),'01_Input'!$AC$54,0),MAX(MIN(EC$20,'01_Input'!$AA$54)-'01_Input'!$Z$54,0)*'01_Input'!$AC$54)))))))))</f>
        <v>2500600000</v>
      </c>
      <c r="ED22" s="83">
        <f>IF('01_Input'!$C$54="Non",0,MIN('01_Input'!$I$54,MAX('01_Input'!$H$54,IF('01_Input'!$G$54="Résiduel vs Gestion",0,IF('01_Input'!$G$54="Taux Classe sélectionnée",Distrib_Global_Classe_Selectionnee*ED$20,IF('01_Input'!$G$54="Frais KYC (paliers de 100M€)",MAX(0,Nb_Investisseurs-Nb_KYC_Gratuites_Par_Tranche*(FLOOR(ED$20/Taille_Tranche_KYC,1)+1))*Cout_Par_KYC_Supplementaire,(IF('01_Input'!$L$54="Forfait",IF(ED$20&gt;='01_Input'!$J$54,'01_Input'!$M$54,0),IF('01_Input'!$L$54="Palier",IF(AND(ED$20&gt;='01_Input'!$J$54,ED$20&lt;'01_Input'!$K$54),'01_Input'!$M$54,0),MAX(MIN(ED$20,'01_Input'!$K$54)-'01_Input'!$J$54,0)*'01_Input'!$M$54))+IF('01_Input'!$P$54="Forfait",IF(ED$20&gt;='01_Input'!$N$54,'01_Input'!$Q$54,0),IF('01_Input'!$P$54="Palier",IF(AND(ED$20&gt;='01_Input'!$N$54,ED$20&lt;'01_Input'!$O$54),'01_Input'!$Q$54,0),MAX(MIN(ED$20,'01_Input'!$O$54)-'01_Input'!$N$54,0)*'01_Input'!$Q$54))+IF('01_Input'!$T$54="Forfait",IF(ED$20&gt;='01_Input'!$R$54,'01_Input'!$U$54,0),IF('01_Input'!$T$54="Palier",IF(AND(ED$20&gt;='01_Input'!$R$54,ED$20&lt;'01_Input'!$S$54),'01_Input'!$U$54,0),MAX(MIN(ED$20,'01_Input'!$S$54)-'01_Input'!$R$54,0)*'01_Input'!$U$54))+IF('01_Input'!$X$54="Forfait",IF(ED$20&gt;='01_Input'!$V$54,'01_Input'!$Y$54,0),IF('01_Input'!$X$54="Palier",IF(AND(ED$20&gt;='01_Input'!$V$54,ED$20&lt;'01_Input'!$W$54),'01_Input'!$Y$54,0),MAX(MIN(ED$20,'01_Input'!$W$54)-'01_Input'!$V$54,0)*'01_Input'!$Y$54))+IF('01_Input'!$AB$54="Forfait",IF(ED$20&gt;='01_Input'!$Z$54,'01_Input'!$AC$54,0),IF('01_Input'!$AB$54="Palier",IF(AND(ED$20&gt;='01_Input'!$Z$54,ED$20&lt;'01_Input'!$AA$54),'01_Input'!$AC$54,0),MAX(MIN(ED$20,'01_Input'!$AA$54)-'01_Input'!$Z$54,0)*'01_Input'!$AC$54)))))))))</f>
        <v>2500600000</v>
      </c>
      <c r="EE22" s="83">
        <f>IF('01_Input'!$C$54="Non",0,MIN('01_Input'!$I$54,MAX('01_Input'!$H$54,IF('01_Input'!$G$54="Résiduel vs Gestion",0,IF('01_Input'!$G$54="Taux Classe sélectionnée",Distrib_Global_Classe_Selectionnee*EE$20,IF('01_Input'!$G$54="Frais KYC (paliers de 100M€)",MAX(0,Nb_Investisseurs-Nb_KYC_Gratuites_Par_Tranche*(FLOOR(EE$20/Taille_Tranche_KYC,1)+1))*Cout_Par_KYC_Supplementaire,(IF('01_Input'!$L$54="Forfait",IF(EE$20&gt;='01_Input'!$J$54,'01_Input'!$M$54,0),IF('01_Input'!$L$54="Palier",IF(AND(EE$20&gt;='01_Input'!$J$54,EE$20&lt;'01_Input'!$K$54),'01_Input'!$M$54,0),MAX(MIN(EE$20,'01_Input'!$K$54)-'01_Input'!$J$54,0)*'01_Input'!$M$54))+IF('01_Input'!$P$54="Forfait",IF(EE$20&gt;='01_Input'!$N$54,'01_Input'!$Q$54,0),IF('01_Input'!$P$54="Palier",IF(AND(EE$20&gt;='01_Input'!$N$54,EE$20&lt;'01_Input'!$O$54),'01_Input'!$Q$54,0),MAX(MIN(EE$20,'01_Input'!$O$54)-'01_Input'!$N$54,0)*'01_Input'!$Q$54))+IF('01_Input'!$T$54="Forfait",IF(EE$20&gt;='01_Input'!$R$54,'01_Input'!$U$54,0),IF('01_Input'!$T$54="Palier",IF(AND(EE$20&gt;='01_Input'!$R$54,EE$20&lt;'01_Input'!$S$54),'01_Input'!$U$54,0),MAX(MIN(EE$20,'01_Input'!$S$54)-'01_Input'!$R$54,0)*'01_Input'!$U$54))+IF('01_Input'!$X$54="Forfait",IF(EE$20&gt;='01_Input'!$V$54,'01_Input'!$Y$54,0),IF('01_Input'!$X$54="Palier",IF(AND(EE$20&gt;='01_Input'!$V$54,EE$20&lt;'01_Input'!$W$54),'01_Input'!$Y$54,0),MAX(MIN(EE$20,'01_Input'!$W$54)-'01_Input'!$V$54,0)*'01_Input'!$Y$54))+IF('01_Input'!$AB$54="Forfait",IF(EE$20&gt;='01_Input'!$Z$54,'01_Input'!$AC$54,0),IF('01_Input'!$AB$54="Palier",IF(AND(EE$20&gt;='01_Input'!$Z$54,EE$20&lt;'01_Input'!$AA$54),'01_Input'!$AC$54,0),MAX(MIN(EE$20,'01_Input'!$AA$54)-'01_Input'!$Z$54,0)*'01_Input'!$AC$54)))))))))</f>
        <v>2500600000</v>
      </c>
      <c r="EF22" s="83">
        <f>IF('01_Input'!$C$54="Non",0,MIN('01_Input'!$I$54,MAX('01_Input'!$H$54,IF('01_Input'!$G$54="Résiduel vs Gestion",0,IF('01_Input'!$G$54="Taux Classe sélectionnée",Distrib_Global_Classe_Selectionnee*EF$20,IF('01_Input'!$G$54="Frais KYC (paliers de 100M€)",MAX(0,Nb_Investisseurs-Nb_KYC_Gratuites_Par_Tranche*(FLOOR(EF$20/Taille_Tranche_KYC,1)+1))*Cout_Par_KYC_Supplementaire,(IF('01_Input'!$L$54="Forfait",IF(EF$20&gt;='01_Input'!$J$54,'01_Input'!$M$54,0),IF('01_Input'!$L$54="Palier",IF(AND(EF$20&gt;='01_Input'!$J$54,EF$20&lt;'01_Input'!$K$54),'01_Input'!$M$54,0),MAX(MIN(EF$20,'01_Input'!$K$54)-'01_Input'!$J$54,0)*'01_Input'!$M$54))+IF('01_Input'!$P$54="Forfait",IF(EF$20&gt;='01_Input'!$N$54,'01_Input'!$Q$54,0),IF('01_Input'!$P$54="Palier",IF(AND(EF$20&gt;='01_Input'!$N$54,EF$20&lt;'01_Input'!$O$54),'01_Input'!$Q$54,0),MAX(MIN(EF$20,'01_Input'!$O$54)-'01_Input'!$N$54,0)*'01_Input'!$Q$54))+IF('01_Input'!$T$54="Forfait",IF(EF$20&gt;='01_Input'!$R$54,'01_Input'!$U$54,0),IF('01_Input'!$T$54="Palier",IF(AND(EF$20&gt;='01_Input'!$R$54,EF$20&lt;'01_Input'!$S$54),'01_Input'!$U$54,0),MAX(MIN(EF$20,'01_Input'!$S$54)-'01_Input'!$R$54,0)*'01_Input'!$U$54))+IF('01_Input'!$X$54="Forfait",IF(EF$20&gt;='01_Input'!$V$54,'01_Input'!$Y$54,0),IF('01_Input'!$X$54="Palier",IF(AND(EF$20&gt;='01_Input'!$V$54,EF$20&lt;'01_Input'!$W$54),'01_Input'!$Y$54,0),MAX(MIN(EF$20,'01_Input'!$W$54)-'01_Input'!$V$54,0)*'01_Input'!$Y$54))+IF('01_Input'!$AB$54="Forfait",IF(EF$20&gt;='01_Input'!$Z$54,'01_Input'!$AC$54,0),IF('01_Input'!$AB$54="Palier",IF(AND(EF$20&gt;='01_Input'!$Z$54,EF$20&lt;'01_Input'!$AA$54),'01_Input'!$AC$54,0),MAX(MIN(EF$20,'01_Input'!$AA$54)-'01_Input'!$Z$54,0)*'01_Input'!$AC$54)))))))))</f>
        <v>2500600000</v>
      </c>
      <c r="EG22" s="83">
        <f>IF('01_Input'!$C$54="Non",0,MIN('01_Input'!$I$54,MAX('01_Input'!$H$54,IF('01_Input'!$G$54="Résiduel vs Gestion",0,IF('01_Input'!$G$54="Taux Classe sélectionnée",Distrib_Global_Classe_Selectionnee*EG$20,IF('01_Input'!$G$54="Frais KYC (paliers de 100M€)",MAX(0,Nb_Investisseurs-Nb_KYC_Gratuites_Par_Tranche*(FLOOR(EG$20/Taille_Tranche_KYC,1)+1))*Cout_Par_KYC_Supplementaire,(IF('01_Input'!$L$54="Forfait",IF(EG$20&gt;='01_Input'!$J$54,'01_Input'!$M$54,0),IF('01_Input'!$L$54="Palier",IF(AND(EG$20&gt;='01_Input'!$J$54,EG$20&lt;'01_Input'!$K$54),'01_Input'!$M$54,0),MAX(MIN(EG$20,'01_Input'!$K$54)-'01_Input'!$J$54,0)*'01_Input'!$M$54))+IF('01_Input'!$P$54="Forfait",IF(EG$20&gt;='01_Input'!$N$54,'01_Input'!$Q$54,0),IF('01_Input'!$P$54="Palier",IF(AND(EG$20&gt;='01_Input'!$N$54,EG$20&lt;'01_Input'!$O$54),'01_Input'!$Q$54,0),MAX(MIN(EG$20,'01_Input'!$O$54)-'01_Input'!$N$54,0)*'01_Input'!$Q$54))+IF('01_Input'!$T$54="Forfait",IF(EG$20&gt;='01_Input'!$R$54,'01_Input'!$U$54,0),IF('01_Input'!$T$54="Palier",IF(AND(EG$20&gt;='01_Input'!$R$54,EG$20&lt;'01_Input'!$S$54),'01_Input'!$U$54,0),MAX(MIN(EG$20,'01_Input'!$S$54)-'01_Input'!$R$54,0)*'01_Input'!$U$54))+IF('01_Input'!$X$54="Forfait",IF(EG$20&gt;='01_Input'!$V$54,'01_Input'!$Y$54,0),IF('01_Input'!$X$54="Palier",IF(AND(EG$20&gt;='01_Input'!$V$54,EG$20&lt;'01_Input'!$W$54),'01_Input'!$Y$54,0),MAX(MIN(EG$20,'01_Input'!$W$54)-'01_Input'!$V$54,0)*'01_Input'!$Y$54))+IF('01_Input'!$AB$54="Forfait",IF(EG$20&gt;='01_Input'!$Z$54,'01_Input'!$AC$54,0),IF('01_Input'!$AB$54="Palier",IF(AND(EG$20&gt;='01_Input'!$Z$54,EG$20&lt;'01_Input'!$AA$54),'01_Input'!$AC$54,0),MAX(MIN(EG$20,'01_Input'!$AA$54)-'01_Input'!$Z$54,0)*'01_Input'!$AC$54)))))))))</f>
        <v>2500600000</v>
      </c>
      <c r="EH22" s="83">
        <f>IF('01_Input'!$C$54="Non",0,MIN('01_Input'!$I$54,MAX('01_Input'!$H$54,IF('01_Input'!$G$54="Résiduel vs Gestion",0,IF('01_Input'!$G$54="Taux Classe sélectionnée",Distrib_Global_Classe_Selectionnee*EH$20,IF('01_Input'!$G$54="Frais KYC (paliers de 100M€)",MAX(0,Nb_Investisseurs-Nb_KYC_Gratuites_Par_Tranche*(FLOOR(EH$20/Taille_Tranche_KYC,1)+1))*Cout_Par_KYC_Supplementaire,(IF('01_Input'!$L$54="Forfait",IF(EH$20&gt;='01_Input'!$J$54,'01_Input'!$M$54,0),IF('01_Input'!$L$54="Palier",IF(AND(EH$20&gt;='01_Input'!$J$54,EH$20&lt;'01_Input'!$K$54),'01_Input'!$M$54,0),MAX(MIN(EH$20,'01_Input'!$K$54)-'01_Input'!$J$54,0)*'01_Input'!$M$54))+IF('01_Input'!$P$54="Forfait",IF(EH$20&gt;='01_Input'!$N$54,'01_Input'!$Q$54,0),IF('01_Input'!$P$54="Palier",IF(AND(EH$20&gt;='01_Input'!$N$54,EH$20&lt;'01_Input'!$O$54),'01_Input'!$Q$54,0),MAX(MIN(EH$20,'01_Input'!$O$54)-'01_Input'!$N$54,0)*'01_Input'!$Q$54))+IF('01_Input'!$T$54="Forfait",IF(EH$20&gt;='01_Input'!$R$54,'01_Input'!$U$54,0),IF('01_Input'!$T$54="Palier",IF(AND(EH$20&gt;='01_Input'!$R$54,EH$20&lt;'01_Input'!$S$54),'01_Input'!$U$54,0),MAX(MIN(EH$20,'01_Input'!$S$54)-'01_Input'!$R$54,0)*'01_Input'!$U$54))+IF('01_Input'!$X$54="Forfait",IF(EH$20&gt;='01_Input'!$V$54,'01_Input'!$Y$54,0),IF('01_Input'!$X$54="Palier",IF(AND(EH$20&gt;='01_Input'!$V$54,EH$20&lt;'01_Input'!$W$54),'01_Input'!$Y$54,0),MAX(MIN(EH$20,'01_Input'!$W$54)-'01_Input'!$V$54,0)*'01_Input'!$Y$54))+IF('01_Input'!$AB$54="Forfait",IF(EH$20&gt;='01_Input'!$Z$54,'01_Input'!$AC$54,0),IF('01_Input'!$AB$54="Palier",IF(AND(EH$20&gt;='01_Input'!$Z$54,EH$20&lt;'01_Input'!$AA$54),'01_Input'!$AC$54,0),MAX(MIN(EH$20,'01_Input'!$AA$54)-'01_Input'!$Z$54,0)*'01_Input'!$AC$54)))))))))</f>
        <v>2500600000</v>
      </c>
      <c r="EI22" s="83">
        <f>IF('01_Input'!$C$54="Non",0,MIN('01_Input'!$I$54,MAX('01_Input'!$H$54,IF('01_Input'!$G$54="Résiduel vs Gestion",0,IF('01_Input'!$G$54="Taux Classe sélectionnée",Distrib_Global_Classe_Selectionnee*EI$20,IF('01_Input'!$G$54="Frais KYC (paliers de 100M€)",MAX(0,Nb_Investisseurs-Nb_KYC_Gratuites_Par_Tranche*(FLOOR(EI$20/Taille_Tranche_KYC,1)+1))*Cout_Par_KYC_Supplementaire,(IF('01_Input'!$L$54="Forfait",IF(EI$20&gt;='01_Input'!$J$54,'01_Input'!$M$54,0),IF('01_Input'!$L$54="Palier",IF(AND(EI$20&gt;='01_Input'!$J$54,EI$20&lt;'01_Input'!$K$54),'01_Input'!$M$54,0),MAX(MIN(EI$20,'01_Input'!$K$54)-'01_Input'!$J$54,0)*'01_Input'!$M$54))+IF('01_Input'!$P$54="Forfait",IF(EI$20&gt;='01_Input'!$N$54,'01_Input'!$Q$54,0),IF('01_Input'!$P$54="Palier",IF(AND(EI$20&gt;='01_Input'!$N$54,EI$20&lt;'01_Input'!$O$54),'01_Input'!$Q$54,0),MAX(MIN(EI$20,'01_Input'!$O$54)-'01_Input'!$N$54,0)*'01_Input'!$Q$54))+IF('01_Input'!$T$54="Forfait",IF(EI$20&gt;='01_Input'!$R$54,'01_Input'!$U$54,0),IF('01_Input'!$T$54="Palier",IF(AND(EI$20&gt;='01_Input'!$R$54,EI$20&lt;'01_Input'!$S$54),'01_Input'!$U$54,0),MAX(MIN(EI$20,'01_Input'!$S$54)-'01_Input'!$R$54,0)*'01_Input'!$U$54))+IF('01_Input'!$X$54="Forfait",IF(EI$20&gt;='01_Input'!$V$54,'01_Input'!$Y$54,0),IF('01_Input'!$X$54="Palier",IF(AND(EI$20&gt;='01_Input'!$V$54,EI$20&lt;'01_Input'!$W$54),'01_Input'!$Y$54,0),MAX(MIN(EI$20,'01_Input'!$W$54)-'01_Input'!$V$54,0)*'01_Input'!$Y$54))+IF('01_Input'!$AB$54="Forfait",IF(EI$20&gt;='01_Input'!$Z$54,'01_Input'!$AC$54,0),IF('01_Input'!$AB$54="Palier",IF(AND(EI$20&gt;='01_Input'!$Z$54,EI$20&lt;'01_Input'!$AA$54),'01_Input'!$AC$54,0),MAX(MIN(EI$20,'01_Input'!$AA$54)-'01_Input'!$Z$54,0)*'01_Input'!$AC$54)))))))))</f>
        <v>2500600000</v>
      </c>
      <c r="EJ22" s="83">
        <f>IF('01_Input'!$C$54="Non",0,MIN('01_Input'!$I$54,MAX('01_Input'!$H$54,IF('01_Input'!$G$54="Résiduel vs Gestion",0,IF('01_Input'!$G$54="Taux Classe sélectionnée",Distrib_Global_Classe_Selectionnee*EJ$20,IF('01_Input'!$G$54="Frais KYC (paliers de 100M€)",MAX(0,Nb_Investisseurs-Nb_KYC_Gratuites_Par_Tranche*(FLOOR(EJ$20/Taille_Tranche_KYC,1)+1))*Cout_Par_KYC_Supplementaire,(IF('01_Input'!$L$54="Forfait",IF(EJ$20&gt;='01_Input'!$J$54,'01_Input'!$M$54,0),IF('01_Input'!$L$54="Palier",IF(AND(EJ$20&gt;='01_Input'!$J$54,EJ$20&lt;'01_Input'!$K$54),'01_Input'!$M$54,0),MAX(MIN(EJ$20,'01_Input'!$K$54)-'01_Input'!$J$54,0)*'01_Input'!$M$54))+IF('01_Input'!$P$54="Forfait",IF(EJ$20&gt;='01_Input'!$N$54,'01_Input'!$Q$54,0),IF('01_Input'!$P$54="Palier",IF(AND(EJ$20&gt;='01_Input'!$N$54,EJ$20&lt;'01_Input'!$O$54),'01_Input'!$Q$54,0),MAX(MIN(EJ$20,'01_Input'!$O$54)-'01_Input'!$N$54,0)*'01_Input'!$Q$54))+IF('01_Input'!$T$54="Forfait",IF(EJ$20&gt;='01_Input'!$R$54,'01_Input'!$U$54,0),IF('01_Input'!$T$54="Palier",IF(AND(EJ$20&gt;='01_Input'!$R$54,EJ$20&lt;'01_Input'!$S$54),'01_Input'!$U$54,0),MAX(MIN(EJ$20,'01_Input'!$S$54)-'01_Input'!$R$54,0)*'01_Input'!$U$54))+IF('01_Input'!$X$54="Forfait",IF(EJ$20&gt;='01_Input'!$V$54,'01_Input'!$Y$54,0),IF('01_Input'!$X$54="Palier",IF(AND(EJ$20&gt;='01_Input'!$V$54,EJ$20&lt;'01_Input'!$W$54),'01_Input'!$Y$54,0),MAX(MIN(EJ$20,'01_Input'!$W$54)-'01_Input'!$V$54,0)*'01_Input'!$Y$54))+IF('01_Input'!$AB$54="Forfait",IF(EJ$20&gt;='01_Input'!$Z$54,'01_Input'!$AC$54,0),IF('01_Input'!$AB$54="Palier",IF(AND(EJ$20&gt;='01_Input'!$Z$54,EJ$20&lt;'01_Input'!$AA$54),'01_Input'!$AC$54,0),MAX(MIN(EJ$20,'01_Input'!$AA$54)-'01_Input'!$Z$54,0)*'01_Input'!$AC$54)))))))))</f>
        <v>2500600000</v>
      </c>
      <c r="EK22" s="83">
        <f>IF('01_Input'!$C$54="Non",0,MIN('01_Input'!$I$54,MAX('01_Input'!$H$54,IF('01_Input'!$G$54="Résiduel vs Gestion",0,IF('01_Input'!$G$54="Taux Classe sélectionnée",Distrib_Global_Classe_Selectionnee*EK$20,IF('01_Input'!$G$54="Frais KYC (paliers de 100M€)",MAX(0,Nb_Investisseurs-Nb_KYC_Gratuites_Par_Tranche*(FLOOR(EK$20/Taille_Tranche_KYC,1)+1))*Cout_Par_KYC_Supplementaire,(IF('01_Input'!$L$54="Forfait",IF(EK$20&gt;='01_Input'!$J$54,'01_Input'!$M$54,0),IF('01_Input'!$L$54="Palier",IF(AND(EK$20&gt;='01_Input'!$J$54,EK$20&lt;'01_Input'!$K$54),'01_Input'!$M$54,0),MAX(MIN(EK$20,'01_Input'!$K$54)-'01_Input'!$J$54,0)*'01_Input'!$M$54))+IF('01_Input'!$P$54="Forfait",IF(EK$20&gt;='01_Input'!$N$54,'01_Input'!$Q$54,0),IF('01_Input'!$P$54="Palier",IF(AND(EK$20&gt;='01_Input'!$N$54,EK$20&lt;'01_Input'!$O$54),'01_Input'!$Q$54,0),MAX(MIN(EK$20,'01_Input'!$O$54)-'01_Input'!$N$54,0)*'01_Input'!$Q$54))+IF('01_Input'!$T$54="Forfait",IF(EK$20&gt;='01_Input'!$R$54,'01_Input'!$U$54,0),IF('01_Input'!$T$54="Palier",IF(AND(EK$20&gt;='01_Input'!$R$54,EK$20&lt;'01_Input'!$S$54),'01_Input'!$U$54,0),MAX(MIN(EK$20,'01_Input'!$S$54)-'01_Input'!$R$54,0)*'01_Input'!$U$54))+IF('01_Input'!$X$54="Forfait",IF(EK$20&gt;='01_Input'!$V$54,'01_Input'!$Y$54,0),IF('01_Input'!$X$54="Palier",IF(AND(EK$20&gt;='01_Input'!$V$54,EK$20&lt;'01_Input'!$W$54),'01_Input'!$Y$54,0),MAX(MIN(EK$20,'01_Input'!$W$54)-'01_Input'!$V$54,0)*'01_Input'!$Y$54))+IF('01_Input'!$AB$54="Forfait",IF(EK$20&gt;='01_Input'!$Z$54,'01_Input'!$AC$54,0),IF('01_Input'!$AB$54="Palier",IF(AND(EK$20&gt;='01_Input'!$Z$54,EK$20&lt;'01_Input'!$AA$54),'01_Input'!$AC$54,0),MAX(MIN(EK$20,'01_Input'!$AA$54)-'01_Input'!$Z$54,0)*'01_Input'!$AC$54)))))))))</f>
        <v>2500600000</v>
      </c>
      <c r="EL22" s="83">
        <f>IF('01_Input'!$C$54="Non",0,MIN('01_Input'!$I$54,MAX('01_Input'!$H$54,IF('01_Input'!$G$54="Résiduel vs Gestion",0,IF('01_Input'!$G$54="Taux Classe sélectionnée",Distrib_Global_Classe_Selectionnee*EL$20,IF('01_Input'!$G$54="Frais KYC (paliers de 100M€)",MAX(0,Nb_Investisseurs-Nb_KYC_Gratuites_Par_Tranche*(FLOOR(EL$20/Taille_Tranche_KYC,1)+1))*Cout_Par_KYC_Supplementaire,(IF('01_Input'!$L$54="Forfait",IF(EL$20&gt;='01_Input'!$J$54,'01_Input'!$M$54,0),IF('01_Input'!$L$54="Palier",IF(AND(EL$20&gt;='01_Input'!$J$54,EL$20&lt;'01_Input'!$K$54),'01_Input'!$M$54,0),MAX(MIN(EL$20,'01_Input'!$K$54)-'01_Input'!$J$54,0)*'01_Input'!$M$54))+IF('01_Input'!$P$54="Forfait",IF(EL$20&gt;='01_Input'!$N$54,'01_Input'!$Q$54,0),IF('01_Input'!$P$54="Palier",IF(AND(EL$20&gt;='01_Input'!$N$54,EL$20&lt;'01_Input'!$O$54),'01_Input'!$Q$54,0),MAX(MIN(EL$20,'01_Input'!$O$54)-'01_Input'!$N$54,0)*'01_Input'!$Q$54))+IF('01_Input'!$T$54="Forfait",IF(EL$20&gt;='01_Input'!$R$54,'01_Input'!$U$54,0),IF('01_Input'!$T$54="Palier",IF(AND(EL$20&gt;='01_Input'!$R$54,EL$20&lt;'01_Input'!$S$54),'01_Input'!$U$54,0),MAX(MIN(EL$20,'01_Input'!$S$54)-'01_Input'!$R$54,0)*'01_Input'!$U$54))+IF('01_Input'!$X$54="Forfait",IF(EL$20&gt;='01_Input'!$V$54,'01_Input'!$Y$54,0),IF('01_Input'!$X$54="Palier",IF(AND(EL$20&gt;='01_Input'!$V$54,EL$20&lt;'01_Input'!$W$54),'01_Input'!$Y$54,0),MAX(MIN(EL$20,'01_Input'!$W$54)-'01_Input'!$V$54,0)*'01_Input'!$Y$54))+IF('01_Input'!$AB$54="Forfait",IF(EL$20&gt;='01_Input'!$Z$54,'01_Input'!$AC$54,0),IF('01_Input'!$AB$54="Palier",IF(AND(EL$20&gt;='01_Input'!$Z$54,EL$20&lt;'01_Input'!$AA$54),'01_Input'!$AC$54,0),MAX(MIN(EL$20,'01_Input'!$AA$54)-'01_Input'!$Z$54,0)*'01_Input'!$AC$54)))))))))</f>
        <v>2500600000</v>
      </c>
      <c r="EM22" s="83">
        <f>IF('01_Input'!$C$54="Non",0,MIN('01_Input'!$I$54,MAX('01_Input'!$H$54,IF('01_Input'!$G$54="Résiduel vs Gestion",0,IF('01_Input'!$G$54="Taux Classe sélectionnée",Distrib_Global_Classe_Selectionnee*EM$20,IF('01_Input'!$G$54="Frais KYC (paliers de 100M€)",MAX(0,Nb_Investisseurs-Nb_KYC_Gratuites_Par_Tranche*(FLOOR(EM$20/Taille_Tranche_KYC,1)+1))*Cout_Par_KYC_Supplementaire,(IF('01_Input'!$L$54="Forfait",IF(EM$20&gt;='01_Input'!$J$54,'01_Input'!$M$54,0),IF('01_Input'!$L$54="Palier",IF(AND(EM$20&gt;='01_Input'!$J$54,EM$20&lt;'01_Input'!$K$54),'01_Input'!$M$54,0),MAX(MIN(EM$20,'01_Input'!$K$54)-'01_Input'!$J$54,0)*'01_Input'!$M$54))+IF('01_Input'!$P$54="Forfait",IF(EM$20&gt;='01_Input'!$N$54,'01_Input'!$Q$54,0),IF('01_Input'!$P$54="Palier",IF(AND(EM$20&gt;='01_Input'!$N$54,EM$20&lt;'01_Input'!$O$54),'01_Input'!$Q$54,0),MAX(MIN(EM$20,'01_Input'!$O$54)-'01_Input'!$N$54,0)*'01_Input'!$Q$54))+IF('01_Input'!$T$54="Forfait",IF(EM$20&gt;='01_Input'!$R$54,'01_Input'!$U$54,0),IF('01_Input'!$T$54="Palier",IF(AND(EM$20&gt;='01_Input'!$R$54,EM$20&lt;'01_Input'!$S$54),'01_Input'!$U$54,0),MAX(MIN(EM$20,'01_Input'!$S$54)-'01_Input'!$R$54,0)*'01_Input'!$U$54))+IF('01_Input'!$X$54="Forfait",IF(EM$20&gt;='01_Input'!$V$54,'01_Input'!$Y$54,0),IF('01_Input'!$X$54="Palier",IF(AND(EM$20&gt;='01_Input'!$V$54,EM$20&lt;'01_Input'!$W$54),'01_Input'!$Y$54,0),MAX(MIN(EM$20,'01_Input'!$W$54)-'01_Input'!$V$54,0)*'01_Input'!$Y$54))+IF('01_Input'!$AB$54="Forfait",IF(EM$20&gt;='01_Input'!$Z$54,'01_Input'!$AC$54,0),IF('01_Input'!$AB$54="Palier",IF(AND(EM$20&gt;='01_Input'!$Z$54,EM$20&lt;'01_Input'!$AA$54),'01_Input'!$AC$54,0),MAX(MIN(EM$20,'01_Input'!$AA$54)-'01_Input'!$Z$54,0)*'01_Input'!$AC$54)))))))))</f>
        <v>2500600000</v>
      </c>
      <c r="EN22" s="83">
        <f>IF('01_Input'!$C$54="Non",0,MIN('01_Input'!$I$54,MAX('01_Input'!$H$54,IF('01_Input'!$G$54="Résiduel vs Gestion",0,IF('01_Input'!$G$54="Taux Classe sélectionnée",Distrib_Global_Classe_Selectionnee*EN$20,IF('01_Input'!$G$54="Frais KYC (paliers de 100M€)",MAX(0,Nb_Investisseurs-Nb_KYC_Gratuites_Par_Tranche*(FLOOR(EN$20/Taille_Tranche_KYC,1)+1))*Cout_Par_KYC_Supplementaire,(IF('01_Input'!$L$54="Forfait",IF(EN$20&gt;='01_Input'!$J$54,'01_Input'!$M$54,0),IF('01_Input'!$L$54="Palier",IF(AND(EN$20&gt;='01_Input'!$J$54,EN$20&lt;'01_Input'!$K$54),'01_Input'!$M$54,0),MAX(MIN(EN$20,'01_Input'!$K$54)-'01_Input'!$J$54,0)*'01_Input'!$M$54))+IF('01_Input'!$P$54="Forfait",IF(EN$20&gt;='01_Input'!$N$54,'01_Input'!$Q$54,0),IF('01_Input'!$P$54="Palier",IF(AND(EN$20&gt;='01_Input'!$N$54,EN$20&lt;'01_Input'!$O$54),'01_Input'!$Q$54,0),MAX(MIN(EN$20,'01_Input'!$O$54)-'01_Input'!$N$54,0)*'01_Input'!$Q$54))+IF('01_Input'!$T$54="Forfait",IF(EN$20&gt;='01_Input'!$R$54,'01_Input'!$U$54,0),IF('01_Input'!$T$54="Palier",IF(AND(EN$20&gt;='01_Input'!$R$54,EN$20&lt;'01_Input'!$S$54),'01_Input'!$U$54,0),MAX(MIN(EN$20,'01_Input'!$S$54)-'01_Input'!$R$54,0)*'01_Input'!$U$54))+IF('01_Input'!$X$54="Forfait",IF(EN$20&gt;='01_Input'!$V$54,'01_Input'!$Y$54,0),IF('01_Input'!$X$54="Palier",IF(AND(EN$20&gt;='01_Input'!$V$54,EN$20&lt;'01_Input'!$W$54),'01_Input'!$Y$54,0),MAX(MIN(EN$20,'01_Input'!$W$54)-'01_Input'!$V$54,0)*'01_Input'!$Y$54))+IF('01_Input'!$AB$54="Forfait",IF(EN$20&gt;='01_Input'!$Z$54,'01_Input'!$AC$54,0),IF('01_Input'!$AB$54="Palier",IF(AND(EN$20&gt;='01_Input'!$Z$54,EN$20&lt;'01_Input'!$AA$54),'01_Input'!$AC$54,0),MAX(MIN(EN$20,'01_Input'!$AA$54)-'01_Input'!$Z$54,0)*'01_Input'!$AC$54)))))))))</f>
        <v>2500600000</v>
      </c>
      <c r="EO22" s="83">
        <f>IF('01_Input'!$C$54="Non",0,MIN('01_Input'!$I$54,MAX('01_Input'!$H$54,IF('01_Input'!$G$54="Résiduel vs Gestion",0,IF('01_Input'!$G$54="Taux Classe sélectionnée",Distrib_Global_Classe_Selectionnee*EO$20,IF('01_Input'!$G$54="Frais KYC (paliers de 100M€)",MAX(0,Nb_Investisseurs-Nb_KYC_Gratuites_Par_Tranche*(FLOOR(EO$20/Taille_Tranche_KYC,1)+1))*Cout_Par_KYC_Supplementaire,(IF('01_Input'!$L$54="Forfait",IF(EO$20&gt;='01_Input'!$J$54,'01_Input'!$M$54,0),IF('01_Input'!$L$54="Palier",IF(AND(EO$20&gt;='01_Input'!$J$54,EO$20&lt;'01_Input'!$K$54),'01_Input'!$M$54,0),MAX(MIN(EO$20,'01_Input'!$K$54)-'01_Input'!$J$54,0)*'01_Input'!$M$54))+IF('01_Input'!$P$54="Forfait",IF(EO$20&gt;='01_Input'!$N$54,'01_Input'!$Q$54,0),IF('01_Input'!$P$54="Palier",IF(AND(EO$20&gt;='01_Input'!$N$54,EO$20&lt;'01_Input'!$O$54),'01_Input'!$Q$54,0),MAX(MIN(EO$20,'01_Input'!$O$54)-'01_Input'!$N$54,0)*'01_Input'!$Q$54))+IF('01_Input'!$T$54="Forfait",IF(EO$20&gt;='01_Input'!$R$54,'01_Input'!$U$54,0),IF('01_Input'!$T$54="Palier",IF(AND(EO$20&gt;='01_Input'!$R$54,EO$20&lt;'01_Input'!$S$54),'01_Input'!$U$54,0),MAX(MIN(EO$20,'01_Input'!$S$54)-'01_Input'!$R$54,0)*'01_Input'!$U$54))+IF('01_Input'!$X$54="Forfait",IF(EO$20&gt;='01_Input'!$V$54,'01_Input'!$Y$54,0),IF('01_Input'!$X$54="Palier",IF(AND(EO$20&gt;='01_Input'!$V$54,EO$20&lt;'01_Input'!$W$54),'01_Input'!$Y$54,0),MAX(MIN(EO$20,'01_Input'!$W$54)-'01_Input'!$V$54,0)*'01_Input'!$Y$54))+IF('01_Input'!$AB$54="Forfait",IF(EO$20&gt;='01_Input'!$Z$54,'01_Input'!$AC$54,0),IF('01_Input'!$AB$54="Palier",IF(AND(EO$20&gt;='01_Input'!$Z$54,EO$20&lt;'01_Input'!$AA$54),'01_Input'!$AC$54,0),MAX(MIN(EO$20,'01_Input'!$AA$54)-'01_Input'!$Z$54,0)*'01_Input'!$AC$54)))))))))</f>
        <v>2500600000</v>
      </c>
      <c r="EP22" s="83">
        <f>IF('01_Input'!$C$54="Non",0,MIN('01_Input'!$I$54,MAX('01_Input'!$H$54,IF('01_Input'!$G$54="Résiduel vs Gestion",0,IF('01_Input'!$G$54="Taux Classe sélectionnée",Distrib_Global_Classe_Selectionnee*EP$20,IF('01_Input'!$G$54="Frais KYC (paliers de 100M€)",MAX(0,Nb_Investisseurs-Nb_KYC_Gratuites_Par_Tranche*(FLOOR(EP$20/Taille_Tranche_KYC,1)+1))*Cout_Par_KYC_Supplementaire,(IF('01_Input'!$L$54="Forfait",IF(EP$20&gt;='01_Input'!$J$54,'01_Input'!$M$54,0),IF('01_Input'!$L$54="Palier",IF(AND(EP$20&gt;='01_Input'!$J$54,EP$20&lt;'01_Input'!$K$54),'01_Input'!$M$54,0),MAX(MIN(EP$20,'01_Input'!$K$54)-'01_Input'!$J$54,0)*'01_Input'!$M$54))+IF('01_Input'!$P$54="Forfait",IF(EP$20&gt;='01_Input'!$N$54,'01_Input'!$Q$54,0),IF('01_Input'!$P$54="Palier",IF(AND(EP$20&gt;='01_Input'!$N$54,EP$20&lt;'01_Input'!$O$54),'01_Input'!$Q$54,0),MAX(MIN(EP$20,'01_Input'!$O$54)-'01_Input'!$N$54,0)*'01_Input'!$Q$54))+IF('01_Input'!$T$54="Forfait",IF(EP$20&gt;='01_Input'!$R$54,'01_Input'!$U$54,0),IF('01_Input'!$T$54="Palier",IF(AND(EP$20&gt;='01_Input'!$R$54,EP$20&lt;'01_Input'!$S$54),'01_Input'!$U$54,0),MAX(MIN(EP$20,'01_Input'!$S$54)-'01_Input'!$R$54,0)*'01_Input'!$U$54))+IF('01_Input'!$X$54="Forfait",IF(EP$20&gt;='01_Input'!$V$54,'01_Input'!$Y$54,0),IF('01_Input'!$X$54="Palier",IF(AND(EP$20&gt;='01_Input'!$V$54,EP$20&lt;'01_Input'!$W$54),'01_Input'!$Y$54,0),MAX(MIN(EP$20,'01_Input'!$W$54)-'01_Input'!$V$54,0)*'01_Input'!$Y$54))+IF('01_Input'!$AB$54="Forfait",IF(EP$20&gt;='01_Input'!$Z$54,'01_Input'!$AC$54,0),IF('01_Input'!$AB$54="Palier",IF(AND(EP$20&gt;='01_Input'!$Z$54,EP$20&lt;'01_Input'!$AA$54),'01_Input'!$AC$54,0),MAX(MIN(EP$20,'01_Input'!$AA$54)-'01_Input'!$Z$54,0)*'01_Input'!$AC$54)))))))))</f>
        <v>2500600000</v>
      </c>
      <c r="EQ22" s="83">
        <f>IF('01_Input'!$C$54="Non",0,MIN('01_Input'!$I$54,MAX('01_Input'!$H$54,IF('01_Input'!$G$54="Résiduel vs Gestion",0,IF('01_Input'!$G$54="Taux Classe sélectionnée",Distrib_Global_Classe_Selectionnee*EQ$20,IF('01_Input'!$G$54="Frais KYC (paliers de 100M€)",MAX(0,Nb_Investisseurs-Nb_KYC_Gratuites_Par_Tranche*(FLOOR(EQ$20/Taille_Tranche_KYC,1)+1))*Cout_Par_KYC_Supplementaire,(IF('01_Input'!$L$54="Forfait",IF(EQ$20&gt;='01_Input'!$J$54,'01_Input'!$M$54,0),IF('01_Input'!$L$54="Palier",IF(AND(EQ$20&gt;='01_Input'!$J$54,EQ$20&lt;'01_Input'!$K$54),'01_Input'!$M$54,0),MAX(MIN(EQ$20,'01_Input'!$K$54)-'01_Input'!$J$54,0)*'01_Input'!$M$54))+IF('01_Input'!$P$54="Forfait",IF(EQ$20&gt;='01_Input'!$N$54,'01_Input'!$Q$54,0),IF('01_Input'!$P$54="Palier",IF(AND(EQ$20&gt;='01_Input'!$N$54,EQ$20&lt;'01_Input'!$O$54),'01_Input'!$Q$54,0),MAX(MIN(EQ$20,'01_Input'!$O$54)-'01_Input'!$N$54,0)*'01_Input'!$Q$54))+IF('01_Input'!$T$54="Forfait",IF(EQ$20&gt;='01_Input'!$R$54,'01_Input'!$U$54,0),IF('01_Input'!$T$54="Palier",IF(AND(EQ$20&gt;='01_Input'!$R$54,EQ$20&lt;'01_Input'!$S$54),'01_Input'!$U$54,0),MAX(MIN(EQ$20,'01_Input'!$S$54)-'01_Input'!$R$54,0)*'01_Input'!$U$54))+IF('01_Input'!$X$54="Forfait",IF(EQ$20&gt;='01_Input'!$V$54,'01_Input'!$Y$54,0),IF('01_Input'!$X$54="Palier",IF(AND(EQ$20&gt;='01_Input'!$V$54,EQ$20&lt;'01_Input'!$W$54),'01_Input'!$Y$54,0),MAX(MIN(EQ$20,'01_Input'!$W$54)-'01_Input'!$V$54,0)*'01_Input'!$Y$54))+IF('01_Input'!$AB$54="Forfait",IF(EQ$20&gt;='01_Input'!$Z$54,'01_Input'!$AC$54,0),IF('01_Input'!$AB$54="Palier",IF(AND(EQ$20&gt;='01_Input'!$Z$54,EQ$20&lt;'01_Input'!$AA$54),'01_Input'!$AC$54,0),MAX(MIN(EQ$20,'01_Input'!$AA$54)-'01_Input'!$Z$54,0)*'01_Input'!$AC$54)))))))))</f>
        <v>2500600000</v>
      </c>
      <c r="ER22" s="83">
        <f>IF('01_Input'!$C$54="Non",0,MIN('01_Input'!$I$54,MAX('01_Input'!$H$54,IF('01_Input'!$G$54="Résiduel vs Gestion",0,IF('01_Input'!$G$54="Taux Classe sélectionnée",Distrib_Global_Classe_Selectionnee*ER$20,IF('01_Input'!$G$54="Frais KYC (paliers de 100M€)",MAX(0,Nb_Investisseurs-Nb_KYC_Gratuites_Par_Tranche*(FLOOR(ER$20/Taille_Tranche_KYC,1)+1))*Cout_Par_KYC_Supplementaire,(IF('01_Input'!$L$54="Forfait",IF(ER$20&gt;='01_Input'!$J$54,'01_Input'!$M$54,0),IF('01_Input'!$L$54="Palier",IF(AND(ER$20&gt;='01_Input'!$J$54,ER$20&lt;'01_Input'!$K$54),'01_Input'!$M$54,0),MAX(MIN(ER$20,'01_Input'!$K$54)-'01_Input'!$J$54,0)*'01_Input'!$M$54))+IF('01_Input'!$P$54="Forfait",IF(ER$20&gt;='01_Input'!$N$54,'01_Input'!$Q$54,0),IF('01_Input'!$P$54="Palier",IF(AND(ER$20&gt;='01_Input'!$N$54,ER$20&lt;'01_Input'!$O$54),'01_Input'!$Q$54,0),MAX(MIN(ER$20,'01_Input'!$O$54)-'01_Input'!$N$54,0)*'01_Input'!$Q$54))+IF('01_Input'!$T$54="Forfait",IF(ER$20&gt;='01_Input'!$R$54,'01_Input'!$U$54,0),IF('01_Input'!$T$54="Palier",IF(AND(ER$20&gt;='01_Input'!$R$54,ER$20&lt;'01_Input'!$S$54),'01_Input'!$U$54,0),MAX(MIN(ER$20,'01_Input'!$S$54)-'01_Input'!$R$54,0)*'01_Input'!$U$54))+IF('01_Input'!$X$54="Forfait",IF(ER$20&gt;='01_Input'!$V$54,'01_Input'!$Y$54,0),IF('01_Input'!$X$54="Palier",IF(AND(ER$20&gt;='01_Input'!$V$54,ER$20&lt;'01_Input'!$W$54),'01_Input'!$Y$54,0),MAX(MIN(ER$20,'01_Input'!$W$54)-'01_Input'!$V$54,0)*'01_Input'!$Y$54))+IF('01_Input'!$AB$54="Forfait",IF(ER$20&gt;='01_Input'!$Z$54,'01_Input'!$AC$54,0),IF('01_Input'!$AB$54="Palier",IF(AND(ER$20&gt;='01_Input'!$Z$54,ER$20&lt;'01_Input'!$AA$54),'01_Input'!$AC$54,0),MAX(MIN(ER$20,'01_Input'!$AA$54)-'01_Input'!$Z$54,0)*'01_Input'!$AC$54)))))))))</f>
        <v>2500600000</v>
      </c>
      <c r="ES22" s="83">
        <f>IF('01_Input'!$C$54="Non",0,MIN('01_Input'!$I$54,MAX('01_Input'!$H$54,IF('01_Input'!$G$54="Résiduel vs Gestion",0,IF('01_Input'!$G$54="Taux Classe sélectionnée",Distrib_Global_Classe_Selectionnee*ES$20,IF('01_Input'!$G$54="Frais KYC (paliers de 100M€)",MAX(0,Nb_Investisseurs-Nb_KYC_Gratuites_Par_Tranche*(FLOOR(ES$20/Taille_Tranche_KYC,1)+1))*Cout_Par_KYC_Supplementaire,(IF('01_Input'!$L$54="Forfait",IF(ES$20&gt;='01_Input'!$J$54,'01_Input'!$M$54,0),IF('01_Input'!$L$54="Palier",IF(AND(ES$20&gt;='01_Input'!$J$54,ES$20&lt;'01_Input'!$K$54),'01_Input'!$M$54,0),MAX(MIN(ES$20,'01_Input'!$K$54)-'01_Input'!$J$54,0)*'01_Input'!$M$54))+IF('01_Input'!$P$54="Forfait",IF(ES$20&gt;='01_Input'!$N$54,'01_Input'!$Q$54,0),IF('01_Input'!$P$54="Palier",IF(AND(ES$20&gt;='01_Input'!$N$54,ES$20&lt;'01_Input'!$O$54),'01_Input'!$Q$54,0),MAX(MIN(ES$20,'01_Input'!$O$54)-'01_Input'!$N$54,0)*'01_Input'!$Q$54))+IF('01_Input'!$T$54="Forfait",IF(ES$20&gt;='01_Input'!$R$54,'01_Input'!$U$54,0),IF('01_Input'!$T$54="Palier",IF(AND(ES$20&gt;='01_Input'!$R$54,ES$20&lt;'01_Input'!$S$54),'01_Input'!$U$54,0),MAX(MIN(ES$20,'01_Input'!$S$54)-'01_Input'!$R$54,0)*'01_Input'!$U$54))+IF('01_Input'!$X$54="Forfait",IF(ES$20&gt;='01_Input'!$V$54,'01_Input'!$Y$54,0),IF('01_Input'!$X$54="Palier",IF(AND(ES$20&gt;='01_Input'!$V$54,ES$20&lt;'01_Input'!$W$54),'01_Input'!$Y$54,0),MAX(MIN(ES$20,'01_Input'!$W$54)-'01_Input'!$V$54,0)*'01_Input'!$Y$54))+IF('01_Input'!$AB$54="Forfait",IF(ES$20&gt;='01_Input'!$Z$54,'01_Input'!$AC$54,0),IF('01_Input'!$AB$54="Palier",IF(AND(ES$20&gt;='01_Input'!$Z$54,ES$20&lt;'01_Input'!$AA$54),'01_Input'!$AC$54,0),MAX(MIN(ES$20,'01_Input'!$AA$54)-'01_Input'!$Z$54,0)*'01_Input'!$AC$54)))))))))</f>
        <v>2500600000</v>
      </c>
      <c r="ET22" s="83">
        <f>IF('01_Input'!$C$54="Non",0,MIN('01_Input'!$I$54,MAX('01_Input'!$H$54,IF('01_Input'!$G$54="Résiduel vs Gestion",0,IF('01_Input'!$G$54="Taux Classe sélectionnée",Distrib_Global_Classe_Selectionnee*ET$20,IF('01_Input'!$G$54="Frais KYC (paliers de 100M€)",MAX(0,Nb_Investisseurs-Nb_KYC_Gratuites_Par_Tranche*(FLOOR(ET$20/Taille_Tranche_KYC,1)+1))*Cout_Par_KYC_Supplementaire,(IF('01_Input'!$L$54="Forfait",IF(ET$20&gt;='01_Input'!$J$54,'01_Input'!$M$54,0),IF('01_Input'!$L$54="Palier",IF(AND(ET$20&gt;='01_Input'!$J$54,ET$20&lt;'01_Input'!$K$54),'01_Input'!$M$54,0),MAX(MIN(ET$20,'01_Input'!$K$54)-'01_Input'!$J$54,0)*'01_Input'!$M$54))+IF('01_Input'!$P$54="Forfait",IF(ET$20&gt;='01_Input'!$N$54,'01_Input'!$Q$54,0),IF('01_Input'!$P$54="Palier",IF(AND(ET$20&gt;='01_Input'!$N$54,ET$20&lt;'01_Input'!$O$54),'01_Input'!$Q$54,0),MAX(MIN(ET$20,'01_Input'!$O$54)-'01_Input'!$N$54,0)*'01_Input'!$Q$54))+IF('01_Input'!$T$54="Forfait",IF(ET$20&gt;='01_Input'!$R$54,'01_Input'!$U$54,0),IF('01_Input'!$T$54="Palier",IF(AND(ET$20&gt;='01_Input'!$R$54,ET$20&lt;'01_Input'!$S$54),'01_Input'!$U$54,0),MAX(MIN(ET$20,'01_Input'!$S$54)-'01_Input'!$R$54,0)*'01_Input'!$U$54))+IF('01_Input'!$X$54="Forfait",IF(ET$20&gt;='01_Input'!$V$54,'01_Input'!$Y$54,0),IF('01_Input'!$X$54="Palier",IF(AND(ET$20&gt;='01_Input'!$V$54,ET$20&lt;'01_Input'!$W$54),'01_Input'!$Y$54,0),MAX(MIN(ET$20,'01_Input'!$W$54)-'01_Input'!$V$54,0)*'01_Input'!$Y$54))+IF('01_Input'!$AB$54="Forfait",IF(ET$20&gt;='01_Input'!$Z$54,'01_Input'!$AC$54,0),IF('01_Input'!$AB$54="Palier",IF(AND(ET$20&gt;='01_Input'!$Z$54,ET$20&lt;'01_Input'!$AA$54),'01_Input'!$AC$54,0),MAX(MIN(ET$20,'01_Input'!$AA$54)-'01_Input'!$Z$54,0)*'01_Input'!$AC$54)))))))))</f>
        <v>2500600000</v>
      </c>
      <c r="EU22" s="83">
        <f>IF('01_Input'!$C$54="Non",0,MIN('01_Input'!$I$54,MAX('01_Input'!$H$54,IF('01_Input'!$G$54="Résiduel vs Gestion",0,IF('01_Input'!$G$54="Taux Classe sélectionnée",Distrib_Global_Classe_Selectionnee*EU$20,IF('01_Input'!$G$54="Frais KYC (paliers de 100M€)",MAX(0,Nb_Investisseurs-Nb_KYC_Gratuites_Par_Tranche*(FLOOR(EU$20/Taille_Tranche_KYC,1)+1))*Cout_Par_KYC_Supplementaire,(IF('01_Input'!$L$54="Forfait",IF(EU$20&gt;='01_Input'!$J$54,'01_Input'!$M$54,0),IF('01_Input'!$L$54="Palier",IF(AND(EU$20&gt;='01_Input'!$J$54,EU$20&lt;'01_Input'!$K$54),'01_Input'!$M$54,0),MAX(MIN(EU$20,'01_Input'!$K$54)-'01_Input'!$J$54,0)*'01_Input'!$M$54))+IF('01_Input'!$P$54="Forfait",IF(EU$20&gt;='01_Input'!$N$54,'01_Input'!$Q$54,0),IF('01_Input'!$P$54="Palier",IF(AND(EU$20&gt;='01_Input'!$N$54,EU$20&lt;'01_Input'!$O$54),'01_Input'!$Q$54,0),MAX(MIN(EU$20,'01_Input'!$O$54)-'01_Input'!$N$54,0)*'01_Input'!$Q$54))+IF('01_Input'!$T$54="Forfait",IF(EU$20&gt;='01_Input'!$R$54,'01_Input'!$U$54,0),IF('01_Input'!$T$54="Palier",IF(AND(EU$20&gt;='01_Input'!$R$54,EU$20&lt;'01_Input'!$S$54),'01_Input'!$U$54,0),MAX(MIN(EU$20,'01_Input'!$S$54)-'01_Input'!$R$54,0)*'01_Input'!$U$54))+IF('01_Input'!$X$54="Forfait",IF(EU$20&gt;='01_Input'!$V$54,'01_Input'!$Y$54,0),IF('01_Input'!$X$54="Palier",IF(AND(EU$20&gt;='01_Input'!$V$54,EU$20&lt;'01_Input'!$W$54),'01_Input'!$Y$54,0),MAX(MIN(EU$20,'01_Input'!$W$54)-'01_Input'!$V$54,0)*'01_Input'!$Y$54))+IF('01_Input'!$AB$54="Forfait",IF(EU$20&gt;='01_Input'!$Z$54,'01_Input'!$AC$54,0),IF('01_Input'!$AB$54="Palier",IF(AND(EU$20&gt;='01_Input'!$Z$54,EU$20&lt;'01_Input'!$AA$54),'01_Input'!$AC$54,0),MAX(MIN(EU$20,'01_Input'!$AA$54)-'01_Input'!$Z$54,0)*'01_Input'!$AC$54)))))))))</f>
        <v>2500600000</v>
      </c>
      <c r="EV22" s="83">
        <f>IF('01_Input'!$C$54="Non",0,MIN('01_Input'!$I$54,MAX('01_Input'!$H$54,IF('01_Input'!$G$54="Résiduel vs Gestion",0,IF('01_Input'!$G$54="Taux Classe sélectionnée",Distrib_Global_Classe_Selectionnee*EV$20,IF('01_Input'!$G$54="Frais KYC (paliers de 100M€)",MAX(0,Nb_Investisseurs-Nb_KYC_Gratuites_Par_Tranche*(FLOOR(EV$20/Taille_Tranche_KYC,1)+1))*Cout_Par_KYC_Supplementaire,(IF('01_Input'!$L$54="Forfait",IF(EV$20&gt;='01_Input'!$J$54,'01_Input'!$M$54,0),IF('01_Input'!$L$54="Palier",IF(AND(EV$20&gt;='01_Input'!$J$54,EV$20&lt;'01_Input'!$K$54),'01_Input'!$M$54,0),MAX(MIN(EV$20,'01_Input'!$K$54)-'01_Input'!$J$54,0)*'01_Input'!$M$54))+IF('01_Input'!$P$54="Forfait",IF(EV$20&gt;='01_Input'!$N$54,'01_Input'!$Q$54,0),IF('01_Input'!$P$54="Palier",IF(AND(EV$20&gt;='01_Input'!$N$54,EV$20&lt;'01_Input'!$O$54),'01_Input'!$Q$54,0),MAX(MIN(EV$20,'01_Input'!$O$54)-'01_Input'!$N$54,0)*'01_Input'!$Q$54))+IF('01_Input'!$T$54="Forfait",IF(EV$20&gt;='01_Input'!$R$54,'01_Input'!$U$54,0),IF('01_Input'!$T$54="Palier",IF(AND(EV$20&gt;='01_Input'!$R$54,EV$20&lt;'01_Input'!$S$54),'01_Input'!$U$54,0),MAX(MIN(EV$20,'01_Input'!$S$54)-'01_Input'!$R$54,0)*'01_Input'!$U$54))+IF('01_Input'!$X$54="Forfait",IF(EV$20&gt;='01_Input'!$V$54,'01_Input'!$Y$54,0),IF('01_Input'!$X$54="Palier",IF(AND(EV$20&gt;='01_Input'!$V$54,EV$20&lt;'01_Input'!$W$54),'01_Input'!$Y$54,0),MAX(MIN(EV$20,'01_Input'!$W$54)-'01_Input'!$V$54,0)*'01_Input'!$Y$54))+IF('01_Input'!$AB$54="Forfait",IF(EV$20&gt;='01_Input'!$Z$54,'01_Input'!$AC$54,0),IF('01_Input'!$AB$54="Palier",IF(AND(EV$20&gt;='01_Input'!$Z$54,EV$20&lt;'01_Input'!$AA$54),'01_Input'!$AC$54,0),MAX(MIN(EV$20,'01_Input'!$AA$54)-'01_Input'!$Z$54,0)*'01_Input'!$AC$54)))))))))</f>
        <v>2500600000</v>
      </c>
      <c r="EW22" s="83">
        <f>IF('01_Input'!$C$54="Non",0,MIN('01_Input'!$I$54,MAX('01_Input'!$H$54,IF('01_Input'!$G$54="Résiduel vs Gestion",0,IF('01_Input'!$G$54="Taux Classe sélectionnée",Distrib_Global_Classe_Selectionnee*EW$20,IF('01_Input'!$G$54="Frais KYC (paliers de 100M€)",MAX(0,Nb_Investisseurs-Nb_KYC_Gratuites_Par_Tranche*(FLOOR(EW$20/Taille_Tranche_KYC,1)+1))*Cout_Par_KYC_Supplementaire,(IF('01_Input'!$L$54="Forfait",IF(EW$20&gt;='01_Input'!$J$54,'01_Input'!$M$54,0),IF('01_Input'!$L$54="Palier",IF(AND(EW$20&gt;='01_Input'!$J$54,EW$20&lt;'01_Input'!$K$54),'01_Input'!$M$54,0),MAX(MIN(EW$20,'01_Input'!$K$54)-'01_Input'!$J$54,0)*'01_Input'!$M$54))+IF('01_Input'!$P$54="Forfait",IF(EW$20&gt;='01_Input'!$N$54,'01_Input'!$Q$54,0),IF('01_Input'!$P$54="Palier",IF(AND(EW$20&gt;='01_Input'!$N$54,EW$20&lt;'01_Input'!$O$54),'01_Input'!$Q$54,0),MAX(MIN(EW$20,'01_Input'!$O$54)-'01_Input'!$N$54,0)*'01_Input'!$Q$54))+IF('01_Input'!$T$54="Forfait",IF(EW$20&gt;='01_Input'!$R$54,'01_Input'!$U$54,0),IF('01_Input'!$T$54="Palier",IF(AND(EW$20&gt;='01_Input'!$R$54,EW$20&lt;'01_Input'!$S$54),'01_Input'!$U$54,0),MAX(MIN(EW$20,'01_Input'!$S$54)-'01_Input'!$R$54,0)*'01_Input'!$U$54))+IF('01_Input'!$X$54="Forfait",IF(EW$20&gt;='01_Input'!$V$54,'01_Input'!$Y$54,0),IF('01_Input'!$X$54="Palier",IF(AND(EW$20&gt;='01_Input'!$V$54,EW$20&lt;'01_Input'!$W$54),'01_Input'!$Y$54,0),MAX(MIN(EW$20,'01_Input'!$W$54)-'01_Input'!$V$54,0)*'01_Input'!$Y$54))+IF('01_Input'!$AB$54="Forfait",IF(EW$20&gt;='01_Input'!$Z$54,'01_Input'!$AC$54,0),IF('01_Input'!$AB$54="Palier",IF(AND(EW$20&gt;='01_Input'!$Z$54,EW$20&lt;'01_Input'!$AA$54),'01_Input'!$AC$54,0),MAX(MIN(EW$20,'01_Input'!$AA$54)-'01_Input'!$Z$54,0)*'01_Input'!$AC$54)))))))))</f>
        <v>2500600000</v>
      </c>
      <c r="EX22" s="83">
        <f>IF('01_Input'!$C$54="Non",0,MIN('01_Input'!$I$54,MAX('01_Input'!$H$54,IF('01_Input'!$G$54="Résiduel vs Gestion",0,IF('01_Input'!$G$54="Taux Classe sélectionnée",Distrib_Global_Classe_Selectionnee*EX$20,IF('01_Input'!$G$54="Frais KYC (paliers de 100M€)",MAX(0,Nb_Investisseurs-Nb_KYC_Gratuites_Par_Tranche*(FLOOR(EX$20/Taille_Tranche_KYC,1)+1))*Cout_Par_KYC_Supplementaire,(IF('01_Input'!$L$54="Forfait",IF(EX$20&gt;='01_Input'!$J$54,'01_Input'!$M$54,0),IF('01_Input'!$L$54="Palier",IF(AND(EX$20&gt;='01_Input'!$J$54,EX$20&lt;'01_Input'!$K$54),'01_Input'!$M$54,0),MAX(MIN(EX$20,'01_Input'!$K$54)-'01_Input'!$J$54,0)*'01_Input'!$M$54))+IF('01_Input'!$P$54="Forfait",IF(EX$20&gt;='01_Input'!$N$54,'01_Input'!$Q$54,0),IF('01_Input'!$P$54="Palier",IF(AND(EX$20&gt;='01_Input'!$N$54,EX$20&lt;'01_Input'!$O$54),'01_Input'!$Q$54,0),MAX(MIN(EX$20,'01_Input'!$O$54)-'01_Input'!$N$54,0)*'01_Input'!$Q$54))+IF('01_Input'!$T$54="Forfait",IF(EX$20&gt;='01_Input'!$R$54,'01_Input'!$U$54,0),IF('01_Input'!$T$54="Palier",IF(AND(EX$20&gt;='01_Input'!$R$54,EX$20&lt;'01_Input'!$S$54),'01_Input'!$U$54,0),MAX(MIN(EX$20,'01_Input'!$S$54)-'01_Input'!$R$54,0)*'01_Input'!$U$54))+IF('01_Input'!$X$54="Forfait",IF(EX$20&gt;='01_Input'!$V$54,'01_Input'!$Y$54,0),IF('01_Input'!$X$54="Palier",IF(AND(EX$20&gt;='01_Input'!$V$54,EX$20&lt;'01_Input'!$W$54),'01_Input'!$Y$54,0),MAX(MIN(EX$20,'01_Input'!$W$54)-'01_Input'!$V$54,0)*'01_Input'!$Y$54))+IF('01_Input'!$AB$54="Forfait",IF(EX$20&gt;='01_Input'!$Z$54,'01_Input'!$AC$54,0),IF('01_Input'!$AB$54="Palier",IF(AND(EX$20&gt;='01_Input'!$Z$54,EX$20&lt;'01_Input'!$AA$54),'01_Input'!$AC$54,0),MAX(MIN(EX$20,'01_Input'!$AA$54)-'01_Input'!$Z$54,0)*'01_Input'!$AC$54)))))))))</f>
        <v>2500600000</v>
      </c>
    </row>
    <row r="23" ht="15.75" customHeight="1">
      <c r="B23" s="40" t="str">
        <f>IF('01_Input'!D55="","(inactif)",'01_Input'!D55)</f>
        <v>Distribution — Distributeur Global</v>
      </c>
      <c r="C23" s="40" t="str">
        <f>IF('01_Input'!E55="","",'01_Input'!E55)</f>
        <v/>
      </c>
      <c r="D23" s="51" t="str">
        <f>'01_Input'!C55</f>
        <v>Oui</v>
      </c>
      <c r="E23" s="25">
        <f>IF('01_Input'!$C$55="Non",0,MIN('01_Input'!$I$55,MAX('01_Input'!$H$55,IF('01_Input'!$G$55="Résiduel vs Gestion",0,IF('01_Input'!$G$55="Taux Classe sélectionnée",Distrib_Global_Classe_Selectionnee*E$20,IF('01_Input'!$G$55="Frais KYC (paliers de 100M€)",MAX(0,Nb_Investisseurs-Nb_KYC_Gratuites_Par_Tranche*(FLOOR(E$20/Taille_Tranche_KYC,1)+1))*Cout_Par_KYC_Supplementaire,(IF('01_Input'!$L$55="Forfait",IF(E$20&gt;='01_Input'!$J$55,'01_Input'!$M$55,0),IF('01_Input'!$L$55="Palier",IF(AND(E$20&gt;='01_Input'!$J$55,E$20&lt;'01_Input'!$K$55),'01_Input'!$M$55,0),MAX(MIN(E$20,'01_Input'!$K$55)-'01_Input'!$J$55,0)*'01_Input'!$M$55))+IF('01_Input'!$P$55="Forfait",IF(E$20&gt;='01_Input'!$N$55,'01_Input'!$Q$55,0),IF('01_Input'!$P$55="Palier",IF(AND(E$20&gt;='01_Input'!$N$55,E$20&lt;'01_Input'!$O$55),'01_Input'!$Q$55,0),MAX(MIN(E$20,'01_Input'!$O$55)-'01_Input'!$N$55,0)*'01_Input'!$Q$55))+IF('01_Input'!$T$55="Forfait",IF(E$20&gt;='01_Input'!$R$55,'01_Input'!$U$55,0),IF('01_Input'!$T$55="Palier",IF(AND(E$20&gt;='01_Input'!$R$55,E$20&lt;'01_Input'!$S$55),'01_Input'!$U$55,0),MAX(MIN(E$20,'01_Input'!$S$55)-'01_Input'!$R$55,0)*'01_Input'!$U$55))+IF('01_Input'!$X$55="Forfait",IF(E$20&gt;='01_Input'!$V$55,'01_Input'!$Y$55,0),IF('01_Input'!$X$55="Palier",IF(AND(E$20&gt;='01_Input'!$V$55,E$20&lt;'01_Input'!$W$55),'01_Input'!$Y$55,0),MAX(MIN(E$20,'01_Input'!$W$55)-'01_Input'!$V$55,0)*'01_Input'!$Y$55))+IF('01_Input'!$AB$55="Forfait",IF(E$20&gt;='01_Input'!$Z$55,'01_Input'!$AC$55,0),IF('01_Input'!$AB$55="Palier",IF(AND(E$20&gt;='01_Input'!$Z$55,E$20&lt;'01_Input'!$AA$55),'01_Input'!$AC$55,0),MAX(MIN(E$20,'01_Input'!$AA$55)-'01_Input'!$Z$55,0)*'01_Input'!$AC$55)))))))))</f>
        <v>5000</v>
      </c>
      <c r="F23" s="25">
        <f>IF('01_Input'!$C$55="Non",0,MIN('01_Input'!$I$55,MAX('01_Input'!$H$55,IF('01_Input'!$G$55="Résiduel vs Gestion",0,IF('01_Input'!$G$55="Taux Classe sélectionnée",Distrib_Global_Classe_Selectionnee*F$20,IF('01_Input'!$G$55="Frais KYC (paliers de 100M€)",MAX(0,Nb_Investisseurs-Nb_KYC_Gratuites_Par_Tranche*(FLOOR(F$20/Taille_Tranche_KYC,1)+1))*Cout_Par_KYC_Supplementaire,(IF('01_Input'!$L$55="Forfait",IF(F$20&gt;='01_Input'!$J$55,'01_Input'!$M$55,0),IF('01_Input'!$L$55="Palier",IF(AND(F$20&gt;='01_Input'!$J$55,F$20&lt;'01_Input'!$K$55),'01_Input'!$M$55,0),MAX(MIN(F$20,'01_Input'!$K$55)-'01_Input'!$J$55,0)*'01_Input'!$M$55))+IF('01_Input'!$P$55="Forfait",IF(F$20&gt;='01_Input'!$N$55,'01_Input'!$Q$55,0),IF('01_Input'!$P$55="Palier",IF(AND(F$20&gt;='01_Input'!$N$55,F$20&lt;'01_Input'!$O$55),'01_Input'!$Q$55,0),MAX(MIN(F$20,'01_Input'!$O$55)-'01_Input'!$N$55,0)*'01_Input'!$Q$55))+IF('01_Input'!$T$55="Forfait",IF(F$20&gt;='01_Input'!$R$55,'01_Input'!$U$55,0),IF('01_Input'!$T$55="Palier",IF(AND(F$20&gt;='01_Input'!$R$55,F$20&lt;'01_Input'!$S$55),'01_Input'!$U$55,0),MAX(MIN(F$20,'01_Input'!$S$55)-'01_Input'!$R$55,0)*'01_Input'!$U$55))+IF('01_Input'!$X$55="Forfait",IF(F$20&gt;='01_Input'!$V$55,'01_Input'!$Y$55,0),IF('01_Input'!$X$55="Palier",IF(AND(F$20&gt;='01_Input'!$V$55,F$20&lt;'01_Input'!$W$55),'01_Input'!$Y$55,0),MAX(MIN(F$20,'01_Input'!$W$55)-'01_Input'!$V$55,0)*'01_Input'!$Y$55))+IF('01_Input'!$AB$55="Forfait",IF(F$20&gt;='01_Input'!$Z$55,'01_Input'!$AC$55,0),IF('01_Input'!$AB$55="Palier",IF(AND(F$20&gt;='01_Input'!$Z$55,F$20&lt;'01_Input'!$AA$55),'01_Input'!$AC$55,0),MAX(MIN(F$20,'01_Input'!$AA$55)-'01_Input'!$Z$55,0)*'01_Input'!$AC$55)))))))))</f>
        <v>10000</v>
      </c>
      <c r="G23" s="25">
        <f>IF('01_Input'!$C$55="Non",0,MIN('01_Input'!$I$55,MAX('01_Input'!$H$55,IF('01_Input'!$G$55="Résiduel vs Gestion",0,IF('01_Input'!$G$55="Taux Classe sélectionnée",Distrib_Global_Classe_Selectionnee*G$20,IF('01_Input'!$G$55="Frais KYC (paliers de 100M€)",MAX(0,Nb_Investisseurs-Nb_KYC_Gratuites_Par_Tranche*(FLOOR(G$20/Taille_Tranche_KYC,1)+1))*Cout_Par_KYC_Supplementaire,(IF('01_Input'!$L$55="Forfait",IF(G$20&gt;='01_Input'!$J$55,'01_Input'!$M$55,0),IF('01_Input'!$L$55="Palier",IF(AND(G$20&gt;='01_Input'!$J$55,G$20&lt;'01_Input'!$K$55),'01_Input'!$M$55,0),MAX(MIN(G$20,'01_Input'!$K$55)-'01_Input'!$J$55,0)*'01_Input'!$M$55))+IF('01_Input'!$P$55="Forfait",IF(G$20&gt;='01_Input'!$N$55,'01_Input'!$Q$55,0),IF('01_Input'!$P$55="Palier",IF(AND(G$20&gt;='01_Input'!$N$55,G$20&lt;'01_Input'!$O$55),'01_Input'!$Q$55,0),MAX(MIN(G$20,'01_Input'!$O$55)-'01_Input'!$N$55,0)*'01_Input'!$Q$55))+IF('01_Input'!$T$55="Forfait",IF(G$20&gt;='01_Input'!$R$55,'01_Input'!$U$55,0),IF('01_Input'!$T$55="Palier",IF(AND(G$20&gt;='01_Input'!$R$55,G$20&lt;'01_Input'!$S$55),'01_Input'!$U$55,0),MAX(MIN(G$20,'01_Input'!$S$55)-'01_Input'!$R$55,0)*'01_Input'!$U$55))+IF('01_Input'!$X$55="Forfait",IF(G$20&gt;='01_Input'!$V$55,'01_Input'!$Y$55,0),IF('01_Input'!$X$55="Palier",IF(AND(G$20&gt;='01_Input'!$V$55,G$20&lt;'01_Input'!$W$55),'01_Input'!$Y$55,0),MAX(MIN(G$20,'01_Input'!$W$55)-'01_Input'!$V$55,0)*'01_Input'!$Y$55))+IF('01_Input'!$AB$55="Forfait",IF(G$20&gt;='01_Input'!$Z$55,'01_Input'!$AC$55,0),IF('01_Input'!$AB$55="Palier",IF(AND(G$20&gt;='01_Input'!$Z$55,G$20&lt;'01_Input'!$AA$55),'01_Input'!$AC$55,0),MAX(MIN(G$20,'01_Input'!$AA$55)-'01_Input'!$Z$55,0)*'01_Input'!$AC$55)))))))))</f>
        <v>15000</v>
      </c>
      <c r="H23" s="25">
        <f>IF('01_Input'!$C$55="Non",0,MIN('01_Input'!$I$55,MAX('01_Input'!$H$55,IF('01_Input'!$G$55="Résiduel vs Gestion",0,IF('01_Input'!$G$55="Taux Classe sélectionnée",Distrib_Global_Classe_Selectionnee*H$20,IF('01_Input'!$G$55="Frais KYC (paliers de 100M€)",MAX(0,Nb_Investisseurs-Nb_KYC_Gratuites_Par_Tranche*(FLOOR(H$20/Taille_Tranche_KYC,1)+1))*Cout_Par_KYC_Supplementaire,(IF('01_Input'!$L$55="Forfait",IF(H$20&gt;='01_Input'!$J$55,'01_Input'!$M$55,0),IF('01_Input'!$L$55="Palier",IF(AND(H$20&gt;='01_Input'!$J$55,H$20&lt;'01_Input'!$K$55),'01_Input'!$M$55,0),MAX(MIN(H$20,'01_Input'!$K$55)-'01_Input'!$J$55,0)*'01_Input'!$M$55))+IF('01_Input'!$P$55="Forfait",IF(H$20&gt;='01_Input'!$N$55,'01_Input'!$Q$55,0),IF('01_Input'!$P$55="Palier",IF(AND(H$20&gt;='01_Input'!$N$55,H$20&lt;'01_Input'!$O$55),'01_Input'!$Q$55,0),MAX(MIN(H$20,'01_Input'!$O$55)-'01_Input'!$N$55,0)*'01_Input'!$Q$55))+IF('01_Input'!$T$55="Forfait",IF(H$20&gt;='01_Input'!$R$55,'01_Input'!$U$55,0),IF('01_Input'!$T$55="Palier",IF(AND(H$20&gt;='01_Input'!$R$55,H$20&lt;'01_Input'!$S$55),'01_Input'!$U$55,0),MAX(MIN(H$20,'01_Input'!$S$55)-'01_Input'!$R$55,0)*'01_Input'!$U$55))+IF('01_Input'!$X$55="Forfait",IF(H$20&gt;='01_Input'!$V$55,'01_Input'!$Y$55,0),IF('01_Input'!$X$55="Palier",IF(AND(H$20&gt;='01_Input'!$V$55,H$20&lt;'01_Input'!$W$55),'01_Input'!$Y$55,0),MAX(MIN(H$20,'01_Input'!$W$55)-'01_Input'!$V$55,0)*'01_Input'!$Y$55))+IF('01_Input'!$AB$55="Forfait",IF(H$20&gt;='01_Input'!$Z$55,'01_Input'!$AC$55,0),IF('01_Input'!$AB$55="Palier",IF(AND(H$20&gt;='01_Input'!$Z$55,H$20&lt;'01_Input'!$AA$55),'01_Input'!$AC$55,0),MAX(MIN(H$20,'01_Input'!$AA$55)-'01_Input'!$Z$55,0)*'01_Input'!$AC$55)))))))))</f>
        <v>20000</v>
      </c>
      <c r="I23" s="25">
        <f>IF('01_Input'!$C$55="Non",0,MIN('01_Input'!$I$55,MAX('01_Input'!$H$55,IF('01_Input'!$G$55="Résiduel vs Gestion",0,IF('01_Input'!$G$55="Taux Classe sélectionnée",Distrib_Global_Classe_Selectionnee*I$20,IF('01_Input'!$G$55="Frais KYC (paliers de 100M€)",MAX(0,Nb_Investisseurs-Nb_KYC_Gratuites_Par_Tranche*(FLOOR(I$20/Taille_Tranche_KYC,1)+1))*Cout_Par_KYC_Supplementaire,(IF('01_Input'!$L$55="Forfait",IF(I$20&gt;='01_Input'!$J$55,'01_Input'!$M$55,0),IF('01_Input'!$L$55="Palier",IF(AND(I$20&gt;='01_Input'!$J$55,I$20&lt;'01_Input'!$K$55),'01_Input'!$M$55,0),MAX(MIN(I$20,'01_Input'!$K$55)-'01_Input'!$J$55,0)*'01_Input'!$M$55))+IF('01_Input'!$P$55="Forfait",IF(I$20&gt;='01_Input'!$N$55,'01_Input'!$Q$55,0),IF('01_Input'!$P$55="Palier",IF(AND(I$20&gt;='01_Input'!$N$55,I$20&lt;'01_Input'!$O$55),'01_Input'!$Q$55,0),MAX(MIN(I$20,'01_Input'!$O$55)-'01_Input'!$N$55,0)*'01_Input'!$Q$55))+IF('01_Input'!$T$55="Forfait",IF(I$20&gt;='01_Input'!$R$55,'01_Input'!$U$55,0),IF('01_Input'!$T$55="Palier",IF(AND(I$20&gt;='01_Input'!$R$55,I$20&lt;'01_Input'!$S$55),'01_Input'!$U$55,0),MAX(MIN(I$20,'01_Input'!$S$55)-'01_Input'!$R$55,0)*'01_Input'!$U$55))+IF('01_Input'!$X$55="Forfait",IF(I$20&gt;='01_Input'!$V$55,'01_Input'!$Y$55,0),IF('01_Input'!$X$55="Palier",IF(AND(I$20&gt;='01_Input'!$V$55,I$20&lt;'01_Input'!$W$55),'01_Input'!$Y$55,0),MAX(MIN(I$20,'01_Input'!$W$55)-'01_Input'!$V$55,0)*'01_Input'!$Y$55))+IF('01_Input'!$AB$55="Forfait",IF(I$20&gt;='01_Input'!$Z$55,'01_Input'!$AC$55,0),IF('01_Input'!$AB$55="Palier",IF(AND(I$20&gt;='01_Input'!$Z$55,I$20&lt;'01_Input'!$AA$55),'01_Input'!$AC$55,0),MAX(MIN(I$20,'01_Input'!$AA$55)-'01_Input'!$Z$55,0)*'01_Input'!$AC$55)))))))))</f>
        <v>25000</v>
      </c>
      <c r="J23" s="25">
        <f>IF('01_Input'!$C$55="Non",0,MIN('01_Input'!$I$55,MAX('01_Input'!$H$55,IF('01_Input'!$G$55="Résiduel vs Gestion",0,IF('01_Input'!$G$55="Taux Classe sélectionnée",Distrib_Global_Classe_Selectionnee*J$20,IF('01_Input'!$G$55="Frais KYC (paliers de 100M€)",MAX(0,Nb_Investisseurs-Nb_KYC_Gratuites_Par_Tranche*(FLOOR(J$20/Taille_Tranche_KYC,1)+1))*Cout_Par_KYC_Supplementaire,(IF('01_Input'!$L$55="Forfait",IF(J$20&gt;='01_Input'!$J$55,'01_Input'!$M$55,0),IF('01_Input'!$L$55="Palier",IF(AND(J$20&gt;='01_Input'!$J$55,J$20&lt;'01_Input'!$K$55),'01_Input'!$M$55,0),MAX(MIN(J$20,'01_Input'!$K$55)-'01_Input'!$J$55,0)*'01_Input'!$M$55))+IF('01_Input'!$P$55="Forfait",IF(J$20&gt;='01_Input'!$N$55,'01_Input'!$Q$55,0),IF('01_Input'!$P$55="Palier",IF(AND(J$20&gt;='01_Input'!$N$55,J$20&lt;'01_Input'!$O$55),'01_Input'!$Q$55,0),MAX(MIN(J$20,'01_Input'!$O$55)-'01_Input'!$N$55,0)*'01_Input'!$Q$55))+IF('01_Input'!$T$55="Forfait",IF(J$20&gt;='01_Input'!$R$55,'01_Input'!$U$55,0),IF('01_Input'!$T$55="Palier",IF(AND(J$20&gt;='01_Input'!$R$55,J$20&lt;'01_Input'!$S$55),'01_Input'!$U$55,0),MAX(MIN(J$20,'01_Input'!$S$55)-'01_Input'!$R$55,0)*'01_Input'!$U$55))+IF('01_Input'!$X$55="Forfait",IF(J$20&gt;='01_Input'!$V$55,'01_Input'!$Y$55,0),IF('01_Input'!$X$55="Palier",IF(AND(J$20&gt;='01_Input'!$V$55,J$20&lt;'01_Input'!$W$55),'01_Input'!$Y$55,0),MAX(MIN(J$20,'01_Input'!$W$55)-'01_Input'!$V$55,0)*'01_Input'!$Y$55))+IF('01_Input'!$AB$55="Forfait",IF(J$20&gt;='01_Input'!$Z$55,'01_Input'!$AC$55,0),IF('01_Input'!$AB$55="Palier",IF(AND(J$20&gt;='01_Input'!$Z$55,J$20&lt;'01_Input'!$AA$55),'01_Input'!$AC$55,0),MAX(MIN(J$20,'01_Input'!$AA$55)-'01_Input'!$Z$55,0)*'01_Input'!$AC$55)))))))))</f>
        <v>30000</v>
      </c>
      <c r="K23" s="25">
        <f>IF('01_Input'!$C$55="Non",0,MIN('01_Input'!$I$55,MAX('01_Input'!$H$55,IF('01_Input'!$G$55="Résiduel vs Gestion",0,IF('01_Input'!$G$55="Taux Classe sélectionnée",Distrib_Global_Classe_Selectionnee*K$20,IF('01_Input'!$G$55="Frais KYC (paliers de 100M€)",MAX(0,Nb_Investisseurs-Nb_KYC_Gratuites_Par_Tranche*(FLOOR(K$20/Taille_Tranche_KYC,1)+1))*Cout_Par_KYC_Supplementaire,(IF('01_Input'!$L$55="Forfait",IF(K$20&gt;='01_Input'!$J$55,'01_Input'!$M$55,0),IF('01_Input'!$L$55="Palier",IF(AND(K$20&gt;='01_Input'!$J$55,K$20&lt;'01_Input'!$K$55),'01_Input'!$M$55,0),MAX(MIN(K$20,'01_Input'!$K$55)-'01_Input'!$J$55,0)*'01_Input'!$M$55))+IF('01_Input'!$P$55="Forfait",IF(K$20&gt;='01_Input'!$N$55,'01_Input'!$Q$55,0),IF('01_Input'!$P$55="Palier",IF(AND(K$20&gt;='01_Input'!$N$55,K$20&lt;'01_Input'!$O$55),'01_Input'!$Q$55,0),MAX(MIN(K$20,'01_Input'!$O$55)-'01_Input'!$N$55,0)*'01_Input'!$Q$55))+IF('01_Input'!$T$55="Forfait",IF(K$20&gt;='01_Input'!$R$55,'01_Input'!$U$55,0),IF('01_Input'!$T$55="Palier",IF(AND(K$20&gt;='01_Input'!$R$55,K$20&lt;'01_Input'!$S$55),'01_Input'!$U$55,0),MAX(MIN(K$20,'01_Input'!$S$55)-'01_Input'!$R$55,0)*'01_Input'!$U$55))+IF('01_Input'!$X$55="Forfait",IF(K$20&gt;='01_Input'!$V$55,'01_Input'!$Y$55,0),IF('01_Input'!$X$55="Palier",IF(AND(K$20&gt;='01_Input'!$V$55,K$20&lt;'01_Input'!$W$55),'01_Input'!$Y$55,0),MAX(MIN(K$20,'01_Input'!$W$55)-'01_Input'!$V$55,0)*'01_Input'!$Y$55))+IF('01_Input'!$AB$55="Forfait",IF(K$20&gt;='01_Input'!$Z$55,'01_Input'!$AC$55,0),IF('01_Input'!$AB$55="Palier",IF(AND(K$20&gt;='01_Input'!$Z$55,K$20&lt;'01_Input'!$AA$55),'01_Input'!$AC$55,0),MAX(MIN(K$20,'01_Input'!$AA$55)-'01_Input'!$Z$55,0)*'01_Input'!$AC$55)))))))))</f>
        <v>35000</v>
      </c>
      <c r="L23" s="25">
        <f>IF('01_Input'!$C$55="Non",0,MIN('01_Input'!$I$55,MAX('01_Input'!$H$55,IF('01_Input'!$G$55="Résiduel vs Gestion",0,IF('01_Input'!$G$55="Taux Classe sélectionnée",Distrib_Global_Classe_Selectionnee*L$20,IF('01_Input'!$G$55="Frais KYC (paliers de 100M€)",MAX(0,Nb_Investisseurs-Nb_KYC_Gratuites_Par_Tranche*(FLOOR(L$20/Taille_Tranche_KYC,1)+1))*Cout_Par_KYC_Supplementaire,(IF('01_Input'!$L$55="Forfait",IF(L$20&gt;='01_Input'!$J$55,'01_Input'!$M$55,0),IF('01_Input'!$L$55="Palier",IF(AND(L$20&gt;='01_Input'!$J$55,L$20&lt;'01_Input'!$K$55),'01_Input'!$M$55,0),MAX(MIN(L$20,'01_Input'!$K$55)-'01_Input'!$J$55,0)*'01_Input'!$M$55))+IF('01_Input'!$P$55="Forfait",IF(L$20&gt;='01_Input'!$N$55,'01_Input'!$Q$55,0),IF('01_Input'!$P$55="Palier",IF(AND(L$20&gt;='01_Input'!$N$55,L$20&lt;'01_Input'!$O$55),'01_Input'!$Q$55,0),MAX(MIN(L$20,'01_Input'!$O$55)-'01_Input'!$N$55,0)*'01_Input'!$Q$55))+IF('01_Input'!$T$55="Forfait",IF(L$20&gt;='01_Input'!$R$55,'01_Input'!$U$55,0),IF('01_Input'!$T$55="Palier",IF(AND(L$20&gt;='01_Input'!$R$55,L$20&lt;'01_Input'!$S$55),'01_Input'!$U$55,0),MAX(MIN(L$20,'01_Input'!$S$55)-'01_Input'!$R$55,0)*'01_Input'!$U$55))+IF('01_Input'!$X$55="Forfait",IF(L$20&gt;='01_Input'!$V$55,'01_Input'!$Y$55,0),IF('01_Input'!$X$55="Palier",IF(AND(L$20&gt;='01_Input'!$V$55,L$20&lt;'01_Input'!$W$55),'01_Input'!$Y$55,0),MAX(MIN(L$20,'01_Input'!$W$55)-'01_Input'!$V$55,0)*'01_Input'!$Y$55))+IF('01_Input'!$AB$55="Forfait",IF(L$20&gt;='01_Input'!$Z$55,'01_Input'!$AC$55,0),IF('01_Input'!$AB$55="Palier",IF(AND(L$20&gt;='01_Input'!$Z$55,L$20&lt;'01_Input'!$AA$55),'01_Input'!$AC$55,0),MAX(MIN(L$20,'01_Input'!$AA$55)-'01_Input'!$Z$55,0)*'01_Input'!$AC$55)))))))))</f>
        <v>40000</v>
      </c>
      <c r="M23" s="25">
        <f>IF('01_Input'!$C$55="Non",0,MIN('01_Input'!$I$55,MAX('01_Input'!$H$55,IF('01_Input'!$G$55="Résiduel vs Gestion",0,IF('01_Input'!$G$55="Taux Classe sélectionnée",Distrib_Global_Classe_Selectionnee*M$20,IF('01_Input'!$G$55="Frais KYC (paliers de 100M€)",MAX(0,Nb_Investisseurs-Nb_KYC_Gratuites_Par_Tranche*(FLOOR(M$20/Taille_Tranche_KYC,1)+1))*Cout_Par_KYC_Supplementaire,(IF('01_Input'!$L$55="Forfait",IF(M$20&gt;='01_Input'!$J$55,'01_Input'!$M$55,0),IF('01_Input'!$L$55="Palier",IF(AND(M$20&gt;='01_Input'!$J$55,M$20&lt;'01_Input'!$K$55),'01_Input'!$M$55,0),MAX(MIN(M$20,'01_Input'!$K$55)-'01_Input'!$J$55,0)*'01_Input'!$M$55))+IF('01_Input'!$P$55="Forfait",IF(M$20&gt;='01_Input'!$N$55,'01_Input'!$Q$55,0),IF('01_Input'!$P$55="Palier",IF(AND(M$20&gt;='01_Input'!$N$55,M$20&lt;'01_Input'!$O$55),'01_Input'!$Q$55,0),MAX(MIN(M$20,'01_Input'!$O$55)-'01_Input'!$N$55,0)*'01_Input'!$Q$55))+IF('01_Input'!$T$55="Forfait",IF(M$20&gt;='01_Input'!$R$55,'01_Input'!$U$55,0),IF('01_Input'!$T$55="Palier",IF(AND(M$20&gt;='01_Input'!$R$55,M$20&lt;'01_Input'!$S$55),'01_Input'!$U$55,0),MAX(MIN(M$20,'01_Input'!$S$55)-'01_Input'!$R$55,0)*'01_Input'!$U$55))+IF('01_Input'!$X$55="Forfait",IF(M$20&gt;='01_Input'!$V$55,'01_Input'!$Y$55,0),IF('01_Input'!$X$55="Palier",IF(AND(M$20&gt;='01_Input'!$V$55,M$20&lt;'01_Input'!$W$55),'01_Input'!$Y$55,0),MAX(MIN(M$20,'01_Input'!$W$55)-'01_Input'!$V$55,0)*'01_Input'!$Y$55))+IF('01_Input'!$AB$55="Forfait",IF(M$20&gt;='01_Input'!$Z$55,'01_Input'!$AC$55,0),IF('01_Input'!$AB$55="Palier",IF(AND(M$20&gt;='01_Input'!$Z$55,M$20&lt;'01_Input'!$AA$55),'01_Input'!$AC$55,0),MAX(MIN(M$20,'01_Input'!$AA$55)-'01_Input'!$Z$55,0)*'01_Input'!$AC$55)))))))))</f>
        <v>45000</v>
      </c>
      <c r="N23" s="25">
        <f>IF('01_Input'!$C$55="Non",0,MIN('01_Input'!$I$55,MAX('01_Input'!$H$55,IF('01_Input'!$G$55="Résiduel vs Gestion",0,IF('01_Input'!$G$55="Taux Classe sélectionnée",Distrib_Global_Classe_Selectionnee*N$20,IF('01_Input'!$G$55="Frais KYC (paliers de 100M€)",MAX(0,Nb_Investisseurs-Nb_KYC_Gratuites_Par_Tranche*(FLOOR(N$20/Taille_Tranche_KYC,1)+1))*Cout_Par_KYC_Supplementaire,(IF('01_Input'!$L$55="Forfait",IF(N$20&gt;='01_Input'!$J$55,'01_Input'!$M$55,0),IF('01_Input'!$L$55="Palier",IF(AND(N$20&gt;='01_Input'!$J$55,N$20&lt;'01_Input'!$K$55),'01_Input'!$M$55,0),MAX(MIN(N$20,'01_Input'!$K$55)-'01_Input'!$J$55,0)*'01_Input'!$M$55))+IF('01_Input'!$P$55="Forfait",IF(N$20&gt;='01_Input'!$N$55,'01_Input'!$Q$55,0),IF('01_Input'!$P$55="Palier",IF(AND(N$20&gt;='01_Input'!$N$55,N$20&lt;'01_Input'!$O$55),'01_Input'!$Q$55,0),MAX(MIN(N$20,'01_Input'!$O$55)-'01_Input'!$N$55,0)*'01_Input'!$Q$55))+IF('01_Input'!$T$55="Forfait",IF(N$20&gt;='01_Input'!$R$55,'01_Input'!$U$55,0),IF('01_Input'!$T$55="Palier",IF(AND(N$20&gt;='01_Input'!$R$55,N$20&lt;'01_Input'!$S$55),'01_Input'!$U$55,0),MAX(MIN(N$20,'01_Input'!$S$55)-'01_Input'!$R$55,0)*'01_Input'!$U$55))+IF('01_Input'!$X$55="Forfait",IF(N$20&gt;='01_Input'!$V$55,'01_Input'!$Y$55,0),IF('01_Input'!$X$55="Palier",IF(AND(N$20&gt;='01_Input'!$V$55,N$20&lt;'01_Input'!$W$55),'01_Input'!$Y$55,0),MAX(MIN(N$20,'01_Input'!$W$55)-'01_Input'!$V$55,0)*'01_Input'!$Y$55))+IF('01_Input'!$AB$55="Forfait",IF(N$20&gt;='01_Input'!$Z$55,'01_Input'!$AC$55,0),IF('01_Input'!$AB$55="Palier",IF(AND(N$20&gt;='01_Input'!$Z$55,N$20&lt;'01_Input'!$AA$55),'01_Input'!$AC$55,0),MAX(MIN(N$20,'01_Input'!$AA$55)-'01_Input'!$Z$55,0)*'01_Input'!$AC$55)))))))))</f>
        <v>50000</v>
      </c>
      <c r="O23" s="25">
        <f>IF('01_Input'!$C$55="Non",0,MIN('01_Input'!$I$55,MAX('01_Input'!$H$55,IF('01_Input'!$G$55="Résiduel vs Gestion",0,IF('01_Input'!$G$55="Taux Classe sélectionnée",Distrib_Global_Classe_Selectionnee*O$20,IF('01_Input'!$G$55="Frais KYC (paliers de 100M€)",MAX(0,Nb_Investisseurs-Nb_KYC_Gratuites_Par_Tranche*(FLOOR(O$20/Taille_Tranche_KYC,1)+1))*Cout_Par_KYC_Supplementaire,(IF('01_Input'!$L$55="Forfait",IF(O$20&gt;='01_Input'!$J$55,'01_Input'!$M$55,0),IF('01_Input'!$L$55="Palier",IF(AND(O$20&gt;='01_Input'!$J$55,O$20&lt;'01_Input'!$K$55),'01_Input'!$M$55,0),MAX(MIN(O$20,'01_Input'!$K$55)-'01_Input'!$J$55,0)*'01_Input'!$M$55))+IF('01_Input'!$P$55="Forfait",IF(O$20&gt;='01_Input'!$N$55,'01_Input'!$Q$55,0),IF('01_Input'!$P$55="Palier",IF(AND(O$20&gt;='01_Input'!$N$55,O$20&lt;'01_Input'!$O$55),'01_Input'!$Q$55,0),MAX(MIN(O$20,'01_Input'!$O$55)-'01_Input'!$N$55,0)*'01_Input'!$Q$55))+IF('01_Input'!$T$55="Forfait",IF(O$20&gt;='01_Input'!$R$55,'01_Input'!$U$55,0),IF('01_Input'!$T$55="Palier",IF(AND(O$20&gt;='01_Input'!$R$55,O$20&lt;'01_Input'!$S$55),'01_Input'!$U$55,0),MAX(MIN(O$20,'01_Input'!$S$55)-'01_Input'!$R$55,0)*'01_Input'!$U$55))+IF('01_Input'!$X$55="Forfait",IF(O$20&gt;='01_Input'!$V$55,'01_Input'!$Y$55,0),IF('01_Input'!$X$55="Palier",IF(AND(O$20&gt;='01_Input'!$V$55,O$20&lt;'01_Input'!$W$55),'01_Input'!$Y$55,0),MAX(MIN(O$20,'01_Input'!$W$55)-'01_Input'!$V$55,0)*'01_Input'!$Y$55))+IF('01_Input'!$AB$55="Forfait",IF(O$20&gt;='01_Input'!$Z$55,'01_Input'!$AC$55,0),IF('01_Input'!$AB$55="Palier",IF(AND(O$20&gt;='01_Input'!$Z$55,O$20&lt;'01_Input'!$AA$55),'01_Input'!$AC$55,0),MAX(MIN(O$20,'01_Input'!$AA$55)-'01_Input'!$Z$55,0)*'01_Input'!$AC$55)))))))))</f>
        <v>0</v>
      </c>
      <c r="P23" s="25">
        <f>IF('01_Input'!$C$55="Non",0,MIN('01_Input'!$I$55,MAX('01_Input'!$H$55,IF('01_Input'!$G$55="Résiduel vs Gestion",0,IF('01_Input'!$G$55="Taux Classe sélectionnée",Distrib_Global_Classe_Selectionnee*P$20,IF('01_Input'!$G$55="Frais KYC (paliers de 100M€)",MAX(0,Nb_Investisseurs-Nb_KYC_Gratuites_Par_Tranche*(FLOOR(P$20/Taille_Tranche_KYC,1)+1))*Cout_Par_KYC_Supplementaire,(IF('01_Input'!$L$55="Forfait",IF(P$20&gt;='01_Input'!$J$55,'01_Input'!$M$55,0),IF('01_Input'!$L$55="Palier",IF(AND(P$20&gt;='01_Input'!$J$55,P$20&lt;'01_Input'!$K$55),'01_Input'!$M$55,0),MAX(MIN(P$20,'01_Input'!$K$55)-'01_Input'!$J$55,0)*'01_Input'!$M$55))+IF('01_Input'!$P$55="Forfait",IF(P$20&gt;='01_Input'!$N$55,'01_Input'!$Q$55,0),IF('01_Input'!$P$55="Palier",IF(AND(P$20&gt;='01_Input'!$N$55,P$20&lt;'01_Input'!$O$55),'01_Input'!$Q$55,0),MAX(MIN(P$20,'01_Input'!$O$55)-'01_Input'!$N$55,0)*'01_Input'!$Q$55))+IF('01_Input'!$T$55="Forfait",IF(P$20&gt;='01_Input'!$R$55,'01_Input'!$U$55,0),IF('01_Input'!$T$55="Palier",IF(AND(P$20&gt;='01_Input'!$R$55,P$20&lt;'01_Input'!$S$55),'01_Input'!$U$55,0),MAX(MIN(P$20,'01_Input'!$S$55)-'01_Input'!$R$55,0)*'01_Input'!$U$55))+IF('01_Input'!$X$55="Forfait",IF(P$20&gt;='01_Input'!$V$55,'01_Input'!$Y$55,0),IF('01_Input'!$X$55="Palier",IF(AND(P$20&gt;='01_Input'!$V$55,P$20&lt;'01_Input'!$W$55),'01_Input'!$Y$55,0),MAX(MIN(P$20,'01_Input'!$W$55)-'01_Input'!$V$55,0)*'01_Input'!$Y$55))+IF('01_Input'!$AB$55="Forfait",IF(P$20&gt;='01_Input'!$Z$55,'01_Input'!$AC$55,0),IF('01_Input'!$AB$55="Palier",IF(AND(P$20&gt;='01_Input'!$Z$55,P$20&lt;'01_Input'!$AA$55),'01_Input'!$AC$55,0),MAX(MIN(P$20,'01_Input'!$AA$55)-'01_Input'!$Z$55,0)*'01_Input'!$AC$55)))))))))</f>
        <v>0</v>
      </c>
      <c r="Q23" s="25">
        <f>IF('01_Input'!$C$55="Non",0,MIN('01_Input'!$I$55,MAX('01_Input'!$H$55,IF('01_Input'!$G$55="Résiduel vs Gestion",0,IF('01_Input'!$G$55="Taux Classe sélectionnée",Distrib_Global_Classe_Selectionnee*Q$20,IF('01_Input'!$G$55="Frais KYC (paliers de 100M€)",MAX(0,Nb_Investisseurs-Nb_KYC_Gratuites_Par_Tranche*(FLOOR(Q$20/Taille_Tranche_KYC,1)+1))*Cout_Par_KYC_Supplementaire,(IF('01_Input'!$L$55="Forfait",IF(Q$20&gt;='01_Input'!$J$55,'01_Input'!$M$55,0),IF('01_Input'!$L$55="Palier",IF(AND(Q$20&gt;='01_Input'!$J$55,Q$20&lt;'01_Input'!$K$55),'01_Input'!$M$55,0),MAX(MIN(Q$20,'01_Input'!$K$55)-'01_Input'!$J$55,0)*'01_Input'!$M$55))+IF('01_Input'!$P$55="Forfait",IF(Q$20&gt;='01_Input'!$N$55,'01_Input'!$Q$55,0),IF('01_Input'!$P$55="Palier",IF(AND(Q$20&gt;='01_Input'!$N$55,Q$20&lt;'01_Input'!$O$55),'01_Input'!$Q$55,0),MAX(MIN(Q$20,'01_Input'!$O$55)-'01_Input'!$N$55,0)*'01_Input'!$Q$55))+IF('01_Input'!$T$55="Forfait",IF(Q$20&gt;='01_Input'!$R$55,'01_Input'!$U$55,0),IF('01_Input'!$T$55="Palier",IF(AND(Q$20&gt;='01_Input'!$R$55,Q$20&lt;'01_Input'!$S$55),'01_Input'!$U$55,0),MAX(MIN(Q$20,'01_Input'!$S$55)-'01_Input'!$R$55,0)*'01_Input'!$U$55))+IF('01_Input'!$X$55="Forfait",IF(Q$20&gt;='01_Input'!$V$55,'01_Input'!$Y$55,0),IF('01_Input'!$X$55="Palier",IF(AND(Q$20&gt;='01_Input'!$V$55,Q$20&lt;'01_Input'!$W$55),'01_Input'!$Y$55,0),MAX(MIN(Q$20,'01_Input'!$W$55)-'01_Input'!$V$55,0)*'01_Input'!$Y$55))+IF('01_Input'!$AB$55="Forfait",IF(Q$20&gt;='01_Input'!$Z$55,'01_Input'!$AC$55,0),IF('01_Input'!$AB$55="Palier",IF(AND(Q$20&gt;='01_Input'!$Z$55,Q$20&lt;'01_Input'!$AA$55),'01_Input'!$AC$55,0),MAX(MIN(Q$20,'01_Input'!$AA$55)-'01_Input'!$Z$55,0)*'01_Input'!$AC$55)))))))))</f>
        <v>0</v>
      </c>
      <c r="R23" s="25">
        <f>IF('01_Input'!$C$55="Non",0,MIN('01_Input'!$I$55,MAX('01_Input'!$H$55,IF('01_Input'!$G$55="Résiduel vs Gestion",0,IF('01_Input'!$G$55="Taux Classe sélectionnée",Distrib_Global_Classe_Selectionnee*R$20,IF('01_Input'!$G$55="Frais KYC (paliers de 100M€)",MAX(0,Nb_Investisseurs-Nb_KYC_Gratuites_Par_Tranche*(FLOOR(R$20/Taille_Tranche_KYC,1)+1))*Cout_Par_KYC_Supplementaire,(IF('01_Input'!$L$55="Forfait",IF(R$20&gt;='01_Input'!$J$55,'01_Input'!$M$55,0),IF('01_Input'!$L$55="Palier",IF(AND(R$20&gt;='01_Input'!$J$55,R$20&lt;'01_Input'!$K$55),'01_Input'!$M$55,0),MAX(MIN(R$20,'01_Input'!$K$55)-'01_Input'!$J$55,0)*'01_Input'!$M$55))+IF('01_Input'!$P$55="Forfait",IF(R$20&gt;='01_Input'!$N$55,'01_Input'!$Q$55,0),IF('01_Input'!$P$55="Palier",IF(AND(R$20&gt;='01_Input'!$N$55,R$20&lt;'01_Input'!$O$55),'01_Input'!$Q$55,0),MAX(MIN(R$20,'01_Input'!$O$55)-'01_Input'!$N$55,0)*'01_Input'!$Q$55))+IF('01_Input'!$T$55="Forfait",IF(R$20&gt;='01_Input'!$R$55,'01_Input'!$U$55,0),IF('01_Input'!$T$55="Palier",IF(AND(R$20&gt;='01_Input'!$R$55,R$20&lt;'01_Input'!$S$55),'01_Input'!$U$55,0),MAX(MIN(R$20,'01_Input'!$S$55)-'01_Input'!$R$55,0)*'01_Input'!$U$55))+IF('01_Input'!$X$55="Forfait",IF(R$20&gt;='01_Input'!$V$55,'01_Input'!$Y$55,0),IF('01_Input'!$X$55="Palier",IF(AND(R$20&gt;='01_Input'!$V$55,R$20&lt;'01_Input'!$W$55),'01_Input'!$Y$55,0),MAX(MIN(R$20,'01_Input'!$W$55)-'01_Input'!$V$55,0)*'01_Input'!$Y$55))+IF('01_Input'!$AB$55="Forfait",IF(R$20&gt;='01_Input'!$Z$55,'01_Input'!$AC$55,0),IF('01_Input'!$AB$55="Palier",IF(AND(R$20&gt;='01_Input'!$Z$55,R$20&lt;'01_Input'!$AA$55),'01_Input'!$AC$55,0),MAX(MIN(R$20,'01_Input'!$AA$55)-'01_Input'!$Z$55,0)*'01_Input'!$AC$55)))))))))</f>
        <v>0</v>
      </c>
      <c r="S23" s="25">
        <f>IF('01_Input'!$C$55="Non",0,MIN('01_Input'!$I$55,MAX('01_Input'!$H$55,IF('01_Input'!$G$55="Résiduel vs Gestion",0,IF('01_Input'!$G$55="Taux Classe sélectionnée",Distrib_Global_Classe_Selectionnee*S$20,IF('01_Input'!$G$55="Frais KYC (paliers de 100M€)",MAX(0,Nb_Investisseurs-Nb_KYC_Gratuites_Par_Tranche*(FLOOR(S$20/Taille_Tranche_KYC,1)+1))*Cout_Par_KYC_Supplementaire,(IF('01_Input'!$L$55="Forfait",IF(S$20&gt;='01_Input'!$J$55,'01_Input'!$M$55,0),IF('01_Input'!$L$55="Palier",IF(AND(S$20&gt;='01_Input'!$J$55,S$20&lt;'01_Input'!$K$55),'01_Input'!$M$55,0),MAX(MIN(S$20,'01_Input'!$K$55)-'01_Input'!$J$55,0)*'01_Input'!$M$55))+IF('01_Input'!$P$55="Forfait",IF(S$20&gt;='01_Input'!$N$55,'01_Input'!$Q$55,0),IF('01_Input'!$P$55="Palier",IF(AND(S$20&gt;='01_Input'!$N$55,S$20&lt;'01_Input'!$O$55),'01_Input'!$Q$55,0),MAX(MIN(S$20,'01_Input'!$O$55)-'01_Input'!$N$55,0)*'01_Input'!$Q$55))+IF('01_Input'!$T$55="Forfait",IF(S$20&gt;='01_Input'!$R$55,'01_Input'!$U$55,0),IF('01_Input'!$T$55="Palier",IF(AND(S$20&gt;='01_Input'!$R$55,S$20&lt;'01_Input'!$S$55),'01_Input'!$U$55,0),MAX(MIN(S$20,'01_Input'!$S$55)-'01_Input'!$R$55,0)*'01_Input'!$U$55))+IF('01_Input'!$X$55="Forfait",IF(S$20&gt;='01_Input'!$V$55,'01_Input'!$Y$55,0),IF('01_Input'!$X$55="Palier",IF(AND(S$20&gt;='01_Input'!$V$55,S$20&lt;'01_Input'!$W$55),'01_Input'!$Y$55,0),MAX(MIN(S$20,'01_Input'!$W$55)-'01_Input'!$V$55,0)*'01_Input'!$Y$55))+IF('01_Input'!$AB$55="Forfait",IF(S$20&gt;='01_Input'!$Z$55,'01_Input'!$AC$55,0),IF('01_Input'!$AB$55="Palier",IF(AND(S$20&gt;='01_Input'!$Z$55,S$20&lt;'01_Input'!$AA$55),'01_Input'!$AC$55,0),MAX(MIN(S$20,'01_Input'!$AA$55)-'01_Input'!$Z$55,0)*'01_Input'!$AC$55)))))))))</f>
        <v>0</v>
      </c>
      <c r="T23" s="25">
        <f>IF('01_Input'!$C$55="Non",0,MIN('01_Input'!$I$55,MAX('01_Input'!$H$55,IF('01_Input'!$G$55="Résiduel vs Gestion",0,IF('01_Input'!$G$55="Taux Classe sélectionnée",Distrib_Global_Classe_Selectionnee*T$20,IF('01_Input'!$G$55="Frais KYC (paliers de 100M€)",MAX(0,Nb_Investisseurs-Nb_KYC_Gratuites_Par_Tranche*(FLOOR(T$20/Taille_Tranche_KYC,1)+1))*Cout_Par_KYC_Supplementaire,(IF('01_Input'!$L$55="Forfait",IF(T$20&gt;='01_Input'!$J$55,'01_Input'!$M$55,0),IF('01_Input'!$L$55="Palier",IF(AND(T$20&gt;='01_Input'!$J$55,T$20&lt;'01_Input'!$K$55),'01_Input'!$M$55,0),MAX(MIN(T$20,'01_Input'!$K$55)-'01_Input'!$J$55,0)*'01_Input'!$M$55))+IF('01_Input'!$P$55="Forfait",IF(T$20&gt;='01_Input'!$N$55,'01_Input'!$Q$55,0),IF('01_Input'!$P$55="Palier",IF(AND(T$20&gt;='01_Input'!$N$55,T$20&lt;'01_Input'!$O$55),'01_Input'!$Q$55,0),MAX(MIN(T$20,'01_Input'!$O$55)-'01_Input'!$N$55,0)*'01_Input'!$Q$55))+IF('01_Input'!$T$55="Forfait",IF(T$20&gt;='01_Input'!$R$55,'01_Input'!$U$55,0),IF('01_Input'!$T$55="Palier",IF(AND(T$20&gt;='01_Input'!$R$55,T$20&lt;'01_Input'!$S$55),'01_Input'!$U$55,0),MAX(MIN(T$20,'01_Input'!$S$55)-'01_Input'!$R$55,0)*'01_Input'!$U$55))+IF('01_Input'!$X$55="Forfait",IF(T$20&gt;='01_Input'!$V$55,'01_Input'!$Y$55,0),IF('01_Input'!$X$55="Palier",IF(AND(T$20&gt;='01_Input'!$V$55,T$20&lt;'01_Input'!$W$55),'01_Input'!$Y$55,0),MAX(MIN(T$20,'01_Input'!$W$55)-'01_Input'!$V$55,0)*'01_Input'!$Y$55))+IF('01_Input'!$AB$55="Forfait",IF(T$20&gt;='01_Input'!$Z$55,'01_Input'!$AC$55,0),IF('01_Input'!$AB$55="Palier",IF(AND(T$20&gt;='01_Input'!$Z$55,T$20&lt;'01_Input'!$AA$55),'01_Input'!$AC$55,0),MAX(MIN(T$20,'01_Input'!$AA$55)-'01_Input'!$Z$55,0)*'01_Input'!$AC$55)))))))))</f>
        <v>0</v>
      </c>
      <c r="U23" s="25">
        <f>IF('01_Input'!$C$55="Non",0,MIN('01_Input'!$I$55,MAX('01_Input'!$H$55,IF('01_Input'!$G$55="Résiduel vs Gestion",0,IF('01_Input'!$G$55="Taux Classe sélectionnée",Distrib_Global_Classe_Selectionnee*U$20,IF('01_Input'!$G$55="Frais KYC (paliers de 100M€)",MAX(0,Nb_Investisseurs-Nb_KYC_Gratuites_Par_Tranche*(FLOOR(U$20/Taille_Tranche_KYC,1)+1))*Cout_Par_KYC_Supplementaire,(IF('01_Input'!$L$55="Forfait",IF(U$20&gt;='01_Input'!$J$55,'01_Input'!$M$55,0),IF('01_Input'!$L$55="Palier",IF(AND(U$20&gt;='01_Input'!$J$55,U$20&lt;'01_Input'!$K$55),'01_Input'!$M$55,0),MAX(MIN(U$20,'01_Input'!$K$55)-'01_Input'!$J$55,0)*'01_Input'!$M$55))+IF('01_Input'!$P$55="Forfait",IF(U$20&gt;='01_Input'!$N$55,'01_Input'!$Q$55,0),IF('01_Input'!$P$55="Palier",IF(AND(U$20&gt;='01_Input'!$N$55,U$20&lt;'01_Input'!$O$55),'01_Input'!$Q$55,0),MAX(MIN(U$20,'01_Input'!$O$55)-'01_Input'!$N$55,0)*'01_Input'!$Q$55))+IF('01_Input'!$T$55="Forfait",IF(U$20&gt;='01_Input'!$R$55,'01_Input'!$U$55,0),IF('01_Input'!$T$55="Palier",IF(AND(U$20&gt;='01_Input'!$R$55,U$20&lt;'01_Input'!$S$55),'01_Input'!$U$55,0),MAX(MIN(U$20,'01_Input'!$S$55)-'01_Input'!$R$55,0)*'01_Input'!$U$55))+IF('01_Input'!$X$55="Forfait",IF(U$20&gt;='01_Input'!$V$55,'01_Input'!$Y$55,0),IF('01_Input'!$X$55="Palier",IF(AND(U$20&gt;='01_Input'!$V$55,U$20&lt;'01_Input'!$W$55),'01_Input'!$Y$55,0),MAX(MIN(U$20,'01_Input'!$W$55)-'01_Input'!$V$55,0)*'01_Input'!$Y$55))+IF('01_Input'!$AB$55="Forfait",IF(U$20&gt;='01_Input'!$Z$55,'01_Input'!$AC$55,0),IF('01_Input'!$AB$55="Palier",IF(AND(U$20&gt;='01_Input'!$Z$55,U$20&lt;'01_Input'!$AA$55),'01_Input'!$AC$55,0),MAX(MIN(U$20,'01_Input'!$AA$55)-'01_Input'!$Z$55,0)*'01_Input'!$AC$55)))))))))</f>
        <v>0</v>
      </c>
      <c r="V23" s="25">
        <f>IF('01_Input'!$C$55="Non",0,MIN('01_Input'!$I$55,MAX('01_Input'!$H$55,IF('01_Input'!$G$55="Résiduel vs Gestion",0,IF('01_Input'!$G$55="Taux Classe sélectionnée",Distrib_Global_Classe_Selectionnee*V$20,IF('01_Input'!$G$55="Frais KYC (paliers de 100M€)",MAX(0,Nb_Investisseurs-Nb_KYC_Gratuites_Par_Tranche*(FLOOR(V$20/Taille_Tranche_KYC,1)+1))*Cout_Par_KYC_Supplementaire,(IF('01_Input'!$L$55="Forfait",IF(V$20&gt;='01_Input'!$J$55,'01_Input'!$M$55,0),IF('01_Input'!$L$55="Palier",IF(AND(V$20&gt;='01_Input'!$J$55,V$20&lt;'01_Input'!$K$55),'01_Input'!$M$55,0),MAX(MIN(V$20,'01_Input'!$K$55)-'01_Input'!$J$55,0)*'01_Input'!$M$55))+IF('01_Input'!$P$55="Forfait",IF(V$20&gt;='01_Input'!$N$55,'01_Input'!$Q$55,0),IF('01_Input'!$P$55="Palier",IF(AND(V$20&gt;='01_Input'!$N$55,V$20&lt;'01_Input'!$O$55),'01_Input'!$Q$55,0),MAX(MIN(V$20,'01_Input'!$O$55)-'01_Input'!$N$55,0)*'01_Input'!$Q$55))+IF('01_Input'!$T$55="Forfait",IF(V$20&gt;='01_Input'!$R$55,'01_Input'!$U$55,0),IF('01_Input'!$T$55="Palier",IF(AND(V$20&gt;='01_Input'!$R$55,V$20&lt;'01_Input'!$S$55),'01_Input'!$U$55,0),MAX(MIN(V$20,'01_Input'!$S$55)-'01_Input'!$R$55,0)*'01_Input'!$U$55))+IF('01_Input'!$X$55="Forfait",IF(V$20&gt;='01_Input'!$V$55,'01_Input'!$Y$55,0),IF('01_Input'!$X$55="Palier",IF(AND(V$20&gt;='01_Input'!$V$55,V$20&lt;'01_Input'!$W$55),'01_Input'!$Y$55,0),MAX(MIN(V$20,'01_Input'!$W$55)-'01_Input'!$V$55,0)*'01_Input'!$Y$55))+IF('01_Input'!$AB$55="Forfait",IF(V$20&gt;='01_Input'!$Z$55,'01_Input'!$AC$55,0),IF('01_Input'!$AB$55="Palier",IF(AND(V$20&gt;='01_Input'!$Z$55,V$20&lt;'01_Input'!$AA$55),'01_Input'!$AC$55,0),MAX(MIN(V$20,'01_Input'!$AA$55)-'01_Input'!$Z$55,0)*'01_Input'!$AC$55)))))))))</f>
        <v>0</v>
      </c>
      <c r="W23" s="25">
        <f>IF('01_Input'!$C$55="Non",0,MIN('01_Input'!$I$55,MAX('01_Input'!$H$55,IF('01_Input'!$G$55="Résiduel vs Gestion",0,IF('01_Input'!$G$55="Taux Classe sélectionnée",Distrib_Global_Classe_Selectionnee*W$20,IF('01_Input'!$G$55="Frais KYC (paliers de 100M€)",MAX(0,Nb_Investisseurs-Nb_KYC_Gratuites_Par_Tranche*(FLOOR(W$20/Taille_Tranche_KYC,1)+1))*Cout_Par_KYC_Supplementaire,(IF('01_Input'!$L$55="Forfait",IF(W$20&gt;='01_Input'!$J$55,'01_Input'!$M$55,0),IF('01_Input'!$L$55="Palier",IF(AND(W$20&gt;='01_Input'!$J$55,W$20&lt;'01_Input'!$K$55),'01_Input'!$M$55,0),MAX(MIN(W$20,'01_Input'!$K$55)-'01_Input'!$J$55,0)*'01_Input'!$M$55))+IF('01_Input'!$P$55="Forfait",IF(W$20&gt;='01_Input'!$N$55,'01_Input'!$Q$55,0),IF('01_Input'!$P$55="Palier",IF(AND(W$20&gt;='01_Input'!$N$55,W$20&lt;'01_Input'!$O$55),'01_Input'!$Q$55,0),MAX(MIN(W$20,'01_Input'!$O$55)-'01_Input'!$N$55,0)*'01_Input'!$Q$55))+IF('01_Input'!$T$55="Forfait",IF(W$20&gt;='01_Input'!$R$55,'01_Input'!$U$55,0),IF('01_Input'!$T$55="Palier",IF(AND(W$20&gt;='01_Input'!$R$55,W$20&lt;'01_Input'!$S$55),'01_Input'!$U$55,0),MAX(MIN(W$20,'01_Input'!$S$55)-'01_Input'!$R$55,0)*'01_Input'!$U$55))+IF('01_Input'!$X$55="Forfait",IF(W$20&gt;='01_Input'!$V$55,'01_Input'!$Y$55,0),IF('01_Input'!$X$55="Palier",IF(AND(W$20&gt;='01_Input'!$V$55,W$20&lt;'01_Input'!$W$55),'01_Input'!$Y$55,0),MAX(MIN(W$20,'01_Input'!$W$55)-'01_Input'!$V$55,0)*'01_Input'!$Y$55))+IF('01_Input'!$AB$55="Forfait",IF(W$20&gt;='01_Input'!$Z$55,'01_Input'!$AC$55,0),IF('01_Input'!$AB$55="Palier",IF(AND(W$20&gt;='01_Input'!$Z$55,W$20&lt;'01_Input'!$AA$55),'01_Input'!$AC$55,0),MAX(MIN(W$20,'01_Input'!$AA$55)-'01_Input'!$Z$55,0)*'01_Input'!$AC$55)))))))))</f>
        <v>0</v>
      </c>
      <c r="X23" s="25">
        <f>IF('01_Input'!$C$55="Non",0,MIN('01_Input'!$I$55,MAX('01_Input'!$H$55,IF('01_Input'!$G$55="Résiduel vs Gestion",0,IF('01_Input'!$G$55="Taux Classe sélectionnée",Distrib_Global_Classe_Selectionnee*X$20,IF('01_Input'!$G$55="Frais KYC (paliers de 100M€)",MAX(0,Nb_Investisseurs-Nb_KYC_Gratuites_Par_Tranche*(FLOOR(X$20/Taille_Tranche_KYC,1)+1))*Cout_Par_KYC_Supplementaire,(IF('01_Input'!$L$55="Forfait",IF(X$20&gt;='01_Input'!$J$55,'01_Input'!$M$55,0),IF('01_Input'!$L$55="Palier",IF(AND(X$20&gt;='01_Input'!$J$55,X$20&lt;'01_Input'!$K$55),'01_Input'!$M$55,0),MAX(MIN(X$20,'01_Input'!$K$55)-'01_Input'!$J$55,0)*'01_Input'!$M$55))+IF('01_Input'!$P$55="Forfait",IF(X$20&gt;='01_Input'!$N$55,'01_Input'!$Q$55,0),IF('01_Input'!$P$55="Palier",IF(AND(X$20&gt;='01_Input'!$N$55,X$20&lt;'01_Input'!$O$55),'01_Input'!$Q$55,0),MAX(MIN(X$20,'01_Input'!$O$55)-'01_Input'!$N$55,0)*'01_Input'!$Q$55))+IF('01_Input'!$T$55="Forfait",IF(X$20&gt;='01_Input'!$R$55,'01_Input'!$U$55,0),IF('01_Input'!$T$55="Palier",IF(AND(X$20&gt;='01_Input'!$R$55,X$20&lt;'01_Input'!$S$55),'01_Input'!$U$55,0),MAX(MIN(X$20,'01_Input'!$S$55)-'01_Input'!$R$55,0)*'01_Input'!$U$55))+IF('01_Input'!$X$55="Forfait",IF(X$20&gt;='01_Input'!$V$55,'01_Input'!$Y$55,0),IF('01_Input'!$X$55="Palier",IF(AND(X$20&gt;='01_Input'!$V$55,X$20&lt;'01_Input'!$W$55),'01_Input'!$Y$55,0),MAX(MIN(X$20,'01_Input'!$W$55)-'01_Input'!$V$55,0)*'01_Input'!$Y$55))+IF('01_Input'!$AB$55="Forfait",IF(X$20&gt;='01_Input'!$Z$55,'01_Input'!$AC$55,0),IF('01_Input'!$AB$55="Palier",IF(AND(X$20&gt;='01_Input'!$Z$55,X$20&lt;'01_Input'!$AA$55),'01_Input'!$AC$55,0),MAX(MIN(X$20,'01_Input'!$AA$55)-'01_Input'!$Z$55,0)*'01_Input'!$AC$55)))))))))</f>
        <v>0</v>
      </c>
      <c r="Y23" s="25">
        <f>IF('01_Input'!$C$55="Non",0,MIN('01_Input'!$I$55,MAX('01_Input'!$H$55,IF('01_Input'!$G$55="Résiduel vs Gestion",0,IF('01_Input'!$G$55="Taux Classe sélectionnée",Distrib_Global_Classe_Selectionnee*Y$20,IF('01_Input'!$G$55="Frais KYC (paliers de 100M€)",MAX(0,Nb_Investisseurs-Nb_KYC_Gratuites_Par_Tranche*(FLOOR(Y$20/Taille_Tranche_KYC,1)+1))*Cout_Par_KYC_Supplementaire,(IF('01_Input'!$L$55="Forfait",IF(Y$20&gt;='01_Input'!$J$55,'01_Input'!$M$55,0),IF('01_Input'!$L$55="Palier",IF(AND(Y$20&gt;='01_Input'!$J$55,Y$20&lt;'01_Input'!$K$55),'01_Input'!$M$55,0),MAX(MIN(Y$20,'01_Input'!$K$55)-'01_Input'!$J$55,0)*'01_Input'!$M$55))+IF('01_Input'!$P$55="Forfait",IF(Y$20&gt;='01_Input'!$N$55,'01_Input'!$Q$55,0),IF('01_Input'!$P$55="Palier",IF(AND(Y$20&gt;='01_Input'!$N$55,Y$20&lt;'01_Input'!$O$55),'01_Input'!$Q$55,0),MAX(MIN(Y$20,'01_Input'!$O$55)-'01_Input'!$N$55,0)*'01_Input'!$Q$55))+IF('01_Input'!$T$55="Forfait",IF(Y$20&gt;='01_Input'!$R$55,'01_Input'!$U$55,0),IF('01_Input'!$T$55="Palier",IF(AND(Y$20&gt;='01_Input'!$R$55,Y$20&lt;'01_Input'!$S$55),'01_Input'!$U$55,0),MAX(MIN(Y$20,'01_Input'!$S$55)-'01_Input'!$R$55,0)*'01_Input'!$U$55))+IF('01_Input'!$X$55="Forfait",IF(Y$20&gt;='01_Input'!$V$55,'01_Input'!$Y$55,0),IF('01_Input'!$X$55="Palier",IF(AND(Y$20&gt;='01_Input'!$V$55,Y$20&lt;'01_Input'!$W$55),'01_Input'!$Y$55,0),MAX(MIN(Y$20,'01_Input'!$W$55)-'01_Input'!$V$55,0)*'01_Input'!$Y$55))+IF('01_Input'!$AB$55="Forfait",IF(Y$20&gt;='01_Input'!$Z$55,'01_Input'!$AC$55,0),IF('01_Input'!$AB$55="Palier",IF(AND(Y$20&gt;='01_Input'!$Z$55,Y$20&lt;'01_Input'!$AA$55),'01_Input'!$AC$55,0),MAX(MIN(Y$20,'01_Input'!$AA$55)-'01_Input'!$Z$55,0)*'01_Input'!$AC$55)))))))))</f>
        <v>0</v>
      </c>
      <c r="Z23" s="25">
        <f>IF('01_Input'!$C$55="Non",0,MIN('01_Input'!$I$55,MAX('01_Input'!$H$55,IF('01_Input'!$G$55="Résiduel vs Gestion",0,IF('01_Input'!$G$55="Taux Classe sélectionnée",Distrib_Global_Classe_Selectionnee*Z$20,IF('01_Input'!$G$55="Frais KYC (paliers de 100M€)",MAX(0,Nb_Investisseurs-Nb_KYC_Gratuites_Par_Tranche*(FLOOR(Z$20/Taille_Tranche_KYC,1)+1))*Cout_Par_KYC_Supplementaire,(IF('01_Input'!$L$55="Forfait",IF(Z$20&gt;='01_Input'!$J$55,'01_Input'!$M$55,0),IF('01_Input'!$L$55="Palier",IF(AND(Z$20&gt;='01_Input'!$J$55,Z$20&lt;'01_Input'!$K$55),'01_Input'!$M$55,0),MAX(MIN(Z$20,'01_Input'!$K$55)-'01_Input'!$J$55,0)*'01_Input'!$M$55))+IF('01_Input'!$P$55="Forfait",IF(Z$20&gt;='01_Input'!$N$55,'01_Input'!$Q$55,0),IF('01_Input'!$P$55="Palier",IF(AND(Z$20&gt;='01_Input'!$N$55,Z$20&lt;'01_Input'!$O$55),'01_Input'!$Q$55,0),MAX(MIN(Z$20,'01_Input'!$O$55)-'01_Input'!$N$55,0)*'01_Input'!$Q$55))+IF('01_Input'!$T$55="Forfait",IF(Z$20&gt;='01_Input'!$R$55,'01_Input'!$U$55,0),IF('01_Input'!$T$55="Palier",IF(AND(Z$20&gt;='01_Input'!$R$55,Z$20&lt;'01_Input'!$S$55),'01_Input'!$U$55,0),MAX(MIN(Z$20,'01_Input'!$S$55)-'01_Input'!$R$55,0)*'01_Input'!$U$55))+IF('01_Input'!$X$55="Forfait",IF(Z$20&gt;='01_Input'!$V$55,'01_Input'!$Y$55,0),IF('01_Input'!$X$55="Palier",IF(AND(Z$20&gt;='01_Input'!$V$55,Z$20&lt;'01_Input'!$W$55),'01_Input'!$Y$55,0),MAX(MIN(Z$20,'01_Input'!$W$55)-'01_Input'!$V$55,0)*'01_Input'!$Y$55))+IF('01_Input'!$AB$55="Forfait",IF(Z$20&gt;='01_Input'!$Z$55,'01_Input'!$AC$55,0),IF('01_Input'!$AB$55="Palier",IF(AND(Z$20&gt;='01_Input'!$Z$55,Z$20&lt;'01_Input'!$AA$55),'01_Input'!$AC$55,0),MAX(MIN(Z$20,'01_Input'!$AA$55)-'01_Input'!$Z$55,0)*'01_Input'!$AC$55)))))))))</f>
        <v>0</v>
      </c>
      <c r="AA23" s="25">
        <f>IF('01_Input'!$C$55="Non",0,MIN('01_Input'!$I$55,MAX('01_Input'!$H$55,IF('01_Input'!$G$55="Résiduel vs Gestion",0,IF('01_Input'!$G$55="Taux Classe sélectionnée",Distrib_Global_Classe_Selectionnee*AA$20,IF('01_Input'!$G$55="Frais KYC (paliers de 100M€)",MAX(0,Nb_Investisseurs-Nb_KYC_Gratuites_Par_Tranche*(FLOOR(AA$20/Taille_Tranche_KYC,1)+1))*Cout_Par_KYC_Supplementaire,(IF('01_Input'!$L$55="Forfait",IF(AA$20&gt;='01_Input'!$J$55,'01_Input'!$M$55,0),IF('01_Input'!$L$55="Palier",IF(AND(AA$20&gt;='01_Input'!$J$55,AA$20&lt;'01_Input'!$K$55),'01_Input'!$M$55,0),MAX(MIN(AA$20,'01_Input'!$K$55)-'01_Input'!$J$55,0)*'01_Input'!$M$55))+IF('01_Input'!$P$55="Forfait",IF(AA$20&gt;='01_Input'!$N$55,'01_Input'!$Q$55,0),IF('01_Input'!$P$55="Palier",IF(AND(AA$20&gt;='01_Input'!$N$55,AA$20&lt;'01_Input'!$O$55),'01_Input'!$Q$55,0),MAX(MIN(AA$20,'01_Input'!$O$55)-'01_Input'!$N$55,0)*'01_Input'!$Q$55))+IF('01_Input'!$T$55="Forfait",IF(AA$20&gt;='01_Input'!$R$55,'01_Input'!$U$55,0),IF('01_Input'!$T$55="Palier",IF(AND(AA$20&gt;='01_Input'!$R$55,AA$20&lt;'01_Input'!$S$55),'01_Input'!$U$55,0),MAX(MIN(AA$20,'01_Input'!$S$55)-'01_Input'!$R$55,0)*'01_Input'!$U$55))+IF('01_Input'!$X$55="Forfait",IF(AA$20&gt;='01_Input'!$V$55,'01_Input'!$Y$55,0),IF('01_Input'!$X$55="Palier",IF(AND(AA$20&gt;='01_Input'!$V$55,AA$20&lt;'01_Input'!$W$55),'01_Input'!$Y$55,0),MAX(MIN(AA$20,'01_Input'!$W$55)-'01_Input'!$V$55,0)*'01_Input'!$Y$55))+IF('01_Input'!$AB$55="Forfait",IF(AA$20&gt;='01_Input'!$Z$55,'01_Input'!$AC$55,0),IF('01_Input'!$AB$55="Palier",IF(AND(AA$20&gt;='01_Input'!$Z$55,AA$20&lt;'01_Input'!$AA$55),'01_Input'!$AC$55,0),MAX(MIN(AA$20,'01_Input'!$AA$55)-'01_Input'!$Z$55,0)*'01_Input'!$AC$55)))))))))</f>
        <v>0</v>
      </c>
      <c r="AB23" s="25">
        <f>IF('01_Input'!$C$55="Non",0,MIN('01_Input'!$I$55,MAX('01_Input'!$H$55,IF('01_Input'!$G$55="Résiduel vs Gestion",0,IF('01_Input'!$G$55="Taux Classe sélectionnée",Distrib_Global_Classe_Selectionnee*AB$20,IF('01_Input'!$G$55="Frais KYC (paliers de 100M€)",MAX(0,Nb_Investisseurs-Nb_KYC_Gratuites_Par_Tranche*(FLOOR(AB$20/Taille_Tranche_KYC,1)+1))*Cout_Par_KYC_Supplementaire,(IF('01_Input'!$L$55="Forfait",IF(AB$20&gt;='01_Input'!$J$55,'01_Input'!$M$55,0),IF('01_Input'!$L$55="Palier",IF(AND(AB$20&gt;='01_Input'!$J$55,AB$20&lt;'01_Input'!$K$55),'01_Input'!$M$55,0),MAX(MIN(AB$20,'01_Input'!$K$55)-'01_Input'!$J$55,0)*'01_Input'!$M$55))+IF('01_Input'!$P$55="Forfait",IF(AB$20&gt;='01_Input'!$N$55,'01_Input'!$Q$55,0),IF('01_Input'!$P$55="Palier",IF(AND(AB$20&gt;='01_Input'!$N$55,AB$20&lt;'01_Input'!$O$55),'01_Input'!$Q$55,0),MAX(MIN(AB$20,'01_Input'!$O$55)-'01_Input'!$N$55,0)*'01_Input'!$Q$55))+IF('01_Input'!$T$55="Forfait",IF(AB$20&gt;='01_Input'!$R$55,'01_Input'!$U$55,0),IF('01_Input'!$T$55="Palier",IF(AND(AB$20&gt;='01_Input'!$R$55,AB$20&lt;'01_Input'!$S$55),'01_Input'!$U$55,0),MAX(MIN(AB$20,'01_Input'!$S$55)-'01_Input'!$R$55,0)*'01_Input'!$U$55))+IF('01_Input'!$X$55="Forfait",IF(AB$20&gt;='01_Input'!$V$55,'01_Input'!$Y$55,0),IF('01_Input'!$X$55="Palier",IF(AND(AB$20&gt;='01_Input'!$V$55,AB$20&lt;'01_Input'!$W$55),'01_Input'!$Y$55,0),MAX(MIN(AB$20,'01_Input'!$W$55)-'01_Input'!$V$55,0)*'01_Input'!$Y$55))+IF('01_Input'!$AB$55="Forfait",IF(AB$20&gt;='01_Input'!$Z$55,'01_Input'!$AC$55,0),IF('01_Input'!$AB$55="Palier",IF(AND(AB$20&gt;='01_Input'!$Z$55,AB$20&lt;'01_Input'!$AA$55),'01_Input'!$AC$55,0),MAX(MIN(AB$20,'01_Input'!$AA$55)-'01_Input'!$Z$55,0)*'01_Input'!$AC$55)))))))))</f>
        <v>0</v>
      </c>
      <c r="AC23" s="25">
        <f>IF('01_Input'!$C$55="Non",0,MIN('01_Input'!$I$55,MAX('01_Input'!$H$55,IF('01_Input'!$G$55="Résiduel vs Gestion",0,IF('01_Input'!$G$55="Taux Classe sélectionnée",Distrib_Global_Classe_Selectionnee*AC$20,IF('01_Input'!$G$55="Frais KYC (paliers de 100M€)",MAX(0,Nb_Investisseurs-Nb_KYC_Gratuites_Par_Tranche*(FLOOR(AC$20/Taille_Tranche_KYC,1)+1))*Cout_Par_KYC_Supplementaire,(IF('01_Input'!$L$55="Forfait",IF(AC$20&gt;='01_Input'!$J$55,'01_Input'!$M$55,0),IF('01_Input'!$L$55="Palier",IF(AND(AC$20&gt;='01_Input'!$J$55,AC$20&lt;'01_Input'!$K$55),'01_Input'!$M$55,0),MAX(MIN(AC$20,'01_Input'!$K$55)-'01_Input'!$J$55,0)*'01_Input'!$M$55))+IF('01_Input'!$P$55="Forfait",IF(AC$20&gt;='01_Input'!$N$55,'01_Input'!$Q$55,0),IF('01_Input'!$P$55="Palier",IF(AND(AC$20&gt;='01_Input'!$N$55,AC$20&lt;'01_Input'!$O$55),'01_Input'!$Q$55,0),MAX(MIN(AC$20,'01_Input'!$O$55)-'01_Input'!$N$55,0)*'01_Input'!$Q$55))+IF('01_Input'!$T$55="Forfait",IF(AC$20&gt;='01_Input'!$R$55,'01_Input'!$U$55,0),IF('01_Input'!$T$55="Palier",IF(AND(AC$20&gt;='01_Input'!$R$55,AC$20&lt;'01_Input'!$S$55),'01_Input'!$U$55,0),MAX(MIN(AC$20,'01_Input'!$S$55)-'01_Input'!$R$55,0)*'01_Input'!$U$55))+IF('01_Input'!$X$55="Forfait",IF(AC$20&gt;='01_Input'!$V$55,'01_Input'!$Y$55,0),IF('01_Input'!$X$55="Palier",IF(AND(AC$20&gt;='01_Input'!$V$55,AC$20&lt;'01_Input'!$W$55),'01_Input'!$Y$55,0),MAX(MIN(AC$20,'01_Input'!$W$55)-'01_Input'!$V$55,0)*'01_Input'!$Y$55))+IF('01_Input'!$AB$55="Forfait",IF(AC$20&gt;='01_Input'!$Z$55,'01_Input'!$AC$55,0),IF('01_Input'!$AB$55="Palier",IF(AND(AC$20&gt;='01_Input'!$Z$55,AC$20&lt;'01_Input'!$AA$55),'01_Input'!$AC$55,0),MAX(MIN(AC$20,'01_Input'!$AA$55)-'01_Input'!$Z$55,0)*'01_Input'!$AC$55)))))))))</f>
        <v>0</v>
      </c>
      <c r="AD23" s="25">
        <f>IF('01_Input'!$C$55="Non",0,MIN('01_Input'!$I$55,MAX('01_Input'!$H$55,IF('01_Input'!$G$55="Résiduel vs Gestion",0,IF('01_Input'!$G$55="Taux Classe sélectionnée",Distrib_Global_Classe_Selectionnee*AD$20,IF('01_Input'!$G$55="Frais KYC (paliers de 100M€)",MAX(0,Nb_Investisseurs-Nb_KYC_Gratuites_Par_Tranche*(FLOOR(AD$20/Taille_Tranche_KYC,1)+1))*Cout_Par_KYC_Supplementaire,(IF('01_Input'!$L$55="Forfait",IF(AD$20&gt;='01_Input'!$J$55,'01_Input'!$M$55,0),IF('01_Input'!$L$55="Palier",IF(AND(AD$20&gt;='01_Input'!$J$55,AD$20&lt;'01_Input'!$K$55),'01_Input'!$M$55,0),MAX(MIN(AD$20,'01_Input'!$K$55)-'01_Input'!$J$55,0)*'01_Input'!$M$55))+IF('01_Input'!$P$55="Forfait",IF(AD$20&gt;='01_Input'!$N$55,'01_Input'!$Q$55,0),IF('01_Input'!$P$55="Palier",IF(AND(AD$20&gt;='01_Input'!$N$55,AD$20&lt;'01_Input'!$O$55),'01_Input'!$Q$55,0),MAX(MIN(AD$20,'01_Input'!$O$55)-'01_Input'!$N$55,0)*'01_Input'!$Q$55))+IF('01_Input'!$T$55="Forfait",IF(AD$20&gt;='01_Input'!$R$55,'01_Input'!$U$55,0),IF('01_Input'!$T$55="Palier",IF(AND(AD$20&gt;='01_Input'!$R$55,AD$20&lt;'01_Input'!$S$55),'01_Input'!$U$55,0),MAX(MIN(AD$20,'01_Input'!$S$55)-'01_Input'!$R$55,0)*'01_Input'!$U$55))+IF('01_Input'!$X$55="Forfait",IF(AD$20&gt;='01_Input'!$V$55,'01_Input'!$Y$55,0),IF('01_Input'!$X$55="Palier",IF(AND(AD$20&gt;='01_Input'!$V$55,AD$20&lt;'01_Input'!$W$55),'01_Input'!$Y$55,0),MAX(MIN(AD$20,'01_Input'!$W$55)-'01_Input'!$V$55,0)*'01_Input'!$Y$55))+IF('01_Input'!$AB$55="Forfait",IF(AD$20&gt;='01_Input'!$Z$55,'01_Input'!$AC$55,0),IF('01_Input'!$AB$55="Palier",IF(AND(AD$20&gt;='01_Input'!$Z$55,AD$20&lt;'01_Input'!$AA$55),'01_Input'!$AC$55,0),MAX(MIN(AD$20,'01_Input'!$AA$55)-'01_Input'!$Z$55,0)*'01_Input'!$AC$55)))))))))</f>
        <v>0</v>
      </c>
      <c r="AE23" s="25">
        <f>IF('01_Input'!$C$55="Non",0,MIN('01_Input'!$I$55,MAX('01_Input'!$H$55,IF('01_Input'!$G$55="Résiduel vs Gestion",0,IF('01_Input'!$G$55="Taux Classe sélectionnée",Distrib_Global_Classe_Selectionnee*AE$20,IF('01_Input'!$G$55="Frais KYC (paliers de 100M€)",MAX(0,Nb_Investisseurs-Nb_KYC_Gratuites_Par_Tranche*(FLOOR(AE$20/Taille_Tranche_KYC,1)+1))*Cout_Par_KYC_Supplementaire,(IF('01_Input'!$L$55="Forfait",IF(AE$20&gt;='01_Input'!$J$55,'01_Input'!$M$55,0),IF('01_Input'!$L$55="Palier",IF(AND(AE$20&gt;='01_Input'!$J$55,AE$20&lt;'01_Input'!$K$55),'01_Input'!$M$55,0),MAX(MIN(AE$20,'01_Input'!$K$55)-'01_Input'!$J$55,0)*'01_Input'!$M$55))+IF('01_Input'!$P$55="Forfait",IF(AE$20&gt;='01_Input'!$N$55,'01_Input'!$Q$55,0),IF('01_Input'!$P$55="Palier",IF(AND(AE$20&gt;='01_Input'!$N$55,AE$20&lt;'01_Input'!$O$55),'01_Input'!$Q$55,0),MAX(MIN(AE$20,'01_Input'!$O$55)-'01_Input'!$N$55,0)*'01_Input'!$Q$55))+IF('01_Input'!$T$55="Forfait",IF(AE$20&gt;='01_Input'!$R$55,'01_Input'!$U$55,0),IF('01_Input'!$T$55="Palier",IF(AND(AE$20&gt;='01_Input'!$R$55,AE$20&lt;'01_Input'!$S$55),'01_Input'!$U$55,0),MAX(MIN(AE$20,'01_Input'!$S$55)-'01_Input'!$R$55,0)*'01_Input'!$U$55))+IF('01_Input'!$X$55="Forfait",IF(AE$20&gt;='01_Input'!$V$55,'01_Input'!$Y$55,0),IF('01_Input'!$X$55="Palier",IF(AND(AE$20&gt;='01_Input'!$V$55,AE$20&lt;'01_Input'!$W$55),'01_Input'!$Y$55,0),MAX(MIN(AE$20,'01_Input'!$W$55)-'01_Input'!$V$55,0)*'01_Input'!$Y$55))+IF('01_Input'!$AB$55="Forfait",IF(AE$20&gt;='01_Input'!$Z$55,'01_Input'!$AC$55,0),IF('01_Input'!$AB$55="Palier",IF(AND(AE$20&gt;='01_Input'!$Z$55,AE$20&lt;'01_Input'!$AA$55),'01_Input'!$AC$55,0),MAX(MIN(AE$20,'01_Input'!$AA$55)-'01_Input'!$Z$55,0)*'01_Input'!$AC$55)))))))))</f>
        <v>0</v>
      </c>
      <c r="AF23" s="25">
        <f>IF('01_Input'!$C$55="Non",0,MIN('01_Input'!$I$55,MAX('01_Input'!$H$55,IF('01_Input'!$G$55="Résiduel vs Gestion",0,IF('01_Input'!$G$55="Taux Classe sélectionnée",Distrib_Global_Classe_Selectionnee*AF$20,IF('01_Input'!$G$55="Frais KYC (paliers de 100M€)",MAX(0,Nb_Investisseurs-Nb_KYC_Gratuites_Par_Tranche*(FLOOR(AF$20/Taille_Tranche_KYC,1)+1))*Cout_Par_KYC_Supplementaire,(IF('01_Input'!$L$55="Forfait",IF(AF$20&gt;='01_Input'!$J$55,'01_Input'!$M$55,0),IF('01_Input'!$L$55="Palier",IF(AND(AF$20&gt;='01_Input'!$J$55,AF$20&lt;'01_Input'!$K$55),'01_Input'!$M$55,0),MAX(MIN(AF$20,'01_Input'!$K$55)-'01_Input'!$J$55,0)*'01_Input'!$M$55))+IF('01_Input'!$P$55="Forfait",IF(AF$20&gt;='01_Input'!$N$55,'01_Input'!$Q$55,0),IF('01_Input'!$P$55="Palier",IF(AND(AF$20&gt;='01_Input'!$N$55,AF$20&lt;'01_Input'!$O$55),'01_Input'!$Q$55,0),MAX(MIN(AF$20,'01_Input'!$O$55)-'01_Input'!$N$55,0)*'01_Input'!$Q$55))+IF('01_Input'!$T$55="Forfait",IF(AF$20&gt;='01_Input'!$R$55,'01_Input'!$U$55,0),IF('01_Input'!$T$55="Palier",IF(AND(AF$20&gt;='01_Input'!$R$55,AF$20&lt;'01_Input'!$S$55),'01_Input'!$U$55,0),MAX(MIN(AF$20,'01_Input'!$S$55)-'01_Input'!$R$55,0)*'01_Input'!$U$55))+IF('01_Input'!$X$55="Forfait",IF(AF$20&gt;='01_Input'!$V$55,'01_Input'!$Y$55,0),IF('01_Input'!$X$55="Palier",IF(AND(AF$20&gt;='01_Input'!$V$55,AF$20&lt;'01_Input'!$W$55),'01_Input'!$Y$55,0),MAX(MIN(AF$20,'01_Input'!$W$55)-'01_Input'!$V$55,0)*'01_Input'!$Y$55))+IF('01_Input'!$AB$55="Forfait",IF(AF$20&gt;='01_Input'!$Z$55,'01_Input'!$AC$55,0),IF('01_Input'!$AB$55="Palier",IF(AND(AF$20&gt;='01_Input'!$Z$55,AF$20&lt;'01_Input'!$AA$55),'01_Input'!$AC$55,0),MAX(MIN(AF$20,'01_Input'!$AA$55)-'01_Input'!$Z$55,0)*'01_Input'!$AC$55)))))))))</f>
        <v>0</v>
      </c>
      <c r="AG23" s="25">
        <f>IF('01_Input'!$C$55="Non",0,MIN('01_Input'!$I$55,MAX('01_Input'!$H$55,IF('01_Input'!$G$55="Résiduel vs Gestion",0,IF('01_Input'!$G$55="Taux Classe sélectionnée",Distrib_Global_Classe_Selectionnee*AG$20,IF('01_Input'!$G$55="Frais KYC (paliers de 100M€)",MAX(0,Nb_Investisseurs-Nb_KYC_Gratuites_Par_Tranche*(FLOOR(AG$20/Taille_Tranche_KYC,1)+1))*Cout_Par_KYC_Supplementaire,(IF('01_Input'!$L$55="Forfait",IF(AG$20&gt;='01_Input'!$J$55,'01_Input'!$M$55,0),IF('01_Input'!$L$55="Palier",IF(AND(AG$20&gt;='01_Input'!$J$55,AG$20&lt;'01_Input'!$K$55),'01_Input'!$M$55,0),MAX(MIN(AG$20,'01_Input'!$K$55)-'01_Input'!$J$55,0)*'01_Input'!$M$55))+IF('01_Input'!$P$55="Forfait",IF(AG$20&gt;='01_Input'!$N$55,'01_Input'!$Q$55,0),IF('01_Input'!$P$55="Palier",IF(AND(AG$20&gt;='01_Input'!$N$55,AG$20&lt;'01_Input'!$O$55),'01_Input'!$Q$55,0),MAX(MIN(AG$20,'01_Input'!$O$55)-'01_Input'!$N$55,0)*'01_Input'!$Q$55))+IF('01_Input'!$T$55="Forfait",IF(AG$20&gt;='01_Input'!$R$55,'01_Input'!$U$55,0),IF('01_Input'!$T$55="Palier",IF(AND(AG$20&gt;='01_Input'!$R$55,AG$20&lt;'01_Input'!$S$55),'01_Input'!$U$55,0),MAX(MIN(AG$20,'01_Input'!$S$55)-'01_Input'!$R$55,0)*'01_Input'!$U$55))+IF('01_Input'!$X$55="Forfait",IF(AG$20&gt;='01_Input'!$V$55,'01_Input'!$Y$55,0),IF('01_Input'!$X$55="Palier",IF(AND(AG$20&gt;='01_Input'!$V$55,AG$20&lt;'01_Input'!$W$55),'01_Input'!$Y$55,0),MAX(MIN(AG$20,'01_Input'!$W$55)-'01_Input'!$V$55,0)*'01_Input'!$Y$55))+IF('01_Input'!$AB$55="Forfait",IF(AG$20&gt;='01_Input'!$Z$55,'01_Input'!$AC$55,0),IF('01_Input'!$AB$55="Palier",IF(AND(AG$20&gt;='01_Input'!$Z$55,AG$20&lt;'01_Input'!$AA$55),'01_Input'!$AC$55,0),MAX(MIN(AG$20,'01_Input'!$AA$55)-'01_Input'!$Z$55,0)*'01_Input'!$AC$55)))))))))</f>
        <v>0</v>
      </c>
      <c r="AH23" s="25">
        <f>IF('01_Input'!$C$55="Non",0,MIN('01_Input'!$I$55,MAX('01_Input'!$H$55,IF('01_Input'!$G$55="Résiduel vs Gestion",0,IF('01_Input'!$G$55="Taux Classe sélectionnée",Distrib_Global_Classe_Selectionnee*AH$20,IF('01_Input'!$G$55="Frais KYC (paliers de 100M€)",MAX(0,Nb_Investisseurs-Nb_KYC_Gratuites_Par_Tranche*(FLOOR(AH$20/Taille_Tranche_KYC,1)+1))*Cout_Par_KYC_Supplementaire,(IF('01_Input'!$L$55="Forfait",IF(AH$20&gt;='01_Input'!$J$55,'01_Input'!$M$55,0),IF('01_Input'!$L$55="Palier",IF(AND(AH$20&gt;='01_Input'!$J$55,AH$20&lt;'01_Input'!$K$55),'01_Input'!$M$55,0),MAX(MIN(AH$20,'01_Input'!$K$55)-'01_Input'!$J$55,0)*'01_Input'!$M$55))+IF('01_Input'!$P$55="Forfait",IF(AH$20&gt;='01_Input'!$N$55,'01_Input'!$Q$55,0),IF('01_Input'!$P$55="Palier",IF(AND(AH$20&gt;='01_Input'!$N$55,AH$20&lt;'01_Input'!$O$55),'01_Input'!$Q$55,0),MAX(MIN(AH$20,'01_Input'!$O$55)-'01_Input'!$N$55,0)*'01_Input'!$Q$55))+IF('01_Input'!$T$55="Forfait",IF(AH$20&gt;='01_Input'!$R$55,'01_Input'!$U$55,0),IF('01_Input'!$T$55="Palier",IF(AND(AH$20&gt;='01_Input'!$R$55,AH$20&lt;'01_Input'!$S$55),'01_Input'!$U$55,0),MAX(MIN(AH$20,'01_Input'!$S$55)-'01_Input'!$R$55,0)*'01_Input'!$U$55))+IF('01_Input'!$X$55="Forfait",IF(AH$20&gt;='01_Input'!$V$55,'01_Input'!$Y$55,0),IF('01_Input'!$X$55="Palier",IF(AND(AH$20&gt;='01_Input'!$V$55,AH$20&lt;'01_Input'!$W$55),'01_Input'!$Y$55,0),MAX(MIN(AH$20,'01_Input'!$W$55)-'01_Input'!$V$55,0)*'01_Input'!$Y$55))+IF('01_Input'!$AB$55="Forfait",IF(AH$20&gt;='01_Input'!$Z$55,'01_Input'!$AC$55,0),IF('01_Input'!$AB$55="Palier",IF(AND(AH$20&gt;='01_Input'!$Z$55,AH$20&lt;'01_Input'!$AA$55),'01_Input'!$AC$55,0),MAX(MIN(AH$20,'01_Input'!$AA$55)-'01_Input'!$Z$55,0)*'01_Input'!$AC$55)))))))))</f>
        <v>0</v>
      </c>
      <c r="AI23" s="25">
        <f>IF('01_Input'!$C$55="Non",0,MIN('01_Input'!$I$55,MAX('01_Input'!$H$55,IF('01_Input'!$G$55="Résiduel vs Gestion",0,IF('01_Input'!$G$55="Taux Classe sélectionnée",Distrib_Global_Classe_Selectionnee*AI$20,IF('01_Input'!$G$55="Frais KYC (paliers de 100M€)",MAX(0,Nb_Investisseurs-Nb_KYC_Gratuites_Par_Tranche*(FLOOR(AI$20/Taille_Tranche_KYC,1)+1))*Cout_Par_KYC_Supplementaire,(IF('01_Input'!$L$55="Forfait",IF(AI$20&gt;='01_Input'!$J$55,'01_Input'!$M$55,0),IF('01_Input'!$L$55="Palier",IF(AND(AI$20&gt;='01_Input'!$J$55,AI$20&lt;'01_Input'!$K$55),'01_Input'!$M$55,0),MAX(MIN(AI$20,'01_Input'!$K$55)-'01_Input'!$J$55,0)*'01_Input'!$M$55))+IF('01_Input'!$P$55="Forfait",IF(AI$20&gt;='01_Input'!$N$55,'01_Input'!$Q$55,0),IF('01_Input'!$P$55="Palier",IF(AND(AI$20&gt;='01_Input'!$N$55,AI$20&lt;'01_Input'!$O$55),'01_Input'!$Q$55,0),MAX(MIN(AI$20,'01_Input'!$O$55)-'01_Input'!$N$55,0)*'01_Input'!$Q$55))+IF('01_Input'!$T$55="Forfait",IF(AI$20&gt;='01_Input'!$R$55,'01_Input'!$U$55,0),IF('01_Input'!$T$55="Palier",IF(AND(AI$20&gt;='01_Input'!$R$55,AI$20&lt;'01_Input'!$S$55),'01_Input'!$U$55,0),MAX(MIN(AI$20,'01_Input'!$S$55)-'01_Input'!$R$55,0)*'01_Input'!$U$55))+IF('01_Input'!$X$55="Forfait",IF(AI$20&gt;='01_Input'!$V$55,'01_Input'!$Y$55,0),IF('01_Input'!$X$55="Palier",IF(AND(AI$20&gt;='01_Input'!$V$55,AI$20&lt;'01_Input'!$W$55),'01_Input'!$Y$55,0),MAX(MIN(AI$20,'01_Input'!$W$55)-'01_Input'!$V$55,0)*'01_Input'!$Y$55))+IF('01_Input'!$AB$55="Forfait",IF(AI$20&gt;='01_Input'!$Z$55,'01_Input'!$AC$55,0),IF('01_Input'!$AB$55="Palier",IF(AND(AI$20&gt;='01_Input'!$Z$55,AI$20&lt;'01_Input'!$AA$55),'01_Input'!$AC$55,0),MAX(MIN(AI$20,'01_Input'!$AA$55)-'01_Input'!$Z$55,0)*'01_Input'!$AC$55)))))))))</f>
        <v>0</v>
      </c>
      <c r="AJ23" s="25">
        <f>IF('01_Input'!$C$55="Non",0,MIN('01_Input'!$I$55,MAX('01_Input'!$H$55,IF('01_Input'!$G$55="Résiduel vs Gestion",0,IF('01_Input'!$G$55="Taux Classe sélectionnée",Distrib_Global_Classe_Selectionnee*AJ$20,IF('01_Input'!$G$55="Frais KYC (paliers de 100M€)",MAX(0,Nb_Investisseurs-Nb_KYC_Gratuites_Par_Tranche*(FLOOR(AJ$20/Taille_Tranche_KYC,1)+1))*Cout_Par_KYC_Supplementaire,(IF('01_Input'!$L$55="Forfait",IF(AJ$20&gt;='01_Input'!$J$55,'01_Input'!$M$55,0),IF('01_Input'!$L$55="Palier",IF(AND(AJ$20&gt;='01_Input'!$J$55,AJ$20&lt;'01_Input'!$K$55),'01_Input'!$M$55,0),MAX(MIN(AJ$20,'01_Input'!$K$55)-'01_Input'!$J$55,0)*'01_Input'!$M$55))+IF('01_Input'!$P$55="Forfait",IF(AJ$20&gt;='01_Input'!$N$55,'01_Input'!$Q$55,0),IF('01_Input'!$P$55="Palier",IF(AND(AJ$20&gt;='01_Input'!$N$55,AJ$20&lt;'01_Input'!$O$55),'01_Input'!$Q$55,0),MAX(MIN(AJ$20,'01_Input'!$O$55)-'01_Input'!$N$55,0)*'01_Input'!$Q$55))+IF('01_Input'!$T$55="Forfait",IF(AJ$20&gt;='01_Input'!$R$55,'01_Input'!$U$55,0),IF('01_Input'!$T$55="Palier",IF(AND(AJ$20&gt;='01_Input'!$R$55,AJ$20&lt;'01_Input'!$S$55),'01_Input'!$U$55,0),MAX(MIN(AJ$20,'01_Input'!$S$55)-'01_Input'!$R$55,0)*'01_Input'!$U$55))+IF('01_Input'!$X$55="Forfait",IF(AJ$20&gt;='01_Input'!$V$55,'01_Input'!$Y$55,0),IF('01_Input'!$X$55="Palier",IF(AND(AJ$20&gt;='01_Input'!$V$55,AJ$20&lt;'01_Input'!$W$55),'01_Input'!$Y$55,0),MAX(MIN(AJ$20,'01_Input'!$W$55)-'01_Input'!$V$55,0)*'01_Input'!$Y$55))+IF('01_Input'!$AB$55="Forfait",IF(AJ$20&gt;='01_Input'!$Z$55,'01_Input'!$AC$55,0),IF('01_Input'!$AB$55="Palier",IF(AND(AJ$20&gt;='01_Input'!$Z$55,AJ$20&lt;'01_Input'!$AA$55),'01_Input'!$AC$55,0),MAX(MIN(AJ$20,'01_Input'!$AA$55)-'01_Input'!$Z$55,0)*'01_Input'!$AC$55)))))))))</f>
        <v>0</v>
      </c>
      <c r="AK23" s="25">
        <f>IF('01_Input'!$C$55="Non",0,MIN('01_Input'!$I$55,MAX('01_Input'!$H$55,IF('01_Input'!$G$55="Résiduel vs Gestion",0,IF('01_Input'!$G$55="Taux Classe sélectionnée",Distrib_Global_Classe_Selectionnee*AK$20,IF('01_Input'!$G$55="Frais KYC (paliers de 100M€)",MAX(0,Nb_Investisseurs-Nb_KYC_Gratuites_Par_Tranche*(FLOOR(AK$20/Taille_Tranche_KYC,1)+1))*Cout_Par_KYC_Supplementaire,(IF('01_Input'!$L$55="Forfait",IF(AK$20&gt;='01_Input'!$J$55,'01_Input'!$M$55,0),IF('01_Input'!$L$55="Palier",IF(AND(AK$20&gt;='01_Input'!$J$55,AK$20&lt;'01_Input'!$K$55),'01_Input'!$M$55,0),MAX(MIN(AK$20,'01_Input'!$K$55)-'01_Input'!$J$55,0)*'01_Input'!$M$55))+IF('01_Input'!$P$55="Forfait",IF(AK$20&gt;='01_Input'!$N$55,'01_Input'!$Q$55,0),IF('01_Input'!$P$55="Palier",IF(AND(AK$20&gt;='01_Input'!$N$55,AK$20&lt;'01_Input'!$O$55),'01_Input'!$Q$55,0),MAX(MIN(AK$20,'01_Input'!$O$55)-'01_Input'!$N$55,0)*'01_Input'!$Q$55))+IF('01_Input'!$T$55="Forfait",IF(AK$20&gt;='01_Input'!$R$55,'01_Input'!$U$55,0),IF('01_Input'!$T$55="Palier",IF(AND(AK$20&gt;='01_Input'!$R$55,AK$20&lt;'01_Input'!$S$55),'01_Input'!$U$55,0),MAX(MIN(AK$20,'01_Input'!$S$55)-'01_Input'!$R$55,0)*'01_Input'!$U$55))+IF('01_Input'!$X$55="Forfait",IF(AK$20&gt;='01_Input'!$V$55,'01_Input'!$Y$55,0),IF('01_Input'!$X$55="Palier",IF(AND(AK$20&gt;='01_Input'!$V$55,AK$20&lt;'01_Input'!$W$55),'01_Input'!$Y$55,0),MAX(MIN(AK$20,'01_Input'!$W$55)-'01_Input'!$V$55,0)*'01_Input'!$Y$55))+IF('01_Input'!$AB$55="Forfait",IF(AK$20&gt;='01_Input'!$Z$55,'01_Input'!$AC$55,0),IF('01_Input'!$AB$55="Palier",IF(AND(AK$20&gt;='01_Input'!$Z$55,AK$20&lt;'01_Input'!$AA$55),'01_Input'!$AC$55,0),MAX(MIN(AK$20,'01_Input'!$AA$55)-'01_Input'!$Z$55,0)*'01_Input'!$AC$55)))))))))</f>
        <v>0</v>
      </c>
      <c r="AL23" s="25">
        <f>IF('01_Input'!$C$55="Non",0,MIN('01_Input'!$I$55,MAX('01_Input'!$H$55,IF('01_Input'!$G$55="Résiduel vs Gestion",0,IF('01_Input'!$G$55="Taux Classe sélectionnée",Distrib_Global_Classe_Selectionnee*AL$20,IF('01_Input'!$G$55="Frais KYC (paliers de 100M€)",MAX(0,Nb_Investisseurs-Nb_KYC_Gratuites_Par_Tranche*(FLOOR(AL$20/Taille_Tranche_KYC,1)+1))*Cout_Par_KYC_Supplementaire,(IF('01_Input'!$L$55="Forfait",IF(AL$20&gt;='01_Input'!$J$55,'01_Input'!$M$55,0),IF('01_Input'!$L$55="Palier",IF(AND(AL$20&gt;='01_Input'!$J$55,AL$20&lt;'01_Input'!$K$55),'01_Input'!$M$55,0),MAX(MIN(AL$20,'01_Input'!$K$55)-'01_Input'!$J$55,0)*'01_Input'!$M$55))+IF('01_Input'!$P$55="Forfait",IF(AL$20&gt;='01_Input'!$N$55,'01_Input'!$Q$55,0),IF('01_Input'!$P$55="Palier",IF(AND(AL$20&gt;='01_Input'!$N$55,AL$20&lt;'01_Input'!$O$55),'01_Input'!$Q$55,0),MAX(MIN(AL$20,'01_Input'!$O$55)-'01_Input'!$N$55,0)*'01_Input'!$Q$55))+IF('01_Input'!$T$55="Forfait",IF(AL$20&gt;='01_Input'!$R$55,'01_Input'!$U$55,0),IF('01_Input'!$T$55="Palier",IF(AND(AL$20&gt;='01_Input'!$R$55,AL$20&lt;'01_Input'!$S$55),'01_Input'!$U$55,0),MAX(MIN(AL$20,'01_Input'!$S$55)-'01_Input'!$R$55,0)*'01_Input'!$U$55))+IF('01_Input'!$X$55="Forfait",IF(AL$20&gt;='01_Input'!$V$55,'01_Input'!$Y$55,0),IF('01_Input'!$X$55="Palier",IF(AND(AL$20&gt;='01_Input'!$V$55,AL$20&lt;'01_Input'!$W$55),'01_Input'!$Y$55,0),MAX(MIN(AL$20,'01_Input'!$W$55)-'01_Input'!$V$55,0)*'01_Input'!$Y$55))+IF('01_Input'!$AB$55="Forfait",IF(AL$20&gt;='01_Input'!$Z$55,'01_Input'!$AC$55,0),IF('01_Input'!$AB$55="Palier",IF(AND(AL$20&gt;='01_Input'!$Z$55,AL$20&lt;'01_Input'!$AA$55),'01_Input'!$AC$55,0),MAX(MIN(AL$20,'01_Input'!$AA$55)-'01_Input'!$Z$55,0)*'01_Input'!$AC$55)))))))))</f>
        <v>0</v>
      </c>
      <c r="AM23" s="25">
        <f>IF('01_Input'!$C$55="Non",0,MIN('01_Input'!$I$55,MAX('01_Input'!$H$55,IF('01_Input'!$G$55="Résiduel vs Gestion",0,IF('01_Input'!$G$55="Taux Classe sélectionnée",Distrib_Global_Classe_Selectionnee*AM$20,IF('01_Input'!$G$55="Frais KYC (paliers de 100M€)",MAX(0,Nb_Investisseurs-Nb_KYC_Gratuites_Par_Tranche*(FLOOR(AM$20/Taille_Tranche_KYC,1)+1))*Cout_Par_KYC_Supplementaire,(IF('01_Input'!$L$55="Forfait",IF(AM$20&gt;='01_Input'!$J$55,'01_Input'!$M$55,0),IF('01_Input'!$L$55="Palier",IF(AND(AM$20&gt;='01_Input'!$J$55,AM$20&lt;'01_Input'!$K$55),'01_Input'!$M$55,0),MAX(MIN(AM$20,'01_Input'!$K$55)-'01_Input'!$J$55,0)*'01_Input'!$M$55))+IF('01_Input'!$P$55="Forfait",IF(AM$20&gt;='01_Input'!$N$55,'01_Input'!$Q$55,0),IF('01_Input'!$P$55="Palier",IF(AND(AM$20&gt;='01_Input'!$N$55,AM$20&lt;'01_Input'!$O$55),'01_Input'!$Q$55,0),MAX(MIN(AM$20,'01_Input'!$O$55)-'01_Input'!$N$55,0)*'01_Input'!$Q$55))+IF('01_Input'!$T$55="Forfait",IF(AM$20&gt;='01_Input'!$R$55,'01_Input'!$U$55,0),IF('01_Input'!$T$55="Palier",IF(AND(AM$20&gt;='01_Input'!$R$55,AM$20&lt;'01_Input'!$S$55),'01_Input'!$U$55,0),MAX(MIN(AM$20,'01_Input'!$S$55)-'01_Input'!$R$55,0)*'01_Input'!$U$55))+IF('01_Input'!$X$55="Forfait",IF(AM$20&gt;='01_Input'!$V$55,'01_Input'!$Y$55,0),IF('01_Input'!$X$55="Palier",IF(AND(AM$20&gt;='01_Input'!$V$55,AM$20&lt;'01_Input'!$W$55),'01_Input'!$Y$55,0),MAX(MIN(AM$20,'01_Input'!$W$55)-'01_Input'!$V$55,0)*'01_Input'!$Y$55))+IF('01_Input'!$AB$55="Forfait",IF(AM$20&gt;='01_Input'!$Z$55,'01_Input'!$AC$55,0),IF('01_Input'!$AB$55="Palier",IF(AND(AM$20&gt;='01_Input'!$Z$55,AM$20&lt;'01_Input'!$AA$55),'01_Input'!$AC$55,0),MAX(MIN(AM$20,'01_Input'!$AA$55)-'01_Input'!$Z$55,0)*'01_Input'!$AC$55)))))))))</f>
        <v>0</v>
      </c>
      <c r="AN23" s="25">
        <f>IF('01_Input'!$C$55="Non",0,MIN('01_Input'!$I$55,MAX('01_Input'!$H$55,IF('01_Input'!$G$55="Résiduel vs Gestion",0,IF('01_Input'!$G$55="Taux Classe sélectionnée",Distrib_Global_Classe_Selectionnee*AN$20,IF('01_Input'!$G$55="Frais KYC (paliers de 100M€)",MAX(0,Nb_Investisseurs-Nb_KYC_Gratuites_Par_Tranche*(FLOOR(AN$20/Taille_Tranche_KYC,1)+1))*Cout_Par_KYC_Supplementaire,(IF('01_Input'!$L$55="Forfait",IF(AN$20&gt;='01_Input'!$J$55,'01_Input'!$M$55,0),IF('01_Input'!$L$55="Palier",IF(AND(AN$20&gt;='01_Input'!$J$55,AN$20&lt;'01_Input'!$K$55),'01_Input'!$M$55,0),MAX(MIN(AN$20,'01_Input'!$K$55)-'01_Input'!$J$55,0)*'01_Input'!$M$55))+IF('01_Input'!$P$55="Forfait",IF(AN$20&gt;='01_Input'!$N$55,'01_Input'!$Q$55,0),IF('01_Input'!$P$55="Palier",IF(AND(AN$20&gt;='01_Input'!$N$55,AN$20&lt;'01_Input'!$O$55),'01_Input'!$Q$55,0),MAX(MIN(AN$20,'01_Input'!$O$55)-'01_Input'!$N$55,0)*'01_Input'!$Q$55))+IF('01_Input'!$T$55="Forfait",IF(AN$20&gt;='01_Input'!$R$55,'01_Input'!$U$55,0),IF('01_Input'!$T$55="Palier",IF(AND(AN$20&gt;='01_Input'!$R$55,AN$20&lt;'01_Input'!$S$55),'01_Input'!$U$55,0),MAX(MIN(AN$20,'01_Input'!$S$55)-'01_Input'!$R$55,0)*'01_Input'!$U$55))+IF('01_Input'!$X$55="Forfait",IF(AN$20&gt;='01_Input'!$V$55,'01_Input'!$Y$55,0),IF('01_Input'!$X$55="Palier",IF(AND(AN$20&gt;='01_Input'!$V$55,AN$20&lt;'01_Input'!$W$55),'01_Input'!$Y$55,0),MAX(MIN(AN$20,'01_Input'!$W$55)-'01_Input'!$V$55,0)*'01_Input'!$Y$55))+IF('01_Input'!$AB$55="Forfait",IF(AN$20&gt;='01_Input'!$Z$55,'01_Input'!$AC$55,0),IF('01_Input'!$AB$55="Palier",IF(AND(AN$20&gt;='01_Input'!$Z$55,AN$20&lt;'01_Input'!$AA$55),'01_Input'!$AC$55,0),MAX(MIN(AN$20,'01_Input'!$AA$55)-'01_Input'!$Z$55,0)*'01_Input'!$AC$55)))))))))</f>
        <v>0</v>
      </c>
      <c r="AO23" s="25">
        <f>IF('01_Input'!$C$55="Non",0,MIN('01_Input'!$I$55,MAX('01_Input'!$H$55,IF('01_Input'!$G$55="Résiduel vs Gestion",0,IF('01_Input'!$G$55="Taux Classe sélectionnée",Distrib_Global_Classe_Selectionnee*AO$20,IF('01_Input'!$G$55="Frais KYC (paliers de 100M€)",MAX(0,Nb_Investisseurs-Nb_KYC_Gratuites_Par_Tranche*(FLOOR(AO$20/Taille_Tranche_KYC,1)+1))*Cout_Par_KYC_Supplementaire,(IF('01_Input'!$L$55="Forfait",IF(AO$20&gt;='01_Input'!$J$55,'01_Input'!$M$55,0),IF('01_Input'!$L$55="Palier",IF(AND(AO$20&gt;='01_Input'!$J$55,AO$20&lt;'01_Input'!$K$55),'01_Input'!$M$55,0),MAX(MIN(AO$20,'01_Input'!$K$55)-'01_Input'!$J$55,0)*'01_Input'!$M$55))+IF('01_Input'!$P$55="Forfait",IF(AO$20&gt;='01_Input'!$N$55,'01_Input'!$Q$55,0),IF('01_Input'!$P$55="Palier",IF(AND(AO$20&gt;='01_Input'!$N$55,AO$20&lt;'01_Input'!$O$55),'01_Input'!$Q$55,0),MAX(MIN(AO$20,'01_Input'!$O$55)-'01_Input'!$N$55,0)*'01_Input'!$Q$55))+IF('01_Input'!$T$55="Forfait",IF(AO$20&gt;='01_Input'!$R$55,'01_Input'!$U$55,0),IF('01_Input'!$T$55="Palier",IF(AND(AO$20&gt;='01_Input'!$R$55,AO$20&lt;'01_Input'!$S$55),'01_Input'!$U$55,0),MAX(MIN(AO$20,'01_Input'!$S$55)-'01_Input'!$R$55,0)*'01_Input'!$U$55))+IF('01_Input'!$X$55="Forfait",IF(AO$20&gt;='01_Input'!$V$55,'01_Input'!$Y$55,0),IF('01_Input'!$X$55="Palier",IF(AND(AO$20&gt;='01_Input'!$V$55,AO$20&lt;'01_Input'!$W$55),'01_Input'!$Y$55,0),MAX(MIN(AO$20,'01_Input'!$W$55)-'01_Input'!$V$55,0)*'01_Input'!$Y$55))+IF('01_Input'!$AB$55="Forfait",IF(AO$20&gt;='01_Input'!$Z$55,'01_Input'!$AC$55,0),IF('01_Input'!$AB$55="Palier",IF(AND(AO$20&gt;='01_Input'!$Z$55,AO$20&lt;'01_Input'!$AA$55),'01_Input'!$AC$55,0),MAX(MIN(AO$20,'01_Input'!$AA$55)-'01_Input'!$Z$55,0)*'01_Input'!$AC$55)))))))))</f>
        <v>0</v>
      </c>
      <c r="AP23" s="25">
        <f>IF('01_Input'!$C$55="Non",0,MIN('01_Input'!$I$55,MAX('01_Input'!$H$55,IF('01_Input'!$G$55="Résiduel vs Gestion",0,IF('01_Input'!$G$55="Taux Classe sélectionnée",Distrib_Global_Classe_Selectionnee*AP$20,IF('01_Input'!$G$55="Frais KYC (paliers de 100M€)",MAX(0,Nb_Investisseurs-Nb_KYC_Gratuites_Par_Tranche*(FLOOR(AP$20/Taille_Tranche_KYC,1)+1))*Cout_Par_KYC_Supplementaire,(IF('01_Input'!$L$55="Forfait",IF(AP$20&gt;='01_Input'!$J$55,'01_Input'!$M$55,0),IF('01_Input'!$L$55="Palier",IF(AND(AP$20&gt;='01_Input'!$J$55,AP$20&lt;'01_Input'!$K$55),'01_Input'!$M$55,0),MAX(MIN(AP$20,'01_Input'!$K$55)-'01_Input'!$J$55,0)*'01_Input'!$M$55))+IF('01_Input'!$P$55="Forfait",IF(AP$20&gt;='01_Input'!$N$55,'01_Input'!$Q$55,0),IF('01_Input'!$P$55="Palier",IF(AND(AP$20&gt;='01_Input'!$N$55,AP$20&lt;'01_Input'!$O$55),'01_Input'!$Q$55,0),MAX(MIN(AP$20,'01_Input'!$O$55)-'01_Input'!$N$55,0)*'01_Input'!$Q$55))+IF('01_Input'!$T$55="Forfait",IF(AP$20&gt;='01_Input'!$R$55,'01_Input'!$U$55,0),IF('01_Input'!$T$55="Palier",IF(AND(AP$20&gt;='01_Input'!$R$55,AP$20&lt;'01_Input'!$S$55),'01_Input'!$U$55,0),MAX(MIN(AP$20,'01_Input'!$S$55)-'01_Input'!$R$55,0)*'01_Input'!$U$55))+IF('01_Input'!$X$55="Forfait",IF(AP$20&gt;='01_Input'!$V$55,'01_Input'!$Y$55,0),IF('01_Input'!$X$55="Palier",IF(AND(AP$20&gt;='01_Input'!$V$55,AP$20&lt;'01_Input'!$W$55),'01_Input'!$Y$55,0),MAX(MIN(AP$20,'01_Input'!$W$55)-'01_Input'!$V$55,0)*'01_Input'!$Y$55))+IF('01_Input'!$AB$55="Forfait",IF(AP$20&gt;='01_Input'!$Z$55,'01_Input'!$AC$55,0),IF('01_Input'!$AB$55="Palier",IF(AND(AP$20&gt;='01_Input'!$Z$55,AP$20&lt;'01_Input'!$AA$55),'01_Input'!$AC$55,0),MAX(MIN(AP$20,'01_Input'!$AA$55)-'01_Input'!$Z$55,0)*'01_Input'!$AC$55)))))))))</f>
        <v>0</v>
      </c>
      <c r="AQ23" s="25">
        <f>IF('01_Input'!$C$55="Non",0,MIN('01_Input'!$I$55,MAX('01_Input'!$H$55,IF('01_Input'!$G$55="Résiduel vs Gestion",0,IF('01_Input'!$G$55="Taux Classe sélectionnée",Distrib_Global_Classe_Selectionnee*AQ$20,IF('01_Input'!$G$55="Frais KYC (paliers de 100M€)",MAX(0,Nb_Investisseurs-Nb_KYC_Gratuites_Par_Tranche*(FLOOR(AQ$20/Taille_Tranche_KYC,1)+1))*Cout_Par_KYC_Supplementaire,(IF('01_Input'!$L$55="Forfait",IF(AQ$20&gt;='01_Input'!$J$55,'01_Input'!$M$55,0),IF('01_Input'!$L$55="Palier",IF(AND(AQ$20&gt;='01_Input'!$J$55,AQ$20&lt;'01_Input'!$K$55),'01_Input'!$M$55,0),MAX(MIN(AQ$20,'01_Input'!$K$55)-'01_Input'!$J$55,0)*'01_Input'!$M$55))+IF('01_Input'!$P$55="Forfait",IF(AQ$20&gt;='01_Input'!$N$55,'01_Input'!$Q$55,0),IF('01_Input'!$P$55="Palier",IF(AND(AQ$20&gt;='01_Input'!$N$55,AQ$20&lt;'01_Input'!$O$55),'01_Input'!$Q$55,0),MAX(MIN(AQ$20,'01_Input'!$O$55)-'01_Input'!$N$55,0)*'01_Input'!$Q$55))+IF('01_Input'!$T$55="Forfait",IF(AQ$20&gt;='01_Input'!$R$55,'01_Input'!$U$55,0),IF('01_Input'!$T$55="Palier",IF(AND(AQ$20&gt;='01_Input'!$R$55,AQ$20&lt;'01_Input'!$S$55),'01_Input'!$U$55,0),MAX(MIN(AQ$20,'01_Input'!$S$55)-'01_Input'!$R$55,0)*'01_Input'!$U$55))+IF('01_Input'!$X$55="Forfait",IF(AQ$20&gt;='01_Input'!$V$55,'01_Input'!$Y$55,0),IF('01_Input'!$X$55="Palier",IF(AND(AQ$20&gt;='01_Input'!$V$55,AQ$20&lt;'01_Input'!$W$55),'01_Input'!$Y$55,0),MAX(MIN(AQ$20,'01_Input'!$W$55)-'01_Input'!$V$55,0)*'01_Input'!$Y$55))+IF('01_Input'!$AB$55="Forfait",IF(AQ$20&gt;='01_Input'!$Z$55,'01_Input'!$AC$55,0),IF('01_Input'!$AB$55="Palier",IF(AND(AQ$20&gt;='01_Input'!$Z$55,AQ$20&lt;'01_Input'!$AA$55),'01_Input'!$AC$55,0),MAX(MIN(AQ$20,'01_Input'!$AA$55)-'01_Input'!$Z$55,0)*'01_Input'!$AC$55)))))))))</f>
        <v>0</v>
      </c>
      <c r="AR23" s="25">
        <f>IF('01_Input'!$C$55="Non",0,MIN('01_Input'!$I$55,MAX('01_Input'!$H$55,IF('01_Input'!$G$55="Résiduel vs Gestion",0,IF('01_Input'!$G$55="Taux Classe sélectionnée",Distrib_Global_Classe_Selectionnee*AR$20,IF('01_Input'!$G$55="Frais KYC (paliers de 100M€)",MAX(0,Nb_Investisseurs-Nb_KYC_Gratuites_Par_Tranche*(FLOOR(AR$20/Taille_Tranche_KYC,1)+1))*Cout_Par_KYC_Supplementaire,(IF('01_Input'!$L$55="Forfait",IF(AR$20&gt;='01_Input'!$J$55,'01_Input'!$M$55,0),IF('01_Input'!$L$55="Palier",IF(AND(AR$20&gt;='01_Input'!$J$55,AR$20&lt;'01_Input'!$K$55),'01_Input'!$M$55,0),MAX(MIN(AR$20,'01_Input'!$K$55)-'01_Input'!$J$55,0)*'01_Input'!$M$55))+IF('01_Input'!$P$55="Forfait",IF(AR$20&gt;='01_Input'!$N$55,'01_Input'!$Q$55,0),IF('01_Input'!$P$55="Palier",IF(AND(AR$20&gt;='01_Input'!$N$55,AR$20&lt;'01_Input'!$O$55),'01_Input'!$Q$55,0),MAX(MIN(AR$20,'01_Input'!$O$55)-'01_Input'!$N$55,0)*'01_Input'!$Q$55))+IF('01_Input'!$T$55="Forfait",IF(AR$20&gt;='01_Input'!$R$55,'01_Input'!$U$55,0),IF('01_Input'!$T$55="Palier",IF(AND(AR$20&gt;='01_Input'!$R$55,AR$20&lt;'01_Input'!$S$55),'01_Input'!$U$55,0),MAX(MIN(AR$20,'01_Input'!$S$55)-'01_Input'!$R$55,0)*'01_Input'!$U$55))+IF('01_Input'!$X$55="Forfait",IF(AR$20&gt;='01_Input'!$V$55,'01_Input'!$Y$55,0),IF('01_Input'!$X$55="Palier",IF(AND(AR$20&gt;='01_Input'!$V$55,AR$20&lt;'01_Input'!$W$55),'01_Input'!$Y$55,0),MAX(MIN(AR$20,'01_Input'!$W$55)-'01_Input'!$V$55,0)*'01_Input'!$Y$55))+IF('01_Input'!$AB$55="Forfait",IF(AR$20&gt;='01_Input'!$Z$55,'01_Input'!$AC$55,0),IF('01_Input'!$AB$55="Palier",IF(AND(AR$20&gt;='01_Input'!$Z$55,AR$20&lt;'01_Input'!$AA$55),'01_Input'!$AC$55,0),MAX(MIN(AR$20,'01_Input'!$AA$55)-'01_Input'!$Z$55,0)*'01_Input'!$AC$55)))))))))</f>
        <v>0</v>
      </c>
      <c r="AS23" s="25">
        <f>IF('01_Input'!$C$55="Non",0,MIN('01_Input'!$I$55,MAX('01_Input'!$H$55,IF('01_Input'!$G$55="Résiduel vs Gestion",0,IF('01_Input'!$G$55="Taux Classe sélectionnée",Distrib_Global_Classe_Selectionnee*AS$20,IF('01_Input'!$G$55="Frais KYC (paliers de 100M€)",MAX(0,Nb_Investisseurs-Nb_KYC_Gratuites_Par_Tranche*(FLOOR(AS$20/Taille_Tranche_KYC,1)+1))*Cout_Par_KYC_Supplementaire,(IF('01_Input'!$L$55="Forfait",IF(AS$20&gt;='01_Input'!$J$55,'01_Input'!$M$55,0),IF('01_Input'!$L$55="Palier",IF(AND(AS$20&gt;='01_Input'!$J$55,AS$20&lt;'01_Input'!$K$55),'01_Input'!$M$55,0),MAX(MIN(AS$20,'01_Input'!$K$55)-'01_Input'!$J$55,0)*'01_Input'!$M$55))+IF('01_Input'!$P$55="Forfait",IF(AS$20&gt;='01_Input'!$N$55,'01_Input'!$Q$55,0),IF('01_Input'!$P$55="Palier",IF(AND(AS$20&gt;='01_Input'!$N$55,AS$20&lt;'01_Input'!$O$55),'01_Input'!$Q$55,0),MAX(MIN(AS$20,'01_Input'!$O$55)-'01_Input'!$N$55,0)*'01_Input'!$Q$55))+IF('01_Input'!$T$55="Forfait",IF(AS$20&gt;='01_Input'!$R$55,'01_Input'!$U$55,0),IF('01_Input'!$T$55="Palier",IF(AND(AS$20&gt;='01_Input'!$R$55,AS$20&lt;'01_Input'!$S$55),'01_Input'!$U$55,0),MAX(MIN(AS$20,'01_Input'!$S$55)-'01_Input'!$R$55,0)*'01_Input'!$U$55))+IF('01_Input'!$X$55="Forfait",IF(AS$20&gt;='01_Input'!$V$55,'01_Input'!$Y$55,0),IF('01_Input'!$X$55="Palier",IF(AND(AS$20&gt;='01_Input'!$V$55,AS$20&lt;'01_Input'!$W$55),'01_Input'!$Y$55,0),MAX(MIN(AS$20,'01_Input'!$W$55)-'01_Input'!$V$55,0)*'01_Input'!$Y$55))+IF('01_Input'!$AB$55="Forfait",IF(AS$20&gt;='01_Input'!$Z$55,'01_Input'!$AC$55,0),IF('01_Input'!$AB$55="Palier",IF(AND(AS$20&gt;='01_Input'!$Z$55,AS$20&lt;'01_Input'!$AA$55),'01_Input'!$AC$55,0),MAX(MIN(AS$20,'01_Input'!$AA$55)-'01_Input'!$Z$55,0)*'01_Input'!$AC$55)))))))))</f>
        <v>0</v>
      </c>
      <c r="AT23" s="25">
        <f>IF('01_Input'!$C$55="Non",0,MIN('01_Input'!$I$55,MAX('01_Input'!$H$55,IF('01_Input'!$G$55="Résiduel vs Gestion",0,IF('01_Input'!$G$55="Taux Classe sélectionnée",Distrib_Global_Classe_Selectionnee*AT$20,IF('01_Input'!$G$55="Frais KYC (paliers de 100M€)",MAX(0,Nb_Investisseurs-Nb_KYC_Gratuites_Par_Tranche*(FLOOR(AT$20/Taille_Tranche_KYC,1)+1))*Cout_Par_KYC_Supplementaire,(IF('01_Input'!$L$55="Forfait",IF(AT$20&gt;='01_Input'!$J$55,'01_Input'!$M$55,0),IF('01_Input'!$L$55="Palier",IF(AND(AT$20&gt;='01_Input'!$J$55,AT$20&lt;'01_Input'!$K$55),'01_Input'!$M$55,0),MAX(MIN(AT$20,'01_Input'!$K$55)-'01_Input'!$J$55,0)*'01_Input'!$M$55))+IF('01_Input'!$P$55="Forfait",IF(AT$20&gt;='01_Input'!$N$55,'01_Input'!$Q$55,0),IF('01_Input'!$P$55="Palier",IF(AND(AT$20&gt;='01_Input'!$N$55,AT$20&lt;'01_Input'!$O$55),'01_Input'!$Q$55,0),MAX(MIN(AT$20,'01_Input'!$O$55)-'01_Input'!$N$55,0)*'01_Input'!$Q$55))+IF('01_Input'!$T$55="Forfait",IF(AT$20&gt;='01_Input'!$R$55,'01_Input'!$U$55,0),IF('01_Input'!$T$55="Palier",IF(AND(AT$20&gt;='01_Input'!$R$55,AT$20&lt;'01_Input'!$S$55),'01_Input'!$U$55,0),MAX(MIN(AT$20,'01_Input'!$S$55)-'01_Input'!$R$55,0)*'01_Input'!$U$55))+IF('01_Input'!$X$55="Forfait",IF(AT$20&gt;='01_Input'!$V$55,'01_Input'!$Y$55,0),IF('01_Input'!$X$55="Palier",IF(AND(AT$20&gt;='01_Input'!$V$55,AT$20&lt;'01_Input'!$W$55),'01_Input'!$Y$55,0),MAX(MIN(AT$20,'01_Input'!$W$55)-'01_Input'!$V$55,0)*'01_Input'!$Y$55))+IF('01_Input'!$AB$55="Forfait",IF(AT$20&gt;='01_Input'!$Z$55,'01_Input'!$AC$55,0),IF('01_Input'!$AB$55="Palier",IF(AND(AT$20&gt;='01_Input'!$Z$55,AT$20&lt;'01_Input'!$AA$55),'01_Input'!$AC$55,0),MAX(MIN(AT$20,'01_Input'!$AA$55)-'01_Input'!$Z$55,0)*'01_Input'!$AC$55)))))))))</f>
        <v>0</v>
      </c>
      <c r="AU23" s="25">
        <f>IF('01_Input'!$C$55="Non",0,MIN('01_Input'!$I$55,MAX('01_Input'!$H$55,IF('01_Input'!$G$55="Résiduel vs Gestion",0,IF('01_Input'!$G$55="Taux Classe sélectionnée",Distrib_Global_Classe_Selectionnee*AU$20,IF('01_Input'!$G$55="Frais KYC (paliers de 100M€)",MAX(0,Nb_Investisseurs-Nb_KYC_Gratuites_Par_Tranche*(FLOOR(AU$20/Taille_Tranche_KYC,1)+1))*Cout_Par_KYC_Supplementaire,(IF('01_Input'!$L$55="Forfait",IF(AU$20&gt;='01_Input'!$J$55,'01_Input'!$M$55,0),IF('01_Input'!$L$55="Palier",IF(AND(AU$20&gt;='01_Input'!$J$55,AU$20&lt;'01_Input'!$K$55),'01_Input'!$M$55,0),MAX(MIN(AU$20,'01_Input'!$K$55)-'01_Input'!$J$55,0)*'01_Input'!$M$55))+IF('01_Input'!$P$55="Forfait",IF(AU$20&gt;='01_Input'!$N$55,'01_Input'!$Q$55,0),IF('01_Input'!$P$55="Palier",IF(AND(AU$20&gt;='01_Input'!$N$55,AU$20&lt;'01_Input'!$O$55),'01_Input'!$Q$55,0),MAX(MIN(AU$20,'01_Input'!$O$55)-'01_Input'!$N$55,0)*'01_Input'!$Q$55))+IF('01_Input'!$T$55="Forfait",IF(AU$20&gt;='01_Input'!$R$55,'01_Input'!$U$55,0),IF('01_Input'!$T$55="Palier",IF(AND(AU$20&gt;='01_Input'!$R$55,AU$20&lt;'01_Input'!$S$55),'01_Input'!$U$55,0),MAX(MIN(AU$20,'01_Input'!$S$55)-'01_Input'!$R$55,0)*'01_Input'!$U$55))+IF('01_Input'!$X$55="Forfait",IF(AU$20&gt;='01_Input'!$V$55,'01_Input'!$Y$55,0),IF('01_Input'!$X$55="Palier",IF(AND(AU$20&gt;='01_Input'!$V$55,AU$20&lt;'01_Input'!$W$55),'01_Input'!$Y$55,0),MAX(MIN(AU$20,'01_Input'!$W$55)-'01_Input'!$V$55,0)*'01_Input'!$Y$55))+IF('01_Input'!$AB$55="Forfait",IF(AU$20&gt;='01_Input'!$Z$55,'01_Input'!$AC$55,0),IF('01_Input'!$AB$55="Palier",IF(AND(AU$20&gt;='01_Input'!$Z$55,AU$20&lt;'01_Input'!$AA$55),'01_Input'!$AC$55,0),MAX(MIN(AU$20,'01_Input'!$AA$55)-'01_Input'!$Z$55,0)*'01_Input'!$AC$55)))))))))</f>
        <v>0</v>
      </c>
      <c r="AV23" s="25">
        <f>IF('01_Input'!$C$55="Non",0,MIN('01_Input'!$I$55,MAX('01_Input'!$H$55,IF('01_Input'!$G$55="Résiduel vs Gestion",0,IF('01_Input'!$G$55="Taux Classe sélectionnée",Distrib_Global_Classe_Selectionnee*AV$20,IF('01_Input'!$G$55="Frais KYC (paliers de 100M€)",MAX(0,Nb_Investisseurs-Nb_KYC_Gratuites_Par_Tranche*(FLOOR(AV$20/Taille_Tranche_KYC,1)+1))*Cout_Par_KYC_Supplementaire,(IF('01_Input'!$L$55="Forfait",IF(AV$20&gt;='01_Input'!$J$55,'01_Input'!$M$55,0),IF('01_Input'!$L$55="Palier",IF(AND(AV$20&gt;='01_Input'!$J$55,AV$20&lt;'01_Input'!$K$55),'01_Input'!$M$55,0),MAX(MIN(AV$20,'01_Input'!$K$55)-'01_Input'!$J$55,0)*'01_Input'!$M$55))+IF('01_Input'!$P$55="Forfait",IF(AV$20&gt;='01_Input'!$N$55,'01_Input'!$Q$55,0),IF('01_Input'!$P$55="Palier",IF(AND(AV$20&gt;='01_Input'!$N$55,AV$20&lt;'01_Input'!$O$55),'01_Input'!$Q$55,0),MAX(MIN(AV$20,'01_Input'!$O$55)-'01_Input'!$N$55,0)*'01_Input'!$Q$55))+IF('01_Input'!$T$55="Forfait",IF(AV$20&gt;='01_Input'!$R$55,'01_Input'!$U$55,0),IF('01_Input'!$T$55="Palier",IF(AND(AV$20&gt;='01_Input'!$R$55,AV$20&lt;'01_Input'!$S$55),'01_Input'!$U$55,0),MAX(MIN(AV$20,'01_Input'!$S$55)-'01_Input'!$R$55,0)*'01_Input'!$U$55))+IF('01_Input'!$X$55="Forfait",IF(AV$20&gt;='01_Input'!$V$55,'01_Input'!$Y$55,0),IF('01_Input'!$X$55="Palier",IF(AND(AV$20&gt;='01_Input'!$V$55,AV$20&lt;'01_Input'!$W$55),'01_Input'!$Y$55,0),MAX(MIN(AV$20,'01_Input'!$W$55)-'01_Input'!$V$55,0)*'01_Input'!$Y$55))+IF('01_Input'!$AB$55="Forfait",IF(AV$20&gt;='01_Input'!$Z$55,'01_Input'!$AC$55,0),IF('01_Input'!$AB$55="Palier",IF(AND(AV$20&gt;='01_Input'!$Z$55,AV$20&lt;'01_Input'!$AA$55),'01_Input'!$AC$55,0),MAX(MIN(AV$20,'01_Input'!$AA$55)-'01_Input'!$Z$55,0)*'01_Input'!$AC$55)))))))))</f>
        <v>0</v>
      </c>
      <c r="AW23" s="25">
        <f>IF('01_Input'!$C$55="Non",0,MIN('01_Input'!$I$55,MAX('01_Input'!$H$55,IF('01_Input'!$G$55="Résiduel vs Gestion",0,IF('01_Input'!$G$55="Taux Classe sélectionnée",Distrib_Global_Classe_Selectionnee*AW$20,IF('01_Input'!$G$55="Frais KYC (paliers de 100M€)",MAX(0,Nb_Investisseurs-Nb_KYC_Gratuites_Par_Tranche*(FLOOR(AW$20/Taille_Tranche_KYC,1)+1))*Cout_Par_KYC_Supplementaire,(IF('01_Input'!$L$55="Forfait",IF(AW$20&gt;='01_Input'!$J$55,'01_Input'!$M$55,0),IF('01_Input'!$L$55="Palier",IF(AND(AW$20&gt;='01_Input'!$J$55,AW$20&lt;'01_Input'!$K$55),'01_Input'!$M$55,0),MAX(MIN(AW$20,'01_Input'!$K$55)-'01_Input'!$J$55,0)*'01_Input'!$M$55))+IF('01_Input'!$P$55="Forfait",IF(AW$20&gt;='01_Input'!$N$55,'01_Input'!$Q$55,0),IF('01_Input'!$P$55="Palier",IF(AND(AW$20&gt;='01_Input'!$N$55,AW$20&lt;'01_Input'!$O$55),'01_Input'!$Q$55,0),MAX(MIN(AW$20,'01_Input'!$O$55)-'01_Input'!$N$55,0)*'01_Input'!$Q$55))+IF('01_Input'!$T$55="Forfait",IF(AW$20&gt;='01_Input'!$R$55,'01_Input'!$U$55,0),IF('01_Input'!$T$55="Palier",IF(AND(AW$20&gt;='01_Input'!$R$55,AW$20&lt;'01_Input'!$S$55),'01_Input'!$U$55,0),MAX(MIN(AW$20,'01_Input'!$S$55)-'01_Input'!$R$55,0)*'01_Input'!$U$55))+IF('01_Input'!$X$55="Forfait",IF(AW$20&gt;='01_Input'!$V$55,'01_Input'!$Y$55,0),IF('01_Input'!$X$55="Palier",IF(AND(AW$20&gt;='01_Input'!$V$55,AW$20&lt;'01_Input'!$W$55),'01_Input'!$Y$55,0),MAX(MIN(AW$20,'01_Input'!$W$55)-'01_Input'!$V$55,0)*'01_Input'!$Y$55))+IF('01_Input'!$AB$55="Forfait",IF(AW$20&gt;='01_Input'!$Z$55,'01_Input'!$AC$55,0),IF('01_Input'!$AB$55="Palier",IF(AND(AW$20&gt;='01_Input'!$Z$55,AW$20&lt;'01_Input'!$AA$55),'01_Input'!$AC$55,0),MAX(MIN(AW$20,'01_Input'!$AA$55)-'01_Input'!$Z$55,0)*'01_Input'!$AC$55)))))))))</f>
        <v>0</v>
      </c>
      <c r="AX23" s="25">
        <f>IF('01_Input'!$C$55="Non",0,MIN('01_Input'!$I$55,MAX('01_Input'!$H$55,IF('01_Input'!$G$55="Résiduel vs Gestion",0,IF('01_Input'!$G$55="Taux Classe sélectionnée",Distrib_Global_Classe_Selectionnee*AX$20,IF('01_Input'!$G$55="Frais KYC (paliers de 100M€)",MAX(0,Nb_Investisseurs-Nb_KYC_Gratuites_Par_Tranche*(FLOOR(AX$20/Taille_Tranche_KYC,1)+1))*Cout_Par_KYC_Supplementaire,(IF('01_Input'!$L$55="Forfait",IF(AX$20&gt;='01_Input'!$J$55,'01_Input'!$M$55,0),IF('01_Input'!$L$55="Palier",IF(AND(AX$20&gt;='01_Input'!$J$55,AX$20&lt;'01_Input'!$K$55),'01_Input'!$M$55,0),MAX(MIN(AX$20,'01_Input'!$K$55)-'01_Input'!$J$55,0)*'01_Input'!$M$55))+IF('01_Input'!$P$55="Forfait",IF(AX$20&gt;='01_Input'!$N$55,'01_Input'!$Q$55,0),IF('01_Input'!$P$55="Palier",IF(AND(AX$20&gt;='01_Input'!$N$55,AX$20&lt;'01_Input'!$O$55),'01_Input'!$Q$55,0),MAX(MIN(AX$20,'01_Input'!$O$55)-'01_Input'!$N$55,0)*'01_Input'!$Q$55))+IF('01_Input'!$T$55="Forfait",IF(AX$20&gt;='01_Input'!$R$55,'01_Input'!$U$55,0),IF('01_Input'!$T$55="Palier",IF(AND(AX$20&gt;='01_Input'!$R$55,AX$20&lt;'01_Input'!$S$55),'01_Input'!$U$55,0),MAX(MIN(AX$20,'01_Input'!$S$55)-'01_Input'!$R$55,0)*'01_Input'!$U$55))+IF('01_Input'!$X$55="Forfait",IF(AX$20&gt;='01_Input'!$V$55,'01_Input'!$Y$55,0),IF('01_Input'!$X$55="Palier",IF(AND(AX$20&gt;='01_Input'!$V$55,AX$20&lt;'01_Input'!$W$55),'01_Input'!$Y$55,0),MAX(MIN(AX$20,'01_Input'!$W$55)-'01_Input'!$V$55,0)*'01_Input'!$Y$55))+IF('01_Input'!$AB$55="Forfait",IF(AX$20&gt;='01_Input'!$Z$55,'01_Input'!$AC$55,0),IF('01_Input'!$AB$55="Palier",IF(AND(AX$20&gt;='01_Input'!$Z$55,AX$20&lt;'01_Input'!$AA$55),'01_Input'!$AC$55,0),MAX(MIN(AX$20,'01_Input'!$AA$55)-'01_Input'!$Z$55,0)*'01_Input'!$AC$55)))))))))</f>
        <v>0</v>
      </c>
      <c r="AY23" s="25">
        <f>IF('01_Input'!$C$55="Non",0,MIN('01_Input'!$I$55,MAX('01_Input'!$H$55,IF('01_Input'!$G$55="Résiduel vs Gestion",0,IF('01_Input'!$G$55="Taux Classe sélectionnée",Distrib_Global_Classe_Selectionnee*AY$20,IF('01_Input'!$G$55="Frais KYC (paliers de 100M€)",MAX(0,Nb_Investisseurs-Nb_KYC_Gratuites_Par_Tranche*(FLOOR(AY$20/Taille_Tranche_KYC,1)+1))*Cout_Par_KYC_Supplementaire,(IF('01_Input'!$L$55="Forfait",IF(AY$20&gt;='01_Input'!$J$55,'01_Input'!$M$55,0),IF('01_Input'!$L$55="Palier",IF(AND(AY$20&gt;='01_Input'!$J$55,AY$20&lt;'01_Input'!$K$55),'01_Input'!$M$55,0),MAX(MIN(AY$20,'01_Input'!$K$55)-'01_Input'!$J$55,0)*'01_Input'!$M$55))+IF('01_Input'!$P$55="Forfait",IF(AY$20&gt;='01_Input'!$N$55,'01_Input'!$Q$55,0),IF('01_Input'!$P$55="Palier",IF(AND(AY$20&gt;='01_Input'!$N$55,AY$20&lt;'01_Input'!$O$55),'01_Input'!$Q$55,0),MAX(MIN(AY$20,'01_Input'!$O$55)-'01_Input'!$N$55,0)*'01_Input'!$Q$55))+IF('01_Input'!$T$55="Forfait",IF(AY$20&gt;='01_Input'!$R$55,'01_Input'!$U$55,0),IF('01_Input'!$T$55="Palier",IF(AND(AY$20&gt;='01_Input'!$R$55,AY$20&lt;'01_Input'!$S$55),'01_Input'!$U$55,0),MAX(MIN(AY$20,'01_Input'!$S$55)-'01_Input'!$R$55,0)*'01_Input'!$U$55))+IF('01_Input'!$X$55="Forfait",IF(AY$20&gt;='01_Input'!$V$55,'01_Input'!$Y$55,0),IF('01_Input'!$X$55="Palier",IF(AND(AY$20&gt;='01_Input'!$V$55,AY$20&lt;'01_Input'!$W$55),'01_Input'!$Y$55,0),MAX(MIN(AY$20,'01_Input'!$W$55)-'01_Input'!$V$55,0)*'01_Input'!$Y$55))+IF('01_Input'!$AB$55="Forfait",IF(AY$20&gt;='01_Input'!$Z$55,'01_Input'!$AC$55,0),IF('01_Input'!$AB$55="Palier",IF(AND(AY$20&gt;='01_Input'!$Z$55,AY$20&lt;'01_Input'!$AA$55),'01_Input'!$AC$55,0),MAX(MIN(AY$20,'01_Input'!$AA$55)-'01_Input'!$Z$55,0)*'01_Input'!$AC$55)))))))))</f>
        <v>0</v>
      </c>
      <c r="AZ23" s="25">
        <f>IF('01_Input'!$C$55="Non",0,MIN('01_Input'!$I$55,MAX('01_Input'!$H$55,IF('01_Input'!$G$55="Résiduel vs Gestion",0,IF('01_Input'!$G$55="Taux Classe sélectionnée",Distrib_Global_Classe_Selectionnee*AZ$20,IF('01_Input'!$G$55="Frais KYC (paliers de 100M€)",MAX(0,Nb_Investisseurs-Nb_KYC_Gratuites_Par_Tranche*(FLOOR(AZ$20/Taille_Tranche_KYC,1)+1))*Cout_Par_KYC_Supplementaire,(IF('01_Input'!$L$55="Forfait",IF(AZ$20&gt;='01_Input'!$J$55,'01_Input'!$M$55,0),IF('01_Input'!$L$55="Palier",IF(AND(AZ$20&gt;='01_Input'!$J$55,AZ$20&lt;'01_Input'!$K$55),'01_Input'!$M$55,0),MAX(MIN(AZ$20,'01_Input'!$K$55)-'01_Input'!$J$55,0)*'01_Input'!$M$55))+IF('01_Input'!$P$55="Forfait",IF(AZ$20&gt;='01_Input'!$N$55,'01_Input'!$Q$55,0),IF('01_Input'!$P$55="Palier",IF(AND(AZ$20&gt;='01_Input'!$N$55,AZ$20&lt;'01_Input'!$O$55),'01_Input'!$Q$55,0),MAX(MIN(AZ$20,'01_Input'!$O$55)-'01_Input'!$N$55,0)*'01_Input'!$Q$55))+IF('01_Input'!$T$55="Forfait",IF(AZ$20&gt;='01_Input'!$R$55,'01_Input'!$U$55,0),IF('01_Input'!$T$55="Palier",IF(AND(AZ$20&gt;='01_Input'!$R$55,AZ$20&lt;'01_Input'!$S$55),'01_Input'!$U$55,0),MAX(MIN(AZ$20,'01_Input'!$S$55)-'01_Input'!$R$55,0)*'01_Input'!$U$55))+IF('01_Input'!$X$55="Forfait",IF(AZ$20&gt;='01_Input'!$V$55,'01_Input'!$Y$55,0),IF('01_Input'!$X$55="Palier",IF(AND(AZ$20&gt;='01_Input'!$V$55,AZ$20&lt;'01_Input'!$W$55),'01_Input'!$Y$55,0),MAX(MIN(AZ$20,'01_Input'!$W$55)-'01_Input'!$V$55,0)*'01_Input'!$Y$55))+IF('01_Input'!$AB$55="Forfait",IF(AZ$20&gt;='01_Input'!$Z$55,'01_Input'!$AC$55,0),IF('01_Input'!$AB$55="Palier",IF(AND(AZ$20&gt;='01_Input'!$Z$55,AZ$20&lt;'01_Input'!$AA$55),'01_Input'!$AC$55,0),MAX(MIN(AZ$20,'01_Input'!$AA$55)-'01_Input'!$Z$55,0)*'01_Input'!$AC$55)))))))))</f>
        <v>0</v>
      </c>
      <c r="BA23" s="25">
        <f>IF('01_Input'!$C$55="Non",0,MIN('01_Input'!$I$55,MAX('01_Input'!$H$55,IF('01_Input'!$G$55="Résiduel vs Gestion",0,IF('01_Input'!$G$55="Taux Classe sélectionnée",Distrib_Global_Classe_Selectionnee*BA$20,IF('01_Input'!$G$55="Frais KYC (paliers de 100M€)",MAX(0,Nb_Investisseurs-Nb_KYC_Gratuites_Par_Tranche*(FLOOR(BA$20/Taille_Tranche_KYC,1)+1))*Cout_Par_KYC_Supplementaire,(IF('01_Input'!$L$55="Forfait",IF(BA$20&gt;='01_Input'!$J$55,'01_Input'!$M$55,0),IF('01_Input'!$L$55="Palier",IF(AND(BA$20&gt;='01_Input'!$J$55,BA$20&lt;'01_Input'!$K$55),'01_Input'!$M$55,0),MAX(MIN(BA$20,'01_Input'!$K$55)-'01_Input'!$J$55,0)*'01_Input'!$M$55))+IF('01_Input'!$P$55="Forfait",IF(BA$20&gt;='01_Input'!$N$55,'01_Input'!$Q$55,0),IF('01_Input'!$P$55="Palier",IF(AND(BA$20&gt;='01_Input'!$N$55,BA$20&lt;'01_Input'!$O$55),'01_Input'!$Q$55,0),MAX(MIN(BA$20,'01_Input'!$O$55)-'01_Input'!$N$55,0)*'01_Input'!$Q$55))+IF('01_Input'!$T$55="Forfait",IF(BA$20&gt;='01_Input'!$R$55,'01_Input'!$U$55,0),IF('01_Input'!$T$55="Palier",IF(AND(BA$20&gt;='01_Input'!$R$55,BA$20&lt;'01_Input'!$S$55),'01_Input'!$U$55,0),MAX(MIN(BA$20,'01_Input'!$S$55)-'01_Input'!$R$55,0)*'01_Input'!$U$55))+IF('01_Input'!$X$55="Forfait",IF(BA$20&gt;='01_Input'!$V$55,'01_Input'!$Y$55,0),IF('01_Input'!$X$55="Palier",IF(AND(BA$20&gt;='01_Input'!$V$55,BA$20&lt;'01_Input'!$W$55),'01_Input'!$Y$55,0),MAX(MIN(BA$20,'01_Input'!$W$55)-'01_Input'!$V$55,0)*'01_Input'!$Y$55))+IF('01_Input'!$AB$55="Forfait",IF(BA$20&gt;='01_Input'!$Z$55,'01_Input'!$AC$55,0),IF('01_Input'!$AB$55="Palier",IF(AND(BA$20&gt;='01_Input'!$Z$55,BA$20&lt;'01_Input'!$AA$55),'01_Input'!$AC$55,0),MAX(MIN(BA$20,'01_Input'!$AA$55)-'01_Input'!$Z$55,0)*'01_Input'!$AC$55)))))))))</f>
        <v>0</v>
      </c>
      <c r="BB23" s="25">
        <f>IF('01_Input'!$C$55="Non",0,MIN('01_Input'!$I$55,MAX('01_Input'!$H$55,IF('01_Input'!$G$55="Résiduel vs Gestion",0,IF('01_Input'!$G$55="Taux Classe sélectionnée",Distrib_Global_Classe_Selectionnee*BB$20,IF('01_Input'!$G$55="Frais KYC (paliers de 100M€)",MAX(0,Nb_Investisseurs-Nb_KYC_Gratuites_Par_Tranche*(FLOOR(BB$20/Taille_Tranche_KYC,1)+1))*Cout_Par_KYC_Supplementaire,(IF('01_Input'!$L$55="Forfait",IF(BB$20&gt;='01_Input'!$J$55,'01_Input'!$M$55,0),IF('01_Input'!$L$55="Palier",IF(AND(BB$20&gt;='01_Input'!$J$55,BB$20&lt;'01_Input'!$K$55),'01_Input'!$M$55,0),MAX(MIN(BB$20,'01_Input'!$K$55)-'01_Input'!$J$55,0)*'01_Input'!$M$55))+IF('01_Input'!$P$55="Forfait",IF(BB$20&gt;='01_Input'!$N$55,'01_Input'!$Q$55,0),IF('01_Input'!$P$55="Palier",IF(AND(BB$20&gt;='01_Input'!$N$55,BB$20&lt;'01_Input'!$O$55),'01_Input'!$Q$55,0),MAX(MIN(BB$20,'01_Input'!$O$55)-'01_Input'!$N$55,0)*'01_Input'!$Q$55))+IF('01_Input'!$T$55="Forfait",IF(BB$20&gt;='01_Input'!$R$55,'01_Input'!$U$55,0),IF('01_Input'!$T$55="Palier",IF(AND(BB$20&gt;='01_Input'!$R$55,BB$20&lt;'01_Input'!$S$55),'01_Input'!$U$55,0),MAX(MIN(BB$20,'01_Input'!$S$55)-'01_Input'!$R$55,0)*'01_Input'!$U$55))+IF('01_Input'!$X$55="Forfait",IF(BB$20&gt;='01_Input'!$V$55,'01_Input'!$Y$55,0),IF('01_Input'!$X$55="Palier",IF(AND(BB$20&gt;='01_Input'!$V$55,BB$20&lt;'01_Input'!$W$55),'01_Input'!$Y$55,0),MAX(MIN(BB$20,'01_Input'!$W$55)-'01_Input'!$V$55,0)*'01_Input'!$Y$55))+IF('01_Input'!$AB$55="Forfait",IF(BB$20&gt;='01_Input'!$Z$55,'01_Input'!$AC$55,0),IF('01_Input'!$AB$55="Palier",IF(AND(BB$20&gt;='01_Input'!$Z$55,BB$20&lt;'01_Input'!$AA$55),'01_Input'!$AC$55,0),MAX(MIN(BB$20,'01_Input'!$AA$55)-'01_Input'!$Z$55,0)*'01_Input'!$AC$55)))))))))</f>
        <v>0</v>
      </c>
      <c r="BC23" s="25">
        <f>IF('01_Input'!$C$55="Non",0,MIN('01_Input'!$I$55,MAX('01_Input'!$H$55,IF('01_Input'!$G$55="Résiduel vs Gestion",0,IF('01_Input'!$G$55="Taux Classe sélectionnée",Distrib_Global_Classe_Selectionnee*BC$20,IF('01_Input'!$G$55="Frais KYC (paliers de 100M€)",MAX(0,Nb_Investisseurs-Nb_KYC_Gratuites_Par_Tranche*(FLOOR(BC$20/Taille_Tranche_KYC,1)+1))*Cout_Par_KYC_Supplementaire,(IF('01_Input'!$L$55="Forfait",IF(BC$20&gt;='01_Input'!$J$55,'01_Input'!$M$55,0),IF('01_Input'!$L$55="Palier",IF(AND(BC$20&gt;='01_Input'!$J$55,BC$20&lt;'01_Input'!$K$55),'01_Input'!$M$55,0),MAX(MIN(BC$20,'01_Input'!$K$55)-'01_Input'!$J$55,0)*'01_Input'!$M$55))+IF('01_Input'!$P$55="Forfait",IF(BC$20&gt;='01_Input'!$N$55,'01_Input'!$Q$55,0),IF('01_Input'!$P$55="Palier",IF(AND(BC$20&gt;='01_Input'!$N$55,BC$20&lt;'01_Input'!$O$55),'01_Input'!$Q$55,0),MAX(MIN(BC$20,'01_Input'!$O$55)-'01_Input'!$N$55,0)*'01_Input'!$Q$55))+IF('01_Input'!$T$55="Forfait",IF(BC$20&gt;='01_Input'!$R$55,'01_Input'!$U$55,0),IF('01_Input'!$T$55="Palier",IF(AND(BC$20&gt;='01_Input'!$R$55,BC$20&lt;'01_Input'!$S$55),'01_Input'!$U$55,0),MAX(MIN(BC$20,'01_Input'!$S$55)-'01_Input'!$R$55,0)*'01_Input'!$U$55))+IF('01_Input'!$X$55="Forfait",IF(BC$20&gt;='01_Input'!$V$55,'01_Input'!$Y$55,0),IF('01_Input'!$X$55="Palier",IF(AND(BC$20&gt;='01_Input'!$V$55,BC$20&lt;'01_Input'!$W$55),'01_Input'!$Y$55,0),MAX(MIN(BC$20,'01_Input'!$W$55)-'01_Input'!$V$55,0)*'01_Input'!$Y$55))+IF('01_Input'!$AB$55="Forfait",IF(BC$20&gt;='01_Input'!$Z$55,'01_Input'!$AC$55,0),IF('01_Input'!$AB$55="Palier",IF(AND(BC$20&gt;='01_Input'!$Z$55,BC$20&lt;'01_Input'!$AA$55),'01_Input'!$AC$55,0),MAX(MIN(BC$20,'01_Input'!$AA$55)-'01_Input'!$Z$55,0)*'01_Input'!$AC$55)))))))))</f>
        <v>0</v>
      </c>
      <c r="BD23" s="25">
        <f>IF('01_Input'!$C$55="Non",0,MIN('01_Input'!$I$55,MAX('01_Input'!$H$55,IF('01_Input'!$G$55="Résiduel vs Gestion",0,IF('01_Input'!$G$55="Taux Classe sélectionnée",Distrib_Global_Classe_Selectionnee*BD$20,IF('01_Input'!$G$55="Frais KYC (paliers de 100M€)",MAX(0,Nb_Investisseurs-Nb_KYC_Gratuites_Par_Tranche*(FLOOR(BD$20/Taille_Tranche_KYC,1)+1))*Cout_Par_KYC_Supplementaire,(IF('01_Input'!$L$55="Forfait",IF(BD$20&gt;='01_Input'!$J$55,'01_Input'!$M$55,0),IF('01_Input'!$L$55="Palier",IF(AND(BD$20&gt;='01_Input'!$J$55,BD$20&lt;'01_Input'!$K$55),'01_Input'!$M$55,0),MAX(MIN(BD$20,'01_Input'!$K$55)-'01_Input'!$J$55,0)*'01_Input'!$M$55))+IF('01_Input'!$P$55="Forfait",IF(BD$20&gt;='01_Input'!$N$55,'01_Input'!$Q$55,0),IF('01_Input'!$P$55="Palier",IF(AND(BD$20&gt;='01_Input'!$N$55,BD$20&lt;'01_Input'!$O$55),'01_Input'!$Q$55,0),MAX(MIN(BD$20,'01_Input'!$O$55)-'01_Input'!$N$55,0)*'01_Input'!$Q$55))+IF('01_Input'!$T$55="Forfait",IF(BD$20&gt;='01_Input'!$R$55,'01_Input'!$U$55,0),IF('01_Input'!$T$55="Palier",IF(AND(BD$20&gt;='01_Input'!$R$55,BD$20&lt;'01_Input'!$S$55),'01_Input'!$U$55,0),MAX(MIN(BD$20,'01_Input'!$S$55)-'01_Input'!$R$55,0)*'01_Input'!$U$55))+IF('01_Input'!$X$55="Forfait",IF(BD$20&gt;='01_Input'!$V$55,'01_Input'!$Y$55,0),IF('01_Input'!$X$55="Palier",IF(AND(BD$20&gt;='01_Input'!$V$55,BD$20&lt;'01_Input'!$W$55),'01_Input'!$Y$55,0),MAX(MIN(BD$20,'01_Input'!$W$55)-'01_Input'!$V$55,0)*'01_Input'!$Y$55))+IF('01_Input'!$AB$55="Forfait",IF(BD$20&gt;='01_Input'!$Z$55,'01_Input'!$AC$55,0),IF('01_Input'!$AB$55="Palier",IF(AND(BD$20&gt;='01_Input'!$Z$55,BD$20&lt;'01_Input'!$AA$55),'01_Input'!$AC$55,0),MAX(MIN(BD$20,'01_Input'!$AA$55)-'01_Input'!$Z$55,0)*'01_Input'!$AC$55)))))))))</f>
        <v>0</v>
      </c>
      <c r="BE23" s="25">
        <f>IF('01_Input'!$C$55="Non",0,MIN('01_Input'!$I$55,MAX('01_Input'!$H$55,IF('01_Input'!$G$55="Résiduel vs Gestion",0,IF('01_Input'!$G$55="Taux Classe sélectionnée",Distrib_Global_Classe_Selectionnee*BE$20,IF('01_Input'!$G$55="Frais KYC (paliers de 100M€)",MAX(0,Nb_Investisseurs-Nb_KYC_Gratuites_Par_Tranche*(FLOOR(BE$20/Taille_Tranche_KYC,1)+1))*Cout_Par_KYC_Supplementaire,(IF('01_Input'!$L$55="Forfait",IF(BE$20&gt;='01_Input'!$J$55,'01_Input'!$M$55,0),IF('01_Input'!$L$55="Palier",IF(AND(BE$20&gt;='01_Input'!$J$55,BE$20&lt;'01_Input'!$K$55),'01_Input'!$M$55,0),MAX(MIN(BE$20,'01_Input'!$K$55)-'01_Input'!$J$55,0)*'01_Input'!$M$55))+IF('01_Input'!$P$55="Forfait",IF(BE$20&gt;='01_Input'!$N$55,'01_Input'!$Q$55,0),IF('01_Input'!$P$55="Palier",IF(AND(BE$20&gt;='01_Input'!$N$55,BE$20&lt;'01_Input'!$O$55),'01_Input'!$Q$55,0),MAX(MIN(BE$20,'01_Input'!$O$55)-'01_Input'!$N$55,0)*'01_Input'!$Q$55))+IF('01_Input'!$T$55="Forfait",IF(BE$20&gt;='01_Input'!$R$55,'01_Input'!$U$55,0),IF('01_Input'!$T$55="Palier",IF(AND(BE$20&gt;='01_Input'!$R$55,BE$20&lt;'01_Input'!$S$55),'01_Input'!$U$55,0),MAX(MIN(BE$20,'01_Input'!$S$55)-'01_Input'!$R$55,0)*'01_Input'!$U$55))+IF('01_Input'!$X$55="Forfait",IF(BE$20&gt;='01_Input'!$V$55,'01_Input'!$Y$55,0),IF('01_Input'!$X$55="Palier",IF(AND(BE$20&gt;='01_Input'!$V$55,BE$20&lt;'01_Input'!$W$55),'01_Input'!$Y$55,0),MAX(MIN(BE$20,'01_Input'!$W$55)-'01_Input'!$V$55,0)*'01_Input'!$Y$55))+IF('01_Input'!$AB$55="Forfait",IF(BE$20&gt;='01_Input'!$Z$55,'01_Input'!$AC$55,0),IF('01_Input'!$AB$55="Palier",IF(AND(BE$20&gt;='01_Input'!$Z$55,BE$20&lt;'01_Input'!$AA$55),'01_Input'!$AC$55,0),MAX(MIN(BE$20,'01_Input'!$AA$55)-'01_Input'!$Z$55,0)*'01_Input'!$AC$55)))))))))</f>
        <v>0</v>
      </c>
      <c r="BF23" s="25">
        <f>IF('01_Input'!$C$55="Non",0,MIN('01_Input'!$I$55,MAX('01_Input'!$H$55,IF('01_Input'!$G$55="Résiduel vs Gestion",0,IF('01_Input'!$G$55="Taux Classe sélectionnée",Distrib_Global_Classe_Selectionnee*BF$20,IF('01_Input'!$G$55="Frais KYC (paliers de 100M€)",MAX(0,Nb_Investisseurs-Nb_KYC_Gratuites_Par_Tranche*(FLOOR(BF$20/Taille_Tranche_KYC,1)+1))*Cout_Par_KYC_Supplementaire,(IF('01_Input'!$L$55="Forfait",IF(BF$20&gt;='01_Input'!$J$55,'01_Input'!$M$55,0),IF('01_Input'!$L$55="Palier",IF(AND(BF$20&gt;='01_Input'!$J$55,BF$20&lt;'01_Input'!$K$55),'01_Input'!$M$55,0),MAX(MIN(BF$20,'01_Input'!$K$55)-'01_Input'!$J$55,0)*'01_Input'!$M$55))+IF('01_Input'!$P$55="Forfait",IF(BF$20&gt;='01_Input'!$N$55,'01_Input'!$Q$55,0),IF('01_Input'!$P$55="Palier",IF(AND(BF$20&gt;='01_Input'!$N$55,BF$20&lt;'01_Input'!$O$55),'01_Input'!$Q$55,0),MAX(MIN(BF$20,'01_Input'!$O$55)-'01_Input'!$N$55,0)*'01_Input'!$Q$55))+IF('01_Input'!$T$55="Forfait",IF(BF$20&gt;='01_Input'!$R$55,'01_Input'!$U$55,0),IF('01_Input'!$T$55="Palier",IF(AND(BF$20&gt;='01_Input'!$R$55,BF$20&lt;'01_Input'!$S$55),'01_Input'!$U$55,0),MAX(MIN(BF$20,'01_Input'!$S$55)-'01_Input'!$R$55,0)*'01_Input'!$U$55))+IF('01_Input'!$X$55="Forfait",IF(BF$20&gt;='01_Input'!$V$55,'01_Input'!$Y$55,0),IF('01_Input'!$X$55="Palier",IF(AND(BF$20&gt;='01_Input'!$V$55,BF$20&lt;'01_Input'!$W$55),'01_Input'!$Y$55,0),MAX(MIN(BF$20,'01_Input'!$W$55)-'01_Input'!$V$55,0)*'01_Input'!$Y$55))+IF('01_Input'!$AB$55="Forfait",IF(BF$20&gt;='01_Input'!$Z$55,'01_Input'!$AC$55,0),IF('01_Input'!$AB$55="Palier",IF(AND(BF$20&gt;='01_Input'!$Z$55,BF$20&lt;'01_Input'!$AA$55),'01_Input'!$AC$55,0),MAX(MIN(BF$20,'01_Input'!$AA$55)-'01_Input'!$Z$55,0)*'01_Input'!$AC$55)))))))))</f>
        <v>0</v>
      </c>
      <c r="BG23" s="25">
        <f>IF('01_Input'!$C$55="Non",0,MIN('01_Input'!$I$55,MAX('01_Input'!$H$55,IF('01_Input'!$G$55="Résiduel vs Gestion",0,IF('01_Input'!$G$55="Taux Classe sélectionnée",Distrib_Global_Classe_Selectionnee*BG$20,IF('01_Input'!$G$55="Frais KYC (paliers de 100M€)",MAX(0,Nb_Investisseurs-Nb_KYC_Gratuites_Par_Tranche*(FLOOR(BG$20/Taille_Tranche_KYC,1)+1))*Cout_Par_KYC_Supplementaire,(IF('01_Input'!$L$55="Forfait",IF(BG$20&gt;='01_Input'!$J$55,'01_Input'!$M$55,0),IF('01_Input'!$L$55="Palier",IF(AND(BG$20&gt;='01_Input'!$J$55,BG$20&lt;'01_Input'!$K$55),'01_Input'!$M$55,0),MAX(MIN(BG$20,'01_Input'!$K$55)-'01_Input'!$J$55,0)*'01_Input'!$M$55))+IF('01_Input'!$P$55="Forfait",IF(BG$20&gt;='01_Input'!$N$55,'01_Input'!$Q$55,0),IF('01_Input'!$P$55="Palier",IF(AND(BG$20&gt;='01_Input'!$N$55,BG$20&lt;'01_Input'!$O$55),'01_Input'!$Q$55,0),MAX(MIN(BG$20,'01_Input'!$O$55)-'01_Input'!$N$55,0)*'01_Input'!$Q$55))+IF('01_Input'!$T$55="Forfait",IF(BG$20&gt;='01_Input'!$R$55,'01_Input'!$U$55,0),IF('01_Input'!$T$55="Palier",IF(AND(BG$20&gt;='01_Input'!$R$55,BG$20&lt;'01_Input'!$S$55),'01_Input'!$U$55,0),MAX(MIN(BG$20,'01_Input'!$S$55)-'01_Input'!$R$55,0)*'01_Input'!$U$55))+IF('01_Input'!$X$55="Forfait",IF(BG$20&gt;='01_Input'!$V$55,'01_Input'!$Y$55,0),IF('01_Input'!$X$55="Palier",IF(AND(BG$20&gt;='01_Input'!$V$55,BG$20&lt;'01_Input'!$W$55),'01_Input'!$Y$55,0),MAX(MIN(BG$20,'01_Input'!$W$55)-'01_Input'!$V$55,0)*'01_Input'!$Y$55))+IF('01_Input'!$AB$55="Forfait",IF(BG$20&gt;='01_Input'!$Z$55,'01_Input'!$AC$55,0),IF('01_Input'!$AB$55="Palier",IF(AND(BG$20&gt;='01_Input'!$Z$55,BG$20&lt;'01_Input'!$AA$55),'01_Input'!$AC$55,0),MAX(MIN(BG$20,'01_Input'!$AA$55)-'01_Input'!$Z$55,0)*'01_Input'!$AC$55)))))))))</f>
        <v>0</v>
      </c>
      <c r="BH23" s="25">
        <f>IF('01_Input'!$C$55="Non",0,MIN('01_Input'!$I$55,MAX('01_Input'!$H$55,IF('01_Input'!$G$55="Résiduel vs Gestion",0,IF('01_Input'!$G$55="Taux Classe sélectionnée",Distrib_Global_Classe_Selectionnee*BH$20,IF('01_Input'!$G$55="Frais KYC (paliers de 100M€)",MAX(0,Nb_Investisseurs-Nb_KYC_Gratuites_Par_Tranche*(FLOOR(BH$20/Taille_Tranche_KYC,1)+1))*Cout_Par_KYC_Supplementaire,(IF('01_Input'!$L$55="Forfait",IF(BH$20&gt;='01_Input'!$J$55,'01_Input'!$M$55,0),IF('01_Input'!$L$55="Palier",IF(AND(BH$20&gt;='01_Input'!$J$55,BH$20&lt;'01_Input'!$K$55),'01_Input'!$M$55,0),MAX(MIN(BH$20,'01_Input'!$K$55)-'01_Input'!$J$55,0)*'01_Input'!$M$55))+IF('01_Input'!$P$55="Forfait",IF(BH$20&gt;='01_Input'!$N$55,'01_Input'!$Q$55,0),IF('01_Input'!$P$55="Palier",IF(AND(BH$20&gt;='01_Input'!$N$55,BH$20&lt;'01_Input'!$O$55),'01_Input'!$Q$55,0),MAX(MIN(BH$20,'01_Input'!$O$55)-'01_Input'!$N$55,0)*'01_Input'!$Q$55))+IF('01_Input'!$T$55="Forfait",IF(BH$20&gt;='01_Input'!$R$55,'01_Input'!$U$55,0),IF('01_Input'!$T$55="Palier",IF(AND(BH$20&gt;='01_Input'!$R$55,BH$20&lt;'01_Input'!$S$55),'01_Input'!$U$55,0),MAX(MIN(BH$20,'01_Input'!$S$55)-'01_Input'!$R$55,0)*'01_Input'!$U$55))+IF('01_Input'!$X$55="Forfait",IF(BH$20&gt;='01_Input'!$V$55,'01_Input'!$Y$55,0),IF('01_Input'!$X$55="Palier",IF(AND(BH$20&gt;='01_Input'!$V$55,BH$20&lt;'01_Input'!$W$55),'01_Input'!$Y$55,0),MAX(MIN(BH$20,'01_Input'!$W$55)-'01_Input'!$V$55,0)*'01_Input'!$Y$55))+IF('01_Input'!$AB$55="Forfait",IF(BH$20&gt;='01_Input'!$Z$55,'01_Input'!$AC$55,0),IF('01_Input'!$AB$55="Palier",IF(AND(BH$20&gt;='01_Input'!$Z$55,BH$20&lt;'01_Input'!$AA$55),'01_Input'!$AC$55,0),MAX(MIN(BH$20,'01_Input'!$AA$55)-'01_Input'!$Z$55,0)*'01_Input'!$AC$55)))))))))</f>
        <v>0</v>
      </c>
      <c r="BI23" s="25">
        <f>IF('01_Input'!$C$55="Non",0,MIN('01_Input'!$I$55,MAX('01_Input'!$H$55,IF('01_Input'!$G$55="Résiduel vs Gestion",0,IF('01_Input'!$G$55="Taux Classe sélectionnée",Distrib_Global_Classe_Selectionnee*BI$20,IF('01_Input'!$G$55="Frais KYC (paliers de 100M€)",MAX(0,Nb_Investisseurs-Nb_KYC_Gratuites_Par_Tranche*(FLOOR(BI$20/Taille_Tranche_KYC,1)+1))*Cout_Par_KYC_Supplementaire,(IF('01_Input'!$L$55="Forfait",IF(BI$20&gt;='01_Input'!$J$55,'01_Input'!$M$55,0),IF('01_Input'!$L$55="Palier",IF(AND(BI$20&gt;='01_Input'!$J$55,BI$20&lt;'01_Input'!$K$55),'01_Input'!$M$55,0),MAX(MIN(BI$20,'01_Input'!$K$55)-'01_Input'!$J$55,0)*'01_Input'!$M$55))+IF('01_Input'!$P$55="Forfait",IF(BI$20&gt;='01_Input'!$N$55,'01_Input'!$Q$55,0),IF('01_Input'!$P$55="Palier",IF(AND(BI$20&gt;='01_Input'!$N$55,BI$20&lt;'01_Input'!$O$55),'01_Input'!$Q$55,0),MAX(MIN(BI$20,'01_Input'!$O$55)-'01_Input'!$N$55,0)*'01_Input'!$Q$55))+IF('01_Input'!$T$55="Forfait",IF(BI$20&gt;='01_Input'!$R$55,'01_Input'!$U$55,0),IF('01_Input'!$T$55="Palier",IF(AND(BI$20&gt;='01_Input'!$R$55,BI$20&lt;'01_Input'!$S$55),'01_Input'!$U$55,0),MAX(MIN(BI$20,'01_Input'!$S$55)-'01_Input'!$R$55,0)*'01_Input'!$U$55))+IF('01_Input'!$X$55="Forfait",IF(BI$20&gt;='01_Input'!$V$55,'01_Input'!$Y$55,0),IF('01_Input'!$X$55="Palier",IF(AND(BI$20&gt;='01_Input'!$V$55,BI$20&lt;'01_Input'!$W$55),'01_Input'!$Y$55,0),MAX(MIN(BI$20,'01_Input'!$W$55)-'01_Input'!$V$55,0)*'01_Input'!$Y$55))+IF('01_Input'!$AB$55="Forfait",IF(BI$20&gt;='01_Input'!$Z$55,'01_Input'!$AC$55,0),IF('01_Input'!$AB$55="Palier",IF(AND(BI$20&gt;='01_Input'!$Z$55,BI$20&lt;'01_Input'!$AA$55),'01_Input'!$AC$55,0),MAX(MIN(BI$20,'01_Input'!$AA$55)-'01_Input'!$Z$55,0)*'01_Input'!$AC$55)))))))))</f>
        <v>0</v>
      </c>
      <c r="BJ23" s="25">
        <f>IF('01_Input'!$C$55="Non",0,MIN('01_Input'!$I$55,MAX('01_Input'!$H$55,IF('01_Input'!$G$55="Résiduel vs Gestion",0,IF('01_Input'!$G$55="Taux Classe sélectionnée",Distrib_Global_Classe_Selectionnee*BJ$20,IF('01_Input'!$G$55="Frais KYC (paliers de 100M€)",MAX(0,Nb_Investisseurs-Nb_KYC_Gratuites_Par_Tranche*(FLOOR(BJ$20/Taille_Tranche_KYC,1)+1))*Cout_Par_KYC_Supplementaire,(IF('01_Input'!$L$55="Forfait",IF(BJ$20&gt;='01_Input'!$J$55,'01_Input'!$M$55,0),IF('01_Input'!$L$55="Palier",IF(AND(BJ$20&gt;='01_Input'!$J$55,BJ$20&lt;'01_Input'!$K$55),'01_Input'!$M$55,0),MAX(MIN(BJ$20,'01_Input'!$K$55)-'01_Input'!$J$55,0)*'01_Input'!$M$55))+IF('01_Input'!$P$55="Forfait",IF(BJ$20&gt;='01_Input'!$N$55,'01_Input'!$Q$55,0),IF('01_Input'!$P$55="Palier",IF(AND(BJ$20&gt;='01_Input'!$N$55,BJ$20&lt;'01_Input'!$O$55),'01_Input'!$Q$55,0),MAX(MIN(BJ$20,'01_Input'!$O$55)-'01_Input'!$N$55,0)*'01_Input'!$Q$55))+IF('01_Input'!$T$55="Forfait",IF(BJ$20&gt;='01_Input'!$R$55,'01_Input'!$U$55,0),IF('01_Input'!$T$55="Palier",IF(AND(BJ$20&gt;='01_Input'!$R$55,BJ$20&lt;'01_Input'!$S$55),'01_Input'!$U$55,0),MAX(MIN(BJ$20,'01_Input'!$S$55)-'01_Input'!$R$55,0)*'01_Input'!$U$55))+IF('01_Input'!$X$55="Forfait",IF(BJ$20&gt;='01_Input'!$V$55,'01_Input'!$Y$55,0),IF('01_Input'!$X$55="Palier",IF(AND(BJ$20&gt;='01_Input'!$V$55,BJ$20&lt;'01_Input'!$W$55),'01_Input'!$Y$55,0),MAX(MIN(BJ$20,'01_Input'!$W$55)-'01_Input'!$V$55,0)*'01_Input'!$Y$55))+IF('01_Input'!$AB$55="Forfait",IF(BJ$20&gt;='01_Input'!$Z$55,'01_Input'!$AC$55,0),IF('01_Input'!$AB$55="Palier",IF(AND(BJ$20&gt;='01_Input'!$Z$55,BJ$20&lt;'01_Input'!$AA$55),'01_Input'!$AC$55,0),MAX(MIN(BJ$20,'01_Input'!$AA$55)-'01_Input'!$Z$55,0)*'01_Input'!$AC$55)))))))))</f>
        <v>0</v>
      </c>
      <c r="BK23" s="25">
        <f>IF('01_Input'!$C$55="Non",0,MIN('01_Input'!$I$55,MAX('01_Input'!$H$55,IF('01_Input'!$G$55="Résiduel vs Gestion",0,IF('01_Input'!$G$55="Taux Classe sélectionnée",Distrib_Global_Classe_Selectionnee*BK$20,IF('01_Input'!$G$55="Frais KYC (paliers de 100M€)",MAX(0,Nb_Investisseurs-Nb_KYC_Gratuites_Par_Tranche*(FLOOR(BK$20/Taille_Tranche_KYC,1)+1))*Cout_Par_KYC_Supplementaire,(IF('01_Input'!$L$55="Forfait",IF(BK$20&gt;='01_Input'!$J$55,'01_Input'!$M$55,0),IF('01_Input'!$L$55="Palier",IF(AND(BK$20&gt;='01_Input'!$J$55,BK$20&lt;'01_Input'!$K$55),'01_Input'!$M$55,0),MAX(MIN(BK$20,'01_Input'!$K$55)-'01_Input'!$J$55,0)*'01_Input'!$M$55))+IF('01_Input'!$P$55="Forfait",IF(BK$20&gt;='01_Input'!$N$55,'01_Input'!$Q$55,0),IF('01_Input'!$P$55="Palier",IF(AND(BK$20&gt;='01_Input'!$N$55,BK$20&lt;'01_Input'!$O$55),'01_Input'!$Q$55,0),MAX(MIN(BK$20,'01_Input'!$O$55)-'01_Input'!$N$55,0)*'01_Input'!$Q$55))+IF('01_Input'!$T$55="Forfait",IF(BK$20&gt;='01_Input'!$R$55,'01_Input'!$U$55,0),IF('01_Input'!$T$55="Palier",IF(AND(BK$20&gt;='01_Input'!$R$55,BK$20&lt;'01_Input'!$S$55),'01_Input'!$U$55,0),MAX(MIN(BK$20,'01_Input'!$S$55)-'01_Input'!$R$55,0)*'01_Input'!$U$55))+IF('01_Input'!$X$55="Forfait",IF(BK$20&gt;='01_Input'!$V$55,'01_Input'!$Y$55,0),IF('01_Input'!$X$55="Palier",IF(AND(BK$20&gt;='01_Input'!$V$55,BK$20&lt;'01_Input'!$W$55),'01_Input'!$Y$55,0),MAX(MIN(BK$20,'01_Input'!$W$55)-'01_Input'!$V$55,0)*'01_Input'!$Y$55))+IF('01_Input'!$AB$55="Forfait",IF(BK$20&gt;='01_Input'!$Z$55,'01_Input'!$AC$55,0),IF('01_Input'!$AB$55="Palier",IF(AND(BK$20&gt;='01_Input'!$Z$55,BK$20&lt;'01_Input'!$AA$55),'01_Input'!$AC$55,0),MAX(MIN(BK$20,'01_Input'!$AA$55)-'01_Input'!$Z$55,0)*'01_Input'!$AC$55)))))))))</f>
        <v>0</v>
      </c>
      <c r="BL23" s="25">
        <f>IF('01_Input'!$C$55="Non",0,MIN('01_Input'!$I$55,MAX('01_Input'!$H$55,IF('01_Input'!$G$55="Résiduel vs Gestion",0,IF('01_Input'!$G$55="Taux Classe sélectionnée",Distrib_Global_Classe_Selectionnee*BL$20,IF('01_Input'!$G$55="Frais KYC (paliers de 100M€)",MAX(0,Nb_Investisseurs-Nb_KYC_Gratuites_Par_Tranche*(FLOOR(BL$20/Taille_Tranche_KYC,1)+1))*Cout_Par_KYC_Supplementaire,(IF('01_Input'!$L$55="Forfait",IF(BL$20&gt;='01_Input'!$J$55,'01_Input'!$M$55,0),IF('01_Input'!$L$55="Palier",IF(AND(BL$20&gt;='01_Input'!$J$55,BL$20&lt;'01_Input'!$K$55),'01_Input'!$M$55,0),MAX(MIN(BL$20,'01_Input'!$K$55)-'01_Input'!$J$55,0)*'01_Input'!$M$55))+IF('01_Input'!$P$55="Forfait",IF(BL$20&gt;='01_Input'!$N$55,'01_Input'!$Q$55,0),IF('01_Input'!$P$55="Palier",IF(AND(BL$20&gt;='01_Input'!$N$55,BL$20&lt;'01_Input'!$O$55),'01_Input'!$Q$55,0),MAX(MIN(BL$20,'01_Input'!$O$55)-'01_Input'!$N$55,0)*'01_Input'!$Q$55))+IF('01_Input'!$T$55="Forfait",IF(BL$20&gt;='01_Input'!$R$55,'01_Input'!$U$55,0),IF('01_Input'!$T$55="Palier",IF(AND(BL$20&gt;='01_Input'!$R$55,BL$20&lt;'01_Input'!$S$55),'01_Input'!$U$55,0),MAX(MIN(BL$20,'01_Input'!$S$55)-'01_Input'!$R$55,0)*'01_Input'!$U$55))+IF('01_Input'!$X$55="Forfait",IF(BL$20&gt;='01_Input'!$V$55,'01_Input'!$Y$55,0),IF('01_Input'!$X$55="Palier",IF(AND(BL$20&gt;='01_Input'!$V$55,BL$20&lt;'01_Input'!$W$55),'01_Input'!$Y$55,0),MAX(MIN(BL$20,'01_Input'!$W$55)-'01_Input'!$V$55,0)*'01_Input'!$Y$55))+IF('01_Input'!$AB$55="Forfait",IF(BL$20&gt;='01_Input'!$Z$55,'01_Input'!$AC$55,0),IF('01_Input'!$AB$55="Palier",IF(AND(BL$20&gt;='01_Input'!$Z$55,BL$20&lt;'01_Input'!$AA$55),'01_Input'!$AC$55,0),MAX(MIN(BL$20,'01_Input'!$AA$55)-'01_Input'!$Z$55,0)*'01_Input'!$AC$55)))))))))</f>
        <v>0</v>
      </c>
      <c r="BM23" s="25">
        <f>IF('01_Input'!$C$55="Non",0,MIN('01_Input'!$I$55,MAX('01_Input'!$H$55,IF('01_Input'!$G$55="Résiduel vs Gestion",0,IF('01_Input'!$G$55="Taux Classe sélectionnée",Distrib_Global_Classe_Selectionnee*BM$20,IF('01_Input'!$G$55="Frais KYC (paliers de 100M€)",MAX(0,Nb_Investisseurs-Nb_KYC_Gratuites_Par_Tranche*(FLOOR(BM$20/Taille_Tranche_KYC,1)+1))*Cout_Par_KYC_Supplementaire,(IF('01_Input'!$L$55="Forfait",IF(BM$20&gt;='01_Input'!$J$55,'01_Input'!$M$55,0),IF('01_Input'!$L$55="Palier",IF(AND(BM$20&gt;='01_Input'!$J$55,BM$20&lt;'01_Input'!$K$55),'01_Input'!$M$55,0),MAX(MIN(BM$20,'01_Input'!$K$55)-'01_Input'!$J$55,0)*'01_Input'!$M$55))+IF('01_Input'!$P$55="Forfait",IF(BM$20&gt;='01_Input'!$N$55,'01_Input'!$Q$55,0),IF('01_Input'!$P$55="Palier",IF(AND(BM$20&gt;='01_Input'!$N$55,BM$20&lt;'01_Input'!$O$55),'01_Input'!$Q$55,0),MAX(MIN(BM$20,'01_Input'!$O$55)-'01_Input'!$N$55,0)*'01_Input'!$Q$55))+IF('01_Input'!$T$55="Forfait",IF(BM$20&gt;='01_Input'!$R$55,'01_Input'!$U$55,0),IF('01_Input'!$T$55="Palier",IF(AND(BM$20&gt;='01_Input'!$R$55,BM$20&lt;'01_Input'!$S$55),'01_Input'!$U$55,0),MAX(MIN(BM$20,'01_Input'!$S$55)-'01_Input'!$R$55,0)*'01_Input'!$U$55))+IF('01_Input'!$X$55="Forfait",IF(BM$20&gt;='01_Input'!$V$55,'01_Input'!$Y$55,0),IF('01_Input'!$X$55="Palier",IF(AND(BM$20&gt;='01_Input'!$V$55,BM$20&lt;'01_Input'!$W$55),'01_Input'!$Y$55,0),MAX(MIN(BM$20,'01_Input'!$W$55)-'01_Input'!$V$55,0)*'01_Input'!$Y$55))+IF('01_Input'!$AB$55="Forfait",IF(BM$20&gt;='01_Input'!$Z$55,'01_Input'!$AC$55,0),IF('01_Input'!$AB$55="Palier",IF(AND(BM$20&gt;='01_Input'!$Z$55,BM$20&lt;'01_Input'!$AA$55),'01_Input'!$AC$55,0),MAX(MIN(BM$20,'01_Input'!$AA$55)-'01_Input'!$Z$55,0)*'01_Input'!$AC$55)))))))))</f>
        <v>0</v>
      </c>
      <c r="BN23" s="25">
        <f>IF('01_Input'!$C$55="Non",0,MIN('01_Input'!$I$55,MAX('01_Input'!$H$55,IF('01_Input'!$G$55="Résiduel vs Gestion",0,IF('01_Input'!$G$55="Taux Classe sélectionnée",Distrib_Global_Classe_Selectionnee*BN$20,IF('01_Input'!$G$55="Frais KYC (paliers de 100M€)",MAX(0,Nb_Investisseurs-Nb_KYC_Gratuites_Par_Tranche*(FLOOR(BN$20/Taille_Tranche_KYC,1)+1))*Cout_Par_KYC_Supplementaire,(IF('01_Input'!$L$55="Forfait",IF(BN$20&gt;='01_Input'!$J$55,'01_Input'!$M$55,0),IF('01_Input'!$L$55="Palier",IF(AND(BN$20&gt;='01_Input'!$J$55,BN$20&lt;'01_Input'!$K$55),'01_Input'!$M$55,0),MAX(MIN(BN$20,'01_Input'!$K$55)-'01_Input'!$J$55,0)*'01_Input'!$M$55))+IF('01_Input'!$P$55="Forfait",IF(BN$20&gt;='01_Input'!$N$55,'01_Input'!$Q$55,0),IF('01_Input'!$P$55="Palier",IF(AND(BN$20&gt;='01_Input'!$N$55,BN$20&lt;'01_Input'!$O$55),'01_Input'!$Q$55,0),MAX(MIN(BN$20,'01_Input'!$O$55)-'01_Input'!$N$55,0)*'01_Input'!$Q$55))+IF('01_Input'!$T$55="Forfait",IF(BN$20&gt;='01_Input'!$R$55,'01_Input'!$U$55,0),IF('01_Input'!$T$55="Palier",IF(AND(BN$20&gt;='01_Input'!$R$55,BN$20&lt;'01_Input'!$S$55),'01_Input'!$U$55,0),MAX(MIN(BN$20,'01_Input'!$S$55)-'01_Input'!$R$55,0)*'01_Input'!$U$55))+IF('01_Input'!$X$55="Forfait",IF(BN$20&gt;='01_Input'!$V$55,'01_Input'!$Y$55,0),IF('01_Input'!$X$55="Palier",IF(AND(BN$20&gt;='01_Input'!$V$55,BN$20&lt;'01_Input'!$W$55),'01_Input'!$Y$55,0),MAX(MIN(BN$20,'01_Input'!$W$55)-'01_Input'!$V$55,0)*'01_Input'!$Y$55))+IF('01_Input'!$AB$55="Forfait",IF(BN$20&gt;='01_Input'!$Z$55,'01_Input'!$AC$55,0),IF('01_Input'!$AB$55="Palier",IF(AND(BN$20&gt;='01_Input'!$Z$55,BN$20&lt;'01_Input'!$AA$55),'01_Input'!$AC$55,0),MAX(MIN(BN$20,'01_Input'!$AA$55)-'01_Input'!$Z$55,0)*'01_Input'!$AC$55)))))))))</f>
        <v>0</v>
      </c>
      <c r="BO23" s="25">
        <f>IF('01_Input'!$C$55="Non",0,MIN('01_Input'!$I$55,MAX('01_Input'!$H$55,IF('01_Input'!$G$55="Résiduel vs Gestion",0,IF('01_Input'!$G$55="Taux Classe sélectionnée",Distrib_Global_Classe_Selectionnee*BO$20,IF('01_Input'!$G$55="Frais KYC (paliers de 100M€)",MAX(0,Nb_Investisseurs-Nb_KYC_Gratuites_Par_Tranche*(FLOOR(BO$20/Taille_Tranche_KYC,1)+1))*Cout_Par_KYC_Supplementaire,(IF('01_Input'!$L$55="Forfait",IF(BO$20&gt;='01_Input'!$J$55,'01_Input'!$M$55,0),IF('01_Input'!$L$55="Palier",IF(AND(BO$20&gt;='01_Input'!$J$55,BO$20&lt;'01_Input'!$K$55),'01_Input'!$M$55,0),MAX(MIN(BO$20,'01_Input'!$K$55)-'01_Input'!$J$55,0)*'01_Input'!$M$55))+IF('01_Input'!$P$55="Forfait",IF(BO$20&gt;='01_Input'!$N$55,'01_Input'!$Q$55,0),IF('01_Input'!$P$55="Palier",IF(AND(BO$20&gt;='01_Input'!$N$55,BO$20&lt;'01_Input'!$O$55),'01_Input'!$Q$55,0),MAX(MIN(BO$20,'01_Input'!$O$55)-'01_Input'!$N$55,0)*'01_Input'!$Q$55))+IF('01_Input'!$T$55="Forfait",IF(BO$20&gt;='01_Input'!$R$55,'01_Input'!$U$55,0),IF('01_Input'!$T$55="Palier",IF(AND(BO$20&gt;='01_Input'!$R$55,BO$20&lt;'01_Input'!$S$55),'01_Input'!$U$55,0),MAX(MIN(BO$20,'01_Input'!$S$55)-'01_Input'!$R$55,0)*'01_Input'!$U$55))+IF('01_Input'!$X$55="Forfait",IF(BO$20&gt;='01_Input'!$V$55,'01_Input'!$Y$55,0),IF('01_Input'!$X$55="Palier",IF(AND(BO$20&gt;='01_Input'!$V$55,BO$20&lt;'01_Input'!$W$55),'01_Input'!$Y$55,0),MAX(MIN(BO$20,'01_Input'!$W$55)-'01_Input'!$V$55,0)*'01_Input'!$Y$55))+IF('01_Input'!$AB$55="Forfait",IF(BO$20&gt;='01_Input'!$Z$55,'01_Input'!$AC$55,0),IF('01_Input'!$AB$55="Palier",IF(AND(BO$20&gt;='01_Input'!$Z$55,BO$20&lt;'01_Input'!$AA$55),'01_Input'!$AC$55,0),MAX(MIN(BO$20,'01_Input'!$AA$55)-'01_Input'!$Z$55,0)*'01_Input'!$AC$55)))))))))</f>
        <v>0</v>
      </c>
      <c r="BP23" s="25">
        <f>IF('01_Input'!$C$55="Non",0,MIN('01_Input'!$I$55,MAX('01_Input'!$H$55,IF('01_Input'!$G$55="Résiduel vs Gestion",0,IF('01_Input'!$G$55="Taux Classe sélectionnée",Distrib_Global_Classe_Selectionnee*BP$20,IF('01_Input'!$G$55="Frais KYC (paliers de 100M€)",MAX(0,Nb_Investisseurs-Nb_KYC_Gratuites_Par_Tranche*(FLOOR(BP$20/Taille_Tranche_KYC,1)+1))*Cout_Par_KYC_Supplementaire,(IF('01_Input'!$L$55="Forfait",IF(BP$20&gt;='01_Input'!$J$55,'01_Input'!$M$55,0),IF('01_Input'!$L$55="Palier",IF(AND(BP$20&gt;='01_Input'!$J$55,BP$20&lt;'01_Input'!$K$55),'01_Input'!$M$55,0),MAX(MIN(BP$20,'01_Input'!$K$55)-'01_Input'!$J$55,0)*'01_Input'!$M$55))+IF('01_Input'!$P$55="Forfait",IF(BP$20&gt;='01_Input'!$N$55,'01_Input'!$Q$55,0),IF('01_Input'!$P$55="Palier",IF(AND(BP$20&gt;='01_Input'!$N$55,BP$20&lt;'01_Input'!$O$55),'01_Input'!$Q$55,0),MAX(MIN(BP$20,'01_Input'!$O$55)-'01_Input'!$N$55,0)*'01_Input'!$Q$55))+IF('01_Input'!$T$55="Forfait",IF(BP$20&gt;='01_Input'!$R$55,'01_Input'!$U$55,0),IF('01_Input'!$T$55="Palier",IF(AND(BP$20&gt;='01_Input'!$R$55,BP$20&lt;'01_Input'!$S$55),'01_Input'!$U$55,0),MAX(MIN(BP$20,'01_Input'!$S$55)-'01_Input'!$R$55,0)*'01_Input'!$U$55))+IF('01_Input'!$X$55="Forfait",IF(BP$20&gt;='01_Input'!$V$55,'01_Input'!$Y$55,0),IF('01_Input'!$X$55="Palier",IF(AND(BP$20&gt;='01_Input'!$V$55,BP$20&lt;'01_Input'!$W$55),'01_Input'!$Y$55,0),MAX(MIN(BP$20,'01_Input'!$W$55)-'01_Input'!$V$55,0)*'01_Input'!$Y$55))+IF('01_Input'!$AB$55="Forfait",IF(BP$20&gt;='01_Input'!$Z$55,'01_Input'!$AC$55,0),IF('01_Input'!$AB$55="Palier",IF(AND(BP$20&gt;='01_Input'!$Z$55,BP$20&lt;'01_Input'!$AA$55),'01_Input'!$AC$55,0),MAX(MIN(BP$20,'01_Input'!$AA$55)-'01_Input'!$Z$55,0)*'01_Input'!$AC$55)))))))))</f>
        <v>0</v>
      </c>
      <c r="BQ23" s="25">
        <f>IF('01_Input'!$C$55="Non",0,MIN('01_Input'!$I$55,MAX('01_Input'!$H$55,IF('01_Input'!$G$55="Résiduel vs Gestion",0,IF('01_Input'!$G$55="Taux Classe sélectionnée",Distrib_Global_Classe_Selectionnee*BQ$20,IF('01_Input'!$G$55="Frais KYC (paliers de 100M€)",MAX(0,Nb_Investisseurs-Nb_KYC_Gratuites_Par_Tranche*(FLOOR(BQ$20/Taille_Tranche_KYC,1)+1))*Cout_Par_KYC_Supplementaire,(IF('01_Input'!$L$55="Forfait",IF(BQ$20&gt;='01_Input'!$J$55,'01_Input'!$M$55,0),IF('01_Input'!$L$55="Palier",IF(AND(BQ$20&gt;='01_Input'!$J$55,BQ$20&lt;'01_Input'!$K$55),'01_Input'!$M$55,0),MAX(MIN(BQ$20,'01_Input'!$K$55)-'01_Input'!$J$55,0)*'01_Input'!$M$55))+IF('01_Input'!$P$55="Forfait",IF(BQ$20&gt;='01_Input'!$N$55,'01_Input'!$Q$55,0),IF('01_Input'!$P$55="Palier",IF(AND(BQ$20&gt;='01_Input'!$N$55,BQ$20&lt;'01_Input'!$O$55),'01_Input'!$Q$55,0),MAX(MIN(BQ$20,'01_Input'!$O$55)-'01_Input'!$N$55,0)*'01_Input'!$Q$55))+IF('01_Input'!$T$55="Forfait",IF(BQ$20&gt;='01_Input'!$R$55,'01_Input'!$U$55,0),IF('01_Input'!$T$55="Palier",IF(AND(BQ$20&gt;='01_Input'!$R$55,BQ$20&lt;'01_Input'!$S$55),'01_Input'!$U$55,0),MAX(MIN(BQ$20,'01_Input'!$S$55)-'01_Input'!$R$55,0)*'01_Input'!$U$55))+IF('01_Input'!$X$55="Forfait",IF(BQ$20&gt;='01_Input'!$V$55,'01_Input'!$Y$55,0),IF('01_Input'!$X$55="Palier",IF(AND(BQ$20&gt;='01_Input'!$V$55,BQ$20&lt;'01_Input'!$W$55),'01_Input'!$Y$55,0),MAX(MIN(BQ$20,'01_Input'!$W$55)-'01_Input'!$V$55,0)*'01_Input'!$Y$55))+IF('01_Input'!$AB$55="Forfait",IF(BQ$20&gt;='01_Input'!$Z$55,'01_Input'!$AC$55,0),IF('01_Input'!$AB$55="Palier",IF(AND(BQ$20&gt;='01_Input'!$Z$55,BQ$20&lt;'01_Input'!$AA$55),'01_Input'!$AC$55,0),MAX(MIN(BQ$20,'01_Input'!$AA$55)-'01_Input'!$Z$55,0)*'01_Input'!$AC$55)))))))))</f>
        <v>0</v>
      </c>
      <c r="BR23" s="25">
        <f>IF('01_Input'!$C$55="Non",0,MIN('01_Input'!$I$55,MAX('01_Input'!$H$55,IF('01_Input'!$G$55="Résiduel vs Gestion",0,IF('01_Input'!$G$55="Taux Classe sélectionnée",Distrib_Global_Classe_Selectionnee*BR$20,IF('01_Input'!$G$55="Frais KYC (paliers de 100M€)",MAX(0,Nb_Investisseurs-Nb_KYC_Gratuites_Par_Tranche*(FLOOR(BR$20/Taille_Tranche_KYC,1)+1))*Cout_Par_KYC_Supplementaire,(IF('01_Input'!$L$55="Forfait",IF(BR$20&gt;='01_Input'!$J$55,'01_Input'!$M$55,0),IF('01_Input'!$L$55="Palier",IF(AND(BR$20&gt;='01_Input'!$J$55,BR$20&lt;'01_Input'!$K$55),'01_Input'!$M$55,0),MAX(MIN(BR$20,'01_Input'!$K$55)-'01_Input'!$J$55,0)*'01_Input'!$M$55))+IF('01_Input'!$P$55="Forfait",IF(BR$20&gt;='01_Input'!$N$55,'01_Input'!$Q$55,0),IF('01_Input'!$P$55="Palier",IF(AND(BR$20&gt;='01_Input'!$N$55,BR$20&lt;'01_Input'!$O$55),'01_Input'!$Q$55,0),MAX(MIN(BR$20,'01_Input'!$O$55)-'01_Input'!$N$55,0)*'01_Input'!$Q$55))+IF('01_Input'!$T$55="Forfait",IF(BR$20&gt;='01_Input'!$R$55,'01_Input'!$U$55,0),IF('01_Input'!$T$55="Palier",IF(AND(BR$20&gt;='01_Input'!$R$55,BR$20&lt;'01_Input'!$S$55),'01_Input'!$U$55,0),MAX(MIN(BR$20,'01_Input'!$S$55)-'01_Input'!$R$55,0)*'01_Input'!$U$55))+IF('01_Input'!$X$55="Forfait",IF(BR$20&gt;='01_Input'!$V$55,'01_Input'!$Y$55,0),IF('01_Input'!$X$55="Palier",IF(AND(BR$20&gt;='01_Input'!$V$55,BR$20&lt;'01_Input'!$W$55),'01_Input'!$Y$55,0),MAX(MIN(BR$20,'01_Input'!$W$55)-'01_Input'!$V$55,0)*'01_Input'!$Y$55))+IF('01_Input'!$AB$55="Forfait",IF(BR$20&gt;='01_Input'!$Z$55,'01_Input'!$AC$55,0),IF('01_Input'!$AB$55="Palier",IF(AND(BR$20&gt;='01_Input'!$Z$55,BR$20&lt;'01_Input'!$AA$55),'01_Input'!$AC$55,0),MAX(MIN(BR$20,'01_Input'!$AA$55)-'01_Input'!$Z$55,0)*'01_Input'!$AC$55)))))))))</f>
        <v>0</v>
      </c>
      <c r="BS23" s="25">
        <f>IF('01_Input'!$C$55="Non",0,MIN('01_Input'!$I$55,MAX('01_Input'!$H$55,IF('01_Input'!$G$55="Résiduel vs Gestion",0,IF('01_Input'!$G$55="Taux Classe sélectionnée",Distrib_Global_Classe_Selectionnee*BS$20,IF('01_Input'!$G$55="Frais KYC (paliers de 100M€)",MAX(0,Nb_Investisseurs-Nb_KYC_Gratuites_Par_Tranche*(FLOOR(BS$20/Taille_Tranche_KYC,1)+1))*Cout_Par_KYC_Supplementaire,(IF('01_Input'!$L$55="Forfait",IF(BS$20&gt;='01_Input'!$J$55,'01_Input'!$M$55,0),IF('01_Input'!$L$55="Palier",IF(AND(BS$20&gt;='01_Input'!$J$55,BS$20&lt;'01_Input'!$K$55),'01_Input'!$M$55,0),MAX(MIN(BS$20,'01_Input'!$K$55)-'01_Input'!$J$55,0)*'01_Input'!$M$55))+IF('01_Input'!$P$55="Forfait",IF(BS$20&gt;='01_Input'!$N$55,'01_Input'!$Q$55,0),IF('01_Input'!$P$55="Palier",IF(AND(BS$20&gt;='01_Input'!$N$55,BS$20&lt;'01_Input'!$O$55),'01_Input'!$Q$55,0),MAX(MIN(BS$20,'01_Input'!$O$55)-'01_Input'!$N$55,0)*'01_Input'!$Q$55))+IF('01_Input'!$T$55="Forfait",IF(BS$20&gt;='01_Input'!$R$55,'01_Input'!$U$55,0),IF('01_Input'!$T$55="Palier",IF(AND(BS$20&gt;='01_Input'!$R$55,BS$20&lt;'01_Input'!$S$55),'01_Input'!$U$55,0),MAX(MIN(BS$20,'01_Input'!$S$55)-'01_Input'!$R$55,0)*'01_Input'!$U$55))+IF('01_Input'!$X$55="Forfait",IF(BS$20&gt;='01_Input'!$V$55,'01_Input'!$Y$55,0),IF('01_Input'!$X$55="Palier",IF(AND(BS$20&gt;='01_Input'!$V$55,BS$20&lt;'01_Input'!$W$55),'01_Input'!$Y$55,0),MAX(MIN(BS$20,'01_Input'!$W$55)-'01_Input'!$V$55,0)*'01_Input'!$Y$55))+IF('01_Input'!$AB$55="Forfait",IF(BS$20&gt;='01_Input'!$Z$55,'01_Input'!$AC$55,0),IF('01_Input'!$AB$55="Palier",IF(AND(BS$20&gt;='01_Input'!$Z$55,BS$20&lt;'01_Input'!$AA$55),'01_Input'!$AC$55,0),MAX(MIN(BS$20,'01_Input'!$AA$55)-'01_Input'!$Z$55,0)*'01_Input'!$AC$55)))))))))</f>
        <v>0</v>
      </c>
      <c r="BT23" s="25">
        <f>IF('01_Input'!$C$55="Non",0,MIN('01_Input'!$I$55,MAX('01_Input'!$H$55,IF('01_Input'!$G$55="Résiduel vs Gestion",0,IF('01_Input'!$G$55="Taux Classe sélectionnée",Distrib_Global_Classe_Selectionnee*BT$20,IF('01_Input'!$G$55="Frais KYC (paliers de 100M€)",MAX(0,Nb_Investisseurs-Nb_KYC_Gratuites_Par_Tranche*(FLOOR(BT$20/Taille_Tranche_KYC,1)+1))*Cout_Par_KYC_Supplementaire,(IF('01_Input'!$L$55="Forfait",IF(BT$20&gt;='01_Input'!$J$55,'01_Input'!$M$55,0),IF('01_Input'!$L$55="Palier",IF(AND(BT$20&gt;='01_Input'!$J$55,BT$20&lt;'01_Input'!$K$55),'01_Input'!$M$55,0),MAX(MIN(BT$20,'01_Input'!$K$55)-'01_Input'!$J$55,0)*'01_Input'!$M$55))+IF('01_Input'!$P$55="Forfait",IF(BT$20&gt;='01_Input'!$N$55,'01_Input'!$Q$55,0),IF('01_Input'!$P$55="Palier",IF(AND(BT$20&gt;='01_Input'!$N$55,BT$20&lt;'01_Input'!$O$55),'01_Input'!$Q$55,0),MAX(MIN(BT$20,'01_Input'!$O$55)-'01_Input'!$N$55,0)*'01_Input'!$Q$55))+IF('01_Input'!$T$55="Forfait",IF(BT$20&gt;='01_Input'!$R$55,'01_Input'!$U$55,0),IF('01_Input'!$T$55="Palier",IF(AND(BT$20&gt;='01_Input'!$R$55,BT$20&lt;'01_Input'!$S$55),'01_Input'!$U$55,0),MAX(MIN(BT$20,'01_Input'!$S$55)-'01_Input'!$R$55,0)*'01_Input'!$U$55))+IF('01_Input'!$X$55="Forfait",IF(BT$20&gt;='01_Input'!$V$55,'01_Input'!$Y$55,0),IF('01_Input'!$X$55="Palier",IF(AND(BT$20&gt;='01_Input'!$V$55,BT$20&lt;'01_Input'!$W$55),'01_Input'!$Y$55,0),MAX(MIN(BT$20,'01_Input'!$W$55)-'01_Input'!$V$55,0)*'01_Input'!$Y$55))+IF('01_Input'!$AB$55="Forfait",IF(BT$20&gt;='01_Input'!$Z$55,'01_Input'!$AC$55,0),IF('01_Input'!$AB$55="Palier",IF(AND(BT$20&gt;='01_Input'!$Z$55,BT$20&lt;'01_Input'!$AA$55),'01_Input'!$AC$55,0),MAX(MIN(BT$20,'01_Input'!$AA$55)-'01_Input'!$Z$55,0)*'01_Input'!$AC$55)))))))))</f>
        <v>0</v>
      </c>
      <c r="BU23" s="25">
        <f>IF('01_Input'!$C$55="Non",0,MIN('01_Input'!$I$55,MAX('01_Input'!$H$55,IF('01_Input'!$G$55="Résiduel vs Gestion",0,IF('01_Input'!$G$55="Taux Classe sélectionnée",Distrib_Global_Classe_Selectionnee*BU$20,IF('01_Input'!$G$55="Frais KYC (paliers de 100M€)",MAX(0,Nb_Investisseurs-Nb_KYC_Gratuites_Par_Tranche*(FLOOR(BU$20/Taille_Tranche_KYC,1)+1))*Cout_Par_KYC_Supplementaire,(IF('01_Input'!$L$55="Forfait",IF(BU$20&gt;='01_Input'!$J$55,'01_Input'!$M$55,0),IF('01_Input'!$L$55="Palier",IF(AND(BU$20&gt;='01_Input'!$J$55,BU$20&lt;'01_Input'!$K$55),'01_Input'!$M$55,0),MAX(MIN(BU$20,'01_Input'!$K$55)-'01_Input'!$J$55,0)*'01_Input'!$M$55))+IF('01_Input'!$P$55="Forfait",IF(BU$20&gt;='01_Input'!$N$55,'01_Input'!$Q$55,0),IF('01_Input'!$P$55="Palier",IF(AND(BU$20&gt;='01_Input'!$N$55,BU$20&lt;'01_Input'!$O$55),'01_Input'!$Q$55,0),MAX(MIN(BU$20,'01_Input'!$O$55)-'01_Input'!$N$55,0)*'01_Input'!$Q$55))+IF('01_Input'!$T$55="Forfait",IF(BU$20&gt;='01_Input'!$R$55,'01_Input'!$U$55,0),IF('01_Input'!$T$55="Palier",IF(AND(BU$20&gt;='01_Input'!$R$55,BU$20&lt;'01_Input'!$S$55),'01_Input'!$U$55,0),MAX(MIN(BU$20,'01_Input'!$S$55)-'01_Input'!$R$55,0)*'01_Input'!$U$55))+IF('01_Input'!$X$55="Forfait",IF(BU$20&gt;='01_Input'!$V$55,'01_Input'!$Y$55,0),IF('01_Input'!$X$55="Palier",IF(AND(BU$20&gt;='01_Input'!$V$55,BU$20&lt;'01_Input'!$W$55),'01_Input'!$Y$55,0),MAX(MIN(BU$20,'01_Input'!$W$55)-'01_Input'!$V$55,0)*'01_Input'!$Y$55))+IF('01_Input'!$AB$55="Forfait",IF(BU$20&gt;='01_Input'!$Z$55,'01_Input'!$AC$55,0),IF('01_Input'!$AB$55="Palier",IF(AND(BU$20&gt;='01_Input'!$Z$55,BU$20&lt;'01_Input'!$AA$55),'01_Input'!$AC$55,0),MAX(MIN(BU$20,'01_Input'!$AA$55)-'01_Input'!$Z$55,0)*'01_Input'!$AC$55)))))))))</f>
        <v>0</v>
      </c>
      <c r="BV23" s="25">
        <f>IF('01_Input'!$C$55="Non",0,MIN('01_Input'!$I$55,MAX('01_Input'!$H$55,IF('01_Input'!$G$55="Résiduel vs Gestion",0,IF('01_Input'!$G$55="Taux Classe sélectionnée",Distrib_Global_Classe_Selectionnee*BV$20,IF('01_Input'!$G$55="Frais KYC (paliers de 100M€)",MAX(0,Nb_Investisseurs-Nb_KYC_Gratuites_Par_Tranche*(FLOOR(BV$20/Taille_Tranche_KYC,1)+1))*Cout_Par_KYC_Supplementaire,(IF('01_Input'!$L$55="Forfait",IF(BV$20&gt;='01_Input'!$J$55,'01_Input'!$M$55,0),IF('01_Input'!$L$55="Palier",IF(AND(BV$20&gt;='01_Input'!$J$55,BV$20&lt;'01_Input'!$K$55),'01_Input'!$M$55,0),MAX(MIN(BV$20,'01_Input'!$K$55)-'01_Input'!$J$55,0)*'01_Input'!$M$55))+IF('01_Input'!$P$55="Forfait",IF(BV$20&gt;='01_Input'!$N$55,'01_Input'!$Q$55,0),IF('01_Input'!$P$55="Palier",IF(AND(BV$20&gt;='01_Input'!$N$55,BV$20&lt;'01_Input'!$O$55),'01_Input'!$Q$55,0),MAX(MIN(BV$20,'01_Input'!$O$55)-'01_Input'!$N$55,0)*'01_Input'!$Q$55))+IF('01_Input'!$T$55="Forfait",IF(BV$20&gt;='01_Input'!$R$55,'01_Input'!$U$55,0),IF('01_Input'!$T$55="Palier",IF(AND(BV$20&gt;='01_Input'!$R$55,BV$20&lt;'01_Input'!$S$55),'01_Input'!$U$55,0),MAX(MIN(BV$20,'01_Input'!$S$55)-'01_Input'!$R$55,0)*'01_Input'!$U$55))+IF('01_Input'!$X$55="Forfait",IF(BV$20&gt;='01_Input'!$V$55,'01_Input'!$Y$55,0),IF('01_Input'!$X$55="Palier",IF(AND(BV$20&gt;='01_Input'!$V$55,BV$20&lt;'01_Input'!$W$55),'01_Input'!$Y$55,0),MAX(MIN(BV$20,'01_Input'!$W$55)-'01_Input'!$V$55,0)*'01_Input'!$Y$55))+IF('01_Input'!$AB$55="Forfait",IF(BV$20&gt;='01_Input'!$Z$55,'01_Input'!$AC$55,0),IF('01_Input'!$AB$55="Palier",IF(AND(BV$20&gt;='01_Input'!$Z$55,BV$20&lt;'01_Input'!$AA$55),'01_Input'!$AC$55,0),MAX(MIN(BV$20,'01_Input'!$AA$55)-'01_Input'!$Z$55,0)*'01_Input'!$AC$55)))))))))</f>
        <v>0</v>
      </c>
      <c r="BW23" s="25">
        <f>IF('01_Input'!$C$55="Non",0,MIN('01_Input'!$I$55,MAX('01_Input'!$H$55,IF('01_Input'!$G$55="Résiduel vs Gestion",0,IF('01_Input'!$G$55="Taux Classe sélectionnée",Distrib_Global_Classe_Selectionnee*BW$20,IF('01_Input'!$G$55="Frais KYC (paliers de 100M€)",MAX(0,Nb_Investisseurs-Nb_KYC_Gratuites_Par_Tranche*(FLOOR(BW$20/Taille_Tranche_KYC,1)+1))*Cout_Par_KYC_Supplementaire,(IF('01_Input'!$L$55="Forfait",IF(BW$20&gt;='01_Input'!$J$55,'01_Input'!$M$55,0),IF('01_Input'!$L$55="Palier",IF(AND(BW$20&gt;='01_Input'!$J$55,BW$20&lt;'01_Input'!$K$55),'01_Input'!$M$55,0),MAX(MIN(BW$20,'01_Input'!$K$55)-'01_Input'!$J$55,0)*'01_Input'!$M$55))+IF('01_Input'!$P$55="Forfait",IF(BW$20&gt;='01_Input'!$N$55,'01_Input'!$Q$55,0),IF('01_Input'!$P$55="Palier",IF(AND(BW$20&gt;='01_Input'!$N$55,BW$20&lt;'01_Input'!$O$55),'01_Input'!$Q$55,0),MAX(MIN(BW$20,'01_Input'!$O$55)-'01_Input'!$N$55,0)*'01_Input'!$Q$55))+IF('01_Input'!$T$55="Forfait",IF(BW$20&gt;='01_Input'!$R$55,'01_Input'!$U$55,0),IF('01_Input'!$T$55="Palier",IF(AND(BW$20&gt;='01_Input'!$R$55,BW$20&lt;'01_Input'!$S$55),'01_Input'!$U$55,0),MAX(MIN(BW$20,'01_Input'!$S$55)-'01_Input'!$R$55,0)*'01_Input'!$U$55))+IF('01_Input'!$X$55="Forfait",IF(BW$20&gt;='01_Input'!$V$55,'01_Input'!$Y$55,0),IF('01_Input'!$X$55="Palier",IF(AND(BW$20&gt;='01_Input'!$V$55,BW$20&lt;'01_Input'!$W$55),'01_Input'!$Y$55,0),MAX(MIN(BW$20,'01_Input'!$W$55)-'01_Input'!$V$55,0)*'01_Input'!$Y$55))+IF('01_Input'!$AB$55="Forfait",IF(BW$20&gt;='01_Input'!$Z$55,'01_Input'!$AC$55,0),IF('01_Input'!$AB$55="Palier",IF(AND(BW$20&gt;='01_Input'!$Z$55,BW$20&lt;'01_Input'!$AA$55),'01_Input'!$AC$55,0),MAX(MIN(BW$20,'01_Input'!$AA$55)-'01_Input'!$Z$55,0)*'01_Input'!$AC$55)))))))))</f>
        <v>0</v>
      </c>
      <c r="BX23" s="25">
        <f>IF('01_Input'!$C$55="Non",0,MIN('01_Input'!$I$55,MAX('01_Input'!$H$55,IF('01_Input'!$G$55="Résiduel vs Gestion",0,IF('01_Input'!$G$55="Taux Classe sélectionnée",Distrib_Global_Classe_Selectionnee*BX$20,IF('01_Input'!$G$55="Frais KYC (paliers de 100M€)",MAX(0,Nb_Investisseurs-Nb_KYC_Gratuites_Par_Tranche*(FLOOR(BX$20/Taille_Tranche_KYC,1)+1))*Cout_Par_KYC_Supplementaire,(IF('01_Input'!$L$55="Forfait",IF(BX$20&gt;='01_Input'!$J$55,'01_Input'!$M$55,0),IF('01_Input'!$L$55="Palier",IF(AND(BX$20&gt;='01_Input'!$J$55,BX$20&lt;'01_Input'!$K$55),'01_Input'!$M$55,0),MAX(MIN(BX$20,'01_Input'!$K$55)-'01_Input'!$J$55,0)*'01_Input'!$M$55))+IF('01_Input'!$P$55="Forfait",IF(BX$20&gt;='01_Input'!$N$55,'01_Input'!$Q$55,0),IF('01_Input'!$P$55="Palier",IF(AND(BX$20&gt;='01_Input'!$N$55,BX$20&lt;'01_Input'!$O$55),'01_Input'!$Q$55,0),MAX(MIN(BX$20,'01_Input'!$O$55)-'01_Input'!$N$55,0)*'01_Input'!$Q$55))+IF('01_Input'!$T$55="Forfait",IF(BX$20&gt;='01_Input'!$R$55,'01_Input'!$U$55,0),IF('01_Input'!$T$55="Palier",IF(AND(BX$20&gt;='01_Input'!$R$55,BX$20&lt;'01_Input'!$S$55),'01_Input'!$U$55,0),MAX(MIN(BX$20,'01_Input'!$S$55)-'01_Input'!$R$55,0)*'01_Input'!$U$55))+IF('01_Input'!$X$55="Forfait",IF(BX$20&gt;='01_Input'!$V$55,'01_Input'!$Y$55,0),IF('01_Input'!$X$55="Palier",IF(AND(BX$20&gt;='01_Input'!$V$55,BX$20&lt;'01_Input'!$W$55),'01_Input'!$Y$55,0),MAX(MIN(BX$20,'01_Input'!$W$55)-'01_Input'!$V$55,0)*'01_Input'!$Y$55))+IF('01_Input'!$AB$55="Forfait",IF(BX$20&gt;='01_Input'!$Z$55,'01_Input'!$AC$55,0),IF('01_Input'!$AB$55="Palier",IF(AND(BX$20&gt;='01_Input'!$Z$55,BX$20&lt;'01_Input'!$AA$55),'01_Input'!$AC$55,0),MAX(MIN(BX$20,'01_Input'!$AA$55)-'01_Input'!$Z$55,0)*'01_Input'!$AC$55)))))))))</f>
        <v>0</v>
      </c>
      <c r="BY23" s="25">
        <f>IF('01_Input'!$C$55="Non",0,MIN('01_Input'!$I$55,MAX('01_Input'!$H$55,IF('01_Input'!$G$55="Résiduel vs Gestion",0,IF('01_Input'!$G$55="Taux Classe sélectionnée",Distrib_Global_Classe_Selectionnee*BY$20,IF('01_Input'!$G$55="Frais KYC (paliers de 100M€)",MAX(0,Nb_Investisseurs-Nb_KYC_Gratuites_Par_Tranche*(FLOOR(BY$20/Taille_Tranche_KYC,1)+1))*Cout_Par_KYC_Supplementaire,(IF('01_Input'!$L$55="Forfait",IF(BY$20&gt;='01_Input'!$J$55,'01_Input'!$M$55,0),IF('01_Input'!$L$55="Palier",IF(AND(BY$20&gt;='01_Input'!$J$55,BY$20&lt;'01_Input'!$K$55),'01_Input'!$M$55,0),MAX(MIN(BY$20,'01_Input'!$K$55)-'01_Input'!$J$55,0)*'01_Input'!$M$55))+IF('01_Input'!$P$55="Forfait",IF(BY$20&gt;='01_Input'!$N$55,'01_Input'!$Q$55,0),IF('01_Input'!$P$55="Palier",IF(AND(BY$20&gt;='01_Input'!$N$55,BY$20&lt;'01_Input'!$O$55),'01_Input'!$Q$55,0),MAX(MIN(BY$20,'01_Input'!$O$55)-'01_Input'!$N$55,0)*'01_Input'!$Q$55))+IF('01_Input'!$T$55="Forfait",IF(BY$20&gt;='01_Input'!$R$55,'01_Input'!$U$55,0),IF('01_Input'!$T$55="Palier",IF(AND(BY$20&gt;='01_Input'!$R$55,BY$20&lt;'01_Input'!$S$55),'01_Input'!$U$55,0),MAX(MIN(BY$20,'01_Input'!$S$55)-'01_Input'!$R$55,0)*'01_Input'!$U$55))+IF('01_Input'!$X$55="Forfait",IF(BY$20&gt;='01_Input'!$V$55,'01_Input'!$Y$55,0),IF('01_Input'!$X$55="Palier",IF(AND(BY$20&gt;='01_Input'!$V$55,BY$20&lt;'01_Input'!$W$55),'01_Input'!$Y$55,0),MAX(MIN(BY$20,'01_Input'!$W$55)-'01_Input'!$V$55,0)*'01_Input'!$Y$55))+IF('01_Input'!$AB$55="Forfait",IF(BY$20&gt;='01_Input'!$Z$55,'01_Input'!$AC$55,0),IF('01_Input'!$AB$55="Palier",IF(AND(BY$20&gt;='01_Input'!$Z$55,BY$20&lt;'01_Input'!$AA$55),'01_Input'!$AC$55,0),MAX(MIN(BY$20,'01_Input'!$AA$55)-'01_Input'!$Z$55,0)*'01_Input'!$AC$55)))))))))</f>
        <v>0</v>
      </c>
      <c r="BZ23" s="25">
        <f>IF('01_Input'!$C$55="Non",0,MIN('01_Input'!$I$55,MAX('01_Input'!$H$55,IF('01_Input'!$G$55="Résiduel vs Gestion",0,IF('01_Input'!$G$55="Taux Classe sélectionnée",Distrib_Global_Classe_Selectionnee*BZ$20,IF('01_Input'!$G$55="Frais KYC (paliers de 100M€)",MAX(0,Nb_Investisseurs-Nb_KYC_Gratuites_Par_Tranche*(FLOOR(BZ$20/Taille_Tranche_KYC,1)+1))*Cout_Par_KYC_Supplementaire,(IF('01_Input'!$L$55="Forfait",IF(BZ$20&gt;='01_Input'!$J$55,'01_Input'!$M$55,0),IF('01_Input'!$L$55="Palier",IF(AND(BZ$20&gt;='01_Input'!$J$55,BZ$20&lt;'01_Input'!$K$55),'01_Input'!$M$55,0),MAX(MIN(BZ$20,'01_Input'!$K$55)-'01_Input'!$J$55,0)*'01_Input'!$M$55))+IF('01_Input'!$P$55="Forfait",IF(BZ$20&gt;='01_Input'!$N$55,'01_Input'!$Q$55,0),IF('01_Input'!$P$55="Palier",IF(AND(BZ$20&gt;='01_Input'!$N$55,BZ$20&lt;'01_Input'!$O$55),'01_Input'!$Q$55,0),MAX(MIN(BZ$20,'01_Input'!$O$55)-'01_Input'!$N$55,0)*'01_Input'!$Q$55))+IF('01_Input'!$T$55="Forfait",IF(BZ$20&gt;='01_Input'!$R$55,'01_Input'!$U$55,0),IF('01_Input'!$T$55="Palier",IF(AND(BZ$20&gt;='01_Input'!$R$55,BZ$20&lt;'01_Input'!$S$55),'01_Input'!$U$55,0),MAX(MIN(BZ$20,'01_Input'!$S$55)-'01_Input'!$R$55,0)*'01_Input'!$U$55))+IF('01_Input'!$X$55="Forfait",IF(BZ$20&gt;='01_Input'!$V$55,'01_Input'!$Y$55,0),IF('01_Input'!$X$55="Palier",IF(AND(BZ$20&gt;='01_Input'!$V$55,BZ$20&lt;'01_Input'!$W$55),'01_Input'!$Y$55,0),MAX(MIN(BZ$20,'01_Input'!$W$55)-'01_Input'!$V$55,0)*'01_Input'!$Y$55))+IF('01_Input'!$AB$55="Forfait",IF(BZ$20&gt;='01_Input'!$Z$55,'01_Input'!$AC$55,0),IF('01_Input'!$AB$55="Palier",IF(AND(BZ$20&gt;='01_Input'!$Z$55,BZ$20&lt;'01_Input'!$AA$55),'01_Input'!$AC$55,0),MAX(MIN(BZ$20,'01_Input'!$AA$55)-'01_Input'!$Z$55,0)*'01_Input'!$AC$55)))))))))</f>
        <v>0</v>
      </c>
      <c r="CA23" s="25">
        <f>IF('01_Input'!$C$55="Non",0,MIN('01_Input'!$I$55,MAX('01_Input'!$H$55,IF('01_Input'!$G$55="Résiduel vs Gestion",0,IF('01_Input'!$G$55="Taux Classe sélectionnée",Distrib_Global_Classe_Selectionnee*CA$20,IF('01_Input'!$G$55="Frais KYC (paliers de 100M€)",MAX(0,Nb_Investisseurs-Nb_KYC_Gratuites_Par_Tranche*(FLOOR(CA$20/Taille_Tranche_KYC,1)+1))*Cout_Par_KYC_Supplementaire,(IF('01_Input'!$L$55="Forfait",IF(CA$20&gt;='01_Input'!$J$55,'01_Input'!$M$55,0),IF('01_Input'!$L$55="Palier",IF(AND(CA$20&gt;='01_Input'!$J$55,CA$20&lt;'01_Input'!$K$55),'01_Input'!$M$55,0),MAX(MIN(CA$20,'01_Input'!$K$55)-'01_Input'!$J$55,0)*'01_Input'!$M$55))+IF('01_Input'!$P$55="Forfait",IF(CA$20&gt;='01_Input'!$N$55,'01_Input'!$Q$55,0),IF('01_Input'!$P$55="Palier",IF(AND(CA$20&gt;='01_Input'!$N$55,CA$20&lt;'01_Input'!$O$55),'01_Input'!$Q$55,0),MAX(MIN(CA$20,'01_Input'!$O$55)-'01_Input'!$N$55,0)*'01_Input'!$Q$55))+IF('01_Input'!$T$55="Forfait",IF(CA$20&gt;='01_Input'!$R$55,'01_Input'!$U$55,0),IF('01_Input'!$T$55="Palier",IF(AND(CA$20&gt;='01_Input'!$R$55,CA$20&lt;'01_Input'!$S$55),'01_Input'!$U$55,0),MAX(MIN(CA$20,'01_Input'!$S$55)-'01_Input'!$R$55,0)*'01_Input'!$U$55))+IF('01_Input'!$X$55="Forfait",IF(CA$20&gt;='01_Input'!$V$55,'01_Input'!$Y$55,0),IF('01_Input'!$X$55="Palier",IF(AND(CA$20&gt;='01_Input'!$V$55,CA$20&lt;'01_Input'!$W$55),'01_Input'!$Y$55,0),MAX(MIN(CA$20,'01_Input'!$W$55)-'01_Input'!$V$55,0)*'01_Input'!$Y$55))+IF('01_Input'!$AB$55="Forfait",IF(CA$20&gt;='01_Input'!$Z$55,'01_Input'!$AC$55,0),IF('01_Input'!$AB$55="Palier",IF(AND(CA$20&gt;='01_Input'!$Z$55,CA$20&lt;'01_Input'!$AA$55),'01_Input'!$AC$55,0),MAX(MIN(CA$20,'01_Input'!$AA$55)-'01_Input'!$Z$55,0)*'01_Input'!$AC$55)))))))))</f>
        <v>0</v>
      </c>
      <c r="CB23" s="25">
        <f>IF('01_Input'!$C$55="Non",0,MIN('01_Input'!$I$55,MAX('01_Input'!$H$55,IF('01_Input'!$G$55="Résiduel vs Gestion",0,IF('01_Input'!$G$55="Taux Classe sélectionnée",Distrib_Global_Classe_Selectionnee*CB$20,IF('01_Input'!$G$55="Frais KYC (paliers de 100M€)",MAX(0,Nb_Investisseurs-Nb_KYC_Gratuites_Par_Tranche*(FLOOR(CB$20/Taille_Tranche_KYC,1)+1))*Cout_Par_KYC_Supplementaire,(IF('01_Input'!$L$55="Forfait",IF(CB$20&gt;='01_Input'!$J$55,'01_Input'!$M$55,0),IF('01_Input'!$L$55="Palier",IF(AND(CB$20&gt;='01_Input'!$J$55,CB$20&lt;'01_Input'!$K$55),'01_Input'!$M$55,0),MAX(MIN(CB$20,'01_Input'!$K$55)-'01_Input'!$J$55,0)*'01_Input'!$M$55))+IF('01_Input'!$P$55="Forfait",IF(CB$20&gt;='01_Input'!$N$55,'01_Input'!$Q$55,0),IF('01_Input'!$P$55="Palier",IF(AND(CB$20&gt;='01_Input'!$N$55,CB$20&lt;'01_Input'!$O$55),'01_Input'!$Q$55,0),MAX(MIN(CB$20,'01_Input'!$O$55)-'01_Input'!$N$55,0)*'01_Input'!$Q$55))+IF('01_Input'!$T$55="Forfait",IF(CB$20&gt;='01_Input'!$R$55,'01_Input'!$U$55,0),IF('01_Input'!$T$55="Palier",IF(AND(CB$20&gt;='01_Input'!$R$55,CB$20&lt;'01_Input'!$S$55),'01_Input'!$U$55,0),MAX(MIN(CB$20,'01_Input'!$S$55)-'01_Input'!$R$55,0)*'01_Input'!$U$55))+IF('01_Input'!$X$55="Forfait",IF(CB$20&gt;='01_Input'!$V$55,'01_Input'!$Y$55,0),IF('01_Input'!$X$55="Palier",IF(AND(CB$20&gt;='01_Input'!$V$55,CB$20&lt;'01_Input'!$W$55),'01_Input'!$Y$55,0),MAX(MIN(CB$20,'01_Input'!$W$55)-'01_Input'!$V$55,0)*'01_Input'!$Y$55))+IF('01_Input'!$AB$55="Forfait",IF(CB$20&gt;='01_Input'!$Z$55,'01_Input'!$AC$55,0),IF('01_Input'!$AB$55="Palier",IF(AND(CB$20&gt;='01_Input'!$Z$55,CB$20&lt;'01_Input'!$AA$55),'01_Input'!$AC$55,0),MAX(MIN(CB$20,'01_Input'!$AA$55)-'01_Input'!$Z$55,0)*'01_Input'!$AC$55)))))))))</f>
        <v>0</v>
      </c>
      <c r="CC23" s="25">
        <f>IF('01_Input'!$C$55="Non",0,MIN('01_Input'!$I$55,MAX('01_Input'!$H$55,IF('01_Input'!$G$55="Résiduel vs Gestion",0,IF('01_Input'!$G$55="Taux Classe sélectionnée",Distrib_Global_Classe_Selectionnee*CC$20,IF('01_Input'!$G$55="Frais KYC (paliers de 100M€)",MAX(0,Nb_Investisseurs-Nb_KYC_Gratuites_Par_Tranche*(FLOOR(CC$20/Taille_Tranche_KYC,1)+1))*Cout_Par_KYC_Supplementaire,(IF('01_Input'!$L$55="Forfait",IF(CC$20&gt;='01_Input'!$J$55,'01_Input'!$M$55,0),IF('01_Input'!$L$55="Palier",IF(AND(CC$20&gt;='01_Input'!$J$55,CC$20&lt;'01_Input'!$K$55),'01_Input'!$M$55,0),MAX(MIN(CC$20,'01_Input'!$K$55)-'01_Input'!$J$55,0)*'01_Input'!$M$55))+IF('01_Input'!$P$55="Forfait",IF(CC$20&gt;='01_Input'!$N$55,'01_Input'!$Q$55,0),IF('01_Input'!$P$55="Palier",IF(AND(CC$20&gt;='01_Input'!$N$55,CC$20&lt;'01_Input'!$O$55),'01_Input'!$Q$55,0),MAX(MIN(CC$20,'01_Input'!$O$55)-'01_Input'!$N$55,0)*'01_Input'!$Q$55))+IF('01_Input'!$T$55="Forfait",IF(CC$20&gt;='01_Input'!$R$55,'01_Input'!$U$55,0),IF('01_Input'!$T$55="Palier",IF(AND(CC$20&gt;='01_Input'!$R$55,CC$20&lt;'01_Input'!$S$55),'01_Input'!$U$55,0),MAX(MIN(CC$20,'01_Input'!$S$55)-'01_Input'!$R$55,0)*'01_Input'!$U$55))+IF('01_Input'!$X$55="Forfait",IF(CC$20&gt;='01_Input'!$V$55,'01_Input'!$Y$55,0),IF('01_Input'!$X$55="Palier",IF(AND(CC$20&gt;='01_Input'!$V$55,CC$20&lt;'01_Input'!$W$55),'01_Input'!$Y$55,0),MAX(MIN(CC$20,'01_Input'!$W$55)-'01_Input'!$V$55,0)*'01_Input'!$Y$55))+IF('01_Input'!$AB$55="Forfait",IF(CC$20&gt;='01_Input'!$Z$55,'01_Input'!$AC$55,0),IF('01_Input'!$AB$55="Palier",IF(AND(CC$20&gt;='01_Input'!$Z$55,CC$20&lt;'01_Input'!$AA$55),'01_Input'!$AC$55,0),MAX(MIN(CC$20,'01_Input'!$AA$55)-'01_Input'!$Z$55,0)*'01_Input'!$AC$55)))))))))</f>
        <v>0</v>
      </c>
      <c r="CD23" s="25">
        <f>IF('01_Input'!$C$55="Non",0,MIN('01_Input'!$I$55,MAX('01_Input'!$H$55,IF('01_Input'!$G$55="Résiduel vs Gestion",0,IF('01_Input'!$G$55="Taux Classe sélectionnée",Distrib_Global_Classe_Selectionnee*CD$20,IF('01_Input'!$G$55="Frais KYC (paliers de 100M€)",MAX(0,Nb_Investisseurs-Nb_KYC_Gratuites_Par_Tranche*(FLOOR(CD$20/Taille_Tranche_KYC,1)+1))*Cout_Par_KYC_Supplementaire,(IF('01_Input'!$L$55="Forfait",IF(CD$20&gt;='01_Input'!$J$55,'01_Input'!$M$55,0),IF('01_Input'!$L$55="Palier",IF(AND(CD$20&gt;='01_Input'!$J$55,CD$20&lt;'01_Input'!$K$55),'01_Input'!$M$55,0),MAX(MIN(CD$20,'01_Input'!$K$55)-'01_Input'!$J$55,0)*'01_Input'!$M$55))+IF('01_Input'!$P$55="Forfait",IF(CD$20&gt;='01_Input'!$N$55,'01_Input'!$Q$55,0),IF('01_Input'!$P$55="Palier",IF(AND(CD$20&gt;='01_Input'!$N$55,CD$20&lt;'01_Input'!$O$55),'01_Input'!$Q$55,0),MAX(MIN(CD$20,'01_Input'!$O$55)-'01_Input'!$N$55,0)*'01_Input'!$Q$55))+IF('01_Input'!$T$55="Forfait",IF(CD$20&gt;='01_Input'!$R$55,'01_Input'!$U$55,0),IF('01_Input'!$T$55="Palier",IF(AND(CD$20&gt;='01_Input'!$R$55,CD$20&lt;'01_Input'!$S$55),'01_Input'!$U$55,0),MAX(MIN(CD$20,'01_Input'!$S$55)-'01_Input'!$R$55,0)*'01_Input'!$U$55))+IF('01_Input'!$X$55="Forfait",IF(CD$20&gt;='01_Input'!$V$55,'01_Input'!$Y$55,0),IF('01_Input'!$X$55="Palier",IF(AND(CD$20&gt;='01_Input'!$V$55,CD$20&lt;'01_Input'!$W$55),'01_Input'!$Y$55,0),MAX(MIN(CD$20,'01_Input'!$W$55)-'01_Input'!$V$55,0)*'01_Input'!$Y$55))+IF('01_Input'!$AB$55="Forfait",IF(CD$20&gt;='01_Input'!$Z$55,'01_Input'!$AC$55,0),IF('01_Input'!$AB$55="Palier",IF(AND(CD$20&gt;='01_Input'!$Z$55,CD$20&lt;'01_Input'!$AA$55),'01_Input'!$AC$55,0),MAX(MIN(CD$20,'01_Input'!$AA$55)-'01_Input'!$Z$55,0)*'01_Input'!$AC$55)))))))))</f>
        <v>0</v>
      </c>
      <c r="CE23" s="25">
        <f>IF('01_Input'!$C$55="Non",0,MIN('01_Input'!$I$55,MAX('01_Input'!$H$55,IF('01_Input'!$G$55="Résiduel vs Gestion",0,IF('01_Input'!$G$55="Taux Classe sélectionnée",Distrib_Global_Classe_Selectionnee*CE$20,IF('01_Input'!$G$55="Frais KYC (paliers de 100M€)",MAX(0,Nb_Investisseurs-Nb_KYC_Gratuites_Par_Tranche*(FLOOR(CE$20/Taille_Tranche_KYC,1)+1))*Cout_Par_KYC_Supplementaire,(IF('01_Input'!$L$55="Forfait",IF(CE$20&gt;='01_Input'!$J$55,'01_Input'!$M$55,0),IF('01_Input'!$L$55="Palier",IF(AND(CE$20&gt;='01_Input'!$J$55,CE$20&lt;'01_Input'!$K$55),'01_Input'!$M$55,0),MAX(MIN(CE$20,'01_Input'!$K$55)-'01_Input'!$J$55,0)*'01_Input'!$M$55))+IF('01_Input'!$P$55="Forfait",IF(CE$20&gt;='01_Input'!$N$55,'01_Input'!$Q$55,0),IF('01_Input'!$P$55="Palier",IF(AND(CE$20&gt;='01_Input'!$N$55,CE$20&lt;'01_Input'!$O$55),'01_Input'!$Q$55,0),MAX(MIN(CE$20,'01_Input'!$O$55)-'01_Input'!$N$55,0)*'01_Input'!$Q$55))+IF('01_Input'!$T$55="Forfait",IF(CE$20&gt;='01_Input'!$R$55,'01_Input'!$U$55,0),IF('01_Input'!$T$55="Palier",IF(AND(CE$20&gt;='01_Input'!$R$55,CE$20&lt;'01_Input'!$S$55),'01_Input'!$U$55,0),MAX(MIN(CE$20,'01_Input'!$S$55)-'01_Input'!$R$55,0)*'01_Input'!$U$55))+IF('01_Input'!$X$55="Forfait",IF(CE$20&gt;='01_Input'!$V$55,'01_Input'!$Y$55,0),IF('01_Input'!$X$55="Palier",IF(AND(CE$20&gt;='01_Input'!$V$55,CE$20&lt;'01_Input'!$W$55),'01_Input'!$Y$55,0),MAX(MIN(CE$20,'01_Input'!$W$55)-'01_Input'!$V$55,0)*'01_Input'!$Y$55))+IF('01_Input'!$AB$55="Forfait",IF(CE$20&gt;='01_Input'!$Z$55,'01_Input'!$AC$55,0),IF('01_Input'!$AB$55="Palier",IF(AND(CE$20&gt;='01_Input'!$Z$55,CE$20&lt;'01_Input'!$AA$55),'01_Input'!$AC$55,0),MAX(MIN(CE$20,'01_Input'!$AA$55)-'01_Input'!$Z$55,0)*'01_Input'!$AC$55)))))))))</f>
        <v>0</v>
      </c>
      <c r="CF23" s="25">
        <f>IF('01_Input'!$C$55="Non",0,MIN('01_Input'!$I$55,MAX('01_Input'!$H$55,IF('01_Input'!$G$55="Résiduel vs Gestion",0,IF('01_Input'!$G$55="Taux Classe sélectionnée",Distrib_Global_Classe_Selectionnee*CF$20,IF('01_Input'!$G$55="Frais KYC (paliers de 100M€)",MAX(0,Nb_Investisseurs-Nb_KYC_Gratuites_Par_Tranche*(FLOOR(CF$20/Taille_Tranche_KYC,1)+1))*Cout_Par_KYC_Supplementaire,(IF('01_Input'!$L$55="Forfait",IF(CF$20&gt;='01_Input'!$J$55,'01_Input'!$M$55,0),IF('01_Input'!$L$55="Palier",IF(AND(CF$20&gt;='01_Input'!$J$55,CF$20&lt;'01_Input'!$K$55),'01_Input'!$M$55,0),MAX(MIN(CF$20,'01_Input'!$K$55)-'01_Input'!$J$55,0)*'01_Input'!$M$55))+IF('01_Input'!$P$55="Forfait",IF(CF$20&gt;='01_Input'!$N$55,'01_Input'!$Q$55,0),IF('01_Input'!$P$55="Palier",IF(AND(CF$20&gt;='01_Input'!$N$55,CF$20&lt;'01_Input'!$O$55),'01_Input'!$Q$55,0),MAX(MIN(CF$20,'01_Input'!$O$55)-'01_Input'!$N$55,0)*'01_Input'!$Q$55))+IF('01_Input'!$T$55="Forfait",IF(CF$20&gt;='01_Input'!$R$55,'01_Input'!$U$55,0),IF('01_Input'!$T$55="Palier",IF(AND(CF$20&gt;='01_Input'!$R$55,CF$20&lt;'01_Input'!$S$55),'01_Input'!$U$55,0),MAX(MIN(CF$20,'01_Input'!$S$55)-'01_Input'!$R$55,0)*'01_Input'!$U$55))+IF('01_Input'!$X$55="Forfait",IF(CF$20&gt;='01_Input'!$V$55,'01_Input'!$Y$55,0),IF('01_Input'!$X$55="Palier",IF(AND(CF$20&gt;='01_Input'!$V$55,CF$20&lt;'01_Input'!$W$55),'01_Input'!$Y$55,0),MAX(MIN(CF$20,'01_Input'!$W$55)-'01_Input'!$V$55,0)*'01_Input'!$Y$55))+IF('01_Input'!$AB$55="Forfait",IF(CF$20&gt;='01_Input'!$Z$55,'01_Input'!$AC$55,0),IF('01_Input'!$AB$55="Palier",IF(AND(CF$20&gt;='01_Input'!$Z$55,CF$20&lt;'01_Input'!$AA$55),'01_Input'!$AC$55,0),MAX(MIN(CF$20,'01_Input'!$AA$55)-'01_Input'!$Z$55,0)*'01_Input'!$AC$55)))))))))</f>
        <v>0</v>
      </c>
      <c r="CG23" s="25">
        <f>IF('01_Input'!$C$55="Non",0,MIN('01_Input'!$I$55,MAX('01_Input'!$H$55,IF('01_Input'!$G$55="Résiduel vs Gestion",0,IF('01_Input'!$G$55="Taux Classe sélectionnée",Distrib_Global_Classe_Selectionnee*CG$20,IF('01_Input'!$G$55="Frais KYC (paliers de 100M€)",MAX(0,Nb_Investisseurs-Nb_KYC_Gratuites_Par_Tranche*(FLOOR(CG$20/Taille_Tranche_KYC,1)+1))*Cout_Par_KYC_Supplementaire,(IF('01_Input'!$L$55="Forfait",IF(CG$20&gt;='01_Input'!$J$55,'01_Input'!$M$55,0),IF('01_Input'!$L$55="Palier",IF(AND(CG$20&gt;='01_Input'!$J$55,CG$20&lt;'01_Input'!$K$55),'01_Input'!$M$55,0),MAX(MIN(CG$20,'01_Input'!$K$55)-'01_Input'!$J$55,0)*'01_Input'!$M$55))+IF('01_Input'!$P$55="Forfait",IF(CG$20&gt;='01_Input'!$N$55,'01_Input'!$Q$55,0),IF('01_Input'!$P$55="Palier",IF(AND(CG$20&gt;='01_Input'!$N$55,CG$20&lt;'01_Input'!$O$55),'01_Input'!$Q$55,0),MAX(MIN(CG$20,'01_Input'!$O$55)-'01_Input'!$N$55,0)*'01_Input'!$Q$55))+IF('01_Input'!$T$55="Forfait",IF(CG$20&gt;='01_Input'!$R$55,'01_Input'!$U$55,0),IF('01_Input'!$T$55="Palier",IF(AND(CG$20&gt;='01_Input'!$R$55,CG$20&lt;'01_Input'!$S$55),'01_Input'!$U$55,0),MAX(MIN(CG$20,'01_Input'!$S$55)-'01_Input'!$R$55,0)*'01_Input'!$U$55))+IF('01_Input'!$X$55="Forfait",IF(CG$20&gt;='01_Input'!$V$55,'01_Input'!$Y$55,0),IF('01_Input'!$X$55="Palier",IF(AND(CG$20&gt;='01_Input'!$V$55,CG$20&lt;'01_Input'!$W$55),'01_Input'!$Y$55,0),MAX(MIN(CG$20,'01_Input'!$W$55)-'01_Input'!$V$55,0)*'01_Input'!$Y$55))+IF('01_Input'!$AB$55="Forfait",IF(CG$20&gt;='01_Input'!$Z$55,'01_Input'!$AC$55,0),IF('01_Input'!$AB$55="Palier",IF(AND(CG$20&gt;='01_Input'!$Z$55,CG$20&lt;'01_Input'!$AA$55),'01_Input'!$AC$55,0),MAX(MIN(CG$20,'01_Input'!$AA$55)-'01_Input'!$Z$55,0)*'01_Input'!$AC$55)))))))))</f>
        <v>0</v>
      </c>
      <c r="CH23" s="25">
        <f>IF('01_Input'!$C$55="Non",0,MIN('01_Input'!$I$55,MAX('01_Input'!$H$55,IF('01_Input'!$G$55="Résiduel vs Gestion",0,IF('01_Input'!$G$55="Taux Classe sélectionnée",Distrib_Global_Classe_Selectionnee*CH$20,IF('01_Input'!$G$55="Frais KYC (paliers de 100M€)",MAX(0,Nb_Investisseurs-Nb_KYC_Gratuites_Par_Tranche*(FLOOR(CH$20/Taille_Tranche_KYC,1)+1))*Cout_Par_KYC_Supplementaire,(IF('01_Input'!$L$55="Forfait",IF(CH$20&gt;='01_Input'!$J$55,'01_Input'!$M$55,0),IF('01_Input'!$L$55="Palier",IF(AND(CH$20&gt;='01_Input'!$J$55,CH$20&lt;'01_Input'!$K$55),'01_Input'!$M$55,0),MAX(MIN(CH$20,'01_Input'!$K$55)-'01_Input'!$J$55,0)*'01_Input'!$M$55))+IF('01_Input'!$P$55="Forfait",IF(CH$20&gt;='01_Input'!$N$55,'01_Input'!$Q$55,0),IF('01_Input'!$P$55="Palier",IF(AND(CH$20&gt;='01_Input'!$N$55,CH$20&lt;'01_Input'!$O$55),'01_Input'!$Q$55,0),MAX(MIN(CH$20,'01_Input'!$O$55)-'01_Input'!$N$55,0)*'01_Input'!$Q$55))+IF('01_Input'!$T$55="Forfait",IF(CH$20&gt;='01_Input'!$R$55,'01_Input'!$U$55,0),IF('01_Input'!$T$55="Palier",IF(AND(CH$20&gt;='01_Input'!$R$55,CH$20&lt;'01_Input'!$S$55),'01_Input'!$U$55,0),MAX(MIN(CH$20,'01_Input'!$S$55)-'01_Input'!$R$55,0)*'01_Input'!$U$55))+IF('01_Input'!$X$55="Forfait",IF(CH$20&gt;='01_Input'!$V$55,'01_Input'!$Y$55,0),IF('01_Input'!$X$55="Palier",IF(AND(CH$20&gt;='01_Input'!$V$55,CH$20&lt;'01_Input'!$W$55),'01_Input'!$Y$55,0),MAX(MIN(CH$20,'01_Input'!$W$55)-'01_Input'!$V$55,0)*'01_Input'!$Y$55))+IF('01_Input'!$AB$55="Forfait",IF(CH$20&gt;='01_Input'!$Z$55,'01_Input'!$AC$55,0),IF('01_Input'!$AB$55="Palier",IF(AND(CH$20&gt;='01_Input'!$Z$55,CH$20&lt;'01_Input'!$AA$55),'01_Input'!$AC$55,0),MAX(MIN(CH$20,'01_Input'!$AA$55)-'01_Input'!$Z$55,0)*'01_Input'!$AC$55)))))))))</f>
        <v>0</v>
      </c>
      <c r="CI23" s="25">
        <f>IF('01_Input'!$C$55="Non",0,MIN('01_Input'!$I$55,MAX('01_Input'!$H$55,IF('01_Input'!$G$55="Résiduel vs Gestion",0,IF('01_Input'!$G$55="Taux Classe sélectionnée",Distrib_Global_Classe_Selectionnee*CI$20,IF('01_Input'!$G$55="Frais KYC (paliers de 100M€)",MAX(0,Nb_Investisseurs-Nb_KYC_Gratuites_Par_Tranche*(FLOOR(CI$20/Taille_Tranche_KYC,1)+1))*Cout_Par_KYC_Supplementaire,(IF('01_Input'!$L$55="Forfait",IF(CI$20&gt;='01_Input'!$J$55,'01_Input'!$M$55,0),IF('01_Input'!$L$55="Palier",IF(AND(CI$20&gt;='01_Input'!$J$55,CI$20&lt;'01_Input'!$K$55),'01_Input'!$M$55,0),MAX(MIN(CI$20,'01_Input'!$K$55)-'01_Input'!$J$55,0)*'01_Input'!$M$55))+IF('01_Input'!$P$55="Forfait",IF(CI$20&gt;='01_Input'!$N$55,'01_Input'!$Q$55,0),IF('01_Input'!$P$55="Palier",IF(AND(CI$20&gt;='01_Input'!$N$55,CI$20&lt;'01_Input'!$O$55),'01_Input'!$Q$55,0),MAX(MIN(CI$20,'01_Input'!$O$55)-'01_Input'!$N$55,0)*'01_Input'!$Q$55))+IF('01_Input'!$T$55="Forfait",IF(CI$20&gt;='01_Input'!$R$55,'01_Input'!$U$55,0),IF('01_Input'!$T$55="Palier",IF(AND(CI$20&gt;='01_Input'!$R$55,CI$20&lt;'01_Input'!$S$55),'01_Input'!$U$55,0),MAX(MIN(CI$20,'01_Input'!$S$55)-'01_Input'!$R$55,0)*'01_Input'!$U$55))+IF('01_Input'!$X$55="Forfait",IF(CI$20&gt;='01_Input'!$V$55,'01_Input'!$Y$55,0),IF('01_Input'!$X$55="Palier",IF(AND(CI$20&gt;='01_Input'!$V$55,CI$20&lt;'01_Input'!$W$55),'01_Input'!$Y$55,0),MAX(MIN(CI$20,'01_Input'!$W$55)-'01_Input'!$V$55,0)*'01_Input'!$Y$55))+IF('01_Input'!$AB$55="Forfait",IF(CI$20&gt;='01_Input'!$Z$55,'01_Input'!$AC$55,0),IF('01_Input'!$AB$55="Palier",IF(AND(CI$20&gt;='01_Input'!$Z$55,CI$20&lt;'01_Input'!$AA$55),'01_Input'!$AC$55,0),MAX(MIN(CI$20,'01_Input'!$AA$55)-'01_Input'!$Z$55,0)*'01_Input'!$AC$55)))))))))</f>
        <v>0</v>
      </c>
      <c r="CJ23" s="25">
        <f>IF('01_Input'!$C$55="Non",0,MIN('01_Input'!$I$55,MAX('01_Input'!$H$55,IF('01_Input'!$G$55="Résiduel vs Gestion",0,IF('01_Input'!$G$55="Taux Classe sélectionnée",Distrib_Global_Classe_Selectionnee*CJ$20,IF('01_Input'!$G$55="Frais KYC (paliers de 100M€)",MAX(0,Nb_Investisseurs-Nb_KYC_Gratuites_Par_Tranche*(FLOOR(CJ$20/Taille_Tranche_KYC,1)+1))*Cout_Par_KYC_Supplementaire,(IF('01_Input'!$L$55="Forfait",IF(CJ$20&gt;='01_Input'!$J$55,'01_Input'!$M$55,0),IF('01_Input'!$L$55="Palier",IF(AND(CJ$20&gt;='01_Input'!$J$55,CJ$20&lt;'01_Input'!$K$55),'01_Input'!$M$55,0),MAX(MIN(CJ$20,'01_Input'!$K$55)-'01_Input'!$J$55,0)*'01_Input'!$M$55))+IF('01_Input'!$P$55="Forfait",IF(CJ$20&gt;='01_Input'!$N$55,'01_Input'!$Q$55,0),IF('01_Input'!$P$55="Palier",IF(AND(CJ$20&gt;='01_Input'!$N$55,CJ$20&lt;'01_Input'!$O$55),'01_Input'!$Q$55,0),MAX(MIN(CJ$20,'01_Input'!$O$55)-'01_Input'!$N$55,0)*'01_Input'!$Q$55))+IF('01_Input'!$T$55="Forfait",IF(CJ$20&gt;='01_Input'!$R$55,'01_Input'!$U$55,0),IF('01_Input'!$T$55="Palier",IF(AND(CJ$20&gt;='01_Input'!$R$55,CJ$20&lt;'01_Input'!$S$55),'01_Input'!$U$55,0),MAX(MIN(CJ$20,'01_Input'!$S$55)-'01_Input'!$R$55,0)*'01_Input'!$U$55))+IF('01_Input'!$X$55="Forfait",IF(CJ$20&gt;='01_Input'!$V$55,'01_Input'!$Y$55,0),IF('01_Input'!$X$55="Palier",IF(AND(CJ$20&gt;='01_Input'!$V$55,CJ$20&lt;'01_Input'!$W$55),'01_Input'!$Y$55,0),MAX(MIN(CJ$20,'01_Input'!$W$55)-'01_Input'!$V$55,0)*'01_Input'!$Y$55))+IF('01_Input'!$AB$55="Forfait",IF(CJ$20&gt;='01_Input'!$Z$55,'01_Input'!$AC$55,0),IF('01_Input'!$AB$55="Palier",IF(AND(CJ$20&gt;='01_Input'!$Z$55,CJ$20&lt;'01_Input'!$AA$55),'01_Input'!$AC$55,0),MAX(MIN(CJ$20,'01_Input'!$AA$55)-'01_Input'!$Z$55,0)*'01_Input'!$AC$55)))))))))</f>
        <v>0</v>
      </c>
      <c r="CK23" s="25">
        <f>IF('01_Input'!$C$55="Non",0,MIN('01_Input'!$I$55,MAX('01_Input'!$H$55,IF('01_Input'!$G$55="Résiduel vs Gestion",0,IF('01_Input'!$G$55="Taux Classe sélectionnée",Distrib_Global_Classe_Selectionnee*CK$20,IF('01_Input'!$G$55="Frais KYC (paliers de 100M€)",MAX(0,Nb_Investisseurs-Nb_KYC_Gratuites_Par_Tranche*(FLOOR(CK$20/Taille_Tranche_KYC,1)+1))*Cout_Par_KYC_Supplementaire,(IF('01_Input'!$L$55="Forfait",IF(CK$20&gt;='01_Input'!$J$55,'01_Input'!$M$55,0),IF('01_Input'!$L$55="Palier",IF(AND(CK$20&gt;='01_Input'!$J$55,CK$20&lt;'01_Input'!$K$55),'01_Input'!$M$55,0),MAX(MIN(CK$20,'01_Input'!$K$55)-'01_Input'!$J$55,0)*'01_Input'!$M$55))+IF('01_Input'!$P$55="Forfait",IF(CK$20&gt;='01_Input'!$N$55,'01_Input'!$Q$55,0),IF('01_Input'!$P$55="Palier",IF(AND(CK$20&gt;='01_Input'!$N$55,CK$20&lt;'01_Input'!$O$55),'01_Input'!$Q$55,0),MAX(MIN(CK$20,'01_Input'!$O$55)-'01_Input'!$N$55,0)*'01_Input'!$Q$55))+IF('01_Input'!$T$55="Forfait",IF(CK$20&gt;='01_Input'!$R$55,'01_Input'!$U$55,0),IF('01_Input'!$T$55="Palier",IF(AND(CK$20&gt;='01_Input'!$R$55,CK$20&lt;'01_Input'!$S$55),'01_Input'!$U$55,0),MAX(MIN(CK$20,'01_Input'!$S$55)-'01_Input'!$R$55,0)*'01_Input'!$U$55))+IF('01_Input'!$X$55="Forfait",IF(CK$20&gt;='01_Input'!$V$55,'01_Input'!$Y$55,0),IF('01_Input'!$X$55="Palier",IF(AND(CK$20&gt;='01_Input'!$V$55,CK$20&lt;'01_Input'!$W$55),'01_Input'!$Y$55,0),MAX(MIN(CK$20,'01_Input'!$W$55)-'01_Input'!$V$55,0)*'01_Input'!$Y$55))+IF('01_Input'!$AB$55="Forfait",IF(CK$20&gt;='01_Input'!$Z$55,'01_Input'!$AC$55,0),IF('01_Input'!$AB$55="Palier",IF(AND(CK$20&gt;='01_Input'!$Z$55,CK$20&lt;'01_Input'!$AA$55),'01_Input'!$AC$55,0),MAX(MIN(CK$20,'01_Input'!$AA$55)-'01_Input'!$Z$55,0)*'01_Input'!$AC$55)))))))))</f>
        <v>0</v>
      </c>
      <c r="CL23" s="25">
        <f>IF('01_Input'!$C$55="Non",0,MIN('01_Input'!$I$55,MAX('01_Input'!$H$55,IF('01_Input'!$G$55="Résiduel vs Gestion",0,IF('01_Input'!$G$55="Taux Classe sélectionnée",Distrib_Global_Classe_Selectionnee*CL$20,IF('01_Input'!$G$55="Frais KYC (paliers de 100M€)",MAX(0,Nb_Investisseurs-Nb_KYC_Gratuites_Par_Tranche*(FLOOR(CL$20/Taille_Tranche_KYC,1)+1))*Cout_Par_KYC_Supplementaire,(IF('01_Input'!$L$55="Forfait",IF(CL$20&gt;='01_Input'!$J$55,'01_Input'!$M$55,0),IF('01_Input'!$L$55="Palier",IF(AND(CL$20&gt;='01_Input'!$J$55,CL$20&lt;'01_Input'!$K$55),'01_Input'!$M$55,0),MAX(MIN(CL$20,'01_Input'!$K$55)-'01_Input'!$J$55,0)*'01_Input'!$M$55))+IF('01_Input'!$P$55="Forfait",IF(CL$20&gt;='01_Input'!$N$55,'01_Input'!$Q$55,0),IF('01_Input'!$P$55="Palier",IF(AND(CL$20&gt;='01_Input'!$N$55,CL$20&lt;'01_Input'!$O$55),'01_Input'!$Q$55,0),MAX(MIN(CL$20,'01_Input'!$O$55)-'01_Input'!$N$55,0)*'01_Input'!$Q$55))+IF('01_Input'!$T$55="Forfait",IF(CL$20&gt;='01_Input'!$R$55,'01_Input'!$U$55,0),IF('01_Input'!$T$55="Palier",IF(AND(CL$20&gt;='01_Input'!$R$55,CL$20&lt;'01_Input'!$S$55),'01_Input'!$U$55,0),MAX(MIN(CL$20,'01_Input'!$S$55)-'01_Input'!$R$55,0)*'01_Input'!$U$55))+IF('01_Input'!$X$55="Forfait",IF(CL$20&gt;='01_Input'!$V$55,'01_Input'!$Y$55,0),IF('01_Input'!$X$55="Palier",IF(AND(CL$20&gt;='01_Input'!$V$55,CL$20&lt;'01_Input'!$W$55),'01_Input'!$Y$55,0),MAX(MIN(CL$20,'01_Input'!$W$55)-'01_Input'!$V$55,0)*'01_Input'!$Y$55))+IF('01_Input'!$AB$55="Forfait",IF(CL$20&gt;='01_Input'!$Z$55,'01_Input'!$AC$55,0),IF('01_Input'!$AB$55="Palier",IF(AND(CL$20&gt;='01_Input'!$Z$55,CL$20&lt;'01_Input'!$AA$55),'01_Input'!$AC$55,0),MAX(MIN(CL$20,'01_Input'!$AA$55)-'01_Input'!$Z$55,0)*'01_Input'!$AC$55)))))))))</f>
        <v>0</v>
      </c>
      <c r="CM23" s="25">
        <f>IF('01_Input'!$C$55="Non",0,MIN('01_Input'!$I$55,MAX('01_Input'!$H$55,IF('01_Input'!$G$55="Résiduel vs Gestion",0,IF('01_Input'!$G$55="Taux Classe sélectionnée",Distrib_Global_Classe_Selectionnee*CM$20,IF('01_Input'!$G$55="Frais KYC (paliers de 100M€)",MAX(0,Nb_Investisseurs-Nb_KYC_Gratuites_Par_Tranche*(FLOOR(CM$20/Taille_Tranche_KYC,1)+1))*Cout_Par_KYC_Supplementaire,(IF('01_Input'!$L$55="Forfait",IF(CM$20&gt;='01_Input'!$J$55,'01_Input'!$M$55,0),IF('01_Input'!$L$55="Palier",IF(AND(CM$20&gt;='01_Input'!$J$55,CM$20&lt;'01_Input'!$K$55),'01_Input'!$M$55,0),MAX(MIN(CM$20,'01_Input'!$K$55)-'01_Input'!$J$55,0)*'01_Input'!$M$55))+IF('01_Input'!$P$55="Forfait",IF(CM$20&gt;='01_Input'!$N$55,'01_Input'!$Q$55,0),IF('01_Input'!$P$55="Palier",IF(AND(CM$20&gt;='01_Input'!$N$55,CM$20&lt;'01_Input'!$O$55),'01_Input'!$Q$55,0),MAX(MIN(CM$20,'01_Input'!$O$55)-'01_Input'!$N$55,0)*'01_Input'!$Q$55))+IF('01_Input'!$T$55="Forfait",IF(CM$20&gt;='01_Input'!$R$55,'01_Input'!$U$55,0),IF('01_Input'!$T$55="Palier",IF(AND(CM$20&gt;='01_Input'!$R$55,CM$20&lt;'01_Input'!$S$55),'01_Input'!$U$55,0),MAX(MIN(CM$20,'01_Input'!$S$55)-'01_Input'!$R$55,0)*'01_Input'!$U$55))+IF('01_Input'!$X$55="Forfait",IF(CM$20&gt;='01_Input'!$V$55,'01_Input'!$Y$55,0),IF('01_Input'!$X$55="Palier",IF(AND(CM$20&gt;='01_Input'!$V$55,CM$20&lt;'01_Input'!$W$55),'01_Input'!$Y$55,0),MAX(MIN(CM$20,'01_Input'!$W$55)-'01_Input'!$V$55,0)*'01_Input'!$Y$55))+IF('01_Input'!$AB$55="Forfait",IF(CM$20&gt;='01_Input'!$Z$55,'01_Input'!$AC$55,0),IF('01_Input'!$AB$55="Palier",IF(AND(CM$20&gt;='01_Input'!$Z$55,CM$20&lt;'01_Input'!$AA$55),'01_Input'!$AC$55,0),MAX(MIN(CM$20,'01_Input'!$AA$55)-'01_Input'!$Z$55,0)*'01_Input'!$AC$55)))))))))</f>
        <v>0</v>
      </c>
      <c r="CN23" s="25">
        <f>IF('01_Input'!$C$55="Non",0,MIN('01_Input'!$I$55,MAX('01_Input'!$H$55,IF('01_Input'!$G$55="Résiduel vs Gestion",0,IF('01_Input'!$G$55="Taux Classe sélectionnée",Distrib_Global_Classe_Selectionnee*CN$20,IF('01_Input'!$G$55="Frais KYC (paliers de 100M€)",MAX(0,Nb_Investisseurs-Nb_KYC_Gratuites_Par_Tranche*(FLOOR(CN$20/Taille_Tranche_KYC,1)+1))*Cout_Par_KYC_Supplementaire,(IF('01_Input'!$L$55="Forfait",IF(CN$20&gt;='01_Input'!$J$55,'01_Input'!$M$55,0),IF('01_Input'!$L$55="Palier",IF(AND(CN$20&gt;='01_Input'!$J$55,CN$20&lt;'01_Input'!$K$55),'01_Input'!$M$55,0),MAX(MIN(CN$20,'01_Input'!$K$55)-'01_Input'!$J$55,0)*'01_Input'!$M$55))+IF('01_Input'!$P$55="Forfait",IF(CN$20&gt;='01_Input'!$N$55,'01_Input'!$Q$55,0),IF('01_Input'!$P$55="Palier",IF(AND(CN$20&gt;='01_Input'!$N$55,CN$20&lt;'01_Input'!$O$55),'01_Input'!$Q$55,0),MAX(MIN(CN$20,'01_Input'!$O$55)-'01_Input'!$N$55,0)*'01_Input'!$Q$55))+IF('01_Input'!$T$55="Forfait",IF(CN$20&gt;='01_Input'!$R$55,'01_Input'!$U$55,0),IF('01_Input'!$T$55="Palier",IF(AND(CN$20&gt;='01_Input'!$R$55,CN$20&lt;'01_Input'!$S$55),'01_Input'!$U$55,0),MAX(MIN(CN$20,'01_Input'!$S$55)-'01_Input'!$R$55,0)*'01_Input'!$U$55))+IF('01_Input'!$X$55="Forfait",IF(CN$20&gt;='01_Input'!$V$55,'01_Input'!$Y$55,0),IF('01_Input'!$X$55="Palier",IF(AND(CN$20&gt;='01_Input'!$V$55,CN$20&lt;'01_Input'!$W$55),'01_Input'!$Y$55,0),MAX(MIN(CN$20,'01_Input'!$W$55)-'01_Input'!$V$55,0)*'01_Input'!$Y$55))+IF('01_Input'!$AB$55="Forfait",IF(CN$20&gt;='01_Input'!$Z$55,'01_Input'!$AC$55,0),IF('01_Input'!$AB$55="Palier",IF(AND(CN$20&gt;='01_Input'!$Z$55,CN$20&lt;'01_Input'!$AA$55),'01_Input'!$AC$55,0),MAX(MIN(CN$20,'01_Input'!$AA$55)-'01_Input'!$Z$55,0)*'01_Input'!$AC$55)))))))))</f>
        <v>0</v>
      </c>
      <c r="CO23" s="25">
        <f>IF('01_Input'!$C$55="Non",0,MIN('01_Input'!$I$55,MAX('01_Input'!$H$55,IF('01_Input'!$G$55="Résiduel vs Gestion",0,IF('01_Input'!$G$55="Taux Classe sélectionnée",Distrib_Global_Classe_Selectionnee*CO$20,IF('01_Input'!$G$55="Frais KYC (paliers de 100M€)",MAX(0,Nb_Investisseurs-Nb_KYC_Gratuites_Par_Tranche*(FLOOR(CO$20/Taille_Tranche_KYC,1)+1))*Cout_Par_KYC_Supplementaire,(IF('01_Input'!$L$55="Forfait",IF(CO$20&gt;='01_Input'!$J$55,'01_Input'!$M$55,0),IF('01_Input'!$L$55="Palier",IF(AND(CO$20&gt;='01_Input'!$J$55,CO$20&lt;'01_Input'!$K$55),'01_Input'!$M$55,0),MAX(MIN(CO$20,'01_Input'!$K$55)-'01_Input'!$J$55,0)*'01_Input'!$M$55))+IF('01_Input'!$P$55="Forfait",IF(CO$20&gt;='01_Input'!$N$55,'01_Input'!$Q$55,0),IF('01_Input'!$P$55="Palier",IF(AND(CO$20&gt;='01_Input'!$N$55,CO$20&lt;'01_Input'!$O$55),'01_Input'!$Q$55,0),MAX(MIN(CO$20,'01_Input'!$O$55)-'01_Input'!$N$55,0)*'01_Input'!$Q$55))+IF('01_Input'!$T$55="Forfait",IF(CO$20&gt;='01_Input'!$R$55,'01_Input'!$U$55,0),IF('01_Input'!$T$55="Palier",IF(AND(CO$20&gt;='01_Input'!$R$55,CO$20&lt;'01_Input'!$S$55),'01_Input'!$U$55,0),MAX(MIN(CO$20,'01_Input'!$S$55)-'01_Input'!$R$55,0)*'01_Input'!$U$55))+IF('01_Input'!$X$55="Forfait",IF(CO$20&gt;='01_Input'!$V$55,'01_Input'!$Y$55,0),IF('01_Input'!$X$55="Palier",IF(AND(CO$20&gt;='01_Input'!$V$55,CO$20&lt;'01_Input'!$W$55),'01_Input'!$Y$55,0),MAX(MIN(CO$20,'01_Input'!$W$55)-'01_Input'!$V$55,0)*'01_Input'!$Y$55))+IF('01_Input'!$AB$55="Forfait",IF(CO$20&gt;='01_Input'!$Z$55,'01_Input'!$AC$55,0),IF('01_Input'!$AB$55="Palier",IF(AND(CO$20&gt;='01_Input'!$Z$55,CO$20&lt;'01_Input'!$AA$55),'01_Input'!$AC$55,0),MAX(MIN(CO$20,'01_Input'!$AA$55)-'01_Input'!$Z$55,0)*'01_Input'!$AC$55)))))))))</f>
        <v>0</v>
      </c>
      <c r="CP23" s="25">
        <f>IF('01_Input'!$C$55="Non",0,MIN('01_Input'!$I$55,MAX('01_Input'!$H$55,IF('01_Input'!$G$55="Résiduel vs Gestion",0,IF('01_Input'!$G$55="Taux Classe sélectionnée",Distrib_Global_Classe_Selectionnee*CP$20,IF('01_Input'!$G$55="Frais KYC (paliers de 100M€)",MAX(0,Nb_Investisseurs-Nb_KYC_Gratuites_Par_Tranche*(FLOOR(CP$20/Taille_Tranche_KYC,1)+1))*Cout_Par_KYC_Supplementaire,(IF('01_Input'!$L$55="Forfait",IF(CP$20&gt;='01_Input'!$J$55,'01_Input'!$M$55,0),IF('01_Input'!$L$55="Palier",IF(AND(CP$20&gt;='01_Input'!$J$55,CP$20&lt;'01_Input'!$K$55),'01_Input'!$M$55,0),MAX(MIN(CP$20,'01_Input'!$K$55)-'01_Input'!$J$55,0)*'01_Input'!$M$55))+IF('01_Input'!$P$55="Forfait",IF(CP$20&gt;='01_Input'!$N$55,'01_Input'!$Q$55,0),IF('01_Input'!$P$55="Palier",IF(AND(CP$20&gt;='01_Input'!$N$55,CP$20&lt;'01_Input'!$O$55),'01_Input'!$Q$55,0),MAX(MIN(CP$20,'01_Input'!$O$55)-'01_Input'!$N$55,0)*'01_Input'!$Q$55))+IF('01_Input'!$T$55="Forfait",IF(CP$20&gt;='01_Input'!$R$55,'01_Input'!$U$55,0),IF('01_Input'!$T$55="Palier",IF(AND(CP$20&gt;='01_Input'!$R$55,CP$20&lt;'01_Input'!$S$55),'01_Input'!$U$55,0),MAX(MIN(CP$20,'01_Input'!$S$55)-'01_Input'!$R$55,0)*'01_Input'!$U$55))+IF('01_Input'!$X$55="Forfait",IF(CP$20&gt;='01_Input'!$V$55,'01_Input'!$Y$55,0),IF('01_Input'!$X$55="Palier",IF(AND(CP$20&gt;='01_Input'!$V$55,CP$20&lt;'01_Input'!$W$55),'01_Input'!$Y$55,0),MAX(MIN(CP$20,'01_Input'!$W$55)-'01_Input'!$V$55,0)*'01_Input'!$Y$55))+IF('01_Input'!$AB$55="Forfait",IF(CP$20&gt;='01_Input'!$Z$55,'01_Input'!$AC$55,0),IF('01_Input'!$AB$55="Palier",IF(AND(CP$20&gt;='01_Input'!$Z$55,CP$20&lt;'01_Input'!$AA$55),'01_Input'!$AC$55,0),MAX(MIN(CP$20,'01_Input'!$AA$55)-'01_Input'!$Z$55,0)*'01_Input'!$AC$55)))))))))</f>
        <v>0</v>
      </c>
      <c r="CQ23" s="25">
        <f>IF('01_Input'!$C$55="Non",0,MIN('01_Input'!$I$55,MAX('01_Input'!$H$55,IF('01_Input'!$G$55="Résiduel vs Gestion",0,IF('01_Input'!$G$55="Taux Classe sélectionnée",Distrib_Global_Classe_Selectionnee*CQ$20,IF('01_Input'!$G$55="Frais KYC (paliers de 100M€)",MAX(0,Nb_Investisseurs-Nb_KYC_Gratuites_Par_Tranche*(FLOOR(CQ$20/Taille_Tranche_KYC,1)+1))*Cout_Par_KYC_Supplementaire,(IF('01_Input'!$L$55="Forfait",IF(CQ$20&gt;='01_Input'!$J$55,'01_Input'!$M$55,0),IF('01_Input'!$L$55="Palier",IF(AND(CQ$20&gt;='01_Input'!$J$55,CQ$20&lt;'01_Input'!$K$55),'01_Input'!$M$55,0),MAX(MIN(CQ$20,'01_Input'!$K$55)-'01_Input'!$J$55,0)*'01_Input'!$M$55))+IF('01_Input'!$P$55="Forfait",IF(CQ$20&gt;='01_Input'!$N$55,'01_Input'!$Q$55,0),IF('01_Input'!$P$55="Palier",IF(AND(CQ$20&gt;='01_Input'!$N$55,CQ$20&lt;'01_Input'!$O$55),'01_Input'!$Q$55,0),MAX(MIN(CQ$20,'01_Input'!$O$55)-'01_Input'!$N$55,0)*'01_Input'!$Q$55))+IF('01_Input'!$T$55="Forfait",IF(CQ$20&gt;='01_Input'!$R$55,'01_Input'!$U$55,0),IF('01_Input'!$T$55="Palier",IF(AND(CQ$20&gt;='01_Input'!$R$55,CQ$20&lt;'01_Input'!$S$55),'01_Input'!$U$55,0),MAX(MIN(CQ$20,'01_Input'!$S$55)-'01_Input'!$R$55,0)*'01_Input'!$U$55))+IF('01_Input'!$X$55="Forfait",IF(CQ$20&gt;='01_Input'!$V$55,'01_Input'!$Y$55,0),IF('01_Input'!$X$55="Palier",IF(AND(CQ$20&gt;='01_Input'!$V$55,CQ$20&lt;'01_Input'!$W$55),'01_Input'!$Y$55,0),MAX(MIN(CQ$20,'01_Input'!$W$55)-'01_Input'!$V$55,0)*'01_Input'!$Y$55))+IF('01_Input'!$AB$55="Forfait",IF(CQ$20&gt;='01_Input'!$Z$55,'01_Input'!$AC$55,0),IF('01_Input'!$AB$55="Palier",IF(AND(CQ$20&gt;='01_Input'!$Z$55,CQ$20&lt;'01_Input'!$AA$55),'01_Input'!$AC$55,0),MAX(MIN(CQ$20,'01_Input'!$AA$55)-'01_Input'!$Z$55,0)*'01_Input'!$AC$55)))))))))</f>
        <v>0</v>
      </c>
      <c r="CR23" s="25">
        <f>IF('01_Input'!$C$55="Non",0,MIN('01_Input'!$I$55,MAX('01_Input'!$H$55,IF('01_Input'!$G$55="Résiduel vs Gestion",0,IF('01_Input'!$G$55="Taux Classe sélectionnée",Distrib_Global_Classe_Selectionnee*CR$20,IF('01_Input'!$G$55="Frais KYC (paliers de 100M€)",MAX(0,Nb_Investisseurs-Nb_KYC_Gratuites_Par_Tranche*(FLOOR(CR$20/Taille_Tranche_KYC,1)+1))*Cout_Par_KYC_Supplementaire,(IF('01_Input'!$L$55="Forfait",IF(CR$20&gt;='01_Input'!$J$55,'01_Input'!$M$55,0),IF('01_Input'!$L$55="Palier",IF(AND(CR$20&gt;='01_Input'!$J$55,CR$20&lt;'01_Input'!$K$55),'01_Input'!$M$55,0),MAX(MIN(CR$20,'01_Input'!$K$55)-'01_Input'!$J$55,0)*'01_Input'!$M$55))+IF('01_Input'!$P$55="Forfait",IF(CR$20&gt;='01_Input'!$N$55,'01_Input'!$Q$55,0),IF('01_Input'!$P$55="Palier",IF(AND(CR$20&gt;='01_Input'!$N$55,CR$20&lt;'01_Input'!$O$55),'01_Input'!$Q$55,0),MAX(MIN(CR$20,'01_Input'!$O$55)-'01_Input'!$N$55,0)*'01_Input'!$Q$55))+IF('01_Input'!$T$55="Forfait",IF(CR$20&gt;='01_Input'!$R$55,'01_Input'!$U$55,0),IF('01_Input'!$T$55="Palier",IF(AND(CR$20&gt;='01_Input'!$R$55,CR$20&lt;'01_Input'!$S$55),'01_Input'!$U$55,0),MAX(MIN(CR$20,'01_Input'!$S$55)-'01_Input'!$R$55,0)*'01_Input'!$U$55))+IF('01_Input'!$X$55="Forfait",IF(CR$20&gt;='01_Input'!$V$55,'01_Input'!$Y$55,0),IF('01_Input'!$X$55="Palier",IF(AND(CR$20&gt;='01_Input'!$V$55,CR$20&lt;'01_Input'!$W$55),'01_Input'!$Y$55,0),MAX(MIN(CR$20,'01_Input'!$W$55)-'01_Input'!$V$55,0)*'01_Input'!$Y$55))+IF('01_Input'!$AB$55="Forfait",IF(CR$20&gt;='01_Input'!$Z$55,'01_Input'!$AC$55,0),IF('01_Input'!$AB$55="Palier",IF(AND(CR$20&gt;='01_Input'!$Z$55,CR$20&lt;'01_Input'!$AA$55),'01_Input'!$AC$55,0),MAX(MIN(CR$20,'01_Input'!$AA$55)-'01_Input'!$Z$55,0)*'01_Input'!$AC$55)))))))))</f>
        <v>0</v>
      </c>
      <c r="CS23" s="25">
        <f>IF('01_Input'!$C$55="Non",0,MIN('01_Input'!$I$55,MAX('01_Input'!$H$55,IF('01_Input'!$G$55="Résiduel vs Gestion",0,IF('01_Input'!$G$55="Taux Classe sélectionnée",Distrib_Global_Classe_Selectionnee*CS$20,IF('01_Input'!$G$55="Frais KYC (paliers de 100M€)",MAX(0,Nb_Investisseurs-Nb_KYC_Gratuites_Par_Tranche*(FLOOR(CS$20/Taille_Tranche_KYC,1)+1))*Cout_Par_KYC_Supplementaire,(IF('01_Input'!$L$55="Forfait",IF(CS$20&gt;='01_Input'!$J$55,'01_Input'!$M$55,0),IF('01_Input'!$L$55="Palier",IF(AND(CS$20&gt;='01_Input'!$J$55,CS$20&lt;'01_Input'!$K$55),'01_Input'!$M$55,0),MAX(MIN(CS$20,'01_Input'!$K$55)-'01_Input'!$J$55,0)*'01_Input'!$M$55))+IF('01_Input'!$P$55="Forfait",IF(CS$20&gt;='01_Input'!$N$55,'01_Input'!$Q$55,0),IF('01_Input'!$P$55="Palier",IF(AND(CS$20&gt;='01_Input'!$N$55,CS$20&lt;'01_Input'!$O$55),'01_Input'!$Q$55,0),MAX(MIN(CS$20,'01_Input'!$O$55)-'01_Input'!$N$55,0)*'01_Input'!$Q$55))+IF('01_Input'!$T$55="Forfait",IF(CS$20&gt;='01_Input'!$R$55,'01_Input'!$U$55,0),IF('01_Input'!$T$55="Palier",IF(AND(CS$20&gt;='01_Input'!$R$55,CS$20&lt;'01_Input'!$S$55),'01_Input'!$U$55,0),MAX(MIN(CS$20,'01_Input'!$S$55)-'01_Input'!$R$55,0)*'01_Input'!$U$55))+IF('01_Input'!$X$55="Forfait",IF(CS$20&gt;='01_Input'!$V$55,'01_Input'!$Y$55,0),IF('01_Input'!$X$55="Palier",IF(AND(CS$20&gt;='01_Input'!$V$55,CS$20&lt;'01_Input'!$W$55),'01_Input'!$Y$55,0),MAX(MIN(CS$20,'01_Input'!$W$55)-'01_Input'!$V$55,0)*'01_Input'!$Y$55))+IF('01_Input'!$AB$55="Forfait",IF(CS$20&gt;='01_Input'!$Z$55,'01_Input'!$AC$55,0),IF('01_Input'!$AB$55="Palier",IF(AND(CS$20&gt;='01_Input'!$Z$55,CS$20&lt;'01_Input'!$AA$55),'01_Input'!$AC$55,0),MAX(MIN(CS$20,'01_Input'!$AA$55)-'01_Input'!$Z$55,0)*'01_Input'!$AC$55)))))))))</f>
        <v>0</v>
      </c>
      <c r="CT23" s="25">
        <f>IF('01_Input'!$C$55="Non",0,MIN('01_Input'!$I$55,MAX('01_Input'!$H$55,IF('01_Input'!$G$55="Résiduel vs Gestion",0,IF('01_Input'!$G$55="Taux Classe sélectionnée",Distrib_Global_Classe_Selectionnee*CT$20,IF('01_Input'!$G$55="Frais KYC (paliers de 100M€)",MAX(0,Nb_Investisseurs-Nb_KYC_Gratuites_Par_Tranche*(FLOOR(CT$20/Taille_Tranche_KYC,1)+1))*Cout_Par_KYC_Supplementaire,(IF('01_Input'!$L$55="Forfait",IF(CT$20&gt;='01_Input'!$J$55,'01_Input'!$M$55,0),IF('01_Input'!$L$55="Palier",IF(AND(CT$20&gt;='01_Input'!$J$55,CT$20&lt;'01_Input'!$K$55),'01_Input'!$M$55,0),MAX(MIN(CT$20,'01_Input'!$K$55)-'01_Input'!$J$55,0)*'01_Input'!$M$55))+IF('01_Input'!$P$55="Forfait",IF(CT$20&gt;='01_Input'!$N$55,'01_Input'!$Q$55,0),IF('01_Input'!$P$55="Palier",IF(AND(CT$20&gt;='01_Input'!$N$55,CT$20&lt;'01_Input'!$O$55),'01_Input'!$Q$55,0),MAX(MIN(CT$20,'01_Input'!$O$55)-'01_Input'!$N$55,0)*'01_Input'!$Q$55))+IF('01_Input'!$T$55="Forfait",IF(CT$20&gt;='01_Input'!$R$55,'01_Input'!$U$55,0),IF('01_Input'!$T$55="Palier",IF(AND(CT$20&gt;='01_Input'!$R$55,CT$20&lt;'01_Input'!$S$55),'01_Input'!$U$55,0),MAX(MIN(CT$20,'01_Input'!$S$55)-'01_Input'!$R$55,0)*'01_Input'!$U$55))+IF('01_Input'!$X$55="Forfait",IF(CT$20&gt;='01_Input'!$V$55,'01_Input'!$Y$55,0),IF('01_Input'!$X$55="Palier",IF(AND(CT$20&gt;='01_Input'!$V$55,CT$20&lt;'01_Input'!$W$55),'01_Input'!$Y$55,0),MAX(MIN(CT$20,'01_Input'!$W$55)-'01_Input'!$V$55,0)*'01_Input'!$Y$55))+IF('01_Input'!$AB$55="Forfait",IF(CT$20&gt;='01_Input'!$Z$55,'01_Input'!$AC$55,0),IF('01_Input'!$AB$55="Palier",IF(AND(CT$20&gt;='01_Input'!$Z$55,CT$20&lt;'01_Input'!$AA$55),'01_Input'!$AC$55,0),MAX(MIN(CT$20,'01_Input'!$AA$55)-'01_Input'!$Z$55,0)*'01_Input'!$AC$55)))))))))</f>
        <v>0</v>
      </c>
      <c r="CU23" s="25">
        <f>IF('01_Input'!$C$55="Non",0,MIN('01_Input'!$I$55,MAX('01_Input'!$H$55,IF('01_Input'!$G$55="Résiduel vs Gestion",0,IF('01_Input'!$G$55="Taux Classe sélectionnée",Distrib_Global_Classe_Selectionnee*CU$20,IF('01_Input'!$G$55="Frais KYC (paliers de 100M€)",MAX(0,Nb_Investisseurs-Nb_KYC_Gratuites_Par_Tranche*(FLOOR(CU$20/Taille_Tranche_KYC,1)+1))*Cout_Par_KYC_Supplementaire,(IF('01_Input'!$L$55="Forfait",IF(CU$20&gt;='01_Input'!$J$55,'01_Input'!$M$55,0),IF('01_Input'!$L$55="Palier",IF(AND(CU$20&gt;='01_Input'!$J$55,CU$20&lt;'01_Input'!$K$55),'01_Input'!$M$55,0),MAX(MIN(CU$20,'01_Input'!$K$55)-'01_Input'!$J$55,0)*'01_Input'!$M$55))+IF('01_Input'!$P$55="Forfait",IF(CU$20&gt;='01_Input'!$N$55,'01_Input'!$Q$55,0),IF('01_Input'!$P$55="Palier",IF(AND(CU$20&gt;='01_Input'!$N$55,CU$20&lt;'01_Input'!$O$55),'01_Input'!$Q$55,0),MAX(MIN(CU$20,'01_Input'!$O$55)-'01_Input'!$N$55,0)*'01_Input'!$Q$55))+IF('01_Input'!$T$55="Forfait",IF(CU$20&gt;='01_Input'!$R$55,'01_Input'!$U$55,0),IF('01_Input'!$T$55="Palier",IF(AND(CU$20&gt;='01_Input'!$R$55,CU$20&lt;'01_Input'!$S$55),'01_Input'!$U$55,0),MAX(MIN(CU$20,'01_Input'!$S$55)-'01_Input'!$R$55,0)*'01_Input'!$U$55))+IF('01_Input'!$X$55="Forfait",IF(CU$20&gt;='01_Input'!$V$55,'01_Input'!$Y$55,0),IF('01_Input'!$X$55="Palier",IF(AND(CU$20&gt;='01_Input'!$V$55,CU$20&lt;'01_Input'!$W$55),'01_Input'!$Y$55,0),MAX(MIN(CU$20,'01_Input'!$W$55)-'01_Input'!$V$55,0)*'01_Input'!$Y$55))+IF('01_Input'!$AB$55="Forfait",IF(CU$20&gt;='01_Input'!$Z$55,'01_Input'!$AC$55,0),IF('01_Input'!$AB$55="Palier",IF(AND(CU$20&gt;='01_Input'!$Z$55,CU$20&lt;'01_Input'!$AA$55),'01_Input'!$AC$55,0),MAX(MIN(CU$20,'01_Input'!$AA$55)-'01_Input'!$Z$55,0)*'01_Input'!$AC$55)))))))))</f>
        <v>0</v>
      </c>
      <c r="CV23" s="25">
        <f>IF('01_Input'!$C$55="Non",0,MIN('01_Input'!$I$55,MAX('01_Input'!$H$55,IF('01_Input'!$G$55="Résiduel vs Gestion",0,IF('01_Input'!$G$55="Taux Classe sélectionnée",Distrib_Global_Classe_Selectionnee*CV$20,IF('01_Input'!$G$55="Frais KYC (paliers de 100M€)",MAX(0,Nb_Investisseurs-Nb_KYC_Gratuites_Par_Tranche*(FLOOR(CV$20/Taille_Tranche_KYC,1)+1))*Cout_Par_KYC_Supplementaire,(IF('01_Input'!$L$55="Forfait",IF(CV$20&gt;='01_Input'!$J$55,'01_Input'!$M$55,0),IF('01_Input'!$L$55="Palier",IF(AND(CV$20&gt;='01_Input'!$J$55,CV$20&lt;'01_Input'!$K$55),'01_Input'!$M$55,0),MAX(MIN(CV$20,'01_Input'!$K$55)-'01_Input'!$J$55,0)*'01_Input'!$M$55))+IF('01_Input'!$P$55="Forfait",IF(CV$20&gt;='01_Input'!$N$55,'01_Input'!$Q$55,0),IF('01_Input'!$P$55="Palier",IF(AND(CV$20&gt;='01_Input'!$N$55,CV$20&lt;'01_Input'!$O$55),'01_Input'!$Q$55,0),MAX(MIN(CV$20,'01_Input'!$O$55)-'01_Input'!$N$55,0)*'01_Input'!$Q$55))+IF('01_Input'!$T$55="Forfait",IF(CV$20&gt;='01_Input'!$R$55,'01_Input'!$U$55,0),IF('01_Input'!$T$55="Palier",IF(AND(CV$20&gt;='01_Input'!$R$55,CV$20&lt;'01_Input'!$S$55),'01_Input'!$U$55,0),MAX(MIN(CV$20,'01_Input'!$S$55)-'01_Input'!$R$55,0)*'01_Input'!$U$55))+IF('01_Input'!$X$55="Forfait",IF(CV$20&gt;='01_Input'!$V$55,'01_Input'!$Y$55,0),IF('01_Input'!$X$55="Palier",IF(AND(CV$20&gt;='01_Input'!$V$55,CV$20&lt;'01_Input'!$W$55),'01_Input'!$Y$55,0),MAX(MIN(CV$20,'01_Input'!$W$55)-'01_Input'!$V$55,0)*'01_Input'!$Y$55))+IF('01_Input'!$AB$55="Forfait",IF(CV$20&gt;='01_Input'!$Z$55,'01_Input'!$AC$55,0),IF('01_Input'!$AB$55="Palier",IF(AND(CV$20&gt;='01_Input'!$Z$55,CV$20&lt;'01_Input'!$AA$55),'01_Input'!$AC$55,0),MAX(MIN(CV$20,'01_Input'!$AA$55)-'01_Input'!$Z$55,0)*'01_Input'!$AC$55)))))))))</f>
        <v>0</v>
      </c>
      <c r="CW23" s="25">
        <f>IF('01_Input'!$C$55="Non",0,MIN('01_Input'!$I$55,MAX('01_Input'!$H$55,IF('01_Input'!$G$55="Résiduel vs Gestion",0,IF('01_Input'!$G$55="Taux Classe sélectionnée",Distrib_Global_Classe_Selectionnee*CW$20,IF('01_Input'!$G$55="Frais KYC (paliers de 100M€)",MAX(0,Nb_Investisseurs-Nb_KYC_Gratuites_Par_Tranche*(FLOOR(CW$20/Taille_Tranche_KYC,1)+1))*Cout_Par_KYC_Supplementaire,(IF('01_Input'!$L$55="Forfait",IF(CW$20&gt;='01_Input'!$J$55,'01_Input'!$M$55,0),IF('01_Input'!$L$55="Palier",IF(AND(CW$20&gt;='01_Input'!$J$55,CW$20&lt;'01_Input'!$K$55),'01_Input'!$M$55,0),MAX(MIN(CW$20,'01_Input'!$K$55)-'01_Input'!$J$55,0)*'01_Input'!$M$55))+IF('01_Input'!$P$55="Forfait",IF(CW$20&gt;='01_Input'!$N$55,'01_Input'!$Q$55,0),IF('01_Input'!$P$55="Palier",IF(AND(CW$20&gt;='01_Input'!$N$55,CW$20&lt;'01_Input'!$O$55),'01_Input'!$Q$55,0),MAX(MIN(CW$20,'01_Input'!$O$55)-'01_Input'!$N$55,0)*'01_Input'!$Q$55))+IF('01_Input'!$T$55="Forfait",IF(CW$20&gt;='01_Input'!$R$55,'01_Input'!$U$55,0),IF('01_Input'!$T$55="Palier",IF(AND(CW$20&gt;='01_Input'!$R$55,CW$20&lt;'01_Input'!$S$55),'01_Input'!$U$55,0),MAX(MIN(CW$20,'01_Input'!$S$55)-'01_Input'!$R$55,0)*'01_Input'!$U$55))+IF('01_Input'!$X$55="Forfait",IF(CW$20&gt;='01_Input'!$V$55,'01_Input'!$Y$55,0),IF('01_Input'!$X$55="Palier",IF(AND(CW$20&gt;='01_Input'!$V$55,CW$20&lt;'01_Input'!$W$55),'01_Input'!$Y$55,0),MAX(MIN(CW$20,'01_Input'!$W$55)-'01_Input'!$V$55,0)*'01_Input'!$Y$55))+IF('01_Input'!$AB$55="Forfait",IF(CW$20&gt;='01_Input'!$Z$55,'01_Input'!$AC$55,0),IF('01_Input'!$AB$55="Palier",IF(AND(CW$20&gt;='01_Input'!$Z$55,CW$20&lt;'01_Input'!$AA$55),'01_Input'!$AC$55,0),MAX(MIN(CW$20,'01_Input'!$AA$55)-'01_Input'!$Z$55,0)*'01_Input'!$AC$55)))))))))</f>
        <v>0</v>
      </c>
      <c r="CX23" s="25">
        <f>IF('01_Input'!$C$55="Non",0,MIN('01_Input'!$I$55,MAX('01_Input'!$H$55,IF('01_Input'!$G$55="Résiduel vs Gestion",0,IF('01_Input'!$G$55="Taux Classe sélectionnée",Distrib_Global_Classe_Selectionnee*CX$20,IF('01_Input'!$G$55="Frais KYC (paliers de 100M€)",MAX(0,Nb_Investisseurs-Nb_KYC_Gratuites_Par_Tranche*(FLOOR(CX$20/Taille_Tranche_KYC,1)+1))*Cout_Par_KYC_Supplementaire,(IF('01_Input'!$L$55="Forfait",IF(CX$20&gt;='01_Input'!$J$55,'01_Input'!$M$55,0),IF('01_Input'!$L$55="Palier",IF(AND(CX$20&gt;='01_Input'!$J$55,CX$20&lt;'01_Input'!$K$55),'01_Input'!$M$55,0),MAX(MIN(CX$20,'01_Input'!$K$55)-'01_Input'!$J$55,0)*'01_Input'!$M$55))+IF('01_Input'!$P$55="Forfait",IF(CX$20&gt;='01_Input'!$N$55,'01_Input'!$Q$55,0),IF('01_Input'!$P$55="Palier",IF(AND(CX$20&gt;='01_Input'!$N$55,CX$20&lt;'01_Input'!$O$55),'01_Input'!$Q$55,0),MAX(MIN(CX$20,'01_Input'!$O$55)-'01_Input'!$N$55,0)*'01_Input'!$Q$55))+IF('01_Input'!$T$55="Forfait",IF(CX$20&gt;='01_Input'!$R$55,'01_Input'!$U$55,0),IF('01_Input'!$T$55="Palier",IF(AND(CX$20&gt;='01_Input'!$R$55,CX$20&lt;'01_Input'!$S$55),'01_Input'!$U$55,0),MAX(MIN(CX$20,'01_Input'!$S$55)-'01_Input'!$R$55,0)*'01_Input'!$U$55))+IF('01_Input'!$X$55="Forfait",IF(CX$20&gt;='01_Input'!$V$55,'01_Input'!$Y$55,0),IF('01_Input'!$X$55="Palier",IF(AND(CX$20&gt;='01_Input'!$V$55,CX$20&lt;'01_Input'!$W$55),'01_Input'!$Y$55,0),MAX(MIN(CX$20,'01_Input'!$W$55)-'01_Input'!$V$55,0)*'01_Input'!$Y$55))+IF('01_Input'!$AB$55="Forfait",IF(CX$20&gt;='01_Input'!$Z$55,'01_Input'!$AC$55,0),IF('01_Input'!$AB$55="Palier",IF(AND(CX$20&gt;='01_Input'!$Z$55,CX$20&lt;'01_Input'!$AA$55),'01_Input'!$AC$55,0),MAX(MIN(CX$20,'01_Input'!$AA$55)-'01_Input'!$Z$55,0)*'01_Input'!$AC$55)))))))))</f>
        <v>0</v>
      </c>
      <c r="CY23" s="25">
        <f>IF('01_Input'!$C$55="Non",0,MIN('01_Input'!$I$55,MAX('01_Input'!$H$55,IF('01_Input'!$G$55="Résiduel vs Gestion",0,IF('01_Input'!$G$55="Taux Classe sélectionnée",Distrib_Global_Classe_Selectionnee*CY$20,IF('01_Input'!$G$55="Frais KYC (paliers de 100M€)",MAX(0,Nb_Investisseurs-Nb_KYC_Gratuites_Par_Tranche*(FLOOR(CY$20/Taille_Tranche_KYC,1)+1))*Cout_Par_KYC_Supplementaire,(IF('01_Input'!$L$55="Forfait",IF(CY$20&gt;='01_Input'!$J$55,'01_Input'!$M$55,0),IF('01_Input'!$L$55="Palier",IF(AND(CY$20&gt;='01_Input'!$J$55,CY$20&lt;'01_Input'!$K$55),'01_Input'!$M$55,0),MAX(MIN(CY$20,'01_Input'!$K$55)-'01_Input'!$J$55,0)*'01_Input'!$M$55))+IF('01_Input'!$P$55="Forfait",IF(CY$20&gt;='01_Input'!$N$55,'01_Input'!$Q$55,0),IF('01_Input'!$P$55="Palier",IF(AND(CY$20&gt;='01_Input'!$N$55,CY$20&lt;'01_Input'!$O$55),'01_Input'!$Q$55,0),MAX(MIN(CY$20,'01_Input'!$O$55)-'01_Input'!$N$55,0)*'01_Input'!$Q$55))+IF('01_Input'!$T$55="Forfait",IF(CY$20&gt;='01_Input'!$R$55,'01_Input'!$U$55,0),IF('01_Input'!$T$55="Palier",IF(AND(CY$20&gt;='01_Input'!$R$55,CY$20&lt;'01_Input'!$S$55),'01_Input'!$U$55,0),MAX(MIN(CY$20,'01_Input'!$S$55)-'01_Input'!$R$55,0)*'01_Input'!$U$55))+IF('01_Input'!$X$55="Forfait",IF(CY$20&gt;='01_Input'!$V$55,'01_Input'!$Y$55,0),IF('01_Input'!$X$55="Palier",IF(AND(CY$20&gt;='01_Input'!$V$55,CY$20&lt;'01_Input'!$W$55),'01_Input'!$Y$55,0),MAX(MIN(CY$20,'01_Input'!$W$55)-'01_Input'!$V$55,0)*'01_Input'!$Y$55))+IF('01_Input'!$AB$55="Forfait",IF(CY$20&gt;='01_Input'!$Z$55,'01_Input'!$AC$55,0),IF('01_Input'!$AB$55="Palier",IF(AND(CY$20&gt;='01_Input'!$Z$55,CY$20&lt;'01_Input'!$AA$55),'01_Input'!$AC$55,0),MAX(MIN(CY$20,'01_Input'!$AA$55)-'01_Input'!$Z$55,0)*'01_Input'!$AC$55)))))))))</f>
        <v>0</v>
      </c>
      <c r="CZ23" s="25">
        <f>IF('01_Input'!$C$55="Non",0,MIN('01_Input'!$I$55,MAX('01_Input'!$H$55,IF('01_Input'!$G$55="Résiduel vs Gestion",0,IF('01_Input'!$G$55="Taux Classe sélectionnée",Distrib_Global_Classe_Selectionnee*CZ$20,IF('01_Input'!$G$55="Frais KYC (paliers de 100M€)",MAX(0,Nb_Investisseurs-Nb_KYC_Gratuites_Par_Tranche*(FLOOR(CZ$20/Taille_Tranche_KYC,1)+1))*Cout_Par_KYC_Supplementaire,(IF('01_Input'!$L$55="Forfait",IF(CZ$20&gt;='01_Input'!$J$55,'01_Input'!$M$55,0),IF('01_Input'!$L$55="Palier",IF(AND(CZ$20&gt;='01_Input'!$J$55,CZ$20&lt;'01_Input'!$K$55),'01_Input'!$M$55,0),MAX(MIN(CZ$20,'01_Input'!$K$55)-'01_Input'!$J$55,0)*'01_Input'!$M$55))+IF('01_Input'!$P$55="Forfait",IF(CZ$20&gt;='01_Input'!$N$55,'01_Input'!$Q$55,0),IF('01_Input'!$P$55="Palier",IF(AND(CZ$20&gt;='01_Input'!$N$55,CZ$20&lt;'01_Input'!$O$55),'01_Input'!$Q$55,0),MAX(MIN(CZ$20,'01_Input'!$O$55)-'01_Input'!$N$55,0)*'01_Input'!$Q$55))+IF('01_Input'!$T$55="Forfait",IF(CZ$20&gt;='01_Input'!$R$55,'01_Input'!$U$55,0),IF('01_Input'!$T$55="Palier",IF(AND(CZ$20&gt;='01_Input'!$R$55,CZ$20&lt;'01_Input'!$S$55),'01_Input'!$U$55,0),MAX(MIN(CZ$20,'01_Input'!$S$55)-'01_Input'!$R$55,0)*'01_Input'!$U$55))+IF('01_Input'!$X$55="Forfait",IF(CZ$20&gt;='01_Input'!$V$55,'01_Input'!$Y$55,0),IF('01_Input'!$X$55="Palier",IF(AND(CZ$20&gt;='01_Input'!$V$55,CZ$20&lt;'01_Input'!$W$55),'01_Input'!$Y$55,0),MAX(MIN(CZ$20,'01_Input'!$W$55)-'01_Input'!$V$55,0)*'01_Input'!$Y$55))+IF('01_Input'!$AB$55="Forfait",IF(CZ$20&gt;='01_Input'!$Z$55,'01_Input'!$AC$55,0),IF('01_Input'!$AB$55="Palier",IF(AND(CZ$20&gt;='01_Input'!$Z$55,CZ$20&lt;'01_Input'!$AA$55),'01_Input'!$AC$55,0),MAX(MIN(CZ$20,'01_Input'!$AA$55)-'01_Input'!$Z$55,0)*'01_Input'!$AC$55)))))))))</f>
        <v>0</v>
      </c>
      <c r="DA23" s="25">
        <f>IF('01_Input'!$C$55="Non",0,MIN('01_Input'!$I$55,MAX('01_Input'!$H$55,IF('01_Input'!$G$55="Résiduel vs Gestion",0,IF('01_Input'!$G$55="Taux Classe sélectionnée",Distrib_Global_Classe_Selectionnee*DA$20,IF('01_Input'!$G$55="Frais KYC (paliers de 100M€)",MAX(0,Nb_Investisseurs-Nb_KYC_Gratuites_Par_Tranche*(FLOOR(DA$20/Taille_Tranche_KYC,1)+1))*Cout_Par_KYC_Supplementaire,(IF('01_Input'!$L$55="Forfait",IF(DA$20&gt;='01_Input'!$J$55,'01_Input'!$M$55,0),IF('01_Input'!$L$55="Palier",IF(AND(DA$20&gt;='01_Input'!$J$55,DA$20&lt;'01_Input'!$K$55),'01_Input'!$M$55,0),MAX(MIN(DA$20,'01_Input'!$K$55)-'01_Input'!$J$55,0)*'01_Input'!$M$55))+IF('01_Input'!$P$55="Forfait",IF(DA$20&gt;='01_Input'!$N$55,'01_Input'!$Q$55,0),IF('01_Input'!$P$55="Palier",IF(AND(DA$20&gt;='01_Input'!$N$55,DA$20&lt;'01_Input'!$O$55),'01_Input'!$Q$55,0),MAX(MIN(DA$20,'01_Input'!$O$55)-'01_Input'!$N$55,0)*'01_Input'!$Q$55))+IF('01_Input'!$T$55="Forfait",IF(DA$20&gt;='01_Input'!$R$55,'01_Input'!$U$55,0),IF('01_Input'!$T$55="Palier",IF(AND(DA$20&gt;='01_Input'!$R$55,DA$20&lt;'01_Input'!$S$55),'01_Input'!$U$55,0),MAX(MIN(DA$20,'01_Input'!$S$55)-'01_Input'!$R$55,0)*'01_Input'!$U$55))+IF('01_Input'!$X$55="Forfait",IF(DA$20&gt;='01_Input'!$V$55,'01_Input'!$Y$55,0),IF('01_Input'!$X$55="Palier",IF(AND(DA$20&gt;='01_Input'!$V$55,DA$20&lt;'01_Input'!$W$55),'01_Input'!$Y$55,0),MAX(MIN(DA$20,'01_Input'!$W$55)-'01_Input'!$V$55,0)*'01_Input'!$Y$55))+IF('01_Input'!$AB$55="Forfait",IF(DA$20&gt;='01_Input'!$Z$55,'01_Input'!$AC$55,0),IF('01_Input'!$AB$55="Palier",IF(AND(DA$20&gt;='01_Input'!$Z$55,DA$20&lt;'01_Input'!$AA$55),'01_Input'!$AC$55,0),MAX(MIN(DA$20,'01_Input'!$AA$55)-'01_Input'!$Z$55,0)*'01_Input'!$AC$55)))))))))</f>
        <v>0</v>
      </c>
      <c r="DB23" s="25">
        <f>IF('01_Input'!$C$55="Non",0,MIN('01_Input'!$I$55,MAX('01_Input'!$H$55,IF('01_Input'!$G$55="Résiduel vs Gestion",0,IF('01_Input'!$G$55="Taux Classe sélectionnée",Distrib_Global_Classe_Selectionnee*DB$20,IF('01_Input'!$G$55="Frais KYC (paliers de 100M€)",MAX(0,Nb_Investisseurs-Nb_KYC_Gratuites_Par_Tranche*(FLOOR(DB$20/Taille_Tranche_KYC,1)+1))*Cout_Par_KYC_Supplementaire,(IF('01_Input'!$L$55="Forfait",IF(DB$20&gt;='01_Input'!$J$55,'01_Input'!$M$55,0),IF('01_Input'!$L$55="Palier",IF(AND(DB$20&gt;='01_Input'!$J$55,DB$20&lt;'01_Input'!$K$55),'01_Input'!$M$55,0),MAX(MIN(DB$20,'01_Input'!$K$55)-'01_Input'!$J$55,0)*'01_Input'!$M$55))+IF('01_Input'!$P$55="Forfait",IF(DB$20&gt;='01_Input'!$N$55,'01_Input'!$Q$55,0),IF('01_Input'!$P$55="Palier",IF(AND(DB$20&gt;='01_Input'!$N$55,DB$20&lt;'01_Input'!$O$55),'01_Input'!$Q$55,0),MAX(MIN(DB$20,'01_Input'!$O$55)-'01_Input'!$N$55,0)*'01_Input'!$Q$55))+IF('01_Input'!$T$55="Forfait",IF(DB$20&gt;='01_Input'!$R$55,'01_Input'!$U$55,0),IF('01_Input'!$T$55="Palier",IF(AND(DB$20&gt;='01_Input'!$R$55,DB$20&lt;'01_Input'!$S$55),'01_Input'!$U$55,0),MAX(MIN(DB$20,'01_Input'!$S$55)-'01_Input'!$R$55,0)*'01_Input'!$U$55))+IF('01_Input'!$X$55="Forfait",IF(DB$20&gt;='01_Input'!$V$55,'01_Input'!$Y$55,0),IF('01_Input'!$X$55="Palier",IF(AND(DB$20&gt;='01_Input'!$V$55,DB$20&lt;'01_Input'!$W$55),'01_Input'!$Y$55,0),MAX(MIN(DB$20,'01_Input'!$W$55)-'01_Input'!$V$55,0)*'01_Input'!$Y$55))+IF('01_Input'!$AB$55="Forfait",IF(DB$20&gt;='01_Input'!$Z$55,'01_Input'!$AC$55,0),IF('01_Input'!$AB$55="Palier",IF(AND(DB$20&gt;='01_Input'!$Z$55,DB$20&lt;'01_Input'!$AA$55),'01_Input'!$AC$55,0),MAX(MIN(DB$20,'01_Input'!$AA$55)-'01_Input'!$Z$55,0)*'01_Input'!$AC$55)))))))))</f>
        <v>0</v>
      </c>
      <c r="DC23" s="25">
        <f>IF('01_Input'!$C$55="Non",0,MIN('01_Input'!$I$55,MAX('01_Input'!$H$55,IF('01_Input'!$G$55="Résiduel vs Gestion",0,IF('01_Input'!$G$55="Taux Classe sélectionnée",Distrib_Global_Classe_Selectionnee*DC$20,IF('01_Input'!$G$55="Frais KYC (paliers de 100M€)",MAX(0,Nb_Investisseurs-Nb_KYC_Gratuites_Par_Tranche*(FLOOR(DC$20/Taille_Tranche_KYC,1)+1))*Cout_Par_KYC_Supplementaire,(IF('01_Input'!$L$55="Forfait",IF(DC$20&gt;='01_Input'!$J$55,'01_Input'!$M$55,0),IF('01_Input'!$L$55="Palier",IF(AND(DC$20&gt;='01_Input'!$J$55,DC$20&lt;'01_Input'!$K$55),'01_Input'!$M$55,0),MAX(MIN(DC$20,'01_Input'!$K$55)-'01_Input'!$J$55,0)*'01_Input'!$M$55))+IF('01_Input'!$P$55="Forfait",IF(DC$20&gt;='01_Input'!$N$55,'01_Input'!$Q$55,0),IF('01_Input'!$P$55="Palier",IF(AND(DC$20&gt;='01_Input'!$N$55,DC$20&lt;'01_Input'!$O$55),'01_Input'!$Q$55,0),MAX(MIN(DC$20,'01_Input'!$O$55)-'01_Input'!$N$55,0)*'01_Input'!$Q$55))+IF('01_Input'!$T$55="Forfait",IF(DC$20&gt;='01_Input'!$R$55,'01_Input'!$U$55,0),IF('01_Input'!$T$55="Palier",IF(AND(DC$20&gt;='01_Input'!$R$55,DC$20&lt;'01_Input'!$S$55),'01_Input'!$U$55,0),MAX(MIN(DC$20,'01_Input'!$S$55)-'01_Input'!$R$55,0)*'01_Input'!$U$55))+IF('01_Input'!$X$55="Forfait",IF(DC$20&gt;='01_Input'!$V$55,'01_Input'!$Y$55,0),IF('01_Input'!$X$55="Palier",IF(AND(DC$20&gt;='01_Input'!$V$55,DC$20&lt;'01_Input'!$W$55),'01_Input'!$Y$55,0),MAX(MIN(DC$20,'01_Input'!$W$55)-'01_Input'!$V$55,0)*'01_Input'!$Y$55))+IF('01_Input'!$AB$55="Forfait",IF(DC$20&gt;='01_Input'!$Z$55,'01_Input'!$AC$55,0),IF('01_Input'!$AB$55="Palier",IF(AND(DC$20&gt;='01_Input'!$Z$55,DC$20&lt;'01_Input'!$AA$55),'01_Input'!$AC$55,0),MAX(MIN(DC$20,'01_Input'!$AA$55)-'01_Input'!$Z$55,0)*'01_Input'!$AC$55)))))))))</f>
        <v>0</v>
      </c>
      <c r="DD23" s="25">
        <f>IF('01_Input'!$C$55="Non",0,MIN('01_Input'!$I$55,MAX('01_Input'!$H$55,IF('01_Input'!$G$55="Résiduel vs Gestion",0,IF('01_Input'!$G$55="Taux Classe sélectionnée",Distrib_Global_Classe_Selectionnee*DD$20,IF('01_Input'!$G$55="Frais KYC (paliers de 100M€)",MAX(0,Nb_Investisseurs-Nb_KYC_Gratuites_Par_Tranche*(FLOOR(DD$20/Taille_Tranche_KYC,1)+1))*Cout_Par_KYC_Supplementaire,(IF('01_Input'!$L$55="Forfait",IF(DD$20&gt;='01_Input'!$J$55,'01_Input'!$M$55,0),IF('01_Input'!$L$55="Palier",IF(AND(DD$20&gt;='01_Input'!$J$55,DD$20&lt;'01_Input'!$K$55),'01_Input'!$M$55,0),MAX(MIN(DD$20,'01_Input'!$K$55)-'01_Input'!$J$55,0)*'01_Input'!$M$55))+IF('01_Input'!$P$55="Forfait",IF(DD$20&gt;='01_Input'!$N$55,'01_Input'!$Q$55,0),IF('01_Input'!$P$55="Palier",IF(AND(DD$20&gt;='01_Input'!$N$55,DD$20&lt;'01_Input'!$O$55),'01_Input'!$Q$55,0),MAX(MIN(DD$20,'01_Input'!$O$55)-'01_Input'!$N$55,0)*'01_Input'!$Q$55))+IF('01_Input'!$T$55="Forfait",IF(DD$20&gt;='01_Input'!$R$55,'01_Input'!$U$55,0),IF('01_Input'!$T$55="Palier",IF(AND(DD$20&gt;='01_Input'!$R$55,DD$20&lt;'01_Input'!$S$55),'01_Input'!$U$55,0),MAX(MIN(DD$20,'01_Input'!$S$55)-'01_Input'!$R$55,0)*'01_Input'!$U$55))+IF('01_Input'!$X$55="Forfait",IF(DD$20&gt;='01_Input'!$V$55,'01_Input'!$Y$55,0),IF('01_Input'!$X$55="Palier",IF(AND(DD$20&gt;='01_Input'!$V$55,DD$20&lt;'01_Input'!$W$55),'01_Input'!$Y$55,0),MAX(MIN(DD$20,'01_Input'!$W$55)-'01_Input'!$V$55,0)*'01_Input'!$Y$55))+IF('01_Input'!$AB$55="Forfait",IF(DD$20&gt;='01_Input'!$Z$55,'01_Input'!$AC$55,0),IF('01_Input'!$AB$55="Palier",IF(AND(DD$20&gt;='01_Input'!$Z$55,DD$20&lt;'01_Input'!$AA$55),'01_Input'!$AC$55,0),MAX(MIN(DD$20,'01_Input'!$AA$55)-'01_Input'!$Z$55,0)*'01_Input'!$AC$55)))))))))</f>
        <v>0</v>
      </c>
      <c r="DE23" s="25">
        <f>IF('01_Input'!$C$55="Non",0,MIN('01_Input'!$I$55,MAX('01_Input'!$H$55,IF('01_Input'!$G$55="Résiduel vs Gestion",0,IF('01_Input'!$G$55="Taux Classe sélectionnée",Distrib_Global_Classe_Selectionnee*DE$20,IF('01_Input'!$G$55="Frais KYC (paliers de 100M€)",MAX(0,Nb_Investisseurs-Nb_KYC_Gratuites_Par_Tranche*(FLOOR(DE$20/Taille_Tranche_KYC,1)+1))*Cout_Par_KYC_Supplementaire,(IF('01_Input'!$L$55="Forfait",IF(DE$20&gt;='01_Input'!$J$55,'01_Input'!$M$55,0),IF('01_Input'!$L$55="Palier",IF(AND(DE$20&gt;='01_Input'!$J$55,DE$20&lt;'01_Input'!$K$55),'01_Input'!$M$55,0),MAX(MIN(DE$20,'01_Input'!$K$55)-'01_Input'!$J$55,0)*'01_Input'!$M$55))+IF('01_Input'!$P$55="Forfait",IF(DE$20&gt;='01_Input'!$N$55,'01_Input'!$Q$55,0),IF('01_Input'!$P$55="Palier",IF(AND(DE$20&gt;='01_Input'!$N$55,DE$20&lt;'01_Input'!$O$55),'01_Input'!$Q$55,0),MAX(MIN(DE$20,'01_Input'!$O$55)-'01_Input'!$N$55,0)*'01_Input'!$Q$55))+IF('01_Input'!$T$55="Forfait",IF(DE$20&gt;='01_Input'!$R$55,'01_Input'!$U$55,0),IF('01_Input'!$T$55="Palier",IF(AND(DE$20&gt;='01_Input'!$R$55,DE$20&lt;'01_Input'!$S$55),'01_Input'!$U$55,0),MAX(MIN(DE$20,'01_Input'!$S$55)-'01_Input'!$R$55,0)*'01_Input'!$U$55))+IF('01_Input'!$X$55="Forfait",IF(DE$20&gt;='01_Input'!$V$55,'01_Input'!$Y$55,0),IF('01_Input'!$X$55="Palier",IF(AND(DE$20&gt;='01_Input'!$V$55,DE$20&lt;'01_Input'!$W$55),'01_Input'!$Y$55,0),MAX(MIN(DE$20,'01_Input'!$W$55)-'01_Input'!$V$55,0)*'01_Input'!$Y$55))+IF('01_Input'!$AB$55="Forfait",IF(DE$20&gt;='01_Input'!$Z$55,'01_Input'!$AC$55,0),IF('01_Input'!$AB$55="Palier",IF(AND(DE$20&gt;='01_Input'!$Z$55,DE$20&lt;'01_Input'!$AA$55),'01_Input'!$AC$55,0),MAX(MIN(DE$20,'01_Input'!$AA$55)-'01_Input'!$Z$55,0)*'01_Input'!$AC$55)))))))))</f>
        <v>0</v>
      </c>
      <c r="DF23" s="25">
        <f>IF('01_Input'!$C$55="Non",0,MIN('01_Input'!$I$55,MAX('01_Input'!$H$55,IF('01_Input'!$G$55="Résiduel vs Gestion",0,IF('01_Input'!$G$55="Taux Classe sélectionnée",Distrib_Global_Classe_Selectionnee*DF$20,IF('01_Input'!$G$55="Frais KYC (paliers de 100M€)",MAX(0,Nb_Investisseurs-Nb_KYC_Gratuites_Par_Tranche*(FLOOR(DF$20/Taille_Tranche_KYC,1)+1))*Cout_Par_KYC_Supplementaire,(IF('01_Input'!$L$55="Forfait",IF(DF$20&gt;='01_Input'!$J$55,'01_Input'!$M$55,0),IF('01_Input'!$L$55="Palier",IF(AND(DF$20&gt;='01_Input'!$J$55,DF$20&lt;'01_Input'!$K$55),'01_Input'!$M$55,0),MAX(MIN(DF$20,'01_Input'!$K$55)-'01_Input'!$J$55,0)*'01_Input'!$M$55))+IF('01_Input'!$P$55="Forfait",IF(DF$20&gt;='01_Input'!$N$55,'01_Input'!$Q$55,0),IF('01_Input'!$P$55="Palier",IF(AND(DF$20&gt;='01_Input'!$N$55,DF$20&lt;'01_Input'!$O$55),'01_Input'!$Q$55,0),MAX(MIN(DF$20,'01_Input'!$O$55)-'01_Input'!$N$55,0)*'01_Input'!$Q$55))+IF('01_Input'!$T$55="Forfait",IF(DF$20&gt;='01_Input'!$R$55,'01_Input'!$U$55,0),IF('01_Input'!$T$55="Palier",IF(AND(DF$20&gt;='01_Input'!$R$55,DF$20&lt;'01_Input'!$S$55),'01_Input'!$U$55,0),MAX(MIN(DF$20,'01_Input'!$S$55)-'01_Input'!$R$55,0)*'01_Input'!$U$55))+IF('01_Input'!$X$55="Forfait",IF(DF$20&gt;='01_Input'!$V$55,'01_Input'!$Y$55,0),IF('01_Input'!$X$55="Palier",IF(AND(DF$20&gt;='01_Input'!$V$55,DF$20&lt;'01_Input'!$W$55),'01_Input'!$Y$55,0),MAX(MIN(DF$20,'01_Input'!$W$55)-'01_Input'!$V$55,0)*'01_Input'!$Y$55))+IF('01_Input'!$AB$55="Forfait",IF(DF$20&gt;='01_Input'!$Z$55,'01_Input'!$AC$55,0),IF('01_Input'!$AB$55="Palier",IF(AND(DF$20&gt;='01_Input'!$Z$55,DF$20&lt;'01_Input'!$AA$55),'01_Input'!$AC$55,0),MAX(MIN(DF$20,'01_Input'!$AA$55)-'01_Input'!$Z$55,0)*'01_Input'!$AC$55)))))))))</f>
        <v>0</v>
      </c>
      <c r="DG23" s="25">
        <f>IF('01_Input'!$C$55="Non",0,MIN('01_Input'!$I$55,MAX('01_Input'!$H$55,IF('01_Input'!$G$55="Résiduel vs Gestion",0,IF('01_Input'!$G$55="Taux Classe sélectionnée",Distrib_Global_Classe_Selectionnee*DG$20,IF('01_Input'!$G$55="Frais KYC (paliers de 100M€)",MAX(0,Nb_Investisseurs-Nb_KYC_Gratuites_Par_Tranche*(FLOOR(DG$20/Taille_Tranche_KYC,1)+1))*Cout_Par_KYC_Supplementaire,(IF('01_Input'!$L$55="Forfait",IF(DG$20&gt;='01_Input'!$J$55,'01_Input'!$M$55,0),IF('01_Input'!$L$55="Palier",IF(AND(DG$20&gt;='01_Input'!$J$55,DG$20&lt;'01_Input'!$K$55),'01_Input'!$M$55,0),MAX(MIN(DG$20,'01_Input'!$K$55)-'01_Input'!$J$55,0)*'01_Input'!$M$55))+IF('01_Input'!$P$55="Forfait",IF(DG$20&gt;='01_Input'!$N$55,'01_Input'!$Q$55,0),IF('01_Input'!$P$55="Palier",IF(AND(DG$20&gt;='01_Input'!$N$55,DG$20&lt;'01_Input'!$O$55),'01_Input'!$Q$55,0),MAX(MIN(DG$20,'01_Input'!$O$55)-'01_Input'!$N$55,0)*'01_Input'!$Q$55))+IF('01_Input'!$T$55="Forfait",IF(DG$20&gt;='01_Input'!$R$55,'01_Input'!$U$55,0),IF('01_Input'!$T$55="Palier",IF(AND(DG$20&gt;='01_Input'!$R$55,DG$20&lt;'01_Input'!$S$55),'01_Input'!$U$55,0),MAX(MIN(DG$20,'01_Input'!$S$55)-'01_Input'!$R$55,0)*'01_Input'!$U$55))+IF('01_Input'!$X$55="Forfait",IF(DG$20&gt;='01_Input'!$V$55,'01_Input'!$Y$55,0),IF('01_Input'!$X$55="Palier",IF(AND(DG$20&gt;='01_Input'!$V$55,DG$20&lt;'01_Input'!$W$55),'01_Input'!$Y$55,0),MAX(MIN(DG$20,'01_Input'!$W$55)-'01_Input'!$V$55,0)*'01_Input'!$Y$55))+IF('01_Input'!$AB$55="Forfait",IF(DG$20&gt;='01_Input'!$Z$55,'01_Input'!$AC$55,0),IF('01_Input'!$AB$55="Palier",IF(AND(DG$20&gt;='01_Input'!$Z$55,DG$20&lt;'01_Input'!$AA$55),'01_Input'!$AC$55,0),MAX(MIN(DG$20,'01_Input'!$AA$55)-'01_Input'!$Z$55,0)*'01_Input'!$AC$55)))))))))</f>
        <v>0</v>
      </c>
      <c r="DH23" s="25">
        <f>IF('01_Input'!$C$55="Non",0,MIN('01_Input'!$I$55,MAX('01_Input'!$H$55,IF('01_Input'!$G$55="Résiduel vs Gestion",0,IF('01_Input'!$G$55="Taux Classe sélectionnée",Distrib_Global_Classe_Selectionnee*DH$20,IF('01_Input'!$G$55="Frais KYC (paliers de 100M€)",MAX(0,Nb_Investisseurs-Nb_KYC_Gratuites_Par_Tranche*(FLOOR(DH$20/Taille_Tranche_KYC,1)+1))*Cout_Par_KYC_Supplementaire,(IF('01_Input'!$L$55="Forfait",IF(DH$20&gt;='01_Input'!$J$55,'01_Input'!$M$55,0),IF('01_Input'!$L$55="Palier",IF(AND(DH$20&gt;='01_Input'!$J$55,DH$20&lt;'01_Input'!$K$55),'01_Input'!$M$55,0),MAX(MIN(DH$20,'01_Input'!$K$55)-'01_Input'!$J$55,0)*'01_Input'!$M$55))+IF('01_Input'!$P$55="Forfait",IF(DH$20&gt;='01_Input'!$N$55,'01_Input'!$Q$55,0),IF('01_Input'!$P$55="Palier",IF(AND(DH$20&gt;='01_Input'!$N$55,DH$20&lt;'01_Input'!$O$55),'01_Input'!$Q$55,0),MAX(MIN(DH$20,'01_Input'!$O$55)-'01_Input'!$N$55,0)*'01_Input'!$Q$55))+IF('01_Input'!$T$55="Forfait",IF(DH$20&gt;='01_Input'!$R$55,'01_Input'!$U$55,0),IF('01_Input'!$T$55="Palier",IF(AND(DH$20&gt;='01_Input'!$R$55,DH$20&lt;'01_Input'!$S$55),'01_Input'!$U$55,0),MAX(MIN(DH$20,'01_Input'!$S$55)-'01_Input'!$R$55,0)*'01_Input'!$U$55))+IF('01_Input'!$X$55="Forfait",IF(DH$20&gt;='01_Input'!$V$55,'01_Input'!$Y$55,0),IF('01_Input'!$X$55="Palier",IF(AND(DH$20&gt;='01_Input'!$V$55,DH$20&lt;'01_Input'!$W$55),'01_Input'!$Y$55,0),MAX(MIN(DH$20,'01_Input'!$W$55)-'01_Input'!$V$55,0)*'01_Input'!$Y$55))+IF('01_Input'!$AB$55="Forfait",IF(DH$20&gt;='01_Input'!$Z$55,'01_Input'!$AC$55,0),IF('01_Input'!$AB$55="Palier",IF(AND(DH$20&gt;='01_Input'!$Z$55,DH$20&lt;'01_Input'!$AA$55),'01_Input'!$AC$55,0),MAX(MIN(DH$20,'01_Input'!$AA$55)-'01_Input'!$Z$55,0)*'01_Input'!$AC$55)))))))))</f>
        <v>0</v>
      </c>
      <c r="DI23" s="25">
        <f>IF('01_Input'!$C$55="Non",0,MIN('01_Input'!$I$55,MAX('01_Input'!$H$55,IF('01_Input'!$G$55="Résiduel vs Gestion",0,IF('01_Input'!$G$55="Taux Classe sélectionnée",Distrib_Global_Classe_Selectionnee*DI$20,IF('01_Input'!$G$55="Frais KYC (paliers de 100M€)",MAX(0,Nb_Investisseurs-Nb_KYC_Gratuites_Par_Tranche*(FLOOR(DI$20/Taille_Tranche_KYC,1)+1))*Cout_Par_KYC_Supplementaire,(IF('01_Input'!$L$55="Forfait",IF(DI$20&gt;='01_Input'!$J$55,'01_Input'!$M$55,0),IF('01_Input'!$L$55="Palier",IF(AND(DI$20&gt;='01_Input'!$J$55,DI$20&lt;'01_Input'!$K$55),'01_Input'!$M$55,0),MAX(MIN(DI$20,'01_Input'!$K$55)-'01_Input'!$J$55,0)*'01_Input'!$M$55))+IF('01_Input'!$P$55="Forfait",IF(DI$20&gt;='01_Input'!$N$55,'01_Input'!$Q$55,0),IF('01_Input'!$P$55="Palier",IF(AND(DI$20&gt;='01_Input'!$N$55,DI$20&lt;'01_Input'!$O$55),'01_Input'!$Q$55,0),MAX(MIN(DI$20,'01_Input'!$O$55)-'01_Input'!$N$55,0)*'01_Input'!$Q$55))+IF('01_Input'!$T$55="Forfait",IF(DI$20&gt;='01_Input'!$R$55,'01_Input'!$U$55,0),IF('01_Input'!$T$55="Palier",IF(AND(DI$20&gt;='01_Input'!$R$55,DI$20&lt;'01_Input'!$S$55),'01_Input'!$U$55,0),MAX(MIN(DI$20,'01_Input'!$S$55)-'01_Input'!$R$55,0)*'01_Input'!$U$55))+IF('01_Input'!$X$55="Forfait",IF(DI$20&gt;='01_Input'!$V$55,'01_Input'!$Y$55,0),IF('01_Input'!$X$55="Palier",IF(AND(DI$20&gt;='01_Input'!$V$55,DI$20&lt;'01_Input'!$W$55),'01_Input'!$Y$55,0),MAX(MIN(DI$20,'01_Input'!$W$55)-'01_Input'!$V$55,0)*'01_Input'!$Y$55))+IF('01_Input'!$AB$55="Forfait",IF(DI$20&gt;='01_Input'!$Z$55,'01_Input'!$AC$55,0),IF('01_Input'!$AB$55="Palier",IF(AND(DI$20&gt;='01_Input'!$Z$55,DI$20&lt;'01_Input'!$AA$55),'01_Input'!$AC$55,0),MAX(MIN(DI$20,'01_Input'!$AA$55)-'01_Input'!$Z$55,0)*'01_Input'!$AC$55)))))))))</f>
        <v>0</v>
      </c>
      <c r="DJ23" s="25">
        <f>IF('01_Input'!$C$55="Non",0,MIN('01_Input'!$I$55,MAX('01_Input'!$H$55,IF('01_Input'!$G$55="Résiduel vs Gestion",0,IF('01_Input'!$G$55="Taux Classe sélectionnée",Distrib_Global_Classe_Selectionnee*DJ$20,IF('01_Input'!$G$55="Frais KYC (paliers de 100M€)",MAX(0,Nb_Investisseurs-Nb_KYC_Gratuites_Par_Tranche*(FLOOR(DJ$20/Taille_Tranche_KYC,1)+1))*Cout_Par_KYC_Supplementaire,(IF('01_Input'!$L$55="Forfait",IF(DJ$20&gt;='01_Input'!$J$55,'01_Input'!$M$55,0),IF('01_Input'!$L$55="Palier",IF(AND(DJ$20&gt;='01_Input'!$J$55,DJ$20&lt;'01_Input'!$K$55),'01_Input'!$M$55,0),MAX(MIN(DJ$20,'01_Input'!$K$55)-'01_Input'!$J$55,0)*'01_Input'!$M$55))+IF('01_Input'!$P$55="Forfait",IF(DJ$20&gt;='01_Input'!$N$55,'01_Input'!$Q$55,0),IF('01_Input'!$P$55="Palier",IF(AND(DJ$20&gt;='01_Input'!$N$55,DJ$20&lt;'01_Input'!$O$55),'01_Input'!$Q$55,0),MAX(MIN(DJ$20,'01_Input'!$O$55)-'01_Input'!$N$55,0)*'01_Input'!$Q$55))+IF('01_Input'!$T$55="Forfait",IF(DJ$20&gt;='01_Input'!$R$55,'01_Input'!$U$55,0),IF('01_Input'!$T$55="Palier",IF(AND(DJ$20&gt;='01_Input'!$R$55,DJ$20&lt;'01_Input'!$S$55),'01_Input'!$U$55,0),MAX(MIN(DJ$20,'01_Input'!$S$55)-'01_Input'!$R$55,0)*'01_Input'!$U$55))+IF('01_Input'!$X$55="Forfait",IF(DJ$20&gt;='01_Input'!$V$55,'01_Input'!$Y$55,0),IF('01_Input'!$X$55="Palier",IF(AND(DJ$20&gt;='01_Input'!$V$55,DJ$20&lt;'01_Input'!$W$55),'01_Input'!$Y$55,0),MAX(MIN(DJ$20,'01_Input'!$W$55)-'01_Input'!$V$55,0)*'01_Input'!$Y$55))+IF('01_Input'!$AB$55="Forfait",IF(DJ$20&gt;='01_Input'!$Z$55,'01_Input'!$AC$55,0),IF('01_Input'!$AB$55="Palier",IF(AND(DJ$20&gt;='01_Input'!$Z$55,DJ$20&lt;'01_Input'!$AA$55),'01_Input'!$AC$55,0),MAX(MIN(DJ$20,'01_Input'!$AA$55)-'01_Input'!$Z$55,0)*'01_Input'!$AC$55)))))))))</f>
        <v>0</v>
      </c>
      <c r="DK23" s="25">
        <f>IF('01_Input'!$C$55="Non",0,MIN('01_Input'!$I$55,MAX('01_Input'!$H$55,IF('01_Input'!$G$55="Résiduel vs Gestion",0,IF('01_Input'!$G$55="Taux Classe sélectionnée",Distrib_Global_Classe_Selectionnee*DK$20,IF('01_Input'!$G$55="Frais KYC (paliers de 100M€)",MAX(0,Nb_Investisseurs-Nb_KYC_Gratuites_Par_Tranche*(FLOOR(DK$20/Taille_Tranche_KYC,1)+1))*Cout_Par_KYC_Supplementaire,(IF('01_Input'!$L$55="Forfait",IF(DK$20&gt;='01_Input'!$J$55,'01_Input'!$M$55,0),IF('01_Input'!$L$55="Palier",IF(AND(DK$20&gt;='01_Input'!$J$55,DK$20&lt;'01_Input'!$K$55),'01_Input'!$M$55,0),MAX(MIN(DK$20,'01_Input'!$K$55)-'01_Input'!$J$55,0)*'01_Input'!$M$55))+IF('01_Input'!$P$55="Forfait",IF(DK$20&gt;='01_Input'!$N$55,'01_Input'!$Q$55,0),IF('01_Input'!$P$55="Palier",IF(AND(DK$20&gt;='01_Input'!$N$55,DK$20&lt;'01_Input'!$O$55),'01_Input'!$Q$55,0),MAX(MIN(DK$20,'01_Input'!$O$55)-'01_Input'!$N$55,0)*'01_Input'!$Q$55))+IF('01_Input'!$T$55="Forfait",IF(DK$20&gt;='01_Input'!$R$55,'01_Input'!$U$55,0),IF('01_Input'!$T$55="Palier",IF(AND(DK$20&gt;='01_Input'!$R$55,DK$20&lt;'01_Input'!$S$55),'01_Input'!$U$55,0),MAX(MIN(DK$20,'01_Input'!$S$55)-'01_Input'!$R$55,0)*'01_Input'!$U$55))+IF('01_Input'!$X$55="Forfait",IF(DK$20&gt;='01_Input'!$V$55,'01_Input'!$Y$55,0),IF('01_Input'!$X$55="Palier",IF(AND(DK$20&gt;='01_Input'!$V$55,DK$20&lt;'01_Input'!$W$55),'01_Input'!$Y$55,0),MAX(MIN(DK$20,'01_Input'!$W$55)-'01_Input'!$V$55,0)*'01_Input'!$Y$55))+IF('01_Input'!$AB$55="Forfait",IF(DK$20&gt;='01_Input'!$Z$55,'01_Input'!$AC$55,0),IF('01_Input'!$AB$55="Palier",IF(AND(DK$20&gt;='01_Input'!$Z$55,DK$20&lt;'01_Input'!$AA$55),'01_Input'!$AC$55,0),MAX(MIN(DK$20,'01_Input'!$AA$55)-'01_Input'!$Z$55,0)*'01_Input'!$AC$55)))))))))</f>
        <v>0</v>
      </c>
      <c r="DL23" s="25">
        <f>IF('01_Input'!$C$55="Non",0,MIN('01_Input'!$I$55,MAX('01_Input'!$H$55,IF('01_Input'!$G$55="Résiduel vs Gestion",0,IF('01_Input'!$G$55="Taux Classe sélectionnée",Distrib_Global_Classe_Selectionnee*DL$20,IF('01_Input'!$G$55="Frais KYC (paliers de 100M€)",MAX(0,Nb_Investisseurs-Nb_KYC_Gratuites_Par_Tranche*(FLOOR(DL$20/Taille_Tranche_KYC,1)+1))*Cout_Par_KYC_Supplementaire,(IF('01_Input'!$L$55="Forfait",IF(DL$20&gt;='01_Input'!$J$55,'01_Input'!$M$55,0),IF('01_Input'!$L$55="Palier",IF(AND(DL$20&gt;='01_Input'!$J$55,DL$20&lt;'01_Input'!$K$55),'01_Input'!$M$55,0),MAX(MIN(DL$20,'01_Input'!$K$55)-'01_Input'!$J$55,0)*'01_Input'!$M$55))+IF('01_Input'!$P$55="Forfait",IF(DL$20&gt;='01_Input'!$N$55,'01_Input'!$Q$55,0),IF('01_Input'!$P$55="Palier",IF(AND(DL$20&gt;='01_Input'!$N$55,DL$20&lt;'01_Input'!$O$55),'01_Input'!$Q$55,0),MAX(MIN(DL$20,'01_Input'!$O$55)-'01_Input'!$N$55,0)*'01_Input'!$Q$55))+IF('01_Input'!$T$55="Forfait",IF(DL$20&gt;='01_Input'!$R$55,'01_Input'!$U$55,0),IF('01_Input'!$T$55="Palier",IF(AND(DL$20&gt;='01_Input'!$R$55,DL$20&lt;'01_Input'!$S$55),'01_Input'!$U$55,0),MAX(MIN(DL$20,'01_Input'!$S$55)-'01_Input'!$R$55,0)*'01_Input'!$U$55))+IF('01_Input'!$X$55="Forfait",IF(DL$20&gt;='01_Input'!$V$55,'01_Input'!$Y$55,0),IF('01_Input'!$X$55="Palier",IF(AND(DL$20&gt;='01_Input'!$V$55,DL$20&lt;'01_Input'!$W$55),'01_Input'!$Y$55,0),MAX(MIN(DL$20,'01_Input'!$W$55)-'01_Input'!$V$55,0)*'01_Input'!$Y$55))+IF('01_Input'!$AB$55="Forfait",IF(DL$20&gt;='01_Input'!$Z$55,'01_Input'!$AC$55,0),IF('01_Input'!$AB$55="Palier",IF(AND(DL$20&gt;='01_Input'!$Z$55,DL$20&lt;'01_Input'!$AA$55),'01_Input'!$AC$55,0),MAX(MIN(DL$20,'01_Input'!$AA$55)-'01_Input'!$Z$55,0)*'01_Input'!$AC$55)))))))))</f>
        <v>0</v>
      </c>
      <c r="DM23" s="25">
        <f>IF('01_Input'!$C$55="Non",0,MIN('01_Input'!$I$55,MAX('01_Input'!$H$55,IF('01_Input'!$G$55="Résiduel vs Gestion",0,IF('01_Input'!$G$55="Taux Classe sélectionnée",Distrib_Global_Classe_Selectionnee*DM$20,IF('01_Input'!$G$55="Frais KYC (paliers de 100M€)",MAX(0,Nb_Investisseurs-Nb_KYC_Gratuites_Par_Tranche*(FLOOR(DM$20/Taille_Tranche_KYC,1)+1))*Cout_Par_KYC_Supplementaire,(IF('01_Input'!$L$55="Forfait",IF(DM$20&gt;='01_Input'!$J$55,'01_Input'!$M$55,0),IF('01_Input'!$L$55="Palier",IF(AND(DM$20&gt;='01_Input'!$J$55,DM$20&lt;'01_Input'!$K$55),'01_Input'!$M$55,0),MAX(MIN(DM$20,'01_Input'!$K$55)-'01_Input'!$J$55,0)*'01_Input'!$M$55))+IF('01_Input'!$P$55="Forfait",IF(DM$20&gt;='01_Input'!$N$55,'01_Input'!$Q$55,0),IF('01_Input'!$P$55="Palier",IF(AND(DM$20&gt;='01_Input'!$N$55,DM$20&lt;'01_Input'!$O$55),'01_Input'!$Q$55,0),MAX(MIN(DM$20,'01_Input'!$O$55)-'01_Input'!$N$55,0)*'01_Input'!$Q$55))+IF('01_Input'!$T$55="Forfait",IF(DM$20&gt;='01_Input'!$R$55,'01_Input'!$U$55,0),IF('01_Input'!$T$55="Palier",IF(AND(DM$20&gt;='01_Input'!$R$55,DM$20&lt;'01_Input'!$S$55),'01_Input'!$U$55,0),MAX(MIN(DM$20,'01_Input'!$S$55)-'01_Input'!$R$55,0)*'01_Input'!$U$55))+IF('01_Input'!$X$55="Forfait",IF(DM$20&gt;='01_Input'!$V$55,'01_Input'!$Y$55,0),IF('01_Input'!$X$55="Palier",IF(AND(DM$20&gt;='01_Input'!$V$55,DM$20&lt;'01_Input'!$W$55),'01_Input'!$Y$55,0),MAX(MIN(DM$20,'01_Input'!$W$55)-'01_Input'!$V$55,0)*'01_Input'!$Y$55))+IF('01_Input'!$AB$55="Forfait",IF(DM$20&gt;='01_Input'!$Z$55,'01_Input'!$AC$55,0),IF('01_Input'!$AB$55="Palier",IF(AND(DM$20&gt;='01_Input'!$Z$55,DM$20&lt;'01_Input'!$AA$55),'01_Input'!$AC$55,0),MAX(MIN(DM$20,'01_Input'!$AA$55)-'01_Input'!$Z$55,0)*'01_Input'!$AC$55)))))))))</f>
        <v>0</v>
      </c>
      <c r="DN23" s="25">
        <f>IF('01_Input'!$C$55="Non",0,MIN('01_Input'!$I$55,MAX('01_Input'!$H$55,IF('01_Input'!$G$55="Résiduel vs Gestion",0,IF('01_Input'!$G$55="Taux Classe sélectionnée",Distrib_Global_Classe_Selectionnee*DN$20,IF('01_Input'!$G$55="Frais KYC (paliers de 100M€)",MAX(0,Nb_Investisseurs-Nb_KYC_Gratuites_Par_Tranche*(FLOOR(DN$20/Taille_Tranche_KYC,1)+1))*Cout_Par_KYC_Supplementaire,(IF('01_Input'!$L$55="Forfait",IF(DN$20&gt;='01_Input'!$J$55,'01_Input'!$M$55,0),IF('01_Input'!$L$55="Palier",IF(AND(DN$20&gt;='01_Input'!$J$55,DN$20&lt;'01_Input'!$K$55),'01_Input'!$M$55,0),MAX(MIN(DN$20,'01_Input'!$K$55)-'01_Input'!$J$55,0)*'01_Input'!$M$55))+IF('01_Input'!$P$55="Forfait",IF(DN$20&gt;='01_Input'!$N$55,'01_Input'!$Q$55,0),IF('01_Input'!$P$55="Palier",IF(AND(DN$20&gt;='01_Input'!$N$55,DN$20&lt;'01_Input'!$O$55),'01_Input'!$Q$55,0),MAX(MIN(DN$20,'01_Input'!$O$55)-'01_Input'!$N$55,0)*'01_Input'!$Q$55))+IF('01_Input'!$T$55="Forfait",IF(DN$20&gt;='01_Input'!$R$55,'01_Input'!$U$55,0),IF('01_Input'!$T$55="Palier",IF(AND(DN$20&gt;='01_Input'!$R$55,DN$20&lt;'01_Input'!$S$55),'01_Input'!$U$55,0),MAX(MIN(DN$20,'01_Input'!$S$55)-'01_Input'!$R$55,0)*'01_Input'!$U$55))+IF('01_Input'!$X$55="Forfait",IF(DN$20&gt;='01_Input'!$V$55,'01_Input'!$Y$55,0),IF('01_Input'!$X$55="Palier",IF(AND(DN$20&gt;='01_Input'!$V$55,DN$20&lt;'01_Input'!$W$55),'01_Input'!$Y$55,0),MAX(MIN(DN$20,'01_Input'!$W$55)-'01_Input'!$V$55,0)*'01_Input'!$Y$55))+IF('01_Input'!$AB$55="Forfait",IF(DN$20&gt;='01_Input'!$Z$55,'01_Input'!$AC$55,0),IF('01_Input'!$AB$55="Palier",IF(AND(DN$20&gt;='01_Input'!$Z$55,DN$20&lt;'01_Input'!$AA$55),'01_Input'!$AC$55,0),MAX(MIN(DN$20,'01_Input'!$AA$55)-'01_Input'!$Z$55,0)*'01_Input'!$AC$55)))))))))</f>
        <v>0</v>
      </c>
      <c r="DO23" s="25">
        <f>IF('01_Input'!$C$55="Non",0,MIN('01_Input'!$I$55,MAX('01_Input'!$H$55,IF('01_Input'!$G$55="Résiduel vs Gestion",0,IF('01_Input'!$G$55="Taux Classe sélectionnée",Distrib_Global_Classe_Selectionnee*DO$20,IF('01_Input'!$G$55="Frais KYC (paliers de 100M€)",MAX(0,Nb_Investisseurs-Nb_KYC_Gratuites_Par_Tranche*(FLOOR(DO$20/Taille_Tranche_KYC,1)+1))*Cout_Par_KYC_Supplementaire,(IF('01_Input'!$L$55="Forfait",IF(DO$20&gt;='01_Input'!$J$55,'01_Input'!$M$55,0),IF('01_Input'!$L$55="Palier",IF(AND(DO$20&gt;='01_Input'!$J$55,DO$20&lt;'01_Input'!$K$55),'01_Input'!$M$55,0),MAX(MIN(DO$20,'01_Input'!$K$55)-'01_Input'!$J$55,0)*'01_Input'!$M$55))+IF('01_Input'!$P$55="Forfait",IF(DO$20&gt;='01_Input'!$N$55,'01_Input'!$Q$55,0),IF('01_Input'!$P$55="Palier",IF(AND(DO$20&gt;='01_Input'!$N$55,DO$20&lt;'01_Input'!$O$55),'01_Input'!$Q$55,0),MAX(MIN(DO$20,'01_Input'!$O$55)-'01_Input'!$N$55,0)*'01_Input'!$Q$55))+IF('01_Input'!$T$55="Forfait",IF(DO$20&gt;='01_Input'!$R$55,'01_Input'!$U$55,0),IF('01_Input'!$T$55="Palier",IF(AND(DO$20&gt;='01_Input'!$R$55,DO$20&lt;'01_Input'!$S$55),'01_Input'!$U$55,0),MAX(MIN(DO$20,'01_Input'!$S$55)-'01_Input'!$R$55,0)*'01_Input'!$U$55))+IF('01_Input'!$X$55="Forfait",IF(DO$20&gt;='01_Input'!$V$55,'01_Input'!$Y$55,0),IF('01_Input'!$X$55="Palier",IF(AND(DO$20&gt;='01_Input'!$V$55,DO$20&lt;'01_Input'!$W$55),'01_Input'!$Y$55,0),MAX(MIN(DO$20,'01_Input'!$W$55)-'01_Input'!$V$55,0)*'01_Input'!$Y$55))+IF('01_Input'!$AB$55="Forfait",IF(DO$20&gt;='01_Input'!$Z$55,'01_Input'!$AC$55,0),IF('01_Input'!$AB$55="Palier",IF(AND(DO$20&gt;='01_Input'!$Z$55,DO$20&lt;'01_Input'!$AA$55),'01_Input'!$AC$55,0),MAX(MIN(DO$20,'01_Input'!$AA$55)-'01_Input'!$Z$55,0)*'01_Input'!$AC$55)))))))))</f>
        <v>0</v>
      </c>
      <c r="DP23" s="25">
        <f>IF('01_Input'!$C$55="Non",0,MIN('01_Input'!$I$55,MAX('01_Input'!$H$55,IF('01_Input'!$G$55="Résiduel vs Gestion",0,IF('01_Input'!$G$55="Taux Classe sélectionnée",Distrib_Global_Classe_Selectionnee*DP$20,IF('01_Input'!$G$55="Frais KYC (paliers de 100M€)",MAX(0,Nb_Investisseurs-Nb_KYC_Gratuites_Par_Tranche*(FLOOR(DP$20/Taille_Tranche_KYC,1)+1))*Cout_Par_KYC_Supplementaire,(IF('01_Input'!$L$55="Forfait",IF(DP$20&gt;='01_Input'!$J$55,'01_Input'!$M$55,0),IF('01_Input'!$L$55="Palier",IF(AND(DP$20&gt;='01_Input'!$J$55,DP$20&lt;'01_Input'!$K$55),'01_Input'!$M$55,0),MAX(MIN(DP$20,'01_Input'!$K$55)-'01_Input'!$J$55,0)*'01_Input'!$M$55))+IF('01_Input'!$P$55="Forfait",IF(DP$20&gt;='01_Input'!$N$55,'01_Input'!$Q$55,0),IF('01_Input'!$P$55="Palier",IF(AND(DP$20&gt;='01_Input'!$N$55,DP$20&lt;'01_Input'!$O$55),'01_Input'!$Q$55,0),MAX(MIN(DP$20,'01_Input'!$O$55)-'01_Input'!$N$55,0)*'01_Input'!$Q$55))+IF('01_Input'!$T$55="Forfait",IF(DP$20&gt;='01_Input'!$R$55,'01_Input'!$U$55,0),IF('01_Input'!$T$55="Palier",IF(AND(DP$20&gt;='01_Input'!$R$55,DP$20&lt;'01_Input'!$S$55),'01_Input'!$U$55,0),MAX(MIN(DP$20,'01_Input'!$S$55)-'01_Input'!$R$55,0)*'01_Input'!$U$55))+IF('01_Input'!$X$55="Forfait",IF(DP$20&gt;='01_Input'!$V$55,'01_Input'!$Y$55,0),IF('01_Input'!$X$55="Palier",IF(AND(DP$20&gt;='01_Input'!$V$55,DP$20&lt;'01_Input'!$W$55),'01_Input'!$Y$55,0),MAX(MIN(DP$20,'01_Input'!$W$55)-'01_Input'!$V$55,0)*'01_Input'!$Y$55))+IF('01_Input'!$AB$55="Forfait",IF(DP$20&gt;='01_Input'!$Z$55,'01_Input'!$AC$55,0),IF('01_Input'!$AB$55="Palier",IF(AND(DP$20&gt;='01_Input'!$Z$55,DP$20&lt;'01_Input'!$AA$55),'01_Input'!$AC$55,0),MAX(MIN(DP$20,'01_Input'!$AA$55)-'01_Input'!$Z$55,0)*'01_Input'!$AC$55)))))))))</f>
        <v>0</v>
      </c>
      <c r="DQ23" s="25">
        <f>IF('01_Input'!$C$55="Non",0,MIN('01_Input'!$I$55,MAX('01_Input'!$H$55,IF('01_Input'!$G$55="Résiduel vs Gestion",0,IF('01_Input'!$G$55="Taux Classe sélectionnée",Distrib_Global_Classe_Selectionnee*DQ$20,IF('01_Input'!$G$55="Frais KYC (paliers de 100M€)",MAX(0,Nb_Investisseurs-Nb_KYC_Gratuites_Par_Tranche*(FLOOR(DQ$20/Taille_Tranche_KYC,1)+1))*Cout_Par_KYC_Supplementaire,(IF('01_Input'!$L$55="Forfait",IF(DQ$20&gt;='01_Input'!$J$55,'01_Input'!$M$55,0),IF('01_Input'!$L$55="Palier",IF(AND(DQ$20&gt;='01_Input'!$J$55,DQ$20&lt;'01_Input'!$K$55),'01_Input'!$M$55,0),MAX(MIN(DQ$20,'01_Input'!$K$55)-'01_Input'!$J$55,0)*'01_Input'!$M$55))+IF('01_Input'!$P$55="Forfait",IF(DQ$20&gt;='01_Input'!$N$55,'01_Input'!$Q$55,0),IF('01_Input'!$P$55="Palier",IF(AND(DQ$20&gt;='01_Input'!$N$55,DQ$20&lt;'01_Input'!$O$55),'01_Input'!$Q$55,0),MAX(MIN(DQ$20,'01_Input'!$O$55)-'01_Input'!$N$55,0)*'01_Input'!$Q$55))+IF('01_Input'!$T$55="Forfait",IF(DQ$20&gt;='01_Input'!$R$55,'01_Input'!$U$55,0),IF('01_Input'!$T$55="Palier",IF(AND(DQ$20&gt;='01_Input'!$R$55,DQ$20&lt;'01_Input'!$S$55),'01_Input'!$U$55,0),MAX(MIN(DQ$20,'01_Input'!$S$55)-'01_Input'!$R$55,0)*'01_Input'!$U$55))+IF('01_Input'!$X$55="Forfait",IF(DQ$20&gt;='01_Input'!$V$55,'01_Input'!$Y$55,0),IF('01_Input'!$X$55="Palier",IF(AND(DQ$20&gt;='01_Input'!$V$55,DQ$20&lt;'01_Input'!$W$55),'01_Input'!$Y$55,0),MAX(MIN(DQ$20,'01_Input'!$W$55)-'01_Input'!$V$55,0)*'01_Input'!$Y$55))+IF('01_Input'!$AB$55="Forfait",IF(DQ$20&gt;='01_Input'!$Z$55,'01_Input'!$AC$55,0),IF('01_Input'!$AB$55="Palier",IF(AND(DQ$20&gt;='01_Input'!$Z$55,DQ$20&lt;'01_Input'!$AA$55),'01_Input'!$AC$55,0),MAX(MIN(DQ$20,'01_Input'!$AA$55)-'01_Input'!$Z$55,0)*'01_Input'!$AC$55)))))))))</f>
        <v>0</v>
      </c>
      <c r="DR23" s="25">
        <f>IF('01_Input'!$C$55="Non",0,MIN('01_Input'!$I$55,MAX('01_Input'!$H$55,IF('01_Input'!$G$55="Résiduel vs Gestion",0,IF('01_Input'!$G$55="Taux Classe sélectionnée",Distrib_Global_Classe_Selectionnee*DR$20,IF('01_Input'!$G$55="Frais KYC (paliers de 100M€)",MAX(0,Nb_Investisseurs-Nb_KYC_Gratuites_Par_Tranche*(FLOOR(DR$20/Taille_Tranche_KYC,1)+1))*Cout_Par_KYC_Supplementaire,(IF('01_Input'!$L$55="Forfait",IF(DR$20&gt;='01_Input'!$J$55,'01_Input'!$M$55,0),IF('01_Input'!$L$55="Palier",IF(AND(DR$20&gt;='01_Input'!$J$55,DR$20&lt;'01_Input'!$K$55),'01_Input'!$M$55,0),MAX(MIN(DR$20,'01_Input'!$K$55)-'01_Input'!$J$55,0)*'01_Input'!$M$55))+IF('01_Input'!$P$55="Forfait",IF(DR$20&gt;='01_Input'!$N$55,'01_Input'!$Q$55,0),IF('01_Input'!$P$55="Palier",IF(AND(DR$20&gt;='01_Input'!$N$55,DR$20&lt;'01_Input'!$O$55),'01_Input'!$Q$55,0),MAX(MIN(DR$20,'01_Input'!$O$55)-'01_Input'!$N$55,0)*'01_Input'!$Q$55))+IF('01_Input'!$T$55="Forfait",IF(DR$20&gt;='01_Input'!$R$55,'01_Input'!$U$55,0),IF('01_Input'!$T$55="Palier",IF(AND(DR$20&gt;='01_Input'!$R$55,DR$20&lt;'01_Input'!$S$55),'01_Input'!$U$55,0),MAX(MIN(DR$20,'01_Input'!$S$55)-'01_Input'!$R$55,0)*'01_Input'!$U$55))+IF('01_Input'!$X$55="Forfait",IF(DR$20&gt;='01_Input'!$V$55,'01_Input'!$Y$55,0),IF('01_Input'!$X$55="Palier",IF(AND(DR$20&gt;='01_Input'!$V$55,DR$20&lt;'01_Input'!$W$55),'01_Input'!$Y$55,0),MAX(MIN(DR$20,'01_Input'!$W$55)-'01_Input'!$V$55,0)*'01_Input'!$Y$55))+IF('01_Input'!$AB$55="Forfait",IF(DR$20&gt;='01_Input'!$Z$55,'01_Input'!$AC$55,0),IF('01_Input'!$AB$55="Palier",IF(AND(DR$20&gt;='01_Input'!$Z$55,DR$20&lt;'01_Input'!$AA$55),'01_Input'!$AC$55,0),MAX(MIN(DR$20,'01_Input'!$AA$55)-'01_Input'!$Z$55,0)*'01_Input'!$AC$55)))))))))</f>
        <v>0</v>
      </c>
      <c r="DS23" s="25">
        <f>IF('01_Input'!$C$55="Non",0,MIN('01_Input'!$I$55,MAX('01_Input'!$H$55,IF('01_Input'!$G$55="Résiduel vs Gestion",0,IF('01_Input'!$G$55="Taux Classe sélectionnée",Distrib_Global_Classe_Selectionnee*DS$20,IF('01_Input'!$G$55="Frais KYC (paliers de 100M€)",MAX(0,Nb_Investisseurs-Nb_KYC_Gratuites_Par_Tranche*(FLOOR(DS$20/Taille_Tranche_KYC,1)+1))*Cout_Par_KYC_Supplementaire,(IF('01_Input'!$L$55="Forfait",IF(DS$20&gt;='01_Input'!$J$55,'01_Input'!$M$55,0),IF('01_Input'!$L$55="Palier",IF(AND(DS$20&gt;='01_Input'!$J$55,DS$20&lt;'01_Input'!$K$55),'01_Input'!$M$55,0),MAX(MIN(DS$20,'01_Input'!$K$55)-'01_Input'!$J$55,0)*'01_Input'!$M$55))+IF('01_Input'!$P$55="Forfait",IF(DS$20&gt;='01_Input'!$N$55,'01_Input'!$Q$55,0),IF('01_Input'!$P$55="Palier",IF(AND(DS$20&gt;='01_Input'!$N$55,DS$20&lt;'01_Input'!$O$55),'01_Input'!$Q$55,0),MAX(MIN(DS$20,'01_Input'!$O$55)-'01_Input'!$N$55,0)*'01_Input'!$Q$55))+IF('01_Input'!$T$55="Forfait",IF(DS$20&gt;='01_Input'!$R$55,'01_Input'!$U$55,0),IF('01_Input'!$T$55="Palier",IF(AND(DS$20&gt;='01_Input'!$R$55,DS$20&lt;'01_Input'!$S$55),'01_Input'!$U$55,0),MAX(MIN(DS$20,'01_Input'!$S$55)-'01_Input'!$R$55,0)*'01_Input'!$U$55))+IF('01_Input'!$X$55="Forfait",IF(DS$20&gt;='01_Input'!$V$55,'01_Input'!$Y$55,0),IF('01_Input'!$X$55="Palier",IF(AND(DS$20&gt;='01_Input'!$V$55,DS$20&lt;'01_Input'!$W$55),'01_Input'!$Y$55,0),MAX(MIN(DS$20,'01_Input'!$W$55)-'01_Input'!$V$55,0)*'01_Input'!$Y$55))+IF('01_Input'!$AB$55="Forfait",IF(DS$20&gt;='01_Input'!$Z$55,'01_Input'!$AC$55,0),IF('01_Input'!$AB$55="Palier",IF(AND(DS$20&gt;='01_Input'!$Z$55,DS$20&lt;'01_Input'!$AA$55),'01_Input'!$AC$55,0),MAX(MIN(DS$20,'01_Input'!$AA$55)-'01_Input'!$Z$55,0)*'01_Input'!$AC$55)))))))))</f>
        <v>0</v>
      </c>
      <c r="DT23" s="25">
        <f>IF('01_Input'!$C$55="Non",0,MIN('01_Input'!$I$55,MAX('01_Input'!$H$55,IF('01_Input'!$G$55="Résiduel vs Gestion",0,IF('01_Input'!$G$55="Taux Classe sélectionnée",Distrib_Global_Classe_Selectionnee*DT$20,IF('01_Input'!$G$55="Frais KYC (paliers de 100M€)",MAX(0,Nb_Investisseurs-Nb_KYC_Gratuites_Par_Tranche*(FLOOR(DT$20/Taille_Tranche_KYC,1)+1))*Cout_Par_KYC_Supplementaire,(IF('01_Input'!$L$55="Forfait",IF(DT$20&gt;='01_Input'!$J$55,'01_Input'!$M$55,0),IF('01_Input'!$L$55="Palier",IF(AND(DT$20&gt;='01_Input'!$J$55,DT$20&lt;'01_Input'!$K$55),'01_Input'!$M$55,0),MAX(MIN(DT$20,'01_Input'!$K$55)-'01_Input'!$J$55,0)*'01_Input'!$M$55))+IF('01_Input'!$P$55="Forfait",IF(DT$20&gt;='01_Input'!$N$55,'01_Input'!$Q$55,0),IF('01_Input'!$P$55="Palier",IF(AND(DT$20&gt;='01_Input'!$N$55,DT$20&lt;'01_Input'!$O$55),'01_Input'!$Q$55,0),MAX(MIN(DT$20,'01_Input'!$O$55)-'01_Input'!$N$55,0)*'01_Input'!$Q$55))+IF('01_Input'!$T$55="Forfait",IF(DT$20&gt;='01_Input'!$R$55,'01_Input'!$U$55,0),IF('01_Input'!$T$55="Palier",IF(AND(DT$20&gt;='01_Input'!$R$55,DT$20&lt;'01_Input'!$S$55),'01_Input'!$U$55,0),MAX(MIN(DT$20,'01_Input'!$S$55)-'01_Input'!$R$55,0)*'01_Input'!$U$55))+IF('01_Input'!$X$55="Forfait",IF(DT$20&gt;='01_Input'!$V$55,'01_Input'!$Y$55,0),IF('01_Input'!$X$55="Palier",IF(AND(DT$20&gt;='01_Input'!$V$55,DT$20&lt;'01_Input'!$W$55),'01_Input'!$Y$55,0),MAX(MIN(DT$20,'01_Input'!$W$55)-'01_Input'!$V$55,0)*'01_Input'!$Y$55))+IF('01_Input'!$AB$55="Forfait",IF(DT$20&gt;='01_Input'!$Z$55,'01_Input'!$AC$55,0),IF('01_Input'!$AB$55="Palier",IF(AND(DT$20&gt;='01_Input'!$Z$55,DT$20&lt;'01_Input'!$AA$55),'01_Input'!$AC$55,0),MAX(MIN(DT$20,'01_Input'!$AA$55)-'01_Input'!$Z$55,0)*'01_Input'!$AC$55)))))))))</f>
        <v>0</v>
      </c>
      <c r="DU23" s="25">
        <f>IF('01_Input'!$C$55="Non",0,MIN('01_Input'!$I$55,MAX('01_Input'!$H$55,IF('01_Input'!$G$55="Résiduel vs Gestion",0,IF('01_Input'!$G$55="Taux Classe sélectionnée",Distrib_Global_Classe_Selectionnee*DU$20,IF('01_Input'!$G$55="Frais KYC (paliers de 100M€)",MAX(0,Nb_Investisseurs-Nb_KYC_Gratuites_Par_Tranche*(FLOOR(DU$20/Taille_Tranche_KYC,1)+1))*Cout_Par_KYC_Supplementaire,(IF('01_Input'!$L$55="Forfait",IF(DU$20&gt;='01_Input'!$J$55,'01_Input'!$M$55,0),IF('01_Input'!$L$55="Palier",IF(AND(DU$20&gt;='01_Input'!$J$55,DU$20&lt;'01_Input'!$K$55),'01_Input'!$M$55,0),MAX(MIN(DU$20,'01_Input'!$K$55)-'01_Input'!$J$55,0)*'01_Input'!$M$55))+IF('01_Input'!$P$55="Forfait",IF(DU$20&gt;='01_Input'!$N$55,'01_Input'!$Q$55,0),IF('01_Input'!$P$55="Palier",IF(AND(DU$20&gt;='01_Input'!$N$55,DU$20&lt;'01_Input'!$O$55),'01_Input'!$Q$55,0),MAX(MIN(DU$20,'01_Input'!$O$55)-'01_Input'!$N$55,0)*'01_Input'!$Q$55))+IF('01_Input'!$T$55="Forfait",IF(DU$20&gt;='01_Input'!$R$55,'01_Input'!$U$55,0),IF('01_Input'!$T$55="Palier",IF(AND(DU$20&gt;='01_Input'!$R$55,DU$20&lt;'01_Input'!$S$55),'01_Input'!$U$55,0),MAX(MIN(DU$20,'01_Input'!$S$55)-'01_Input'!$R$55,0)*'01_Input'!$U$55))+IF('01_Input'!$X$55="Forfait",IF(DU$20&gt;='01_Input'!$V$55,'01_Input'!$Y$55,0),IF('01_Input'!$X$55="Palier",IF(AND(DU$20&gt;='01_Input'!$V$55,DU$20&lt;'01_Input'!$W$55),'01_Input'!$Y$55,0),MAX(MIN(DU$20,'01_Input'!$W$55)-'01_Input'!$V$55,0)*'01_Input'!$Y$55))+IF('01_Input'!$AB$55="Forfait",IF(DU$20&gt;='01_Input'!$Z$55,'01_Input'!$AC$55,0),IF('01_Input'!$AB$55="Palier",IF(AND(DU$20&gt;='01_Input'!$Z$55,DU$20&lt;'01_Input'!$AA$55),'01_Input'!$AC$55,0),MAX(MIN(DU$20,'01_Input'!$AA$55)-'01_Input'!$Z$55,0)*'01_Input'!$AC$55)))))))))</f>
        <v>0</v>
      </c>
      <c r="DV23" s="25">
        <f>IF('01_Input'!$C$55="Non",0,MIN('01_Input'!$I$55,MAX('01_Input'!$H$55,IF('01_Input'!$G$55="Résiduel vs Gestion",0,IF('01_Input'!$G$55="Taux Classe sélectionnée",Distrib_Global_Classe_Selectionnee*DV$20,IF('01_Input'!$G$55="Frais KYC (paliers de 100M€)",MAX(0,Nb_Investisseurs-Nb_KYC_Gratuites_Par_Tranche*(FLOOR(DV$20/Taille_Tranche_KYC,1)+1))*Cout_Par_KYC_Supplementaire,(IF('01_Input'!$L$55="Forfait",IF(DV$20&gt;='01_Input'!$J$55,'01_Input'!$M$55,0),IF('01_Input'!$L$55="Palier",IF(AND(DV$20&gt;='01_Input'!$J$55,DV$20&lt;'01_Input'!$K$55),'01_Input'!$M$55,0),MAX(MIN(DV$20,'01_Input'!$K$55)-'01_Input'!$J$55,0)*'01_Input'!$M$55))+IF('01_Input'!$P$55="Forfait",IF(DV$20&gt;='01_Input'!$N$55,'01_Input'!$Q$55,0),IF('01_Input'!$P$55="Palier",IF(AND(DV$20&gt;='01_Input'!$N$55,DV$20&lt;'01_Input'!$O$55),'01_Input'!$Q$55,0),MAX(MIN(DV$20,'01_Input'!$O$55)-'01_Input'!$N$55,0)*'01_Input'!$Q$55))+IF('01_Input'!$T$55="Forfait",IF(DV$20&gt;='01_Input'!$R$55,'01_Input'!$U$55,0),IF('01_Input'!$T$55="Palier",IF(AND(DV$20&gt;='01_Input'!$R$55,DV$20&lt;'01_Input'!$S$55),'01_Input'!$U$55,0),MAX(MIN(DV$20,'01_Input'!$S$55)-'01_Input'!$R$55,0)*'01_Input'!$U$55))+IF('01_Input'!$X$55="Forfait",IF(DV$20&gt;='01_Input'!$V$55,'01_Input'!$Y$55,0),IF('01_Input'!$X$55="Palier",IF(AND(DV$20&gt;='01_Input'!$V$55,DV$20&lt;'01_Input'!$W$55),'01_Input'!$Y$55,0),MAX(MIN(DV$20,'01_Input'!$W$55)-'01_Input'!$V$55,0)*'01_Input'!$Y$55))+IF('01_Input'!$AB$55="Forfait",IF(DV$20&gt;='01_Input'!$Z$55,'01_Input'!$AC$55,0),IF('01_Input'!$AB$55="Palier",IF(AND(DV$20&gt;='01_Input'!$Z$55,DV$20&lt;'01_Input'!$AA$55),'01_Input'!$AC$55,0),MAX(MIN(DV$20,'01_Input'!$AA$55)-'01_Input'!$Z$55,0)*'01_Input'!$AC$55)))))))))</f>
        <v>0</v>
      </c>
      <c r="DW23" s="25">
        <f>IF('01_Input'!$C$55="Non",0,MIN('01_Input'!$I$55,MAX('01_Input'!$H$55,IF('01_Input'!$G$55="Résiduel vs Gestion",0,IF('01_Input'!$G$55="Taux Classe sélectionnée",Distrib_Global_Classe_Selectionnee*DW$20,IF('01_Input'!$G$55="Frais KYC (paliers de 100M€)",MAX(0,Nb_Investisseurs-Nb_KYC_Gratuites_Par_Tranche*(FLOOR(DW$20/Taille_Tranche_KYC,1)+1))*Cout_Par_KYC_Supplementaire,(IF('01_Input'!$L$55="Forfait",IF(DW$20&gt;='01_Input'!$J$55,'01_Input'!$M$55,0),IF('01_Input'!$L$55="Palier",IF(AND(DW$20&gt;='01_Input'!$J$55,DW$20&lt;'01_Input'!$K$55),'01_Input'!$M$55,0),MAX(MIN(DW$20,'01_Input'!$K$55)-'01_Input'!$J$55,0)*'01_Input'!$M$55))+IF('01_Input'!$P$55="Forfait",IF(DW$20&gt;='01_Input'!$N$55,'01_Input'!$Q$55,0),IF('01_Input'!$P$55="Palier",IF(AND(DW$20&gt;='01_Input'!$N$55,DW$20&lt;'01_Input'!$O$55),'01_Input'!$Q$55,0),MAX(MIN(DW$20,'01_Input'!$O$55)-'01_Input'!$N$55,0)*'01_Input'!$Q$55))+IF('01_Input'!$T$55="Forfait",IF(DW$20&gt;='01_Input'!$R$55,'01_Input'!$U$55,0),IF('01_Input'!$T$55="Palier",IF(AND(DW$20&gt;='01_Input'!$R$55,DW$20&lt;'01_Input'!$S$55),'01_Input'!$U$55,0),MAX(MIN(DW$20,'01_Input'!$S$55)-'01_Input'!$R$55,0)*'01_Input'!$U$55))+IF('01_Input'!$X$55="Forfait",IF(DW$20&gt;='01_Input'!$V$55,'01_Input'!$Y$55,0),IF('01_Input'!$X$55="Palier",IF(AND(DW$20&gt;='01_Input'!$V$55,DW$20&lt;'01_Input'!$W$55),'01_Input'!$Y$55,0),MAX(MIN(DW$20,'01_Input'!$W$55)-'01_Input'!$V$55,0)*'01_Input'!$Y$55))+IF('01_Input'!$AB$55="Forfait",IF(DW$20&gt;='01_Input'!$Z$55,'01_Input'!$AC$55,0),IF('01_Input'!$AB$55="Palier",IF(AND(DW$20&gt;='01_Input'!$Z$55,DW$20&lt;'01_Input'!$AA$55),'01_Input'!$AC$55,0),MAX(MIN(DW$20,'01_Input'!$AA$55)-'01_Input'!$Z$55,0)*'01_Input'!$AC$55)))))))))</f>
        <v>0</v>
      </c>
      <c r="DX23" s="25">
        <f>IF('01_Input'!$C$55="Non",0,MIN('01_Input'!$I$55,MAX('01_Input'!$H$55,IF('01_Input'!$G$55="Résiduel vs Gestion",0,IF('01_Input'!$G$55="Taux Classe sélectionnée",Distrib_Global_Classe_Selectionnee*DX$20,IF('01_Input'!$G$55="Frais KYC (paliers de 100M€)",MAX(0,Nb_Investisseurs-Nb_KYC_Gratuites_Par_Tranche*(FLOOR(DX$20/Taille_Tranche_KYC,1)+1))*Cout_Par_KYC_Supplementaire,(IF('01_Input'!$L$55="Forfait",IF(DX$20&gt;='01_Input'!$J$55,'01_Input'!$M$55,0),IF('01_Input'!$L$55="Palier",IF(AND(DX$20&gt;='01_Input'!$J$55,DX$20&lt;'01_Input'!$K$55),'01_Input'!$M$55,0),MAX(MIN(DX$20,'01_Input'!$K$55)-'01_Input'!$J$55,0)*'01_Input'!$M$55))+IF('01_Input'!$P$55="Forfait",IF(DX$20&gt;='01_Input'!$N$55,'01_Input'!$Q$55,0),IF('01_Input'!$P$55="Palier",IF(AND(DX$20&gt;='01_Input'!$N$55,DX$20&lt;'01_Input'!$O$55),'01_Input'!$Q$55,0),MAX(MIN(DX$20,'01_Input'!$O$55)-'01_Input'!$N$55,0)*'01_Input'!$Q$55))+IF('01_Input'!$T$55="Forfait",IF(DX$20&gt;='01_Input'!$R$55,'01_Input'!$U$55,0),IF('01_Input'!$T$55="Palier",IF(AND(DX$20&gt;='01_Input'!$R$55,DX$20&lt;'01_Input'!$S$55),'01_Input'!$U$55,0),MAX(MIN(DX$20,'01_Input'!$S$55)-'01_Input'!$R$55,0)*'01_Input'!$U$55))+IF('01_Input'!$X$55="Forfait",IF(DX$20&gt;='01_Input'!$V$55,'01_Input'!$Y$55,0),IF('01_Input'!$X$55="Palier",IF(AND(DX$20&gt;='01_Input'!$V$55,DX$20&lt;'01_Input'!$W$55),'01_Input'!$Y$55,0),MAX(MIN(DX$20,'01_Input'!$W$55)-'01_Input'!$V$55,0)*'01_Input'!$Y$55))+IF('01_Input'!$AB$55="Forfait",IF(DX$20&gt;='01_Input'!$Z$55,'01_Input'!$AC$55,0),IF('01_Input'!$AB$55="Palier",IF(AND(DX$20&gt;='01_Input'!$Z$55,DX$20&lt;'01_Input'!$AA$55),'01_Input'!$AC$55,0),MAX(MIN(DX$20,'01_Input'!$AA$55)-'01_Input'!$Z$55,0)*'01_Input'!$AC$55)))))))))</f>
        <v>0</v>
      </c>
      <c r="DY23" s="25">
        <f>IF('01_Input'!$C$55="Non",0,MIN('01_Input'!$I$55,MAX('01_Input'!$H$55,IF('01_Input'!$G$55="Résiduel vs Gestion",0,IF('01_Input'!$G$55="Taux Classe sélectionnée",Distrib_Global_Classe_Selectionnee*DY$20,IF('01_Input'!$G$55="Frais KYC (paliers de 100M€)",MAX(0,Nb_Investisseurs-Nb_KYC_Gratuites_Par_Tranche*(FLOOR(DY$20/Taille_Tranche_KYC,1)+1))*Cout_Par_KYC_Supplementaire,(IF('01_Input'!$L$55="Forfait",IF(DY$20&gt;='01_Input'!$J$55,'01_Input'!$M$55,0),IF('01_Input'!$L$55="Palier",IF(AND(DY$20&gt;='01_Input'!$J$55,DY$20&lt;'01_Input'!$K$55),'01_Input'!$M$55,0),MAX(MIN(DY$20,'01_Input'!$K$55)-'01_Input'!$J$55,0)*'01_Input'!$M$55))+IF('01_Input'!$P$55="Forfait",IF(DY$20&gt;='01_Input'!$N$55,'01_Input'!$Q$55,0),IF('01_Input'!$P$55="Palier",IF(AND(DY$20&gt;='01_Input'!$N$55,DY$20&lt;'01_Input'!$O$55),'01_Input'!$Q$55,0),MAX(MIN(DY$20,'01_Input'!$O$55)-'01_Input'!$N$55,0)*'01_Input'!$Q$55))+IF('01_Input'!$T$55="Forfait",IF(DY$20&gt;='01_Input'!$R$55,'01_Input'!$U$55,0),IF('01_Input'!$T$55="Palier",IF(AND(DY$20&gt;='01_Input'!$R$55,DY$20&lt;'01_Input'!$S$55),'01_Input'!$U$55,0),MAX(MIN(DY$20,'01_Input'!$S$55)-'01_Input'!$R$55,0)*'01_Input'!$U$55))+IF('01_Input'!$X$55="Forfait",IF(DY$20&gt;='01_Input'!$V$55,'01_Input'!$Y$55,0),IF('01_Input'!$X$55="Palier",IF(AND(DY$20&gt;='01_Input'!$V$55,DY$20&lt;'01_Input'!$W$55),'01_Input'!$Y$55,0),MAX(MIN(DY$20,'01_Input'!$W$55)-'01_Input'!$V$55,0)*'01_Input'!$Y$55))+IF('01_Input'!$AB$55="Forfait",IF(DY$20&gt;='01_Input'!$Z$55,'01_Input'!$AC$55,0),IF('01_Input'!$AB$55="Palier",IF(AND(DY$20&gt;='01_Input'!$Z$55,DY$20&lt;'01_Input'!$AA$55),'01_Input'!$AC$55,0),MAX(MIN(DY$20,'01_Input'!$AA$55)-'01_Input'!$Z$55,0)*'01_Input'!$AC$55)))))))))</f>
        <v>0</v>
      </c>
      <c r="DZ23" s="25">
        <f>IF('01_Input'!$C$55="Non",0,MIN('01_Input'!$I$55,MAX('01_Input'!$H$55,IF('01_Input'!$G$55="Résiduel vs Gestion",0,IF('01_Input'!$G$55="Taux Classe sélectionnée",Distrib_Global_Classe_Selectionnee*DZ$20,IF('01_Input'!$G$55="Frais KYC (paliers de 100M€)",MAX(0,Nb_Investisseurs-Nb_KYC_Gratuites_Par_Tranche*(FLOOR(DZ$20/Taille_Tranche_KYC,1)+1))*Cout_Par_KYC_Supplementaire,(IF('01_Input'!$L$55="Forfait",IF(DZ$20&gt;='01_Input'!$J$55,'01_Input'!$M$55,0),IF('01_Input'!$L$55="Palier",IF(AND(DZ$20&gt;='01_Input'!$J$55,DZ$20&lt;'01_Input'!$K$55),'01_Input'!$M$55,0),MAX(MIN(DZ$20,'01_Input'!$K$55)-'01_Input'!$J$55,0)*'01_Input'!$M$55))+IF('01_Input'!$P$55="Forfait",IF(DZ$20&gt;='01_Input'!$N$55,'01_Input'!$Q$55,0),IF('01_Input'!$P$55="Palier",IF(AND(DZ$20&gt;='01_Input'!$N$55,DZ$20&lt;'01_Input'!$O$55),'01_Input'!$Q$55,0),MAX(MIN(DZ$20,'01_Input'!$O$55)-'01_Input'!$N$55,0)*'01_Input'!$Q$55))+IF('01_Input'!$T$55="Forfait",IF(DZ$20&gt;='01_Input'!$R$55,'01_Input'!$U$55,0),IF('01_Input'!$T$55="Palier",IF(AND(DZ$20&gt;='01_Input'!$R$55,DZ$20&lt;'01_Input'!$S$55),'01_Input'!$U$55,0),MAX(MIN(DZ$20,'01_Input'!$S$55)-'01_Input'!$R$55,0)*'01_Input'!$U$55))+IF('01_Input'!$X$55="Forfait",IF(DZ$20&gt;='01_Input'!$V$55,'01_Input'!$Y$55,0),IF('01_Input'!$X$55="Palier",IF(AND(DZ$20&gt;='01_Input'!$V$55,DZ$20&lt;'01_Input'!$W$55),'01_Input'!$Y$55,0),MAX(MIN(DZ$20,'01_Input'!$W$55)-'01_Input'!$V$55,0)*'01_Input'!$Y$55))+IF('01_Input'!$AB$55="Forfait",IF(DZ$20&gt;='01_Input'!$Z$55,'01_Input'!$AC$55,0),IF('01_Input'!$AB$55="Palier",IF(AND(DZ$20&gt;='01_Input'!$Z$55,DZ$20&lt;'01_Input'!$AA$55),'01_Input'!$AC$55,0),MAX(MIN(DZ$20,'01_Input'!$AA$55)-'01_Input'!$Z$55,0)*'01_Input'!$AC$55)))))))))</f>
        <v>0</v>
      </c>
      <c r="EA23" s="25">
        <f>IF('01_Input'!$C$55="Non",0,MIN('01_Input'!$I$55,MAX('01_Input'!$H$55,IF('01_Input'!$G$55="Résiduel vs Gestion",0,IF('01_Input'!$G$55="Taux Classe sélectionnée",Distrib_Global_Classe_Selectionnee*EA$20,IF('01_Input'!$G$55="Frais KYC (paliers de 100M€)",MAX(0,Nb_Investisseurs-Nb_KYC_Gratuites_Par_Tranche*(FLOOR(EA$20/Taille_Tranche_KYC,1)+1))*Cout_Par_KYC_Supplementaire,(IF('01_Input'!$L$55="Forfait",IF(EA$20&gt;='01_Input'!$J$55,'01_Input'!$M$55,0),IF('01_Input'!$L$55="Palier",IF(AND(EA$20&gt;='01_Input'!$J$55,EA$20&lt;'01_Input'!$K$55),'01_Input'!$M$55,0),MAX(MIN(EA$20,'01_Input'!$K$55)-'01_Input'!$J$55,0)*'01_Input'!$M$55))+IF('01_Input'!$P$55="Forfait",IF(EA$20&gt;='01_Input'!$N$55,'01_Input'!$Q$55,0),IF('01_Input'!$P$55="Palier",IF(AND(EA$20&gt;='01_Input'!$N$55,EA$20&lt;'01_Input'!$O$55),'01_Input'!$Q$55,0),MAX(MIN(EA$20,'01_Input'!$O$55)-'01_Input'!$N$55,0)*'01_Input'!$Q$55))+IF('01_Input'!$T$55="Forfait",IF(EA$20&gt;='01_Input'!$R$55,'01_Input'!$U$55,0),IF('01_Input'!$T$55="Palier",IF(AND(EA$20&gt;='01_Input'!$R$55,EA$20&lt;'01_Input'!$S$55),'01_Input'!$U$55,0),MAX(MIN(EA$20,'01_Input'!$S$55)-'01_Input'!$R$55,0)*'01_Input'!$U$55))+IF('01_Input'!$X$55="Forfait",IF(EA$20&gt;='01_Input'!$V$55,'01_Input'!$Y$55,0),IF('01_Input'!$X$55="Palier",IF(AND(EA$20&gt;='01_Input'!$V$55,EA$20&lt;'01_Input'!$W$55),'01_Input'!$Y$55,0),MAX(MIN(EA$20,'01_Input'!$W$55)-'01_Input'!$V$55,0)*'01_Input'!$Y$55))+IF('01_Input'!$AB$55="Forfait",IF(EA$20&gt;='01_Input'!$Z$55,'01_Input'!$AC$55,0),IF('01_Input'!$AB$55="Palier",IF(AND(EA$20&gt;='01_Input'!$Z$55,EA$20&lt;'01_Input'!$AA$55),'01_Input'!$AC$55,0),MAX(MIN(EA$20,'01_Input'!$AA$55)-'01_Input'!$Z$55,0)*'01_Input'!$AC$55)))))))))</f>
        <v>0</v>
      </c>
      <c r="EB23" s="25">
        <f>IF('01_Input'!$C$55="Non",0,MIN('01_Input'!$I$55,MAX('01_Input'!$H$55,IF('01_Input'!$G$55="Résiduel vs Gestion",0,IF('01_Input'!$G$55="Taux Classe sélectionnée",Distrib_Global_Classe_Selectionnee*EB$20,IF('01_Input'!$G$55="Frais KYC (paliers de 100M€)",MAX(0,Nb_Investisseurs-Nb_KYC_Gratuites_Par_Tranche*(FLOOR(EB$20/Taille_Tranche_KYC,1)+1))*Cout_Par_KYC_Supplementaire,(IF('01_Input'!$L$55="Forfait",IF(EB$20&gt;='01_Input'!$J$55,'01_Input'!$M$55,0),IF('01_Input'!$L$55="Palier",IF(AND(EB$20&gt;='01_Input'!$J$55,EB$20&lt;'01_Input'!$K$55),'01_Input'!$M$55,0),MAX(MIN(EB$20,'01_Input'!$K$55)-'01_Input'!$J$55,0)*'01_Input'!$M$55))+IF('01_Input'!$P$55="Forfait",IF(EB$20&gt;='01_Input'!$N$55,'01_Input'!$Q$55,0),IF('01_Input'!$P$55="Palier",IF(AND(EB$20&gt;='01_Input'!$N$55,EB$20&lt;'01_Input'!$O$55),'01_Input'!$Q$55,0),MAX(MIN(EB$20,'01_Input'!$O$55)-'01_Input'!$N$55,0)*'01_Input'!$Q$55))+IF('01_Input'!$T$55="Forfait",IF(EB$20&gt;='01_Input'!$R$55,'01_Input'!$U$55,0),IF('01_Input'!$T$55="Palier",IF(AND(EB$20&gt;='01_Input'!$R$55,EB$20&lt;'01_Input'!$S$55),'01_Input'!$U$55,0),MAX(MIN(EB$20,'01_Input'!$S$55)-'01_Input'!$R$55,0)*'01_Input'!$U$55))+IF('01_Input'!$X$55="Forfait",IF(EB$20&gt;='01_Input'!$V$55,'01_Input'!$Y$55,0),IF('01_Input'!$X$55="Palier",IF(AND(EB$20&gt;='01_Input'!$V$55,EB$20&lt;'01_Input'!$W$55),'01_Input'!$Y$55,0),MAX(MIN(EB$20,'01_Input'!$W$55)-'01_Input'!$V$55,0)*'01_Input'!$Y$55))+IF('01_Input'!$AB$55="Forfait",IF(EB$20&gt;='01_Input'!$Z$55,'01_Input'!$AC$55,0),IF('01_Input'!$AB$55="Palier",IF(AND(EB$20&gt;='01_Input'!$Z$55,EB$20&lt;'01_Input'!$AA$55),'01_Input'!$AC$55,0),MAX(MIN(EB$20,'01_Input'!$AA$55)-'01_Input'!$Z$55,0)*'01_Input'!$AC$55)))))))))</f>
        <v>0</v>
      </c>
      <c r="EC23" s="25">
        <f>IF('01_Input'!$C$55="Non",0,MIN('01_Input'!$I$55,MAX('01_Input'!$H$55,IF('01_Input'!$G$55="Résiduel vs Gestion",0,IF('01_Input'!$G$55="Taux Classe sélectionnée",Distrib_Global_Classe_Selectionnee*EC$20,IF('01_Input'!$G$55="Frais KYC (paliers de 100M€)",MAX(0,Nb_Investisseurs-Nb_KYC_Gratuites_Par_Tranche*(FLOOR(EC$20/Taille_Tranche_KYC,1)+1))*Cout_Par_KYC_Supplementaire,(IF('01_Input'!$L$55="Forfait",IF(EC$20&gt;='01_Input'!$J$55,'01_Input'!$M$55,0),IF('01_Input'!$L$55="Palier",IF(AND(EC$20&gt;='01_Input'!$J$55,EC$20&lt;'01_Input'!$K$55),'01_Input'!$M$55,0),MAX(MIN(EC$20,'01_Input'!$K$55)-'01_Input'!$J$55,0)*'01_Input'!$M$55))+IF('01_Input'!$P$55="Forfait",IF(EC$20&gt;='01_Input'!$N$55,'01_Input'!$Q$55,0),IF('01_Input'!$P$55="Palier",IF(AND(EC$20&gt;='01_Input'!$N$55,EC$20&lt;'01_Input'!$O$55),'01_Input'!$Q$55,0),MAX(MIN(EC$20,'01_Input'!$O$55)-'01_Input'!$N$55,0)*'01_Input'!$Q$55))+IF('01_Input'!$T$55="Forfait",IF(EC$20&gt;='01_Input'!$R$55,'01_Input'!$U$55,0),IF('01_Input'!$T$55="Palier",IF(AND(EC$20&gt;='01_Input'!$R$55,EC$20&lt;'01_Input'!$S$55),'01_Input'!$U$55,0),MAX(MIN(EC$20,'01_Input'!$S$55)-'01_Input'!$R$55,0)*'01_Input'!$U$55))+IF('01_Input'!$X$55="Forfait",IF(EC$20&gt;='01_Input'!$V$55,'01_Input'!$Y$55,0),IF('01_Input'!$X$55="Palier",IF(AND(EC$20&gt;='01_Input'!$V$55,EC$20&lt;'01_Input'!$W$55),'01_Input'!$Y$55,0),MAX(MIN(EC$20,'01_Input'!$W$55)-'01_Input'!$V$55,0)*'01_Input'!$Y$55))+IF('01_Input'!$AB$55="Forfait",IF(EC$20&gt;='01_Input'!$Z$55,'01_Input'!$AC$55,0),IF('01_Input'!$AB$55="Palier",IF(AND(EC$20&gt;='01_Input'!$Z$55,EC$20&lt;'01_Input'!$AA$55),'01_Input'!$AC$55,0),MAX(MIN(EC$20,'01_Input'!$AA$55)-'01_Input'!$Z$55,0)*'01_Input'!$AC$55)))))))))</f>
        <v>0</v>
      </c>
      <c r="ED23" s="25">
        <f>IF('01_Input'!$C$55="Non",0,MIN('01_Input'!$I$55,MAX('01_Input'!$H$55,IF('01_Input'!$G$55="Résiduel vs Gestion",0,IF('01_Input'!$G$55="Taux Classe sélectionnée",Distrib_Global_Classe_Selectionnee*ED$20,IF('01_Input'!$G$55="Frais KYC (paliers de 100M€)",MAX(0,Nb_Investisseurs-Nb_KYC_Gratuites_Par_Tranche*(FLOOR(ED$20/Taille_Tranche_KYC,1)+1))*Cout_Par_KYC_Supplementaire,(IF('01_Input'!$L$55="Forfait",IF(ED$20&gt;='01_Input'!$J$55,'01_Input'!$M$55,0),IF('01_Input'!$L$55="Palier",IF(AND(ED$20&gt;='01_Input'!$J$55,ED$20&lt;'01_Input'!$K$55),'01_Input'!$M$55,0),MAX(MIN(ED$20,'01_Input'!$K$55)-'01_Input'!$J$55,0)*'01_Input'!$M$55))+IF('01_Input'!$P$55="Forfait",IF(ED$20&gt;='01_Input'!$N$55,'01_Input'!$Q$55,0),IF('01_Input'!$P$55="Palier",IF(AND(ED$20&gt;='01_Input'!$N$55,ED$20&lt;'01_Input'!$O$55),'01_Input'!$Q$55,0),MAX(MIN(ED$20,'01_Input'!$O$55)-'01_Input'!$N$55,0)*'01_Input'!$Q$55))+IF('01_Input'!$T$55="Forfait",IF(ED$20&gt;='01_Input'!$R$55,'01_Input'!$U$55,0),IF('01_Input'!$T$55="Palier",IF(AND(ED$20&gt;='01_Input'!$R$55,ED$20&lt;'01_Input'!$S$55),'01_Input'!$U$55,0),MAX(MIN(ED$20,'01_Input'!$S$55)-'01_Input'!$R$55,0)*'01_Input'!$U$55))+IF('01_Input'!$X$55="Forfait",IF(ED$20&gt;='01_Input'!$V$55,'01_Input'!$Y$55,0),IF('01_Input'!$X$55="Palier",IF(AND(ED$20&gt;='01_Input'!$V$55,ED$20&lt;'01_Input'!$W$55),'01_Input'!$Y$55,0),MAX(MIN(ED$20,'01_Input'!$W$55)-'01_Input'!$V$55,0)*'01_Input'!$Y$55))+IF('01_Input'!$AB$55="Forfait",IF(ED$20&gt;='01_Input'!$Z$55,'01_Input'!$AC$55,0),IF('01_Input'!$AB$55="Palier",IF(AND(ED$20&gt;='01_Input'!$Z$55,ED$20&lt;'01_Input'!$AA$55),'01_Input'!$AC$55,0),MAX(MIN(ED$20,'01_Input'!$AA$55)-'01_Input'!$Z$55,0)*'01_Input'!$AC$55)))))))))</f>
        <v>0</v>
      </c>
      <c r="EE23" s="25">
        <f>IF('01_Input'!$C$55="Non",0,MIN('01_Input'!$I$55,MAX('01_Input'!$H$55,IF('01_Input'!$G$55="Résiduel vs Gestion",0,IF('01_Input'!$G$55="Taux Classe sélectionnée",Distrib_Global_Classe_Selectionnee*EE$20,IF('01_Input'!$G$55="Frais KYC (paliers de 100M€)",MAX(0,Nb_Investisseurs-Nb_KYC_Gratuites_Par_Tranche*(FLOOR(EE$20/Taille_Tranche_KYC,1)+1))*Cout_Par_KYC_Supplementaire,(IF('01_Input'!$L$55="Forfait",IF(EE$20&gt;='01_Input'!$J$55,'01_Input'!$M$55,0),IF('01_Input'!$L$55="Palier",IF(AND(EE$20&gt;='01_Input'!$J$55,EE$20&lt;'01_Input'!$K$55),'01_Input'!$M$55,0),MAX(MIN(EE$20,'01_Input'!$K$55)-'01_Input'!$J$55,0)*'01_Input'!$M$55))+IF('01_Input'!$P$55="Forfait",IF(EE$20&gt;='01_Input'!$N$55,'01_Input'!$Q$55,0),IF('01_Input'!$P$55="Palier",IF(AND(EE$20&gt;='01_Input'!$N$55,EE$20&lt;'01_Input'!$O$55),'01_Input'!$Q$55,0),MAX(MIN(EE$20,'01_Input'!$O$55)-'01_Input'!$N$55,0)*'01_Input'!$Q$55))+IF('01_Input'!$T$55="Forfait",IF(EE$20&gt;='01_Input'!$R$55,'01_Input'!$U$55,0),IF('01_Input'!$T$55="Palier",IF(AND(EE$20&gt;='01_Input'!$R$55,EE$20&lt;'01_Input'!$S$55),'01_Input'!$U$55,0),MAX(MIN(EE$20,'01_Input'!$S$55)-'01_Input'!$R$55,0)*'01_Input'!$U$55))+IF('01_Input'!$X$55="Forfait",IF(EE$20&gt;='01_Input'!$V$55,'01_Input'!$Y$55,0),IF('01_Input'!$X$55="Palier",IF(AND(EE$20&gt;='01_Input'!$V$55,EE$20&lt;'01_Input'!$W$55),'01_Input'!$Y$55,0),MAX(MIN(EE$20,'01_Input'!$W$55)-'01_Input'!$V$55,0)*'01_Input'!$Y$55))+IF('01_Input'!$AB$55="Forfait",IF(EE$20&gt;='01_Input'!$Z$55,'01_Input'!$AC$55,0),IF('01_Input'!$AB$55="Palier",IF(AND(EE$20&gt;='01_Input'!$Z$55,EE$20&lt;'01_Input'!$AA$55),'01_Input'!$AC$55,0),MAX(MIN(EE$20,'01_Input'!$AA$55)-'01_Input'!$Z$55,0)*'01_Input'!$AC$55)))))))))</f>
        <v>0</v>
      </c>
      <c r="EF23" s="25">
        <f>IF('01_Input'!$C$55="Non",0,MIN('01_Input'!$I$55,MAX('01_Input'!$H$55,IF('01_Input'!$G$55="Résiduel vs Gestion",0,IF('01_Input'!$G$55="Taux Classe sélectionnée",Distrib_Global_Classe_Selectionnee*EF$20,IF('01_Input'!$G$55="Frais KYC (paliers de 100M€)",MAX(0,Nb_Investisseurs-Nb_KYC_Gratuites_Par_Tranche*(FLOOR(EF$20/Taille_Tranche_KYC,1)+1))*Cout_Par_KYC_Supplementaire,(IF('01_Input'!$L$55="Forfait",IF(EF$20&gt;='01_Input'!$J$55,'01_Input'!$M$55,0),IF('01_Input'!$L$55="Palier",IF(AND(EF$20&gt;='01_Input'!$J$55,EF$20&lt;'01_Input'!$K$55),'01_Input'!$M$55,0),MAX(MIN(EF$20,'01_Input'!$K$55)-'01_Input'!$J$55,0)*'01_Input'!$M$55))+IF('01_Input'!$P$55="Forfait",IF(EF$20&gt;='01_Input'!$N$55,'01_Input'!$Q$55,0),IF('01_Input'!$P$55="Palier",IF(AND(EF$20&gt;='01_Input'!$N$55,EF$20&lt;'01_Input'!$O$55),'01_Input'!$Q$55,0),MAX(MIN(EF$20,'01_Input'!$O$55)-'01_Input'!$N$55,0)*'01_Input'!$Q$55))+IF('01_Input'!$T$55="Forfait",IF(EF$20&gt;='01_Input'!$R$55,'01_Input'!$U$55,0),IF('01_Input'!$T$55="Palier",IF(AND(EF$20&gt;='01_Input'!$R$55,EF$20&lt;'01_Input'!$S$55),'01_Input'!$U$55,0),MAX(MIN(EF$20,'01_Input'!$S$55)-'01_Input'!$R$55,0)*'01_Input'!$U$55))+IF('01_Input'!$X$55="Forfait",IF(EF$20&gt;='01_Input'!$V$55,'01_Input'!$Y$55,0),IF('01_Input'!$X$55="Palier",IF(AND(EF$20&gt;='01_Input'!$V$55,EF$20&lt;'01_Input'!$W$55),'01_Input'!$Y$55,0),MAX(MIN(EF$20,'01_Input'!$W$55)-'01_Input'!$V$55,0)*'01_Input'!$Y$55))+IF('01_Input'!$AB$55="Forfait",IF(EF$20&gt;='01_Input'!$Z$55,'01_Input'!$AC$55,0),IF('01_Input'!$AB$55="Palier",IF(AND(EF$20&gt;='01_Input'!$Z$55,EF$20&lt;'01_Input'!$AA$55),'01_Input'!$AC$55,0),MAX(MIN(EF$20,'01_Input'!$AA$55)-'01_Input'!$Z$55,0)*'01_Input'!$AC$55)))))))))</f>
        <v>0</v>
      </c>
      <c r="EG23" s="25">
        <f>IF('01_Input'!$C$55="Non",0,MIN('01_Input'!$I$55,MAX('01_Input'!$H$55,IF('01_Input'!$G$55="Résiduel vs Gestion",0,IF('01_Input'!$G$55="Taux Classe sélectionnée",Distrib_Global_Classe_Selectionnee*EG$20,IF('01_Input'!$G$55="Frais KYC (paliers de 100M€)",MAX(0,Nb_Investisseurs-Nb_KYC_Gratuites_Par_Tranche*(FLOOR(EG$20/Taille_Tranche_KYC,1)+1))*Cout_Par_KYC_Supplementaire,(IF('01_Input'!$L$55="Forfait",IF(EG$20&gt;='01_Input'!$J$55,'01_Input'!$M$55,0),IF('01_Input'!$L$55="Palier",IF(AND(EG$20&gt;='01_Input'!$J$55,EG$20&lt;'01_Input'!$K$55),'01_Input'!$M$55,0),MAX(MIN(EG$20,'01_Input'!$K$55)-'01_Input'!$J$55,0)*'01_Input'!$M$55))+IF('01_Input'!$P$55="Forfait",IF(EG$20&gt;='01_Input'!$N$55,'01_Input'!$Q$55,0),IF('01_Input'!$P$55="Palier",IF(AND(EG$20&gt;='01_Input'!$N$55,EG$20&lt;'01_Input'!$O$55),'01_Input'!$Q$55,0),MAX(MIN(EG$20,'01_Input'!$O$55)-'01_Input'!$N$55,0)*'01_Input'!$Q$55))+IF('01_Input'!$T$55="Forfait",IF(EG$20&gt;='01_Input'!$R$55,'01_Input'!$U$55,0),IF('01_Input'!$T$55="Palier",IF(AND(EG$20&gt;='01_Input'!$R$55,EG$20&lt;'01_Input'!$S$55),'01_Input'!$U$55,0),MAX(MIN(EG$20,'01_Input'!$S$55)-'01_Input'!$R$55,0)*'01_Input'!$U$55))+IF('01_Input'!$X$55="Forfait",IF(EG$20&gt;='01_Input'!$V$55,'01_Input'!$Y$55,0),IF('01_Input'!$X$55="Palier",IF(AND(EG$20&gt;='01_Input'!$V$55,EG$20&lt;'01_Input'!$W$55),'01_Input'!$Y$55,0),MAX(MIN(EG$20,'01_Input'!$W$55)-'01_Input'!$V$55,0)*'01_Input'!$Y$55))+IF('01_Input'!$AB$55="Forfait",IF(EG$20&gt;='01_Input'!$Z$55,'01_Input'!$AC$55,0),IF('01_Input'!$AB$55="Palier",IF(AND(EG$20&gt;='01_Input'!$Z$55,EG$20&lt;'01_Input'!$AA$55),'01_Input'!$AC$55,0),MAX(MIN(EG$20,'01_Input'!$AA$55)-'01_Input'!$Z$55,0)*'01_Input'!$AC$55)))))))))</f>
        <v>0</v>
      </c>
      <c r="EH23" s="25">
        <f>IF('01_Input'!$C$55="Non",0,MIN('01_Input'!$I$55,MAX('01_Input'!$H$55,IF('01_Input'!$G$55="Résiduel vs Gestion",0,IF('01_Input'!$G$55="Taux Classe sélectionnée",Distrib_Global_Classe_Selectionnee*EH$20,IF('01_Input'!$G$55="Frais KYC (paliers de 100M€)",MAX(0,Nb_Investisseurs-Nb_KYC_Gratuites_Par_Tranche*(FLOOR(EH$20/Taille_Tranche_KYC,1)+1))*Cout_Par_KYC_Supplementaire,(IF('01_Input'!$L$55="Forfait",IF(EH$20&gt;='01_Input'!$J$55,'01_Input'!$M$55,0),IF('01_Input'!$L$55="Palier",IF(AND(EH$20&gt;='01_Input'!$J$55,EH$20&lt;'01_Input'!$K$55),'01_Input'!$M$55,0),MAX(MIN(EH$20,'01_Input'!$K$55)-'01_Input'!$J$55,0)*'01_Input'!$M$55))+IF('01_Input'!$P$55="Forfait",IF(EH$20&gt;='01_Input'!$N$55,'01_Input'!$Q$55,0),IF('01_Input'!$P$55="Palier",IF(AND(EH$20&gt;='01_Input'!$N$55,EH$20&lt;'01_Input'!$O$55),'01_Input'!$Q$55,0),MAX(MIN(EH$20,'01_Input'!$O$55)-'01_Input'!$N$55,0)*'01_Input'!$Q$55))+IF('01_Input'!$T$55="Forfait",IF(EH$20&gt;='01_Input'!$R$55,'01_Input'!$U$55,0),IF('01_Input'!$T$55="Palier",IF(AND(EH$20&gt;='01_Input'!$R$55,EH$20&lt;'01_Input'!$S$55),'01_Input'!$U$55,0),MAX(MIN(EH$20,'01_Input'!$S$55)-'01_Input'!$R$55,0)*'01_Input'!$U$55))+IF('01_Input'!$X$55="Forfait",IF(EH$20&gt;='01_Input'!$V$55,'01_Input'!$Y$55,0),IF('01_Input'!$X$55="Palier",IF(AND(EH$20&gt;='01_Input'!$V$55,EH$20&lt;'01_Input'!$W$55),'01_Input'!$Y$55,0),MAX(MIN(EH$20,'01_Input'!$W$55)-'01_Input'!$V$55,0)*'01_Input'!$Y$55))+IF('01_Input'!$AB$55="Forfait",IF(EH$20&gt;='01_Input'!$Z$55,'01_Input'!$AC$55,0),IF('01_Input'!$AB$55="Palier",IF(AND(EH$20&gt;='01_Input'!$Z$55,EH$20&lt;'01_Input'!$AA$55),'01_Input'!$AC$55,0),MAX(MIN(EH$20,'01_Input'!$AA$55)-'01_Input'!$Z$55,0)*'01_Input'!$AC$55)))))))))</f>
        <v>0</v>
      </c>
      <c r="EI23" s="25">
        <f>IF('01_Input'!$C$55="Non",0,MIN('01_Input'!$I$55,MAX('01_Input'!$H$55,IF('01_Input'!$G$55="Résiduel vs Gestion",0,IF('01_Input'!$G$55="Taux Classe sélectionnée",Distrib_Global_Classe_Selectionnee*EI$20,IF('01_Input'!$G$55="Frais KYC (paliers de 100M€)",MAX(0,Nb_Investisseurs-Nb_KYC_Gratuites_Par_Tranche*(FLOOR(EI$20/Taille_Tranche_KYC,1)+1))*Cout_Par_KYC_Supplementaire,(IF('01_Input'!$L$55="Forfait",IF(EI$20&gt;='01_Input'!$J$55,'01_Input'!$M$55,0),IF('01_Input'!$L$55="Palier",IF(AND(EI$20&gt;='01_Input'!$J$55,EI$20&lt;'01_Input'!$K$55),'01_Input'!$M$55,0),MAX(MIN(EI$20,'01_Input'!$K$55)-'01_Input'!$J$55,0)*'01_Input'!$M$55))+IF('01_Input'!$P$55="Forfait",IF(EI$20&gt;='01_Input'!$N$55,'01_Input'!$Q$55,0),IF('01_Input'!$P$55="Palier",IF(AND(EI$20&gt;='01_Input'!$N$55,EI$20&lt;'01_Input'!$O$55),'01_Input'!$Q$55,0),MAX(MIN(EI$20,'01_Input'!$O$55)-'01_Input'!$N$55,0)*'01_Input'!$Q$55))+IF('01_Input'!$T$55="Forfait",IF(EI$20&gt;='01_Input'!$R$55,'01_Input'!$U$55,0),IF('01_Input'!$T$55="Palier",IF(AND(EI$20&gt;='01_Input'!$R$55,EI$20&lt;'01_Input'!$S$55),'01_Input'!$U$55,0),MAX(MIN(EI$20,'01_Input'!$S$55)-'01_Input'!$R$55,0)*'01_Input'!$U$55))+IF('01_Input'!$X$55="Forfait",IF(EI$20&gt;='01_Input'!$V$55,'01_Input'!$Y$55,0),IF('01_Input'!$X$55="Palier",IF(AND(EI$20&gt;='01_Input'!$V$55,EI$20&lt;'01_Input'!$W$55),'01_Input'!$Y$55,0),MAX(MIN(EI$20,'01_Input'!$W$55)-'01_Input'!$V$55,0)*'01_Input'!$Y$55))+IF('01_Input'!$AB$55="Forfait",IF(EI$20&gt;='01_Input'!$Z$55,'01_Input'!$AC$55,0),IF('01_Input'!$AB$55="Palier",IF(AND(EI$20&gt;='01_Input'!$Z$55,EI$20&lt;'01_Input'!$AA$55),'01_Input'!$AC$55,0),MAX(MIN(EI$20,'01_Input'!$AA$55)-'01_Input'!$Z$55,0)*'01_Input'!$AC$55)))))))))</f>
        <v>0</v>
      </c>
      <c r="EJ23" s="25">
        <f>IF('01_Input'!$C$55="Non",0,MIN('01_Input'!$I$55,MAX('01_Input'!$H$55,IF('01_Input'!$G$55="Résiduel vs Gestion",0,IF('01_Input'!$G$55="Taux Classe sélectionnée",Distrib_Global_Classe_Selectionnee*EJ$20,IF('01_Input'!$G$55="Frais KYC (paliers de 100M€)",MAX(0,Nb_Investisseurs-Nb_KYC_Gratuites_Par_Tranche*(FLOOR(EJ$20/Taille_Tranche_KYC,1)+1))*Cout_Par_KYC_Supplementaire,(IF('01_Input'!$L$55="Forfait",IF(EJ$20&gt;='01_Input'!$J$55,'01_Input'!$M$55,0),IF('01_Input'!$L$55="Palier",IF(AND(EJ$20&gt;='01_Input'!$J$55,EJ$20&lt;'01_Input'!$K$55),'01_Input'!$M$55,0),MAX(MIN(EJ$20,'01_Input'!$K$55)-'01_Input'!$J$55,0)*'01_Input'!$M$55))+IF('01_Input'!$P$55="Forfait",IF(EJ$20&gt;='01_Input'!$N$55,'01_Input'!$Q$55,0),IF('01_Input'!$P$55="Palier",IF(AND(EJ$20&gt;='01_Input'!$N$55,EJ$20&lt;'01_Input'!$O$55),'01_Input'!$Q$55,0),MAX(MIN(EJ$20,'01_Input'!$O$55)-'01_Input'!$N$55,0)*'01_Input'!$Q$55))+IF('01_Input'!$T$55="Forfait",IF(EJ$20&gt;='01_Input'!$R$55,'01_Input'!$U$55,0),IF('01_Input'!$T$55="Palier",IF(AND(EJ$20&gt;='01_Input'!$R$55,EJ$20&lt;'01_Input'!$S$55),'01_Input'!$U$55,0),MAX(MIN(EJ$20,'01_Input'!$S$55)-'01_Input'!$R$55,0)*'01_Input'!$U$55))+IF('01_Input'!$X$55="Forfait",IF(EJ$20&gt;='01_Input'!$V$55,'01_Input'!$Y$55,0),IF('01_Input'!$X$55="Palier",IF(AND(EJ$20&gt;='01_Input'!$V$55,EJ$20&lt;'01_Input'!$W$55),'01_Input'!$Y$55,0),MAX(MIN(EJ$20,'01_Input'!$W$55)-'01_Input'!$V$55,0)*'01_Input'!$Y$55))+IF('01_Input'!$AB$55="Forfait",IF(EJ$20&gt;='01_Input'!$Z$55,'01_Input'!$AC$55,0),IF('01_Input'!$AB$55="Palier",IF(AND(EJ$20&gt;='01_Input'!$Z$55,EJ$20&lt;'01_Input'!$AA$55),'01_Input'!$AC$55,0),MAX(MIN(EJ$20,'01_Input'!$AA$55)-'01_Input'!$Z$55,0)*'01_Input'!$AC$55)))))))))</f>
        <v>0</v>
      </c>
      <c r="EK23" s="25">
        <f>IF('01_Input'!$C$55="Non",0,MIN('01_Input'!$I$55,MAX('01_Input'!$H$55,IF('01_Input'!$G$55="Résiduel vs Gestion",0,IF('01_Input'!$G$55="Taux Classe sélectionnée",Distrib_Global_Classe_Selectionnee*EK$20,IF('01_Input'!$G$55="Frais KYC (paliers de 100M€)",MAX(0,Nb_Investisseurs-Nb_KYC_Gratuites_Par_Tranche*(FLOOR(EK$20/Taille_Tranche_KYC,1)+1))*Cout_Par_KYC_Supplementaire,(IF('01_Input'!$L$55="Forfait",IF(EK$20&gt;='01_Input'!$J$55,'01_Input'!$M$55,0),IF('01_Input'!$L$55="Palier",IF(AND(EK$20&gt;='01_Input'!$J$55,EK$20&lt;'01_Input'!$K$55),'01_Input'!$M$55,0),MAX(MIN(EK$20,'01_Input'!$K$55)-'01_Input'!$J$55,0)*'01_Input'!$M$55))+IF('01_Input'!$P$55="Forfait",IF(EK$20&gt;='01_Input'!$N$55,'01_Input'!$Q$55,0),IF('01_Input'!$P$55="Palier",IF(AND(EK$20&gt;='01_Input'!$N$55,EK$20&lt;'01_Input'!$O$55),'01_Input'!$Q$55,0),MAX(MIN(EK$20,'01_Input'!$O$55)-'01_Input'!$N$55,0)*'01_Input'!$Q$55))+IF('01_Input'!$T$55="Forfait",IF(EK$20&gt;='01_Input'!$R$55,'01_Input'!$U$55,0),IF('01_Input'!$T$55="Palier",IF(AND(EK$20&gt;='01_Input'!$R$55,EK$20&lt;'01_Input'!$S$55),'01_Input'!$U$55,0),MAX(MIN(EK$20,'01_Input'!$S$55)-'01_Input'!$R$55,0)*'01_Input'!$U$55))+IF('01_Input'!$X$55="Forfait",IF(EK$20&gt;='01_Input'!$V$55,'01_Input'!$Y$55,0),IF('01_Input'!$X$55="Palier",IF(AND(EK$20&gt;='01_Input'!$V$55,EK$20&lt;'01_Input'!$W$55),'01_Input'!$Y$55,0),MAX(MIN(EK$20,'01_Input'!$W$55)-'01_Input'!$V$55,0)*'01_Input'!$Y$55))+IF('01_Input'!$AB$55="Forfait",IF(EK$20&gt;='01_Input'!$Z$55,'01_Input'!$AC$55,0),IF('01_Input'!$AB$55="Palier",IF(AND(EK$20&gt;='01_Input'!$Z$55,EK$20&lt;'01_Input'!$AA$55),'01_Input'!$AC$55,0),MAX(MIN(EK$20,'01_Input'!$AA$55)-'01_Input'!$Z$55,0)*'01_Input'!$AC$55)))))))))</f>
        <v>0</v>
      </c>
      <c r="EL23" s="25">
        <f>IF('01_Input'!$C$55="Non",0,MIN('01_Input'!$I$55,MAX('01_Input'!$H$55,IF('01_Input'!$G$55="Résiduel vs Gestion",0,IF('01_Input'!$G$55="Taux Classe sélectionnée",Distrib_Global_Classe_Selectionnee*EL$20,IF('01_Input'!$G$55="Frais KYC (paliers de 100M€)",MAX(0,Nb_Investisseurs-Nb_KYC_Gratuites_Par_Tranche*(FLOOR(EL$20/Taille_Tranche_KYC,1)+1))*Cout_Par_KYC_Supplementaire,(IF('01_Input'!$L$55="Forfait",IF(EL$20&gt;='01_Input'!$J$55,'01_Input'!$M$55,0),IF('01_Input'!$L$55="Palier",IF(AND(EL$20&gt;='01_Input'!$J$55,EL$20&lt;'01_Input'!$K$55),'01_Input'!$M$55,0),MAX(MIN(EL$20,'01_Input'!$K$55)-'01_Input'!$J$55,0)*'01_Input'!$M$55))+IF('01_Input'!$P$55="Forfait",IF(EL$20&gt;='01_Input'!$N$55,'01_Input'!$Q$55,0),IF('01_Input'!$P$55="Palier",IF(AND(EL$20&gt;='01_Input'!$N$55,EL$20&lt;'01_Input'!$O$55),'01_Input'!$Q$55,0),MAX(MIN(EL$20,'01_Input'!$O$55)-'01_Input'!$N$55,0)*'01_Input'!$Q$55))+IF('01_Input'!$T$55="Forfait",IF(EL$20&gt;='01_Input'!$R$55,'01_Input'!$U$55,0),IF('01_Input'!$T$55="Palier",IF(AND(EL$20&gt;='01_Input'!$R$55,EL$20&lt;'01_Input'!$S$55),'01_Input'!$U$55,0),MAX(MIN(EL$20,'01_Input'!$S$55)-'01_Input'!$R$55,0)*'01_Input'!$U$55))+IF('01_Input'!$X$55="Forfait",IF(EL$20&gt;='01_Input'!$V$55,'01_Input'!$Y$55,0),IF('01_Input'!$X$55="Palier",IF(AND(EL$20&gt;='01_Input'!$V$55,EL$20&lt;'01_Input'!$W$55),'01_Input'!$Y$55,0),MAX(MIN(EL$20,'01_Input'!$W$55)-'01_Input'!$V$55,0)*'01_Input'!$Y$55))+IF('01_Input'!$AB$55="Forfait",IF(EL$20&gt;='01_Input'!$Z$55,'01_Input'!$AC$55,0),IF('01_Input'!$AB$55="Palier",IF(AND(EL$20&gt;='01_Input'!$Z$55,EL$20&lt;'01_Input'!$AA$55),'01_Input'!$AC$55,0),MAX(MIN(EL$20,'01_Input'!$AA$55)-'01_Input'!$Z$55,0)*'01_Input'!$AC$55)))))))))</f>
        <v>0</v>
      </c>
      <c r="EM23" s="25">
        <f>IF('01_Input'!$C$55="Non",0,MIN('01_Input'!$I$55,MAX('01_Input'!$H$55,IF('01_Input'!$G$55="Résiduel vs Gestion",0,IF('01_Input'!$G$55="Taux Classe sélectionnée",Distrib_Global_Classe_Selectionnee*EM$20,IF('01_Input'!$G$55="Frais KYC (paliers de 100M€)",MAX(0,Nb_Investisseurs-Nb_KYC_Gratuites_Par_Tranche*(FLOOR(EM$20/Taille_Tranche_KYC,1)+1))*Cout_Par_KYC_Supplementaire,(IF('01_Input'!$L$55="Forfait",IF(EM$20&gt;='01_Input'!$J$55,'01_Input'!$M$55,0),IF('01_Input'!$L$55="Palier",IF(AND(EM$20&gt;='01_Input'!$J$55,EM$20&lt;'01_Input'!$K$55),'01_Input'!$M$55,0),MAX(MIN(EM$20,'01_Input'!$K$55)-'01_Input'!$J$55,0)*'01_Input'!$M$55))+IF('01_Input'!$P$55="Forfait",IF(EM$20&gt;='01_Input'!$N$55,'01_Input'!$Q$55,0),IF('01_Input'!$P$55="Palier",IF(AND(EM$20&gt;='01_Input'!$N$55,EM$20&lt;'01_Input'!$O$55),'01_Input'!$Q$55,0),MAX(MIN(EM$20,'01_Input'!$O$55)-'01_Input'!$N$55,0)*'01_Input'!$Q$55))+IF('01_Input'!$T$55="Forfait",IF(EM$20&gt;='01_Input'!$R$55,'01_Input'!$U$55,0),IF('01_Input'!$T$55="Palier",IF(AND(EM$20&gt;='01_Input'!$R$55,EM$20&lt;'01_Input'!$S$55),'01_Input'!$U$55,0),MAX(MIN(EM$20,'01_Input'!$S$55)-'01_Input'!$R$55,0)*'01_Input'!$U$55))+IF('01_Input'!$X$55="Forfait",IF(EM$20&gt;='01_Input'!$V$55,'01_Input'!$Y$55,0),IF('01_Input'!$X$55="Palier",IF(AND(EM$20&gt;='01_Input'!$V$55,EM$20&lt;'01_Input'!$W$55),'01_Input'!$Y$55,0),MAX(MIN(EM$20,'01_Input'!$W$55)-'01_Input'!$V$55,0)*'01_Input'!$Y$55))+IF('01_Input'!$AB$55="Forfait",IF(EM$20&gt;='01_Input'!$Z$55,'01_Input'!$AC$55,0),IF('01_Input'!$AB$55="Palier",IF(AND(EM$20&gt;='01_Input'!$Z$55,EM$20&lt;'01_Input'!$AA$55),'01_Input'!$AC$55,0),MAX(MIN(EM$20,'01_Input'!$AA$55)-'01_Input'!$Z$55,0)*'01_Input'!$AC$55)))))))))</f>
        <v>0</v>
      </c>
      <c r="EN23" s="25">
        <f>IF('01_Input'!$C$55="Non",0,MIN('01_Input'!$I$55,MAX('01_Input'!$H$55,IF('01_Input'!$G$55="Résiduel vs Gestion",0,IF('01_Input'!$G$55="Taux Classe sélectionnée",Distrib_Global_Classe_Selectionnee*EN$20,IF('01_Input'!$G$55="Frais KYC (paliers de 100M€)",MAX(0,Nb_Investisseurs-Nb_KYC_Gratuites_Par_Tranche*(FLOOR(EN$20/Taille_Tranche_KYC,1)+1))*Cout_Par_KYC_Supplementaire,(IF('01_Input'!$L$55="Forfait",IF(EN$20&gt;='01_Input'!$J$55,'01_Input'!$M$55,0),IF('01_Input'!$L$55="Palier",IF(AND(EN$20&gt;='01_Input'!$J$55,EN$20&lt;'01_Input'!$K$55),'01_Input'!$M$55,0),MAX(MIN(EN$20,'01_Input'!$K$55)-'01_Input'!$J$55,0)*'01_Input'!$M$55))+IF('01_Input'!$P$55="Forfait",IF(EN$20&gt;='01_Input'!$N$55,'01_Input'!$Q$55,0),IF('01_Input'!$P$55="Palier",IF(AND(EN$20&gt;='01_Input'!$N$55,EN$20&lt;'01_Input'!$O$55),'01_Input'!$Q$55,0),MAX(MIN(EN$20,'01_Input'!$O$55)-'01_Input'!$N$55,0)*'01_Input'!$Q$55))+IF('01_Input'!$T$55="Forfait",IF(EN$20&gt;='01_Input'!$R$55,'01_Input'!$U$55,0),IF('01_Input'!$T$55="Palier",IF(AND(EN$20&gt;='01_Input'!$R$55,EN$20&lt;'01_Input'!$S$55),'01_Input'!$U$55,0),MAX(MIN(EN$20,'01_Input'!$S$55)-'01_Input'!$R$55,0)*'01_Input'!$U$55))+IF('01_Input'!$X$55="Forfait",IF(EN$20&gt;='01_Input'!$V$55,'01_Input'!$Y$55,0),IF('01_Input'!$X$55="Palier",IF(AND(EN$20&gt;='01_Input'!$V$55,EN$20&lt;'01_Input'!$W$55),'01_Input'!$Y$55,0),MAX(MIN(EN$20,'01_Input'!$W$55)-'01_Input'!$V$55,0)*'01_Input'!$Y$55))+IF('01_Input'!$AB$55="Forfait",IF(EN$20&gt;='01_Input'!$Z$55,'01_Input'!$AC$55,0),IF('01_Input'!$AB$55="Palier",IF(AND(EN$20&gt;='01_Input'!$Z$55,EN$20&lt;'01_Input'!$AA$55),'01_Input'!$AC$55,0),MAX(MIN(EN$20,'01_Input'!$AA$55)-'01_Input'!$Z$55,0)*'01_Input'!$AC$55)))))))))</f>
        <v>0</v>
      </c>
      <c r="EO23" s="25">
        <f>IF('01_Input'!$C$55="Non",0,MIN('01_Input'!$I$55,MAX('01_Input'!$H$55,IF('01_Input'!$G$55="Résiduel vs Gestion",0,IF('01_Input'!$G$55="Taux Classe sélectionnée",Distrib_Global_Classe_Selectionnee*EO$20,IF('01_Input'!$G$55="Frais KYC (paliers de 100M€)",MAX(0,Nb_Investisseurs-Nb_KYC_Gratuites_Par_Tranche*(FLOOR(EO$20/Taille_Tranche_KYC,1)+1))*Cout_Par_KYC_Supplementaire,(IF('01_Input'!$L$55="Forfait",IF(EO$20&gt;='01_Input'!$J$55,'01_Input'!$M$55,0),IF('01_Input'!$L$55="Palier",IF(AND(EO$20&gt;='01_Input'!$J$55,EO$20&lt;'01_Input'!$K$55),'01_Input'!$M$55,0),MAX(MIN(EO$20,'01_Input'!$K$55)-'01_Input'!$J$55,0)*'01_Input'!$M$55))+IF('01_Input'!$P$55="Forfait",IF(EO$20&gt;='01_Input'!$N$55,'01_Input'!$Q$55,0),IF('01_Input'!$P$55="Palier",IF(AND(EO$20&gt;='01_Input'!$N$55,EO$20&lt;'01_Input'!$O$55),'01_Input'!$Q$55,0),MAX(MIN(EO$20,'01_Input'!$O$55)-'01_Input'!$N$55,0)*'01_Input'!$Q$55))+IF('01_Input'!$T$55="Forfait",IF(EO$20&gt;='01_Input'!$R$55,'01_Input'!$U$55,0),IF('01_Input'!$T$55="Palier",IF(AND(EO$20&gt;='01_Input'!$R$55,EO$20&lt;'01_Input'!$S$55),'01_Input'!$U$55,0),MAX(MIN(EO$20,'01_Input'!$S$55)-'01_Input'!$R$55,0)*'01_Input'!$U$55))+IF('01_Input'!$X$55="Forfait",IF(EO$20&gt;='01_Input'!$V$55,'01_Input'!$Y$55,0),IF('01_Input'!$X$55="Palier",IF(AND(EO$20&gt;='01_Input'!$V$55,EO$20&lt;'01_Input'!$W$55),'01_Input'!$Y$55,0),MAX(MIN(EO$20,'01_Input'!$W$55)-'01_Input'!$V$55,0)*'01_Input'!$Y$55))+IF('01_Input'!$AB$55="Forfait",IF(EO$20&gt;='01_Input'!$Z$55,'01_Input'!$AC$55,0),IF('01_Input'!$AB$55="Palier",IF(AND(EO$20&gt;='01_Input'!$Z$55,EO$20&lt;'01_Input'!$AA$55),'01_Input'!$AC$55,0),MAX(MIN(EO$20,'01_Input'!$AA$55)-'01_Input'!$Z$55,0)*'01_Input'!$AC$55)))))))))</f>
        <v>0</v>
      </c>
      <c r="EP23" s="25">
        <f>IF('01_Input'!$C$55="Non",0,MIN('01_Input'!$I$55,MAX('01_Input'!$H$55,IF('01_Input'!$G$55="Résiduel vs Gestion",0,IF('01_Input'!$G$55="Taux Classe sélectionnée",Distrib_Global_Classe_Selectionnee*EP$20,IF('01_Input'!$G$55="Frais KYC (paliers de 100M€)",MAX(0,Nb_Investisseurs-Nb_KYC_Gratuites_Par_Tranche*(FLOOR(EP$20/Taille_Tranche_KYC,1)+1))*Cout_Par_KYC_Supplementaire,(IF('01_Input'!$L$55="Forfait",IF(EP$20&gt;='01_Input'!$J$55,'01_Input'!$M$55,0),IF('01_Input'!$L$55="Palier",IF(AND(EP$20&gt;='01_Input'!$J$55,EP$20&lt;'01_Input'!$K$55),'01_Input'!$M$55,0),MAX(MIN(EP$20,'01_Input'!$K$55)-'01_Input'!$J$55,0)*'01_Input'!$M$55))+IF('01_Input'!$P$55="Forfait",IF(EP$20&gt;='01_Input'!$N$55,'01_Input'!$Q$55,0),IF('01_Input'!$P$55="Palier",IF(AND(EP$20&gt;='01_Input'!$N$55,EP$20&lt;'01_Input'!$O$55),'01_Input'!$Q$55,0),MAX(MIN(EP$20,'01_Input'!$O$55)-'01_Input'!$N$55,0)*'01_Input'!$Q$55))+IF('01_Input'!$T$55="Forfait",IF(EP$20&gt;='01_Input'!$R$55,'01_Input'!$U$55,0),IF('01_Input'!$T$55="Palier",IF(AND(EP$20&gt;='01_Input'!$R$55,EP$20&lt;'01_Input'!$S$55),'01_Input'!$U$55,0),MAX(MIN(EP$20,'01_Input'!$S$55)-'01_Input'!$R$55,0)*'01_Input'!$U$55))+IF('01_Input'!$X$55="Forfait",IF(EP$20&gt;='01_Input'!$V$55,'01_Input'!$Y$55,0),IF('01_Input'!$X$55="Palier",IF(AND(EP$20&gt;='01_Input'!$V$55,EP$20&lt;'01_Input'!$W$55),'01_Input'!$Y$55,0),MAX(MIN(EP$20,'01_Input'!$W$55)-'01_Input'!$V$55,0)*'01_Input'!$Y$55))+IF('01_Input'!$AB$55="Forfait",IF(EP$20&gt;='01_Input'!$Z$55,'01_Input'!$AC$55,0),IF('01_Input'!$AB$55="Palier",IF(AND(EP$20&gt;='01_Input'!$Z$55,EP$20&lt;'01_Input'!$AA$55),'01_Input'!$AC$55,0),MAX(MIN(EP$20,'01_Input'!$AA$55)-'01_Input'!$Z$55,0)*'01_Input'!$AC$55)))))))))</f>
        <v>0</v>
      </c>
      <c r="EQ23" s="25">
        <f>IF('01_Input'!$C$55="Non",0,MIN('01_Input'!$I$55,MAX('01_Input'!$H$55,IF('01_Input'!$G$55="Résiduel vs Gestion",0,IF('01_Input'!$G$55="Taux Classe sélectionnée",Distrib_Global_Classe_Selectionnee*EQ$20,IF('01_Input'!$G$55="Frais KYC (paliers de 100M€)",MAX(0,Nb_Investisseurs-Nb_KYC_Gratuites_Par_Tranche*(FLOOR(EQ$20/Taille_Tranche_KYC,1)+1))*Cout_Par_KYC_Supplementaire,(IF('01_Input'!$L$55="Forfait",IF(EQ$20&gt;='01_Input'!$J$55,'01_Input'!$M$55,0),IF('01_Input'!$L$55="Palier",IF(AND(EQ$20&gt;='01_Input'!$J$55,EQ$20&lt;'01_Input'!$K$55),'01_Input'!$M$55,0),MAX(MIN(EQ$20,'01_Input'!$K$55)-'01_Input'!$J$55,0)*'01_Input'!$M$55))+IF('01_Input'!$P$55="Forfait",IF(EQ$20&gt;='01_Input'!$N$55,'01_Input'!$Q$55,0),IF('01_Input'!$P$55="Palier",IF(AND(EQ$20&gt;='01_Input'!$N$55,EQ$20&lt;'01_Input'!$O$55),'01_Input'!$Q$55,0),MAX(MIN(EQ$20,'01_Input'!$O$55)-'01_Input'!$N$55,0)*'01_Input'!$Q$55))+IF('01_Input'!$T$55="Forfait",IF(EQ$20&gt;='01_Input'!$R$55,'01_Input'!$U$55,0),IF('01_Input'!$T$55="Palier",IF(AND(EQ$20&gt;='01_Input'!$R$55,EQ$20&lt;'01_Input'!$S$55),'01_Input'!$U$55,0),MAX(MIN(EQ$20,'01_Input'!$S$55)-'01_Input'!$R$55,0)*'01_Input'!$U$55))+IF('01_Input'!$X$55="Forfait",IF(EQ$20&gt;='01_Input'!$V$55,'01_Input'!$Y$55,0),IF('01_Input'!$X$55="Palier",IF(AND(EQ$20&gt;='01_Input'!$V$55,EQ$20&lt;'01_Input'!$W$55),'01_Input'!$Y$55,0),MAX(MIN(EQ$20,'01_Input'!$W$55)-'01_Input'!$V$55,0)*'01_Input'!$Y$55))+IF('01_Input'!$AB$55="Forfait",IF(EQ$20&gt;='01_Input'!$Z$55,'01_Input'!$AC$55,0),IF('01_Input'!$AB$55="Palier",IF(AND(EQ$20&gt;='01_Input'!$Z$55,EQ$20&lt;'01_Input'!$AA$55),'01_Input'!$AC$55,0),MAX(MIN(EQ$20,'01_Input'!$AA$55)-'01_Input'!$Z$55,0)*'01_Input'!$AC$55)))))))))</f>
        <v>0</v>
      </c>
      <c r="ER23" s="25">
        <f>IF('01_Input'!$C$55="Non",0,MIN('01_Input'!$I$55,MAX('01_Input'!$H$55,IF('01_Input'!$G$55="Résiduel vs Gestion",0,IF('01_Input'!$G$55="Taux Classe sélectionnée",Distrib_Global_Classe_Selectionnee*ER$20,IF('01_Input'!$G$55="Frais KYC (paliers de 100M€)",MAX(0,Nb_Investisseurs-Nb_KYC_Gratuites_Par_Tranche*(FLOOR(ER$20/Taille_Tranche_KYC,1)+1))*Cout_Par_KYC_Supplementaire,(IF('01_Input'!$L$55="Forfait",IF(ER$20&gt;='01_Input'!$J$55,'01_Input'!$M$55,0),IF('01_Input'!$L$55="Palier",IF(AND(ER$20&gt;='01_Input'!$J$55,ER$20&lt;'01_Input'!$K$55),'01_Input'!$M$55,0),MAX(MIN(ER$20,'01_Input'!$K$55)-'01_Input'!$J$55,0)*'01_Input'!$M$55))+IF('01_Input'!$P$55="Forfait",IF(ER$20&gt;='01_Input'!$N$55,'01_Input'!$Q$55,0),IF('01_Input'!$P$55="Palier",IF(AND(ER$20&gt;='01_Input'!$N$55,ER$20&lt;'01_Input'!$O$55),'01_Input'!$Q$55,0),MAX(MIN(ER$20,'01_Input'!$O$55)-'01_Input'!$N$55,0)*'01_Input'!$Q$55))+IF('01_Input'!$T$55="Forfait",IF(ER$20&gt;='01_Input'!$R$55,'01_Input'!$U$55,0),IF('01_Input'!$T$55="Palier",IF(AND(ER$20&gt;='01_Input'!$R$55,ER$20&lt;'01_Input'!$S$55),'01_Input'!$U$55,0),MAX(MIN(ER$20,'01_Input'!$S$55)-'01_Input'!$R$55,0)*'01_Input'!$U$55))+IF('01_Input'!$X$55="Forfait",IF(ER$20&gt;='01_Input'!$V$55,'01_Input'!$Y$55,0),IF('01_Input'!$X$55="Palier",IF(AND(ER$20&gt;='01_Input'!$V$55,ER$20&lt;'01_Input'!$W$55),'01_Input'!$Y$55,0),MAX(MIN(ER$20,'01_Input'!$W$55)-'01_Input'!$V$55,0)*'01_Input'!$Y$55))+IF('01_Input'!$AB$55="Forfait",IF(ER$20&gt;='01_Input'!$Z$55,'01_Input'!$AC$55,0),IF('01_Input'!$AB$55="Palier",IF(AND(ER$20&gt;='01_Input'!$Z$55,ER$20&lt;'01_Input'!$AA$55),'01_Input'!$AC$55,0),MAX(MIN(ER$20,'01_Input'!$AA$55)-'01_Input'!$Z$55,0)*'01_Input'!$AC$55)))))))))</f>
        <v>0</v>
      </c>
      <c r="ES23" s="25">
        <f>IF('01_Input'!$C$55="Non",0,MIN('01_Input'!$I$55,MAX('01_Input'!$H$55,IF('01_Input'!$G$55="Résiduel vs Gestion",0,IF('01_Input'!$G$55="Taux Classe sélectionnée",Distrib_Global_Classe_Selectionnee*ES$20,IF('01_Input'!$G$55="Frais KYC (paliers de 100M€)",MAX(0,Nb_Investisseurs-Nb_KYC_Gratuites_Par_Tranche*(FLOOR(ES$20/Taille_Tranche_KYC,1)+1))*Cout_Par_KYC_Supplementaire,(IF('01_Input'!$L$55="Forfait",IF(ES$20&gt;='01_Input'!$J$55,'01_Input'!$M$55,0),IF('01_Input'!$L$55="Palier",IF(AND(ES$20&gt;='01_Input'!$J$55,ES$20&lt;'01_Input'!$K$55),'01_Input'!$M$55,0),MAX(MIN(ES$20,'01_Input'!$K$55)-'01_Input'!$J$55,0)*'01_Input'!$M$55))+IF('01_Input'!$P$55="Forfait",IF(ES$20&gt;='01_Input'!$N$55,'01_Input'!$Q$55,0),IF('01_Input'!$P$55="Palier",IF(AND(ES$20&gt;='01_Input'!$N$55,ES$20&lt;'01_Input'!$O$55),'01_Input'!$Q$55,0),MAX(MIN(ES$20,'01_Input'!$O$55)-'01_Input'!$N$55,0)*'01_Input'!$Q$55))+IF('01_Input'!$T$55="Forfait",IF(ES$20&gt;='01_Input'!$R$55,'01_Input'!$U$55,0),IF('01_Input'!$T$55="Palier",IF(AND(ES$20&gt;='01_Input'!$R$55,ES$20&lt;'01_Input'!$S$55),'01_Input'!$U$55,0),MAX(MIN(ES$20,'01_Input'!$S$55)-'01_Input'!$R$55,0)*'01_Input'!$U$55))+IF('01_Input'!$X$55="Forfait",IF(ES$20&gt;='01_Input'!$V$55,'01_Input'!$Y$55,0),IF('01_Input'!$X$55="Palier",IF(AND(ES$20&gt;='01_Input'!$V$55,ES$20&lt;'01_Input'!$W$55),'01_Input'!$Y$55,0),MAX(MIN(ES$20,'01_Input'!$W$55)-'01_Input'!$V$55,0)*'01_Input'!$Y$55))+IF('01_Input'!$AB$55="Forfait",IF(ES$20&gt;='01_Input'!$Z$55,'01_Input'!$AC$55,0),IF('01_Input'!$AB$55="Palier",IF(AND(ES$20&gt;='01_Input'!$Z$55,ES$20&lt;'01_Input'!$AA$55),'01_Input'!$AC$55,0),MAX(MIN(ES$20,'01_Input'!$AA$55)-'01_Input'!$Z$55,0)*'01_Input'!$AC$55)))))))))</f>
        <v>0</v>
      </c>
      <c r="ET23" s="25">
        <f>IF('01_Input'!$C$55="Non",0,MIN('01_Input'!$I$55,MAX('01_Input'!$H$55,IF('01_Input'!$G$55="Résiduel vs Gestion",0,IF('01_Input'!$G$55="Taux Classe sélectionnée",Distrib_Global_Classe_Selectionnee*ET$20,IF('01_Input'!$G$55="Frais KYC (paliers de 100M€)",MAX(0,Nb_Investisseurs-Nb_KYC_Gratuites_Par_Tranche*(FLOOR(ET$20/Taille_Tranche_KYC,1)+1))*Cout_Par_KYC_Supplementaire,(IF('01_Input'!$L$55="Forfait",IF(ET$20&gt;='01_Input'!$J$55,'01_Input'!$M$55,0),IF('01_Input'!$L$55="Palier",IF(AND(ET$20&gt;='01_Input'!$J$55,ET$20&lt;'01_Input'!$K$55),'01_Input'!$M$55,0),MAX(MIN(ET$20,'01_Input'!$K$55)-'01_Input'!$J$55,0)*'01_Input'!$M$55))+IF('01_Input'!$P$55="Forfait",IF(ET$20&gt;='01_Input'!$N$55,'01_Input'!$Q$55,0),IF('01_Input'!$P$55="Palier",IF(AND(ET$20&gt;='01_Input'!$N$55,ET$20&lt;'01_Input'!$O$55),'01_Input'!$Q$55,0),MAX(MIN(ET$20,'01_Input'!$O$55)-'01_Input'!$N$55,0)*'01_Input'!$Q$55))+IF('01_Input'!$T$55="Forfait",IF(ET$20&gt;='01_Input'!$R$55,'01_Input'!$U$55,0),IF('01_Input'!$T$55="Palier",IF(AND(ET$20&gt;='01_Input'!$R$55,ET$20&lt;'01_Input'!$S$55),'01_Input'!$U$55,0),MAX(MIN(ET$20,'01_Input'!$S$55)-'01_Input'!$R$55,0)*'01_Input'!$U$55))+IF('01_Input'!$X$55="Forfait",IF(ET$20&gt;='01_Input'!$V$55,'01_Input'!$Y$55,0),IF('01_Input'!$X$55="Palier",IF(AND(ET$20&gt;='01_Input'!$V$55,ET$20&lt;'01_Input'!$W$55),'01_Input'!$Y$55,0),MAX(MIN(ET$20,'01_Input'!$W$55)-'01_Input'!$V$55,0)*'01_Input'!$Y$55))+IF('01_Input'!$AB$55="Forfait",IF(ET$20&gt;='01_Input'!$Z$55,'01_Input'!$AC$55,0),IF('01_Input'!$AB$55="Palier",IF(AND(ET$20&gt;='01_Input'!$Z$55,ET$20&lt;'01_Input'!$AA$55),'01_Input'!$AC$55,0),MAX(MIN(ET$20,'01_Input'!$AA$55)-'01_Input'!$Z$55,0)*'01_Input'!$AC$55)))))))))</f>
        <v>0</v>
      </c>
      <c r="EU23" s="25">
        <f>IF('01_Input'!$C$55="Non",0,MIN('01_Input'!$I$55,MAX('01_Input'!$H$55,IF('01_Input'!$G$55="Résiduel vs Gestion",0,IF('01_Input'!$G$55="Taux Classe sélectionnée",Distrib_Global_Classe_Selectionnee*EU$20,IF('01_Input'!$G$55="Frais KYC (paliers de 100M€)",MAX(0,Nb_Investisseurs-Nb_KYC_Gratuites_Par_Tranche*(FLOOR(EU$20/Taille_Tranche_KYC,1)+1))*Cout_Par_KYC_Supplementaire,(IF('01_Input'!$L$55="Forfait",IF(EU$20&gt;='01_Input'!$J$55,'01_Input'!$M$55,0),IF('01_Input'!$L$55="Palier",IF(AND(EU$20&gt;='01_Input'!$J$55,EU$20&lt;'01_Input'!$K$55),'01_Input'!$M$55,0),MAX(MIN(EU$20,'01_Input'!$K$55)-'01_Input'!$J$55,0)*'01_Input'!$M$55))+IF('01_Input'!$P$55="Forfait",IF(EU$20&gt;='01_Input'!$N$55,'01_Input'!$Q$55,0),IF('01_Input'!$P$55="Palier",IF(AND(EU$20&gt;='01_Input'!$N$55,EU$20&lt;'01_Input'!$O$55),'01_Input'!$Q$55,0),MAX(MIN(EU$20,'01_Input'!$O$55)-'01_Input'!$N$55,0)*'01_Input'!$Q$55))+IF('01_Input'!$T$55="Forfait",IF(EU$20&gt;='01_Input'!$R$55,'01_Input'!$U$55,0),IF('01_Input'!$T$55="Palier",IF(AND(EU$20&gt;='01_Input'!$R$55,EU$20&lt;'01_Input'!$S$55),'01_Input'!$U$55,0),MAX(MIN(EU$20,'01_Input'!$S$55)-'01_Input'!$R$55,0)*'01_Input'!$U$55))+IF('01_Input'!$X$55="Forfait",IF(EU$20&gt;='01_Input'!$V$55,'01_Input'!$Y$55,0),IF('01_Input'!$X$55="Palier",IF(AND(EU$20&gt;='01_Input'!$V$55,EU$20&lt;'01_Input'!$W$55),'01_Input'!$Y$55,0),MAX(MIN(EU$20,'01_Input'!$W$55)-'01_Input'!$V$55,0)*'01_Input'!$Y$55))+IF('01_Input'!$AB$55="Forfait",IF(EU$20&gt;='01_Input'!$Z$55,'01_Input'!$AC$55,0),IF('01_Input'!$AB$55="Palier",IF(AND(EU$20&gt;='01_Input'!$Z$55,EU$20&lt;'01_Input'!$AA$55),'01_Input'!$AC$55,0),MAX(MIN(EU$20,'01_Input'!$AA$55)-'01_Input'!$Z$55,0)*'01_Input'!$AC$55)))))))))</f>
        <v>0</v>
      </c>
      <c r="EV23" s="25">
        <f>IF('01_Input'!$C$55="Non",0,MIN('01_Input'!$I$55,MAX('01_Input'!$H$55,IF('01_Input'!$G$55="Résiduel vs Gestion",0,IF('01_Input'!$G$55="Taux Classe sélectionnée",Distrib_Global_Classe_Selectionnee*EV$20,IF('01_Input'!$G$55="Frais KYC (paliers de 100M€)",MAX(0,Nb_Investisseurs-Nb_KYC_Gratuites_Par_Tranche*(FLOOR(EV$20/Taille_Tranche_KYC,1)+1))*Cout_Par_KYC_Supplementaire,(IF('01_Input'!$L$55="Forfait",IF(EV$20&gt;='01_Input'!$J$55,'01_Input'!$M$55,0),IF('01_Input'!$L$55="Palier",IF(AND(EV$20&gt;='01_Input'!$J$55,EV$20&lt;'01_Input'!$K$55),'01_Input'!$M$55,0),MAX(MIN(EV$20,'01_Input'!$K$55)-'01_Input'!$J$55,0)*'01_Input'!$M$55))+IF('01_Input'!$P$55="Forfait",IF(EV$20&gt;='01_Input'!$N$55,'01_Input'!$Q$55,0),IF('01_Input'!$P$55="Palier",IF(AND(EV$20&gt;='01_Input'!$N$55,EV$20&lt;'01_Input'!$O$55),'01_Input'!$Q$55,0),MAX(MIN(EV$20,'01_Input'!$O$55)-'01_Input'!$N$55,0)*'01_Input'!$Q$55))+IF('01_Input'!$T$55="Forfait",IF(EV$20&gt;='01_Input'!$R$55,'01_Input'!$U$55,0),IF('01_Input'!$T$55="Palier",IF(AND(EV$20&gt;='01_Input'!$R$55,EV$20&lt;'01_Input'!$S$55),'01_Input'!$U$55,0),MAX(MIN(EV$20,'01_Input'!$S$55)-'01_Input'!$R$55,0)*'01_Input'!$U$55))+IF('01_Input'!$X$55="Forfait",IF(EV$20&gt;='01_Input'!$V$55,'01_Input'!$Y$55,0),IF('01_Input'!$X$55="Palier",IF(AND(EV$20&gt;='01_Input'!$V$55,EV$20&lt;'01_Input'!$W$55),'01_Input'!$Y$55,0),MAX(MIN(EV$20,'01_Input'!$W$55)-'01_Input'!$V$55,0)*'01_Input'!$Y$55))+IF('01_Input'!$AB$55="Forfait",IF(EV$20&gt;='01_Input'!$Z$55,'01_Input'!$AC$55,0),IF('01_Input'!$AB$55="Palier",IF(AND(EV$20&gt;='01_Input'!$Z$55,EV$20&lt;'01_Input'!$AA$55),'01_Input'!$AC$55,0),MAX(MIN(EV$20,'01_Input'!$AA$55)-'01_Input'!$Z$55,0)*'01_Input'!$AC$55)))))))))</f>
        <v>0</v>
      </c>
      <c r="EW23" s="25">
        <f>IF('01_Input'!$C$55="Non",0,MIN('01_Input'!$I$55,MAX('01_Input'!$H$55,IF('01_Input'!$G$55="Résiduel vs Gestion",0,IF('01_Input'!$G$55="Taux Classe sélectionnée",Distrib_Global_Classe_Selectionnee*EW$20,IF('01_Input'!$G$55="Frais KYC (paliers de 100M€)",MAX(0,Nb_Investisseurs-Nb_KYC_Gratuites_Par_Tranche*(FLOOR(EW$20/Taille_Tranche_KYC,1)+1))*Cout_Par_KYC_Supplementaire,(IF('01_Input'!$L$55="Forfait",IF(EW$20&gt;='01_Input'!$J$55,'01_Input'!$M$55,0),IF('01_Input'!$L$55="Palier",IF(AND(EW$20&gt;='01_Input'!$J$55,EW$20&lt;'01_Input'!$K$55),'01_Input'!$M$55,0),MAX(MIN(EW$20,'01_Input'!$K$55)-'01_Input'!$J$55,0)*'01_Input'!$M$55))+IF('01_Input'!$P$55="Forfait",IF(EW$20&gt;='01_Input'!$N$55,'01_Input'!$Q$55,0),IF('01_Input'!$P$55="Palier",IF(AND(EW$20&gt;='01_Input'!$N$55,EW$20&lt;'01_Input'!$O$55),'01_Input'!$Q$55,0),MAX(MIN(EW$20,'01_Input'!$O$55)-'01_Input'!$N$55,0)*'01_Input'!$Q$55))+IF('01_Input'!$T$55="Forfait",IF(EW$20&gt;='01_Input'!$R$55,'01_Input'!$U$55,0),IF('01_Input'!$T$55="Palier",IF(AND(EW$20&gt;='01_Input'!$R$55,EW$20&lt;'01_Input'!$S$55),'01_Input'!$U$55,0),MAX(MIN(EW$20,'01_Input'!$S$55)-'01_Input'!$R$55,0)*'01_Input'!$U$55))+IF('01_Input'!$X$55="Forfait",IF(EW$20&gt;='01_Input'!$V$55,'01_Input'!$Y$55,0),IF('01_Input'!$X$55="Palier",IF(AND(EW$20&gt;='01_Input'!$V$55,EW$20&lt;'01_Input'!$W$55),'01_Input'!$Y$55,0),MAX(MIN(EW$20,'01_Input'!$W$55)-'01_Input'!$V$55,0)*'01_Input'!$Y$55))+IF('01_Input'!$AB$55="Forfait",IF(EW$20&gt;='01_Input'!$Z$55,'01_Input'!$AC$55,0),IF('01_Input'!$AB$55="Palier",IF(AND(EW$20&gt;='01_Input'!$Z$55,EW$20&lt;'01_Input'!$AA$55),'01_Input'!$AC$55,0),MAX(MIN(EW$20,'01_Input'!$AA$55)-'01_Input'!$Z$55,0)*'01_Input'!$AC$55)))))))))</f>
        <v>0</v>
      </c>
      <c r="EX23" s="25">
        <f>IF('01_Input'!$C$55="Non",0,MIN('01_Input'!$I$55,MAX('01_Input'!$H$55,IF('01_Input'!$G$55="Résiduel vs Gestion",0,IF('01_Input'!$G$55="Taux Classe sélectionnée",Distrib_Global_Classe_Selectionnee*EX$20,IF('01_Input'!$G$55="Frais KYC (paliers de 100M€)",MAX(0,Nb_Investisseurs-Nb_KYC_Gratuites_Par_Tranche*(FLOOR(EX$20/Taille_Tranche_KYC,1)+1))*Cout_Par_KYC_Supplementaire,(IF('01_Input'!$L$55="Forfait",IF(EX$20&gt;='01_Input'!$J$55,'01_Input'!$M$55,0),IF('01_Input'!$L$55="Palier",IF(AND(EX$20&gt;='01_Input'!$J$55,EX$20&lt;'01_Input'!$K$55),'01_Input'!$M$55,0),MAX(MIN(EX$20,'01_Input'!$K$55)-'01_Input'!$J$55,0)*'01_Input'!$M$55))+IF('01_Input'!$P$55="Forfait",IF(EX$20&gt;='01_Input'!$N$55,'01_Input'!$Q$55,0),IF('01_Input'!$P$55="Palier",IF(AND(EX$20&gt;='01_Input'!$N$55,EX$20&lt;'01_Input'!$O$55),'01_Input'!$Q$55,0),MAX(MIN(EX$20,'01_Input'!$O$55)-'01_Input'!$N$55,0)*'01_Input'!$Q$55))+IF('01_Input'!$T$55="Forfait",IF(EX$20&gt;='01_Input'!$R$55,'01_Input'!$U$55,0),IF('01_Input'!$T$55="Palier",IF(AND(EX$20&gt;='01_Input'!$R$55,EX$20&lt;'01_Input'!$S$55),'01_Input'!$U$55,0),MAX(MIN(EX$20,'01_Input'!$S$55)-'01_Input'!$R$55,0)*'01_Input'!$U$55))+IF('01_Input'!$X$55="Forfait",IF(EX$20&gt;='01_Input'!$V$55,'01_Input'!$Y$55,0),IF('01_Input'!$X$55="Palier",IF(AND(EX$20&gt;='01_Input'!$V$55,EX$20&lt;'01_Input'!$W$55),'01_Input'!$Y$55,0),MAX(MIN(EX$20,'01_Input'!$W$55)-'01_Input'!$V$55,0)*'01_Input'!$Y$55))+IF('01_Input'!$AB$55="Forfait",IF(EX$20&gt;='01_Input'!$Z$55,'01_Input'!$AC$55,0),IF('01_Input'!$AB$55="Palier",IF(AND(EX$20&gt;='01_Input'!$Z$55,EX$20&lt;'01_Input'!$AA$55),'01_Input'!$AC$55,0),MAX(MIN(EX$20,'01_Input'!$AA$55)-'01_Input'!$Z$55,0)*'01_Input'!$AC$55)))))))))</f>
        <v>0</v>
      </c>
    </row>
    <row r="24" ht="15.75" customHeight="1">
      <c r="B24" s="68" t="str">
        <f>IF('01_Input'!D56="","(inactif)",'01_Input'!D56)</f>
        <v>Distribution — Sous-distributeurs</v>
      </c>
      <c r="C24" s="68" t="str">
        <f>IF('01_Input'!E56="","",'01_Input'!E56)</f>
        <v/>
      </c>
      <c r="D24" s="86" t="str">
        <f>'01_Input'!C56</f>
        <v>Oui</v>
      </c>
      <c r="E24" s="83">
        <f>IF('01_Input'!$C$56="Non",0,MIN('01_Input'!$I$56,MAX('01_Input'!$H$56,IF('01_Input'!$G$56="Résiduel vs Gestion",0,IF('01_Input'!$G$56="Taux Classe sélectionnée",Distrib_SousDistrib_Classe_Selectionnee*E$20,IF('01_Input'!$G$56="Frais KYC (paliers de 100M€)",MAX(0,Nb_Investisseurs-Nb_KYC_Gratuites_Par_Tranche*(FLOOR(E$20/Taille_Tranche_KYC,1)+1))*Cout_Par_KYC_Supplementaire,(IF('01_Input'!$L$56="Forfait",IF(E$20&gt;='01_Input'!$J$56,'01_Input'!$M$56,0),IF('01_Input'!$L$56="Palier",IF(AND(E$20&gt;='01_Input'!$J$56,E$20&lt;'01_Input'!$K$56),'01_Input'!$M$56,0),MAX(MIN(E$20,'01_Input'!$K$56)-'01_Input'!$J$56,0)*'01_Input'!$M$56))+IF('01_Input'!$P$56="Forfait",IF(E$20&gt;='01_Input'!$N$56,'01_Input'!$Q$56,0),IF('01_Input'!$P$56="Palier",IF(AND(E$20&gt;='01_Input'!$N$56,E$20&lt;'01_Input'!$O$56),'01_Input'!$Q$56,0),MAX(MIN(E$20,'01_Input'!$O$56)-'01_Input'!$N$56,0)*'01_Input'!$Q$56))+IF('01_Input'!$T$56="Forfait",IF(E$20&gt;='01_Input'!$R$56,'01_Input'!$U$56,0),IF('01_Input'!$T$56="Palier",IF(AND(E$20&gt;='01_Input'!$R$56,E$20&lt;'01_Input'!$S$56),'01_Input'!$U$56,0),MAX(MIN(E$20,'01_Input'!$S$56)-'01_Input'!$R$56,0)*'01_Input'!$U$56))+IF('01_Input'!$X$56="Forfait",IF(E$20&gt;='01_Input'!$V$56,'01_Input'!$Y$56,0),IF('01_Input'!$X$56="Palier",IF(AND(E$20&gt;='01_Input'!$V$56,E$20&lt;'01_Input'!$W$56),'01_Input'!$Y$56,0),MAX(MIN(E$20,'01_Input'!$W$56)-'01_Input'!$V$56,0)*'01_Input'!$Y$56))+IF('01_Input'!$AB$56="Forfait",IF(E$20&gt;='01_Input'!$Z$56,'01_Input'!$AC$56,0),IF('01_Input'!$AB$56="Palier",IF(AND(E$20&gt;='01_Input'!$Z$56,E$20&lt;'01_Input'!$AA$56),'01_Input'!$AC$56,0),MAX(MIN(E$20,'01_Input'!$AA$56)-'01_Input'!$Z$56,0)*'01_Input'!$AC$56)))))))))</f>
        <v>45000</v>
      </c>
      <c r="F24" s="83">
        <f>IF('01_Input'!$C$56="Non",0,MIN('01_Input'!$I$56,MAX('01_Input'!$H$56,IF('01_Input'!$G$56="Résiduel vs Gestion",0,IF('01_Input'!$G$56="Taux Classe sélectionnée",Distrib_SousDistrib_Classe_Selectionnee*F$20,IF('01_Input'!$G$56="Frais KYC (paliers de 100M€)",MAX(0,Nb_Investisseurs-Nb_KYC_Gratuites_Par_Tranche*(FLOOR(F$20/Taille_Tranche_KYC,1)+1))*Cout_Par_KYC_Supplementaire,(IF('01_Input'!$L$56="Forfait",IF(F$20&gt;='01_Input'!$J$56,'01_Input'!$M$56,0),IF('01_Input'!$L$56="Palier",IF(AND(F$20&gt;='01_Input'!$J$56,F$20&lt;'01_Input'!$K$56),'01_Input'!$M$56,0),MAX(MIN(F$20,'01_Input'!$K$56)-'01_Input'!$J$56,0)*'01_Input'!$M$56))+IF('01_Input'!$P$56="Forfait",IF(F$20&gt;='01_Input'!$N$56,'01_Input'!$Q$56,0),IF('01_Input'!$P$56="Palier",IF(AND(F$20&gt;='01_Input'!$N$56,F$20&lt;'01_Input'!$O$56),'01_Input'!$Q$56,0),MAX(MIN(F$20,'01_Input'!$O$56)-'01_Input'!$N$56,0)*'01_Input'!$Q$56))+IF('01_Input'!$T$56="Forfait",IF(F$20&gt;='01_Input'!$R$56,'01_Input'!$U$56,0),IF('01_Input'!$T$56="Palier",IF(AND(F$20&gt;='01_Input'!$R$56,F$20&lt;'01_Input'!$S$56),'01_Input'!$U$56,0),MAX(MIN(F$20,'01_Input'!$S$56)-'01_Input'!$R$56,0)*'01_Input'!$U$56))+IF('01_Input'!$X$56="Forfait",IF(F$20&gt;='01_Input'!$V$56,'01_Input'!$Y$56,0),IF('01_Input'!$X$56="Palier",IF(AND(F$20&gt;='01_Input'!$V$56,F$20&lt;'01_Input'!$W$56),'01_Input'!$Y$56,0),MAX(MIN(F$20,'01_Input'!$W$56)-'01_Input'!$V$56,0)*'01_Input'!$Y$56))+IF('01_Input'!$AB$56="Forfait",IF(F$20&gt;='01_Input'!$Z$56,'01_Input'!$AC$56,0),IF('01_Input'!$AB$56="Palier",IF(AND(F$20&gt;='01_Input'!$Z$56,F$20&lt;'01_Input'!$AA$56),'01_Input'!$AC$56,0),MAX(MIN(F$20,'01_Input'!$AA$56)-'01_Input'!$Z$56,0)*'01_Input'!$AC$56)))))))))</f>
        <v>90000</v>
      </c>
      <c r="G24" s="83">
        <f>IF('01_Input'!$C$56="Non",0,MIN('01_Input'!$I$56,MAX('01_Input'!$H$56,IF('01_Input'!$G$56="Résiduel vs Gestion",0,IF('01_Input'!$G$56="Taux Classe sélectionnée",Distrib_SousDistrib_Classe_Selectionnee*G$20,IF('01_Input'!$G$56="Frais KYC (paliers de 100M€)",MAX(0,Nb_Investisseurs-Nb_KYC_Gratuites_Par_Tranche*(FLOOR(G$20/Taille_Tranche_KYC,1)+1))*Cout_Par_KYC_Supplementaire,(IF('01_Input'!$L$56="Forfait",IF(G$20&gt;='01_Input'!$J$56,'01_Input'!$M$56,0),IF('01_Input'!$L$56="Palier",IF(AND(G$20&gt;='01_Input'!$J$56,G$20&lt;'01_Input'!$K$56),'01_Input'!$M$56,0),MAX(MIN(G$20,'01_Input'!$K$56)-'01_Input'!$J$56,0)*'01_Input'!$M$56))+IF('01_Input'!$P$56="Forfait",IF(G$20&gt;='01_Input'!$N$56,'01_Input'!$Q$56,0),IF('01_Input'!$P$56="Palier",IF(AND(G$20&gt;='01_Input'!$N$56,G$20&lt;'01_Input'!$O$56),'01_Input'!$Q$56,0),MAX(MIN(G$20,'01_Input'!$O$56)-'01_Input'!$N$56,0)*'01_Input'!$Q$56))+IF('01_Input'!$T$56="Forfait",IF(G$20&gt;='01_Input'!$R$56,'01_Input'!$U$56,0),IF('01_Input'!$T$56="Palier",IF(AND(G$20&gt;='01_Input'!$R$56,G$20&lt;'01_Input'!$S$56),'01_Input'!$U$56,0),MAX(MIN(G$20,'01_Input'!$S$56)-'01_Input'!$R$56,0)*'01_Input'!$U$56))+IF('01_Input'!$X$56="Forfait",IF(G$20&gt;='01_Input'!$V$56,'01_Input'!$Y$56,0),IF('01_Input'!$X$56="Palier",IF(AND(G$20&gt;='01_Input'!$V$56,G$20&lt;'01_Input'!$W$56),'01_Input'!$Y$56,0),MAX(MIN(G$20,'01_Input'!$W$56)-'01_Input'!$V$56,0)*'01_Input'!$Y$56))+IF('01_Input'!$AB$56="Forfait",IF(G$20&gt;='01_Input'!$Z$56,'01_Input'!$AC$56,0),IF('01_Input'!$AB$56="Palier",IF(AND(G$20&gt;='01_Input'!$Z$56,G$20&lt;'01_Input'!$AA$56),'01_Input'!$AC$56,0),MAX(MIN(G$20,'01_Input'!$AA$56)-'01_Input'!$Z$56,0)*'01_Input'!$AC$56)))))))))</f>
        <v>135000</v>
      </c>
      <c r="H24" s="83">
        <f>IF('01_Input'!$C$56="Non",0,MIN('01_Input'!$I$56,MAX('01_Input'!$H$56,IF('01_Input'!$G$56="Résiduel vs Gestion",0,IF('01_Input'!$G$56="Taux Classe sélectionnée",Distrib_SousDistrib_Classe_Selectionnee*H$20,IF('01_Input'!$G$56="Frais KYC (paliers de 100M€)",MAX(0,Nb_Investisseurs-Nb_KYC_Gratuites_Par_Tranche*(FLOOR(H$20/Taille_Tranche_KYC,1)+1))*Cout_Par_KYC_Supplementaire,(IF('01_Input'!$L$56="Forfait",IF(H$20&gt;='01_Input'!$J$56,'01_Input'!$M$56,0),IF('01_Input'!$L$56="Palier",IF(AND(H$20&gt;='01_Input'!$J$56,H$20&lt;'01_Input'!$K$56),'01_Input'!$M$56,0),MAX(MIN(H$20,'01_Input'!$K$56)-'01_Input'!$J$56,0)*'01_Input'!$M$56))+IF('01_Input'!$P$56="Forfait",IF(H$20&gt;='01_Input'!$N$56,'01_Input'!$Q$56,0),IF('01_Input'!$P$56="Palier",IF(AND(H$20&gt;='01_Input'!$N$56,H$20&lt;'01_Input'!$O$56),'01_Input'!$Q$56,0),MAX(MIN(H$20,'01_Input'!$O$56)-'01_Input'!$N$56,0)*'01_Input'!$Q$56))+IF('01_Input'!$T$56="Forfait",IF(H$20&gt;='01_Input'!$R$56,'01_Input'!$U$56,0),IF('01_Input'!$T$56="Palier",IF(AND(H$20&gt;='01_Input'!$R$56,H$20&lt;'01_Input'!$S$56),'01_Input'!$U$56,0),MAX(MIN(H$20,'01_Input'!$S$56)-'01_Input'!$R$56,0)*'01_Input'!$U$56))+IF('01_Input'!$X$56="Forfait",IF(H$20&gt;='01_Input'!$V$56,'01_Input'!$Y$56,0),IF('01_Input'!$X$56="Palier",IF(AND(H$20&gt;='01_Input'!$V$56,H$20&lt;'01_Input'!$W$56),'01_Input'!$Y$56,0),MAX(MIN(H$20,'01_Input'!$W$56)-'01_Input'!$V$56,0)*'01_Input'!$Y$56))+IF('01_Input'!$AB$56="Forfait",IF(H$20&gt;='01_Input'!$Z$56,'01_Input'!$AC$56,0),IF('01_Input'!$AB$56="Palier",IF(AND(H$20&gt;='01_Input'!$Z$56,H$20&lt;'01_Input'!$AA$56),'01_Input'!$AC$56,0),MAX(MIN(H$20,'01_Input'!$AA$56)-'01_Input'!$Z$56,0)*'01_Input'!$AC$56)))))))))</f>
        <v>180000</v>
      </c>
      <c r="I24" s="83">
        <f>IF('01_Input'!$C$56="Non",0,MIN('01_Input'!$I$56,MAX('01_Input'!$H$56,IF('01_Input'!$G$56="Résiduel vs Gestion",0,IF('01_Input'!$G$56="Taux Classe sélectionnée",Distrib_SousDistrib_Classe_Selectionnee*I$20,IF('01_Input'!$G$56="Frais KYC (paliers de 100M€)",MAX(0,Nb_Investisseurs-Nb_KYC_Gratuites_Par_Tranche*(FLOOR(I$20/Taille_Tranche_KYC,1)+1))*Cout_Par_KYC_Supplementaire,(IF('01_Input'!$L$56="Forfait",IF(I$20&gt;='01_Input'!$J$56,'01_Input'!$M$56,0),IF('01_Input'!$L$56="Palier",IF(AND(I$20&gt;='01_Input'!$J$56,I$20&lt;'01_Input'!$K$56),'01_Input'!$M$56,0),MAX(MIN(I$20,'01_Input'!$K$56)-'01_Input'!$J$56,0)*'01_Input'!$M$56))+IF('01_Input'!$P$56="Forfait",IF(I$20&gt;='01_Input'!$N$56,'01_Input'!$Q$56,0),IF('01_Input'!$P$56="Palier",IF(AND(I$20&gt;='01_Input'!$N$56,I$20&lt;'01_Input'!$O$56),'01_Input'!$Q$56,0),MAX(MIN(I$20,'01_Input'!$O$56)-'01_Input'!$N$56,0)*'01_Input'!$Q$56))+IF('01_Input'!$T$56="Forfait",IF(I$20&gt;='01_Input'!$R$56,'01_Input'!$U$56,0),IF('01_Input'!$T$56="Palier",IF(AND(I$20&gt;='01_Input'!$R$56,I$20&lt;'01_Input'!$S$56),'01_Input'!$U$56,0),MAX(MIN(I$20,'01_Input'!$S$56)-'01_Input'!$R$56,0)*'01_Input'!$U$56))+IF('01_Input'!$X$56="Forfait",IF(I$20&gt;='01_Input'!$V$56,'01_Input'!$Y$56,0),IF('01_Input'!$X$56="Palier",IF(AND(I$20&gt;='01_Input'!$V$56,I$20&lt;'01_Input'!$W$56),'01_Input'!$Y$56,0),MAX(MIN(I$20,'01_Input'!$W$56)-'01_Input'!$V$56,0)*'01_Input'!$Y$56))+IF('01_Input'!$AB$56="Forfait",IF(I$20&gt;='01_Input'!$Z$56,'01_Input'!$AC$56,0),IF('01_Input'!$AB$56="Palier",IF(AND(I$20&gt;='01_Input'!$Z$56,I$20&lt;'01_Input'!$AA$56),'01_Input'!$AC$56,0),MAX(MIN(I$20,'01_Input'!$AA$56)-'01_Input'!$Z$56,0)*'01_Input'!$AC$56)))))))))</f>
        <v>225000</v>
      </c>
      <c r="J24" s="83">
        <f>IF('01_Input'!$C$56="Non",0,MIN('01_Input'!$I$56,MAX('01_Input'!$H$56,IF('01_Input'!$G$56="Résiduel vs Gestion",0,IF('01_Input'!$G$56="Taux Classe sélectionnée",Distrib_SousDistrib_Classe_Selectionnee*J$20,IF('01_Input'!$G$56="Frais KYC (paliers de 100M€)",MAX(0,Nb_Investisseurs-Nb_KYC_Gratuites_Par_Tranche*(FLOOR(J$20/Taille_Tranche_KYC,1)+1))*Cout_Par_KYC_Supplementaire,(IF('01_Input'!$L$56="Forfait",IF(J$20&gt;='01_Input'!$J$56,'01_Input'!$M$56,0),IF('01_Input'!$L$56="Palier",IF(AND(J$20&gt;='01_Input'!$J$56,J$20&lt;'01_Input'!$K$56),'01_Input'!$M$56,0),MAX(MIN(J$20,'01_Input'!$K$56)-'01_Input'!$J$56,0)*'01_Input'!$M$56))+IF('01_Input'!$P$56="Forfait",IF(J$20&gt;='01_Input'!$N$56,'01_Input'!$Q$56,0),IF('01_Input'!$P$56="Palier",IF(AND(J$20&gt;='01_Input'!$N$56,J$20&lt;'01_Input'!$O$56),'01_Input'!$Q$56,0),MAX(MIN(J$20,'01_Input'!$O$56)-'01_Input'!$N$56,0)*'01_Input'!$Q$56))+IF('01_Input'!$T$56="Forfait",IF(J$20&gt;='01_Input'!$R$56,'01_Input'!$U$56,0),IF('01_Input'!$T$56="Palier",IF(AND(J$20&gt;='01_Input'!$R$56,J$20&lt;'01_Input'!$S$56),'01_Input'!$U$56,0),MAX(MIN(J$20,'01_Input'!$S$56)-'01_Input'!$R$56,0)*'01_Input'!$U$56))+IF('01_Input'!$X$56="Forfait",IF(J$20&gt;='01_Input'!$V$56,'01_Input'!$Y$56,0),IF('01_Input'!$X$56="Palier",IF(AND(J$20&gt;='01_Input'!$V$56,J$20&lt;'01_Input'!$W$56),'01_Input'!$Y$56,0),MAX(MIN(J$20,'01_Input'!$W$56)-'01_Input'!$V$56,0)*'01_Input'!$Y$56))+IF('01_Input'!$AB$56="Forfait",IF(J$20&gt;='01_Input'!$Z$56,'01_Input'!$AC$56,0),IF('01_Input'!$AB$56="Palier",IF(AND(J$20&gt;='01_Input'!$Z$56,J$20&lt;'01_Input'!$AA$56),'01_Input'!$AC$56,0),MAX(MIN(J$20,'01_Input'!$AA$56)-'01_Input'!$Z$56,0)*'01_Input'!$AC$56)))))))))</f>
        <v>270000</v>
      </c>
      <c r="K24" s="83">
        <f>IF('01_Input'!$C$56="Non",0,MIN('01_Input'!$I$56,MAX('01_Input'!$H$56,IF('01_Input'!$G$56="Résiduel vs Gestion",0,IF('01_Input'!$G$56="Taux Classe sélectionnée",Distrib_SousDistrib_Classe_Selectionnee*K$20,IF('01_Input'!$G$56="Frais KYC (paliers de 100M€)",MAX(0,Nb_Investisseurs-Nb_KYC_Gratuites_Par_Tranche*(FLOOR(K$20/Taille_Tranche_KYC,1)+1))*Cout_Par_KYC_Supplementaire,(IF('01_Input'!$L$56="Forfait",IF(K$20&gt;='01_Input'!$J$56,'01_Input'!$M$56,0),IF('01_Input'!$L$56="Palier",IF(AND(K$20&gt;='01_Input'!$J$56,K$20&lt;'01_Input'!$K$56),'01_Input'!$M$56,0),MAX(MIN(K$20,'01_Input'!$K$56)-'01_Input'!$J$56,0)*'01_Input'!$M$56))+IF('01_Input'!$P$56="Forfait",IF(K$20&gt;='01_Input'!$N$56,'01_Input'!$Q$56,0),IF('01_Input'!$P$56="Palier",IF(AND(K$20&gt;='01_Input'!$N$56,K$20&lt;'01_Input'!$O$56),'01_Input'!$Q$56,0),MAX(MIN(K$20,'01_Input'!$O$56)-'01_Input'!$N$56,0)*'01_Input'!$Q$56))+IF('01_Input'!$T$56="Forfait",IF(K$20&gt;='01_Input'!$R$56,'01_Input'!$U$56,0),IF('01_Input'!$T$56="Palier",IF(AND(K$20&gt;='01_Input'!$R$56,K$20&lt;'01_Input'!$S$56),'01_Input'!$U$56,0),MAX(MIN(K$20,'01_Input'!$S$56)-'01_Input'!$R$56,0)*'01_Input'!$U$56))+IF('01_Input'!$X$56="Forfait",IF(K$20&gt;='01_Input'!$V$56,'01_Input'!$Y$56,0),IF('01_Input'!$X$56="Palier",IF(AND(K$20&gt;='01_Input'!$V$56,K$20&lt;'01_Input'!$W$56),'01_Input'!$Y$56,0),MAX(MIN(K$20,'01_Input'!$W$56)-'01_Input'!$V$56,0)*'01_Input'!$Y$56))+IF('01_Input'!$AB$56="Forfait",IF(K$20&gt;='01_Input'!$Z$56,'01_Input'!$AC$56,0),IF('01_Input'!$AB$56="Palier",IF(AND(K$20&gt;='01_Input'!$Z$56,K$20&lt;'01_Input'!$AA$56),'01_Input'!$AC$56,0),MAX(MIN(K$20,'01_Input'!$AA$56)-'01_Input'!$Z$56,0)*'01_Input'!$AC$56)))))))))</f>
        <v>315000</v>
      </c>
      <c r="L24" s="83">
        <f>IF('01_Input'!$C$56="Non",0,MIN('01_Input'!$I$56,MAX('01_Input'!$H$56,IF('01_Input'!$G$56="Résiduel vs Gestion",0,IF('01_Input'!$G$56="Taux Classe sélectionnée",Distrib_SousDistrib_Classe_Selectionnee*L$20,IF('01_Input'!$G$56="Frais KYC (paliers de 100M€)",MAX(0,Nb_Investisseurs-Nb_KYC_Gratuites_Par_Tranche*(FLOOR(L$20/Taille_Tranche_KYC,1)+1))*Cout_Par_KYC_Supplementaire,(IF('01_Input'!$L$56="Forfait",IF(L$20&gt;='01_Input'!$J$56,'01_Input'!$M$56,0),IF('01_Input'!$L$56="Palier",IF(AND(L$20&gt;='01_Input'!$J$56,L$20&lt;'01_Input'!$K$56),'01_Input'!$M$56,0),MAX(MIN(L$20,'01_Input'!$K$56)-'01_Input'!$J$56,0)*'01_Input'!$M$56))+IF('01_Input'!$P$56="Forfait",IF(L$20&gt;='01_Input'!$N$56,'01_Input'!$Q$56,0),IF('01_Input'!$P$56="Palier",IF(AND(L$20&gt;='01_Input'!$N$56,L$20&lt;'01_Input'!$O$56),'01_Input'!$Q$56,0),MAX(MIN(L$20,'01_Input'!$O$56)-'01_Input'!$N$56,0)*'01_Input'!$Q$56))+IF('01_Input'!$T$56="Forfait",IF(L$20&gt;='01_Input'!$R$56,'01_Input'!$U$56,0),IF('01_Input'!$T$56="Palier",IF(AND(L$20&gt;='01_Input'!$R$56,L$20&lt;'01_Input'!$S$56),'01_Input'!$U$56,0),MAX(MIN(L$20,'01_Input'!$S$56)-'01_Input'!$R$56,0)*'01_Input'!$U$56))+IF('01_Input'!$X$56="Forfait",IF(L$20&gt;='01_Input'!$V$56,'01_Input'!$Y$56,0),IF('01_Input'!$X$56="Palier",IF(AND(L$20&gt;='01_Input'!$V$56,L$20&lt;'01_Input'!$W$56),'01_Input'!$Y$56,0),MAX(MIN(L$20,'01_Input'!$W$56)-'01_Input'!$V$56,0)*'01_Input'!$Y$56))+IF('01_Input'!$AB$56="Forfait",IF(L$20&gt;='01_Input'!$Z$56,'01_Input'!$AC$56,0),IF('01_Input'!$AB$56="Palier",IF(AND(L$20&gt;='01_Input'!$Z$56,L$20&lt;'01_Input'!$AA$56),'01_Input'!$AC$56,0),MAX(MIN(L$20,'01_Input'!$AA$56)-'01_Input'!$Z$56,0)*'01_Input'!$AC$56)))))))))</f>
        <v>360000</v>
      </c>
      <c r="M24" s="83">
        <f>IF('01_Input'!$C$56="Non",0,MIN('01_Input'!$I$56,MAX('01_Input'!$H$56,IF('01_Input'!$G$56="Résiduel vs Gestion",0,IF('01_Input'!$G$56="Taux Classe sélectionnée",Distrib_SousDistrib_Classe_Selectionnee*M$20,IF('01_Input'!$G$56="Frais KYC (paliers de 100M€)",MAX(0,Nb_Investisseurs-Nb_KYC_Gratuites_Par_Tranche*(FLOOR(M$20/Taille_Tranche_KYC,1)+1))*Cout_Par_KYC_Supplementaire,(IF('01_Input'!$L$56="Forfait",IF(M$20&gt;='01_Input'!$J$56,'01_Input'!$M$56,0),IF('01_Input'!$L$56="Palier",IF(AND(M$20&gt;='01_Input'!$J$56,M$20&lt;'01_Input'!$K$56),'01_Input'!$M$56,0),MAX(MIN(M$20,'01_Input'!$K$56)-'01_Input'!$J$56,0)*'01_Input'!$M$56))+IF('01_Input'!$P$56="Forfait",IF(M$20&gt;='01_Input'!$N$56,'01_Input'!$Q$56,0),IF('01_Input'!$P$56="Palier",IF(AND(M$20&gt;='01_Input'!$N$56,M$20&lt;'01_Input'!$O$56),'01_Input'!$Q$56,0),MAX(MIN(M$20,'01_Input'!$O$56)-'01_Input'!$N$56,0)*'01_Input'!$Q$56))+IF('01_Input'!$T$56="Forfait",IF(M$20&gt;='01_Input'!$R$56,'01_Input'!$U$56,0),IF('01_Input'!$T$56="Palier",IF(AND(M$20&gt;='01_Input'!$R$56,M$20&lt;'01_Input'!$S$56),'01_Input'!$U$56,0),MAX(MIN(M$20,'01_Input'!$S$56)-'01_Input'!$R$56,0)*'01_Input'!$U$56))+IF('01_Input'!$X$56="Forfait",IF(M$20&gt;='01_Input'!$V$56,'01_Input'!$Y$56,0),IF('01_Input'!$X$56="Palier",IF(AND(M$20&gt;='01_Input'!$V$56,M$20&lt;'01_Input'!$W$56),'01_Input'!$Y$56,0),MAX(MIN(M$20,'01_Input'!$W$56)-'01_Input'!$V$56,0)*'01_Input'!$Y$56))+IF('01_Input'!$AB$56="Forfait",IF(M$20&gt;='01_Input'!$Z$56,'01_Input'!$AC$56,0),IF('01_Input'!$AB$56="Palier",IF(AND(M$20&gt;='01_Input'!$Z$56,M$20&lt;'01_Input'!$AA$56),'01_Input'!$AC$56,0),MAX(MIN(M$20,'01_Input'!$AA$56)-'01_Input'!$Z$56,0)*'01_Input'!$AC$56)))))))))</f>
        <v>405000</v>
      </c>
      <c r="N24" s="83">
        <f>IF('01_Input'!$C$56="Non",0,MIN('01_Input'!$I$56,MAX('01_Input'!$H$56,IF('01_Input'!$G$56="Résiduel vs Gestion",0,IF('01_Input'!$G$56="Taux Classe sélectionnée",Distrib_SousDistrib_Classe_Selectionnee*N$20,IF('01_Input'!$G$56="Frais KYC (paliers de 100M€)",MAX(0,Nb_Investisseurs-Nb_KYC_Gratuites_Par_Tranche*(FLOOR(N$20/Taille_Tranche_KYC,1)+1))*Cout_Par_KYC_Supplementaire,(IF('01_Input'!$L$56="Forfait",IF(N$20&gt;='01_Input'!$J$56,'01_Input'!$M$56,0),IF('01_Input'!$L$56="Palier",IF(AND(N$20&gt;='01_Input'!$J$56,N$20&lt;'01_Input'!$K$56),'01_Input'!$M$56,0),MAX(MIN(N$20,'01_Input'!$K$56)-'01_Input'!$J$56,0)*'01_Input'!$M$56))+IF('01_Input'!$P$56="Forfait",IF(N$20&gt;='01_Input'!$N$56,'01_Input'!$Q$56,0),IF('01_Input'!$P$56="Palier",IF(AND(N$20&gt;='01_Input'!$N$56,N$20&lt;'01_Input'!$O$56),'01_Input'!$Q$56,0),MAX(MIN(N$20,'01_Input'!$O$56)-'01_Input'!$N$56,0)*'01_Input'!$Q$56))+IF('01_Input'!$T$56="Forfait",IF(N$20&gt;='01_Input'!$R$56,'01_Input'!$U$56,0),IF('01_Input'!$T$56="Palier",IF(AND(N$20&gt;='01_Input'!$R$56,N$20&lt;'01_Input'!$S$56),'01_Input'!$U$56,0),MAX(MIN(N$20,'01_Input'!$S$56)-'01_Input'!$R$56,0)*'01_Input'!$U$56))+IF('01_Input'!$X$56="Forfait",IF(N$20&gt;='01_Input'!$V$56,'01_Input'!$Y$56,0),IF('01_Input'!$X$56="Palier",IF(AND(N$20&gt;='01_Input'!$V$56,N$20&lt;'01_Input'!$W$56),'01_Input'!$Y$56,0),MAX(MIN(N$20,'01_Input'!$W$56)-'01_Input'!$V$56,0)*'01_Input'!$Y$56))+IF('01_Input'!$AB$56="Forfait",IF(N$20&gt;='01_Input'!$Z$56,'01_Input'!$AC$56,0),IF('01_Input'!$AB$56="Palier",IF(AND(N$20&gt;='01_Input'!$Z$56,N$20&lt;'01_Input'!$AA$56),'01_Input'!$AC$56,0),MAX(MIN(N$20,'01_Input'!$AA$56)-'01_Input'!$Z$56,0)*'01_Input'!$AC$56)))))))))</f>
        <v>450000</v>
      </c>
      <c r="O24" s="83">
        <f>IF('01_Input'!$C$56="Non",0,MIN('01_Input'!$I$56,MAX('01_Input'!$H$56,IF('01_Input'!$G$56="Résiduel vs Gestion",0,IF('01_Input'!$G$56="Taux Classe sélectionnée",Distrib_SousDistrib_Classe_Selectionnee*O$20,IF('01_Input'!$G$56="Frais KYC (paliers de 100M€)",MAX(0,Nb_Investisseurs-Nb_KYC_Gratuites_Par_Tranche*(FLOOR(O$20/Taille_Tranche_KYC,1)+1))*Cout_Par_KYC_Supplementaire,(IF('01_Input'!$L$56="Forfait",IF(O$20&gt;='01_Input'!$J$56,'01_Input'!$M$56,0),IF('01_Input'!$L$56="Palier",IF(AND(O$20&gt;='01_Input'!$J$56,O$20&lt;'01_Input'!$K$56),'01_Input'!$M$56,0),MAX(MIN(O$20,'01_Input'!$K$56)-'01_Input'!$J$56,0)*'01_Input'!$M$56))+IF('01_Input'!$P$56="Forfait",IF(O$20&gt;='01_Input'!$N$56,'01_Input'!$Q$56,0),IF('01_Input'!$P$56="Palier",IF(AND(O$20&gt;='01_Input'!$N$56,O$20&lt;'01_Input'!$O$56),'01_Input'!$Q$56,0),MAX(MIN(O$20,'01_Input'!$O$56)-'01_Input'!$N$56,0)*'01_Input'!$Q$56))+IF('01_Input'!$T$56="Forfait",IF(O$20&gt;='01_Input'!$R$56,'01_Input'!$U$56,0),IF('01_Input'!$T$56="Palier",IF(AND(O$20&gt;='01_Input'!$R$56,O$20&lt;'01_Input'!$S$56),'01_Input'!$U$56,0),MAX(MIN(O$20,'01_Input'!$S$56)-'01_Input'!$R$56,0)*'01_Input'!$U$56))+IF('01_Input'!$X$56="Forfait",IF(O$20&gt;='01_Input'!$V$56,'01_Input'!$Y$56,0),IF('01_Input'!$X$56="Palier",IF(AND(O$20&gt;='01_Input'!$V$56,O$20&lt;'01_Input'!$W$56),'01_Input'!$Y$56,0),MAX(MIN(O$20,'01_Input'!$W$56)-'01_Input'!$V$56,0)*'01_Input'!$Y$56))+IF('01_Input'!$AB$56="Forfait",IF(O$20&gt;='01_Input'!$Z$56,'01_Input'!$AC$56,0),IF('01_Input'!$AB$56="Palier",IF(AND(O$20&gt;='01_Input'!$Z$56,O$20&lt;'01_Input'!$AA$56),'01_Input'!$AC$56,0),MAX(MIN(O$20,'01_Input'!$AA$56)-'01_Input'!$Z$56,0)*'01_Input'!$AC$56)))))))))</f>
        <v>0</v>
      </c>
      <c r="P24" s="83">
        <f>IF('01_Input'!$C$56="Non",0,MIN('01_Input'!$I$56,MAX('01_Input'!$H$56,IF('01_Input'!$G$56="Résiduel vs Gestion",0,IF('01_Input'!$G$56="Taux Classe sélectionnée",Distrib_SousDistrib_Classe_Selectionnee*P$20,IF('01_Input'!$G$56="Frais KYC (paliers de 100M€)",MAX(0,Nb_Investisseurs-Nb_KYC_Gratuites_Par_Tranche*(FLOOR(P$20/Taille_Tranche_KYC,1)+1))*Cout_Par_KYC_Supplementaire,(IF('01_Input'!$L$56="Forfait",IF(P$20&gt;='01_Input'!$J$56,'01_Input'!$M$56,0),IF('01_Input'!$L$56="Palier",IF(AND(P$20&gt;='01_Input'!$J$56,P$20&lt;'01_Input'!$K$56),'01_Input'!$M$56,0),MAX(MIN(P$20,'01_Input'!$K$56)-'01_Input'!$J$56,0)*'01_Input'!$M$56))+IF('01_Input'!$P$56="Forfait",IF(P$20&gt;='01_Input'!$N$56,'01_Input'!$Q$56,0),IF('01_Input'!$P$56="Palier",IF(AND(P$20&gt;='01_Input'!$N$56,P$20&lt;'01_Input'!$O$56),'01_Input'!$Q$56,0),MAX(MIN(P$20,'01_Input'!$O$56)-'01_Input'!$N$56,0)*'01_Input'!$Q$56))+IF('01_Input'!$T$56="Forfait",IF(P$20&gt;='01_Input'!$R$56,'01_Input'!$U$56,0),IF('01_Input'!$T$56="Palier",IF(AND(P$20&gt;='01_Input'!$R$56,P$20&lt;'01_Input'!$S$56),'01_Input'!$U$56,0),MAX(MIN(P$20,'01_Input'!$S$56)-'01_Input'!$R$56,0)*'01_Input'!$U$56))+IF('01_Input'!$X$56="Forfait",IF(P$20&gt;='01_Input'!$V$56,'01_Input'!$Y$56,0),IF('01_Input'!$X$56="Palier",IF(AND(P$20&gt;='01_Input'!$V$56,P$20&lt;'01_Input'!$W$56),'01_Input'!$Y$56,0),MAX(MIN(P$20,'01_Input'!$W$56)-'01_Input'!$V$56,0)*'01_Input'!$Y$56))+IF('01_Input'!$AB$56="Forfait",IF(P$20&gt;='01_Input'!$Z$56,'01_Input'!$AC$56,0),IF('01_Input'!$AB$56="Palier",IF(AND(P$20&gt;='01_Input'!$Z$56,P$20&lt;'01_Input'!$AA$56),'01_Input'!$AC$56,0),MAX(MIN(P$20,'01_Input'!$AA$56)-'01_Input'!$Z$56,0)*'01_Input'!$AC$56)))))))))</f>
        <v>0</v>
      </c>
      <c r="Q24" s="83">
        <f>IF('01_Input'!$C$56="Non",0,MIN('01_Input'!$I$56,MAX('01_Input'!$H$56,IF('01_Input'!$G$56="Résiduel vs Gestion",0,IF('01_Input'!$G$56="Taux Classe sélectionnée",Distrib_SousDistrib_Classe_Selectionnee*Q$20,IF('01_Input'!$G$56="Frais KYC (paliers de 100M€)",MAX(0,Nb_Investisseurs-Nb_KYC_Gratuites_Par_Tranche*(FLOOR(Q$20/Taille_Tranche_KYC,1)+1))*Cout_Par_KYC_Supplementaire,(IF('01_Input'!$L$56="Forfait",IF(Q$20&gt;='01_Input'!$J$56,'01_Input'!$M$56,0),IF('01_Input'!$L$56="Palier",IF(AND(Q$20&gt;='01_Input'!$J$56,Q$20&lt;'01_Input'!$K$56),'01_Input'!$M$56,0),MAX(MIN(Q$20,'01_Input'!$K$56)-'01_Input'!$J$56,0)*'01_Input'!$M$56))+IF('01_Input'!$P$56="Forfait",IF(Q$20&gt;='01_Input'!$N$56,'01_Input'!$Q$56,0),IF('01_Input'!$P$56="Palier",IF(AND(Q$20&gt;='01_Input'!$N$56,Q$20&lt;'01_Input'!$O$56),'01_Input'!$Q$56,0),MAX(MIN(Q$20,'01_Input'!$O$56)-'01_Input'!$N$56,0)*'01_Input'!$Q$56))+IF('01_Input'!$T$56="Forfait",IF(Q$20&gt;='01_Input'!$R$56,'01_Input'!$U$56,0),IF('01_Input'!$T$56="Palier",IF(AND(Q$20&gt;='01_Input'!$R$56,Q$20&lt;'01_Input'!$S$56),'01_Input'!$U$56,0),MAX(MIN(Q$20,'01_Input'!$S$56)-'01_Input'!$R$56,0)*'01_Input'!$U$56))+IF('01_Input'!$X$56="Forfait",IF(Q$20&gt;='01_Input'!$V$56,'01_Input'!$Y$56,0),IF('01_Input'!$X$56="Palier",IF(AND(Q$20&gt;='01_Input'!$V$56,Q$20&lt;'01_Input'!$W$56),'01_Input'!$Y$56,0),MAX(MIN(Q$20,'01_Input'!$W$56)-'01_Input'!$V$56,0)*'01_Input'!$Y$56))+IF('01_Input'!$AB$56="Forfait",IF(Q$20&gt;='01_Input'!$Z$56,'01_Input'!$AC$56,0),IF('01_Input'!$AB$56="Palier",IF(AND(Q$20&gt;='01_Input'!$Z$56,Q$20&lt;'01_Input'!$AA$56),'01_Input'!$AC$56,0),MAX(MIN(Q$20,'01_Input'!$AA$56)-'01_Input'!$Z$56,0)*'01_Input'!$AC$56)))))))))</f>
        <v>0</v>
      </c>
      <c r="R24" s="83">
        <f>IF('01_Input'!$C$56="Non",0,MIN('01_Input'!$I$56,MAX('01_Input'!$H$56,IF('01_Input'!$G$56="Résiduel vs Gestion",0,IF('01_Input'!$G$56="Taux Classe sélectionnée",Distrib_SousDistrib_Classe_Selectionnee*R$20,IF('01_Input'!$G$56="Frais KYC (paliers de 100M€)",MAX(0,Nb_Investisseurs-Nb_KYC_Gratuites_Par_Tranche*(FLOOR(R$20/Taille_Tranche_KYC,1)+1))*Cout_Par_KYC_Supplementaire,(IF('01_Input'!$L$56="Forfait",IF(R$20&gt;='01_Input'!$J$56,'01_Input'!$M$56,0),IF('01_Input'!$L$56="Palier",IF(AND(R$20&gt;='01_Input'!$J$56,R$20&lt;'01_Input'!$K$56),'01_Input'!$M$56,0),MAX(MIN(R$20,'01_Input'!$K$56)-'01_Input'!$J$56,0)*'01_Input'!$M$56))+IF('01_Input'!$P$56="Forfait",IF(R$20&gt;='01_Input'!$N$56,'01_Input'!$Q$56,0),IF('01_Input'!$P$56="Palier",IF(AND(R$20&gt;='01_Input'!$N$56,R$20&lt;'01_Input'!$O$56),'01_Input'!$Q$56,0),MAX(MIN(R$20,'01_Input'!$O$56)-'01_Input'!$N$56,0)*'01_Input'!$Q$56))+IF('01_Input'!$T$56="Forfait",IF(R$20&gt;='01_Input'!$R$56,'01_Input'!$U$56,0),IF('01_Input'!$T$56="Palier",IF(AND(R$20&gt;='01_Input'!$R$56,R$20&lt;'01_Input'!$S$56),'01_Input'!$U$56,0),MAX(MIN(R$20,'01_Input'!$S$56)-'01_Input'!$R$56,0)*'01_Input'!$U$56))+IF('01_Input'!$X$56="Forfait",IF(R$20&gt;='01_Input'!$V$56,'01_Input'!$Y$56,0),IF('01_Input'!$X$56="Palier",IF(AND(R$20&gt;='01_Input'!$V$56,R$20&lt;'01_Input'!$W$56),'01_Input'!$Y$56,0),MAX(MIN(R$20,'01_Input'!$W$56)-'01_Input'!$V$56,0)*'01_Input'!$Y$56))+IF('01_Input'!$AB$56="Forfait",IF(R$20&gt;='01_Input'!$Z$56,'01_Input'!$AC$56,0),IF('01_Input'!$AB$56="Palier",IF(AND(R$20&gt;='01_Input'!$Z$56,R$20&lt;'01_Input'!$AA$56),'01_Input'!$AC$56,0),MAX(MIN(R$20,'01_Input'!$AA$56)-'01_Input'!$Z$56,0)*'01_Input'!$AC$56)))))))))</f>
        <v>0</v>
      </c>
      <c r="S24" s="83">
        <f>IF('01_Input'!$C$56="Non",0,MIN('01_Input'!$I$56,MAX('01_Input'!$H$56,IF('01_Input'!$G$56="Résiduel vs Gestion",0,IF('01_Input'!$G$56="Taux Classe sélectionnée",Distrib_SousDistrib_Classe_Selectionnee*S$20,IF('01_Input'!$G$56="Frais KYC (paliers de 100M€)",MAX(0,Nb_Investisseurs-Nb_KYC_Gratuites_Par_Tranche*(FLOOR(S$20/Taille_Tranche_KYC,1)+1))*Cout_Par_KYC_Supplementaire,(IF('01_Input'!$L$56="Forfait",IF(S$20&gt;='01_Input'!$J$56,'01_Input'!$M$56,0),IF('01_Input'!$L$56="Palier",IF(AND(S$20&gt;='01_Input'!$J$56,S$20&lt;'01_Input'!$K$56),'01_Input'!$M$56,0),MAX(MIN(S$20,'01_Input'!$K$56)-'01_Input'!$J$56,0)*'01_Input'!$M$56))+IF('01_Input'!$P$56="Forfait",IF(S$20&gt;='01_Input'!$N$56,'01_Input'!$Q$56,0),IF('01_Input'!$P$56="Palier",IF(AND(S$20&gt;='01_Input'!$N$56,S$20&lt;'01_Input'!$O$56),'01_Input'!$Q$56,0),MAX(MIN(S$20,'01_Input'!$O$56)-'01_Input'!$N$56,0)*'01_Input'!$Q$56))+IF('01_Input'!$T$56="Forfait",IF(S$20&gt;='01_Input'!$R$56,'01_Input'!$U$56,0),IF('01_Input'!$T$56="Palier",IF(AND(S$20&gt;='01_Input'!$R$56,S$20&lt;'01_Input'!$S$56),'01_Input'!$U$56,0),MAX(MIN(S$20,'01_Input'!$S$56)-'01_Input'!$R$56,0)*'01_Input'!$U$56))+IF('01_Input'!$X$56="Forfait",IF(S$20&gt;='01_Input'!$V$56,'01_Input'!$Y$56,0),IF('01_Input'!$X$56="Palier",IF(AND(S$20&gt;='01_Input'!$V$56,S$20&lt;'01_Input'!$W$56),'01_Input'!$Y$56,0),MAX(MIN(S$20,'01_Input'!$W$56)-'01_Input'!$V$56,0)*'01_Input'!$Y$56))+IF('01_Input'!$AB$56="Forfait",IF(S$20&gt;='01_Input'!$Z$56,'01_Input'!$AC$56,0),IF('01_Input'!$AB$56="Palier",IF(AND(S$20&gt;='01_Input'!$Z$56,S$20&lt;'01_Input'!$AA$56),'01_Input'!$AC$56,0),MAX(MIN(S$20,'01_Input'!$AA$56)-'01_Input'!$Z$56,0)*'01_Input'!$AC$56)))))))))</f>
        <v>0</v>
      </c>
      <c r="T24" s="83">
        <f>IF('01_Input'!$C$56="Non",0,MIN('01_Input'!$I$56,MAX('01_Input'!$H$56,IF('01_Input'!$G$56="Résiduel vs Gestion",0,IF('01_Input'!$G$56="Taux Classe sélectionnée",Distrib_SousDistrib_Classe_Selectionnee*T$20,IF('01_Input'!$G$56="Frais KYC (paliers de 100M€)",MAX(0,Nb_Investisseurs-Nb_KYC_Gratuites_Par_Tranche*(FLOOR(T$20/Taille_Tranche_KYC,1)+1))*Cout_Par_KYC_Supplementaire,(IF('01_Input'!$L$56="Forfait",IF(T$20&gt;='01_Input'!$J$56,'01_Input'!$M$56,0),IF('01_Input'!$L$56="Palier",IF(AND(T$20&gt;='01_Input'!$J$56,T$20&lt;'01_Input'!$K$56),'01_Input'!$M$56,0),MAX(MIN(T$20,'01_Input'!$K$56)-'01_Input'!$J$56,0)*'01_Input'!$M$56))+IF('01_Input'!$P$56="Forfait",IF(T$20&gt;='01_Input'!$N$56,'01_Input'!$Q$56,0),IF('01_Input'!$P$56="Palier",IF(AND(T$20&gt;='01_Input'!$N$56,T$20&lt;'01_Input'!$O$56),'01_Input'!$Q$56,0),MAX(MIN(T$20,'01_Input'!$O$56)-'01_Input'!$N$56,0)*'01_Input'!$Q$56))+IF('01_Input'!$T$56="Forfait",IF(T$20&gt;='01_Input'!$R$56,'01_Input'!$U$56,0),IF('01_Input'!$T$56="Palier",IF(AND(T$20&gt;='01_Input'!$R$56,T$20&lt;'01_Input'!$S$56),'01_Input'!$U$56,0),MAX(MIN(T$20,'01_Input'!$S$56)-'01_Input'!$R$56,0)*'01_Input'!$U$56))+IF('01_Input'!$X$56="Forfait",IF(T$20&gt;='01_Input'!$V$56,'01_Input'!$Y$56,0),IF('01_Input'!$X$56="Palier",IF(AND(T$20&gt;='01_Input'!$V$56,T$20&lt;'01_Input'!$W$56),'01_Input'!$Y$56,0),MAX(MIN(T$20,'01_Input'!$W$56)-'01_Input'!$V$56,0)*'01_Input'!$Y$56))+IF('01_Input'!$AB$56="Forfait",IF(T$20&gt;='01_Input'!$Z$56,'01_Input'!$AC$56,0),IF('01_Input'!$AB$56="Palier",IF(AND(T$20&gt;='01_Input'!$Z$56,T$20&lt;'01_Input'!$AA$56),'01_Input'!$AC$56,0),MAX(MIN(T$20,'01_Input'!$AA$56)-'01_Input'!$Z$56,0)*'01_Input'!$AC$56)))))))))</f>
        <v>0</v>
      </c>
      <c r="U24" s="83">
        <f>IF('01_Input'!$C$56="Non",0,MIN('01_Input'!$I$56,MAX('01_Input'!$H$56,IF('01_Input'!$G$56="Résiduel vs Gestion",0,IF('01_Input'!$G$56="Taux Classe sélectionnée",Distrib_SousDistrib_Classe_Selectionnee*U$20,IF('01_Input'!$G$56="Frais KYC (paliers de 100M€)",MAX(0,Nb_Investisseurs-Nb_KYC_Gratuites_Par_Tranche*(FLOOR(U$20/Taille_Tranche_KYC,1)+1))*Cout_Par_KYC_Supplementaire,(IF('01_Input'!$L$56="Forfait",IF(U$20&gt;='01_Input'!$J$56,'01_Input'!$M$56,0),IF('01_Input'!$L$56="Palier",IF(AND(U$20&gt;='01_Input'!$J$56,U$20&lt;'01_Input'!$K$56),'01_Input'!$M$56,0),MAX(MIN(U$20,'01_Input'!$K$56)-'01_Input'!$J$56,0)*'01_Input'!$M$56))+IF('01_Input'!$P$56="Forfait",IF(U$20&gt;='01_Input'!$N$56,'01_Input'!$Q$56,0),IF('01_Input'!$P$56="Palier",IF(AND(U$20&gt;='01_Input'!$N$56,U$20&lt;'01_Input'!$O$56),'01_Input'!$Q$56,0),MAX(MIN(U$20,'01_Input'!$O$56)-'01_Input'!$N$56,0)*'01_Input'!$Q$56))+IF('01_Input'!$T$56="Forfait",IF(U$20&gt;='01_Input'!$R$56,'01_Input'!$U$56,0),IF('01_Input'!$T$56="Palier",IF(AND(U$20&gt;='01_Input'!$R$56,U$20&lt;'01_Input'!$S$56),'01_Input'!$U$56,0),MAX(MIN(U$20,'01_Input'!$S$56)-'01_Input'!$R$56,0)*'01_Input'!$U$56))+IF('01_Input'!$X$56="Forfait",IF(U$20&gt;='01_Input'!$V$56,'01_Input'!$Y$56,0),IF('01_Input'!$X$56="Palier",IF(AND(U$20&gt;='01_Input'!$V$56,U$20&lt;'01_Input'!$W$56),'01_Input'!$Y$56,0),MAX(MIN(U$20,'01_Input'!$W$56)-'01_Input'!$V$56,0)*'01_Input'!$Y$56))+IF('01_Input'!$AB$56="Forfait",IF(U$20&gt;='01_Input'!$Z$56,'01_Input'!$AC$56,0),IF('01_Input'!$AB$56="Palier",IF(AND(U$20&gt;='01_Input'!$Z$56,U$20&lt;'01_Input'!$AA$56),'01_Input'!$AC$56,0),MAX(MIN(U$20,'01_Input'!$AA$56)-'01_Input'!$Z$56,0)*'01_Input'!$AC$56)))))))))</f>
        <v>0</v>
      </c>
      <c r="V24" s="83">
        <f>IF('01_Input'!$C$56="Non",0,MIN('01_Input'!$I$56,MAX('01_Input'!$H$56,IF('01_Input'!$G$56="Résiduel vs Gestion",0,IF('01_Input'!$G$56="Taux Classe sélectionnée",Distrib_SousDistrib_Classe_Selectionnee*V$20,IF('01_Input'!$G$56="Frais KYC (paliers de 100M€)",MAX(0,Nb_Investisseurs-Nb_KYC_Gratuites_Par_Tranche*(FLOOR(V$20/Taille_Tranche_KYC,1)+1))*Cout_Par_KYC_Supplementaire,(IF('01_Input'!$L$56="Forfait",IF(V$20&gt;='01_Input'!$J$56,'01_Input'!$M$56,0),IF('01_Input'!$L$56="Palier",IF(AND(V$20&gt;='01_Input'!$J$56,V$20&lt;'01_Input'!$K$56),'01_Input'!$M$56,0),MAX(MIN(V$20,'01_Input'!$K$56)-'01_Input'!$J$56,0)*'01_Input'!$M$56))+IF('01_Input'!$P$56="Forfait",IF(V$20&gt;='01_Input'!$N$56,'01_Input'!$Q$56,0),IF('01_Input'!$P$56="Palier",IF(AND(V$20&gt;='01_Input'!$N$56,V$20&lt;'01_Input'!$O$56),'01_Input'!$Q$56,0),MAX(MIN(V$20,'01_Input'!$O$56)-'01_Input'!$N$56,0)*'01_Input'!$Q$56))+IF('01_Input'!$T$56="Forfait",IF(V$20&gt;='01_Input'!$R$56,'01_Input'!$U$56,0),IF('01_Input'!$T$56="Palier",IF(AND(V$20&gt;='01_Input'!$R$56,V$20&lt;'01_Input'!$S$56),'01_Input'!$U$56,0),MAX(MIN(V$20,'01_Input'!$S$56)-'01_Input'!$R$56,0)*'01_Input'!$U$56))+IF('01_Input'!$X$56="Forfait",IF(V$20&gt;='01_Input'!$V$56,'01_Input'!$Y$56,0),IF('01_Input'!$X$56="Palier",IF(AND(V$20&gt;='01_Input'!$V$56,V$20&lt;'01_Input'!$W$56),'01_Input'!$Y$56,0),MAX(MIN(V$20,'01_Input'!$W$56)-'01_Input'!$V$56,0)*'01_Input'!$Y$56))+IF('01_Input'!$AB$56="Forfait",IF(V$20&gt;='01_Input'!$Z$56,'01_Input'!$AC$56,0),IF('01_Input'!$AB$56="Palier",IF(AND(V$20&gt;='01_Input'!$Z$56,V$20&lt;'01_Input'!$AA$56),'01_Input'!$AC$56,0),MAX(MIN(V$20,'01_Input'!$AA$56)-'01_Input'!$Z$56,0)*'01_Input'!$AC$56)))))))))</f>
        <v>0</v>
      </c>
      <c r="W24" s="83">
        <f>IF('01_Input'!$C$56="Non",0,MIN('01_Input'!$I$56,MAX('01_Input'!$H$56,IF('01_Input'!$G$56="Résiduel vs Gestion",0,IF('01_Input'!$G$56="Taux Classe sélectionnée",Distrib_SousDistrib_Classe_Selectionnee*W$20,IF('01_Input'!$G$56="Frais KYC (paliers de 100M€)",MAX(0,Nb_Investisseurs-Nb_KYC_Gratuites_Par_Tranche*(FLOOR(W$20/Taille_Tranche_KYC,1)+1))*Cout_Par_KYC_Supplementaire,(IF('01_Input'!$L$56="Forfait",IF(W$20&gt;='01_Input'!$J$56,'01_Input'!$M$56,0),IF('01_Input'!$L$56="Palier",IF(AND(W$20&gt;='01_Input'!$J$56,W$20&lt;'01_Input'!$K$56),'01_Input'!$M$56,0),MAX(MIN(W$20,'01_Input'!$K$56)-'01_Input'!$J$56,0)*'01_Input'!$M$56))+IF('01_Input'!$P$56="Forfait",IF(W$20&gt;='01_Input'!$N$56,'01_Input'!$Q$56,0),IF('01_Input'!$P$56="Palier",IF(AND(W$20&gt;='01_Input'!$N$56,W$20&lt;'01_Input'!$O$56),'01_Input'!$Q$56,0),MAX(MIN(W$20,'01_Input'!$O$56)-'01_Input'!$N$56,0)*'01_Input'!$Q$56))+IF('01_Input'!$T$56="Forfait",IF(W$20&gt;='01_Input'!$R$56,'01_Input'!$U$56,0),IF('01_Input'!$T$56="Palier",IF(AND(W$20&gt;='01_Input'!$R$56,W$20&lt;'01_Input'!$S$56),'01_Input'!$U$56,0),MAX(MIN(W$20,'01_Input'!$S$56)-'01_Input'!$R$56,0)*'01_Input'!$U$56))+IF('01_Input'!$X$56="Forfait",IF(W$20&gt;='01_Input'!$V$56,'01_Input'!$Y$56,0),IF('01_Input'!$X$56="Palier",IF(AND(W$20&gt;='01_Input'!$V$56,W$20&lt;'01_Input'!$W$56),'01_Input'!$Y$56,0),MAX(MIN(W$20,'01_Input'!$W$56)-'01_Input'!$V$56,0)*'01_Input'!$Y$56))+IF('01_Input'!$AB$56="Forfait",IF(W$20&gt;='01_Input'!$Z$56,'01_Input'!$AC$56,0),IF('01_Input'!$AB$56="Palier",IF(AND(W$20&gt;='01_Input'!$Z$56,W$20&lt;'01_Input'!$AA$56),'01_Input'!$AC$56,0),MAX(MIN(W$20,'01_Input'!$AA$56)-'01_Input'!$Z$56,0)*'01_Input'!$AC$56)))))))))</f>
        <v>0</v>
      </c>
      <c r="X24" s="83">
        <f>IF('01_Input'!$C$56="Non",0,MIN('01_Input'!$I$56,MAX('01_Input'!$H$56,IF('01_Input'!$G$56="Résiduel vs Gestion",0,IF('01_Input'!$G$56="Taux Classe sélectionnée",Distrib_SousDistrib_Classe_Selectionnee*X$20,IF('01_Input'!$G$56="Frais KYC (paliers de 100M€)",MAX(0,Nb_Investisseurs-Nb_KYC_Gratuites_Par_Tranche*(FLOOR(X$20/Taille_Tranche_KYC,1)+1))*Cout_Par_KYC_Supplementaire,(IF('01_Input'!$L$56="Forfait",IF(X$20&gt;='01_Input'!$J$56,'01_Input'!$M$56,0),IF('01_Input'!$L$56="Palier",IF(AND(X$20&gt;='01_Input'!$J$56,X$20&lt;'01_Input'!$K$56),'01_Input'!$M$56,0),MAX(MIN(X$20,'01_Input'!$K$56)-'01_Input'!$J$56,0)*'01_Input'!$M$56))+IF('01_Input'!$P$56="Forfait",IF(X$20&gt;='01_Input'!$N$56,'01_Input'!$Q$56,0),IF('01_Input'!$P$56="Palier",IF(AND(X$20&gt;='01_Input'!$N$56,X$20&lt;'01_Input'!$O$56),'01_Input'!$Q$56,0),MAX(MIN(X$20,'01_Input'!$O$56)-'01_Input'!$N$56,0)*'01_Input'!$Q$56))+IF('01_Input'!$T$56="Forfait",IF(X$20&gt;='01_Input'!$R$56,'01_Input'!$U$56,0),IF('01_Input'!$T$56="Palier",IF(AND(X$20&gt;='01_Input'!$R$56,X$20&lt;'01_Input'!$S$56),'01_Input'!$U$56,0),MAX(MIN(X$20,'01_Input'!$S$56)-'01_Input'!$R$56,0)*'01_Input'!$U$56))+IF('01_Input'!$X$56="Forfait",IF(X$20&gt;='01_Input'!$V$56,'01_Input'!$Y$56,0),IF('01_Input'!$X$56="Palier",IF(AND(X$20&gt;='01_Input'!$V$56,X$20&lt;'01_Input'!$W$56),'01_Input'!$Y$56,0),MAX(MIN(X$20,'01_Input'!$W$56)-'01_Input'!$V$56,0)*'01_Input'!$Y$56))+IF('01_Input'!$AB$56="Forfait",IF(X$20&gt;='01_Input'!$Z$56,'01_Input'!$AC$56,0),IF('01_Input'!$AB$56="Palier",IF(AND(X$20&gt;='01_Input'!$Z$56,X$20&lt;'01_Input'!$AA$56),'01_Input'!$AC$56,0),MAX(MIN(X$20,'01_Input'!$AA$56)-'01_Input'!$Z$56,0)*'01_Input'!$AC$56)))))))))</f>
        <v>0</v>
      </c>
      <c r="Y24" s="83">
        <f>IF('01_Input'!$C$56="Non",0,MIN('01_Input'!$I$56,MAX('01_Input'!$H$56,IF('01_Input'!$G$56="Résiduel vs Gestion",0,IF('01_Input'!$G$56="Taux Classe sélectionnée",Distrib_SousDistrib_Classe_Selectionnee*Y$20,IF('01_Input'!$G$56="Frais KYC (paliers de 100M€)",MAX(0,Nb_Investisseurs-Nb_KYC_Gratuites_Par_Tranche*(FLOOR(Y$20/Taille_Tranche_KYC,1)+1))*Cout_Par_KYC_Supplementaire,(IF('01_Input'!$L$56="Forfait",IF(Y$20&gt;='01_Input'!$J$56,'01_Input'!$M$56,0),IF('01_Input'!$L$56="Palier",IF(AND(Y$20&gt;='01_Input'!$J$56,Y$20&lt;'01_Input'!$K$56),'01_Input'!$M$56,0),MAX(MIN(Y$20,'01_Input'!$K$56)-'01_Input'!$J$56,0)*'01_Input'!$M$56))+IF('01_Input'!$P$56="Forfait",IF(Y$20&gt;='01_Input'!$N$56,'01_Input'!$Q$56,0),IF('01_Input'!$P$56="Palier",IF(AND(Y$20&gt;='01_Input'!$N$56,Y$20&lt;'01_Input'!$O$56),'01_Input'!$Q$56,0),MAX(MIN(Y$20,'01_Input'!$O$56)-'01_Input'!$N$56,0)*'01_Input'!$Q$56))+IF('01_Input'!$T$56="Forfait",IF(Y$20&gt;='01_Input'!$R$56,'01_Input'!$U$56,0),IF('01_Input'!$T$56="Palier",IF(AND(Y$20&gt;='01_Input'!$R$56,Y$20&lt;'01_Input'!$S$56),'01_Input'!$U$56,0),MAX(MIN(Y$20,'01_Input'!$S$56)-'01_Input'!$R$56,0)*'01_Input'!$U$56))+IF('01_Input'!$X$56="Forfait",IF(Y$20&gt;='01_Input'!$V$56,'01_Input'!$Y$56,0),IF('01_Input'!$X$56="Palier",IF(AND(Y$20&gt;='01_Input'!$V$56,Y$20&lt;'01_Input'!$W$56),'01_Input'!$Y$56,0),MAX(MIN(Y$20,'01_Input'!$W$56)-'01_Input'!$V$56,0)*'01_Input'!$Y$56))+IF('01_Input'!$AB$56="Forfait",IF(Y$20&gt;='01_Input'!$Z$56,'01_Input'!$AC$56,0),IF('01_Input'!$AB$56="Palier",IF(AND(Y$20&gt;='01_Input'!$Z$56,Y$20&lt;'01_Input'!$AA$56),'01_Input'!$AC$56,0),MAX(MIN(Y$20,'01_Input'!$AA$56)-'01_Input'!$Z$56,0)*'01_Input'!$AC$56)))))))))</f>
        <v>0</v>
      </c>
      <c r="Z24" s="83">
        <f>IF('01_Input'!$C$56="Non",0,MIN('01_Input'!$I$56,MAX('01_Input'!$H$56,IF('01_Input'!$G$56="Résiduel vs Gestion",0,IF('01_Input'!$G$56="Taux Classe sélectionnée",Distrib_SousDistrib_Classe_Selectionnee*Z$20,IF('01_Input'!$G$56="Frais KYC (paliers de 100M€)",MAX(0,Nb_Investisseurs-Nb_KYC_Gratuites_Par_Tranche*(FLOOR(Z$20/Taille_Tranche_KYC,1)+1))*Cout_Par_KYC_Supplementaire,(IF('01_Input'!$L$56="Forfait",IF(Z$20&gt;='01_Input'!$J$56,'01_Input'!$M$56,0),IF('01_Input'!$L$56="Palier",IF(AND(Z$20&gt;='01_Input'!$J$56,Z$20&lt;'01_Input'!$K$56),'01_Input'!$M$56,0),MAX(MIN(Z$20,'01_Input'!$K$56)-'01_Input'!$J$56,0)*'01_Input'!$M$56))+IF('01_Input'!$P$56="Forfait",IF(Z$20&gt;='01_Input'!$N$56,'01_Input'!$Q$56,0),IF('01_Input'!$P$56="Palier",IF(AND(Z$20&gt;='01_Input'!$N$56,Z$20&lt;'01_Input'!$O$56),'01_Input'!$Q$56,0),MAX(MIN(Z$20,'01_Input'!$O$56)-'01_Input'!$N$56,0)*'01_Input'!$Q$56))+IF('01_Input'!$T$56="Forfait",IF(Z$20&gt;='01_Input'!$R$56,'01_Input'!$U$56,0),IF('01_Input'!$T$56="Palier",IF(AND(Z$20&gt;='01_Input'!$R$56,Z$20&lt;'01_Input'!$S$56),'01_Input'!$U$56,0),MAX(MIN(Z$20,'01_Input'!$S$56)-'01_Input'!$R$56,0)*'01_Input'!$U$56))+IF('01_Input'!$X$56="Forfait",IF(Z$20&gt;='01_Input'!$V$56,'01_Input'!$Y$56,0),IF('01_Input'!$X$56="Palier",IF(AND(Z$20&gt;='01_Input'!$V$56,Z$20&lt;'01_Input'!$W$56),'01_Input'!$Y$56,0),MAX(MIN(Z$20,'01_Input'!$W$56)-'01_Input'!$V$56,0)*'01_Input'!$Y$56))+IF('01_Input'!$AB$56="Forfait",IF(Z$20&gt;='01_Input'!$Z$56,'01_Input'!$AC$56,0),IF('01_Input'!$AB$56="Palier",IF(AND(Z$20&gt;='01_Input'!$Z$56,Z$20&lt;'01_Input'!$AA$56),'01_Input'!$AC$56,0),MAX(MIN(Z$20,'01_Input'!$AA$56)-'01_Input'!$Z$56,0)*'01_Input'!$AC$56)))))))))</f>
        <v>0</v>
      </c>
      <c r="AA24" s="83">
        <f>IF('01_Input'!$C$56="Non",0,MIN('01_Input'!$I$56,MAX('01_Input'!$H$56,IF('01_Input'!$G$56="Résiduel vs Gestion",0,IF('01_Input'!$G$56="Taux Classe sélectionnée",Distrib_SousDistrib_Classe_Selectionnee*AA$20,IF('01_Input'!$G$56="Frais KYC (paliers de 100M€)",MAX(0,Nb_Investisseurs-Nb_KYC_Gratuites_Par_Tranche*(FLOOR(AA$20/Taille_Tranche_KYC,1)+1))*Cout_Par_KYC_Supplementaire,(IF('01_Input'!$L$56="Forfait",IF(AA$20&gt;='01_Input'!$J$56,'01_Input'!$M$56,0),IF('01_Input'!$L$56="Palier",IF(AND(AA$20&gt;='01_Input'!$J$56,AA$20&lt;'01_Input'!$K$56),'01_Input'!$M$56,0),MAX(MIN(AA$20,'01_Input'!$K$56)-'01_Input'!$J$56,0)*'01_Input'!$M$56))+IF('01_Input'!$P$56="Forfait",IF(AA$20&gt;='01_Input'!$N$56,'01_Input'!$Q$56,0),IF('01_Input'!$P$56="Palier",IF(AND(AA$20&gt;='01_Input'!$N$56,AA$20&lt;'01_Input'!$O$56),'01_Input'!$Q$56,0),MAX(MIN(AA$20,'01_Input'!$O$56)-'01_Input'!$N$56,0)*'01_Input'!$Q$56))+IF('01_Input'!$T$56="Forfait",IF(AA$20&gt;='01_Input'!$R$56,'01_Input'!$U$56,0),IF('01_Input'!$T$56="Palier",IF(AND(AA$20&gt;='01_Input'!$R$56,AA$20&lt;'01_Input'!$S$56),'01_Input'!$U$56,0),MAX(MIN(AA$20,'01_Input'!$S$56)-'01_Input'!$R$56,0)*'01_Input'!$U$56))+IF('01_Input'!$X$56="Forfait",IF(AA$20&gt;='01_Input'!$V$56,'01_Input'!$Y$56,0),IF('01_Input'!$X$56="Palier",IF(AND(AA$20&gt;='01_Input'!$V$56,AA$20&lt;'01_Input'!$W$56),'01_Input'!$Y$56,0),MAX(MIN(AA$20,'01_Input'!$W$56)-'01_Input'!$V$56,0)*'01_Input'!$Y$56))+IF('01_Input'!$AB$56="Forfait",IF(AA$20&gt;='01_Input'!$Z$56,'01_Input'!$AC$56,0),IF('01_Input'!$AB$56="Palier",IF(AND(AA$20&gt;='01_Input'!$Z$56,AA$20&lt;'01_Input'!$AA$56),'01_Input'!$AC$56,0),MAX(MIN(AA$20,'01_Input'!$AA$56)-'01_Input'!$Z$56,0)*'01_Input'!$AC$56)))))))))</f>
        <v>0</v>
      </c>
      <c r="AB24" s="83">
        <f>IF('01_Input'!$C$56="Non",0,MIN('01_Input'!$I$56,MAX('01_Input'!$H$56,IF('01_Input'!$G$56="Résiduel vs Gestion",0,IF('01_Input'!$G$56="Taux Classe sélectionnée",Distrib_SousDistrib_Classe_Selectionnee*AB$20,IF('01_Input'!$G$56="Frais KYC (paliers de 100M€)",MAX(0,Nb_Investisseurs-Nb_KYC_Gratuites_Par_Tranche*(FLOOR(AB$20/Taille_Tranche_KYC,1)+1))*Cout_Par_KYC_Supplementaire,(IF('01_Input'!$L$56="Forfait",IF(AB$20&gt;='01_Input'!$J$56,'01_Input'!$M$56,0),IF('01_Input'!$L$56="Palier",IF(AND(AB$20&gt;='01_Input'!$J$56,AB$20&lt;'01_Input'!$K$56),'01_Input'!$M$56,0),MAX(MIN(AB$20,'01_Input'!$K$56)-'01_Input'!$J$56,0)*'01_Input'!$M$56))+IF('01_Input'!$P$56="Forfait",IF(AB$20&gt;='01_Input'!$N$56,'01_Input'!$Q$56,0),IF('01_Input'!$P$56="Palier",IF(AND(AB$20&gt;='01_Input'!$N$56,AB$20&lt;'01_Input'!$O$56),'01_Input'!$Q$56,0),MAX(MIN(AB$20,'01_Input'!$O$56)-'01_Input'!$N$56,0)*'01_Input'!$Q$56))+IF('01_Input'!$T$56="Forfait",IF(AB$20&gt;='01_Input'!$R$56,'01_Input'!$U$56,0),IF('01_Input'!$T$56="Palier",IF(AND(AB$20&gt;='01_Input'!$R$56,AB$20&lt;'01_Input'!$S$56),'01_Input'!$U$56,0),MAX(MIN(AB$20,'01_Input'!$S$56)-'01_Input'!$R$56,0)*'01_Input'!$U$56))+IF('01_Input'!$X$56="Forfait",IF(AB$20&gt;='01_Input'!$V$56,'01_Input'!$Y$56,0),IF('01_Input'!$X$56="Palier",IF(AND(AB$20&gt;='01_Input'!$V$56,AB$20&lt;'01_Input'!$W$56),'01_Input'!$Y$56,0),MAX(MIN(AB$20,'01_Input'!$W$56)-'01_Input'!$V$56,0)*'01_Input'!$Y$56))+IF('01_Input'!$AB$56="Forfait",IF(AB$20&gt;='01_Input'!$Z$56,'01_Input'!$AC$56,0),IF('01_Input'!$AB$56="Palier",IF(AND(AB$20&gt;='01_Input'!$Z$56,AB$20&lt;'01_Input'!$AA$56),'01_Input'!$AC$56,0),MAX(MIN(AB$20,'01_Input'!$AA$56)-'01_Input'!$Z$56,0)*'01_Input'!$AC$56)))))))))</f>
        <v>0</v>
      </c>
      <c r="AC24" s="83">
        <f>IF('01_Input'!$C$56="Non",0,MIN('01_Input'!$I$56,MAX('01_Input'!$H$56,IF('01_Input'!$G$56="Résiduel vs Gestion",0,IF('01_Input'!$G$56="Taux Classe sélectionnée",Distrib_SousDistrib_Classe_Selectionnee*AC$20,IF('01_Input'!$G$56="Frais KYC (paliers de 100M€)",MAX(0,Nb_Investisseurs-Nb_KYC_Gratuites_Par_Tranche*(FLOOR(AC$20/Taille_Tranche_KYC,1)+1))*Cout_Par_KYC_Supplementaire,(IF('01_Input'!$L$56="Forfait",IF(AC$20&gt;='01_Input'!$J$56,'01_Input'!$M$56,0),IF('01_Input'!$L$56="Palier",IF(AND(AC$20&gt;='01_Input'!$J$56,AC$20&lt;'01_Input'!$K$56),'01_Input'!$M$56,0),MAX(MIN(AC$20,'01_Input'!$K$56)-'01_Input'!$J$56,0)*'01_Input'!$M$56))+IF('01_Input'!$P$56="Forfait",IF(AC$20&gt;='01_Input'!$N$56,'01_Input'!$Q$56,0),IF('01_Input'!$P$56="Palier",IF(AND(AC$20&gt;='01_Input'!$N$56,AC$20&lt;'01_Input'!$O$56),'01_Input'!$Q$56,0),MAX(MIN(AC$20,'01_Input'!$O$56)-'01_Input'!$N$56,0)*'01_Input'!$Q$56))+IF('01_Input'!$T$56="Forfait",IF(AC$20&gt;='01_Input'!$R$56,'01_Input'!$U$56,0),IF('01_Input'!$T$56="Palier",IF(AND(AC$20&gt;='01_Input'!$R$56,AC$20&lt;'01_Input'!$S$56),'01_Input'!$U$56,0),MAX(MIN(AC$20,'01_Input'!$S$56)-'01_Input'!$R$56,0)*'01_Input'!$U$56))+IF('01_Input'!$X$56="Forfait",IF(AC$20&gt;='01_Input'!$V$56,'01_Input'!$Y$56,0),IF('01_Input'!$X$56="Palier",IF(AND(AC$20&gt;='01_Input'!$V$56,AC$20&lt;'01_Input'!$W$56),'01_Input'!$Y$56,0),MAX(MIN(AC$20,'01_Input'!$W$56)-'01_Input'!$V$56,0)*'01_Input'!$Y$56))+IF('01_Input'!$AB$56="Forfait",IF(AC$20&gt;='01_Input'!$Z$56,'01_Input'!$AC$56,0),IF('01_Input'!$AB$56="Palier",IF(AND(AC$20&gt;='01_Input'!$Z$56,AC$20&lt;'01_Input'!$AA$56),'01_Input'!$AC$56,0),MAX(MIN(AC$20,'01_Input'!$AA$56)-'01_Input'!$Z$56,0)*'01_Input'!$AC$56)))))))))</f>
        <v>0</v>
      </c>
      <c r="AD24" s="83">
        <f>IF('01_Input'!$C$56="Non",0,MIN('01_Input'!$I$56,MAX('01_Input'!$H$56,IF('01_Input'!$G$56="Résiduel vs Gestion",0,IF('01_Input'!$G$56="Taux Classe sélectionnée",Distrib_SousDistrib_Classe_Selectionnee*AD$20,IF('01_Input'!$G$56="Frais KYC (paliers de 100M€)",MAX(0,Nb_Investisseurs-Nb_KYC_Gratuites_Par_Tranche*(FLOOR(AD$20/Taille_Tranche_KYC,1)+1))*Cout_Par_KYC_Supplementaire,(IF('01_Input'!$L$56="Forfait",IF(AD$20&gt;='01_Input'!$J$56,'01_Input'!$M$56,0),IF('01_Input'!$L$56="Palier",IF(AND(AD$20&gt;='01_Input'!$J$56,AD$20&lt;'01_Input'!$K$56),'01_Input'!$M$56,0),MAX(MIN(AD$20,'01_Input'!$K$56)-'01_Input'!$J$56,0)*'01_Input'!$M$56))+IF('01_Input'!$P$56="Forfait",IF(AD$20&gt;='01_Input'!$N$56,'01_Input'!$Q$56,0),IF('01_Input'!$P$56="Palier",IF(AND(AD$20&gt;='01_Input'!$N$56,AD$20&lt;'01_Input'!$O$56),'01_Input'!$Q$56,0),MAX(MIN(AD$20,'01_Input'!$O$56)-'01_Input'!$N$56,0)*'01_Input'!$Q$56))+IF('01_Input'!$T$56="Forfait",IF(AD$20&gt;='01_Input'!$R$56,'01_Input'!$U$56,0),IF('01_Input'!$T$56="Palier",IF(AND(AD$20&gt;='01_Input'!$R$56,AD$20&lt;'01_Input'!$S$56),'01_Input'!$U$56,0),MAX(MIN(AD$20,'01_Input'!$S$56)-'01_Input'!$R$56,0)*'01_Input'!$U$56))+IF('01_Input'!$X$56="Forfait",IF(AD$20&gt;='01_Input'!$V$56,'01_Input'!$Y$56,0),IF('01_Input'!$X$56="Palier",IF(AND(AD$20&gt;='01_Input'!$V$56,AD$20&lt;'01_Input'!$W$56),'01_Input'!$Y$56,0),MAX(MIN(AD$20,'01_Input'!$W$56)-'01_Input'!$V$56,0)*'01_Input'!$Y$56))+IF('01_Input'!$AB$56="Forfait",IF(AD$20&gt;='01_Input'!$Z$56,'01_Input'!$AC$56,0),IF('01_Input'!$AB$56="Palier",IF(AND(AD$20&gt;='01_Input'!$Z$56,AD$20&lt;'01_Input'!$AA$56),'01_Input'!$AC$56,0),MAX(MIN(AD$20,'01_Input'!$AA$56)-'01_Input'!$Z$56,0)*'01_Input'!$AC$56)))))))))</f>
        <v>0</v>
      </c>
      <c r="AE24" s="83">
        <f>IF('01_Input'!$C$56="Non",0,MIN('01_Input'!$I$56,MAX('01_Input'!$H$56,IF('01_Input'!$G$56="Résiduel vs Gestion",0,IF('01_Input'!$G$56="Taux Classe sélectionnée",Distrib_SousDistrib_Classe_Selectionnee*AE$20,IF('01_Input'!$G$56="Frais KYC (paliers de 100M€)",MAX(0,Nb_Investisseurs-Nb_KYC_Gratuites_Par_Tranche*(FLOOR(AE$20/Taille_Tranche_KYC,1)+1))*Cout_Par_KYC_Supplementaire,(IF('01_Input'!$L$56="Forfait",IF(AE$20&gt;='01_Input'!$J$56,'01_Input'!$M$56,0),IF('01_Input'!$L$56="Palier",IF(AND(AE$20&gt;='01_Input'!$J$56,AE$20&lt;'01_Input'!$K$56),'01_Input'!$M$56,0),MAX(MIN(AE$20,'01_Input'!$K$56)-'01_Input'!$J$56,0)*'01_Input'!$M$56))+IF('01_Input'!$P$56="Forfait",IF(AE$20&gt;='01_Input'!$N$56,'01_Input'!$Q$56,0),IF('01_Input'!$P$56="Palier",IF(AND(AE$20&gt;='01_Input'!$N$56,AE$20&lt;'01_Input'!$O$56),'01_Input'!$Q$56,0),MAX(MIN(AE$20,'01_Input'!$O$56)-'01_Input'!$N$56,0)*'01_Input'!$Q$56))+IF('01_Input'!$T$56="Forfait",IF(AE$20&gt;='01_Input'!$R$56,'01_Input'!$U$56,0),IF('01_Input'!$T$56="Palier",IF(AND(AE$20&gt;='01_Input'!$R$56,AE$20&lt;'01_Input'!$S$56),'01_Input'!$U$56,0),MAX(MIN(AE$20,'01_Input'!$S$56)-'01_Input'!$R$56,0)*'01_Input'!$U$56))+IF('01_Input'!$X$56="Forfait",IF(AE$20&gt;='01_Input'!$V$56,'01_Input'!$Y$56,0),IF('01_Input'!$X$56="Palier",IF(AND(AE$20&gt;='01_Input'!$V$56,AE$20&lt;'01_Input'!$W$56),'01_Input'!$Y$56,0),MAX(MIN(AE$20,'01_Input'!$W$56)-'01_Input'!$V$56,0)*'01_Input'!$Y$56))+IF('01_Input'!$AB$56="Forfait",IF(AE$20&gt;='01_Input'!$Z$56,'01_Input'!$AC$56,0),IF('01_Input'!$AB$56="Palier",IF(AND(AE$20&gt;='01_Input'!$Z$56,AE$20&lt;'01_Input'!$AA$56),'01_Input'!$AC$56,0),MAX(MIN(AE$20,'01_Input'!$AA$56)-'01_Input'!$Z$56,0)*'01_Input'!$AC$56)))))))))</f>
        <v>0</v>
      </c>
      <c r="AF24" s="83">
        <f>IF('01_Input'!$C$56="Non",0,MIN('01_Input'!$I$56,MAX('01_Input'!$H$56,IF('01_Input'!$G$56="Résiduel vs Gestion",0,IF('01_Input'!$G$56="Taux Classe sélectionnée",Distrib_SousDistrib_Classe_Selectionnee*AF$20,IF('01_Input'!$G$56="Frais KYC (paliers de 100M€)",MAX(0,Nb_Investisseurs-Nb_KYC_Gratuites_Par_Tranche*(FLOOR(AF$20/Taille_Tranche_KYC,1)+1))*Cout_Par_KYC_Supplementaire,(IF('01_Input'!$L$56="Forfait",IF(AF$20&gt;='01_Input'!$J$56,'01_Input'!$M$56,0),IF('01_Input'!$L$56="Palier",IF(AND(AF$20&gt;='01_Input'!$J$56,AF$20&lt;'01_Input'!$K$56),'01_Input'!$M$56,0),MAX(MIN(AF$20,'01_Input'!$K$56)-'01_Input'!$J$56,0)*'01_Input'!$M$56))+IF('01_Input'!$P$56="Forfait",IF(AF$20&gt;='01_Input'!$N$56,'01_Input'!$Q$56,0),IF('01_Input'!$P$56="Palier",IF(AND(AF$20&gt;='01_Input'!$N$56,AF$20&lt;'01_Input'!$O$56),'01_Input'!$Q$56,0),MAX(MIN(AF$20,'01_Input'!$O$56)-'01_Input'!$N$56,0)*'01_Input'!$Q$56))+IF('01_Input'!$T$56="Forfait",IF(AF$20&gt;='01_Input'!$R$56,'01_Input'!$U$56,0),IF('01_Input'!$T$56="Palier",IF(AND(AF$20&gt;='01_Input'!$R$56,AF$20&lt;'01_Input'!$S$56),'01_Input'!$U$56,0),MAX(MIN(AF$20,'01_Input'!$S$56)-'01_Input'!$R$56,0)*'01_Input'!$U$56))+IF('01_Input'!$X$56="Forfait",IF(AF$20&gt;='01_Input'!$V$56,'01_Input'!$Y$56,0),IF('01_Input'!$X$56="Palier",IF(AND(AF$20&gt;='01_Input'!$V$56,AF$20&lt;'01_Input'!$W$56),'01_Input'!$Y$56,0),MAX(MIN(AF$20,'01_Input'!$W$56)-'01_Input'!$V$56,0)*'01_Input'!$Y$56))+IF('01_Input'!$AB$56="Forfait",IF(AF$20&gt;='01_Input'!$Z$56,'01_Input'!$AC$56,0),IF('01_Input'!$AB$56="Palier",IF(AND(AF$20&gt;='01_Input'!$Z$56,AF$20&lt;'01_Input'!$AA$56),'01_Input'!$AC$56,0),MAX(MIN(AF$20,'01_Input'!$AA$56)-'01_Input'!$Z$56,0)*'01_Input'!$AC$56)))))))))</f>
        <v>0</v>
      </c>
      <c r="AG24" s="83">
        <f>IF('01_Input'!$C$56="Non",0,MIN('01_Input'!$I$56,MAX('01_Input'!$H$56,IF('01_Input'!$G$56="Résiduel vs Gestion",0,IF('01_Input'!$G$56="Taux Classe sélectionnée",Distrib_SousDistrib_Classe_Selectionnee*AG$20,IF('01_Input'!$G$56="Frais KYC (paliers de 100M€)",MAX(0,Nb_Investisseurs-Nb_KYC_Gratuites_Par_Tranche*(FLOOR(AG$20/Taille_Tranche_KYC,1)+1))*Cout_Par_KYC_Supplementaire,(IF('01_Input'!$L$56="Forfait",IF(AG$20&gt;='01_Input'!$J$56,'01_Input'!$M$56,0),IF('01_Input'!$L$56="Palier",IF(AND(AG$20&gt;='01_Input'!$J$56,AG$20&lt;'01_Input'!$K$56),'01_Input'!$M$56,0),MAX(MIN(AG$20,'01_Input'!$K$56)-'01_Input'!$J$56,0)*'01_Input'!$M$56))+IF('01_Input'!$P$56="Forfait",IF(AG$20&gt;='01_Input'!$N$56,'01_Input'!$Q$56,0),IF('01_Input'!$P$56="Palier",IF(AND(AG$20&gt;='01_Input'!$N$56,AG$20&lt;'01_Input'!$O$56),'01_Input'!$Q$56,0),MAX(MIN(AG$20,'01_Input'!$O$56)-'01_Input'!$N$56,0)*'01_Input'!$Q$56))+IF('01_Input'!$T$56="Forfait",IF(AG$20&gt;='01_Input'!$R$56,'01_Input'!$U$56,0),IF('01_Input'!$T$56="Palier",IF(AND(AG$20&gt;='01_Input'!$R$56,AG$20&lt;'01_Input'!$S$56),'01_Input'!$U$56,0),MAX(MIN(AG$20,'01_Input'!$S$56)-'01_Input'!$R$56,0)*'01_Input'!$U$56))+IF('01_Input'!$X$56="Forfait",IF(AG$20&gt;='01_Input'!$V$56,'01_Input'!$Y$56,0),IF('01_Input'!$X$56="Palier",IF(AND(AG$20&gt;='01_Input'!$V$56,AG$20&lt;'01_Input'!$W$56),'01_Input'!$Y$56,0),MAX(MIN(AG$20,'01_Input'!$W$56)-'01_Input'!$V$56,0)*'01_Input'!$Y$56))+IF('01_Input'!$AB$56="Forfait",IF(AG$20&gt;='01_Input'!$Z$56,'01_Input'!$AC$56,0),IF('01_Input'!$AB$56="Palier",IF(AND(AG$20&gt;='01_Input'!$Z$56,AG$20&lt;'01_Input'!$AA$56),'01_Input'!$AC$56,0),MAX(MIN(AG$20,'01_Input'!$AA$56)-'01_Input'!$Z$56,0)*'01_Input'!$AC$56)))))))))</f>
        <v>0</v>
      </c>
      <c r="AH24" s="83">
        <f>IF('01_Input'!$C$56="Non",0,MIN('01_Input'!$I$56,MAX('01_Input'!$H$56,IF('01_Input'!$G$56="Résiduel vs Gestion",0,IF('01_Input'!$G$56="Taux Classe sélectionnée",Distrib_SousDistrib_Classe_Selectionnee*AH$20,IF('01_Input'!$G$56="Frais KYC (paliers de 100M€)",MAX(0,Nb_Investisseurs-Nb_KYC_Gratuites_Par_Tranche*(FLOOR(AH$20/Taille_Tranche_KYC,1)+1))*Cout_Par_KYC_Supplementaire,(IF('01_Input'!$L$56="Forfait",IF(AH$20&gt;='01_Input'!$J$56,'01_Input'!$M$56,0),IF('01_Input'!$L$56="Palier",IF(AND(AH$20&gt;='01_Input'!$J$56,AH$20&lt;'01_Input'!$K$56),'01_Input'!$M$56,0),MAX(MIN(AH$20,'01_Input'!$K$56)-'01_Input'!$J$56,0)*'01_Input'!$M$56))+IF('01_Input'!$P$56="Forfait",IF(AH$20&gt;='01_Input'!$N$56,'01_Input'!$Q$56,0),IF('01_Input'!$P$56="Palier",IF(AND(AH$20&gt;='01_Input'!$N$56,AH$20&lt;'01_Input'!$O$56),'01_Input'!$Q$56,0),MAX(MIN(AH$20,'01_Input'!$O$56)-'01_Input'!$N$56,0)*'01_Input'!$Q$56))+IF('01_Input'!$T$56="Forfait",IF(AH$20&gt;='01_Input'!$R$56,'01_Input'!$U$56,0),IF('01_Input'!$T$56="Palier",IF(AND(AH$20&gt;='01_Input'!$R$56,AH$20&lt;'01_Input'!$S$56),'01_Input'!$U$56,0),MAX(MIN(AH$20,'01_Input'!$S$56)-'01_Input'!$R$56,0)*'01_Input'!$U$56))+IF('01_Input'!$X$56="Forfait",IF(AH$20&gt;='01_Input'!$V$56,'01_Input'!$Y$56,0),IF('01_Input'!$X$56="Palier",IF(AND(AH$20&gt;='01_Input'!$V$56,AH$20&lt;'01_Input'!$W$56),'01_Input'!$Y$56,0),MAX(MIN(AH$20,'01_Input'!$W$56)-'01_Input'!$V$56,0)*'01_Input'!$Y$56))+IF('01_Input'!$AB$56="Forfait",IF(AH$20&gt;='01_Input'!$Z$56,'01_Input'!$AC$56,0),IF('01_Input'!$AB$56="Palier",IF(AND(AH$20&gt;='01_Input'!$Z$56,AH$20&lt;'01_Input'!$AA$56),'01_Input'!$AC$56,0),MAX(MIN(AH$20,'01_Input'!$AA$56)-'01_Input'!$Z$56,0)*'01_Input'!$AC$56)))))))))</f>
        <v>0</v>
      </c>
      <c r="AI24" s="83">
        <f>IF('01_Input'!$C$56="Non",0,MIN('01_Input'!$I$56,MAX('01_Input'!$H$56,IF('01_Input'!$G$56="Résiduel vs Gestion",0,IF('01_Input'!$G$56="Taux Classe sélectionnée",Distrib_SousDistrib_Classe_Selectionnee*AI$20,IF('01_Input'!$G$56="Frais KYC (paliers de 100M€)",MAX(0,Nb_Investisseurs-Nb_KYC_Gratuites_Par_Tranche*(FLOOR(AI$20/Taille_Tranche_KYC,1)+1))*Cout_Par_KYC_Supplementaire,(IF('01_Input'!$L$56="Forfait",IF(AI$20&gt;='01_Input'!$J$56,'01_Input'!$M$56,0),IF('01_Input'!$L$56="Palier",IF(AND(AI$20&gt;='01_Input'!$J$56,AI$20&lt;'01_Input'!$K$56),'01_Input'!$M$56,0),MAX(MIN(AI$20,'01_Input'!$K$56)-'01_Input'!$J$56,0)*'01_Input'!$M$56))+IF('01_Input'!$P$56="Forfait",IF(AI$20&gt;='01_Input'!$N$56,'01_Input'!$Q$56,0),IF('01_Input'!$P$56="Palier",IF(AND(AI$20&gt;='01_Input'!$N$56,AI$20&lt;'01_Input'!$O$56),'01_Input'!$Q$56,0),MAX(MIN(AI$20,'01_Input'!$O$56)-'01_Input'!$N$56,0)*'01_Input'!$Q$56))+IF('01_Input'!$T$56="Forfait",IF(AI$20&gt;='01_Input'!$R$56,'01_Input'!$U$56,0),IF('01_Input'!$T$56="Palier",IF(AND(AI$20&gt;='01_Input'!$R$56,AI$20&lt;'01_Input'!$S$56),'01_Input'!$U$56,0),MAX(MIN(AI$20,'01_Input'!$S$56)-'01_Input'!$R$56,0)*'01_Input'!$U$56))+IF('01_Input'!$X$56="Forfait",IF(AI$20&gt;='01_Input'!$V$56,'01_Input'!$Y$56,0),IF('01_Input'!$X$56="Palier",IF(AND(AI$20&gt;='01_Input'!$V$56,AI$20&lt;'01_Input'!$W$56),'01_Input'!$Y$56,0),MAX(MIN(AI$20,'01_Input'!$W$56)-'01_Input'!$V$56,0)*'01_Input'!$Y$56))+IF('01_Input'!$AB$56="Forfait",IF(AI$20&gt;='01_Input'!$Z$56,'01_Input'!$AC$56,0),IF('01_Input'!$AB$56="Palier",IF(AND(AI$20&gt;='01_Input'!$Z$56,AI$20&lt;'01_Input'!$AA$56),'01_Input'!$AC$56,0),MAX(MIN(AI$20,'01_Input'!$AA$56)-'01_Input'!$Z$56,0)*'01_Input'!$AC$56)))))))))</f>
        <v>0</v>
      </c>
      <c r="AJ24" s="83">
        <f>IF('01_Input'!$C$56="Non",0,MIN('01_Input'!$I$56,MAX('01_Input'!$H$56,IF('01_Input'!$G$56="Résiduel vs Gestion",0,IF('01_Input'!$G$56="Taux Classe sélectionnée",Distrib_SousDistrib_Classe_Selectionnee*AJ$20,IF('01_Input'!$G$56="Frais KYC (paliers de 100M€)",MAX(0,Nb_Investisseurs-Nb_KYC_Gratuites_Par_Tranche*(FLOOR(AJ$20/Taille_Tranche_KYC,1)+1))*Cout_Par_KYC_Supplementaire,(IF('01_Input'!$L$56="Forfait",IF(AJ$20&gt;='01_Input'!$J$56,'01_Input'!$M$56,0),IF('01_Input'!$L$56="Palier",IF(AND(AJ$20&gt;='01_Input'!$J$56,AJ$20&lt;'01_Input'!$K$56),'01_Input'!$M$56,0),MAX(MIN(AJ$20,'01_Input'!$K$56)-'01_Input'!$J$56,0)*'01_Input'!$M$56))+IF('01_Input'!$P$56="Forfait",IF(AJ$20&gt;='01_Input'!$N$56,'01_Input'!$Q$56,0),IF('01_Input'!$P$56="Palier",IF(AND(AJ$20&gt;='01_Input'!$N$56,AJ$20&lt;'01_Input'!$O$56),'01_Input'!$Q$56,0),MAX(MIN(AJ$20,'01_Input'!$O$56)-'01_Input'!$N$56,0)*'01_Input'!$Q$56))+IF('01_Input'!$T$56="Forfait",IF(AJ$20&gt;='01_Input'!$R$56,'01_Input'!$U$56,0),IF('01_Input'!$T$56="Palier",IF(AND(AJ$20&gt;='01_Input'!$R$56,AJ$20&lt;'01_Input'!$S$56),'01_Input'!$U$56,0),MAX(MIN(AJ$20,'01_Input'!$S$56)-'01_Input'!$R$56,0)*'01_Input'!$U$56))+IF('01_Input'!$X$56="Forfait",IF(AJ$20&gt;='01_Input'!$V$56,'01_Input'!$Y$56,0),IF('01_Input'!$X$56="Palier",IF(AND(AJ$20&gt;='01_Input'!$V$56,AJ$20&lt;'01_Input'!$W$56),'01_Input'!$Y$56,0),MAX(MIN(AJ$20,'01_Input'!$W$56)-'01_Input'!$V$56,0)*'01_Input'!$Y$56))+IF('01_Input'!$AB$56="Forfait",IF(AJ$20&gt;='01_Input'!$Z$56,'01_Input'!$AC$56,0),IF('01_Input'!$AB$56="Palier",IF(AND(AJ$20&gt;='01_Input'!$Z$56,AJ$20&lt;'01_Input'!$AA$56),'01_Input'!$AC$56,0),MAX(MIN(AJ$20,'01_Input'!$AA$56)-'01_Input'!$Z$56,0)*'01_Input'!$AC$56)))))))))</f>
        <v>0</v>
      </c>
      <c r="AK24" s="83">
        <f>IF('01_Input'!$C$56="Non",0,MIN('01_Input'!$I$56,MAX('01_Input'!$H$56,IF('01_Input'!$G$56="Résiduel vs Gestion",0,IF('01_Input'!$G$56="Taux Classe sélectionnée",Distrib_SousDistrib_Classe_Selectionnee*AK$20,IF('01_Input'!$G$56="Frais KYC (paliers de 100M€)",MAX(0,Nb_Investisseurs-Nb_KYC_Gratuites_Par_Tranche*(FLOOR(AK$20/Taille_Tranche_KYC,1)+1))*Cout_Par_KYC_Supplementaire,(IF('01_Input'!$L$56="Forfait",IF(AK$20&gt;='01_Input'!$J$56,'01_Input'!$M$56,0),IF('01_Input'!$L$56="Palier",IF(AND(AK$20&gt;='01_Input'!$J$56,AK$20&lt;'01_Input'!$K$56),'01_Input'!$M$56,0),MAX(MIN(AK$20,'01_Input'!$K$56)-'01_Input'!$J$56,0)*'01_Input'!$M$56))+IF('01_Input'!$P$56="Forfait",IF(AK$20&gt;='01_Input'!$N$56,'01_Input'!$Q$56,0),IF('01_Input'!$P$56="Palier",IF(AND(AK$20&gt;='01_Input'!$N$56,AK$20&lt;'01_Input'!$O$56),'01_Input'!$Q$56,0),MAX(MIN(AK$20,'01_Input'!$O$56)-'01_Input'!$N$56,0)*'01_Input'!$Q$56))+IF('01_Input'!$T$56="Forfait",IF(AK$20&gt;='01_Input'!$R$56,'01_Input'!$U$56,0),IF('01_Input'!$T$56="Palier",IF(AND(AK$20&gt;='01_Input'!$R$56,AK$20&lt;'01_Input'!$S$56),'01_Input'!$U$56,0),MAX(MIN(AK$20,'01_Input'!$S$56)-'01_Input'!$R$56,0)*'01_Input'!$U$56))+IF('01_Input'!$X$56="Forfait",IF(AK$20&gt;='01_Input'!$V$56,'01_Input'!$Y$56,0),IF('01_Input'!$X$56="Palier",IF(AND(AK$20&gt;='01_Input'!$V$56,AK$20&lt;'01_Input'!$W$56),'01_Input'!$Y$56,0),MAX(MIN(AK$20,'01_Input'!$W$56)-'01_Input'!$V$56,0)*'01_Input'!$Y$56))+IF('01_Input'!$AB$56="Forfait",IF(AK$20&gt;='01_Input'!$Z$56,'01_Input'!$AC$56,0),IF('01_Input'!$AB$56="Palier",IF(AND(AK$20&gt;='01_Input'!$Z$56,AK$20&lt;'01_Input'!$AA$56),'01_Input'!$AC$56,0),MAX(MIN(AK$20,'01_Input'!$AA$56)-'01_Input'!$Z$56,0)*'01_Input'!$AC$56)))))))))</f>
        <v>0</v>
      </c>
      <c r="AL24" s="83">
        <f>IF('01_Input'!$C$56="Non",0,MIN('01_Input'!$I$56,MAX('01_Input'!$H$56,IF('01_Input'!$G$56="Résiduel vs Gestion",0,IF('01_Input'!$G$56="Taux Classe sélectionnée",Distrib_SousDistrib_Classe_Selectionnee*AL$20,IF('01_Input'!$G$56="Frais KYC (paliers de 100M€)",MAX(0,Nb_Investisseurs-Nb_KYC_Gratuites_Par_Tranche*(FLOOR(AL$20/Taille_Tranche_KYC,1)+1))*Cout_Par_KYC_Supplementaire,(IF('01_Input'!$L$56="Forfait",IF(AL$20&gt;='01_Input'!$J$56,'01_Input'!$M$56,0),IF('01_Input'!$L$56="Palier",IF(AND(AL$20&gt;='01_Input'!$J$56,AL$20&lt;'01_Input'!$K$56),'01_Input'!$M$56,0),MAX(MIN(AL$20,'01_Input'!$K$56)-'01_Input'!$J$56,0)*'01_Input'!$M$56))+IF('01_Input'!$P$56="Forfait",IF(AL$20&gt;='01_Input'!$N$56,'01_Input'!$Q$56,0),IF('01_Input'!$P$56="Palier",IF(AND(AL$20&gt;='01_Input'!$N$56,AL$20&lt;'01_Input'!$O$56),'01_Input'!$Q$56,0),MAX(MIN(AL$20,'01_Input'!$O$56)-'01_Input'!$N$56,0)*'01_Input'!$Q$56))+IF('01_Input'!$T$56="Forfait",IF(AL$20&gt;='01_Input'!$R$56,'01_Input'!$U$56,0),IF('01_Input'!$T$56="Palier",IF(AND(AL$20&gt;='01_Input'!$R$56,AL$20&lt;'01_Input'!$S$56),'01_Input'!$U$56,0),MAX(MIN(AL$20,'01_Input'!$S$56)-'01_Input'!$R$56,0)*'01_Input'!$U$56))+IF('01_Input'!$X$56="Forfait",IF(AL$20&gt;='01_Input'!$V$56,'01_Input'!$Y$56,0),IF('01_Input'!$X$56="Palier",IF(AND(AL$20&gt;='01_Input'!$V$56,AL$20&lt;'01_Input'!$W$56),'01_Input'!$Y$56,0),MAX(MIN(AL$20,'01_Input'!$W$56)-'01_Input'!$V$56,0)*'01_Input'!$Y$56))+IF('01_Input'!$AB$56="Forfait",IF(AL$20&gt;='01_Input'!$Z$56,'01_Input'!$AC$56,0),IF('01_Input'!$AB$56="Palier",IF(AND(AL$20&gt;='01_Input'!$Z$56,AL$20&lt;'01_Input'!$AA$56),'01_Input'!$AC$56,0),MAX(MIN(AL$20,'01_Input'!$AA$56)-'01_Input'!$Z$56,0)*'01_Input'!$AC$56)))))))))</f>
        <v>0</v>
      </c>
      <c r="AM24" s="83">
        <f>IF('01_Input'!$C$56="Non",0,MIN('01_Input'!$I$56,MAX('01_Input'!$H$56,IF('01_Input'!$G$56="Résiduel vs Gestion",0,IF('01_Input'!$G$56="Taux Classe sélectionnée",Distrib_SousDistrib_Classe_Selectionnee*AM$20,IF('01_Input'!$G$56="Frais KYC (paliers de 100M€)",MAX(0,Nb_Investisseurs-Nb_KYC_Gratuites_Par_Tranche*(FLOOR(AM$20/Taille_Tranche_KYC,1)+1))*Cout_Par_KYC_Supplementaire,(IF('01_Input'!$L$56="Forfait",IF(AM$20&gt;='01_Input'!$J$56,'01_Input'!$M$56,0),IF('01_Input'!$L$56="Palier",IF(AND(AM$20&gt;='01_Input'!$J$56,AM$20&lt;'01_Input'!$K$56),'01_Input'!$M$56,0),MAX(MIN(AM$20,'01_Input'!$K$56)-'01_Input'!$J$56,0)*'01_Input'!$M$56))+IF('01_Input'!$P$56="Forfait",IF(AM$20&gt;='01_Input'!$N$56,'01_Input'!$Q$56,0),IF('01_Input'!$P$56="Palier",IF(AND(AM$20&gt;='01_Input'!$N$56,AM$20&lt;'01_Input'!$O$56),'01_Input'!$Q$56,0),MAX(MIN(AM$20,'01_Input'!$O$56)-'01_Input'!$N$56,0)*'01_Input'!$Q$56))+IF('01_Input'!$T$56="Forfait",IF(AM$20&gt;='01_Input'!$R$56,'01_Input'!$U$56,0),IF('01_Input'!$T$56="Palier",IF(AND(AM$20&gt;='01_Input'!$R$56,AM$20&lt;'01_Input'!$S$56),'01_Input'!$U$56,0),MAX(MIN(AM$20,'01_Input'!$S$56)-'01_Input'!$R$56,0)*'01_Input'!$U$56))+IF('01_Input'!$X$56="Forfait",IF(AM$20&gt;='01_Input'!$V$56,'01_Input'!$Y$56,0),IF('01_Input'!$X$56="Palier",IF(AND(AM$20&gt;='01_Input'!$V$56,AM$20&lt;'01_Input'!$W$56),'01_Input'!$Y$56,0),MAX(MIN(AM$20,'01_Input'!$W$56)-'01_Input'!$V$56,0)*'01_Input'!$Y$56))+IF('01_Input'!$AB$56="Forfait",IF(AM$20&gt;='01_Input'!$Z$56,'01_Input'!$AC$56,0),IF('01_Input'!$AB$56="Palier",IF(AND(AM$20&gt;='01_Input'!$Z$56,AM$20&lt;'01_Input'!$AA$56),'01_Input'!$AC$56,0),MAX(MIN(AM$20,'01_Input'!$AA$56)-'01_Input'!$Z$56,0)*'01_Input'!$AC$56)))))))))</f>
        <v>0</v>
      </c>
      <c r="AN24" s="83">
        <f>IF('01_Input'!$C$56="Non",0,MIN('01_Input'!$I$56,MAX('01_Input'!$H$56,IF('01_Input'!$G$56="Résiduel vs Gestion",0,IF('01_Input'!$G$56="Taux Classe sélectionnée",Distrib_SousDistrib_Classe_Selectionnee*AN$20,IF('01_Input'!$G$56="Frais KYC (paliers de 100M€)",MAX(0,Nb_Investisseurs-Nb_KYC_Gratuites_Par_Tranche*(FLOOR(AN$20/Taille_Tranche_KYC,1)+1))*Cout_Par_KYC_Supplementaire,(IF('01_Input'!$L$56="Forfait",IF(AN$20&gt;='01_Input'!$J$56,'01_Input'!$M$56,0),IF('01_Input'!$L$56="Palier",IF(AND(AN$20&gt;='01_Input'!$J$56,AN$20&lt;'01_Input'!$K$56),'01_Input'!$M$56,0),MAX(MIN(AN$20,'01_Input'!$K$56)-'01_Input'!$J$56,0)*'01_Input'!$M$56))+IF('01_Input'!$P$56="Forfait",IF(AN$20&gt;='01_Input'!$N$56,'01_Input'!$Q$56,0),IF('01_Input'!$P$56="Palier",IF(AND(AN$20&gt;='01_Input'!$N$56,AN$20&lt;'01_Input'!$O$56),'01_Input'!$Q$56,0),MAX(MIN(AN$20,'01_Input'!$O$56)-'01_Input'!$N$56,0)*'01_Input'!$Q$56))+IF('01_Input'!$T$56="Forfait",IF(AN$20&gt;='01_Input'!$R$56,'01_Input'!$U$56,0),IF('01_Input'!$T$56="Palier",IF(AND(AN$20&gt;='01_Input'!$R$56,AN$20&lt;'01_Input'!$S$56),'01_Input'!$U$56,0),MAX(MIN(AN$20,'01_Input'!$S$56)-'01_Input'!$R$56,0)*'01_Input'!$U$56))+IF('01_Input'!$X$56="Forfait",IF(AN$20&gt;='01_Input'!$V$56,'01_Input'!$Y$56,0),IF('01_Input'!$X$56="Palier",IF(AND(AN$20&gt;='01_Input'!$V$56,AN$20&lt;'01_Input'!$W$56),'01_Input'!$Y$56,0),MAX(MIN(AN$20,'01_Input'!$W$56)-'01_Input'!$V$56,0)*'01_Input'!$Y$56))+IF('01_Input'!$AB$56="Forfait",IF(AN$20&gt;='01_Input'!$Z$56,'01_Input'!$AC$56,0),IF('01_Input'!$AB$56="Palier",IF(AND(AN$20&gt;='01_Input'!$Z$56,AN$20&lt;'01_Input'!$AA$56),'01_Input'!$AC$56,0),MAX(MIN(AN$20,'01_Input'!$AA$56)-'01_Input'!$Z$56,0)*'01_Input'!$AC$56)))))))))</f>
        <v>0</v>
      </c>
      <c r="AO24" s="83">
        <f>IF('01_Input'!$C$56="Non",0,MIN('01_Input'!$I$56,MAX('01_Input'!$H$56,IF('01_Input'!$G$56="Résiduel vs Gestion",0,IF('01_Input'!$G$56="Taux Classe sélectionnée",Distrib_SousDistrib_Classe_Selectionnee*AO$20,IF('01_Input'!$G$56="Frais KYC (paliers de 100M€)",MAX(0,Nb_Investisseurs-Nb_KYC_Gratuites_Par_Tranche*(FLOOR(AO$20/Taille_Tranche_KYC,1)+1))*Cout_Par_KYC_Supplementaire,(IF('01_Input'!$L$56="Forfait",IF(AO$20&gt;='01_Input'!$J$56,'01_Input'!$M$56,0),IF('01_Input'!$L$56="Palier",IF(AND(AO$20&gt;='01_Input'!$J$56,AO$20&lt;'01_Input'!$K$56),'01_Input'!$M$56,0),MAX(MIN(AO$20,'01_Input'!$K$56)-'01_Input'!$J$56,0)*'01_Input'!$M$56))+IF('01_Input'!$P$56="Forfait",IF(AO$20&gt;='01_Input'!$N$56,'01_Input'!$Q$56,0),IF('01_Input'!$P$56="Palier",IF(AND(AO$20&gt;='01_Input'!$N$56,AO$20&lt;'01_Input'!$O$56),'01_Input'!$Q$56,0),MAX(MIN(AO$20,'01_Input'!$O$56)-'01_Input'!$N$56,0)*'01_Input'!$Q$56))+IF('01_Input'!$T$56="Forfait",IF(AO$20&gt;='01_Input'!$R$56,'01_Input'!$U$56,0),IF('01_Input'!$T$56="Palier",IF(AND(AO$20&gt;='01_Input'!$R$56,AO$20&lt;'01_Input'!$S$56),'01_Input'!$U$56,0),MAX(MIN(AO$20,'01_Input'!$S$56)-'01_Input'!$R$56,0)*'01_Input'!$U$56))+IF('01_Input'!$X$56="Forfait",IF(AO$20&gt;='01_Input'!$V$56,'01_Input'!$Y$56,0),IF('01_Input'!$X$56="Palier",IF(AND(AO$20&gt;='01_Input'!$V$56,AO$20&lt;'01_Input'!$W$56),'01_Input'!$Y$56,0),MAX(MIN(AO$20,'01_Input'!$W$56)-'01_Input'!$V$56,0)*'01_Input'!$Y$56))+IF('01_Input'!$AB$56="Forfait",IF(AO$20&gt;='01_Input'!$Z$56,'01_Input'!$AC$56,0),IF('01_Input'!$AB$56="Palier",IF(AND(AO$20&gt;='01_Input'!$Z$56,AO$20&lt;'01_Input'!$AA$56),'01_Input'!$AC$56,0),MAX(MIN(AO$20,'01_Input'!$AA$56)-'01_Input'!$Z$56,0)*'01_Input'!$AC$56)))))))))</f>
        <v>0</v>
      </c>
      <c r="AP24" s="83">
        <f>IF('01_Input'!$C$56="Non",0,MIN('01_Input'!$I$56,MAX('01_Input'!$H$56,IF('01_Input'!$G$56="Résiduel vs Gestion",0,IF('01_Input'!$G$56="Taux Classe sélectionnée",Distrib_SousDistrib_Classe_Selectionnee*AP$20,IF('01_Input'!$G$56="Frais KYC (paliers de 100M€)",MAX(0,Nb_Investisseurs-Nb_KYC_Gratuites_Par_Tranche*(FLOOR(AP$20/Taille_Tranche_KYC,1)+1))*Cout_Par_KYC_Supplementaire,(IF('01_Input'!$L$56="Forfait",IF(AP$20&gt;='01_Input'!$J$56,'01_Input'!$M$56,0),IF('01_Input'!$L$56="Palier",IF(AND(AP$20&gt;='01_Input'!$J$56,AP$20&lt;'01_Input'!$K$56),'01_Input'!$M$56,0),MAX(MIN(AP$20,'01_Input'!$K$56)-'01_Input'!$J$56,0)*'01_Input'!$M$56))+IF('01_Input'!$P$56="Forfait",IF(AP$20&gt;='01_Input'!$N$56,'01_Input'!$Q$56,0),IF('01_Input'!$P$56="Palier",IF(AND(AP$20&gt;='01_Input'!$N$56,AP$20&lt;'01_Input'!$O$56),'01_Input'!$Q$56,0),MAX(MIN(AP$20,'01_Input'!$O$56)-'01_Input'!$N$56,0)*'01_Input'!$Q$56))+IF('01_Input'!$T$56="Forfait",IF(AP$20&gt;='01_Input'!$R$56,'01_Input'!$U$56,0),IF('01_Input'!$T$56="Palier",IF(AND(AP$20&gt;='01_Input'!$R$56,AP$20&lt;'01_Input'!$S$56),'01_Input'!$U$56,0),MAX(MIN(AP$20,'01_Input'!$S$56)-'01_Input'!$R$56,0)*'01_Input'!$U$56))+IF('01_Input'!$X$56="Forfait",IF(AP$20&gt;='01_Input'!$V$56,'01_Input'!$Y$56,0),IF('01_Input'!$X$56="Palier",IF(AND(AP$20&gt;='01_Input'!$V$56,AP$20&lt;'01_Input'!$W$56),'01_Input'!$Y$56,0),MAX(MIN(AP$20,'01_Input'!$W$56)-'01_Input'!$V$56,0)*'01_Input'!$Y$56))+IF('01_Input'!$AB$56="Forfait",IF(AP$20&gt;='01_Input'!$Z$56,'01_Input'!$AC$56,0),IF('01_Input'!$AB$56="Palier",IF(AND(AP$20&gt;='01_Input'!$Z$56,AP$20&lt;'01_Input'!$AA$56),'01_Input'!$AC$56,0),MAX(MIN(AP$20,'01_Input'!$AA$56)-'01_Input'!$Z$56,0)*'01_Input'!$AC$56)))))))))</f>
        <v>0</v>
      </c>
      <c r="AQ24" s="83">
        <f>IF('01_Input'!$C$56="Non",0,MIN('01_Input'!$I$56,MAX('01_Input'!$H$56,IF('01_Input'!$G$56="Résiduel vs Gestion",0,IF('01_Input'!$G$56="Taux Classe sélectionnée",Distrib_SousDistrib_Classe_Selectionnee*AQ$20,IF('01_Input'!$G$56="Frais KYC (paliers de 100M€)",MAX(0,Nb_Investisseurs-Nb_KYC_Gratuites_Par_Tranche*(FLOOR(AQ$20/Taille_Tranche_KYC,1)+1))*Cout_Par_KYC_Supplementaire,(IF('01_Input'!$L$56="Forfait",IF(AQ$20&gt;='01_Input'!$J$56,'01_Input'!$M$56,0),IF('01_Input'!$L$56="Palier",IF(AND(AQ$20&gt;='01_Input'!$J$56,AQ$20&lt;'01_Input'!$K$56),'01_Input'!$M$56,0),MAX(MIN(AQ$20,'01_Input'!$K$56)-'01_Input'!$J$56,0)*'01_Input'!$M$56))+IF('01_Input'!$P$56="Forfait",IF(AQ$20&gt;='01_Input'!$N$56,'01_Input'!$Q$56,0),IF('01_Input'!$P$56="Palier",IF(AND(AQ$20&gt;='01_Input'!$N$56,AQ$20&lt;'01_Input'!$O$56),'01_Input'!$Q$56,0),MAX(MIN(AQ$20,'01_Input'!$O$56)-'01_Input'!$N$56,0)*'01_Input'!$Q$56))+IF('01_Input'!$T$56="Forfait",IF(AQ$20&gt;='01_Input'!$R$56,'01_Input'!$U$56,0),IF('01_Input'!$T$56="Palier",IF(AND(AQ$20&gt;='01_Input'!$R$56,AQ$20&lt;'01_Input'!$S$56),'01_Input'!$U$56,0),MAX(MIN(AQ$20,'01_Input'!$S$56)-'01_Input'!$R$56,0)*'01_Input'!$U$56))+IF('01_Input'!$X$56="Forfait",IF(AQ$20&gt;='01_Input'!$V$56,'01_Input'!$Y$56,0),IF('01_Input'!$X$56="Palier",IF(AND(AQ$20&gt;='01_Input'!$V$56,AQ$20&lt;'01_Input'!$W$56),'01_Input'!$Y$56,0),MAX(MIN(AQ$20,'01_Input'!$W$56)-'01_Input'!$V$56,0)*'01_Input'!$Y$56))+IF('01_Input'!$AB$56="Forfait",IF(AQ$20&gt;='01_Input'!$Z$56,'01_Input'!$AC$56,0),IF('01_Input'!$AB$56="Palier",IF(AND(AQ$20&gt;='01_Input'!$Z$56,AQ$20&lt;'01_Input'!$AA$56),'01_Input'!$AC$56,0),MAX(MIN(AQ$20,'01_Input'!$AA$56)-'01_Input'!$Z$56,0)*'01_Input'!$AC$56)))))))))</f>
        <v>0</v>
      </c>
      <c r="AR24" s="83">
        <f>IF('01_Input'!$C$56="Non",0,MIN('01_Input'!$I$56,MAX('01_Input'!$H$56,IF('01_Input'!$G$56="Résiduel vs Gestion",0,IF('01_Input'!$G$56="Taux Classe sélectionnée",Distrib_SousDistrib_Classe_Selectionnee*AR$20,IF('01_Input'!$G$56="Frais KYC (paliers de 100M€)",MAX(0,Nb_Investisseurs-Nb_KYC_Gratuites_Par_Tranche*(FLOOR(AR$20/Taille_Tranche_KYC,1)+1))*Cout_Par_KYC_Supplementaire,(IF('01_Input'!$L$56="Forfait",IF(AR$20&gt;='01_Input'!$J$56,'01_Input'!$M$56,0),IF('01_Input'!$L$56="Palier",IF(AND(AR$20&gt;='01_Input'!$J$56,AR$20&lt;'01_Input'!$K$56),'01_Input'!$M$56,0),MAX(MIN(AR$20,'01_Input'!$K$56)-'01_Input'!$J$56,0)*'01_Input'!$M$56))+IF('01_Input'!$P$56="Forfait",IF(AR$20&gt;='01_Input'!$N$56,'01_Input'!$Q$56,0),IF('01_Input'!$P$56="Palier",IF(AND(AR$20&gt;='01_Input'!$N$56,AR$20&lt;'01_Input'!$O$56),'01_Input'!$Q$56,0),MAX(MIN(AR$20,'01_Input'!$O$56)-'01_Input'!$N$56,0)*'01_Input'!$Q$56))+IF('01_Input'!$T$56="Forfait",IF(AR$20&gt;='01_Input'!$R$56,'01_Input'!$U$56,0),IF('01_Input'!$T$56="Palier",IF(AND(AR$20&gt;='01_Input'!$R$56,AR$20&lt;'01_Input'!$S$56),'01_Input'!$U$56,0),MAX(MIN(AR$20,'01_Input'!$S$56)-'01_Input'!$R$56,0)*'01_Input'!$U$56))+IF('01_Input'!$X$56="Forfait",IF(AR$20&gt;='01_Input'!$V$56,'01_Input'!$Y$56,0),IF('01_Input'!$X$56="Palier",IF(AND(AR$20&gt;='01_Input'!$V$56,AR$20&lt;'01_Input'!$W$56),'01_Input'!$Y$56,0),MAX(MIN(AR$20,'01_Input'!$W$56)-'01_Input'!$V$56,0)*'01_Input'!$Y$56))+IF('01_Input'!$AB$56="Forfait",IF(AR$20&gt;='01_Input'!$Z$56,'01_Input'!$AC$56,0),IF('01_Input'!$AB$56="Palier",IF(AND(AR$20&gt;='01_Input'!$Z$56,AR$20&lt;'01_Input'!$AA$56),'01_Input'!$AC$56,0),MAX(MIN(AR$20,'01_Input'!$AA$56)-'01_Input'!$Z$56,0)*'01_Input'!$AC$56)))))))))</f>
        <v>0</v>
      </c>
      <c r="AS24" s="83">
        <f>IF('01_Input'!$C$56="Non",0,MIN('01_Input'!$I$56,MAX('01_Input'!$H$56,IF('01_Input'!$G$56="Résiduel vs Gestion",0,IF('01_Input'!$G$56="Taux Classe sélectionnée",Distrib_SousDistrib_Classe_Selectionnee*AS$20,IF('01_Input'!$G$56="Frais KYC (paliers de 100M€)",MAX(0,Nb_Investisseurs-Nb_KYC_Gratuites_Par_Tranche*(FLOOR(AS$20/Taille_Tranche_KYC,1)+1))*Cout_Par_KYC_Supplementaire,(IF('01_Input'!$L$56="Forfait",IF(AS$20&gt;='01_Input'!$J$56,'01_Input'!$M$56,0),IF('01_Input'!$L$56="Palier",IF(AND(AS$20&gt;='01_Input'!$J$56,AS$20&lt;'01_Input'!$K$56),'01_Input'!$M$56,0),MAX(MIN(AS$20,'01_Input'!$K$56)-'01_Input'!$J$56,0)*'01_Input'!$M$56))+IF('01_Input'!$P$56="Forfait",IF(AS$20&gt;='01_Input'!$N$56,'01_Input'!$Q$56,0),IF('01_Input'!$P$56="Palier",IF(AND(AS$20&gt;='01_Input'!$N$56,AS$20&lt;'01_Input'!$O$56),'01_Input'!$Q$56,0),MAX(MIN(AS$20,'01_Input'!$O$56)-'01_Input'!$N$56,0)*'01_Input'!$Q$56))+IF('01_Input'!$T$56="Forfait",IF(AS$20&gt;='01_Input'!$R$56,'01_Input'!$U$56,0),IF('01_Input'!$T$56="Palier",IF(AND(AS$20&gt;='01_Input'!$R$56,AS$20&lt;'01_Input'!$S$56),'01_Input'!$U$56,0),MAX(MIN(AS$20,'01_Input'!$S$56)-'01_Input'!$R$56,0)*'01_Input'!$U$56))+IF('01_Input'!$X$56="Forfait",IF(AS$20&gt;='01_Input'!$V$56,'01_Input'!$Y$56,0),IF('01_Input'!$X$56="Palier",IF(AND(AS$20&gt;='01_Input'!$V$56,AS$20&lt;'01_Input'!$W$56),'01_Input'!$Y$56,0),MAX(MIN(AS$20,'01_Input'!$W$56)-'01_Input'!$V$56,0)*'01_Input'!$Y$56))+IF('01_Input'!$AB$56="Forfait",IF(AS$20&gt;='01_Input'!$Z$56,'01_Input'!$AC$56,0),IF('01_Input'!$AB$56="Palier",IF(AND(AS$20&gt;='01_Input'!$Z$56,AS$20&lt;'01_Input'!$AA$56),'01_Input'!$AC$56,0),MAX(MIN(AS$20,'01_Input'!$AA$56)-'01_Input'!$Z$56,0)*'01_Input'!$AC$56)))))))))</f>
        <v>0</v>
      </c>
      <c r="AT24" s="83">
        <f>IF('01_Input'!$C$56="Non",0,MIN('01_Input'!$I$56,MAX('01_Input'!$H$56,IF('01_Input'!$G$56="Résiduel vs Gestion",0,IF('01_Input'!$G$56="Taux Classe sélectionnée",Distrib_SousDistrib_Classe_Selectionnee*AT$20,IF('01_Input'!$G$56="Frais KYC (paliers de 100M€)",MAX(0,Nb_Investisseurs-Nb_KYC_Gratuites_Par_Tranche*(FLOOR(AT$20/Taille_Tranche_KYC,1)+1))*Cout_Par_KYC_Supplementaire,(IF('01_Input'!$L$56="Forfait",IF(AT$20&gt;='01_Input'!$J$56,'01_Input'!$M$56,0),IF('01_Input'!$L$56="Palier",IF(AND(AT$20&gt;='01_Input'!$J$56,AT$20&lt;'01_Input'!$K$56),'01_Input'!$M$56,0),MAX(MIN(AT$20,'01_Input'!$K$56)-'01_Input'!$J$56,0)*'01_Input'!$M$56))+IF('01_Input'!$P$56="Forfait",IF(AT$20&gt;='01_Input'!$N$56,'01_Input'!$Q$56,0),IF('01_Input'!$P$56="Palier",IF(AND(AT$20&gt;='01_Input'!$N$56,AT$20&lt;'01_Input'!$O$56),'01_Input'!$Q$56,0),MAX(MIN(AT$20,'01_Input'!$O$56)-'01_Input'!$N$56,0)*'01_Input'!$Q$56))+IF('01_Input'!$T$56="Forfait",IF(AT$20&gt;='01_Input'!$R$56,'01_Input'!$U$56,0),IF('01_Input'!$T$56="Palier",IF(AND(AT$20&gt;='01_Input'!$R$56,AT$20&lt;'01_Input'!$S$56),'01_Input'!$U$56,0),MAX(MIN(AT$20,'01_Input'!$S$56)-'01_Input'!$R$56,0)*'01_Input'!$U$56))+IF('01_Input'!$X$56="Forfait",IF(AT$20&gt;='01_Input'!$V$56,'01_Input'!$Y$56,0),IF('01_Input'!$X$56="Palier",IF(AND(AT$20&gt;='01_Input'!$V$56,AT$20&lt;'01_Input'!$W$56),'01_Input'!$Y$56,0),MAX(MIN(AT$20,'01_Input'!$W$56)-'01_Input'!$V$56,0)*'01_Input'!$Y$56))+IF('01_Input'!$AB$56="Forfait",IF(AT$20&gt;='01_Input'!$Z$56,'01_Input'!$AC$56,0),IF('01_Input'!$AB$56="Palier",IF(AND(AT$20&gt;='01_Input'!$Z$56,AT$20&lt;'01_Input'!$AA$56),'01_Input'!$AC$56,0),MAX(MIN(AT$20,'01_Input'!$AA$56)-'01_Input'!$Z$56,0)*'01_Input'!$AC$56)))))))))</f>
        <v>0</v>
      </c>
      <c r="AU24" s="83">
        <f>IF('01_Input'!$C$56="Non",0,MIN('01_Input'!$I$56,MAX('01_Input'!$H$56,IF('01_Input'!$G$56="Résiduel vs Gestion",0,IF('01_Input'!$G$56="Taux Classe sélectionnée",Distrib_SousDistrib_Classe_Selectionnee*AU$20,IF('01_Input'!$G$56="Frais KYC (paliers de 100M€)",MAX(0,Nb_Investisseurs-Nb_KYC_Gratuites_Par_Tranche*(FLOOR(AU$20/Taille_Tranche_KYC,1)+1))*Cout_Par_KYC_Supplementaire,(IF('01_Input'!$L$56="Forfait",IF(AU$20&gt;='01_Input'!$J$56,'01_Input'!$M$56,0),IF('01_Input'!$L$56="Palier",IF(AND(AU$20&gt;='01_Input'!$J$56,AU$20&lt;'01_Input'!$K$56),'01_Input'!$M$56,0),MAX(MIN(AU$20,'01_Input'!$K$56)-'01_Input'!$J$56,0)*'01_Input'!$M$56))+IF('01_Input'!$P$56="Forfait",IF(AU$20&gt;='01_Input'!$N$56,'01_Input'!$Q$56,0),IF('01_Input'!$P$56="Palier",IF(AND(AU$20&gt;='01_Input'!$N$56,AU$20&lt;'01_Input'!$O$56),'01_Input'!$Q$56,0),MAX(MIN(AU$20,'01_Input'!$O$56)-'01_Input'!$N$56,0)*'01_Input'!$Q$56))+IF('01_Input'!$T$56="Forfait",IF(AU$20&gt;='01_Input'!$R$56,'01_Input'!$U$56,0),IF('01_Input'!$T$56="Palier",IF(AND(AU$20&gt;='01_Input'!$R$56,AU$20&lt;'01_Input'!$S$56),'01_Input'!$U$56,0),MAX(MIN(AU$20,'01_Input'!$S$56)-'01_Input'!$R$56,0)*'01_Input'!$U$56))+IF('01_Input'!$X$56="Forfait",IF(AU$20&gt;='01_Input'!$V$56,'01_Input'!$Y$56,0),IF('01_Input'!$X$56="Palier",IF(AND(AU$20&gt;='01_Input'!$V$56,AU$20&lt;'01_Input'!$W$56),'01_Input'!$Y$56,0),MAX(MIN(AU$20,'01_Input'!$W$56)-'01_Input'!$V$56,0)*'01_Input'!$Y$56))+IF('01_Input'!$AB$56="Forfait",IF(AU$20&gt;='01_Input'!$Z$56,'01_Input'!$AC$56,0),IF('01_Input'!$AB$56="Palier",IF(AND(AU$20&gt;='01_Input'!$Z$56,AU$20&lt;'01_Input'!$AA$56),'01_Input'!$AC$56,0),MAX(MIN(AU$20,'01_Input'!$AA$56)-'01_Input'!$Z$56,0)*'01_Input'!$AC$56)))))))))</f>
        <v>0</v>
      </c>
      <c r="AV24" s="83">
        <f>IF('01_Input'!$C$56="Non",0,MIN('01_Input'!$I$56,MAX('01_Input'!$H$56,IF('01_Input'!$G$56="Résiduel vs Gestion",0,IF('01_Input'!$G$56="Taux Classe sélectionnée",Distrib_SousDistrib_Classe_Selectionnee*AV$20,IF('01_Input'!$G$56="Frais KYC (paliers de 100M€)",MAX(0,Nb_Investisseurs-Nb_KYC_Gratuites_Par_Tranche*(FLOOR(AV$20/Taille_Tranche_KYC,1)+1))*Cout_Par_KYC_Supplementaire,(IF('01_Input'!$L$56="Forfait",IF(AV$20&gt;='01_Input'!$J$56,'01_Input'!$M$56,0),IF('01_Input'!$L$56="Palier",IF(AND(AV$20&gt;='01_Input'!$J$56,AV$20&lt;'01_Input'!$K$56),'01_Input'!$M$56,0),MAX(MIN(AV$20,'01_Input'!$K$56)-'01_Input'!$J$56,0)*'01_Input'!$M$56))+IF('01_Input'!$P$56="Forfait",IF(AV$20&gt;='01_Input'!$N$56,'01_Input'!$Q$56,0),IF('01_Input'!$P$56="Palier",IF(AND(AV$20&gt;='01_Input'!$N$56,AV$20&lt;'01_Input'!$O$56),'01_Input'!$Q$56,0),MAX(MIN(AV$20,'01_Input'!$O$56)-'01_Input'!$N$56,0)*'01_Input'!$Q$56))+IF('01_Input'!$T$56="Forfait",IF(AV$20&gt;='01_Input'!$R$56,'01_Input'!$U$56,0),IF('01_Input'!$T$56="Palier",IF(AND(AV$20&gt;='01_Input'!$R$56,AV$20&lt;'01_Input'!$S$56),'01_Input'!$U$56,0),MAX(MIN(AV$20,'01_Input'!$S$56)-'01_Input'!$R$56,0)*'01_Input'!$U$56))+IF('01_Input'!$X$56="Forfait",IF(AV$20&gt;='01_Input'!$V$56,'01_Input'!$Y$56,0),IF('01_Input'!$X$56="Palier",IF(AND(AV$20&gt;='01_Input'!$V$56,AV$20&lt;'01_Input'!$W$56),'01_Input'!$Y$56,0),MAX(MIN(AV$20,'01_Input'!$W$56)-'01_Input'!$V$56,0)*'01_Input'!$Y$56))+IF('01_Input'!$AB$56="Forfait",IF(AV$20&gt;='01_Input'!$Z$56,'01_Input'!$AC$56,0),IF('01_Input'!$AB$56="Palier",IF(AND(AV$20&gt;='01_Input'!$Z$56,AV$20&lt;'01_Input'!$AA$56),'01_Input'!$AC$56,0),MAX(MIN(AV$20,'01_Input'!$AA$56)-'01_Input'!$Z$56,0)*'01_Input'!$AC$56)))))))))</f>
        <v>0</v>
      </c>
      <c r="AW24" s="83">
        <f>IF('01_Input'!$C$56="Non",0,MIN('01_Input'!$I$56,MAX('01_Input'!$H$56,IF('01_Input'!$G$56="Résiduel vs Gestion",0,IF('01_Input'!$G$56="Taux Classe sélectionnée",Distrib_SousDistrib_Classe_Selectionnee*AW$20,IF('01_Input'!$G$56="Frais KYC (paliers de 100M€)",MAX(0,Nb_Investisseurs-Nb_KYC_Gratuites_Par_Tranche*(FLOOR(AW$20/Taille_Tranche_KYC,1)+1))*Cout_Par_KYC_Supplementaire,(IF('01_Input'!$L$56="Forfait",IF(AW$20&gt;='01_Input'!$J$56,'01_Input'!$M$56,0),IF('01_Input'!$L$56="Palier",IF(AND(AW$20&gt;='01_Input'!$J$56,AW$20&lt;'01_Input'!$K$56),'01_Input'!$M$56,0),MAX(MIN(AW$20,'01_Input'!$K$56)-'01_Input'!$J$56,0)*'01_Input'!$M$56))+IF('01_Input'!$P$56="Forfait",IF(AW$20&gt;='01_Input'!$N$56,'01_Input'!$Q$56,0),IF('01_Input'!$P$56="Palier",IF(AND(AW$20&gt;='01_Input'!$N$56,AW$20&lt;'01_Input'!$O$56),'01_Input'!$Q$56,0),MAX(MIN(AW$20,'01_Input'!$O$56)-'01_Input'!$N$56,0)*'01_Input'!$Q$56))+IF('01_Input'!$T$56="Forfait",IF(AW$20&gt;='01_Input'!$R$56,'01_Input'!$U$56,0),IF('01_Input'!$T$56="Palier",IF(AND(AW$20&gt;='01_Input'!$R$56,AW$20&lt;'01_Input'!$S$56),'01_Input'!$U$56,0),MAX(MIN(AW$20,'01_Input'!$S$56)-'01_Input'!$R$56,0)*'01_Input'!$U$56))+IF('01_Input'!$X$56="Forfait",IF(AW$20&gt;='01_Input'!$V$56,'01_Input'!$Y$56,0),IF('01_Input'!$X$56="Palier",IF(AND(AW$20&gt;='01_Input'!$V$56,AW$20&lt;'01_Input'!$W$56),'01_Input'!$Y$56,0),MAX(MIN(AW$20,'01_Input'!$W$56)-'01_Input'!$V$56,0)*'01_Input'!$Y$56))+IF('01_Input'!$AB$56="Forfait",IF(AW$20&gt;='01_Input'!$Z$56,'01_Input'!$AC$56,0),IF('01_Input'!$AB$56="Palier",IF(AND(AW$20&gt;='01_Input'!$Z$56,AW$20&lt;'01_Input'!$AA$56),'01_Input'!$AC$56,0),MAX(MIN(AW$20,'01_Input'!$AA$56)-'01_Input'!$Z$56,0)*'01_Input'!$AC$56)))))))))</f>
        <v>0</v>
      </c>
      <c r="AX24" s="83">
        <f>IF('01_Input'!$C$56="Non",0,MIN('01_Input'!$I$56,MAX('01_Input'!$H$56,IF('01_Input'!$G$56="Résiduel vs Gestion",0,IF('01_Input'!$G$56="Taux Classe sélectionnée",Distrib_SousDistrib_Classe_Selectionnee*AX$20,IF('01_Input'!$G$56="Frais KYC (paliers de 100M€)",MAX(0,Nb_Investisseurs-Nb_KYC_Gratuites_Par_Tranche*(FLOOR(AX$20/Taille_Tranche_KYC,1)+1))*Cout_Par_KYC_Supplementaire,(IF('01_Input'!$L$56="Forfait",IF(AX$20&gt;='01_Input'!$J$56,'01_Input'!$M$56,0),IF('01_Input'!$L$56="Palier",IF(AND(AX$20&gt;='01_Input'!$J$56,AX$20&lt;'01_Input'!$K$56),'01_Input'!$M$56,0),MAX(MIN(AX$20,'01_Input'!$K$56)-'01_Input'!$J$56,0)*'01_Input'!$M$56))+IF('01_Input'!$P$56="Forfait",IF(AX$20&gt;='01_Input'!$N$56,'01_Input'!$Q$56,0),IF('01_Input'!$P$56="Palier",IF(AND(AX$20&gt;='01_Input'!$N$56,AX$20&lt;'01_Input'!$O$56),'01_Input'!$Q$56,0),MAX(MIN(AX$20,'01_Input'!$O$56)-'01_Input'!$N$56,0)*'01_Input'!$Q$56))+IF('01_Input'!$T$56="Forfait",IF(AX$20&gt;='01_Input'!$R$56,'01_Input'!$U$56,0),IF('01_Input'!$T$56="Palier",IF(AND(AX$20&gt;='01_Input'!$R$56,AX$20&lt;'01_Input'!$S$56),'01_Input'!$U$56,0),MAX(MIN(AX$20,'01_Input'!$S$56)-'01_Input'!$R$56,0)*'01_Input'!$U$56))+IF('01_Input'!$X$56="Forfait",IF(AX$20&gt;='01_Input'!$V$56,'01_Input'!$Y$56,0),IF('01_Input'!$X$56="Palier",IF(AND(AX$20&gt;='01_Input'!$V$56,AX$20&lt;'01_Input'!$W$56),'01_Input'!$Y$56,0),MAX(MIN(AX$20,'01_Input'!$W$56)-'01_Input'!$V$56,0)*'01_Input'!$Y$56))+IF('01_Input'!$AB$56="Forfait",IF(AX$20&gt;='01_Input'!$Z$56,'01_Input'!$AC$56,0),IF('01_Input'!$AB$56="Palier",IF(AND(AX$20&gt;='01_Input'!$Z$56,AX$20&lt;'01_Input'!$AA$56),'01_Input'!$AC$56,0),MAX(MIN(AX$20,'01_Input'!$AA$56)-'01_Input'!$Z$56,0)*'01_Input'!$AC$56)))))))))</f>
        <v>0</v>
      </c>
      <c r="AY24" s="83">
        <f>IF('01_Input'!$C$56="Non",0,MIN('01_Input'!$I$56,MAX('01_Input'!$H$56,IF('01_Input'!$G$56="Résiduel vs Gestion",0,IF('01_Input'!$G$56="Taux Classe sélectionnée",Distrib_SousDistrib_Classe_Selectionnee*AY$20,IF('01_Input'!$G$56="Frais KYC (paliers de 100M€)",MAX(0,Nb_Investisseurs-Nb_KYC_Gratuites_Par_Tranche*(FLOOR(AY$20/Taille_Tranche_KYC,1)+1))*Cout_Par_KYC_Supplementaire,(IF('01_Input'!$L$56="Forfait",IF(AY$20&gt;='01_Input'!$J$56,'01_Input'!$M$56,0),IF('01_Input'!$L$56="Palier",IF(AND(AY$20&gt;='01_Input'!$J$56,AY$20&lt;'01_Input'!$K$56),'01_Input'!$M$56,0),MAX(MIN(AY$20,'01_Input'!$K$56)-'01_Input'!$J$56,0)*'01_Input'!$M$56))+IF('01_Input'!$P$56="Forfait",IF(AY$20&gt;='01_Input'!$N$56,'01_Input'!$Q$56,0),IF('01_Input'!$P$56="Palier",IF(AND(AY$20&gt;='01_Input'!$N$56,AY$20&lt;'01_Input'!$O$56),'01_Input'!$Q$56,0),MAX(MIN(AY$20,'01_Input'!$O$56)-'01_Input'!$N$56,0)*'01_Input'!$Q$56))+IF('01_Input'!$T$56="Forfait",IF(AY$20&gt;='01_Input'!$R$56,'01_Input'!$U$56,0),IF('01_Input'!$T$56="Palier",IF(AND(AY$20&gt;='01_Input'!$R$56,AY$20&lt;'01_Input'!$S$56),'01_Input'!$U$56,0),MAX(MIN(AY$20,'01_Input'!$S$56)-'01_Input'!$R$56,0)*'01_Input'!$U$56))+IF('01_Input'!$X$56="Forfait",IF(AY$20&gt;='01_Input'!$V$56,'01_Input'!$Y$56,0),IF('01_Input'!$X$56="Palier",IF(AND(AY$20&gt;='01_Input'!$V$56,AY$20&lt;'01_Input'!$W$56),'01_Input'!$Y$56,0),MAX(MIN(AY$20,'01_Input'!$W$56)-'01_Input'!$V$56,0)*'01_Input'!$Y$56))+IF('01_Input'!$AB$56="Forfait",IF(AY$20&gt;='01_Input'!$Z$56,'01_Input'!$AC$56,0),IF('01_Input'!$AB$56="Palier",IF(AND(AY$20&gt;='01_Input'!$Z$56,AY$20&lt;'01_Input'!$AA$56),'01_Input'!$AC$56,0),MAX(MIN(AY$20,'01_Input'!$AA$56)-'01_Input'!$Z$56,0)*'01_Input'!$AC$56)))))))))</f>
        <v>0</v>
      </c>
      <c r="AZ24" s="83">
        <f>IF('01_Input'!$C$56="Non",0,MIN('01_Input'!$I$56,MAX('01_Input'!$H$56,IF('01_Input'!$G$56="Résiduel vs Gestion",0,IF('01_Input'!$G$56="Taux Classe sélectionnée",Distrib_SousDistrib_Classe_Selectionnee*AZ$20,IF('01_Input'!$G$56="Frais KYC (paliers de 100M€)",MAX(0,Nb_Investisseurs-Nb_KYC_Gratuites_Par_Tranche*(FLOOR(AZ$20/Taille_Tranche_KYC,1)+1))*Cout_Par_KYC_Supplementaire,(IF('01_Input'!$L$56="Forfait",IF(AZ$20&gt;='01_Input'!$J$56,'01_Input'!$M$56,0),IF('01_Input'!$L$56="Palier",IF(AND(AZ$20&gt;='01_Input'!$J$56,AZ$20&lt;'01_Input'!$K$56),'01_Input'!$M$56,0),MAX(MIN(AZ$20,'01_Input'!$K$56)-'01_Input'!$J$56,0)*'01_Input'!$M$56))+IF('01_Input'!$P$56="Forfait",IF(AZ$20&gt;='01_Input'!$N$56,'01_Input'!$Q$56,0),IF('01_Input'!$P$56="Palier",IF(AND(AZ$20&gt;='01_Input'!$N$56,AZ$20&lt;'01_Input'!$O$56),'01_Input'!$Q$56,0),MAX(MIN(AZ$20,'01_Input'!$O$56)-'01_Input'!$N$56,0)*'01_Input'!$Q$56))+IF('01_Input'!$T$56="Forfait",IF(AZ$20&gt;='01_Input'!$R$56,'01_Input'!$U$56,0),IF('01_Input'!$T$56="Palier",IF(AND(AZ$20&gt;='01_Input'!$R$56,AZ$20&lt;'01_Input'!$S$56),'01_Input'!$U$56,0),MAX(MIN(AZ$20,'01_Input'!$S$56)-'01_Input'!$R$56,0)*'01_Input'!$U$56))+IF('01_Input'!$X$56="Forfait",IF(AZ$20&gt;='01_Input'!$V$56,'01_Input'!$Y$56,0),IF('01_Input'!$X$56="Palier",IF(AND(AZ$20&gt;='01_Input'!$V$56,AZ$20&lt;'01_Input'!$W$56),'01_Input'!$Y$56,0),MAX(MIN(AZ$20,'01_Input'!$W$56)-'01_Input'!$V$56,0)*'01_Input'!$Y$56))+IF('01_Input'!$AB$56="Forfait",IF(AZ$20&gt;='01_Input'!$Z$56,'01_Input'!$AC$56,0),IF('01_Input'!$AB$56="Palier",IF(AND(AZ$20&gt;='01_Input'!$Z$56,AZ$20&lt;'01_Input'!$AA$56),'01_Input'!$AC$56,0),MAX(MIN(AZ$20,'01_Input'!$AA$56)-'01_Input'!$Z$56,0)*'01_Input'!$AC$56)))))))))</f>
        <v>0</v>
      </c>
      <c r="BA24" s="83">
        <f>IF('01_Input'!$C$56="Non",0,MIN('01_Input'!$I$56,MAX('01_Input'!$H$56,IF('01_Input'!$G$56="Résiduel vs Gestion",0,IF('01_Input'!$G$56="Taux Classe sélectionnée",Distrib_SousDistrib_Classe_Selectionnee*BA$20,IF('01_Input'!$G$56="Frais KYC (paliers de 100M€)",MAX(0,Nb_Investisseurs-Nb_KYC_Gratuites_Par_Tranche*(FLOOR(BA$20/Taille_Tranche_KYC,1)+1))*Cout_Par_KYC_Supplementaire,(IF('01_Input'!$L$56="Forfait",IF(BA$20&gt;='01_Input'!$J$56,'01_Input'!$M$56,0),IF('01_Input'!$L$56="Palier",IF(AND(BA$20&gt;='01_Input'!$J$56,BA$20&lt;'01_Input'!$K$56),'01_Input'!$M$56,0),MAX(MIN(BA$20,'01_Input'!$K$56)-'01_Input'!$J$56,0)*'01_Input'!$M$56))+IF('01_Input'!$P$56="Forfait",IF(BA$20&gt;='01_Input'!$N$56,'01_Input'!$Q$56,0),IF('01_Input'!$P$56="Palier",IF(AND(BA$20&gt;='01_Input'!$N$56,BA$20&lt;'01_Input'!$O$56),'01_Input'!$Q$56,0),MAX(MIN(BA$20,'01_Input'!$O$56)-'01_Input'!$N$56,0)*'01_Input'!$Q$56))+IF('01_Input'!$T$56="Forfait",IF(BA$20&gt;='01_Input'!$R$56,'01_Input'!$U$56,0),IF('01_Input'!$T$56="Palier",IF(AND(BA$20&gt;='01_Input'!$R$56,BA$20&lt;'01_Input'!$S$56),'01_Input'!$U$56,0),MAX(MIN(BA$20,'01_Input'!$S$56)-'01_Input'!$R$56,0)*'01_Input'!$U$56))+IF('01_Input'!$X$56="Forfait",IF(BA$20&gt;='01_Input'!$V$56,'01_Input'!$Y$56,0),IF('01_Input'!$X$56="Palier",IF(AND(BA$20&gt;='01_Input'!$V$56,BA$20&lt;'01_Input'!$W$56),'01_Input'!$Y$56,0),MAX(MIN(BA$20,'01_Input'!$W$56)-'01_Input'!$V$56,0)*'01_Input'!$Y$56))+IF('01_Input'!$AB$56="Forfait",IF(BA$20&gt;='01_Input'!$Z$56,'01_Input'!$AC$56,0),IF('01_Input'!$AB$56="Palier",IF(AND(BA$20&gt;='01_Input'!$Z$56,BA$20&lt;'01_Input'!$AA$56),'01_Input'!$AC$56,0),MAX(MIN(BA$20,'01_Input'!$AA$56)-'01_Input'!$Z$56,0)*'01_Input'!$AC$56)))))))))</f>
        <v>0</v>
      </c>
      <c r="BB24" s="83">
        <f>IF('01_Input'!$C$56="Non",0,MIN('01_Input'!$I$56,MAX('01_Input'!$H$56,IF('01_Input'!$G$56="Résiduel vs Gestion",0,IF('01_Input'!$G$56="Taux Classe sélectionnée",Distrib_SousDistrib_Classe_Selectionnee*BB$20,IF('01_Input'!$G$56="Frais KYC (paliers de 100M€)",MAX(0,Nb_Investisseurs-Nb_KYC_Gratuites_Par_Tranche*(FLOOR(BB$20/Taille_Tranche_KYC,1)+1))*Cout_Par_KYC_Supplementaire,(IF('01_Input'!$L$56="Forfait",IF(BB$20&gt;='01_Input'!$J$56,'01_Input'!$M$56,0),IF('01_Input'!$L$56="Palier",IF(AND(BB$20&gt;='01_Input'!$J$56,BB$20&lt;'01_Input'!$K$56),'01_Input'!$M$56,0),MAX(MIN(BB$20,'01_Input'!$K$56)-'01_Input'!$J$56,0)*'01_Input'!$M$56))+IF('01_Input'!$P$56="Forfait",IF(BB$20&gt;='01_Input'!$N$56,'01_Input'!$Q$56,0),IF('01_Input'!$P$56="Palier",IF(AND(BB$20&gt;='01_Input'!$N$56,BB$20&lt;'01_Input'!$O$56),'01_Input'!$Q$56,0),MAX(MIN(BB$20,'01_Input'!$O$56)-'01_Input'!$N$56,0)*'01_Input'!$Q$56))+IF('01_Input'!$T$56="Forfait",IF(BB$20&gt;='01_Input'!$R$56,'01_Input'!$U$56,0),IF('01_Input'!$T$56="Palier",IF(AND(BB$20&gt;='01_Input'!$R$56,BB$20&lt;'01_Input'!$S$56),'01_Input'!$U$56,0),MAX(MIN(BB$20,'01_Input'!$S$56)-'01_Input'!$R$56,0)*'01_Input'!$U$56))+IF('01_Input'!$X$56="Forfait",IF(BB$20&gt;='01_Input'!$V$56,'01_Input'!$Y$56,0),IF('01_Input'!$X$56="Palier",IF(AND(BB$20&gt;='01_Input'!$V$56,BB$20&lt;'01_Input'!$W$56),'01_Input'!$Y$56,0),MAX(MIN(BB$20,'01_Input'!$W$56)-'01_Input'!$V$56,0)*'01_Input'!$Y$56))+IF('01_Input'!$AB$56="Forfait",IF(BB$20&gt;='01_Input'!$Z$56,'01_Input'!$AC$56,0),IF('01_Input'!$AB$56="Palier",IF(AND(BB$20&gt;='01_Input'!$Z$56,BB$20&lt;'01_Input'!$AA$56),'01_Input'!$AC$56,0),MAX(MIN(BB$20,'01_Input'!$AA$56)-'01_Input'!$Z$56,0)*'01_Input'!$AC$56)))))))))</f>
        <v>0</v>
      </c>
      <c r="BC24" s="83">
        <f>IF('01_Input'!$C$56="Non",0,MIN('01_Input'!$I$56,MAX('01_Input'!$H$56,IF('01_Input'!$G$56="Résiduel vs Gestion",0,IF('01_Input'!$G$56="Taux Classe sélectionnée",Distrib_SousDistrib_Classe_Selectionnee*BC$20,IF('01_Input'!$G$56="Frais KYC (paliers de 100M€)",MAX(0,Nb_Investisseurs-Nb_KYC_Gratuites_Par_Tranche*(FLOOR(BC$20/Taille_Tranche_KYC,1)+1))*Cout_Par_KYC_Supplementaire,(IF('01_Input'!$L$56="Forfait",IF(BC$20&gt;='01_Input'!$J$56,'01_Input'!$M$56,0),IF('01_Input'!$L$56="Palier",IF(AND(BC$20&gt;='01_Input'!$J$56,BC$20&lt;'01_Input'!$K$56),'01_Input'!$M$56,0),MAX(MIN(BC$20,'01_Input'!$K$56)-'01_Input'!$J$56,0)*'01_Input'!$M$56))+IF('01_Input'!$P$56="Forfait",IF(BC$20&gt;='01_Input'!$N$56,'01_Input'!$Q$56,0),IF('01_Input'!$P$56="Palier",IF(AND(BC$20&gt;='01_Input'!$N$56,BC$20&lt;'01_Input'!$O$56),'01_Input'!$Q$56,0),MAX(MIN(BC$20,'01_Input'!$O$56)-'01_Input'!$N$56,0)*'01_Input'!$Q$56))+IF('01_Input'!$T$56="Forfait",IF(BC$20&gt;='01_Input'!$R$56,'01_Input'!$U$56,0),IF('01_Input'!$T$56="Palier",IF(AND(BC$20&gt;='01_Input'!$R$56,BC$20&lt;'01_Input'!$S$56),'01_Input'!$U$56,0),MAX(MIN(BC$20,'01_Input'!$S$56)-'01_Input'!$R$56,0)*'01_Input'!$U$56))+IF('01_Input'!$X$56="Forfait",IF(BC$20&gt;='01_Input'!$V$56,'01_Input'!$Y$56,0),IF('01_Input'!$X$56="Palier",IF(AND(BC$20&gt;='01_Input'!$V$56,BC$20&lt;'01_Input'!$W$56),'01_Input'!$Y$56,0),MAX(MIN(BC$20,'01_Input'!$W$56)-'01_Input'!$V$56,0)*'01_Input'!$Y$56))+IF('01_Input'!$AB$56="Forfait",IF(BC$20&gt;='01_Input'!$Z$56,'01_Input'!$AC$56,0),IF('01_Input'!$AB$56="Palier",IF(AND(BC$20&gt;='01_Input'!$Z$56,BC$20&lt;'01_Input'!$AA$56),'01_Input'!$AC$56,0),MAX(MIN(BC$20,'01_Input'!$AA$56)-'01_Input'!$Z$56,0)*'01_Input'!$AC$56)))))))))</f>
        <v>0</v>
      </c>
      <c r="BD24" s="83">
        <f>IF('01_Input'!$C$56="Non",0,MIN('01_Input'!$I$56,MAX('01_Input'!$H$56,IF('01_Input'!$G$56="Résiduel vs Gestion",0,IF('01_Input'!$G$56="Taux Classe sélectionnée",Distrib_SousDistrib_Classe_Selectionnee*BD$20,IF('01_Input'!$G$56="Frais KYC (paliers de 100M€)",MAX(0,Nb_Investisseurs-Nb_KYC_Gratuites_Par_Tranche*(FLOOR(BD$20/Taille_Tranche_KYC,1)+1))*Cout_Par_KYC_Supplementaire,(IF('01_Input'!$L$56="Forfait",IF(BD$20&gt;='01_Input'!$J$56,'01_Input'!$M$56,0),IF('01_Input'!$L$56="Palier",IF(AND(BD$20&gt;='01_Input'!$J$56,BD$20&lt;'01_Input'!$K$56),'01_Input'!$M$56,0),MAX(MIN(BD$20,'01_Input'!$K$56)-'01_Input'!$J$56,0)*'01_Input'!$M$56))+IF('01_Input'!$P$56="Forfait",IF(BD$20&gt;='01_Input'!$N$56,'01_Input'!$Q$56,0),IF('01_Input'!$P$56="Palier",IF(AND(BD$20&gt;='01_Input'!$N$56,BD$20&lt;'01_Input'!$O$56),'01_Input'!$Q$56,0),MAX(MIN(BD$20,'01_Input'!$O$56)-'01_Input'!$N$56,0)*'01_Input'!$Q$56))+IF('01_Input'!$T$56="Forfait",IF(BD$20&gt;='01_Input'!$R$56,'01_Input'!$U$56,0),IF('01_Input'!$T$56="Palier",IF(AND(BD$20&gt;='01_Input'!$R$56,BD$20&lt;'01_Input'!$S$56),'01_Input'!$U$56,0),MAX(MIN(BD$20,'01_Input'!$S$56)-'01_Input'!$R$56,0)*'01_Input'!$U$56))+IF('01_Input'!$X$56="Forfait",IF(BD$20&gt;='01_Input'!$V$56,'01_Input'!$Y$56,0),IF('01_Input'!$X$56="Palier",IF(AND(BD$20&gt;='01_Input'!$V$56,BD$20&lt;'01_Input'!$W$56),'01_Input'!$Y$56,0),MAX(MIN(BD$20,'01_Input'!$W$56)-'01_Input'!$V$56,0)*'01_Input'!$Y$56))+IF('01_Input'!$AB$56="Forfait",IF(BD$20&gt;='01_Input'!$Z$56,'01_Input'!$AC$56,0),IF('01_Input'!$AB$56="Palier",IF(AND(BD$20&gt;='01_Input'!$Z$56,BD$20&lt;'01_Input'!$AA$56),'01_Input'!$AC$56,0),MAX(MIN(BD$20,'01_Input'!$AA$56)-'01_Input'!$Z$56,0)*'01_Input'!$AC$56)))))))))</f>
        <v>0</v>
      </c>
      <c r="BE24" s="83">
        <f>IF('01_Input'!$C$56="Non",0,MIN('01_Input'!$I$56,MAX('01_Input'!$H$56,IF('01_Input'!$G$56="Résiduel vs Gestion",0,IF('01_Input'!$G$56="Taux Classe sélectionnée",Distrib_SousDistrib_Classe_Selectionnee*BE$20,IF('01_Input'!$G$56="Frais KYC (paliers de 100M€)",MAX(0,Nb_Investisseurs-Nb_KYC_Gratuites_Par_Tranche*(FLOOR(BE$20/Taille_Tranche_KYC,1)+1))*Cout_Par_KYC_Supplementaire,(IF('01_Input'!$L$56="Forfait",IF(BE$20&gt;='01_Input'!$J$56,'01_Input'!$M$56,0),IF('01_Input'!$L$56="Palier",IF(AND(BE$20&gt;='01_Input'!$J$56,BE$20&lt;'01_Input'!$K$56),'01_Input'!$M$56,0),MAX(MIN(BE$20,'01_Input'!$K$56)-'01_Input'!$J$56,0)*'01_Input'!$M$56))+IF('01_Input'!$P$56="Forfait",IF(BE$20&gt;='01_Input'!$N$56,'01_Input'!$Q$56,0),IF('01_Input'!$P$56="Palier",IF(AND(BE$20&gt;='01_Input'!$N$56,BE$20&lt;'01_Input'!$O$56),'01_Input'!$Q$56,0),MAX(MIN(BE$20,'01_Input'!$O$56)-'01_Input'!$N$56,0)*'01_Input'!$Q$56))+IF('01_Input'!$T$56="Forfait",IF(BE$20&gt;='01_Input'!$R$56,'01_Input'!$U$56,0),IF('01_Input'!$T$56="Palier",IF(AND(BE$20&gt;='01_Input'!$R$56,BE$20&lt;'01_Input'!$S$56),'01_Input'!$U$56,0),MAX(MIN(BE$20,'01_Input'!$S$56)-'01_Input'!$R$56,0)*'01_Input'!$U$56))+IF('01_Input'!$X$56="Forfait",IF(BE$20&gt;='01_Input'!$V$56,'01_Input'!$Y$56,0),IF('01_Input'!$X$56="Palier",IF(AND(BE$20&gt;='01_Input'!$V$56,BE$20&lt;'01_Input'!$W$56),'01_Input'!$Y$56,0),MAX(MIN(BE$20,'01_Input'!$W$56)-'01_Input'!$V$56,0)*'01_Input'!$Y$56))+IF('01_Input'!$AB$56="Forfait",IF(BE$20&gt;='01_Input'!$Z$56,'01_Input'!$AC$56,0),IF('01_Input'!$AB$56="Palier",IF(AND(BE$20&gt;='01_Input'!$Z$56,BE$20&lt;'01_Input'!$AA$56),'01_Input'!$AC$56,0),MAX(MIN(BE$20,'01_Input'!$AA$56)-'01_Input'!$Z$56,0)*'01_Input'!$AC$56)))))))))</f>
        <v>0</v>
      </c>
      <c r="BF24" s="83">
        <f>IF('01_Input'!$C$56="Non",0,MIN('01_Input'!$I$56,MAX('01_Input'!$H$56,IF('01_Input'!$G$56="Résiduel vs Gestion",0,IF('01_Input'!$G$56="Taux Classe sélectionnée",Distrib_SousDistrib_Classe_Selectionnee*BF$20,IF('01_Input'!$G$56="Frais KYC (paliers de 100M€)",MAX(0,Nb_Investisseurs-Nb_KYC_Gratuites_Par_Tranche*(FLOOR(BF$20/Taille_Tranche_KYC,1)+1))*Cout_Par_KYC_Supplementaire,(IF('01_Input'!$L$56="Forfait",IF(BF$20&gt;='01_Input'!$J$56,'01_Input'!$M$56,0),IF('01_Input'!$L$56="Palier",IF(AND(BF$20&gt;='01_Input'!$J$56,BF$20&lt;'01_Input'!$K$56),'01_Input'!$M$56,0),MAX(MIN(BF$20,'01_Input'!$K$56)-'01_Input'!$J$56,0)*'01_Input'!$M$56))+IF('01_Input'!$P$56="Forfait",IF(BF$20&gt;='01_Input'!$N$56,'01_Input'!$Q$56,0),IF('01_Input'!$P$56="Palier",IF(AND(BF$20&gt;='01_Input'!$N$56,BF$20&lt;'01_Input'!$O$56),'01_Input'!$Q$56,0),MAX(MIN(BF$20,'01_Input'!$O$56)-'01_Input'!$N$56,0)*'01_Input'!$Q$56))+IF('01_Input'!$T$56="Forfait",IF(BF$20&gt;='01_Input'!$R$56,'01_Input'!$U$56,0),IF('01_Input'!$T$56="Palier",IF(AND(BF$20&gt;='01_Input'!$R$56,BF$20&lt;'01_Input'!$S$56),'01_Input'!$U$56,0),MAX(MIN(BF$20,'01_Input'!$S$56)-'01_Input'!$R$56,0)*'01_Input'!$U$56))+IF('01_Input'!$X$56="Forfait",IF(BF$20&gt;='01_Input'!$V$56,'01_Input'!$Y$56,0),IF('01_Input'!$X$56="Palier",IF(AND(BF$20&gt;='01_Input'!$V$56,BF$20&lt;'01_Input'!$W$56),'01_Input'!$Y$56,0),MAX(MIN(BF$20,'01_Input'!$W$56)-'01_Input'!$V$56,0)*'01_Input'!$Y$56))+IF('01_Input'!$AB$56="Forfait",IF(BF$20&gt;='01_Input'!$Z$56,'01_Input'!$AC$56,0),IF('01_Input'!$AB$56="Palier",IF(AND(BF$20&gt;='01_Input'!$Z$56,BF$20&lt;'01_Input'!$AA$56),'01_Input'!$AC$56,0),MAX(MIN(BF$20,'01_Input'!$AA$56)-'01_Input'!$Z$56,0)*'01_Input'!$AC$56)))))))))</f>
        <v>0</v>
      </c>
      <c r="BG24" s="83">
        <f>IF('01_Input'!$C$56="Non",0,MIN('01_Input'!$I$56,MAX('01_Input'!$H$56,IF('01_Input'!$G$56="Résiduel vs Gestion",0,IF('01_Input'!$G$56="Taux Classe sélectionnée",Distrib_SousDistrib_Classe_Selectionnee*BG$20,IF('01_Input'!$G$56="Frais KYC (paliers de 100M€)",MAX(0,Nb_Investisseurs-Nb_KYC_Gratuites_Par_Tranche*(FLOOR(BG$20/Taille_Tranche_KYC,1)+1))*Cout_Par_KYC_Supplementaire,(IF('01_Input'!$L$56="Forfait",IF(BG$20&gt;='01_Input'!$J$56,'01_Input'!$M$56,0),IF('01_Input'!$L$56="Palier",IF(AND(BG$20&gt;='01_Input'!$J$56,BG$20&lt;'01_Input'!$K$56),'01_Input'!$M$56,0),MAX(MIN(BG$20,'01_Input'!$K$56)-'01_Input'!$J$56,0)*'01_Input'!$M$56))+IF('01_Input'!$P$56="Forfait",IF(BG$20&gt;='01_Input'!$N$56,'01_Input'!$Q$56,0),IF('01_Input'!$P$56="Palier",IF(AND(BG$20&gt;='01_Input'!$N$56,BG$20&lt;'01_Input'!$O$56),'01_Input'!$Q$56,0),MAX(MIN(BG$20,'01_Input'!$O$56)-'01_Input'!$N$56,0)*'01_Input'!$Q$56))+IF('01_Input'!$T$56="Forfait",IF(BG$20&gt;='01_Input'!$R$56,'01_Input'!$U$56,0),IF('01_Input'!$T$56="Palier",IF(AND(BG$20&gt;='01_Input'!$R$56,BG$20&lt;'01_Input'!$S$56),'01_Input'!$U$56,0),MAX(MIN(BG$20,'01_Input'!$S$56)-'01_Input'!$R$56,0)*'01_Input'!$U$56))+IF('01_Input'!$X$56="Forfait",IF(BG$20&gt;='01_Input'!$V$56,'01_Input'!$Y$56,0),IF('01_Input'!$X$56="Palier",IF(AND(BG$20&gt;='01_Input'!$V$56,BG$20&lt;'01_Input'!$W$56),'01_Input'!$Y$56,0),MAX(MIN(BG$20,'01_Input'!$W$56)-'01_Input'!$V$56,0)*'01_Input'!$Y$56))+IF('01_Input'!$AB$56="Forfait",IF(BG$20&gt;='01_Input'!$Z$56,'01_Input'!$AC$56,0),IF('01_Input'!$AB$56="Palier",IF(AND(BG$20&gt;='01_Input'!$Z$56,BG$20&lt;'01_Input'!$AA$56),'01_Input'!$AC$56,0),MAX(MIN(BG$20,'01_Input'!$AA$56)-'01_Input'!$Z$56,0)*'01_Input'!$AC$56)))))))))</f>
        <v>0</v>
      </c>
      <c r="BH24" s="83">
        <f>IF('01_Input'!$C$56="Non",0,MIN('01_Input'!$I$56,MAX('01_Input'!$H$56,IF('01_Input'!$G$56="Résiduel vs Gestion",0,IF('01_Input'!$G$56="Taux Classe sélectionnée",Distrib_SousDistrib_Classe_Selectionnee*BH$20,IF('01_Input'!$G$56="Frais KYC (paliers de 100M€)",MAX(0,Nb_Investisseurs-Nb_KYC_Gratuites_Par_Tranche*(FLOOR(BH$20/Taille_Tranche_KYC,1)+1))*Cout_Par_KYC_Supplementaire,(IF('01_Input'!$L$56="Forfait",IF(BH$20&gt;='01_Input'!$J$56,'01_Input'!$M$56,0),IF('01_Input'!$L$56="Palier",IF(AND(BH$20&gt;='01_Input'!$J$56,BH$20&lt;'01_Input'!$K$56),'01_Input'!$M$56,0),MAX(MIN(BH$20,'01_Input'!$K$56)-'01_Input'!$J$56,0)*'01_Input'!$M$56))+IF('01_Input'!$P$56="Forfait",IF(BH$20&gt;='01_Input'!$N$56,'01_Input'!$Q$56,0),IF('01_Input'!$P$56="Palier",IF(AND(BH$20&gt;='01_Input'!$N$56,BH$20&lt;'01_Input'!$O$56),'01_Input'!$Q$56,0),MAX(MIN(BH$20,'01_Input'!$O$56)-'01_Input'!$N$56,0)*'01_Input'!$Q$56))+IF('01_Input'!$T$56="Forfait",IF(BH$20&gt;='01_Input'!$R$56,'01_Input'!$U$56,0),IF('01_Input'!$T$56="Palier",IF(AND(BH$20&gt;='01_Input'!$R$56,BH$20&lt;'01_Input'!$S$56),'01_Input'!$U$56,0),MAX(MIN(BH$20,'01_Input'!$S$56)-'01_Input'!$R$56,0)*'01_Input'!$U$56))+IF('01_Input'!$X$56="Forfait",IF(BH$20&gt;='01_Input'!$V$56,'01_Input'!$Y$56,0),IF('01_Input'!$X$56="Palier",IF(AND(BH$20&gt;='01_Input'!$V$56,BH$20&lt;'01_Input'!$W$56),'01_Input'!$Y$56,0),MAX(MIN(BH$20,'01_Input'!$W$56)-'01_Input'!$V$56,0)*'01_Input'!$Y$56))+IF('01_Input'!$AB$56="Forfait",IF(BH$20&gt;='01_Input'!$Z$56,'01_Input'!$AC$56,0),IF('01_Input'!$AB$56="Palier",IF(AND(BH$20&gt;='01_Input'!$Z$56,BH$20&lt;'01_Input'!$AA$56),'01_Input'!$AC$56,0),MAX(MIN(BH$20,'01_Input'!$AA$56)-'01_Input'!$Z$56,0)*'01_Input'!$AC$56)))))))))</f>
        <v>0</v>
      </c>
      <c r="BI24" s="83">
        <f>IF('01_Input'!$C$56="Non",0,MIN('01_Input'!$I$56,MAX('01_Input'!$H$56,IF('01_Input'!$G$56="Résiduel vs Gestion",0,IF('01_Input'!$G$56="Taux Classe sélectionnée",Distrib_SousDistrib_Classe_Selectionnee*BI$20,IF('01_Input'!$G$56="Frais KYC (paliers de 100M€)",MAX(0,Nb_Investisseurs-Nb_KYC_Gratuites_Par_Tranche*(FLOOR(BI$20/Taille_Tranche_KYC,1)+1))*Cout_Par_KYC_Supplementaire,(IF('01_Input'!$L$56="Forfait",IF(BI$20&gt;='01_Input'!$J$56,'01_Input'!$M$56,0),IF('01_Input'!$L$56="Palier",IF(AND(BI$20&gt;='01_Input'!$J$56,BI$20&lt;'01_Input'!$K$56),'01_Input'!$M$56,0),MAX(MIN(BI$20,'01_Input'!$K$56)-'01_Input'!$J$56,0)*'01_Input'!$M$56))+IF('01_Input'!$P$56="Forfait",IF(BI$20&gt;='01_Input'!$N$56,'01_Input'!$Q$56,0),IF('01_Input'!$P$56="Palier",IF(AND(BI$20&gt;='01_Input'!$N$56,BI$20&lt;'01_Input'!$O$56),'01_Input'!$Q$56,0),MAX(MIN(BI$20,'01_Input'!$O$56)-'01_Input'!$N$56,0)*'01_Input'!$Q$56))+IF('01_Input'!$T$56="Forfait",IF(BI$20&gt;='01_Input'!$R$56,'01_Input'!$U$56,0),IF('01_Input'!$T$56="Palier",IF(AND(BI$20&gt;='01_Input'!$R$56,BI$20&lt;'01_Input'!$S$56),'01_Input'!$U$56,0),MAX(MIN(BI$20,'01_Input'!$S$56)-'01_Input'!$R$56,0)*'01_Input'!$U$56))+IF('01_Input'!$X$56="Forfait",IF(BI$20&gt;='01_Input'!$V$56,'01_Input'!$Y$56,0),IF('01_Input'!$X$56="Palier",IF(AND(BI$20&gt;='01_Input'!$V$56,BI$20&lt;'01_Input'!$W$56),'01_Input'!$Y$56,0),MAX(MIN(BI$20,'01_Input'!$W$56)-'01_Input'!$V$56,0)*'01_Input'!$Y$56))+IF('01_Input'!$AB$56="Forfait",IF(BI$20&gt;='01_Input'!$Z$56,'01_Input'!$AC$56,0),IF('01_Input'!$AB$56="Palier",IF(AND(BI$20&gt;='01_Input'!$Z$56,BI$20&lt;'01_Input'!$AA$56),'01_Input'!$AC$56,0),MAX(MIN(BI$20,'01_Input'!$AA$56)-'01_Input'!$Z$56,0)*'01_Input'!$AC$56)))))))))</f>
        <v>0</v>
      </c>
      <c r="BJ24" s="83">
        <f>IF('01_Input'!$C$56="Non",0,MIN('01_Input'!$I$56,MAX('01_Input'!$H$56,IF('01_Input'!$G$56="Résiduel vs Gestion",0,IF('01_Input'!$G$56="Taux Classe sélectionnée",Distrib_SousDistrib_Classe_Selectionnee*BJ$20,IF('01_Input'!$G$56="Frais KYC (paliers de 100M€)",MAX(0,Nb_Investisseurs-Nb_KYC_Gratuites_Par_Tranche*(FLOOR(BJ$20/Taille_Tranche_KYC,1)+1))*Cout_Par_KYC_Supplementaire,(IF('01_Input'!$L$56="Forfait",IF(BJ$20&gt;='01_Input'!$J$56,'01_Input'!$M$56,0),IF('01_Input'!$L$56="Palier",IF(AND(BJ$20&gt;='01_Input'!$J$56,BJ$20&lt;'01_Input'!$K$56),'01_Input'!$M$56,0),MAX(MIN(BJ$20,'01_Input'!$K$56)-'01_Input'!$J$56,0)*'01_Input'!$M$56))+IF('01_Input'!$P$56="Forfait",IF(BJ$20&gt;='01_Input'!$N$56,'01_Input'!$Q$56,0),IF('01_Input'!$P$56="Palier",IF(AND(BJ$20&gt;='01_Input'!$N$56,BJ$20&lt;'01_Input'!$O$56),'01_Input'!$Q$56,0),MAX(MIN(BJ$20,'01_Input'!$O$56)-'01_Input'!$N$56,0)*'01_Input'!$Q$56))+IF('01_Input'!$T$56="Forfait",IF(BJ$20&gt;='01_Input'!$R$56,'01_Input'!$U$56,0),IF('01_Input'!$T$56="Palier",IF(AND(BJ$20&gt;='01_Input'!$R$56,BJ$20&lt;'01_Input'!$S$56),'01_Input'!$U$56,0),MAX(MIN(BJ$20,'01_Input'!$S$56)-'01_Input'!$R$56,0)*'01_Input'!$U$56))+IF('01_Input'!$X$56="Forfait",IF(BJ$20&gt;='01_Input'!$V$56,'01_Input'!$Y$56,0),IF('01_Input'!$X$56="Palier",IF(AND(BJ$20&gt;='01_Input'!$V$56,BJ$20&lt;'01_Input'!$W$56),'01_Input'!$Y$56,0),MAX(MIN(BJ$20,'01_Input'!$W$56)-'01_Input'!$V$56,0)*'01_Input'!$Y$56))+IF('01_Input'!$AB$56="Forfait",IF(BJ$20&gt;='01_Input'!$Z$56,'01_Input'!$AC$56,0),IF('01_Input'!$AB$56="Palier",IF(AND(BJ$20&gt;='01_Input'!$Z$56,BJ$20&lt;'01_Input'!$AA$56),'01_Input'!$AC$56,0),MAX(MIN(BJ$20,'01_Input'!$AA$56)-'01_Input'!$Z$56,0)*'01_Input'!$AC$56)))))))))</f>
        <v>0</v>
      </c>
      <c r="BK24" s="83">
        <f>IF('01_Input'!$C$56="Non",0,MIN('01_Input'!$I$56,MAX('01_Input'!$H$56,IF('01_Input'!$G$56="Résiduel vs Gestion",0,IF('01_Input'!$G$56="Taux Classe sélectionnée",Distrib_SousDistrib_Classe_Selectionnee*BK$20,IF('01_Input'!$G$56="Frais KYC (paliers de 100M€)",MAX(0,Nb_Investisseurs-Nb_KYC_Gratuites_Par_Tranche*(FLOOR(BK$20/Taille_Tranche_KYC,1)+1))*Cout_Par_KYC_Supplementaire,(IF('01_Input'!$L$56="Forfait",IF(BK$20&gt;='01_Input'!$J$56,'01_Input'!$M$56,0),IF('01_Input'!$L$56="Palier",IF(AND(BK$20&gt;='01_Input'!$J$56,BK$20&lt;'01_Input'!$K$56),'01_Input'!$M$56,0),MAX(MIN(BK$20,'01_Input'!$K$56)-'01_Input'!$J$56,0)*'01_Input'!$M$56))+IF('01_Input'!$P$56="Forfait",IF(BK$20&gt;='01_Input'!$N$56,'01_Input'!$Q$56,0),IF('01_Input'!$P$56="Palier",IF(AND(BK$20&gt;='01_Input'!$N$56,BK$20&lt;'01_Input'!$O$56),'01_Input'!$Q$56,0),MAX(MIN(BK$20,'01_Input'!$O$56)-'01_Input'!$N$56,0)*'01_Input'!$Q$56))+IF('01_Input'!$T$56="Forfait",IF(BK$20&gt;='01_Input'!$R$56,'01_Input'!$U$56,0),IF('01_Input'!$T$56="Palier",IF(AND(BK$20&gt;='01_Input'!$R$56,BK$20&lt;'01_Input'!$S$56),'01_Input'!$U$56,0),MAX(MIN(BK$20,'01_Input'!$S$56)-'01_Input'!$R$56,0)*'01_Input'!$U$56))+IF('01_Input'!$X$56="Forfait",IF(BK$20&gt;='01_Input'!$V$56,'01_Input'!$Y$56,0),IF('01_Input'!$X$56="Palier",IF(AND(BK$20&gt;='01_Input'!$V$56,BK$20&lt;'01_Input'!$W$56),'01_Input'!$Y$56,0),MAX(MIN(BK$20,'01_Input'!$W$56)-'01_Input'!$V$56,0)*'01_Input'!$Y$56))+IF('01_Input'!$AB$56="Forfait",IF(BK$20&gt;='01_Input'!$Z$56,'01_Input'!$AC$56,0),IF('01_Input'!$AB$56="Palier",IF(AND(BK$20&gt;='01_Input'!$Z$56,BK$20&lt;'01_Input'!$AA$56),'01_Input'!$AC$56,0),MAX(MIN(BK$20,'01_Input'!$AA$56)-'01_Input'!$Z$56,0)*'01_Input'!$AC$56)))))))))</f>
        <v>0</v>
      </c>
      <c r="BL24" s="83">
        <f>IF('01_Input'!$C$56="Non",0,MIN('01_Input'!$I$56,MAX('01_Input'!$H$56,IF('01_Input'!$G$56="Résiduel vs Gestion",0,IF('01_Input'!$G$56="Taux Classe sélectionnée",Distrib_SousDistrib_Classe_Selectionnee*BL$20,IF('01_Input'!$G$56="Frais KYC (paliers de 100M€)",MAX(0,Nb_Investisseurs-Nb_KYC_Gratuites_Par_Tranche*(FLOOR(BL$20/Taille_Tranche_KYC,1)+1))*Cout_Par_KYC_Supplementaire,(IF('01_Input'!$L$56="Forfait",IF(BL$20&gt;='01_Input'!$J$56,'01_Input'!$M$56,0),IF('01_Input'!$L$56="Palier",IF(AND(BL$20&gt;='01_Input'!$J$56,BL$20&lt;'01_Input'!$K$56),'01_Input'!$M$56,0),MAX(MIN(BL$20,'01_Input'!$K$56)-'01_Input'!$J$56,0)*'01_Input'!$M$56))+IF('01_Input'!$P$56="Forfait",IF(BL$20&gt;='01_Input'!$N$56,'01_Input'!$Q$56,0),IF('01_Input'!$P$56="Palier",IF(AND(BL$20&gt;='01_Input'!$N$56,BL$20&lt;'01_Input'!$O$56),'01_Input'!$Q$56,0),MAX(MIN(BL$20,'01_Input'!$O$56)-'01_Input'!$N$56,0)*'01_Input'!$Q$56))+IF('01_Input'!$T$56="Forfait",IF(BL$20&gt;='01_Input'!$R$56,'01_Input'!$U$56,0),IF('01_Input'!$T$56="Palier",IF(AND(BL$20&gt;='01_Input'!$R$56,BL$20&lt;'01_Input'!$S$56),'01_Input'!$U$56,0),MAX(MIN(BL$20,'01_Input'!$S$56)-'01_Input'!$R$56,0)*'01_Input'!$U$56))+IF('01_Input'!$X$56="Forfait",IF(BL$20&gt;='01_Input'!$V$56,'01_Input'!$Y$56,0),IF('01_Input'!$X$56="Palier",IF(AND(BL$20&gt;='01_Input'!$V$56,BL$20&lt;'01_Input'!$W$56),'01_Input'!$Y$56,0),MAX(MIN(BL$20,'01_Input'!$W$56)-'01_Input'!$V$56,0)*'01_Input'!$Y$56))+IF('01_Input'!$AB$56="Forfait",IF(BL$20&gt;='01_Input'!$Z$56,'01_Input'!$AC$56,0),IF('01_Input'!$AB$56="Palier",IF(AND(BL$20&gt;='01_Input'!$Z$56,BL$20&lt;'01_Input'!$AA$56),'01_Input'!$AC$56,0),MAX(MIN(BL$20,'01_Input'!$AA$56)-'01_Input'!$Z$56,0)*'01_Input'!$AC$56)))))))))</f>
        <v>0</v>
      </c>
      <c r="BM24" s="83">
        <f>IF('01_Input'!$C$56="Non",0,MIN('01_Input'!$I$56,MAX('01_Input'!$H$56,IF('01_Input'!$G$56="Résiduel vs Gestion",0,IF('01_Input'!$G$56="Taux Classe sélectionnée",Distrib_SousDistrib_Classe_Selectionnee*BM$20,IF('01_Input'!$G$56="Frais KYC (paliers de 100M€)",MAX(0,Nb_Investisseurs-Nb_KYC_Gratuites_Par_Tranche*(FLOOR(BM$20/Taille_Tranche_KYC,1)+1))*Cout_Par_KYC_Supplementaire,(IF('01_Input'!$L$56="Forfait",IF(BM$20&gt;='01_Input'!$J$56,'01_Input'!$M$56,0),IF('01_Input'!$L$56="Palier",IF(AND(BM$20&gt;='01_Input'!$J$56,BM$20&lt;'01_Input'!$K$56),'01_Input'!$M$56,0),MAX(MIN(BM$20,'01_Input'!$K$56)-'01_Input'!$J$56,0)*'01_Input'!$M$56))+IF('01_Input'!$P$56="Forfait",IF(BM$20&gt;='01_Input'!$N$56,'01_Input'!$Q$56,0),IF('01_Input'!$P$56="Palier",IF(AND(BM$20&gt;='01_Input'!$N$56,BM$20&lt;'01_Input'!$O$56),'01_Input'!$Q$56,0),MAX(MIN(BM$20,'01_Input'!$O$56)-'01_Input'!$N$56,0)*'01_Input'!$Q$56))+IF('01_Input'!$T$56="Forfait",IF(BM$20&gt;='01_Input'!$R$56,'01_Input'!$U$56,0),IF('01_Input'!$T$56="Palier",IF(AND(BM$20&gt;='01_Input'!$R$56,BM$20&lt;'01_Input'!$S$56),'01_Input'!$U$56,0),MAX(MIN(BM$20,'01_Input'!$S$56)-'01_Input'!$R$56,0)*'01_Input'!$U$56))+IF('01_Input'!$X$56="Forfait",IF(BM$20&gt;='01_Input'!$V$56,'01_Input'!$Y$56,0),IF('01_Input'!$X$56="Palier",IF(AND(BM$20&gt;='01_Input'!$V$56,BM$20&lt;'01_Input'!$W$56),'01_Input'!$Y$56,0),MAX(MIN(BM$20,'01_Input'!$W$56)-'01_Input'!$V$56,0)*'01_Input'!$Y$56))+IF('01_Input'!$AB$56="Forfait",IF(BM$20&gt;='01_Input'!$Z$56,'01_Input'!$AC$56,0),IF('01_Input'!$AB$56="Palier",IF(AND(BM$20&gt;='01_Input'!$Z$56,BM$20&lt;'01_Input'!$AA$56),'01_Input'!$AC$56,0),MAX(MIN(BM$20,'01_Input'!$AA$56)-'01_Input'!$Z$56,0)*'01_Input'!$AC$56)))))))))</f>
        <v>0</v>
      </c>
      <c r="BN24" s="83">
        <f>IF('01_Input'!$C$56="Non",0,MIN('01_Input'!$I$56,MAX('01_Input'!$H$56,IF('01_Input'!$G$56="Résiduel vs Gestion",0,IF('01_Input'!$G$56="Taux Classe sélectionnée",Distrib_SousDistrib_Classe_Selectionnee*BN$20,IF('01_Input'!$G$56="Frais KYC (paliers de 100M€)",MAX(0,Nb_Investisseurs-Nb_KYC_Gratuites_Par_Tranche*(FLOOR(BN$20/Taille_Tranche_KYC,1)+1))*Cout_Par_KYC_Supplementaire,(IF('01_Input'!$L$56="Forfait",IF(BN$20&gt;='01_Input'!$J$56,'01_Input'!$M$56,0),IF('01_Input'!$L$56="Palier",IF(AND(BN$20&gt;='01_Input'!$J$56,BN$20&lt;'01_Input'!$K$56),'01_Input'!$M$56,0),MAX(MIN(BN$20,'01_Input'!$K$56)-'01_Input'!$J$56,0)*'01_Input'!$M$56))+IF('01_Input'!$P$56="Forfait",IF(BN$20&gt;='01_Input'!$N$56,'01_Input'!$Q$56,0),IF('01_Input'!$P$56="Palier",IF(AND(BN$20&gt;='01_Input'!$N$56,BN$20&lt;'01_Input'!$O$56),'01_Input'!$Q$56,0),MAX(MIN(BN$20,'01_Input'!$O$56)-'01_Input'!$N$56,0)*'01_Input'!$Q$56))+IF('01_Input'!$T$56="Forfait",IF(BN$20&gt;='01_Input'!$R$56,'01_Input'!$U$56,0),IF('01_Input'!$T$56="Palier",IF(AND(BN$20&gt;='01_Input'!$R$56,BN$20&lt;'01_Input'!$S$56),'01_Input'!$U$56,0),MAX(MIN(BN$20,'01_Input'!$S$56)-'01_Input'!$R$56,0)*'01_Input'!$U$56))+IF('01_Input'!$X$56="Forfait",IF(BN$20&gt;='01_Input'!$V$56,'01_Input'!$Y$56,0),IF('01_Input'!$X$56="Palier",IF(AND(BN$20&gt;='01_Input'!$V$56,BN$20&lt;'01_Input'!$W$56),'01_Input'!$Y$56,0),MAX(MIN(BN$20,'01_Input'!$W$56)-'01_Input'!$V$56,0)*'01_Input'!$Y$56))+IF('01_Input'!$AB$56="Forfait",IF(BN$20&gt;='01_Input'!$Z$56,'01_Input'!$AC$56,0),IF('01_Input'!$AB$56="Palier",IF(AND(BN$20&gt;='01_Input'!$Z$56,BN$20&lt;'01_Input'!$AA$56),'01_Input'!$AC$56,0),MAX(MIN(BN$20,'01_Input'!$AA$56)-'01_Input'!$Z$56,0)*'01_Input'!$AC$56)))))))))</f>
        <v>0</v>
      </c>
      <c r="BO24" s="83">
        <f>IF('01_Input'!$C$56="Non",0,MIN('01_Input'!$I$56,MAX('01_Input'!$H$56,IF('01_Input'!$G$56="Résiduel vs Gestion",0,IF('01_Input'!$G$56="Taux Classe sélectionnée",Distrib_SousDistrib_Classe_Selectionnee*BO$20,IF('01_Input'!$G$56="Frais KYC (paliers de 100M€)",MAX(0,Nb_Investisseurs-Nb_KYC_Gratuites_Par_Tranche*(FLOOR(BO$20/Taille_Tranche_KYC,1)+1))*Cout_Par_KYC_Supplementaire,(IF('01_Input'!$L$56="Forfait",IF(BO$20&gt;='01_Input'!$J$56,'01_Input'!$M$56,0),IF('01_Input'!$L$56="Palier",IF(AND(BO$20&gt;='01_Input'!$J$56,BO$20&lt;'01_Input'!$K$56),'01_Input'!$M$56,0),MAX(MIN(BO$20,'01_Input'!$K$56)-'01_Input'!$J$56,0)*'01_Input'!$M$56))+IF('01_Input'!$P$56="Forfait",IF(BO$20&gt;='01_Input'!$N$56,'01_Input'!$Q$56,0),IF('01_Input'!$P$56="Palier",IF(AND(BO$20&gt;='01_Input'!$N$56,BO$20&lt;'01_Input'!$O$56),'01_Input'!$Q$56,0),MAX(MIN(BO$20,'01_Input'!$O$56)-'01_Input'!$N$56,0)*'01_Input'!$Q$56))+IF('01_Input'!$T$56="Forfait",IF(BO$20&gt;='01_Input'!$R$56,'01_Input'!$U$56,0),IF('01_Input'!$T$56="Palier",IF(AND(BO$20&gt;='01_Input'!$R$56,BO$20&lt;'01_Input'!$S$56),'01_Input'!$U$56,0),MAX(MIN(BO$20,'01_Input'!$S$56)-'01_Input'!$R$56,0)*'01_Input'!$U$56))+IF('01_Input'!$X$56="Forfait",IF(BO$20&gt;='01_Input'!$V$56,'01_Input'!$Y$56,0),IF('01_Input'!$X$56="Palier",IF(AND(BO$20&gt;='01_Input'!$V$56,BO$20&lt;'01_Input'!$W$56),'01_Input'!$Y$56,0),MAX(MIN(BO$20,'01_Input'!$W$56)-'01_Input'!$V$56,0)*'01_Input'!$Y$56))+IF('01_Input'!$AB$56="Forfait",IF(BO$20&gt;='01_Input'!$Z$56,'01_Input'!$AC$56,0),IF('01_Input'!$AB$56="Palier",IF(AND(BO$20&gt;='01_Input'!$Z$56,BO$20&lt;'01_Input'!$AA$56),'01_Input'!$AC$56,0),MAX(MIN(BO$20,'01_Input'!$AA$56)-'01_Input'!$Z$56,0)*'01_Input'!$AC$56)))))))))</f>
        <v>0</v>
      </c>
      <c r="BP24" s="83">
        <f>IF('01_Input'!$C$56="Non",0,MIN('01_Input'!$I$56,MAX('01_Input'!$H$56,IF('01_Input'!$G$56="Résiduel vs Gestion",0,IF('01_Input'!$G$56="Taux Classe sélectionnée",Distrib_SousDistrib_Classe_Selectionnee*BP$20,IF('01_Input'!$G$56="Frais KYC (paliers de 100M€)",MAX(0,Nb_Investisseurs-Nb_KYC_Gratuites_Par_Tranche*(FLOOR(BP$20/Taille_Tranche_KYC,1)+1))*Cout_Par_KYC_Supplementaire,(IF('01_Input'!$L$56="Forfait",IF(BP$20&gt;='01_Input'!$J$56,'01_Input'!$M$56,0),IF('01_Input'!$L$56="Palier",IF(AND(BP$20&gt;='01_Input'!$J$56,BP$20&lt;'01_Input'!$K$56),'01_Input'!$M$56,0),MAX(MIN(BP$20,'01_Input'!$K$56)-'01_Input'!$J$56,0)*'01_Input'!$M$56))+IF('01_Input'!$P$56="Forfait",IF(BP$20&gt;='01_Input'!$N$56,'01_Input'!$Q$56,0),IF('01_Input'!$P$56="Palier",IF(AND(BP$20&gt;='01_Input'!$N$56,BP$20&lt;'01_Input'!$O$56),'01_Input'!$Q$56,0),MAX(MIN(BP$20,'01_Input'!$O$56)-'01_Input'!$N$56,0)*'01_Input'!$Q$56))+IF('01_Input'!$T$56="Forfait",IF(BP$20&gt;='01_Input'!$R$56,'01_Input'!$U$56,0),IF('01_Input'!$T$56="Palier",IF(AND(BP$20&gt;='01_Input'!$R$56,BP$20&lt;'01_Input'!$S$56),'01_Input'!$U$56,0),MAX(MIN(BP$20,'01_Input'!$S$56)-'01_Input'!$R$56,0)*'01_Input'!$U$56))+IF('01_Input'!$X$56="Forfait",IF(BP$20&gt;='01_Input'!$V$56,'01_Input'!$Y$56,0),IF('01_Input'!$X$56="Palier",IF(AND(BP$20&gt;='01_Input'!$V$56,BP$20&lt;'01_Input'!$W$56),'01_Input'!$Y$56,0),MAX(MIN(BP$20,'01_Input'!$W$56)-'01_Input'!$V$56,0)*'01_Input'!$Y$56))+IF('01_Input'!$AB$56="Forfait",IF(BP$20&gt;='01_Input'!$Z$56,'01_Input'!$AC$56,0),IF('01_Input'!$AB$56="Palier",IF(AND(BP$20&gt;='01_Input'!$Z$56,BP$20&lt;'01_Input'!$AA$56),'01_Input'!$AC$56,0),MAX(MIN(BP$20,'01_Input'!$AA$56)-'01_Input'!$Z$56,0)*'01_Input'!$AC$56)))))))))</f>
        <v>0</v>
      </c>
      <c r="BQ24" s="83">
        <f>IF('01_Input'!$C$56="Non",0,MIN('01_Input'!$I$56,MAX('01_Input'!$H$56,IF('01_Input'!$G$56="Résiduel vs Gestion",0,IF('01_Input'!$G$56="Taux Classe sélectionnée",Distrib_SousDistrib_Classe_Selectionnee*BQ$20,IF('01_Input'!$G$56="Frais KYC (paliers de 100M€)",MAX(0,Nb_Investisseurs-Nb_KYC_Gratuites_Par_Tranche*(FLOOR(BQ$20/Taille_Tranche_KYC,1)+1))*Cout_Par_KYC_Supplementaire,(IF('01_Input'!$L$56="Forfait",IF(BQ$20&gt;='01_Input'!$J$56,'01_Input'!$M$56,0),IF('01_Input'!$L$56="Palier",IF(AND(BQ$20&gt;='01_Input'!$J$56,BQ$20&lt;'01_Input'!$K$56),'01_Input'!$M$56,0),MAX(MIN(BQ$20,'01_Input'!$K$56)-'01_Input'!$J$56,0)*'01_Input'!$M$56))+IF('01_Input'!$P$56="Forfait",IF(BQ$20&gt;='01_Input'!$N$56,'01_Input'!$Q$56,0),IF('01_Input'!$P$56="Palier",IF(AND(BQ$20&gt;='01_Input'!$N$56,BQ$20&lt;'01_Input'!$O$56),'01_Input'!$Q$56,0),MAX(MIN(BQ$20,'01_Input'!$O$56)-'01_Input'!$N$56,0)*'01_Input'!$Q$56))+IF('01_Input'!$T$56="Forfait",IF(BQ$20&gt;='01_Input'!$R$56,'01_Input'!$U$56,0),IF('01_Input'!$T$56="Palier",IF(AND(BQ$20&gt;='01_Input'!$R$56,BQ$20&lt;'01_Input'!$S$56),'01_Input'!$U$56,0),MAX(MIN(BQ$20,'01_Input'!$S$56)-'01_Input'!$R$56,0)*'01_Input'!$U$56))+IF('01_Input'!$X$56="Forfait",IF(BQ$20&gt;='01_Input'!$V$56,'01_Input'!$Y$56,0),IF('01_Input'!$X$56="Palier",IF(AND(BQ$20&gt;='01_Input'!$V$56,BQ$20&lt;'01_Input'!$W$56),'01_Input'!$Y$56,0),MAX(MIN(BQ$20,'01_Input'!$W$56)-'01_Input'!$V$56,0)*'01_Input'!$Y$56))+IF('01_Input'!$AB$56="Forfait",IF(BQ$20&gt;='01_Input'!$Z$56,'01_Input'!$AC$56,0),IF('01_Input'!$AB$56="Palier",IF(AND(BQ$20&gt;='01_Input'!$Z$56,BQ$20&lt;'01_Input'!$AA$56),'01_Input'!$AC$56,0),MAX(MIN(BQ$20,'01_Input'!$AA$56)-'01_Input'!$Z$56,0)*'01_Input'!$AC$56)))))))))</f>
        <v>0</v>
      </c>
      <c r="BR24" s="83">
        <f>IF('01_Input'!$C$56="Non",0,MIN('01_Input'!$I$56,MAX('01_Input'!$H$56,IF('01_Input'!$G$56="Résiduel vs Gestion",0,IF('01_Input'!$G$56="Taux Classe sélectionnée",Distrib_SousDistrib_Classe_Selectionnee*BR$20,IF('01_Input'!$G$56="Frais KYC (paliers de 100M€)",MAX(0,Nb_Investisseurs-Nb_KYC_Gratuites_Par_Tranche*(FLOOR(BR$20/Taille_Tranche_KYC,1)+1))*Cout_Par_KYC_Supplementaire,(IF('01_Input'!$L$56="Forfait",IF(BR$20&gt;='01_Input'!$J$56,'01_Input'!$M$56,0),IF('01_Input'!$L$56="Palier",IF(AND(BR$20&gt;='01_Input'!$J$56,BR$20&lt;'01_Input'!$K$56),'01_Input'!$M$56,0),MAX(MIN(BR$20,'01_Input'!$K$56)-'01_Input'!$J$56,0)*'01_Input'!$M$56))+IF('01_Input'!$P$56="Forfait",IF(BR$20&gt;='01_Input'!$N$56,'01_Input'!$Q$56,0),IF('01_Input'!$P$56="Palier",IF(AND(BR$20&gt;='01_Input'!$N$56,BR$20&lt;'01_Input'!$O$56),'01_Input'!$Q$56,0),MAX(MIN(BR$20,'01_Input'!$O$56)-'01_Input'!$N$56,0)*'01_Input'!$Q$56))+IF('01_Input'!$T$56="Forfait",IF(BR$20&gt;='01_Input'!$R$56,'01_Input'!$U$56,0),IF('01_Input'!$T$56="Palier",IF(AND(BR$20&gt;='01_Input'!$R$56,BR$20&lt;'01_Input'!$S$56),'01_Input'!$U$56,0),MAX(MIN(BR$20,'01_Input'!$S$56)-'01_Input'!$R$56,0)*'01_Input'!$U$56))+IF('01_Input'!$X$56="Forfait",IF(BR$20&gt;='01_Input'!$V$56,'01_Input'!$Y$56,0),IF('01_Input'!$X$56="Palier",IF(AND(BR$20&gt;='01_Input'!$V$56,BR$20&lt;'01_Input'!$W$56),'01_Input'!$Y$56,0),MAX(MIN(BR$20,'01_Input'!$W$56)-'01_Input'!$V$56,0)*'01_Input'!$Y$56))+IF('01_Input'!$AB$56="Forfait",IF(BR$20&gt;='01_Input'!$Z$56,'01_Input'!$AC$56,0),IF('01_Input'!$AB$56="Palier",IF(AND(BR$20&gt;='01_Input'!$Z$56,BR$20&lt;'01_Input'!$AA$56),'01_Input'!$AC$56,0),MAX(MIN(BR$20,'01_Input'!$AA$56)-'01_Input'!$Z$56,0)*'01_Input'!$AC$56)))))))))</f>
        <v>0</v>
      </c>
      <c r="BS24" s="83">
        <f>IF('01_Input'!$C$56="Non",0,MIN('01_Input'!$I$56,MAX('01_Input'!$H$56,IF('01_Input'!$G$56="Résiduel vs Gestion",0,IF('01_Input'!$G$56="Taux Classe sélectionnée",Distrib_SousDistrib_Classe_Selectionnee*BS$20,IF('01_Input'!$G$56="Frais KYC (paliers de 100M€)",MAX(0,Nb_Investisseurs-Nb_KYC_Gratuites_Par_Tranche*(FLOOR(BS$20/Taille_Tranche_KYC,1)+1))*Cout_Par_KYC_Supplementaire,(IF('01_Input'!$L$56="Forfait",IF(BS$20&gt;='01_Input'!$J$56,'01_Input'!$M$56,0),IF('01_Input'!$L$56="Palier",IF(AND(BS$20&gt;='01_Input'!$J$56,BS$20&lt;'01_Input'!$K$56),'01_Input'!$M$56,0),MAX(MIN(BS$20,'01_Input'!$K$56)-'01_Input'!$J$56,0)*'01_Input'!$M$56))+IF('01_Input'!$P$56="Forfait",IF(BS$20&gt;='01_Input'!$N$56,'01_Input'!$Q$56,0),IF('01_Input'!$P$56="Palier",IF(AND(BS$20&gt;='01_Input'!$N$56,BS$20&lt;'01_Input'!$O$56),'01_Input'!$Q$56,0),MAX(MIN(BS$20,'01_Input'!$O$56)-'01_Input'!$N$56,0)*'01_Input'!$Q$56))+IF('01_Input'!$T$56="Forfait",IF(BS$20&gt;='01_Input'!$R$56,'01_Input'!$U$56,0),IF('01_Input'!$T$56="Palier",IF(AND(BS$20&gt;='01_Input'!$R$56,BS$20&lt;'01_Input'!$S$56),'01_Input'!$U$56,0),MAX(MIN(BS$20,'01_Input'!$S$56)-'01_Input'!$R$56,0)*'01_Input'!$U$56))+IF('01_Input'!$X$56="Forfait",IF(BS$20&gt;='01_Input'!$V$56,'01_Input'!$Y$56,0),IF('01_Input'!$X$56="Palier",IF(AND(BS$20&gt;='01_Input'!$V$56,BS$20&lt;'01_Input'!$W$56),'01_Input'!$Y$56,0),MAX(MIN(BS$20,'01_Input'!$W$56)-'01_Input'!$V$56,0)*'01_Input'!$Y$56))+IF('01_Input'!$AB$56="Forfait",IF(BS$20&gt;='01_Input'!$Z$56,'01_Input'!$AC$56,0),IF('01_Input'!$AB$56="Palier",IF(AND(BS$20&gt;='01_Input'!$Z$56,BS$20&lt;'01_Input'!$AA$56),'01_Input'!$AC$56,0),MAX(MIN(BS$20,'01_Input'!$AA$56)-'01_Input'!$Z$56,0)*'01_Input'!$AC$56)))))))))</f>
        <v>0</v>
      </c>
      <c r="BT24" s="83">
        <f>IF('01_Input'!$C$56="Non",0,MIN('01_Input'!$I$56,MAX('01_Input'!$H$56,IF('01_Input'!$G$56="Résiduel vs Gestion",0,IF('01_Input'!$G$56="Taux Classe sélectionnée",Distrib_SousDistrib_Classe_Selectionnee*BT$20,IF('01_Input'!$G$56="Frais KYC (paliers de 100M€)",MAX(0,Nb_Investisseurs-Nb_KYC_Gratuites_Par_Tranche*(FLOOR(BT$20/Taille_Tranche_KYC,1)+1))*Cout_Par_KYC_Supplementaire,(IF('01_Input'!$L$56="Forfait",IF(BT$20&gt;='01_Input'!$J$56,'01_Input'!$M$56,0),IF('01_Input'!$L$56="Palier",IF(AND(BT$20&gt;='01_Input'!$J$56,BT$20&lt;'01_Input'!$K$56),'01_Input'!$M$56,0),MAX(MIN(BT$20,'01_Input'!$K$56)-'01_Input'!$J$56,0)*'01_Input'!$M$56))+IF('01_Input'!$P$56="Forfait",IF(BT$20&gt;='01_Input'!$N$56,'01_Input'!$Q$56,0),IF('01_Input'!$P$56="Palier",IF(AND(BT$20&gt;='01_Input'!$N$56,BT$20&lt;'01_Input'!$O$56),'01_Input'!$Q$56,0),MAX(MIN(BT$20,'01_Input'!$O$56)-'01_Input'!$N$56,0)*'01_Input'!$Q$56))+IF('01_Input'!$T$56="Forfait",IF(BT$20&gt;='01_Input'!$R$56,'01_Input'!$U$56,0),IF('01_Input'!$T$56="Palier",IF(AND(BT$20&gt;='01_Input'!$R$56,BT$20&lt;'01_Input'!$S$56),'01_Input'!$U$56,0),MAX(MIN(BT$20,'01_Input'!$S$56)-'01_Input'!$R$56,0)*'01_Input'!$U$56))+IF('01_Input'!$X$56="Forfait",IF(BT$20&gt;='01_Input'!$V$56,'01_Input'!$Y$56,0),IF('01_Input'!$X$56="Palier",IF(AND(BT$20&gt;='01_Input'!$V$56,BT$20&lt;'01_Input'!$W$56),'01_Input'!$Y$56,0),MAX(MIN(BT$20,'01_Input'!$W$56)-'01_Input'!$V$56,0)*'01_Input'!$Y$56))+IF('01_Input'!$AB$56="Forfait",IF(BT$20&gt;='01_Input'!$Z$56,'01_Input'!$AC$56,0),IF('01_Input'!$AB$56="Palier",IF(AND(BT$20&gt;='01_Input'!$Z$56,BT$20&lt;'01_Input'!$AA$56),'01_Input'!$AC$56,0),MAX(MIN(BT$20,'01_Input'!$AA$56)-'01_Input'!$Z$56,0)*'01_Input'!$AC$56)))))))))</f>
        <v>0</v>
      </c>
      <c r="BU24" s="83">
        <f>IF('01_Input'!$C$56="Non",0,MIN('01_Input'!$I$56,MAX('01_Input'!$H$56,IF('01_Input'!$G$56="Résiduel vs Gestion",0,IF('01_Input'!$G$56="Taux Classe sélectionnée",Distrib_SousDistrib_Classe_Selectionnee*BU$20,IF('01_Input'!$G$56="Frais KYC (paliers de 100M€)",MAX(0,Nb_Investisseurs-Nb_KYC_Gratuites_Par_Tranche*(FLOOR(BU$20/Taille_Tranche_KYC,1)+1))*Cout_Par_KYC_Supplementaire,(IF('01_Input'!$L$56="Forfait",IF(BU$20&gt;='01_Input'!$J$56,'01_Input'!$M$56,0),IF('01_Input'!$L$56="Palier",IF(AND(BU$20&gt;='01_Input'!$J$56,BU$20&lt;'01_Input'!$K$56),'01_Input'!$M$56,0),MAX(MIN(BU$20,'01_Input'!$K$56)-'01_Input'!$J$56,0)*'01_Input'!$M$56))+IF('01_Input'!$P$56="Forfait",IF(BU$20&gt;='01_Input'!$N$56,'01_Input'!$Q$56,0),IF('01_Input'!$P$56="Palier",IF(AND(BU$20&gt;='01_Input'!$N$56,BU$20&lt;'01_Input'!$O$56),'01_Input'!$Q$56,0),MAX(MIN(BU$20,'01_Input'!$O$56)-'01_Input'!$N$56,0)*'01_Input'!$Q$56))+IF('01_Input'!$T$56="Forfait",IF(BU$20&gt;='01_Input'!$R$56,'01_Input'!$U$56,0),IF('01_Input'!$T$56="Palier",IF(AND(BU$20&gt;='01_Input'!$R$56,BU$20&lt;'01_Input'!$S$56),'01_Input'!$U$56,0),MAX(MIN(BU$20,'01_Input'!$S$56)-'01_Input'!$R$56,0)*'01_Input'!$U$56))+IF('01_Input'!$X$56="Forfait",IF(BU$20&gt;='01_Input'!$V$56,'01_Input'!$Y$56,0),IF('01_Input'!$X$56="Palier",IF(AND(BU$20&gt;='01_Input'!$V$56,BU$20&lt;'01_Input'!$W$56),'01_Input'!$Y$56,0),MAX(MIN(BU$20,'01_Input'!$W$56)-'01_Input'!$V$56,0)*'01_Input'!$Y$56))+IF('01_Input'!$AB$56="Forfait",IF(BU$20&gt;='01_Input'!$Z$56,'01_Input'!$AC$56,0),IF('01_Input'!$AB$56="Palier",IF(AND(BU$20&gt;='01_Input'!$Z$56,BU$20&lt;'01_Input'!$AA$56),'01_Input'!$AC$56,0),MAX(MIN(BU$20,'01_Input'!$AA$56)-'01_Input'!$Z$56,0)*'01_Input'!$AC$56)))))))))</f>
        <v>0</v>
      </c>
      <c r="BV24" s="83">
        <f>IF('01_Input'!$C$56="Non",0,MIN('01_Input'!$I$56,MAX('01_Input'!$H$56,IF('01_Input'!$G$56="Résiduel vs Gestion",0,IF('01_Input'!$G$56="Taux Classe sélectionnée",Distrib_SousDistrib_Classe_Selectionnee*BV$20,IF('01_Input'!$G$56="Frais KYC (paliers de 100M€)",MAX(0,Nb_Investisseurs-Nb_KYC_Gratuites_Par_Tranche*(FLOOR(BV$20/Taille_Tranche_KYC,1)+1))*Cout_Par_KYC_Supplementaire,(IF('01_Input'!$L$56="Forfait",IF(BV$20&gt;='01_Input'!$J$56,'01_Input'!$M$56,0),IF('01_Input'!$L$56="Palier",IF(AND(BV$20&gt;='01_Input'!$J$56,BV$20&lt;'01_Input'!$K$56),'01_Input'!$M$56,0),MAX(MIN(BV$20,'01_Input'!$K$56)-'01_Input'!$J$56,0)*'01_Input'!$M$56))+IF('01_Input'!$P$56="Forfait",IF(BV$20&gt;='01_Input'!$N$56,'01_Input'!$Q$56,0),IF('01_Input'!$P$56="Palier",IF(AND(BV$20&gt;='01_Input'!$N$56,BV$20&lt;'01_Input'!$O$56),'01_Input'!$Q$56,0),MAX(MIN(BV$20,'01_Input'!$O$56)-'01_Input'!$N$56,0)*'01_Input'!$Q$56))+IF('01_Input'!$T$56="Forfait",IF(BV$20&gt;='01_Input'!$R$56,'01_Input'!$U$56,0),IF('01_Input'!$T$56="Palier",IF(AND(BV$20&gt;='01_Input'!$R$56,BV$20&lt;'01_Input'!$S$56),'01_Input'!$U$56,0),MAX(MIN(BV$20,'01_Input'!$S$56)-'01_Input'!$R$56,0)*'01_Input'!$U$56))+IF('01_Input'!$X$56="Forfait",IF(BV$20&gt;='01_Input'!$V$56,'01_Input'!$Y$56,0),IF('01_Input'!$X$56="Palier",IF(AND(BV$20&gt;='01_Input'!$V$56,BV$20&lt;'01_Input'!$W$56),'01_Input'!$Y$56,0),MAX(MIN(BV$20,'01_Input'!$W$56)-'01_Input'!$V$56,0)*'01_Input'!$Y$56))+IF('01_Input'!$AB$56="Forfait",IF(BV$20&gt;='01_Input'!$Z$56,'01_Input'!$AC$56,0),IF('01_Input'!$AB$56="Palier",IF(AND(BV$20&gt;='01_Input'!$Z$56,BV$20&lt;'01_Input'!$AA$56),'01_Input'!$AC$56,0),MAX(MIN(BV$20,'01_Input'!$AA$56)-'01_Input'!$Z$56,0)*'01_Input'!$AC$56)))))))))</f>
        <v>0</v>
      </c>
      <c r="BW24" s="83">
        <f>IF('01_Input'!$C$56="Non",0,MIN('01_Input'!$I$56,MAX('01_Input'!$H$56,IF('01_Input'!$G$56="Résiduel vs Gestion",0,IF('01_Input'!$G$56="Taux Classe sélectionnée",Distrib_SousDistrib_Classe_Selectionnee*BW$20,IF('01_Input'!$G$56="Frais KYC (paliers de 100M€)",MAX(0,Nb_Investisseurs-Nb_KYC_Gratuites_Par_Tranche*(FLOOR(BW$20/Taille_Tranche_KYC,1)+1))*Cout_Par_KYC_Supplementaire,(IF('01_Input'!$L$56="Forfait",IF(BW$20&gt;='01_Input'!$J$56,'01_Input'!$M$56,0),IF('01_Input'!$L$56="Palier",IF(AND(BW$20&gt;='01_Input'!$J$56,BW$20&lt;'01_Input'!$K$56),'01_Input'!$M$56,0),MAX(MIN(BW$20,'01_Input'!$K$56)-'01_Input'!$J$56,0)*'01_Input'!$M$56))+IF('01_Input'!$P$56="Forfait",IF(BW$20&gt;='01_Input'!$N$56,'01_Input'!$Q$56,0),IF('01_Input'!$P$56="Palier",IF(AND(BW$20&gt;='01_Input'!$N$56,BW$20&lt;'01_Input'!$O$56),'01_Input'!$Q$56,0),MAX(MIN(BW$20,'01_Input'!$O$56)-'01_Input'!$N$56,0)*'01_Input'!$Q$56))+IF('01_Input'!$T$56="Forfait",IF(BW$20&gt;='01_Input'!$R$56,'01_Input'!$U$56,0),IF('01_Input'!$T$56="Palier",IF(AND(BW$20&gt;='01_Input'!$R$56,BW$20&lt;'01_Input'!$S$56),'01_Input'!$U$56,0),MAX(MIN(BW$20,'01_Input'!$S$56)-'01_Input'!$R$56,0)*'01_Input'!$U$56))+IF('01_Input'!$X$56="Forfait",IF(BW$20&gt;='01_Input'!$V$56,'01_Input'!$Y$56,0),IF('01_Input'!$X$56="Palier",IF(AND(BW$20&gt;='01_Input'!$V$56,BW$20&lt;'01_Input'!$W$56),'01_Input'!$Y$56,0),MAX(MIN(BW$20,'01_Input'!$W$56)-'01_Input'!$V$56,0)*'01_Input'!$Y$56))+IF('01_Input'!$AB$56="Forfait",IF(BW$20&gt;='01_Input'!$Z$56,'01_Input'!$AC$56,0),IF('01_Input'!$AB$56="Palier",IF(AND(BW$20&gt;='01_Input'!$Z$56,BW$20&lt;'01_Input'!$AA$56),'01_Input'!$AC$56,0),MAX(MIN(BW$20,'01_Input'!$AA$56)-'01_Input'!$Z$56,0)*'01_Input'!$AC$56)))))))))</f>
        <v>0</v>
      </c>
      <c r="BX24" s="83">
        <f>IF('01_Input'!$C$56="Non",0,MIN('01_Input'!$I$56,MAX('01_Input'!$H$56,IF('01_Input'!$G$56="Résiduel vs Gestion",0,IF('01_Input'!$G$56="Taux Classe sélectionnée",Distrib_SousDistrib_Classe_Selectionnee*BX$20,IF('01_Input'!$G$56="Frais KYC (paliers de 100M€)",MAX(0,Nb_Investisseurs-Nb_KYC_Gratuites_Par_Tranche*(FLOOR(BX$20/Taille_Tranche_KYC,1)+1))*Cout_Par_KYC_Supplementaire,(IF('01_Input'!$L$56="Forfait",IF(BX$20&gt;='01_Input'!$J$56,'01_Input'!$M$56,0),IF('01_Input'!$L$56="Palier",IF(AND(BX$20&gt;='01_Input'!$J$56,BX$20&lt;'01_Input'!$K$56),'01_Input'!$M$56,0),MAX(MIN(BX$20,'01_Input'!$K$56)-'01_Input'!$J$56,0)*'01_Input'!$M$56))+IF('01_Input'!$P$56="Forfait",IF(BX$20&gt;='01_Input'!$N$56,'01_Input'!$Q$56,0),IF('01_Input'!$P$56="Palier",IF(AND(BX$20&gt;='01_Input'!$N$56,BX$20&lt;'01_Input'!$O$56),'01_Input'!$Q$56,0),MAX(MIN(BX$20,'01_Input'!$O$56)-'01_Input'!$N$56,0)*'01_Input'!$Q$56))+IF('01_Input'!$T$56="Forfait",IF(BX$20&gt;='01_Input'!$R$56,'01_Input'!$U$56,0),IF('01_Input'!$T$56="Palier",IF(AND(BX$20&gt;='01_Input'!$R$56,BX$20&lt;'01_Input'!$S$56),'01_Input'!$U$56,0),MAX(MIN(BX$20,'01_Input'!$S$56)-'01_Input'!$R$56,0)*'01_Input'!$U$56))+IF('01_Input'!$X$56="Forfait",IF(BX$20&gt;='01_Input'!$V$56,'01_Input'!$Y$56,0),IF('01_Input'!$X$56="Palier",IF(AND(BX$20&gt;='01_Input'!$V$56,BX$20&lt;'01_Input'!$W$56),'01_Input'!$Y$56,0),MAX(MIN(BX$20,'01_Input'!$W$56)-'01_Input'!$V$56,0)*'01_Input'!$Y$56))+IF('01_Input'!$AB$56="Forfait",IF(BX$20&gt;='01_Input'!$Z$56,'01_Input'!$AC$56,0),IF('01_Input'!$AB$56="Palier",IF(AND(BX$20&gt;='01_Input'!$Z$56,BX$20&lt;'01_Input'!$AA$56),'01_Input'!$AC$56,0),MAX(MIN(BX$20,'01_Input'!$AA$56)-'01_Input'!$Z$56,0)*'01_Input'!$AC$56)))))))))</f>
        <v>0</v>
      </c>
      <c r="BY24" s="83">
        <f>IF('01_Input'!$C$56="Non",0,MIN('01_Input'!$I$56,MAX('01_Input'!$H$56,IF('01_Input'!$G$56="Résiduel vs Gestion",0,IF('01_Input'!$G$56="Taux Classe sélectionnée",Distrib_SousDistrib_Classe_Selectionnee*BY$20,IF('01_Input'!$G$56="Frais KYC (paliers de 100M€)",MAX(0,Nb_Investisseurs-Nb_KYC_Gratuites_Par_Tranche*(FLOOR(BY$20/Taille_Tranche_KYC,1)+1))*Cout_Par_KYC_Supplementaire,(IF('01_Input'!$L$56="Forfait",IF(BY$20&gt;='01_Input'!$J$56,'01_Input'!$M$56,0),IF('01_Input'!$L$56="Palier",IF(AND(BY$20&gt;='01_Input'!$J$56,BY$20&lt;'01_Input'!$K$56),'01_Input'!$M$56,0),MAX(MIN(BY$20,'01_Input'!$K$56)-'01_Input'!$J$56,0)*'01_Input'!$M$56))+IF('01_Input'!$P$56="Forfait",IF(BY$20&gt;='01_Input'!$N$56,'01_Input'!$Q$56,0),IF('01_Input'!$P$56="Palier",IF(AND(BY$20&gt;='01_Input'!$N$56,BY$20&lt;'01_Input'!$O$56),'01_Input'!$Q$56,0),MAX(MIN(BY$20,'01_Input'!$O$56)-'01_Input'!$N$56,0)*'01_Input'!$Q$56))+IF('01_Input'!$T$56="Forfait",IF(BY$20&gt;='01_Input'!$R$56,'01_Input'!$U$56,0),IF('01_Input'!$T$56="Palier",IF(AND(BY$20&gt;='01_Input'!$R$56,BY$20&lt;'01_Input'!$S$56),'01_Input'!$U$56,0),MAX(MIN(BY$20,'01_Input'!$S$56)-'01_Input'!$R$56,0)*'01_Input'!$U$56))+IF('01_Input'!$X$56="Forfait",IF(BY$20&gt;='01_Input'!$V$56,'01_Input'!$Y$56,0),IF('01_Input'!$X$56="Palier",IF(AND(BY$20&gt;='01_Input'!$V$56,BY$20&lt;'01_Input'!$W$56),'01_Input'!$Y$56,0),MAX(MIN(BY$20,'01_Input'!$W$56)-'01_Input'!$V$56,0)*'01_Input'!$Y$56))+IF('01_Input'!$AB$56="Forfait",IF(BY$20&gt;='01_Input'!$Z$56,'01_Input'!$AC$56,0),IF('01_Input'!$AB$56="Palier",IF(AND(BY$20&gt;='01_Input'!$Z$56,BY$20&lt;'01_Input'!$AA$56),'01_Input'!$AC$56,0),MAX(MIN(BY$20,'01_Input'!$AA$56)-'01_Input'!$Z$56,0)*'01_Input'!$AC$56)))))))))</f>
        <v>0</v>
      </c>
      <c r="BZ24" s="83">
        <f>IF('01_Input'!$C$56="Non",0,MIN('01_Input'!$I$56,MAX('01_Input'!$H$56,IF('01_Input'!$G$56="Résiduel vs Gestion",0,IF('01_Input'!$G$56="Taux Classe sélectionnée",Distrib_SousDistrib_Classe_Selectionnee*BZ$20,IF('01_Input'!$G$56="Frais KYC (paliers de 100M€)",MAX(0,Nb_Investisseurs-Nb_KYC_Gratuites_Par_Tranche*(FLOOR(BZ$20/Taille_Tranche_KYC,1)+1))*Cout_Par_KYC_Supplementaire,(IF('01_Input'!$L$56="Forfait",IF(BZ$20&gt;='01_Input'!$J$56,'01_Input'!$M$56,0),IF('01_Input'!$L$56="Palier",IF(AND(BZ$20&gt;='01_Input'!$J$56,BZ$20&lt;'01_Input'!$K$56),'01_Input'!$M$56,0),MAX(MIN(BZ$20,'01_Input'!$K$56)-'01_Input'!$J$56,0)*'01_Input'!$M$56))+IF('01_Input'!$P$56="Forfait",IF(BZ$20&gt;='01_Input'!$N$56,'01_Input'!$Q$56,0),IF('01_Input'!$P$56="Palier",IF(AND(BZ$20&gt;='01_Input'!$N$56,BZ$20&lt;'01_Input'!$O$56),'01_Input'!$Q$56,0),MAX(MIN(BZ$20,'01_Input'!$O$56)-'01_Input'!$N$56,0)*'01_Input'!$Q$56))+IF('01_Input'!$T$56="Forfait",IF(BZ$20&gt;='01_Input'!$R$56,'01_Input'!$U$56,0),IF('01_Input'!$T$56="Palier",IF(AND(BZ$20&gt;='01_Input'!$R$56,BZ$20&lt;'01_Input'!$S$56),'01_Input'!$U$56,0),MAX(MIN(BZ$20,'01_Input'!$S$56)-'01_Input'!$R$56,0)*'01_Input'!$U$56))+IF('01_Input'!$X$56="Forfait",IF(BZ$20&gt;='01_Input'!$V$56,'01_Input'!$Y$56,0),IF('01_Input'!$X$56="Palier",IF(AND(BZ$20&gt;='01_Input'!$V$56,BZ$20&lt;'01_Input'!$W$56),'01_Input'!$Y$56,0),MAX(MIN(BZ$20,'01_Input'!$W$56)-'01_Input'!$V$56,0)*'01_Input'!$Y$56))+IF('01_Input'!$AB$56="Forfait",IF(BZ$20&gt;='01_Input'!$Z$56,'01_Input'!$AC$56,0),IF('01_Input'!$AB$56="Palier",IF(AND(BZ$20&gt;='01_Input'!$Z$56,BZ$20&lt;'01_Input'!$AA$56),'01_Input'!$AC$56,0),MAX(MIN(BZ$20,'01_Input'!$AA$56)-'01_Input'!$Z$56,0)*'01_Input'!$AC$56)))))))))</f>
        <v>0</v>
      </c>
      <c r="CA24" s="83">
        <f>IF('01_Input'!$C$56="Non",0,MIN('01_Input'!$I$56,MAX('01_Input'!$H$56,IF('01_Input'!$G$56="Résiduel vs Gestion",0,IF('01_Input'!$G$56="Taux Classe sélectionnée",Distrib_SousDistrib_Classe_Selectionnee*CA$20,IF('01_Input'!$G$56="Frais KYC (paliers de 100M€)",MAX(0,Nb_Investisseurs-Nb_KYC_Gratuites_Par_Tranche*(FLOOR(CA$20/Taille_Tranche_KYC,1)+1))*Cout_Par_KYC_Supplementaire,(IF('01_Input'!$L$56="Forfait",IF(CA$20&gt;='01_Input'!$J$56,'01_Input'!$M$56,0),IF('01_Input'!$L$56="Palier",IF(AND(CA$20&gt;='01_Input'!$J$56,CA$20&lt;'01_Input'!$K$56),'01_Input'!$M$56,0),MAX(MIN(CA$20,'01_Input'!$K$56)-'01_Input'!$J$56,0)*'01_Input'!$M$56))+IF('01_Input'!$P$56="Forfait",IF(CA$20&gt;='01_Input'!$N$56,'01_Input'!$Q$56,0),IF('01_Input'!$P$56="Palier",IF(AND(CA$20&gt;='01_Input'!$N$56,CA$20&lt;'01_Input'!$O$56),'01_Input'!$Q$56,0),MAX(MIN(CA$20,'01_Input'!$O$56)-'01_Input'!$N$56,0)*'01_Input'!$Q$56))+IF('01_Input'!$T$56="Forfait",IF(CA$20&gt;='01_Input'!$R$56,'01_Input'!$U$56,0),IF('01_Input'!$T$56="Palier",IF(AND(CA$20&gt;='01_Input'!$R$56,CA$20&lt;'01_Input'!$S$56),'01_Input'!$U$56,0),MAX(MIN(CA$20,'01_Input'!$S$56)-'01_Input'!$R$56,0)*'01_Input'!$U$56))+IF('01_Input'!$X$56="Forfait",IF(CA$20&gt;='01_Input'!$V$56,'01_Input'!$Y$56,0),IF('01_Input'!$X$56="Palier",IF(AND(CA$20&gt;='01_Input'!$V$56,CA$20&lt;'01_Input'!$W$56),'01_Input'!$Y$56,0),MAX(MIN(CA$20,'01_Input'!$W$56)-'01_Input'!$V$56,0)*'01_Input'!$Y$56))+IF('01_Input'!$AB$56="Forfait",IF(CA$20&gt;='01_Input'!$Z$56,'01_Input'!$AC$56,0),IF('01_Input'!$AB$56="Palier",IF(AND(CA$20&gt;='01_Input'!$Z$56,CA$20&lt;'01_Input'!$AA$56),'01_Input'!$AC$56,0),MAX(MIN(CA$20,'01_Input'!$AA$56)-'01_Input'!$Z$56,0)*'01_Input'!$AC$56)))))))))</f>
        <v>0</v>
      </c>
      <c r="CB24" s="83">
        <f>IF('01_Input'!$C$56="Non",0,MIN('01_Input'!$I$56,MAX('01_Input'!$H$56,IF('01_Input'!$G$56="Résiduel vs Gestion",0,IF('01_Input'!$G$56="Taux Classe sélectionnée",Distrib_SousDistrib_Classe_Selectionnee*CB$20,IF('01_Input'!$G$56="Frais KYC (paliers de 100M€)",MAX(0,Nb_Investisseurs-Nb_KYC_Gratuites_Par_Tranche*(FLOOR(CB$20/Taille_Tranche_KYC,1)+1))*Cout_Par_KYC_Supplementaire,(IF('01_Input'!$L$56="Forfait",IF(CB$20&gt;='01_Input'!$J$56,'01_Input'!$M$56,0),IF('01_Input'!$L$56="Palier",IF(AND(CB$20&gt;='01_Input'!$J$56,CB$20&lt;'01_Input'!$K$56),'01_Input'!$M$56,0),MAX(MIN(CB$20,'01_Input'!$K$56)-'01_Input'!$J$56,0)*'01_Input'!$M$56))+IF('01_Input'!$P$56="Forfait",IF(CB$20&gt;='01_Input'!$N$56,'01_Input'!$Q$56,0),IF('01_Input'!$P$56="Palier",IF(AND(CB$20&gt;='01_Input'!$N$56,CB$20&lt;'01_Input'!$O$56),'01_Input'!$Q$56,0),MAX(MIN(CB$20,'01_Input'!$O$56)-'01_Input'!$N$56,0)*'01_Input'!$Q$56))+IF('01_Input'!$T$56="Forfait",IF(CB$20&gt;='01_Input'!$R$56,'01_Input'!$U$56,0),IF('01_Input'!$T$56="Palier",IF(AND(CB$20&gt;='01_Input'!$R$56,CB$20&lt;'01_Input'!$S$56),'01_Input'!$U$56,0),MAX(MIN(CB$20,'01_Input'!$S$56)-'01_Input'!$R$56,0)*'01_Input'!$U$56))+IF('01_Input'!$X$56="Forfait",IF(CB$20&gt;='01_Input'!$V$56,'01_Input'!$Y$56,0),IF('01_Input'!$X$56="Palier",IF(AND(CB$20&gt;='01_Input'!$V$56,CB$20&lt;'01_Input'!$W$56),'01_Input'!$Y$56,0),MAX(MIN(CB$20,'01_Input'!$W$56)-'01_Input'!$V$56,0)*'01_Input'!$Y$56))+IF('01_Input'!$AB$56="Forfait",IF(CB$20&gt;='01_Input'!$Z$56,'01_Input'!$AC$56,0),IF('01_Input'!$AB$56="Palier",IF(AND(CB$20&gt;='01_Input'!$Z$56,CB$20&lt;'01_Input'!$AA$56),'01_Input'!$AC$56,0),MAX(MIN(CB$20,'01_Input'!$AA$56)-'01_Input'!$Z$56,0)*'01_Input'!$AC$56)))))))))</f>
        <v>0</v>
      </c>
      <c r="CC24" s="83">
        <f>IF('01_Input'!$C$56="Non",0,MIN('01_Input'!$I$56,MAX('01_Input'!$H$56,IF('01_Input'!$G$56="Résiduel vs Gestion",0,IF('01_Input'!$G$56="Taux Classe sélectionnée",Distrib_SousDistrib_Classe_Selectionnee*CC$20,IF('01_Input'!$G$56="Frais KYC (paliers de 100M€)",MAX(0,Nb_Investisseurs-Nb_KYC_Gratuites_Par_Tranche*(FLOOR(CC$20/Taille_Tranche_KYC,1)+1))*Cout_Par_KYC_Supplementaire,(IF('01_Input'!$L$56="Forfait",IF(CC$20&gt;='01_Input'!$J$56,'01_Input'!$M$56,0),IF('01_Input'!$L$56="Palier",IF(AND(CC$20&gt;='01_Input'!$J$56,CC$20&lt;'01_Input'!$K$56),'01_Input'!$M$56,0),MAX(MIN(CC$20,'01_Input'!$K$56)-'01_Input'!$J$56,0)*'01_Input'!$M$56))+IF('01_Input'!$P$56="Forfait",IF(CC$20&gt;='01_Input'!$N$56,'01_Input'!$Q$56,0),IF('01_Input'!$P$56="Palier",IF(AND(CC$20&gt;='01_Input'!$N$56,CC$20&lt;'01_Input'!$O$56),'01_Input'!$Q$56,0),MAX(MIN(CC$20,'01_Input'!$O$56)-'01_Input'!$N$56,0)*'01_Input'!$Q$56))+IF('01_Input'!$T$56="Forfait",IF(CC$20&gt;='01_Input'!$R$56,'01_Input'!$U$56,0),IF('01_Input'!$T$56="Palier",IF(AND(CC$20&gt;='01_Input'!$R$56,CC$20&lt;'01_Input'!$S$56),'01_Input'!$U$56,0),MAX(MIN(CC$20,'01_Input'!$S$56)-'01_Input'!$R$56,0)*'01_Input'!$U$56))+IF('01_Input'!$X$56="Forfait",IF(CC$20&gt;='01_Input'!$V$56,'01_Input'!$Y$56,0),IF('01_Input'!$X$56="Palier",IF(AND(CC$20&gt;='01_Input'!$V$56,CC$20&lt;'01_Input'!$W$56),'01_Input'!$Y$56,0),MAX(MIN(CC$20,'01_Input'!$W$56)-'01_Input'!$V$56,0)*'01_Input'!$Y$56))+IF('01_Input'!$AB$56="Forfait",IF(CC$20&gt;='01_Input'!$Z$56,'01_Input'!$AC$56,0),IF('01_Input'!$AB$56="Palier",IF(AND(CC$20&gt;='01_Input'!$Z$56,CC$20&lt;'01_Input'!$AA$56),'01_Input'!$AC$56,0),MAX(MIN(CC$20,'01_Input'!$AA$56)-'01_Input'!$Z$56,0)*'01_Input'!$AC$56)))))))))</f>
        <v>0</v>
      </c>
      <c r="CD24" s="83">
        <f>IF('01_Input'!$C$56="Non",0,MIN('01_Input'!$I$56,MAX('01_Input'!$H$56,IF('01_Input'!$G$56="Résiduel vs Gestion",0,IF('01_Input'!$G$56="Taux Classe sélectionnée",Distrib_SousDistrib_Classe_Selectionnee*CD$20,IF('01_Input'!$G$56="Frais KYC (paliers de 100M€)",MAX(0,Nb_Investisseurs-Nb_KYC_Gratuites_Par_Tranche*(FLOOR(CD$20/Taille_Tranche_KYC,1)+1))*Cout_Par_KYC_Supplementaire,(IF('01_Input'!$L$56="Forfait",IF(CD$20&gt;='01_Input'!$J$56,'01_Input'!$M$56,0),IF('01_Input'!$L$56="Palier",IF(AND(CD$20&gt;='01_Input'!$J$56,CD$20&lt;'01_Input'!$K$56),'01_Input'!$M$56,0),MAX(MIN(CD$20,'01_Input'!$K$56)-'01_Input'!$J$56,0)*'01_Input'!$M$56))+IF('01_Input'!$P$56="Forfait",IF(CD$20&gt;='01_Input'!$N$56,'01_Input'!$Q$56,0),IF('01_Input'!$P$56="Palier",IF(AND(CD$20&gt;='01_Input'!$N$56,CD$20&lt;'01_Input'!$O$56),'01_Input'!$Q$56,0),MAX(MIN(CD$20,'01_Input'!$O$56)-'01_Input'!$N$56,0)*'01_Input'!$Q$56))+IF('01_Input'!$T$56="Forfait",IF(CD$20&gt;='01_Input'!$R$56,'01_Input'!$U$56,0),IF('01_Input'!$T$56="Palier",IF(AND(CD$20&gt;='01_Input'!$R$56,CD$20&lt;'01_Input'!$S$56),'01_Input'!$U$56,0),MAX(MIN(CD$20,'01_Input'!$S$56)-'01_Input'!$R$56,0)*'01_Input'!$U$56))+IF('01_Input'!$X$56="Forfait",IF(CD$20&gt;='01_Input'!$V$56,'01_Input'!$Y$56,0),IF('01_Input'!$X$56="Palier",IF(AND(CD$20&gt;='01_Input'!$V$56,CD$20&lt;'01_Input'!$W$56),'01_Input'!$Y$56,0),MAX(MIN(CD$20,'01_Input'!$W$56)-'01_Input'!$V$56,0)*'01_Input'!$Y$56))+IF('01_Input'!$AB$56="Forfait",IF(CD$20&gt;='01_Input'!$Z$56,'01_Input'!$AC$56,0),IF('01_Input'!$AB$56="Palier",IF(AND(CD$20&gt;='01_Input'!$Z$56,CD$20&lt;'01_Input'!$AA$56),'01_Input'!$AC$56,0),MAX(MIN(CD$20,'01_Input'!$AA$56)-'01_Input'!$Z$56,0)*'01_Input'!$AC$56)))))))))</f>
        <v>0</v>
      </c>
      <c r="CE24" s="83">
        <f>IF('01_Input'!$C$56="Non",0,MIN('01_Input'!$I$56,MAX('01_Input'!$H$56,IF('01_Input'!$G$56="Résiduel vs Gestion",0,IF('01_Input'!$G$56="Taux Classe sélectionnée",Distrib_SousDistrib_Classe_Selectionnee*CE$20,IF('01_Input'!$G$56="Frais KYC (paliers de 100M€)",MAX(0,Nb_Investisseurs-Nb_KYC_Gratuites_Par_Tranche*(FLOOR(CE$20/Taille_Tranche_KYC,1)+1))*Cout_Par_KYC_Supplementaire,(IF('01_Input'!$L$56="Forfait",IF(CE$20&gt;='01_Input'!$J$56,'01_Input'!$M$56,0),IF('01_Input'!$L$56="Palier",IF(AND(CE$20&gt;='01_Input'!$J$56,CE$20&lt;'01_Input'!$K$56),'01_Input'!$M$56,0),MAX(MIN(CE$20,'01_Input'!$K$56)-'01_Input'!$J$56,0)*'01_Input'!$M$56))+IF('01_Input'!$P$56="Forfait",IF(CE$20&gt;='01_Input'!$N$56,'01_Input'!$Q$56,0),IF('01_Input'!$P$56="Palier",IF(AND(CE$20&gt;='01_Input'!$N$56,CE$20&lt;'01_Input'!$O$56),'01_Input'!$Q$56,0),MAX(MIN(CE$20,'01_Input'!$O$56)-'01_Input'!$N$56,0)*'01_Input'!$Q$56))+IF('01_Input'!$T$56="Forfait",IF(CE$20&gt;='01_Input'!$R$56,'01_Input'!$U$56,0),IF('01_Input'!$T$56="Palier",IF(AND(CE$20&gt;='01_Input'!$R$56,CE$20&lt;'01_Input'!$S$56),'01_Input'!$U$56,0),MAX(MIN(CE$20,'01_Input'!$S$56)-'01_Input'!$R$56,0)*'01_Input'!$U$56))+IF('01_Input'!$X$56="Forfait",IF(CE$20&gt;='01_Input'!$V$56,'01_Input'!$Y$56,0),IF('01_Input'!$X$56="Palier",IF(AND(CE$20&gt;='01_Input'!$V$56,CE$20&lt;'01_Input'!$W$56),'01_Input'!$Y$56,0),MAX(MIN(CE$20,'01_Input'!$W$56)-'01_Input'!$V$56,0)*'01_Input'!$Y$56))+IF('01_Input'!$AB$56="Forfait",IF(CE$20&gt;='01_Input'!$Z$56,'01_Input'!$AC$56,0),IF('01_Input'!$AB$56="Palier",IF(AND(CE$20&gt;='01_Input'!$Z$56,CE$20&lt;'01_Input'!$AA$56),'01_Input'!$AC$56,0),MAX(MIN(CE$20,'01_Input'!$AA$56)-'01_Input'!$Z$56,0)*'01_Input'!$AC$56)))))))))</f>
        <v>0</v>
      </c>
      <c r="CF24" s="83">
        <f>IF('01_Input'!$C$56="Non",0,MIN('01_Input'!$I$56,MAX('01_Input'!$H$56,IF('01_Input'!$G$56="Résiduel vs Gestion",0,IF('01_Input'!$G$56="Taux Classe sélectionnée",Distrib_SousDistrib_Classe_Selectionnee*CF$20,IF('01_Input'!$G$56="Frais KYC (paliers de 100M€)",MAX(0,Nb_Investisseurs-Nb_KYC_Gratuites_Par_Tranche*(FLOOR(CF$20/Taille_Tranche_KYC,1)+1))*Cout_Par_KYC_Supplementaire,(IF('01_Input'!$L$56="Forfait",IF(CF$20&gt;='01_Input'!$J$56,'01_Input'!$M$56,0),IF('01_Input'!$L$56="Palier",IF(AND(CF$20&gt;='01_Input'!$J$56,CF$20&lt;'01_Input'!$K$56),'01_Input'!$M$56,0),MAX(MIN(CF$20,'01_Input'!$K$56)-'01_Input'!$J$56,0)*'01_Input'!$M$56))+IF('01_Input'!$P$56="Forfait",IF(CF$20&gt;='01_Input'!$N$56,'01_Input'!$Q$56,0),IF('01_Input'!$P$56="Palier",IF(AND(CF$20&gt;='01_Input'!$N$56,CF$20&lt;'01_Input'!$O$56),'01_Input'!$Q$56,0),MAX(MIN(CF$20,'01_Input'!$O$56)-'01_Input'!$N$56,0)*'01_Input'!$Q$56))+IF('01_Input'!$T$56="Forfait",IF(CF$20&gt;='01_Input'!$R$56,'01_Input'!$U$56,0),IF('01_Input'!$T$56="Palier",IF(AND(CF$20&gt;='01_Input'!$R$56,CF$20&lt;'01_Input'!$S$56),'01_Input'!$U$56,0),MAX(MIN(CF$20,'01_Input'!$S$56)-'01_Input'!$R$56,0)*'01_Input'!$U$56))+IF('01_Input'!$X$56="Forfait",IF(CF$20&gt;='01_Input'!$V$56,'01_Input'!$Y$56,0),IF('01_Input'!$X$56="Palier",IF(AND(CF$20&gt;='01_Input'!$V$56,CF$20&lt;'01_Input'!$W$56),'01_Input'!$Y$56,0),MAX(MIN(CF$20,'01_Input'!$W$56)-'01_Input'!$V$56,0)*'01_Input'!$Y$56))+IF('01_Input'!$AB$56="Forfait",IF(CF$20&gt;='01_Input'!$Z$56,'01_Input'!$AC$56,0),IF('01_Input'!$AB$56="Palier",IF(AND(CF$20&gt;='01_Input'!$Z$56,CF$20&lt;'01_Input'!$AA$56),'01_Input'!$AC$56,0),MAX(MIN(CF$20,'01_Input'!$AA$56)-'01_Input'!$Z$56,0)*'01_Input'!$AC$56)))))))))</f>
        <v>0</v>
      </c>
      <c r="CG24" s="83">
        <f>IF('01_Input'!$C$56="Non",0,MIN('01_Input'!$I$56,MAX('01_Input'!$H$56,IF('01_Input'!$G$56="Résiduel vs Gestion",0,IF('01_Input'!$G$56="Taux Classe sélectionnée",Distrib_SousDistrib_Classe_Selectionnee*CG$20,IF('01_Input'!$G$56="Frais KYC (paliers de 100M€)",MAX(0,Nb_Investisseurs-Nb_KYC_Gratuites_Par_Tranche*(FLOOR(CG$20/Taille_Tranche_KYC,1)+1))*Cout_Par_KYC_Supplementaire,(IF('01_Input'!$L$56="Forfait",IF(CG$20&gt;='01_Input'!$J$56,'01_Input'!$M$56,0),IF('01_Input'!$L$56="Palier",IF(AND(CG$20&gt;='01_Input'!$J$56,CG$20&lt;'01_Input'!$K$56),'01_Input'!$M$56,0),MAX(MIN(CG$20,'01_Input'!$K$56)-'01_Input'!$J$56,0)*'01_Input'!$M$56))+IF('01_Input'!$P$56="Forfait",IF(CG$20&gt;='01_Input'!$N$56,'01_Input'!$Q$56,0),IF('01_Input'!$P$56="Palier",IF(AND(CG$20&gt;='01_Input'!$N$56,CG$20&lt;'01_Input'!$O$56),'01_Input'!$Q$56,0),MAX(MIN(CG$20,'01_Input'!$O$56)-'01_Input'!$N$56,0)*'01_Input'!$Q$56))+IF('01_Input'!$T$56="Forfait",IF(CG$20&gt;='01_Input'!$R$56,'01_Input'!$U$56,0),IF('01_Input'!$T$56="Palier",IF(AND(CG$20&gt;='01_Input'!$R$56,CG$20&lt;'01_Input'!$S$56),'01_Input'!$U$56,0),MAX(MIN(CG$20,'01_Input'!$S$56)-'01_Input'!$R$56,0)*'01_Input'!$U$56))+IF('01_Input'!$X$56="Forfait",IF(CG$20&gt;='01_Input'!$V$56,'01_Input'!$Y$56,0),IF('01_Input'!$X$56="Palier",IF(AND(CG$20&gt;='01_Input'!$V$56,CG$20&lt;'01_Input'!$W$56),'01_Input'!$Y$56,0),MAX(MIN(CG$20,'01_Input'!$W$56)-'01_Input'!$V$56,0)*'01_Input'!$Y$56))+IF('01_Input'!$AB$56="Forfait",IF(CG$20&gt;='01_Input'!$Z$56,'01_Input'!$AC$56,0),IF('01_Input'!$AB$56="Palier",IF(AND(CG$20&gt;='01_Input'!$Z$56,CG$20&lt;'01_Input'!$AA$56),'01_Input'!$AC$56,0),MAX(MIN(CG$20,'01_Input'!$AA$56)-'01_Input'!$Z$56,0)*'01_Input'!$AC$56)))))))))</f>
        <v>0</v>
      </c>
      <c r="CH24" s="83">
        <f>IF('01_Input'!$C$56="Non",0,MIN('01_Input'!$I$56,MAX('01_Input'!$H$56,IF('01_Input'!$G$56="Résiduel vs Gestion",0,IF('01_Input'!$G$56="Taux Classe sélectionnée",Distrib_SousDistrib_Classe_Selectionnee*CH$20,IF('01_Input'!$G$56="Frais KYC (paliers de 100M€)",MAX(0,Nb_Investisseurs-Nb_KYC_Gratuites_Par_Tranche*(FLOOR(CH$20/Taille_Tranche_KYC,1)+1))*Cout_Par_KYC_Supplementaire,(IF('01_Input'!$L$56="Forfait",IF(CH$20&gt;='01_Input'!$J$56,'01_Input'!$M$56,0),IF('01_Input'!$L$56="Palier",IF(AND(CH$20&gt;='01_Input'!$J$56,CH$20&lt;'01_Input'!$K$56),'01_Input'!$M$56,0),MAX(MIN(CH$20,'01_Input'!$K$56)-'01_Input'!$J$56,0)*'01_Input'!$M$56))+IF('01_Input'!$P$56="Forfait",IF(CH$20&gt;='01_Input'!$N$56,'01_Input'!$Q$56,0),IF('01_Input'!$P$56="Palier",IF(AND(CH$20&gt;='01_Input'!$N$56,CH$20&lt;'01_Input'!$O$56),'01_Input'!$Q$56,0),MAX(MIN(CH$20,'01_Input'!$O$56)-'01_Input'!$N$56,0)*'01_Input'!$Q$56))+IF('01_Input'!$T$56="Forfait",IF(CH$20&gt;='01_Input'!$R$56,'01_Input'!$U$56,0),IF('01_Input'!$T$56="Palier",IF(AND(CH$20&gt;='01_Input'!$R$56,CH$20&lt;'01_Input'!$S$56),'01_Input'!$U$56,0),MAX(MIN(CH$20,'01_Input'!$S$56)-'01_Input'!$R$56,0)*'01_Input'!$U$56))+IF('01_Input'!$X$56="Forfait",IF(CH$20&gt;='01_Input'!$V$56,'01_Input'!$Y$56,0),IF('01_Input'!$X$56="Palier",IF(AND(CH$20&gt;='01_Input'!$V$56,CH$20&lt;'01_Input'!$W$56),'01_Input'!$Y$56,0),MAX(MIN(CH$20,'01_Input'!$W$56)-'01_Input'!$V$56,0)*'01_Input'!$Y$56))+IF('01_Input'!$AB$56="Forfait",IF(CH$20&gt;='01_Input'!$Z$56,'01_Input'!$AC$56,0),IF('01_Input'!$AB$56="Palier",IF(AND(CH$20&gt;='01_Input'!$Z$56,CH$20&lt;'01_Input'!$AA$56),'01_Input'!$AC$56,0),MAX(MIN(CH$20,'01_Input'!$AA$56)-'01_Input'!$Z$56,0)*'01_Input'!$AC$56)))))))))</f>
        <v>0</v>
      </c>
      <c r="CI24" s="83">
        <f>IF('01_Input'!$C$56="Non",0,MIN('01_Input'!$I$56,MAX('01_Input'!$H$56,IF('01_Input'!$G$56="Résiduel vs Gestion",0,IF('01_Input'!$G$56="Taux Classe sélectionnée",Distrib_SousDistrib_Classe_Selectionnee*CI$20,IF('01_Input'!$G$56="Frais KYC (paliers de 100M€)",MAX(0,Nb_Investisseurs-Nb_KYC_Gratuites_Par_Tranche*(FLOOR(CI$20/Taille_Tranche_KYC,1)+1))*Cout_Par_KYC_Supplementaire,(IF('01_Input'!$L$56="Forfait",IF(CI$20&gt;='01_Input'!$J$56,'01_Input'!$M$56,0),IF('01_Input'!$L$56="Palier",IF(AND(CI$20&gt;='01_Input'!$J$56,CI$20&lt;'01_Input'!$K$56),'01_Input'!$M$56,0),MAX(MIN(CI$20,'01_Input'!$K$56)-'01_Input'!$J$56,0)*'01_Input'!$M$56))+IF('01_Input'!$P$56="Forfait",IF(CI$20&gt;='01_Input'!$N$56,'01_Input'!$Q$56,0),IF('01_Input'!$P$56="Palier",IF(AND(CI$20&gt;='01_Input'!$N$56,CI$20&lt;'01_Input'!$O$56),'01_Input'!$Q$56,0),MAX(MIN(CI$20,'01_Input'!$O$56)-'01_Input'!$N$56,0)*'01_Input'!$Q$56))+IF('01_Input'!$T$56="Forfait",IF(CI$20&gt;='01_Input'!$R$56,'01_Input'!$U$56,0),IF('01_Input'!$T$56="Palier",IF(AND(CI$20&gt;='01_Input'!$R$56,CI$20&lt;'01_Input'!$S$56),'01_Input'!$U$56,0),MAX(MIN(CI$20,'01_Input'!$S$56)-'01_Input'!$R$56,0)*'01_Input'!$U$56))+IF('01_Input'!$X$56="Forfait",IF(CI$20&gt;='01_Input'!$V$56,'01_Input'!$Y$56,0),IF('01_Input'!$X$56="Palier",IF(AND(CI$20&gt;='01_Input'!$V$56,CI$20&lt;'01_Input'!$W$56),'01_Input'!$Y$56,0),MAX(MIN(CI$20,'01_Input'!$W$56)-'01_Input'!$V$56,0)*'01_Input'!$Y$56))+IF('01_Input'!$AB$56="Forfait",IF(CI$20&gt;='01_Input'!$Z$56,'01_Input'!$AC$56,0),IF('01_Input'!$AB$56="Palier",IF(AND(CI$20&gt;='01_Input'!$Z$56,CI$20&lt;'01_Input'!$AA$56),'01_Input'!$AC$56,0),MAX(MIN(CI$20,'01_Input'!$AA$56)-'01_Input'!$Z$56,0)*'01_Input'!$AC$56)))))))))</f>
        <v>0</v>
      </c>
      <c r="CJ24" s="83">
        <f>IF('01_Input'!$C$56="Non",0,MIN('01_Input'!$I$56,MAX('01_Input'!$H$56,IF('01_Input'!$G$56="Résiduel vs Gestion",0,IF('01_Input'!$G$56="Taux Classe sélectionnée",Distrib_SousDistrib_Classe_Selectionnee*CJ$20,IF('01_Input'!$G$56="Frais KYC (paliers de 100M€)",MAX(0,Nb_Investisseurs-Nb_KYC_Gratuites_Par_Tranche*(FLOOR(CJ$20/Taille_Tranche_KYC,1)+1))*Cout_Par_KYC_Supplementaire,(IF('01_Input'!$L$56="Forfait",IF(CJ$20&gt;='01_Input'!$J$56,'01_Input'!$M$56,0),IF('01_Input'!$L$56="Palier",IF(AND(CJ$20&gt;='01_Input'!$J$56,CJ$20&lt;'01_Input'!$K$56),'01_Input'!$M$56,0),MAX(MIN(CJ$20,'01_Input'!$K$56)-'01_Input'!$J$56,0)*'01_Input'!$M$56))+IF('01_Input'!$P$56="Forfait",IF(CJ$20&gt;='01_Input'!$N$56,'01_Input'!$Q$56,0),IF('01_Input'!$P$56="Palier",IF(AND(CJ$20&gt;='01_Input'!$N$56,CJ$20&lt;'01_Input'!$O$56),'01_Input'!$Q$56,0),MAX(MIN(CJ$20,'01_Input'!$O$56)-'01_Input'!$N$56,0)*'01_Input'!$Q$56))+IF('01_Input'!$T$56="Forfait",IF(CJ$20&gt;='01_Input'!$R$56,'01_Input'!$U$56,0),IF('01_Input'!$T$56="Palier",IF(AND(CJ$20&gt;='01_Input'!$R$56,CJ$20&lt;'01_Input'!$S$56),'01_Input'!$U$56,0),MAX(MIN(CJ$20,'01_Input'!$S$56)-'01_Input'!$R$56,0)*'01_Input'!$U$56))+IF('01_Input'!$X$56="Forfait",IF(CJ$20&gt;='01_Input'!$V$56,'01_Input'!$Y$56,0),IF('01_Input'!$X$56="Palier",IF(AND(CJ$20&gt;='01_Input'!$V$56,CJ$20&lt;'01_Input'!$W$56),'01_Input'!$Y$56,0),MAX(MIN(CJ$20,'01_Input'!$W$56)-'01_Input'!$V$56,0)*'01_Input'!$Y$56))+IF('01_Input'!$AB$56="Forfait",IF(CJ$20&gt;='01_Input'!$Z$56,'01_Input'!$AC$56,0),IF('01_Input'!$AB$56="Palier",IF(AND(CJ$20&gt;='01_Input'!$Z$56,CJ$20&lt;'01_Input'!$AA$56),'01_Input'!$AC$56,0),MAX(MIN(CJ$20,'01_Input'!$AA$56)-'01_Input'!$Z$56,0)*'01_Input'!$AC$56)))))))))</f>
        <v>0</v>
      </c>
      <c r="CK24" s="83">
        <f>IF('01_Input'!$C$56="Non",0,MIN('01_Input'!$I$56,MAX('01_Input'!$H$56,IF('01_Input'!$G$56="Résiduel vs Gestion",0,IF('01_Input'!$G$56="Taux Classe sélectionnée",Distrib_SousDistrib_Classe_Selectionnee*CK$20,IF('01_Input'!$G$56="Frais KYC (paliers de 100M€)",MAX(0,Nb_Investisseurs-Nb_KYC_Gratuites_Par_Tranche*(FLOOR(CK$20/Taille_Tranche_KYC,1)+1))*Cout_Par_KYC_Supplementaire,(IF('01_Input'!$L$56="Forfait",IF(CK$20&gt;='01_Input'!$J$56,'01_Input'!$M$56,0),IF('01_Input'!$L$56="Palier",IF(AND(CK$20&gt;='01_Input'!$J$56,CK$20&lt;'01_Input'!$K$56),'01_Input'!$M$56,0),MAX(MIN(CK$20,'01_Input'!$K$56)-'01_Input'!$J$56,0)*'01_Input'!$M$56))+IF('01_Input'!$P$56="Forfait",IF(CK$20&gt;='01_Input'!$N$56,'01_Input'!$Q$56,0),IF('01_Input'!$P$56="Palier",IF(AND(CK$20&gt;='01_Input'!$N$56,CK$20&lt;'01_Input'!$O$56),'01_Input'!$Q$56,0),MAX(MIN(CK$20,'01_Input'!$O$56)-'01_Input'!$N$56,0)*'01_Input'!$Q$56))+IF('01_Input'!$T$56="Forfait",IF(CK$20&gt;='01_Input'!$R$56,'01_Input'!$U$56,0),IF('01_Input'!$T$56="Palier",IF(AND(CK$20&gt;='01_Input'!$R$56,CK$20&lt;'01_Input'!$S$56),'01_Input'!$U$56,0),MAX(MIN(CK$20,'01_Input'!$S$56)-'01_Input'!$R$56,0)*'01_Input'!$U$56))+IF('01_Input'!$X$56="Forfait",IF(CK$20&gt;='01_Input'!$V$56,'01_Input'!$Y$56,0),IF('01_Input'!$X$56="Palier",IF(AND(CK$20&gt;='01_Input'!$V$56,CK$20&lt;'01_Input'!$W$56),'01_Input'!$Y$56,0),MAX(MIN(CK$20,'01_Input'!$W$56)-'01_Input'!$V$56,0)*'01_Input'!$Y$56))+IF('01_Input'!$AB$56="Forfait",IF(CK$20&gt;='01_Input'!$Z$56,'01_Input'!$AC$56,0),IF('01_Input'!$AB$56="Palier",IF(AND(CK$20&gt;='01_Input'!$Z$56,CK$20&lt;'01_Input'!$AA$56),'01_Input'!$AC$56,0),MAX(MIN(CK$20,'01_Input'!$AA$56)-'01_Input'!$Z$56,0)*'01_Input'!$AC$56)))))))))</f>
        <v>0</v>
      </c>
      <c r="CL24" s="83">
        <f>IF('01_Input'!$C$56="Non",0,MIN('01_Input'!$I$56,MAX('01_Input'!$H$56,IF('01_Input'!$G$56="Résiduel vs Gestion",0,IF('01_Input'!$G$56="Taux Classe sélectionnée",Distrib_SousDistrib_Classe_Selectionnee*CL$20,IF('01_Input'!$G$56="Frais KYC (paliers de 100M€)",MAX(0,Nb_Investisseurs-Nb_KYC_Gratuites_Par_Tranche*(FLOOR(CL$20/Taille_Tranche_KYC,1)+1))*Cout_Par_KYC_Supplementaire,(IF('01_Input'!$L$56="Forfait",IF(CL$20&gt;='01_Input'!$J$56,'01_Input'!$M$56,0),IF('01_Input'!$L$56="Palier",IF(AND(CL$20&gt;='01_Input'!$J$56,CL$20&lt;'01_Input'!$K$56),'01_Input'!$M$56,0),MAX(MIN(CL$20,'01_Input'!$K$56)-'01_Input'!$J$56,0)*'01_Input'!$M$56))+IF('01_Input'!$P$56="Forfait",IF(CL$20&gt;='01_Input'!$N$56,'01_Input'!$Q$56,0),IF('01_Input'!$P$56="Palier",IF(AND(CL$20&gt;='01_Input'!$N$56,CL$20&lt;'01_Input'!$O$56),'01_Input'!$Q$56,0),MAX(MIN(CL$20,'01_Input'!$O$56)-'01_Input'!$N$56,0)*'01_Input'!$Q$56))+IF('01_Input'!$T$56="Forfait",IF(CL$20&gt;='01_Input'!$R$56,'01_Input'!$U$56,0),IF('01_Input'!$T$56="Palier",IF(AND(CL$20&gt;='01_Input'!$R$56,CL$20&lt;'01_Input'!$S$56),'01_Input'!$U$56,0),MAX(MIN(CL$20,'01_Input'!$S$56)-'01_Input'!$R$56,0)*'01_Input'!$U$56))+IF('01_Input'!$X$56="Forfait",IF(CL$20&gt;='01_Input'!$V$56,'01_Input'!$Y$56,0),IF('01_Input'!$X$56="Palier",IF(AND(CL$20&gt;='01_Input'!$V$56,CL$20&lt;'01_Input'!$W$56),'01_Input'!$Y$56,0),MAX(MIN(CL$20,'01_Input'!$W$56)-'01_Input'!$V$56,0)*'01_Input'!$Y$56))+IF('01_Input'!$AB$56="Forfait",IF(CL$20&gt;='01_Input'!$Z$56,'01_Input'!$AC$56,0),IF('01_Input'!$AB$56="Palier",IF(AND(CL$20&gt;='01_Input'!$Z$56,CL$20&lt;'01_Input'!$AA$56),'01_Input'!$AC$56,0),MAX(MIN(CL$20,'01_Input'!$AA$56)-'01_Input'!$Z$56,0)*'01_Input'!$AC$56)))))))))</f>
        <v>0</v>
      </c>
      <c r="CM24" s="83">
        <f>IF('01_Input'!$C$56="Non",0,MIN('01_Input'!$I$56,MAX('01_Input'!$H$56,IF('01_Input'!$G$56="Résiduel vs Gestion",0,IF('01_Input'!$G$56="Taux Classe sélectionnée",Distrib_SousDistrib_Classe_Selectionnee*CM$20,IF('01_Input'!$G$56="Frais KYC (paliers de 100M€)",MAX(0,Nb_Investisseurs-Nb_KYC_Gratuites_Par_Tranche*(FLOOR(CM$20/Taille_Tranche_KYC,1)+1))*Cout_Par_KYC_Supplementaire,(IF('01_Input'!$L$56="Forfait",IF(CM$20&gt;='01_Input'!$J$56,'01_Input'!$M$56,0),IF('01_Input'!$L$56="Palier",IF(AND(CM$20&gt;='01_Input'!$J$56,CM$20&lt;'01_Input'!$K$56),'01_Input'!$M$56,0),MAX(MIN(CM$20,'01_Input'!$K$56)-'01_Input'!$J$56,0)*'01_Input'!$M$56))+IF('01_Input'!$P$56="Forfait",IF(CM$20&gt;='01_Input'!$N$56,'01_Input'!$Q$56,0),IF('01_Input'!$P$56="Palier",IF(AND(CM$20&gt;='01_Input'!$N$56,CM$20&lt;'01_Input'!$O$56),'01_Input'!$Q$56,0),MAX(MIN(CM$20,'01_Input'!$O$56)-'01_Input'!$N$56,0)*'01_Input'!$Q$56))+IF('01_Input'!$T$56="Forfait",IF(CM$20&gt;='01_Input'!$R$56,'01_Input'!$U$56,0),IF('01_Input'!$T$56="Palier",IF(AND(CM$20&gt;='01_Input'!$R$56,CM$20&lt;'01_Input'!$S$56),'01_Input'!$U$56,0),MAX(MIN(CM$20,'01_Input'!$S$56)-'01_Input'!$R$56,0)*'01_Input'!$U$56))+IF('01_Input'!$X$56="Forfait",IF(CM$20&gt;='01_Input'!$V$56,'01_Input'!$Y$56,0),IF('01_Input'!$X$56="Palier",IF(AND(CM$20&gt;='01_Input'!$V$56,CM$20&lt;'01_Input'!$W$56),'01_Input'!$Y$56,0),MAX(MIN(CM$20,'01_Input'!$W$56)-'01_Input'!$V$56,0)*'01_Input'!$Y$56))+IF('01_Input'!$AB$56="Forfait",IF(CM$20&gt;='01_Input'!$Z$56,'01_Input'!$AC$56,0),IF('01_Input'!$AB$56="Palier",IF(AND(CM$20&gt;='01_Input'!$Z$56,CM$20&lt;'01_Input'!$AA$56),'01_Input'!$AC$56,0),MAX(MIN(CM$20,'01_Input'!$AA$56)-'01_Input'!$Z$56,0)*'01_Input'!$AC$56)))))))))</f>
        <v>0</v>
      </c>
      <c r="CN24" s="83">
        <f>IF('01_Input'!$C$56="Non",0,MIN('01_Input'!$I$56,MAX('01_Input'!$H$56,IF('01_Input'!$G$56="Résiduel vs Gestion",0,IF('01_Input'!$G$56="Taux Classe sélectionnée",Distrib_SousDistrib_Classe_Selectionnee*CN$20,IF('01_Input'!$G$56="Frais KYC (paliers de 100M€)",MAX(0,Nb_Investisseurs-Nb_KYC_Gratuites_Par_Tranche*(FLOOR(CN$20/Taille_Tranche_KYC,1)+1))*Cout_Par_KYC_Supplementaire,(IF('01_Input'!$L$56="Forfait",IF(CN$20&gt;='01_Input'!$J$56,'01_Input'!$M$56,0),IF('01_Input'!$L$56="Palier",IF(AND(CN$20&gt;='01_Input'!$J$56,CN$20&lt;'01_Input'!$K$56),'01_Input'!$M$56,0),MAX(MIN(CN$20,'01_Input'!$K$56)-'01_Input'!$J$56,0)*'01_Input'!$M$56))+IF('01_Input'!$P$56="Forfait",IF(CN$20&gt;='01_Input'!$N$56,'01_Input'!$Q$56,0),IF('01_Input'!$P$56="Palier",IF(AND(CN$20&gt;='01_Input'!$N$56,CN$20&lt;'01_Input'!$O$56),'01_Input'!$Q$56,0),MAX(MIN(CN$20,'01_Input'!$O$56)-'01_Input'!$N$56,0)*'01_Input'!$Q$56))+IF('01_Input'!$T$56="Forfait",IF(CN$20&gt;='01_Input'!$R$56,'01_Input'!$U$56,0),IF('01_Input'!$T$56="Palier",IF(AND(CN$20&gt;='01_Input'!$R$56,CN$20&lt;'01_Input'!$S$56),'01_Input'!$U$56,0),MAX(MIN(CN$20,'01_Input'!$S$56)-'01_Input'!$R$56,0)*'01_Input'!$U$56))+IF('01_Input'!$X$56="Forfait",IF(CN$20&gt;='01_Input'!$V$56,'01_Input'!$Y$56,0),IF('01_Input'!$X$56="Palier",IF(AND(CN$20&gt;='01_Input'!$V$56,CN$20&lt;'01_Input'!$W$56),'01_Input'!$Y$56,0),MAX(MIN(CN$20,'01_Input'!$W$56)-'01_Input'!$V$56,0)*'01_Input'!$Y$56))+IF('01_Input'!$AB$56="Forfait",IF(CN$20&gt;='01_Input'!$Z$56,'01_Input'!$AC$56,0),IF('01_Input'!$AB$56="Palier",IF(AND(CN$20&gt;='01_Input'!$Z$56,CN$20&lt;'01_Input'!$AA$56),'01_Input'!$AC$56,0),MAX(MIN(CN$20,'01_Input'!$AA$56)-'01_Input'!$Z$56,0)*'01_Input'!$AC$56)))))))))</f>
        <v>0</v>
      </c>
      <c r="CO24" s="83">
        <f>IF('01_Input'!$C$56="Non",0,MIN('01_Input'!$I$56,MAX('01_Input'!$H$56,IF('01_Input'!$G$56="Résiduel vs Gestion",0,IF('01_Input'!$G$56="Taux Classe sélectionnée",Distrib_SousDistrib_Classe_Selectionnee*CO$20,IF('01_Input'!$G$56="Frais KYC (paliers de 100M€)",MAX(0,Nb_Investisseurs-Nb_KYC_Gratuites_Par_Tranche*(FLOOR(CO$20/Taille_Tranche_KYC,1)+1))*Cout_Par_KYC_Supplementaire,(IF('01_Input'!$L$56="Forfait",IF(CO$20&gt;='01_Input'!$J$56,'01_Input'!$M$56,0),IF('01_Input'!$L$56="Palier",IF(AND(CO$20&gt;='01_Input'!$J$56,CO$20&lt;'01_Input'!$K$56),'01_Input'!$M$56,0),MAX(MIN(CO$20,'01_Input'!$K$56)-'01_Input'!$J$56,0)*'01_Input'!$M$56))+IF('01_Input'!$P$56="Forfait",IF(CO$20&gt;='01_Input'!$N$56,'01_Input'!$Q$56,0),IF('01_Input'!$P$56="Palier",IF(AND(CO$20&gt;='01_Input'!$N$56,CO$20&lt;'01_Input'!$O$56),'01_Input'!$Q$56,0),MAX(MIN(CO$20,'01_Input'!$O$56)-'01_Input'!$N$56,0)*'01_Input'!$Q$56))+IF('01_Input'!$T$56="Forfait",IF(CO$20&gt;='01_Input'!$R$56,'01_Input'!$U$56,0),IF('01_Input'!$T$56="Palier",IF(AND(CO$20&gt;='01_Input'!$R$56,CO$20&lt;'01_Input'!$S$56),'01_Input'!$U$56,0),MAX(MIN(CO$20,'01_Input'!$S$56)-'01_Input'!$R$56,0)*'01_Input'!$U$56))+IF('01_Input'!$X$56="Forfait",IF(CO$20&gt;='01_Input'!$V$56,'01_Input'!$Y$56,0),IF('01_Input'!$X$56="Palier",IF(AND(CO$20&gt;='01_Input'!$V$56,CO$20&lt;'01_Input'!$W$56),'01_Input'!$Y$56,0),MAX(MIN(CO$20,'01_Input'!$W$56)-'01_Input'!$V$56,0)*'01_Input'!$Y$56))+IF('01_Input'!$AB$56="Forfait",IF(CO$20&gt;='01_Input'!$Z$56,'01_Input'!$AC$56,0),IF('01_Input'!$AB$56="Palier",IF(AND(CO$20&gt;='01_Input'!$Z$56,CO$20&lt;'01_Input'!$AA$56),'01_Input'!$AC$56,0),MAX(MIN(CO$20,'01_Input'!$AA$56)-'01_Input'!$Z$56,0)*'01_Input'!$AC$56)))))))))</f>
        <v>0</v>
      </c>
      <c r="CP24" s="83">
        <f>IF('01_Input'!$C$56="Non",0,MIN('01_Input'!$I$56,MAX('01_Input'!$H$56,IF('01_Input'!$G$56="Résiduel vs Gestion",0,IF('01_Input'!$G$56="Taux Classe sélectionnée",Distrib_SousDistrib_Classe_Selectionnee*CP$20,IF('01_Input'!$G$56="Frais KYC (paliers de 100M€)",MAX(0,Nb_Investisseurs-Nb_KYC_Gratuites_Par_Tranche*(FLOOR(CP$20/Taille_Tranche_KYC,1)+1))*Cout_Par_KYC_Supplementaire,(IF('01_Input'!$L$56="Forfait",IF(CP$20&gt;='01_Input'!$J$56,'01_Input'!$M$56,0),IF('01_Input'!$L$56="Palier",IF(AND(CP$20&gt;='01_Input'!$J$56,CP$20&lt;'01_Input'!$K$56),'01_Input'!$M$56,0),MAX(MIN(CP$20,'01_Input'!$K$56)-'01_Input'!$J$56,0)*'01_Input'!$M$56))+IF('01_Input'!$P$56="Forfait",IF(CP$20&gt;='01_Input'!$N$56,'01_Input'!$Q$56,0),IF('01_Input'!$P$56="Palier",IF(AND(CP$20&gt;='01_Input'!$N$56,CP$20&lt;'01_Input'!$O$56),'01_Input'!$Q$56,0),MAX(MIN(CP$20,'01_Input'!$O$56)-'01_Input'!$N$56,0)*'01_Input'!$Q$56))+IF('01_Input'!$T$56="Forfait",IF(CP$20&gt;='01_Input'!$R$56,'01_Input'!$U$56,0),IF('01_Input'!$T$56="Palier",IF(AND(CP$20&gt;='01_Input'!$R$56,CP$20&lt;'01_Input'!$S$56),'01_Input'!$U$56,0),MAX(MIN(CP$20,'01_Input'!$S$56)-'01_Input'!$R$56,0)*'01_Input'!$U$56))+IF('01_Input'!$X$56="Forfait",IF(CP$20&gt;='01_Input'!$V$56,'01_Input'!$Y$56,0),IF('01_Input'!$X$56="Palier",IF(AND(CP$20&gt;='01_Input'!$V$56,CP$20&lt;'01_Input'!$W$56),'01_Input'!$Y$56,0),MAX(MIN(CP$20,'01_Input'!$W$56)-'01_Input'!$V$56,0)*'01_Input'!$Y$56))+IF('01_Input'!$AB$56="Forfait",IF(CP$20&gt;='01_Input'!$Z$56,'01_Input'!$AC$56,0),IF('01_Input'!$AB$56="Palier",IF(AND(CP$20&gt;='01_Input'!$Z$56,CP$20&lt;'01_Input'!$AA$56),'01_Input'!$AC$56,0),MAX(MIN(CP$20,'01_Input'!$AA$56)-'01_Input'!$Z$56,0)*'01_Input'!$AC$56)))))))))</f>
        <v>0</v>
      </c>
      <c r="CQ24" s="83">
        <f>IF('01_Input'!$C$56="Non",0,MIN('01_Input'!$I$56,MAX('01_Input'!$H$56,IF('01_Input'!$G$56="Résiduel vs Gestion",0,IF('01_Input'!$G$56="Taux Classe sélectionnée",Distrib_SousDistrib_Classe_Selectionnee*CQ$20,IF('01_Input'!$G$56="Frais KYC (paliers de 100M€)",MAX(0,Nb_Investisseurs-Nb_KYC_Gratuites_Par_Tranche*(FLOOR(CQ$20/Taille_Tranche_KYC,1)+1))*Cout_Par_KYC_Supplementaire,(IF('01_Input'!$L$56="Forfait",IF(CQ$20&gt;='01_Input'!$J$56,'01_Input'!$M$56,0),IF('01_Input'!$L$56="Palier",IF(AND(CQ$20&gt;='01_Input'!$J$56,CQ$20&lt;'01_Input'!$K$56),'01_Input'!$M$56,0),MAX(MIN(CQ$20,'01_Input'!$K$56)-'01_Input'!$J$56,0)*'01_Input'!$M$56))+IF('01_Input'!$P$56="Forfait",IF(CQ$20&gt;='01_Input'!$N$56,'01_Input'!$Q$56,0),IF('01_Input'!$P$56="Palier",IF(AND(CQ$20&gt;='01_Input'!$N$56,CQ$20&lt;'01_Input'!$O$56),'01_Input'!$Q$56,0),MAX(MIN(CQ$20,'01_Input'!$O$56)-'01_Input'!$N$56,0)*'01_Input'!$Q$56))+IF('01_Input'!$T$56="Forfait",IF(CQ$20&gt;='01_Input'!$R$56,'01_Input'!$U$56,0),IF('01_Input'!$T$56="Palier",IF(AND(CQ$20&gt;='01_Input'!$R$56,CQ$20&lt;'01_Input'!$S$56),'01_Input'!$U$56,0),MAX(MIN(CQ$20,'01_Input'!$S$56)-'01_Input'!$R$56,0)*'01_Input'!$U$56))+IF('01_Input'!$X$56="Forfait",IF(CQ$20&gt;='01_Input'!$V$56,'01_Input'!$Y$56,0),IF('01_Input'!$X$56="Palier",IF(AND(CQ$20&gt;='01_Input'!$V$56,CQ$20&lt;'01_Input'!$W$56),'01_Input'!$Y$56,0),MAX(MIN(CQ$20,'01_Input'!$W$56)-'01_Input'!$V$56,0)*'01_Input'!$Y$56))+IF('01_Input'!$AB$56="Forfait",IF(CQ$20&gt;='01_Input'!$Z$56,'01_Input'!$AC$56,0),IF('01_Input'!$AB$56="Palier",IF(AND(CQ$20&gt;='01_Input'!$Z$56,CQ$20&lt;'01_Input'!$AA$56),'01_Input'!$AC$56,0),MAX(MIN(CQ$20,'01_Input'!$AA$56)-'01_Input'!$Z$56,0)*'01_Input'!$AC$56)))))))))</f>
        <v>0</v>
      </c>
      <c r="CR24" s="83">
        <f>IF('01_Input'!$C$56="Non",0,MIN('01_Input'!$I$56,MAX('01_Input'!$H$56,IF('01_Input'!$G$56="Résiduel vs Gestion",0,IF('01_Input'!$G$56="Taux Classe sélectionnée",Distrib_SousDistrib_Classe_Selectionnee*CR$20,IF('01_Input'!$G$56="Frais KYC (paliers de 100M€)",MAX(0,Nb_Investisseurs-Nb_KYC_Gratuites_Par_Tranche*(FLOOR(CR$20/Taille_Tranche_KYC,1)+1))*Cout_Par_KYC_Supplementaire,(IF('01_Input'!$L$56="Forfait",IF(CR$20&gt;='01_Input'!$J$56,'01_Input'!$M$56,0),IF('01_Input'!$L$56="Palier",IF(AND(CR$20&gt;='01_Input'!$J$56,CR$20&lt;'01_Input'!$K$56),'01_Input'!$M$56,0),MAX(MIN(CR$20,'01_Input'!$K$56)-'01_Input'!$J$56,0)*'01_Input'!$M$56))+IF('01_Input'!$P$56="Forfait",IF(CR$20&gt;='01_Input'!$N$56,'01_Input'!$Q$56,0),IF('01_Input'!$P$56="Palier",IF(AND(CR$20&gt;='01_Input'!$N$56,CR$20&lt;'01_Input'!$O$56),'01_Input'!$Q$56,0),MAX(MIN(CR$20,'01_Input'!$O$56)-'01_Input'!$N$56,0)*'01_Input'!$Q$56))+IF('01_Input'!$T$56="Forfait",IF(CR$20&gt;='01_Input'!$R$56,'01_Input'!$U$56,0),IF('01_Input'!$T$56="Palier",IF(AND(CR$20&gt;='01_Input'!$R$56,CR$20&lt;'01_Input'!$S$56),'01_Input'!$U$56,0),MAX(MIN(CR$20,'01_Input'!$S$56)-'01_Input'!$R$56,0)*'01_Input'!$U$56))+IF('01_Input'!$X$56="Forfait",IF(CR$20&gt;='01_Input'!$V$56,'01_Input'!$Y$56,0),IF('01_Input'!$X$56="Palier",IF(AND(CR$20&gt;='01_Input'!$V$56,CR$20&lt;'01_Input'!$W$56),'01_Input'!$Y$56,0),MAX(MIN(CR$20,'01_Input'!$W$56)-'01_Input'!$V$56,0)*'01_Input'!$Y$56))+IF('01_Input'!$AB$56="Forfait",IF(CR$20&gt;='01_Input'!$Z$56,'01_Input'!$AC$56,0),IF('01_Input'!$AB$56="Palier",IF(AND(CR$20&gt;='01_Input'!$Z$56,CR$20&lt;'01_Input'!$AA$56),'01_Input'!$AC$56,0),MAX(MIN(CR$20,'01_Input'!$AA$56)-'01_Input'!$Z$56,0)*'01_Input'!$AC$56)))))))))</f>
        <v>0</v>
      </c>
      <c r="CS24" s="83">
        <f>IF('01_Input'!$C$56="Non",0,MIN('01_Input'!$I$56,MAX('01_Input'!$H$56,IF('01_Input'!$G$56="Résiduel vs Gestion",0,IF('01_Input'!$G$56="Taux Classe sélectionnée",Distrib_SousDistrib_Classe_Selectionnee*CS$20,IF('01_Input'!$G$56="Frais KYC (paliers de 100M€)",MAX(0,Nb_Investisseurs-Nb_KYC_Gratuites_Par_Tranche*(FLOOR(CS$20/Taille_Tranche_KYC,1)+1))*Cout_Par_KYC_Supplementaire,(IF('01_Input'!$L$56="Forfait",IF(CS$20&gt;='01_Input'!$J$56,'01_Input'!$M$56,0),IF('01_Input'!$L$56="Palier",IF(AND(CS$20&gt;='01_Input'!$J$56,CS$20&lt;'01_Input'!$K$56),'01_Input'!$M$56,0),MAX(MIN(CS$20,'01_Input'!$K$56)-'01_Input'!$J$56,0)*'01_Input'!$M$56))+IF('01_Input'!$P$56="Forfait",IF(CS$20&gt;='01_Input'!$N$56,'01_Input'!$Q$56,0),IF('01_Input'!$P$56="Palier",IF(AND(CS$20&gt;='01_Input'!$N$56,CS$20&lt;'01_Input'!$O$56),'01_Input'!$Q$56,0),MAX(MIN(CS$20,'01_Input'!$O$56)-'01_Input'!$N$56,0)*'01_Input'!$Q$56))+IF('01_Input'!$T$56="Forfait",IF(CS$20&gt;='01_Input'!$R$56,'01_Input'!$U$56,0),IF('01_Input'!$T$56="Palier",IF(AND(CS$20&gt;='01_Input'!$R$56,CS$20&lt;'01_Input'!$S$56),'01_Input'!$U$56,0),MAX(MIN(CS$20,'01_Input'!$S$56)-'01_Input'!$R$56,0)*'01_Input'!$U$56))+IF('01_Input'!$X$56="Forfait",IF(CS$20&gt;='01_Input'!$V$56,'01_Input'!$Y$56,0),IF('01_Input'!$X$56="Palier",IF(AND(CS$20&gt;='01_Input'!$V$56,CS$20&lt;'01_Input'!$W$56),'01_Input'!$Y$56,0),MAX(MIN(CS$20,'01_Input'!$W$56)-'01_Input'!$V$56,0)*'01_Input'!$Y$56))+IF('01_Input'!$AB$56="Forfait",IF(CS$20&gt;='01_Input'!$Z$56,'01_Input'!$AC$56,0),IF('01_Input'!$AB$56="Palier",IF(AND(CS$20&gt;='01_Input'!$Z$56,CS$20&lt;'01_Input'!$AA$56),'01_Input'!$AC$56,0),MAX(MIN(CS$20,'01_Input'!$AA$56)-'01_Input'!$Z$56,0)*'01_Input'!$AC$56)))))))))</f>
        <v>0</v>
      </c>
      <c r="CT24" s="83">
        <f>IF('01_Input'!$C$56="Non",0,MIN('01_Input'!$I$56,MAX('01_Input'!$H$56,IF('01_Input'!$G$56="Résiduel vs Gestion",0,IF('01_Input'!$G$56="Taux Classe sélectionnée",Distrib_SousDistrib_Classe_Selectionnee*CT$20,IF('01_Input'!$G$56="Frais KYC (paliers de 100M€)",MAX(0,Nb_Investisseurs-Nb_KYC_Gratuites_Par_Tranche*(FLOOR(CT$20/Taille_Tranche_KYC,1)+1))*Cout_Par_KYC_Supplementaire,(IF('01_Input'!$L$56="Forfait",IF(CT$20&gt;='01_Input'!$J$56,'01_Input'!$M$56,0),IF('01_Input'!$L$56="Palier",IF(AND(CT$20&gt;='01_Input'!$J$56,CT$20&lt;'01_Input'!$K$56),'01_Input'!$M$56,0),MAX(MIN(CT$20,'01_Input'!$K$56)-'01_Input'!$J$56,0)*'01_Input'!$M$56))+IF('01_Input'!$P$56="Forfait",IF(CT$20&gt;='01_Input'!$N$56,'01_Input'!$Q$56,0),IF('01_Input'!$P$56="Palier",IF(AND(CT$20&gt;='01_Input'!$N$56,CT$20&lt;'01_Input'!$O$56),'01_Input'!$Q$56,0),MAX(MIN(CT$20,'01_Input'!$O$56)-'01_Input'!$N$56,0)*'01_Input'!$Q$56))+IF('01_Input'!$T$56="Forfait",IF(CT$20&gt;='01_Input'!$R$56,'01_Input'!$U$56,0),IF('01_Input'!$T$56="Palier",IF(AND(CT$20&gt;='01_Input'!$R$56,CT$20&lt;'01_Input'!$S$56),'01_Input'!$U$56,0),MAX(MIN(CT$20,'01_Input'!$S$56)-'01_Input'!$R$56,0)*'01_Input'!$U$56))+IF('01_Input'!$X$56="Forfait",IF(CT$20&gt;='01_Input'!$V$56,'01_Input'!$Y$56,0),IF('01_Input'!$X$56="Palier",IF(AND(CT$20&gt;='01_Input'!$V$56,CT$20&lt;'01_Input'!$W$56),'01_Input'!$Y$56,0),MAX(MIN(CT$20,'01_Input'!$W$56)-'01_Input'!$V$56,0)*'01_Input'!$Y$56))+IF('01_Input'!$AB$56="Forfait",IF(CT$20&gt;='01_Input'!$Z$56,'01_Input'!$AC$56,0),IF('01_Input'!$AB$56="Palier",IF(AND(CT$20&gt;='01_Input'!$Z$56,CT$20&lt;'01_Input'!$AA$56),'01_Input'!$AC$56,0),MAX(MIN(CT$20,'01_Input'!$AA$56)-'01_Input'!$Z$56,0)*'01_Input'!$AC$56)))))))))</f>
        <v>0</v>
      </c>
      <c r="CU24" s="83">
        <f>IF('01_Input'!$C$56="Non",0,MIN('01_Input'!$I$56,MAX('01_Input'!$H$56,IF('01_Input'!$G$56="Résiduel vs Gestion",0,IF('01_Input'!$G$56="Taux Classe sélectionnée",Distrib_SousDistrib_Classe_Selectionnee*CU$20,IF('01_Input'!$G$56="Frais KYC (paliers de 100M€)",MAX(0,Nb_Investisseurs-Nb_KYC_Gratuites_Par_Tranche*(FLOOR(CU$20/Taille_Tranche_KYC,1)+1))*Cout_Par_KYC_Supplementaire,(IF('01_Input'!$L$56="Forfait",IF(CU$20&gt;='01_Input'!$J$56,'01_Input'!$M$56,0),IF('01_Input'!$L$56="Palier",IF(AND(CU$20&gt;='01_Input'!$J$56,CU$20&lt;'01_Input'!$K$56),'01_Input'!$M$56,0),MAX(MIN(CU$20,'01_Input'!$K$56)-'01_Input'!$J$56,0)*'01_Input'!$M$56))+IF('01_Input'!$P$56="Forfait",IF(CU$20&gt;='01_Input'!$N$56,'01_Input'!$Q$56,0),IF('01_Input'!$P$56="Palier",IF(AND(CU$20&gt;='01_Input'!$N$56,CU$20&lt;'01_Input'!$O$56),'01_Input'!$Q$56,0),MAX(MIN(CU$20,'01_Input'!$O$56)-'01_Input'!$N$56,0)*'01_Input'!$Q$56))+IF('01_Input'!$T$56="Forfait",IF(CU$20&gt;='01_Input'!$R$56,'01_Input'!$U$56,0),IF('01_Input'!$T$56="Palier",IF(AND(CU$20&gt;='01_Input'!$R$56,CU$20&lt;'01_Input'!$S$56),'01_Input'!$U$56,0),MAX(MIN(CU$20,'01_Input'!$S$56)-'01_Input'!$R$56,0)*'01_Input'!$U$56))+IF('01_Input'!$X$56="Forfait",IF(CU$20&gt;='01_Input'!$V$56,'01_Input'!$Y$56,0),IF('01_Input'!$X$56="Palier",IF(AND(CU$20&gt;='01_Input'!$V$56,CU$20&lt;'01_Input'!$W$56),'01_Input'!$Y$56,0),MAX(MIN(CU$20,'01_Input'!$W$56)-'01_Input'!$V$56,0)*'01_Input'!$Y$56))+IF('01_Input'!$AB$56="Forfait",IF(CU$20&gt;='01_Input'!$Z$56,'01_Input'!$AC$56,0),IF('01_Input'!$AB$56="Palier",IF(AND(CU$20&gt;='01_Input'!$Z$56,CU$20&lt;'01_Input'!$AA$56),'01_Input'!$AC$56,0),MAX(MIN(CU$20,'01_Input'!$AA$56)-'01_Input'!$Z$56,0)*'01_Input'!$AC$56)))))))))</f>
        <v>0</v>
      </c>
      <c r="CV24" s="83">
        <f>IF('01_Input'!$C$56="Non",0,MIN('01_Input'!$I$56,MAX('01_Input'!$H$56,IF('01_Input'!$G$56="Résiduel vs Gestion",0,IF('01_Input'!$G$56="Taux Classe sélectionnée",Distrib_SousDistrib_Classe_Selectionnee*CV$20,IF('01_Input'!$G$56="Frais KYC (paliers de 100M€)",MAX(0,Nb_Investisseurs-Nb_KYC_Gratuites_Par_Tranche*(FLOOR(CV$20/Taille_Tranche_KYC,1)+1))*Cout_Par_KYC_Supplementaire,(IF('01_Input'!$L$56="Forfait",IF(CV$20&gt;='01_Input'!$J$56,'01_Input'!$M$56,0),IF('01_Input'!$L$56="Palier",IF(AND(CV$20&gt;='01_Input'!$J$56,CV$20&lt;'01_Input'!$K$56),'01_Input'!$M$56,0),MAX(MIN(CV$20,'01_Input'!$K$56)-'01_Input'!$J$56,0)*'01_Input'!$M$56))+IF('01_Input'!$P$56="Forfait",IF(CV$20&gt;='01_Input'!$N$56,'01_Input'!$Q$56,0),IF('01_Input'!$P$56="Palier",IF(AND(CV$20&gt;='01_Input'!$N$56,CV$20&lt;'01_Input'!$O$56),'01_Input'!$Q$56,0),MAX(MIN(CV$20,'01_Input'!$O$56)-'01_Input'!$N$56,0)*'01_Input'!$Q$56))+IF('01_Input'!$T$56="Forfait",IF(CV$20&gt;='01_Input'!$R$56,'01_Input'!$U$56,0),IF('01_Input'!$T$56="Palier",IF(AND(CV$20&gt;='01_Input'!$R$56,CV$20&lt;'01_Input'!$S$56),'01_Input'!$U$56,0),MAX(MIN(CV$20,'01_Input'!$S$56)-'01_Input'!$R$56,0)*'01_Input'!$U$56))+IF('01_Input'!$X$56="Forfait",IF(CV$20&gt;='01_Input'!$V$56,'01_Input'!$Y$56,0),IF('01_Input'!$X$56="Palier",IF(AND(CV$20&gt;='01_Input'!$V$56,CV$20&lt;'01_Input'!$W$56),'01_Input'!$Y$56,0),MAX(MIN(CV$20,'01_Input'!$W$56)-'01_Input'!$V$56,0)*'01_Input'!$Y$56))+IF('01_Input'!$AB$56="Forfait",IF(CV$20&gt;='01_Input'!$Z$56,'01_Input'!$AC$56,0),IF('01_Input'!$AB$56="Palier",IF(AND(CV$20&gt;='01_Input'!$Z$56,CV$20&lt;'01_Input'!$AA$56),'01_Input'!$AC$56,0),MAX(MIN(CV$20,'01_Input'!$AA$56)-'01_Input'!$Z$56,0)*'01_Input'!$AC$56)))))))))</f>
        <v>0</v>
      </c>
      <c r="CW24" s="83">
        <f>IF('01_Input'!$C$56="Non",0,MIN('01_Input'!$I$56,MAX('01_Input'!$H$56,IF('01_Input'!$G$56="Résiduel vs Gestion",0,IF('01_Input'!$G$56="Taux Classe sélectionnée",Distrib_SousDistrib_Classe_Selectionnee*CW$20,IF('01_Input'!$G$56="Frais KYC (paliers de 100M€)",MAX(0,Nb_Investisseurs-Nb_KYC_Gratuites_Par_Tranche*(FLOOR(CW$20/Taille_Tranche_KYC,1)+1))*Cout_Par_KYC_Supplementaire,(IF('01_Input'!$L$56="Forfait",IF(CW$20&gt;='01_Input'!$J$56,'01_Input'!$M$56,0),IF('01_Input'!$L$56="Palier",IF(AND(CW$20&gt;='01_Input'!$J$56,CW$20&lt;'01_Input'!$K$56),'01_Input'!$M$56,0),MAX(MIN(CW$20,'01_Input'!$K$56)-'01_Input'!$J$56,0)*'01_Input'!$M$56))+IF('01_Input'!$P$56="Forfait",IF(CW$20&gt;='01_Input'!$N$56,'01_Input'!$Q$56,0),IF('01_Input'!$P$56="Palier",IF(AND(CW$20&gt;='01_Input'!$N$56,CW$20&lt;'01_Input'!$O$56),'01_Input'!$Q$56,0),MAX(MIN(CW$20,'01_Input'!$O$56)-'01_Input'!$N$56,0)*'01_Input'!$Q$56))+IF('01_Input'!$T$56="Forfait",IF(CW$20&gt;='01_Input'!$R$56,'01_Input'!$U$56,0),IF('01_Input'!$T$56="Palier",IF(AND(CW$20&gt;='01_Input'!$R$56,CW$20&lt;'01_Input'!$S$56),'01_Input'!$U$56,0),MAX(MIN(CW$20,'01_Input'!$S$56)-'01_Input'!$R$56,0)*'01_Input'!$U$56))+IF('01_Input'!$X$56="Forfait",IF(CW$20&gt;='01_Input'!$V$56,'01_Input'!$Y$56,0),IF('01_Input'!$X$56="Palier",IF(AND(CW$20&gt;='01_Input'!$V$56,CW$20&lt;'01_Input'!$W$56),'01_Input'!$Y$56,0),MAX(MIN(CW$20,'01_Input'!$W$56)-'01_Input'!$V$56,0)*'01_Input'!$Y$56))+IF('01_Input'!$AB$56="Forfait",IF(CW$20&gt;='01_Input'!$Z$56,'01_Input'!$AC$56,0),IF('01_Input'!$AB$56="Palier",IF(AND(CW$20&gt;='01_Input'!$Z$56,CW$20&lt;'01_Input'!$AA$56),'01_Input'!$AC$56,0),MAX(MIN(CW$20,'01_Input'!$AA$56)-'01_Input'!$Z$56,0)*'01_Input'!$AC$56)))))))))</f>
        <v>0</v>
      </c>
      <c r="CX24" s="83">
        <f>IF('01_Input'!$C$56="Non",0,MIN('01_Input'!$I$56,MAX('01_Input'!$H$56,IF('01_Input'!$G$56="Résiduel vs Gestion",0,IF('01_Input'!$G$56="Taux Classe sélectionnée",Distrib_SousDistrib_Classe_Selectionnee*CX$20,IF('01_Input'!$G$56="Frais KYC (paliers de 100M€)",MAX(0,Nb_Investisseurs-Nb_KYC_Gratuites_Par_Tranche*(FLOOR(CX$20/Taille_Tranche_KYC,1)+1))*Cout_Par_KYC_Supplementaire,(IF('01_Input'!$L$56="Forfait",IF(CX$20&gt;='01_Input'!$J$56,'01_Input'!$M$56,0),IF('01_Input'!$L$56="Palier",IF(AND(CX$20&gt;='01_Input'!$J$56,CX$20&lt;'01_Input'!$K$56),'01_Input'!$M$56,0),MAX(MIN(CX$20,'01_Input'!$K$56)-'01_Input'!$J$56,0)*'01_Input'!$M$56))+IF('01_Input'!$P$56="Forfait",IF(CX$20&gt;='01_Input'!$N$56,'01_Input'!$Q$56,0),IF('01_Input'!$P$56="Palier",IF(AND(CX$20&gt;='01_Input'!$N$56,CX$20&lt;'01_Input'!$O$56),'01_Input'!$Q$56,0),MAX(MIN(CX$20,'01_Input'!$O$56)-'01_Input'!$N$56,0)*'01_Input'!$Q$56))+IF('01_Input'!$T$56="Forfait",IF(CX$20&gt;='01_Input'!$R$56,'01_Input'!$U$56,0),IF('01_Input'!$T$56="Palier",IF(AND(CX$20&gt;='01_Input'!$R$56,CX$20&lt;'01_Input'!$S$56),'01_Input'!$U$56,0),MAX(MIN(CX$20,'01_Input'!$S$56)-'01_Input'!$R$56,0)*'01_Input'!$U$56))+IF('01_Input'!$X$56="Forfait",IF(CX$20&gt;='01_Input'!$V$56,'01_Input'!$Y$56,0),IF('01_Input'!$X$56="Palier",IF(AND(CX$20&gt;='01_Input'!$V$56,CX$20&lt;'01_Input'!$W$56),'01_Input'!$Y$56,0),MAX(MIN(CX$20,'01_Input'!$W$56)-'01_Input'!$V$56,0)*'01_Input'!$Y$56))+IF('01_Input'!$AB$56="Forfait",IF(CX$20&gt;='01_Input'!$Z$56,'01_Input'!$AC$56,0),IF('01_Input'!$AB$56="Palier",IF(AND(CX$20&gt;='01_Input'!$Z$56,CX$20&lt;'01_Input'!$AA$56),'01_Input'!$AC$56,0),MAX(MIN(CX$20,'01_Input'!$AA$56)-'01_Input'!$Z$56,0)*'01_Input'!$AC$56)))))))))</f>
        <v>0</v>
      </c>
      <c r="CY24" s="83">
        <f>IF('01_Input'!$C$56="Non",0,MIN('01_Input'!$I$56,MAX('01_Input'!$H$56,IF('01_Input'!$G$56="Résiduel vs Gestion",0,IF('01_Input'!$G$56="Taux Classe sélectionnée",Distrib_SousDistrib_Classe_Selectionnee*CY$20,IF('01_Input'!$G$56="Frais KYC (paliers de 100M€)",MAX(0,Nb_Investisseurs-Nb_KYC_Gratuites_Par_Tranche*(FLOOR(CY$20/Taille_Tranche_KYC,1)+1))*Cout_Par_KYC_Supplementaire,(IF('01_Input'!$L$56="Forfait",IF(CY$20&gt;='01_Input'!$J$56,'01_Input'!$M$56,0),IF('01_Input'!$L$56="Palier",IF(AND(CY$20&gt;='01_Input'!$J$56,CY$20&lt;'01_Input'!$K$56),'01_Input'!$M$56,0),MAX(MIN(CY$20,'01_Input'!$K$56)-'01_Input'!$J$56,0)*'01_Input'!$M$56))+IF('01_Input'!$P$56="Forfait",IF(CY$20&gt;='01_Input'!$N$56,'01_Input'!$Q$56,0),IF('01_Input'!$P$56="Palier",IF(AND(CY$20&gt;='01_Input'!$N$56,CY$20&lt;'01_Input'!$O$56),'01_Input'!$Q$56,0),MAX(MIN(CY$20,'01_Input'!$O$56)-'01_Input'!$N$56,0)*'01_Input'!$Q$56))+IF('01_Input'!$T$56="Forfait",IF(CY$20&gt;='01_Input'!$R$56,'01_Input'!$U$56,0),IF('01_Input'!$T$56="Palier",IF(AND(CY$20&gt;='01_Input'!$R$56,CY$20&lt;'01_Input'!$S$56),'01_Input'!$U$56,0),MAX(MIN(CY$20,'01_Input'!$S$56)-'01_Input'!$R$56,0)*'01_Input'!$U$56))+IF('01_Input'!$X$56="Forfait",IF(CY$20&gt;='01_Input'!$V$56,'01_Input'!$Y$56,0),IF('01_Input'!$X$56="Palier",IF(AND(CY$20&gt;='01_Input'!$V$56,CY$20&lt;'01_Input'!$W$56),'01_Input'!$Y$56,0),MAX(MIN(CY$20,'01_Input'!$W$56)-'01_Input'!$V$56,0)*'01_Input'!$Y$56))+IF('01_Input'!$AB$56="Forfait",IF(CY$20&gt;='01_Input'!$Z$56,'01_Input'!$AC$56,0),IF('01_Input'!$AB$56="Palier",IF(AND(CY$20&gt;='01_Input'!$Z$56,CY$20&lt;'01_Input'!$AA$56),'01_Input'!$AC$56,0),MAX(MIN(CY$20,'01_Input'!$AA$56)-'01_Input'!$Z$56,0)*'01_Input'!$AC$56)))))))))</f>
        <v>0</v>
      </c>
      <c r="CZ24" s="83">
        <f>IF('01_Input'!$C$56="Non",0,MIN('01_Input'!$I$56,MAX('01_Input'!$H$56,IF('01_Input'!$G$56="Résiduel vs Gestion",0,IF('01_Input'!$G$56="Taux Classe sélectionnée",Distrib_SousDistrib_Classe_Selectionnee*CZ$20,IF('01_Input'!$G$56="Frais KYC (paliers de 100M€)",MAX(0,Nb_Investisseurs-Nb_KYC_Gratuites_Par_Tranche*(FLOOR(CZ$20/Taille_Tranche_KYC,1)+1))*Cout_Par_KYC_Supplementaire,(IF('01_Input'!$L$56="Forfait",IF(CZ$20&gt;='01_Input'!$J$56,'01_Input'!$M$56,0),IF('01_Input'!$L$56="Palier",IF(AND(CZ$20&gt;='01_Input'!$J$56,CZ$20&lt;'01_Input'!$K$56),'01_Input'!$M$56,0),MAX(MIN(CZ$20,'01_Input'!$K$56)-'01_Input'!$J$56,0)*'01_Input'!$M$56))+IF('01_Input'!$P$56="Forfait",IF(CZ$20&gt;='01_Input'!$N$56,'01_Input'!$Q$56,0),IF('01_Input'!$P$56="Palier",IF(AND(CZ$20&gt;='01_Input'!$N$56,CZ$20&lt;'01_Input'!$O$56),'01_Input'!$Q$56,0),MAX(MIN(CZ$20,'01_Input'!$O$56)-'01_Input'!$N$56,0)*'01_Input'!$Q$56))+IF('01_Input'!$T$56="Forfait",IF(CZ$20&gt;='01_Input'!$R$56,'01_Input'!$U$56,0),IF('01_Input'!$T$56="Palier",IF(AND(CZ$20&gt;='01_Input'!$R$56,CZ$20&lt;'01_Input'!$S$56),'01_Input'!$U$56,0),MAX(MIN(CZ$20,'01_Input'!$S$56)-'01_Input'!$R$56,0)*'01_Input'!$U$56))+IF('01_Input'!$X$56="Forfait",IF(CZ$20&gt;='01_Input'!$V$56,'01_Input'!$Y$56,0),IF('01_Input'!$X$56="Palier",IF(AND(CZ$20&gt;='01_Input'!$V$56,CZ$20&lt;'01_Input'!$W$56),'01_Input'!$Y$56,0),MAX(MIN(CZ$20,'01_Input'!$W$56)-'01_Input'!$V$56,0)*'01_Input'!$Y$56))+IF('01_Input'!$AB$56="Forfait",IF(CZ$20&gt;='01_Input'!$Z$56,'01_Input'!$AC$56,0),IF('01_Input'!$AB$56="Palier",IF(AND(CZ$20&gt;='01_Input'!$Z$56,CZ$20&lt;'01_Input'!$AA$56),'01_Input'!$AC$56,0),MAX(MIN(CZ$20,'01_Input'!$AA$56)-'01_Input'!$Z$56,0)*'01_Input'!$AC$56)))))))))</f>
        <v>0</v>
      </c>
      <c r="DA24" s="83">
        <f>IF('01_Input'!$C$56="Non",0,MIN('01_Input'!$I$56,MAX('01_Input'!$H$56,IF('01_Input'!$G$56="Résiduel vs Gestion",0,IF('01_Input'!$G$56="Taux Classe sélectionnée",Distrib_SousDistrib_Classe_Selectionnee*DA$20,IF('01_Input'!$G$56="Frais KYC (paliers de 100M€)",MAX(0,Nb_Investisseurs-Nb_KYC_Gratuites_Par_Tranche*(FLOOR(DA$20/Taille_Tranche_KYC,1)+1))*Cout_Par_KYC_Supplementaire,(IF('01_Input'!$L$56="Forfait",IF(DA$20&gt;='01_Input'!$J$56,'01_Input'!$M$56,0),IF('01_Input'!$L$56="Palier",IF(AND(DA$20&gt;='01_Input'!$J$56,DA$20&lt;'01_Input'!$K$56),'01_Input'!$M$56,0),MAX(MIN(DA$20,'01_Input'!$K$56)-'01_Input'!$J$56,0)*'01_Input'!$M$56))+IF('01_Input'!$P$56="Forfait",IF(DA$20&gt;='01_Input'!$N$56,'01_Input'!$Q$56,0),IF('01_Input'!$P$56="Palier",IF(AND(DA$20&gt;='01_Input'!$N$56,DA$20&lt;'01_Input'!$O$56),'01_Input'!$Q$56,0),MAX(MIN(DA$20,'01_Input'!$O$56)-'01_Input'!$N$56,0)*'01_Input'!$Q$56))+IF('01_Input'!$T$56="Forfait",IF(DA$20&gt;='01_Input'!$R$56,'01_Input'!$U$56,0),IF('01_Input'!$T$56="Palier",IF(AND(DA$20&gt;='01_Input'!$R$56,DA$20&lt;'01_Input'!$S$56),'01_Input'!$U$56,0),MAX(MIN(DA$20,'01_Input'!$S$56)-'01_Input'!$R$56,0)*'01_Input'!$U$56))+IF('01_Input'!$X$56="Forfait",IF(DA$20&gt;='01_Input'!$V$56,'01_Input'!$Y$56,0),IF('01_Input'!$X$56="Palier",IF(AND(DA$20&gt;='01_Input'!$V$56,DA$20&lt;'01_Input'!$W$56),'01_Input'!$Y$56,0),MAX(MIN(DA$20,'01_Input'!$W$56)-'01_Input'!$V$56,0)*'01_Input'!$Y$56))+IF('01_Input'!$AB$56="Forfait",IF(DA$20&gt;='01_Input'!$Z$56,'01_Input'!$AC$56,0),IF('01_Input'!$AB$56="Palier",IF(AND(DA$20&gt;='01_Input'!$Z$56,DA$20&lt;'01_Input'!$AA$56),'01_Input'!$AC$56,0),MAX(MIN(DA$20,'01_Input'!$AA$56)-'01_Input'!$Z$56,0)*'01_Input'!$AC$56)))))))))</f>
        <v>0</v>
      </c>
      <c r="DB24" s="83">
        <f>IF('01_Input'!$C$56="Non",0,MIN('01_Input'!$I$56,MAX('01_Input'!$H$56,IF('01_Input'!$G$56="Résiduel vs Gestion",0,IF('01_Input'!$G$56="Taux Classe sélectionnée",Distrib_SousDistrib_Classe_Selectionnee*DB$20,IF('01_Input'!$G$56="Frais KYC (paliers de 100M€)",MAX(0,Nb_Investisseurs-Nb_KYC_Gratuites_Par_Tranche*(FLOOR(DB$20/Taille_Tranche_KYC,1)+1))*Cout_Par_KYC_Supplementaire,(IF('01_Input'!$L$56="Forfait",IF(DB$20&gt;='01_Input'!$J$56,'01_Input'!$M$56,0),IF('01_Input'!$L$56="Palier",IF(AND(DB$20&gt;='01_Input'!$J$56,DB$20&lt;'01_Input'!$K$56),'01_Input'!$M$56,0),MAX(MIN(DB$20,'01_Input'!$K$56)-'01_Input'!$J$56,0)*'01_Input'!$M$56))+IF('01_Input'!$P$56="Forfait",IF(DB$20&gt;='01_Input'!$N$56,'01_Input'!$Q$56,0),IF('01_Input'!$P$56="Palier",IF(AND(DB$20&gt;='01_Input'!$N$56,DB$20&lt;'01_Input'!$O$56),'01_Input'!$Q$56,0),MAX(MIN(DB$20,'01_Input'!$O$56)-'01_Input'!$N$56,0)*'01_Input'!$Q$56))+IF('01_Input'!$T$56="Forfait",IF(DB$20&gt;='01_Input'!$R$56,'01_Input'!$U$56,0),IF('01_Input'!$T$56="Palier",IF(AND(DB$20&gt;='01_Input'!$R$56,DB$20&lt;'01_Input'!$S$56),'01_Input'!$U$56,0),MAX(MIN(DB$20,'01_Input'!$S$56)-'01_Input'!$R$56,0)*'01_Input'!$U$56))+IF('01_Input'!$X$56="Forfait",IF(DB$20&gt;='01_Input'!$V$56,'01_Input'!$Y$56,0),IF('01_Input'!$X$56="Palier",IF(AND(DB$20&gt;='01_Input'!$V$56,DB$20&lt;'01_Input'!$W$56),'01_Input'!$Y$56,0),MAX(MIN(DB$20,'01_Input'!$W$56)-'01_Input'!$V$56,0)*'01_Input'!$Y$56))+IF('01_Input'!$AB$56="Forfait",IF(DB$20&gt;='01_Input'!$Z$56,'01_Input'!$AC$56,0),IF('01_Input'!$AB$56="Palier",IF(AND(DB$20&gt;='01_Input'!$Z$56,DB$20&lt;'01_Input'!$AA$56),'01_Input'!$AC$56,0),MAX(MIN(DB$20,'01_Input'!$AA$56)-'01_Input'!$Z$56,0)*'01_Input'!$AC$56)))))))))</f>
        <v>0</v>
      </c>
      <c r="DC24" s="83">
        <f>IF('01_Input'!$C$56="Non",0,MIN('01_Input'!$I$56,MAX('01_Input'!$H$56,IF('01_Input'!$G$56="Résiduel vs Gestion",0,IF('01_Input'!$G$56="Taux Classe sélectionnée",Distrib_SousDistrib_Classe_Selectionnee*DC$20,IF('01_Input'!$G$56="Frais KYC (paliers de 100M€)",MAX(0,Nb_Investisseurs-Nb_KYC_Gratuites_Par_Tranche*(FLOOR(DC$20/Taille_Tranche_KYC,1)+1))*Cout_Par_KYC_Supplementaire,(IF('01_Input'!$L$56="Forfait",IF(DC$20&gt;='01_Input'!$J$56,'01_Input'!$M$56,0),IF('01_Input'!$L$56="Palier",IF(AND(DC$20&gt;='01_Input'!$J$56,DC$20&lt;'01_Input'!$K$56),'01_Input'!$M$56,0),MAX(MIN(DC$20,'01_Input'!$K$56)-'01_Input'!$J$56,0)*'01_Input'!$M$56))+IF('01_Input'!$P$56="Forfait",IF(DC$20&gt;='01_Input'!$N$56,'01_Input'!$Q$56,0),IF('01_Input'!$P$56="Palier",IF(AND(DC$20&gt;='01_Input'!$N$56,DC$20&lt;'01_Input'!$O$56),'01_Input'!$Q$56,0),MAX(MIN(DC$20,'01_Input'!$O$56)-'01_Input'!$N$56,0)*'01_Input'!$Q$56))+IF('01_Input'!$T$56="Forfait",IF(DC$20&gt;='01_Input'!$R$56,'01_Input'!$U$56,0),IF('01_Input'!$T$56="Palier",IF(AND(DC$20&gt;='01_Input'!$R$56,DC$20&lt;'01_Input'!$S$56),'01_Input'!$U$56,0),MAX(MIN(DC$20,'01_Input'!$S$56)-'01_Input'!$R$56,0)*'01_Input'!$U$56))+IF('01_Input'!$X$56="Forfait",IF(DC$20&gt;='01_Input'!$V$56,'01_Input'!$Y$56,0),IF('01_Input'!$X$56="Palier",IF(AND(DC$20&gt;='01_Input'!$V$56,DC$20&lt;'01_Input'!$W$56),'01_Input'!$Y$56,0),MAX(MIN(DC$20,'01_Input'!$W$56)-'01_Input'!$V$56,0)*'01_Input'!$Y$56))+IF('01_Input'!$AB$56="Forfait",IF(DC$20&gt;='01_Input'!$Z$56,'01_Input'!$AC$56,0),IF('01_Input'!$AB$56="Palier",IF(AND(DC$20&gt;='01_Input'!$Z$56,DC$20&lt;'01_Input'!$AA$56),'01_Input'!$AC$56,0),MAX(MIN(DC$20,'01_Input'!$AA$56)-'01_Input'!$Z$56,0)*'01_Input'!$AC$56)))))))))</f>
        <v>0</v>
      </c>
      <c r="DD24" s="83">
        <f>IF('01_Input'!$C$56="Non",0,MIN('01_Input'!$I$56,MAX('01_Input'!$H$56,IF('01_Input'!$G$56="Résiduel vs Gestion",0,IF('01_Input'!$G$56="Taux Classe sélectionnée",Distrib_SousDistrib_Classe_Selectionnee*DD$20,IF('01_Input'!$G$56="Frais KYC (paliers de 100M€)",MAX(0,Nb_Investisseurs-Nb_KYC_Gratuites_Par_Tranche*(FLOOR(DD$20/Taille_Tranche_KYC,1)+1))*Cout_Par_KYC_Supplementaire,(IF('01_Input'!$L$56="Forfait",IF(DD$20&gt;='01_Input'!$J$56,'01_Input'!$M$56,0),IF('01_Input'!$L$56="Palier",IF(AND(DD$20&gt;='01_Input'!$J$56,DD$20&lt;'01_Input'!$K$56),'01_Input'!$M$56,0),MAX(MIN(DD$20,'01_Input'!$K$56)-'01_Input'!$J$56,0)*'01_Input'!$M$56))+IF('01_Input'!$P$56="Forfait",IF(DD$20&gt;='01_Input'!$N$56,'01_Input'!$Q$56,0),IF('01_Input'!$P$56="Palier",IF(AND(DD$20&gt;='01_Input'!$N$56,DD$20&lt;'01_Input'!$O$56),'01_Input'!$Q$56,0),MAX(MIN(DD$20,'01_Input'!$O$56)-'01_Input'!$N$56,0)*'01_Input'!$Q$56))+IF('01_Input'!$T$56="Forfait",IF(DD$20&gt;='01_Input'!$R$56,'01_Input'!$U$56,0),IF('01_Input'!$T$56="Palier",IF(AND(DD$20&gt;='01_Input'!$R$56,DD$20&lt;'01_Input'!$S$56),'01_Input'!$U$56,0),MAX(MIN(DD$20,'01_Input'!$S$56)-'01_Input'!$R$56,0)*'01_Input'!$U$56))+IF('01_Input'!$X$56="Forfait",IF(DD$20&gt;='01_Input'!$V$56,'01_Input'!$Y$56,0),IF('01_Input'!$X$56="Palier",IF(AND(DD$20&gt;='01_Input'!$V$56,DD$20&lt;'01_Input'!$W$56),'01_Input'!$Y$56,0),MAX(MIN(DD$20,'01_Input'!$W$56)-'01_Input'!$V$56,0)*'01_Input'!$Y$56))+IF('01_Input'!$AB$56="Forfait",IF(DD$20&gt;='01_Input'!$Z$56,'01_Input'!$AC$56,0),IF('01_Input'!$AB$56="Palier",IF(AND(DD$20&gt;='01_Input'!$Z$56,DD$20&lt;'01_Input'!$AA$56),'01_Input'!$AC$56,0),MAX(MIN(DD$20,'01_Input'!$AA$56)-'01_Input'!$Z$56,0)*'01_Input'!$AC$56)))))))))</f>
        <v>0</v>
      </c>
      <c r="DE24" s="83">
        <f>IF('01_Input'!$C$56="Non",0,MIN('01_Input'!$I$56,MAX('01_Input'!$H$56,IF('01_Input'!$G$56="Résiduel vs Gestion",0,IF('01_Input'!$G$56="Taux Classe sélectionnée",Distrib_SousDistrib_Classe_Selectionnee*DE$20,IF('01_Input'!$G$56="Frais KYC (paliers de 100M€)",MAX(0,Nb_Investisseurs-Nb_KYC_Gratuites_Par_Tranche*(FLOOR(DE$20/Taille_Tranche_KYC,1)+1))*Cout_Par_KYC_Supplementaire,(IF('01_Input'!$L$56="Forfait",IF(DE$20&gt;='01_Input'!$J$56,'01_Input'!$M$56,0),IF('01_Input'!$L$56="Palier",IF(AND(DE$20&gt;='01_Input'!$J$56,DE$20&lt;'01_Input'!$K$56),'01_Input'!$M$56,0),MAX(MIN(DE$20,'01_Input'!$K$56)-'01_Input'!$J$56,0)*'01_Input'!$M$56))+IF('01_Input'!$P$56="Forfait",IF(DE$20&gt;='01_Input'!$N$56,'01_Input'!$Q$56,0),IF('01_Input'!$P$56="Palier",IF(AND(DE$20&gt;='01_Input'!$N$56,DE$20&lt;'01_Input'!$O$56),'01_Input'!$Q$56,0),MAX(MIN(DE$20,'01_Input'!$O$56)-'01_Input'!$N$56,0)*'01_Input'!$Q$56))+IF('01_Input'!$T$56="Forfait",IF(DE$20&gt;='01_Input'!$R$56,'01_Input'!$U$56,0),IF('01_Input'!$T$56="Palier",IF(AND(DE$20&gt;='01_Input'!$R$56,DE$20&lt;'01_Input'!$S$56),'01_Input'!$U$56,0),MAX(MIN(DE$20,'01_Input'!$S$56)-'01_Input'!$R$56,0)*'01_Input'!$U$56))+IF('01_Input'!$X$56="Forfait",IF(DE$20&gt;='01_Input'!$V$56,'01_Input'!$Y$56,0),IF('01_Input'!$X$56="Palier",IF(AND(DE$20&gt;='01_Input'!$V$56,DE$20&lt;'01_Input'!$W$56),'01_Input'!$Y$56,0),MAX(MIN(DE$20,'01_Input'!$W$56)-'01_Input'!$V$56,0)*'01_Input'!$Y$56))+IF('01_Input'!$AB$56="Forfait",IF(DE$20&gt;='01_Input'!$Z$56,'01_Input'!$AC$56,0),IF('01_Input'!$AB$56="Palier",IF(AND(DE$20&gt;='01_Input'!$Z$56,DE$20&lt;'01_Input'!$AA$56),'01_Input'!$AC$56,0),MAX(MIN(DE$20,'01_Input'!$AA$56)-'01_Input'!$Z$56,0)*'01_Input'!$AC$56)))))))))</f>
        <v>0</v>
      </c>
      <c r="DF24" s="83">
        <f>IF('01_Input'!$C$56="Non",0,MIN('01_Input'!$I$56,MAX('01_Input'!$H$56,IF('01_Input'!$G$56="Résiduel vs Gestion",0,IF('01_Input'!$G$56="Taux Classe sélectionnée",Distrib_SousDistrib_Classe_Selectionnee*DF$20,IF('01_Input'!$G$56="Frais KYC (paliers de 100M€)",MAX(0,Nb_Investisseurs-Nb_KYC_Gratuites_Par_Tranche*(FLOOR(DF$20/Taille_Tranche_KYC,1)+1))*Cout_Par_KYC_Supplementaire,(IF('01_Input'!$L$56="Forfait",IF(DF$20&gt;='01_Input'!$J$56,'01_Input'!$M$56,0),IF('01_Input'!$L$56="Palier",IF(AND(DF$20&gt;='01_Input'!$J$56,DF$20&lt;'01_Input'!$K$56),'01_Input'!$M$56,0),MAX(MIN(DF$20,'01_Input'!$K$56)-'01_Input'!$J$56,0)*'01_Input'!$M$56))+IF('01_Input'!$P$56="Forfait",IF(DF$20&gt;='01_Input'!$N$56,'01_Input'!$Q$56,0),IF('01_Input'!$P$56="Palier",IF(AND(DF$20&gt;='01_Input'!$N$56,DF$20&lt;'01_Input'!$O$56),'01_Input'!$Q$56,0),MAX(MIN(DF$20,'01_Input'!$O$56)-'01_Input'!$N$56,0)*'01_Input'!$Q$56))+IF('01_Input'!$T$56="Forfait",IF(DF$20&gt;='01_Input'!$R$56,'01_Input'!$U$56,0),IF('01_Input'!$T$56="Palier",IF(AND(DF$20&gt;='01_Input'!$R$56,DF$20&lt;'01_Input'!$S$56),'01_Input'!$U$56,0),MAX(MIN(DF$20,'01_Input'!$S$56)-'01_Input'!$R$56,0)*'01_Input'!$U$56))+IF('01_Input'!$X$56="Forfait",IF(DF$20&gt;='01_Input'!$V$56,'01_Input'!$Y$56,0),IF('01_Input'!$X$56="Palier",IF(AND(DF$20&gt;='01_Input'!$V$56,DF$20&lt;'01_Input'!$W$56),'01_Input'!$Y$56,0),MAX(MIN(DF$20,'01_Input'!$W$56)-'01_Input'!$V$56,0)*'01_Input'!$Y$56))+IF('01_Input'!$AB$56="Forfait",IF(DF$20&gt;='01_Input'!$Z$56,'01_Input'!$AC$56,0),IF('01_Input'!$AB$56="Palier",IF(AND(DF$20&gt;='01_Input'!$Z$56,DF$20&lt;'01_Input'!$AA$56),'01_Input'!$AC$56,0),MAX(MIN(DF$20,'01_Input'!$AA$56)-'01_Input'!$Z$56,0)*'01_Input'!$AC$56)))))))))</f>
        <v>0</v>
      </c>
      <c r="DG24" s="83">
        <f>IF('01_Input'!$C$56="Non",0,MIN('01_Input'!$I$56,MAX('01_Input'!$H$56,IF('01_Input'!$G$56="Résiduel vs Gestion",0,IF('01_Input'!$G$56="Taux Classe sélectionnée",Distrib_SousDistrib_Classe_Selectionnee*DG$20,IF('01_Input'!$G$56="Frais KYC (paliers de 100M€)",MAX(0,Nb_Investisseurs-Nb_KYC_Gratuites_Par_Tranche*(FLOOR(DG$20/Taille_Tranche_KYC,1)+1))*Cout_Par_KYC_Supplementaire,(IF('01_Input'!$L$56="Forfait",IF(DG$20&gt;='01_Input'!$J$56,'01_Input'!$M$56,0),IF('01_Input'!$L$56="Palier",IF(AND(DG$20&gt;='01_Input'!$J$56,DG$20&lt;'01_Input'!$K$56),'01_Input'!$M$56,0),MAX(MIN(DG$20,'01_Input'!$K$56)-'01_Input'!$J$56,0)*'01_Input'!$M$56))+IF('01_Input'!$P$56="Forfait",IF(DG$20&gt;='01_Input'!$N$56,'01_Input'!$Q$56,0),IF('01_Input'!$P$56="Palier",IF(AND(DG$20&gt;='01_Input'!$N$56,DG$20&lt;'01_Input'!$O$56),'01_Input'!$Q$56,0),MAX(MIN(DG$20,'01_Input'!$O$56)-'01_Input'!$N$56,0)*'01_Input'!$Q$56))+IF('01_Input'!$T$56="Forfait",IF(DG$20&gt;='01_Input'!$R$56,'01_Input'!$U$56,0),IF('01_Input'!$T$56="Palier",IF(AND(DG$20&gt;='01_Input'!$R$56,DG$20&lt;'01_Input'!$S$56),'01_Input'!$U$56,0),MAX(MIN(DG$20,'01_Input'!$S$56)-'01_Input'!$R$56,0)*'01_Input'!$U$56))+IF('01_Input'!$X$56="Forfait",IF(DG$20&gt;='01_Input'!$V$56,'01_Input'!$Y$56,0),IF('01_Input'!$X$56="Palier",IF(AND(DG$20&gt;='01_Input'!$V$56,DG$20&lt;'01_Input'!$W$56),'01_Input'!$Y$56,0),MAX(MIN(DG$20,'01_Input'!$W$56)-'01_Input'!$V$56,0)*'01_Input'!$Y$56))+IF('01_Input'!$AB$56="Forfait",IF(DG$20&gt;='01_Input'!$Z$56,'01_Input'!$AC$56,0),IF('01_Input'!$AB$56="Palier",IF(AND(DG$20&gt;='01_Input'!$Z$56,DG$20&lt;'01_Input'!$AA$56),'01_Input'!$AC$56,0),MAX(MIN(DG$20,'01_Input'!$AA$56)-'01_Input'!$Z$56,0)*'01_Input'!$AC$56)))))))))</f>
        <v>0</v>
      </c>
      <c r="DH24" s="83">
        <f>IF('01_Input'!$C$56="Non",0,MIN('01_Input'!$I$56,MAX('01_Input'!$H$56,IF('01_Input'!$G$56="Résiduel vs Gestion",0,IF('01_Input'!$G$56="Taux Classe sélectionnée",Distrib_SousDistrib_Classe_Selectionnee*DH$20,IF('01_Input'!$G$56="Frais KYC (paliers de 100M€)",MAX(0,Nb_Investisseurs-Nb_KYC_Gratuites_Par_Tranche*(FLOOR(DH$20/Taille_Tranche_KYC,1)+1))*Cout_Par_KYC_Supplementaire,(IF('01_Input'!$L$56="Forfait",IF(DH$20&gt;='01_Input'!$J$56,'01_Input'!$M$56,0),IF('01_Input'!$L$56="Palier",IF(AND(DH$20&gt;='01_Input'!$J$56,DH$20&lt;'01_Input'!$K$56),'01_Input'!$M$56,0),MAX(MIN(DH$20,'01_Input'!$K$56)-'01_Input'!$J$56,0)*'01_Input'!$M$56))+IF('01_Input'!$P$56="Forfait",IF(DH$20&gt;='01_Input'!$N$56,'01_Input'!$Q$56,0),IF('01_Input'!$P$56="Palier",IF(AND(DH$20&gt;='01_Input'!$N$56,DH$20&lt;'01_Input'!$O$56),'01_Input'!$Q$56,0),MAX(MIN(DH$20,'01_Input'!$O$56)-'01_Input'!$N$56,0)*'01_Input'!$Q$56))+IF('01_Input'!$T$56="Forfait",IF(DH$20&gt;='01_Input'!$R$56,'01_Input'!$U$56,0),IF('01_Input'!$T$56="Palier",IF(AND(DH$20&gt;='01_Input'!$R$56,DH$20&lt;'01_Input'!$S$56),'01_Input'!$U$56,0),MAX(MIN(DH$20,'01_Input'!$S$56)-'01_Input'!$R$56,0)*'01_Input'!$U$56))+IF('01_Input'!$X$56="Forfait",IF(DH$20&gt;='01_Input'!$V$56,'01_Input'!$Y$56,0),IF('01_Input'!$X$56="Palier",IF(AND(DH$20&gt;='01_Input'!$V$56,DH$20&lt;'01_Input'!$W$56),'01_Input'!$Y$56,0),MAX(MIN(DH$20,'01_Input'!$W$56)-'01_Input'!$V$56,0)*'01_Input'!$Y$56))+IF('01_Input'!$AB$56="Forfait",IF(DH$20&gt;='01_Input'!$Z$56,'01_Input'!$AC$56,0),IF('01_Input'!$AB$56="Palier",IF(AND(DH$20&gt;='01_Input'!$Z$56,DH$20&lt;'01_Input'!$AA$56),'01_Input'!$AC$56,0),MAX(MIN(DH$20,'01_Input'!$AA$56)-'01_Input'!$Z$56,0)*'01_Input'!$AC$56)))))))))</f>
        <v>0</v>
      </c>
      <c r="DI24" s="83">
        <f>IF('01_Input'!$C$56="Non",0,MIN('01_Input'!$I$56,MAX('01_Input'!$H$56,IF('01_Input'!$G$56="Résiduel vs Gestion",0,IF('01_Input'!$G$56="Taux Classe sélectionnée",Distrib_SousDistrib_Classe_Selectionnee*DI$20,IF('01_Input'!$G$56="Frais KYC (paliers de 100M€)",MAX(0,Nb_Investisseurs-Nb_KYC_Gratuites_Par_Tranche*(FLOOR(DI$20/Taille_Tranche_KYC,1)+1))*Cout_Par_KYC_Supplementaire,(IF('01_Input'!$L$56="Forfait",IF(DI$20&gt;='01_Input'!$J$56,'01_Input'!$M$56,0),IF('01_Input'!$L$56="Palier",IF(AND(DI$20&gt;='01_Input'!$J$56,DI$20&lt;'01_Input'!$K$56),'01_Input'!$M$56,0),MAX(MIN(DI$20,'01_Input'!$K$56)-'01_Input'!$J$56,0)*'01_Input'!$M$56))+IF('01_Input'!$P$56="Forfait",IF(DI$20&gt;='01_Input'!$N$56,'01_Input'!$Q$56,0),IF('01_Input'!$P$56="Palier",IF(AND(DI$20&gt;='01_Input'!$N$56,DI$20&lt;'01_Input'!$O$56),'01_Input'!$Q$56,0),MAX(MIN(DI$20,'01_Input'!$O$56)-'01_Input'!$N$56,0)*'01_Input'!$Q$56))+IF('01_Input'!$T$56="Forfait",IF(DI$20&gt;='01_Input'!$R$56,'01_Input'!$U$56,0),IF('01_Input'!$T$56="Palier",IF(AND(DI$20&gt;='01_Input'!$R$56,DI$20&lt;'01_Input'!$S$56),'01_Input'!$U$56,0),MAX(MIN(DI$20,'01_Input'!$S$56)-'01_Input'!$R$56,0)*'01_Input'!$U$56))+IF('01_Input'!$X$56="Forfait",IF(DI$20&gt;='01_Input'!$V$56,'01_Input'!$Y$56,0),IF('01_Input'!$X$56="Palier",IF(AND(DI$20&gt;='01_Input'!$V$56,DI$20&lt;'01_Input'!$W$56),'01_Input'!$Y$56,0),MAX(MIN(DI$20,'01_Input'!$W$56)-'01_Input'!$V$56,0)*'01_Input'!$Y$56))+IF('01_Input'!$AB$56="Forfait",IF(DI$20&gt;='01_Input'!$Z$56,'01_Input'!$AC$56,0),IF('01_Input'!$AB$56="Palier",IF(AND(DI$20&gt;='01_Input'!$Z$56,DI$20&lt;'01_Input'!$AA$56),'01_Input'!$AC$56,0),MAX(MIN(DI$20,'01_Input'!$AA$56)-'01_Input'!$Z$56,0)*'01_Input'!$AC$56)))))))))</f>
        <v>0</v>
      </c>
      <c r="DJ24" s="83">
        <f>IF('01_Input'!$C$56="Non",0,MIN('01_Input'!$I$56,MAX('01_Input'!$H$56,IF('01_Input'!$G$56="Résiduel vs Gestion",0,IF('01_Input'!$G$56="Taux Classe sélectionnée",Distrib_SousDistrib_Classe_Selectionnee*DJ$20,IF('01_Input'!$G$56="Frais KYC (paliers de 100M€)",MAX(0,Nb_Investisseurs-Nb_KYC_Gratuites_Par_Tranche*(FLOOR(DJ$20/Taille_Tranche_KYC,1)+1))*Cout_Par_KYC_Supplementaire,(IF('01_Input'!$L$56="Forfait",IF(DJ$20&gt;='01_Input'!$J$56,'01_Input'!$M$56,0),IF('01_Input'!$L$56="Palier",IF(AND(DJ$20&gt;='01_Input'!$J$56,DJ$20&lt;'01_Input'!$K$56),'01_Input'!$M$56,0),MAX(MIN(DJ$20,'01_Input'!$K$56)-'01_Input'!$J$56,0)*'01_Input'!$M$56))+IF('01_Input'!$P$56="Forfait",IF(DJ$20&gt;='01_Input'!$N$56,'01_Input'!$Q$56,0),IF('01_Input'!$P$56="Palier",IF(AND(DJ$20&gt;='01_Input'!$N$56,DJ$20&lt;'01_Input'!$O$56),'01_Input'!$Q$56,0),MAX(MIN(DJ$20,'01_Input'!$O$56)-'01_Input'!$N$56,0)*'01_Input'!$Q$56))+IF('01_Input'!$T$56="Forfait",IF(DJ$20&gt;='01_Input'!$R$56,'01_Input'!$U$56,0),IF('01_Input'!$T$56="Palier",IF(AND(DJ$20&gt;='01_Input'!$R$56,DJ$20&lt;'01_Input'!$S$56),'01_Input'!$U$56,0),MAX(MIN(DJ$20,'01_Input'!$S$56)-'01_Input'!$R$56,0)*'01_Input'!$U$56))+IF('01_Input'!$X$56="Forfait",IF(DJ$20&gt;='01_Input'!$V$56,'01_Input'!$Y$56,0),IF('01_Input'!$X$56="Palier",IF(AND(DJ$20&gt;='01_Input'!$V$56,DJ$20&lt;'01_Input'!$W$56),'01_Input'!$Y$56,0),MAX(MIN(DJ$20,'01_Input'!$W$56)-'01_Input'!$V$56,0)*'01_Input'!$Y$56))+IF('01_Input'!$AB$56="Forfait",IF(DJ$20&gt;='01_Input'!$Z$56,'01_Input'!$AC$56,0),IF('01_Input'!$AB$56="Palier",IF(AND(DJ$20&gt;='01_Input'!$Z$56,DJ$20&lt;'01_Input'!$AA$56),'01_Input'!$AC$56,0),MAX(MIN(DJ$20,'01_Input'!$AA$56)-'01_Input'!$Z$56,0)*'01_Input'!$AC$56)))))))))</f>
        <v>0</v>
      </c>
      <c r="DK24" s="83">
        <f>IF('01_Input'!$C$56="Non",0,MIN('01_Input'!$I$56,MAX('01_Input'!$H$56,IF('01_Input'!$G$56="Résiduel vs Gestion",0,IF('01_Input'!$G$56="Taux Classe sélectionnée",Distrib_SousDistrib_Classe_Selectionnee*DK$20,IF('01_Input'!$G$56="Frais KYC (paliers de 100M€)",MAX(0,Nb_Investisseurs-Nb_KYC_Gratuites_Par_Tranche*(FLOOR(DK$20/Taille_Tranche_KYC,1)+1))*Cout_Par_KYC_Supplementaire,(IF('01_Input'!$L$56="Forfait",IF(DK$20&gt;='01_Input'!$J$56,'01_Input'!$M$56,0),IF('01_Input'!$L$56="Palier",IF(AND(DK$20&gt;='01_Input'!$J$56,DK$20&lt;'01_Input'!$K$56),'01_Input'!$M$56,0),MAX(MIN(DK$20,'01_Input'!$K$56)-'01_Input'!$J$56,0)*'01_Input'!$M$56))+IF('01_Input'!$P$56="Forfait",IF(DK$20&gt;='01_Input'!$N$56,'01_Input'!$Q$56,0),IF('01_Input'!$P$56="Palier",IF(AND(DK$20&gt;='01_Input'!$N$56,DK$20&lt;'01_Input'!$O$56),'01_Input'!$Q$56,0),MAX(MIN(DK$20,'01_Input'!$O$56)-'01_Input'!$N$56,0)*'01_Input'!$Q$56))+IF('01_Input'!$T$56="Forfait",IF(DK$20&gt;='01_Input'!$R$56,'01_Input'!$U$56,0),IF('01_Input'!$T$56="Palier",IF(AND(DK$20&gt;='01_Input'!$R$56,DK$20&lt;'01_Input'!$S$56),'01_Input'!$U$56,0),MAX(MIN(DK$20,'01_Input'!$S$56)-'01_Input'!$R$56,0)*'01_Input'!$U$56))+IF('01_Input'!$X$56="Forfait",IF(DK$20&gt;='01_Input'!$V$56,'01_Input'!$Y$56,0),IF('01_Input'!$X$56="Palier",IF(AND(DK$20&gt;='01_Input'!$V$56,DK$20&lt;'01_Input'!$W$56),'01_Input'!$Y$56,0),MAX(MIN(DK$20,'01_Input'!$W$56)-'01_Input'!$V$56,0)*'01_Input'!$Y$56))+IF('01_Input'!$AB$56="Forfait",IF(DK$20&gt;='01_Input'!$Z$56,'01_Input'!$AC$56,0),IF('01_Input'!$AB$56="Palier",IF(AND(DK$20&gt;='01_Input'!$Z$56,DK$20&lt;'01_Input'!$AA$56),'01_Input'!$AC$56,0),MAX(MIN(DK$20,'01_Input'!$AA$56)-'01_Input'!$Z$56,0)*'01_Input'!$AC$56)))))))))</f>
        <v>0</v>
      </c>
      <c r="DL24" s="83">
        <f>IF('01_Input'!$C$56="Non",0,MIN('01_Input'!$I$56,MAX('01_Input'!$H$56,IF('01_Input'!$G$56="Résiduel vs Gestion",0,IF('01_Input'!$G$56="Taux Classe sélectionnée",Distrib_SousDistrib_Classe_Selectionnee*DL$20,IF('01_Input'!$G$56="Frais KYC (paliers de 100M€)",MAX(0,Nb_Investisseurs-Nb_KYC_Gratuites_Par_Tranche*(FLOOR(DL$20/Taille_Tranche_KYC,1)+1))*Cout_Par_KYC_Supplementaire,(IF('01_Input'!$L$56="Forfait",IF(DL$20&gt;='01_Input'!$J$56,'01_Input'!$M$56,0),IF('01_Input'!$L$56="Palier",IF(AND(DL$20&gt;='01_Input'!$J$56,DL$20&lt;'01_Input'!$K$56),'01_Input'!$M$56,0),MAX(MIN(DL$20,'01_Input'!$K$56)-'01_Input'!$J$56,0)*'01_Input'!$M$56))+IF('01_Input'!$P$56="Forfait",IF(DL$20&gt;='01_Input'!$N$56,'01_Input'!$Q$56,0),IF('01_Input'!$P$56="Palier",IF(AND(DL$20&gt;='01_Input'!$N$56,DL$20&lt;'01_Input'!$O$56),'01_Input'!$Q$56,0),MAX(MIN(DL$20,'01_Input'!$O$56)-'01_Input'!$N$56,0)*'01_Input'!$Q$56))+IF('01_Input'!$T$56="Forfait",IF(DL$20&gt;='01_Input'!$R$56,'01_Input'!$U$56,0),IF('01_Input'!$T$56="Palier",IF(AND(DL$20&gt;='01_Input'!$R$56,DL$20&lt;'01_Input'!$S$56),'01_Input'!$U$56,0),MAX(MIN(DL$20,'01_Input'!$S$56)-'01_Input'!$R$56,0)*'01_Input'!$U$56))+IF('01_Input'!$X$56="Forfait",IF(DL$20&gt;='01_Input'!$V$56,'01_Input'!$Y$56,0),IF('01_Input'!$X$56="Palier",IF(AND(DL$20&gt;='01_Input'!$V$56,DL$20&lt;'01_Input'!$W$56),'01_Input'!$Y$56,0),MAX(MIN(DL$20,'01_Input'!$W$56)-'01_Input'!$V$56,0)*'01_Input'!$Y$56))+IF('01_Input'!$AB$56="Forfait",IF(DL$20&gt;='01_Input'!$Z$56,'01_Input'!$AC$56,0),IF('01_Input'!$AB$56="Palier",IF(AND(DL$20&gt;='01_Input'!$Z$56,DL$20&lt;'01_Input'!$AA$56),'01_Input'!$AC$56,0),MAX(MIN(DL$20,'01_Input'!$AA$56)-'01_Input'!$Z$56,0)*'01_Input'!$AC$56)))))))))</f>
        <v>0</v>
      </c>
      <c r="DM24" s="83">
        <f>IF('01_Input'!$C$56="Non",0,MIN('01_Input'!$I$56,MAX('01_Input'!$H$56,IF('01_Input'!$G$56="Résiduel vs Gestion",0,IF('01_Input'!$G$56="Taux Classe sélectionnée",Distrib_SousDistrib_Classe_Selectionnee*DM$20,IF('01_Input'!$G$56="Frais KYC (paliers de 100M€)",MAX(0,Nb_Investisseurs-Nb_KYC_Gratuites_Par_Tranche*(FLOOR(DM$20/Taille_Tranche_KYC,1)+1))*Cout_Par_KYC_Supplementaire,(IF('01_Input'!$L$56="Forfait",IF(DM$20&gt;='01_Input'!$J$56,'01_Input'!$M$56,0),IF('01_Input'!$L$56="Palier",IF(AND(DM$20&gt;='01_Input'!$J$56,DM$20&lt;'01_Input'!$K$56),'01_Input'!$M$56,0),MAX(MIN(DM$20,'01_Input'!$K$56)-'01_Input'!$J$56,0)*'01_Input'!$M$56))+IF('01_Input'!$P$56="Forfait",IF(DM$20&gt;='01_Input'!$N$56,'01_Input'!$Q$56,0),IF('01_Input'!$P$56="Palier",IF(AND(DM$20&gt;='01_Input'!$N$56,DM$20&lt;'01_Input'!$O$56),'01_Input'!$Q$56,0),MAX(MIN(DM$20,'01_Input'!$O$56)-'01_Input'!$N$56,0)*'01_Input'!$Q$56))+IF('01_Input'!$T$56="Forfait",IF(DM$20&gt;='01_Input'!$R$56,'01_Input'!$U$56,0),IF('01_Input'!$T$56="Palier",IF(AND(DM$20&gt;='01_Input'!$R$56,DM$20&lt;'01_Input'!$S$56),'01_Input'!$U$56,0),MAX(MIN(DM$20,'01_Input'!$S$56)-'01_Input'!$R$56,0)*'01_Input'!$U$56))+IF('01_Input'!$X$56="Forfait",IF(DM$20&gt;='01_Input'!$V$56,'01_Input'!$Y$56,0),IF('01_Input'!$X$56="Palier",IF(AND(DM$20&gt;='01_Input'!$V$56,DM$20&lt;'01_Input'!$W$56),'01_Input'!$Y$56,0),MAX(MIN(DM$20,'01_Input'!$W$56)-'01_Input'!$V$56,0)*'01_Input'!$Y$56))+IF('01_Input'!$AB$56="Forfait",IF(DM$20&gt;='01_Input'!$Z$56,'01_Input'!$AC$56,0),IF('01_Input'!$AB$56="Palier",IF(AND(DM$20&gt;='01_Input'!$Z$56,DM$20&lt;'01_Input'!$AA$56),'01_Input'!$AC$56,0),MAX(MIN(DM$20,'01_Input'!$AA$56)-'01_Input'!$Z$56,0)*'01_Input'!$AC$56)))))))))</f>
        <v>0</v>
      </c>
      <c r="DN24" s="83">
        <f>IF('01_Input'!$C$56="Non",0,MIN('01_Input'!$I$56,MAX('01_Input'!$H$56,IF('01_Input'!$G$56="Résiduel vs Gestion",0,IF('01_Input'!$G$56="Taux Classe sélectionnée",Distrib_SousDistrib_Classe_Selectionnee*DN$20,IF('01_Input'!$G$56="Frais KYC (paliers de 100M€)",MAX(0,Nb_Investisseurs-Nb_KYC_Gratuites_Par_Tranche*(FLOOR(DN$20/Taille_Tranche_KYC,1)+1))*Cout_Par_KYC_Supplementaire,(IF('01_Input'!$L$56="Forfait",IF(DN$20&gt;='01_Input'!$J$56,'01_Input'!$M$56,0),IF('01_Input'!$L$56="Palier",IF(AND(DN$20&gt;='01_Input'!$J$56,DN$20&lt;'01_Input'!$K$56),'01_Input'!$M$56,0),MAX(MIN(DN$20,'01_Input'!$K$56)-'01_Input'!$J$56,0)*'01_Input'!$M$56))+IF('01_Input'!$P$56="Forfait",IF(DN$20&gt;='01_Input'!$N$56,'01_Input'!$Q$56,0),IF('01_Input'!$P$56="Palier",IF(AND(DN$20&gt;='01_Input'!$N$56,DN$20&lt;'01_Input'!$O$56),'01_Input'!$Q$56,0),MAX(MIN(DN$20,'01_Input'!$O$56)-'01_Input'!$N$56,0)*'01_Input'!$Q$56))+IF('01_Input'!$T$56="Forfait",IF(DN$20&gt;='01_Input'!$R$56,'01_Input'!$U$56,0),IF('01_Input'!$T$56="Palier",IF(AND(DN$20&gt;='01_Input'!$R$56,DN$20&lt;'01_Input'!$S$56),'01_Input'!$U$56,0),MAX(MIN(DN$20,'01_Input'!$S$56)-'01_Input'!$R$56,0)*'01_Input'!$U$56))+IF('01_Input'!$X$56="Forfait",IF(DN$20&gt;='01_Input'!$V$56,'01_Input'!$Y$56,0),IF('01_Input'!$X$56="Palier",IF(AND(DN$20&gt;='01_Input'!$V$56,DN$20&lt;'01_Input'!$W$56),'01_Input'!$Y$56,0),MAX(MIN(DN$20,'01_Input'!$W$56)-'01_Input'!$V$56,0)*'01_Input'!$Y$56))+IF('01_Input'!$AB$56="Forfait",IF(DN$20&gt;='01_Input'!$Z$56,'01_Input'!$AC$56,0),IF('01_Input'!$AB$56="Palier",IF(AND(DN$20&gt;='01_Input'!$Z$56,DN$20&lt;'01_Input'!$AA$56),'01_Input'!$AC$56,0),MAX(MIN(DN$20,'01_Input'!$AA$56)-'01_Input'!$Z$56,0)*'01_Input'!$AC$56)))))))))</f>
        <v>0</v>
      </c>
      <c r="DO24" s="83">
        <f>IF('01_Input'!$C$56="Non",0,MIN('01_Input'!$I$56,MAX('01_Input'!$H$56,IF('01_Input'!$G$56="Résiduel vs Gestion",0,IF('01_Input'!$G$56="Taux Classe sélectionnée",Distrib_SousDistrib_Classe_Selectionnee*DO$20,IF('01_Input'!$G$56="Frais KYC (paliers de 100M€)",MAX(0,Nb_Investisseurs-Nb_KYC_Gratuites_Par_Tranche*(FLOOR(DO$20/Taille_Tranche_KYC,1)+1))*Cout_Par_KYC_Supplementaire,(IF('01_Input'!$L$56="Forfait",IF(DO$20&gt;='01_Input'!$J$56,'01_Input'!$M$56,0),IF('01_Input'!$L$56="Palier",IF(AND(DO$20&gt;='01_Input'!$J$56,DO$20&lt;'01_Input'!$K$56),'01_Input'!$M$56,0),MAX(MIN(DO$20,'01_Input'!$K$56)-'01_Input'!$J$56,0)*'01_Input'!$M$56))+IF('01_Input'!$P$56="Forfait",IF(DO$20&gt;='01_Input'!$N$56,'01_Input'!$Q$56,0),IF('01_Input'!$P$56="Palier",IF(AND(DO$20&gt;='01_Input'!$N$56,DO$20&lt;'01_Input'!$O$56),'01_Input'!$Q$56,0),MAX(MIN(DO$20,'01_Input'!$O$56)-'01_Input'!$N$56,0)*'01_Input'!$Q$56))+IF('01_Input'!$T$56="Forfait",IF(DO$20&gt;='01_Input'!$R$56,'01_Input'!$U$56,0),IF('01_Input'!$T$56="Palier",IF(AND(DO$20&gt;='01_Input'!$R$56,DO$20&lt;'01_Input'!$S$56),'01_Input'!$U$56,0),MAX(MIN(DO$20,'01_Input'!$S$56)-'01_Input'!$R$56,0)*'01_Input'!$U$56))+IF('01_Input'!$X$56="Forfait",IF(DO$20&gt;='01_Input'!$V$56,'01_Input'!$Y$56,0),IF('01_Input'!$X$56="Palier",IF(AND(DO$20&gt;='01_Input'!$V$56,DO$20&lt;'01_Input'!$W$56),'01_Input'!$Y$56,0),MAX(MIN(DO$20,'01_Input'!$W$56)-'01_Input'!$V$56,0)*'01_Input'!$Y$56))+IF('01_Input'!$AB$56="Forfait",IF(DO$20&gt;='01_Input'!$Z$56,'01_Input'!$AC$56,0),IF('01_Input'!$AB$56="Palier",IF(AND(DO$20&gt;='01_Input'!$Z$56,DO$20&lt;'01_Input'!$AA$56),'01_Input'!$AC$56,0),MAX(MIN(DO$20,'01_Input'!$AA$56)-'01_Input'!$Z$56,0)*'01_Input'!$AC$56)))))))))</f>
        <v>0</v>
      </c>
      <c r="DP24" s="83">
        <f>IF('01_Input'!$C$56="Non",0,MIN('01_Input'!$I$56,MAX('01_Input'!$H$56,IF('01_Input'!$G$56="Résiduel vs Gestion",0,IF('01_Input'!$G$56="Taux Classe sélectionnée",Distrib_SousDistrib_Classe_Selectionnee*DP$20,IF('01_Input'!$G$56="Frais KYC (paliers de 100M€)",MAX(0,Nb_Investisseurs-Nb_KYC_Gratuites_Par_Tranche*(FLOOR(DP$20/Taille_Tranche_KYC,1)+1))*Cout_Par_KYC_Supplementaire,(IF('01_Input'!$L$56="Forfait",IF(DP$20&gt;='01_Input'!$J$56,'01_Input'!$M$56,0),IF('01_Input'!$L$56="Palier",IF(AND(DP$20&gt;='01_Input'!$J$56,DP$20&lt;'01_Input'!$K$56),'01_Input'!$M$56,0),MAX(MIN(DP$20,'01_Input'!$K$56)-'01_Input'!$J$56,0)*'01_Input'!$M$56))+IF('01_Input'!$P$56="Forfait",IF(DP$20&gt;='01_Input'!$N$56,'01_Input'!$Q$56,0),IF('01_Input'!$P$56="Palier",IF(AND(DP$20&gt;='01_Input'!$N$56,DP$20&lt;'01_Input'!$O$56),'01_Input'!$Q$56,0),MAX(MIN(DP$20,'01_Input'!$O$56)-'01_Input'!$N$56,0)*'01_Input'!$Q$56))+IF('01_Input'!$T$56="Forfait",IF(DP$20&gt;='01_Input'!$R$56,'01_Input'!$U$56,0),IF('01_Input'!$T$56="Palier",IF(AND(DP$20&gt;='01_Input'!$R$56,DP$20&lt;'01_Input'!$S$56),'01_Input'!$U$56,0),MAX(MIN(DP$20,'01_Input'!$S$56)-'01_Input'!$R$56,0)*'01_Input'!$U$56))+IF('01_Input'!$X$56="Forfait",IF(DP$20&gt;='01_Input'!$V$56,'01_Input'!$Y$56,0),IF('01_Input'!$X$56="Palier",IF(AND(DP$20&gt;='01_Input'!$V$56,DP$20&lt;'01_Input'!$W$56),'01_Input'!$Y$56,0),MAX(MIN(DP$20,'01_Input'!$W$56)-'01_Input'!$V$56,0)*'01_Input'!$Y$56))+IF('01_Input'!$AB$56="Forfait",IF(DP$20&gt;='01_Input'!$Z$56,'01_Input'!$AC$56,0),IF('01_Input'!$AB$56="Palier",IF(AND(DP$20&gt;='01_Input'!$Z$56,DP$20&lt;'01_Input'!$AA$56),'01_Input'!$AC$56,0),MAX(MIN(DP$20,'01_Input'!$AA$56)-'01_Input'!$Z$56,0)*'01_Input'!$AC$56)))))))))</f>
        <v>0</v>
      </c>
      <c r="DQ24" s="83">
        <f>IF('01_Input'!$C$56="Non",0,MIN('01_Input'!$I$56,MAX('01_Input'!$H$56,IF('01_Input'!$G$56="Résiduel vs Gestion",0,IF('01_Input'!$G$56="Taux Classe sélectionnée",Distrib_SousDistrib_Classe_Selectionnee*DQ$20,IF('01_Input'!$G$56="Frais KYC (paliers de 100M€)",MAX(0,Nb_Investisseurs-Nb_KYC_Gratuites_Par_Tranche*(FLOOR(DQ$20/Taille_Tranche_KYC,1)+1))*Cout_Par_KYC_Supplementaire,(IF('01_Input'!$L$56="Forfait",IF(DQ$20&gt;='01_Input'!$J$56,'01_Input'!$M$56,0),IF('01_Input'!$L$56="Palier",IF(AND(DQ$20&gt;='01_Input'!$J$56,DQ$20&lt;'01_Input'!$K$56),'01_Input'!$M$56,0),MAX(MIN(DQ$20,'01_Input'!$K$56)-'01_Input'!$J$56,0)*'01_Input'!$M$56))+IF('01_Input'!$P$56="Forfait",IF(DQ$20&gt;='01_Input'!$N$56,'01_Input'!$Q$56,0),IF('01_Input'!$P$56="Palier",IF(AND(DQ$20&gt;='01_Input'!$N$56,DQ$20&lt;'01_Input'!$O$56),'01_Input'!$Q$56,0),MAX(MIN(DQ$20,'01_Input'!$O$56)-'01_Input'!$N$56,0)*'01_Input'!$Q$56))+IF('01_Input'!$T$56="Forfait",IF(DQ$20&gt;='01_Input'!$R$56,'01_Input'!$U$56,0),IF('01_Input'!$T$56="Palier",IF(AND(DQ$20&gt;='01_Input'!$R$56,DQ$20&lt;'01_Input'!$S$56),'01_Input'!$U$56,0),MAX(MIN(DQ$20,'01_Input'!$S$56)-'01_Input'!$R$56,0)*'01_Input'!$U$56))+IF('01_Input'!$X$56="Forfait",IF(DQ$20&gt;='01_Input'!$V$56,'01_Input'!$Y$56,0),IF('01_Input'!$X$56="Palier",IF(AND(DQ$20&gt;='01_Input'!$V$56,DQ$20&lt;'01_Input'!$W$56),'01_Input'!$Y$56,0),MAX(MIN(DQ$20,'01_Input'!$W$56)-'01_Input'!$V$56,0)*'01_Input'!$Y$56))+IF('01_Input'!$AB$56="Forfait",IF(DQ$20&gt;='01_Input'!$Z$56,'01_Input'!$AC$56,0),IF('01_Input'!$AB$56="Palier",IF(AND(DQ$20&gt;='01_Input'!$Z$56,DQ$20&lt;'01_Input'!$AA$56),'01_Input'!$AC$56,0),MAX(MIN(DQ$20,'01_Input'!$AA$56)-'01_Input'!$Z$56,0)*'01_Input'!$AC$56)))))))))</f>
        <v>0</v>
      </c>
      <c r="DR24" s="83">
        <f>IF('01_Input'!$C$56="Non",0,MIN('01_Input'!$I$56,MAX('01_Input'!$H$56,IF('01_Input'!$G$56="Résiduel vs Gestion",0,IF('01_Input'!$G$56="Taux Classe sélectionnée",Distrib_SousDistrib_Classe_Selectionnee*DR$20,IF('01_Input'!$G$56="Frais KYC (paliers de 100M€)",MAX(0,Nb_Investisseurs-Nb_KYC_Gratuites_Par_Tranche*(FLOOR(DR$20/Taille_Tranche_KYC,1)+1))*Cout_Par_KYC_Supplementaire,(IF('01_Input'!$L$56="Forfait",IF(DR$20&gt;='01_Input'!$J$56,'01_Input'!$M$56,0),IF('01_Input'!$L$56="Palier",IF(AND(DR$20&gt;='01_Input'!$J$56,DR$20&lt;'01_Input'!$K$56),'01_Input'!$M$56,0),MAX(MIN(DR$20,'01_Input'!$K$56)-'01_Input'!$J$56,0)*'01_Input'!$M$56))+IF('01_Input'!$P$56="Forfait",IF(DR$20&gt;='01_Input'!$N$56,'01_Input'!$Q$56,0),IF('01_Input'!$P$56="Palier",IF(AND(DR$20&gt;='01_Input'!$N$56,DR$20&lt;'01_Input'!$O$56),'01_Input'!$Q$56,0),MAX(MIN(DR$20,'01_Input'!$O$56)-'01_Input'!$N$56,0)*'01_Input'!$Q$56))+IF('01_Input'!$T$56="Forfait",IF(DR$20&gt;='01_Input'!$R$56,'01_Input'!$U$56,0),IF('01_Input'!$T$56="Palier",IF(AND(DR$20&gt;='01_Input'!$R$56,DR$20&lt;'01_Input'!$S$56),'01_Input'!$U$56,0),MAX(MIN(DR$20,'01_Input'!$S$56)-'01_Input'!$R$56,0)*'01_Input'!$U$56))+IF('01_Input'!$X$56="Forfait",IF(DR$20&gt;='01_Input'!$V$56,'01_Input'!$Y$56,0),IF('01_Input'!$X$56="Palier",IF(AND(DR$20&gt;='01_Input'!$V$56,DR$20&lt;'01_Input'!$W$56),'01_Input'!$Y$56,0),MAX(MIN(DR$20,'01_Input'!$W$56)-'01_Input'!$V$56,0)*'01_Input'!$Y$56))+IF('01_Input'!$AB$56="Forfait",IF(DR$20&gt;='01_Input'!$Z$56,'01_Input'!$AC$56,0),IF('01_Input'!$AB$56="Palier",IF(AND(DR$20&gt;='01_Input'!$Z$56,DR$20&lt;'01_Input'!$AA$56),'01_Input'!$AC$56,0),MAX(MIN(DR$20,'01_Input'!$AA$56)-'01_Input'!$Z$56,0)*'01_Input'!$AC$56)))))))))</f>
        <v>0</v>
      </c>
      <c r="DS24" s="83">
        <f>IF('01_Input'!$C$56="Non",0,MIN('01_Input'!$I$56,MAX('01_Input'!$H$56,IF('01_Input'!$G$56="Résiduel vs Gestion",0,IF('01_Input'!$G$56="Taux Classe sélectionnée",Distrib_SousDistrib_Classe_Selectionnee*DS$20,IF('01_Input'!$G$56="Frais KYC (paliers de 100M€)",MAX(0,Nb_Investisseurs-Nb_KYC_Gratuites_Par_Tranche*(FLOOR(DS$20/Taille_Tranche_KYC,1)+1))*Cout_Par_KYC_Supplementaire,(IF('01_Input'!$L$56="Forfait",IF(DS$20&gt;='01_Input'!$J$56,'01_Input'!$M$56,0),IF('01_Input'!$L$56="Palier",IF(AND(DS$20&gt;='01_Input'!$J$56,DS$20&lt;'01_Input'!$K$56),'01_Input'!$M$56,0),MAX(MIN(DS$20,'01_Input'!$K$56)-'01_Input'!$J$56,0)*'01_Input'!$M$56))+IF('01_Input'!$P$56="Forfait",IF(DS$20&gt;='01_Input'!$N$56,'01_Input'!$Q$56,0),IF('01_Input'!$P$56="Palier",IF(AND(DS$20&gt;='01_Input'!$N$56,DS$20&lt;'01_Input'!$O$56),'01_Input'!$Q$56,0),MAX(MIN(DS$20,'01_Input'!$O$56)-'01_Input'!$N$56,0)*'01_Input'!$Q$56))+IF('01_Input'!$T$56="Forfait",IF(DS$20&gt;='01_Input'!$R$56,'01_Input'!$U$56,0),IF('01_Input'!$T$56="Palier",IF(AND(DS$20&gt;='01_Input'!$R$56,DS$20&lt;'01_Input'!$S$56),'01_Input'!$U$56,0),MAX(MIN(DS$20,'01_Input'!$S$56)-'01_Input'!$R$56,0)*'01_Input'!$U$56))+IF('01_Input'!$X$56="Forfait",IF(DS$20&gt;='01_Input'!$V$56,'01_Input'!$Y$56,0),IF('01_Input'!$X$56="Palier",IF(AND(DS$20&gt;='01_Input'!$V$56,DS$20&lt;'01_Input'!$W$56),'01_Input'!$Y$56,0),MAX(MIN(DS$20,'01_Input'!$W$56)-'01_Input'!$V$56,0)*'01_Input'!$Y$56))+IF('01_Input'!$AB$56="Forfait",IF(DS$20&gt;='01_Input'!$Z$56,'01_Input'!$AC$56,0),IF('01_Input'!$AB$56="Palier",IF(AND(DS$20&gt;='01_Input'!$Z$56,DS$20&lt;'01_Input'!$AA$56),'01_Input'!$AC$56,0),MAX(MIN(DS$20,'01_Input'!$AA$56)-'01_Input'!$Z$56,0)*'01_Input'!$AC$56)))))))))</f>
        <v>0</v>
      </c>
      <c r="DT24" s="83">
        <f>IF('01_Input'!$C$56="Non",0,MIN('01_Input'!$I$56,MAX('01_Input'!$H$56,IF('01_Input'!$G$56="Résiduel vs Gestion",0,IF('01_Input'!$G$56="Taux Classe sélectionnée",Distrib_SousDistrib_Classe_Selectionnee*DT$20,IF('01_Input'!$G$56="Frais KYC (paliers de 100M€)",MAX(0,Nb_Investisseurs-Nb_KYC_Gratuites_Par_Tranche*(FLOOR(DT$20/Taille_Tranche_KYC,1)+1))*Cout_Par_KYC_Supplementaire,(IF('01_Input'!$L$56="Forfait",IF(DT$20&gt;='01_Input'!$J$56,'01_Input'!$M$56,0),IF('01_Input'!$L$56="Palier",IF(AND(DT$20&gt;='01_Input'!$J$56,DT$20&lt;'01_Input'!$K$56),'01_Input'!$M$56,0),MAX(MIN(DT$20,'01_Input'!$K$56)-'01_Input'!$J$56,0)*'01_Input'!$M$56))+IF('01_Input'!$P$56="Forfait",IF(DT$20&gt;='01_Input'!$N$56,'01_Input'!$Q$56,0),IF('01_Input'!$P$56="Palier",IF(AND(DT$20&gt;='01_Input'!$N$56,DT$20&lt;'01_Input'!$O$56),'01_Input'!$Q$56,0),MAX(MIN(DT$20,'01_Input'!$O$56)-'01_Input'!$N$56,0)*'01_Input'!$Q$56))+IF('01_Input'!$T$56="Forfait",IF(DT$20&gt;='01_Input'!$R$56,'01_Input'!$U$56,0),IF('01_Input'!$T$56="Palier",IF(AND(DT$20&gt;='01_Input'!$R$56,DT$20&lt;'01_Input'!$S$56),'01_Input'!$U$56,0),MAX(MIN(DT$20,'01_Input'!$S$56)-'01_Input'!$R$56,0)*'01_Input'!$U$56))+IF('01_Input'!$X$56="Forfait",IF(DT$20&gt;='01_Input'!$V$56,'01_Input'!$Y$56,0),IF('01_Input'!$X$56="Palier",IF(AND(DT$20&gt;='01_Input'!$V$56,DT$20&lt;'01_Input'!$W$56),'01_Input'!$Y$56,0),MAX(MIN(DT$20,'01_Input'!$W$56)-'01_Input'!$V$56,0)*'01_Input'!$Y$56))+IF('01_Input'!$AB$56="Forfait",IF(DT$20&gt;='01_Input'!$Z$56,'01_Input'!$AC$56,0),IF('01_Input'!$AB$56="Palier",IF(AND(DT$20&gt;='01_Input'!$Z$56,DT$20&lt;'01_Input'!$AA$56),'01_Input'!$AC$56,0),MAX(MIN(DT$20,'01_Input'!$AA$56)-'01_Input'!$Z$56,0)*'01_Input'!$AC$56)))))))))</f>
        <v>0</v>
      </c>
      <c r="DU24" s="83">
        <f>IF('01_Input'!$C$56="Non",0,MIN('01_Input'!$I$56,MAX('01_Input'!$H$56,IF('01_Input'!$G$56="Résiduel vs Gestion",0,IF('01_Input'!$G$56="Taux Classe sélectionnée",Distrib_SousDistrib_Classe_Selectionnee*DU$20,IF('01_Input'!$G$56="Frais KYC (paliers de 100M€)",MAX(0,Nb_Investisseurs-Nb_KYC_Gratuites_Par_Tranche*(FLOOR(DU$20/Taille_Tranche_KYC,1)+1))*Cout_Par_KYC_Supplementaire,(IF('01_Input'!$L$56="Forfait",IF(DU$20&gt;='01_Input'!$J$56,'01_Input'!$M$56,0),IF('01_Input'!$L$56="Palier",IF(AND(DU$20&gt;='01_Input'!$J$56,DU$20&lt;'01_Input'!$K$56),'01_Input'!$M$56,0),MAX(MIN(DU$20,'01_Input'!$K$56)-'01_Input'!$J$56,0)*'01_Input'!$M$56))+IF('01_Input'!$P$56="Forfait",IF(DU$20&gt;='01_Input'!$N$56,'01_Input'!$Q$56,0),IF('01_Input'!$P$56="Palier",IF(AND(DU$20&gt;='01_Input'!$N$56,DU$20&lt;'01_Input'!$O$56),'01_Input'!$Q$56,0),MAX(MIN(DU$20,'01_Input'!$O$56)-'01_Input'!$N$56,0)*'01_Input'!$Q$56))+IF('01_Input'!$T$56="Forfait",IF(DU$20&gt;='01_Input'!$R$56,'01_Input'!$U$56,0),IF('01_Input'!$T$56="Palier",IF(AND(DU$20&gt;='01_Input'!$R$56,DU$20&lt;'01_Input'!$S$56),'01_Input'!$U$56,0),MAX(MIN(DU$20,'01_Input'!$S$56)-'01_Input'!$R$56,0)*'01_Input'!$U$56))+IF('01_Input'!$X$56="Forfait",IF(DU$20&gt;='01_Input'!$V$56,'01_Input'!$Y$56,0),IF('01_Input'!$X$56="Palier",IF(AND(DU$20&gt;='01_Input'!$V$56,DU$20&lt;'01_Input'!$W$56),'01_Input'!$Y$56,0),MAX(MIN(DU$20,'01_Input'!$W$56)-'01_Input'!$V$56,0)*'01_Input'!$Y$56))+IF('01_Input'!$AB$56="Forfait",IF(DU$20&gt;='01_Input'!$Z$56,'01_Input'!$AC$56,0),IF('01_Input'!$AB$56="Palier",IF(AND(DU$20&gt;='01_Input'!$Z$56,DU$20&lt;'01_Input'!$AA$56),'01_Input'!$AC$56,0),MAX(MIN(DU$20,'01_Input'!$AA$56)-'01_Input'!$Z$56,0)*'01_Input'!$AC$56)))))))))</f>
        <v>0</v>
      </c>
      <c r="DV24" s="83">
        <f>IF('01_Input'!$C$56="Non",0,MIN('01_Input'!$I$56,MAX('01_Input'!$H$56,IF('01_Input'!$G$56="Résiduel vs Gestion",0,IF('01_Input'!$G$56="Taux Classe sélectionnée",Distrib_SousDistrib_Classe_Selectionnee*DV$20,IF('01_Input'!$G$56="Frais KYC (paliers de 100M€)",MAX(0,Nb_Investisseurs-Nb_KYC_Gratuites_Par_Tranche*(FLOOR(DV$20/Taille_Tranche_KYC,1)+1))*Cout_Par_KYC_Supplementaire,(IF('01_Input'!$L$56="Forfait",IF(DV$20&gt;='01_Input'!$J$56,'01_Input'!$M$56,0),IF('01_Input'!$L$56="Palier",IF(AND(DV$20&gt;='01_Input'!$J$56,DV$20&lt;'01_Input'!$K$56),'01_Input'!$M$56,0),MAX(MIN(DV$20,'01_Input'!$K$56)-'01_Input'!$J$56,0)*'01_Input'!$M$56))+IF('01_Input'!$P$56="Forfait",IF(DV$20&gt;='01_Input'!$N$56,'01_Input'!$Q$56,0),IF('01_Input'!$P$56="Palier",IF(AND(DV$20&gt;='01_Input'!$N$56,DV$20&lt;'01_Input'!$O$56),'01_Input'!$Q$56,0),MAX(MIN(DV$20,'01_Input'!$O$56)-'01_Input'!$N$56,0)*'01_Input'!$Q$56))+IF('01_Input'!$T$56="Forfait",IF(DV$20&gt;='01_Input'!$R$56,'01_Input'!$U$56,0),IF('01_Input'!$T$56="Palier",IF(AND(DV$20&gt;='01_Input'!$R$56,DV$20&lt;'01_Input'!$S$56),'01_Input'!$U$56,0),MAX(MIN(DV$20,'01_Input'!$S$56)-'01_Input'!$R$56,0)*'01_Input'!$U$56))+IF('01_Input'!$X$56="Forfait",IF(DV$20&gt;='01_Input'!$V$56,'01_Input'!$Y$56,0),IF('01_Input'!$X$56="Palier",IF(AND(DV$20&gt;='01_Input'!$V$56,DV$20&lt;'01_Input'!$W$56),'01_Input'!$Y$56,0),MAX(MIN(DV$20,'01_Input'!$W$56)-'01_Input'!$V$56,0)*'01_Input'!$Y$56))+IF('01_Input'!$AB$56="Forfait",IF(DV$20&gt;='01_Input'!$Z$56,'01_Input'!$AC$56,0),IF('01_Input'!$AB$56="Palier",IF(AND(DV$20&gt;='01_Input'!$Z$56,DV$20&lt;'01_Input'!$AA$56),'01_Input'!$AC$56,0),MAX(MIN(DV$20,'01_Input'!$AA$56)-'01_Input'!$Z$56,0)*'01_Input'!$AC$56)))))))))</f>
        <v>0</v>
      </c>
      <c r="DW24" s="83">
        <f>IF('01_Input'!$C$56="Non",0,MIN('01_Input'!$I$56,MAX('01_Input'!$H$56,IF('01_Input'!$G$56="Résiduel vs Gestion",0,IF('01_Input'!$G$56="Taux Classe sélectionnée",Distrib_SousDistrib_Classe_Selectionnee*DW$20,IF('01_Input'!$G$56="Frais KYC (paliers de 100M€)",MAX(0,Nb_Investisseurs-Nb_KYC_Gratuites_Par_Tranche*(FLOOR(DW$20/Taille_Tranche_KYC,1)+1))*Cout_Par_KYC_Supplementaire,(IF('01_Input'!$L$56="Forfait",IF(DW$20&gt;='01_Input'!$J$56,'01_Input'!$M$56,0),IF('01_Input'!$L$56="Palier",IF(AND(DW$20&gt;='01_Input'!$J$56,DW$20&lt;'01_Input'!$K$56),'01_Input'!$M$56,0),MAX(MIN(DW$20,'01_Input'!$K$56)-'01_Input'!$J$56,0)*'01_Input'!$M$56))+IF('01_Input'!$P$56="Forfait",IF(DW$20&gt;='01_Input'!$N$56,'01_Input'!$Q$56,0),IF('01_Input'!$P$56="Palier",IF(AND(DW$20&gt;='01_Input'!$N$56,DW$20&lt;'01_Input'!$O$56),'01_Input'!$Q$56,0),MAX(MIN(DW$20,'01_Input'!$O$56)-'01_Input'!$N$56,0)*'01_Input'!$Q$56))+IF('01_Input'!$T$56="Forfait",IF(DW$20&gt;='01_Input'!$R$56,'01_Input'!$U$56,0),IF('01_Input'!$T$56="Palier",IF(AND(DW$20&gt;='01_Input'!$R$56,DW$20&lt;'01_Input'!$S$56),'01_Input'!$U$56,0),MAX(MIN(DW$20,'01_Input'!$S$56)-'01_Input'!$R$56,0)*'01_Input'!$U$56))+IF('01_Input'!$X$56="Forfait",IF(DW$20&gt;='01_Input'!$V$56,'01_Input'!$Y$56,0),IF('01_Input'!$X$56="Palier",IF(AND(DW$20&gt;='01_Input'!$V$56,DW$20&lt;'01_Input'!$W$56),'01_Input'!$Y$56,0),MAX(MIN(DW$20,'01_Input'!$W$56)-'01_Input'!$V$56,0)*'01_Input'!$Y$56))+IF('01_Input'!$AB$56="Forfait",IF(DW$20&gt;='01_Input'!$Z$56,'01_Input'!$AC$56,0),IF('01_Input'!$AB$56="Palier",IF(AND(DW$20&gt;='01_Input'!$Z$56,DW$20&lt;'01_Input'!$AA$56),'01_Input'!$AC$56,0),MAX(MIN(DW$20,'01_Input'!$AA$56)-'01_Input'!$Z$56,0)*'01_Input'!$AC$56)))))))))</f>
        <v>0</v>
      </c>
      <c r="DX24" s="83">
        <f>IF('01_Input'!$C$56="Non",0,MIN('01_Input'!$I$56,MAX('01_Input'!$H$56,IF('01_Input'!$G$56="Résiduel vs Gestion",0,IF('01_Input'!$G$56="Taux Classe sélectionnée",Distrib_SousDistrib_Classe_Selectionnee*DX$20,IF('01_Input'!$G$56="Frais KYC (paliers de 100M€)",MAX(0,Nb_Investisseurs-Nb_KYC_Gratuites_Par_Tranche*(FLOOR(DX$20/Taille_Tranche_KYC,1)+1))*Cout_Par_KYC_Supplementaire,(IF('01_Input'!$L$56="Forfait",IF(DX$20&gt;='01_Input'!$J$56,'01_Input'!$M$56,0),IF('01_Input'!$L$56="Palier",IF(AND(DX$20&gt;='01_Input'!$J$56,DX$20&lt;'01_Input'!$K$56),'01_Input'!$M$56,0),MAX(MIN(DX$20,'01_Input'!$K$56)-'01_Input'!$J$56,0)*'01_Input'!$M$56))+IF('01_Input'!$P$56="Forfait",IF(DX$20&gt;='01_Input'!$N$56,'01_Input'!$Q$56,0),IF('01_Input'!$P$56="Palier",IF(AND(DX$20&gt;='01_Input'!$N$56,DX$20&lt;'01_Input'!$O$56),'01_Input'!$Q$56,0),MAX(MIN(DX$20,'01_Input'!$O$56)-'01_Input'!$N$56,0)*'01_Input'!$Q$56))+IF('01_Input'!$T$56="Forfait",IF(DX$20&gt;='01_Input'!$R$56,'01_Input'!$U$56,0),IF('01_Input'!$T$56="Palier",IF(AND(DX$20&gt;='01_Input'!$R$56,DX$20&lt;'01_Input'!$S$56),'01_Input'!$U$56,0),MAX(MIN(DX$20,'01_Input'!$S$56)-'01_Input'!$R$56,0)*'01_Input'!$U$56))+IF('01_Input'!$X$56="Forfait",IF(DX$20&gt;='01_Input'!$V$56,'01_Input'!$Y$56,0),IF('01_Input'!$X$56="Palier",IF(AND(DX$20&gt;='01_Input'!$V$56,DX$20&lt;'01_Input'!$W$56),'01_Input'!$Y$56,0),MAX(MIN(DX$20,'01_Input'!$W$56)-'01_Input'!$V$56,0)*'01_Input'!$Y$56))+IF('01_Input'!$AB$56="Forfait",IF(DX$20&gt;='01_Input'!$Z$56,'01_Input'!$AC$56,0),IF('01_Input'!$AB$56="Palier",IF(AND(DX$20&gt;='01_Input'!$Z$56,DX$20&lt;'01_Input'!$AA$56),'01_Input'!$AC$56,0),MAX(MIN(DX$20,'01_Input'!$AA$56)-'01_Input'!$Z$56,0)*'01_Input'!$AC$56)))))))))</f>
        <v>0</v>
      </c>
      <c r="DY24" s="83">
        <f>IF('01_Input'!$C$56="Non",0,MIN('01_Input'!$I$56,MAX('01_Input'!$H$56,IF('01_Input'!$G$56="Résiduel vs Gestion",0,IF('01_Input'!$G$56="Taux Classe sélectionnée",Distrib_SousDistrib_Classe_Selectionnee*DY$20,IF('01_Input'!$G$56="Frais KYC (paliers de 100M€)",MAX(0,Nb_Investisseurs-Nb_KYC_Gratuites_Par_Tranche*(FLOOR(DY$20/Taille_Tranche_KYC,1)+1))*Cout_Par_KYC_Supplementaire,(IF('01_Input'!$L$56="Forfait",IF(DY$20&gt;='01_Input'!$J$56,'01_Input'!$M$56,0),IF('01_Input'!$L$56="Palier",IF(AND(DY$20&gt;='01_Input'!$J$56,DY$20&lt;'01_Input'!$K$56),'01_Input'!$M$56,0),MAX(MIN(DY$20,'01_Input'!$K$56)-'01_Input'!$J$56,0)*'01_Input'!$M$56))+IF('01_Input'!$P$56="Forfait",IF(DY$20&gt;='01_Input'!$N$56,'01_Input'!$Q$56,0),IF('01_Input'!$P$56="Palier",IF(AND(DY$20&gt;='01_Input'!$N$56,DY$20&lt;'01_Input'!$O$56),'01_Input'!$Q$56,0),MAX(MIN(DY$20,'01_Input'!$O$56)-'01_Input'!$N$56,0)*'01_Input'!$Q$56))+IF('01_Input'!$T$56="Forfait",IF(DY$20&gt;='01_Input'!$R$56,'01_Input'!$U$56,0),IF('01_Input'!$T$56="Palier",IF(AND(DY$20&gt;='01_Input'!$R$56,DY$20&lt;'01_Input'!$S$56),'01_Input'!$U$56,0),MAX(MIN(DY$20,'01_Input'!$S$56)-'01_Input'!$R$56,0)*'01_Input'!$U$56))+IF('01_Input'!$X$56="Forfait",IF(DY$20&gt;='01_Input'!$V$56,'01_Input'!$Y$56,0),IF('01_Input'!$X$56="Palier",IF(AND(DY$20&gt;='01_Input'!$V$56,DY$20&lt;'01_Input'!$W$56),'01_Input'!$Y$56,0),MAX(MIN(DY$20,'01_Input'!$W$56)-'01_Input'!$V$56,0)*'01_Input'!$Y$56))+IF('01_Input'!$AB$56="Forfait",IF(DY$20&gt;='01_Input'!$Z$56,'01_Input'!$AC$56,0),IF('01_Input'!$AB$56="Palier",IF(AND(DY$20&gt;='01_Input'!$Z$56,DY$20&lt;'01_Input'!$AA$56),'01_Input'!$AC$56,0),MAX(MIN(DY$20,'01_Input'!$AA$56)-'01_Input'!$Z$56,0)*'01_Input'!$AC$56)))))))))</f>
        <v>0</v>
      </c>
      <c r="DZ24" s="83">
        <f>IF('01_Input'!$C$56="Non",0,MIN('01_Input'!$I$56,MAX('01_Input'!$H$56,IF('01_Input'!$G$56="Résiduel vs Gestion",0,IF('01_Input'!$G$56="Taux Classe sélectionnée",Distrib_SousDistrib_Classe_Selectionnee*DZ$20,IF('01_Input'!$G$56="Frais KYC (paliers de 100M€)",MAX(0,Nb_Investisseurs-Nb_KYC_Gratuites_Par_Tranche*(FLOOR(DZ$20/Taille_Tranche_KYC,1)+1))*Cout_Par_KYC_Supplementaire,(IF('01_Input'!$L$56="Forfait",IF(DZ$20&gt;='01_Input'!$J$56,'01_Input'!$M$56,0),IF('01_Input'!$L$56="Palier",IF(AND(DZ$20&gt;='01_Input'!$J$56,DZ$20&lt;'01_Input'!$K$56),'01_Input'!$M$56,0),MAX(MIN(DZ$20,'01_Input'!$K$56)-'01_Input'!$J$56,0)*'01_Input'!$M$56))+IF('01_Input'!$P$56="Forfait",IF(DZ$20&gt;='01_Input'!$N$56,'01_Input'!$Q$56,0),IF('01_Input'!$P$56="Palier",IF(AND(DZ$20&gt;='01_Input'!$N$56,DZ$20&lt;'01_Input'!$O$56),'01_Input'!$Q$56,0),MAX(MIN(DZ$20,'01_Input'!$O$56)-'01_Input'!$N$56,0)*'01_Input'!$Q$56))+IF('01_Input'!$T$56="Forfait",IF(DZ$20&gt;='01_Input'!$R$56,'01_Input'!$U$56,0),IF('01_Input'!$T$56="Palier",IF(AND(DZ$20&gt;='01_Input'!$R$56,DZ$20&lt;'01_Input'!$S$56),'01_Input'!$U$56,0),MAX(MIN(DZ$20,'01_Input'!$S$56)-'01_Input'!$R$56,0)*'01_Input'!$U$56))+IF('01_Input'!$X$56="Forfait",IF(DZ$20&gt;='01_Input'!$V$56,'01_Input'!$Y$56,0),IF('01_Input'!$X$56="Palier",IF(AND(DZ$20&gt;='01_Input'!$V$56,DZ$20&lt;'01_Input'!$W$56),'01_Input'!$Y$56,0),MAX(MIN(DZ$20,'01_Input'!$W$56)-'01_Input'!$V$56,0)*'01_Input'!$Y$56))+IF('01_Input'!$AB$56="Forfait",IF(DZ$20&gt;='01_Input'!$Z$56,'01_Input'!$AC$56,0),IF('01_Input'!$AB$56="Palier",IF(AND(DZ$20&gt;='01_Input'!$Z$56,DZ$20&lt;'01_Input'!$AA$56),'01_Input'!$AC$56,0),MAX(MIN(DZ$20,'01_Input'!$AA$56)-'01_Input'!$Z$56,0)*'01_Input'!$AC$56)))))))))</f>
        <v>0</v>
      </c>
      <c r="EA24" s="83">
        <f>IF('01_Input'!$C$56="Non",0,MIN('01_Input'!$I$56,MAX('01_Input'!$H$56,IF('01_Input'!$G$56="Résiduel vs Gestion",0,IF('01_Input'!$G$56="Taux Classe sélectionnée",Distrib_SousDistrib_Classe_Selectionnee*EA$20,IF('01_Input'!$G$56="Frais KYC (paliers de 100M€)",MAX(0,Nb_Investisseurs-Nb_KYC_Gratuites_Par_Tranche*(FLOOR(EA$20/Taille_Tranche_KYC,1)+1))*Cout_Par_KYC_Supplementaire,(IF('01_Input'!$L$56="Forfait",IF(EA$20&gt;='01_Input'!$J$56,'01_Input'!$M$56,0),IF('01_Input'!$L$56="Palier",IF(AND(EA$20&gt;='01_Input'!$J$56,EA$20&lt;'01_Input'!$K$56),'01_Input'!$M$56,0),MAX(MIN(EA$20,'01_Input'!$K$56)-'01_Input'!$J$56,0)*'01_Input'!$M$56))+IF('01_Input'!$P$56="Forfait",IF(EA$20&gt;='01_Input'!$N$56,'01_Input'!$Q$56,0),IF('01_Input'!$P$56="Palier",IF(AND(EA$20&gt;='01_Input'!$N$56,EA$20&lt;'01_Input'!$O$56),'01_Input'!$Q$56,0),MAX(MIN(EA$20,'01_Input'!$O$56)-'01_Input'!$N$56,0)*'01_Input'!$Q$56))+IF('01_Input'!$T$56="Forfait",IF(EA$20&gt;='01_Input'!$R$56,'01_Input'!$U$56,0),IF('01_Input'!$T$56="Palier",IF(AND(EA$20&gt;='01_Input'!$R$56,EA$20&lt;'01_Input'!$S$56),'01_Input'!$U$56,0),MAX(MIN(EA$20,'01_Input'!$S$56)-'01_Input'!$R$56,0)*'01_Input'!$U$56))+IF('01_Input'!$X$56="Forfait",IF(EA$20&gt;='01_Input'!$V$56,'01_Input'!$Y$56,0),IF('01_Input'!$X$56="Palier",IF(AND(EA$20&gt;='01_Input'!$V$56,EA$20&lt;'01_Input'!$W$56),'01_Input'!$Y$56,0),MAX(MIN(EA$20,'01_Input'!$W$56)-'01_Input'!$V$56,0)*'01_Input'!$Y$56))+IF('01_Input'!$AB$56="Forfait",IF(EA$20&gt;='01_Input'!$Z$56,'01_Input'!$AC$56,0),IF('01_Input'!$AB$56="Palier",IF(AND(EA$20&gt;='01_Input'!$Z$56,EA$20&lt;'01_Input'!$AA$56),'01_Input'!$AC$56,0),MAX(MIN(EA$20,'01_Input'!$AA$56)-'01_Input'!$Z$56,0)*'01_Input'!$AC$56)))))))))</f>
        <v>0</v>
      </c>
      <c r="EB24" s="83">
        <f>IF('01_Input'!$C$56="Non",0,MIN('01_Input'!$I$56,MAX('01_Input'!$H$56,IF('01_Input'!$G$56="Résiduel vs Gestion",0,IF('01_Input'!$G$56="Taux Classe sélectionnée",Distrib_SousDistrib_Classe_Selectionnee*EB$20,IF('01_Input'!$G$56="Frais KYC (paliers de 100M€)",MAX(0,Nb_Investisseurs-Nb_KYC_Gratuites_Par_Tranche*(FLOOR(EB$20/Taille_Tranche_KYC,1)+1))*Cout_Par_KYC_Supplementaire,(IF('01_Input'!$L$56="Forfait",IF(EB$20&gt;='01_Input'!$J$56,'01_Input'!$M$56,0),IF('01_Input'!$L$56="Palier",IF(AND(EB$20&gt;='01_Input'!$J$56,EB$20&lt;'01_Input'!$K$56),'01_Input'!$M$56,0),MAX(MIN(EB$20,'01_Input'!$K$56)-'01_Input'!$J$56,0)*'01_Input'!$M$56))+IF('01_Input'!$P$56="Forfait",IF(EB$20&gt;='01_Input'!$N$56,'01_Input'!$Q$56,0),IF('01_Input'!$P$56="Palier",IF(AND(EB$20&gt;='01_Input'!$N$56,EB$20&lt;'01_Input'!$O$56),'01_Input'!$Q$56,0),MAX(MIN(EB$20,'01_Input'!$O$56)-'01_Input'!$N$56,0)*'01_Input'!$Q$56))+IF('01_Input'!$T$56="Forfait",IF(EB$20&gt;='01_Input'!$R$56,'01_Input'!$U$56,0),IF('01_Input'!$T$56="Palier",IF(AND(EB$20&gt;='01_Input'!$R$56,EB$20&lt;'01_Input'!$S$56),'01_Input'!$U$56,0),MAX(MIN(EB$20,'01_Input'!$S$56)-'01_Input'!$R$56,0)*'01_Input'!$U$56))+IF('01_Input'!$X$56="Forfait",IF(EB$20&gt;='01_Input'!$V$56,'01_Input'!$Y$56,0),IF('01_Input'!$X$56="Palier",IF(AND(EB$20&gt;='01_Input'!$V$56,EB$20&lt;'01_Input'!$W$56),'01_Input'!$Y$56,0),MAX(MIN(EB$20,'01_Input'!$W$56)-'01_Input'!$V$56,0)*'01_Input'!$Y$56))+IF('01_Input'!$AB$56="Forfait",IF(EB$20&gt;='01_Input'!$Z$56,'01_Input'!$AC$56,0),IF('01_Input'!$AB$56="Palier",IF(AND(EB$20&gt;='01_Input'!$Z$56,EB$20&lt;'01_Input'!$AA$56),'01_Input'!$AC$56,0),MAX(MIN(EB$20,'01_Input'!$AA$56)-'01_Input'!$Z$56,0)*'01_Input'!$AC$56)))))))))</f>
        <v>0</v>
      </c>
      <c r="EC24" s="83">
        <f>IF('01_Input'!$C$56="Non",0,MIN('01_Input'!$I$56,MAX('01_Input'!$H$56,IF('01_Input'!$G$56="Résiduel vs Gestion",0,IF('01_Input'!$G$56="Taux Classe sélectionnée",Distrib_SousDistrib_Classe_Selectionnee*EC$20,IF('01_Input'!$G$56="Frais KYC (paliers de 100M€)",MAX(0,Nb_Investisseurs-Nb_KYC_Gratuites_Par_Tranche*(FLOOR(EC$20/Taille_Tranche_KYC,1)+1))*Cout_Par_KYC_Supplementaire,(IF('01_Input'!$L$56="Forfait",IF(EC$20&gt;='01_Input'!$J$56,'01_Input'!$M$56,0),IF('01_Input'!$L$56="Palier",IF(AND(EC$20&gt;='01_Input'!$J$56,EC$20&lt;'01_Input'!$K$56),'01_Input'!$M$56,0),MAX(MIN(EC$20,'01_Input'!$K$56)-'01_Input'!$J$56,0)*'01_Input'!$M$56))+IF('01_Input'!$P$56="Forfait",IF(EC$20&gt;='01_Input'!$N$56,'01_Input'!$Q$56,0),IF('01_Input'!$P$56="Palier",IF(AND(EC$20&gt;='01_Input'!$N$56,EC$20&lt;'01_Input'!$O$56),'01_Input'!$Q$56,0),MAX(MIN(EC$20,'01_Input'!$O$56)-'01_Input'!$N$56,0)*'01_Input'!$Q$56))+IF('01_Input'!$T$56="Forfait",IF(EC$20&gt;='01_Input'!$R$56,'01_Input'!$U$56,0),IF('01_Input'!$T$56="Palier",IF(AND(EC$20&gt;='01_Input'!$R$56,EC$20&lt;'01_Input'!$S$56),'01_Input'!$U$56,0),MAX(MIN(EC$20,'01_Input'!$S$56)-'01_Input'!$R$56,0)*'01_Input'!$U$56))+IF('01_Input'!$X$56="Forfait",IF(EC$20&gt;='01_Input'!$V$56,'01_Input'!$Y$56,0),IF('01_Input'!$X$56="Palier",IF(AND(EC$20&gt;='01_Input'!$V$56,EC$20&lt;'01_Input'!$W$56),'01_Input'!$Y$56,0),MAX(MIN(EC$20,'01_Input'!$W$56)-'01_Input'!$V$56,0)*'01_Input'!$Y$56))+IF('01_Input'!$AB$56="Forfait",IF(EC$20&gt;='01_Input'!$Z$56,'01_Input'!$AC$56,0),IF('01_Input'!$AB$56="Palier",IF(AND(EC$20&gt;='01_Input'!$Z$56,EC$20&lt;'01_Input'!$AA$56),'01_Input'!$AC$56,0),MAX(MIN(EC$20,'01_Input'!$AA$56)-'01_Input'!$Z$56,0)*'01_Input'!$AC$56)))))))))</f>
        <v>0</v>
      </c>
      <c r="ED24" s="83">
        <f>IF('01_Input'!$C$56="Non",0,MIN('01_Input'!$I$56,MAX('01_Input'!$H$56,IF('01_Input'!$G$56="Résiduel vs Gestion",0,IF('01_Input'!$G$56="Taux Classe sélectionnée",Distrib_SousDistrib_Classe_Selectionnee*ED$20,IF('01_Input'!$G$56="Frais KYC (paliers de 100M€)",MAX(0,Nb_Investisseurs-Nb_KYC_Gratuites_Par_Tranche*(FLOOR(ED$20/Taille_Tranche_KYC,1)+1))*Cout_Par_KYC_Supplementaire,(IF('01_Input'!$L$56="Forfait",IF(ED$20&gt;='01_Input'!$J$56,'01_Input'!$M$56,0),IF('01_Input'!$L$56="Palier",IF(AND(ED$20&gt;='01_Input'!$J$56,ED$20&lt;'01_Input'!$K$56),'01_Input'!$M$56,0),MAX(MIN(ED$20,'01_Input'!$K$56)-'01_Input'!$J$56,0)*'01_Input'!$M$56))+IF('01_Input'!$P$56="Forfait",IF(ED$20&gt;='01_Input'!$N$56,'01_Input'!$Q$56,0),IF('01_Input'!$P$56="Palier",IF(AND(ED$20&gt;='01_Input'!$N$56,ED$20&lt;'01_Input'!$O$56),'01_Input'!$Q$56,0),MAX(MIN(ED$20,'01_Input'!$O$56)-'01_Input'!$N$56,0)*'01_Input'!$Q$56))+IF('01_Input'!$T$56="Forfait",IF(ED$20&gt;='01_Input'!$R$56,'01_Input'!$U$56,0),IF('01_Input'!$T$56="Palier",IF(AND(ED$20&gt;='01_Input'!$R$56,ED$20&lt;'01_Input'!$S$56),'01_Input'!$U$56,0),MAX(MIN(ED$20,'01_Input'!$S$56)-'01_Input'!$R$56,0)*'01_Input'!$U$56))+IF('01_Input'!$X$56="Forfait",IF(ED$20&gt;='01_Input'!$V$56,'01_Input'!$Y$56,0),IF('01_Input'!$X$56="Palier",IF(AND(ED$20&gt;='01_Input'!$V$56,ED$20&lt;'01_Input'!$W$56),'01_Input'!$Y$56,0),MAX(MIN(ED$20,'01_Input'!$W$56)-'01_Input'!$V$56,0)*'01_Input'!$Y$56))+IF('01_Input'!$AB$56="Forfait",IF(ED$20&gt;='01_Input'!$Z$56,'01_Input'!$AC$56,0),IF('01_Input'!$AB$56="Palier",IF(AND(ED$20&gt;='01_Input'!$Z$56,ED$20&lt;'01_Input'!$AA$56),'01_Input'!$AC$56,0),MAX(MIN(ED$20,'01_Input'!$AA$56)-'01_Input'!$Z$56,0)*'01_Input'!$AC$56)))))))))</f>
        <v>0</v>
      </c>
      <c r="EE24" s="83">
        <f>IF('01_Input'!$C$56="Non",0,MIN('01_Input'!$I$56,MAX('01_Input'!$H$56,IF('01_Input'!$G$56="Résiduel vs Gestion",0,IF('01_Input'!$G$56="Taux Classe sélectionnée",Distrib_SousDistrib_Classe_Selectionnee*EE$20,IF('01_Input'!$G$56="Frais KYC (paliers de 100M€)",MAX(0,Nb_Investisseurs-Nb_KYC_Gratuites_Par_Tranche*(FLOOR(EE$20/Taille_Tranche_KYC,1)+1))*Cout_Par_KYC_Supplementaire,(IF('01_Input'!$L$56="Forfait",IF(EE$20&gt;='01_Input'!$J$56,'01_Input'!$M$56,0),IF('01_Input'!$L$56="Palier",IF(AND(EE$20&gt;='01_Input'!$J$56,EE$20&lt;'01_Input'!$K$56),'01_Input'!$M$56,0),MAX(MIN(EE$20,'01_Input'!$K$56)-'01_Input'!$J$56,0)*'01_Input'!$M$56))+IF('01_Input'!$P$56="Forfait",IF(EE$20&gt;='01_Input'!$N$56,'01_Input'!$Q$56,0),IF('01_Input'!$P$56="Palier",IF(AND(EE$20&gt;='01_Input'!$N$56,EE$20&lt;'01_Input'!$O$56),'01_Input'!$Q$56,0),MAX(MIN(EE$20,'01_Input'!$O$56)-'01_Input'!$N$56,0)*'01_Input'!$Q$56))+IF('01_Input'!$T$56="Forfait",IF(EE$20&gt;='01_Input'!$R$56,'01_Input'!$U$56,0),IF('01_Input'!$T$56="Palier",IF(AND(EE$20&gt;='01_Input'!$R$56,EE$20&lt;'01_Input'!$S$56),'01_Input'!$U$56,0),MAX(MIN(EE$20,'01_Input'!$S$56)-'01_Input'!$R$56,0)*'01_Input'!$U$56))+IF('01_Input'!$X$56="Forfait",IF(EE$20&gt;='01_Input'!$V$56,'01_Input'!$Y$56,0),IF('01_Input'!$X$56="Palier",IF(AND(EE$20&gt;='01_Input'!$V$56,EE$20&lt;'01_Input'!$W$56),'01_Input'!$Y$56,0),MAX(MIN(EE$20,'01_Input'!$W$56)-'01_Input'!$V$56,0)*'01_Input'!$Y$56))+IF('01_Input'!$AB$56="Forfait",IF(EE$20&gt;='01_Input'!$Z$56,'01_Input'!$AC$56,0),IF('01_Input'!$AB$56="Palier",IF(AND(EE$20&gt;='01_Input'!$Z$56,EE$20&lt;'01_Input'!$AA$56),'01_Input'!$AC$56,0),MAX(MIN(EE$20,'01_Input'!$AA$56)-'01_Input'!$Z$56,0)*'01_Input'!$AC$56)))))))))</f>
        <v>0</v>
      </c>
      <c r="EF24" s="83">
        <f>IF('01_Input'!$C$56="Non",0,MIN('01_Input'!$I$56,MAX('01_Input'!$H$56,IF('01_Input'!$G$56="Résiduel vs Gestion",0,IF('01_Input'!$G$56="Taux Classe sélectionnée",Distrib_SousDistrib_Classe_Selectionnee*EF$20,IF('01_Input'!$G$56="Frais KYC (paliers de 100M€)",MAX(0,Nb_Investisseurs-Nb_KYC_Gratuites_Par_Tranche*(FLOOR(EF$20/Taille_Tranche_KYC,1)+1))*Cout_Par_KYC_Supplementaire,(IF('01_Input'!$L$56="Forfait",IF(EF$20&gt;='01_Input'!$J$56,'01_Input'!$M$56,0),IF('01_Input'!$L$56="Palier",IF(AND(EF$20&gt;='01_Input'!$J$56,EF$20&lt;'01_Input'!$K$56),'01_Input'!$M$56,0),MAX(MIN(EF$20,'01_Input'!$K$56)-'01_Input'!$J$56,0)*'01_Input'!$M$56))+IF('01_Input'!$P$56="Forfait",IF(EF$20&gt;='01_Input'!$N$56,'01_Input'!$Q$56,0),IF('01_Input'!$P$56="Palier",IF(AND(EF$20&gt;='01_Input'!$N$56,EF$20&lt;'01_Input'!$O$56),'01_Input'!$Q$56,0),MAX(MIN(EF$20,'01_Input'!$O$56)-'01_Input'!$N$56,0)*'01_Input'!$Q$56))+IF('01_Input'!$T$56="Forfait",IF(EF$20&gt;='01_Input'!$R$56,'01_Input'!$U$56,0),IF('01_Input'!$T$56="Palier",IF(AND(EF$20&gt;='01_Input'!$R$56,EF$20&lt;'01_Input'!$S$56),'01_Input'!$U$56,0),MAX(MIN(EF$20,'01_Input'!$S$56)-'01_Input'!$R$56,0)*'01_Input'!$U$56))+IF('01_Input'!$X$56="Forfait",IF(EF$20&gt;='01_Input'!$V$56,'01_Input'!$Y$56,0),IF('01_Input'!$X$56="Palier",IF(AND(EF$20&gt;='01_Input'!$V$56,EF$20&lt;'01_Input'!$W$56),'01_Input'!$Y$56,0),MAX(MIN(EF$20,'01_Input'!$W$56)-'01_Input'!$V$56,0)*'01_Input'!$Y$56))+IF('01_Input'!$AB$56="Forfait",IF(EF$20&gt;='01_Input'!$Z$56,'01_Input'!$AC$56,0),IF('01_Input'!$AB$56="Palier",IF(AND(EF$20&gt;='01_Input'!$Z$56,EF$20&lt;'01_Input'!$AA$56),'01_Input'!$AC$56,0),MAX(MIN(EF$20,'01_Input'!$AA$56)-'01_Input'!$Z$56,0)*'01_Input'!$AC$56)))))))))</f>
        <v>0</v>
      </c>
      <c r="EG24" s="83">
        <f>IF('01_Input'!$C$56="Non",0,MIN('01_Input'!$I$56,MAX('01_Input'!$H$56,IF('01_Input'!$G$56="Résiduel vs Gestion",0,IF('01_Input'!$G$56="Taux Classe sélectionnée",Distrib_SousDistrib_Classe_Selectionnee*EG$20,IF('01_Input'!$G$56="Frais KYC (paliers de 100M€)",MAX(0,Nb_Investisseurs-Nb_KYC_Gratuites_Par_Tranche*(FLOOR(EG$20/Taille_Tranche_KYC,1)+1))*Cout_Par_KYC_Supplementaire,(IF('01_Input'!$L$56="Forfait",IF(EG$20&gt;='01_Input'!$J$56,'01_Input'!$M$56,0),IF('01_Input'!$L$56="Palier",IF(AND(EG$20&gt;='01_Input'!$J$56,EG$20&lt;'01_Input'!$K$56),'01_Input'!$M$56,0),MAX(MIN(EG$20,'01_Input'!$K$56)-'01_Input'!$J$56,0)*'01_Input'!$M$56))+IF('01_Input'!$P$56="Forfait",IF(EG$20&gt;='01_Input'!$N$56,'01_Input'!$Q$56,0),IF('01_Input'!$P$56="Palier",IF(AND(EG$20&gt;='01_Input'!$N$56,EG$20&lt;'01_Input'!$O$56),'01_Input'!$Q$56,0),MAX(MIN(EG$20,'01_Input'!$O$56)-'01_Input'!$N$56,0)*'01_Input'!$Q$56))+IF('01_Input'!$T$56="Forfait",IF(EG$20&gt;='01_Input'!$R$56,'01_Input'!$U$56,0),IF('01_Input'!$T$56="Palier",IF(AND(EG$20&gt;='01_Input'!$R$56,EG$20&lt;'01_Input'!$S$56),'01_Input'!$U$56,0),MAX(MIN(EG$20,'01_Input'!$S$56)-'01_Input'!$R$56,0)*'01_Input'!$U$56))+IF('01_Input'!$X$56="Forfait",IF(EG$20&gt;='01_Input'!$V$56,'01_Input'!$Y$56,0),IF('01_Input'!$X$56="Palier",IF(AND(EG$20&gt;='01_Input'!$V$56,EG$20&lt;'01_Input'!$W$56),'01_Input'!$Y$56,0),MAX(MIN(EG$20,'01_Input'!$W$56)-'01_Input'!$V$56,0)*'01_Input'!$Y$56))+IF('01_Input'!$AB$56="Forfait",IF(EG$20&gt;='01_Input'!$Z$56,'01_Input'!$AC$56,0),IF('01_Input'!$AB$56="Palier",IF(AND(EG$20&gt;='01_Input'!$Z$56,EG$20&lt;'01_Input'!$AA$56),'01_Input'!$AC$56,0),MAX(MIN(EG$20,'01_Input'!$AA$56)-'01_Input'!$Z$56,0)*'01_Input'!$AC$56)))))))))</f>
        <v>0</v>
      </c>
      <c r="EH24" s="83">
        <f>IF('01_Input'!$C$56="Non",0,MIN('01_Input'!$I$56,MAX('01_Input'!$H$56,IF('01_Input'!$G$56="Résiduel vs Gestion",0,IF('01_Input'!$G$56="Taux Classe sélectionnée",Distrib_SousDistrib_Classe_Selectionnee*EH$20,IF('01_Input'!$G$56="Frais KYC (paliers de 100M€)",MAX(0,Nb_Investisseurs-Nb_KYC_Gratuites_Par_Tranche*(FLOOR(EH$20/Taille_Tranche_KYC,1)+1))*Cout_Par_KYC_Supplementaire,(IF('01_Input'!$L$56="Forfait",IF(EH$20&gt;='01_Input'!$J$56,'01_Input'!$M$56,0),IF('01_Input'!$L$56="Palier",IF(AND(EH$20&gt;='01_Input'!$J$56,EH$20&lt;'01_Input'!$K$56),'01_Input'!$M$56,0),MAX(MIN(EH$20,'01_Input'!$K$56)-'01_Input'!$J$56,0)*'01_Input'!$M$56))+IF('01_Input'!$P$56="Forfait",IF(EH$20&gt;='01_Input'!$N$56,'01_Input'!$Q$56,0),IF('01_Input'!$P$56="Palier",IF(AND(EH$20&gt;='01_Input'!$N$56,EH$20&lt;'01_Input'!$O$56),'01_Input'!$Q$56,0),MAX(MIN(EH$20,'01_Input'!$O$56)-'01_Input'!$N$56,0)*'01_Input'!$Q$56))+IF('01_Input'!$T$56="Forfait",IF(EH$20&gt;='01_Input'!$R$56,'01_Input'!$U$56,0),IF('01_Input'!$T$56="Palier",IF(AND(EH$20&gt;='01_Input'!$R$56,EH$20&lt;'01_Input'!$S$56),'01_Input'!$U$56,0),MAX(MIN(EH$20,'01_Input'!$S$56)-'01_Input'!$R$56,0)*'01_Input'!$U$56))+IF('01_Input'!$X$56="Forfait",IF(EH$20&gt;='01_Input'!$V$56,'01_Input'!$Y$56,0),IF('01_Input'!$X$56="Palier",IF(AND(EH$20&gt;='01_Input'!$V$56,EH$20&lt;'01_Input'!$W$56),'01_Input'!$Y$56,0),MAX(MIN(EH$20,'01_Input'!$W$56)-'01_Input'!$V$56,0)*'01_Input'!$Y$56))+IF('01_Input'!$AB$56="Forfait",IF(EH$20&gt;='01_Input'!$Z$56,'01_Input'!$AC$56,0),IF('01_Input'!$AB$56="Palier",IF(AND(EH$20&gt;='01_Input'!$Z$56,EH$20&lt;'01_Input'!$AA$56),'01_Input'!$AC$56,0),MAX(MIN(EH$20,'01_Input'!$AA$56)-'01_Input'!$Z$56,0)*'01_Input'!$AC$56)))))))))</f>
        <v>0</v>
      </c>
      <c r="EI24" s="83">
        <f>IF('01_Input'!$C$56="Non",0,MIN('01_Input'!$I$56,MAX('01_Input'!$H$56,IF('01_Input'!$G$56="Résiduel vs Gestion",0,IF('01_Input'!$G$56="Taux Classe sélectionnée",Distrib_SousDistrib_Classe_Selectionnee*EI$20,IF('01_Input'!$G$56="Frais KYC (paliers de 100M€)",MAX(0,Nb_Investisseurs-Nb_KYC_Gratuites_Par_Tranche*(FLOOR(EI$20/Taille_Tranche_KYC,1)+1))*Cout_Par_KYC_Supplementaire,(IF('01_Input'!$L$56="Forfait",IF(EI$20&gt;='01_Input'!$J$56,'01_Input'!$M$56,0),IF('01_Input'!$L$56="Palier",IF(AND(EI$20&gt;='01_Input'!$J$56,EI$20&lt;'01_Input'!$K$56),'01_Input'!$M$56,0),MAX(MIN(EI$20,'01_Input'!$K$56)-'01_Input'!$J$56,0)*'01_Input'!$M$56))+IF('01_Input'!$P$56="Forfait",IF(EI$20&gt;='01_Input'!$N$56,'01_Input'!$Q$56,0),IF('01_Input'!$P$56="Palier",IF(AND(EI$20&gt;='01_Input'!$N$56,EI$20&lt;'01_Input'!$O$56),'01_Input'!$Q$56,0),MAX(MIN(EI$20,'01_Input'!$O$56)-'01_Input'!$N$56,0)*'01_Input'!$Q$56))+IF('01_Input'!$T$56="Forfait",IF(EI$20&gt;='01_Input'!$R$56,'01_Input'!$U$56,0),IF('01_Input'!$T$56="Palier",IF(AND(EI$20&gt;='01_Input'!$R$56,EI$20&lt;'01_Input'!$S$56),'01_Input'!$U$56,0),MAX(MIN(EI$20,'01_Input'!$S$56)-'01_Input'!$R$56,0)*'01_Input'!$U$56))+IF('01_Input'!$X$56="Forfait",IF(EI$20&gt;='01_Input'!$V$56,'01_Input'!$Y$56,0),IF('01_Input'!$X$56="Palier",IF(AND(EI$20&gt;='01_Input'!$V$56,EI$20&lt;'01_Input'!$W$56),'01_Input'!$Y$56,0),MAX(MIN(EI$20,'01_Input'!$W$56)-'01_Input'!$V$56,0)*'01_Input'!$Y$56))+IF('01_Input'!$AB$56="Forfait",IF(EI$20&gt;='01_Input'!$Z$56,'01_Input'!$AC$56,0),IF('01_Input'!$AB$56="Palier",IF(AND(EI$20&gt;='01_Input'!$Z$56,EI$20&lt;'01_Input'!$AA$56),'01_Input'!$AC$56,0),MAX(MIN(EI$20,'01_Input'!$AA$56)-'01_Input'!$Z$56,0)*'01_Input'!$AC$56)))))))))</f>
        <v>0</v>
      </c>
      <c r="EJ24" s="83">
        <f>IF('01_Input'!$C$56="Non",0,MIN('01_Input'!$I$56,MAX('01_Input'!$H$56,IF('01_Input'!$G$56="Résiduel vs Gestion",0,IF('01_Input'!$G$56="Taux Classe sélectionnée",Distrib_SousDistrib_Classe_Selectionnee*EJ$20,IF('01_Input'!$G$56="Frais KYC (paliers de 100M€)",MAX(0,Nb_Investisseurs-Nb_KYC_Gratuites_Par_Tranche*(FLOOR(EJ$20/Taille_Tranche_KYC,1)+1))*Cout_Par_KYC_Supplementaire,(IF('01_Input'!$L$56="Forfait",IF(EJ$20&gt;='01_Input'!$J$56,'01_Input'!$M$56,0),IF('01_Input'!$L$56="Palier",IF(AND(EJ$20&gt;='01_Input'!$J$56,EJ$20&lt;'01_Input'!$K$56),'01_Input'!$M$56,0),MAX(MIN(EJ$20,'01_Input'!$K$56)-'01_Input'!$J$56,0)*'01_Input'!$M$56))+IF('01_Input'!$P$56="Forfait",IF(EJ$20&gt;='01_Input'!$N$56,'01_Input'!$Q$56,0),IF('01_Input'!$P$56="Palier",IF(AND(EJ$20&gt;='01_Input'!$N$56,EJ$20&lt;'01_Input'!$O$56),'01_Input'!$Q$56,0),MAX(MIN(EJ$20,'01_Input'!$O$56)-'01_Input'!$N$56,0)*'01_Input'!$Q$56))+IF('01_Input'!$T$56="Forfait",IF(EJ$20&gt;='01_Input'!$R$56,'01_Input'!$U$56,0),IF('01_Input'!$T$56="Palier",IF(AND(EJ$20&gt;='01_Input'!$R$56,EJ$20&lt;'01_Input'!$S$56),'01_Input'!$U$56,0),MAX(MIN(EJ$20,'01_Input'!$S$56)-'01_Input'!$R$56,0)*'01_Input'!$U$56))+IF('01_Input'!$X$56="Forfait",IF(EJ$20&gt;='01_Input'!$V$56,'01_Input'!$Y$56,0),IF('01_Input'!$X$56="Palier",IF(AND(EJ$20&gt;='01_Input'!$V$56,EJ$20&lt;'01_Input'!$W$56),'01_Input'!$Y$56,0),MAX(MIN(EJ$20,'01_Input'!$W$56)-'01_Input'!$V$56,0)*'01_Input'!$Y$56))+IF('01_Input'!$AB$56="Forfait",IF(EJ$20&gt;='01_Input'!$Z$56,'01_Input'!$AC$56,0),IF('01_Input'!$AB$56="Palier",IF(AND(EJ$20&gt;='01_Input'!$Z$56,EJ$20&lt;'01_Input'!$AA$56),'01_Input'!$AC$56,0),MAX(MIN(EJ$20,'01_Input'!$AA$56)-'01_Input'!$Z$56,0)*'01_Input'!$AC$56)))))))))</f>
        <v>0</v>
      </c>
      <c r="EK24" s="83">
        <f>IF('01_Input'!$C$56="Non",0,MIN('01_Input'!$I$56,MAX('01_Input'!$H$56,IF('01_Input'!$G$56="Résiduel vs Gestion",0,IF('01_Input'!$G$56="Taux Classe sélectionnée",Distrib_SousDistrib_Classe_Selectionnee*EK$20,IF('01_Input'!$G$56="Frais KYC (paliers de 100M€)",MAX(0,Nb_Investisseurs-Nb_KYC_Gratuites_Par_Tranche*(FLOOR(EK$20/Taille_Tranche_KYC,1)+1))*Cout_Par_KYC_Supplementaire,(IF('01_Input'!$L$56="Forfait",IF(EK$20&gt;='01_Input'!$J$56,'01_Input'!$M$56,0),IF('01_Input'!$L$56="Palier",IF(AND(EK$20&gt;='01_Input'!$J$56,EK$20&lt;'01_Input'!$K$56),'01_Input'!$M$56,0),MAX(MIN(EK$20,'01_Input'!$K$56)-'01_Input'!$J$56,0)*'01_Input'!$M$56))+IF('01_Input'!$P$56="Forfait",IF(EK$20&gt;='01_Input'!$N$56,'01_Input'!$Q$56,0),IF('01_Input'!$P$56="Palier",IF(AND(EK$20&gt;='01_Input'!$N$56,EK$20&lt;'01_Input'!$O$56),'01_Input'!$Q$56,0),MAX(MIN(EK$20,'01_Input'!$O$56)-'01_Input'!$N$56,0)*'01_Input'!$Q$56))+IF('01_Input'!$T$56="Forfait",IF(EK$20&gt;='01_Input'!$R$56,'01_Input'!$U$56,0),IF('01_Input'!$T$56="Palier",IF(AND(EK$20&gt;='01_Input'!$R$56,EK$20&lt;'01_Input'!$S$56),'01_Input'!$U$56,0),MAX(MIN(EK$20,'01_Input'!$S$56)-'01_Input'!$R$56,0)*'01_Input'!$U$56))+IF('01_Input'!$X$56="Forfait",IF(EK$20&gt;='01_Input'!$V$56,'01_Input'!$Y$56,0),IF('01_Input'!$X$56="Palier",IF(AND(EK$20&gt;='01_Input'!$V$56,EK$20&lt;'01_Input'!$W$56),'01_Input'!$Y$56,0),MAX(MIN(EK$20,'01_Input'!$W$56)-'01_Input'!$V$56,0)*'01_Input'!$Y$56))+IF('01_Input'!$AB$56="Forfait",IF(EK$20&gt;='01_Input'!$Z$56,'01_Input'!$AC$56,0),IF('01_Input'!$AB$56="Palier",IF(AND(EK$20&gt;='01_Input'!$Z$56,EK$20&lt;'01_Input'!$AA$56),'01_Input'!$AC$56,0),MAX(MIN(EK$20,'01_Input'!$AA$56)-'01_Input'!$Z$56,0)*'01_Input'!$AC$56)))))))))</f>
        <v>0</v>
      </c>
      <c r="EL24" s="83">
        <f>IF('01_Input'!$C$56="Non",0,MIN('01_Input'!$I$56,MAX('01_Input'!$H$56,IF('01_Input'!$G$56="Résiduel vs Gestion",0,IF('01_Input'!$G$56="Taux Classe sélectionnée",Distrib_SousDistrib_Classe_Selectionnee*EL$20,IF('01_Input'!$G$56="Frais KYC (paliers de 100M€)",MAX(0,Nb_Investisseurs-Nb_KYC_Gratuites_Par_Tranche*(FLOOR(EL$20/Taille_Tranche_KYC,1)+1))*Cout_Par_KYC_Supplementaire,(IF('01_Input'!$L$56="Forfait",IF(EL$20&gt;='01_Input'!$J$56,'01_Input'!$M$56,0),IF('01_Input'!$L$56="Palier",IF(AND(EL$20&gt;='01_Input'!$J$56,EL$20&lt;'01_Input'!$K$56),'01_Input'!$M$56,0),MAX(MIN(EL$20,'01_Input'!$K$56)-'01_Input'!$J$56,0)*'01_Input'!$M$56))+IF('01_Input'!$P$56="Forfait",IF(EL$20&gt;='01_Input'!$N$56,'01_Input'!$Q$56,0),IF('01_Input'!$P$56="Palier",IF(AND(EL$20&gt;='01_Input'!$N$56,EL$20&lt;'01_Input'!$O$56),'01_Input'!$Q$56,0),MAX(MIN(EL$20,'01_Input'!$O$56)-'01_Input'!$N$56,0)*'01_Input'!$Q$56))+IF('01_Input'!$T$56="Forfait",IF(EL$20&gt;='01_Input'!$R$56,'01_Input'!$U$56,0),IF('01_Input'!$T$56="Palier",IF(AND(EL$20&gt;='01_Input'!$R$56,EL$20&lt;'01_Input'!$S$56),'01_Input'!$U$56,0),MAX(MIN(EL$20,'01_Input'!$S$56)-'01_Input'!$R$56,0)*'01_Input'!$U$56))+IF('01_Input'!$X$56="Forfait",IF(EL$20&gt;='01_Input'!$V$56,'01_Input'!$Y$56,0),IF('01_Input'!$X$56="Palier",IF(AND(EL$20&gt;='01_Input'!$V$56,EL$20&lt;'01_Input'!$W$56),'01_Input'!$Y$56,0),MAX(MIN(EL$20,'01_Input'!$W$56)-'01_Input'!$V$56,0)*'01_Input'!$Y$56))+IF('01_Input'!$AB$56="Forfait",IF(EL$20&gt;='01_Input'!$Z$56,'01_Input'!$AC$56,0),IF('01_Input'!$AB$56="Palier",IF(AND(EL$20&gt;='01_Input'!$Z$56,EL$20&lt;'01_Input'!$AA$56),'01_Input'!$AC$56,0),MAX(MIN(EL$20,'01_Input'!$AA$56)-'01_Input'!$Z$56,0)*'01_Input'!$AC$56)))))))))</f>
        <v>0</v>
      </c>
      <c r="EM24" s="83">
        <f>IF('01_Input'!$C$56="Non",0,MIN('01_Input'!$I$56,MAX('01_Input'!$H$56,IF('01_Input'!$G$56="Résiduel vs Gestion",0,IF('01_Input'!$G$56="Taux Classe sélectionnée",Distrib_SousDistrib_Classe_Selectionnee*EM$20,IF('01_Input'!$G$56="Frais KYC (paliers de 100M€)",MAX(0,Nb_Investisseurs-Nb_KYC_Gratuites_Par_Tranche*(FLOOR(EM$20/Taille_Tranche_KYC,1)+1))*Cout_Par_KYC_Supplementaire,(IF('01_Input'!$L$56="Forfait",IF(EM$20&gt;='01_Input'!$J$56,'01_Input'!$M$56,0),IF('01_Input'!$L$56="Palier",IF(AND(EM$20&gt;='01_Input'!$J$56,EM$20&lt;'01_Input'!$K$56),'01_Input'!$M$56,0),MAX(MIN(EM$20,'01_Input'!$K$56)-'01_Input'!$J$56,0)*'01_Input'!$M$56))+IF('01_Input'!$P$56="Forfait",IF(EM$20&gt;='01_Input'!$N$56,'01_Input'!$Q$56,0),IF('01_Input'!$P$56="Palier",IF(AND(EM$20&gt;='01_Input'!$N$56,EM$20&lt;'01_Input'!$O$56),'01_Input'!$Q$56,0),MAX(MIN(EM$20,'01_Input'!$O$56)-'01_Input'!$N$56,0)*'01_Input'!$Q$56))+IF('01_Input'!$T$56="Forfait",IF(EM$20&gt;='01_Input'!$R$56,'01_Input'!$U$56,0),IF('01_Input'!$T$56="Palier",IF(AND(EM$20&gt;='01_Input'!$R$56,EM$20&lt;'01_Input'!$S$56),'01_Input'!$U$56,0),MAX(MIN(EM$20,'01_Input'!$S$56)-'01_Input'!$R$56,0)*'01_Input'!$U$56))+IF('01_Input'!$X$56="Forfait",IF(EM$20&gt;='01_Input'!$V$56,'01_Input'!$Y$56,0),IF('01_Input'!$X$56="Palier",IF(AND(EM$20&gt;='01_Input'!$V$56,EM$20&lt;'01_Input'!$W$56),'01_Input'!$Y$56,0),MAX(MIN(EM$20,'01_Input'!$W$56)-'01_Input'!$V$56,0)*'01_Input'!$Y$56))+IF('01_Input'!$AB$56="Forfait",IF(EM$20&gt;='01_Input'!$Z$56,'01_Input'!$AC$56,0),IF('01_Input'!$AB$56="Palier",IF(AND(EM$20&gt;='01_Input'!$Z$56,EM$20&lt;'01_Input'!$AA$56),'01_Input'!$AC$56,0),MAX(MIN(EM$20,'01_Input'!$AA$56)-'01_Input'!$Z$56,0)*'01_Input'!$AC$56)))))))))</f>
        <v>0</v>
      </c>
      <c r="EN24" s="83">
        <f>IF('01_Input'!$C$56="Non",0,MIN('01_Input'!$I$56,MAX('01_Input'!$H$56,IF('01_Input'!$G$56="Résiduel vs Gestion",0,IF('01_Input'!$G$56="Taux Classe sélectionnée",Distrib_SousDistrib_Classe_Selectionnee*EN$20,IF('01_Input'!$G$56="Frais KYC (paliers de 100M€)",MAX(0,Nb_Investisseurs-Nb_KYC_Gratuites_Par_Tranche*(FLOOR(EN$20/Taille_Tranche_KYC,1)+1))*Cout_Par_KYC_Supplementaire,(IF('01_Input'!$L$56="Forfait",IF(EN$20&gt;='01_Input'!$J$56,'01_Input'!$M$56,0),IF('01_Input'!$L$56="Palier",IF(AND(EN$20&gt;='01_Input'!$J$56,EN$20&lt;'01_Input'!$K$56),'01_Input'!$M$56,0),MAX(MIN(EN$20,'01_Input'!$K$56)-'01_Input'!$J$56,0)*'01_Input'!$M$56))+IF('01_Input'!$P$56="Forfait",IF(EN$20&gt;='01_Input'!$N$56,'01_Input'!$Q$56,0),IF('01_Input'!$P$56="Palier",IF(AND(EN$20&gt;='01_Input'!$N$56,EN$20&lt;'01_Input'!$O$56),'01_Input'!$Q$56,0),MAX(MIN(EN$20,'01_Input'!$O$56)-'01_Input'!$N$56,0)*'01_Input'!$Q$56))+IF('01_Input'!$T$56="Forfait",IF(EN$20&gt;='01_Input'!$R$56,'01_Input'!$U$56,0),IF('01_Input'!$T$56="Palier",IF(AND(EN$20&gt;='01_Input'!$R$56,EN$20&lt;'01_Input'!$S$56),'01_Input'!$U$56,0),MAX(MIN(EN$20,'01_Input'!$S$56)-'01_Input'!$R$56,0)*'01_Input'!$U$56))+IF('01_Input'!$X$56="Forfait",IF(EN$20&gt;='01_Input'!$V$56,'01_Input'!$Y$56,0),IF('01_Input'!$X$56="Palier",IF(AND(EN$20&gt;='01_Input'!$V$56,EN$20&lt;'01_Input'!$W$56),'01_Input'!$Y$56,0),MAX(MIN(EN$20,'01_Input'!$W$56)-'01_Input'!$V$56,0)*'01_Input'!$Y$56))+IF('01_Input'!$AB$56="Forfait",IF(EN$20&gt;='01_Input'!$Z$56,'01_Input'!$AC$56,0),IF('01_Input'!$AB$56="Palier",IF(AND(EN$20&gt;='01_Input'!$Z$56,EN$20&lt;'01_Input'!$AA$56),'01_Input'!$AC$56,0),MAX(MIN(EN$20,'01_Input'!$AA$56)-'01_Input'!$Z$56,0)*'01_Input'!$AC$56)))))))))</f>
        <v>0</v>
      </c>
      <c r="EO24" s="83">
        <f>IF('01_Input'!$C$56="Non",0,MIN('01_Input'!$I$56,MAX('01_Input'!$H$56,IF('01_Input'!$G$56="Résiduel vs Gestion",0,IF('01_Input'!$G$56="Taux Classe sélectionnée",Distrib_SousDistrib_Classe_Selectionnee*EO$20,IF('01_Input'!$G$56="Frais KYC (paliers de 100M€)",MAX(0,Nb_Investisseurs-Nb_KYC_Gratuites_Par_Tranche*(FLOOR(EO$20/Taille_Tranche_KYC,1)+1))*Cout_Par_KYC_Supplementaire,(IF('01_Input'!$L$56="Forfait",IF(EO$20&gt;='01_Input'!$J$56,'01_Input'!$M$56,0),IF('01_Input'!$L$56="Palier",IF(AND(EO$20&gt;='01_Input'!$J$56,EO$20&lt;'01_Input'!$K$56),'01_Input'!$M$56,0),MAX(MIN(EO$20,'01_Input'!$K$56)-'01_Input'!$J$56,0)*'01_Input'!$M$56))+IF('01_Input'!$P$56="Forfait",IF(EO$20&gt;='01_Input'!$N$56,'01_Input'!$Q$56,0),IF('01_Input'!$P$56="Palier",IF(AND(EO$20&gt;='01_Input'!$N$56,EO$20&lt;'01_Input'!$O$56),'01_Input'!$Q$56,0),MAX(MIN(EO$20,'01_Input'!$O$56)-'01_Input'!$N$56,0)*'01_Input'!$Q$56))+IF('01_Input'!$T$56="Forfait",IF(EO$20&gt;='01_Input'!$R$56,'01_Input'!$U$56,0),IF('01_Input'!$T$56="Palier",IF(AND(EO$20&gt;='01_Input'!$R$56,EO$20&lt;'01_Input'!$S$56),'01_Input'!$U$56,0),MAX(MIN(EO$20,'01_Input'!$S$56)-'01_Input'!$R$56,0)*'01_Input'!$U$56))+IF('01_Input'!$X$56="Forfait",IF(EO$20&gt;='01_Input'!$V$56,'01_Input'!$Y$56,0),IF('01_Input'!$X$56="Palier",IF(AND(EO$20&gt;='01_Input'!$V$56,EO$20&lt;'01_Input'!$W$56),'01_Input'!$Y$56,0),MAX(MIN(EO$20,'01_Input'!$W$56)-'01_Input'!$V$56,0)*'01_Input'!$Y$56))+IF('01_Input'!$AB$56="Forfait",IF(EO$20&gt;='01_Input'!$Z$56,'01_Input'!$AC$56,0),IF('01_Input'!$AB$56="Palier",IF(AND(EO$20&gt;='01_Input'!$Z$56,EO$20&lt;'01_Input'!$AA$56),'01_Input'!$AC$56,0),MAX(MIN(EO$20,'01_Input'!$AA$56)-'01_Input'!$Z$56,0)*'01_Input'!$AC$56)))))))))</f>
        <v>0</v>
      </c>
      <c r="EP24" s="83">
        <f>IF('01_Input'!$C$56="Non",0,MIN('01_Input'!$I$56,MAX('01_Input'!$H$56,IF('01_Input'!$G$56="Résiduel vs Gestion",0,IF('01_Input'!$G$56="Taux Classe sélectionnée",Distrib_SousDistrib_Classe_Selectionnee*EP$20,IF('01_Input'!$G$56="Frais KYC (paliers de 100M€)",MAX(0,Nb_Investisseurs-Nb_KYC_Gratuites_Par_Tranche*(FLOOR(EP$20/Taille_Tranche_KYC,1)+1))*Cout_Par_KYC_Supplementaire,(IF('01_Input'!$L$56="Forfait",IF(EP$20&gt;='01_Input'!$J$56,'01_Input'!$M$56,0),IF('01_Input'!$L$56="Palier",IF(AND(EP$20&gt;='01_Input'!$J$56,EP$20&lt;'01_Input'!$K$56),'01_Input'!$M$56,0),MAX(MIN(EP$20,'01_Input'!$K$56)-'01_Input'!$J$56,0)*'01_Input'!$M$56))+IF('01_Input'!$P$56="Forfait",IF(EP$20&gt;='01_Input'!$N$56,'01_Input'!$Q$56,0),IF('01_Input'!$P$56="Palier",IF(AND(EP$20&gt;='01_Input'!$N$56,EP$20&lt;'01_Input'!$O$56),'01_Input'!$Q$56,0),MAX(MIN(EP$20,'01_Input'!$O$56)-'01_Input'!$N$56,0)*'01_Input'!$Q$56))+IF('01_Input'!$T$56="Forfait",IF(EP$20&gt;='01_Input'!$R$56,'01_Input'!$U$56,0),IF('01_Input'!$T$56="Palier",IF(AND(EP$20&gt;='01_Input'!$R$56,EP$20&lt;'01_Input'!$S$56),'01_Input'!$U$56,0),MAX(MIN(EP$20,'01_Input'!$S$56)-'01_Input'!$R$56,0)*'01_Input'!$U$56))+IF('01_Input'!$X$56="Forfait",IF(EP$20&gt;='01_Input'!$V$56,'01_Input'!$Y$56,0),IF('01_Input'!$X$56="Palier",IF(AND(EP$20&gt;='01_Input'!$V$56,EP$20&lt;'01_Input'!$W$56),'01_Input'!$Y$56,0),MAX(MIN(EP$20,'01_Input'!$W$56)-'01_Input'!$V$56,0)*'01_Input'!$Y$56))+IF('01_Input'!$AB$56="Forfait",IF(EP$20&gt;='01_Input'!$Z$56,'01_Input'!$AC$56,0),IF('01_Input'!$AB$56="Palier",IF(AND(EP$20&gt;='01_Input'!$Z$56,EP$20&lt;'01_Input'!$AA$56),'01_Input'!$AC$56,0),MAX(MIN(EP$20,'01_Input'!$AA$56)-'01_Input'!$Z$56,0)*'01_Input'!$AC$56)))))))))</f>
        <v>0</v>
      </c>
      <c r="EQ24" s="83">
        <f>IF('01_Input'!$C$56="Non",0,MIN('01_Input'!$I$56,MAX('01_Input'!$H$56,IF('01_Input'!$G$56="Résiduel vs Gestion",0,IF('01_Input'!$G$56="Taux Classe sélectionnée",Distrib_SousDistrib_Classe_Selectionnee*EQ$20,IF('01_Input'!$G$56="Frais KYC (paliers de 100M€)",MAX(0,Nb_Investisseurs-Nb_KYC_Gratuites_Par_Tranche*(FLOOR(EQ$20/Taille_Tranche_KYC,1)+1))*Cout_Par_KYC_Supplementaire,(IF('01_Input'!$L$56="Forfait",IF(EQ$20&gt;='01_Input'!$J$56,'01_Input'!$M$56,0),IF('01_Input'!$L$56="Palier",IF(AND(EQ$20&gt;='01_Input'!$J$56,EQ$20&lt;'01_Input'!$K$56),'01_Input'!$M$56,0),MAX(MIN(EQ$20,'01_Input'!$K$56)-'01_Input'!$J$56,0)*'01_Input'!$M$56))+IF('01_Input'!$P$56="Forfait",IF(EQ$20&gt;='01_Input'!$N$56,'01_Input'!$Q$56,0),IF('01_Input'!$P$56="Palier",IF(AND(EQ$20&gt;='01_Input'!$N$56,EQ$20&lt;'01_Input'!$O$56),'01_Input'!$Q$56,0),MAX(MIN(EQ$20,'01_Input'!$O$56)-'01_Input'!$N$56,0)*'01_Input'!$Q$56))+IF('01_Input'!$T$56="Forfait",IF(EQ$20&gt;='01_Input'!$R$56,'01_Input'!$U$56,0),IF('01_Input'!$T$56="Palier",IF(AND(EQ$20&gt;='01_Input'!$R$56,EQ$20&lt;'01_Input'!$S$56),'01_Input'!$U$56,0),MAX(MIN(EQ$20,'01_Input'!$S$56)-'01_Input'!$R$56,0)*'01_Input'!$U$56))+IF('01_Input'!$X$56="Forfait",IF(EQ$20&gt;='01_Input'!$V$56,'01_Input'!$Y$56,0),IF('01_Input'!$X$56="Palier",IF(AND(EQ$20&gt;='01_Input'!$V$56,EQ$20&lt;'01_Input'!$W$56),'01_Input'!$Y$56,0),MAX(MIN(EQ$20,'01_Input'!$W$56)-'01_Input'!$V$56,0)*'01_Input'!$Y$56))+IF('01_Input'!$AB$56="Forfait",IF(EQ$20&gt;='01_Input'!$Z$56,'01_Input'!$AC$56,0),IF('01_Input'!$AB$56="Palier",IF(AND(EQ$20&gt;='01_Input'!$Z$56,EQ$20&lt;'01_Input'!$AA$56),'01_Input'!$AC$56,0),MAX(MIN(EQ$20,'01_Input'!$AA$56)-'01_Input'!$Z$56,0)*'01_Input'!$AC$56)))))))))</f>
        <v>0</v>
      </c>
      <c r="ER24" s="83">
        <f>IF('01_Input'!$C$56="Non",0,MIN('01_Input'!$I$56,MAX('01_Input'!$H$56,IF('01_Input'!$G$56="Résiduel vs Gestion",0,IF('01_Input'!$G$56="Taux Classe sélectionnée",Distrib_SousDistrib_Classe_Selectionnee*ER$20,IF('01_Input'!$G$56="Frais KYC (paliers de 100M€)",MAX(0,Nb_Investisseurs-Nb_KYC_Gratuites_Par_Tranche*(FLOOR(ER$20/Taille_Tranche_KYC,1)+1))*Cout_Par_KYC_Supplementaire,(IF('01_Input'!$L$56="Forfait",IF(ER$20&gt;='01_Input'!$J$56,'01_Input'!$M$56,0),IF('01_Input'!$L$56="Palier",IF(AND(ER$20&gt;='01_Input'!$J$56,ER$20&lt;'01_Input'!$K$56),'01_Input'!$M$56,0),MAX(MIN(ER$20,'01_Input'!$K$56)-'01_Input'!$J$56,0)*'01_Input'!$M$56))+IF('01_Input'!$P$56="Forfait",IF(ER$20&gt;='01_Input'!$N$56,'01_Input'!$Q$56,0),IF('01_Input'!$P$56="Palier",IF(AND(ER$20&gt;='01_Input'!$N$56,ER$20&lt;'01_Input'!$O$56),'01_Input'!$Q$56,0),MAX(MIN(ER$20,'01_Input'!$O$56)-'01_Input'!$N$56,0)*'01_Input'!$Q$56))+IF('01_Input'!$T$56="Forfait",IF(ER$20&gt;='01_Input'!$R$56,'01_Input'!$U$56,0),IF('01_Input'!$T$56="Palier",IF(AND(ER$20&gt;='01_Input'!$R$56,ER$20&lt;'01_Input'!$S$56),'01_Input'!$U$56,0),MAX(MIN(ER$20,'01_Input'!$S$56)-'01_Input'!$R$56,0)*'01_Input'!$U$56))+IF('01_Input'!$X$56="Forfait",IF(ER$20&gt;='01_Input'!$V$56,'01_Input'!$Y$56,0),IF('01_Input'!$X$56="Palier",IF(AND(ER$20&gt;='01_Input'!$V$56,ER$20&lt;'01_Input'!$W$56),'01_Input'!$Y$56,0),MAX(MIN(ER$20,'01_Input'!$W$56)-'01_Input'!$V$56,0)*'01_Input'!$Y$56))+IF('01_Input'!$AB$56="Forfait",IF(ER$20&gt;='01_Input'!$Z$56,'01_Input'!$AC$56,0),IF('01_Input'!$AB$56="Palier",IF(AND(ER$20&gt;='01_Input'!$Z$56,ER$20&lt;'01_Input'!$AA$56),'01_Input'!$AC$56,0),MAX(MIN(ER$20,'01_Input'!$AA$56)-'01_Input'!$Z$56,0)*'01_Input'!$AC$56)))))))))</f>
        <v>0</v>
      </c>
      <c r="ES24" s="83">
        <f>IF('01_Input'!$C$56="Non",0,MIN('01_Input'!$I$56,MAX('01_Input'!$H$56,IF('01_Input'!$G$56="Résiduel vs Gestion",0,IF('01_Input'!$G$56="Taux Classe sélectionnée",Distrib_SousDistrib_Classe_Selectionnee*ES$20,IF('01_Input'!$G$56="Frais KYC (paliers de 100M€)",MAX(0,Nb_Investisseurs-Nb_KYC_Gratuites_Par_Tranche*(FLOOR(ES$20/Taille_Tranche_KYC,1)+1))*Cout_Par_KYC_Supplementaire,(IF('01_Input'!$L$56="Forfait",IF(ES$20&gt;='01_Input'!$J$56,'01_Input'!$M$56,0),IF('01_Input'!$L$56="Palier",IF(AND(ES$20&gt;='01_Input'!$J$56,ES$20&lt;'01_Input'!$K$56),'01_Input'!$M$56,0),MAX(MIN(ES$20,'01_Input'!$K$56)-'01_Input'!$J$56,0)*'01_Input'!$M$56))+IF('01_Input'!$P$56="Forfait",IF(ES$20&gt;='01_Input'!$N$56,'01_Input'!$Q$56,0),IF('01_Input'!$P$56="Palier",IF(AND(ES$20&gt;='01_Input'!$N$56,ES$20&lt;'01_Input'!$O$56),'01_Input'!$Q$56,0),MAX(MIN(ES$20,'01_Input'!$O$56)-'01_Input'!$N$56,0)*'01_Input'!$Q$56))+IF('01_Input'!$T$56="Forfait",IF(ES$20&gt;='01_Input'!$R$56,'01_Input'!$U$56,0),IF('01_Input'!$T$56="Palier",IF(AND(ES$20&gt;='01_Input'!$R$56,ES$20&lt;'01_Input'!$S$56),'01_Input'!$U$56,0),MAX(MIN(ES$20,'01_Input'!$S$56)-'01_Input'!$R$56,0)*'01_Input'!$U$56))+IF('01_Input'!$X$56="Forfait",IF(ES$20&gt;='01_Input'!$V$56,'01_Input'!$Y$56,0),IF('01_Input'!$X$56="Palier",IF(AND(ES$20&gt;='01_Input'!$V$56,ES$20&lt;'01_Input'!$W$56),'01_Input'!$Y$56,0),MAX(MIN(ES$20,'01_Input'!$W$56)-'01_Input'!$V$56,0)*'01_Input'!$Y$56))+IF('01_Input'!$AB$56="Forfait",IF(ES$20&gt;='01_Input'!$Z$56,'01_Input'!$AC$56,0),IF('01_Input'!$AB$56="Palier",IF(AND(ES$20&gt;='01_Input'!$Z$56,ES$20&lt;'01_Input'!$AA$56),'01_Input'!$AC$56,0),MAX(MIN(ES$20,'01_Input'!$AA$56)-'01_Input'!$Z$56,0)*'01_Input'!$AC$56)))))))))</f>
        <v>0</v>
      </c>
      <c r="ET24" s="83">
        <f>IF('01_Input'!$C$56="Non",0,MIN('01_Input'!$I$56,MAX('01_Input'!$H$56,IF('01_Input'!$G$56="Résiduel vs Gestion",0,IF('01_Input'!$G$56="Taux Classe sélectionnée",Distrib_SousDistrib_Classe_Selectionnee*ET$20,IF('01_Input'!$G$56="Frais KYC (paliers de 100M€)",MAX(0,Nb_Investisseurs-Nb_KYC_Gratuites_Par_Tranche*(FLOOR(ET$20/Taille_Tranche_KYC,1)+1))*Cout_Par_KYC_Supplementaire,(IF('01_Input'!$L$56="Forfait",IF(ET$20&gt;='01_Input'!$J$56,'01_Input'!$M$56,0),IF('01_Input'!$L$56="Palier",IF(AND(ET$20&gt;='01_Input'!$J$56,ET$20&lt;'01_Input'!$K$56),'01_Input'!$M$56,0),MAX(MIN(ET$20,'01_Input'!$K$56)-'01_Input'!$J$56,0)*'01_Input'!$M$56))+IF('01_Input'!$P$56="Forfait",IF(ET$20&gt;='01_Input'!$N$56,'01_Input'!$Q$56,0),IF('01_Input'!$P$56="Palier",IF(AND(ET$20&gt;='01_Input'!$N$56,ET$20&lt;'01_Input'!$O$56),'01_Input'!$Q$56,0),MAX(MIN(ET$20,'01_Input'!$O$56)-'01_Input'!$N$56,0)*'01_Input'!$Q$56))+IF('01_Input'!$T$56="Forfait",IF(ET$20&gt;='01_Input'!$R$56,'01_Input'!$U$56,0),IF('01_Input'!$T$56="Palier",IF(AND(ET$20&gt;='01_Input'!$R$56,ET$20&lt;'01_Input'!$S$56),'01_Input'!$U$56,0),MAX(MIN(ET$20,'01_Input'!$S$56)-'01_Input'!$R$56,0)*'01_Input'!$U$56))+IF('01_Input'!$X$56="Forfait",IF(ET$20&gt;='01_Input'!$V$56,'01_Input'!$Y$56,0),IF('01_Input'!$X$56="Palier",IF(AND(ET$20&gt;='01_Input'!$V$56,ET$20&lt;'01_Input'!$W$56),'01_Input'!$Y$56,0),MAX(MIN(ET$20,'01_Input'!$W$56)-'01_Input'!$V$56,0)*'01_Input'!$Y$56))+IF('01_Input'!$AB$56="Forfait",IF(ET$20&gt;='01_Input'!$Z$56,'01_Input'!$AC$56,0),IF('01_Input'!$AB$56="Palier",IF(AND(ET$20&gt;='01_Input'!$Z$56,ET$20&lt;'01_Input'!$AA$56),'01_Input'!$AC$56,0),MAX(MIN(ET$20,'01_Input'!$AA$56)-'01_Input'!$Z$56,0)*'01_Input'!$AC$56)))))))))</f>
        <v>0</v>
      </c>
      <c r="EU24" s="83">
        <f>IF('01_Input'!$C$56="Non",0,MIN('01_Input'!$I$56,MAX('01_Input'!$H$56,IF('01_Input'!$G$56="Résiduel vs Gestion",0,IF('01_Input'!$G$56="Taux Classe sélectionnée",Distrib_SousDistrib_Classe_Selectionnee*EU$20,IF('01_Input'!$G$56="Frais KYC (paliers de 100M€)",MAX(0,Nb_Investisseurs-Nb_KYC_Gratuites_Par_Tranche*(FLOOR(EU$20/Taille_Tranche_KYC,1)+1))*Cout_Par_KYC_Supplementaire,(IF('01_Input'!$L$56="Forfait",IF(EU$20&gt;='01_Input'!$J$56,'01_Input'!$M$56,0),IF('01_Input'!$L$56="Palier",IF(AND(EU$20&gt;='01_Input'!$J$56,EU$20&lt;'01_Input'!$K$56),'01_Input'!$M$56,0),MAX(MIN(EU$20,'01_Input'!$K$56)-'01_Input'!$J$56,0)*'01_Input'!$M$56))+IF('01_Input'!$P$56="Forfait",IF(EU$20&gt;='01_Input'!$N$56,'01_Input'!$Q$56,0),IF('01_Input'!$P$56="Palier",IF(AND(EU$20&gt;='01_Input'!$N$56,EU$20&lt;'01_Input'!$O$56),'01_Input'!$Q$56,0),MAX(MIN(EU$20,'01_Input'!$O$56)-'01_Input'!$N$56,0)*'01_Input'!$Q$56))+IF('01_Input'!$T$56="Forfait",IF(EU$20&gt;='01_Input'!$R$56,'01_Input'!$U$56,0),IF('01_Input'!$T$56="Palier",IF(AND(EU$20&gt;='01_Input'!$R$56,EU$20&lt;'01_Input'!$S$56),'01_Input'!$U$56,0),MAX(MIN(EU$20,'01_Input'!$S$56)-'01_Input'!$R$56,0)*'01_Input'!$U$56))+IF('01_Input'!$X$56="Forfait",IF(EU$20&gt;='01_Input'!$V$56,'01_Input'!$Y$56,0),IF('01_Input'!$X$56="Palier",IF(AND(EU$20&gt;='01_Input'!$V$56,EU$20&lt;'01_Input'!$W$56),'01_Input'!$Y$56,0),MAX(MIN(EU$20,'01_Input'!$W$56)-'01_Input'!$V$56,0)*'01_Input'!$Y$56))+IF('01_Input'!$AB$56="Forfait",IF(EU$20&gt;='01_Input'!$Z$56,'01_Input'!$AC$56,0),IF('01_Input'!$AB$56="Palier",IF(AND(EU$20&gt;='01_Input'!$Z$56,EU$20&lt;'01_Input'!$AA$56),'01_Input'!$AC$56,0),MAX(MIN(EU$20,'01_Input'!$AA$56)-'01_Input'!$Z$56,0)*'01_Input'!$AC$56)))))))))</f>
        <v>0</v>
      </c>
      <c r="EV24" s="83">
        <f>IF('01_Input'!$C$56="Non",0,MIN('01_Input'!$I$56,MAX('01_Input'!$H$56,IF('01_Input'!$G$56="Résiduel vs Gestion",0,IF('01_Input'!$G$56="Taux Classe sélectionnée",Distrib_SousDistrib_Classe_Selectionnee*EV$20,IF('01_Input'!$G$56="Frais KYC (paliers de 100M€)",MAX(0,Nb_Investisseurs-Nb_KYC_Gratuites_Par_Tranche*(FLOOR(EV$20/Taille_Tranche_KYC,1)+1))*Cout_Par_KYC_Supplementaire,(IF('01_Input'!$L$56="Forfait",IF(EV$20&gt;='01_Input'!$J$56,'01_Input'!$M$56,0),IF('01_Input'!$L$56="Palier",IF(AND(EV$20&gt;='01_Input'!$J$56,EV$20&lt;'01_Input'!$K$56),'01_Input'!$M$56,0),MAX(MIN(EV$20,'01_Input'!$K$56)-'01_Input'!$J$56,0)*'01_Input'!$M$56))+IF('01_Input'!$P$56="Forfait",IF(EV$20&gt;='01_Input'!$N$56,'01_Input'!$Q$56,0),IF('01_Input'!$P$56="Palier",IF(AND(EV$20&gt;='01_Input'!$N$56,EV$20&lt;'01_Input'!$O$56),'01_Input'!$Q$56,0),MAX(MIN(EV$20,'01_Input'!$O$56)-'01_Input'!$N$56,0)*'01_Input'!$Q$56))+IF('01_Input'!$T$56="Forfait",IF(EV$20&gt;='01_Input'!$R$56,'01_Input'!$U$56,0),IF('01_Input'!$T$56="Palier",IF(AND(EV$20&gt;='01_Input'!$R$56,EV$20&lt;'01_Input'!$S$56),'01_Input'!$U$56,0),MAX(MIN(EV$20,'01_Input'!$S$56)-'01_Input'!$R$56,0)*'01_Input'!$U$56))+IF('01_Input'!$X$56="Forfait",IF(EV$20&gt;='01_Input'!$V$56,'01_Input'!$Y$56,0),IF('01_Input'!$X$56="Palier",IF(AND(EV$20&gt;='01_Input'!$V$56,EV$20&lt;'01_Input'!$W$56),'01_Input'!$Y$56,0),MAX(MIN(EV$20,'01_Input'!$W$56)-'01_Input'!$V$56,0)*'01_Input'!$Y$56))+IF('01_Input'!$AB$56="Forfait",IF(EV$20&gt;='01_Input'!$Z$56,'01_Input'!$AC$56,0),IF('01_Input'!$AB$56="Palier",IF(AND(EV$20&gt;='01_Input'!$Z$56,EV$20&lt;'01_Input'!$AA$56),'01_Input'!$AC$56,0),MAX(MIN(EV$20,'01_Input'!$AA$56)-'01_Input'!$Z$56,0)*'01_Input'!$AC$56)))))))))</f>
        <v>0</v>
      </c>
      <c r="EW24" s="83">
        <f>IF('01_Input'!$C$56="Non",0,MIN('01_Input'!$I$56,MAX('01_Input'!$H$56,IF('01_Input'!$G$56="Résiduel vs Gestion",0,IF('01_Input'!$G$56="Taux Classe sélectionnée",Distrib_SousDistrib_Classe_Selectionnee*EW$20,IF('01_Input'!$G$56="Frais KYC (paliers de 100M€)",MAX(0,Nb_Investisseurs-Nb_KYC_Gratuites_Par_Tranche*(FLOOR(EW$20/Taille_Tranche_KYC,1)+1))*Cout_Par_KYC_Supplementaire,(IF('01_Input'!$L$56="Forfait",IF(EW$20&gt;='01_Input'!$J$56,'01_Input'!$M$56,0),IF('01_Input'!$L$56="Palier",IF(AND(EW$20&gt;='01_Input'!$J$56,EW$20&lt;'01_Input'!$K$56),'01_Input'!$M$56,0),MAX(MIN(EW$20,'01_Input'!$K$56)-'01_Input'!$J$56,0)*'01_Input'!$M$56))+IF('01_Input'!$P$56="Forfait",IF(EW$20&gt;='01_Input'!$N$56,'01_Input'!$Q$56,0),IF('01_Input'!$P$56="Palier",IF(AND(EW$20&gt;='01_Input'!$N$56,EW$20&lt;'01_Input'!$O$56),'01_Input'!$Q$56,0),MAX(MIN(EW$20,'01_Input'!$O$56)-'01_Input'!$N$56,0)*'01_Input'!$Q$56))+IF('01_Input'!$T$56="Forfait",IF(EW$20&gt;='01_Input'!$R$56,'01_Input'!$U$56,0),IF('01_Input'!$T$56="Palier",IF(AND(EW$20&gt;='01_Input'!$R$56,EW$20&lt;'01_Input'!$S$56),'01_Input'!$U$56,0),MAX(MIN(EW$20,'01_Input'!$S$56)-'01_Input'!$R$56,0)*'01_Input'!$U$56))+IF('01_Input'!$X$56="Forfait",IF(EW$20&gt;='01_Input'!$V$56,'01_Input'!$Y$56,0),IF('01_Input'!$X$56="Palier",IF(AND(EW$20&gt;='01_Input'!$V$56,EW$20&lt;'01_Input'!$W$56),'01_Input'!$Y$56,0),MAX(MIN(EW$20,'01_Input'!$W$56)-'01_Input'!$V$56,0)*'01_Input'!$Y$56))+IF('01_Input'!$AB$56="Forfait",IF(EW$20&gt;='01_Input'!$Z$56,'01_Input'!$AC$56,0),IF('01_Input'!$AB$56="Palier",IF(AND(EW$20&gt;='01_Input'!$Z$56,EW$20&lt;'01_Input'!$AA$56),'01_Input'!$AC$56,0),MAX(MIN(EW$20,'01_Input'!$AA$56)-'01_Input'!$Z$56,0)*'01_Input'!$AC$56)))))))))</f>
        <v>0</v>
      </c>
      <c r="EX24" s="83">
        <f>IF('01_Input'!$C$56="Non",0,MIN('01_Input'!$I$56,MAX('01_Input'!$H$56,IF('01_Input'!$G$56="Résiduel vs Gestion",0,IF('01_Input'!$G$56="Taux Classe sélectionnée",Distrib_SousDistrib_Classe_Selectionnee*EX$20,IF('01_Input'!$G$56="Frais KYC (paliers de 100M€)",MAX(0,Nb_Investisseurs-Nb_KYC_Gratuites_Par_Tranche*(FLOOR(EX$20/Taille_Tranche_KYC,1)+1))*Cout_Par_KYC_Supplementaire,(IF('01_Input'!$L$56="Forfait",IF(EX$20&gt;='01_Input'!$J$56,'01_Input'!$M$56,0),IF('01_Input'!$L$56="Palier",IF(AND(EX$20&gt;='01_Input'!$J$56,EX$20&lt;'01_Input'!$K$56),'01_Input'!$M$56,0),MAX(MIN(EX$20,'01_Input'!$K$56)-'01_Input'!$J$56,0)*'01_Input'!$M$56))+IF('01_Input'!$P$56="Forfait",IF(EX$20&gt;='01_Input'!$N$56,'01_Input'!$Q$56,0),IF('01_Input'!$P$56="Palier",IF(AND(EX$20&gt;='01_Input'!$N$56,EX$20&lt;'01_Input'!$O$56),'01_Input'!$Q$56,0),MAX(MIN(EX$20,'01_Input'!$O$56)-'01_Input'!$N$56,0)*'01_Input'!$Q$56))+IF('01_Input'!$T$56="Forfait",IF(EX$20&gt;='01_Input'!$R$56,'01_Input'!$U$56,0),IF('01_Input'!$T$56="Palier",IF(AND(EX$20&gt;='01_Input'!$R$56,EX$20&lt;'01_Input'!$S$56),'01_Input'!$U$56,0),MAX(MIN(EX$20,'01_Input'!$S$56)-'01_Input'!$R$56,0)*'01_Input'!$U$56))+IF('01_Input'!$X$56="Forfait",IF(EX$20&gt;='01_Input'!$V$56,'01_Input'!$Y$56,0),IF('01_Input'!$X$56="Palier",IF(AND(EX$20&gt;='01_Input'!$V$56,EX$20&lt;'01_Input'!$W$56),'01_Input'!$Y$56,0),MAX(MIN(EX$20,'01_Input'!$W$56)-'01_Input'!$V$56,0)*'01_Input'!$Y$56))+IF('01_Input'!$AB$56="Forfait",IF(EX$20&gt;='01_Input'!$Z$56,'01_Input'!$AC$56,0),IF('01_Input'!$AB$56="Palier",IF(AND(EX$20&gt;='01_Input'!$Z$56,EX$20&lt;'01_Input'!$AA$56),'01_Input'!$AC$56,0),MAX(MIN(EX$20,'01_Input'!$AA$56)-'01_Input'!$Z$56,0)*'01_Input'!$AC$56)))))))))</f>
        <v>0</v>
      </c>
    </row>
    <row r="25" ht="15.75" customHeight="1">
      <c r="B25" s="40" t="str">
        <f>IF('01_Input'!D57="","(inactif)",'01_Input'!D57)</f>
        <v>Commission Dépositaire (BFCM)</v>
      </c>
      <c r="C25" s="40" t="str">
        <f>IF('01_Input'!E57="","",'01_Input'!E57)</f>
        <v>Dépositaire (BFCM)</v>
      </c>
      <c r="D25" s="51" t="str">
        <f>'01_Input'!C57</f>
        <v>Oui</v>
      </c>
      <c r="E25" s="25">
        <f>IF('01_Input'!$C$57="Non",0,MIN('01_Input'!$I$57,MAX('01_Input'!$H$57,IF('01_Input'!$G$57="Résiduel vs Gestion",0,IF('01_Input'!$G$57="Taux Classe sélectionnée",Distrib_Global_Classe_Selectionnee*E$20,IF('01_Input'!$G$57="Frais KYC (paliers de 100M€)",MAX(0,Nb_Investisseurs-Nb_KYC_Gratuites_Par_Tranche*(FLOOR(E$20/Taille_Tranche_KYC,1)+1))*Cout_Par_KYC_Supplementaire,(IF('01_Input'!$L$57="Forfait",IF(E$20&gt;='01_Input'!$J$57,'01_Input'!$M$57,0),IF('01_Input'!$L$57="Palier",IF(AND(E$20&gt;='01_Input'!$J$57,E$20&lt;'01_Input'!$K$57),'01_Input'!$M$57,0),MAX(MIN(E$20,'01_Input'!$K$57)-'01_Input'!$J$57,0)*'01_Input'!$M$57))+IF('01_Input'!$P$57="Forfait",IF(E$20&gt;='01_Input'!$N$57,'01_Input'!$Q$57,0),IF('01_Input'!$P$57="Palier",IF(AND(E$20&gt;='01_Input'!$N$57,E$20&lt;'01_Input'!$O$57),'01_Input'!$Q$57,0),MAX(MIN(E$20,'01_Input'!$O$57)-'01_Input'!$N$57,0)*'01_Input'!$Q$57))+IF('01_Input'!$T$57="Forfait",IF(E$20&gt;='01_Input'!$R$57,'01_Input'!$U$57,0),IF('01_Input'!$T$57="Palier",IF(AND(E$20&gt;='01_Input'!$R$57,E$20&lt;'01_Input'!$S$57),'01_Input'!$U$57,0),MAX(MIN(E$20,'01_Input'!$S$57)-'01_Input'!$R$57,0)*'01_Input'!$U$57))+IF('01_Input'!$X$57="Forfait",IF(E$20&gt;='01_Input'!$V$57,'01_Input'!$Y$57,0),IF('01_Input'!$X$57="Palier",IF(AND(E$20&gt;='01_Input'!$V$57,E$20&lt;'01_Input'!$W$57),'01_Input'!$Y$57,0),MAX(MIN(E$20,'01_Input'!$W$57)-'01_Input'!$V$57,0)*'01_Input'!$Y$57))+IF('01_Input'!$AB$57="Forfait",IF(E$20&gt;='01_Input'!$Z$57,'01_Input'!$AC$57,0),IF('01_Input'!$AB$57="Palier",IF(AND(E$20&gt;='01_Input'!$Z$57,E$20&lt;'01_Input'!$AA$57),'01_Input'!$AC$57,0),MAX(MIN(E$20,'01_Input'!$AA$57)-'01_Input'!$Z$57,0)*'01_Input'!$AC$57)))))))))</f>
        <v>12000</v>
      </c>
      <c r="F25" s="25">
        <f>IF('01_Input'!$C$57="Non",0,MIN('01_Input'!$I$57,MAX('01_Input'!$H$57,IF('01_Input'!$G$57="Résiduel vs Gestion",0,IF('01_Input'!$G$57="Taux Classe sélectionnée",Distrib_Global_Classe_Selectionnee*F$20,IF('01_Input'!$G$57="Frais KYC (paliers de 100M€)",MAX(0,Nb_Investisseurs-Nb_KYC_Gratuites_Par_Tranche*(FLOOR(F$20/Taille_Tranche_KYC,1)+1))*Cout_Par_KYC_Supplementaire,(IF('01_Input'!$L$57="Forfait",IF(F$20&gt;='01_Input'!$J$57,'01_Input'!$M$57,0),IF('01_Input'!$L$57="Palier",IF(AND(F$20&gt;='01_Input'!$J$57,F$20&lt;'01_Input'!$K$57),'01_Input'!$M$57,0),MAX(MIN(F$20,'01_Input'!$K$57)-'01_Input'!$J$57,0)*'01_Input'!$M$57))+IF('01_Input'!$P$57="Forfait",IF(F$20&gt;='01_Input'!$N$57,'01_Input'!$Q$57,0),IF('01_Input'!$P$57="Palier",IF(AND(F$20&gt;='01_Input'!$N$57,F$20&lt;'01_Input'!$O$57),'01_Input'!$Q$57,0),MAX(MIN(F$20,'01_Input'!$O$57)-'01_Input'!$N$57,0)*'01_Input'!$Q$57))+IF('01_Input'!$T$57="Forfait",IF(F$20&gt;='01_Input'!$R$57,'01_Input'!$U$57,0),IF('01_Input'!$T$57="Palier",IF(AND(F$20&gt;='01_Input'!$R$57,F$20&lt;'01_Input'!$S$57),'01_Input'!$U$57,0),MAX(MIN(F$20,'01_Input'!$S$57)-'01_Input'!$R$57,0)*'01_Input'!$U$57))+IF('01_Input'!$X$57="Forfait",IF(F$20&gt;='01_Input'!$V$57,'01_Input'!$Y$57,0),IF('01_Input'!$X$57="Palier",IF(AND(F$20&gt;='01_Input'!$V$57,F$20&lt;'01_Input'!$W$57),'01_Input'!$Y$57,0),MAX(MIN(F$20,'01_Input'!$W$57)-'01_Input'!$V$57,0)*'01_Input'!$Y$57))+IF('01_Input'!$AB$57="Forfait",IF(F$20&gt;='01_Input'!$Z$57,'01_Input'!$AC$57,0),IF('01_Input'!$AB$57="Palier",IF(AND(F$20&gt;='01_Input'!$Z$57,F$20&lt;'01_Input'!$AA$57),'01_Input'!$AC$57,0),MAX(MIN(F$20,'01_Input'!$AA$57)-'01_Input'!$Z$57,0)*'01_Input'!$AC$57)))))))))</f>
        <v>12000</v>
      </c>
      <c r="G25" s="25">
        <f>IF('01_Input'!$C$57="Non",0,MIN('01_Input'!$I$57,MAX('01_Input'!$H$57,IF('01_Input'!$G$57="Résiduel vs Gestion",0,IF('01_Input'!$G$57="Taux Classe sélectionnée",Distrib_Global_Classe_Selectionnee*G$20,IF('01_Input'!$G$57="Frais KYC (paliers de 100M€)",MAX(0,Nb_Investisseurs-Nb_KYC_Gratuites_Par_Tranche*(FLOOR(G$20/Taille_Tranche_KYC,1)+1))*Cout_Par_KYC_Supplementaire,(IF('01_Input'!$L$57="Forfait",IF(G$20&gt;='01_Input'!$J$57,'01_Input'!$M$57,0),IF('01_Input'!$L$57="Palier",IF(AND(G$20&gt;='01_Input'!$J$57,G$20&lt;'01_Input'!$K$57),'01_Input'!$M$57,0),MAX(MIN(G$20,'01_Input'!$K$57)-'01_Input'!$J$57,0)*'01_Input'!$M$57))+IF('01_Input'!$P$57="Forfait",IF(G$20&gt;='01_Input'!$N$57,'01_Input'!$Q$57,0),IF('01_Input'!$P$57="Palier",IF(AND(G$20&gt;='01_Input'!$N$57,G$20&lt;'01_Input'!$O$57),'01_Input'!$Q$57,0),MAX(MIN(G$20,'01_Input'!$O$57)-'01_Input'!$N$57,0)*'01_Input'!$Q$57))+IF('01_Input'!$T$57="Forfait",IF(G$20&gt;='01_Input'!$R$57,'01_Input'!$U$57,0),IF('01_Input'!$T$57="Palier",IF(AND(G$20&gt;='01_Input'!$R$57,G$20&lt;'01_Input'!$S$57),'01_Input'!$U$57,0),MAX(MIN(G$20,'01_Input'!$S$57)-'01_Input'!$R$57,0)*'01_Input'!$U$57))+IF('01_Input'!$X$57="Forfait",IF(G$20&gt;='01_Input'!$V$57,'01_Input'!$Y$57,0),IF('01_Input'!$X$57="Palier",IF(AND(G$20&gt;='01_Input'!$V$57,G$20&lt;'01_Input'!$W$57),'01_Input'!$Y$57,0),MAX(MIN(G$20,'01_Input'!$W$57)-'01_Input'!$V$57,0)*'01_Input'!$Y$57))+IF('01_Input'!$AB$57="Forfait",IF(G$20&gt;='01_Input'!$Z$57,'01_Input'!$AC$57,0),IF('01_Input'!$AB$57="Palier",IF(AND(G$20&gt;='01_Input'!$Z$57,G$20&lt;'01_Input'!$AA$57),'01_Input'!$AC$57,0),MAX(MIN(G$20,'01_Input'!$AA$57)-'01_Input'!$Z$57,0)*'01_Input'!$AC$57)))))))))</f>
        <v>12000</v>
      </c>
      <c r="H25" s="25">
        <f>IF('01_Input'!$C$57="Non",0,MIN('01_Input'!$I$57,MAX('01_Input'!$H$57,IF('01_Input'!$G$57="Résiduel vs Gestion",0,IF('01_Input'!$G$57="Taux Classe sélectionnée",Distrib_Global_Classe_Selectionnee*H$20,IF('01_Input'!$G$57="Frais KYC (paliers de 100M€)",MAX(0,Nb_Investisseurs-Nb_KYC_Gratuites_Par_Tranche*(FLOOR(H$20/Taille_Tranche_KYC,1)+1))*Cout_Par_KYC_Supplementaire,(IF('01_Input'!$L$57="Forfait",IF(H$20&gt;='01_Input'!$J$57,'01_Input'!$M$57,0),IF('01_Input'!$L$57="Palier",IF(AND(H$20&gt;='01_Input'!$J$57,H$20&lt;'01_Input'!$K$57),'01_Input'!$M$57,0),MAX(MIN(H$20,'01_Input'!$K$57)-'01_Input'!$J$57,0)*'01_Input'!$M$57))+IF('01_Input'!$P$57="Forfait",IF(H$20&gt;='01_Input'!$N$57,'01_Input'!$Q$57,0),IF('01_Input'!$P$57="Palier",IF(AND(H$20&gt;='01_Input'!$N$57,H$20&lt;'01_Input'!$O$57),'01_Input'!$Q$57,0),MAX(MIN(H$20,'01_Input'!$O$57)-'01_Input'!$N$57,0)*'01_Input'!$Q$57))+IF('01_Input'!$T$57="Forfait",IF(H$20&gt;='01_Input'!$R$57,'01_Input'!$U$57,0),IF('01_Input'!$T$57="Palier",IF(AND(H$20&gt;='01_Input'!$R$57,H$20&lt;'01_Input'!$S$57),'01_Input'!$U$57,0),MAX(MIN(H$20,'01_Input'!$S$57)-'01_Input'!$R$57,0)*'01_Input'!$U$57))+IF('01_Input'!$X$57="Forfait",IF(H$20&gt;='01_Input'!$V$57,'01_Input'!$Y$57,0),IF('01_Input'!$X$57="Palier",IF(AND(H$20&gt;='01_Input'!$V$57,H$20&lt;'01_Input'!$W$57),'01_Input'!$Y$57,0),MAX(MIN(H$20,'01_Input'!$W$57)-'01_Input'!$V$57,0)*'01_Input'!$Y$57))+IF('01_Input'!$AB$57="Forfait",IF(H$20&gt;='01_Input'!$Z$57,'01_Input'!$AC$57,0),IF('01_Input'!$AB$57="Palier",IF(AND(H$20&gt;='01_Input'!$Z$57,H$20&lt;'01_Input'!$AA$57),'01_Input'!$AC$57,0),MAX(MIN(H$20,'01_Input'!$AA$57)-'01_Input'!$Z$57,0)*'01_Input'!$AC$57)))))))))</f>
        <v>12000</v>
      </c>
      <c r="I25" s="25">
        <f>IF('01_Input'!$C$57="Non",0,MIN('01_Input'!$I$57,MAX('01_Input'!$H$57,IF('01_Input'!$G$57="Résiduel vs Gestion",0,IF('01_Input'!$G$57="Taux Classe sélectionnée",Distrib_Global_Classe_Selectionnee*I$20,IF('01_Input'!$G$57="Frais KYC (paliers de 100M€)",MAX(0,Nb_Investisseurs-Nb_KYC_Gratuites_Par_Tranche*(FLOOR(I$20/Taille_Tranche_KYC,1)+1))*Cout_Par_KYC_Supplementaire,(IF('01_Input'!$L$57="Forfait",IF(I$20&gt;='01_Input'!$J$57,'01_Input'!$M$57,0),IF('01_Input'!$L$57="Palier",IF(AND(I$20&gt;='01_Input'!$J$57,I$20&lt;'01_Input'!$K$57),'01_Input'!$M$57,0),MAX(MIN(I$20,'01_Input'!$K$57)-'01_Input'!$J$57,0)*'01_Input'!$M$57))+IF('01_Input'!$P$57="Forfait",IF(I$20&gt;='01_Input'!$N$57,'01_Input'!$Q$57,0),IF('01_Input'!$P$57="Palier",IF(AND(I$20&gt;='01_Input'!$N$57,I$20&lt;'01_Input'!$O$57),'01_Input'!$Q$57,0),MAX(MIN(I$20,'01_Input'!$O$57)-'01_Input'!$N$57,0)*'01_Input'!$Q$57))+IF('01_Input'!$T$57="Forfait",IF(I$20&gt;='01_Input'!$R$57,'01_Input'!$U$57,0),IF('01_Input'!$T$57="Palier",IF(AND(I$20&gt;='01_Input'!$R$57,I$20&lt;'01_Input'!$S$57),'01_Input'!$U$57,0),MAX(MIN(I$20,'01_Input'!$S$57)-'01_Input'!$R$57,0)*'01_Input'!$U$57))+IF('01_Input'!$X$57="Forfait",IF(I$20&gt;='01_Input'!$V$57,'01_Input'!$Y$57,0),IF('01_Input'!$X$57="Palier",IF(AND(I$20&gt;='01_Input'!$V$57,I$20&lt;'01_Input'!$W$57),'01_Input'!$Y$57,0),MAX(MIN(I$20,'01_Input'!$W$57)-'01_Input'!$V$57,0)*'01_Input'!$Y$57))+IF('01_Input'!$AB$57="Forfait",IF(I$20&gt;='01_Input'!$Z$57,'01_Input'!$AC$57,0),IF('01_Input'!$AB$57="Palier",IF(AND(I$20&gt;='01_Input'!$Z$57,I$20&lt;'01_Input'!$AA$57),'01_Input'!$AC$57,0),MAX(MIN(I$20,'01_Input'!$AA$57)-'01_Input'!$Z$57,0)*'01_Input'!$AC$57)))))))))</f>
        <v>12000</v>
      </c>
      <c r="J25" s="25">
        <f>IF('01_Input'!$C$57="Non",0,MIN('01_Input'!$I$57,MAX('01_Input'!$H$57,IF('01_Input'!$G$57="Résiduel vs Gestion",0,IF('01_Input'!$G$57="Taux Classe sélectionnée",Distrib_Global_Classe_Selectionnee*J$20,IF('01_Input'!$G$57="Frais KYC (paliers de 100M€)",MAX(0,Nb_Investisseurs-Nb_KYC_Gratuites_Par_Tranche*(FLOOR(J$20/Taille_Tranche_KYC,1)+1))*Cout_Par_KYC_Supplementaire,(IF('01_Input'!$L$57="Forfait",IF(J$20&gt;='01_Input'!$J$57,'01_Input'!$M$57,0),IF('01_Input'!$L$57="Palier",IF(AND(J$20&gt;='01_Input'!$J$57,J$20&lt;'01_Input'!$K$57),'01_Input'!$M$57,0),MAX(MIN(J$20,'01_Input'!$K$57)-'01_Input'!$J$57,0)*'01_Input'!$M$57))+IF('01_Input'!$P$57="Forfait",IF(J$20&gt;='01_Input'!$N$57,'01_Input'!$Q$57,0),IF('01_Input'!$P$57="Palier",IF(AND(J$20&gt;='01_Input'!$N$57,J$20&lt;'01_Input'!$O$57),'01_Input'!$Q$57,0),MAX(MIN(J$20,'01_Input'!$O$57)-'01_Input'!$N$57,0)*'01_Input'!$Q$57))+IF('01_Input'!$T$57="Forfait",IF(J$20&gt;='01_Input'!$R$57,'01_Input'!$U$57,0),IF('01_Input'!$T$57="Palier",IF(AND(J$20&gt;='01_Input'!$R$57,J$20&lt;'01_Input'!$S$57),'01_Input'!$U$57,0),MAX(MIN(J$20,'01_Input'!$S$57)-'01_Input'!$R$57,0)*'01_Input'!$U$57))+IF('01_Input'!$X$57="Forfait",IF(J$20&gt;='01_Input'!$V$57,'01_Input'!$Y$57,0),IF('01_Input'!$X$57="Palier",IF(AND(J$20&gt;='01_Input'!$V$57,J$20&lt;'01_Input'!$W$57),'01_Input'!$Y$57,0),MAX(MIN(J$20,'01_Input'!$W$57)-'01_Input'!$V$57,0)*'01_Input'!$Y$57))+IF('01_Input'!$AB$57="Forfait",IF(J$20&gt;='01_Input'!$Z$57,'01_Input'!$AC$57,0),IF('01_Input'!$AB$57="Palier",IF(AND(J$20&gt;='01_Input'!$Z$57,J$20&lt;'01_Input'!$AA$57),'01_Input'!$AC$57,0),MAX(MIN(J$20,'01_Input'!$AA$57)-'01_Input'!$Z$57,0)*'01_Input'!$AC$57)))))))))</f>
        <v>12000</v>
      </c>
      <c r="K25" s="25">
        <f>IF('01_Input'!$C$57="Non",0,MIN('01_Input'!$I$57,MAX('01_Input'!$H$57,IF('01_Input'!$G$57="Résiduel vs Gestion",0,IF('01_Input'!$G$57="Taux Classe sélectionnée",Distrib_Global_Classe_Selectionnee*K$20,IF('01_Input'!$G$57="Frais KYC (paliers de 100M€)",MAX(0,Nb_Investisseurs-Nb_KYC_Gratuites_Par_Tranche*(FLOOR(K$20/Taille_Tranche_KYC,1)+1))*Cout_Par_KYC_Supplementaire,(IF('01_Input'!$L$57="Forfait",IF(K$20&gt;='01_Input'!$J$57,'01_Input'!$M$57,0),IF('01_Input'!$L$57="Palier",IF(AND(K$20&gt;='01_Input'!$J$57,K$20&lt;'01_Input'!$K$57),'01_Input'!$M$57,0),MAX(MIN(K$20,'01_Input'!$K$57)-'01_Input'!$J$57,0)*'01_Input'!$M$57))+IF('01_Input'!$P$57="Forfait",IF(K$20&gt;='01_Input'!$N$57,'01_Input'!$Q$57,0),IF('01_Input'!$P$57="Palier",IF(AND(K$20&gt;='01_Input'!$N$57,K$20&lt;'01_Input'!$O$57),'01_Input'!$Q$57,0),MAX(MIN(K$20,'01_Input'!$O$57)-'01_Input'!$N$57,0)*'01_Input'!$Q$57))+IF('01_Input'!$T$57="Forfait",IF(K$20&gt;='01_Input'!$R$57,'01_Input'!$U$57,0),IF('01_Input'!$T$57="Palier",IF(AND(K$20&gt;='01_Input'!$R$57,K$20&lt;'01_Input'!$S$57),'01_Input'!$U$57,0),MAX(MIN(K$20,'01_Input'!$S$57)-'01_Input'!$R$57,0)*'01_Input'!$U$57))+IF('01_Input'!$X$57="Forfait",IF(K$20&gt;='01_Input'!$V$57,'01_Input'!$Y$57,0),IF('01_Input'!$X$57="Palier",IF(AND(K$20&gt;='01_Input'!$V$57,K$20&lt;'01_Input'!$W$57),'01_Input'!$Y$57,0),MAX(MIN(K$20,'01_Input'!$W$57)-'01_Input'!$V$57,0)*'01_Input'!$Y$57))+IF('01_Input'!$AB$57="Forfait",IF(K$20&gt;='01_Input'!$Z$57,'01_Input'!$AC$57,0),IF('01_Input'!$AB$57="Palier",IF(AND(K$20&gt;='01_Input'!$Z$57,K$20&lt;'01_Input'!$AA$57),'01_Input'!$AC$57,0),MAX(MIN(K$20,'01_Input'!$AA$57)-'01_Input'!$Z$57,0)*'01_Input'!$AC$57)))))))))</f>
        <v>12000</v>
      </c>
      <c r="L25" s="25">
        <f>IF('01_Input'!$C$57="Non",0,MIN('01_Input'!$I$57,MAX('01_Input'!$H$57,IF('01_Input'!$G$57="Résiduel vs Gestion",0,IF('01_Input'!$G$57="Taux Classe sélectionnée",Distrib_Global_Classe_Selectionnee*L$20,IF('01_Input'!$G$57="Frais KYC (paliers de 100M€)",MAX(0,Nb_Investisseurs-Nb_KYC_Gratuites_Par_Tranche*(FLOOR(L$20/Taille_Tranche_KYC,1)+1))*Cout_Par_KYC_Supplementaire,(IF('01_Input'!$L$57="Forfait",IF(L$20&gt;='01_Input'!$J$57,'01_Input'!$M$57,0),IF('01_Input'!$L$57="Palier",IF(AND(L$20&gt;='01_Input'!$J$57,L$20&lt;'01_Input'!$K$57),'01_Input'!$M$57,0),MAX(MIN(L$20,'01_Input'!$K$57)-'01_Input'!$J$57,0)*'01_Input'!$M$57))+IF('01_Input'!$P$57="Forfait",IF(L$20&gt;='01_Input'!$N$57,'01_Input'!$Q$57,0),IF('01_Input'!$P$57="Palier",IF(AND(L$20&gt;='01_Input'!$N$57,L$20&lt;'01_Input'!$O$57),'01_Input'!$Q$57,0),MAX(MIN(L$20,'01_Input'!$O$57)-'01_Input'!$N$57,0)*'01_Input'!$Q$57))+IF('01_Input'!$T$57="Forfait",IF(L$20&gt;='01_Input'!$R$57,'01_Input'!$U$57,0),IF('01_Input'!$T$57="Palier",IF(AND(L$20&gt;='01_Input'!$R$57,L$20&lt;'01_Input'!$S$57),'01_Input'!$U$57,0),MAX(MIN(L$20,'01_Input'!$S$57)-'01_Input'!$R$57,0)*'01_Input'!$U$57))+IF('01_Input'!$X$57="Forfait",IF(L$20&gt;='01_Input'!$V$57,'01_Input'!$Y$57,0),IF('01_Input'!$X$57="Palier",IF(AND(L$20&gt;='01_Input'!$V$57,L$20&lt;'01_Input'!$W$57),'01_Input'!$Y$57,0),MAX(MIN(L$20,'01_Input'!$W$57)-'01_Input'!$V$57,0)*'01_Input'!$Y$57))+IF('01_Input'!$AB$57="Forfait",IF(L$20&gt;='01_Input'!$Z$57,'01_Input'!$AC$57,0),IF('01_Input'!$AB$57="Palier",IF(AND(L$20&gt;='01_Input'!$Z$57,L$20&lt;'01_Input'!$AA$57),'01_Input'!$AC$57,0),MAX(MIN(L$20,'01_Input'!$AA$57)-'01_Input'!$Z$57,0)*'01_Input'!$AC$57)))))))))</f>
        <v>12000</v>
      </c>
      <c r="M25" s="25">
        <f>IF('01_Input'!$C$57="Non",0,MIN('01_Input'!$I$57,MAX('01_Input'!$H$57,IF('01_Input'!$G$57="Résiduel vs Gestion",0,IF('01_Input'!$G$57="Taux Classe sélectionnée",Distrib_Global_Classe_Selectionnee*M$20,IF('01_Input'!$G$57="Frais KYC (paliers de 100M€)",MAX(0,Nb_Investisseurs-Nb_KYC_Gratuites_Par_Tranche*(FLOOR(M$20/Taille_Tranche_KYC,1)+1))*Cout_Par_KYC_Supplementaire,(IF('01_Input'!$L$57="Forfait",IF(M$20&gt;='01_Input'!$J$57,'01_Input'!$M$57,0),IF('01_Input'!$L$57="Palier",IF(AND(M$20&gt;='01_Input'!$J$57,M$20&lt;'01_Input'!$K$57),'01_Input'!$M$57,0),MAX(MIN(M$20,'01_Input'!$K$57)-'01_Input'!$J$57,0)*'01_Input'!$M$57))+IF('01_Input'!$P$57="Forfait",IF(M$20&gt;='01_Input'!$N$57,'01_Input'!$Q$57,0),IF('01_Input'!$P$57="Palier",IF(AND(M$20&gt;='01_Input'!$N$57,M$20&lt;'01_Input'!$O$57),'01_Input'!$Q$57,0),MAX(MIN(M$20,'01_Input'!$O$57)-'01_Input'!$N$57,0)*'01_Input'!$Q$57))+IF('01_Input'!$T$57="Forfait",IF(M$20&gt;='01_Input'!$R$57,'01_Input'!$U$57,0),IF('01_Input'!$T$57="Palier",IF(AND(M$20&gt;='01_Input'!$R$57,M$20&lt;'01_Input'!$S$57),'01_Input'!$U$57,0),MAX(MIN(M$20,'01_Input'!$S$57)-'01_Input'!$R$57,0)*'01_Input'!$U$57))+IF('01_Input'!$X$57="Forfait",IF(M$20&gt;='01_Input'!$V$57,'01_Input'!$Y$57,0),IF('01_Input'!$X$57="Palier",IF(AND(M$20&gt;='01_Input'!$V$57,M$20&lt;'01_Input'!$W$57),'01_Input'!$Y$57,0),MAX(MIN(M$20,'01_Input'!$W$57)-'01_Input'!$V$57,0)*'01_Input'!$Y$57))+IF('01_Input'!$AB$57="Forfait",IF(M$20&gt;='01_Input'!$Z$57,'01_Input'!$AC$57,0),IF('01_Input'!$AB$57="Palier",IF(AND(M$20&gt;='01_Input'!$Z$57,M$20&lt;'01_Input'!$AA$57),'01_Input'!$AC$57,0),MAX(MIN(M$20,'01_Input'!$AA$57)-'01_Input'!$Z$57,0)*'01_Input'!$AC$57)))))))))</f>
        <v>13500</v>
      </c>
      <c r="N25" s="25">
        <f>IF('01_Input'!$C$57="Non",0,MIN('01_Input'!$I$57,MAX('01_Input'!$H$57,IF('01_Input'!$G$57="Résiduel vs Gestion",0,IF('01_Input'!$G$57="Taux Classe sélectionnée",Distrib_Global_Classe_Selectionnee*N$20,IF('01_Input'!$G$57="Frais KYC (paliers de 100M€)",MAX(0,Nb_Investisseurs-Nb_KYC_Gratuites_Par_Tranche*(FLOOR(N$20/Taille_Tranche_KYC,1)+1))*Cout_Par_KYC_Supplementaire,(IF('01_Input'!$L$57="Forfait",IF(N$20&gt;='01_Input'!$J$57,'01_Input'!$M$57,0),IF('01_Input'!$L$57="Palier",IF(AND(N$20&gt;='01_Input'!$J$57,N$20&lt;'01_Input'!$K$57),'01_Input'!$M$57,0),MAX(MIN(N$20,'01_Input'!$K$57)-'01_Input'!$J$57,0)*'01_Input'!$M$57))+IF('01_Input'!$P$57="Forfait",IF(N$20&gt;='01_Input'!$N$57,'01_Input'!$Q$57,0),IF('01_Input'!$P$57="Palier",IF(AND(N$20&gt;='01_Input'!$N$57,N$20&lt;'01_Input'!$O$57),'01_Input'!$Q$57,0),MAX(MIN(N$20,'01_Input'!$O$57)-'01_Input'!$N$57,0)*'01_Input'!$Q$57))+IF('01_Input'!$T$57="Forfait",IF(N$20&gt;='01_Input'!$R$57,'01_Input'!$U$57,0),IF('01_Input'!$T$57="Palier",IF(AND(N$20&gt;='01_Input'!$R$57,N$20&lt;'01_Input'!$S$57),'01_Input'!$U$57,0),MAX(MIN(N$20,'01_Input'!$S$57)-'01_Input'!$R$57,0)*'01_Input'!$U$57))+IF('01_Input'!$X$57="Forfait",IF(N$20&gt;='01_Input'!$V$57,'01_Input'!$Y$57,0),IF('01_Input'!$X$57="Palier",IF(AND(N$20&gt;='01_Input'!$V$57,N$20&lt;'01_Input'!$W$57),'01_Input'!$Y$57,0),MAX(MIN(N$20,'01_Input'!$W$57)-'01_Input'!$V$57,0)*'01_Input'!$Y$57))+IF('01_Input'!$AB$57="Forfait",IF(N$20&gt;='01_Input'!$Z$57,'01_Input'!$AC$57,0),IF('01_Input'!$AB$57="Palier",IF(AND(N$20&gt;='01_Input'!$Z$57,N$20&lt;'01_Input'!$AA$57),'01_Input'!$AC$57,0),MAX(MIN(N$20,'01_Input'!$AA$57)-'01_Input'!$Z$57,0)*'01_Input'!$AC$57)))))))))</f>
        <v>15000</v>
      </c>
      <c r="O25" s="25">
        <f>IF('01_Input'!$C$57="Non",0,MIN('01_Input'!$I$57,MAX('01_Input'!$H$57,IF('01_Input'!$G$57="Résiduel vs Gestion",0,IF('01_Input'!$G$57="Taux Classe sélectionnée",Distrib_Global_Classe_Selectionnee*O$20,IF('01_Input'!$G$57="Frais KYC (paliers de 100M€)",MAX(0,Nb_Investisseurs-Nb_KYC_Gratuites_Par_Tranche*(FLOOR(O$20/Taille_Tranche_KYC,1)+1))*Cout_Par_KYC_Supplementaire,(IF('01_Input'!$L$57="Forfait",IF(O$20&gt;='01_Input'!$J$57,'01_Input'!$M$57,0),IF('01_Input'!$L$57="Palier",IF(AND(O$20&gt;='01_Input'!$J$57,O$20&lt;'01_Input'!$K$57),'01_Input'!$M$57,0),MAX(MIN(O$20,'01_Input'!$K$57)-'01_Input'!$J$57,0)*'01_Input'!$M$57))+IF('01_Input'!$P$57="Forfait",IF(O$20&gt;='01_Input'!$N$57,'01_Input'!$Q$57,0),IF('01_Input'!$P$57="Palier",IF(AND(O$20&gt;='01_Input'!$N$57,O$20&lt;'01_Input'!$O$57),'01_Input'!$Q$57,0),MAX(MIN(O$20,'01_Input'!$O$57)-'01_Input'!$N$57,0)*'01_Input'!$Q$57))+IF('01_Input'!$T$57="Forfait",IF(O$20&gt;='01_Input'!$R$57,'01_Input'!$U$57,0),IF('01_Input'!$T$57="Palier",IF(AND(O$20&gt;='01_Input'!$R$57,O$20&lt;'01_Input'!$S$57),'01_Input'!$U$57,0),MAX(MIN(O$20,'01_Input'!$S$57)-'01_Input'!$R$57,0)*'01_Input'!$U$57))+IF('01_Input'!$X$57="Forfait",IF(O$20&gt;='01_Input'!$V$57,'01_Input'!$Y$57,0),IF('01_Input'!$X$57="Palier",IF(AND(O$20&gt;='01_Input'!$V$57,O$20&lt;'01_Input'!$W$57),'01_Input'!$Y$57,0),MAX(MIN(O$20,'01_Input'!$W$57)-'01_Input'!$V$57,0)*'01_Input'!$Y$57))+IF('01_Input'!$AB$57="Forfait",IF(O$20&gt;='01_Input'!$Z$57,'01_Input'!$AC$57,0),IF('01_Input'!$AB$57="Palier",IF(AND(O$20&gt;='01_Input'!$Z$57,O$20&lt;'01_Input'!$AA$57),'01_Input'!$AC$57,0),MAX(MIN(O$20,'01_Input'!$AA$57)-'01_Input'!$Z$57,0)*'01_Input'!$AC$57)))))))))</f>
        <v>50000</v>
      </c>
      <c r="P25" s="25">
        <f>IF('01_Input'!$C$57="Non",0,MIN('01_Input'!$I$57,MAX('01_Input'!$H$57,IF('01_Input'!$G$57="Résiduel vs Gestion",0,IF('01_Input'!$G$57="Taux Classe sélectionnée",Distrib_Global_Classe_Selectionnee*P$20,IF('01_Input'!$G$57="Frais KYC (paliers de 100M€)",MAX(0,Nb_Investisseurs-Nb_KYC_Gratuites_Par_Tranche*(FLOOR(P$20/Taille_Tranche_KYC,1)+1))*Cout_Par_KYC_Supplementaire,(IF('01_Input'!$L$57="Forfait",IF(P$20&gt;='01_Input'!$J$57,'01_Input'!$M$57,0),IF('01_Input'!$L$57="Palier",IF(AND(P$20&gt;='01_Input'!$J$57,P$20&lt;'01_Input'!$K$57),'01_Input'!$M$57,0),MAX(MIN(P$20,'01_Input'!$K$57)-'01_Input'!$J$57,0)*'01_Input'!$M$57))+IF('01_Input'!$P$57="Forfait",IF(P$20&gt;='01_Input'!$N$57,'01_Input'!$Q$57,0),IF('01_Input'!$P$57="Palier",IF(AND(P$20&gt;='01_Input'!$N$57,P$20&lt;'01_Input'!$O$57),'01_Input'!$Q$57,0),MAX(MIN(P$20,'01_Input'!$O$57)-'01_Input'!$N$57,0)*'01_Input'!$Q$57))+IF('01_Input'!$T$57="Forfait",IF(P$20&gt;='01_Input'!$R$57,'01_Input'!$U$57,0),IF('01_Input'!$T$57="Palier",IF(AND(P$20&gt;='01_Input'!$R$57,P$20&lt;'01_Input'!$S$57),'01_Input'!$U$57,0),MAX(MIN(P$20,'01_Input'!$S$57)-'01_Input'!$R$57,0)*'01_Input'!$U$57))+IF('01_Input'!$X$57="Forfait",IF(P$20&gt;='01_Input'!$V$57,'01_Input'!$Y$57,0),IF('01_Input'!$X$57="Palier",IF(AND(P$20&gt;='01_Input'!$V$57,P$20&lt;'01_Input'!$W$57),'01_Input'!$Y$57,0),MAX(MIN(P$20,'01_Input'!$W$57)-'01_Input'!$V$57,0)*'01_Input'!$Y$57))+IF('01_Input'!$AB$57="Forfait",IF(P$20&gt;='01_Input'!$Z$57,'01_Input'!$AC$57,0),IF('01_Input'!$AB$57="Palier",IF(AND(P$20&gt;='01_Input'!$Z$57,P$20&lt;'01_Input'!$AA$57),'01_Input'!$AC$57,0),MAX(MIN(P$20,'01_Input'!$AA$57)-'01_Input'!$Z$57,0)*'01_Input'!$AC$57)))))))))</f>
        <v>50000</v>
      </c>
      <c r="Q25" s="25">
        <f>IF('01_Input'!$C$57="Non",0,MIN('01_Input'!$I$57,MAX('01_Input'!$H$57,IF('01_Input'!$G$57="Résiduel vs Gestion",0,IF('01_Input'!$G$57="Taux Classe sélectionnée",Distrib_Global_Classe_Selectionnee*Q$20,IF('01_Input'!$G$57="Frais KYC (paliers de 100M€)",MAX(0,Nb_Investisseurs-Nb_KYC_Gratuites_Par_Tranche*(FLOOR(Q$20/Taille_Tranche_KYC,1)+1))*Cout_Par_KYC_Supplementaire,(IF('01_Input'!$L$57="Forfait",IF(Q$20&gt;='01_Input'!$J$57,'01_Input'!$M$57,0),IF('01_Input'!$L$57="Palier",IF(AND(Q$20&gt;='01_Input'!$J$57,Q$20&lt;'01_Input'!$K$57),'01_Input'!$M$57,0),MAX(MIN(Q$20,'01_Input'!$K$57)-'01_Input'!$J$57,0)*'01_Input'!$M$57))+IF('01_Input'!$P$57="Forfait",IF(Q$20&gt;='01_Input'!$N$57,'01_Input'!$Q$57,0),IF('01_Input'!$P$57="Palier",IF(AND(Q$20&gt;='01_Input'!$N$57,Q$20&lt;'01_Input'!$O$57),'01_Input'!$Q$57,0),MAX(MIN(Q$20,'01_Input'!$O$57)-'01_Input'!$N$57,0)*'01_Input'!$Q$57))+IF('01_Input'!$T$57="Forfait",IF(Q$20&gt;='01_Input'!$R$57,'01_Input'!$U$57,0),IF('01_Input'!$T$57="Palier",IF(AND(Q$20&gt;='01_Input'!$R$57,Q$20&lt;'01_Input'!$S$57),'01_Input'!$U$57,0),MAX(MIN(Q$20,'01_Input'!$S$57)-'01_Input'!$R$57,0)*'01_Input'!$U$57))+IF('01_Input'!$X$57="Forfait",IF(Q$20&gt;='01_Input'!$V$57,'01_Input'!$Y$57,0),IF('01_Input'!$X$57="Palier",IF(AND(Q$20&gt;='01_Input'!$V$57,Q$20&lt;'01_Input'!$W$57),'01_Input'!$Y$57,0),MAX(MIN(Q$20,'01_Input'!$W$57)-'01_Input'!$V$57,0)*'01_Input'!$Y$57))+IF('01_Input'!$AB$57="Forfait",IF(Q$20&gt;='01_Input'!$Z$57,'01_Input'!$AC$57,0),IF('01_Input'!$AB$57="Palier",IF(AND(Q$20&gt;='01_Input'!$Z$57,Q$20&lt;'01_Input'!$AA$57),'01_Input'!$AC$57,0),MAX(MIN(Q$20,'01_Input'!$AA$57)-'01_Input'!$Z$57,0)*'01_Input'!$AC$57)))))))))</f>
        <v>50000</v>
      </c>
      <c r="R25" s="25">
        <f>IF('01_Input'!$C$57="Non",0,MIN('01_Input'!$I$57,MAX('01_Input'!$H$57,IF('01_Input'!$G$57="Résiduel vs Gestion",0,IF('01_Input'!$G$57="Taux Classe sélectionnée",Distrib_Global_Classe_Selectionnee*R$20,IF('01_Input'!$G$57="Frais KYC (paliers de 100M€)",MAX(0,Nb_Investisseurs-Nb_KYC_Gratuites_Par_Tranche*(FLOOR(R$20/Taille_Tranche_KYC,1)+1))*Cout_Par_KYC_Supplementaire,(IF('01_Input'!$L$57="Forfait",IF(R$20&gt;='01_Input'!$J$57,'01_Input'!$M$57,0),IF('01_Input'!$L$57="Palier",IF(AND(R$20&gt;='01_Input'!$J$57,R$20&lt;'01_Input'!$K$57),'01_Input'!$M$57,0),MAX(MIN(R$20,'01_Input'!$K$57)-'01_Input'!$J$57,0)*'01_Input'!$M$57))+IF('01_Input'!$P$57="Forfait",IF(R$20&gt;='01_Input'!$N$57,'01_Input'!$Q$57,0),IF('01_Input'!$P$57="Palier",IF(AND(R$20&gt;='01_Input'!$N$57,R$20&lt;'01_Input'!$O$57),'01_Input'!$Q$57,0),MAX(MIN(R$20,'01_Input'!$O$57)-'01_Input'!$N$57,0)*'01_Input'!$Q$57))+IF('01_Input'!$T$57="Forfait",IF(R$20&gt;='01_Input'!$R$57,'01_Input'!$U$57,0),IF('01_Input'!$T$57="Palier",IF(AND(R$20&gt;='01_Input'!$R$57,R$20&lt;'01_Input'!$S$57),'01_Input'!$U$57,0),MAX(MIN(R$20,'01_Input'!$S$57)-'01_Input'!$R$57,0)*'01_Input'!$U$57))+IF('01_Input'!$X$57="Forfait",IF(R$20&gt;='01_Input'!$V$57,'01_Input'!$Y$57,0),IF('01_Input'!$X$57="Palier",IF(AND(R$20&gt;='01_Input'!$V$57,R$20&lt;'01_Input'!$W$57),'01_Input'!$Y$57,0),MAX(MIN(R$20,'01_Input'!$W$57)-'01_Input'!$V$57,0)*'01_Input'!$Y$57))+IF('01_Input'!$AB$57="Forfait",IF(R$20&gt;='01_Input'!$Z$57,'01_Input'!$AC$57,0),IF('01_Input'!$AB$57="Palier",IF(AND(R$20&gt;='01_Input'!$Z$57,R$20&lt;'01_Input'!$AA$57),'01_Input'!$AC$57,0),MAX(MIN(R$20,'01_Input'!$AA$57)-'01_Input'!$Z$57,0)*'01_Input'!$AC$57)))))))))</f>
        <v>50000</v>
      </c>
      <c r="S25" s="25">
        <f>IF('01_Input'!$C$57="Non",0,MIN('01_Input'!$I$57,MAX('01_Input'!$H$57,IF('01_Input'!$G$57="Résiduel vs Gestion",0,IF('01_Input'!$G$57="Taux Classe sélectionnée",Distrib_Global_Classe_Selectionnee*S$20,IF('01_Input'!$G$57="Frais KYC (paliers de 100M€)",MAX(0,Nb_Investisseurs-Nb_KYC_Gratuites_Par_Tranche*(FLOOR(S$20/Taille_Tranche_KYC,1)+1))*Cout_Par_KYC_Supplementaire,(IF('01_Input'!$L$57="Forfait",IF(S$20&gt;='01_Input'!$J$57,'01_Input'!$M$57,0),IF('01_Input'!$L$57="Palier",IF(AND(S$20&gt;='01_Input'!$J$57,S$20&lt;'01_Input'!$K$57),'01_Input'!$M$57,0),MAX(MIN(S$20,'01_Input'!$K$57)-'01_Input'!$J$57,0)*'01_Input'!$M$57))+IF('01_Input'!$P$57="Forfait",IF(S$20&gt;='01_Input'!$N$57,'01_Input'!$Q$57,0),IF('01_Input'!$P$57="Palier",IF(AND(S$20&gt;='01_Input'!$N$57,S$20&lt;'01_Input'!$O$57),'01_Input'!$Q$57,0),MAX(MIN(S$20,'01_Input'!$O$57)-'01_Input'!$N$57,0)*'01_Input'!$Q$57))+IF('01_Input'!$T$57="Forfait",IF(S$20&gt;='01_Input'!$R$57,'01_Input'!$U$57,0),IF('01_Input'!$T$57="Palier",IF(AND(S$20&gt;='01_Input'!$R$57,S$20&lt;'01_Input'!$S$57),'01_Input'!$U$57,0),MAX(MIN(S$20,'01_Input'!$S$57)-'01_Input'!$R$57,0)*'01_Input'!$U$57))+IF('01_Input'!$X$57="Forfait",IF(S$20&gt;='01_Input'!$V$57,'01_Input'!$Y$57,0),IF('01_Input'!$X$57="Palier",IF(AND(S$20&gt;='01_Input'!$V$57,S$20&lt;'01_Input'!$W$57),'01_Input'!$Y$57,0),MAX(MIN(S$20,'01_Input'!$W$57)-'01_Input'!$V$57,0)*'01_Input'!$Y$57))+IF('01_Input'!$AB$57="Forfait",IF(S$20&gt;='01_Input'!$Z$57,'01_Input'!$AC$57,0),IF('01_Input'!$AB$57="Palier",IF(AND(S$20&gt;='01_Input'!$Z$57,S$20&lt;'01_Input'!$AA$57),'01_Input'!$AC$57,0),MAX(MIN(S$20,'01_Input'!$AA$57)-'01_Input'!$Z$57,0)*'01_Input'!$AC$57)))))))))</f>
        <v>50000</v>
      </c>
      <c r="T25" s="25">
        <f>IF('01_Input'!$C$57="Non",0,MIN('01_Input'!$I$57,MAX('01_Input'!$H$57,IF('01_Input'!$G$57="Résiduel vs Gestion",0,IF('01_Input'!$G$57="Taux Classe sélectionnée",Distrib_Global_Classe_Selectionnee*T$20,IF('01_Input'!$G$57="Frais KYC (paliers de 100M€)",MAX(0,Nb_Investisseurs-Nb_KYC_Gratuites_Par_Tranche*(FLOOR(T$20/Taille_Tranche_KYC,1)+1))*Cout_Par_KYC_Supplementaire,(IF('01_Input'!$L$57="Forfait",IF(T$20&gt;='01_Input'!$J$57,'01_Input'!$M$57,0),IF('01_Input'!$L$57="Palier",IF(AND(T$20&gt;='01_Input'!$J$57,T$20&lt;'01_Input'!$K$57),'01_Input'!$M$57,0),MAX(MIN(T$20,'01_Input'!$K$57)-'01_Input'!$J$57,0)*'01_Input'!$M$57))+IF('01_Input'!$P$57="Forfait",IF(T$20&gt;='01_Input'!$N$57,'01_Input'!$Q$57,0),IF('01_Input'!$P$57="Palier",IF(AND(T$20&gt;='01_Input'!$N$57,T$20&lt;'01_Input'!$O$57),'01_Input'!$Q$57,0),MAX(MIN(T$20,'01_Input'!$O$57)-'01_Input'!$N$57,0)*'01_Input'!$Q$57))+IF('01_Input'!$T$57="Forfait",IF(T$20&gt;='01_Input'!$R$57,'01_Input'!$U$57,0),IF('01_Input'!$T$57="Palier",IF(AND(T$20&gt;='01_Input'!$R$57,T$20&lt;'01_Input'!$S$57),'01_Input'!$U$57,0),MAX(MIN(T$20,'01_Input'!$S$57)-'01_Input'!$R$57,0)*'01_Input'!$U$57))+IF('01_Input'!$X$57="Forfait",IF(T$20&gt;='01_Input'!$V$57,'01_Input'!$Y$57,0),IF('01_Input'!$X$57="Palier",IF(AND(T$20&gt;='01_Input'!$V$57,T$20&lt;'01_Input'!$W$57),'01_Input'!$Y$57,0),MAX(MIN(T$20,'01_Input'!$W$57)-'01_Input'!$V$57,0)*'01_Input'!$Y$57))+IF('01_Input'!$AB$57="Forfait",IF(T$20&gt;='01_Input'!$Z$57,'01_Input'!$AC$57,0),IF('01_Input'!$AB$57="Palier",IF(AND(T$20&gt;='01_Input'!$Z$57,T$20&lt;'01_Input'!$AA$57),'01_Input'!$AC$57,0),MAX(MIN(T$20,'01_Input'!$AA$57)-'01_Input'!$Z$57,0)*'01_Input'!$AC$57)))))))))</f>
        <v>50000</v>
      </c>
      <c r="U25" s="25">
        <f>IF('01_Input'!$C$57="Non",0,MIN('01_Input'!$I$57,MAX('01_Input'!$H$57,IF('01_Input'!$G$57="Résiduel vs Gestion",0,IF('01_Input'!$G$57="Taux Classe sélectionnée",Distrib_Global_Classe_Selectionnee*U$20,IF('01_Input'!$G$57="Frais KYC (paliers de 100M€)",MAX(0,Nb_Investisseurs-Nb_KYC_Gratuites_Par_Tranche*(FLOOR(U$20/Taille_Tranche_KYC,1)+1))*Cout_Par_KYC_Supplementaire,(IF('01_Input'!$L$57="Forfait",IF(U$20&gt;='01_Input'!$J$57,'01_Input'!$M$57,0),IF('01_Input'!$L$57="Palier",IF(AND(U$20&gt;='01_Input'!$J$57,U$20&lt;'01_Input'!$K$57),'01_Input'!$M$57,0),MAX(MIN(U$20,'01_Input'!$K$57)-'01_Input'!$J$57,0)*'01_Input'!$M$57))+IF('01_Input'!$P$57="Forfait",IF(U$20&gt;='01_Input'!$N$57,'01_Input'!$Q$57,0),IF('01_Input'!$P$57="Palier",IF(AND(U$20&gt;='01_Input'!$N$57,U$20&lt;'01_Input'!$O$57),'01_Input'!$Q$57,0),MAX(MIN(U$20,'01_Input'!$O$57)-'01_Input'!$N$57,0)*'01_Input'!$Q$57))+IF('01_Input'!$T$57="Forfait",IF(U$20&gt;='01_Input'!$R$57,'01_Input'!$U$57,0),IF('01_Input'!$T$57="Palier",IF(AND(U$20&gt;='01_Input'!$R$57,U$20&lt;'01_Input'!$S$57),'01_Input'!$U$57,0),MAX(MIN(U$20,'01_Input'!$S$57)-'01_Input'!$R$57,0)*'01_Input'!$U$57))+IF('01_Input'!$X$57="Forfait",IF(U$20&gt;='01_Input'!$V$57,'01_Input'!$Y$57,0),IF('01_Input'!$X$57="Palier",IF(AND(U$20&gt;='01_Input'!$V$57,U$20&lt;'01_Input'!$W$57),'01_Input'!$Y$57,0),MAX(MIN(U$20,'01_Input'!$W$57)-'01_Input'!$V$57,0)*'01_Input'!$Y$57))+IF('01_Input'!$AB$57="Forfait",IF(U$20&gt;='01_Input'!$Z$57,'01_Input'!$AC$57,0),IF('01_Input'!$AB$57="Palier",IF(AND(U$20&gt;='01_Input'!$Z$57,U$20&lt;'01_Input'!$AA$57),'01_Input'!$AC$57,0),MAX(MIN(U$20,'01_Input'!$AA$57)-'01_Input'!$Z$57,0)*'01_Input'!$AC$57)))))))))</f>
        <v>50000</v>
      </c>
      <c r="V25" s="25">
        <f>IF('01_Input'!$C$57="Non",0,MIN('01_Input'!$I$57,MAX('01_Input'!$H$57,IF('01_Input'!$G$57="Résiduel vs Gestion",0,IF('01_Input'!$G$57="Taux Classe sélectionnée",Distrib_Global_Classe_Selectionnee*V$20,IF('01_Input'!$G$57="Frais KYC (paliers de 100M€)",MAX(0,Nb_Investisseurs-Nb_KYC_Gratuites_Par_Tranche*(FLOOR(V$20/Taille_Tranche_KYC,1)+1))*Cout_Par_KYC_Supplementaire,(IF('01_Input'!$L$57="Forfait",IF(V$20&gt;='01_Input'!$J$57,'01_Input'!$M$57,0),IF('01_Input'!$L$57="Palier",IF(AND(V$20&gt;='01_Input'!$J$57,V$20&lt;'01_Input'!$K$57),'01_Input'!$M$57,0),MAX(MIN(V$20,'01_Input'!$K$57)-'01_Input'!$J$57,0)*'01_Input'!$M$57))+IF('01_Input'!$P$57="Forfait",IF(V$20&gt;='01_Input'!$N$57,'01_Input'!$Q$57,0),IF('01_Input'!$P$57="Palier",IF(AND(V$20&gt;='01_Input'!$N$57,V$20&lt;'01_Input'!$O$57),'01_Input'!$Q$57,0),MAX(MIN(V$20,'01_Input'!$O$57)-'01_Input'!$N$57,0)*'01_Input'!$Q$57))+IF('01_Input'!$T$57="Forfait",IF(V$20&gt;='01_Input'!$R$57,'01_Input'!$U$57,0),IF('01_Input'!$T$57="Palier",IF(AND(V$20&gt;='01_Input'!$R$57,V$20&lt;'01_Input'!$S$57),'01_Input'!$U$57,0),MAX(MIN(V$20,'01_Input'!$S$57)-'01_Input'!$R$57,0)*'01_Input'!$U$57))+IF('01_Input'!$X$57="Forfait",IF(V$20&gt;='01_Input'!$V$57,'01_Input'!$Y$57,0),IF('01_Input'!$X$57="Palier",IF(AND(V$20&gt;='01_Input'!$V$57,V$20&lt;'01_Input'!$W$57),'01_Input'!$Y$57,0),MAX(MIN(V$20,'01_Input'!$W$57)-'01_Input'!$V$57,0)*'01_Input'!$Y$57))+IF('01_Input'!$AB$57="Forfait",IF(V$20&gt;='01_Input'!$Z$57,'01_Input'!$AC$57,0),IF('01_Input'!$AB$57="Palier",IF(AND(V$20&gt;='01_Input'!$Z$57,V$20&lt;'01_Input'!$AA$57),'01_Input'!$AC$57,0),MAX(MIN(V$20,'01_Input'!$AA$57)-'01_Input'!$Z$57,0)*'01_Input'!$AC$57)))))))))</f>
        <v>50000</v>
      </c>
      <c r="W25" s="25">
        <f>IF('01_Input'!$C$57="Non",0,MIN('01_Input'!$I$57,MAX('01_Input'!$H$57,IF('01_Input'!$G$57="Résiduel vs Gestion",0,IF('01_Input'!$G$57="Taux Classe sélectionnée",Distrib_Global_Classe_Selectionnee*W$20,IF('01_Input'!$G$57="Frais KYC (paliers de 100M€)",MAX(0,Nb_Investisseurs-Nb_KYC_Gratuites_Par_Tranche*(FLOOR(W$20/Taille_Tranche_KYC,1)+1))*Cout_Par_KYC_Supplementaire,(IF('01_Input'!$L$57="Forfait",IF(W$20&gt;='01_Input'!$J$57,'01_Input'!$M$57,0),IF('01_Input'!$L$57="Palier",IF(AND(W$20&gt;='01_Input'!$J$57,W$20&lt;'01_Input'!$K$57),'01_Input'!$M$57,0),MAX(MIN(W$20,'01_Input'!$K$57)-'01_Input'!$J$57,0)*'01_Input'!$M$57))+IF('01_Input'!$P$57="Forfait",IF(W$20&gt;='01_Input'!$N$57,'01_Input'!$Q$57,0),IF('01_Input'!$P$57="Palier",IF(AND(W$20&gt;='01_Input'!$N$57,W$20&lt;'01_Input'!$O$57),'01_Input'!$Q$57,0),MAX(MIN(W$20,'01_Input'!$O$57)-'01_Input'!$N$57,0)*'01_Input'!$Q$57))+IF('01_Input'!$T$57="Forfait",IF(W$20&gt;='01_Input'!$R$57,'01_Input'!$U$57,0),IF('01_Input'!$T$57="Palier",IF(AND(W$20&gt;='01_Input'!$R$57,W$20&lt;'01_Input'!$S$57),'01_Input'!$U$57,0),MAX(MIN(W$20,'01_Input'!$S$57)-'01_Input'!$R$57,0)*'01_Input'!$U$57))+IF('01_Input'!$X$57="Forfait",IF(W$20&gt;='01_Input'!$V$57,'01_Input'!$Y$57,0),IF('01_Input'!$X$57="Palier",IF(AND(W$20&gt;='01_Input'!$V$57,W$20&lt;'01_Input'!$W$57),'01_Input'!$Y$57,0),MAX(MIN(W$20,'01_Input'!$W$57)-'01_Input'!$V$57,0)*'01_Input'!$Y$57))+IF('01_Input'!$AB$57="Forfait",IF(W$20&gt;='01_Input'!$Z$57,'01_Input'!$AC$57,0),IF('01_Input'!$AB$57="Palier",IF(AND(W$20&gt;='01_Input'!$Z$57,W$20&lt;'01_Input'!$AA$57),'01_Input'!$AC$57,0),MAX(MIN(W$20,'01_Input'!$AA$57)-'01_Input'!$Z$57,0)*'01_Input'!$AC$57)))))))))</f>
        <v>50000</v>
      </c>
      <c r="X25" s="25">
        <f>IF('01_Input'!$C$57="Non",0,MIN('01_Input'!$I$57,MAX('01_Input'!$H$57,IF('01_Input'!$G$57="Résiduel vs Gestion",0,IF('01_Input'!$G$57="Taux Classe sélectionnée",Distrib_Global_Classe_Selectionnee*X$20,IF('01_Input'!$G$57="Frais KYC (paliers de 100M€)",MAX(0,Nb_Investisseurs-Nb_KYC_Gratuites_Par_Tranche*(FLOOR(X$20/Taille_Tranche_KYC,1)+1))*Cout_Par_KYC_Supplementaire,(IF('01_Input'!$L$57="Forfait",IF(X$20&gt;='01_Input'!$J$57,'01_Input'!$M$57,0),IF('01_Input'!$L$57="Palier",IF(AND(X$20&gt;='01_Input'!$J$57,X$20&lt;'01_Input'!$K$57),'01_Input'!$M$57,0),MAX(MIN(X$20,'01_Input'!$K$57)-'01_Input'!$J$57,0)*'01_Input'!$M$57))+IF('01_Input'!$P$57="Forfait",IF(X$20&gt;='01_Input'!$N$57,'01_Input'!$Q$57,0),IF('01_Input'!$P$57="Palier",IF(AND(X$20&gt;='01_Input'!$N$57,X$20&lt;'01_Input'!$O$57),'01_Input'!$Q$57,0),MAX(MIN(X$20,'01_Input'!$O$57)-'01_Input'!$N$57,0)*'01_Input'!$Q$57))+IF('01_Input'!$T$57="Forfait",IF(X$20&gt;='01_Input'!$R$57,'01_Input'!$U$57,0),IF('01_Input'!$T$57="Palier",IF(AND(X$20&gt;='01_Input'!$R$57,X$20&lt;'01_Input'!$S$57),'01_Input'!$U$57,0),MAX(MIN(X$20,'01_Input'!$S$57)-'01_Input'!$R$57,0)*'01_Input'!$U$57))+IF('01_Input'!$X$57="Forfait",IF(X$20&gt;='01_Input'!$V$57,'01_Input'!$Y$57,0),IF('01_Input'!$X$57="Palier",IF(AND(X$20&gt;='01_Input'!$V$57,X$20&lt;'01_Input'!$W$57),'01_Input'!$Y$57,0),MAX(MIN(X$20,'01_Input'!$W$57)-'01_Input'!$V$57,0)*'01_Input'!$Y$57))+IF('01_Input'!$AB$57="Forfait",IF(X$20&gt;='01_Input'!$Z$57,'01_Input'!$AC$57,0),IF('01_Input'!$AB$57="Palier",IF(AND(X$20&gt;='01_Input'!$Z$57,X$20&lt;'01_Input'!$AA$57),'01_Input'!$AC$57,0),MAX(MIN(X$20,'01_Input'!$AA$57)-'01_Input'!$Z$57,0)*'01_Input'!$AC$57)))))))))</f>
        <v>50000</v>
      </c>
      <c r="Y25" s="25">
        <f>IF('01_Input'!$C$57="Non",0,MIN('01_Input'!$I$57,MAX('01_Input'!$H$57,IF('01_Input'!$G$57="Résiduel vs Gestion",0,IF('01_Input'!$G$57="Taux Classe sélectionnée",Distrib_Global_Classe_Selectionnee*Y$20,IF('01_Input'!$G$57="Frais KYC (paliers de 100M€)",MAX(0,Nb_Investisseurs-Nb_KYC_Gratuites_Par_Tranche*(FLOOR(Y$20/Taille_Tranche_KYC,1)+1))*Cout_Par_KYC_Supplementaire,(IF('01_Input'!$L$57="Forfait",IF(Y$20&gt;='01_Input'!$J$57,'01_Input'!$M$57,0),IF('01_Input'!$L$57="Palier",IF(AND(Y$20&gt;='01_Input'!$J$57,Y$20&lt;'01_Input'!$K$57),'01_Input'!$M$57,0),MAX(MIN(Y$20,'01_Input'!$K$57)-'01_Input'!$J$57,0)*'01_Input'!$M$57))+IF('01_Input'!$P$57="Forfait",IF(Y$20&gt;='01_Input'!$N$57,'01_Input'!$Q$57,0),IF('01_Input'!$P$57="Palier",IF(AND(Y$20&gt;='01_Input'!$N$57,Y$20&lt;'01_Input'!$O$57),'01_Input'!$Q$57,0),MAX(MIN(Y$20,'01_Input'!$O$57)-'01_Input'!$N$57,0)*'01_Input'!$Q$57))+IF('01_Input'!$T$57="Forfait",IF(Y$20&gt;='01_Input'!$R$57,'01_Input'!$U$57,0),IF('01_Input'!$T$57="Palier",IF(AND(Y$20&gt;='01_Input'!$R$57,Y$20&lt;'01_Input'!$S$57),'01_Input'!$U$57,0),MAX(MIN(Y$20,'01_Input'!$S$57)-'01_Input'!$R$57,0)*'01_Input'!$U$57))+IF('01_Input'!$X$57="Forfait",IF(Y$20&gt;='01_Input'!$V$57,'01_Input'!$Y$57,0),IF('01_Input'!$X$57="Palier",IF(AND(Y$20&gt;='01_Input'!$V$57,Y$20&lt;'01_Input'!$W$57),'01_Input'!$Y$57,0),MAX(MIN(Y$20,'01_Input'!$W$57)-'01_Input'!$V$57,0)*'01_Input'!$Y$57))+IF('01_Input'!$AB$57="Forfait",IF(Y$20&gt;='01_Input'!$Z$57,'01_Input'!$AC$57,0),IF('01_Input'!$AB$57="Palier",IF(AND(Y$20&gt;='01_Input'!$Z$57,Y$20&lt;'01_Input'!$AA$57),'01_Input'!$AC$57,0),MAX(MIN(Y$20,'01_Input'!$AA$57)-'01_Input'!$Z$57,0)*'01_Input'!$AC$57)))))))))</f>
        <v>50000</v>
      </c>
      <c r="Z25" s="25">
        <f>IF('01_Input'!$C$57="Non",0,MIN('01_Input'!$I$57,MAX('01_Input'!$H$57,IF('01_Input'!$G$57="Résiduel vs Gestion",0,IF('01_Input'!$G$57="Taux Classe sélectionnée",Distrib_Global_Classe_Selectionnee*Z$20,IF('01_Input'!$G$57="Frais KYC (paliers de 100M€)",MAX(0,Nb_Investisseurs-Nb_KYC_Gratuites_Par_Tranche*(FLOOR(Z$20/Taille_Tranche_KYC,1)+1))*Cout_Par_KYC_Supplementaire,(IF('01_Input'!$L$57="Forfait",IF(Z$20&gt;='01_Input'!$J$57,'01_Input'!$M$57,0),IF('01_Input'!$L$57="Palier",IF(AND(Z$20&gt;='01_Input'!$J$57,Z$20&lt;'01_Input'!$K$57),'01_Input'!$M$57,0),MAX(MIN(Z$20,'01_Input'!$K$57)-'01_Input'!$J$57,0)*'01_Input'!$M$57))+IF('01_Input'!$P$57="Forfait",IF(Z$20&gt;='01_Input'!$N$57,'01_Input'!$Q$57,0),IF('01_Input'!$P$57="Palier",IF(AND(Z$20&gt;='01_Input'!$N$57,Z$20&lt;'01_Input'!$O$57),'01_Input'!$Q$57,0),MAX(MIN(Z$20,'01_Input'!$O$57)-'01_Input'!$N$57,0)*'01_Input'!$Q$57))+IF('01_Input'!$T$57="Forfait",IF(Z$20&gt;='01_Input'!$R$57,'01_Input'!$U$57,0),IF('01_Input'!$T$57="Palier",IF(AND(Z$20&gt;='01_Input'!$R$57,Z$20&lt;'01_Input'!$S$57),'01_Input'!$U$57,0),MAX(MIN(Z$20,'01_Input'!$S$57)-'01_Input'!$R$57,0)*'01_Input'!$U$57))+IF('01_Input'!$X$57="Forfait",IF(Z$20&gt;='01_Input'!$V$57,'01_Input'!$Y$57,0),IF('01_Input'!$X$57="Palier",IF(AND(Z$20&gt;='01_Input'!$V$57,Z$20&lt;'01_Input'!$W$57),'01_Input'!$Y$57,0),MAX(MIN(Z$20,'01_Input'!$W$57)-'01_Input'!$V$57,0)*'01_Input'!$Y$57))+IF('01_Input'!$AB$57="Forfait",IF(Z$20&gt;='01_Input'!$Z$57,'01_Input'!$AC$57,0),IF('01_Input'!$AB$57="Palier",IF(AND(Z$20&gt;='01_Input'!$Z$57,Z$20&lt;'01_Input'!$AA$57),'01_Input'!$AC$57,0),MAX(MIN(Z$20,'01_Input'!$AA$57)-'01_Input'!$Z$57,0)*'01_Input'!$AC$57)))))))))</f>
        <v>50000</v>
      </c>
      <c r="AA25" s="25">
        <f>IF('01_Input'!$C$57="Non",0,MIN('01_Input'!$I$57,MAX('01_Input'!$H$57,IF('01_Input'!$G$57="Résiduel vs Gestion",0,IF('01_Input'!$G$57="Taux Classe sélectionnée",Distrib_Global_Classe_Selectionnee*AA$20,IF('01_Input'!$G$57="Frais KYC (paliers de 100M€)",MAX(0,Nb_Investisseurs-Nb_KYC_Gratuites_Par_Tranche*(FLOOR(AA$20/Taille_Tranche_KYC,1)+1))*Cout_Par_KYC_Supplementaire,(IF('01_Input'!$L$57="Forfait",IF(AA$20&gt;='01_Input'!$J$57,'01_Input'!$M$57,0),IF('01_Input'!$L$57="Palier",IF(AND(AA$20&gt;='01_Input'!$J$57,AA$20&lt;'01_Input'!$K$57),'01_Input'!$M$57,0),MAX(MIN(AA$20,'01_Input'!$K$57)-'01_Input'!$J$57,0)*'01_Input'!$M$57))+IF('01_Input'!$P$57="Forfait",IF(AA$20&gt;='01_Input'!$N$57,'01_Input'!$Q$57,0),IF('01_Input'!$P$57="Palier",IF(AND(AA$20&gt;='01_Input'!$N$57,AA$20&lt;'01_Input'!$O$57),'01_Input'!$Q$57,0),MAX(MIN(AA$20,'01_Input'!$O$57)-'01_Input'!$N$57,0)*'01_Input'!$Q$57))+IF('01_Input'!$T$57="Forfait",IF(AA$20&gt;='01_Input'!$R$57,'01_Input'!$U$57,0),IF('01_Input'!$T$57="Palier",IF(AND(AA$20&gt;='01_Input'!$R$57,AA$20&lt;'01_Input'!$S$57),'01_Input'!$U$57,0),MAX(MIN(AA$20,'01_Input'!$S$57)-'01_Input'!$R$57,0)*'01_Input'!$U$57))+IF('01_Input'!$X$57="Forfait",IF(AA$20&gt;='01_Input'!$V$57,'01_Input'!$Y$57,0),IF('01_Input'!$X$57="Palier",IF(AND(AA$20&gt;='01_Input'!$V$57,AA$20&lt;'01_Input'!$W$57),'01_Input'!$Y$57,0),MAX(MIN(AA$20,'01_Input'!$W$57)-'01_Input'!$V$57,0)*'01_Input'!$Y$57))+IF('01_Input'!$AB$57="Forfait",IF(AA$20&gt;='01_Input'!$Z$57,'01_Input'!$AC$57,0),IF('01_Input'!$AB$57="Palier",IF(AND(AA$20&gt;='01_Input'!$Z$57,AA$20&lt;'01_Input'!$AA$57),'01_Input'!$AC$57,0),MAX(MIN(AA$20,'01_Input'!$AA$57)-'01_Input'!$Z$57,0)*'01_Input'!$AC$57)))))))))</f>
        <v>50000</v>
      </c>
      <c r="AB25" s="25">
        <f>IF('01_Input'!$C$57="Non",0,MIN('01_Input'!$I$57,MAX('01_Input'!$H$57,IF('01_Input'!$G$57="Résiduel vs Gestion",0,IF('01_Input'!$G$57="Taux Classe sélectionnée",Distrib_Global_Classe_Selectionnee*AB$20,IF('01_Input'!$G$57="Frais KYC (paliers de 100M€)",MAX(0,Nb_Investisseurs-Nb_KYC_Gratuites_Par_Tranche*(FLOOR(AB$20/Taille_Tranche_KYC,1)+1))*Cout_Par_KYC_Supplementaire,(IF('01_Input'!$L$57="Forfait",IF(AB$20&gt;='01_Input'!$J$57,'01_Input'!$M$57,0),IF('01_Input'!$L$57="Palier",IF(AND(AB$20&gt;='01_Input'!$J$57,AB$20&lt;'01_Input'!$K$57),'01_Input'!$M$57,0),MAX(MIN(AB$20,'01_Input'!$K$57)-'01_Input'!$J$57,0)*'01_Input'!$M$57))+IF('01_Input'!$P$57="Forfait",IF(AB$20&gt;='01_Input'!$N$57,'01_Input'!$Q$57,0),IF('01_Input'!$P$57="Palier",IF(AND(AB$20&gt;='01_Input'!$N$57,AB$20&lt;'01_Input'!$O$57),'01_Input'!$Q$57,0),MAX(MIN(AB$20,'01_Input'!$O$57)-'01_Input'!$N$57,0)*'01_Input'!$Q$57))+IF('01_Input'!$T$57="Forfait",IF(AB$20&gt;='01_Input'!$R$57,'01_Input'!$U$57,0),IF('01_Input'!$T$57="Palier",IF(AND(AB$20&gt;='01_Input'!$R$57,AB$20&lt;'01_Input'!$S$57),'01_Input'!$U$57,0),MAX(MIN(AB$20,'01_Input'!$S$57)-'01_Input'!$R$57,0)*'01_Input'!$U$57))+IF('01_Input'!$X$57="Forfait",IF(AB$20&gt;='01_Input'!$V$57,'01_Input'!$Y$57,0),IF('01_Input'!$X$57="Palier",IF(AND(AB$20&gt;='01_Input'!$V$57,AB$20&lt;'01_Input'!$W$57),'01_Input'!$Y$57,0),MAX(MIN(AB$20,'01_Input'!$W$57)-'01_Input'!$V$57,0)*'01_Input'!$Y$57))+IF('01_Input'!$AB$57="Forfait",IF(AB$20&gt;='01_Input'!$Z$57,'01_Input'!$AC$57,0),IF('01_Input'!$AB$57="Palier",IF(AND(AB$20&gt;='01_Input'!$Z$57,AB$20&lt;'01_Input'!$AA$57),'01_Input'!$AC$57,0),MAX(MIN(AB$20,'01_Input'!$AA$57)-'01_Input'!$Z$57,0)*'01_Input'!$AC$57)))))))))</f>
        <v>50000</v>
      </c>
      <c r="AC25" s="25">
        <f>IF('01_Input'!$C$57="Non",0,MIN('01_Input'!$I$57,MAX('01_Input'!$H$57,IF('01_Input'!$G$57="Résiduel vs Gestion",0,IF('01_Input'!$G$57="Taux Classe sélectionnée",Distrib_Global_Classe_Selectionnee*AC$20,IF('01_Input'!$G$57="Frais KYC (paliers de 100M€)",MAX(0,Nb_Investisseurs-Nb_KYC_Gratuites_Par_Tranche*(FLOOR(AC$20/Taille_Tranche_KYC,1)+1))*Cout_Par_KYC_Supplementaire,(IF('01_Input'!$L$57="Forfait",IF(AC$20&gt;='01_Input'!$J$57,'01_Input'!$M$57,0),IF('01_Input'!$L$57="Palier",IF(AND(AC$20&gt;='01_Input'!$J$57,AC$20&lt;'01_Input'!$K$57),'01_Input'!$M$57,0),MAX(MIN(AC$20,'01_Input'!$K$57)-'01_Input'!$J$57,0)*'01_Input'!$M$57))+IF('01_Input'!$P$57="Forfait",IF(AC$20&gt;='01_Input'!$N$57,'01_Input'!$Q$57,0),IF('01_Input'!$P$57="Palier",IF(AND(AC$20&gt;='01_Input'!$N$57,AC$20&lt;'01_Input'!$O$57),'01_Input'!$Q$57,0),MAX(MIN(AC$20,'01_Input'!$O$57)-'01_Input'!$N$57,0)*'01_Input'!$Q$57))+IF('01_Input'!$T$57="Forfait",IF(AC$20&gt;='01_Input'!$R$57,'01_Input'!$U$57,0),IF('01_Input'!$T$57="Palier",IF(AND(AC$20&gt;='01_Input'!$R$57,AC$20&lt;'01_Input'!$S$57),'01_Input'!$U$57,0),MAX(MIN(AC$20,'01_Input'!$S$57)-'01_Input'!$R$57,0)*'01_Input'!$U$57))+IF('01_Input'!$X$57="Forfait",IF(AC$20&gt;='01_Input'!$V$57,'01_Input'!$Y$57,0),IF('01_Input'!$X$57="Palier",IF(AND(AC$20&gt;='01_Input'!$V$57,AC$20&lt;'01_Input'!$W$57),'01_Input'!$Y$57,0),MAX(MIN(AC$20,'01_Input'!$W$57)-'01_Input'!$V$57,0)*'01_Input'!$Y$57))+IF('01_Input'!$AB$57="Forfait",IF(AC$20&gt;='01_Input'!$Z$57,'01_Input'!$AC$57,0),IF('01_Input'!$AB$57="Palier",IF(AND(AC$20&gt;='01_Input'!$Z$57,AC$20&lt;'01_Input'!$AA$57),'01_Input'!$AC$57,0),MAX(MIN(AC$20,'01_Input'!$AA$57)-'01_Input'!$Z$57,0)*'01_Input'!$AC$57)))))))))</f>
        <v>50000</v>
      </c>
      <c r="AD25" s="25">
        <f>IF('01_Input'!$C$57="Non",0,MIN('01_Input'!$I$57,MAX('01_Input'!$H$57,IF('01_Input'!$G$57="Résiduel vs Gestion",0,IF('01_Input'!$G$57="Taux Classe sélectionnée",Distrib_Global_Classe_Selectionnee*AD$20,IF('01_Input'!$G$57="Frais KYC (paliers de 100M€)",MAX(0,Nb_Investisseurs-Nb_KYC_Gratuites_Par_Tranche*(FLOOR(AD$20/Taille_Tranche_KYC,1)+1))*Cout_Par_KYC_Supplementaire,(IF('01_Input'!$L$57="Forfait",IF(AD$20&gt;='01_Input'!$J$57,'01_Input'!$M$57,0),IF('01_Input'!$L$57="Palier",IF(AND(AD$20&gt;='01_Input'!$J$57,AD$20&lt;'01_Input'!$K$57),'01_Input'!$M$57,0),MAX(MIN(AD$20,'01_Input'!$K$57)-'01_Input'!$J$57,0)*'01_Input'!$M$57))+IF('01_Input'!$P$57="Forfait",IF(AD$20&gt;='01_Input'!$N$57,'01_Input'!$Q$57,0),IF('01_Input'!$P$57="Palier",IF(AND(AD$20&gt;='01_Input'!$N$57,AD$20&lt;'01_Input'!$O$57),'01_Input'!$Q$57,0),MAX(MIN(AD$20,'01_Input'!$O$57)-'01_Input'!$N$57,0)*'01_Input'!$Q$57))+IF('01_Input'!$T$57="Forfait",IF(AD$20&gt;='01_Input'!$R$57,'01_Input'!$U$57,0),IF('01_Input'!$T$57="Palier",IF(AND(AD$20&gt;='01_Input'!$R$57,AD$20&lt;'01_Input'!$S$57),'01_Input'!$U$57,0),MAX(MIN(AD$20,'01_Input'!$S$57)-'01_Input'!$R$57,0)*'01_Input'!$U$57))+IF('01_Input'!$X$57="Forfait",IF(AD$20&gt;='01_Input'!$V$57,'01_Input'!$Y$57,0),IF('01_Input'!$X$57="Palier",IF(AND(AD$20&gt;='01_Input'!$V$57,AD$20&lt;'01_Input'!$W$57),'01_Input'!$Y$57,0),MAX(MIN(AD$20,'01_Input'!$W$57)-'01_Input'!$V$57,0)*'01_Input'!$Y$57))+IF('01_Input'!$AB$57="Forfait",IF(AD$20&gt;='01_Input'!$Z$57,'01_Input'!$AC$57,0),IF('01_Input'!$AB$57="Palier",IF(AND(AD$20&gt;='01_Input'!$Z$57,AD$20&lt;'01_Input'!$AA$57),'01_Input'!$AC$57,0),MAX(MIN(AD$20,'01_Input'!$AA$57)-'01_Input'!$Z$57,0)*'01_Input'!$AC$57)))))))))</f>
        <v>50000</v>
      </c>
      <c r="AE25" s="25">
        <f>IF('01_Input'!$C$57="Non",0,MIN('01_Input'!$I$57,MAX('01_Input'!$H$57,IF('01_Input'!$G$57="Résiduel vs Gestion",0,IF('01_Input'!$G$57="Taux Classe sélectionnée",Distrib_Global_Classe_Selectionnee*AE$20,IF('01_Input'!$G$57="Frais KYC (paliers de 100M€)",MAX(0,Nb_Investisseurs-Nb_KYC_Gratuites_Par_Tranche*(FLOOR(AE$20/Taille_Tranche_KYC,1)+1))*Cout_Par_KYC_Supplementaire,(IF('01_Input'!$L$57="Forfait",IF(AE$20&gt;='01_Input'!$J$57,'01_Input'!$M$57,0),IF('01_Input'!$L$57="Palier",IF(AND(AE$20&gt;='01_Input'!$J$57,AE$20&lt;'01_Input'!$K$57),'01_Input'!$M$57,0),MAX(MIN(AE$20,'01_Input'!$K$57)-'01_Input'!$J$57,0)*'01_Input'!$M$57))+IF('01_Input'!$P$57="Forfait",IF(AE$20&gt;='01_Input'!$N$57,'01_Input'!$Q$57,0),IF('01_Input'!$P$57="Palier",IF(AND(AE$20&gt;='01_Input'!$N$57,AE$20&lt;'01_Input'!$O$57),'01_Input'!$Q$57,0),MAX(MIN(AE$20,'01_Input'!$O$57)-'01_Input'!$N$57,0)*'01_Input'!$Q$57))+IF('01_Input'!$T$57="Forfait",IF(AE$20&gt;='01_Input'!$R$57,'01_Input'!$U$57,0),IF('01_Input'!$T$57="Palier",IF(AND(AE$20&gt;='01_Input'!$R$57,AE$20&lt;'01_Input'!$S$57),'01_Input'!$U$57,0),MAX(MIN(AE$20,'01_Input'!$S$57)-'01_Input'!$R$57,0)*'01_Input'!$U$57))+IF('01_Input'!$X$57="Forfait",IF(AE$20&gt;='01_Input'!$V$57,'01_Input'!$Y$57,0),IF('01_Input'!$X$57="Palier",IF(AND(AE$20&gt;='01_Input'!$V$57,AE$20&lt;'01_Input'!$W$57),'01_Input'!$Y$57,0),MAX(MIN(AE$20,'01_Input'!$W$57)-'01_Input'!$V$57,0)*'01_Input'!$Y$57))+IF('01_Input'!$AB$57="Forfait",IF(AE$20&gt;='01_Input'!$Z$57,'01_Input'!$AC$57,0),IF('01_Input'!$AB$57="Palier",IF(AND(AE$20&gt;='01_Input'!$Z$57,AE$20&lt;'01_Input'!$AA$57),'01_Input'!$AC$57,0),MAX(MIN(AE$20,'01_Input'!$AA$57)-'01_Input'!$Z$57,0)*'01_Input'!$AC$57)))))))))</f>
        <v>50000</v>
      </c>
      <c r="AF25" s="25">
        <f>IF('01_Input'!$C$57="Non",0,MIN('01_Input'!$I$57,MAX('01_Input'!$H$57,IF('01_Input'!$G$57="Résiduel vs Gestion",0,IF('01_Input'!$G$57="Taux Classe sélectionnée",Distrib_Global_Classe_Selectionnee*AF$20,IF('01_Input'!$G$57="Frais KYC (paliers de 100M€)",MAX(0,Nb_Investisseurs-Nb_KYC_Gratuites_Par_Tranche*(FLOOR(AF$20/Taille_Tranche_KYC,1)+1))*Cout_Par_KYC_Supplementaire,(IF('01_Input'!$L$57="Forfait",IF(AF$20&gt;='01_Input'!$J$57,'01_Input'!$M$57,0),IF('01_Input'!$L$57="Palier",IF(AND(AF$20&gt;='01_Input'!$J$57,AF$20&lt;'01_Input'!$K$57),'01_Input'!$M$57,0),MAX(MIN(AF$20,'01_Input'!$K$57)-'01_Input'!$J$57,0)*'01_Input'!$M$57))+IF('01_Input'!$P$57="Forfait",IF(AF$20&gt;='01_Input'!$N$57,'01_Input'!$Q$57,0),IF('01_Input'!$P$57="Palier",IF(AND(AF$20&gt;='01_Input'!$N$57,AF$20&lt;'01_Input'!$O$57),'01_Input'!$Q$57,0),MAX(MIN(AF$20,'01_Input'!$O$57)-'01_Input'!$N$57,0)*'01_Input'!$Q$57))+IF('01_Input'!$T$57="Forfait",IF(AF$20&gt;='01_Input'!$R$57,'01_Input'!$U$57,0),IF('01_Input'!$T$57="Palier",IF(AND(AF$20&gt;='01_Input'!$R$57,AF$20&lt;'01_Input'!$S$57),'01_Input'!$U$57,0),MAX(MIN(AF$20,'01_Input'!$S$57)-'01_Input'!$R$57,0)*'01_Input'!$U$57))+IF('01_Input'!$X$57="Forfait",IF(AF$20&gt;='01_Input'!$V$57,'01_Input'!$Y$57,0),IF('01_Input'!$X$57="Palier",IF(AND(AF$20&gt;='01_Input'!$V$57,AF$20&lt;'01_Input'!$W$57),'01_Input'!$Y$57,0),MAX(MIN(AF$20,'01_Input'!$W$57)-'01_Input'!$V$57,0)*'01_Input'!$Y$57))+IF('01_Input'!$AB$57="Forfait",IF(AF$20&gt;='01_Input'!$Z$57,'01_Input'!$AC$57,0),IF('01_Input'!$AB$57="Palier",IF(AND(AF$20&gt;='01_Input'!$Z$57,AF$20&lt;'01_Input'!$AA$57),'01_Input'!$AC$57,0),MAX(MIN(AF$20,'01_Input'!$AA$57)-'01_Input'!$Z$57,0)*'01_Input'!$AC$57)))))))))</f>
        <v>50000</v>
      </c>
      <c r="AG25" s="25">
        <f>IF('01_Input'!$C$57="Non",0,MIN('01_Input'!$I$57,MAX('01_Input'!$H$57,IF('01_Input'!$G$57="Résiduel vs Gestion",0,IF('01_Input'!$G$57="Taux Classe sélectionnée",Distrib_Global_Classe_Selectionnee*AG$20,IF('01_Input'!$G$57="Frais KYC (paliers de 100M€)",MAX(0,Nb_Investisseurs-Nb_KYC_Gratuites_Par_Tranche*(FLOOR(AG$20/Taille_Tranche_KYC,1)+1))*Cout_Par_KYC_Supplementaire,(IF('01_Input'!$L$57="Forfait",IF(AG$20&gt;='01_Input'!$J$57,'01_Input'!$M$57,0),IF('01_Input'!$L$57="Palier",IF(AND(AG$20&gt;='01_Input'!$J$57,AG$20&lt;'01_Input'!$K$57),'01_Input'!$M$57,0),MAX(MIN(AG$20,'01_Input'!$K$57)-'01_Input'!$J$57,0)*'01_Input'!$M$57))+IF('01_Input'!$P$57="Forfait",IF(AG$20&gt;='01_Input'!$N$57,'01_Input'!$Q$57,0),IF('01_Input'!$P$57="Palier",IF(AND(AG$20&gt;='01_Input'!$N$57,AG$20&lt;'01_Input'!$O$57),'01_Input'!$Q$57,0),MAX(MIN(AG$20,'01_Input'!$O$57)-'01_Input'!$N$57,0)*'01_Input'!$Q$57))+IF('01_Input'!$T$57="Forfait",IF(AG$20&gt;='01_Input'!$R$57,'01_Input'!$U$57,0),IF('01_Input'!$T$57="Palier",IF(AND(AG$20&gt;='01_Input'!$R$57,AG$20&lt;'01_Input'!$S$57),'01_Input'!$U$57,0),MAX(MIN(AG$20,'01_Input'!$S$57)-'01_Input'!$R$57,0)*'01_Input'!$U$57))+IF('01_Input'!$X$57="Forfait",IF(AG$20&gt;='01_Input'!$V$57,'01_Input'!$Y$57,0),IF('01_Input'!$X$57="Palier",IF(AND(AG$20&gt;='01_Input'!$V$57,AG$20&lt;'01_Input'!$W$57),'01_Input'!$Y$57,0),MAX(MIN(AG$20,'01_Input'!$W$57)-'01_Input'!$V$57,0)*'01_Input'!$Y$57))+IF('01_Input'!$AB$57="Forfait",IF(AG$20&gt;='01_Input'!$Z$57,'01_Input'!$AC$57,0),IF('01_Input'!$AB$57="Palier",IF(AND(AG$20&gt;='01_Input'!$Z$57,AG$20&lt;'01_Input'!$AA$57),'01_Input'!$AC$57,0),MAX(MIN(AG$20,'01_Input'!$AA$57)-'01_Input'!$Z$57,0)*'01_Input'!$AC$57)))))))))</f>
        <v>50000</v>
      </c>
      <c r="AH25" s="25">
        <f>IF('01_Input'!$C$57="Non",0,MIN('01_Input'!$I$57,MAX('01_Input'!$H$57,IF('01_Input'!$G$57="Résiduel vs Gestion",0,IF('01_Input'!$G$57="Taux Classe sélectionnée",Distrib_Global_Classe_Selectionnee*AH$20,IF('01_Input'!$G$57="Frais KYC (paliers de 100M€)",MAX(0,Nb_Investisseurs-Nb_KYC_Gratuites_Par_Tranche*(FLOOR(AH$20/Taille_Tranche_KYC,1)+1))*Cout_Par_KYC_Supplementaire,(IF('01_Input'!$L$57="Forfait",IF(AH$20&gt;='01_Input'!$J$57,'01_Input'!$M$57,0),IF('01_Input'!$L$57="Palier",IF(AND(AH$20&gt;='01_Input'!$J$57,AH$20&lt;'01_Input'!$K$57),'01_Input'!$M$57,0),MAX(MIN(AH$20,'01_Input'!$K$57)-'01_Input'!$J$57,0)*'01_Input'!$M$57))+IF('01_Input'!$P$57="Forfait",IF(AH$20&gt;='01_Input'!$N$57,'01_Input'!$Q$57,0),IF('01_Input'!$P$57="Palier",IF(AND(AH$20&gt;='01_Input'!$N$57,AH$20&lt;'01_Input'!$O$57),'01_Input'!$Q$57,0),MAX(MIN(AH$20,'01_Input'!$O$57)-'01_Input'!$N$57,0)*'01_Input'!$Q$57))+IF('01_Input'!$T$57="Forfait",IF(AH$20&gt;='01_Input'!$R$57,'01_Input'!$U$57,0),IF('01_Input'!$T$57="Palier",IF(AND(AH$20&gt;='01_Input'!$R$57,AH$20&lt;'01_Input'!$S$57),'01_Input'!$U$57,0),MAX(MIN(AH$20,'01_Input'!$S$57)-'01_Input'!$R$57,0)*'01_Input'!$U$57))+IF('01_Input'!$X$57="Forfait",IF(AH$20&gt;='01_Input'!$V$57,'01_Input'!$Y$57,0),IF('01_Input'!$X$57="Palier",IF(AND(AH$20&gt;='01_Input'!$V$57,AH$20&lt;'01_Input'!$W$57),'01_Input'!$Y$57,0),MAX(MIN(AH$20,'01_Input'!$W$57)-'01_Input'!$V$57,0)*'01_Input'!$Y$57))+IF('01_Input'!$AB$57="Forfait",IF(AH$20&gt;='01_Input'!$Z$57,'01_Input'!$AC$57,0),IF('01_Input'!$AB$57="Palier",IF(AND(AH$20&gt;='01_Input'!$Z$57,AH$20&lt;'01_Input'!$AA$57),'01_Input'!$AC$57,0),MAX(MIN(AH$20,'01_Input'!$AA$57)-'01_Input'!$Z$57,0)*'01_Input'!$AC$57)))))))))</f>
        <v>50000</v>
      </c>
      <c r="AI25" s="25">
        <f>IF('01_Input'!$C$57="Non",0,MIN('01_Input'!$I$57,MAX('01_Input'!$H$57,IF('01_Input'!$G$57="Résiduel vs Gestion",0,IF('01_Input'!$G$57="Taux Classe sélectionnée",Distrib_Global_Classe_Selectionnee*AI$20,IF('01_Input'!$G$57="Frais KYC (paliers de 100M€)",MAX(0,Nb_Investisseurs-Nb_KYC_Gratuites_Par_Tranche*(FLOOR(AI$20/Taille_Tranche_KYC,1)+1))*Cout_Par_KYC_Supplementaire,(IF('01_Input'!$L$57="Forfait",IF(AI$20&gt;='01_Input'!$J$57,'01_Input'!$M$57,0),IF('01_Input'!$L$57="Palier",IF(AND(AI$20&gt;='01_Input'!$J$57,AI$20&lt;'01_Input'!$K$57),'01_Input'!$M$57,0),MAX(MIN(AI$20,'01_Input'!$K$57)-'01_Input'!$J$57,0)*'01_Input'!$M$57))+IF('01_Input'!$P$57="Forfait",IF(AI$20&gt;='01_Input'!$N$57,'01_Input'!$Q$57,0),IF('01_Input'!$P$57="Palier",IF(AND(AI$20&gt;='01_Input'!$N$57,AI$20&lt;'01_Input'!$O$57),'01_Input'!$Q$57,0),MAX(MIN(AI$20,'01_Input'!$O$57)-'01_Input'!$N$57,0)*'01_Input'!$Q$57))+IF('01_Input'!$T$57="Forfait",IF(AI$20&gt;='01_Input'!$R$57,'01_Input'!$U$57,0),IF('01_Input'!$T$57="Palier",IF(AND(AI$20&gt;='01_Input'!$R$57,AI$20&lt;'01_Input'!$S$57),'01_Input'!$U$57,0),MAX(MIN(AI$20,'01_Input'!$S$57)-'01_Input'!$R$57,0)*'01_Input'!$U$57))+IF('01_Input'!$X$57="Forfait",IF(AI$20&gt;='01_Input'!$V$57,'01_Input'!$Y$57,0),IF('01_Input'!$X$57="Palier",IF(AND(AI$20&gt;='01_Input'!$V$57,AI$20&lt;'01_Input'!$W$57),'01_Input'!$Y$57,0),MAX(MIN(AI$20,'01_Input'!$W$57)-'01_Input'!$V$57,0)*'01_Input'!$Y$57))+IF('01_Input'!$AB$57="Forfait",IF(AI$20&gt;='01_Input'!$Z$57,'01_Input'!$AC$57,0),IF('01_Input'!$AB$57="Palier",IF(AND(AI$20&gt;='01_Input'!$Z$57,AI$20&lt;'01_Input'!$AA$57),'01_Input'!$AC$57,0),MAX(MIN(AI$20,'01_Input'!$AA$57)-'01_Input'!$Z$57,0)*'01_Input'!$AC$57)))))))))</f>
        <v>50000</v>
      </c>
      <c r="AJ25" s="25">
        <f>IF('01_Input'!$C$57="Non",0,MIN('01_Input'!$I$57,MAX('01_Input'!$H$57,IF('01_Input'!$G$57="Résiduel vs Gestion",0,IF('01_Input'!$G$57="Taux Classe sélectionnée",Distrib_Global_Classe_Selectionnee*AJ$20,IF('01_Input'!$G$57="Frais KYC (paliers de 100M€)",MAX(0,Nb_Investisseurs-Nb_KYC_Gratuites_Par_Tranche*(FLOOR(AJ$20/Taille_Tranche_KYC,1)+1))*Cout_Par_KYC_Supplementaire,(IF('01_Input'!$L$57="Forfait",IF(AJ$20&gt;='01_Input'!$J$57,'01_Input'!$M$57,0),IF('01_Input'!$L$57="Palier",IF(AND(AJ$20&gt;='01_Input'!$J$57,AJ$20&lt;'01_Input'!$K$57),'01_Input'!$M$57,0),MAX(MIN(AJ$20,'01_Input'!$K$57)-'01_Input'!$J$57,0)*'01_Input'!$M$57))+IF('01_Input'!$P$57="Forfait",IF(AJ$20&gt;='01_Input'!$N$57,'01_Input'!$Q$57,0),IF('01_Input'!$P$57="Palier",IF(AND(AJ$20&gt;='01_Input'!$N$57,AJ$20&lt;'01_Input'!$O$57),'01_Input'!$Q$57,0),MAX(MIN(AJ$20,'01_Input'!$O$57)-'01_Input'!$N$57,0)*'01_Input'!$Q$57))+IF('01_Input'!$T$57="Forfait",IF(AJ$20&gt;='01_Input'!$R$57,'01_Input'!$U$57,0),IF('01_Input'!$T$57="Palier",IF(AND(AJ$20&gt;='01_Input'!$R$57,AJ$20&lt;'01_Input'!$S$57),'01_Input'!$U$57,0),MAX(MIN(AJ$20,'01_Input'!$S$57)-'01_Input'!$R$57,0)*'01_Input'!$U$57))+IF('01_Input'!$X$57="Forfait",IF(AJ$20&gt;='01_Input'!$V$57,'01_Input'!$Y$57,0),IF('01_Input'!$X$57="Palier",IF(AND(AJ$20&gt;='01_Input'!$V$57,AJ$20&lt;'01_Input'!$W$57),'01_Input'!$Y$57,0),MAX(MIN(AJ$20,'01_Input'!$W$57)-'01_Input'!$V$57,0)*'01_Input'!$Y$57))+IF('01_Input'!$AB$57="Forfait",IF(AJ$20&gt;='01_Input'!$Z$57,'01_Input'!$AC$57,0),IF('01_Input'!$AB$57="Palier",IF(AND(AJ$20&gt;='01_Input'!$Z$57,AJ$20&lt;'01_Input'!$AA$57),'01_Input'!$AC$57,0),MAX(MIN(AJ$20,'01_Input'!$AA$57)-'01_Input'!$Z$57,0)*'01_Input'!$AC$57)))))))))</f>
        <v>50000</v>
      </c>
      <c r="AK25" s="25">
        <f>IF('01_Input'!$C$57="Non",0,MIN('01_Input'!$I$57,MAX('01_Input'!$H$57,IF('01_Input'!$G$57="Résiduel vs Gestion",0,IF('01_Input'!$G$57="Taux Classe sélectionnée",Distrib_Global_Classe_Selectionnee*AK$20,IF('01_Input'!$G$57="Frais KYC (paliers de 100M€)",MAX(0,Nb_Investisseurs-Nb_KYC_Gratuites_Par_Tranche*(FLOOR(AK$20/Taille_Tranche_KYC,1)+1))*Cout_Par_KYC_Supplementaire,(IF('01_Input'!$L$57="Forfait",IF(AK$20&gt;='01_Input'!$J$57,'01_Input'!$M$57,0),IF('01_Input'!$L$57="Palier",IF(AND(AK$20&gt;='01_Input'!$J$57,AK$20&lt;'01_Input'!$K$57),'01_Input'!$M$57,0),MAX(MIN(AK$20,'01_Input'!$K$57)-'01_Input'!$J$57,0)*'01_Input'!$M$57))+IF('01_Input'!$P$57="Forfait",IF(AK$20&gt;='01_Input'!$N$57,'01_Input'!$Q$57,0),IF('01_Input'!$P$57="Palier",IF(AND(AK$20&gt;='01_Input'!$N$57,AK$20&lt;'01_Input'!$O$57),'01_Input'!$Q$57,0),MAX(MIN(AK$20,'01_Input'!$O$57)-'01_Input'!$N$57,0)*'01_Input'!$Q$57))+IF('01_Input'!$T$57="Forfait",IF(AK$20&gt;='01_Input'!$R$57,'01_Input'!$U$57,0),IF('01_Input'!$T$57="Palier",IF(AND(AK$20&gt;='01_Input'!$R$57,AK$20&lt;'01_Input'!$S$57),'01_Input'!$U$57,0),MAX(MIN(AK$20,'01_Input'!$S$57)-'01_Input'!$R$57,0)*'01_Input'!$U$57))+IF('01_Input'!$X$57="Forfait",IF(AK$20&gt;='01_Input'!$V$57,'01_Input'!$Y$57,0),IF('01_Input'!$X$57="Palier",IF(AND(AK$20&gt;='01_Input'!$V$57,AK$20&lt;'01_Input'!$W$57),'01_Input'!$Y$57,0),MAX(MIN(AK$20,'01_Input'!$W$57)-'01_Input'!$V$57,0)*'01_Input'!$Y$57))+IF('01_Input'!$AB$57="Forfait",IF(AK$20&gt;='01_Input'!$Z$57,'01_Input'!$AC$57,0),IF('01_Input'!$AB$57="Palier",IF(AND(AK$20&gt;='01_Input'!$Z$57,AK$20&lt;'01_Input'!$AA$57),'01_Input'!$AC$57,0),MAX(MIN(AK$20,'01_Input'!$AA$57)-'01_Input'!$Z$57,0)*'01_Input'!$AC$57)))))))))</f>
        <v>50000</v>
      </c>
      <c r="AL25" s="25">
        <f>IF('01_Input'!$C$57="Non",0,MIN('01_Input'!$I$57,MAX('01_Input'!$H$57,IF('01_Input'!$G$57="Résiduel vs Gestion",0,IF('01_Input'!$G$57="Taux Classe sélectionnée",Distrib_Global_Classe_Selectionnee*AL$20,IF('01_Input'!$G$57="Frais KYC (paliers de 100M€)",MAX(0,Nb_Investisseurs-Nb_KYC_Gratuites_Par_Tranche*(FLOOR(AL$20/Taille_Tranche_KYC,1)+1))*Cout_Par_KYC_Supplementaire,(IF('01_Input'!$L$57="Forfait",IF(AL$20&gt;='01_Input'!$J$57,'01_Input'!$M$57,0),IF('01_Input'!$L$57="Palier",IF(AND(AL$20&gt;='01_Input'!$J$57,AL$20&lt;'01_Input'!$K$57),'01_Input'!$M$57,0),MAX(MIN(AL$20,'01_Input'!$K$57)-'01_Input'!$J$57,0)*'01_Input'!$M$57))+IF('01_Input'!$P$57="Forfait",IF(AL$20&gt;='01_Input'!$N$57,'01_Input'!$Q$57,0),IF('01_Input'!$P$57="Palier",IF(AND(AL$20&gt;='01_Input'!$N$57,AL$20&lt;'01_Input'!$O$57),'01_Input'!$Q$57,0),MAX(MIN(AL$20,'01_Input'!$O$57)-'01_Input'!$N$57,0)*'01_Input'!$Q$57))+IF('01_Input'!$T$57="Forfait",IF(AL$20&gt;='01_Input'!$R$57,'01_Input'!$U$57,0),IF('01_Input'!$T$57="Palier",IF(AND(AL$20&gt;='01_Input'!$R$57,AL$20&lt;'01_Input'!$S$57),'01_Input'!$U$57,0),MAX(MIN(AL$20,'01_Input'!$S$57)-'01_Input'!$R$57,0)*'01_Input'!$U$57))+IF('01_Input'!$X$57="Forfait",IF(AL$20&gt;='01_Input'!$V$57,'01_Input'!$Y$57,0),IF('01_Input'!$X$57="Palier",IF(AND(AL$20&gt;='01_Input'!$V$57,AL$20&lt;'01_Input'!$W$57),'01_Input'!$Y$57,0),MAX(MIN(AL$20,'01_Input'!$W$57)-'01_Input'!$V$57,0)*'01_Input'!$Y$57))+IF('01_Input'!$AB$57="Forfait",IF(AL$20&gt;='01_Input'!$Z$57,'01_Input'!$AC$57,0),IF('01_Input'!$AB$57="Palier",IF(AND(AL$20&gt;='01_Input'!$Z$57,AL$20&lt;'01_Input'!$AA$57),'01_Input'!$AC$57,0),MAX(MIN(AL$20,'01_Input'!$AA$57)-'01_Input'!$Z$57,0)*'01_Input'!$AC$57)))))))))</f>
        <v>50000</v>
      </c>
      <c r="AM25" s="25">
        <f>IF('01_Input'!$C$57="Non",0,MIN('01_Input'!$I$57,MAX('01_Input'!$H$57,IF('01_Input'!$G$57="Résiduel vs Gestion",0,IF('01_Input'!$G$57="Taux Classe sélectionnée",Distrib_Global_Classe_Selectionnee*AM$20,IF('01_Input'!$G$57="Frais KYC (paliers de 100M€)",MAX(0,Nb_Investisseurs-Nb_KYC_Gratuites_Par_Tranche*(FLOOR(AM$20/Taille_Tranche_KYC,1)+1))*Cout_Par_KYC_Supplementaire,(IF('01_Input'!$L$57="Forfait",IF(AM$20&gt;='01_Input'!$J$57,'01_Input'!$M$57,0),IF('01_Input'!$L$57="Palier",IF(AND(AM$20&gt;='01_Input'!$J$57,AM$20&lt;'01_Input'!$K$57),'01_Input'!$M$57,0),MAX(MIN(AM$20,'01_Input'!$K$57)-'01_Input'!$J$57,0)*'01_Input'!$M$57))+IF('01_Input'!$P$57="Forfait",IF(AM$20&gt;='01_Input'!$N$57,'01_Input'!$Q$57,0),IF('01_Input'!$P$57="Palier",IF(AND(AM$20&gt;='01_Input'!$N$57,AM$20&lt;'01_Input'!$O$57),'01_Input'!$Q$57,0),MAX(MIN(AM$20,'01_Input'!$O$57)-'01_Input'!$N$57,0)*'01_Input'!$Q$57))+IF('01_Input'!$T$57="Forfait",IF(AM$20&gt;='01_Input'!$R$57,'01_Input'!$U$57,0),IF('01_Input'!$T$57="Palier",IF(AND(AM$20&gt;='01_Input'!$R$57,AM$20&lt;'01_Input'!$S$57),'01_Input'!$U$57,0),MAX(MIN(AM$20,'01_Input'!$S$57)-'01_Input'!$R$57,0)*'01_Input'!$U$57))+IF('01_Input'!$X$57="Forfait",IF(AM$20&gt;='01_Input'!$V$57,'01_Input'!$Y$57,0),IF('01_Input'!$X$57="Palier",IF(AND(AM$20&gt;='01_Input'!$V$57,AM$20&lt;'01_Input'!$W$57),'01_Input'!$Y$57,0),MAX(MIN(AM$20,'01_Input'!$W$57)-'01_Input'!$V$57,0)*'01_Input'!$Y$57))+IF('01_Input'!$AB$57="Forfait",IF(AM$20&gt;='01_Input'!$Z$57,'01_Input'!$AC$57,0),IF('01_Input'!$AB$57="Palier",IF(AND(AM$20&gt;='01_Input'!$Z$57,AM$20&lt;'01_Input'!$AA$57),'01_Input'!$AC$57,0),MAX(MIN(AM$20,'01_Input'!$AA$57)-'01_Input'!$Z$57,0)*'01_Input'!$AC$57)))))))))</f>
        <v>50000</v>
      </c>
      <c r="AN25" s="25">
        <f>IF('01_Input'!$C$57="Non",0,MIN('01_Input'!$I$57,MAX('01_Input'!$H$57,IF('01_Input'!$G$57="Résiduel vs Gestion",0,IF('01_Input'!$G$57="Taux Classe sélectionnée",Distrib_Global_Classe_Selectionnee*AN$20,IF('01_Input'!$G$57="Frais KYC (paliers de 100M€)",MAX(0,Nb_Investisseurs-Nb_KYC_Gratuites_Par_Tranche*(FLOOR(AN$20/Taille_Tranche_KYC,1)+1))*Cout_Par_KYC_Supplementaire,(IF('01_Input'!$L$57="Forfait",IF(AN$20&gt;='01_Input'!$J$57,'01_Input'!$M$57,0),IF('01_Input'!$L$57="Palier",IF(AND(AN$20&gt;='01_Input'!$J$57,AN$20&lt;'01_Input'!$K$57),'01_Input'!$M$57,0),MAX(MIN(AN$20,'01_Input'!$K$57)-'01_Input'!$J$57,0)*'01_Input'!$M$57))+IF('01_Input'!$P$57="Forfait",IF(AN$20&gt;='01_Input'!$N$57,'01_Input'!$Q$57,0),IF('01_Input'!$P$57="Palier",IF(AND(AN$20&gt;='01_Input'!$N$57,AN$20&lt;'01_Input'!$O$57),'01_Input'!$Q$57,0),MAX(MIN(AN$20,'01_Input'!$O$57)-'01_Input'!$N$57,0)*'01_Input'!$Q$57))+IF('01_Input'!$T$57="Forfait",IF(AN$20&gt;='01_Input'!$R$57,'01_Input'!$U$57,0),IF('01_Input'!$T$57="Palier",IF(AND(AN$20&gt;='01_Input'!$R$57,AN$20&lt;'01_Input'!$S$57),'01_Input'!$U$57,0),MAX(MIN(AN$20,'01_Input'!$S$57)-'01_Input'!$R$57,0)*'01_Input'!$U$57))+IF('01_Input'!$X$57="Forfait",IF(AN$20&gt;='01_Input'!$V$57,'01_Input'!$Y$57,0),IF('01_Input'!$X$57="Palier",IF(AND(AN$20&gt;='01_Input'!$V$57,AN$20&lt;'01_Input'!$W$57),'01_Input'!$Y$57,0),MAX(MIN(AN$20,'01_Input'!$W$57)-'01_Input'!$V$57,0)*'01_Input'!$Y$57))+IF('01_Input'!$AB$57="Forfait",IF(AN$20&gt;='01_Input'!$Z$57,'01_Input'!$AC$57,0),IF('01_Input'!$AB$57="Palier",IF(AND(AN$20&gt;='01_Input'!$Z$57,AN$20&lt;'01_Input'!$AA$57),'01_Input'!$AC$57,0),MAX(MIN(AN$20,'01_Input'!$AA$57)-'01_Input'!$Z$57,0)*'01_Input'!$AC$57)))))))))</f>
        <v>50000</v>
      </c>
      <c r="AO25" s="25">
        <f>IF('01_Input'!$C$57="Non",0,MIN('01_Input'!$I$57,MAX('01_Input'!$H$57,IF('01_Input'!$G$57="Résiduel vs Gestion",0,IF('01_Input'!$G$57="Taux Classe sélectionnée",Distrib_Global_Classe_Selectionnee*AO$20,IF('01_Input'!$G$57="Frais KYC (paliers de 100M€)",MAX(0,Nb_Investisseurs-Nb_KYC_Gratuites_Par_Tranche*(FLOOR(AO$20/Taille_Tranche_KYC,1)+1))*Cout_Par_KYC_Supplementaire,(IF('01_Input'!$L$57="Forfait",IF(AO$20&gt;='01_Input'!$J$57,'01_Input'!$M$57,0),IF('01_Input'!$L$57="Palier",IF(AND(AO$20&gt;='01_Input'!$J$57,AO$20&lt;'01_Input'!$K$57),'01_Input'!$M$57,0),MAX(MIN(AO$20,'01_Input'!$K$57)-'01_Input'!$J$57,0)*'01_Input'!$M$57))+IF('01_Input'!$P$57="Forfait",IF(AO$20&gt;='01_Input'!$N$57,'01_Input'!$Q$57,0),IF('01_Input'!$P$57="Palier",IF(AND(AO$20&gt;='01_Input'!$N$57,AO$20&lt;'01_Input'!$O$57),'01_Input'!$Q$57,0),MAX(MIN(AO$20,'01_Input'!$O$57)-'01_Input'!$N$57,0)*'01_Input'!$Q$57))+IF('01_Input'!$T$57="Forfait",IF(AO$20&gt;='01_Input'!$R$57,'01_Input'!$U$57,0),IF('01_Input'!$T$57="Palier",IF(AND(AO$20&gt;='01_Input'!$R$57,AO$20&lt;'01_Input'!$S$57),'01_Input'!$U$57,0),MAX(MIN(AO$20,'01_Input'!$S$57)-'01_Input'!$R$57,0)*'01_Input'!$U$57))+IF('01_Input'!$X$57="Forfait",IF(AO$20&gt;='01_Input'!$V$57,'01_Input'!$Y$57,0),IF('01_Input'!$X$57="Palier",IF(AND(AO$20&gt;='01_Input'!$V$57,AO$20&lt;'01_Input'!$W$57),'01_Input'!$Y$57,0),MAX(MIN(AO$20,'01_Input'!$W$57)-'01_Input'!$V$57,0)*'01_Input'!$Y$57))+IF('01_Input'!$AB$57="Forfait",IF(AO$20&gt;='01_Input'!$Z$57,'01_Input'!$AC$57,0),IF('01_Input'!$AB$57="Palier",IF(AND(AO$20&gt;='01_Input'!$Z$57,AO$20&lt;'01_Input'!$AA$57),'01_Input'!$AC$57,0),MAX(MIN(AO$20,'01_Input'!$AA$57)-'01_Input'!$Z$57,0)*'01_Input'!$AC$57)))))))))</f>
        <v>50000</v>
      </c>
      <c r="AP25" s="25">
        <f>IF('01_Input'!$C$57="Non",0,MIN('01_Input'!$I$57,MAX('01_Input'!$H$57,IF('01_Input'!$G$57="Résiduel vs Gestion",0,IF('01_Input'!$G$57="Taux Classe sélectionnée",Distrib_Global_Classe_Selectionnee*AP$20,IF('01_Input'!$G$57="Frais KYC (paliers de 100M€)",MAX(0,Nb_Investisseurs-Nb_KYC_Gratuites_Par_Tranche*(FLOOR(AP$20/Taille_Tranche_KYC,1)+1))*Cout_Par_KYC_Supplementaire,(IF('01_Input'!$L$57="Forfait",IF(AP$20&gt;='01_Input'!$J$57,'01_Input'!$M$57,0),IF('01_Input'!$L$57="Palier",IF(AND(AP$20&gt;='01_Input'!$J$57,AP$20&lt;'01_Input'!$K$57),'01_Input'!$M$57,0),MAX(MIN(AP$20,'01_Input'!$K$57)-'01_Input'!$J$57,0)*'01_Input'!$M$57))+IF('01_Input'!$P$57="Forfait",IF(AP$20&gt;='01_Input'!$N$57,'01_Input'!$Q$57,0),IF('01_Input'!$P$57="Palier",IF(AND(AP$20&gt;='01_Input'!$N$57,AP$20&lt;'01_Input'!$O$57),'01_Input'!$Q$57,0),MAX(MIN(AP$20,'01_Input'!$O$57)-'01_Input'!$N$57,0)*'01_Input'!$Q$57))+IF('01_Input'!$T$57="Forfait",IF(AP$20&gt;='01_Input'!$R$57,'01_Input'!$U$57,0),IF('01_Input'!$T$57="Palier",IF(AND(AP$20&gt;='01_Input'!$R$57,AP$20&lt;'01_Input'!$S$57),'01_Input'!$U$57,0),MAX(MIN(AP$20,'01_Input'!$S$57)-'01_Input'!$R$57,0)*'01_Input'!$U$57))+IF('01_Input'!$X$57="Forfait",IF(AP$20&gt;='01_Input'!$V$57,'01_Input'!$Y$57,0),IF('01_Input'!$X$57="Palier",IF(AND(AP$20&gt;='01_Input'!$V$57,AP$20&lt;'01_Input'!$W$57),'01_Input'!$Y$57,0),MAX(MIN(AP$20,'01_Input'!$W$57)-'01_Input'!$V$57,0)*'01_Input'!$Y$57))+IF('01_Input'!$AB$57="Forfait",IF(AP$20&gt;='01_Input'!$Z$57,'01_Input'!$AC$57,0),IF('01_Input'!$AB$57="Palier",IF(AND(AP$20&gt;='01_Input'!$Z$57,AP$20&lt;'01_Input'!$AA$57),'01_Input'!$AC$57,0),MAX(MIN(AP$20,'01_Input'!$AA$57)-'01_Input'!$Z$57,0)*'01_Input'!$AC$57)))))))))</f>
        <v>50000</v>
      </c>
      <c r="AQ25" s="25">
        <f>IF('01_Input'!$C$57="Non",0,MIN('01_Input'!$I$57,MAX('01_Input'!$H$57,IF('01_Input'!$G$57="Résiduel vs Gestion",0,IF('01_Input'!$G$57="Taux Classe sélectionnée",Distrib_Global_Classe_Selectionnee*AQ$20,IF('01_Input'!$G$57="Frais KYC (paliers de 100M€)",MAX(0,Nb_Investisseurs-Nb_KYC_Gratuites_Par_Tranche*(FLOOR(AQ$20/Taille_Tranche_KYC,1)+1))*Cout_Par_KYC_Supplementaire,(IF('01_Input'!$L$57="Forfait",IF(AQ$20&gt;='01_Input'!$J$57,'01_Input'!$M$57,0),IF('01_Input'!$L$57="Palier",IF(AND(AQ$20&gt;='01_Input'!$J$57,AQ$20&lt;'01_Input'!$K$57),'01_Input'!$M$57,0),MAX(MIN(AQ$20,'01_Input'!$K$57)-'01_Input'!$J$57,0)*'01_Input'!$M$57))+IF('01_Input'!$P$57="Forfait",IF(AQ$20&gt;='01_Input'!$N$57,'01_Input'!$Q$57,0),IF('01_Input'!$P$57="Palier",IF(AND(AQ$20&gt;='01_Input'!$N$57,AQ$20&lt;'01_Input'!$O$57),'01_Input'!$Q$57,0),MAX(MIN(AQ$20,'01_Input'!$O$57)-'01_Input'!$N$57,0)*'01_Input'!$Q$57))+IF('01_Input'!$T$57="Forfait",IF(AQ$20&gt;='01_Input'!$R$57,'01_Input'!$U$57,0),IF('01_Input'!$T$57="Palier",IF(AND(AQ$20&gt;='01_Input'!$R$57,AQ$20&lt;'01_Input'!$S$57),'01_Input'!$U$57,0),MAX(MIN(AQ$20,'01_Input'!$S$57)-'01_Input'!$R$57,0)*'01_Input'!$U$57))+IF('01_Input'!$X$57="Forfait",IF(AQ$20&gt;='01_Input'!$V$57,'01_Input'!$Y$57,0),IF('01_Input'!$X$57="Palier",IF(AND(AQ$20&gt;='01_Input'!$V$57,AQ$20&lt;'01_Input'!$W$57),'01_Input'!$Y$57,0),MAX(MIN(AQ$20,'01_Input'!$W$57)-'01_Input'!$V$57,0)*'01_Input'!$Y$57))+IF('01_Input'!$AB$57="Forfait",IF(AQ$20&gt;='01_Input'!$Z$57,'01_Input'!$AC$57,0),IF('01_Input'!$AB$57="Palier",IF(AND(AQ$20&gt;='01_Input'!$Z$57,AQ$20&lt;'01_Input'!$AA$57),'01_Input'!$AC$57,0),MAX(MIN(AQ$20,'01_Input'!$AA$57)-'01_Input'!$Z$57,0)*'01_Input'!$AC$57)))))))))</f>
        <v>50000</v>
      </c>
      <c r="AR25" s="25">
        <f>IF('01_Input'!$C$57="Non",0,MIN('01_Input'!$I$57,MAX('01_Input'!$H$57,IF('01_Input'!$G$57="Résiduel vs Gestion",0,IF('01_Input'!$G$57="Taux Classe sélectionnée",Distrib_Global_Classe_Selectionnee*AR$20,IF('01_Input'!$G$57="Frais KYC (paliers de 100M€)",MAX(0,Nb_Investisseurs-Nb_KYC_Gratuites_Par_Tranche*(FLOOR(AR$20/Taille_Tranche_KYC,1)+1))*Cout_Par_KYC_Supplementaire,(IF('01_Input'!$L$57="Forfait",IF(AR$20&gt;='01_Input'!$J$57,'01_Input'!$M$57,0),IF('01_Input'!$L$57="Palier",IF(AND(AR$20&gt;='01_Input'!$J$57,AR$20&lt;'01_Input'!$K$57),'01_Input'!$M$57,0),MAX(MIN(AR$20,'01_Input'!$K$57)-'01_Input'!$J$57,0)*'01_Input'!$M$57))+IF('01_Input'!$P$57="Forfait",IF(AR$20&gt;='01_Input'!$N$57,'01_Input'!$Q$57,0),IF('01_Input'!$P$57="Palier",IF(AND(AR$20&gt;='01_Input'!$N$57,AR$20&lt;'01_Input'!$O$57),'01_Input'!$Q$57,0),MAX(MIN(AR$20,'01_Input'!$O$57)-'01_Input'!$N$57,0)*'01_Input'!$Q$57))+IF('01_Input'!$T$57="Forfait",IF(AR$20&gt;='01_Input'!$R$57,'01_Input'!$U$57,0),IF('01_Input'!$T$57="Palier",IF(AND(AR$20&gt;='01_Input'!$R$57,AR$20&lt;'01_Input'!$S$57),'01_Input'!$U$57,0),MAX(MIN(AR$20,'01_Input'!$S$57)-'01_Input'!$R$57,0)*'01_Input'!$U$57))+IF('01_Input'!$X$57="Forfait",IF(AR$20&gt;='01_Input'!$V$57,'01_Input'!$Y$57,0),IF('01_Input'!$X$57="Palier",IF(AND(AR$20&gt;='01_Input'!$V$57,AR$20&lt;'01_Input'!$W$57),'01_Input'!$Y$57,0),MAX(MIN(AR$20,'01_Input'!$W$57)-'01_Input'!$V$57,0)*'01_Input'!$Y$57))+IF('01_Input'!$AB$57="Forfait",IF(AR$20&gt;='01_Input'!$Z$57,'01_Input'!$AC$57,0),IF('01_Input'!$AB$57="Palier",IF(AND(AR$20&gt;='01_Input'!$Z$57,AR$20&lt;'01_Input'!$AA$57),'01_Input'!$AC$57,0),MAX(MIN(AR$20,'01_Input'!$AA$57)-'01_Input'!$Z$57,0)*'01_Input'!$AC$57)))))))))</f>
        <v>50000</v>
      </c>
      <c r="AS25" s="25">
        <f>IF('01_Input'!$C$57="Non",0,MIN('01_Input'!$I$57,MAX('01_Input'!$H$57,IF('01_Input'!$G$57="Résiduel vs Gestion",0,IF('01_Input'!$G$57="Taux Classe sélectionnée",Distrib_Global_Classe_Selectionnee*AS$20,IF('01_Input'!$G$57="Frais KYC (paliers de 100M€)",MAX(0,Nb_Investisseurs-Nb_KYC_Gratuites_Par_Tranche*(FLOOR(AS$20/Taille_Tranche_KYC,1)+1))*Cout_Par_KYC_Supplementaire,(IF('01_Input'!$L$57="Forfait",IF(AS$20&gt;='01_Input'!$J$57,'01_Input'!$M$57,0),IF('01_Input'!$L$57="Palier",IF(AND(AS$20&gt;='01_Input'!$J$57,AS$20&lt;'01_Input'!$K$57),'01_Input'!$M$57,0),MAX(MIN(AS$20,'01_Input'!$K$57)-'01_Input'!$J$57,0)*'01_Input'!$M$57))+IF('01_Input'!$P$57="Forfait",IF(AS$20&gt;='01_Input'!$N$57,'01_Input'!$Q$57,0),IF('01_Input'!$P$57="Palier",IF(AND(AS$20&gt;='01_Input'!$N$57,AS$20&lt;'01_Input'!$O$57),'01_Input'!$Q$57,0),MAX(MIN(AS$20,'01_Input'!$O$57)-'01_Input'!$N$57,0)*'01_Input'!$Q$57))+IF('01_Input'!$T$57="Forfait",IF(AS$20&gt;='01_Input'!$R$57,'01_Input'!$U$57,0),IF('01_Input'!$T$57="Palier",IF(AND(AS$20&gt;='01_Input'!$R$57,AS$20&lt;'01_Input'!$S$57),'01_Input'!$U$57,0),MAX(MIN(AS$20,'01_Input'!$S$57)-'01_Input'!$R$57,0)*'01_Input'!$U$57))+IF('01_Input'!$X$57="Forfait",IF(AS$20&gt;='01_Input'!$V$57,'01_Input'!$Y$57,0),IF('01_Input'!$X$57="Palier",IF(AND(AS$20&gt;='01_Input'!$V$57,AS$20&lt;'01_Input'!$W$57),'01_Input'!$Y$57,0),MAX(MIN(AS$20,'01_Input'!$W$57)-'01_Input'!$V$57,0)*'01_Input'!$Y$57))+IF('01_Input'!$AB$57="Forfait",IF(AS$20&gt;='01_Input'!$Z$57,'01_Input'!$AC$57,0),IF('01_Input'!$AB$57="Palier",IF(AND(AS$20&gt;='01_Input'!$Z$57,AS$20&lt;'01_Input'!$AA$57),'01_Input'!$AC$57,0),MAX(MIN(AS$20,'01_Input'!$AA$57)-'01_Input'!$Z$57,0)*'01_Input'!$AC$57)))))))))</f>
        <v>50000</v>
      </c>
      <c r="AT25" s="25">
        <f>IF('01_Input'!$C$57="Non",0,MIN('01_Input'!$I$57,MAX('01_Input'!$H$57,IF('01_Input'!$G$57="Résiduel vs Gestion",0,IF('01_Input'!$G$57="Taux Classe sélectionnée",Distrib_Global_Classe_Selectionnee*AT$20,IF('01_Input'!$G$57="Frais KYC (paliers de 100M€)",MAX(0,Nb_Investisseurs-Nb_KYC_Gratuites_Par_Tranche*(FLOOR(AT$20/Taille_Tranche_KYC,1)+1))*Cout_Par_KYC_Supplementaire,(IF('01_Input'!$L$57="Forfait",IF(AT$20&gt;='01_Input'!$J$57,'01_Input'!$M$57,0),IF('01_Input'!$L$57="Palier",IF(AND(AT$20&gt;='01_Input'!$J$57,AT$20&lt;'01_Input'!$K$57),'01_Input'!$M$57,0),MAX(MIN(AT$20,'01_Input'!$K$57)-'01_Input'!$J$57,0)*'01_Input'!$M$57))+IF('01_Input'!$P$57="Forfait",IF(AT$20&gt;='01_Input'!$N$57,'01_Input'!$Q$57,0),IF('01_Input'!$P$57="Palier",IF(AND(AT$20&gt;='01_Input'!$N$57,AT$20&lt;'01_Input'!$O$57),'01_Input'!$Q$57,0),MAX(MIN(AT$20,'01_Input'!$O$57)-'01_Input'!$N$57,0)*'01_Input'!$Q$57))+IF('01_Input'!$T$57="Forfait",IF(AT$20&gt;='01_Input'!$R$57,'01_Input'!$U$57,0),IF('01_Input'!$T$57="Palier",IF(AND(AT$20&gt;='01_Input'!$R$57,AT$20&lt;'01_Input'!$S$57),'01_Input'!$U$57,0),MAX(MIN(AT$20,'01_Input'!$S$57)-'01_Input'!$R$57,0)*'01_Input'!$U$57))+IF('01_Input'!$X$57="Forfait",IF(AT$20&gt;='01_Input'!$V$57,'01_Input'!$Y$57,0),IF('01_Input'!$X$57="Palier",IF(AND(AT$20&gt;='01_Input'!$V$57,AT$20&lt;'01_Input'!$W$57),'01_Input'!$Y$57,0),MAX(MIN(AT$20,'01_Input'!$W$57)-'01_Input'!$V$57,0)*'01_Input'!$Y$57))+IF('01_Input'!$AB$57="Forfait",IF(AT$20&gt;='01_Input'!$Z$57,'01_Input'!$AC$57,0),IF('01_Input'!$AB$57="Palier",IF(AND(AT$20&gt;='01_Input'!$Z$57,AT$20&lt;'01_Input'!$AA$57),'01_Input'!$AC$57,0),MAX(MIN(AT$20,'01_Input'!$AA$57)-'01_Input'!$Z$57,0)*'01_Input'!$AC$57)))))))))</f>
        <v>50000</v>
      </c>
      <c r="AU25" s="25">
        <f>IF('01_Input'!$C$57="Non",0,MIN('01_Input'!$I$57,MAX('01_Input'!$H$57,IF('01_Input'!$G$57="Résiduel vs Gestion",0,IF('01_Input'!$G$57="Taux Classe sélectionnée",Distrib_Global_Classe_Selectionnee*AU$20,IF('01_Input'!$G$57="Frais KYC (paliers de 100M€)",MAX(0,Nb_Investisseurs-Nb_KYC_Gratuites_Par_Tranche*(FLOOR(AU$20/Taille_Tranche_KYC,1)+1))*Cout_Par_KYC_Supplementaire,(IF('01_Input'!$L$57="Forfait",IF(AU$20&gt;='01_Input'!$J$57,'01_Input'!$M$57,0),IF('01_Input'!$L$57="Palier",IF(AND(AU$20&gt;='01_Input'!$J$57,AU$20&lt;'01_Input'!$K$57),'01_Input'!$M$57,0),MAX(MIN(AU$20,'01_Input'!$K$57)-'01_Input'!$J$57,0)*'01_Input'!$M$57))+IF('01_Input'!$P$57="Forfait",IF(AU$20&gt;='01_Input'!$N$57,'01_Input'!$Q$57,0),IF('01_Input'!$P$57="Palier",IF(AND(AU$20&gt;='01_Input'!$N$57,AU$20&lt;'01_Input'!$O$57),'01_Input'!$Q$57,0),MAX(MIN(AU$20,'01_Input'!$O$57)-'01_Input'!$N$57,0)*'01_Input'!$Q$57))+IF('01_Input'!$T$57="Forfait",IF(AU$20&gt;='01_Input'!$R$57,'01_Input'!$U$57,0),IF('01_Input'!$T$57="Palier",IF(AND(AU$20&gt;='01_Input'!$R$57,AU$20&lt;'01_Input'!$S$57),'01_Input'!$U$57,0),MAX(MIN(AU$20,'01_Input'!$S$57)-'01_Input'!$R$57,0)*'01_Input'!$U$57))+IF('01_Input'!$X$57="Forfait",IF(AU$20&gt;='01_Input'!$V$57,'01_Input'!$Y$57,0),IF('01_Input'!$X$57="Palier",IF(AND(AU$20&gt;='01_Input'!$V$57,AU$20&lt;'01_Input'!$W$57),'01_Input'!$Y$57,0),MAX(MIN(AU$20,'01_Input'!$W$57)-'01_Input'!$V$57,0)*'01_Input'!$Y$57))+IF('01_Input'!$AB$57="Forfait",IF(AU$20&gt;='01_Input'!$Z$57,'01_Input'!$AC$57,0),IF('01_Input'!$AB$57="Palier",IF(AND(AU$20&gt;='01_Input'!$Z$57,AU$20&lt;'01_Input'!$AA$57),'01_Input'!$AC$57,0),MAX(MIN(AU$20,'01_Input'!$AA$57)-'01_Input'!$Z$57,0)*'01_Input'!$AC$57)))))))))</f>
        <v>50000</v>
      </c>
      <c r="AV25" s="25">
        <f>IF('01_Input'!$C$57="Non",0,MIN('01_Input'!$I$57,MAX('01_Input'!$H$57,IF('01_Input'!$G$57="Résiduel vs Gestion",0,IF('01_Input'!$G$57="Taux Classe sélectionnée",Distrib_Global_Classe_Selectionnee*AV$20,IF('01_Input'!$G$57="Frais KYC (paliers de 100M€)",MAX(0,Nb_Investisseurs-Nb_KYC_Gratuites_Par_Tranche*(FLOOR(AV$20/Taille_Tranche_KYC,1)+1))*Cout_Par_KYC_Supplementaire,(IF('01_Input'!$L$57="Forfait",IF(AV$20&gt;='01_Input'!$J$57,'01_Input'!$M$57,0),IF('01_Input'!$L$57="Palier",IF(AND(AV$20&gt;='01_Input'!$J$57,AV$20&lt;'01_Input'!$K$57),'01_Input'!$M$57,0),MAX(MIN(AV$20,'01_Input'!$K$57)-'01_Input'!$J$57,0)*'01_Input'!$M$57))+IF('01_Input'!$P$57="Forfait",IF(AV$20&gt;='01_Input'!$N$57,'01_Input'!$Q$57,0),IF('01_Input'!$P$57="Palier",IF(AND(AV$20&gt;='01_Input'!$N$57,AV$20&lt;'01_Input'!$O$57),'01_Input'!$Q$57,0),MAX(MIN(AV$20,'01_Input'!$O$57)-'01_Input'!$N$57,0)*'01_Input'!$Q$57))+IF('01_Input'!$T$57="Forfait",IF(AV$20&gt;='01_Input'!$R$57,'01_Input'!$U$57,0),IF('01_Input'!$T$57="Palier",IF(AND(AV$20&gt;='01_Input'!$R$57,AV$20&lt;'01_Input'!$S$57),'01_Input'!$U$57,0),MAX(MIN(AV$20,'01_Input'!$S$57)-'01_Input'!$R$57,0)*'01_Input'!$U$57))+IF('01_Input'!$X$57="Forfait",IF(AV$20&gt;='01_Input'!$V$57,'01_Input'!$Y$57,0),IF('01_Input'!$X$57="Palier",IF(AND(AV$20&gt;='01_Input'!$V$57,AV$20&lt;'01_Input'!$W$57),'01_Input'!$Y$57,0),MAX(MIN(AV$20,'01_Input'!$W$57)-'01_Input'!$V$57,0)*'01_Input'!$Y$57))+IF('01_Input'!$AB$57="Forfait",IF(AV$20&gt;='01_Input'!$Z$57,'01_Input'!$AC$57,0),IF('01_Input'!$AB$57="Palier",IF(AND(AV$20&gt;='01_Input'!$Z$57,AV$20&lt;'01_Input'!$AA$57),'01_Input'!$AC$57,0),MAX(MIN(AV$20,'01_Input'!$AA$57)-'01_Input'!$Z$57,0)*'01_Input'!$AC$57)))))))))</f>
        <v>50000</v>
      </c>
      <c r="AW25" s="25">
        <f>IF('01_Input'!$C$57="Non",0,MIN('01_Input'!$I$57,MAX('01_Input'!$H$57,IF('01_Input'!$G$57="Résiduel vs Gestion",0,IF('01_Input'!$G$57="Taux Classe sélectionnée",Distrib_Global_Classe_Selectionnee*AW$20,IF('01_Input'!$G$57="Frais KYC (paliers de 100M€)",MAX(0,Nb_Investisseurs-Nb_KYC_Gratuites_Par_Tranche*(FLOOR(AW$20/Taille_Tranche_KYC,1)+1))*Cout_Par_KYC_Supplementaire,(IF('01_Input'!$L$57="Forfait",IF(AW$20&gt;='01_Input'!$J$57,'01_Input'!$M$57,0),IF('01_Input'!$L$57="Palier",IF(AND(AW$20&gt;='01_Input'!$J$57,AW$20&lt;'01_Input'!$K$57),'01_Input'!$M$57,0),MAX(MIN(AW$20,'01_Input'!$K$57)-'01_Input'!$J$57,0)*'01_Input'!$M$57))+IF('01_Input'!$P$57="Forfait",IF(AW$20&gt;='01_Input'!$N$57,'01_Input'!$Q$57,0),IF('01_Input'!$P$57="Palier",IF(AND(AW$20&gt;='01_Input'!$N$57,AW$20&lt;'01_Input'!$O$57),'01_Input'!$Q$57,0),MAX(MIN(AW$20,'01_Input'!$O$57)-'01_Input'!$N$57,0)*'01_Input'!$Q$57))+IF('01_Input'!$T$57="Forfait",IF(AW$20&gt;='01_Input'!$R$57,'01_Input'!$U$57,0),IF('01_Input'!$T$57="Palier",IF(AND(AW$20&gt;='01_Input'!$R$57,AW$20&lt;'01_Input'!$S$57),'01_Input'!$U$57,0),MAX(MIN(AW$20,'01_Input'!$S$57)-'01_Input'!$R$57,0)*'01_Input'!$U$57))+IF('01_Input'!$X$57="Forfait",IF(AW$20&gt;='01_Input'!$V$57,'01_Input'!$Y$57,0),IF('01_Input'!$X$57="Palier",IF(AND(AW$20&gt;='01_Input'!$V$57,AW$20&lt;'01_Input'!$W$57),'01_Input'!$Y$57,0),MAX(MIN(AW$20,'01_Input'!$W$57)-'01_Input'!$V$57,0)*'01_Input'!$Y$57))+IF('01_Input'!$AB$57="Forfait",IF(AW$20&gt;='01_Input'!$Z$57,'01_Input'!$AC$57,0),IF('01_Input'!$AB$57="Palier",IF(AND(AW$20&gt;='01_Input'!$Z$57,AW$20&lt;'01_Input'!$AA$57),'01_Input'!$AC$57,0),MAX(MIN(AW$20,'01_Input'!$AA$57)-'01_Input'!$Z$57,0)*'01_Input'!$AC$57)))))))))</f>
        <v>50000</v>
      </c>
      <c r="AX25" s="25">
        <f>IF('01_Input'!$C$57="Non",0,MIN('01_Input'!$I$57,MAX('01_Input'!$H$57,IF('01_Input'!$G$57="Résiduel vs Gestion",0,IF('01_Input'!$G$57="Taux Classe sélectionnée",Distrib_Global_Classe_Selectionnee*AX$20,IF('01_Input'!$G$57="Frais KYC (paliers de 100M€)",MAX(0,Nb_Investisseurs-Nb_KYC_Gratuites_Par_Tranche*(FLOOR(AX$20/Taille_Tranche_KYC,1)+1))*Cout_Par_KYC_Supplementaire,(IF('01_Input'!$L$57="Forfait",IF(AX$20&gt;='01_Input'!$J$57,'01_Input'!$M$57,0),IF('01_Input'!$L$57="Palier",IF(AND(AX$20&gt;='01_Input'!$J$57,AX$20&lt;'01_Input'!$K$57),'01_Input'!$M$57,0),MAX(MIN(AX$20,'01_Input'!$K$57)-'01_Input'!$J$57,0)*'01_Input'!$M$57))+IF('01_Input'!$P$57="Forfait",IF(AX$20&gt;='01_Input'!$N$57,'01_Input'!$Q$57,0),IF('01_Input'!$P$57="Palier",IF(AND(AX$20&gt;='01_Input'!$N$57,AX$20&lt;'01_Input'!$O$57),'01_Input'!$Q$57,0),MAX(MIN(AX$20,'01_Input'!$O$57)-'01_Input'!$N$57,0)*'01_Input'!$Q$57))+IF('01_Input'!$T$57="Forfait",IF(AX$20&gt;='01_Input'!$R$57,'01_Input'!$U$57,0),IF('01_Input'!$T$57="Palier",IF(AND(AX$20&gt;='01_Input'!$R$57,AX$20&lt;'01_Input'!$S$57),'01_Input'!$U$57,0),MAX(MIN(AX$20,'01_Input'!$S$57)-'01_Input'!$R$57,0)*'01_Input'!$U$57))+IF('01_Input'!$X$57="Forfait",IF(AX$20&gt;='01_Input'!$V$57,'01_Input'!$Y$57,0),IF('01_Input'!$X$57="Palier",IF(AND(AX$20&gt;='01_Input'!$V$57,AX$20&lt;'01_Input'!$W$57),'01_Input'!$Y$57,0),MAX(MIN(AX$20,'01_Input'!$W$57)-'01_Input'!$V$57,0)*'01_Input'!$Y$57))+IF('01_Input'!$AB$57="Forfait",IF(AX$20&gt;='01_Input'!$Z$57,'01_Input'!$AC$57,0),IF('01_Input'!$AB$57="Palier",IF(AND(AX$20&gt;='01_Input'!$Z$57,AX$20&lt;'01_Input'!$AA$57),'01_Input'!$AC$57,0),MAX(MIN(AX$20,'01_Input'!$AA$57)-'01_Input'!$Z$57,0)*'01_Input'!$AC$57)))))))))</f>
        <v>50000</v>
      </c>
      <c r="AY25" s="25">
        <f>IF('01_Input'!$C$57="Non",0,MIN('01_Input'!$I$57,MAX('01_Input'!$H$57,IF('01_Input'!$G$57="Résiduel vs Gestion",0,IF('01_Input'!$G$57="Taux Classe sélectionnée",Distrib_Global_Classe_Selectionnee*AY$20,IF('01_Input'!$G$57="Frais KYC (paliers de 100M€)",MAX(0,Nb_Investisseurs-Nb_KYC_Gratuites_Par_Tranche*(FLOOR(AY$20/Taille_Tranche_KYC,1)+1))*Cout_Par_KYC_Supplementaire,(IF('01_Input'!$L$57="Forfait",IF(AY$20&gt;='01_Input'!$J$57,'01_Input'!$M$57,0),IF('01_Input'!$L$57="Palier",IF(AND(AY$20&gt;='01_Input'!$J$57,AY$20&lt;'01_Input'!$K$57),'01_Input'!$M$57,0),MAX(MIN(AY$20,'01_Input'!$K$57)-'01_Input'!$J$57,0)*'01_Input'!$M$57))+IF('01_Input'!$P$57="Forfait",IF(AY$20&gt;='01_Input'!$N$57,'01_Input'!$Q$57,0),IF('01_Input'!$P$57="Palier",IF(AND(AY$20&gt;='01_Input'!$N$57,AY$20&lt;'01_Input'!$O$57),'01_Input'!$Q$57,0),MAX(MIN(AY$20,'01_Input'!$O$57)-'01_Input'!$N$57,0)*'01_Input'!$Q$57))+IF('01_Input'!$T$57="Forfait",IF(AY$20&gt;='01_Input'!$R$57,'01_Input'!$U$57,0),IF('01_Input'!$T$57="Palier",IF(AND(AY$20&gt;='01_Input'!$R$57,AY$20&lt;'01_Input'!$S$57),'01_Input'!$U$57,0),MAX(MIN(AY$20,'01_Input'!$S$57)-'01_Input'!$R$57,0)*'01_Input'!$U$57))+IF('01_Input'!$X$57="Forfait",IF(AY$20&gt;='01_Input'!$V$57,'01_Input'!$Y$57,0),IF('01_Input'!$X$57="Palier",IF(AND(AY$20&gt;='01_Input'!$V$57,AY$20&lt;'01_Input'!$W$57),'01_Input'!$Y$57,0),MAX(MIN(AY$20,'01_Input'!$W$57)-'01_Input'!$V$57,0)*'01_Input'!$Y$57))+IF('01_Input'!$AB$57="Forfait",IF(AY$20&gt;='01_Input'!$Z$57,'01_Input'!$AC$57,0),IF('01_Input'!$AB$57="Palier",IF(AND(AY$20&gt;='01_Input'!$Z$57,AY$20&lt;'01_Input'!$AA$57),'01_Input'!$AC$57,0),MAX(MIN(AY$20,'01_Input'!$AA$57)-'01_Input'!$Z$57,0)*'01_Input'!$AC$57)))))))))</f>
        <v>50000</v>
      </c>
      <c r="AZ25" s="25">
        <f>IF('01_Input'!$C$57="Non",0,MIN('01_Input'!$I$57,MAX('01_Input'!$H$57,IF('01_Input'!$G$57="Résiduel vs Gestion",0,IF('01_Input'!$G$57="Taux Classe sélectionnée",Distrib_Global_Classe_Selectionnee*AZ$20,IF('01_Input'!$G$57="Frais KYC (paliers de 100M€)",MAX(0,Nb_Investisseurs-Nb_KYC_Gratuites_Par_Tranche*(FLOOR(AZ$20/Taille_Tranche_KYC,1)+1))*Cout_Par_KYC_Supplementaire,(IF('01_Input'!$L$57="Forfait",IF(AZ$20&gt;='01_Input'!$J$57,'01_Input'!$M$57,0),IF('01_Input'!$L$57="Palier",IF(AND(AZ$20&gt;='01_Input'!$J$57,AZ$20&lt;'01_Input'!$K$57),'01_Input'!$M$57,0),MAX(MIN(AZ$20,'01_Input'!$K$57)-'01_Input'!$J$57,0)*'01_Input'!$M$57))+IF('01_Input'!$P$57="Forfait",IF(AZ$20&gt;='01_Input'!$N$57,'01_Input'!$Q$57,0),IF('01_Input'!$P$57="Palier",IF(AND(AZ$20&gt;='01_Input'!$N$57,AZ$20&lt;'01_Input'!$O$57),'01_Input'!$Q$57,0),MAX(MIN(AZ$20,'01_Input'!$O$57)-'01_Input'!$N$57,0)*'01_Input'!$Q$57))+IF('01_Input'!$T$57="Forfait",IF(AZ$20&gt;='01_Input'!$R$57,'01_Input'!$U$57,0),IF('01_Input'!$T$57="Palier",IF(AND(AZ$20&gt;='01_Input'!$R$57,AZ$20&lt;'01_Input'!$S$57),'01_Input'!$U$57,0),MAX(MIN(AZ$20,'01_Input'!$S$57)-'01_Input'!$R$57,0)*'01_Input'!$U$57))+IF('01_Input'!$X$57="Forfait",IF(AZ$20&gt;='01_Input'!$V$57,'01_Input'!$Y$57,0),IF('01_Input'!$X$57="Palier",IF(AND(AZ$20&gt;='01_Input'!$V$57,AZ$20&lt;'01_Input'!$W$57),'01_Input'!$Y$57,0),MAX(MIN(AZ$20,'01_Input'!$W$57)-'01_Input'!$V$57,0)*'01_Input'!$Y$57))+IF('01_Input'!$AB$57="Forfait",IF(AZ$20&gt;='01_Input'!$Z$57,'01_Input'!$AC$57,0),IF('01_Input'!$AB$57="Palier",IF(AND(AZ$20&gt;='01_Input'!$Z$57,AZ$20&lt;'01_Input'!$AA$57),'01_Input'!$AC$57,0),MAX(MIN(AZ$20,'01_Input'!$AA$57)-'01_Input'!$Z$57,0)*'01_Input'!$AC$57)))))))))</f>
        <v>50000</v>
      </c>
      <c r="BA25" s="25">
        <f>IF('01_Input'!$C$57="Non",0,MIN('01_Input'!$I$57,MAX('01_Input'!$H$57,IF('01_Input'!$G$57="Résiduel vs Gestion",0,IF('01_Input'!$G$57="Taux Classe sélectionnée",Distrib_Global_Classe_Selectionnee*BA$20,IF('01_Input'!$G$57="Frais KYC (paliers de 100M€)",MAX(0,Nb_Investisseurs-Nb_KYC_Gratuites_Par_Tranche*(FLOOR(BA$20/Taille_Tranche_KYC,1)+1))*Cout_Par_KYC_Supplementaire,(IF('01_Input'!$L$57="Forfait",IF(BA$20&gt;='01_Input'!$J$57,'01_Input'!$M$57,0),IF('01_Input'!$L$57="Palier",IF(AND(BA$20&gt;='01_Input'!$J$57,BA$20&lt;'01_Input'!$K$57),'01_Input'!$M$57,0),MAX(MIN(BA$20,'01_Input'!$K$57)-'01_Input'!$J$57,0)*'01_Input'!$M$57))+IF('01_Input'!$P$57="Forfait",IF(BA$20&gt;='01_Input'!$N$57,'01_Input'!$Q$57,0),IF('01_Input'!$P$57="Palier",IF(AND(BA$20&gt;='01_Input'!$N$57,BA$20&lt;'01_Input'!$O$57),'01_Input'!$Q$57,0),MAX(MIN(BA$20,'01_Input'!$O$57)-'01_Input'!$N$57,0)*'01_Input'!$Q$57))+IF('01_Input'!$T$57="Forfait",IF(BA$20&gt;='01_Input'!$R$57,'01_Input'!$U$57,0),IF('01_Input'!$T$57="Palier",IF(AND(BA$20&gt;='01_Input'!$R$57,BA$20&lt;'01_Input'!$S$57),'01_Input'!$U$57,0),MAX(MIN(BA$20,'01_Input'!$S$57)-'01_Input'!$R$57,0)*'01_Input'!$U$57))+IF('01_Input'!$X$57="Forfait",IF(BA$20&gt;='01_Input'!$V$57,'01_Input'!$Y$57,0),IF('01_Input'!$X$57="Palier",IF(AND(BA$20&gt;='01_Input'!$V$57,BA$20&lt;'01_Input'!$W$57),'01_Input'!$Y$57,0),MAX(MIN(BA$20,'01_Input'!$W$57)-'01_Input'!$V$57,0)*'01_Input'!$Y$57))+IF('01_Input'!$AB$57="Forfait",IF(BA$20&gt;='01_Input'!$Z$57,'01_Input'!$AC$57,0),IF('01_Input'!$AB$57="Palier",IF(AND(BA$20&gt;='01_Input'!$Z$57,BA$20&lt;'01_Input'!$AA$57),'01_Input'!$AC$57,0),MAX(MIN(BA$20,'01_Input'!$AA$57)-'01_Input'!$Z$57,0)*'01_Input'!$AC$57)))))))))</f>
        <v>50000</v>
      </c>
      <c r="BB25" s="25">
        <f>IF('01_Input'!$C$57="Non",0,MIN('01_Input'!$I$57,MAX('01_Input'!$H$57,IF('01_Input'!$G$57="Résiduel vs Gestion",0,IF('01_Input'!$G$57="Taux Classe sélectionnée",Distrib_Global_Classe_Selectionnee*BB$20,IF('01_Input'!$G$57="Frais KYC (paliers de 100M€)",MAX(0,Nb_Investisseurs-Nb_KYC_Gratuites_Par_Tranche*(FLOOR(BB$20/Taille_Tranche_KYC,1)+1))*Cout_Par_KYC_Supplementaire,(IF('01_Input'!$L$57="Forfait",IF(BB$20&gt;='01_Input'!$J$57,'01_Input'!$M$57,0),IF('01_Input'!$L$57="Palier",IF(AND(BB$20&gt;='01_Input'!$J$57,BB$20&lt;'01_Input'!$K$57),'01_Input'!$M$57,0),MAX(MIN(BB$20,'01_Input'!$K$57)-'01_Input'!$J$57,0)*'01_Input'!$M$57))+IF('01_Input'!$P$57="Forfait",IF(BB$20&gt;='01_Input'!$N$57,'01_Input'!$Q$57,0),IF('01_Input'!$P$57="Palier",IF(AND(BB$20&gt;='01_Input'!$N$57,BB$20&lt;'01_Input'!$O$57),'01_Input'!$Q$57,0),MAX(MIN(BB$20,'01_Input'!$O$57)-'01_Input'!$N$57,0)*'01_Input'!$Q$57))+IF('01_Input'!$T$57="Forfait",IF(BB$20&gt;='01_Input'!$R$57,'01_Input'!$U$57,0),IF('01_Input'!$T$57="Palier",IF(AND(BB$20&gt;='01_Input'!$R$57,BB$20&lt;'01_Input'!$S$57),'01_Input'!$U$57,0),MAX(MIN(BB$20,'01_Input'!$S$57)-'01_Input'!$R$57,0)*'01_Input'!$U$57))+IF('01_Input'!$X$57="Forfait",IF(BB$20&gt;='01_Input'!$V$57,'01_Input'!$Y$57,0),IF('01_Input'!$X$57="Palier",IF(AND(BB$20&gt;='01_Input'!$V$57,BB$20&lt;'01_Input'!$W$57),'01_Input'!$Y$57,0),MAX(MIN(BB$20,'01_Input'!$W$57)-'01_Input'!$V$57,0)*'01_Input'!$Y$57))+IF('01_Input'!$AB$57="Forfait",IF(BB$20&gt;='01_Input'!$Z$57,'01_Input'!$AC$57,0),IF('01_Input'!$AB$57="Palier",IF(AND(BB$20&gt;='01_Input'!$Z$57,BB$20&lt;'01_Input'!$AA$57),'01_Input'!$AC$57,0),MAX(MIN(BB$20,'01_Input'!$AA$57)-'01_Input'!$Z$57,0)*'01_Input'!$AC$57)))))))))</f>
        <v>50000</v>
      </c>
      <c r="BC25" s="25">
        <f>IF('01_Input'!$C$57="Non",0,MIN('01_Input'!$I$57,MAX('01_Input'!$H$57,IF('01_Input'!$G$57="Résiduel vs Gestion",0,IF('01_Input'!$G$57="Taux Classe sélectionnée",Distrib_Global_Classe_Selectionnee*BC$20,IF('01_Input'!$G$57="Frais KYC (paliers de 100M€)",MAX(0,Nb_Investisseurs-Nb_KYC_Gratuites_Par_Tranche*(FLOOR(BC$20/Taille_Tranche_KYC,1)+1))*Cout_Par_KYC_Supplementaire,(IF('01_Input'!$L$57="Forfait",IF(BC$20&gt;='01_Input'!$J$57,'01_Input'!$M$57,0),IF('01_Input'!$L$57="Palier",IF(AND(BC$20&gt;='01_Input'!$J$57,BC$20&lt;'01_Input'!$K$57),'01_Input'!$M$57,0),MAX(MIN(BC$20,'01_Input'!$K$57)-'01_Input'!$J$57,0)*'01_Input'!$M$57))+IF('01_Input'!$P$57="Forfait",IF(BC$20&gt;='01_Input'!$N$57,'01_Input'!$Q$57,0),IF('01_Input'!$P$57="Palier",IF(AND(BC$20&gt;='01_Input'!$N$57,BC$20&lt;'01_Input'!$O$57),'01_Input'!$Q$57,0),MAX(MIN(BC$20,'01_Input'!$O$57)-'01_Input'!$N$57,0)*'01_Input'!$Q$57))+IF('01_Input'!$T$57="Forfait",IF(BC$20&gt;='01_Input'!$R$57,'01_Input'!$U$57,0),IF('01_Input'!$T$57="Palier",IF(AND(BC$20&gt;='01_Input'!$R$57,BC$20&lt;'01_Input'!$S$57),'01_Input'!$U$57,0),MAX(MIN(BC$20,'01_Input'!$S$57)-'01_Input'!$R$57,0)*'01_Input'!$U$57))+IF('01_Input'!$X$57="Forfait",IF(BC$20&gt;='01_Input'!$V$57,'01_Input'!$Y$57,0),IF('01_Input'!$X$57="Palier",IF(AND(BC$20&gt;='01_Input'!$V$57,BC$20&lt;'01_Input'!$W$57),'01_Input'!$Y$57,0),MAX(MIN(BC$20,'01_Input'!$W$57)-'01_Input'!$V$57,0)*'01_Input'!$Y$57))+IF('01_Input'!$AB$57="Forfait",IF(BC$20&gt;='01_Input'!$Z$57,'01_Input'!$AC$57,0),IF('01_Input'!$AB$57="Palier",IF(AND(BC$20&gt;='01_Input'!$Z$57,BC$20&lt;'01_Input'!$AA$57),'01_Input'!$AC$57,0),MAX(MIN(BC$20,'01_Input'!$AA$57)-'01_Input'!$Z$57,0)*'01_Input'!$AC$57)))))))))</f>
        <v>50000</v>
      </c>
      <c r="BD25" s="25">
        <f>IF('01_Input'!$C$57="Non",0,MIN('01_Input'!$I$57,MAX('01_Input'!$H$57,IF('01_Input'!$G$57="Résiduel vs Gestion",0,IF('01_Input'!$G$57="Taux Classe sélectionnée",Distrib_Global_Classe_Selectionnee*BD$20,IF('01_Input'!$G$57="Frais KYC (paliers de 100M€)",MAX(0,Nb_Investisseurs-Nb_KYC_Gratuites_Par_Tranche*(FLOOR(BD$20/Taille_Tranche_KYC,1)+1))*Cout_Par_KYC_Supplementaire,(IF('01_Input'!$L$57="Forfait",IF(BD$20&gt;='01_Input'!$J$57,'01_Input'!$M$57,0),IF('01_Input'!$L$57="Palier",IF(AND(BD$20&gt;='01_Input'!$J$57,BD$20&lt;'01_Input'!$K$57),'01_Input'!$M$57,0),MAX(MIN(BD$20,'01_Input'!$K$57)-'01_Input'!$J$57,0)*'01_Input'!$M$57))+IF('01_Input'!$P$57="Forfait",IF(BD$20&gt;='01_Input'!$N$57,'01_Input'!$Q$57,0),IF('01_Input'!$P$57="Palier",IF(AND(BD$20&gt;='01_Input'!$N$57,BD$20&lt;'01_Input'!$O$57),'01_Input'!$Q$57,0),MAX(MIN(BD$20,'01_Input'!$O$57)-'01_Input'!$N$57,0)*'01_Input'!$Q$57))+IF('01_Input'!$T$57="Forfait",IF(BD$20&gt;='01_Input'!$R$57,'01_Input'!$U$57,0),IF('01_Input'!$T$57="Palier",IF(AND(BD$20&gt;='01_Input'!$R$57,BD$20&lt;'01_Input'!$S$57),'01_Input'!$U$57,0),MAX(MIN(BD$20,'01_Input'!$S$57)-'01_Input'!$R$57,0)*'01_Input'!$U$57))+IF('01_Input'!$X$57="Forfait",IF(BD$20&gt;='01_Input'!$V$57,'01_Input'!$Y$57,0),IF('01_Input'!$X$57="Palier",IF(AND(BD$20&gt;='01_Input'!$V$57,BD$20&lt;'01_Input'!$W$57),'01_Input'!$Y$57,0),MAX(MIN(BD$20,'01_Input'!$W$57)-'01_Input'!$V$57,0)*'01_Input'!$Y$57))+IF('01_Input'!$AB$57="Forfait",IF(BD$20&gt;='01_Input'!$Z$57,'01_Input'!$AC$57,0),IF('01_Input'!$AB$57="Palier",IF(AND(BD$20&gt;='01_Input'!$Z$57,BD$20&lt;'01_Input'!$AA$57),'01_Input'!$AC$57,0),MAX(MIN(BD$20,'01_Input'!$AA$57)-'01_Input'!$Z$57,0)*'01_Input'!$AC$57)))))))))</f>
        <v>50000</v>
      </c>
      <c r="BE25" s="25">
        <f>IF('01_Input'!$C$57="Non",0,MIN('01_Input'!$I$57,MAX('01_Input'!$H$57,IF('01_Input'!$G$57="Résiduel vs Gestion",0,IF('01_Input'!$G$57="Taux Classe sélectionnée",Distrib_Global_Classe_Selectionnee*BE$20,IF('01_Input'!$G$57="Frais KYC (paliers de 100M€)",MAX(0,Nb_Investisseurs-Nb_KYC_Gratuites_Par_Tranche*(FLOOR(BE$20/Taille_Tranche_KYC,1)+1))*Cout_Par_KYC_Supplementaire,(IF('01_Input'!$L$57="Forfait",IF(BE$20&gt;='01_Input'!$J$57,'01_Input'!$M$57,0),IF('01_Input'!$L$57="Palier",IF(AND(BE$20&gt;='01_Input'!$J$57,BE$20&lt;'01_Input'!$K$57),'01_Input'!$M$57,0),MAX(MIN(BE$20,'01_Input'!$K$57)-'01_Input'!$J$57,0)*'01_Input'!$M$57))+IF('01_Input'!$P$57="Forfait",IF(BE$20&gt;='01_Input'!$N$57,'01_Input'!$Q$57,0),IF('01_Input'!$P$57="Palier",IF(AND(BE$20&gt;='01_Input'!$N$57,BE$20&lt;'01_Input'!$O$57),'01_Input'!$Q$57,0),MAX(MIN(BE$20,'01_Input'!$O$57)-'01_Input'!$N$57,0)*'01_Input'!$Q$57))+IF('01_Input'!$T$57="Forfait",IF(BE$20&gt;='01_Input'!$R$57,'01_Input'!$U$57,0),IF('01_Input'!$T$57="Palier",IF(AND(BE$20&gt;='01_Input'!$R$57,BE$20&lt;'01_Input'!$S$57),'01_Input'!$U$57,0),MAX(MIN(BE$20,'01_Input'!$S$57)-'01_Input'!$R$57,0)*'01_Input'!$U$57))+IF('01_Input'!$X$57="Forfait",IF(BE$20&gt;='01_Input'!$V$57,'01_Input'!$Y$57,0),IF('01_Input'!$X$57="Palier",IF(AND(BE$20&gt;='01_Input'!$V$57,BE$20&lt;'01_Input'!$W$57),'01_Input'!$Y$57,0),MAX(MIN(BE$20,'01_Input'!$W$57)-'01_Input'!$V$57,0)*'01_Input'!$Y$57))+IF('01_Input'!$AB$57="Forfait",IF(BE$20&gt;='01_Input'!$Z$57,'01_Input'!$AC$57,0),IF('01_Input'!$AB$57="Palier",IF(AND(BE$20&gt;='01_Input'!$Z$57,BE$20&lt;'01_Input'!$AA$57),'01_Input'!$AC$57,0),MAX(MIN(BE$20,'01_Input'!$AA$57)-'01_Input'!$Z$57,0)*'01_Input'!$AC$57)))))))))</f>
        <v>50000</v>
      </c>
      <c r="BF25" s="25">
        <f>IF('01_Input'!$C$57="Non",0,MIN('01_Input'!$I$57,MAX('01_Input'!$H$57,IF('01_Input'!$G$57="Résiduel vs Gestion",0,IF('01_Input'!$G$57="Taux Classe sélectionnée",Distrib_Global_Classe_Selectionnee*BF$20,IF('01_Input'!$G$57="Frais KYC (paliers de 100M€)",MAX(0,Nb_Investisseurs-Nb_KYC_Gratuites_Par_Tranche*(FLOOR(BF$20/Taille_Tranche_KYC,1)+1))*Cout_Par_KYC_Supplementaire,(IF('01_Input'!$L$57="Forfait",IF(BF$20&gt;='01_Input'!$J$57,'01_Input'!$M$57,0),IF('01_Input'!$L$57="Palier",IF(AND(BF$20&gt;='01_Input'!$J$57,BF$20&lt;'01_Input'!$K$57),'01_Input'!$M$57,0),MAX(MIN(BF$20,'01_Input'!$K$57)-'01_Input'!$J$57,0)*'01_Input'!$M$57))+IF('01_Input'!$P$57="Forfait",IF(BF$20&gt;='01_Input'!$N$57,'01_Input'!$Q$57,0),IF('01_Input'!$P$57="Palier",IF(AND(BF$20&gt;='01_Input'!$N$57,BF$20&lt;'01_Input'!$O$57),'01_Input'!$Q$57,0),MAX(MIN(BF$20,'01_Input'!$O$57)-'01_Input'!$N$57,0)*'01_Input'!$Q$57))+IF('01_Input'!$T$57="Forfait",IF(BF$20&gt;='01_Input'!$R$57,'01_Input'!$U$57,0),IF('01_Input'!$T$57="Palier",IF(AND(BF$20&gt;='01_Input'!$R$57,BF$20&lt;'01_Input'!$S$57),'01_Input'!$U$57,0),MAX(MIN(BF$20,'01_Input'!$S$57)-'01_Input'!$R$57,0)*'01_Input'!$U$57))+IF('01_Input'!$X$57="Forfait",IF(BF$20&gt;='01_Input'!$V$57,'01_Input'!$Y$57,0),IF('01_Input'!$X$57="Palier",IF(AND(BF$20&gt;='01_Input'!$V$57,BF$20&lt;'01_Input'!$W$57),'01_Input'!$Y$57,0),MAX(MIN(BF$20,'01_Input'!$W$57)-'01_Input'!$V$57,0)*'01_Input'!$Y$57))+IF('01_Input'!$AB$57="Forfait",IF(BF$20&gt;='01_Input'!$Z$57,'01_Input'!$AC$57,0),IF('01_Input'!$AB$57="Palier",IF(AND(BF$20&gt;='01_Input'!$Z$57,BF$20&lt;'01_Input'!$AA$57),'01_Input'!$AC$57,0),MAX(MIN(BF$20,'01_Input'!$AA$57)-'01_Input'!$Z$57,0)*'01_Input'!$AC$57)))))))))</f>
        <v>50000</v>
      </c>
      <c r="BG25" s="25">
        <f>IF('01_Input'!$C$57="Non",0,MIN('01_Input'!$I$57,MAX('01_Input'!$H$57,IF('01_Input'!$G$57="Résiduel vs Gestion",0,IF('01_Input'!$G$57="Taux Classe sélectionnée",Distrib_Global_Classe_Selectionnee*BG$20,IF('01_Input'!$G$57="Frais KYC (paliers de 100M€)",MAX(0,Nb_Investisseurs-Nb_KYC_Gratuites_Par_Tranche*(FLOOR(BG$20/Taille_Tranche_KYC,1)+1))*Cout_Par_KYC_Supplementaire,(IF('01_Input'!$L$57="Forfait",IF(BG$20&gt;='01_Input'!$J$57,'01_Input'!$M$57,0),IF('01_Input'!$L$57="Palier",IF(AND(BG$20&gt;='01_Input'!$J$57,BG$20&lt;'01_Input'!$K$57),'01_Input'!$M$57,0),MAX(MIN(BG$20,'01_Input'!$K$57)-'01_Input'!$J$57,0)*'01_Input'!$M$57))+IF('01_Input'!$P$57="Forfait",IF(BG$20&gt;='01_Input'!$N$57,'01_Input'!$Q$57,0),IF('01_Input'!$P$57="Palier",IF(AND(BG$20&gt;='01_Input'!$N$57,BG$20&lt;'01_Input'!$O$57),'01_Input'!$Q$57,0),MAX(MIN(BG$20,'01_Input'!$O$57)-'01_Input'!$N$57,0)*'01_Input'!$Q$57))+IF('01_Input'!$T$57="Forfait",IF(BG$20&gt;='01_Input'!$R$57,'01_Input'!$U$57,0),IF('01_Input'!$T$57="Palier",IF(AND(BG$20&gt;='01_Input'!$R$57,BG$20&lt;'01_Input'!$S$57),'01_Input'!$U$57,0),MAX(MIN(BG$20,'01_Input'!$S$57)-'01_Input'!$R$57,0)*'01_Input'!$U$57))+IF('01_Input'!$X$57="Forfait",IF(BG$20&gt;='01_Input'!$V$57,'01_Input'!$Y$57,0),IF('01_Input'!$X$57="Palier",IF(AND(BG$20&gt;='01_Input'!$V$57,BG$20&lt;'01_Input'!$W$57),'01_Input'!$Y$57,0),MAX(MIN(BG$20,'01_Input'!$W$57)-'01_Input'!$V$57,0)*'01_Input'!$Y$57))+IF('01_Input'!$AB$57="Forfait",IF(BG$20&gt;='01_Input'!$Z$57,'01_Input'!$AC$57,0),IF('01_Input'!$AB$57="Palier",IF(AND(BG$20&gt;='01_Input'!$Z$57,BG$20&lt;'01_Input'!$AA$57),'01_Input'!$AC$57,0),MAX(MIN(BG$20,'01_Input'!$AA$57)-'01_Input'!$Z$57,0)*'01_Input'!$AC$57)))))))))</f>
        <v>50000</v>
      </c>
      <c r="BH25" s="25">
        <f>IF('01_Input'!$C$57="Non",0,MIN('01_Input'!$I$57,MAX('01_Input'!$H$57,IF('01_Input'!$G$57="Résiduel vs Gestion",0,IF('01_Input'!$G$57="Taux Classe sélectionnée",Distrib_Global_Classe_Selectionnee*BH$20,IF('01_Input'!$G$57="Frais KYC (paliers de 100M€)",MAX(0,Nb_Investisseurs-Nb_KYC_Gratuites_Par_Tranche*(FLOOR(BH$20/Taille_Tranche_KYC,1)+1))*Cout_Par_KYC_Supplementaire,(IF('01_Input'!$L$57="Forfait",IF(BH$20&gt;='01_Input'!$J$57,'01_Input'!$M$57,0),IF('01_Input'!$L$57="Palier",IF(AND(BH$20&gt;='01_Input'!$J$57,BH$20&lt;'01_Input'!$K$57),'01_Input'!$M$57,0),MAX(MIN(BH$20,'01_Input'!$K$57)-'01_Input'!$J$57,0)*'01_Input'!$M$57))+IF('01_Input'!$P$57="Forfait",IF(BH$20&gt;='01_Input'!$N$57,'01_Input'!$Q$57,0),IF('01_Input'!$P$57="Palier",IF(AND(BH$20&gt;='01_Input'!$N$57,BH$20&lt;'01_Input'!$O$57),'01_Input'!$Q$57,0),MAX(MIN(BH$20,'01_Input'!$O$57)-'01_Input'!$N$57,0)*'01_Input'!$Q$57))+IF('01_Input'!$T$57="Forfait",IF(BH$20&gt;='01_Input'!$R$57,'01_Input'!$U$57,0),IF('01_Input'!$T$57="Palier",IF(AND(BH$20&gt;='01_Input'!$R$57,BH$20&lt;'01_Input'!$S$57),'01_Input'!$U$57,0),MAX(MIN(BH$20,'01_Input'!$S$57)-'01_Input'!$R$57,0)*'01_Input'!$U$57))+IF('01_Input'!$X$57="Forfait",IF(BH$20&gt;='01_Input'!$V$57,'01_Input'!$Y$57,0),IF('01_Input'!$X$57="Palier",IF(AND(BH$20&gt;='01_Input'!$V$57,BH$20&lt;'01_Input'!$W$57),'01_Input'!$Y$57,0),MAX(MIN(BH$20,'01_Input'!$W$57)-'01_Input'!$V$57,0)*'01_Input'!$Y$57))+IF('01_Input'!$AB$57="Forfait",IF(BH$20&gt;='01_Input'!$Z$57,'01_Input'!$AC$57,0),IF('01_Input'!$AB$57="Palier",IF(AND(BH$20&gt;='01_Input'!$Z$57,BH$20&lt;'01_Input'!$AA$57),'01_Input'!$AC$57,0),MAX(MIN(BH$20,'01_Input'!$AA$57)-'01_Input'!$Z$57,0)*'01_Input'!$AC$57)))))))))</f>
        <v>50000</v>
      </c>
      <c r="BI25" s="25">
        <f>IF('01_Input'!$C$57="Non",0,MIN('01_Input'!$I$57,MAX('01_Input'!$H$57,IF('01_Input'!$G$57="Résiduel vs Gestion",0,IF('01_Input'!$G$57="Taux Classe sélectionnée",Distrib_Global_Classe_Selectionnee*BI$20,IF('01_Input'!$G$57="Frais KYC (paliers de 100M€)",MAX(0,Nb_Investisseurs-Nb_KYC_Gratuites_Par_Tranche*(FLOOR(BI$20/Taille_Tranche_KYC,1)+1))*Cout_Par_KYC_Supplementaire,(IF('01_Input'!$L$57="Forfait",IF(BI$20&gt;='01_Input'!$J$57,'01_Input'!$M$57,0),IF('01_Input'!$L$57="Palier",IF(AND(BI$20&gt;='01_Input'!$J$57,BI$20&lt;'01_Input'!$K$57),'01_Input'!$M$57,0),MAX(MIN(BI$20,'01_Input'!$K$57)-'01_Input'!$J$57,0)*'01_Input'!$M$57))+IF('01_Input'!$P$57="Forfait",IF(BI$20&gt;='01_Input'!$N$57,'01_Input'!$Q$57,0),IF('01_Input'!$P$57="Palier",IF(AND(BI$20&gt;='01_Input'!$N$57,BI$20&lt;'01_Input'!$O$57),'01_Input'!$Q$57,0),MAX(MIN(BI$20,'01_Input'!$O$57)-'01_Input'!$N$57,0)*'01_Input'!$Q$57))+IF('01_Input'!$T$57="Forfait",IF(BI$20&gt;='01_Input'!$R$57,'01_Input'!$U$57,0),IF('01_Input'!$T$57="Palier",IF(AND(BI$20&gt;='01_Input'!$R$57,BI$20&lt;'01_Input'!$S$57),'01_Input'!$U$57,0),MAX(MIN(BI$20,'01_Input'!$S$57)-'01_Input'!$R$57,0)*'01_Input'!$U$57))+IF('01_Input'!$X$57="Forfait",IF(BI$20&gt;='01_Input'!$V$57,'01_Input'!$Y$57,0),IF('01_Input'!$X$57="Palier",IF(AND(BI$20&gt;='01_Input'!$V$57,BI$20&lt;'01_Input'!$W$57),'01_Input'!$Y$57,0),MAX(MIN(BI$20,'01_Input'!$W$57)-'01_Input'!$V$57,0)*'01_Input'!$Y$57))+IF('01_Input'!$AB$57="Forfait",IF(BI$20&gt;='01_Input'!$Z$57,'01_Input'!$AC$57,0),IF('01_Input'!$AB$57="Palier",IF(AND(BI$20&gt;='01_Input'!$Z$57,BI$20&lt;'01_Input'!$AA$57),'01_Input'!$AC$57,0),MAX(MIN(BI$20,'01_Input'!$AA$57)-'01_Input'!$Z$57,0)*'01_Input'!$AC$57)))))))))</f>
        <v>50000</v>
      </c>
      <c r="BJ25" s="25">
        <f>IF('01_Input'!$C$57="Non",0,MIN('01_Input'!$I$57,MAX('01_Input'!$H$57,IF('01_Input'!$G$57="Résiduel vs Gestion",0,IF('01_Input'!$G$57="Taux Classe sélectionnée",Distrib_Global_Classe_Selectionnee*BJ$20,IF('01_Input'!$G$57="Frais KYC (paliers de 100M€)",MAX(0,Nb_Investisseurs-Nb_KYC_Gratuites_Par_Tranche*(FLOOR(BJ$20/Taille_Tranche_KYC,1)+1))*Cout_Par_KYC_Supplementaire,(IF('01_Input'!$L$57="Forfait",IF(BJ$20&gt;='01_Input'!$J$57,'01_Input'!$M$57,0),IF('01_Input'!$L$57="Palier",IF(AND(BJ$20&gt;='01_Input'!$J$57,BJ$20&lt;'01_Input'!$K$57),'01_Input'!$M$57,0),MAX(MIN(BJ$20,'01_Input'!$K$57)-'01_Input'!$J$57,0)*'01_Input'!$M$57))+IF('01_Input'!$P$57="Forfait",IF(BJ$20&gt;='01_Input'!$N$57,'01_Input'!$Q$57,0),IF('01_Input'!$P$57="Palier",IF(AND(BJ$20&gt;='01_Input'!$N$57,BJ$20&lt;'01_Input'!$O$57),'01_Input'!$Q$57,0),MAX(MIN(BJ$20,'01_Input'!$O$57)-'01_Input'!$N$57,0)*'01_Input'!$Q$57))+IF('01_Input'!$T$57="Forfait",IF(BJ$20&gt;='01_Input'!$R$57,'01_Input'!$U$57,0),IF('01_Input'!$T$57="Palier",IF(AND(BJ$20&gt;='01_Input'!$R$57,BJ$20&lt;'01_Input'!$S$57),'01_Input'!$U$57,0),MAX(MIN(BJ$20,'01_Input'!$S$57)-'01_Input'!$R$57,0)*'01_Input'!$U$57))+IF('01_Input'!$X$57="Forfait",IF(BJ$20&gt;='01_Input'!$V$57,'01_Input'!$Y$57,0),IF('01_Input'!$X$57="Palier",IF(AND(BJ$20&gt;='01_Input'!$V$57,BJ$20&lt;'01_Input'!$W$57),'01_Input'!$Y$57,0),MAX(MIN(BJ$20,'01_Input'!$W$57)-'01_Input'!$V$57,0)*'01_Input'!$Y$57))+IF('01_Input'!$AB$57="Forfait",IF(BJ$20&gt;='01_Input'!$Z$57,'01_Input'!$AC$57,0),IF('01_Input'!$AB$57="Palier",IF(AND(BJ$20&gt;='01_Input'!$Z$57,BJ$20&lt;'01_Input'!$AA$57),'01_Input'!$AC$57,0),MAX(MIN(BJ$20,'01_Input'!$AA$57)-'01_Input'!$Z$57,0)*'01_Input'!$AC$57)))))))))</f>
        <v>50000</v>
      </c>
      <c r="BK25" s="25">
        <f>IF('01_Input'!$C$57="Non",0,MIN('01_Input'!$I$57,MAX('01_Input'!$H$57,IF('01_Input'!$G$57="Résiduel vs Gestion",0,IF('01_Input'!$G$57="Taux Classe sélectionnée",Distrib_Global_Classe_Selectionnee*BK$20,IF('01_Input'!$G$57="Frais KYC (paliers de 100M€)",MAX(0,Nb_Investisseurs-Nb_KYC_Gratuites_Par_Tranche*(FLOOR(BK$20/Taille_Tranche_KYC,1)+1))*Cout_Par_KYC_Supplementaire,(IF('01_Input'!$L$57="Forfait",IF(BK$20&gt;='01_Input'!$J$57,'01_Input'!$M$57,0),IF('01_Input'!$L$57="Palier",IF(AND(BK$20&gt;='01_Input'!$J$57,BK$20&lt;'01_Input'!$K$57),'01_Input'!$M$57,0),MAX(MIN(BK$20,'01_Input'!$K$57)-'01_Input'!$J$57,0)*'01_Input'!$M$57))+IF('01_Input'!$P$57="Forfait",IF(BK$20&gt;='01_Input'!$N$57,'01_Input'!$Q$57,0),IF('01_Input'!$P$57="Palier",IF(AND(BK$20&gt;='01_Input'!$N$57,BK$20&lt;'01_Input'!$O$57),'01_Input'!$Q$57,0),MAX(MIN(BK$20,'01_Input'!$O$57)-'01_Input'!$N$57,0)*'01_Input'!$Q$57))+IF('01_Input'!$T$57="Forfait",IF(BK$20&gt;='01_Input'!$R$57,'01_Input'!$U$57,0),IF('01_Input'!$T$57="Palier",IF(AND(BK$20&gt;='01_Input'!$R$57,BK$20&lt;'01_Input'!$S$57),'01_Input'!$U$57,0),MAX(MIN(BK$20,'01_Input'!$S$57)-'01_Input'!$R$57,0)*'01_Input'!$U$57))+IF('01_Input'!$X$57="Forfait",IF(BK$20&gt;='01_Input'!$V$57,'01_Input'!$Y$57,0),IF('01_Input'!$X$57="Palier",IF(AND(BK$20&gt;='01_Input'!$V$57,BK$20&lt;'01_Input'!$W$57),'01_Input'!$Y$57,0),MAX(MIN(BK$20,'01_Input'!$W$57)-'01_Input'!$V$57,0)*'01_Input'!$Y$57))+IF('01_Input'!$AB$57="Forfait",IF(BK$20&gt;='01_Input'!$Z$57,'01_Input'!$AC$57,0),IF('01_Input'!$AB$57="Palier",IF(AND(BK$20&gt;='01_Input'!$Z$57,BK$20&lt;'01_Input'!$AA$57),'01_Input'!$AC$57,0),MAX(MIN(BK$20,'01_Input'!$AA$57)-'01_Input'!$Z$57,0)*'01_Input'!$AC$57)))))))))</f>
        <v>50000</v>
      </c>
      <c r="BL25" s="25">
        <f>IF('01_Input'!$C$57="Non",0,MIN('01_Input'!$I$57,MAX('01_Input'!$H$57,IF('01_Input'!$G$57="Résiduel vs Gestion",0,IF('01_Input'!$G$57="Taux Classe sélectionnée",Distrib_Global_Classe_Selectionnee*BL$20,IF('01_Input'!$G$57="Frais KYC (paliers de 100M€)",MAX(0,Nb_Investisseurs-Nb_KYC_Gratuites_Par_Tranche*(FLOOR(BL$20/Taille_Tranche_KYC,1)+1))*Cout_Par_KYC_Supplementaire,(IF('01_Input'!$L$57="Forfait",IF(BL$20&gt;='01_Input'!$J$57,'01_Input'!$M$57,0),IF('01_Input'!$L$57="Palier",IF(AND(BL$20&gt;='01_Input'!$J$57,BL$20&lt;'01_Input'!$K$57),'01_Input'!$M$57,0),MAX(MIN(BL$20,'01_Input'!$K$57)-'01_Input'!$J$57,0)*'01_Input'!$M$57))+IF('01_Input'!$P$57="Forfait",IF(BL$20&gt;='01_Input'!$N$57,'01_Input'!$Q$57,0),IF('01_Input'!$P$57="Palier",IF(AND(BL$20&gt;='01_Input'!$N$57,BL$20&lt;'01_Input'!$O$57),'01_Input'!$Q$57,0),MAX(MIN(BL$20,'01_Input'!$O$57)-'01_Input'!$N$57,0)*'01_Input'!$Q$57))+IF('01_Input'!$T$57="Forfait",IF(BL$20&gt;='01_Input'!$R$57,'01_Input'!$U$57,0),IF('01_Input'!$T$57="Palier",IF(AND(BL$20&gt;='01_Input'!$R$57,BL$20&lt;'01_Input'!$S$57),'01_Input'!$U$57,0),MAX(MIN(BL$20,'01_Input'!$S$57)-'01_Input'!$R$57,0)*'01_Input'!$U$57))+IF('01_Input'!$X$57="Forfait",IF(BL$20&gt;='01_Input'!$V$57,'01_Input'!$Y$57,0),IF('01_Input'!$X$57="Palier",IF(AND(BL$20&gt;='01_Input'!$V$57,BL$20&lt;'01_Input'!$W$57),'01_Input'!$Y$57,0),MAX(MIN(BL$20,'01_Input'!$W$57)-'01_Input'!$V$57,0)*'01_Input'!$Y$57))+IF('01_Input'!$AB$57="Forfait",IF(BL$20&gt;='01_Input'!$Z$57,'01_Input'!$AC$57,0),IF('01_Input'!$AB$57="Palier",IF(AND(BL$20&gt;='01_Input'!$Z$57,BL$20&lt;'01_Input'!$AA$57),'01_Input'!$AC$57,0),MAX(MIN(BL$20,'01_Input'!$AA$57)-'01_Input'!$Z$57,0)*'01_Input'!$AC$57)))))))))</f>
        <v>50000</v>
      </c>
      <c r="BM25" s="25">
        <f>IF('01_Input'!$C$57="Non",0,MIN('01_Input'!$I$57,MAX('01_Input'!$H$57,IF('01_Input'!$G$57="Résiduel vs Gestion",0,IF('01_Input'!$G$57="Taux Classe sélectionnée",Distrib_Global_Classe_Selectionnee*BM$20,IF('01_Input'!$G$57="Frais KYC (paliers de 100M€)",MAX(0,Nb_Investisseurs-Nb_KYC_Gratuites_Par_Tranche*(FLOOR(BM$20/Taille_Tranche_KYC,1)+1))*Cout_Par_KYC_Supplementaire,(IF('01_Input'!$L$57="Forfait",IF(BM$20&gt;='01_Input'!$J$57,'01_Input'!$M$57,0),IF('01_Input'!$L$57="Palier",IF(AND(BM$20&gt;='01_Input'!$J$57,BM$20&lt;'01_Input'!$K$57),'01_Input'!$M$57,0),MAX(MIN(BM$20,'01_Input'!$K$57)-'01_Input'!$J$57,0)*'01_Input'!$M$57))+IF('01_Input'!$P$57="Forfait",IF(BM$20&gt;='01_Input'!$N$57,'01_Input'!$Q$57,0),IF('01_Input'!$P$57="Palier",IF(AND(BM$20&gt;='01_Input'!$N$57,BM$20&lt;'01_Input'!$O$57),'01_Input'!$Q$57,0),MAX(MIN(BM$20,'01_Input'!$O$57)-'01_Input'!$N$57,0)*'01_Input'!$Q$57))+IF('01_Input'!$T$57="Forfait",IF(BM$20&gt;='01_Input'!$R$57,'01_Input'!$U$57,0),IF('01_Input'!$T$57="Palier",IF(AND(BM$20&gt;='01_Input'!$R$57,BM$20&lt;'01_Input'!$S$57),'01_Input'!$U$57,0),MAX(MIN(BM$20,'01_Input'!$S$57)-'01_Input'!$R$57,0)*'01_Input'!$U$57))+IF('01_Input'!$X$57="Forfait",IF(BM$20&gt;='01_Input'!$V$57,'01_Input'!$Y$57,0),IF('01_Input'!$X$57="Palier",IF(AND(BM$20&gt;='01_Input'!$V$57,BM$20&lt;'01_Input'!$W$57),'01_Input'!$Y$57,0),MAX(MIN(BM$20,'01_Input'!$W$57)-'01_Input'!$V$57,0)*'01_Input'!$Y$57))+IF('01_Input'!$AB$57="Forfait",IF(BM$20&gt;='01_Input'!$Z$57,'01_Input'!$AC$57,0),IF('01_Input'!$AB$57="Palier",IF(AND(BM$20&gt;='01_Input'!$Z$57,BM$20&lt;'01_Input'!$AA$57),'01_Input'!$AC$57,0),MAX(MIN(BM$20,'01_Input'!$AA$57)-'01_Input'!$Z$57,0)*'01_Input'!$AC$57)))))))))</f>
        <v>50000</v>
      </c>
      <c r="BN25" s="25">
        <f>IF('01_Input'!$C$57="Non",0,MIN('01_Input'!$I$57,MAX('01_Input'!$H$57,IF('01_Input'!$G$57="Résiduel vs Gestion",0,IF('01_Input'!$G$57="Taux Classe sélectionnée",Distrib_Global_Classe_Selectionnee*BN$20,IF('01_Input'!$G$57="Frais KYC (paliers de 100M€)",MAX(0,Nb_Investisseurs-Nb_KYC_Gratuites_Par_Tranche*(FLOOR(BN$20/Taille_Tranche_KYC,1)+1))*Cout_Par_KYC_Supplementaire,(IF('01_Input'!$L$57="Forfait",IF(BN$20&gt;='01_Input'!$J$57,'01_Input'!$M$57,0),IF('01_Input'!$L$57="Palier",IF(AND(BN$20&gt;='01_Input'!$J$57,BN$20&lt;'01_Input'!$K$57),'01_Input'!$M$57,0),MAX(MIN(BN$20,'01_Input'!$K$57)-'01_Input'!$J$57,0)*'01_Input'!$M$57))+IF('01_Input'!$P$57="Forfait",IF(BN$20&gt;='01_Input'!$N$57,'01_Input'!$Q$57,0),IF('01_Input'!$P$57="Palier",IF(AND(BN$20&gt;='01_Input'!$N$57,BN$20&lt;'01_Input'!$O$57),'01_Input'!$Q$57,0),MAX(MIN(BN$20,'01_Input'!$O$57)-'01_Input'!$N$57,0)*'01_Input'!$Q$57))+IF('01_Input'!$T$57="Forfait",IF(BN$20&gt;='01_Input'!$R$57,'01_Input'!$U$57,0),IF('01_Input'!$T$57="Palier",IF(AND(BN$20&gt;='01_Input'!$R$57,BN$20&lt;'01_Input'!$S$57),'01_Input'!$U$57,0),MAX(MIN(BN$20,'01_Input'!$S$57)-'01_Input'!$R$57,0)*'01_Input'!$U$57))+IF('01_Input'!$X$57="Forfait",IF(BN$20&gt;='01_Input'!$V$57,'01_Input'!$Y$57,0),IF('01_Input'!$X$57="Palier",IF(AND(BN$20&gt;='01_Input'!$V$57,BN$20&lt;'01_Input'!$W$57),'01_Input'!$Y$57,0),MAX(MIN(BN$20,'01_Input'!$W$57)-'01_Input'!$V$57,0)*'01_Input'!$Y$57))+IF('01_Input'!$AB$57="Forfait",IF(BN$20&gt;='01_Input'!$Z$57,'01_Input'!$AC$57,0),IF('01_Input'!$AB$57="Palier",IF(AND(BN$20&gt;='01_Input'!$Z$57,BN$20&lt;'01_Input'!$AA$57),'01_Input'!$AC$57,0),MAX(MIN(BN$20,'01_Input'!$AA$57)-'01_Input'!$Z$57,0)*'01_Input'!$AC$57)))))))))</f>
        <v>50000</v>
      </c>
      <c r="BO25" s="25">
        <f>IF('01_Input'!$C$57="Non",0,MIN('01_Input'!$I$57,MAX('01_Input'!$H$57,IF('01_Input'!$G$57="Résiduel vs Gestion",0,IF('01_Input'!$G$57="Taux Classe sélectionnée",Distrib_Global_Classe_Selectionnee*BO$20,IF('01_Input'!$G$57="Frais KYC (paliers de 100M€)",MAX(0,Nb_Investisseurs-Nb_KYC_Gratuites_Par_Tranche*(FLOOR(BO$20/Taille_Tranche_KYC,1)+1))*Cout_Par_KYC_Supplementaire,(IF('01_Input'!$L$57="Forfait",IF(BO$20&gt;='01_Input'!$J$57,'01_Input'!$M$57,0),IF('01_Input'!$L$57="Palier",IF(AND(BO$20&gt;='01_Input'!$J$57,BO$20&lt;'01_Input'!$K$57),'01_Input'!$M$57,0),MAX(MIN(BO$20,'01_Input'!$K$57)-'01_Input'!$J$57,0)*'01_Input'!$M$57))+IF('01_Input'!$P$57="Forfait",IF(BO$20&gt;='01_Input'!$N$57,'01_Input'!$Q$57,0),IF('01_Input'!$P$57="Palier",IF(AND(BO$20&gt;='01_Input'!$N$57,BO$20&lt;'01_Input'!$O$57),'01_Input'!$Q$57,0),MAX(MIN(BO$20,'01_Input'!$O$57)-'01_Input'!$N$57,0)*'01_Input'!$Q$57))+IF('01_Input'!$T$57="Forfait",IF(BO$20&gt;='01_Input'!$R$57,'01_Input'!$U$57,0),IF('01_Input'!$T$57="Palier",IF(AND(BO$20&gt;='01_Input'!$R$57,BO$20&lt;'01_Input'!$S$57),'01_Input'!$U$57,0),MAX(MIN(BO$20,'01_Input'!$S$57)-'01_Input'!$R$57,0)*'01_Input'!$U$57))+IF('01_Input'!$X$57="Forfait",IF(BO$20&gt;='01_Input'!$V$57,'01_Input'!$Y$57,0),IF('01_Input'!$X$57="Palier",IF(AND(BO$20&gt;='01_Input'!$V$57,BO$20&lt;'01_Input'!$W$57),'01_Input'!$Y$57,0),MAX(MIN(BO$20,'01_Input'!$W$57)-'01_Input'!$V$57,0)*'01_Input'!$Y$57))+IF('01_Input'!$AB$57="Forfait",IF(BO$20&gt;='01_Input'!$Z$57,'01_Input'!$AC$57,0),IF('01_Input'!$AB$57="Palier",IF(AND(BO$20&gt;='01_Input'!$Z$57,BO$20&lt;'01_Input'!$AA$57),'01_Input'!$AC$57,0),MAX(MIN(BO$20,'01_Input'!$AA$57)-'01_Input'!$Z$57,0)*'01_Input'!$AC$57)))))))))</f>
        <v>50000</v>
      </c>
      <c r="BP25" s="25">
        <f>IF('01_Input'!$C$57="Non",0,MIN('01_Input'!$I$57,MAX('01_Input'!$H$57,IF('01_Input'!$G$57="Résiduel vs Gestion",0,IF('01_Input'!$G$57="Taux Classe sélectionnée",Distrib_Global_Classe_Selectionnee*BP$20,IF('01_Input'!$G$57="Frais KYC (paliers de 100M€)",MAX(0,Nb_Investisseurs-Nb_KYC_Gratuites_Par_Tranche*(FLOOR(BP$20/Taille_Tranche_KYC,1)+1))*Cout_Par_KYC_Supplementaire,(IF('01_Input'!$L$57="Forfait",IF(BP$20&gt;='01_Input'!$J$57,'01_Input'!$M$57,0),IF('01_Input'!$L$57="Palier",IF(AND(BP$20&gt;='01_Input'!$J$57,BP$20&lt;'01_Input'!$K$57),'01_Input'!$M$57,0),MAX(MIN(BP$20,'01_Input'!$K$57)-'01_Input'!$J$57,0)*'01_Input'!$M$57))+IF('01_Input'!$P$57="Forfait",IF(BP$20&gt;='01_Input'!$N$57,'01_Input'!$Q$57,0),IF('01_Input'!$P$57="Palier",IF(AND(BP$20&gt;='01_Input'!$N$57,BP$20&lt;'01_Input'!$O$57),'01_Input'!$Q$57,0),MAX(MIN(BP$20,'01_Input'!$O$57)-'01_Input'!$N$57,0)*'01_Input'!$Q$57))+IF('01_Input'!$T$57="Forfait",IF(BP$20&gt;='01_Input'!$R$57,'01_Input'!$U$57,0),IF('01_Input'!$T$57="Palier",IF(AND(BP$20&gt;='01_Input'!$R$57,BP$20&lt;'01_Input'!$S$57),'01_Input'!$U$57,0),MAX(MIN(BP$20,'01_Input'!$S$57)-'01_Input'!$R$57,0)*'01_Input'!$U$57))+IF('01_Input'!$X$57="Forfait",IF(BP$20&gt;='01_Input'!$V$57,'01_Input'!$Y$57,0),IF('01_Input'!$X$57="Palier",IF(AND(BP$20&gt;='01_Input'!$V$57,BP$20&lt;'01_Input'!$W$57),'01_Input'!$Y$57,0),MAX(MIN(BP$20,'01_Input'!$W$57)-'01_Input'!$V$57,0)*'01_Input'!$Y$57))+IF('01_Input'!$AB$57="Forfait",IF(BP$20&gt;='01_Input'!$Z$57,'01_Input'!$AC$57,0),IF('01_Input'!$AB$57="Palier",IF(AND(BP$20&gt;='01_Input'!$Z$57,BP$20&lt;'01_Input'!$AA$57),'01_Input'!$AC$57,0),MAX(MIN(BP$20,'01_Input'!$AA$57)-'01_Input'!$Z$57,0)*'01_Input'!$AC$57)))))))))</f>
        <v>50000</v>
      </c>
      <c r="BQ25" s="25">
        <f>IF('01_Input'!$C$57="Non",0,MIN('01_Input'!$I$57,MAX('01_Input'!$H$57,IF('01_Input'!$G$57="Résiduel vs Gestion",0,IF('01_Input'!$G$57="Taux Classe sélectionnée",Distrib_Global_Classe_Selectionnee*BQ$20,IF('01_Input'!$G$57="Frais KYC (paliers de 100M€)",MAX(0,Nb_Investisseurs-Nb_KYC_Gratuites_Par_Tranche*(FLOOR(BQ$20/Taille_Tranche_KYC,1)+1))*Cout_Par_KYC_Supplementaire,(IF('01_Input'!$L$57="Forfait",IF(BQ$20&gt;='01_Input'!$J$57,'01_Input'!$M$57,0),IF('01_Input'!$L$57="Palier",IF(AND(BQ$20&gt;='01_Input'!$J$57,BQ$20&lt;'01_Input'!$K$57),'01_Input'!$M$57,0),MAX(MIN(BQ$20,'01_Input'!$K$57)-'01_Input'!$J$57,0)*'01_Input'!$M$57))+IF('01_Input'!$P$57="Forfait",IF(BQ$20&gt;='01_Input'!$N$57,'01_Input'!$Q$57,0),IF('01_Input'!$P$57="Palier",IF(AND(BQ$20&gt;='01_Input'!$N$57,BQ$20&lt;'01_Input'!$O$57),'01_Input'!$Q$57,0),MAX(MIN(BQ$20,'01_Input'!$O$57)-'01_Input'!$N$57,0)*'01_Input'!$Q$57))+IF('01_Input'!$T$57="Forfait",IF(BQ$20&gt;='01_Input'!$R$57,'01_Input'!$U$57,0),IF('01_Input'!$T$57="Palier",IF(AND(BQ$20&gt;='01_Input'!$R$57,BQ$20&lt;'01_Input'!$S$57),'01_Input'!$U$57,0),MAX(MIN(BQ$20,'01_Input'!$S$57)-'01_Input'!$R$57,0)*'01_Input'!$U$57))+IF('01_Input'!$X$57="Forfait",IF(BQ$20&gt;='01_Input'!$V$57,'01_Input'!$Y$57,0),IF('01_Input'!$X$57="Palier",IF(AND(BQ$20&gt;='01_Input'!$V$57,BQ$20&lt;'01_Input'!$W$57),'01_Input'!$Y$57,0),MAX(MIN(BQ$20,'01_Input'!$W$57)-'01_Input'!$V$57,0)*'01_Input'!$Y$57))+IF('01_Input'!$AB$57="Forfait",IF(BQ$20&gt;='01_Input'!$Z$57,'01_Input'!$AC$57,0),IF('01_Input'!$AB$57="Palier",IF(AND(BQ$20&gt;='01_Input'!$Z$57,BQ$20&lt;'01_Input'!$AA$57),'01_Input'!$AC$57,0),MAX(MIN(BQ$20,'01_Input'!$AA$57)-'01_Input'!$Z$57,0)*'01_Input'!$AC$57)))))))))</f>
        <v>50000</v>
      </c>
      <c r="BR25" s="25">
        <f>IF('01_Input'!$C$57="Non",0,MIN('01_Input'!$I$57,MAX('01_Input'!$H$57,IF('01_Input'!$G$57="Résiduel vs Gestion",0,IF('01_Input'!$G$57="Taux Classe sélectionnée",Distrib_Global_Classe_Selectionnee*BR$20,IF('01_Input'!$G$57="Frais KYC (paliers de 100M€)",MAX(0,Nb_Investisseurs-Nb_KYC_Gratuites_Par_Tranche*(FLOOR(BR$20/Taille_Tranche_KYC,1)+1))*Cout_Par_KYC_Supplementaire,(IF('01_Input'!$L$57="Forfait",IF(BR$20&gt;='01_Input'!$J$57,'01_Input'!$M$57,0),IF('01_Input'!$L$57="Palier",IF(AND(BR$20&gt;='01_Input'!$J$57,BR$20&lt;'01_Input'!$K$57),'01_Input'!$M$57,0),MAX(MIN(BR$20,'01_Input'!$K$57)-'01_Input'!$J$57,0)*'01_Input'!$M$57))+IF('01_Input'!$P$57="Forfait",IF(BR$20&gt;='01_Input'!$N$57,'01_Input'!$Q$57,0),IF('01_Input'!$P$57="Palier",IF(AND(BR$20&gt;='01_Input'!$N$57,BR$20&lt;'01_Input'!$O$57),'01_Input'!$Q$57,0),MAX(MIN(BR$20,'01_Input'!$O$57)-'01_Input'!$N$57,0)*'01_Input'!$Q$57))+IF('01_Input'!$T$57="Forfait",IF(BR$20&gt;='01_Input'!$R$57,'01_Input'!$U$57,0),IF('01_Input'!$T$57="Palier",IF(AND(BR$20&gt;='01_Input'!$R$57,BR$20&lt;'01_Input'!$S$57),'01_Input'!$U$57,0),MAX(MIN(BR$20,'01_Input'!$S$57)-'01_Input'!$R$57,0)*'01_Input'!$U$57))+IF('01_Input'!$X$57="Forfait",IF(BR$20&gt;='01_Input'!$V$57,'01_Input'!$Y$57,0),IF('01_Input'!$X$57="Palier",IF(AND(BR$20&gt;='01_Input'!$V$57,BR$20&lt;'01_Input'!$W$57),'01_Input'!$Y$57,0),MAX(MIN(BR$20,'01_Input'!$W$57)-'01_Input'!$V$57,0)*'01_Input'!$Y$57))+IF('01_Input'!$AB$57="Forfait",IF(BR$20&gt;='01_Input'!$Z$57,'01_Input'!$AC$57,0),IF('01_Input'!$AB$57="Palier",IF(AND(BR$20&gt;='01_Input'!$Z$57,BR$20&lt;'01_Input'!$AA$57),'01_Input'!$AC$57,0),MAX(MIN(BR$20,'01_Input'!$AA$57)-'01_Input'!$Z$57,0)*'01_Input'!$AC$57)))))))))</f>
        <v>50000</v>
      </c>
      <c r="BS25" s="25">
        <f>IF('01_Input'!$C$57="Non",0,MIN('01_Input'!$I$57,MAX('01_Input'!$H$57,IF('01_Input'!$G$57="Résiduel vs Gestion",0,IF('01_Input'!$G$57="Taux Classe sélectionnée",Distrib_Global_Classe_Selectionnee*BS$20,IF('01_Input'!$G$57="Frais KYC (paliers de 100M€)",MAX(0,Nb_Investisseurs-Nb_KYC_Gratuites_Par_Tranche*(FLOOR(BS$20/Taille_Tranche_KYC,1)+1))*Cout_Par_KYC_Supplementaire,(IF('01_Input'!$L$57="Forfait",IF(BS$20&gt;='01_Input'!$J$57,'01_Input'!$M$57,0),IF('01_Input'!$L$57="Palier",IF(AND(BS$20&gt;='01_Input'!$J$57,BS$20&lt;'01_Input'!$K$57),'01_Input'!$M$57,0),MAX(MIN(BS$20,'01_Input'!$K$57)-'01_Input'!$J$57,0)*'01_Input'!$M$57))+IF('01_Input'!$P$57="Forfait",IF(BS$20&gt;='01_Input'!$N$57,'01_Input'!$Q$57,0),IF('01_Input'!$P$57="Palier",IF(AND(BS$20&gt;='01_Input'!$N$57,BS$20&lt;'01_Input'!$O$57),'01_Input'!$Q$57,0),MAX(MIN(BS$20,'01_Input'!$O$57)-'01_Input'!$N$57,0)*'01_Input'!$Q$57))+IF('01_Input'!$T$57="Forfait",IF(BS$20&gt;='01_Input'!$R$57,'01_Input'!$U$57,0),IF('01_Input'!$T$57="Palier",IF(AND(BS$20&gt;='01_Input'!$R$57,BS$20&lt;'01_Input'!$S$57),'01_Input'!$U$57,0),MAX(MIN(BS$20,'01_Input'!$S$57)-'01_Input'!$R$57,0)*'01_Input'!$U$57))+IF('01_Input'!$X$57="Forfait",IF(BS$20&gt;='01_Input'!$V$57,'01_Input'!$Y$57,0),IF('01_Input'!$X$57="Palier",IF(AND(BS$20&gt;='01_Input'!$V$57,BS$20&lt;'01_Input'!$W$57),'01_Input'!$Y$57,0),MAX(MIN(BS$20,'01_Input'!$W$57)-'01_Input'!$V$57,0)*'01_Input'!$Y$57))+IF('01_Input'!$AB$57="Forfait",IF(BS$20&gt;='01_Input'!$Z$57,'01_Input'!$AC$57,0),IF('01_Input'!$AB$57="Palier",IF(AND(BS$20&gt;='01_Input'!$Z$57,BS$20&lt;'01_Input'!$AA$57),'01_Input'!$AC$57,0),MAX(MIN(BS$20,'01_Input'!$AA$57)-'01_Input'!$Z$57,0)*'01_Input'!$AC$57)))))))))</f>
        <v>50000</v>
      </c>
      <c r="BT25" s="25">
        <f>IF('01_Input'!$C$57="Non",0,MIN('01_Input'!$I$57,MAX('01_Input'!$H$57,IF('01_Input'!$G$57="Résiduel vs Gestion",0,IF('01_Input'!$G$57="Taux Classe sélectionnée",Distrib_Global_Classe_Selectionnee*BT$20,IF('01_Input'!$G$57="Frais KYC (paliers de 100M€)",MAX(0,Nb_Investisseurs-Nb_KYC_Gratuites_Par_Tranche*(FLOOR(BT$20/Taille_Tranche_KYC,1)+1))*Cout_Par_KYC_Supplementaire,(IF('01_Input'!$L$57="Forfait",IF(BT$20&gt;='01_Input'!$J$57,'01_Input'!$M$57,0),IF('01_Input'!$L$57="Palier",IF(AND(BT$20&gt;='01_Input'!$J$57,BT$20&lt;'01_Input'!$K$57),'01_Input'!$M$57,0),MAX(MIN(BT$20,'01_Input'!$K$57)-'01_Input'!$J$57,0)*'01_Input'!$M$57))+IF('01_Input'!$P$57="Forfait",IF(BT$20&gt;='01_Input'!$N$57,'01_Input'!$Q$57,0),IF('01_Input'!$P$57="Palier",IF(AND(BT$20&gt;='01_Input'!$N$57,BT$20&lt;'01_Input'!$O$57),'01_Input'!$Q$57,0),MAX(MIN(BT$20,'01_Input'!$O$57)-'01_Input'!$N$57,0)*'01_Input'!$Q$57))+IF('01_Input'!$T$57="Forfait",IF(BT$20&gt;='01_Input'!$R$57,'01_Input'!$U$57,0),IF('01_Input'!$T$57="Palier",IF(AND(BT$20&gt;='01_Input'!$R$57,BT$20&lt;'01_Input'!$S$57),'01_Input'!$U$57,0),MAX(MIN(BT$20,'01_Input'!$S$57)-'01_Input'!$R$57,0)*'01_Input'!$U$57))+IF('01_Input'!$X$57="Forfait",IF(BT$20&gt;='01_Input'!$V$57,'01_Input'!$Y$57,0),IF('01_Input'!$X$57="Palier",IF(AND(BT$20&gt;='01_Input'!$V$57,BT$20&lt;'01_Input'!$W$57),'01_Input'!$Y$57,0),MAX(MIN(BT$20,'01_Input'!$W$57)-'01_Input'!$V$57,0)*'01_Input'!$Y$57))+IF('01_Input'!$AB$57="Forfait",IF(BT$20&gt;='01_Input'!$Z$57,'01_Input'!$AC$57,0),IF('01_Input'!$AB$57="Palier",IF(AND(BT$20&gt;='01_Input'!$Z$57,BT$20&lt;'01_Input'!$AA$57),'01_Input'!$AC$57,0),MAX(MIN(BT$20,'01_Input'!$AA$57)-'01_Input'!$Z$57,0)*'01_Input'!$AC$57)))))))))</f>
        <v>50000</v>
      </c>
      <c r="BU25" s="25">
        <f>IF('01_Input'!$C$57="Non",0,MIN('01_Input'!$I$57,MAX('01_Input'!$H$57,IF('01_Input'!$G$57="Résiduel vs Gestion",0,IF('01_Input'!$G$57="Taux Classe sélectionnée",Distrib_Global_Classe_Selectionnee*BU$20,IF('01_Input'!$G$57="Frais KYC (paliers de 100M€)",MAX(0,Nb_Investisseurs-Nb_KYC_Gratuites_Par_Tranche*(FLOOR(BU$20/Taille_Tranche_KYC,1)+1))*Cout_Par_KYC_Supplementaire,(IF('01_Input'!$L$57="Forfait",IF(BU$20&gt;='01_Input'!$J$57,'01_Input'!$M$57,0),IF('01_Input'!$L$57="Palier",IF(AND(BU$20&gt;='01_Input'!$J$57,BU$20&lt;'01_Input'!$K$57),'01_Input'!$M$57,0),MAX(MIN(BU$20,'01_Input'!$K$57)-'01_Input'!$J$57,0)*'01_Input'!$M$57))+IF('01_Input'!$P$57="Forfait",IF(BU$20&gt;='01_Input'!$N$57,'01_Input'!$Q$57,0),IF('01_Input'!$P$57="Palier",IF(AND(BU$20&gt;='01_Input'!$N$57,BU$20&lt;'01_Input'!$O$57),'01_Input'!$Q$57,0),MAX(MIN(BU$20,'01_Input'!$O$57)-'01_Input'!$N$57,0)*'01_Input'!$Q$57))+IF('01_Input'!$T$57="Forfait",IF(BU$20&gt;='01_Input'!$R$57,'01_Input'!$U$57,0),IF('01_Input'!$T$57="Palier",IF(AND(BU$20&gt;='01_Input'!$R$57,BU$20&lt;'01_Input'!$S$57),'01_Input'!$U$57,0),MAX(MIN(BU$20,'01_Input'!$S$57)-'01_Input'!$R$57,0)*'01_Input'!$U$57))+IF('01_Input'!$X$57="Forfait",IF(BU$20&gt;='01_Input'!$V$57,'01_Input'!$Y$57,0),IF('01_Input'!$X$57="Palier",IF(AND(BU$20&gt;='01_Input'!$V$57,BU$20&lt;'01_Input'!$W$57),'01_Input'!$Y$57,0),MAX(MIN(BU$20,'01_Input'!$W$57)-'01_Input'!$V$57,0)*'01_Input'!$Y$57))+IF('01_Input'!$AB$57="Forfait",IF(BU$20&gt;='01_Input'!$Z$57,'01_Input'!$AC$57,0),IF('01_Input'!$AB$57="Palier",IF(AND(BU$20&gt;='01_Input'!$Z$57,BU$20&lt;'01_Input'!$AA$57),'01_Input'!$AC$57,0),MAX(MIN(BU$20,'01_Input'!$AA$57)-'01_Input'!$Z$57,0)*'01_Input'!$AC$57)))))))))</f>
        <v>50000</v>
      </c>
      <c r="BV25" s="25">
        <f>IF('01_Input'!$C$57="Non",0,MIN('01_Input'!$I$57,MAX('01_Input'!$H$57,IF('01_Input'!$G$57="Résiduel vs Gestion",0,IF('01_Input'!$G$57="Taux Classe sélectionnée",Distrib_Global_Classe_Selectionnee*BV$20,IF('01_Input'!$G$57="Frais KYC (paliers de 100M€)",MAX(0,Nb_Investisseurs-Nb_KYC_Gratuites_Par_Tranche*(FLOOR(BV$20/Taille_Tranche_KYC,1)+1))*Cout_Par_KYC_Supplementaire,(IF('01_Input'!$L$57="Forfait",IF(BV$20&gt;='01_Input'!$J$57,'01_Input'!$M$57,0),IF('01_Input'!$L$57="Palier",IF(AND(BV$20&gt;='01_Input'!$J$57,BV$20&lt;'01_Input'!$K$57),'01_Input'!$M$57,0),MAX(MIN(BV$20,'01_Input'!$K$57)-'01_Input'!$J$57,0)*'01_Input'!$M$57))+IF('01_Input'!$P$57="Forfait",IF(BV$20&gt;='01_Input'!$N$57,'01_Input'!$Q$57,0),IF('01_Input'!$P$57="Palier",IF(AND(BV$20&gt;='01_Input'!$N$57,BV$20&lt;'01_Input'!$O$57),'01_Input'!$Q$57,0),MAX(MIN(BV$20,'01_Input'!$O$57)-'01_Input'!$N$57,0)*'01_Input'!$Q$57))+IF('01_Input'!$T$57="Forfait",IF(BV$20&gt;='01_Input'!$R$57,'01_Input'!$U$57,0),IF('01_Input'!$T$57="Palier",IF(AND(BV$20&gt;='01_Input'!$R$57,BV$20&lt;'01_Input'!$S$57),'01_Input'!$U$57,0),MAX(MIN(BV$20,'01_Input'!$S$57)-'01_Input'!$R$57,0)*'01_Input'!$U$57))+IF('01_Input'!$X$57="Forfait",IF(BV$20&gt;='01_Input'!$V$57,'01_Input'!$Y$57,0),IF('01_Input'!$X$57="Palier",IF(AND(BV$20&gt;='01_Input'!$V$57,BV$20&lt;'01_Input'!$W$57),'01_Input'!$Y$57,0),MAX(MIN(BV$20,'01_Input'!$W$57)-'01_Input'!$V$57,0)*'01_Input'!$Y$57))+IF('01_Input'!$AB$57="Forfait",IF(BV$20&gt;='01_Input'!$Z$57,'01_Input'!$AC$57,0),IF('01_Input'!$AB$57="Palier",IF(AND(BV$20&gt;='01_Input'!$Z$57,BV$20&lt;'01_Input'!$AA$57),'01_Input'!$AC$57,0),MAX(MIN(BV$20,'01_Input'!$AA$57)-'01_Input'!$Z$57,0)*'01_Input'!$AC$57)))))))))</f>
        <v>50000</v>
      </c>
      <c r="BW25" s="25">
        <f>IF('01_Input'!$C$57="Non",0,MIN('01_Input'!$I$57,MAX('01_Input'!$H$57,IF('01_Input'!$G$57="Résiduel vs Gestion",0,IF('01_Input'!$G$57="Taux Classe sélectionnée",Distrib_Global_Classe_Selectionnee*BW$20,IF('01_Input'!$G$57="Frais KYC (paliers de 100M€)",MAX(0,Nb_Investisseurs-Nb_KYC_Gratuites_Par_Tranche*(FLOOR(BW$20/Taille_Tranche_KYC,1)+1))*Cout_Par_KYC_Supplementaire,(IF('01_Input'!$L$57="Forfait",IF(BW$20&gt;='01_Input'!$J$57,'01_Input'!$M$57,0),IF('01_Input'!$L$57="Palier",IF(AND(BW$20&gt;='01_Input'!$J$57,BW$20&lt;'01_Input'!$K$57),'01_Input'!$M$57,0),MAX(MIN(BW$20,'01_Input'!$K$57)-'01_Input'!$J$57,0)*'01_Input'!$M$57))+IF('01_Input'!$P$57="Forfait",IF(BW$20&gt;='01_Input'!$N$57,'01_Input'!$Q$57,0),IF('01_Input'!$P$57="Palier",IF(AND(BW$20&gt;='01_Input'!$N$57,BW$20&lt;'01_Input'!$O$57),'01_Input'!$Q$57,0),MAX(MIN(BW$20,'01_Input'!$O$57)-'01_Input'!$N$57,0)*'01_Input'!$Q$57))+IF('01_Input'!$T$57="Forfait",IF(BW$20&gt;='01_Input'!$R$57,'01_Input'!$U$57,0),IF('01_Input'!$T$57="Palier",IF(AND(BW$20&gt;='01_Input'!$R$57,BW$20&lt;'01_Input'!$S$57),'01_Input'!$U$57,0),MAX(MIN(BW$20,'01_Input'!$S$57)-'01_Input'!$R$57,0)*'01_Input'!$U$57))+IF('01_Input'!$X$57="Forfait",IF(BW$20&gt;='01_Input'!$V$57,'01_Input'!$Y$57,0),IF('01_Input'!$X$57="Palier",IF(AND(BW$20&gt;='01_Input'!$V$57,BW$20&lt;'01_Input'!$W$57),'01_Input'!$Y$57,0),MAX(MIN(BW$20,'01_Input'!$W$57)-'01_Input'!$V$57,0)*'01_Input'!$Y$57))+IF('01_Input'!$AB$57="Forfait",IF(BW$20&gt;='01_Input'!$Z$57,'01_Input'!$AC$57,0),IF('01_Input'!$AB$57="Palier",IF(AND(BW$20&gt;='01_Input'!$Z$57,BW$20&lt;'01_Input'!$AA$57),'01_Input'!$AC$57,0),MAX(MIN(BW$20,'01_Input'!$AA$57)-'01_Input'!$Z$57,0)*'01_Input'!$AC$57)))))))))</f>
        <v>50000</v>
      </c>
      <c r="BX25" s="25">
        <f>IF('01_Input'!$C$57="Non",0,MIN('01_Input'!$I$57,MAX('01_Input'!$H$57,IF('01_Input'!$G$57="Résiduel vs Gestion",0,IF('01_Input'!$G$57="Taux Classe sélectionnée",Distrib_Global_Classe_Selectionnee*BX$20,IF('01_Input'!$G$57="Frais KYC (paliers de 100M€)",MAX(0,Nb_Investisseurs-Nb_KYC_Gratuites_Par_Tranche*(FLOOR(BX$20/Taille_Tranche_KYC,1)+1))*Cout_Par_KYC_Supplementaire,(IF('01_Input'!$L$57="Forfait",IF(BX$20&gt;='01_Input'!$J$57,'01_Input'!$M$57,0),IF('01_Input'!$L$57="Palier",IF(AND(BX$20&gt;='01_Input'!$J$57,BX$20&lt;'01_Input'!$K$57),'01_Input'!$M$57,0),MAX(MIN(BX$20,'01_Input'!$K$57)-'01_Input'!$J$57,0)*'01_Input'!$M$57))+IF('01_Input'!$P$57="Forfait",IF(BX$20&gt;='01_Input'!$N$57,'01_Input'!$Q$57,0),IF('01_Input'!$P$57="Palier",IF(AND(BX$20&gt;='01_Input'!$N$57,BX$20&lt;'01_Input'!$O$57),'01_Input'!$Q$57,0),MAX(MIN(BX$20,'01_Input'!$O$57)-'01_Input'!$N$57,0)*'01_Input'!$Q$57))+IF('01_Input'!$T$57="Forfait",IF(BX$20&gt;='01_Input'!$R$57,'01_Input'!$U$57,0),IF('01_Input'!$T$57="Palier",IF(AND(BX$20&gt;='01_Input'!$R$57,BX$20&lt;'01_Input'!$S$57),'01_Input'!$U$57,0),MAX(MIN(BX$20,'01_Input'!$S$57)-'01_Input'!$R$57,0)*'01_Input'!$U$57))+IF('01_Input'!$X$57="Forfait",IF(BX$20&gt;='01_Input'!$V$57,'01_Input'!$Y$57,0),IF('01_Input'!$X$57="Palier",IF(AND(BX$20&gt;='01_Input'!$V$57,BX$20&lt;'01_Input'!$W$57),'01_Input'!$Y$57,0),MAX(MIN(BX$20,'01_Input'!$W$57)-'01_Input'!$V$57,0)*'01_Input'!$Y$57))+IF('01_Input'!$AB$57="Forfait",IF(BX$20&gt;='01_Input'!$Z$57,'01_Input'!$AC$57,0),IF('01_Input'!$AB$57="Palier",IF(AND(BX$20&gt;='01_Input'!$Z$57,BX$20&lt;'01_Input'!$AA$57),'01_Input'!$AC$57,0),MAX(MIN(BX$20,'01_Input'!$AA$57)-'01_Input'!$Z$57,0)*'01_Input'!$AC$57)))))))))</f>
        <v>50000</v>
      </c>
      <c r="BY25" s="25">
        <f>IF('01_Input'!$C$57="Non",0,MIN('01_Input'!$I$57,MAX('01_Input'!$H$57,IF('01_Input'!$G$57="Résiduel vs Gestion",0,IF('01_Input'!$G$57="Taux Classe sélectionnée",Distrib_Global_Classe_Selectionnee*BY$20,IF('01_Input'!$G$57="Frais KYC (paliers de 100M€)",MAX(0,Nb_Investisseurs-Nb_KYC_Gratuites_Par_Tranche*(FLOOR(BY$20/Taille_Tranche_KYC,1)+1))*Cout_Par_KYC_Supplementaire,(IF('01_Input'!$L$57="Forfait",IF(BY$20&gt;='01_Input'!$J$57,'01_Input'!$M$57,0),IF('01_Input'!$L$57="Palier",IF(AND(BY$20&gt;='01_Input'!$J$57,BY$20&lt;'01_Input'!$K$57),'01_Input'!$M$57,0),MAX(MIN(BY$20,'01_Input'!$K$57)-'01_Input'!$J$57,0)*'01_Input'!$M$57))+IF('01_Input'!$P$57="Forfait",IF(BY$20&gt;='01_Input'!$N$57,'01_Input'!$Q$57,0),IF('01_Input'!$P$57="Palier",IF(AND(BY$20&gt;='01_Input'!$N$57,BY$20&lt;'01_Input'!$O$57),'01_Input'!$Q$57,0),MAX(MIN(BY$20,'01_Input'!$O$57)-'01_Input'!$N$57,0)*'01_Input'!$Q$57))+IF('01_Input'!$T$57="Forfait",IF(BY$20&gt;='01_Input'!$R$57,'01_Input'!$U$57,0),IF('01_Input'!$T$57="Palier",IF(AND(BY$20&gt;='01_Input'!$R$57,BY$20&lt;'01_Input'!$S$57),'01_Input'!$U$57,0),MAX(MIN(BY$20,'01_Input'!$S$57)-'01_Input'!$R$57,0)*'01_Input'!$U$57))+IF('01_Input'!$X$57="Forfait",IF(BY$20&gt;='01_Input'!$V$57,'01_Input'!$Y$57,0),IF('01_Input'!$X$57="Palier",IF(AND(BY$20&gt;='01_Input'!$V$57,BY$20&lt;'01_Input'!$W$57),'01_Input'!$Y$57,0),MAX(MIN(BY$20,'01_Input'!$W$57)-'01_Input'!$V$57,0)*'01_Input'!$Y$57))+IF('01_Input'!$AB$57="Forfait",IF(BY$20&gt;='01_Input'!$Z$57,'01_Input'!$AC$57,0),IF('01_Input'!$AB$57="Palier",IF(AND(BY$20&gt;='01_Input'!$Z$57,BY$20&lt;'01_Input'!$AA$57),'01_Input'!$AC$57,0),MAX(MIN(BY$20,'01_Input'!$AA$57)-'01_Input'!$Z$57,0)*'01_Input'!$AC$57)))))))))</f>
        <v>50000</v>
      </c>
      <c r="BZ25" s="25">
        <f>IF('01_Input'!$C$57="Non",0,MIN('01_Input'!$I$57,MAX('01_Input'!$H$57,IF('01_Input'!$G$57="Résiduel vs Gestion",0,IF('01_Input'!$G$57="Taux Classe sélectionnée",Distrib_Global_Classe_Selectionnee*BZ$20,IF('01_Input'!$G$57="Frais KYC (paliers de 100M€)",MAX(0,Nb_Investisseurs-Nb_KYC_Gratuites_Par_Tranche*(FLOOR(BZ$20/Taille_Tranche_KYC,1)+1))*Cout_Par_KYC_Supplementaire,(IF('01_Input'!$L$57="Forfait",IF(BZ$20&gt;='01_Input'!$J$57,'01_Input'!$M$57,0),IF('01_Input'!$L$57="Palier",IF(AND(BZ$20&gt;='01_Input'!$J$57,BZ$20&lt;'01_Input'!$K$57),'01_Input'!$M$57,0),MAX(MIN(BZ$20,'01_Input'!$K$57)-'01_Input'!$J$57,0)*'01_Input'!$M$57))+IF('01_Input'!$P$57="Forfait",IF(BZ$20&gt;='01_Input'!$N$57,'01_Input'!$Q$57,0),IF('01_Input'!$P$57="Palier",IF(AND(BZ$20&gt;='01_Input'!$N$57,BZ$20&lt;'01_Input'!$O$57),'01_Input'!$Q$57,0),MAX(MIN(BZ$20,'01_Input'!$O$57)-'01_Input'!$N$57,0)*'01_Input'!$Q$57))+IF('01_Input'!$T$57="Forfait",IF(BZ$20&gt;='01_Input'!$R$57,'01_Input'!$U$57,0),IF('01_Input'!$T$57="Palier",IF(AND(BZ$20&gt;='01_Input'!$R$57,BZ$20&lt;'01_Input'!$S$57),'01_Input'!$U$57,0),MAX(MIN(BZ$20,'01_Input'!$S$57)-'01_Input'!$R$57,0)*'01_Input'!$U$57))+IF('01_Input'!$X$57="Forfait",IF(BZ$20&gt;='01_Input'!$V$57,'01_Input'!$Y$57,0),IF('01_Input'!$X$57="Palier",IF(AND(BZ$20&gt;='01_Input'!$V$57,BZ$20&lt;'01_Input'!$W$57),'01_Input'!$Y$57,0),MAX(MIN(BZ$20,'01_Input'!$W$57)-'01_Input'!$V$57,0)*'01_Input'!$Y$57))+IF('01_Input'!$AB$57="Forfait",IF(BZ$20&gt;='01_Input'!$Z$57,'01_Input'!$AC$57,0),IF('01_Input'!$AB$57="Palier",IF(AND(BZ$20&gt;='01_Input'!$Z$57,BZ$20&lt;'01_Input'!$AA$57),'01_Input'!$AC$57,0),MAX(MIN(BZ$20,'01_Input'!$AA$57)-'01_Input'!$Z$57,0)*'01_Input'!$AC$57)))))))))</f>
        <v>50000</v>
      </c>
      <c r="CA25" s="25">
        <f>IF('01_Input'!$C$57="Non",0,MIN('01_Input'!$I$57,MAX('01_Input'!$H$57,IF('01_Input'!$G$57="Résiduel vs Gestion",0,IF('01_Input'!$G$57="Taux Classe sélectionnée",Distrib_Global_Classe_Selectionnee*CA$20,IF('01_Input'!$G$57="Frais KYC (paliers de 100M€)",MAX(0,Nb_Investisseurs-Nb_KYC_Gratuites_Par_Tranche*(FLOOR(CA$20/Taille_Tranche_KYC,1)+1))*Cout_Par_KYC_Supplementaire,(IF('01_Input'!$L$57="Forfait",IF(CA$20&gt;='01_Input'!$J$57,'01_Input'!$M$57,0),IF('01_Input'!$L$57="Palier",IF(AND(CA$20&gt;='01_Input'!$J$57,CA$20&lt;'01_Input'!$K$57),'01_Input'!$M$57,0),MAX(MIN(CA$20,'01_Input'!$K$57)-'01_Input'!$J$57,0)*'01_Input'!$M$57))+IF('01_Input'!$P$57="Forfait",IF(CA$20&gt;='01_Input'!$N$57,'01_Input'!$Q$57,0),IF('01_Input'!$P$57="Palier",IF(AND(CA$20&gt;='01_Input'!$N$57,CA$20&lt;'01_Input'!$O$57),'01_Input'!$Q$57,0),MAX(MIN(CA$20,'01_Input'!$O$57)-'01_Input'!$N$57,0)*'01_Input'!$Q$57))+IF('01_Input'!$T$57="Forfait",IF(CA$20&gt;='01_Input'!$R$57,'01_Input'!$U$57,0),IF('01_Input'!$T$57="Palier",IF(AND(CA$20&gt;='01_Input'!$R$57,CA$20&lt;'01_Input'!$S$57),'01_Input'!$U$57,0),MAX(MIN(CA$20,'01_Input'!$S$57)-'01_Input'!$R$57,0)*'01_Input'!$U$57))+IF('01_Input'!$X$57="Forfait",IF(CA$20&gt;='01_Input'!$V$57,'01_Input'!$Y$57,0),IF('01_Input'!$X$57="Palier",IF(AND(CA$20&gt;='01_Input'!$V$57,CA$20&lt;'01_Input'!$W$57),'01_Input'!$Y$57,0),MAX(MIN(CA$20,'01_Input'!$W$57)-'01_Input'!$V$57,0)*'01_Input'!$Y$57))+IF('01_Input'!$AB$57="Forfait",IF(CA$20&gt;='01_Input'!$Z$57,'01_Input'!$AC$57,0),IF('01_Input'!$AB$57="Palier",IF(AND(CA$20&gt;='01_Input'!$Z$57,CA$20&lt;'01_Input'!$AA$57),'01_Input'!$AC$57,0),MAX(MIN(CA$20,'01_Input'!$AA$57)-'01_Input'!$Z$57,0)*'01_Input'!$AC$57)))))))))</f>
        <v>50000</v>
      </c>
      <c r="CB25" s="25">
        <f>IF('01_Input'!$C$57="Non",0,MIN('01_Input'!$I$57,MAX('01_Input'!$H$57,IF('01_Input'!$G$57="Résiduel vs Gestion",0,IF('01_Input'!$G$57="Taux Classe sélectionnée",Distrib_Global_Classe_Selectionnee*CB$20,IF('01_Input'!$G$57="Frais KYC (paliers de 100M€)",MAX(0,Nb_Investisseurs-Nb_KYC_Gratuites_Par_Tranche*(FLOOR(CB$20/Taille_Tranche_KYC,1)+1))*Cout_Par_KYC_Supplementaire,(IF('01_Input'!$L$57="Forfait",IF(CB$20&gt;='01_Input'!$J$57,'01_Input'!$M$57,0),IF('01_Input'!$L$57="Palier",IF(AND(CB$20&gt;='01_Input'!$J$57,CB$20&lt;'01_Input'!$K$57),'01_Input'!$M$57,0),MAX(MIN(CB$20,'01_Input'!$K$57)-'01_Input'!$J$57,0)*'01_Input'!$M$57))+IF('01_Input'!$P$57="Forfait",IF(CB$20&gt;='01_Input'!$N$57,'01_Input'!$Q$57,0),IF('01_Input'!$P$57="Palier",IF(AND(CB$20&gt;='01_Input'!$N$57,CB$20&lt;'01_Input'!$O$57),'01_Input'!$Q$57,0),MAX(MIN(CB$20,'01_Input'!$O$57)-'01_Input'!$N$57,0)*'01_Input'!$Q$57))+IF('01_Input'!$T$57="Forfait",IF(CB$20&gt;='01_Input'!$R$57,'01_Input'!$U$57,0),IF('01_Input'!$T$57="Palier",IF(AND(CB$20&gt;='01_Input'!$R$57,CB$20&lt;'01_Input'!$S$57),'01_Input'!$U$57,0),MAX(MIN(CB$20,'01_Input'!$S$57)-'01_Input'!$R$57,0)*'01_Input'!$U$57))+IF('01_Input'!$X$57="Forfait",IF(CB$20&gt;='01_Input'!$V$57,'01_Input'!$Y$57,0),IF('01_Input'!$X$57="Palier",IF(AND(CB$20&gt;='01_Input'!$V$57,CB$20&lt;'01_Input'!$W$57),'01_Input'!$Y$57,0),MAX(MIN(CB$20,'01_Input'!$W$57)-'01_Input'!$V$57,0)*'01_Input'!$Y$57))+IF('01_Input'!$AB$57="Forfait",IF(CB$20&gt;='01_Input'!$Z$57,'01_Input'!$AC$57,0),IF('01_Input'!$AB$57="Palier",IF(AND(CB$20&gt;='01_Input'!$Z$57,CB$20&lt;'01_Input'!$AA$57),'01_Input'!$AC$57,0),MAX(MIN(CB$20,'01_Input'!$AA$57)-'01_Input'!$Z$57,0)*'01_Input'!$AC$57)))))))))</f>
        <v>50000</v>
      </c>
      <c r="CC25" s="25">
        <f>IF('01_Input'!$C$57="Non",0,MIN('01_Input'!$I$57,MAX('01_Input'!$H$57,IF('01_Input'!$G$57="Résiduel vs Gestion",0,IF('01_Input'!$G$57="Taux Classe sélectionnée",Distrib_Global_Classe_Selectionnee*CC$20,IF('01_Input'!$G$57="Frais KYC (paliers de 100M€)",MAX(0,Nb_Investisseurs-Nb_KYC_Gratuites_Par_Tranche*(FLOOR(CC$20/Taille_Tranche_KYC,1)+1))*Cout_Par_KYC_Supplementaire,(IF('01_Input'!$L$57="Forfait",IF(CC$20&gt;='01_Input'!$J$57,'01_Input'!$M$57,0),IF('01_Input'!$L$57="Palier",IF(AND(CC$20&gt;='01_Input'!$J$57,CC$20&lt;'01_Input'!$K$57),'01_Input'!$M$57,0),MAX(MIN(CC$20,'01_Input'!$K$57)-'01_Input'!$J$57,0)*'01_Input'!$M$57))+IF('01_Input'!$P$57="Forfait",IF(CC$20&gt;='01_Input'!$N$57,'01_Input'!$Q$57,0),IF('01_Input'!$P$57="Palier",IF(AND(CC$20&gt;='01_Input'!$N$57,CC$20&lt;'01_Input'!$O$57),'01_Input'!$Q$57,0),MAX(MIN(CC$20,'01_Input'!$O$57)-'01_Input'!$N$57,0)*'01_Input'!$Q$57))+IF('01_Input'!$T$57="Forfait",IF(CC$20&gt;='01_Input'!$R$57,'01_Input'!$U$57,0),IF('01_Input'!$T$57="Palier",IF(AND(CC$20&gt;='01_Input'!$R$57,CC$20&lt;'01_Input'!$S$57),'01_Input'!$U$57,0),MAX(MIN(CC$20,'01_Input'!$S$57)-'01_Input'!$R$57,0)*'01_Input'!$U$57))+IF('01_Input'!$X$57="Forfait",IF(CC$20&gt;='01_Input'!$V$57,'01_Input'!$Y$57,0),IF('01_Input'!$X$57="Palier",IF(AND(CC$20&gt;='01_Input'!$V$57,CC$20&lt;'01_Input'!$W$57),'01_Input'!$Y$57,0),MAX(MIN(CC$20,'01_Input'!$W$57)-'01_Input'!$V$57,0)*'01_Input'!$Y$57))+IF('01_Input'!$AB$57="Forfait",IF(CC$20&gt;='01_Input'!$Z$57,'01_Input'!$AC$57,0),IF('01_Input'!$AB$57="Palier",IF(AND(CC$20&gt;='01_Input'!$Z$57,CC$20&lt;'01_Input'!$AA$57),'01_Input'!$AC$57,0),MAX(MIN(CC$20,'01_Input'!$AA$57)-'01_Input'!$Z$57,0)*'01_Input'!$AC$57)))))))))</f>
        <v>50000</v>
      </c>
      <c r="CD25" s="25">
        <f>IF('01_Input'!$C$57="Non",0,MIN('01_Input'!$I$57,MAX('01_Input'!$H$57,IF('01_Input'!$G$57="Résiduel vs Gestion",0,IF('01_Input'!$G$57="Taux Classe sélectionnée",Distrib_Global_Classe_Selectionnee*CD$20,IF('01_Input'!$G$57="Frais KYC (paliers de 100M€)",MAX(0,Nb_Investisseurs-Nb_KYC_Gratuites_Par_Tranche*(FLOOR(CD$20/Taille_Tranche_KYC,1)+1))*Cout_Par_KYC_Supplementaire,(IF('01_Input'!$L$57="Forfait",IF(CD$20&gt;='01_Input'!$J$57,'01_Input'!$M$57,0),IF('01_Input'!$L$57="Palier",IF(AND(CD$20&gt;='01_Input'!$J$57,CD$20&lt;'01_Input'!$K$57),'01_Input'!$M$57,0),MAX(MIN(CD$20,'01_Input'!$K$57)-'01_Input'!$J$57,0)*'01_Input'!$M$57))+IF('01_Input'!$P$57="Forfait",IF(CD$20&gt;='01_Input'!$N$57,'01_Input'!$Q$57,0),IF('01_Input'!$P$57="Palier",IF(AND(CD$20&gt;='01_Input'!$N$57,CD$20&lt;'01_Input'!$O$57),'01_Input'!$Q$57,0),MAX(MIN(CD$20,'01_Input'!$O$57)-'01_Input'!$N$57,0)*'01_Input'!$Q$57))+IF('01_Input'!$T$57="Forfait",IF(CD$20&gt;='01_Input'!$R$57,'01_Input'!$U$57,0),IF('01_Input'!$T$57="Palier",IF(AND(CD$20&gt;='01_Input'!$R$57,CD$20&lt;'01_Input'!$S$57),'01_Input'!$U$57,0),MAX(MIN(CD$20,'01_Input'!$S$57)-'01_Input'!$R$57,0)*'01_Input'!$U$57))+IF('01_Input'!$X$57="Forfait",IF(CD$20&gt;='01_Input'!$V$57,'01_Input'!$Y$57,0),IF('01_Input'!$X$57="Palier",IF(AND(CD$20&gt;='01_Input'!$V$57,CD$20&lt;'01_Input'!$W$57),'01_Input'!$Y$57,0),MAX(MIN(CD$20,'01_Input'!$W$57)-'01_Input'!$V$57,0)*'01_Input'!$Y$57))+IF('01_Input'!$AB$57="Forfait",IF(CD$20&gt;='01_Input'!$Z$57,'01_Input'!$AC$57,0),IF('01_Input'!$AB$57="Palier",IF(AND(CD$20&gt;='01_Input'!$Z$57,CD$20&lt;'01_Input'!$AA$57),'01_Input'!$AC$57,0),MAX(MIN(CD$20,'01_Input'!$AA$57)-'01_Input'!$Z$57,0)*'01_Input'!$AC$57)))))))))</f>
        <v>50000</v>
      </c>
      <c r="CE25" s="25">
        <f>IF('01_Input'!$C$57="Non",0,MIN('01_Input'!$I$57,MAX('01_Input'!$H$57,IF('01_Input'!$G$57="Résiduel vs Gestion",0,IF('01_Input'!$G$57="Taux Classe sélectionnée",Distrib_Global_Classe_Selectionnee*CE$20,IF('01_Input'!$G$57="Frais KYC (paliers de 100M€)",MAX(0,Nb_Investisseurs-Nb_KYC_Gratuites_Par_Tranche*(FLOOR(CE$20/Taille_Tranche_KYC,1)+1))*Cout_Par_KYC_Supplementaire,(IF('01_Input'!$L$57="Forfait",IF(CE$20&gt;='01_Input'!$J$57,'01_Input'!$M$57,0),IF('01_Input'!$L$57="Palier",IF(AND(CE$20&gt;='01_Input'!$J$57,CE$20&lt;'01_Input'!$K$57),'01_Input'!$M$57,0),MAX(MIN(CE$20,'01_Input'!$K$57)-'01_Input'!$J$57,0)*'01_Input'!$M$57))+IF('01_Input'!$P$57="Forfait",IF(CE$20&gt;='01_Input'!$N$57,'01_Input'!$Q$57,0),IF('01_Input'!$P$57="Palier",IF(AND(CE$20&gt;='01_Input'!$N$57,CE$20&lt;'01_Input'!$O$57),'01_Input'!$Q$57,0),MAX(MIN(CE$20,'01_Input'!$O$57)-'01_Input'!$N$57,0)*'01_Input'!$Q$57))+IF('01_Input'!$T$57="Forfait",IF(CE$20&gt;='01_Input'!$R$57,'01_Input'!$U$57,0),IF('01_Input'!$T$57="Palier",IF(AND(CE$20&gt;='01_Input'!$R$57,CE$20&lt;'01_Input'!$S$57),'01_Input'!$U$57,0),MAX(MIN(CE$20,'01_Input'!$S$57)-'01_Input'!$R$57,0)*'01_Input'!$U$57))+IF('01_Input'!$X$57="Forfait",IF(CE$20&gt;='01_Input'!$V$57,'01_Input'!$Y$57,0),IF('01_Input'!$X$57="Palier",IF(AND(CE$20&gt;='01_Input'!$V$57,CE$20&lt;'01_Input'!$W$57),'01_Input'!$Y$57,0),MAX(MIN(CE$20,'01_Input'!$W$57)-'01_Input'!$V$57,0)*'01_Input'!$Y$57))+IF('01_Input'!$AB$57="Forfait",IF(CE$20&gt;='01_Input'!$Z$57,'01_Input'!$AC$57,0),IF('01_Input'!$AB$57="Palier",IF(AND(CE$20&gt;='01_Input'!$Z$57,CE$20&lt;'01_Input'!$AA$57),'01_Input'!$AC$57,0),MAX(MIN(CE$20,'01_Input'!$AA$57)-'01_Input'!$Z$57,0)*'01_Input'!$AC$57)))))))))</f>
        <v>50000</v>
      </c>
      <c r="CF25" s="25">
        <f>IF('01_Input'!$C$57="Non",0,MIN('01_Input'!$I$57,MAX('01_Input'!$H$57,IF('01_Input'!$G$57="Résiduel vs Gestion",0,IF('01_Input'!$G$57="Taux Classe sélectionnée",Distrib_Global_Classe_Selectionnee*CF$20,IF('01_Input'!$G$57="Frais KYC (paliers de 100M€)",MAX(0,Nb_Investisseurs-Nb_KYC_Gratuites_Par_Tranche*(FLOOR(CF$20/Taille_Tranche_KYC,1)+1))*Cout_Par_KYC_Supplementaire,(IF('01_Input'!$L$57="Forfait",IF(CF$20&gt;='01_Input'!$J$57,'01_Input'!$M$57,0),IF('01_Input'!$L$57="Palier",IF(AND(CF$20&gt;='01_Input'!$J$57,CF$20&lt;'01_Input'!$K$57),'01_Input'!$M$57,0),MAX(MIN(CF$20,'01_Input'!$K$57)-'01_Input'!$J$57,0)*'01_Input'!$M$57))+IF('01_Input'!$P$57="Forfait",IF(CF$20&gt;='01_Input'!$N$57,'01_Input'!$Q$57,0),IF('01_Input'!$P$57="Palier",IF(AND(CF$20&gt;='01_Input'!$N$57,CF$20&lt;'01_Input'!$O$57),'01_Input'!$Q$57,0),MAX(MIN(CF$20,'01_Input'!$O$57)-'01_Input'!$N$57,0)*'01_Input'!$Q$57))+IF('01_Input'!$T$57="Forfait",IF(CF$20&gt;='01_Input'!$R$57,'01_Input'!$U$57,0),IF('01_Input'!$T$57="Palier",IF(AND(CF$20&gt;='01_Input'!$R$57,CF$20&lt;'01_Input'!$S$57),'01_Input'!$U$57,0),MAX(MIN(CF$20,'01_Input'!$S$57)-'01_Input'!$R$57,0)*'01_Input'!$U$57))+IF('01_Input'!$X$57="Forfait",IF(CF$20&gt;='01_Input'!$V$57,'01_Input'!$Y$57,0),IF('01_Input'!$X$57="Palier",IF(AND(CF$20&gt;='01_Input'!$V$57,CF$20&lt;'01_Input'!$W$57),'01_Input'!$Y$57,0),MAX(MIN(CF$20,'01_Input'!$W$57)-'01_Input'!$V$57,0)*'01_Input'!$Y$57))+IF('01_Input'!$AB$57="Forfait",IF(CF$20&gt;='01_Input'!$Z$57,'01_Input'!$AC$57,0),IF('01_Input'!$AB$57="Palier",IF(AND(CF$20&gt;='01_Input'!$Z$57,CF$20&lt;'01_Input'!$AA$57),'01_Input'!$AC$57,0),MAX(MIN(CF$20,'01_Input'!$AA$57)-'01_Input'!$Z$57,0)*'01_Input'!$AC$57)))))))))</f>
        <v>50000</v>
      </c>
      <c r="CG25" s="25">
        <f>IF('01_Input'!$C$57="Non",0,MIN('01_Input'!$I$57,MAX('01_Input'!$H$57,IF('01_Input'!$G$57="Résiduel vs Gestion",0,IF('01_Input'!$G$57="Taux Classe sélectionnée",Distrib_Global_Classe_Selectionnee*CG$20,IF('01_Input'!$G$57="Frais KYC (paliers de 100M€)",MAX(0,Nb_Investisseurs-Nb_KYC_Gratuites_Par_Tranche*(FLOOR(CG$20/Taille_Tranche_KYC,1)+1))*Cout_Par_KYC_Supplementaire,(IF('01_Input'!$L$57="Forfait",IF(CG$20&gt;='01_Input'!$J$57,'01_Input'!$M$57,0),IF('01_Input'!$L$57="Palier",IF(AND(CG$20&gt;='01_Input'!$J$57,CG$20&lt;'01_Input'!$K$57),'01_Input'!$M$57,0),MAX(MIN(CG$20,'01_Input'!$K$57)-'01_Input'!$J$57,0)*'01_Input'!$M$57))+IF('01_Input'!$P$57="Forfait",IF(CG$20&gt;='01_Input'!$N$57,'01_Input'!$Q$57,0),IF('01_Input'!$P$57="Palier",IF(AND(CG$20&gt;='01_Input'!$N$57,CG$20&lt;'01_Input'!$O$57),'01_Input'!$Q$57,0),MAX(MIN(CG$20,'01_Input'!$O$57)-'01_Input'!$N$57,0)*'01_Input'!$Q$57))+IF('01_Input'!$T$57="Forfait",IF(CG$20&gt;='01_Input'!$R$57,'01_Input'!$U$57,0),IF('01_Input'!$T$57="Palier",IF(AND(CG$20&gt;='01_Input'!$R$57,CG$20&lt;'01_Input'!$S$57),'01_Input'!$U$57,0),MAX(MIN(CG$20,'01_Input'!$S$57)-'01_Input'!$R$57,0)*'01_Input'!$U$57))+IF('01_Input'!$X$57="Forfait",IF(CG$20&gt;='01_Input'!$V$57,'01_Input'!$Y$57,0),IF('01_Input'!$X$57="Palier",IF(AND(CG$20&gt;='01_Input'!$V$57,CG$20&lt;'01_Input'!$W$57),'01_Input'!$Y$57,0),MAX(MIN(CG$20,'01_Input'!$W$57)-'01_Input'!$V$57,0)*'01_Input'!$Y$57))+IF('01_Input'!$AB$57="Forfait",IF(CG$20&gt;='01_Input'!$Z$57,'01_Input'!$AC$57,0),IF('01_Input'!$AB$57="Palier",IF(AND(CG$20&gt;='01_Input'!$Z$57,CG$20&lt;'01_Input'!$AA$57),'01_Input'!$AC$57,0),MAX(MIN(CG$20,'01_Input'!$AA$57)-'01_Input'!$Z$57,0)*'01_Input'!$AC$57)))))))))</f>
        <v>50000</v>
      </c>
      <c r="CH25" s="25">
        <f>IF('01_Input'!$C$57="Non",0,MIN('01_Input'!$I$57,MAX('01_Input'!$H$57,IF('01_Input'!$G$57="Résiduel vs Gestion",0,IF('01_Input'!$G$57="Taux Classe sélectionnée",Distrib_Global_Classe_Selectionnee*CH$20,IF('01_Input'!$G$57="Frais KYC (paliers de 100M€)",MAX(0,Nb_Investisseurs-Nb_KYC_Gratuites_Par_Tranche*(FLOOR(CH$20/Taille_Tranche_KYC,1)+1))*Cout_Par_KYC_Supplementaire,(IF('01_Input'!$L$57="Forfait",IF(CH$20&gt;='01_Input'!$J$57,'01_Input'!$M$57,0),IF('01_Input'!$L$57="Palier",IF(AND(CH$20&gt;='01_Input'!$J$57,CH$20&lt;'01_Input'!$K$57),'01_Input'!$M$57,0),MAX(MIN(CH$20,'01_Input'!$K$57)-'01_Input'!$J$57,0)*'01_Input'!$M$57))+IF('01_Input'!$P$57="Forfait",IF(CH$20&gt;='01_Input'!$N$57,'01_Input'!$Q$57,0),IF('01_Input'!$P$57="Palier",IF(AND(CH$20&gt;='01_Input'!$N$57,CH$20&lt;'01_Input'!$O$57),'01_Input'!$Q$57,0),MAX(MIN(CH$20,'01_Input'!$O$57)-'01_Input'!$N$57,0)*'01_Input'!$Q$57))+IF('01_Input'!$T$57="Forfait",IF(CH$20&gt;='01_Input'!$R$57,'01_Input'!$U$57,0),IF('01_Input'!$T$57="Palier",IF(AND(CH$20&gt;='01_Input'!$R$57,CH$20&lt;'01_Input'!$S$57),'01_Input'!$U$57,0),MAX(MIN(CH$20,'01_Input'!$S$57)-'01_Input'!$R$57,0)*'01_Input'!$U$57))+IF('01_Input'!$X$57="Forfait",IF(CH$20&gt;='01_Input'!$V$57,'01_Input'!$Y$57,0),IF('01_Input'!$X$57="Palier",IF(AND(CH$20&gt;='01_Input'!$V$57,CH$20&lt;'01_Input'!$W$57),'01_Input'!$Y$57,0),MAX(MIN(CH$20,'01_Input'!$W$57)-'01_Input'!$V$57,0)*'01_Input'!$Y$57))+IF('01_Input'!$AB$57="Forfait",IF(CH$20&gt;='01_Input'!$Z$57,'01_Input'!$AC$57,0),IF('01_Input'!$AB$57="Palier",IF(AND(CH$20&gt;='01_Input'!$Z$57,CH$20&lt;'01_Input'!$AA$57),'01_Input'!$AC$57,0),MAX(MIN(CH$20,'01_Input'!$AA$57)-'01_Input'!$Z$57,0)*'01_Input'!$AC$57)))))))))</f>
        <v>50000</v>
      </c>
      <c r="CI25" s="25">
        <f>IF('01_Input'!$C$57="Non",0,MIN('01_Input'!$I$57,MAX('01_Input'!$H$57,IF('01_Input'!$G$57="Résiduel vs Gestion",0,IF('01_Input'!$G$57="Taux Classe sélectionnée",Distrib_Global_Classe_Selectionnee*CI$20,IF('01_Input'!$G$57="Frais KYC (paliers de 100M€)",MAX(0,Nb_Investisseurs-Nb_KYC_Gratuites_Par_Tranche*(FLOOR(CI$20/Taille_Tranche_KYC,1)+1))*Cout_Par_KYC_Supplementaire,(IF('01_Input'!$L$57="Forfait",IF(CI$20&gt;='01_Input'!$J$57,'01_Input'!$M$57,0),IF('01_Input'!$L$57="Palier",IF(AND(CI$20&gt;='01_Input'!$J$57,CI$20&lt;'01_Input'!$K$57),'01_Input'!$M$57,0),MAX(MIN(CI$20,'01_Input'!$K$57)-'01_Input'!$J$57,0)*'01_Input'!$M$57))+IF('01_Input'!$P$57="Forfait",IF(CI$20&gt;='01_Input'!$N$57,'01_Input'!$Q$57,0),IF('01_Input'!$P$57="Palier",IF(AND(CI$20&gt;='01_Input'!$N$57,CI$20&lt;'01_Input'!$O$57),'01_Input'!$Q$57,0),MAX(MIN(CI$20,'01_Input'!$O$57)-'01_Input'!$N$57,0)*'01_Input'!$Q$57))+IF('01_Input'!$T$57="Forfait",IF(CI$20&gt;='01_Input'!$R$57,'01_Input'!$U$57,0),IF('01_Input'!$T$57="Palier",IF(AND(CI$20&gt;='01_Input'!$R$57,CI$20&lt;'01_Input'!$S$57),'01_Input'!$U$57,0),MAX(MIN(CI$20,'01_Input'!$S$57)-'01_Input'!$R$57,0)*'01_Input'!$U$57))+IF('01_Input'!$X$57="Forfait",IF(CI$20&gt;='01_Input'!$V$57,'01_Input'!$Y$57,0),IF('01_Input'!$X$57="Palier",IF(AND(CI$20&gt;='01_Input'!$V$57,CI$20&lt;'01_Input'!$W$57),'01_Input'!$Y$57,0),MAX(MIN(CI$20,'01_Input'!$W$57)-'01_Input'!$V$57,0)*'01_Input'!$Y$57))+IF('01_Input'!$AB$57="Forfait",IF(CI$20&gt;='01_Input'!$Z$57,'01_Input'!$AC$57,0),IF('01_Input'!$AB$57="Palier",IF(AND(CI$20&gt;='01_Input'!$Z$57,CI$20&lt;'01_Input'!$AA$57),'01_Input'!$AC$57,0),MAX(MIN(CI$20,'01_Input'!$AA$57)-'01_Input'!$Z$57,0)*'01_Input'!$AC$57)))))))))</f>
        <v>50000</v>
      </c>
      <c r="CJ25" s="25">
        <f>IF('01_Input'!$C$57="Non",0,MIN('01_Input'!$I$57,MAX('01_Input'!$H$57,IF('01_Input'!$G$57="Résiduel vs Gestion",0,IF('01_Input'!$G$57="Taux Classe sélectionnée",Distrib_Global_Classe_Selectionnee*CJ$20,IF('01_Input'!$G$57="Frais KYC (paliers de 100M€)",MAX(0,Nb_Investisseurs-Nb_KYC_Gratuites_Par_Tranche*(FLOOR(CJ$20/Taille_Tranche_KYC,1)+1))*Cout_Par_KYC_Supplementaire,(IF('01_Input'!$L$57="Forfait",IF(CJ$20&gt;='01_Input'!$J$57,'01_Input'!$M$57,0),IF('01_Input'!$L$57="Palier",IF(AND(CJ$20&gt;='01_Input'!$J$57,CJ$20&lt;'01_Input'!$K$57),'01_Input'!$M$57,0),MAX(MIN(CJ$20,'01_Input'!$K$57)-'01_Input'!$J$57,0)*'01_Input'!$M$57))+IF('01_Input'!$P$57="Forfait",IF(CJ$20&gt;='01_Input'!$N$57,'01_Input'!$Q$57,0),IF('01_Input'!$P$57="Palier",IF(AND(CJ$20&gt;='01_Input'!$N$57,CJ$20&lt;'01_Input'!$O$57),'01_Input'!$Q$57,0),MAX(MIN(CJ$20,'01_Input'!$O$57)-'01_Input'!$N$57,0)*'01_Input'!$Q$57))+IF('01_Input'!$T$57="Forfait",IF(CJ$20&gt;='01_Input'!$R$57,'01_Input'!$U$57,0),IF('01_Input'!$T$57="Palier",IF(AND(CJ$20&gt;='01_Input'!$R$57,CJ$20&lt;'01_Input'!$S$57),'01_Input'!$U$57,0),MAX(MIN(CJ$20,'01_Input'!$S$57)-'01_Input'!$R$57,0)*'01_Input'!$U$57))+IF('01_Input'!$X$57="Forfait",IF(CJ$20&gt;='01_Input'!$V$57,'01_Input'!$Y$57,0),IF('01_Input'!$X$57="Palier",IF(AND(CJ$20&gt;='01_Input'!$V$57,CJ$20&lt;'01_Input'!$W$57),'01_Input'!$Y$57,0),MAX(MIN(CJ$20,'01_Input'!$W$57)-'01_Input'!$V$57,0)*'01_Input'!$Y$57))+IF('01_Input'!$AB$57="Forfait",IF(CJ$20&gt;='01_Input'!$Z$57,'01_Input'!$AC$57,0),IF('01_Input'!$AB$57="Palier",IF(AND(CJ$20&gt;='01_Input'!$Z$57,CJ$20&lt;'01_Input'!$AA$57),'01_Input'!$AC$57,0),MAX(MIN(CJ$20,'01_Input'!$AA$57)-'01_Input'!$Z$57,0)*'01_Input'!$AC$57)))))))))</f>
        <v>50000</v>
      </c>
      <c r="CK25" s="25">
        <f>IF('01_Input'!$C$57="Non",0,MIN('01_Input'!$I$57,MAX('01_Input'!$H$57,IF('01_Input'!$G$57="Résiduel vs Gestion",0,IF('01_Input'!$G$57="Taux Classe sélectionnée",Distrib_Global_Classe_Selectionnee*CK$20,IF('01_Input'!$G$57="Frais KYC (paliers de 100M€)",MAX(0,Nb_Investisseurs-Nb_KYC_Gratuites_Par_Tranche*(FLOOR(CK$20/Taille_Tranche_KYC,1)+1))*Cout_Par_KYC_Supplementaire,(IF('01_Input'!$L$57="Forfait",IF(CK$20&gt;='01_Input'!$J$57,'01_Input'!$M$57,0),IF('01_Input'!$L$57="Palier",IF(AND(CK$20&gt;='01_Input'!$J$57,CK$20&lt;'01_Input'!$K$57),'01_Input'!$M$57,0),MAX(MIN(CK$20,'01_Input'!$K$57)-'01_Input'!$J$57,0)*'01_Input'!$M$57))+IF('01_Input'!$P$57="Forfait",IF(CK$20&gt;='01_Input'!$N$57,'01_Input'!$Q$57,0),IF('01_Input'!$P$57="Palier",IF(AND(CK$20&gt;='01_Input'!$N$57,CK$20&lt;'01_Input'!$O$57),'01_Input'!$Q$57,0),MAX(MIN(CK$20,'01_Input'!$O$57)-'01_Input'!$N$57,0)*'01_Input'!$Q$57))+IF('01_Input'!$T$57="Forfait",IF(CK$20&gt;='01_Input'!$R$57,'01_Input'!$U$57,0),IF('01_Input'!$T$57="Palier",IF(AND(CK$20&gt;='01_Input'!$R$57,CK$20&lt;'01_Input'!$S$57),'01_Input'!$U$57,0),MAX(MIN(CK$20,'01_Input'!$S$57)-'01_Input'!$R$57,0)*'01_Input'!$U$57))+IF('01_Input'!$X$57="Forfait",IF(CK$20&gt;='01_Input'!$V$57,'01_Input'!$Y$57,0),IF('01_Input'!$X$57="Palier",IF(AND(CK$20&gt;='01_Input'!$V$57,CK$20&lt;'01_Input'!$W$57),'01_Input'!$Y$57,0),MAX(MIN(CK$20,'01_Input'!$W$57)-'01_Input'!$V$57,0)*'01_Input'!$Y$57))+IF('01_Input'!$AB$57="Forfait",IF(CK$20&gt;='01_Input'!$Z$57,'01_Input'!$AC$57,0),IF('01_Input'!$AB$57="Palier",IF(AND(CK$20&gt;='01_Input'!$Z$57,CK$20&lt;'01_Input'!$AA$57),'01_Input'!$AC$57,0),MAX(MIN(CK$20,'01_Input'!$AA$57)-'01_Input'!$Z$57,0)*'01_Input'!$AC$57)))))))))</f>
        <v>50000</v>
      </c>
      <c r="CL25" s="25">
        <f>IF('01_Input'!$C$57="Non",0,MIN('01_Input'!$I$57,MAX('01_Input'!$H$57,IF('01_Input'!$G$57="Résiduel vs Gestion",0,IF('01_Input'!$G$57="Taux Classe sélectionnée",Distrib_Global_Classe_Selectionnee*CL$20,IF('01_Input'!$G$57="Frais KYC (paliers de 100M€)",MAX(0,Nb_Investisseurs-Nb_KYC_Gratuites_Par_Tranche*(FLOOR(CL$20/Taille_Tranche_KYC,1)+1))*Cout_Par_KYC_Supplementaire,(IF('01_Input'!$L$57="Forfait",IF(CL$20&gt;='01_Input'!$J$57,'01_Input'!$M$57,0),IF('01_Input'!$L$57="Palier",IF(AND(CL$20&gt;='01_Input'!$J$57,CL$20&lt;'01_Input'!$K$57),'01_Input'!$M$57,0),MAX(MIN(CL$20,'01_Input'!$K$57)-'01_Input'!$J$57,0)*'01_Input'!$M$57))+IF('01_Input'!$P$57="Forfait",IF(CL$20&gt;='01_Input'!$N$57,'01_Input'!$Q$57,0),IF('01_Input'!$P$57="Palier",IF(AND(CL$20&gt;='01_Input'!$N$57,CL$20&lt;'01_Input'!$O$57),'01_Input'!$Q$57,0),MAX(MIN(CL$20,'01_Input'!$O$57)-'01_Input'!$N$57,0)*'01_Input'!$Q$57))+IF('01_Input'!$T$57="Forfait",IF(CL$20&gt;='01_Input'!$R$57,'01_Input'!$U$57,0),IF('01_Input'!$T$57="Palier",IF(AND(CL$20&gt;='01_Input'!$R$57,CL$20&lt;'01_Input'!$S$57),'01_Input'!$U$57,0),MAX(MIN(CL$20,'01_Input'!$S$57)-'01_Input'!$R$57,0)*'01_Input'!$U$57))+IF('01_Input'!$X$57="Forfait",IF(CL$20&gt;='01_Input'!$V$57,'01_Input'!$Y$57,0),IF('01_Input'!$X$57="Palier",IF(AND(CL$20&gt;='01_Input'!$V$57,CL$20&lt;'01_Input'!$W$57),'01_Input'!$Y$57,0),MAX(MIN(CL$20,'01_Input'!$W$57)-'01_Input'!$V$57,0)*'01_Input'!$Y$57))+IF('01_Input'!$AB$57="Forfait",IF(CL$20&gt;='01_Input'!$Z$57,'01_Input'!$AC$57,0),IF('01_Input'!$AB$57="Palier",IF(AND(CL$20&gt;='01_Input'!$Z$57,CL$20&lt;'01_Input'!$AA$57),'01_Input'!$AC$57,0),MAX(MIN(CL$20,'01_Input'!$AA$57)-'01_Input'!$Z$57,0)*'01_Input'!$AC$57)))))))))</f>
        <v>50000</v>
      </c>
      <c r="CM25" s="25">
        <f>IF('01_Input'!$C$57="Non",0,MIN('01_Input'!$I$57,MAX('01_Input'!$H$57,IF('01_Input'!$G$57="Résiduel vs Gestion",0,IF('01_Input'!$G$57="Taux Classe sélectionnée",Distrib_Global_Classe_Selectionnee*CM$20,IF('01_Input'!$G$57="Frais KYC (paliers de 100M€)",MAX(0,Nb_Investisseurs-Nb_KYC_Gratuites_Par_Tranche*(FLOOR(CM$20/Taille_Tranche_KYC,1)+1))*Cout_Par_KYC_Supplementaire,(IF('01_Input'!$L$57="Forfait",IF(CM$20&gt;='01_Input'!$J$57,'01_Input'!$M$57,0),IF('01_Input'!$L$57="Palier",IF(AND(CM$20&gt;='01_Input'!$J$57,CM$20&lt;'01_Input'!$K$57),'01_Input'!$M$57,0),MAX(MIN(CM$20,'01_Input'!$K$57)-'01_Input'!$J$57,0)*'01_Input'!$M$57))+IF('01_Input'!$P$57="Forfait",IF(CM$20&gt;='01_Input'!$N$57,'01_Input'!$Q$57,0),IF('01_Input'!$P$57="Palier",IF(AND(CM$20&gt;='01_Input'!$N$57,CM$20&lt;'01_Input'!$O$57),'01_Input'!$Q$57,0),MAX(MIN(CM$20,'01_Input'!$O$57)-'01_Input'!$N$57,0)*'01_Input'!$Q$57))+IF('01_Input'!$T$57="Forfait",IF(CM$20&gt;='01_Input'!$R$57,'01_Input'!$U$57,0),IF('01_Input'!$T$57="Palier",IF(AND(CM$20&gt;='01_Input'!$R$57,CM$20&lt;'01_Input'!$S$57),'01_Input'!$U$57,0),MAX(MIN(CM$20,'01_Input'!$S$57)-'01_Input'!$R$57,0)*'01_Input'!$U$57))+IF('01_Input'!$X$57="Forfait",IF(CM$20&gt;='01_Input'!$V$57,'01_Input'!$Y$57,0),IF('01_Input'!$X$57="Palier",IF(AND(CM$20&gt;='01_Input'!$V$57,CM$20&lt;'01_Input'!$W$57),'01_Input'!$Y$57,0),MAX(MIN(CM$20,'01_Input'!$W$57)-'01_Input'!$V$57,0)*'01_Input'!$Y$57))+IF('01_Input'!$AB$57="Forfait",IF(CM$20&gt;='01_Input'!$Z$57,'01_Input'!$AC$57,0),IF('01_Input'!$AB$57="Palier",IF(AND(CM$20&gt;='01_Input'!$Z$57,CM$20&lt;'01_Input'!$AA$57),'01_Input'!$AC$57,0),MAX(MIN(CM$20,'01_Input'!$AA$57)-'01_Input'!$Z$57,0)*'01_Input'!$AC$57)))))))))</f>
        <v>50000</v>
      </c>
      <c r="CN25" s="25">
        <f>IF('01_Input'!$C$57="Non",0,MIN('01_Input'!$I$57,MAX('01_Input'!$H$57,IF('01_Input'!$G$57="Résiduel vs Gestion",0,IF('01_Input'!$G$57="Taux Classe sélectionnée",Distrib_Global_Classe_Selectionnee*CN$20,IF('01_Input'!$G$57="Frais KYC (paliers de 100M€)",MAX(0,Nb_Investisseurs-Nb_KYC_Gratuites_Par_Tranche*(FLOOR(CN$20/Taille_Tranche_KYC,1)+1))*Cout_Par_KYC_Supplementaire,(IF('01_Input'!$L$57="Forfait",IF(CN$20&gt;='01_Input'!$J$57,'01_Input'!$M$57,0),IF('01_Input'!$L$57="Palier",IF(AND(CN$20&gt;='01_Input'!$J$57,CN$20&lt;'01_Input'!$K$57),'01_Input'!$M$57,0),MAX(MIN(CN$20,'01_Input'!$K$57)-'01_Input'!$J$57,0)*'01_Input'!$M$57))+IF('01_Input'!$P$57="Forfait",IF(CN$20&gt;='01_Input'!$N$57,'01_Input'!$Q$57,0),IF('01_Input'!$P$57="Palier",IF(AND(CN$20&gt;='01_Input'!$N$57,CN$20&lt;'01_Input'!$O$57),'01_Input'!$Q$57,0),MAX(MIN(CN$20,'01_Input'!$O$57)-'01_Input'!$N$57,0)*'01_Input'!$Q$57))+IF('01_Input'!$T$57="Forfait",IF(CN$20&gt;='01_Input'!$R$57,'01_Input'!$U$57,0),IF('01_Input'!$T$57="Palier",IF(AND(CN$20&gt;='01_Input'!$R$57,CN$20&lt;'01_Input'!$S$57),'01_Input'!$U$57,0),MAX(MIN(CN$20,'01_Input'!$S$57)-'01_Input'!$R$57,0)*'01_Input'!$U$57))+IF('01_Input'!$X$57="Forfait",IF(CN$20&gt;='01_Input'!$V$57,'01_Input'!$Y$57,0),IF('01_Input'!$X$57="Palier",IF(AND(CN$20&gt;='01_Input'!$V$57,CN$20&lt;'01_Input'!$W$57),'01_Input'!$Y$57,0),MAX(MIN(CN$20,'01_Input'!$W$57)-'01_Input'!$V$57,0)*'01_Input'!$Y$57))+IF('01_Input'!$AB$57="Forfait",IF(CN$20&gt;='01_Input'!$Z$57,'01_Input'!$AC$57,0),IF('01_Input'!$AB$57="Palier",IF(AND(CN$20&gt;='01_Input'!$Z$57,CN$20&lt;'01_Input'!$AA$57),'01_Input'!$AC$57,0),MAX(MIN(CN$20,'01_Input'!$AA$57)-'01_Input'!$Z$57,0)*'01_Input'!$AC$57)))))))))</f>
        <v>50000</v>
      </c>
      <c r="CO25" s="25">
        <f>IF('01_Input'!$C$57="Non",0,MIN('01_Input'!$I$57,MAX('01_Input'!$H$57,IF('01_Input'!$G$57="Résiduel vs Gestion",0,IF('01_Input'!$G$57="Taux Classe sélectionnée",Distrib_Global_Classe_Selectionnee*CO$20,IF('01_Input'!$G$57="Frais KYC (paliers de 100M€)",MAX(0,Nb_Investisseurs-Nb_KYC_Gratuites_Par_Tranche*(FLOOR(CO$20/Taille_Tranche_KYC,1)+1))*Cout_Par_KYC_Supplementaire,(IF('01_Input'!$L$57="Forfait",IF(CO$20&gt;='01_Input'!$J$57,'01_Input'!$M$57,0),IF('01_Input'!$L$57="Palier",IF(AND(CO$20&gt;='01_Input'!$J$57,CO$20&lt;'01_Input'!$K$57),'01_Input'!$M$57,0),MAX(MIN(CO$20,'01_Input'!$K$57)-'01_Input'!$J$57,0)*'01_Input'!$M$57))+IF('01_Input'!$P$57="Forfait",IF(CO$20&gt;='01_Input'!$N$57,'01_Input'!$Q$57,0),IF('01_Input'!$P$57="Palier",IF(AND(CO$20&gt;='01_Input'!$N$57,CO$20&lt;'01_Input'!$O$57),'01_Input'!$Q$57,0),MAX(MIN(CO$20,'01_Input'!$O$57)-'01_Input'!$N$57,0)*'01_Input'!$Q$57))+IF('01_Input'!$T$57="Forfait",IF(CO$20&gt;='01_Input'!$R$57,'01_Input'!$U$57,0),IF('01_Input'!$T$57="Palier",IF(AND(CO$20&gt;='01_Input'!$R$57,CO$20&lt;'01_Input'!$S$57),'01_Input'!$U$57,0),MAX(MIN(CO$20,'01_Input'!$S$57)-'01_Input'!$R$57,0)*'01_Input'!$U$57))+IF('01_Input'!$X$57="Forfait",IF(CO$20&gt;='01_Input'!$V$57,'01_Input'!$Y$57,0),IF('01_Input'!$X$57="Palier",IF(AND(CO$20&gt;='01_Input'!$V$57,CO$20&lt;'01_Input'!$W$57),'01_Input'!$Y$57,0),MAX(MIN(CO$20,'01_Input'!$W$57)-'01_Input'!$V$57,0)*'01_Input'!$Y$57))+IF('01_Input'!$AB$57="Forfait",IF(CO$20&gt;='01_Input'!$Z$57,'01_Input'!$AC$57,0),IF('01_Input'!$AB$57="Palier",IF(AND(CO$20&gt;='01_Input'!$Z$57,CO$20&lt;'01_Input'!$AA$57),'01_Input'!$AC$57,0),MAX(MIN(CO$20,'01_Input'!$AA$57)-'01_Input'!$Z$57,0)*'01_Input'!$AC$57)))))))))</f>
        <v>50000</v>
      </c>
      <c r="CP25" s="25">
        <f>IF('01_Input'!$C$57="Non",0,MIN('01_Input'!$I$57,MAX('01_Input'!$H$57,IF('01_Input'!$G$57="Résiduel vs Gestion",0,IF('01_Input'!$G$57="Taux Classe sélectionnée",Distrib_Global_Classe_Selectionnee*CP$20,IF('01_Input'!$G$57="Frais KYC (paliers de 100M€)",MAX(0,Nb_Investisseurs-Nb_KYC_Gratuites_Par_Tranche*(FLOOR(CP$20/Taille_Tranche_KYC,1)+1))*Cout_Par_KYC_Supplementaire,(IF('01_Input'!$L$57="Forfait",IF(CP$20&gt;='01_Input'!$J$57,'01_Input'!$M$57,0),IF('01_Input'!$L$57="Palier",IF(AND(CP$20&gt;='01_Input'!$J$57,CP$20&lt;'01_Input'!$K$57),'01_Input'!$M$57,0),MAX(MIN(CP$20,'01_Input'!$K$57)-'01_Input'!$J$57,0)*'01_Input'!$M$57))+IF('01_Input'!$P$57="Forfait",IF(CP$20&gt;='01_Input'!$N$57,'01_Input'!$Q$57,0),IF('01_Input'!$P$57="Palier",IF(AND(CP$20&gt;='01_Input'!$N$57,CP$20&lt;'01_Input'!$O$57),'01_Input'!$Q$57,0),MAX(MIN(CP$20,'01_Input'!$O$57)-'01_Input'!$N$57,0)*'01_Input'!$Q$57))+IF('01_Input'!$T$57="Forfait",IF(CP$20&gt;='01_Input'!$R$57,'01_Input'!$U$57,0),IF('01_Input'!$T$57="Palier",IF(AND(CP$20&gt;='01_Input'!$R$57,CP$20&lt;'01_Input'!$S$57),'01_Input'!$U$57,0),MAX(MIN(CP$20,'01_Input'!$S$57)-'01_Input'!$R$57,0)*'01_Input'!$U$57))+IF('01_Input'!$X$57="Forfait",IF(CP$20&gt;='01_Input'!$V$57,'01_Input'!$Y$57,0),IF('01_Input'!$X$57="Palier",IF(AND(CP$20&gt;='01_Input'!$V$57,CP$20&lt;'01_Input'!$W$57),'01_Input'!$Y$57,0),MAX(MIN(CP$20,'01_Input'!$W$57)-'01_Input'!$V$57,0)*'01_Input'!$Y$57))+IF('01_Input'!$AB$57="Forfait",IF(CP$20&gt;='01_Input'!$Z$57,'01_Input'!$AC$57,0),IF('01_Input'!$AB$57="Palier",IF(AND(CP$20&gt;='01_Input'!$Z$57,CP$20&lt;'01_Input'!$AA$57),'01_Input'!$AC$57,0),MAX(MIN(CP$20,'01_Input'!$AA$57)-'01_Input'!$Z$57,0)*'01_Input'!$AC$57)))))))))</f>
        <v>50000</v>
      </c>
      <c r="CQ25" s="25">
        <f>IF('01_Input'!$C$57="Non",0,MIN('01_Input'!$I$57,MAX('01_Input'!$H$57,IF('01_Input'!$G$57="Résiduel vs Gestion",0,IF('01_Input'!$G$57="Taux Classe sélectionnée",Distrib_Global_Classe_Selectionnee*CQ$20,IF('01_Input'!$G$57="Frais KYC (paliers de 100M€)",MAX(0,Nb_Investisseurs-Nb_KYC_Gratuites_Par_Tranche*(FLOOR(CQ$20/Taille_Tranche_KYC,1)+1))*Cout_Par_KYC_Supplementaire,(IF('01_Input'!$L$57="Forfait",IF(CQ$20&gt;='01_Input'!$J$57,'01_Input'!$M$57,0),IF('01_Input'!$L$57="Palier",IF(AND(CQ$20&gt;='01_Input'!$J$57,CQ$20&lt;'01_Input'!$K$57),'01_Input'!$M$57,0),MAX(MIN(CQ$20,'01_Input'!$K$57)-'01_Input'!$J$57,0)*'01_Input'!$M$57))+IF('01_Input'!$P$57="Forfait",IF(CQ$20&gt;='01_Input'!$N$57,'01_Input'!$Q$57,0),IF('01_Input'!$P$57="Palier",IF(AND(CQ$20&gt;='01_Input'!$N$57,CQ$20&lt;'01_Input'!$O$57),'01_Input'!$Q$57,0),MAX(MIN(CQ$20,'01_Input'!$O$57)-'01_Input'!$N$57,0)*'01_Input'!$Q$57))+IF('01_Input'!$T$57="Forfait",IF(CQ$20&gt;='01_Input'!$R$57,'01_Input'!$U$57,0),IF('01_Input'!$T$57="Palier",IF(AND(CQ$20&gt;='01_Input'!$R$57,CQ$20&lt;'01_Input'!$S$57),'01_Input'!$U$57,0),MAX(MIN(CQ$20,'01_Input'!$S$57)-'01_Input'!$R$57,0)*'01_Input'!$U$57))+IF('01_Input'!$X$57="Forfait",IF(CQ$20&gt;='01_Input'!$V$57,'01_Input'!$Y$57,0),IF('01_Input'!$X$57="Palier",IF(AND(CQ$20&gt;='01_Input'!$V$57,CQ$20&lt;'01_Input'!$W$57),'01_Input'!$Y$57,0),MAX(MIN(CQ$20,'01_Input'!$W$57)-'01_Input'!$V$57,0)*'01_Input'!$Y$57))+IF('01_Input'!$AB$57="Forfait",IF(CQ$20&gt;='01_Input'!$Z$57,'01_Input'!$AC$57,0),IF('01_Input'!$AB$57="Palier",IF(AND(CQ$20&gt;='01_Input'!$Z$57,CQ$20&lt;'01_Input'!$AA$57),'01_Input'!$AC$57,0),MAX(MIN(CQ$20,'01_Input'!$AA$57)-'01_Input'!$Z$57,0)*'01_Input'!$AC$57)))))))))</f>
        <v>50000</v>
      </c>
      <c r="CR25" s="25">
        <f>IF('01_Input'!$C$57="Non",0,MIN('01_Input'!$I$57,MAX('01_Input'!$H$57,IF('01_Input'!$G$57="Résiduel vs Gestion",0,IF('01_Input'!$G$57="Taux Classe sélectionnée",Distrib_Global_Classe_Selectionnee*CR$20,IF('01_Input'!$G$57="Frais KYC (paliers de 100M€)",MAX(0,Nb_Investisseurs-Nb_KYC_Gratuites_Par_Tranche*(FLOOR(CR$20/Taille_Tranche_KYC,1)+1))*Cout_Par_KYC_Supplementaire,(IF('01_Input'!$L$57="Forfait",IF(CR$20&gt;='01_Input'!$J$57,'01_Input'!$M$57,0),IF('01_Input'!$L$57="Palier",IF(AND(CR$20&gt;='01_Input'!$J$57,CR$20&lt;'01_Input'!$K$57),'01_Input'!$M$57,0),MAX(MIN(CR$20,'01_Input'!$K$57)-'01_Input'!$J$57,0)*'01_Input'!$M$57))+IF('01_Input'!$P$57="Forfait",IF(CR$20&gt;='01_Input'!$N$57,'01_Input'!$Q$57,0),IF('01_Input'!$P$57="Palier",IF(AND(CR$20&gt;='01_Input'!$N$57,CR$20&lt;'01_Input'!$O$57),'01_Input'!$Q$57,0),MAX(MIN(CR$20,'01_Input'!$O$57)-'01_Input'!$N$57,0)*'01_Input'!$Q$57))+IF('01_Input'!$T$57="Forfait",IF(CR$20&gt;='01_Input'!$R$57,'01_Input'!$U$57,0),IF('01_Input'!$T$57="Palier",IF(AND(CR$20&gt;='01_Input'!$R$57,CR$20&lt;'01_Input'!$S$57),'01_Input'!$U$57,0),MAX(MIN(CR$20,'01_Input'!$S$57)-'01_Input'!$R$57,0)*'01_Input'!$U$57))+IF('01_Input'!$X$57="Forfait",IF(CR$20&gt;='01_Input'!$V$57,'01_Input'!$Y$57,0),IF('01_Input'!$X$57="Palier",IF(AND(CR$20&gt;='01_Input'!$V$57,CR$20&lt;'01_Input'!$W$57),'01_Input'!$Y$57,0),MAX(MIN(CR$20,'01_Input'!$W$57)-'01_Input'!$V$57,0)*'01_Input'!$Y$57))+IF('01_Input'!$AB$57="Forfait",IF(CR$20&gt;='01_Input'!$Z$57,'01_Input'!$AC$57,0),IF('01_Input'!$AB$57="Palier",IF(AND(CR$20&gt;='01_Input'!$Z$57,CR$20&lt;'01_Input'!$AA$57),'01_Input'!$AC$57,0),MAX(MIN(CR$20,'01_Input'!$AA$57)-'01_Input'!$Z$57,0)*'01_Input'!$AC$57)))))))))</f>
        <v>50000</v>
      </c>
      <c r="CS25" s="25">
        <f>IF('01_Input'!$C$57="Non",0,MIN('01_Input'!$I$57,MAX('01_Input'!$H$57,IF('01_Input'!$G$57="Résiduel vs Gestion",0,IF('01_Input'!$G$57="Taux Classe sélectionnée",Distrib_Global_Classe_Selectionnee*CS$20,IF('01_Input'!$G$57="Frais KYC (paliers de 100M€)",MAX(0,Nb_Investisseurs-Nb_KYC_Gratuites_Par_Tranche*(FLOOR(CS$20/Taille_Tranche_KYC,1)+1))*Cout_Par_KYC_Supplementaire,(IF('01_Input'!$L$57="Forfait",IF(CS$20&gt;='01_Input'!$J$57,'01_Input'!$M$57,0),IF('01_Input'!$L$57="Palier",IF(AND(CS$20&gt;='01_Input'!$J$57,CS$20&lt;'01_Input'!$K$57),'01_Input'!$M$57,0),MAX(MIN(CS$20,'01_Input'!$K$57)-'01_Input'!$J$57,0)*'01_Input'!$M$57))+IF('01_Input'!$P$57="Forfait",IF(CS$20&gt;='01_Input'!$N$57,'01_Input'!$Q$57,0),IF('01_Input'!$P$57="Palier",IF(AND(CS$20&gt;='01_Input'!$N$57,CS$20&lt;'01_Input'!$O$57),'01_Input'!$Q$57,0),MAX(MIN(CS$20,'01_Input'!$O$57)-'01_Input'!$N$57,0)*'01_Input'!$Q$57))+IF('01_Input'!$T$57="Forfait",IF(CS$20&gt;='01_Input'!$R$57,'01_Input'!$U$57,0),IF('01_Input'!$T$57="Palier",IF(AND(CS$20&gt;='01_Input'!$R$57,CS$20&lt;'01_Input'!$S$57),'01_Input'!$U$57,0),MAX(MIN(CS$20,'01_Input'!$S$57)-'01_Input'!$R$57,0)*'01_Input'!$U$57))+IF('01_Input'!$X$57="Forfait",IF(CS$20&gt;='01_Input'!$V$57,'01_Input'!$Y$57,0),IF('01_Input'!$X$57="Palier",IF(AND(CS$20&gt;='01_Input'!$V$57,CS$20&lt;'01_Input'!$W$57),'01_Input'!$Y$57,0),MAX(MIN(CS$20,'01_Input'!$W$57)-'01_Input'!$V$57,0)*'01_Input'!$Y$57))+IF('01_Input'!$AB$57="Forfait",IF(CS$20&gt;='01_Input'!$Z$57,'01_Input'!$AC$57,0),IF('01_Input'!$AB$57="Palier",IF(AND(CS$20&gt;='01_Input'!$Z$57,CS$20&lt;'01_Input'!$AA$57),'01_Input'!$AC$57,0),MAX(MIN(CS$20,'01_Input'!$AA$57)-'01_Input'!$Z$57,0)*'01_Input'!$AC$57)))))))))</f>
        <v>50000</v>
      </c>
      <c r="CT25" s="25">
        <f>IF('01_Input'!$C$57="Non",0,MIN('01_Input'!$I$57,MAX('01_Input'!$H$57,IF('01_Input'!$G$57="Résiduel vs Gestion",0,IF('01_Input'!$G$57="Taux Classe sélectionnée",Distrib_Global_Classe_Selectionnee*CT$20,IF('01_Input'!$G$57="Frais KYC (paliers de 100M€)",MAX(0,Nb_Investisseurs-Nb_KYC_Gratuites_Par_Tranche*(FLOOR(CT$20/Taille_Tranche_KYC,1)+1))*Cout_Par_KYC_Supplementaire,(IF('01_Input'!$L$57="Forfait",IF(CT$20&gt;='01_Input'!$J$57,'01_Input'!$M$57,0),IF('01_Input'!$L$57="Palier",IF(AND(CT$20&gt;='01_Input'!$J$57,CT$20&lt;'01_Input'!$K$57),'01_Input'!$M$57,0),MAX(MIN(CT$20,'01_Input'!$K$57)-'01_Input'!$J$57,0)*'01_Input'!$M$57))+IF('01_Input'!$P$57="Forfait",IF(CT$20&gt;='01_Input'!$N$57,'01_Input'!$Q$57,0),IF('01_Input'!$P$57="Palier",IF(AND(CT$20&gt;='01_Input'!$N$57,CT$20&lt;'01_Input'!$O$57),'01_Input'!$Q$57,0),MAX(MIN(CT$20,'01_Input'!$O$57)-'01_Input'!$N$57,0)*'01_Input'!$Q$57))+IF('01_Input'!$T$57="Forfait",IF(CT$20&gt;='01_Input'!$R$57,'01_Input'!$U$57,0),IF('01_Input'!$T$57="Palier",IF(AND(CT$20&gt;='01_Input'!$R$57,CT$20&lt;'01_Input'!$S$57),'01_Input'!$U$57,0),MAX(MIN(CT$20,'01_Input'!$S$57)-'01_Input'!$R$57,0)*'01_Input'!$U$57))+IF('01_Input'!$X$57="Forfait",IF(CT$20&gt;='01_Input'!$V$57,'01_Input'!$Y$57,0),IF('01_Input'!$X$57="Palier",IF(AND(CT$20&gt;='01_Input'!$V$57,CT$20&lt;'01_Input'!$W$57),'01_Input'!$Y$57,0),MAX(MIN(CT$20,'01_Input'!$W$57)-'01_Input'!$V$57,0)*'01_Input'!$Y$57))+IF('01_Input'!$AB$57="Forfait",IF(CT$20&gt;='01_Input'!$Z$57,'01_Input'!$AC$57,0),IF('01_Input'!$AB$57="Palier",IF(AND(CT$20&gt;='01_Input'!$Z$57,CT$20&lt;'01_Input'!$AA$57),'01_Input'!$AC$57,0),MAX(MIN(CT$20,'01_Input'!$AA$57)-'01_Input'!$Z$57,0)*'01_Input'!$AC$57)))))))))</f>
        <v>50000</v>
      </c>
      <c r="CU25" s="25">
        <f>IF('01_Input'!$C$57="Non",0,MIN('01_Input'!$I$57,MAX('01_Input'!$H$57,IF('01_Input'!$G$57="Résiduel vs Gestion",0,IF('01_Input'!$G$57="Taux Classe sélectionnée",Distrib_Global_Classe_Selectionnee*CU$20,IF('01_Input'!$G$57="Frais KYC (paliers de 100M€)",MAX(0,Nb_Investisseurs-Nb_KYC_Gratuites_Par_Tranche*(FLOOR(CU$20/Taille_Tranche_KYC,1)+1))*Cout_Par_KYC_Supplementaire,(IF('01_Input'!$L$57="Forfait",IF(CU$20&gt;='01_Input'!$J$57,'01_Input'!$M$57,0),IF('01_Input'!$L$57="Palier",IF(AND(CU$20&gt;='01_Input'!$J$57,CU$20&lt;'01_Input'!$K$57),'01_Input'!$M$57,0),MAX(MIN(CU$20,'01_Input'!$K$57)-'01_Input'!$J$57,0)*'01_Input'!$M$57))+IF('01_Input'!$P$57="Forfait",IF(CU$20&gt;='01_Input'!$N$57,'01_Input'!$Q$57,0),IF('01_Input'!$P$57="Palier",IF(AND(CU$20&gt;='01_Input'!$N$57,CU$20&lt;'01_Input'!$O$57),'01_Input'!$Q$57,0),MAX(MIN(CU$20,'01_Input'!$O$57)-'01_Input'!$N$57,0)*'01_Input'!$Q$57))+IF('01_Input'!$T$57="Forfait",IF(CU$20&gt;='01_Input'!$R$57,'01_Input'!$U$57,0),IF('01_Input'!$T$57="Palier",IF(AND(CU$20&gt;='01_Input'!$R$57,CU$20&lt;'01_Input'!$S$57),'01_Input'!$U$57,0),MAX(MIN(CU$20,'01_Input'!$S$57)-'01_Input'!$R$57,0)*'01_Input'!$U$57))+IF('01_Input'!$X$57="Forfait",IF(CU$20&gt;='01_Input'!$V$57,'01_Input'!$Y$57,0),IF('01_Input'!$X$57="Palier",IF(AND(CU$20&gt;='01_Input'!$V$57,CU$20&lt;'01_Input'!$W$57),'01_Input'!$Y$57,0),MAX(MIN(CU$20,'01_Input'!$W$57)-'01_Input'!$V$57,0)*'01_Input'!$Y$57))+IF('01_Input'!$AB$57="Forfait",IF(CU$20&gt;='01_Input'!$Z$57,'01_Input'!$AC$57,0),IF('01_Input'!$AB$57="Palier",IF(AND(CU$20&gt;='01_Input'!$Z$57,CU$20&lt;'01_Input'!$AA$57),'01_Input'!$AC$57,0),MAX(MIN(CU$20,'01_Input'!$AA$57)-'01_Input'!$Z$57,0)*'01_Input'!$AC$57)))))))))</f>
        <v>50000</v>
      </c>
      <c r="CV25" s="25">
        <f>IF('01_Input'!$C$57="Non",0,MIN('01_Input'!$I$57,MAX('01_Input'!$H$57,IF('01_Input'!$G$57="Résiduel vs Gestion",0,IF('01_Input'!$G$57="Taux Classe sélectionnée",Distrib_Global_Classe_Selectionnee*CV$20,IF('01_Input'!$G$57="Frais KYC (paliers de 100M€)",MAX(0,Nb_Investisseurs-Nb_KYC_Gratuites_Par_Tranche*(FLOOR(CV$20/Taille_Tranche_KYC,1)+1))*Cout_Par_KYC_Supplementaire,(IF('01_Input'!$L$57="Forfait",IF(CV$20&gt;='01_Input'!$J$57,'01_Input'!$M$57,0),IF('01_Input'!$L$57="Palier",IF(AND(CV$20&gt;='01_Input'!$J$57,CV$20&lt;'01_Input'!$K$57),'01_Input'!$M$57,0),MAX(MIN(CV$20,'01_Input'!$K$57)-'01_Input'!$J$57,0)*'01_Input'!$M$57))+IF('01_Input'!$P$57="Forfait",IF(CV$20&gt;='01_Input'!$N$57,'01_Input'!$Q$57,0),IF('01_Input'!$P$57="Palier",IF(AND(CV$20&gt;='01_Input'!$N$57,CV$20&lt;'01_Input'!$O$57),'01_Input'!$Q$57,0),MAX(MIN(CV$20,'01_Input'!$O$57)-'01_Input'!$N$57,0)*'01_Input'!$Q$57))+IF('01_Input'!$T$57="Forfait",IF(CV$20&gt;='01_Input'!$R$57,'01_Input'!$U$57,0),IF('01_Input'!$T$57="Palier",IF(AND(CV$20&gt;='01_Input'!$R$57,CV$20&lt;'01_Input'!$S$57),'01_Input'!$U$57,0),MAX(MIN(CV$20,'01_Input'!$S$57)-'01_Input'!$R$57,0)*'01_Input'!$U$57))+IF('01_Input'!$X$57="Forfait",IF(CV$20&gt;='01_Input'!$V$57,'01_Input'!$Y$57,0),IF('01_Input'!$X$57="Palier",IF(AND(CV$20&gt;='01_Input'!$V$57,CV$20&lt;'01_Input'!$W$57),'01_Input'!$Y$57,0),MAX(MIN(CV$20,'01_Input'!$W$57)-'01_Input'!$V$57,0)*'01_Input'!$Y$57))+IF('01_Input'!$AB$57="Forfait",IF(CV$20&gt;='01_Input'!$Z$57,'01_Input'!$AC$57,0),IF('01_Input'!$AB$57="Palier",IF(AND(CV$20&gt;='01_Input'!$Z$57,CV$20&lt;'01_Input'!$AA$57),'01_Input'!$AC$57,0),MAX(MIN(CV$20,'01_Input'!$AA$57)-'01_Input'!$Z$57,0)*'01_Input'!$AC$57)))))))))</f>
        <v>50000</v>
      </c>
      <c r="CW25" s="25">
        <f>IF('01_Input'!$C$57="Non",0,MIN('01_Input'!$I$57,MAX('01_Input'!$H$57,IF('01_Input'!$G$57="Résiduel vs Gestion",0,IF('01_Input'!$G$57="Taux Classe sélectionnée",Distrib_Global_Classe_Selectionnee*CW$20,IF('01_Input'!$G$57="Frais KYC (paliers de 100M€)",MAX(0,Nb_Investisseurs-Nb_KYC_Gratuites_Par_Tranche*(FLOOR(CW$20/Taille_Tranche_KYC,1)+1))*Cout_Par_KYC_Supplementaire,(IF('01_Input'!$L$57="Forfait",IF(CW$20&gt;='01_Input'!$J$57,'01_Input'!$M$57,0),IF('01_Input'!$L$57="Palier",IF(AND(CW$20&gt;='01_Input'!$J$57,CW$20&lt;'01_Input'!$K$57),'01_Input'!$M$57,0),MAX(MIN(CW$20,'01_Input'!$K$57)-'01_Input'!$J$57,0)*'01_Input'!$M$57))+IF('01_Input'!$P$57="Forfait",IF(CW$20&gt;='01_Input'!$N$57,'01_Input'!$Q$57,0),IF('01_Input'!$P$57="Palier",IF(AND(CW$20&gt;='01_Input'!$N$57,CW$20&lt;'01_Input'!$O$57),'01_Input'!$Q$57,0),MAX(MIN(CW$20,'01_Input'!$O$57)-'01_Input'!$N$57,0)*'01_Input'!$Q$57))+IF('01_Input'!$T$57="Forfait",IF(CW$20&gt;='01_Input'!$R$57,'01_Input'!$U$57,0),IF('01_Input'!$T$57="Palier",IF(AND(CW$20&gt;='01_Input'!$R$57,CW$20&lt;'01_Input'!$S$57),'01_Input'!$U$57,0),MAX(MIN(CW$20,'01_Input'!$S$57)-'01_Input'!$R$57,0)*'01_Input'!$U$57))+IF('01_Input'!$X$57="Forfait",IF(CW$20&gt;='01_Input'!$V$57,'01_Input'!$Y$57,0),IF('01_Input'!$X$57="Palier",IF(AND(CW$20&gt;='01_Input'!$V$57,CW$20&lt;'01_Input'!$W$57),'01_Input'!$Y$57,0),MAX(MIN(CW$20,'01_Input'!$W$57)-'01_Input'!$V$57,0)*'01_Input'!$Y$57))+IF('01_Input'!$AB$57="Forfait",IF(CW$20&gt;='01_Input'!$Z$57,'01_Input'!$AC$57,0),IF('01_Input'!$AB$57="Palier",IF(AND(CW$20&gt;='01_Input'!$Z$57,CW$20&lt;'01_Input'!$AA$57),'01_Input'!$AC$57,0),MAX(MIN(CW$20,'01_Input'!$AA$57)-'01_Input'!$Z$57,0)*'01_Input'!$AC$57)))))))))</f>
        <v>50000</v>
      </c>
      <c r="CX25" s="25">
        <f>IF('01_Input'!$C$57="Non",0,MIN('01_Input'!$I$57,MAX('01_Input'!$H$57,IF('01_Input'!$G$57="Résiduel vs Gestion",0,IF('01_Input'!$G$57="Taux Classe sélectionnée",Distrib_Global_Classe_Selectionnee*CX$20,IF('01_Input'!$G$57="Frais KYC (paliers de 100M€)",MAX(0,Nb_Investisseurs-Nb_KYC_Gratuites_Par_Tranche*(FLOOR(CX$20/Taille_Tranche_KYC,1)+1))*Cout_Par_KYC_Supplementaire,(IF('01_Input'!$L$57="Forfait",IF(CX$20&gt;='01_Input'!$J$57,'01_Input'!$M$57,0),IF('01_Input'!$L$57="Palier",IF(AND(CX$20&gt;='01_Input'!$J$57,CX$20&lt;'01_Input'!$K$57),'01_Input'!$M$57,0),MAX(MIN(CX$20,'01_Input'!$K$57)-'01_Input'!$J$57,0)*'01_Input'!$M$57))+IF('01_Input'!$P$57="Forfait",IF(CX$20&gt;='01_Input'!$N$57,'01_Input'!$Q$57,0),IF('01_Input'!$P$57="Palier",IF(AND(CX$20&gt;='01_Input'!$N$57,CX$20&lt;'01_Input'!$O$57),'01_Input'!$Q$57,0),MAX(MIN(CX$20,'01_Input'!$O$57)-'01_Input'!$N$57,0)*'01_Input'!$Q$57))+IF('01_Input'!$T$57="Forfait",IF(CX$20&gt;='01_Input'!$R$57,'01_Input'!$U$57,0),IF('01_Input'!$T$57="Palier",IF(AND(CX$20&gt;='01_Input'!$R$57,CX$20&lt;'01_Input'!$S$57),'01_Input'!$U$57,0),MAX(MIN(CX$20,'01_Input'!$S$57)-'01_Input'!$R$57,0)*'01_Input'!$U$57))+IF('01_Input'!$X$57="Forfait",IF(CX$20&gt;='01_Input'!$V$57,'01_Input'!$Y$57,0),IF('01_Input'!$X$57="Palier",IF(AND(CX$20&gt;='01_Input'!$V$57,CX$20&lt;'01_Input'!$W$57),'01_Input'!$Y$57,0),MAX(MIN(CX$20,'01_Input'!$W$57)-'01_Input'!$V$57,0)*'01_Input'!$Y$57))+IF('01_Input'!$AB$57="Forfait",IF(CX$20&gt;='01_Input'!$Z$57,'01_Input'!$AC$57,0),IF('01_Input'!$AB$57="Palier",IF(AND(CX$20&gt;='01_Input'!$Z$57,CX$20&lt;'01_Input'!$AA$57),'01_Input'!$AC$57,0),MAX(MIN(CX$20,'01_Input'!$AA$57)-'01_Input'!$Z$57,0)*'01_Input'!$AC$57)))))))))</f>
        <v>50000</v>
      </c>
      <c r="CY25" s="25">
        <f>IF('01_Input'!$C$57="Non",0,MIN('01_Input'!$I$57,MAX('01_Input'!$H$57,IF('01_Input'!$G$57="Résiduel vs Gestion",0,IF('01_Input'!$G$57="Taux Classe sélectionnée",Distrib_Global_Classe_Selectionnee*CY$20,IF('01_Input'!$G$57="Frais KYC (paliers de 100M€)",MAX(0,Nb_Investisseurs-Nb_KYC_Gratuites_Par_Tranche*(FLOOR(CY$20/Taille_Tranche_KYC,1)+1))*Cout_Par_KYC_Supplementaire,(IF('01_Input'!$L$57="Forfait",IF(CY$20&gt;='01_Input'!$J$57,'01_Input'!$M$57,0),IF('01_Input'!$L$57="Palier",IF(AND(CY$20&gt;='01_Input'!$J$57,CY$20&lt;'01_Input'!$K$57),'01_Input'!$M$57,0),MAX(MIN(CY$20,'01_Input'!$K$57)-'01_Input'!$J$57,0)*'01_Input'!$M$57))+IF('01_Input'!$P$57="Forfait",IF(CY$20&gt;='01_Input'!$N$57,'01_Input'!$Q$57,0),IF('01_Input'!$P$57="Palier",IF(AND(CY$20&gt;='01_Input'!$N$57,CY$20&lt;'01_Input'!$O$57),'01_Input'!$Q$57,0),MAX(MIN(CY$20,'01_Input'!$O$57)-'01_Input'!$N$57,0)*'01_Input'!$Q$57))+IF('01_Input'!$T$57="Forfait",IF(CY$20&gt;='01_Input'!$R$57,'01_Input'!$U$57,0),IF('01_Input'!$T$57="Palier",IF(AND(CY$20&gt;='01_Input'!$R$57,CY$20&lt;'01_Input'!$S$57),'01_Input'!$U$57,0),MAX(MIN(CY$20,'01_Input'!$S$57)-'01_Input'!$R$57,0)*'01_Input'!$U$57))+IF('01_Input'!$X$57="Forfait",IF(CY$20&gt;='01_Input'!$V$57,'01_Input'!$Y$57,0),IF('01_Input'!$X$57="Palier",IF(AND(CY$20&gt;='01_Input'!$V$57,CY$20&lt;'01_Input'!$W$57),'01_Input'!$Y$57,0),MAX(MIN(CY$20,'01_Input'!$W$57)-'01_Input'!$V$57,0)*'01_Input'!$Y$57))+IF('01_Input'!$AB$57="Forfait",IF(CY$20&gt;='01_Input'!$Z$57,'01_Input'!$AC$57,0),IF('01_Input'!$AB$57="Palier",IF(AND(CY$20&gt;='01_Input'!$Z$57,CY$20&lt;'01_Input'!$AA$57),'01_Input'!$AC$57,0),MAX(MIN(CY$20,'01_Input'!$AA$57)-'01_Input'!$Z$57,0)*'01_Input'!$AC$57)))))))))</f>
        <v>50000</v>
      </c>
      <c r="CZ25" s="25">
        <f>IF('01_Input'!$C$57="Non",0,MIN('01_Input'!$I$57,MAX('01_Input'!$H$57,IF('01_Input'!$G$57="Résiduel vs Gestion",0,IF('01_Input'!$G$57="Taux Classe sélectionnée",Distrib_Global_Classe_Selectionnee*CZ$20,IF('01_Input'!$G$57="Frais KYC (paliers de 100M€)",MAX(0,Nb_Investisseurs-Nb_KYC_Gratuites_Par_Tranche*(FLOOR(CZ$20/Taille_Tranche_KYC,1)+1))*Cout_Par_KYC_Supplementaire,(IF('01_Input'!$L$57="Forfait",IF(CZ$20&gt;='01_Input'!$J$57,'01_Input'!$M$57,0),IF('01_Input'!$L$57="Palier",IF(AND(CZ$20&gt;='01_Input'!$J$57,CZ$20&lt;'01_Input'!$K$57),'01_Input'!$M$57,0),MAX(MIN(CZ$20,'01_Input'!$K$57)-'01_Input'!$J$57,0)*'01_Input'!$M$57))+IF('01_Input'!$P$57="Forfait",IF(CZ$20&gt;='01_Input'!$N$57,'01_Input'!$Q$57,0),IF('01_Input'!$P$57="Palier",IF(AND(CZ$20&gt;='01_Input'!$N$57,CZ$20&lt;'01_Input'!$O$57),'01_Input'!$Q$57,0),MAX(MIN(CZ$20,'01_Input'!$O$57)-'01_Input'!$N$57,0)*'01_Input'!$Q$57))+IF('01_Input'!$T$57="Forfait",IF(CZ$20&gt;='01_Input'!$R$57,'01_Input'!$U$57,0),IF('01_Input'!$T$57="Palier",IF(AND(CZ$20&gt;='01_Input'!$R$57,CZ$20&lt;'01_Input'!$S$57),'01_Input'!$U$57,0),MAX(MIN(CZ$20,'01_Input'!$S$57)-'01_Input'!$R$57,0)*'01_Input'!$U$57))+IF('01_Input'!$X$57="Forfait",IF(CZ$20&gt;='01_Input'!$V$57,'01_Input'!$Y$57,0),IF('01_Input'!$X$57="Palier",IF(AND(CZ$20&gt;='01_Input'!$V$57,CZ$20&lt;'01_Input'!$W$57),'01_Input'!$Y$57,0),MAX(MIN(CZ$20,'01_Input'!$W$57)-'01_Input'!$V$57,0)*'01_Input'!$Y$57))+IF('01_Input'!$AB$57="Forfait",IF(CZ$20&gt;='01_Input'!$Z$57,'01_Input'!$AC$57,0),IF('01_Input'!$AB$57="Palier",IF(AND(CZ$20&gt;='01_Input'!$Z$57,CZ$20&lt;'01_Input'!$AA$57),'01_Input'!$AC$57,0),MAX(MIN(CZ$20,'01_Input'!$AA$57)-'01_Input'!$Z$57,0)*'01_Input'!$AC$57)))))))))</f>
        <v>50000</v>
      </c>
      <c r="DA25" s="25">
        <f>IF('01_Input'!$C$57="Non",0,MIN('01_Input'!$I$57,MAX('01_Input'!$H$57,IF('01_Input'!$G$57="Résiduel vs Gestion",0,IF('01_Input'!$G$57="Taux Classe sélectionnée",Distrib_Global_Classe_Selectionnee*DA$20,IF('01_Input'!$G$57="Frais KYC (paliers de 100M€)",MAX(0,Nb_Investisseurs-Nb_KYC_Gratuites_Par_Tranche*(FLOOR(DA$20/Taille_Tranche_KYC,1)+1))*Cout_Par_KYC_Supplementaire,(IF('01_Input'!$L$57="Forfait",IF(DA$20&gt;='01_Input'!$J$57,'01_Input'!$M$57,0),IF('01_Input'!$L$57="Palier",IF(AND(DA$20&gt;='01_Input'!$J$57,DA$20&lt;'01_Input'!$K$57),'01_Input'!$M$57,0),MAX(MIN(DA$20,'01_Input'!$K$57)-'01_Input'!$J$57,0)*'01_Input'!$M$57))+IF('01_Input'!$P$57="Forfait",IF(DA$20&gt;='01_Input'!$N$57,'01_Input'!$Q$57,0),IF('01_Input'!$P$57="Palier",IF(AND(DA$20&gt;='01_Input'!$N$57,DA$20&lt;'01_Input'!$O$57),'01_Input'!$Q$57,0),MAX(MIN(DA$20,'01_Input'!$O$57)-'01_Input'!$N$57,0)*'01_Input'!$Q$57))+IF('01_Input'!$T$57="Forfait",IF(DA$20&gt;='01_Input'!$R$57,'01_Input'!$U$57,0),IF('01_Input'!$T$57="Palier",IF(AND(DA$20&gt;='01_Input'!$R$57,DA$20&lt;'01_Input'!$S$57),'01_Input'!$U$57,0),MAX(MIN(DA$20,'01_Input'!$S$57)-'01_Input'!$R$57,0)*'01_Input'!$U$57))+IF('01_Input'!$X$57="Forfait",IF(DA$20&gt;='01_Input'!$V$57,'01_Input'!$Y$57,0),IF('01_Input'!$X$57="Palier",IF(AND(DA$20&gt;='01_Input'!$V$57,DA$20&lt;'01_Input'!$W$57),'01_Input'!$Y$57,0),MAX(MIN(DA$20,'01_Input'!$W$57)-'01_Input'!$V$57,0)*'01_Input'!$Y$57))+IF('01_Input'!$AB$57="Forfait",IF(DA$20&gt;='01_Input'!$Z$57,'01_Input'!$AC$57,0),IF('01_Input'!$AB$57="Palier",IF(AND(DA$20&gt;='01_Input'!$Z$57,DA$20&lt;'01_Input'!$AA$57),'01_Input'!$AC$57,0),MAX(MIN(DA$20,'01_Input'!$AA$57)-'01_Input'!$Z$57,0)*'01_Input'!$AC$57)))))))))</f>
        <v>50000</v>
      </c>
      <c r="DB25" s="25">
        <f>IF('01_Input'!$C$57="Non",0,MIN('01_Input'!$I$57,MAX('01_Input'!$H$57,IF('01_Input'!$G$57="Résiduel vs Gestion",0,IF('01_Input'!$G$57="Taux Classe sélectionnée",Distrib_Global_Classe_Selectionnee*DB$20,IF('01_Input'!$G$57="Frais KYC (paliers de 100M€)",MAX(0,Nb_Investisseurs-Nb_KYC_Gratuites_Par_Tranche*(FLOOR(DB$20/Taille_Tranche_KYC,1)+1))*Cout_Par_KYC_Supplementaire,(IF('01_Input'!$L$57="Forfait",IF(DB$20&gt;='01_Input'!$J$57,'01_Input'!$M$57,0),IF('01_Input'!$L$57="Palier",IF(AND(DB$20&gt;='01_Input'!$J$57,DB$20&lt;'01_Input'!$K$57),'01_Input'!$M$57,0),MAX(MIN(DB$20,'01_Input'!$K$57)-'01_Input'!$J$57,0)*'01_Input'!$M$57))+IF('01_Input'!$P$57="Forfait",IF(DB$20&gt;='01_Input'!$N$57,'01_Input'!$Q$57,0),IF('01_Input'!$P$57="Palier",IF(AND(DB$20&gt;='01_Input'!$N$57,DB$20&lt;'01_Input'!$O$57),'01_Input'!$Q$57,0),MAX(MIN(DB$20,'01_Input'!$O$57)-'01_Input'!$N$57,0)*'01_Input'!$Q$57))+IF('01_Input'!$T$57="Forfait",IF(DB$20&gt;='01_Input'!$R$57,'01_Input'!$U$57,0),IF('01_Input'!$T$57="Palier",IF(AND(DB$20&gt;='01_Input'!$R$57,DB$20&lt;'01_Input'!$S$57),'01_Input'!$U$57,0),MAX(MIN(DB$20,'01_Input'!$S$57)-'01_Input'!$R$57,0)*'01_Input'!$U$57))+IF('01_Input'!$X$57="Forfait",IF(DB$20&gt;='01_Input'!$V$57,'01_Input'!$Y$57,0),IF('01_Input'!$X$57="Palier",IF(AND(DB$20&gt;='01_Input'!$V$57,DB$20&lt;'01_Input'!$W$57),'01_Input'!$Y$57,0),MAX(MIN(DB$20,'01_Input'!$W$57)-'01_Input'!$V$57,0)*'01_Input'!$Y$57))+IF('01_Input'!$AB$57="Forfait",IF(DB$20&gt;='01_Input'!$Z$57,'01_Input'!$AC$57,0),IF('01_Input'!$AB$57="Palier",IF(AND(DB$20&gt;='01_Input'!$Z$57,DB$20&lt;'01_Input'!$AA$57),'01_Input'!$AC$57,0),MAX(MIN(DB$20,'01_Input'!$AA$57)-'01_Input'!$Z$57,0)*'01_Input'!$AC$57)))))))))</f>
        <v>50000</v>
      </c>
      <c r="DC25" s="25">
        <f>IF('01_Input'!$C$57="Non",0,MIN('01_Input'!$I$57,MAX('01_Input'!$H$57,IF('01_Input'!$G$57="Résiduel vs Gestion",0,IF('01_Input'!$G$57="Taux Classe sélectionnée",Distrib_Global_Classe_Selectionnee*DC$20,IF('01_Input'!$G$57="Frais KYC (paliers de 100M€)",MAX(0,Nb_Investisseurs-Nb_KYC_Gratuites_Par_Tranche*(FLOOR(DC$20/Taille_Tranche_KYC,1)+1))*Cout_Par_KYC_Supplementaire,(IF('01_Input'!$L$57="Forfait",IF(DC$20&gt;='01_Input'!$J$57,'01_Input'!$M$57,0),IF('01_Input'!$L$57="Palier",IF(AND(DC$20&gt;='01_Input'!$J$57,DC$20&lt;'01_Input'!$K$57),'01_Input'!$M$57,0),MAX(MIN(DC$20,'01_Input'!$K$57)-'01_Input'!$J$57,0)*'01_Input'!$M$57))+IF('01_Input'!$P$57="Forfait",IF(DC$20&gt;='01_Input'!$N$57,'01_Input'!$Q$57,0),IF('01_Input'!$P$57="Palier",IF(AND(DC$20&gt;='01_Input'!$N$57,DC$20&lt;'01_Input'!$O$57),'01_Input'!$Q$57,0),MAX(MIN(DC$20,'01_Input'!$O$57)-'01_Input'!$N$57,0)*'01_Input'!$Q$57))+IF('01_Input'!$T$57="Forfait",IF(DC$20&gt;='01_Input'!$R$57,'01_Input'!$U$57,0),IF('01_Input'!$T$57="Palier",IF(AND(DC$20&gt;='01_Input'!$R$57,DC$20&lt;'01_Input'!$S$57),'01_Input'!$U$57,0),MAX(MIN(DC$20,'01_Input'!$S$57)-'01_Input'!$R$57,0)*'01_Input'!$U$57))+IF('01_Input'!$X$57="Forfait",IF(DC$20&gt;='01_Input'!$V$57,'01_Input'!$Y$57,0),IF('01_Input'!$X$57="Palier",IF(AND(DC$20&gt;='01_Input'!$V$57,DC$20&lt;'01_Input'!$W$57),'01_Input'!$Y$57,0),MAX(MIN(DC$20,'01_Input'!$W$57)-'01_Input'!$V$57,0)*'01_Input'!$Y$57))+IF('01_Input'!$AB$57="Forfait",IF(DC$20&gt;='01_Input'!$Z$57,'01_Input'!$AC$57,0),IF('01_Input'!$AB$57="Palier",IF(AND(DC$20&gt;='01_Input'!$Z$57,DC$20&lt;'01_Input'!$AA$57),'01_Input'!$AC$57,0),MAX(MIN(DC$20,'01_Input'!$AA$57)-'01_Input'!$Z$57,0)*'01_Input'!$AC$57)))))))))</f>
        <v>50000</v>
      </c>
      <c r="DD25" s="25">
        <f>IF('01_Input'!$C$57="Non",0,MIN('01_Input'!$I$57,MAX('01_Input'!$H$57,IF('01_Input'!$G$57="Résiduel vs Gestion",0,IF('01_Input'!$G$57="Taux Classe sélectionnée",Distrib_Global_Classe_Selectionnee*DD$20,IF('01_Input'!$G$57="Frais KYC (paliers de 100M€)",MAX(0,Nb_Investisseurs-Nb_KYC_Gratuites_Par_Tranche*(FLOOR(DD$20/Taille_Tranche_KYC,1)+1))*Cout_Par_KYC_Supplementaire,(IF('01_Input'!$L$57="Forfait",IF(DD$20&gt;='01_Input'!$J$57,'01_Input'!$M$57,0),IF('01_Input'!$L$57="Palier",IF(AND(DD$20&gt;='01_Input'!$J$57,DD$20&lt;'01_Input'!$K$57),'01_Input'!$M$57,0),MAX(MIN(DD$20,'01_Input'!$K$57)-'01_Input'!$J$57,0)*'01_Input'!$M$57))+IF('01_Input'!$P$57="Forfait",IF(DD$20&gt;='01_Input'!$N$57,'01_Input'!$Q$57,0),IF('01_Input'!$P$57="Palier",IF(AND(DD$20&gt;='01_Input'!$N$57,DD$20&lt;'01_Input'!$O$57),'01_Input'!$Q$57,0),MAX(MIN(DD$20,'01_Input'!$O$57)-'01_Input'!$N$57,0)*'01_Input'!$Q$57))+IF('01_Input'!$T$57="Forfait",IF(DD$20&gt;='01_Input'!$R$57,'01_Input'!$U$57,0),IF('01_Input'!$T$57="Palier",IF(AND(DD$20&gt;='01_Input'!$R$57,DD$20&lt;'01_Input'!$S$57),'01_Input'!$U$57,0),MAX(MIN(DD$20,'01_Input'!$S$57)-'01_Input'!$R$57,0)*'01_Input'!$U$57))+IF('01_Input'!$X$57="Forfait",IF(DD$20&gt;='01_Input'!$V$57,'01_Input'!$Y$57,0),IF('01_Input'!$X$57="Palier",IF(AND(DD$20&gt;='01_Input'!$V$57,DD$20&lt;'01_Input'!$W$57),'01_Input'!$Y$57,0),MAX(MIN(DD$20,'01_Input'!$W$57)-'01_Input'!$V$57,0)*'01_Input'!$Y$57))+IF('01_Input'!$AB$57="Forfait",IF(DD$20&gt;='01_Input'!$Z$57,'01_Input'!$AC$57,0),IF('01_Input'!$AB$57="Palier",IF(AND(DD$20&gt;='01_Input'!$Z$57,DD$20&lt;'01_Input'!$AA$57),'01_Input'!$AC$57,0),MAX(MIN(DD$20,'01_Input'!$AA$57)-'01_Input'!$Z$57,0)*'01_Input'!$AC$57)))))))))</f>
        <v>50000</v>
      </c>
      <c r="DE25" s="25">
        <f>IF('01_Input'!$C$57="Non",0,MIN('01_Input'!$I$57,MAX('01_Input'!$H$57,IF('01_Input'!$G$57="Résiduel vs Gestion",0,IF('01_Input'!$G$57="Taux Classe sélectionnée",Distrib_Global_Classe_Selectionnee*DE$20,IF('01_Input'!$G$57="Frais KYC (paliers de 100M€)",MAX(0,Nb_Investisseurs-Nb_KYC_Gratuites_Par_Tranche*(FLOOR(DE$20/Taille_Tranche_KYC,1)+1))*Cout_Par_KYC_Supplementaire,(IF('01_Input'!$L$57="Forfait",IF(DE$20&gt;='01_Input'!$J$57,'01_Input'!$M$57,0),IF('01_Input'!$L$57="Palier",IF(AND(DE$20&gt;='01_Input'!$J$57,DE$20&lt;'01_Input'!$K$57),'01_Input'!$M$57,0),MAX(MIN(DE$20,'01_Input'!$K$57)-'01_Input'!$J$57,0)*'01_Input'!$M$57))+IF('01_Input'!$P$57="Forfait",IF(DE$20&gt;='01_Input'!$N$57,'01_Input'!$Q$57,0),IF('01_Input'!$P$57="Palier",IF(AND(DE$20&gt;='01_Input'!$N$57,DE$20&lt;'01_Input'!$O$57),'01_Input'!$Q$57,0),MAX(MIN(DE$20,'01_Input'!$O$57)-'01_Input'!$N$57,0)*'01_Input'!$Q$57))+IF('01_Input'!$T$57="Forfait",IF(DE$20&gt;='01_Input'!$R$57,'01_Input'!$U$57,0),IF('01_Input'!$T$57="Palier",IF(AND(DE$20&gt;='01_Input'!$R$57,DE$20&lt;'01_Input'!$S$57),'01_Input'!$U$57,0),MAX(MIN(DE$20,'01_Input'!$S$57)-'01_Input'!$R$57,0)*'01_Input'!$U$57))+IF('01_Input'!$X$57="Forfait",IF(DE$20&gt;='01_Input'!$V$57,'01_Input'!$Y$57,0),IF('01_Input'!$X$57="Palier",IF(AND(DE$20&gt;='01_Input'!$V$57,DE$20&lt;'01_Input'!$W$57),'01_Input'!$Y$57,0),MAX(MIN(DE$20,'01_Input'!$W$57)-'01_Input'!$V$57,0)*'01_Input'!$Y$57))+IF('01_Input'!$AB$57="Forfait",IF(DE$20&gt;='01_Input'!$Z$57,'01_Input'!$AC$57,0),IF('01_Input'!$AB$57="Palier",IF(AND(DE$20&gt;='01_Input'!$Z$57,DE$20&lt;'01_Input'!$AA$57),'01_Input'!$AC$57,0),MAX(MIN(DE$20,'01_Input'!$AA$57)-'01_Input'!$Z$57,0)*'01_Input'!$AC$57)))))))))</f>
        <v>50000</v>
      </c>
      <c r="DF25" s="25">
        <f>IF('01_Input'!$C$57="Non",0,MIN('01_Input'!$I$57,MAX('01_Input'!$H$57,IF('01_Input'!$G$57="Résiduel vs Gestion",0,IF('01_Input'!$G$57="Taux Classe sélectionnée",Distrib_Global_Classe_Selectionnee*DF$20,IF('01_Input'!$G$57="Frais KYC (paliers de 100M€)",MAX(0,Nb_Investisseurs-Nb_KYC_Gratuites_Par_Tranche*(FLOOR(DF$20/Taille_Tranche_KYC,1)+1))*Cout_Par_KYC_Supplementaire,(IF('01_Input'!$L$57="Forfait",IF(DF$20&gt;='01_Input'!$J$57,'01_Input'!$M$57,0),IF('01_Input'!$L$57="Palier",IF(AND(DF$20&gt;='01_Input'!$J$57,DF$20&lt;'01_Input'!$K$57),'01_Input'!$M$57,0),MAX(MIN(DF$20,'01_Input'!$K$57)-'01_Input'!$J$57,0)*'01_Input'!$M$57))+IF('01_Input'!$P$57="Forfait",IF(DF$20&gt;='01_Input'!$N$57,'01_Input'!$Q$57,0),IF('01_Input'!$P$57="Palier",IF(AND(DF$20&gt;='01_Input'!$N$57,DF$20&lt;'01_Input'!$O$57),'01_Input'!$Q$57,0),MAX(MIN(DF$20,'01_Input'!$O$57)-'01_Input'!$N$57,0)*'01_Input'!$Q$57))+IF('01_Input'!$T$57="Forfait",IF(DF$20&gt;='01_Input'!$R$57,'01_Input'!$U$57,0),IF('01_Input'!$T$57="Palier",IF(AND(DF$20&gt;='01_Input'!$R$57,DF$20&lt;'01_Input'!$S$57),'01_Input'!$U$57,0),MAX(MIN(DF$20,'01_Input'!$S$57)-'01_Input'!$R$57,0)*'01_Input'!$U$57))+IF('01_Input'!$X$57="Forfait",IF(DF$20&gt;='01_Input'!$V$57,'01_Input'!$Y$57,0),IF('01_Input'!$X$57="Palier",IF(AND(DF$20&gt;='01_Input'!$V$57,DF$20&lt;'01_Input'!$W$57),'01_Input'!$Y$57,0),MAX(MIN(DF$20,'01_Input'!$W$57)-'01_Input'!$V$57,0)*'01_Input'!$Y$57))+IF('01_Input'!$AB$57="Forfait",IF(DF$20&gt;='01_Input'!$Z$57,'01_Input'!$AC$57,0),IF('01_Input'!$AB$57="Palier",IF(AND(DF$20&gt;='01_Input'!$Z$57,DF$20&lt;'01_Input'!$AA$57),'01_Input'!$AC$57,0),MAX(MIN(DF$20,'01_Input'!$AA$57)-'01_Input'!$Z$57,0)*'01_Input'!$AC$57)))))))))</f>
        <v>50000</v>
      </c>
      <c r="DG25" s="25">
        <f>IF('01_Input'!$C$57="Non",0,MIN('01_Input'!$I$57,MAX('01_Input'!$H$57,IF('01_Input'!$G$57="Résiduel vs Gestion",0,IF('01_Input'!$G$57="Taux Classe sélectionnée",Distrib_Global_Classe_Selectionnee*DG$20,IF('01_Input'!$G$57="Frais KYC (paliers de 100M€)",MAX(0,Nb_Investisseurs-Nb_KYC_Gratuites_Par_Tranche*(FLOOR(DG$20/Taille_Tranche_KYC,1)+1))*Cout_Par_KYC_Supplementaire,(IF('01_Input'!$L$57="Forfait",IF(DG$20&gt;='01_Input'!$J$57,'01_Input'!$M$57,0),IF('01_Input'!$L$57="Palier",IF(AND(DG$20&gt;='01_Input'!$J$57,DG$20&lt;'01_Input'!$K$57),'01_Input'!$M$57,0),MAX(MIN(DG$20,'01_Input'!$K$57)-'01_Input'!$J$57,0)*'01_Input'!$M$57))+IF('01_Input'!$P$57="Forfait",IF(DG$20&gt;='01_Input'!$N$57,'01_Input'!$Q$57,0),IF('01_Input'!$P$57="Palier",IF(AND(DG$20&gt;='01_Input'!$N$57,DG$20&lt;'01_Input'!$O$57),'01_Input'!$Q$57,0),MAX(MIN(DG$20,'01_Input'!$O$57)-'01_Input'!$N$57,0)*'01_Input'!$Q$57))+IF('01_Input'!$T$57="Forfait",IF(DG$20&gt;='01_Input'!$R$57,'01_Input'!$U$57,0),IF('01_Input'!$T$57="Palier",IF(AND(DG$20&gt;='01_Input'!$R$57,DG$20&lt;'01_Input'!$S$57),'01_Input'!$U$57,0),MAX(MIN(DG$20,'01_Input'!$S$57)-'01_Input'!$R$57,0)*'01_Input'!$U$57))+IF('01_Input'!$X$57="Forfait",IF(DG$20&gt;='01_Input'!$V$57,'01_Input'!$Y$57,0),IF('01_Input'!$X$57="Palier",IF(AND(DG$20&gt;='01_Input'!$V$57,DG$20&lt;'01_Input'!$W$57),'01_Input'!$Y$57,0),MAX(MIN(DG$20,'01_Input'!$W$57)-'01_Input'!$V$57,0)*'01_Input'!$Y$57))+IF('01_Input'!$AB$57="Forfait",IF(DG$20&gt;='01_Input'!$Z$57,'01_Input'!$AC$57,0),IF('01_Input'!$AB$57="Palier",IF(AND(DG$20&gt;='01_Input'!$Z$57,DG$20&lt;'01_Input'!$AA$57),'01_Input'!$AC$57,0),MAX(MIN(DG$20,'01_Input'!$AA$57)-'01_Input'!$Z$57,0)*'01_Input'!$AC$57)))))))))</f>
        <v>50000</v>
      </c>
      <c r="DH25" s="25">
        <f>IF('01_Input'!$C$57="Non",0,MIN('01_Input'!$I$57,MAX('01_Input'!$H$57,IF('01_Input'!$G$57="Résiduel vs Gestion",0,IF('01_Input'!$G$57="Taux Classe sélectionnée",Distrib_Global_Classe_Selectionnee*DH$20,IF('01_Input'!$G$57="Frais KYC (paliers de 100M€)",MAX(0,Nb_Investisseurs-Nb_KYC_Gratuites_Par_Tranche*(FLOOR(DH$20/Taille_Tranche_KYC,1)+1))*Cout_Par_KYC_Supplementaire,(IF('01_Input'!$L$57="Forfait",IF(DH$20&gt;='01_Input'!$J$57,'01_Input'!$M$57,0),IF('01_Input'!$L$57="Palier",IF(AND(DH$20&gt;='01_Input'!$J$57,DH$20&lt;'01_Input'!$K$57),'01_Input'!$M$57,0),MAX(MIN(DH$20,'01_Input'!$K$57)-'01_Input'!$J$57,0)*'01_Input'!$M$57))+IF('01_Input'!$P$57="Forfait",IF(DH$20&gt;='01_Input'!$N$57,'01_Input'!$Q$57,0),IF('01_Input'!$P$57="Palier",IF(AND(DH$20&gt;='01_Input'!$N$57,DH$20&lt;'01_Input'!$O$57),'01_Input'!$Q$57,0),MAX(MIN(DH$20,'01_Input'!$O$57)-'01_Input'!$N$57,0)*'01_Input'!$Q$57))+IF('01_Input'!$T$57="Forfait",IF(DH$20&gt;='01_Input'!$R$57,'01_Input'!$U$57,0),IF('01_Input'!$T$57="Palier",IF(AND(DH$20&gt;='01_Input'!$R$57,DH$20&lt;'01_Input'!$S$57),'01_Input'!$U$57,0),MAX(MIN(DH$20,'01_Input'!$S$57)-'01_Input'!$R$57,0)*'01_Input'!$U$57))+IF('01_Input'!$X$57="Forfait",IF(DH$20&gt;='01_Input'!$V$57,'01_Input'!$Y$57,0),IF('01_Input'!$X$57="Palier",IF(AND(DH$20&gt;='01_Input'!$V$57,DH$20&lt;'01_Input'!$W$57),'01_Input'!$Y$57,0),MAX(MIN(DH$20,'01_Input'!$W$57)-'01_Input'!$V$57,0)*'01_Input'!$Y$57))+IF('01_Input'!$AB$57="Forfait",IF(DH$20&gt;='01_Input'!$Z$57,'01_Input'!$AC$57,0),IF('01_Input'!$AB$57="Palier",IF(AND(DH$20&gt;='01_Input'!$Z$57,DH$20&lt;'01_Input'!$AA$57),'01_Input'!$AC$57,0),MAX(MIN(DH$20,'01_Input'!$AA$57)-'01_Input'!$Z$57,0)*'01_Input'!$AC$57)))))))))</f>
        <v>50000</v>
      </c>
      <c r="DI25" s="25">
        <f>IF('01_Input'!$C$57="Non",0,MIN('01_Input'!$I$57,MAX('01_Input'!$H$57,IF('01_Input'!$G$57="Résiduel vs Gestion",0,IF('01_Input'!$G$57="Taux Classe sélectionnée",Distrib_Global_Classe_Selectionnee*DI$20,IF('01_Input'!$G$57="Frais KYC (paliers de 100M€)",MAX(0,Nb_Investisseurs-Nb_KYC_Gratuites_Par_Tranche*(FLOOR(DI$20/Taille_Tranche_KYC,1)+1))*Cout_Par_KYC_Supplementaire,(IF('01_Input'!$L$57="Forfait",IF(DI$20&gt;='01_Input'!$J$57,'01_Input'!$M$57,0),IF('01_Input'!$L$57="Palier",IF(AND(DI$20&gt;='01_Input'!$J$57,DI$20&lt;'01_Input'!$K$57),'01_Input'!$M$57,0),MAX(MIN(DI$20,'01_Input'!$K$57)-'01_Input'!$J$57,0)*'01_Input'!$M$57))+IF('01_Input'!$P$57="Forfait",IF(DI$20&gt;='01_Input'!$N$57,'01_Input'!$Q$57,0),IF('01_Input'!$P$57="Palier",IF(AND(DI$20&gt;='01_Input'!$N$57,DI$20&lt;'01_Input'!$O$57),'01_Input'!$Q$57,0),MAX(MIN(DI$20,'01_Input'!$O$57)-'01_Input'!$N$57,0)*'01_Input'!$Q$57))+IF('01_Input'!$T$57="Forfait",IF(DI$20&gt;='01_Input'!$R$57,'01_Input'!$U$57,0),IF('01_Input'!$T$57="Palier",IF(AND(DI$20&gt;='01_Input'!$R$57,DI$20&lt;'01_Input'!$S$57),'01_Input'!$U$57,0),MAX(MIN(DI$20,'01_Input'!$S$57)-'01_Input'!$R$57,0)*'01_Input'!$U$57))+IF('01_Input'!$X$57="Forfait",IF(DI$20&gt;='01_Input'!$V$57,'01_Input'!$Y$57,0),IF('01_Input'!$X$57="Palier",IF(AND(DI$20&gt;='01_Input'!$V$57,DI$20&lt;'01_Input'!$W$57),'01_Input'!$Y$57,0),MAX(MIN(DI$20,'01_Input'!$W$57)-'01_Input'!$V$57,0)*'01_Input'!$Y$57))+IF('01_Input'!$AB$57="Forfait",IF(DI$20&gt;='01_Input'!$Z$57,'01_Input'!$AC$57,0),IF('01_Input'!$AB$57="Palier",IF(AND(DI$20&gt;='01_Input'!$Z$57,DI$20&lt;'01_Input'!$AA$57),'01_Input'!$AC$57,0),MAX(MIN(DI$20,'01_Input'!$AA$57)-'01_Input'!$Z$57,0)*'01_Input'!$AC$57)))))))))</f>
        <v>50000</v>
      </c>
      <c r="DJ25" s="25">
        <f>IF('01_Input'!$C$57="Non",0,MIN('01_Input'!$I$57,MAX('01_Input'!$H$57,IF('01_Input'!$G$57="Résiduel vs Gestion",0,IF('01_Input'!$G$57="Taux Classe sélectionnée",Distrib_Global_Classe_Selectionnee*DJ$20,IF('01_Input'!$G$57="Frais KYC (paliers de 100M€)",MAX(0,Nb_Investisseurs-Nb_KYC_Gratuites_Par_Tranche*(FLOOR(DJ$20/Taille_Tranche_KYC,1)+1))*Cout_Par_KYC_Supplementaire,(IF('01_Input'!$L$57="Forfait",IF(DJ$20&gt;='01_Input'!$J$57,'01_Input'!$M$57,0),IF('01_Input'!$L$57="Palier",IF(AND(DJ$20&gt;='01_Input'!$J$57,DJ$20&lt;'01_Input'!$K$57),'01_Input'!$M$57,0),MAX(MIN(DJ$20,'01_Input'!$K$57)-'01_Input'!$J$57,0)*'01_Input'!$M$57))+IF('01_Input'!$P$57="Forfait",IF(DJ$20&gt;='01_Input'!$N$57,'01_Input'!$Q$57,0),IF('01_Input'!$P$57="Palier",IF(AND(DJ$20&gt;='01_Input'!$N$57,DJ$20&lt;'01_Input'!$O$57),'01_Input'!$Q$57,0),MAX(MIN(DJ$20,'01_Input'!$O$57)-'01_Input'!$N$57,0)*'01_Input'!$Q$57))+IF('01_Input'!$T$57="Forfait",IF(DJ$20&gt;='01_Input'!$R$57,'01_Input'!$U$57,0),IF('01_Input'!$T$57="Palier",IF(AND(DJ$20&gt;='01_Input'!$R$57,DJ$20&lt;'01_Input'!$S$57),'01_Input'!$U$57,0),MAX(MIN(DJ$20,'01_Input'!$S$57)-'01_Input'!$R$57,0)*'01_Input'!$U$57))+IF('01_Input'!$X$57="Forfait",IF(DJ$20&gt;='01_Input'!$V$57,'01_Input'!$Y$57,0),IF('01_Input'!$X$57="Palier",IF(AND(DJ$20&gt;='01_Input'!$V$57,DJ$20&lt;'01_Input'!$W$57),'01_Input'!$Y$57,0),MAX(MIN(DJ$20,'01_Input'!$W$57)-'01_Input'!$V$57,0)*'01_Input'!$Y$57))+IF('01_Input'!$AB$57="Forfait",IF(DJ$20&gt;='01_Input'!$Z$57,'01_Input'!$AC$57,0),IF('01_Input'!$AB$57="Palier",IF(AND(DJ$20&gt;='01_Input'!$Z$57,DJ$20&lt;'01_Input'!$AA$57),'01_Input'!$AC$57,0),MAX(MIN(DJ$20,'01_Input'!$AA$57)-'01_Input'!$Z$57,0)*'01_Input'!$AC$57)))))))))</f>
        <v>50000</v>
      </c>
      <c r="DK25" s="25">
        <f>IF('01_Input'!$C$57="Non",0,MIN('01_Input'!$I$57,MAX('01_Input'!$H$57,IF('01_Input'!$G$57="Résiduel vs Gestion",0,IF('01_Input'!$G$57="Taux Classe sélectionnée",Distrib_Global_Classe_Selectionnee*DK$20,IF('01_Input'!$G$57="Frais KYC (paliers de 100M€)",MAX(0,Nb_Investisseurs-Nb_KYC_Gratuites_Par_Tranche*(FLOOR(DK$20/Taille_Tranche_KYC,1)+1))*Cout_Par_KYC_Supplementaire,(IF('01_Input'!$L$57="Forfait",IF(DK$20&gt;='01_Input'!$J$57,'01_Input'!$M$57,0),IF('01_Input'!$L$57="Palier",IF(AND(DK$20&gt;='01_Input'!$J$57,DK$20&lt;'01_Input'!$K$57),'01_Input'!$M$57,0),MAX(MIN(DK$20,'01_Input'!$K$57)-'01_Input'!$J$57,0)*'01_Input'!$M$57))+IF('01_Input'!$P$57="Forfait",IF(DK$20&gt;='01_Input'!$N$57,'01_Input'!$Q$57,0),IF('01_Input'!$P$57="Palier",IF(AND(DK$20&gt;='01_Input'!$N$57,DK$20&lt;'01_Input'!$O$57),'01_Input'!$Q$57,0),MAX(MIN(DK$20,'01_Input'!$O$57)-'01_Input'!$N$57,0)*'01_Input'!$Q$57))+IF('01_Input'!$T$57="Forfait",IF(DK$20&gt;='01_Input'!$R$57,'01_Input'!$U$57,0),IF('01_Input'!$T$57="Palier",IF(AND(DK$20&gt;='01_Input'!$R$57,DK$20&lt;'01_Input'!$S$57),'01_Input'!$U$57,0),MAX(MIN(DK$20,'01_Input'!$S$57)-'01_Input'!$R$57,0)*'01_Input'!$U$57))+IF('01_Input'!$X$57="Forfait",IF(DK$20&gt;='01_Input'!$V$57,'01_Input'!$Y$57,0),IF('01_Input'!$X$57="Palier",IF(AND(DK$20&gt;='01_Input'!$V$57,DK$20&lt;'01_Input'!$W$57),'01_Input'!$Y$57,0),MAX(MIN(DK$20,'01_Input'!$W$57)-'01_Input'!$V$57,0)*'01_Input'!$Y$57))+IF('01_Input'!$AB$57="Forfait",IF(DK$20&gt;='01_Input'!$Z$57,'01_Input'!$AC$57,0),IF('01_Input'!$AB$57="Palier",IF(AND(DK$20&gt;='01_Input'!$Z$57,DK$20&lt;'01_Input'!$AA$57),'01_Input'!$AC$57,0),MAX(MIN(DK$20,'01_Input'!$AA$57)-'01_Input'!$Z$57,0)*'01_Input'!$AC$57)))))))))</f>
        <v>50000</v>
      </c>
      <c r="DL25" s="25">
        <f>IF('01_Input'!$C$57="Non",0,MIN('01_Input'!$I$57,MAX('01_Input'!$H$57,IF('01_Input'!$G$57="Résiduel vs Gestion",0,IF('01_Input'!$G$57="Taux Classe sélectionnée",Distrib_Global_Classe_Selectionnee*DL$20,IF('01_Input'!$G$57="Frais KYC (paliers de 100M€)",MAX(0,Nb_Investisseurs-Nb_KYC_Gratuites_Par_Tranche*(FLOOR(DL$20/Taille_Tranche_KYC,1)+1))*Cout_Par_KYC_Supplementaire,(IF('01_Input'!$L$57="Forfait",IF(DL$20&gt;='01_Input'!$J$57,'01_Input'!$M$57,0),IF('01_Input'!$L$57="Palier",IF(AND(DL$20&gt;='01_Input'!$J$57,DL$20&lt;'01_Input'!$K$57),'01_Input'!$M$57,0),MAX(MIN(DL$20,'01_Input'!$K$57)-'01_Input'!$J$57,0)*'01_Input'!$M$57))+IF('01_Input'!$P$57="Forfait",IF(DL$20&gt;='01_Input'!$N$57,'01_Input'!$Q$57,0),IF('01_Input'!$P$57="Palier",IF(AND(DL$20&gt;='01_Input'!$N$57,DL$20&lt;'01_Input'!$O$57),'01_Input'!$Q$57,0),MAX(MIN(DL$20,'01_Input'!$O$57)-'01_Input'!$N$57,0)*'01_Input'!$Q$57))+IF('01_Input'!$T$57="Forfait",IF(DL$20&gt;='01_Input'!$R$57,'01_Input'!$U$57,0),IF('01_Input'!$T$57="Palier",IF(AND(DL$20&gt;='01_Input'!$R$57,DL$20&lt;'01_Input'!$S$57),'01_Input'!$U$57,0),MAX(MIN(DL$20,'01_Input'!$S$57)-'01_Input'!$R$57,0)*'01_Input'!$U$57))+IF('01_Input'!$X$57="Forfait",IF(DL$20&gt;='01_Input'!$V$57,'01_Input'!$Y$57,0),IF('01_Input'!$X$57="Palier",IF(AND(DL$20&gt;='01_Input'!$V$57,DL$20&lt;'01_Input'!$W$57),'01_Input'!$Y$57,0),MAX(MIN(DL$20,'01_Input'!$W$57)-'01_Input'!$V$57,0)*'01_Input'!$Y$57))+IF('01_Input'!$AB$57="Forfait",IF(DL$20&gt;='01_Input'!$Z$57,'01_Input'!$AC$57,0),IF('01_Input'!$AB$57="Palier",IF(AND(DL$20&gt;='01_Input'!$Z$57,DL$20&lt;'01_Input'!$AA$57),'01_Input'!$AC$57,0),MAX(MIN(DL$20,'01_Input'!$AA$57)-'01_Input'!$Z$57,0)*'01_Input'!$AC$57)))))))))</f>
        <v>50000</v>
      </c>
      <c r="DM25" s="25">
        <f>IF('01_Input'!$C$57="Non",0,MIN('01_Input'!$I$57,MAX('01_Input'!$H$57,IF('01_Input'!$G$57="Résiduel vs Gestion",0,IF('01_Input'!$G$57="Taux Classe sélectionnée",Distrib_Global_Classe_Selectionnee*DM$20,IF('01_Input'!$G$57="Frais KYC (paliers de 100M€)",MAX(0,Nb_Investisseurs-Nb_KYC_Gratuites_Par_Tranche*(FLOOR(DM$20/Taille_Tranche_KYC,1)+1))*Cout_Par_KYC_Supplementaire,(IF('01_Input'!$L$57="Forfait",IF(DM$20&gt;='01_Input'!$J$57,'01_Input'!$M$57,0),IF('01_Input'!$L$57="Palier",IF(AND(DM$20&gt;='01_Input'!$J$57,DM$20&lt;'01_Input'!$K$57),'01_Input'!$M$57,0),MAX(MIN(DM$20,'01_Input'!$K$57)-'01_Input'!$J$57,0)*'01_Input'!$M$57))+IF('01_Input'!$P$57="Forfait",IF(DM$20&gt;='01_Input'!$N$57,'01_Input'!$Q$57,0),IF('01_Input'!$P$57="Palier",IF(AND(DM$20&gt;='01_Input'!$N$57,DM$20&lt;'01_Input'!$O$57),'01_Input'!$Q$57,0),MAX(MIN(DM$20,'01_Input'!$O$57)-'01_Input'!$N$57,0)*'01_Input'!$Q$57))+IF('01_Input'!$T$57="Forfait",IF(DM$20&gt;='01_Input'!$R$57,'01_Input'!$U$57,0),IF('01_Input'!$T$57="Palier",IF(AND(DM$20&gt;='01_Input'!$R$57,DM$20&lt;'01_Input'!$S$57),'01_Input'!$U$57,0),MAX(MIN(DM$20,'01_Input'!$S$57)-'01_Input'!$R$57,0)*'01_Input'!$U$57))+IF('01_Input'!$X$57="Forfait",IF(DM$20&gt;='01_Input'!$V$57,'01_Input'!$Y$57,0),IF('01_Input'!$X$57="Palier",IF(AND(DM$20&gt;='01_Input'!$V$57,DM$20&lt;'01_Input'!$W$57),'01_Input'!$Y$57,0),MAX(MIN(DM$20,'01_Input'!$W$57)-'01_Input'!$V$57,0)*'01_Input'!$Y$57))+IF('01_Input'!$AB$57="Forfait",IF(DM$20&gt;='01_Input'!$Z$57,'01_Input'!$AC$57,0),IF('01_Input'!$AB$57="Palier",IF(AND(DM$20&gt;='01_Input'!$Z$57,DM$20&lt;'01_Input'!$AA$57),'01_Input'!$AC$57,0),MAX(MIN(DM$20,'01_Input'!$AA$57)-'01_Input'!$Z$57,0)*'01_Input'!$AC$57)))))))))</f>
        <v>50000</v>
      </c>
      <c r="DN25" s="25">
        <f>IF('01_Input'!$C$57="Non",0,MIN('01_Input'!$I$57,MAX('01_Input'!$H$57,IF('01_Input'!$G$57="Résiduel vs Gestion",0,IF('01_Input'!$G$57="Taux Classe sélectionnée",Distrib_Global_Classe_Selectionnee*DN$20,IF('01_Input'!$G$57="Frais KYC (paliers de 100M€)",MAX(0,Nb_Investisseurs-Nb_KYC_Gratuites_Par_Tranche*(FLOOR(DN$20/Taille_Tranche_KYC,1)+1))*Cout_Par_KYC_Supplementaire,(IF('01_Input'!$L$57="Forfait",IF(DN$20&gt;='01_Input'!$J$57,'01_Input'!$M$57,0),IF('01_Input'!$L$57="Palier",IF(AND(DN$20&gt;='01_Input'!$J$57,DN$20&lt;'01_Input'!$K$57),'01_Input'!$M$57,0),MAX(MIN(DN$20,'01_Input'!$K$57)-'01_Input'!$J$57,0)*'01_Input'!$M$57))+IF('01_Input'!$P$57="Forfait",IF(DN$20&gt;='01_Input'!$N$57,'01_Input'!$Q$57,0),IF('01_Input'!$P$57="Palier",IF(AND(DN$20&gt;='01_Input'!$N$57,DN$20&lt;'01_Input'!$O$57),'01_Input'!$Q$57,0),MAX(MIN(DN$20,'01_Input'!$O$57)-'01_Input'!$N$57,0)*'01_Input'!$Q$57))+IF('01_Input'!$T$57="Forfait",IF(DN$20&gt;='01_Input'!$R$57,'01_Input'!$U$57,0),IF('01_Input'!$T$57="Palier",IF(AND(DN$20&gt;='01_Input'!$R$57,DN$20&lt;'01_Input'!$S$57),'01_Input'!$U$57,0),MAX(MIN(DN$20,'01_Input'!$S$57)-'01_Input'!$R$57,0)*'01_Input'!$U$57))+IF('01_Input'!$X$57="Forfait",IF(DN$20&gt;='01_Input'!$V$57,'01_Input'!$Y$57,0),IF('01_Input'!$X$57="Palier",IF(AND(DN$20&gt;='01_Input'!$V$57,DN$20&lt;'01_Input'!$W$57),'01_Input'!$Y$57,0),MAX(MIN(DN$20,'01_Input'!$W$57)-'01_Input'!$V$57,0)*'01_Input'!$Y$57))+IF('01_Input'!$AB$57="Forfait",IF(DN$20&gt;='01_Input'!$Z$57,'01_Input'!$AC$57,0),IF('01_Input'!$AB$57="Palier",IF(AND(DN$20&gt;='01_Input'!$Z$57,DN$20&lt;'01_Input'!$AA$57),'01_Input'!$AC$57,0),MAX(MIN(DN$20,'01_Input'!$AA$57)-'01_Input'!$Z$57,0)*'01_Input'!$AC$57)))))))))</f>
        <v>50000</v>
      </c>
      <c r="DO25" s="25">
        <f>IF('01_Input'!$C$57="Non",0,MIN('01_Input'!$I$57,MAX('01_Input'!$H$57,IF('01_Input'!$G$57="Résiduel vs Gestion",0,IF('01_Input'!$G$57="Taux Classe sélectionnée",Distrib_Global_Classe_Selectionnee*DO$20,IF('01_Input'!$G$57="Frais KYC (paliers de 100M€)",MAX(0,Nb_Investisseurs-Nb_KYC_Gratuites_Par_Tranche*(FLOOR(DO$20/Taille_Tranche_KYC,1)+1))*Cout_Par_KYC_Supplementaire,(IF('01_Input'!$L$57="Forfait",IF(DO$20&gt;='01_Input'!$J$57,'01_Input'!$M$57,0),IF('01_Input'!$L$57="Palier",IF(AND(DO$20&gt;='01_Input'!$J$57,DO$20&lt;'01_Input'!$K$57),'01_Input'!$M$57,0),MAX(MIN(DO$20,'01_Input'!$K$57)-'01_Input'!$J$57,0)*'01_Input'!$M$57))+IF('01_Input'!$P$57="Forfait",IF(DO$20&gt;='01_Input'!$N$57,'01_Input'!$Q$57,0),IF('01_Input'!$P$57="Palier",IF(AND(DO$20&gt;='01_Input'!$N$57,DO$20&lt;'01_Input'!$O$57),'01_Input'!$Q$57,0),MAX(MIN(DO$20,'01_Input'!$O$57)-'01_Input'!$N$57,0)*'01_Input'!$Q$57))+IF('01_Input'!$T$57="Forfait",IF(DO$20&gt;='01_Input'!$R$57,'01_Input'!$U$57,0),IF('01_Input'!$T$57="Palier",IF(AND(DO$20&gt;='01_Input'!$R$57,DO$20&lt;'01_Input'!$S$57),'01_Input'!$U$57,0),MAX(MIN(DO$20,'01_Input'!$S$57)-'01_Input'!$R$57,0)*'01_Input'!$U$57))+IF('01_Input'!$X$57="Forfait",IF(DO$20&gt;='01_Input'!$V$57,'01_Input'!$Y$57,0),IF('01_Input'!$X$57="Palier",IF(AND(DO$20&gt;='01_Input'!$V$57,DO$20&lt;'01_Input'!$W$57),'01_Input'!$Y$57,0),MAX(MIN(DO$20,'01_Input'!$W$57)-'01_Input'!$V$57,0)*'01_Input'!$Y$57))+IF('01_Input'!$AB$57="Forfait",IF(DO$20&gt;='01_Input'!$Z$57,'01_Input'!$AC$57,0),IF('01_Input'!$AB$57="Palier",IF(AND(DO$20&gt;='01_Input'!$Z$57,DO$20&lt;'01_Input'!$AA$57),'01_Input'!$AC$57,0),MAX(MIN(DO$20,'01_Input'!$AA$57)-'01_Input'!$Z$57,0)*'01_Input'!$AC$57)))))))))</f>
        <v>50000</v>
      </c>
      <c r="DP25" s="25">
        <f>IF('01_Input'!$C$57="Non",0,MIN('01_Input'!$I$57,MAX('01_Input'!$H$57,IF('01_Input'!$G$57="Résiduel vs Gestion",0,IF('01_Input'!$G$57="Taux Classe sélectionnée",Distrib_Global_Classe_Selectionnee*DP$20,IF('01_Input'!$G$57="Frais KYC (paliers de 100M€)",MAX(0,Nb_Investisseurs-Nb_KYC_Gratuites_Par_Tranche*(FLOOR(DP$20/Taille_Tranche_KYC,1)+1))*Cout_Par_KYC_Supplementaire,(IF('01_Input'!$L$57="Forfait",IF(DP$20&gt;='01_Input'!$J$57,'01_Input'!$M$57,0),IF('01_Input'!$L$57="Palier",IF(AND(DP$20&gt;='01_Input'!$J$57,DP$20&lt;'01_Input'!$K$57),'01_Input'!$M$57,0),MAX(MIN(DP$20,'01_Input'!$K$57)-'01_Input'!$J$57,0)*'01_Input'!$M$57))+IF('01_Input'!$P$57="Forfait",IF(DP$20&gt;='01_Input'!$N$57,'01_Input'!$Q$57,0),IF('01_Input'!$P$57="Palier",IF(AND(DP$20&gt;='01_Input'!$N$57,DP$20&lt;'01_Input'!$O$57),'01_Input'!$Q$57,0),MAX(MIN(DP$20,'01_Input'!$O$57)-'01_Input'!$N$57,0)*'01_Input'!$Q$57))+IF('01_Input'!$T$57="Forfait",IF(DP$20&gt;='01_Input'!$R$57,'01_Input'!$U$57,0),IF('01_Input'!$T$57="Palier",IF(AND(DP$20&gt;='01_Input'!$R$57,DP$20&lt;'01_Input'!$S$57),'01_Input'!$U$57,0),MAX(MIN(DP$20,'01_Input'!$S$57)-'01_Input'!$R$57,0)*'01_Input'!$U$57))+IF('01_Input'!$X$57="Forfait",IF(DP$20&gt;='01_Input'!$V$57,'01_Input'!$Y$57,0),IF('01_Input'!$X$57="Palier",IF(AND(DP$20&gt;='01_Input'!$V$57,DP$20&lt;'01_Input'!$W$57),'01_Input'!$Y$57,0),MAX(MIN(DP$20,'01_Input'!$W$57)-'01_Input'!$V$57,0)*'01_Input'!$Y$57))+IF('01_Input'!$AB$57="Forfait",IF(DP$20&gt;='01_Input'!$Z$57,'01_Input'!$AC$57,0),IF('01_Input'!$AB$57="Palier",IF(AND(DP$20&gt;='01_Input'!$Z$57,DP$20&lt;'01_Input'!$AA$57),'01_Input'!$AC$57,0),MAX(MIN(DP$20,'01_Input'!$AA$57)-'01_Input'!$Z$57,0)*'01_Input'!$AC$57)))))))))</f>
        <v>50000</v>
      </c>
      <c r="DQ25" s="25">
        <f>IF('01_Input'!$C$57="Non",0,MIN('01_Input'!$I$57,MAX('01_Input'!$H$57,IF('01_Input'!$G$57="Résiduel vs Gestion",0,IF('01_Input'!$G$57="Taux Classe sélectionnée",Distrib_Global_Classe_Selectionnee*DQ$20,IF('01_Input'!$G$57="Frais KYC (paliers de 100M€)",MAX(0,Nb_Investisseurs-Nb_KYC_Gratuites_Par_Tranche*(FLOOR(DQ$20/Taille_Tranche_KYC,1)+1))*Cout_Par_KYC_Supplementaire,(IF('01_Input'!$L$57="Forfait",IF(DQ$20&gt;='01_Input'!$J$57,'01_Input'!$M$57,0),IF('01_Input'!$L$57="Palier",IF(AND(DQ$20&gt;='01_Input'!$J$57,DQ$20&lt;'01_Input'!$K$57),'01_Input'!$M$57,0),MAX(MIN(DQ$20,'01_Input'!$K$57)-'01_Input'!$J$57,0)*'01_Input'!$M$57))+IF('01_Input'!$P$57="Forfait",IF(DQ$20&gt;='01_Input'!$N$57,'01_Input'!$Q$57,0),IF('01_Input'!$P$57="Palier",IF(AND(DQ$20&gt;='01_Input'!$N$57,DQ$20&lt;'01_Input'!$O$57),'01_Input'!$Q$57,0),MAX(MIN(DQ$20,'01_Input'!$O$57)-'01_Input'!$N$57,0)*'01_Input'!$Q$57))+IF('01_Input'!$T$57="Forfait",IF(DQ$20&gt;='01_Input'!$R$57,'01_Input'!$U$57,0),IF('01_Input'!$T$57="Palier",IF(AND(DQ$20&gt;='01_Input'!$R$57,DQ$20&lt;'01_Input'!$S$57),'01_Input'!$U$57,0),MAX(MIN(DQ$20,'01_Input'!$S$57)-'01_Input'!$R$57,0)*'01_Input'!$U$57))+IF('01_Input'!$X$57="Forfait",IF(DQ$20&gt;='01_Input'!$V$57,'01_Input'!$Y$57,0),IF('01_Input'!$X$57="Palier",IF(AND(DQ$20&gt;='01_Input'!$V$57,DQ$20&lt;'01_Input'!$W$57),'01_Input'!$Y$57,0),MAX(MIN(DQ$20,'01_Input'!$W$57)-'01_Input'!$V$57,0)*'01_Input'!$Y$57))+IF('01_Input'!$AB$57="Forfait",IF(DQ$20&gt;='01_Input'!$Z$57,'01_Input'!$AC$57,0),IF('01_Input'!$AB$57="Palier",IF(AND(DQ$20&gt;='01_Input'!$Z$57,DQ$20&lt;'01_Input'!$AA$57),'01_Input'!$AC$57,0),MAX(MIN(DQ$20,'01_Input'!$AA$57)-'01_Input'!$Z$57,0)*'01_Input'!$AC$57)))))))))</f>
        <v>50000</v>
      </c>
      <c r="DR25" s="25">
        <f>IF('01_Input'!$C$57="Non",0,MIN('01_Input'!$I$57,MAX('01_Input'!$H$57,IF('01_Input'!$G$57="Résiduel vs Gestion",0,IF('01_Input'!$G$57="Taux Classe sélectionnée",Distrib_Global_Classe_Selectionnee*DR$20,IF('01_Input'!$G$57="Frais KYC (paliers de 100M€)",MAX(0,Nb_Investisseurs-Nb_KYC_Gratuites_Par_Tranche*(FLOOR(DR$20/Taille_Tranche_KYC,1)+1))*Cout_Par_KYC_Supplementaire,(IF('01_Input'!$L$57="Forfait",IF(DR$20&gt;='01_Input'!$J$57,'01_Input'!$M$57,0),IF('01_Input'!$L$57="Palier",IF(AND(DR$20&gt;='01_Input'!$J$57,DR$20&lt;'01_Input'!$K$57),'01_Input'!$M$57,0),MAX(MIN(DR$20,'01_Input'!$K$57)-'01_Input'!$J$57,0)*'01_Input'!$M$57))+IF('01_Input'!$P$57="Forfait",IF(DR$20&gt;='01_Input'!$N$57,'01_Input'!$Q$57,0),IF('01_Input'!$P$57="Palier",IF(AND(DR$20&gt;='01_Input'!$N$57,DR$20&lt;'01_Input'!$O$57),'01_Input'!$Q$57,0),MAX(MIN(DR$20,'01_Input'!$O$57)-'01_Input'!$N$57,0)*'01_Input'!$Q$57))+IF('01_Input'!$T$57="Forfait",IF(DR$20&gt;='01_Input'!$R$57,'01_Input'!$U$57,0),IF('01_Input'!$T$57="Palier",IF(AND(DR$20&gt;='01_Input'!$R$57,DR$20&lt;'01_Input'!$S$57),'01_Input'!$U$57,0),MAX(MIN(DR$20,'01_Input'!$S$57)-'01_Input'!$R$57,0)*'01_Input'!$U$57))+IF('01_Input'!$X$57="Forfait",IF(DR$20&gt;='01_Input'!$V$57,'01_Input'!$Y$57,0),IF('01_Input'!$X$57="Palier",IF(AND(DR$20&gt;='01_Input'!$V$57,DR$20&lt;'01_Input'!$W$57),'01_Input'!$Y$57,0),MAX(MIN(DR$20,'01_Input'!$W$57)-'01_Input'!$V$57,0)*'01_Input'!$Y$57))+IF('01_Input'!$AB$57="Forfait",IF(DR$20&gt;='01_Input'!$Z$57,'01_Input'!$AC$57,0),IF('01_Input'!$AB$57="Palier",IF(AND(DR$20&gt;='01_Input'!$Z$57,DR$20&lt;'01_Input'!$AA$57),'01_Input'!$AC$57,0),MAX(MIN(DR$20,'01_Input'!$AA$57)-'01_Input'!$Z$57,0)*'01_Input'!$AC$57)))))))))</f>
        <v>50000</v>
      </c>
      <c r="DS25" s="25">
        <f>IF('01_Input'!$C$57="Non",0,MIN('01_Input'!$I$57,MAX('01_Input'!$H$57,IF('01_Input'!$G$57="Résiduel vs Gestion",0,IF('01_Input'!$G$57="Taux Classe sélectionnée",Distrib_Global_Classe_Selectionnee*DS$20,IF('01_Input'!$G$57="Frais KYC (paliers de 100M€)",MAX(0,Nb_Investisseurs-Nb_KYC_Gratuites_Par_Tranche*(FLOOR(DS$20/Taille_Tranche_KYC,1)+1))*Cout_Par_KYC_Supplementaire,(IF('01_Input'!$L$57="Forfait",IF(DS$20&gt;='01_Input'!$J$57,'01_Input'!$M$57,0),IF('01_Input'!$L$57="Palier",IF(AND(DS$20&gt;='01_Input'!$J$57,DS$20&lt;'01_Input'!$K$57),'01_Input'!$M$57,0),MAX(MIN(DS$20,'01_Input'!$K$57)-'01_Input'!$J$57,0)*'01_Input'!$M$57))+IF('01_Input'!$P$57="Forfait",IF(DS$20&gt;='01_Input'!$N$57,'01_Input'!$Q$57,0),IF('01_Input'!$P$57="Palier",IF(AND(DS$20&gt;='01_Input'!$N$57,DS$20&lt;'01_Input'!$O$57),'01_Input'!$Q$57,0),MAX(MIN(DS$20,'01_Input'!$O$57)-'01_Input'!$N$57,0)*'01_Input'!$Q$57))+IF('01_Input'!$T$57="Forfait",IF(DS$20&gt;='01_Input'!$R$57,'01_Input'!$U$57,0),IF('01_Input'!$T$57="Palier",IF(AND(DS$20&gt;='01_Input'!$R$57,DS$20&lt;'01_Input'!$S$57),'01_Input'!$U$57,0),MAX(MIN(DS$20,'01_Input'!$S$57)-'01_Input'!$R$57,0)*'01_Input'!$U$57))+IF('01_Input'!$X$57="Forfait",IF(DS$20&gt;='01_Input'!$V$57,'01_Input'!$Y$57,0),IF('01_Input'!$X$57="Palier",IF(AND(DS$20&gt;='01_Input'!$V$57,DS$20&lt;'01_Input'!$W$57),'01_Input'!$Y$57,0),MAX(MIN(DS$20,'01_Input'!$W$57)-'01_Input'!$V$57,0)*'01_Input'!$Y$57))+IF('01_Input'!$AB$57="Forfait",IF(DS$20&gt;='01_Input'!$Z$57,'01_Input'!$AC$57,0),IF('01_Input'!$AB$57="Palier",IF(AND(DS$20&gt;='01_Input'!$Z$57,DS$20&lt;'01_Input'!$AA$57),'01_Input'!$AC$57,0),MAX(MIN(DS$20,'01_Input'!$AA$57)-'01_Input'!$Z$57,0)*'01_Input'!$AC$57)))))))))</f>
        <v>50000</v>
      </c>
      <c r="DT25" s="25">
        <f>IF('01_Input'!$C$57="Non",0,MIN('01_Input'!$I$57,MAX('01_Input'!$H$57,IF('01_Input'!$G$57="Résiduel vs Gestion",0,IF('01_Input'!$G$57="Taux Classe sélectionnée",Distrib_Global_Classe_Selectionnee*DT$20,IF('01_Input'!$G$57="Frais KYC (paliers de 100M€)",MAX(0,Nb_Investisseurs-Nb_KYC_Gratuites_Par_Tranche*(FLOOR(DT$20/Taille_Tranche_KYC,1)+1))*Cout_Par_KYC_Supplementaire,(IF('01_Input'!$L$57="Forfait",IF(DT$20&gt;='01_Input'!$J$57,'01_Input'!$M$57,0),IF('01_Input'!$L$57="Palier",IF(AND(DT$20&gt;='01_Input'!$J$57,DT$20&lt;'01_Input'!$K$57),'01_Input'!$M$57,0),MAX(MIN(DT$20,'01_Input'!$K$57)-'01_Input'!$J$57,0)*'01_Input'!$M$57))+IF('01_Input'!$P$57="Forfait",IF(DT$20&gt;='01_Input'!$N$57,'01_Input'!$Q$57,0),IF('01_Input'!$P$57="Palier",IF(AND(DT$20&gt;='01_Input'!$N$57,DT$20&lt;'01_Input'!$O$57),'01_Input'!$Q$57,0),MAX(MIN(DT$20,'01_Input'!$O$57)-'01_Input'!$N$57,0)*'01_Input'!$Q$57))+IF('01_Input'!$T$57="Forfait",IF(DT$20&gt;='01_Input'!$R$57,'01_Input'!$U$57,0),IF('01_Input'!$T$57="Palier",IF(AND(DT$20&gt;='01_Input'!$R$57,DT$20&lt;'01_Input'!$S$57),'01_Input'!$U$57,0),MAX(MIN(DT$20,'01_Input'!$S$57)-'01_Input'!$R$57,0)*'01_Input'!$U$57))+IF('01_Input'!$X$57="Forfait",IF(DT$20&gt;='01_Input'!$V$57,'01_Input'!$Y$57,0),IF('01_Input'!$X$57="Palier",IF(AND(DT$20&gt;='01_Input'!$V$57,DT$20&lt;'01_Input'!$W$57),'01_Input'!$Y$57,0),MAX(MIN(DT$20,'01_Input'!$W$57)-'01_Input'!$V$57,0)*'01_Input'!$Y$57))+IF('01_Input'!$AB$57="Forfait",IF(DT$20&gt;='01_Input'!$Z$57,'01_Input'!$AC$57,0),IF('01_Input'!$AB$57="Palier",IF(AND(DT$20&gt;='01_Input'!$Z$57,DT$20&lt;'01_Input'!$AA$57),'01_Input'!$AC$57,0),MAX(MIN(DT$20,'01_Input'!$AA$57)-'01_Input'!$Z$57,0)*'01_Input'!$AC$57)))))))))</f>
        <v>50000</v>
      </c>
      <c r="DU25" s="25">
        <f>IF('01_Input'!$C$57="Non",0,MIN('01_Input'!$I$57,MAX('01_Input'!$H$57,IF('01_Input'!$G$57="Résiduel vs Gestion",0,IF('01_Input'!$G$57="Taux Classe sélectionnée",Distrib_Global_Classe_Selectionnee*DU$20,IF('01_Input'!$G$57="Frais KYC (paliers de 100M€)",MAX(0,Nb_Investisseurs-Nb_KYC_Gratuites_Par_Tranche*(FLOOR(DU$20/Taille_Tranche_KYC,1)+1))*Cout_Par_KYC_Supplementaire,(IF('01_Input'!$L$57="Forfait",IF(DU$20&gt;='01_Input'!$J$57,'01_Input'!$M$57,0),IF('01_Input'!$L$57="Palier",IF(AND(DU$20&gt;='01_Input'!$J$57,DU$20&lt;'01_Input'!$K$57),'01_Input'!$M$57,0),MAX(MIN(DU$20,'01_Input'!$K$57)-'01_Input'!$J$57,0)*'01_Input'!$M$57))+IF('01_Input'!$P$57="Forfait",IF(DU$20&gt;='01_Input'!$N$57,'01_Input'!$Q$57,0),IF('01_Input'!$P$57="Palier",IF(AND(DU$20&gt;='01_Input'!$N$57,DU$20&lt;'01_Input'!$O$57),'01_Input'!$Q$57,0),MAX(MIN(DU$20,'01_Input'!$O$57)-'01_Input'!$N$57,0)*'01_Input'!$Q$57))+IF('01_Input'!$T$57="Forfait",IF(DU$20&gt;='01_Input'!$R$57,'01_Input'!$U$57,0),IF('01_Input'!$T$57="Palier",IF(AND(DU$20&gt;='01_Input'!$R$57,DU$20&lt;'01_Input'!$S$57),'01_Input'!$U$57,0),MAX(MIN(DU$20,'01_Input'!$S$57)-'01_Input'!$R$57,0)*'01_Input'!$U$57))+IF('01_Input'!$X$57="Forfait",IF(DU$20&gt;='01_Input'!$V$57,'01_Input'!$Y$57,0),IF('01_Input'!$X$57="Palier",IF(AND(DU$20&gt;='01_Input'!$V$57,DU$20&lt;'01_Input'!$W$57),'01_Input'!$Y$57,0),MAX(MIN(DU$20,'01_Input'!$W$57)-'01_Input'!$V$57,0)*'01_Input'!$Y$57))+IF('01_Input'!$AB$57="Forfait",IF(DU$20&gt;='01_Input'!$Z$57,'01_Input'!$AC$57,0),IF('01_Input'!$AB$57="Palier",IF(AND(DU$20&gt;='01_Input'!$Z$57,DU$20&lt;'01_Input'!$AA$57),'01_Input'!$AC$57,0),MAX(MIN(DU$20,'01_Input'!$AA$57)-'01_Input'!$Z$57,0)*'01_Input'!$AC$57)))))))))</f>
        <v>50000</v>
      </c>
      <c r="DV25" s="25">
        <f>IF('01_Input'!$C$57="Non",0,MIN('01_Input'!$I$57,MAX('01_Input'!$H$57,IF('01_Input'!$G$57="Résiduel vs Gestion",0,IF('01_Input'!$G$57="Taux Classe sélectionnée",Distrib_Global_Classe_Selectionnee*DV$20,IF('01_Input'!$G$57="Frais KYC (paliers de 100M€)",MAX(0,Nb_Investisseurs-Nb_KYC_Gratuites_Par_Tranche*(FLOOR(DV$20/Taille_Tranche_KYC,1)+1))*Cout_Par_KYC_Supplementaire,(IF('01_Input'!$L$57="Forfait",IF(DV$20&gt;='01_Input'!$J$57,'01_Input'!$M$57,0),IF('01_Input'!$L$57="Palier",IF(AND(DV$20&gt;='01_Input'!$J$57,DV$20&lt;'01_Input'!$K$57),'01_Input'!$M$57,0),MAX(MIN(DV$20,'01_Input'!$K$57)-'01_Input'!$J$57,0)*'01_Input'!$M$57))+IF('01_Input'!$P$57="Forfait",IF(DV$20&gt;='01_Input'!$N$57,'01_Input'!$Q$57,0),IF('01_Input'!$P$57="Palier",IF(AND(DV$20&gt;='01_Input'!$N$57,DV$20&lt;'01_Input'!$O$57),'01_Input'!$Q$57,0),MAX(MIN(DV$20,'01_Input'!$O$57)-'01_Input'!$N$57,0)*'01_Input'!$Q$57))+IF('01_Input'!$T$57="Forfait",IF(DV$20&gt;='01_Input'!$R$57,'01_Input'!$U$57,0),IF('01_Input'!$T$57="Palier",IF(AND(DV$20&gt;='01_Input'!$R$57,DV$20&lt;'01_Input'!$S$57),'01_Input'!$U$57,0),MAX(MIN(DV$20,'01_Input'!$S$57)-'01_Input'!$R$57,0)*'01_Input'!$U$57))+IF('01_Input'!$X$57="Forfait",IF(DV$20&gt;='01_Input'!$V$57,'01_Input'!$Y$57,0),IF('01_Input'!$X$57="Palier",IF(AND(DV$20&gt;='01_Input'!$V$57,DV$20&lt;'01_Input'!$W$57),'01_Input'!$Y$57,0),MAX(MIN(DV$20,'01_Input'!$W$57)-'01_Input'!$V$57,0)*'01_Input'!$Y$57))+IF('01_Input'!$AB$57="Forfait",IF(DV$20&gt;='01_Input'!$Z$57,'01_Input'!$AC$57,0),IF('01_Input'!$AB$57="Palier",IF(AND(DV$20&gt;='01_Input'!$Z$57,DV$20&lt;'01_Input'!$AA$57),'01_Input'!$AC$57,0),MAX(MIN(DV$20,'01_Input'!$AA$57)-'01_Input'!$Z$57,0)*'01_Input'!$AC$57)))))))))</f>
        <v>50000</v>
      </c>
      <c r="DW25" s="25">
        <f>IF('01_Input'!$C$57="Non",0,MIN('01_Input'!$I$57,MAX('01_Input'!$H$57,IF('01_Input'!$G$57="Résiduel vs Gestion",0,IF('01_Input'!$G$57="Taux Classe sélectionnée",Distrib_Global_Classe_Selectionnee*DW$20,IF('01_Input'!$G$57="Frais KYC (paliers de 100M€)",MAX(0,Nb_Investisseurs-Nb_KYC_Gratuites_Par_Tranche*(FLOOR(DW$20/Taille_Tranche_KYC,1)+1))*Cout_Par_KYC_Supplementaire,(IF('01_Input'!$L$57="Forfait",IF(DW$20&gt;='01_Input'!$J$57,'01_Input'!$M$57,0),IF('01_Input'!$L$57="Palier",IF(AND(DW$20&gt;='01_Input'!$J$57,DW$20&lt;'01_Input'!$K$57),'01_Input'!$M$57,0),MAX(MIN(DW$20,'01_Input'!$K$57)-'01_Input'!$J$57,0)*'01_Input'!$M$57))+IF('01_Input'!$P$57="Forfait",IF(DW$20&gt;='01_Input'!$N$57,'01_Input'!$Q$57,0),IF('01_Input'!$P$57="Palier",IF(AND(DW$20&gt;='01_Input'!$N$57,DW$20&lt;'01_Input'!$O$57),'01_Input'!$Q$57,0),MAX(MIN(DW$20,'01_Input'!$O$57)-'01_Input'!$N$57,0)*'01_Input'!$Q$57))+IF('01_Input'!$T$57="Forfait",IF(DW$20&gt;='01_Input'!$R$57,'01_Input'!$U$57,0),IF('01_Input'!$T$57="Palier",IF(AND(DW$20&gt;='01_Input'!$R$57,DW$20&lt;'01_Input'!$S$57),'01_Input'!$U$57,0),MAX(MIN(DW$20,'01_Input'!$S$57)-'01_Input'!$R$57,0)*'01_Input'!$U$57))+IF('01_Input'!$X$57="Forfait",IF(DW$20&gt;='01_Input'!$V$57,'01_Input'!$Y$57,0),IF('01_Input'!$X$57="Palier",IF(AND(DW$20&gt;='01_Input'!$V$57,DW$20&lt;'01_Input'!$W$57),'01_Input'!$Y$57,0),MAX(MIN(DW$20,'01_Input'!$W$57)-'01_Input'!$V$57,0)*'01_Input'!$Y$57))+IF('01_Input'!$AB$57="Forfait",IF(DW$20&gt;='01_Input'!$Z$57,'01_Input'!$AC$57,0),IF('01_Input'!$AB$57="Palier",IF(AND(DW$20&gt;='01_Input'!$Z$57,DW$20&lt;'01_Input'!$AA$57),'01_Input'!$AC$57,0),MAX(MIN(DW$20,'01_Input'!$AA$57)-'01_Input'!$Z$57,0)*'01_Input'!$AC$57)))))))))</f>
        <v>50000</v>
      </c>
      <c r="DX25" s="25">
        <f>IF('01_Input'!$C$57="Non",0,MIN('01_Input'!$I$57,MAX('01_Input'!$H$57,IF('01_Input'!$G$57="Résiduel vs Gestion",0,IF('01_Input'!$G$57="Taux Classe sélectionnée",Distrib_Global_Classe_Selectionnee*DX$20,IF('01_Input'!$G$57="Frais KYC (paliers de 100M€)",MAX(0,Nb_Investisseurs-Nb_KYC_Gratuites_Par_Tranche*(FLOOR(DX$20/Taille_Tranche_KYC,1)+1))*Cout_Par_KYC_Supplementaire,(IF('01_Input'!$L$57="Forfait",IF(DX$20&gt;='01_Input'!$J$57,'01_Input'!$M$57,0),IF('01_Input'!$L$57="Palier",IF(AND(DX$20&gt;='01_Input'!$J$57,DX$20&lt;'01_Input'!$K$57),'01_Input'!$M$57,0),MAX(MIN(DX$20,'01_Input'!$K$57)-'01_Input'!$J$57,0)*'01_Input'!$M$57))+IF('01_Input'!$P$57="Forfait",IF(DX$20&gt;='01_Input'!$N$57,'01_Input'!$Q$57,0),IF('01_Input'!$P$57="Palier",IF(AND(DX$20&gt;='01_Input'!$N$57,DX$20&lt;'01_Input'!$O$57),'01_Input'!$Q$57,0),MAX(MIN(DX$20,'01_Input'!$O$57)-'01_Input'!$N$57,0)*'01_Input'!$Q$57))+IF('01_Input'!$T$57="Forfait",IF(DX$20&gt;='01_Input'!$R$57,'01_Input'!$U$57,0),IF('01_Input'!$T$57="Palier",IF(AND(DX$20&gt;='01_Input'!$R$57,DX$20&lt;'01_Input'!$S$57),'01_Input'!$U$57,0),MAX(MIN(DX$20,'01_Input'!$S$57)-'01_Input'!$R$57,0)*'01_Input'!$U$57))+IF('01_Input'!$X$57="Forfait",IF(DX$20&gt;='01_Input'!$V$57,'01_Input'!$Y$57,0),IF('01_Input'!$X$57="Palier",IF(AND(DX$20&gt;='01_Input'!$V$57,DX$20&lt;'01_Input'!$W$57),'01_Input'!$Y$57,0),MAX(MIN(DX$20,'01_Input'!$W$57)-'01_Input'!$V$57,0)*'01_Input'!$Y$57))+IF('01_Input'!$AB$57="Forfait",IF(DX$20&gt;='01_Input'!$Z$57,'01_Input'!$AC$57,0),IF('01_Input'!$AB$57="Palier",IF(AND(DX$20&gt;='01_Input'!$Z$57,DX$20&lt;'01_Input'!$AA$57),'01_Input'!$AC$57,0),MAX(MIN(DX$20,'01_Input'!$AA$57)-'01_Input'!$Z$57,0)*'01_Input'!$AC$57)))))))))</f>
        <v>50000</v>
      </c>
      <c r="DY25" s="25">
        <f>IF('01_Input'!$C$57="Non",0,MIN('01_Input'!$I$57,MAX('01_Input'!$H$57,IF('01_Input'!$G$57="Résiduel vs Gestion",0,IF('01_Input'!$G$57="Taux Classe sélectionnée",Distrib_Global_Classe_Selectionnee*DY$20,IF('01_Input'!$G$57="Frais KYC (paliers de 100M€)",MAX(0,Nb_Investisseurs-Nb_KYC_Gratuites_Par_Tranche*(FLOOR(DY$20/Taille_Tranche_KYC,1)+1))*Cout_Par_KYC_Supplementaire,(IF('01_Input'!$L$57="Forfait",IF(DY$20&gt;='01_Input'!$J$57,'01_Input'!$M$57,0),IF('01_Input'!$L$57="Palier",IF(AND(DY$20&gt;='01_Input'!$J$57,DY$20&lt;'01_Input'!$K$57),'01_Input'!$M$57,0),MAX(MIN(DY$20,'01_Input'!$K$57)-'01_Input'!$J$57,0)*'01_Input'!$M$57))+IF('01_Input'!$P$57="Forfait",IF(DY$20&gt;='01_Input'!$N$57,'01_Input'!$Q$57,0),IF('01_Input'!$P$57="Palier",IF(AND(DY$20&gt;='01_Input'!$N$57,DY$20&lt;'01_Input'!$O$57),'01_Input'!$Q$57,0),MAX(MIN(DY$20,'01_Input'!$O$57)-'01_Input'!$N$57,0)*'01_Input'!$Q$57))+IF('01_Input'!$T$57="Forfait",IF(DY$20&gt;='01_Input'!$R$57,'01_Input'!$U$57,0),IF('01_Input'!$T$57="Palier",IF(AND(DY$20&gt;='01_Input'!$R$57,DY$20&lt;'01_Input'!$S$57),'01_Input'!$U$57,0),MAX(MIN(DY$20,'01_Input'!$S$57)-'01_Input'!$R$57,0)*'01_Input'!$U$57))+IF('01_Input'!$X$57="Forfait",IF(DY$20&gt;='01_Input'!$V$57,'01_Input'!$Y$57,0),IF('01_Input'!$X$57="Palier",IF(AND(DY$20&gt;='01_Input'!$V$57,DY$20&lt;'01_Input'!$W$57),'01_Input'!$Y$57,0),MAX(MIN(DY$20,'01_Input'!$W$57)-'01_Input'!$V$57,0)*'01_Input'!$Y$57))+IF('01_Input'!$AB$57="Forfait",IF(DY$20&gt;='01_Input'!$Z$57,'01_Input'!$AC$57,0),IF('01_Input'!$AB$57="Palier",IF(AND(DY$20&gt;='01_Input'!$Z$57,DY$20&lt;'01_Input'!$AA$57),'01_Input'!$AC$57,0),MAX(MIN(DY$20,'01_Input'!$AA$57)-'01_Input'!$Z$57,0)*'01_Input'!$AC$57)))))))))</f>
        <v>50000</v>
      </c>
      <c r="DZ25" s="25">
        <f>IF('01_Input'!$C$57="Non",0,MIN('01_Input'!$I$57,MAX('01_Input'!$H$57,IF('01_Input'!$G$57="Résiduel vs Gestion",0,IF('01_Input'!$G$57="Taux Classe sélectionnée",Distrib_Global_Classe_Selectionnee*DZ$20,IF('01_Input'!$G$57="Frais KYC (paliers de 100M€)",MAX(0,Nb_Investisseurs-Nb_KYC_Gratuites_Par_Tranche*(FLOOR(DZ$20/Taille_Tranche_KYC,1)+1))*Cout_Par_KYC_Supplementaire,(IF('01_Input'!$L$57="Forfait",IF(DZ$20&gt;='01_Input'!$J$57,'01_Input'!$M$57,0),IF('01_Input'!$L$57="Palier",IF(AND(DZ$20&gt;='01_Input'!$J$57,DZ$20&lt;'01_Input'!$K$57),'01_Input'!$M$57,0),MAX(MIN(DZ$20,'01_Input'!$K$57)-'01_Input'!$J$57,0)*'01_Input'!$M$57))+IF('01_Input'!$P$57="Forfait",IF(DZ$20&gt;='01_Input'!$N$57,'01_Input'!$Q$57,0),IF('01_Input'!$P$57="Palier",IF(AND(DZ$20&gt;='01_Input'!$N$57,DZ$20&lt;'01_Input'!$O$57),'01_Input'!$Q$57,0),MAX(MIN(DZ$20,'01_Input'!$O$57)-'01_Input'!$N$57,0)*'01_Input'!$Q$57))+IF('01_Input'!$T$57="Forfait",IF(DZ$20&gt;='01_Input'!$R$57,'01_Input'!$U$57,0),IF('01_Input'!$T$57="Palier",IF(AND(DZ$20&gt;='01_Input'!$R$57,DZ$20&lt;'01_Input'!$S$57),'01_Input'!$U$57,0),MAX(MIN(DZ$20,'01_Input'!$S$57)-'01_Input'!$R$57,0)*'01_Input'!$U$57))+IF('01_Input'!$X$57="Forfait",IF(DZ$20&gt;='01_Input'!$V$57,'01_Input'!$Y$57,0),IF('01_Input'!$X$57="Palier",IF(AND(DZ$20&gt;='01_Input'!$V$57,DZ$20&lt;'01_Input'!$W$57),'01_Input'!$Y$57,0),MAX(MIN(DZ$20,'01_Input'!$W$57)-'01_Input'!$V$57,0)*'01_Input'!$Y$57))+IF('01_Input'!$AB$57="Forfait",IF(DZ$20&gt;='01_Input'!$Z$57,'01_Input'!$AC$57,0),IF('01_Input'!$AB$57="Palier",IF(AND(DZ$20&gt;='01_Input'!$Z$57,DZ$20&lt;'01_Input'!$AA$57),'01_Input'!$AC$57,0),MAX(MIN(DZ$20,'01_Input'!$AA$57)-'01_Input'!$Z$57,0)*'01_Input'!$AC$57)))))))))</f>
        <v>50000</v>
      </c>
      <c r="EA25" s="25">
        <f>IF('01_Input'!$C$57="Non",0,MIN('01_Input'!$I$57,MAX('01_Input'!$H$57,IF('01_Input'!$G$57="Résiduel vs Gestion",0,IF('01_Input'!$G$57="Taux Classe sélectionnée",Distrib_Global_Classe_Selectionnee*EA$20,IF('01_Input'!$G$57="Frais KYC (paliers de 100M€)",MAX(0,Nb_Investisseurs-Nb_KYC_Gratuites_Par_Tranche*(FLOOR(EA$20/Taille_Tranche_KYC,1)+1))*Cout_Par_KYC_Supplementaire,(IF('01_Input'!$L$57="Forfait",IF(EA$20&gt;='01_Input'!$J$57,'01_Input'!$M$57,0),IF('01_Input'!$L$57="Palier",IF(AND(EA$20&gt;='01_Input'!$J$57,EA$20&lt;'01_Input'!$K$57),'01_Input'!$M$57,0),MAX(MIN(EA$20,'01_Input'!$K$57)-'01_Input'!$J$57,0)*'01_Input'!$M$57))+IF('01_Input'!$P$57="Forfait",IF(EA$20&gt;='01_Input'!$N$57,'01_Input'!$Q$57,0),IF('01_Input'!$P$57="Palier",IF(AND(EA$20&gt;='01_Input'!$N$57,EA$20&lt;'01_Input'!$O$57),'01_Input'!$Q$57,0),MAX(MIN(EA$20,'01_Input'!$O$57)-'01_Input'!$N$57,0)*'01_Input'!$Q$57))+IF('01_Input'!$T$57="Forfait",IF(EA$20&gt;='01_Input'!$R$57,'01_Input'!$U$57,0),IF('01_Input'!$T$57="Palier",IF(AND(EA$20&gt;='01_Input'!$R$57,EA$20&lt;'01_Input'!$S$57),'01_Input'!$U$57,0),MAX(MIN(EA$20,'01_Input'!$S$57)-'01_Input'!$R$57,0)*'01_Input'!$U$57))+IF('01_Input'!$X$57="Forfait",IF(EA$20&gt;='01_Input'!$V$57,'01_Input'!$Y$57,0),IF('01_Input'!$X$57="Palier",IF(AND(EA$20&gt;='01_Input'!$V$57,EA$20&lt;'01_Input'!$W$57),'01_Input'!$Y$57,0),MAX(MIN(EA$20,'01_Input'!$W$57)-'01_Input'!$V$57,0)*'01_Input'!$Y$57))+IF('01_Input'!$AB$57="Forfait",IF(EA$20&gt;='01_Input'!$Z$57,'01_Input'!$AC$57,0),IF('01_Input'!$AB$57="Palier",IF(AND(EA$20&gt;='01_Input'!$Z$57,EA$20&lt;'01_Input'!$AA$57),'01_Input'!$AC$57,0),MAX(MIN(EA$20,'01_Input'!$AA$57)-'01_Input'!$Z$57,0)*'01_Input'!$AC$57)))))))))</f>
        <v>50000</v>
      </c>
      <c r="EB25" s="25">
        <f>IF('01_Input'!$C$57="Non",0,MIN('01_Input'!$I$57,MAX('01_Input'!$H$57,IF('01_Input'!$G$57="Résiduel vs Gestion",0,IF('01_Input'!$G$57="Taux Classe sélectionnée",Distrib_Global_Classe_Selectionnee*EB$20,IF('01_Input'!$G$57="Frais KYC (paliers de 100M€)",MAX(0,Nb_Investisseurs-Nb_KYC_Gratuites_Par_Tranche*(FLOOR(EB$20/Taille_Tranche_KYC,1)+1))*Cout_Par_KYC_Supplementaire,(IF('01_Input'!$L$57="Forfait",IF(EB$20&gt;='01_Input'!$J$57,'01_Input'!$M$57,0),IF('01_Input'!$L$57="Palier",IF(AND(EB$20&gt;='01_Input'!$J$57,EB$20&lt;'01_Input'!$K$57),'01_Input'!$M$57,0),MAX(MIN(EB$20,'01_Input'!$K$57)-'01_Input'!$J$57,0)*'01_Input'!$M$57))+IF('01_Input'!$P$57="Forfait",IF(EB$20&gt;='01_Input'!$N$57,'01_Input'!$Q$57,0),IF('01_Input'!$P$57="Palier",IF(AND(EB$20&gt;='01_Input'!$N$57,EB$20&lt;'01_Input'!$O$57),'01_Input'!$Q$57,0),MAX(MIN(EB$20,'01_Input'!$O$57)-'01_Input'!$N$57,0)*'01_Input'!$Q$57))+IF('01_Input'!$T$57="Forfait",IF(EB$20&gt;='01_Input'!$R$57,'01_Input'!$U$57,0),IF('01_Input'!$T$57="Palier",IF(AND(EB$20&gt;='01_Input'!$R$57,EB$20&lt;'01_Input'!$S$57),'01_Input'!$U$57,0),MAX(MIN(EB$20,'01_Input'!$S$57)-'01_Input'!$R$57,0)*'01_Input'!$U$57))+IF('01_Input'!$X$57="Forfait",IF(EB$20&gt;='01_Input'!$V$57,'01_Input'!$Y$57,0),IF('01_Input'!$X$57="Palier",IF(AND(EB$20&gt;='01_Input'!$V$57,EB$20&lt;'01_Input'!$W$57),'01_Input'!$Y$57,0),MAX(MIN(EB$20,'01_Input'!$W$57)-'01_Input'!$V$57,0)*'01_Input'!$Y$57))+IF('01_Input'!$AB$57="Forfait",IF(EB$20&gt;='01_Input'!$Z$57,'01_Input'!$AC$57,0),IF('01_Input'!$AB$57="Palier",IF(AND(EB$20&gt;='01_Input'!$Z$57,EB$20&lt;'01_Input'!$AA$57),'01_Input'!$AC$57,0),MAX(MIN(EB$20,'01_Input'!$AA$57)-'01_Input'!$Z$57,0)*'01_Input'!$AC$57)))))))))</f>
        <v>50000</v>
      </c>
      <c r="EC25" s="25">
        <f>IF('01_Input'!$C$57="Non",0,MIN('01_Input'!$I$57,MAX('01_Input'!$H$57,IF('01_Input'!$G$57="Résiduel vs Gestion",0,IF('01_Input'!$G$57="Taux Classe sélectionnée",Distrib_Global_Classe_Selectionnee*EC$20,IF('01_Input'!$G$57="Frais KYC (paliers de 100M€)",MAX(0,Nb_Investisseurs-Nb_KYC_Gratuites_Par_Tranche*(FLOOR(EC$20/Taille_Tranche_KYC,1)+1))*Cout_Par_KYC_Supplementaire,(IF('01_Input'!$L$57="Forfait",IF(EC$20&gt;='01_Input'!$J$57,'01_Input'!$M$57,0),IF('01_Input'!$L$57="Palier",IF(AND(EC$20&gt;='01_Input'!$J$57,EC$20&lt;'01_Input'!$K$57),'01_Input'!$M$57,0),MAX(MIN(EC$20,'01_Input'!$K$57)-'01_Input'!$J$57,0)*'01_Input'!$M$57))+IF('01_Input'!$P$57="Forfait",IF(EC$20&gt;='01_Input'!$N$57,'01_Input'!$Q$57,0),IF('01_Input'!$P$57="Palier",IF(AND(EC$20&gt;='01_Input'!$N$57,EC$20&lt;'01_Input'!$O$57),'01_Input'!$Q$57,0),MAX(MIN(EC$20,'01_Input'!$O$57)-'01_Input'!$N$57,0)*'01_Input'!$Q$57))+IF('01_Input'!$T$57="Forfait",IF(EC$20&gt;='01_Input'!$R$57,'01_Input'!$U$57,0),IF('01_Input'!$T$57="Palier",IF(AND(EC$20&gt;='01_Input'!$R$57,EC$20&lt;'01_Input'!$S$57),'01_Input'!$U$57,0),MAX(MIN(EC$20,'01_Input'!$S$57)-'01_Input'!$R$57,0)*'01_Input'!$U$57))+IF('01_Input'!$X$57="Forfait",IF(EC$20&gt;='01_Input'!$V$57,'01_Input'!$Y$57,0),IF('01_Input'!$X$57="Palier",IF(AND(EC$20&gt;='01_Input'!$V$57,EC$20&lt;'01_Input'!$W$57),'01_Input'!$Y$57,0),MAX(MIN(EC$20,'01_Input'!$W$57)-'01_Input'!$V$57,0)*'01_Input'!$Y$57))+IF('01_Input'!$AB$57="Forfait",IF(EC$20&gt;='01_Input'!$Z$57,'01_Input'!$AC$57,0),IF('01_Input'!$AB$57="Palier",IF(AND(EC$20&gt;='01_Input'!$Z$57,EC$20&lt;'01_Input'!$AA$57),'01_Input'!$AC$57,0),MAX(MIN(EC$20,'01_Input'!$AA$57)-'01_Input'!$Z$57,0)*'01_Input'!$AC$57)))))))))</f>
        <v>50000</v>
      </c>
      <c r="ED25" s="25">
        <f>IF('01_Input'!$C$57="Non",0,MIN('01_Input'!$I$57,MAX('01_Input'!$H$57,IF('01_Input'!$G$57="Résiduel vs Gestion",0,IF('01_Input'!$G$57="Taux Classe sélectionnée",Distrib_Global_Classe_Selectionnee*ED$20,IF('01_Input'!$G$57="Frais KYC (paliers de 100M€)",MAX(0,Nb_Investisseurs-Nb_KYC_Gratuites_Par_Tranche*(FLOOR(ED$20/Taille_Tranche_KYC,1)+1))*Cout_Par_KYC_Supplementaire,(IF('01_Input'!$L$57="Forfait",IF(ED$20&gt;='01_Input'!$J$57,'01_Input'!$M$57,0),IF('01_Input'!$L$57="Palier",IF(AND(ED$20&gt;='01_Input'!$J$57,ED$20&lt;'01_Input'!$K$57),'01_Input'!$M$57,0),MAX(MIN(ED$20,'01_Input'!$K$57)-'01_Input'!$J$57,0)*'01_Input'!$M$57))+IF('01_Input'!$P$57="Forfait",IF(ED$20&gt;='01_Input'!$N$57,'01_Input'!$Q$57,0),IF('01_Input'!$P$57="Palier",IF(AND(ED$20&gt;='01_Input'!$N$57,ED$20&lt;'01_Input'!$O$57),'01_Input'!$Q$57,0),MAX(MIN(ED$20,'01_Input'!$O$57)-'01_Input'!$N$57,0)*'01_Input'!$Q$57))+IF('01_Input'!$T$57="Forfait",IF(ED$20&gt;='01_Input'!$R$57,'01_Input'!$U$57,0),IF('01_Input'!$T$57="Palier",IF(AND(ED$20&gt;='01_Input'!$R$57,ED$20&lt;'01_Input'!$S$57),'01_Input'!$U$57,0),MAX(MIN(ED$20,'01_Input'!$S$57)-'01_Input'!$R$57,0)*'01_Input'!$U$57))+IF('01_Input'!$X$57="Forfait",IF(ED$20&gt;='01_Input'!$V$57,'01_Input'!$Y$57,0),IF('01_Input'!$X$57="Palier",IF(AND(ED$20&gt;='01_Input'!$V$57,ED$20&lt;'01_Input'!$W$57),'01_Input'!$Y$57,0),MAX(MIN(ED$20,'01_Input'!$W$57)-'01_Input'!$V$57,0)*'01_Input'!$Y$57))+IF('01_Input'!$AB$57="Forfait",IF(ED$20&gt;='01_Input'!$Z$57,'01_Input'!$AC$57,0),IF('01_Input'!$AB$57="Palier",IF(AND(ED$20&gt;='01_Input'!$Z$57,ED$20&lt;'01_Input'!$AA$57),'01_Input'!$AC$57,0),MAX(MIN(ED$20,'01_Input'!$AA$57)-'01_Input'!$Z$57,0)*'01_Input'!$AC$57)))))))))</f>
        <v>50000</v>
      </c>
      <c r="EE25" s="25">
        <f>IF('01_Input'!$C$57="Non",0,MIN('01_Input'!$I$57,MAX('01_Input'!$H$57,IF('01_Input'!$G$57="Résiduel vs Gestion",0,IF('01_Input'!$G$57="Taux Classe sélectionnée",Distrib_Global_Classe_Selectionnee*EE$20,IF('01_Input'!$G$57="Frais KYC (paliers de 100M€)",MAX(0,Nb_Investisseurs-Nb_KYC_Gratuites_Par_Tranche*(FLOOR(EE$20/Taille_Tranche_KYC,1)+1))*Cout_Par_KYC_Supplementaire,(IF('01_Input'!$L$57="Forfait",IF(EE$20&gt;='01_Input'!$J$57,'01_Input'!$M$57,0),IF('01_Input'!$L$57="Palier",IF(AND(EE$20&gt;='01_Input'!$J$57,EE$20&lt;'01_Input'!$K$57),'01_Input'!$M$57,0),MAX(MIN(EE$20,'01_Input'!$K$57)-'01_Input'!$J$57,0)*'01_Input'!$M$57))+IF('01_Input'!$P$57="Forfait",IF(EE$20&gt;='01_Input'!$N$57,'01_Input'!$Q$57,0),IF('01_Input'!$P$57="Palier",IF(AND(EE$20&gt;='01_Input'!$N$57,EE$20&lt;'01_Input'!$O$57),'01_Input'!$Q$57,0),MAX(MIN(EE$20,'01_Input'!$O$57)-'01_Input'!$N$57,0)*'01_Input'!$Q$57))+IF('01_Input'!$T$57="Forfait",IF(EE$20&gt;='01_Input'!$R$57,'01_Input'!$U$57,0),IF('01_Input'!$T$57="Palier",IF(AND(EE$20&gt;='01_Input'!$R$57,EE$20&lt;'01_Input'!$S$57),'01_Input'!$U$57,0),MAX(MIN(EE$20,'01_Input'!$S$57)-'01_Input'!$R$57,0)*'01_Input'!$U$57))+IF('01_Input'!$X$57="Forfait",IF(EE$20&gt;='01_Input'!$V$57,'01_Input'!$Y$57,0),IF('01_Input'!$X$57="Palier",IF(AND(EE$20&gt;='01_Input'!$V$57,EE$20&lt;'01_Input'!$W$57),'01_Input'!$Y$57,0),MAX(MIN(EE$20,'01_Input'!$W$57)-'01_Input'!$V$57,0)*'01_Input'!$Y$57))+IF('01_Input'!$AB$57="Forfait",IF(EE$20&gt;='01_Input'!$Z$57,'01_Input'!$AC$57,0),IF('01_Input'!$AB$57="Palier",IF(AND(EE$20&gt;='01_Input'!$Z$57,EE$20&lt;'01_Input'!$AA$57),'01_Input'!$AC$57,0),MAX(MIN(EE$20,'01_Input'!$AA$57)-'01_Input'!$Z$57,0)*'01_Input'!$AC$57)))))))))</f>
        <v>50000</v>
      </c>
      <c r="EF25" s="25">
        <f>IF('01_Input'!$C$57="Non",0,MIN('01_Input'!$I$57,MAX('01_Input'!$H$57,IF('01_Input'!$G$57="Résiduel vs Gestion",0,IF('01_Input'!$G$57="Taux Classe sélectionnée",Distrib_Global_Classe_Selectionnee*EF$20,IF('01_Input'!$G$57="Frais KYC (paliers de 100M€)",MAX(0,Nb_Investisseurs-Nb_KYC_Gratuites_Par_Tranche*(FLOOR(EF$20/Taille_Tranche_KYC,1)+1))*Cout_Par_KYC_Supplementaire,(IF('01_Input'!$L$57="Forfait",IF(EF$20&gt;='01_Input'!$J$57,'01_Input'!$M$57,0),IF('01_Input'!$L$57="Palier",IF(AND(EF$20&gt;='01_Input'!$J$57,EF$20&lt;'01_Input'!$K$57),'01_Input'!$M$57,0),MAX(MIN(EF$20,'01_Input'!$K$57)-'01_Input'!$J$57,0)*'01_Input'!$M$57))+IF('01_Input'!$P$57="Forfait",IF(EF$20&gt;='01_Input'!$N$57,'01_Input'!$Q$57,0),IF('01_Input'!$P$57="Palier",IF(AND(EF$20&gt;='01_Input'!$N$57,EF$20&lt;'01_Input'!$O$57),'01_Input'!$Q$57,0),MAX(MIN(EF$20,'01_Input'!$O$57)-'01_Input'!$N$57,0)*'01_Input'!$Q$57))+IF('01_Input'!$T$57="Forfait",IF(EF$20&gt;='01_Input'!$R$57,'01_Input'!$U$57,0),IF('01_Input'!$T$57="Palier",IF(AND(EF$20&gt;='01_Input'!$R$57,EF$20&lt;'01_Input'!$S$57),'01_Input'!$U$57,0),MAX(MIN(EF$20,'01_Input'!$S$57)-'01_Input'!$R$57,0)*'01_Input'!$U$57))+IF('01_Input'!$X$57="Forfait",IF(EF$20&gt;='01_Input'!$V$57,'01_Input'!$Y$57,0),IF('01_Input'!$X$57="Palier",IF(AND(EF$20&gt;='01_Input'!$V$57,EF$20&lt;'01_Input'!$W$57),'01_Input'!$Y$57,0),MAX(MIN(EF$20,'01_Input'!$W$57)-'01_Input'!$V$57,0)*'01_Input'!$Y$57))+IF('01_Input'!$AB$57="Forfait",IF(EF$20&gt;='01_Input'!$Z$57,'01_Input'!$AC$57,0),IF('01_Input'!$AB$57="Palier",IF(AND(EF$20&gt;='01_Input'!$Z$57,EF$20&lt;'01_Input'!$AA$57),'01_Input'!$AC$57,0),MAX(MIN(EF$20,'01_Input'!$AA$57)-'01_Input'!$Z$57,0)*'01_Input'!$AC$57)))))))))</f>
        <v>50000</v>
      </c>
      <c r="EG25" s="25">
        <f>IF('01_Input'!$C$57="Non",0,MIN('01_Input'!$I$57,MAX('01_Input'!$H$57,IF('01_Input'!$G$57="Résiduel vs Gestion",0,IF('01_Input'!$G$57="Taux Classe sélectionnée",Distrib_Global_Classe_Selectionnee*EG$20,IF('01_Input'!$G$57="Frais KYC (paliers de 100M€)",MAX(0,Nb_Investisseurs-Nb_KYC_Gratuites_Par_Tranche*(FLOOR(EG$20/Taille_Tranche_KYC,1)+1))*Cout_Par_KYC_Supplementaire,(IF('01_Input'!$L$57="Forfait",IF(EG$20&gt;='01_Input'!$J$57,'01_Input'!$M$57,0),IF('01_Input'!$L$57="Palier",IF(AND(EG$20&gt;='01_Input'!$J$57,EG$20&lt;'01_Input'!$K$57),'01_Input'!$M$57,0),MAX(MIN(EG$20,'01_Input'!$K$57)-'01_Input'!$J$57,0)*'01_Input'!$M$57))+IF('01_Input'!$P$57="Forfait",IF(EG$20&gt;='01_Input'!$N$57,'01_Input'!$Q$57,0),IF('01_Input'!$P$57="Palier",IF(AND(EG$20&gt;='01_Input'!$N$57,EG$20&lt;'01_Input'!$O$57),'01_Input'!$Q$57,0),MAX(MIN(EG$20,'01_Input'!$O$57)-'01_Input'!$N$57,0)*'01_Input'!$Q$57))+IF('01_Input'!$T$57="Forfait",IF(EG$20&gt;='01_Input'!$R$57,'01_Input'!$U$57,0),IF('01_Input'!$T$57="Palier",IF(AND(EG$20&gt;='01_Input'!$R$57,EG$20&lt;'01_Input'!$S$57),'01_Input'!$U$57,0),MAX(MIN(EG$20,'01_Input'!$S$57)-'01_Input'!$R$57,0)*'01_Input'!$U$57))+IF('01_Input'!$X$57="Forfait",IF(EG$20&gt;='01_Input'!$V$57,'01_Input'!$Y$57,0),IF('01_Input'!$X$57="Palier",IF(AND(EG$20&gt;='01_Input'!$V$57,EG$20&lt;'01_Input'!$W$57),'01_Input'!$Y$57,0),MAX(MIN(EG$20,'01_Input'!$W$57)-'01_Input'!$V$57,0)*'01_Input'!$Y$57))+IF('01_Input'!$AB$57="Forfait",IF(EG$20&gt;='01_Input'!$Z$57,'01_Input'!$AC$57,0),IF('01_Input'!$AB$57="Palier",IF(AND(EG$20&gt;='01_Input'!$Z$57,EG$20&lt;'01_Input'!$AA$57),'01_Input'!$AC$57,0),MAX(MIN(EG$20,'01_Input'!$AA$57)-'01_Input'!$Z$57,0)*'01_Input'!$AC$57)))))))))</f>
        <v>50000</v>
      </c>
      <c r="EH25" s="25">
        <f>IF('01_Input'!$C$57="Non",0,MIN('01_Input'!$I$57,MAX('01_Input'!$H$57,IF('01_Input'!$G$57="Résiduel vs Gestion",0,IF('01_Input'!$G$57="Taux Classe sélectionnée",Distrib_Global_Classe_Selectionnee*EH$20,IF('01_Input'!$G$57="Frais KYC (paliers de 100M€)",MAX(0,Nb_Investisseurs-Nb_KYC_Gratuites_Par_Tranche*(FLOOR(EH$20/Taille_Tranche_KYC,1)+1))*Cout_Par_KYC_Supplementaire,(IF('01_Input'!$L$57="Forfait",IF(EH$20&gt;='01_Input'!$J$57,'01_Input'!$M$57,0),IF('01_Input'!$L$57="Palier",IF(AND(EH$20&gt;='01_Input'!$J$57,EH$20&lt;'01_Input'!$K$57),'01_Input'!$M$57,0),MAX(MIN(EH$20,'01_Input'!$K$57)-'01_Input'!$J$57,0)*'01_Input'!$M$57))+IF('01_Input'!$P$57="Forfait",IF(EH$20&gt;='01_Input'!$N$57,'01_Input'!$Q$57,0),IF('01_Input'!$P$57="Palier",IF(AND(EH$20&gt;='01_Input'!$N$57,EH$20&lt;'01_Input'!$O$57),'01_Input'!$Q$57,0),MAX(MIN(EH$20,'01_Input'!$O$57)-'01_Input'!$N$57,0)*'01_Input'!$Q$57))+IF('01_Input'!$T$57="Forfait",IF(EH$20&gt;='01_Input'!$R$57,'01_Input'!$U$57,0),IF('01_Input'!$T$57="Palier",IF(AND(EH$20&gt;='01_Input'!$R$57,EH$20&lt;'01_Input'!$S$57),'01_Input'!$U$57,0),MAX(MIN(EH$20,'01_Input'!$S$57)-'01_Input'!$R$57,0)*'01_Input'!$U$57))+IF('01_Input'!$X$57="Forfait",IF(EH$20&gt;='01_Input'!$V$57,'01_Input'!$Y$57,0),IF('01_Input'!$X$57="Palier",IF(AND(EH$20&gt;='01_Input'!$V$57,EH$20&lt;'01_Input'!$W$57),'01_Input'!$Y$57,0),MAX(MIN(EH$20,'01_Input'!$W$57)-'01_Input'!$V$57,0)*'01_Input'!$Y$57))+IF('01_Input'!$AB$57="Forfait",IF(EH$20&gt;='01_Input'!$Z$57,'01_Input'!$AC$57,0),IF('01_Input'!$AB$57="Palier",IF(AND(EH$20&gt;='01_Input'!$Z$57,EH$20&lt;'01_Input'!$AA$57),'01_Input'!$AC$57,0),MAX(MIN(EH$20,'01_Input'!$AA$57)-'01_Input'!$Z$57,0)*'01_Input'!$AC$57)))))))))</f>
        <v>50000</v>
      </c>
      <c r="EI25" s="25">
        <f>IF('01_Input'!$C$57="Non",0,MIN('01_Input'!$I$57,MAX('01_Input'!$H$57,IF('01_Input'!$G$57="Résiduel vs Gestion",0,IF('01_Input'!$G$57="Taux Classe sélectionnée",Distrib_Global_Classe_Selectionnee*EI$20,IF('01_Input'!$G$57="Frais KYC (paliers de 100M€)",MAX(0,Nb_Investisseurs-Nb_KYC_Gratuites_Par_Tranche*(FLOOR(EI$20/Taille_Tranche_KYC,1)+1))*Cout_Par_KYC_Supplementaire,(IF('01_Input'!$L$57="Forfait",IF(EI$20&gt;='01_Input'!$J$57,'01_Input'!$M$57,0),IF('01_Input'!$L$57="Palier",IF(AND(EI$20&gt;='01_Input'!$J$57,EI$20&lt;'01_Input'!$K$57),'01_Input'!$M$57,0),MAX(MIN(EI$20,'01_Input'!$K$57)-'01_Input'!$J$57,0)*'01_Input'!$M$57))+IF('01_Input'!$P$57="Forfait",IF(EI$20&gt;='01_Input'!$N$57,'01_Input'!$Q$57,0),IF('01_Input'!$P$57="Palier",IF(AND(EI$20&gt;='01_Input'!$N$57,EI$20&lt;'01_Input'!$O$57),'01_Input'!$Q$57,0),MAX(MIN(EI$20,'01_Input'!$O$57)-'01_Input'!$N$57,0)*'01_Input'!$Q$57))+IF('01_Input'!$T$57="Forfait",IF(EI$20&gt;='01_Input'!$R$57,'01_Input'!$U$57,0),IF('01_Input'!$T$57="Palier",IF(AND(EI$20&gt;='01_Input'!$R$57,EI$20&lt;'01_Input'!$S$57),'01_Input'!$U$57,0),MAX(MIN(EI$20,'01_Input'!$S$57)-'01_Input'!$R$57,0)*'01_Input'!$U$57))+IF('01_Input'!$X$57="Forfait",IF(EI$20&gt;='01_Input'!$V$57,'01_Input'!$Y$57,0),IF('01_Input'!$X$57="Palier",IF(AND(EI$20&gt;='01_Input'!$V$57,EI$20&lt;'01_Input'!$W$57),'01_Input'!$Y$57,0),MAX(MIN(EI$20,'01_Input'!$W$57)-'01_Input'!$V$57,0)*'01_Input'!$Y$57))+IF('01_Input'!$AB$57="Forfait",IF(EI$20&gt;='01_Input'!$Z$57,'01_Input'!$AC$57,0),IF('01_Input'!$AB$57="Palier",IF(AND(EI$20&gt;='01_Input'!$Z$57,EI$20&lt;'01_Input'!$AA$57),'01_Input'!$AC$57,0),MAX(MIN(EI$20,'01_Input'!$AA$57)-'01_Input'!$Z$57,0)*'01_Input'!$AC$57)))))))))</f>
        <v>50000</v>
      </c>
      <c r="EJ25" s="25">
        <f>IF('01_Input'!$C$57="Non",0,MIN('01_Input'!$I$57,MAX('01_Input'!$H$57,IF('01_Input'!$G$57="Résiduel vs Gestion",0,IF('01_Input'!$G$57="Taux Classe sélectionnée",Distrib_Global_Classe_Selectionnee*EJ$20,IF('01_Input'!$G$57="Frais KYC (paliers de 100M€)",MAX(0,Nb_Investisseurs-Nb_KYC_Gratuites_Par_Tranche*(FLOOR(EJ$20/Taille_Tranche_KYC,1)+1))*Cout_Par_KYC_Supplementaire,(IF('01_Input'!$L$57="Forfait",IF(EJ$20&gt;='01_Input'!$J$57,'01_Input'!$M$57,0),IF('01_Input'!$L$57="Palier",IF(AND(EJ$20&gt;='01_Input'!$J$57,EJ$20&lt;'01_Input'!$K$57),'01_Input'!$M$57,0),MAX(MIN(EJ$20,'01_Input'!$K$57)-'01_Input'!$J$57,0)*'01_Input'!$M$57))+IF('01_Input'!$P$57="Forfait",IF(EJ$20&gt;='01_Input'!$N$57,'01_Input'!$Q$57,0),IF('01_Input'!$P$57="Palier",IF(AND(EJ$20&gt;='01_Input'!$N$57,EJ$20&lt;'01_Input'!$O$57),'01_Input'!$Q$57,0),MAX(MIN(EJ$20,'01_Input'!$O$57)-'01_Input'!$N$57,0)*'01_Input'!$Q$57))+IF('01_Input'!$T$57="Forfait",IF(EJ$20&gt;='01_Input'!$R$57,'01_Input'!$U$57,0),IF('01_Input'!$T$57="Palier",IF(AND(EJ$20&gt;='01_Input'!$R$57,EJ$20&lt;'01_Input'!$S$57),'01_Input'!$U$57,0),MAX(MIN(EJ$20,'01_Input'!$S$57)-'01_Input'!$R$57,0)*'01_Input'!$U$57))+IF('01_Input'!$X$57="Forfait",IF(EJ$20&gt;='01_Input'!$V$57,'01_Input'!$Y$57,0),IF('01_Input'!$X$57="Palier",IF(AND(EJ$20&gt;='01_Input'!$V$57,EJ$20&lt;'01_Input'!$W$57),'01_Input'!$Y$57,0),MAX(MIN(EJ$20,'01_Input'!$W$57)-'01_Input'!$V$57,0)*'01_Input'!$Y$57))+IF('01_Input'!$AB$57="Forfait",IF(EJ$20&gt;='01_Input'!$Z$57,'01_Input'!$AC$57,0),IF('01_Input'!$AB$57="Palier",IF(AND(EJ$20&gt;='01_Input'!$Z$57,EJ$20&lt;'01_Input'!$AA$57),'01_Input'!$AC$57,0),MAX(MIN(EJ$20,'01_Input'!$AA$57)-'01_Input'!$Z$57,0)*'01_Input'!$AC$57)))))))))</f>
        <v>50000</v>
      </c>
      <c r="EK25" s="25">
        <f>IF('01_Input'!$C$57="Non",0,MIN('01_Input'!$I$57,MAX('01_Input'!$H$57,IF('01_Input'!$G$57="Résiduel vs Gestion",0,IF('01_Input'!$G$57="Taux Classe sélectionnée",Distrib_Global_Classe_Selectionnee*EK$20,IF('01_Input'!$G$57="Frais KYC (paliers de 100M€)",MAX(0,Nb_Investisseurs-Nb_KYC_Gratuites_Par_Tranche*(FLOOR(EK$20/Taille_Tranche_KYC,1)+1))*Cout_Par_KYC_Supplementaire,(IF('01_Input'!$L$57="Forfait",IF(EK$20&gt;='01_Input'!$J$57,'01_Input'!$M$57,0),IF('01_Input'!$L$57="Palier",IF(AND(EK$20&gt;='01_Input'!$J$57,EK$20&lt;'01_Input'!$K$57),'01_Input'!$M$57,0),MAX(MIN(EK$20,'01_Input'!$K$57)-'01_Input'!$J$57,0)*'01_Input'!$M$57))+IF('01_Input'!$P$57="Forfait",IF(EK$20&gt;='01_Input'!$N$57,'01_Input'!$Q$57,0),IF('01_Input'!$P$57="Palier",IF(AND(EK$20&gt;='01_Input'!$N$57,EK$20&lt;'01_Input'!$O$57),'01_Input'!$Q$57,0),MAX(MIN(EK$20,'01_Input'!$O$57)-'01_Input'!$N$57,0)*'01_Input'!$Q$57))+IF('01_Input'!$T$57="Forfait",IF(EK$20&gt;='01_Input'!$R$57,'01_Input'!$U$57,0),IF('01_Input'!$T$57="Palier",IF(AND(EK$20&gt;='01_Input'!$R$57,EK$20&lt;'01_Input'!$S$57),'01_Input'!$U$57,0),MAX(MIN(EK$20,'01_Input'!$S$57)-'01_Input'!$R$57,0)*'01_Input'!$U$57))+IF('01_Input'!$X$57="Forfait",IF(EK$20&gt;='01_Input'!$V$57,'01_Input'!$Y$57,0),IF('01_Input'!$X$57="Palier",IF(AND(EK$20&gt;='01_Input'!$V$57,EK$20&lt;'01_Input'!$W$57),'01_Input'!$Y$57,0),MAX(MIN(EK$20,'01_Input'!$W$57)-'01_Input'!$V$57,0)*'01_Input'!$Y$57))+IF('01_Input'!$AB$57="Forfait",IF(EK$20&gt;='01_Input'!$Z$57,'01_Input'!$AC$57,0),IF('01_Input'!$AB$57="Palier",IF(AND(EK$20&gt;='01_Input'!$Z$57,EK$20&lt;'01_Input'!$AA$57),'01_Input'!$AC$57,0),MAX(MIN(EK$20,'01_Input'!$AA$57)-'01_Input'!$Z$57,0)*'01_Input'!$AC$57)))))))))</f>
        <v>50000</v>
      </c>
      <c r="EL25" s="25">
        <f>IF('01_Input'!$C$57="Non",0,MIN('01_Input'!$I$57,MAX('01_Input'!$H$57,IF('01_Input'!$G$57="Résiduel vs Gestion",0,IF('01_Input'!$G$57="Taux Classe sélectionnée",Distrib_Global_Classe_Selectionnee*EL$20,IF('01_Input'!$G$57="Frais KYC (paliers de 100M€)",MAX(0,Nb_Investisseurs-Nb_KYC_Gratuites_Par_Tranche*(FLOOR(EL$20/Taille_Tranche_KYC,1)+1))*Cout_Par_KYC_Supplementaire,(IF('01_Input'!$L$57="Forfait",IF(EL$20&gt;='01_Input'!$J$57,'01_Input'!$M$57,0),IF('01_Input'!$L$57="Palier",IF(AND(EL$20&gt;='01_Input'!$J$57,EL$20&lt;'01_Input'!$K$57),'01_Input'!$M$57,0),MAX(MIN(EL$20,'01_Input'!$K$57)-'01_Input'!$J$57,0)*'01_Input'!$M$57))+IF('01_Input'!$P$57="Forfait",IF(EL$20&gt;='01_Input'!$N$57,'01_Input'!$Q$57,0),IF('01_Input'!$P$57="Palier",IF(AND(EL$20&gt;='01_Input'!$N$57,EL$20&lt;'01_Input'!$O$57),'01_Input'!$Q$57,0),MAX(MIN(EL$20,'01_Input'!$O$57)-'01_Input'!$N$57,0)*'01_Input'!$Q$57))+IF('01_Input'!$T$57="Forfait",IF(EL$20&gt;='01_Input'!$R$57,'01_Input'!$U$57,0),IF('01_Input'!$T$57="Palier",IF(AND(EL$20&gt;='01_Input'!$R$57,EL$20&lt;'01_Input'!$S$57),'01_Input'!$U$57,0),MAX(MIN(EL$20,'01_Input'!$S$57)-'01_Input'!$R$57,0)*'01_Input'!$U$57))+IF('01_Input'!$X$57="Forfait",IF(EL$20&gt;='01_Input'!$V$57,'01_Input'!$Y$57,0),IF('01_Input'!$X$57="Palier",IF(AND(EL$20&gt;='01_Input'!$V$57,EL$20&lt;'01_Input'!$W$57),'01_Input'!$Y$57,0),MAX(MIN(EL$20,'01_Input'!$W$57)-'01_Input'!$V$57,0)*'01_Input'!$Y$57))+IF('01_Input'!$AB$57="Forfait",IF(EL$20&gt;='01_Input'!$Z$57,'01_Input'!$AC$57,0),IF('01_Input'!$AB$57="Palier",IF(AND(EL$20&gt;='01_Input'!$Z$57,EL$20&lt;'01_Input'!$AA$57),'01_Input'!$AC$57,0),MAX(MIN(EL$20,'01_Input'!$AA$57)-'01_Input'!$Z$57,0)*'01_Input'!$AC$57)))))))))</f>
        <v>50000</v>
      </c>
      <c r="EM25" s="25">
        <f>IF('01_Input'!$C$57="Non",0,MIN('01_Input'!$I$57,MAX('01_Input'!$H$57,IF('01_Input'!$G$57="Résiduel vs Gestion",0,IF('01_Input'!$G$57="Taux Classe sélectionnée",Distrib_Global_Classe_Selectionnee*EM$20,IF('01_Input'!$G$57="Frais KYC (paliers de 100M€)",MAX(0,Nb_Investisseurs-Nb_KYC_Gratuites_Par_Tranche*(FLOOR(EM$20/Taille_Tranche_KYC,1)+1))*Cout_Par_KYC_Supplementaire,(IF('01_Input'!$L$57="Forfait",IF(EM$20&gt;='01_Input'!$J$57,'01_Input'!$M$57,0),IF('01_Input'!$L$57="Palier",IF(AND(EM$20&gt;='01_Input'!$J$57,EM$20&lt;'01_Input'!$K$57),'01_Input'!$M$57,0),MAX(MIN(EM$20,'01_Input'!$K$57)-'01_Input'!$J$57,0)*'01_Input'!$M$57))+IF('01_Input'!$P$57="Forfait",IF(EM$20&gt;='01_Input'!$N$57,'01_Input'!$Q$57,0),IF('01_Input'!$P$57="Palier",IF(AND(EM$20&gt;='01_Input'!$N$57,EM$20&lt;'01_Input'!$O$57),'01_Input'!$Q$57,0),MAX(MIN(EM$20,'01_Input'!$O$57)-'01_Input'!$N$57,0)*'01_Input'!$Q$57))+IF('01_Input'!$T$57="Forfait",IF(EM$20&gt;='01_Input'!$R$57,'01_Input'!$U$57,0),IF('01_Input'!$T$57="Palier",IF(AND(EM$20&gt;='01_Input'!$R$57,EM$20&lt;'01_Input'!$S$57),'01_Input'!$U$57,0),MAX(MIN(EM$20,'01_Input'!$S$57)-'01_Input'!$R$57,0)*'01_Input'!$U$57))+IF('01_Input'!$X$57="Forfait",IF(EM$20&gt;='01_Input'!$V$57,'01_Input'!$Y$57,0),IF('01_Input'!$X$57="Palier",IF(AND(EM$20&gt;='01_Input'!$V$57,EM$20&lt;'01_Input'!$W$57),'01_Input'!$Y$57,0),MAX(MIN(EM$20,'01_Input'!$W$57)-'01_Input'!$V$57,0)*'01_Input'!$Y$57))+IF('01_Input'!$AB$57="Forfait",IF(EM$20&gt;='01_Input'!$Z$57,'01_Input'!$AC$57,0),IF('01_Input'!$AB$57="Palier",IF(AND(EM$20&gt;='01_Input'!$Z$57,EM$20&lt;'01_Input'!$AA$57),'01_Input'!$AC$57,0),MAX(MIN(EM$20,'01_Input'!$AA$57)-'01_Input'!$Z$57,0)*'01_Input'!$AC$57)))))))))</f>
        <v>50000</v>
      </c>
      <c r="EN25" s="25">
        <f>IF('01_Input'!$C$57="Non",0,MIN('01_Input'!$I$57,MAX('01_Input'!$H$57,IF('01_Input'!$G$57="Résiduel vs Gestion",0,IF('01_Input'!$G$57="Taux Classe sélectionnée",Distrib_Global_Classe_Selectionnee*EN$20,IF('01_Input'!$G$57="Frais KYC (paliers de 100M€)",MAX(0,Nb_Investisseurs-Nb_KYC_Gratuites_Par_Tranche*(FLOOR(EN$20/Taille_Tranche_KYC,1)+1))*Cout_Par_KYC_Supplementaire,(IF('01_Input'!$L$57="Forfait",IF(EN$20&gt;='01_Input'!$J$57,'01_Input'!$M$57,0),IF('01_Input'!$L$57="Palier",IF(AND(EN$20&gt;='01_Input'!$J$57,EN$20&lt;'01_Input'!$K$57),'01_Input'!$M$57,0),MAX(MIN(EN$20,'01_Input'!$K$57)-'01_Input'!$J$57,0)*'01_Input'!$M$57))+IF('01_Input'!$P$57="Forfait",IF(EN$20&gt;='01_Input'!$N$57,'01_Input'!$Q$57,0),IF('01_Input'!$P$57="Palier",IF(AND(EN$20&gt;='01_Input'!$N$57,EN$20&lt;'01_Input'!$O$57),'01_Input'!$Q$57,0),MAX(MIN(EN$20,'01_Input'!$O$57)-'01_Input'!$N$57,0)*'01_Input'!$Q$57))+IF('01_Input'!$T$57="Forfait",IF(EN$20&gt;='01_Input'!$R$57,'01_Input'!$U$57,0),IF('01_Input'!$T$57="Palier",IF(AND(EN$20&gt;='01_Input'!$R$57,EN$20&lt;'01_Input'!$S$57),'01_Input'!$U$57,0),MAX(MIN(EN$20,'01_Input'!$S$57)-'01_Input'!$R$57,0)*'01_Input'!$U$57))+IF('01_Input'!$X$57="Forfait",IF(EN$20&gt;='01_Input'!$V$57,'01_Input'!$Y$57,0),IF('01_Input'!$X$57="Palier",IF(AND(EN$20&gt;='01_Input'!$V$57,EN$20&lt;'01_Input'!$W$57),'01_Input'!$Y$57,0),MAX(MIN(EN$20,'01_Input'!$W$57)-'01_Input'!$V$57,0)*'01_Input'!$Y$57))+IF('01_Input'!$AB$57="Forfait",IF(EN$20&gt;='01_Input'!$Z$57,'01_Input'!$AC$57,0),IF('01_Input'!$AB$57="Palier",IF(AND(EN$20&gt;='01_Input'!$Z$57,EN$20&lt;'01_Input'!$AA$57),'01_Input'!$AC$57,0),MAX(MIN(EN$20,'01_Input'!$AA$57)-'01_Input'!$Z$57,0)*'01_Input'!$AC$57)))))))))</f>
        <v>50000</v>
      </c>
      <c r="EO25" s="25">
        <f>IF('01_Input'!$C$57="Non",0,MIN('01_Input'!$I$57,MAX('01_Input'!$H$57,IF('01_Input'!$G$57="Résiduel vs Gestion",0,IF('01_Input'!$G$57="Taux Classe sélectionnée",Distrib_Global_Classe_Selectionnee*EO$20,IF('01_Input'!$G$57="Frais KYC (paliers de 100M€)",MAX(0,Nb_Investisseurs-Nb_KYC_Gratuites_Par_Tranche*(FLOOR(EO$20/Taille_Tranche_KYC,1)+1))*Cout_Par_KYC_Supplementaire,(IF('01_Input'!$L$57="Forfait",IF(EO$20&gt;='01_Input'!$J$57,'01_Input'!$M$57,0),IF('01_Input'!$L$57="Palier",IF(AND(EO$20&gt;='01_Input'!$J$57,EO$20&lt;'01_Input'!$K$57),'01_Input'!$M$57,0),MAX(MIN(EO$20,'01_Input'!$K$57)-'01_Input'!$J$57,0)*'01_Input'!$M$57))+IF('01_Input'!$P$57="Forfait",IF(EO$20&gt;='01_Input'!$N$57,'01_Input'!$Q$57,0),IF('01_Input'!$P$57="Palier",IF(AND(EO$20&gt;='01_Input'!$N$57,EO$20&lt;'01_Input'!$O$57),'01_Input'!$Q$57,0),MAX(MIN(EO$20,'01_Input'!$O$57)-'01_Input'!$N$57,0)*'01_Input'!$Q$57))+IF('01_Input'!$T$57="Forfait",IF(EO$20&gt;='01_Input'!$R$57,'01_Input'!$U$57,0),IF('01_Input'!$T$57="Palier",IF(AND(EO$20&gt;='01_Input'!$R$57,EO$20&lt;'01_Input'!$S$57),'01_Input'!$U$57,0),MAX(MIN(EO$20,'01_Input'!$S$57)-'01_Input'!$R$57,0)*'01_Input'!$U$57))+IF('01_Input'!$X$57="Forfait",IF(EO$20&gt;='01_Input'!$V$57,'01_Input'!$Y$57,0),IF('01_Input'!$X$57="Palier",IF(AND(EO$20&gt;='01_Input'!$V$57,EO$20&lt;'01_Input'!$W$57),'01_Input'!$Y$57,0),MAX(MIN(EO$20,'01_Input'!$W$57)-'01_Input'!$V$57,0)*'01_Input'!$Y$57))+IF('01_Input'!$AB$57="Forfait",IF(EO$20&gt;='01_Input'!$Z$57,'01_Input'!$AC$57,0),IF('01_Input'!$AB$57="Palier",IF(AND(EO$20&gt;='01_Input'!$Z$57,EO$20&lt;'01_Input'!$AA$57),'01_Input'!$AC$57,0),MAX(MIN(EO$20,'01_Input'!$AA$57)-'01_Input'!$Z$57,0)*'01_Input'!$AC$57)))))))))</f>
        <v>50000</v>
      </c>
      <c r="EP25" s="25">
        <f>IF('01_Input'!$C$57="Non",0,MIN('01_Input'!$I$57,MAX('01_Input'!$H$57,IF('01_Input'!$G$57="Résiduel vs Gestion",0,IF('01_Input'!$G$57="Taux Classe sélectionnée",Distrib_Global_Classe_Selectionnee*EP$20,IF('01_Input'!$G$57="Frais KYC (paliers de 100M€)",MAX(0,Nb_Investisseurs-Nb_KYC_Gratuites_Par_Tranche*(FLOOR(EP$20/Taille_Tranche_KYC,1)+1))*Cout_Par_KYC_Supplementaire,(IF('01_Input'!$L$57="Forfait",IF(EP$20&gt;='01_Input'!$J$57,'01_Input'!$M$57,0),IF('01_Input'!$L$57="Palier",IF(AND(EP$20&gt;='01_Input'!$J$57,EP$20&lt;'01_Input'!$K$57),'01_Input'!$M$57,0),MAX(MIN(EP$20,'01_Input'!$K$57)-'01_Input'!$J$57,0)*'01_Input'!$M$57))+IF('01_Input'!$P$57="Forfait",IF(EP$20&gt;='01_Input'!$N$57,'01_Input'!$Q$57,0),IF('01_Input'!$P$57="Palier",IF(AND(EP$20&gt;='01_Input'!$N$57,EP$20&lt;'01_Input'!$O$57),'01_Input'!$Q$57,0),MAX(MIN(EP$20,'01_Input'!$O$57)-'01_Input'!$N$57,0)*'01_Input'!$Q$57))+IF('01_Input'!$T$57="Forfait",IF(EP$20&gt;='01_Input'!$R$57,'01_Input'!$U$57,0),IF('01_Input'!$T$57="Palier",IF(AND(EP$20&gt;='01_Input'!$R$57,EP$20&lt;'01_Input'!$S$57),'01_Input'!$U$57,0),MAX(MIN(EP$20,'01_Input'!$S$57)-'01_Input'!$R$57,0)*'01_Input'!$U$57))+IF('01_Input'!$X$57="Forfait",IF(EP$20&gt;='01_Input'!$V$57,'01_Input'!$Y$57,0),IF('01_Input'!$X$57="Palier",IF(AND(EP$20&gt;='01_Input'!$V$57,EP$20&lt;'01_Input'!$W$57),'01_Input'!$Y$57,0),MAX(MIN(EP$20,'01_Input'!$W$57)-'01_Input'!$V$57,0)*'01_Input'!$Y$57))+IF('01_Input'!$AB$57="Forfait",IF(EP$20&gt;='01_Input'!$Z$57,'01_Input'!$AC$57,0),IF('01_Input'!$AB$57="Palier",IF(AND(EP$20&gt;='01_Input'!$Z$57,EP$20&lt;'01_Input'!$AA$57),'01_Input'!$AC$57,0),MAX(MIN(EP$20,'01_Input'!$AA$57)-'01_Input'!$Z$57,0)*'01_Input'!$AC$57)))))))))</f>
        <v>50000</v>
      </c>
      <c r="EQ25" s="25">
        <f>IF('01_Input'!$C$57="Non",0,MIN('01_Input'!$I$57,MAX('01_Input'!$H$57,IF('01_Input'!$G$57="Résiduel vs Gestion",0,IF('01_Input'!$G$57="Taux Classe sélectionnée",Distrib_Global_Classe_Selectionnee*EQ$20,IF('01_Input'!$G$57="Frais KYC (paliers de 100M€)",MAX(0,Nb_Investisseurs-Nb_KYC_Gratuites_Par_Tranche*(FLOOR(EQ$20/Taille_Tranche_KYC,1)+1))*Cout_Par_KYC_Supplementaire,(IF('01_Input'!$L$57="Forfait",IF(EQ$20&gt;='01_Input'!$J$57,'01_Input'!$M$57,0),IF('01_Input'!$L$57="Palier",IF(AND(EQ$20&gt;='01_Input'!$J$57,EQ$20&lt;'01_Input'!$K$57),'01_Input'!$M$57,0),MAX(MIN(EQ$20,'01_Input'!$K$57)-'01_Input'!$J$57,0)*'01_Input'!$M$57))+IF('01_Input'!$P$57="Forfait",IF(EQ$20&gt;='01_Input'!$N$57,'01_Input'!$Q$57,0),IF('01_Input'!$P$57="Palier",IF(AND(EQ$20&gt;='01_Input'!$N$57,EQ$20&lt;'01_Input'!$O$57),'01_Input'!$Q$57,0),MAX(MIN(EQ$20,'01_Input'!$O$57)-'01_Input'!$N$57,0)*'01_Input'!$Q$57))+IF('01_Input'!$T$57="Forfait",IF(EQ$20&gt;='01_Input'!$R$57,'01_Input'!$U$57,0),IF('01_Input'!$T$57="Palier",IF(AND(EQ$20&gt;='01_Input'!$R$57,EQ$20&lt;'01_Input'!$S$57),'01_Input'!$U$57,0),MAX(MIN(EQ$20,'01_Input'!$S$57)-'01_Input'!$R$57,0)*'01_Input'!$U$57))+IF('01_Input'!$X$57="Forfait",IF(EQ$20&gt;='01_Input'!$V$57,'01_Input'!$Y$57,0),IF('01_Input'!$X$57="Palier",IF(AND(EQ$20&gt;='01_Input'!$V$57,EQ$20&lt;'01_Input'!$W$57),'01_Input'!$Y$57,0),MAX(MIN(EQ$20,'01_Input'!$W$57)-'01_Input'!$V$57,0)*'01_Input'!$Y$57))+IF('01_Input'!$AB$57="Forfait",IF(EQ$20&gt;='01_Input'!$Z$57,'01_Input'!$AC$57,0),IF('01_Input'!$AB$57="Palier",IF(AND(EQ$20&gt;='01_Input'!$Z$57,EQ$20&lt;'01_Input'!$AA$57),'01_Input'!$AC$57,0),MAX(MIN(EQ$20,'01_Input'!$AA$57)-'01_Input'!$Z$57,0)*'01_Input'!$AC$57)))))))))</f>
        <v>50000</v>
      </c>
      <c r="ER25" s="25">
        <f>IF('01_Input'!$C$57="Non",0,MIN('01_Input'!$I$57,MAX('01_Input'!$H$57,IF('01_Input'!$G$57="Résiduel vs Gestion",0,IF('01_Input'!$G$57="Taux Classe sélectionnée",Distrib_Global_Classe_Selectionnee*ER$20,IF('01_Input'!$G$57="Frais KYC (paliers de 100M€)",MAX(0,Nb_Investisseurs-Nb_KYC_Gratuites_Par_Tranche*(FLOOR(ER$20/Taille_Tranche_KYC,1)+1))*Cout_Par_KYC_Supplementaire,(IF('01_Input'!$L$57="Forfait",IF(ER$20&gt;='01_Input'!$J$57,'01_Input'!$M$57,0),IF('01_Input'!$L$57="Palier",IF(AND(ER$20&gt;='01_Input'!$J$57,ER$20&lt;'01_Input'!$K$57),'01_Input'!$M$57,0),MAX(MIN(ER$20,'01_Input'!$K$57)-'01_Input'!$J$57,0)*'01_Input'!$M$57))+IF('01_Input'!$P$57="Forfait",IF(ER$20&gt;='01_Input'!$N$57,'01_Input'!$Q$57,0),IF('01_Input'!$P$57="Palier",IF(AND(ER$20&gt;='01_Input'!$N$57,ER$20&lt;'01_Input'!$O$57),'01_Input'!$Q$57,0),MAX(MIN(ER$20,'01_Input'!$O$57)-'01_Input'!$N$57,0)*'01_Input'!$Q$57))+IF('01_Input'!$T$57="Forfait",IF(ER$20&gt;='01_Input'!$R$57,'01_Input'!$U$57,0),IF('01_Input'!$T$57="Palier",IF(AND(ER$20&gt;='01_Input'!$R$57,ER$20&lt;'01_Input'!$S$57),'01_Input'!$U$57,0),MAX(MIN(ER$20,'01_Input'!$S$57)-'01_Input'!$R$57,0)*'01_Input'!$U$57))+IF('01_Input'!$X$57="Forfait",IF(ER$20&gt;='01_Input'!$V$57,'01_Input'!$Y$57,0),IF('01_Input'!$X$57="Palier",IF(AND(ER$20&gt;='01_Input'!$V$57,ER$20&lt;'01_Input'!$W$57),'01_Input'!$Y$57,0),MAX(MIN(ER$20,'01_Input'!$W$57)-'01_Input'!$V$57,0)*'01_Input'!$Y$57))+IF('01_Input'!$AB$57="Forfait",IF(ER$20&gt;='01_Input'!$Z$57,'01_Input'!$AC$57,0),IF('01_Input'!$AB$57="Palier",IF(AND(ER$20&gt;='01_Input'!$Z$57,ER$20&lt;'01_Input'!$AA$57),'01_Input'!$AC$57,0),MAX(MIN(ER$20,'01_Input'!$AA$57)-'01_Input'!$Z$57,0)*'01_Input'!$AC$57)))))))))</f>
        <v>50000</v>
      </c>
      <c r="ES25" s="25">
        <f>IF('01_Input'!$C$57="Non",0,MIN('01_Input'!$I$57,MAX('01_Input'!$H$57,IF('01_Input'!$G$57="Résiduel vs Gestion",0,IF('01_Input'!$G$57="Taux Classe sélectionnée",Distrib_Global_Classe_Selectionnee*ES$20,IF('01_Input'!$G$57="Frais KYC (paliers de 100M€)",MAX(0,Nb_Investisseurs-Nb_KYC_Gratuites_Par_Tranche*(FLOOR(ES$20/Taille_Tranche_KYC,1)+1))*Cout_Par_KYC_Supplementaire,(IF('01_Input'!$L$57="Forfait",IF(ES$20&gt;='01_Input'!$J$57,'01_Input'!$M$57,0),IF('01_Input'!$L$57="Palier",IF(AND(ES$20&gt;='01_Input'!$J$57,ES$20&lt;'01_Input'!$K$57),'01_Input'!$M$57,0),MAX(MIN(ES$20,'01_Input'!$K$57)-'01_Input'!$J$57,0)*'01_Input'!$M$57))+IF('01_Input'!$P$57="Forfait",IF(ES$20&gt;='01_Input'!$N$57,'01_Input'!$Q$57,0),IF('01_Input'!$P$57="Palier",IF(AND(ES$20&gt;='01_Input'!$N$57,ES$20&lt;'01_Input'!$O$57),'01_Input'!$Q$57,0),MAX(MIN(ES$20,'01_Input'!$O$57)-'01_Input'!$N$57,0)*'01_Input'!$Q$57))+IF('01_Input'!$T$57="Forfait",IF(ES$20&gt;='01_Input'!$R$57,'01_Input'!$U$57,0),IF('01_Input'!$T$57="Palier",IF(AND(ES$20&gt;='01_Input'!$R$57,ES$20&lt;'01_Input'!$S$57),'01_Input'!$U$57,0),MAX(MIN(ES$20,'01_Input'!$S$57)-'01_Input'!$R$57,0)*'01_Input'!$U$57))+IF('01_Input'!$X$57="Forfait",IF(ES$20&gt;='01_Input'!$V$57,'01_Input'!$Y$57,0),IF('01_Input'!$X$57="Palier",IF(AND(ES$20&gt;='01_Input'!$V$57,ES$20&lt;'01_Input'!$W$57),'01_Input'!$Y$57,0),MAX(MIN(ES$20,'01_Input'!$W$57)-'01_Input'!$V$57,0)*'01_Input'!$Y$57))+IF('01_Input'!$AB$57="Forfait",IF(ES$20&gt;='01_Input'!$Z$57,'01_Input'!$AC$57,0),IF('01_Input'!$AB$57="Palier",IF(AND(ES$20&gt;='01_Input'!$Z$57,ES$20&lt;'01_Input'!$AA$57),'01_Input'!$AC$57,0),MAX(MIN(ES$20,'01_Input'!$AA$57)-'01_Input'!$Z$57,0)*'01_Input'!$AC$57)))))))))</f>
        <v>50000</v>
      </c>
      <c r="ET25" s="25">
        <f>IF('01_Input'!$C$57="Non",0,MIN('01_Input'!$I$57,MAX('01_Input'!$H$57,IF('01_Input'!$G$57="Résiduel vs Gestion",0,IF('01_Input'!$G$57="Taux Classe sélectionnée",Distrib_Global_Classe_Selectionnee*ET$20,IF('01_Input'!$G$57="Frais KYC (paliers de 100M€)",MAX(0,Nb_Investisseurs-Nb_KYC_Gratuites_Par_Tranche*(FLOOR(ET$20/Taille_Tranche_KYC,1)+1))*Cout_Par_KYC_Supplementaire,(IF('01_Input'!$L$57="Forfait",IF(ET$20&gt;='01_Input'!$J$57,'01_Input'!$M$57,0),IF('01_Input'!$L$57="Palier",IF(AND(ET$20&gt;='01_Input'!$J$57,ET$20&lt;'01_Input'!$K$57),'01_Input'!$M$57,0),MAX(MIN(ET$20,'01_Input'!$K$57)-'01_Input'!$J$57,0)*'01_Input'!$M$57))+IF('01_Input'!$P$57="Forfait",IF(ET$20&gt;='01_Input'!$N$57,'01_Input'!$Q$57,0),IF('01_Input'!$P$57="Palier",IF(AND(ET$20&gt;='01_Input'!$N$57,ET$20&lt;'01_Input'!$O$57),'01_Input'!$Q$57,0),MAX(MIN(ET$20,'01_Input'!$O$57)-'01_Input'!$N$57,0)*'01_Input'!$Q$57))+IF('01_Input'!$T$57="Forfait",IF(ET$20&gt;='01_Input'!$R$57,'01_Input'!$U$57,0),IF('01_Input'!$T$57="Palier",IF(AND(ET$20&gt;='01_Input'!$R$57,ET$20&lt;'01_Input'!$S$57),'01_Input'!$U$57,0),MAX(MIN(ET$20,'01_Input'!$S$57)-'01_Input'!$R$57,0)*'01_Input'!$U$57))+IF('01_Input'!$X$57="Forfait",IF(ET$20&gt;='01_Input'!$V$57,'01_Input'!$Y$57,0),IF('01_Input'!$X$57="Palier",IF(AND(ET$20&gt;='01_Input'!$V$57,ET$20&lt;'01_Input'!$W$57),'01_Input'!$Y$57,0),MAX(MIN(ET$20,'01_Input'!$W$57)-'01_Input'!$V$57,0)*'01_Input'!$Y$57))+IF('01_Input'!$AB$57="Forfait",IF(ET$20&gt;='01_Input'!$Z$57,'01_Input'!$AC$57,0),IF('01_Input'!$AB$57="Palier",IF(AND(ET$20&gt;='01_Input'!$Z$57,ET$20&lt;'01_Input'!$AA$57),'01_Input'!$AC$57,0),MAX(MIN(ET$20,'01_Input'!$AA$57)-'01_Input'!$Z$57,0)*'01_Input'!$AC$57)))))))))</f>
        <v>50000</v>
      </c>
      <c r="EU25" s="25">
        <f>IF('01_Input'!$C$57="Non",0,MIN('01_Input'!$I$57,MAX('01_Input'!$H$57,IF('01_Input'!$G$57="Résiduel vs Gestion",0,IF('01_Input'!$G$57="Taux Classe sélectionnée",Distrib_Global_Classe_Selectionnee*EU$20,IF('01_Input'!$G$57="Frais KYC (paliers de 100M€)",MAX(0,Nb_Investisseurs-Nb_KYC_Gratuites_Par_Tranche*(FLOOR(EU$20/Taille_Tranche_KYC,1)+1))*Cout_Par_KYC_Supplementaire,(IF('01_Input'!$L$57="Forfait",IF(EU$20&gt;='01_Input'!$J$57,'01_Input'!$M$57,0),IF('01_Input'!$L$57="Palier",IF(AND(EU$20&gt;='01_Input'!$J$57,EU$20&lt;'01_Input'!$K$57),'01_Input'!$M$57,0),MAX(MIN(EU$20,'01_Input'!$K$57)-'01_Input'!$J$57,0)*'01_Input'!$M$57))+IF('01_Input'!$P$57="Forfait",IF(EU$20&gt;='01_Input'!$N$57,'01_Input'!$Q$57,0),IF('01_Input'!$P$57="Palier",IF(AND(EU$20&gt;='01_Input'!$N$57,EU$20&lt;'01_Input'!$O$57),'01_Input'!$Q$57,0),MAX(MIN(EU$20,'01_Input'!$O$57)-'01_Input'!$N$57,0)*'01_Input'!$Q$57))+IF('01_Input'!$T$57="Forfait",IF(EU$20&gt;='01_Input'!$R$57,'01_Input'!$U$57,0),IF('01_Input'!$T$57="Palier",IF(AND(EU$20&gt;='01_Input'!$R$57,EU$20&lt;'01_Input'!$S$57),'01_Input'!$U$57,0),MAX(MIN(EU$20,'01_Input'!$S$57)-'01_Input'!$R$57,0)*'01_Input'!$U$57))+IF('01_Input'!$X$57="Forfait",IF(EU$20&gt;='01_Input'!$V$57,'01_Input'!$Y$57,0),IF('01_Input'!$X$57="Palier",IF(AND(EU$20&gt;='01_Input'!$V$57,EU$20&lt;'01_Input'!$W$57),'01_Input'!$Y$57,0),MAX(MIN(EU$20,'01_Input'!$W$57)-'01_Input'!$V$57,0)*'01_Input'!$Y$57))+IF('01_Input'!$AB$57="Forfait",IF(EU$20&gt;='01_Input'!$Z$57,'01_Input'!$AC$57,0),IF('01_Input'!$AB$57="Palier",IF(AND(EU$20&gt;='01_Input'!$Z$57,EU$20&lt;'01_Input'!$AA$57),'01_Input'!$AC$57,0),MAX(MIN(EU$20,'01_Input'!$AA$57)-'01_Input'!$Z$57,0)*'01_Input'!$AC$57)))))))))</f>
        <v>50000</v>
      </c>
      <c r="EV25" s="25">
        <f>IF('01_Input'!$C$57="Non",0,MIN('01_Input'!$I$57,MAX('01_Input'!$H$57,IF('01_Input'!$G$57="Résiduel vs Gestion",0,IF('01_Input'!$G$57="Taux Classe sélectionnée",Distrib_Global_Classe_Selectionnee*EV$20,IF('01_Input'!$G$57="Frais KYC (paliers de 100M€)",MAX(0,Nb_Investisseurs-Nb_KYC_Gratuites_Par_Tranche*(FLOOR(EV$20/Taille_Tranche_KYC,1)+1))*Cout_Par_KYC_Supplementaire,(IF('01_Input'!$L$57="Forfait",IF(EV$20&gt;='01_Input'!$J$57,'01_Input'!$M$57,0),IF('01_Input'!$L$57="Palier",IF(AND(EV$20&gt;='01_Input'!$J$57,EV$20&lt;'01_Input'!$K$57),'01_Input'!$M$57,0),MAX(MIN(EV$20,'01_Input'!$K$57)-'01_Input'!$J$57,0)*'01_Input'!$M$57))+IF('01_Input'!$P$57="Forfait",IF(EV$20&gt;='01_Input'!$N$57,'01_Input'!$Q$57,0),IF('01_Input'!$P$57="Palier",IF(AND(EV$20&gt;='01_Input'!$N$57,EV$20&lt;'01_Input'!$O$57),'01_Input'!$Q$57,0),MAX(MIN(EV$20,'01_Input'!$O$57)-'01_Input'!$N$57,0)*'01_Input'!$Q$57))+IF('01_Input'!$T$57="Forfait",IF(EV$20&gt;='01_Input'!$R$57,'01_Input'!$U$57,0),IF('01_Input'!$T$57="Palier",IF(AND(EV$20&gt;='01_Input'!$R$57,EV$20&lt;'01_Input'!$S$57),'01_Input'!$U$57,0),MAX(MIN(EV$20,'01_Input'!$S$57)-'01_Input'!$R$57,0)*'01_Input'!$U$57))+IF('01_Input'!$X$57="Forfait",IF(EV$20&gt;='01_Input'!$V$57,'01_Input'!$Y$57,0),IF('01_Input'!$X$57="Palier",IF(AND(EV$20&gt;='01_Input'!$V$57,EV$20&lt;'01_Input'!$W$57),'01_Input'!$Y$57,0),MAX(MIN(EV$20,'01_Input'!$W$57)-'01_Input'!$V$57,0)*'01_Input'!$Y$57))+IF('01_Input'!$AB$57="Forfait",IF(EV$20&gt;='01_Input'!$Z$57,'01_Input'!$AC$57,0),IF('01_Input'!$AB$57="Palier",IF(AND(EV$20&gt;='01_Input'!$Z$57,EV$20&lt;'01_Input'!$AA$57),'01_Input'!$AC$57,0),MAX(MIN(EV$20,'01_Input'!$AA$57)-'01_Input'!$Z$57,0)*'01_Input'!$AC$57)))))))))</f>
        <v>50000</v>
      </c>
      <c r="EW25" s="25">
        <f>IF('01_Input'!$C$57="Non",0,MIN('01_Input'!$I$57,MAX('01_Input'!$H$57,IF('01_Input'!$G$57="Résiduel vs Gestion",0,IF('01_Input'!$G$57="Taux Classe sélectionnée",Distrib_Global_Classe_Selectionnee*EW$20,IF('01_Input'!$G$57="Frais KYC (paliers de 100M€)",MAX(0,Nb_Investisseurs-Nb_KYC_Gratuites_Par_Tranche*(FLOOR(EW$20/Taille_Tranche_KYC,1)+1))*Cout_Par_KYC_Supplementaire,(IF('01_Input'!$L$57="Forfait",IF(EW$20&gt;='01_Input'!$J$57,'01_Input'!$M$57,0),IF('01_Input'!$L$57="Palier",IF(AND(EW$20&gt;='01_Input'!$J$57,EW$20&lt;'01_Input'!$K$57),'01_Input'!$M$57,0),MAX(MIN(EW$20,'01_Input'!$K$57)-'01_Input'!$J$57,0)*'01_Input'!$M$57))+IF('01_Input'!$P$57="Forfait",IF(EW$20&gt;='01_Input'!$N$57,'01_Input'!$Q$57,0),IF('01_Input'!$P$57="Palier",IF(AND(EW$20&gt;='01_Input'!$N$57,EW$20&lt;'01_Input'!$O$57),'01_Input'!$Q$57,0),MAX(MIN(EW$20,'01_Input'!$O$57)-'01_Input'!$N$57,0)*'01_Input'!$Q$57))+IF('01_Input'!$T$57="Forfait",IF(EW$20&gt;='01_Input'!$R$57,'01_Input'!$U$57,0),IF('01_Input'!$T$57="Palier",IF(AND(EW$20&gt;='01_Input'!$R$57,EW$20&lt;'01_Input'!$S$57),'01_Input'!$U$57,0),MAX(MIN(EW$20,'01_Input'!$S$57)-'01_Input'!$R$57,0)*'01_Input'!$U$57))+IF('01_Input'!$X$57="Forfait",IF(EW$20&gt;='01_Input'!$V$57,'01_Input'!$Y$57,0),IF('01_Input'!$X$57="Palier",IF(AND(EW$20&gt;='01_Input'!$V$57,EW$20&lt;'01_Input'!$W$57),'01_Input'!$Y$57,0),MAX(MIN(EW$20,'01_Input'!$W$57)-'01_Input'!$V$57,0)*'01_Input'!$Y$57))+IF('01_Input'!$AB$57="Forfait",IF(EW$20&gt;='01_Input'!$Z$57,'01_Input'!$AC$57,0),IF('01_Input'!$AB$57="Palier",IF(AND(EW$20&gt;='01_Input'!$Z$57,EW$20&lt;'01_Input'!$AA$57),'01_Input'!$AC$57,0),MAX(MIN(EW$20,'01_Input'!$AA$57)-'01_Input'!$Z$57,0)*'01_Input'!$AC$57)))))))))</f>
        <v>50000</v>
      </c>
      <c r="EX25" s="25">
        <f>IF('01_Input'!$C$57="Non",0,MIN('01_Input'!$I$57,MAX('01_Input'!$H$57,IF('01_Input'!$G$57="Résiduel vs Gestion",0,IF('01_Input'!$G$57="Taux Classe sélectionnée",Distrib_Global_Classe_Selectionnee*EX$20,IF('01_Input'!$G$57="Frais KYC (paliers de 100M€)",MAX(0,Nb_Investisseurs-Nb_KYC_Gratuites_Par_Tranche*(FLOOR(EX$20/Taille_Tranche_KYC,1)+1))*Cout_Par_KYC_Supplementaire,(IF('01_Input'!$L$57="Forfait",IF(EX$20&gt;='01_Input'!$J$57,'01_Input'!$M$57,0),IF('01_Input'!$L$57="Palier",IF(AND(EX$20&gt;='01_Input'!$J$57,EX$20&lt;'01_Input'!$K$57),'01_Input'!$M$57,0),MAX(MIN(EX$20,'01_Input'!$K$57)-'01_Input'!$J$57,0)*'01_Input'!$M$57))+IF('01_Input'!$P$57="Forfait",IF(EX$20&gt;='01_Input'!$N$57,'01_Input'!$Q$57,0),IF('01_Input'!$P$57="Palier",IF(AND(EX$20&gt;='01_Input'!$N$57,EX$20&lt;'01_Input'!$O$57),'01_Input'!$Q$57,0),MAX(MIN(EX$20,'01_Input'!$O$57)-'01_Input'!$N$57,0)*'01_Input'!$Q$57))+IF('01_Input'!$T$57="Forfait",IF(EX$20&gt;='01_Input'!$R$57,'01_Input'!$U$57,0),IF('01_Input'!$T$57="Palier",IF(AND(EX$20&gt;='01_Input'!$R$57,EX$20&lt;'01_Input'!$S$57),'01_Input'!$U$57,0),MAX(MIN(EX$20,'01_Input'!$S$57)-'01_Input'!$R$57,0)*'01_Input'!$U$57))+IF('01_Input'!$X$57="Forfait",IF(EX$20&gt;='01_Input'!$V$57,'01_Input'!$Y$57,0),IF('01_Input'!$X$57="Palier",IF(AND(EX$20&gt;='01_Input'!$V$57,EX$20&lt;'01_Input'!$W$57),'01_Input'!$Y$57,0),MAX(MIN(EX$20,'01_Input'!$W$57)-'01_Input'!$V$57,0)*'01_Input'!$Y$57))+IF('01_Input'!$AB$57="Forfait",IF(EX$20&gt;='01_Input'!$Z$57,'01_Input'!$AC$57,0),IF('01_Input'!$AB$57="Palier",IF(AND(EX$20&gt;='01_Input'!$Z$57,EX$20&lt;'01_Input'!$AA$57),'01_Input'!$AC$57,0),MAX(MIN(EX$20,'01_Input'!$AA$57)-'01_Input'!$Z$57,0)*'01_Input'!$AC$57)))))))))</f>
        <v>50000</v>
      </c>
    </row>
    <row r="26" ht="15.75" customHeight="1">
      <c r="B26" s="68" t="str">
        <f>IF('01_Input'!D58="","(inactif)",'01_Input'!D58)</f>
        <v>Commissaire aux Comptes</v>
      </c>
      <c r="C26" s="68" t="str">
        <f>IF('01_Input'!E58="","",'01_Input'!E58)</f>
        <v>CAC</v>
      </c>
      <c r="D26" s="86" t="str">
        <f>'01_Input'!C58</f>
        <v>Oui</v>
      </c>
      <c r="E26" s="83">
        <f>IF('01_Input'!$C$58="Non",0,MIN('01_Input'!$I$58,MAX('01_Input'!$H$58,IF('01_Input'!$G$58="Résiduel vs Gestion",0,IF('01_Input'!$G$58="Taux Classe sélectionnée",Distrib_Global_Classe_Selectionnee*E$20,IF('01_Input'!$G$58="Frais KYC (paliers de 100M€)",MAX(0,Nb_Investisseurs-Nb_KYC_Gratuites_Par_Tranche*(FLOOR(E$20/Taille_Tranche_KYC,1)+1))*Cout_Par_KYC_Supplementaire,(IF('01_Input'!$L$58="Forfait",IF(E$20&gt;='01_Input'!$J$58,'01_Input'!$M$58,0),IF('01_Input'!$L$58="Palier",IF(AND(E$20&gt;='01_Input'!$J$58,E$20&lt;'01_Input'!$K$58),'01_Input'!$M$58,0),MAX(MIN(E$20,'01_Input'!$K$58)-'01_Input'!$J$58,0)*'01_Input'!$M$58))+IF('01_Input'!$P$58="Forfait",IF(E$20&gt;='01_Input'!$N$58,'01_Input'!$Q$58,0),IF('01_Input'!$P$58="Palier",IF(AND(E$20&gt;='01_Input'!$N$58,E$20&lt;'01_Input'!$O$58),'01_Input'!$Q$58,0),MAX(MIN(E$20,'01_Input'!$O$58)-'01_Input'!$N$58,0)*'01_Input'!$Q$58))+IF('01_Input'!$T$58="Forfait",IF(E$20&gt;='01_Input'!$R$58,'01_Input'!$U$58,0),IF('01_Input'!$T$58="Palier",IF(AND(E$20&gt;='01_Input'!$R$58,E$20&lt;'01_Input'!$S$58),'01_Input'!$U$58,0),MAX(MIN(E$20,'01_Input'!$S$58)-'01_Input'!$R$58,0)*'01_Input'!$U$58))+IF('01_Input'!$X$58="Forfait",IF(E$20&gt;='01_Input'!$V$58,'01_Input'!$Y$58,0),IF('01_Input'!$X$58="Palier",IF(AND(E$20&gt;='01_Input'!$V$58,E$20&lt;'01_Input'!$W$58),'01_Input'!$Y$58,0),MAX(MIN(E$20,'01_Input'!$W$58)-'01_Input'!$V$58,0)*'01_Input'!$Y$58))+IF('01_Input'!$AB$58="Forfait",IF(E$20&gt;='01_Input'!$Z$58,'01_Input'!$AC$58,0),IF('01_Input'!$AB$58="Palier",IF(AND(E$20&gt;='01_Input'!$Z$58,E$20&lt;'01_Input'!$AA$58),'01_Input'!$AC$58,0),MAX(MIN(E$20,'01_Input'!$AA$58)-'01_Input'!$Z$58,0)*'01_Input'!$AC$58)))))))))</f>
        <v>5500</v>
      </c>
      <c r="F26" s="83">
        <f>IF('01_Input'!$C$58="Non",0,MIN('01_Input'!$I$58,MAX('01_Input'!$H$58,IF('01_Input'!$G$58="Résiduel vs Gestion",0,IF('01_Input'!$G$58="Taux Classe sélectionnée",Distrib_Global_Classe_Selectionnee*F$20,IF('01_Input'!$G$58="Frais KYC (paliers de 100M€)",MAX(0,Nb_Investisseurs-Nb_KYC_Gratuites_Par_Tranche*(FLOOR(F$20/Taille_Tranche_KYC,1)+1))*Cout_Par_KYC_Supplementaire,(IF('01_Input'!$L$58="Forfait",IF(F$20&gt;='01_Input'!$J$58,'01_Input'!$M$58,0),IF('01_Input'!$L$58="Palier",IF(AND(F$20&gt;='01_Input'!$J$58,F$20&lt;'01_Input'!$K$58),'01_Input'!$M$58,0),MAX(MIN(F$20,'01_Input'!$K$58)-'01_Input'!$J$58,0)*'01_Input'!$M$58))+IF('01_Input'!$P$58="Forfait",IF(F$20&gt;='01_Input'!$N$58,'01_Input'!$Q$58,0),IF('01_Input'!$P$58="Palier",IF(AND(F$20&gt;='01_Input'!$N$58,F$20&lt;'01_Input'!$O$58),'01_Input'!$Q$58,0),MAX(MIN(F$20,'01_Input'!$O$58)-'01_Input'!$N$58,0)*'01_Input'!$Q$58))+IF('01_Input'!$T$58="Forfait",IF(F$20&gt;='01_Input'!$R$58,'01_Input'!$U$58,0),IF('01_Input'!$T$58="Palier",IF(AND(F$20&gt;='01_Input'!$R$58,F$20&lt;'01_Input'!$S$58),'01_Input'!$U$58,0),MAX(MIN(F$20,'01_Input'!$S$58)-'01_Input'!$R$58,0)*'01_Input'!$U$58))+IF('01_Input'!$X$58="Forfait",IF(F$20&gt;='01_Input'!$V$58,'01_Input'!$Y$58,0),IF('01_Input'!$X$58="Palier",IF(AND(F$20&gt;='01_Input'!$V$58,F$20&lt;'01_Input'!$W$58),'01_Input'!$Y$58,0),MAX(MIN(F$20,'01_Input'!$W$58)-'01_Input'!$V$58,0)*'01_Input'!$Y$58))+IF('01_Input'!$AB$58="Forfait",IF(F$20&gt;='01_Input'!$Z$58,'01_Input'!$AC$58,0),IF('01_Input'!$AB$58="Palier",IF(AND(F$20&gt;='01_Input'!$Z$58,F$20&lt;'01_Input'!$AA$58),'01_Input'!$AC$58,0),MAX(MIN(F$20,'01_Input'!$AA$58)-'01_Input'!$Z$58,0)*'01_Input'!$AC$58)))))))))</f>
        <v>5500</v>
      </c>
      <c r="G26" s="83">
        <f>IF('01_Input'!$C$58="Non",0,MIN('01_Input'!$I$58,MAX('01_Input'!$H$58,IF('01_Input'!$G$58="Résiduel vs Gestion",0,IF('01_Input'!$G$58="Taux Classe sélectionnée",Distrib_Global_Classe_Selectionnee*G$20,IF('01_Input'!$G$58="Frais KYC (paliers de 100M€)",MAX(0,Nb_Investisseurs-Nb_KYC_Gratuites_Par_Tranche*(FLOOR(G$20/Taille_Tranche_KYC,1)+1))*Cout_Par_KYC_Supplementaire,(IF('01_Input'!$L$58="Forfait",IF(G$20&gt;='01_Input'!$J$58,'01_Input'!$M$58,0),IF('01_Input'!$L$58="Palier",IF(AND(G$20&gt;='01_Input'!$J$58,G$20&lt;'01_Input'!$K$58),'01_Input'!$M$58,0),MAX(MIN(G$20,'01_Input'!$K$58)-'01_Input'!$J$58,0)*'01_Input'!$M$58))+IF('01_Input'!$P$58="Forfait",IF(G$20&gt;='01_Input'!$N$58,'01_Input'!$Q$58,0),IF('01_Input'!$P$58="Palier",IF(AND(G$20&gt;='01_Input'!$N$58,G$20&lt;'01_Input'!$O$58),'01_Input'!$Q$58,0),MAX(MIN(G$20,'01_Input'!$O$58)-'01_Input'!$N$58,0)*'01_Input'!$Q$58))+IF('01_Input'!$T$58="Forfait",IF(G$20&gt;='01_Input'!$R$58,'01_Input'!$U$58,0),IF('01_Input'!$T$58="Palier",IF(AND(G$20&gt;='01_Input'!$R$58,G$20&lt;'01_Input'!$S$58),'01_Input'!$U$58,0),MAX(MIN(G$20,'01_Input'!$S$58)-'01_Input'!$R$58,0)*'01_Input'!$U$58))+IF('01_Input'!$X$58="Forfait",IF(G$20&gt;='01_Input'!$V$58,'01_Input'!$Y$58,0),IF('01_Input'!$X$58="Palier",IF(AND(G$20&gt;='01_Input'!$V$58,G$20&lt;'01_Input'!$W$58),'01_Input'!$Y$58,0),MAX(MIN(G$20,'01_Input'!$W$58)-'01_Input'!$V$58,0)*'01_Input'!$Y$58))+IF('01_Input'!$AB$58="Forfait",IF(G$20&gt;='01_Input'!$Z$58,'01_Input'!$AC$58,0),IF('01_Input'!$AB$58="Palier",IF(AND(G$20&gt;='01_Input'!$Z$58,G$20&lt;'01_Input'!$AA$58),'01_Input'!$AC$58,0),MAX(MIN(G$20,'01_Input'!$AA$58)-'01_Input'!$Z$58,0)*'01_Input'!$AC$58)))))))))</f>
        <v>5500</v>
      </c>
      <c r="H26" s="83">
        <f>IF('01_Input'!$C$58="Non",0,MIN('01_Input'!$I$58,MAX('01_Input'!$H$58,IF('01_Input'!$G$58="Résiduel vs Gestion",0,IF('01_Input'!$G$58="Taux Classe sélectionnée",Distrib_Global_Classe_Selectionnee*H$20,IF('01_Input'!$G$58="Frais KYC (paliers de 100M€)",MAX(0,Nb_Investisseurs-Nb_KYC_Gratuites_Par_Tranche*(FLOOR(H$20/Taille_Tranche_KYC,1)+1))*Cout_Par_KYC_Supplementaire,(IF('01_Input'!$L$58="Forfait",IF(H$20&gt;='01_Input'!$J$58,'01_Input'!$M$58,0),IF('01_Input'!$L$58="Palier",IF(AND(H$20&gt;='01_Input'!$J$58,H$20&lt;'01_Input'!$K$58),'01_Input'!$M$58,0),MAX(MIN(H$20,'01_Input'!$K$58)-'01_Input'!$J$58,0)*'01_Input'!$M$58))+IF('01_Input'!$P$58="Forfait",IF(H$20&gt;='01_Input'!$N$58,'01_Input'!$Q$58,0),IF('01_Input'!$P$58="Palier",IF(AND(H$20&gt;='01_Input'!$N$58,H$20&lt;'01_Input'!$O$58),'01_Input'!$Q$58,0),MAX(MIN(H$20,'01_Input'!$O$58)-'01_Input'!$N$58,0)*'01_Input'!$Q$58))+IF('01_Input'!$T$58="Forfait",IF(H$20&gt;='01_Input'!$R$58,'01_Input'!$U$58,0),IF('01_Input'!$T$58="Palier",IF(AND(H$20&gt;='01_Input'!$R$58,H$20&lt;'01_Input'!$S$58),'01_Input'!$U$58,0),MAX(MIN(H$20,'01_Input'!$S$58)-'01_Input'!$R$58,0)*'01_Input'!$U$58))+IF('01_Input'!$X$58="Forfait",IF(H$20&gt;='01_Input'!$V$58,'01_Input'!$Y$58,0),IF('01_Input'!$X$58="Palier",IF(AND(H$20&gt;='01_Input'!$V$58,H$20&lt;'01_Input'!$W$58),'01_Input'!$Y$58,0),MAX(MIN(H$20,'01_Input'!$W$58)-'01_Input'!$V$58,0)*'01_Input'!$Y$58))+IF('01_Input'!$AB$58="Forfait",IF(H$20&gt;='01_Input'!$Z$58,'01_Input'!$AC$58,0),IF('01_Input'!$AB$58="Palier",IF(AND(H$20&gt;='01_Input'!$Z$58,H$20&lt;'01_Input'!$AA$58),'01_Input'!$AC$58,0),MAX(MIN(H$20,'01_Input'!$AA$58)-'01_Input'!$Z$58,0)*'01_Input'!$AC$58)))))))))</f>
        <v>5500</v>
      </c>
      <c r="I26" s="83">
        <f>IF('01_Input'!$C$58="Non",0,MIN('01_Input'!$I$58,MAX('01_Input'!$H$58,IF('01_Input'!$G$58="Résiduel vs Gestion",0,IF('01_Input'!$G$58="Taux Classe sélectionnée",Distrib_Global_Classe_Selectionnee*I$20,IF('01_Input'!$G$58="Frais KYC (paliers de 100M€)",MAX(0,Nb_Investisseurs-Nb_KYC_Gratuites_Par_Tranche*(FLOOR(I$20/Taille_Tranche_KYC,1)+1))*Cout_Par_KYC_Supplementaire,(IF('01_Input'!$L$58="Forfait",IF(I$20&gt;='01_Input'!$J$58,'01_Input'!$M$58,0),IF('01_Input'!$L$58="Palier",IF(AND(I$20&gt;='01_Input'!$J$58,I$20&lt;'01_Input'!$K$58),'01_Input'!$M$58,0),MAX(MIN(I$20,'01_Input'!$K$58)-'01_Input'!$J$58,0)*'01_Input'!$M$58))+IF('01_Input'!$P$58="Forfait",IF(I$20&gt;='01_Input'!$N$58,'01_Input'!$Q$58,0),IF('01_Input'!$P$58="Palier",IF(AND(I$20&gt;='01_Input'!$N$58,I$20&lt;'01_Input'!$O$58),'01_Input'!$Q$58,0),MAX(MIN(I$20,'01_Input'!$O$58)-'01_Input'!$N$58,0)*'01_Input'!$Q$58))+IF('01_Input'!$T$58="Forfait",IF(I$20&gt;='01_Input'!$R$58,'01_Input'!$U$58,0),IF('01_Input'!$T$58="Palier",IF(AND(I$20&gt;='01_Input'!$R$58,I$20&lt;'01_Input'!$S$58),'01_Input'!$U$58,0),MAX(MIN(I$20,'01_Input'!$S$58)-'01_Input'!$R$58,0)*'01_Input'!$U$58))+IF('01_Input'!$X$58="Forfait",IF(I$20&gt;='01_Input'!$V$58,'01_Input'!$Y$58,0),IF('01_Input'!$X$58="Palier",IF(AND(I$20&gt;='01_Input'!$V$58,I$20&lt;'01_Input'!$W$58),'01_Input'!$Y$58,0),MAX(MIN(I$20,'01_Input'!$W$58)-'01_Input'!$V$58,0)*'01_Input'!$Y$58))+IF('01_Input'!$AB$58="Forfait",IF(I$20&gt;='01_Input'!$Z$58,'01_Input'!$AC$58,0),IF('01_Input'!$AB$58="Palier",IF(AND(I$20&gt;='01_Input'!$Z$58,I$20&lt;'01_Input'!$AA$58),'01_Input'!$AC$58,0),MAX(MIN(I$20,'01_Input'!$AA$58)-'01_Input'!$Z$58,0)*'01_Input'!$AC$58)))))))))</f>
        <v>5500</v>
      </c>
      <c r="J26" s="83">
        <f>IF('01_Input'!$C$58="Non",0,MIN('01_Input'!$I$58,MAX('01_Input'!$H$58,IF('01_Input'!$G$58="Résiduel vs Gestion",0,IF('01_Input'!$G$58="Taux Classe sélectionnée",Distrib_Global_Classe_Selectionnee*J$20,IF('01_Input'!$G$58="Frais KYC (paliers de 100M€)",MAX(0,Nb_Investisseurs-Nb_KYC_Gratuites_Par_Tranche*(FLOOR(J$20/Taille_Tranche_KYC,1)+1))*Cout_Par_KYC_Supplementaire,(IF('01_Input'!$L$58="Forfait",IF(J$20&gt;='01_Input'!$J$58,'01_Input'!$M$58,0),IF('01_Input'!$L$58="Palier",IF(AND(J$20&gt;='01_Input'!$J$58,J$20&lt;'01_Input'!$K$58),'01_Input'!$M$58,0),MAX(MIN(J$20,'01_Input'!$K$58)-'01_Input'!$J$58,0)*'01_Input'!$M$58))+IF('01_Input'!$P$58="Forfait",IF(J$20&gt;='01_Input'!$N$58,'01_Input'!$Q$58,0),IF('01_Input'!$P$58="Palier",IF(AND(J$20&gt;='01_Input'!$N$58,J$20&lt;'01_Input'!$O$58),'01_Input'!$Q$58,0),MAX(MIN(J$20,'01_Input'!$O$58)-'01_Input'!$N$58,0)*'01_Input'!$Q$58))+IF('01_Input'!$T$58="Forfait",IF(J$20&gt;='01_Input'!$R$58,'01_Input'!$U$58,0),IF('01_Input'!$T$58="Palier",IF(AND(J$20&gt;='01_Input'!$R$58,J$20&lt;'01_Input'!$S$58),'01_Input'!$U$58,0),MAX(MIN(J$20,'01_Input'!$S$58)-'01_Input'!$R$58,0)*'01_Input'!$U$58))+IF('01_Input'!$X$58="Forfait",IF(J$20&gt;='01_Input'!$V$58,'01_Input'!$Y$58,0),IF('01_Input'!$X$58="Palier",IF(AND(J$20&gt;='01_Input'!$V$58,J$20&lt;'01_Input'!$W$58),'01_Input'!$Y$58,0),MAX(MIN(J$20,'01_Input'!$W$58)-'01_Input'!$V$58,0)*'01_Input'!$Y$58))+IF('01_Input'!$AB$58="Forfait",IF(J$20&gt;='01_Input'!$Z$58,'01_Input'!$AC$58,0),IF('01_Input'!$AB$58="Palier",IF(AND(J$20&gt;='01_Input'!$Z$58,J$20&lt;'01_Input'!$AA$58),'01_Input'!$AC$58,0),MAX(MIN(J$20,'01_Input'!$AA$58)-'01_Input'!$Z$58,0)*'01_Input'!$AC$58)))))))))</f>
        <v>5500</v>
      </c>
      <c r="K26" s="83">
        <f>IF('01_Input'!$C$58="Non",0,MIN('01_Input'!$I$58,MAX('01_Input'!$H$58,IF('01_Input'!$G$58="Résiduel vs Gestion",0,IF('01_Input'!$G$58="Taux Classe sélectionnée",Distrib_Global_Classe_Selectionnee*K$20,IF('01_Input'!$G$58="Frais KYC (paliers de 100M€)",MAX(0,Nb_Investisseurs-Nb_KYC_Gratuites_Par_Tranche*(FLOOR(K$20/Taille_Tranche_KYC,1)+1))*Cout_Par_KYC_Supplementaire,(IF('01_Input'!$L$58="Forfait",IF(K$20&gt;='01_Input'!$J$58,'01_Input'!$M$58,0),IF('01_Input'!$L$58="Palier",IF(AND(K$20&gt;='01_Input'!$J$58,K$20&lt;'01_Input'!$K$58),'01_Input'!$M$58,0),MAX(MIN(K$20,'01_Input'!$K$58)-'01_Input'!$J$58,0)*'01_Input'!$M$58))+IF('01_Input'!$P$58="Forfait",IF(K$20&gt;='01_Input'!$N$58,'01_Input'!$Q$58,0),IF('01_Input'!$P$58="Palier",IF(AND(K$20&gt;='01_Input'!$N$58,K$20&lt;'01_Input'!$O$58),'01_Input'!$Q$58,0),MAX(MIN(K$20,'01_Input'!$O$58)-'01_Input'!$N$58,0)*'01_Input'!$Q$58))+IF('01_Input'!$T$58="Forfait",IF(K$20&gt;='01_Input'!$R$58,'01_Input'!$U$58,0),IF('01_Input'!$T$58="Palier",IF(AND(K$20&gt;='01_Input'!$R$58,K$20&lt;'01_Input'!$S$58),'01_Input'!$U$58,0),MAX(MIN(K$20,'01_Input'!$S$58)-'01_Input'!$R$58,0)*'01_Input'!$U$58))+IF('01_Input'!$X$58="Forfait",IF(K$20&gt;='01_Input'!$V$58,'01_Input'!$Y$58,0),IF('01_Input'!$X$58="Palier",IF(AND(K$20&gt;='01_Input'!$V$58,K$20&lt;'01_Input'!$W$58),'01_Input'!$Y$58,0),MAX(MIN(K$20,'01_Input'!$W$58)-'01_Input'!$V$58,0)*'01_Input'!$Y$58))+IF('01_Input'!$AB$58="Forfait",IF(K$20&gt;='01_Input'!$Z$58,'01_Input'!$AC$58,0),IF('01_Input'!$AB$58="Palier",IF(AND(K$20&gt;='01_Input'!$Z$58,K$20&lt;'01_Input'!$AA$58),'01_Input'!$AC$58,0),MAX(MIN(K$20,'01_Input'!$AA$58)-'01_Input'!$Z$58,0)*'01_Input'!$AC$58)))))))))</f>
        <v>5500</v>
      </c>
      <c r="L26" s="83">
        <f>IF('01_Input'!$C$58="Non",0,MIN('01_Input'!$I$58,MAX('01_Input'!$H$58,IF('01_Input'!$G$58="Résiduel vs Gestion",0,IF('01_Input'!$G$58="Taux Classe sélectionnée",Distrib_Global_Classe_Selectionnee*L$20,IF('01_Input'!$G$58="Frais KYC (paliers de 100M€)",MAX(0,Nb_Investisseurs-Nb_KYC_Gratuites_Par_Tranche*(FLOOR(L$20/Taille_Tranche_KYC,1)+1))*Cout_Par_KYC_Supplementaire,(IF('01_Input'!$L$58="Forfait",IF(L$20&gt;='01_Input'!$J$58,'01_Input'!$M$58,0),IF('01_Input'!$L$58="Palier",IF(AND(L$20&gt;='01_Input'!$J$58,L$20&lt;'01_Input'!$K$58),'01_Input'!$M$58,0),MAX(MIN(L$20,'01_Input'!$K$58)-'01_Input'!$J$58,0)*'01_Input'!$M$58))+IF('01_Input'!$P$58="Forfait",IF(L$20&gt;='01_Input'!$N$58,'01_Input'!$Q$58,0),IF('01_Input'!$P$58="Palier",IF(AND(L$20&gt;='01_Input'!$N$58,L$20&lt;'01_Input'!$O$58),'01_Input'!$Q$58,0),MAX(MIN(L$20,'01_Input'!$O$58)-'01_Input'!$N$58,0)*'01_Input'!$Q$58))+IF('01_Input'!$T$58="Forfait",IF(L$20&gt;='01_Input'!$R$58,'01_Input'!$U$58,0),IF('01_Input'!$T$58="Palier",IF(AND(L$20&gt;='01_Input'!$R$58,L$20&lt;'01_Input'!$S$58),'01_Input'!$U$58,0),MAX(MIN(L$20,'01_Input'!$S$58)-'01_Input'!$R$58,0)*'01_Input'!$U$58))+IF('01_Input'!$X$58="Forfait",IF(L$20&gt;='01_Input'!$V$58,'01_Input'!$Y$58,0),IF('01_Input'!$X$58="Palier",IF(AND(L$20&gt;='01_Input'!$V$58,L$20&lt;'01_Input'!$W$58),'01_Input'!$Y$58,0),MAX(MIN(L$20,'01_Input'!$W$58)-'01_Input'!$V$58,0)*'01_Input'!$Y$58))+IF('01_Input'!$AB$58="Forfait",IF(L$20&gt;='01_Input'!$Z$58,'01_Input'!$AC$58,0),IF('01_Input'!$AB$58="Palier",IF(AND(L$20&gt;='01_Input'!$Z$58,L$20&lt;'01_Input'!$AA$58),'01_Input'!$AC$58,0),MAX(MIN(L$20,'01_Input'!$AA$58)-'01_Input'!$Z$58,0)*'01_Input'!$AC$58)))))))))</f>
        <v>5500</v>
      </c>
      <c r="M26" s="83">
        <f>IF('01_Input'!$C$58="Non",0,MIN('01_Input'!$I$58,MAX('01_Input'!$H$58,IF('01_Input'!$G$58="Résiduel vs Gestion",0,IF('01_Input'!$G$58="Taux Classe sélectionnée",Distrib_Global_Classe_Selectionnee*M$20,IF('01_Input'!$G$58="Frais KYC (paliers de 100M€)",MAX(0,Nb_Investisseurs-Nb_KYC_Gratuites_Par_Tranche*(FLOOR(M$20/Taille_Tranche_KYC,1)+1))*Cout_Par_KYC_Supplementaire,(IF('01_Input'!$L$58="Forfait",IF(M$20&gt;='01_Input'!$J$58,'01_Input'!$M$58,0),IF('01_Input'!$L$58="Palier",IF(AND(M$20&gt;='01_Input'!$J$58,M$20&lt;'01_Input'!$K$58),'01_Input'!$M$58,0),MAX(MIN(M$20,'01_Input'!$K$58)-'01_Input'!$J$58,0)*'01_Input'!$M$58))+IF('01_Input'!$P$58="Forfait",IF(M$20&gt;='01_Input'!$N$58,'01_Input'!$Q$58,0),IF('01_Input'!$P$58="Palier",IF(AND(M$20&gt;='01_Input'!$N$58,M$20&lt;'01_Input'!$O$58),'01_Input'!$Q$58,0),MAX(MIN(M$20,'01_Input'!$O$58)-'01_Input'!$N$58,0)*'01_Input'!$Q$58))+IF('01_Input'!$T$58="Forfait",IF(M$20&gt;='01_Input'!$R$58,'01_Input'!$U$58,0),IF('01_Input'!$T$58="Palier",IF(AND(M$20&gt;='01_Input'!$R$58,M$20&lt;'01_Input'!$S$58),'01_Input'!$U$58,0),MAX(MIN(M$20,'01_Input'!$S$58)-'01_Input'!$R$58,0)*'01_Input'!$U$58))+IF('01_Input'!$X$58="Forfait",IF(M$20&gt;='01_Input'!$V$58,'01_Input'!$Y$58,0),IF('01_Input'!$X$58="Palier",IF(AND(M$20&gt;='01_Input'!$V$58,M$20&lt;'01_Input'!$W$58),'01_Input'!$Y$58,0),MAX(MIN(M$20,'01_Input'!$W$58)-'01_Input'!$V$58,0)*'01_Input'!$Y$58))+IF('01_Input'!$AB$58="Forfait",IF(M$20&gt;='01_Input'!$Z$58,'01_Input'!$AC$58,0),IF('01_Input'!$AB$58="Palier",IF(AND(M$20&gt;='01_Input'!$Z$58,M$20&lt;'01_Input'!$AA$58),'01_Input'!$AC$58,0),MAX(MIN(M$20,'01_Input'!$AA$58)-'01_Input'!$Z$58,0)*'01_Input'!$AC$58)))))))))</f>
        <v>5500</v>
      </c>
      <c r="N26" s="83">
        <f>IF('01_Input'!$C$58="Non",0,MIN('01_Input'!$I$58,MAX('01_Input'!$H$58,IF('01_Input'!$G$58="Résiduel vs Gestion",0,IF('01_Input'!$G$58="Taux Classe sélectionnée",Distrib_Global_Classe_Selectionnee*N$20,IF('01_Input'!$G$58="Frais KYC (paliers de 100M€)",MAX(0,Nb_Investisseurs-Nb_KYC_Gratuites_Par_Tranche*(FLOOR(N$20/Taille_Tranche_KYC,1)+1))*Cout_Par_KYC_Supplementaire,(IF('01_Input'!$L$58="Forfait",IF(N$20&gt;='01_Input'!$J$58,'01_Input'!$M$58,0),IF('01_Input'!$L$58="Palier",IF(AND(N$20&gt;='01_Input'!$J$58,N$20&lt;'01_Input'!$K$58),'01_Input'!$M$58,0),MAX(MIN(N$20,'01_Input'!$K$58)-'01_Input'!$J$58,0)*'01_Input'!$M$58))+IF('01_Input'!$P$58="Forfait",IF(N$20&gt;='01_Input'!$N$58,'01_Input'!$Q$58,0),IF('01_Input'!$P$58="Palier",IF(AND(N$20&gt;='01_Input'!$N$58,N$20&lt;'01_Input'!$O$58),'01_Input'!$Q$58,0),MAX(MIN(N$20,'01_Input'!$O$58)-'01_Input'!$N$58,0)*'01_Input'!$Q$58))+IF('01_Input'!$T$58="Forfait",IF(N$20&gt;='01_Input'!$R$58,'01_Input'!$U$58,0),IF('01_Input'!$T$58="Palier",IF(AND(N$20&gt;='01_Input'!$R$58,N$20&lt;'01_Input'!$S$58),'01_Input'!$U$58,0),MAX(MIN(N$20,'01_Input'!$S$58)-'01_Input'!$R$58,0)*'01_Input'!$U$58))+IF('01_Input'!$X$58="Forfait",IF(N$20&gt;='01_Input'!$V$58,'01_Input'!$Y$58,0),IF('01_Input'!$X$58="Palier",IF(AND(N$20&gt;='01_Input'!$V$58,N$20&lt;'01_Input'!$W$58),'01_Input'!$Y$58,0),MAX(MIN(N$20,'01_Input'!$W$58)-'01_Input'!$V$58,0)*'01_Input'!$Y$58))+IF('01_Input'!$AB$58="Forfait",IF(N$20&gt;='01_Input'!$Z$58,'01_Input'!$AC$58,0),IF('01_Input'!$AB$58="Palier",IF(AND(N$20&gt;='01_Input'!$Z$58,N$20&lt;'01_Input'!$AA$58),'01_Input'!$AC$58,0),MAX(MIN(N$20,'01_Input'!$AA$58)-'01_Input'!$Z$58,0)*'01_Input'!$AC$58)))))))))</f>
        <v>5500</v>
      </c>
      <c r="O26" s="83">
        <f>IF('01_Input'!$C$58="Non",0,MIN('01_Input'!$I$58,MAX('01_Input'!$H$58,IF('01_Input'!$G$58="Résiduel vs Gestion",0,IF('01_Input'!$G$58="Taux Classe sélectionnée",Distrib_Global_Classe_Selectionnee*O$20,IF('01_Input'!$G$58="Frais KYC (paliers de 100M€)",MAX(0,Nb_Investisseurs-Nb_KYC_Gratuites_Par_Tranche*(FLOOR(O$20/Taille_Tranche_KYC,1)+1))*Cout_Par_KYC_Supplementaire,(IF('01_Input'!$L$58="Forfait",IF(O$20&gt;='01_Input'!$J$58,'01_Input'!$M$58,0),IF('01_Input'!$L$58="Palier",IF(AND(O$20&gt;='01_Input'!$J$58,O$20&lt;'01_Input'!$K$58),'01_Input'!$M$58,0),MAX(MIN(O$20,'01_Input'!$K$58)-'01_Input'!$J$58,0)*'01_Input'!$M$58))+IF('01_Input'!$P$58="Forfait",IF(O$20&gt;='01_Input'!$N$58,'01_Input'!$Q$58,0),IF('01_Input'!$P$58="Palier",IF(AND(O$20&gt;='01_Input'!$N$58,O$20&lt;'01_Input'!$O$58),'01_Input'!$Q$58,0),MAX(MIN(O$20,'01_Input'!$O$58)-'01_Input'!$N$58,0)*'01_Input'!$Q$58))+IF('01_Input'!$T$58="Forfait",IF(O$20&gt;='01_Input'!$R$58,'01_Input'!$U$58,0),IF('01_Input'!$T$58="Palier",IF(AND(O$20&gt;='01_Input'!$R$58,O$20&lt;'01_Input'!$S$58),'01_Input'!$U$58,0),MAX(MIN(O$20,'01_Input'!$S$58)-'01_Input'!$R$58,0)*'01_Input'!$U$58))+IF('01_Input'!$X$58="Forfait",IF(O$20&gt;='01_Input'!$V$58,'01_Input'!$Y$58,0),IF('01_Input'!$X$58="Palier",IF(AND(O$20&gt;='01_Input'!$V$58,O$20&lt;'01_Input'!$W$58),'01_Input'!$Y$58,0),MAX(MIN(O$20,'01_Input'!$W$58)-'01_Input'!$V$58,0)*'01_Input'!$Y$58))+IF('01_Input'!$AB$58="Forfait",IF(O$20&gt;='01_Input'!$Z$58,'01_Input'!$AC$58,0),IF('01_Input'!$AB$58="Palier",IF(AND(O$20&gt;='01_Input'!$Z$58,O$20&lt;'01_Input'!$AA$58),'01_Input'!$AC$58,0),MAX(MIN(O$20,'01_Input'!$AA$58)-'01_Input'!$Z$58,0)*'01_Input'!$AC$58)))))))))</f>
        <v>5500</v>
      </c>
      <c r="P26" s="83">
        <f>IF('01_Input'!$C$58="Non",0,MIN('01_Input'!$I$58,MAX('01_Input'!$H$58,IF('01_Input'!$G$58="Résiduel vs Gestion",0,IF('01_Input'!$G$58="Taux Classe sélectionnée",Distrib_Global_Classe_Selectionnee*P$20,IF('01_Input'!$G$58="Frais KYC (paliers de 100M€)",MAX(0,Nb_Investisseurs-Nb_KYC_Gratuites_Par_Tranche*(FLOOR(P$20/Taille_Tranche_KYC,1)+1))*Cout_Par_KYC_Supplementaire,(IF('01_Input'!$L$58="Forfait",IF(P$20&gt;='01_Input'!$J$58,'01_Input'!$M$58,0),IF('01_Input'!$L$58="Palier",IF(AND(P$20&gt;='01_Input'!$J$58,P$20&lt;'01_Input'!$K$58),'01_Input'!$M$58,0),MAX(MIN(P$20,'01_Input'!$K$58)-'01_Input'!$J$58,0)*'01_Input'!$M$58))+IF('01_Input'!$P$58="Forfait",IF(P$20&gt;='01_Input'!$N$58,'01_Input'!$Q$58,0),IF('01_Input'!$P$58="Palier",IF(AND(P$20&gt;='01_Input'!$N$58,P$20&lt;'01_Input'!$O$58),'01_Input'!$Q$58,0),MAX(MIN(P$20,'01_Input'!$O$58)-'01_Input'!$N$58,0)*'01_Input'!$Q$58))+IF('01_Input'!$T$58="Forfait",IF(P$20&gt;='01_Input'!$R$58,'01_Input'!$U$58,0),IF('01_Input'!$T$58="Palier",IF(AND(P$20&gt;='01_Input'!$R$58,P$20&lt;'01_Input'!$S$58),'01_Input'!$U$58,0),MAX(MIN(P$20,'01_Input'!$S$58)-'01_Input'!$R$58,0)*'01_Input'!$U$58))+IF('01_Input'!$X$58="Forfait",IF(P$20&gt;='01_Input'!$V$58,'01_Input'!$Y$58,0),IF('01_Input'!$X$58="Palier",IF(AND(P$20&gt;='01_Input'!$V$58,P$20&lt;'01_Input'!$W$58),'01_Input'!$Y$58,0),MAX(MIN(P$20,'01_Input'!$W$58)-'01_Input'!$V$58,0)*'01_Input'!$Y$58))+IF('01_Input'!$AB$58="Forfait",IF(P$20&gt;='01_Input'!$Z$58,'01_Input'!$AC$58,0),IF('01_Input'!$AB$58="Palier",IF(AND(P$20&gt;='01_Input'!$Z$58,P$20&lt;'01_Input'!$AA$58),'01_Input'!$AC$58,0),MAX(MIN(P$20,'01_Input'!$AA$58)-'01_Input'!$Z$58,0)*'01_Input'!$AC$58)))))))))</f>
        <v>5500</v>
      </c>
      <c r="Q26" s="83">
        <f>IF('01_Input'!$C$58="Non",0,MIN('01_Input'!$I$58,MAX('01_Input'!$H$58,IF('01_Input'!$G$58="Résiduel vs Gestion",0,IF('01_Input'!$G$58="Taux Classe sélectionnée",Distrib_Global_Classe_Selectionnee*Q$20,IF('01_Input'!$G$58="Frais KYC (paliers de 100M€)",MAX(0,Nb_Investisseurs-Nb_KYC_Gratuites_Par_Tranche*(FLOOR(Q$20/Taille_Tranche_KYC,1)+1))*Cout_Par_KYC_Supplementaire,(IF('01_Input'!$L$58="Forfait",IF(Q$20&gt;='01_Input'!$J$58,'01_Input'!$M$58,0),IF('01_Input'!$L$58="Palier",IF(AND(Q$20&gt;='01_Input'!$J$58,Q$20&lt;'01_Input'!$K$58),'01_Input'!$M$58,0),MAX(MIN(Q$20,'01_Input'!$K$58)-'01_Input'!$J$58,0)*'01_Input'!$M$58))+IF('01_Input'!$P$58="Forfait",IF(Q$20&gt;='01_Input'!$N$58,'01_Input'!$Q$58,0),IF('01_Input'!$P$58="Palier",IF(AND(Q$20&gt;='01_Input'!$N$58,Q$20&lt;'01_Input'!$O$58),'01_Input'!$Q$58,0),MAX(MIN(Q$20,'01_Input'!$O$58)-'01_Input'!$N$58,0)*'01_Input'!$Q$58))+IF('01_Input'!$T$58="Forfait",IF(Q$20&gt;='01_Input'!$R$58,'01_Input'!$U$58,0),IF('01_Input'!$T$58="Palier",IF(AND(Q$20&gt;='01_Input'!$R$58,Q$20&lt;'01_Input'!$S$58),'01_Input'!$U$58,0),MAX(MIN(Q$20,'01_Input'!$S$58)-'01_Input'!$R$58,0)*'01_Input'!$U$58))+IF('01_Input'!$X$58="Forfait",IF(Q$20&gt;='01_Input'!$V$58,'01_Input'!$Y$58,0),IF('01_Input'!$X$58="Palier",IF(AND(Q$20&gt;='01_Input'!$V$58,Q$20&lt;'01_Input'!$W$58),'01_Input'!$Y$58,0),MAX(MIN(Q$20,'01_Input'!$W$58)-'01_Input'!$V$58,0)*'01_Input'!$Y$58))+IF('01_Input'!$AB$58="Forfait",IF(Q$20&gt;='01_Input'!$Z$58,'01_Input'!$AC$58,0),IF('01_Input'!$AB$58="Palier",IF(AND(Q$20&gt;='01_Input'!$Z$58,Q$20&lt;'01_Input'!$AA$58),'01_Input'!$AC$58,0),MAX(MIN(Q$20,'01_Input'!$AA$58)-'01_Input'!$Z$58,0)*'01_Input'!$AC$58)))))))))</f>
        <v>5500</v>
      </c>
      <c r="R26" s="83">
        <f>IF('01_Input'!$C$58="Non",0,MIN('01_Input'!$I$58,MAX('01_Input'!$H$58,IF('01_Input'!$G$58="Résiduel vs Gestion",0,IF('01_Input'!$G$58="Taux Classe sélectionnée",Distrib_Global_Classe_Selectionnee*R$20,IF('01_Input'!$G$58="Frais KYC (paliers de 100M€)",MAX(0,Nb_Investisseurs-Nb_KYC_Gratuites_Par_Tranche*(FLOOR(R$20/Taille_Tranche_KYC,1)+1))*Cout_Par_KYC_Supplementaire,(IF('01_Input'!$L$58="Forfait",IF(R$20&gt;='01_Input'!$J$58,'01_Input'!$M$58,0),IF('01_Input'!$L$58="Palier",IF(AND(R$20&gt;='01_Input'!$J$58,R$20&lt;'01_Input'!$K$58),'01_Input'!$M$58,0),MAX(MIN(R$20,'01_Input'!$K$58)-'01_Input'!$J$58,0)*'01_Input'!$M$58))+IF('01_Input'!$P$58="Forfait",IF(R$20&gt;='01_Input'!$N$58,'01_Input'!$Q$58,0),IF('01_Input'!$P$58="Palier",IF(AND(R$20&gt;='01_Input'!$N$58,R$20&lt;'01_Input'!$O$58),'01_Input'!$Q$58,0),MAX(MIN(R$20,'01_Input'!$O$58)-'01_Input'!$N$58,0)*'01_Input'!$Q$58))+IF('01_Input'!$T$58="Forfait",IF(R$20&gt;='01_Input'!$R$58,'01_Input'!$U$58,0),IF('01_Input'!$T$58="Palier",IF(AND(R$20&gt;='01_Input'!$R$58,R$20&lt;'01_Input'!$S$58),'01_Input'!$U$58,0),MAX(MIN(R$20,'01_Input'!$S$58)-'01_Input'!$R$58,0)*'01_Input'!$U$58))+IF('01_Input'!$X$58="Forfait",IF(R$20&gt;='01_Input'!$V$58,'01_Input'!$Y$58,0),IF('01_Input'!$X$58="Palier",IF(AND(R$20&gt;='01_Input'!$V$58,R$20&lt;'01_Input'!$W$58),'01_Input'!$Y$58,0),MAX(MIN(R$20,'01_Input'!$W$58)-'01_Input'!$V$58,0)*'01_Input'!$Y$58))+IF('01_Input'!$AB$58="Forfait",IF(R$20&gt;='01_Input'!$Z$58,'01_Input'!$AC$58,0),IF('01_Input'!$AB$58="Palier",IF(AND(R$20&gt;='01_Input'!$Z$58,R$20&lt;'01_Input'!$AA$58),'01_Input'!$AC$58,0),MAX(MIN(R$20,'01_Input'!$AA$58)-'01_Input'!$Z$58,0)*'01_Input'!$AC$58)))))))))</f>
        <v>5500</v>
      </c>
      <c r="S26" s="83">
        <f>IF('01_Input'!$C$58="Non",0,MIN('01_Input'!$I$58,MAX('01_Input'!$H$58,IF('01_Input'!$G$58="Résiduel vs Gestion",0,IF('01_Input'!$G$58="Taux Classe sélectionnée",Distrib_Global_Classe_Selectionnee*S$20,IF('01_Input'!$G$58="Frais KYC (paliers de 100M€)",MAX(0,Nb_Investisseurs-Nb_KYC_Gratuites_Par_Tranche*(FLOOR(S$20/Taille_Tranche_KYC,1)+1))*Cout_Par_KYC_Supplementaire,(IF('01_Input'!$L$58="Forfait",IF(S$20&gt;='01_Input'!$J$58,'01_Input'!$M$58,0),IF('01_Input'!$L$58="Palier",IF(AND(S$20&gt;='01_Input'!$J$58,S$20&lt;'01_Input'!$K$58),'01_Input'!$M$58,0),MAX(MIN(S$20,'01_Input'!$K$58)-'01_Input'!$J$58,0)*'01_Input'!$M$58))+IF('01_Input'!$P$58="Forfait",IF(S$20&gt;='01_Input'!$N$58,'01_Input'!$Q$58,0),IF('01_Input'!$P$58="Palier",IF(AND(S$20&gt;='01_Input'!$N$58,S$20&lt;'01_Input'!$O$58),'01_Input'!$Q$58,0),MAX(MIN(S$20,'01_Input'!$O$58)-'01_Input'!$N$58,0)*'01_Input'!$Q$58))+IF('01_Input'!$T$58="Forfait",IF(S$20&gt;='01_Input'!$R$58,'01_Input'!$U$58,0),IF('01_Input'!$T$58="Palier",IF(AND(S$20&gt;='01_Input'!$R$58,S$20&lt;'01_Input'!$S$58),'01_Input'!$U$58,0),MAX(MIN(S$20,'01_Input'!$S$58)-'01_Input'!$R$58,0)*'01_Input'!$U$58))+IF('01_Input'!$X$58="Forfait",IF(S$20&gt;='01_Input'!$V$58,'01_Input'!$Y$58,0),IF('01_Input'!$X$58="Palier",IF(AND(S$20&gt;='01_Input'!$V$58,S$20&lt;'01_Input'!$W$58),'01_Input'!$Y$58,0),MAX(MIN(S$20,'01_Input'!$W$58)-'01_Input'!$V$58,0)*'01_Input'!$Y$58))+IF('01_Input'!$AB$58="Forfait",IF(S$20&gt;='01_Input'!$Z$58,'01_Input'!$AC$58,0),IF('01_Input'!$AB$58="Palier",IF(AND(S$20&gt;='01_Input'!$Z$58,S$20&lt;'01_Input'!$AA$58),'01_Input'!$AC$58,0),MAX(MIN(S$20,'01_Input'!$AA$58)-'01_Input'!$Z$58,0)*'01_Input'!$AC$58)))))))))</f>
        <v>5500</v>
      </c>
      <c r="T26" s="83">
        <f>IF('01_Input'!$C$58="Non",0,MIN('01_Input'!$I$58,MAX('01_Input'!$H$58,IF('01_Input'!$G$58="Résiduel vs Gestion",0,IF('01_Input'!$G$58="Taux Classe sélectionnée",Distrib_Global_Classe_Selectionnee*T$20,IF('01_Input'!$G$58="Frais KYC (paliers de 100M€)",MAX(0,Nb_Investisseurs-Nb_KYC_Gratuites_Par_Tranche*(FLOOR(T$20/Taille_Tranche_KYC,1)+1))*Cout_Par_KYC_Supplementaire,(IF('01_Input'!$L$58="Forfait",IF(T$20&gt;='01_Input'!$J$58,'01_Input'!$M$58,0),IF('01_Input'!$L$58="Palier",IF(AND(T$20&gt;='01_Input'!$J$58,T$20&lt;'01_Input'!$K$58),'01_Input'!$M$58,0),MAX(MIN(T$20,'01_Input'!$K$58)-'01_Input'!$J$58,0)*'01_Input'!$M$58))+IF('01_Input'!$P$58="Forfait",IF(T$20&gt;='01_Input'!$N$58,'01_Input'!$Q$58,0),IF('01_Input'!$P$58="Palier",IF(AND(T$20&gt;='01_Input'!$N$58,T$20&lt;'01_Input'!$O$58),'01_Input'!$Q$58,0),MAX(MIN(T$20,'01_Input'!$O$58)-'01_Input'!$N$58,0)*'01_Input'!$Q$58))+IF('01_Input'!$T$58="Forfait",IF(T$20&gt;='01_Input'!$R$58,'01_Input'!$U$58,0),IF('01_Input'!$T$58="Palier",IF(AND(T$20&gt;='01_Input'!$R$58,T$20&lt;'01_Input'!$S$58),'01_Input'!$U$58,0),MAX(MIN(T$20,'01_Input'!$S$58)-'01_Input'!$R$58,0)*'01_Input'!$U$58))+IF('01_Input'!$X$58="Forfait",IF(T$20&gt;='01_Input'!$V$58,'01_Input'!$Y$58,0),IF('01_Input'!$X$58="Palier",IF(AND(T$20&gt;='01_Input'!$V$58,T$20&lt;'01_Input'!$W$58),'01_Input'!$Y$58,0),MAX(MIN(T$20,'01_Input'!$W$58)-'01_Input'!$V$58,0)*'01_Input'!$Y$58))+IF('01_Input'!$AB$58="Forfait",IF(T$20&gt;='01_Input'!$Z$58,'01_Input'!$AC$58,0),IF('01_Input'!$AB$58="Palier",IF(AND(T$20&gt;='01_Input'!$Z$58,T$20&lt;'01_Input'!$AA$58),'01_Input'!$AC$58,0),MAX(MIN(T$20,'01_Input'!$AA$58)-'01_Input'!$Z$58,0)*'01_Input'!$AC$58)))))))))</f>
        <v>5500</v>
      </c>
      <c r="U26" s="83">
        <f>IF('01_Input'!$C$58="Non",0,MIN('01_Input'!$I$58,MAX('01_Input'!$H$58,IF('01_Input'!$G$58="Résiduel vs Gestion",0,IF('01_Input'!$G$58="Taux Classe sélectionnée",Distrib_Global_Classe_Selectionnee*U$20,IF('01_Input'!$G$58="Frais KYC (paliers de 100M€)",MAX(0,Nb_Investisseurs-Nb_KYC_Gratuites_Par_Tranche*(FLOOR(U$20/Taille_Tranche_KYC,1)+1))*Cout_Par_KYC_Supplementaire,(IF('01_Input'!$L$58="Forfait",IF(U$20&gt;='01_Input'!$J$58,'01_Input'!$M$58,0),IF('01_Input'!$L$58="Palier",IF(AND(U$20&gt;='01_Input'!$J$58,U$20&lt;'01_Input'!$K$58),'01_Input'!$M$58,0),MAX(MIN(U$20,'01_Input'!$K$58)-'01_Input'!$J$58,0)*'01_Input'!$M$58))+IF('01_Input'!$P$58="Forfait",IF(U$20&gt;='01_Input'!$N$58,'01_Input'!$Q$58,0),IF('01_Input'!$P$58="Palier",IF(AND(U$20&gt;='01_Input'!$N$58,U$20&lt;'01_Input'!$O$58),'01_Input'!$Q$58,0),MAX(MIN(U$20,'01_Input'!$O$58)-'01_Input'!$N$58,0)*'01_Input'!$Q$58))+IF('01_Input'!$T$58="Forfait",IF(U$20&gt;='01_Input'!$R$58,'01_Input'!$U$58,0),IF('01_Input'!$T$58="Palier",IF(AND(U$20&gt;='01_Input'!$R$58,U$20&lt;'01_Input'!$S$58),'01_Input'!$U$58,0),MAX(MIN(U$20,'01_Input'!$S$58)-'01_Input'!$R$58,0)*'01_Input'!$U$58))+IF('01_Input'!$X$58="Forfait",IF(U$20&gt;='01_Input'!$V$58,'01_Input'!$Y$58,0),IF('01_Input'!$X$58="Palier",IF(AND(U$20&gt;='01_Input'!$V$58,U$20&lt;'01_Input'!$W$58),'01_Input'!$Y$58,0),MAX(MIN(U$20,'01_Input'!$W$58)-'01_Input'!$V$58,0)*'01_Input'!$Y$58))+IF('01_Input'!$AB$58="Forfait",IF(U$20&gt;='01_Input'!$Z$58,'01_Input'!$AC$58,0),IF('01_Input'!$AB$58="Palier",IF(AND(U$20&gt;='01_Input'!$Z$58,U$20&lt;'01_Input'!$AA$58),'01_Input'!$AC$58,0),MAX(MIN(U$20,'01_Input'!$AA$58)-'01_Input'!$Z$58,0)*'01_Input'!$AC$58)))))))))</f>
        <v>5500</v>
      </c>
      <c r="V26" s="83">
        <f>IF('01_Input'!$C$58="Non",0,MIN('01_Input'!$I$58,MAX('01_Input'!$H$58,IF('01_Input'!$G$58="Résiduel vs Gestion",0,IF('01_Input'!$G$58="Taux Classe sélectionnée",Distrib_Global_Classe_Selectionnee*V$20,IF('01_Input'!$G$58="Frais KYC (paliers de 100M€)",MAX(0,Nb_Investisseurs-Nb_KYC_Gratuites_Par_Tranche*(FLOOR(V$20/Taille_Tranche_KYC,1)+1))*Cout_Par_KYC_Supplementaire,(IF('01_Input'!$L$58="Forfait",IF(V$20&gt;='01_Input'!$J$58,'01_Input'!$M$58,0),IF('01_Input'!$L$58="Palier",IF(AND(V$20&gt;='01_Input'!$J$58,V$20&lt;'01_Input'!$K$58),'01_Input'!$M$58,0),MAX(MIN(V$20,'01_Input'!$K$58)-'01_Input'!$J$58,0)*'01_Input'!$M$58))+IF('01_Input'!$P$58="Forfait",IF(V$20&gt;='01_Input'!$N$58,'01_Input'!$Q$58,0),IF('01_Input'!$P$58="Palier",IF(AND(V$20&gt;='01_Input'!$N$58,V$20&lt;'01_Input'!$O$58),'01_Input'!$Q$58,0),MAX(MIN(V$20,'01_Input'!$O$58)-'01_Input'!$N$58,0)*'01_Input'!$Q$58))+IF('01_Input'!$T$58="Forfait",IF(V$20&gt;='01_Input'!$R$58,'01_Input'!$U$58,0),IF('01_Input'!$T$58="Palier",IF(AND(V$20&gt;='01_Input'!$R$58,V$20&lt;'01_Input'!$S$58),'01_Input'!$U$58,0),MAX(MIN(V$20,'01_Input'!$S$58)-'01_Input'!$R$58,0)*'01_Input'!$U$58))+IF('01_Input'!$X$58="Forfait",IF(V$20&gt;='01_Input'!$V$58,'01_Input'!$Y$58,0),IF('01_Input'!$X$58="Palier",IF(AND(V$20&gt;='01_Input'!$V$58,V$20&lt;'01_Input'!$W$58),'01_Input'!$Y$58,0),MAX(MIN(V$20,'01_Input'!$W$58)-'01_Input'!$V$58,0)*'01_Input'!$Y$58))+IF('01_Input'!$AB$58="Forfait",IF(V$20&gt;='01_Input'!$Z$58,'01_Input'!$AC$58,0),IF('01_Input'!$AB$58="Palier",IF(AND(V$20&gt;='01_Input'!$Z$58,V$20&lt;'01_Input'!$AA$58),'01_Input'!$AC$58,0),MAX(MIN(V$20,'01_Input'!$AA$58)-'01_Input'!$Z$58,0)*'01_Input'!$AC$58)))))))))</f>
        <v>5500</v>
      </c>
      <c r="W26" s="83">
        <f>IF('01_Input'!$C$58="Non",0,MIN('01_Input'!$I$58,MAX('01_Input'!$H$58,IF('01_Input'!$G$58="Résiduel vs Gestion",0,IF('01_Input'!$G$58="Taux Classe sélectionnée",Distrib_Global_Classe_Selectionnee*W$20,IF('01_Input'!$G$58="Frais KYC (paliers de 100M€)",MAX(0,Nb_Investisseurs-Nb_KYC_Gratuites_Par_Tranche*(FLOOR(W$20/Taille_Tranche_KYC,1)+1))*Cout_Par_KYC_Supplementaire,(IF('01_Input'!$L$58="Forfait",IF(W$20&gt;='01_Input'!$J$58,'01_Input'!$M$58,0),IF('01_Input'!$L$58="Palier",IF(AND(W$20&gt;='01_Input'!$J$58,W$20&lt;'01_Input'!$K$58),'01_Input'!$M$58,0),MAX(MIN(W$20,'01_Input'!$K$58)-'01_Input'!$J$58,0)*'01_Input'!$M$58))+IF('01_Input'!$P$58="Forfait",IF(W$20&gt;='01_Input'!$N$58,'01_Input'!$Q$58,0),IF('01_Input'!$P$58="Palier",IF(AND(W$20&gt;='01_Input'!$N$58,W$20&lt;'01_Input'!$O$58),'01_Input'!$Q$58,0),MAX(MIN(W$20,'01_Input'!$O$58)-'01_Input'!$N$58,0)*'01_Input'!$Q$58))+IF('01_Input'!$T$58="Forfait",IF(W$20&gt;='01_Input'!$R$58,'01_Input'!$U$58,0),IF('01_Input'!$T$58="Palier",IF(AND(W$20&gt;='01_Input'!$R$58,W$20&lt;'01_Input'!$S$58),'01_Input'!$U$58,0),MAX(MIN(W$20,'01_Input'!$S$58)-'01_Input'!$R$58,0)*'01_Input'!$U$58))+IF('01_Input'!$X$58="Forfait",IF(W$20&gt;='01_Input'!$V$58,'01_Input'!$Y$58,0),IF('01_Input'!$X$58="Palier",IF(AND(W$20&gt;='01_Input'!$V$58,W$20&lt;'01_Input'!$W$58),'01_Input'!$Y$58,0),MAX(MIN(W$20,'01_Input'!$W$58)-'01_Input'!$V$58,0)*'01_Input'!$Y$58))+IF('01_Input'!$AB$58="Forfait",IF(W$20&gt;='01_Input'!$Z$58,'01_Input'!$AC$58,0),IF('01_Input'!$AB$58="Palier",IF(AND(W$20&gt;='01_Input'!$Z$58,W$20&lt;'01_Input'!$AA$58),'01_Input'!$AC$58,0),MAX(MIN(W$20,'01_Input'!$AA$58)-'01_Input'!$Z$58,0)*'01_Input'!$AC$58)))))))))</f>
        <v>5500</v>
      </c>
      <c r="X26" s="83">
        <f>IF('01_Input'!$C$58="Non",0,MIN('01_Input'!$I$58,MAX('01_Input'!$H$58,IF('01_Input'!$G$58="Résiduel vs Gestion",0,IF('01_Input'!$G$58="Taux Classe sélectionnée",Distrib_Global_Classe_Selectionnee*X$20,IF('01_Input'!$G$58="Frais KYC (paliers de 100M€)",MAX(0,Nb_Investisseurs-Nb_KYC_Gratuites_Par_Tranche*(FLOOR(X$20/Taille_Tranche_KYC,1)+1))*Cout_Par_KYC_Supplementaire,(IF('01_Input'!$L$58="Forfait",IF(X$20&gt;='01_Input'!$J$58,'01_Input'!$M$58,0),IF('01_Input'!$L$58="Palier",IF(AND(X$20&gt;='01_Input'!$J$58,X$20&lt;'01_Input'!$K$58),'01_Input'!$M$58,0),MAX(MIN(X$20,'01_Input'!$K$58)-'01_Input'!$J$58,0)*'01_Input'!$M$58))+IF('01_Input'!$P$58="Forfait",IF(X$20&gt;='01_Input'!$N$58,'01_Input'!$Q$58,0),IF('01_Input'!$P$58="Palier",IF(AND(X$20&gt;='01_Input'!$N$58,X$20&lt;'01_Input'!$O$58),'01_Input'!$Q$58,0),MAX(MIN(X$20,'01_Input'!$O$58)-'01_Input'!$N$58,0)*'01_Input'!$Q$58))+IF('01_Input'!$T$58="Forfait",IF(X$20&gt;='01_Input'!$R$58,'01_Input'!$U$58,0),IF('01_Input'!$T$58="Palier",IF(AND(X$20&gt;='01_Input'!$R$58,X$20&lt;'01_Input'!$S$58),'01_Input'!$U$58,0),MAX(MIN(X$20,'01_Input'!$S$58)-'01_Input'!$R$58,0)*'01_Input'!$U$58))+IF('01_Input'!$X$58="Forfait",IF(X$20&gt;='01_Input'!$V$58,'01_Input'!$Y$58,0),IF('01_Input'!$X$58="Palier",IF(AND(X$20&gt;='01_Input'!$V$58,X$20&lt;'01_Input'!$W$58),'01_Input'!$Y$58,0),MAX(MIN(X$20,'01_Input'!$W$58)-'01_Input'!$V$58,0)*'01_Input'!$Y$58))+IF('01_Input'!$AB$58="Forfait",IF(X$20&gt;='01_Input'!$Z$58,'01_Input'!$AC$58,0),IF('01_Input'!$AB$58="Palier",IF(AND(X$20&gt;='01_Input'!$Z$58,X$20&lt;'01_Input'!$AA$58),'01_Input'!$AC$58,0),MAX(MIN(X$20,'01_Input'!$AA$58)-'01_Input'!$Z$58,0)*'01_Input'!$AC$58)))))))))</f>
        <v>5500</v>
      </c>
      <c r="Y26" s="83">
        <f>IF('01_Input'!$C$58="Non",0,MIN('01_Input'!$I$58,MAX('01_Input'!$H$58,IF('01_Input'!$G$58="Résiduel vs Gestion",0,IF('01_Input'!$G$58="Taux Classe sélectionnée",Distrib_Global_Classe_Selectionnee*Y$20,IF('01_Input'!$G$58="Frais KYC (paliers de 100M€)",MAX(0,Nb_Investisseurs-Nb_KYC_Gratuites_Par_Tranche*(FLOOR(Y$20/Taille_Tranche_KYC,1)+1))*Cout_Par_KYC_Supplementaire,(IF('01_Input'!$L$58="Forfait",IF(Y$20&gt;='01_Input'!$J$58,'01_Input'!$M$58,0),IF('01_Input'!$L$58="Palier",IF(AND(Y$20&gt;='01_Input'!$J$58,Y$20&lt;'01_Input'!$K$58),'01_Input'!$M$58,0),MAX(MIN(Y$20,'01_Input'!$K$58)-'01_Input'!$J$58,0)*'01_Input'!$M$58))+IF('01_Input'!$P$58="Forfait",IF(Y$20&gt;='01_Input'!$N$58,'01_Input'!$Q$58,0),IF('01_Input'!$P$58="Palier",IF(AND(Y$20&gt;='01_Input'!$N$58,Y$20&lt;'01_Input'!$O$58),'01_Input'!$Q$58,0),MAX(MIN(Y$20,'01_Input'!$O$58)-'01_Input'!$N$58,0)*'01_Input'!$Q$58))+IF('01_Input'!$T$58="Forfait",IF(Y$20&gt;='01_Input'!$R$58,'01_Input'!$U$58,0),IF('01_Input'!$T$58="Palier",IF(AND(Y$20&gt;='01_Input'!$R$58,Y$20&lt;'01_Input'!$S$58),'01_Input'!$U$58,0),MAX(MIN(Y$20,'01_Input'!$S$58)-'01_Input'!$R$58,0)*'01_Input'!$U$58))+IF('01_Input'!$X$58="Forfait",IF(Y$20&gt;='01_Input'!$V$58,'01_Input'!$Y$58,0),IF('01_Input'!$X$58="Palier",IF(AND(Y$20&gt;='01_Input'!$V$58,Y$20&lt;'01_Input'!$W$58),'01_Input'!$Y$58,0),MAX(MIN(Y$20,'01_Input'!$W$58)-'01_Input'!$V$58,0)*'01_Input'!$Y$58))+IF('01_Input'!$AB$58="Forfait",IF(Y$20&gt;='01_Input'!$Z$58,'01_Input'!$AC$58,0),IF('01_Input'!$AB$58="Palier",IF(AND(Y$20&gt;='01_Input'!$Z$58,Y$20&lt;'01_Input'!$AA$58),'01_Input'!$AC$58,0),MAX(MIN(Y$20,'01_Input'!$AA$58)-'01_Input'!$Z$58,0)*'01_Input'!$AC$58)))))))))</f>
        <v>5500</v>
      </c>
      <c r="Z26" s="83">
        <f>IF('01_Input'!$C$58="Non",0,MIN('01_Input'!$I$58,MAX('01_Input'!$H$58,IF('01_Input'!$G$58="Résiduel vs Gestion",0,IF('01_Input'!$G$58="Taux Classe sélectionnée",Distrib_Global_Classe_Selectionnee*Z$20,IF('01_Input'!$G$58="Frais KYC (paliers de 100M€)",MAX(0,Nb_Investisseurs-Nb_KYC_Gratuites_Par_Tranche*(FLOOR(Z$20/Taille_Tranche_KYC,1)+1))*Cout_Par_KYC_Supplementaire,(IF('01_Input'!$L$58="Forfait",IF(Z$20&gt;='01_Input'!$J$58,'01_Input'!$M$58,0),IF('01_Input'!$L$58="Palier",IF(AND(Z$20&gt;='01_Input'!$J$58,Z$20&lt;'01_Input'!$K$58),'01_Input'!$M$58,0),MAX(MIN(Z$20,'01_Input'!$K$58)-'01_Input'!$J$58,0)*'01_Input'!$M$58))+IF('01_Input'!$P$58="Forfait",IF(Z$20&gt;='01_Input'!$N$58,'01_Input'!$Q$58,0),IF('01_Input'!$P$58="Palier",IF(AND(Z$20&gt;='01_Input'!$N$58,Z$20&lt;'01_Input'!$O$58),'01_Input'!$Q$58,0),MAX(MIN(Z$20,'01_Input'!$O$58)-'01_Input'!$N$58,0)*'01_Input'!$Q$58))+IF('01_Input'!$T$58="Forfait",IF(Z$20&gt;='01_Input'!$R$58,'01_Input'!$U$58,0),IF('01_Input'!$T$58="Palier",IF(AND(Z$20&gt;='01_Input'!$R$58,Z$20&lt;'01_Input'!$S$58),'01_Input'!$U$58,0),MAX(MIN(Z$20,'01_Input'!$S$58)-'01_Input'!$R$58,0)*'01_Input'!$U$58))+IF('01_Input'!$X$58="Forfait",IF(Z$20&gt;='01_Input'!$V$58,'01_Input'!$Y$58,0),IF('01_Input'!$X$58="Palier",IF(AND(Z$20&gt;='01_Input'!$V$58,Z$20&lt;'01_Input'!$W$58),'01_Input'!$Y$58,0),MAX(MIN(Z$20,'01_Input'!$W$58)-'01_Input'!$V$58,0)*'01_Input'!$Y$58))+IF('01_Input'!$AB$58="Forfait",IF(Z$20&gt;='01_Input'!$Z$58,'01_Input'!$AC$58,0),IF('01_Input'!$AB$58="Palier",IF(AND(Z$20&gt;='01_Input'!$Z$58,Z$20&lt;'01_Input'!$AA$58),'01_Input'!$AC$58,0),MAX(MIN(Z$20,'01_Input'!$AA$58)-'01_Input'!$Z$58,0)*'01_Input'!$AC$58)))))))))</f>
        <v>5500</v>
      </c>
      <c r="AA26" s="83">
        <f>IF('01_Input'!$C$58="Non",0,MIN('01_Input'!$I$58,MAX('01_Input'!$H$58,IF('01_Input'!$G$58="Résiduel vs Gestion",0,IF('01_Input'!$G$58="Taux Classe sélectionnée",Distrib_Global_Classe_Selectionnee*AA$20,IF('01_Input'!$G$58="Frais KYC (paliers de 100M€)",MAX(0,Nb_Investisseurs-Nb_KYC_Gratuites_Par_Tranche*(FLOOR(AA$20/Taille_Tranche_KYC,1)+1))*Cout_Par_KYC_Supplementaire,(IF('01_Input'!$L$58="Forfait",IF(AA$20&gt;='01_Input'!$J$58,'01_Input'!$M$58,0),IF('01_Input'!$L$58="Palier",IF(AND(AA$20&gt;='01_Input'!$J$58,AA$20&lt;'01_Input'!$K$58),'01_Input'!$M$58,0),MAX(MIN(AA$20,'01_Input'!$K$58)-'01_Input'!$J$58,0)*'01_Input'!$M$58))+IF('01_Input'!$P$58="Forfait",IF(AA$20&gt;='01_Input'!$N$58,'01_Input'!$Q$58,0),IF('01_Input'!$P$58="Palier",IF(AND(AA$20&gt;='01_Input'!$N$58,AA$20&lt;'01_Input'!$O$58),'01_Input'!$Q$58,0),MAX(MIN(AA$20,'01_Input'!$O$58)-'01_Input'!$N$58,0)*'01_Input'!$Q$58))+IF('01_Input'!$T$58="Forfait",IF(AA$20&gt;='01_Input'!$R$58,'01_Input'!$U$58,0),IF('01_Input'!$T$58="Palier",IF(AND(AA$20&gt;='01_Input'!$R$58,AA$20&lt;'01_Input'!$S$58),'01_Input'!$U$58,0),MAX(MIN(AA$20,'01_Input'!$S$58)-'01_Input'!$R$58,0)*'01_Input'!$U$58))+IF('01_Input'!$X$58="Forfait",IF(AA$20&gt;='01_Input'!$V$58,'01_Input'!$Y$58,0),IF('01_Input'!$X$58="Palier",IF(AND(AA$20&gt;='01_Input'!$V$58,AA$20&lt;'01_Input'!$W$58),'01_Input'!$Y$58,0),MAX(MIN(AA$20,'01_Input'!$W$58)-'01_Input'!$V$58,0)*'01_Input'!$Y$58))+IF('01_Input'!$AB$58="Forfait",IF(AA$20&gt;='01_Input'!$Z$58,'01_Input'!$AC$58,0),IF('01_Input'!$AB$58="Palier",IF(AND(AA$20&gt;='01_Input'!$Z$58,AA$20&lt;'01_Input'!$AA$58),'01_Input'!$AC$58,0),MAX(MIN(AA$20,'01_Input'!$AA$58)-'01_Input'!$Z$58,0)*'01_Input'!$AC$58)))))))))</f>
        <v>5500</v>
      </c>
      <c r="AB26" s="83">
        <f>IF('01_Input'!$C$58="Non",0,MIN('01_Input'!$I$58,MAX('01_Input'!$H$58,IF('01_Input'!$G$58="Résiduel vs Gestion",0,IF('01_Input'!$G$58="Taux Classe sélectionnée",Distrib_Global_Classe_Selectionnee*AB$20,IF('01_Input'!$G$58="Frais KYC (paliers de 100M€)",MAX(0,Nb_Investisseurs-Nb_KYC_Gratuites_Par_Tranche*(FLOOR(AB$20/Taille_Tranche_KYC,1)+1))*Cout_Par_KYC_Supplementaire,(IF('01_Input'!$L$58="Forfait",IF(AB$20&gt;='01_Input'!$J$58,'01_Input'!$M$58,0),IF('01_Input'!$L$58="Palier",IF(AND(AB$20&gt;='01_Input'!$J$58,AB$20&lt;'01_Input'!$K$58),'01_Input'!$M$58,0),MAX(MIN(AB$20,'01_Input'!$K$58)-'01_Input'!$J$58,0)*'01_Input'!$M$58))+IF('01_Input'!$P$58="Forfait",IF(AB$20&gt;='01_Input'!$N$58,'01_Input'!$Q$58,0),IF('01_Input'!$P$58="Palier",IF(AND(AB$20&gt;='01_Input'!$N$58,AB$20&lt;'01_Input'!$O$58),'01_Input'!$Q$58,0),MAX(MIN(AB$20,'01_Input'!$O$58)-'01_Input'!$N$58,0)*'01_Input'!$Q$58))+IF('01_Input'!$T$58="Forfait",IF(AB$20&gt;='01_Input'!$R$58,'01_Input'!$U$58,0),IF('01_Input'!$T$58="Palier",IF(AND(AB$20&gt;='01_Input'!$R$58,AB$20&lt;'01_Input'!$S$58),'01_Input'!$U$58,0),MAX(MIN(AB$20,'01_Input'!$S$58)-'01_Input'!$R$58,0)*'01_Input'!$U$58))+IF('01_Input'!$X$58="Forfait",IF(AB$20&gt;='01_Input'!$V$58,'01_Input'!$Y$58,0),IF('01_Input'!$X$58="Palier",IF(AND(AB$20&gt;='01_Input'!$V$58,AB$20&lt;'01_Input'!$W$58),'01_Input'!$Y$58,0),MAX(MIN(AB$20,'01_Input'!$W$58)-'01_Input'!$V$58,0)*'01_Input'!$Y$58))+IF('01_Input'!$AB$58="Forfait",IF(AB$20&gt;='01_Input'!$Z$58,'01_Input'!$AC$58,0),IF('01_Input'!$AB$58="Palier",IF(AND(AB$20&gt;='01_Input'!$Z$58,AB$20&lt;'01_Input'!$AA$58),'01_Input'!$AC$58,0),MAX(MIN(AB$20,'01_Input'!$AA$58)-'01_Input'!$Z$58,0)*'01_Input'!$AC$58)))))))))</f>
        <v>5500</v>
      </c>
      <c r="AC26" s="83">
        <f>IF('01_Input'!$C$58="Non",0,MIN('01_Input'!$I$58,MAX('01_Input'!$H$58,IF('01_Input'!$G$58="Résiduel vs Gestion",0,IF('01_Input'!$G$58="Taux Classe sélectionnée",Distrib_Global_Classe_Selectionnee*AC$20,IF('01_Input'!$G$58="Frais KYC (paliers de 100M€)",MAX(0,Nb_Investisseurs-Nb_KYC_Gratuites_Par_Tranche*(FLOOR(AC$20/Taille_Tranche_KYC,1)+1))*Cout_Par_KYC_Supplementaire,(IF('01_Input'!$L$58="Forfait",IF(AC$20&gt;='01_Input'!$J$58,'01_Input'!$M$58,0),IF('01_Input'!$L$58="Palier",IF(AND(AC$20&gt;='01_Input'!$J$58,AC$20&lt;'01_Input'!$K$58),'01_Input'!$M$58,0),MAX(MIN(AC$20,'01_Input'!$K$58)-'01_Input'!$J$58,0)*'01_Input'!$M$58))+IF('01_Input'!$P$58="Forfait",IF(AC$20&gt;='01_Input'!$N$58,'01_Input'!$Q$58,0),IF('01_Input'!$P$58="Palier",IF(AND(AC$20&gt;='01_Input'!$N$58,AC$20&lt;'01_Input'!$O$58),'01_Input'!$Q$58,0),MAX(MIN(AC$20,'01_Input'!$O$58)-'01_Input'!$N$58,0)*'01_Input'!$Q$58))+IF('01_Input'!$T$58="Forfait",IF(AC$20&gt;='01_Input'!$R$58,'01_Input'!$U$58,0),IF('01_Input'!$T$58="Palier",IF(AND(AC$20&gt;='01_Input'!$R$58,AC$20&lt;'01_Input'!$S$58),'01_Input'!$U$58,0),MAX(MIN(AC$20,'01_Input'!$S$58)-'01_Input'!$R$58,0)*'01_Input'!$U$58))+IF('01_Input'!$X$58="Forfait",IF(AC$20&gt;='01_Input'!$V$58,'01_Input'!$Y$58,0),IF('01_Input'!$X$58="Palier",IF(AND(AC$20&gt;='01_Input'!$V$58,AC$20&lt;'01_Input'!$W$58),'01_Input'!$Y$58,0),MAX(MIN(AC$20,'01_Input'!$W$58)-'01_Input'!$V$58,0)*'01_Input'!$Y$58))+IF('01_Input'!$AB$58="Forfait",IF(AC$20&gt;='01_Input'!$Z$58,'01_Input'!$AC$58,0),IF('01_Input'!$AB$58="Palier",IF(AND(AC$20&gt;='01_Input'!$Z$58,AC$20&lt;'01_Input'!$AA$58),'01_Input'!$AC$58,0),MAX(MIN(AC$20,'01_Input'!$AA$58)-'01_Input'!$Z$58,0)*'01_Input'!$AC$58)))))))))</f>
        <v>5500</v>
      </c>
      <c r="AD26" s="83">
        <f>IF('01_Input'!$C$58="Non",0,MIN('01_Input'!$I$58,MAX('01_Input'!$H$58,IF('01_Input'!$G$58="Résiduel vs Gestion",0,IF('01_Input'!$G$58="Taux Classe sélectionnée",Distrib_Global_Classe_Selectionnee*AD$20,IF('01_Input'!$G$58="Frais KYC (paliers de 100M€)",MAX(0,Nb_Investisseurs-Nb_KYC_Gratuites_Par_Tranche*(FLOOR(AD$20/Taille_Tranche_KYC,1)+1))*Cout_Par_KYC_Supplementaire,(IF('01_Input'!$L$58="Forfait",IF(AD$20&gt;='01_Input'!$J$58,'01_Input'!$M$58,0),IF('01_Input'!$L$58="Palier",IF(AND(AD$20&gt;='01_Input'!$J$58,AD$20&lt;'01_Input'!$K$58),'01_Input'!$M$58,0),MAX(MIN(AD$20,'01_Input'!$K$58)-'01_Input'!$J$58,0)*'01_Input'!$M$58))+IF('01_Input'!$P$58="Forfait",IF(AD$20&gt;='01_Input'!$N$58,'01_Input'!$Q$58,0),IF('01_Input'!$P$58="Palier",IF(AND(AD$20&gt;='01_Input'!$N$58,AD$20&lt;'01_Input'!$O$58),'01_Input'!$Q$58,0),MAX(MIN(AD$20,'01_Input'!$O$58)-'01_Input'!$N$58,0)*'01_Input'!$Q$58))+IF('01_Input'!$T$58="Forfait",IF(AD$20&gt;='01_Input'!$R$58,'01_Input'!$U$58,0),IF('01_Input'!$T$58="Palier",IF(AND(AD$20&gt;='01_Input'!$R$58,AD$20&lt;'01_Input'!$S$58),'01_Input'!$U$58,0),MAX(MIN(AD$20,'01_Input'!$S$58)-'01_Input'!$R$58,0)*'01_Input'!$U$58))+IF('01_Input'!$X$58="Forfait",IF(AD$20&gt;='01_Input'!$V$58,'01_Input'!$Y$58,0),IF('01_Input'!$X$58="Palier",IF(AND(AD$20&gt;='01_Input'!$V$58,AD$20&lt;'01_Input'!$W$58),'01_Input'!$Y$58,0),MAX(MIN(AD$20,'01_Input'!$W$58)-'01_Input'!$V$58,0)*'01_Input'!$Y$58))+IF('01_Input'!$AB$58="Forfait",IF(AD$20&gt;='01_Input'!$Z$58,'01_Input'!$AC$58,0),IF('01_Input'!$AB$58="Palier",IF(AND(AD$20&gt;='01_Input'!$Z$58,AD$20&lt;'01_Input'!$AA$58),'01_Input'!$AC$58,0),MAX(MIN(AD$20,'01_Input'!$AA$58)-'01_Input'!$Z$58,0)*'01_Input'!$AC$58)))))))))</f>
        <v>5500</v>
      </c>
      <c r="AE26" s="83">
        <f>IF('01_Input'!$C$58="Non",0,MIN('01_Input'!$I$58,MAX('01_Input'!$H$58,IF('01_Input'!$G$58="Résiduel vs Gestion",0,IF('01_Input'!$G$58="Taux Classe sélectionnée",Distrib_Global_Classe_Selectionnee*AE$20,IF('01_Input'!$G$58="Frais KYC (paliers de 100M€)",MAX(0,Nb_Investisseurs-Nb_KYC_Gratuites_Par_Tranche*(FLOOR(AE$20/Taille_Tranche_KYC,1)+1))*Cout_Par_KYC_Supplementaire,(IF('01_Input'!$L$58="Forfait",IF(AE$20&gt;='01_Input'!$J$58,'01_Input'!$M$58,0),IF('01_Input'!$L$58="Palier",IF(AND(AE$20&gt;='01_Input'!$J$58,AE$20&lt;'01_Input'!$K$58),'01_Input'!$M$58,0),MAX(MIN(AE$20,'01_Input'!$K$58)-'01_Input'!$J$58,0)*'01_Input'!$M$58))+IF('01_Input'!$P$58="Forfait",IF(AE$20&gt;='01_Input'!$N$58,'01_Input'!$Q$58,0),IF('01_Input'!$P$58="Palier",IF(AND(AE$20&gt;='01_Input'!$N$58,AE$20&lt;'01_Input'!$O$58),'01_Input'!$Q$58,0),MAX(MIN(AE$20,'01_Input'!$O$58)-'01_Input'!$N$58,0)*'01_Input'!$Q$58))+IF('01_Input'!$T$58="Forfait",IF(AE$20&gt;='01_Input'!$R$58,'01_Input'!$U$58,0),IF('01_Input'!$T$58="Palier",IF(AND(AE$20&gt;='01_Input'!$R$58,AE$20&lt;'01_Input'!$S$58),'01_Input'!$U$58,0),MAX(MIN(AE$20,'01_Input'!$S$58)-'01_Input'!$R$58,0)*'01_Input'!$U$58))+IF('01_Input'!$X$58="Forfait",IF(AE$20&gt;='01_Input'!$V$58,'01_Input'!$Y$58,0),IF('01_Input'!$X$58="Palier",IF(AND(AE$20&gt;='01_Input'!$V$58,AE$20&lt;'01_Input'!$W$58),'01_Input'!$Y$58,0),MAX(MIN(AE$20,'01_Input'!$W$58)-'01_Input'!$V$58,0)*'01_Input'!$Y$58))+IF('01_Input'!$AB$58="Forfait",IF(AE$20&gt;='01_Input'!$Z$58,'01_Input'!$AC$58,0),IF('01_Input'!$AB$58="Palier",IF(AND(AE$20&gt;='01_Input'!$Z$58,AE$20&lt;'01_Input'!$AA$58),'01_Input'!$AC$58,0),MAX(MIN(AE$20,'01_Input'!$AA$58)-'01_Input'!$Z$58,0)*'01_Input'!$AC$58)))))))))</f>
        <v>5500</v>
      </c>
      <c r="AF26" s="83">
        <f>IF('01_Input'!$C$58="Non",0,MIN('01_Input'!$I$58,MAX('01_Input'!$H$58,IF('01_Input'!$G$58="Résiduel vs Gestion",0,IF('01_Input'!$G$58="Taux Classe sélectionnée",Distrib_Global_Classe_Selectionnee*AF$20,IF('01_Input'!$G$58="Frais KYC (paliers de 100M€)",MAX(0,Nb_Investisseurs-Nb_KYC_Gratuites_Par_Tranche*(FLOOR(AF$20/Taille_Tranche_KYC,1)+1))*Cout_Par_KYC_Supplementaire,(IF('01_Input'!$L$58="Forfait",IF(AF$20&gt;='01_Input'!$J$58,'01_Input'!$M$58,0),IF('01_Input'!$L$58="Palier",IF(AND(AF$20&gt;='01_Input'!$J$58,AF$20&lt;'01_Input'!$K$58),'01_Input'!$M$58,0),MAX(MIN(AF$20,'01_Input'!$K$58)-'01_Input'!$J$58,0)*'01_Input'!$M$58))+IF('01_Input'!$P$58="Forfait",IF(AF$20&gt;='01_Input'!$N$58,'01_Input'!$Q$58,0),IF('01_Input'!$P$58="Palier",IF(AND(AF$20&gt;='01_Input'!$N$58,AF$20&lt;'01_Input'!$O$58),'01_Input'!$Q$58,0),MAX(MIN(AF$20,'01_Input'!$O$58)-'01_Input'!$N$58,0)*'01_Input'!$Q$58))+IF('01_Input'!$T$58="Forfait",IF(AF$20&gt;='01_Input'!$R$58,'01_Input'!$U$58,0),IF('01_Input'!$T$58="Palier",IF(AND(AF$20&gt;='01_Input'!$R$58,AF$20&lt;'01_Input'!$S$58),'01_Input'!$U$58,0),MAX(MIN(AF$20,'01_Input'!$S$58)-'01_Input'!$R$58,0)*'01_Input'!$U$58))+IF('01_Input'!$X$58="Forfait",IF(AF$20&gt;='01_Input'!$V$58,'01_Input'!$Y$58,0),IF('01_Input'!$X$58="Palier",IF(AND(AF$20&gt;='01_Input'!$V$58,AF$20&lt;'01_Input'!$W$58),'01_Input'!$Y$58,0),MAX(MIN(AF$20,'01_Input'!$W$58)-'01_Input'!$V$58,0)*'01_Input'!$Y$58))+IF('01_Input'!$AB$58="Forfait",IF(AF$20&gt;='01_Input'!$Z$58,'01_Input'!$AC$58,0),IF('01_Input'!$AB$58="Palier",IF(AND(AF$20&gt;='01_Input'!$Z$58,AF$20&lt;'01_Input'!$AA$58),'01_Input'!$AC$58,0),MAX(MIN(AF$20,'01_Input'!$AA$58)-'01_Input'!$Z$58,0)*'01_Input'!$AC$58)))))))))</f>
        <v>5500</v>
      </c>
      <c r="AG26" s="83">
        <f>IF('01_Input'!$C$58="Non",0,MIN('01_Input'!$I$58,MAX('01_Input'!$H$58,IF('01_Input'!$G$58="Résiduel vs Gestion",0,IF('01_Input'!$G$58="Taux Classe sélectionnée",Distrib_Global_Classe_Selectionnee*AG$20,IF('01_Input'!$G$58="Frais KYC (paliers de 100M€)",MAX(0,Nb_Investisseurs-Nb_KYC_Gratuites_Par_Tranche*(FLOOR(AG$20/Taille_Tranche_KYC,1)+1))*Cout_Par_KYC_Supplementaire,(IF('01_Input'!$L$58="Forfait",IF(AG$20&gt;='01_Input'!$J$58,'01_Input'!$M$58,0),IF('01_Input'!$L$58="Palier",IF(AND(AG$20&gt;='01_Input'!$J$58,AG$20&lt;'01_Input'!$K$58),'01_Input'!$M$58,0),MAX(MIN(AG$20,'01_Input'!$K$58)-'01_Input'!$J$58,0)*'01_Input'!$M$58))+IF('01_Input'!$P$58="Forfait",IF(AG$20&gt;='01_Input'!$N$58,'01_Input'!$Q$58,0),IF('01_Input'!$P$58="Palier",IF(AND(AG$20&gt;='01_Input'!$N$58,AG$20&lt;'01_Input'!$O$58),'01_Input'!$Q$58,0),MAX(MIN(AG$20,'01_Input'!$O$58)-'01_Input'!$N$58,0)*'01_Input'!$Q$58))+IF('01_Input'!$T$58="Forfait",IF(AG$20&gt;='01_Input'!$R$58,'01_Input'!$U$58,0),IF('01_Input'!$T$58="Palier",IF(AND(AG$20&gt;='01_Input'!$R$58,AG$20&lt;'01_Input'!$S$58),'01_Input'!$U$58,0),MAX(MIN(AG$20,'01_Input'!$S$58)-'01_Input'!$R$58,0)*'01_Input'!$U$58))+IF('01_Input'!$X$58="Forfait",IF(AG$20&gt;='01_Input'!$V$58,'01_Input'!$Y$58,0),IF('01_Input'!$X$58="Palier",IF(AND(AG$20&gt;='01_Input'!$V$58,AG$20&lt;'01_Input'!$W$58),'01_Input'!$Y$58,0),MAX(MIN(AG$20,'01_Input'!$W$58)-'01_Input'!$V$58,0)*'01_Input'!$Y$58))+IF('01_Input'!$AB$58="Forfait",IF(AG$20&gt;='01_Input'!$Z$58,'01_Input'!$AC$58,0),IF('01_Input'!$AB$58="Palier",IF(AND(AG$20&gt;='01_Input'!$Z$58,AG$20&lt;'01_Input'!$AA$58),'01_Input'!$AC$58,0),MAX(MIN(AG$20,'01_Input'!$AA$58)-'01_Input'!$Z$58,0)*'01_Input'!$AC$58)))))))))</f>
        <v>5500</v>
      </c>
      <c r="AH26" s="83">
        <f>IF('01_Input'!$C$58="Non",0,MIN('01_Input'!$I$58,MAX('01_Input'!$H$58,IF('01_Input'!$G$58="Résiduel vs Gestion",0,IF('01_Input'!$G$58="Taux Classe sélectionnée",Distrib_Global_Classe_Selectionnee*AH$20,IF('01_Input'!$G$58="Frais KYC (paliers de 100M€)",MAX(0,Nb_Investisseurs-Nb_KYC_Gratuites_Par_Tranche*(FLOOR(AH$20/Taille_Tranche_KYC,1)+1))*Cout_Par_KYC_Supplementaire,(IF('01_Input'!$L$58="Forfait",IF(AH$20&gt;='01_Input'!$J$58,'01_Input'!$M$58,0),IF('01_Input'!$L$58="Palier",IF(AND(AH$20&gt;='01_Input'!$J$58,AH$20&lt;'01_Input'!$K$58),'01_Input'!$M$58,0),MAX(MIN(AH$20,'01_Input'!$K$58)-'01_Input'!$J$58,0)*'01_Input'!$M$58))+IF('01_Input'!$P$58="Forfait",IF(AH$20&gt;='01_Input'!$N$58,'01_Input'!$Q$58,0),IF('01_Input'!$P$58="Palier",IF(AND(AH$20&gt;='01_Input'!$N$58,AH$20&lt;'01_Input'!$O$58),'01_Input'!$Q$58,0),MAX(MIN(AH$20,'01_Input'!$O$58)-'01_Input'!$N$58,0)*'01_Input'!$Q$58))+IF('01_Input'!$T$58="Forfait",IF(AH$20&gt;='01_Input'!$R$58,'01_Input'!$U$58,0),IF('01_Input'!$T$58="Palier",IF(AND(AH$20&gt;='01_Input'!$R$58,AH$20&lt;'01_Input'!$S$58),'01_Input'!$U$58,0),MAX(MIN(AH$20,'01_Input'!$S$58)-'01_Input'!$R$58,0)*'01_Input'!$U$58))+IF('01_Input'!$X$58="Forfait",IF(AH$20&gt;='01_Input'!$V$58,'01_Input'!$Y$58,0),IF('01_Input'!$X$58="Palier",IF(AND(AH$20&gt;='01_Input'!$V$58,AH$20&lt;'01_Input'!$W$58),'01_Input'!$Y$58,0),MAX(MIN(AH$20,'01_Input'!$W$58)-'01_Input'!$V$58,0)*'01_Input'!$Y$58))+IF('01_Input'!$AB$58="Forfait",IF(AH$20&gt;='01_Input'!$Z$58,'01_Input'!$AC$58,0),IF('01_Input'!$AB$58="Palier",IF(AND(AH$20&gt;='01_Input'!$Z$58,AH$20&lt;'01_Input'!$AA$58),'01_Input'!$AC$58,0),MAX(MIN(AH$20,'01_Input'!$AA$58)-'01_Input'!$Z$58,0)*'01_Input'!$AC$58)))))))))</f>
        <v>5500</v>
      </c>
      <c r="AI26" s="83">
        <f>IF('01_Input'!$C$58="Non",0,MIN('01_Input'!$I$58,MAX('01_Input'!$H$58,IF('01_Input'!$G$58="Résiduel vs Gestion",0,IF('01_Input'!$G$58="Taux Classe sélectionnée",Distrib_Global_Classe_Selectionnee*AI$20,IF('01_Input'!$G$58="Frais KYC (paliers de 100M€)",MAX(0,Nb_Investisseurs-Nb_KYC_Gratuites_Par_Tranche*(FLOOR(AI$20/Taille_Tranche_KYC,1)+1))*Cout_Par_KYC_Supplementaire,(IF('01_Input'!$L$58="Forfait",IF(AI$20&gt;='01_Input'!$J$58,'01_Input'!$M$58,0),IF('01_Input'!$L$58="Palier",IF(AND(AI$20&gt;='01_Input'!$J$58,AI$20&lt;'01_Input'!$K$58),'01_Input'!$M$58,0),MAX(MIN(AI$20,'01_Input'!$K$58)-'01_Input'!$J$58,0)*'01_Input'!$M$58))+IF('01_Input'!$P$58="Forfait",IF(AI$20&gt;='01_Input'!$N$58,'01_Input'!$Q$58,0),IF('01_Input'!$P$58="Palier",IF(AND(AI$20&gt;='01_Input'!$N$58,AI$20&lt;'01_Input'!$O$58),'01_Input'!$Q$58,0),MAX(MIN(AI$20,'01_Input'!$O$58)-'01_Input'!$N$58,0)*'01_Input'!$Q$58))+IF('01_Input'!$T$58="Forfait",IF(AI$20&gt;='01_Input'!$R$58,'01_Input'!$U$58,0),IF('01_Input'!$T$58="Palier",IF(AND(AI$20&gt;='01_Input'!$R$58,AI$20&lt;'01_Input'!$S$58),'01_Input'!$U$58,0),MAX(MIN(AI$20,'01_Input'!$S$58)-'01_Input'!$R$58,0)*'01_Input'!$U$58))+IF('01_Input'!$X$58="Forfait",IF(AI$20&gt;='01_Input'!$V$58,'01_Input'!$Y$58,0),IF('01_Input'!$X$58="Palier",IF(AND(AI$20&gt;='01_Input'!$V$58,AI$20&lt;'01_Input'!$W$58),'01_Input'!$Y$58,0),MAX(MIN(AI$20,'01_Input'!$W$58)-'01_Input'!$V$58,0)*'01_Input'!$Y$58))+IF('01_Input'!$AB$58="Forfait",IF(AI$20&gt;='01_Input'!$Z$58,'01_Input'!$AC$58,0),IF('01_Input'!$AB$58="Palier",IF(AND(AI$20&gt;='01_Input'!$Z$58,AI$20&lt;'01_Input'!$AA$58),'01_Input'!$AC$58,0),MAX(MIN(AI$20,'01_Input'!$AA$58)-'01_Input'!$Z$58,0)*'01_Input'!$AC$58)))))))))</f>
        <v>5500</v>
      </c>
      <c r="AJ26" s="83">
        <f>IF('01_Input'!$C$58="Non",0,MIN('01_Input'!$I$58,MAX('01_Input'!$H$58,IF('01_Input'!$G$58="Résiduel vs Gestion",0,IF('01_Input'!$G$58="Taux Classe sélectionnée",Distrib_Global_Classe_Selectionnee*AJ$20,IF('01_Input'!$G$58="Frais KYC (paliers de 100M€)",MAX(0,Nb_Investisseurs-Nb_KYC_Gratuites_Par_Tranche*(FLOOR(AJ$20/Taille_Tranche_KYC,1)+1))*Cout_Par_KYC_Supplementaire,(IF('01_Input'!$L$58="Forfait",IF(AJ$20&gt;='01_Input'!$J$58,'01_Input'!$M$58,0),IF('01_Input'!$L$58="Palier",IF(AND(AJ$20&gt;='01_Input'!$J$58,AJ$20&lt;'01_Input'!$K$58),'01_Input'!$M$58,0),MAX(MIN(AJ$20,'01_Input'!$K$58)-'01_Input'!$J$58,0)*'01_Input'!$M$58))+IF('01_Input'!$P$58="Forfait",IF(AJ$20&gt;='01_Input'!$N$58,'01_Input'!$Q$58,0),IF('01_Input'!$P$58="Palier",IF(AND(AJ$20&gt;='01_Input'!$N$58,AJ$20&lt;'01_Input'!$O$58),'01_Input'!$Q$58,0),MAX(MIN(AJ$20,'01_Input'!$O$58)-'01_Input'!$N$58,0)*'01_Input'!$Q$58))+IF('01_Input'!$T$58="Forfait",IF(AJ$20&gt;='01_Input'!$R$58,'01_Input'!$U$58,0),IF('01_Input'!$T$58="Palier",IF(AND(AJ$20&gt;='01_Input'!$R$58,AJ$20&lt;'01_Input'!$S$58),'01_Input'!$U$58,0),MAX(MIN(AJ$20,'01_Input'!$S$58)-'01_Input'!$R$58,0)*'01_Input'!$U$58))+IF('01_Input'!$X$58="Forfait",IF(AJ$20&gt;='01_Input'!$V$58,'01_Input'!$Y$58,0),IF('01_Input'!$X$58="Palier",IF(AND(AJ$20&gt;='01_Input'!$V$58,AJ$20&lt;'01_Input'!$W$58),'01_Input'!$Y$58,0),MAX(MIN(AJ$20,'01_Input'!$W$58)-'01_Input'!$V$58,0)*'01_Input'!$Y$58))+IF('01_Input'!$AB$58="Forfait",IF(AJ$20&gt;='01_Input'!$Z$58,'01_Input'!$AC$58,0),IF('01_Input'!$AB$58="Palier",IF(AND(AJ$20&gt;='01_Input'!$Z$58,AJ$20&lt;'01_Input'!$AA$58),'01_Input'!$AC$58,0),MAX(MIN(AJ$20,'01_Input'!$AA$58)-'01_Input'!$Z$58,0)*'01_Input'!$AC$58)))))))))</f>
        <v>5500</v>
      </c>
      <c r="AK26" s="83">
        <f>IF('01_Input'!$C$58="Non",0,MIN('01_Input'!$I$58,MAX('01_Input'!$H$58,IF('01_Input'!$G$58="Résiduel vs Gestion",0,IF('01_Input'!$G$58="Taux Classe sélectionnée",Distrib_Global_Classe_Selectionnee*AK$20,IF('01_Input'!$G$58="Frais KYC (paliers de 100M€)",MAX(0,Nb_Investisseurs-Nb_KYC_Gratuites_Par_Tranche*(FLOOR(AK$20/Taille_Tranche_KYC,1)+1))*Cout_Par_KYC_Supplementaire,(IF('01_Input'!$L$58="Forfait",IF(AK$20&gt;='01_Input'!$J$58,'01_Input'!$M$58,0),IF('01_Input'!$L$58="Palier",IF(AND(AK$20&gt;='01_Input'!$J$58,AK$20&lt;'01_Input'!$K$58),'01_Input'!$M$58,0),MAX(MIN(AK$20,'01_Input'!$K$58)-'01_Input'!$J$58,0)*'01_Input'!$M$58))+IF('01_Input'!$P$58="Forfait",IF(AK$20&gt;='01_Input'!$N$58,'01_Input'!$Q$58,0),IF('01_Input'!$P$58="Palier",IF(AND(AK$20&gt;='01_Input'!$N$58,AK$20&lt;'01_Input'!$O$58),'01_Input'!$Q$58,0),MAX(MIN(AK$20,'01_Input'!$O$58)-'01_Input'!$N$58,0)*'01_Input'!$Q$58))+IF('01_Input'!$T$58="Forfait",IF(AK$20&gt;='01_Input'!$R$58,'01_Input'!$U$58,0),IF('01_Input'!$T$58="Palier",IF(AND(AK$20&gt;='01_Input'!$R$58,AK$20&lt;'01_Input'!$S$58),'01_Input'!$U$58,0),MAX(MIN(AK$20,'01_Input'!$S$58)-'01_Input'!$R$58,0)*'01_Input'!$U$58))+IF('01_Input'!$X$58="Forfait",IF(AK$20&gt;='01_Input'!$V$58,'01_Input'!$Y$58,0),IF('01_Input'!$X$58="Palier",IF(AND(AK$20&gt;='01_Input'!$V$58,AK$20&lt;'01_Input'!$W$58),'01_Input'!$Y$58,0),MAX(MIN(AK$20,'01_Input'!$W$58)-'01_Input'!$V$58,0)*'01_Input'!$Y$58))+IF('01_Input'!$AB$58="Forfait",IF(AK$20&gt;='01_Input'!$Z$58,'01_Input'!$AC$58,0),IF('01_Input'!$AB$58="Palier",IF(AND(AK$20&gt;='01_Input'!$Z$58,AK$20&lt;'01_Input'!$AA$58),'01_Input'!$AC$58,0),MAX(MIN(AK$20,'01_Input'!$AA$58)-'01_Input'!$Z$58,0)*'01_Input'!$AC$58)))))))))</f>
        <v>5500</v>
      </c>
      <c r="AL26" s="83">
        <f>IF('01_Input'!$C$58="Non",0,MIN('01_Input'!$I$58,MAX('01_Input'!$H$58,IF('01_Input'!$G$58="Résiduel vs Gestion",0,IF('01_Input'!$G$58="Taux Classe sélectionnée",Distrib_Global_Classe_Selectionnee*AL$20,IF('01_Input'!$G$58="Frais KYC (paliers de 100M€)",MAX(0,Nb_Investisseurs-Nb_KYC_Gratuites_Par_Tranche*(FLOOR(AL$20/Taille_Tranche_KYC,1)+1))*Cout_Par_KYC_Supplementaire,(IF('01_Input'!$L$58="Forfait",IF(AL$20&gt;='01_Input'!$J$58,'01_Input'!$M$58,0),IF('01_Input'!$L$58="Palier",IF(AND(AL$20&gt;='01_Input'!$J$58,AL$20&lt;'01_Input'!$K$58),'01_Input'!$M$58,0),MAX(MIN(AL$20,'01_Input'!$K$58)-'01_Input'!$J$58,0)*'01_Input'!$M$58))+IF('01_Input'!$P$58="Forfait",IF(AL$20&gt;='01_Input'!$N$58,'01_Input'!$Q$58,0),IF('01_Input'!$P$58="Palier",IF(AND(AL$20&gt;='01_Input'!$N$58,AL$20&lt;'01_Input'!$O$58),'01_Input'!$Q$58,0),MAX(MIN(AL$20,'01_Input'!$O$58)-'01_Input'!$N$58,0)*'01_Input'!$Q$58))+IF('01_Input'!$T$58="Forfait",IF(AL$20&gt;='01_Input'!$R$58,'01_Input'!$U$58,0),IF('01_Input'!$T$58="Palier",IF(AND(AL$20&gt;='01_Input'!$R$58,AL$20&lt;'01_Input'!$S$58),'01_Input'!$U$58,0),MAX(MIN(AL$20,'01_Input'!$S$58)-'01_Input'!$R$58,0)*'01_Input'!$U$58))+IF('01_Input'!$X$58="Forfait",IF(AL$20&gt;='01_Input'!$V$58,'01_Input'!$Y$58,0),IF('01_Input'!$X$58="Palier",IF(AND(AL$20&gt;='01_Input'!$V$58,AL$20&lt;'01_Input'!$W$58),'01_Input'!$Y$58,0),MAX(MIN(AL$20,'01_Input'!$W$58)-'01_Input'!$V$58,0)*'01_Input'!$Y$58))+IF('01_Input'!$AB$58="Forfait",IF(AL$20&gt;='01_Input'!$Z$58,'01_Input'!$AC$58,0),IF('01_Input'!$AB$58="Palier",IF(AND(AL$20&gt;='01_Input'!$Z$58,AL$20&lt;'01_Input'!$AA$58),'01_Input'!$AC$58,0),MAX(MIN(AL$20,'01_Input'!$AA$58)-'01_Input'!$Z$58,0)*'01_Input'!$AC$58)))))))))</f>
        <v>5500</v>
      </c>
      <c r="AM26" s="83">
        <f>IF('01_Input'!$C$58="Non",0,MIN('01_Input'!$I$58,MAX('01_Input'!$H$58,IF('01_Input'!$G$58="Résiduel vs Gestion",0,IF('01_Input'!$G$58="Taux Classe sélectionnée",Distrib_Global_Classe_Selectionnee*AM$20,IF('01_Input'!$G$58="Frais KYC (paliers de 100M€)",MAX(0,Nb_Investisseurs-Nb_KYC_Gratuites_Par_Tranche*(FLOOR(AM$20/Taille_Tranche_KYC,1)+1))*Cout_Par_KYC_Supplementaire,(IF('01_Input'!$L$58="Forfait",IF(AM$20&gt;='01_Input'!$J$58,'01_Input'!$M$58,0),IF('01_Input'!$L$58="Palier",IF(AND(AM$20&gt;='01_Input'!$J$58,AM$20&lt;'01_Input'!$K$58),'01_Input'!$M$58,0),MAX(MIN(AM$20,'01_Input'!$K$58)-'01_Input'!$J$58,0)*'01_Input'!$M$58))+IF('01_Input'!$P$58="Forfait",IF(AM$20&gt;='01_Input'!$N$58,'01_Input'!$Q$58,0),IF('01_Input'!$P$58="Palier",IF(AND(AM$20&gt;='01_Input'!$N$58,AM$20&lt;'01_Input'!$O$58),'01_Input'!$Q$58,0),MAX(MIN(AM$20,'01_Input'!$O$58)-'01_Input'!$N$58,0)*'01_Input'!$Q$58))+IF('01_Input'!$T$58="Forfait",IF(AM$20&gt;='01_Input'!$R$58,'01_Input'!$U$58,0),IF('01_Input'!$T$58="Palier",IF(AND(AM$20&gt;='01_Input'!$R$58,AM$20&lt;'01_Input'!$S$58),'01_Input'!$U$58,0),MAX(MIN(AM$20,'01_Input'!$S$58)-'01_Input'!$R$58,0)*'01_Input'!$U$58))+IF('01_Input'!$X$58="Forfait",IF(AM$20&gt;='01_Input'!$V$58,'01_Input'!$Y$58,0),IF('01_Input'!$X$58="Palier",IF(AND(AM$20&gt;='01_Input'!$V$58,AM$20&lt;'01_Input'!$W$58),'01_Input'!$Y$58,0),MAX(MIN(AM$20,'01_Input'!$W$58)-'01_Input'!$V$58,0)*'01_Input'!$Y$58))+IF('01_Input'!$AB$58="Forfait",IF(AM$20&gt;='01_Input'!$Z$58,'01_Input'!$AC$58,0),IF('01_Input'!$AB$58="Palier",IF(AND(AM$20&gt;='01_Input'!$Z$58,AM$20&lt;'01_Input'!$AA$58),'01_Input'!$AC$58,0),MAX(MIN(AM$20,'01_Input'!$AA$58)-'01_Input'!$Z$58,0)*'01_Input'!$AC$58)))))))))</f>
        <v>5500</v>
      </c>
      <c r="AN26" s="83">
        <f>IF('01_Input'!$C$58="Non",0,MIN('01_Input'!$I$58,MAX('01_Input'!$H$58,IF('01_Input'!$G$58="Résiduel vs Gestion",0,IF('01_Input'!$G$58="Taux Classe sélectionnée",Distrib_Global_Classe_Selectionnee*AN$20,IF('01_Input'!$G$58="Frais KYC (paliers de 100M€)",MAX(0,Nb_Investisseurs-Nb_KYC_Gratuites_Par_Tranche*(FLOOR(AN$20/Taille_Tranche_KYC,1)+1))*Cout_Par_KYC_Supplementaire,(IF('01_Input'!$L$58="Forfait",IF(AN$20&gt;='01_Input'!$J$58,'01_Input'!$M$58,0),IF('01_Input'!$L$58="Palier",IF(AND(AN$20&gt;='01_Input'!$J$58,AN$20&lt;'01_Input'!$K$58),'01_Input'!$M$58,0),MAX(MIN(AN$20,'01_Input'!$K$58)-'01_Input'!$J$58,0)*'01_Input'!$M$58))+IF('01_Input'!$P$58="Forfait",IF(AN$20&gt;='01_Input'!$N$58,'01_Input'!$Q$58,0),IF('01_Input'!$P$58="Palier",IF(AND(AN$20&gt;='01_Input'!$N$58,AN$20&lt;'01_Input'!$O$58),'01_Input'!$Q$58,0),MAX(MIN(AN$20,'01_Input'!$O$58)-'01_Input'!$N$58,0)*'01_Input'!$Q$58))+IF('01_Input'!$T$58="Forfait",IF(AN$20&gt;='01_Input'!$R$58,'01_Input'!$U$58,0),IF('01_Input'!$T$58="Palier",IF(AND(AN$20&gt;='01_Input'!$R$58,AN$20&lt;'01_Input'!$S$58),'01_Input'!$U$58,0),MAX(MIN(AN$20,'01_Input'!$S$58)-'01_Input'!$R$58,0)*'01_Input'!$U$58))+IF('01_Input'!$X$58="Forfait",IF(AN$20&gt;='01_Input'!$V$58,'01_Input'!$Y$58,0),IF('01_Input'!$X$58="Palier",IF(AND(AN$20&gt;='01_Input'!$V$58,AN$20&lt;'01_Input'!$W$58),'01_Input'!$Y$58,0),MAX(MIN(AN$20,'01_Input'!$W$58)-'01_Input'!$V$58,0)*'01_Input'!$Y$58))+IF('01_Input'!$AB$58="Forfait",IF(AN$20&gt;='01_Input'!$Z$58,'01_Input'!$AC$58,0),IF('01_Input'!$AB$58="Palier",IF(AND(AN$20&gt;='01_Input'!$Z$58,AN$20&lt;'01_Input'!$AA$58),'01_Input'!$AC$58,0),MAX(MIN(AN$20,'01_Input'!$AA$58)-'01_Input'!$Z$58,0)*'01_Input'!$AC$58)))))))))</f>
        <v>5500</v>
      </c>
      <c r="AO26" s="83">
        <f>IF('01_Input'!$C$58="Non",0,MIN('01_Input'!$I$58,MAX('01_Input'!$H$58,IF('01_Input'!$G$58="Résiduel vs Gestion",0,IF('01_Input'!$G$58="Taux Classe sélectionnée",Distrib_Global_Classe_Selectionnee*AO$20,IF('01_Input'!$G$58="Frais KYC (paliers de 100M€)",MAX(0,Nb_Investisseurs-Nb_KYC_Gratuites_Par_Tranche*(FLOOR(AO$20/Taille_Tranche_KYC,1)+1))*Cout_Par_KYC_Supplementaire,(IF('01_Input'!$L$58="Forfait",IF(AO$20&gt;='01_Input'!$J$58,'01_Input'!$M$58,0),IF('01_Input'!$L$58="Palier",IF(AND(AO$20&gt;='01_Input'!$J$58,AO$20&lt;'01_Input'!$K$58),'01_Input'!$M$58,0),MAX(MIN(AO$20,'01_Input'!$K$58)-'01_Input'!$J$58,0)*'01_Input'!$M$58))+IF('01_Input'!$P$58="Forfait",IF(AO$20&gt;='01_Input'!$N$58,'01_Input'!$Q$58,0),IF('01_Input'!$P$58="Palier",IF(AND(AO$20&gt;='01_Input'!$N$58,AO$20&lt;'01_Input'!$O$58),'01_Input'!$Q$58,0),MAX(MIN(AO$20,'01_Input'!$O$58)-'01_Input'!$N$58,0)*'01_Input'!$Q$58))+IF('01_Input'!$T$58="Forfait",IF(AO$20&gt;='01_Input'!$R$58,'01_Input'!$U$58,0),IF('01_Input'!$T$58="Palier",IF(AND(AO$20&gt;='01_Input'!$R$58,AO$20&lt;'01_Input'!$S$58),'01_Input'!$U$58,0),MAX(MIN(AO$20,'01_Input'!$S$58)-'01_Input'!$R$58,0)*'01_Input'!$U$58))+IF('01_Input'!$X$58="Forfait",IF(AO$20&gt;='01_Input'!$V$58,'01_Input'!$Y$58,0),IF('01_Input'!$X$58="Palier",IF(AND(AO$20&gt;='01_Input'!$V$58,AO$20&lt;'01_Input'!$W$58),'01_Input'!$Y$58,0),MAX(MIN(AO$20,'01_Input'!$W$58)-'01_Input'!$V$58,0)*'01_Input'!$Y$58))+IF('01_Input'!$AB$58="Forfait",IF(AO$20&gt;='01_Input'!$Z$58,'01_Input'!$AC$58,0),IF('01_Input'!$AB$58="Palier",IF(AND(AO$20&gt;='01_Input'!$Z$58,AO$20&lt;'01_Input'!$AA$58),'01_Input'!$AC$58,0),MAX(MIN(AO$20,'01_Input'!$AA$58)-'01_Input'!$Z$58,0)*'01_Input'!$AC$58)))))))))</f>
        <v>5500</v>
      </c>
      <c r="AP26" s="83">
        <f>IF('01_Input'!$C$58="Non",0,MIN('01_Input'!$I$58,MAX('01_Input'!$H$58,IF('01_Input'!$G$58="Résiduel vs Gestion",0,IF('01_Input'!$G$58="Taux Classe sélectionnée",Distrib_Global_Classe_Selectionnee*AP$20,IF('01_Input'!$G$58="Frais KYC (paliers de 100M€)",MAX(0,Nb_Investisseurs-Nb_KYC_Gratuites_Par_Tranche*(FLOOR(AP$20/Taille_Tranche_KYC,1)+1))*Cout_Par_KYC_Supplementaire,(IF('01_Input'!$L$58="Forfait",IF(AP$20&gt;='01_Input'!$J$58,'01_Input'!$M$58,0),IF('01_Input'!$L$58="Palier",IF(AND(AP$20&gt;='01_Input'!$J$58,AP$20&lt;'01_Input'!$K$58),'01_Input'!$M$58,0),MAX(MIN(AP$20,'01_Input'!$K$58)-'01_Input'!$J$58,0)*'01_Input'!$M$58))+IF('01_Input'!$P$58="Forfait",IF(AP$20&gt;='01_Input'!$N$58,'01_Input'!$Q$58,0),IF('01_Input'!$P$58="Palier",IF(AND(AP$20&gt;='01_Input'!$N$58,AP$20&lt;'01_Input'!$O$58),'01_Input'!$Q$58,0),MAX(MIN(AP$20,'01_Input'!$O$58)-'01_Input'!$N$58,0)*'01_Input'!$Q$58))+IF('01_Input'!$T$58="Forfait",IF(AP$20&gt;='01_Input'!$R$58,'01_Input'!$U$58,0),IF('01_Input'!$T$58="Palier",IF(AND(AP$20&gt;='01_Input'!$R$58,AP$20&lt;'01_Input'!$S$58),'01_Input'!$U$58,0),MAX(MIN(AP$20,'01_Input'!$S$58)-'01_Input'!$R$58,0)*'01_Input'!$U$58))+IF('01_Input'!$X$58="Forfait",IF(AP$20&gt;='01_Input'!$V$58,'01_Input'!$Y$58,0),IF('01_Input'!$X$58="Palier",IF(AND(AP$20&gt;='01_Input'!$V$58,AP$20&lt;'01_Input'!$W$58),'01_Input'!$Y$58,0),MAX(MIN(AP$20,'01_Input'!$W$58)-'01_Input'!$V$58,0)*'01_Input'!$Y$58))+IF('01_Input'!$AB$58="Forfait",IF(AP$20&gt;='01_Input'!$Z$58,'01_Input'!$AC$58,0),IF('01_Input'!$AB$58="Palier",IF(AND(AP$20&gt;='01_Input'!$Z$58,AP$20&lt;'01_Input'!$AA$58),'01_Input'!$AC$58,0),MAX(MIN(AP$20,'01_Input'!$AA$58)-'01_Input'!$Z$58,0)*'01_Input'!$AC$58)))))))))</f>
        <v>5500</v>
      </c>
      <c r="AQ26" s="83">
        <f>IF('01_Input'!$C$58="Non",0,MIN('01_Input'!$I$58,MAX('01_Input'!$H$58,IF('01_Input'!$G$58="Résiduel vs Gestion",0,IF('01_Input'!$G$58="Taux Classe sélectionnée",Distrib_Global_Classe_Selectionnee*AQ$20,IF('01_Input'!$G$58="Frais KYC (paliers de 100M€)",MAX(0,Nb_Investisseurs-Nb_KYC_Gratuites_Par_Tranche*(FLOOR(AQ$20/Taille_Tranche_KYC,1)+1))*Cout_Par_KYC_Supplementaire,(IF('01_Input'!$L$58="Forfait",IF(AQ$20&gt;='01_Input'!$J$58,'01_Input'!$M$58,0),IF('01_Input'!$L$58="Palier",IF(AND(AQ$20&gt;='01_Input'!$J$58,AQ$20&lt;'01_Input'!$K$58),'01_Input'!$M$58,0),MAX(MIN(AQ$20,'01_Input'!$K$58)-'01_Input'!$J$58,0)*'01_Input'!$M$58))+IF('01_Input'!$P$58="Forfait",IF(AQ$20&gt;='01_Input'!$N$58,'01_Input'!$Q$58,0),IF('01_Input'!$P$58="Palier",IF(AND(AQ$20&gt;='01_Input'!$N$58,AQ$20&lt;'01_Input'!$O$58),'01_Input'!$Q$58,0),MAX(MIN(AQ$20,'01_Input'!$O$58)-'01_Input'!$N$58,0)*'01_Input'!$Q$58))+IF('01_Input'!$T$58="Forfait",IF(AQ$20&gt;='01_Input'!$R$58,'01_Input'!$U$58,0),IF('01_Input'!$T$58="Palier",IF(AND(AQ$20&gt;='01_Input'!$R$58,AQ$20&lt;'01_Input'!$S$58),'01_Input'!$U$58,0),MAX(MIN(AQ$20,'01_Input'!$S$58)-'01_Input'!$R$58,0)*'01_Input'!$U$58))+IF('01_Input'!$X$58="Forfait",IF(AQ$20&gt;='01_Input'!$V$58,'01_Input'!$Y$58,0),IF('01_Input'!$X$58="Palier",IF(AND(AQ$20&gt;='01_Input'!$V$58,AQ$20&lt;'01_Input'!$W$58),'01_Input'!$Y$58,0),MAX(MIN(AQ$20,'01_Input'!$W$58)-'01_Input'!$V$58,0)*'01_Input'!$Y$58))+IF('01_Input'!$AB$58="Forfait",IF(AQ$20&gt;='01_Input'!$Z$58,'01_Input'!$AC$58,0),IF('01_Input'!$AB$58="Palier",IF(AND(AQ$20&gt;='01_Input'!$Z$58,AQ$20&lt;'01_Input'!$AA$58),'01_Input'!$AC$58,0),MAX(MIN(AQ$20,'01_Input'!$AA$58)-'01_Input'!$Z$58,0)*'01_Input'!$AC$58)))))))))</f>
        <v>5500</v>
      </c>
      <c r="AR26" s="83">
        <f>IF('01_Input'!$C$58="Non",0,MIN('01_Input'!$I$58,MAX('01_Input'!$H$58,IF('01_Input'!$G$58="Résiduel vs Gestion",0,IF('01_Input'!$G$58="Taux Classe sélectionnée",Distrib_Global_Classe_Selectionnee*AR$20,IF('01_Input'!$G$58="Frais KYC (paliers de 100M€)",MAX(0,Nb_Investisseurs-Nb_KYC_Gratuites_Par_Tranche*(FLOOR(AR$20/Taille_Tranche_KYC,1)+1))*Cout_Par_KYC_Supplementaire,(IF('01_Input'!$L$58="Forfait",IF(AR$20&gt;='01_Input'!$J$58,'01_Input'!$M$58,0),IF('01_Input'!$L$58="Palier",IF(AND(AR$20&gt;='01_Input'!$J$58,AR$20&lt;'01_Input'!$K$58),'01_Input'!$M$58,0),MAX(MIN(AR$20,'01_Input'!$K$58)-'01_Input'!$J$58,0)*'01_Input'!$M$58))+IF('01_Input'!$P$58="Forfait",IF(AR$20&gt;='01_Input'!$N$58,'01_Input'!$Q$58,0),IF('01_Input'!$P$58="Palier",IF(AND(AR$20&gt;='01_Input'!$N$58,AR$20&lt;'01_Input'!$O$58),'01_Input'!$Q$58,0),MAX(MIN(AR$20,'01_Input'!$O$58)-'01_Input'!$N$58,0)*'01_Input'!$Q$58))+IF('01_Input'!$T$58="Forfait",IF(AR$20&gt;='01_Input'!$R$58,'01_Input'!$U$58,0),IF('01_Input'!$T$58="Palier",IF(AND(AR$20&gt;='01_Input'!$R$58,AR$20&lt;'01_Input'!$S$58),'01_Input'!$U$58,0),MAX(MIN(AR$20,'01_Input'!$S$58)-'01_Input'!$R$58,0)*'01_Input'!$U$58))+IF('01_Input'!$X$58="Forfait",IF(AR$20&gt;='01_Input'!$V$58,'01_Input'!$Y$58,0),IF('01_Input'!$X$58="Palier",IF(AND(AR$20&gt;='01_Input'!$V$58,AR$20&lt;'01_Input'!$W$58),'01_Input'!$Y$58,0),MAX(MIN(AR$20,'01_Input'!$W$58)-'01_Input'!$V$58,0)*'01_Input'!$Y$58))+IF('01_Input'!$AB$58="Forfait",IF(AR$20&gt;='01_Input'!$Z$58,'01_Input'!$AC$58,0),IF('01_Input'!$AB$58="Palier",IF(AND(AR$20&gt;='01_Input'!$Z$58,AR$20&lt;'01_Input'!$AA$58),'01_Input'!$AC$58,0),MAX(MIN(AR$20,'01_Input'!$AA$58)-'01_Input'!$Z$58,0)*'01_Input'!$AC$58)))))))))</f>
        <v>5500</v>
      </c>
      <c r="AS26" s="83">
        <f>IF('01_Input'!$C$58="Non",0,MIN('01_Input'!$I$58,MAX('01_Input'!$H$58,IF('01_Input'!$G$58="Résiduel vs Gestion",0,IF('01_Input'!$G$58="Taux Classe sélectionnée",Distrib_Global_Classe_Selectionnee*AS$20,IF('01_Input'!$G$58="Frais KYC (paliers de 100M€)",MAX(0,Nb_Investisseurs-Nb_KYC_Gratuites_Par_Tranche*(FLOOR(AS$20/Taille_Tranche_KYC,1)+1))*Cout_Par_KYC_Supplementaire,(IF('01_Input'!$L$58="Forfait",IF(AS$20&gt;='01_Input'!$J$58,'01_Input'!$M$58,0),IF('01_Input'!$L$58="Palier",IF(AND(AS$20&gt;='01_Input'!$J$58,AS$20&lt;'01_Input'!$K$58),'01_Input'!$M$58,0),MAX(MIN(AS$20,'01_Input'!$K$58)-'01_Input'!$J$58,0)*'01_Input'!$M$58))+IF('01_Input'!$P$58="Forfait",IF(AS$20&gt;='01_Input'!$N$58,'01_Input'!$Q$58,0),IF('01_Input'!$P$58="Palier",IF(AND(AS$20&gt;='01_Input'!$N$58,AS$20&lt;'01_Input'!$O$58),'01_Input'!$Q$58,0),MAX(MIN(AS$20,'01_Input'!$O$58)-'01_Input'!$N$58,0)*'01_Input'!$Q$58))+IF('01_Input'!$T$58="Forfait",IF(AS$20&gt;='01_Input'!$R$58,'01_Input'!$U$58,0),IF('01_Input'!$T$58="Palier",IF(AND(AS$20&gt;='01_Input'!$R$58,AS$20&lt;'01_Input'!$S$58),'01_Input'!$U$58,0),MAX(MIN(AS$20,'01_Input'!$S$58)-'01_Input'!$R$58,0)*'01_Input'!$U$58))+IF('01_Input'!$X$58="Forfait",IF(AS$20&gt;='01_Input'!$V$58,'01_Input'!$Y$58,0),IF('01_Input'!$X$58="Palier",IF(AND(AS$20&gt;='01_Input'!$V$58,AS$20&lt;'01_Input'!$W$58),'01_Input'!$Y$58,0),MAX(MIN(AS$20,'01_Input'!$W$58)-'01_Input'!$V$58,0)*'01_Input'!$Y$58))+IF('01_Input'!$AB$58="Forfait",IF(AS$20&gt;='01_Input'!$Z$58,'01_Input'!$AC$58,0),IF('01_Input'!$AB$58="Palier",IF(AND(AS$20&gt;='01_Input'!$Z$58,AS$20&lt;'01_Input'!$AA$58),'01_Input'!$AC$58,0),MAX(MIN(AS$20,'01_Input'!$AA$58)-'01_Input'!$Z$58,0)*'01_Input'!$AC$58)))))))))</f>
        <v>5500</v>
      </c>
      <c r="AT26" s="83">
        <f>IF('01_Input'!$C$58="Non",0,MIN('01_Input'!$I$58,MAX('01_Input'!$H$58,IF('01_Input'!$G$58="Résiduel vs Gestion",0,IF('01_Input'!$G$58="Taux Classe sélectionnée",Distrib_Global_Classe_Selectionnee*AT$20,IF('01_Input'!$G$58="Frais KYC (paliers de 100M€)",MAX(0,Nb_Investisseurs-Nb_KYC_Gratuites_Par_Tranche*(FLOOR(AT$20/Taille_Tranche_KYC,1)+1))*Cout_Par_KYC_Supplementaire,(IF('01_Input'!$L$58="Forfait",IF(AT$20&gt;='01_Input'!$J$58,'01_Input'!$M$58,0),IF('01_Input'!$L$58="Palier",IF(AND(AT$20&gt;='01_Input'!$J$58,AT$20&lt;'01_Input'!$K$58),'01_Input'!$M$58,0),MAX(MIN(AT$20,'01_Input'!$K$58)-'01_Input'!$J$58,0)*'01_Input'!$M$58))+IF('01_Input'!$P$58="Forfait",IF(AT$20&gt;='01_Input'!$N$58,'01_Input'!$Q$58,0),IF('01_Input'!$P$58="Palier",IF(AND(AT$20&gt;='01_Input'!$N$58,AT$20&lt;'01_Input'!$O$58),'01_Input'!$Q$58,0),MAX(MIN(AT$20,'01_Input'!$O$58)-'01_Input'!$N$58,0)*'01_Input'!$Q$58))+IF('01_Input'!$T$58="Forfait",IF(AT$20&gt;='01_Input'!$R$58,'01_Input'!$U$58,0),IF('01_Input'!$T$58="Palier",IF(AND(AT$20&gt;='01_Input'!$R$58,AT$20&lt;'01_Input'!$S$58),'01_Input'!$U$58,0),MAX(MIN(AT$20,'01_Input'!$S$58)-'01_Input'!$R$58,0)*'01_Input'!$U$58))+IF('01_Input'!$X$58="Forfait",IF(AT$20&gt;='01_Input'!$V$58,'01_Input'!$Y$58,0),IF('01_Input'!$X$58="Palier",IF(AND(AT$20&gt;='01_Input'!$V$58,AT$20&lt;'01_Input'!$W$58),'01_Input'!$Y$58,0),MAX(MIN(AT$20,'01_Input'!$W$58)-'01_Input'!$V$58,0)*'01_Input'!$Y$58))+IF('01_Input'!$AB$58="Forfait",IF(AT$20&gt;='01_Input'!$Z$58,'01_Input'!$AC$58,0),IF('01_Input'!$AB$58="Palier",IF(AND(AT$20&gt;='01_Input'!$Z$58,AT$20&lt;'01_Input'!$AA$58),'01_Input'!$AC$58,0),MAX(MIN(AT$20,'01_Input'!$AA$58)-'01_Input'!$Z$58,0)*'01_Input'!$AC$58)))))))))</f>
        <v>5500</v>
      </c>
      <c r="AU26" s="83">
        <f>IF('01_Input'!$C$58="Non",0,MIN('01_Input'!$I$58,MAX('01_Input'!$H$58,IF('01_Input'!$G$58="Résiduel vs Gestion",0,IF('01_Input'!$G$58="Taux Classe sélectionnée",Distrib_Global_Classe_Selectionnee*AU$20,IF('01_Input'!$G$58="Frais KYC (paliers de 100M€)",MAX(0,Nb_Investisseurs-Nb_KYC_Gratuites_Par_Tranche*(FLOOR(AU$20/Taille_Tranche_KYC,1)+1))*Cout_Par_KYC_Supplementaire,(IF('01_Input'!$L$58="Forfait",IF(AU$20&gt;='01_Input'!$J$58,'01_Input'!$M$58,0),IF('01_Input'!$L$58="Palier",IF(AND(AU$20&gt;='01_Input'!$J$58,AU$20&lt;'01_Input'!$K$58),'01_Input'!$M$58,0),MAX(MIN(AU$20,'01_Input'!$K$58)-'01_Input'!$J$58,0)*'01_Input'!$M$58))+IF('01_Input'!$P$58="Forfait",IF(AU$20&gt;='01_Input'!$N$58,'01_Input'!$Q$58,0),IF('01_Input'!$P$58="Palier",IF(AND(AU$20&gt;='01_Input'!$N$58,AU$20&lt;'01_Input'!$O$58),'01_Input'!$Q$58,0),MAX(MIN(AU$20,'01_Input'!$O$58)-'01_Input'!$N$58,0)*'01_Input'!$Q$58))+IF('01_Input'!$T$58="Forfait",IF(AU$20&gt;='01_Input'!$R$58,'01_Input'!$U$58,0),IF('01_Input'!$T$58="Palier",IF(AND(AU$20&gt;='01_Input'!$R$58,AU$20&lt;'01_Input'!$S$58),'01_Input'!$U$58,0),MAX(MIN(AU$20,'01_Input'!$S$58)-'01_Input'!$R$58,0)*'01_Input'!$U$58))+IF('01_Input'!$X$58="Forfait",IF(AU$20&gt;='01_Input'!$V$58,'01_Input'!$Y$58,0),IF('01_Input'!$X$58="Palier",IF(AND(AU$20&gt;='01_Input'!$V$58,AU$20&lt;'01_Input'!$W$58),'01_Input'!$Y$58,0),MAX(MIN(AU$20,'01_Input'!$W$58)-'01_Input'!$V$58,0)*'01_Input'!$Y$58))+IF('01_Input'!$AB$58="Forfait",IF(AU$20&gt;='01_Input'!$Z$58,'01_Input'!$AC$58,0),IF('01_Input'!$AB$58="Palier",IF(AND(AU$20&gt;='01_Input'!$Z$58,AU$20&lt;'01_Input'!$AA$58),'01_Input'!$AC$58,0),MAX(MIN(AU$20,'01_Input'!$AA$58)-'01_Input'!$Z$58,0)*'01_Input'!$AC$58)))))))))</f>
        <v>5500</v>
      </c>
      <c r="AV26" s="83">
        <f>IF('01_Input'!$C$58="Non",0,MIN('01_Input'!$I$58,MAX('01_Input'!$H$58,IF('01_Input'!$G$58="Résiduel vs Gestion",0,IF('01_Input'!$G$58="Taux Classe sélectionnée",Distrib_Global_Classe_Selectionnee*AV$20,IF('01_Input'!$G$58="Frais KYC (paliers de 100M€)",MAX(0,Nb_Investisseurs-Nb_KYC_Gratuites_Par_Tranche*(FLOOR(AV$20/Taille_Tranche_KYC,1)+1))*Cout_Par_KYC_Supplementaire,(IF('01_Input'!$L$58="Forfait",IF(AV$20&gt;='01_Input'!$J$58,'01_Input'!$M$58,0),IF('01_Input'!$L$58="Palier",IF(AND(AV$20&gt;='01_Input'!$J$58,AV$20&lt;'01_Input'!$K$58),'01_Input'!$M$58,0),MAX(MIN(AV$20,'01_Input'!$K$58)-'01_Input'!$J$58,0)*'01_Input'!$M$58))+IF('01_Input'!$P$58="Forfait",IF(AV$20&gt;='01_Input'!$N$58,'01_Input'!$Q$58,0),IF('01_Input'!$P$58="Palier",IF(AND(AV$20&gt;='01_Input'!$N$58,AV$20&lt;'01_Input'!$O$58),'01_Input'!$Q$58,0),MAX(MIN(AV$20,'01_Input'!$O$58)-'01_Input'!$N$58,0)*'01_Input'!$Q$58))+IF('01_Input'!$T$58="Forfait",IF(AV$20&gt;='01_Input'!$R$58,'01_Input'!$U$58,0),IF('01_Input'!$T$58="Palier",IF(AND(AV$20&gt;='01_Input'!$R$58,AV$20&lt;'01_Input'!$S$58),'01_Input'!$U$58,0),MAX(MIN(AV$20,'01_Input'!$S$58)-'01_Input'!$R$58,0)*'01_Input'!$U$58))+IF('01_Input'!$X$58="Forfait",IF(AV$20&gt;='01_Input'!$V$58,'01_Input'!$Y$58,0),IF('01_Input'!$X$58="Palier",IF(AND(AV$20&gt;='01_Input'!$V$58,AV$20&lt;'01_Input'!$W$58),'01_Input'!$Y$58,0),MAX(MIN(AV$20,'01_Input'!$W$58)-'01_Input'!$V$58,0)*'01_Input'!$Y$58))+IF('01_Input'!$AB$58="Forfait",IF(AV$20&gt;='01_Input'!$Z$58,'01_Input'!$AC$58,0),IF('01_Input'!$AB$58="Palier",IF(AND(AV$20&gt;='01_Input'!$Z$58,AV$20&lt;'01_Input'!$AA$58),'01_Input'!$AC$58,0),MAX(MIN(AV$20,'01_Input'!$AA$58)-'01_Input'!$Z$58,0)*'01_Input'!$AC$58)))))))))</f>
        <v>5500</v>
      </c>
      <c r="AW26" s="83">
        <f>IF('01_Input'!$C$58="Non",0,MIN('01_Input'!$I$58,MAX('01_Input'!$H$58,IF('01_Input'!$G$58="Résiduel vs Gestion",0,IF('01_Input'!$G$58="Taux Classe sélectionnée",Distrib_Global_Classe_Selectionnee*AW$20,IF('01_Input'!$G$58="Frais KYC (paliers de 100M€)",MAX(0,Nb_Investisseurs-Nb_KYC_Gratuites_Par_Tranche*(FLOOR(AW$20/Taille_Tranche_KYC,1)+1))*Cout_Par_KYC_Supplementaire,(IF('01_Input'!$L$58="Forfait",IF(AW$20&gt;='01_Input'!$J$58,'01_Input'!$M$58,0),IF('01_Input'!$L$58="Palier",IF(AND(AW$20&gt;='01_Input'!$J$58,AW$20&lt;'01_Input'!$K$58),'01_Input'!$M$58,0),MAX(MIN(AW$20,'01_Input'!$K$58)-'01_Input'!$J$58,0)*'01_Input'!$M$58))+IF('01_Input'!$P$58="Forfait",IF(AW$20&gt;='01_Input'!$N$58,'01_Input'!$Q$58,0),IF('01_Input'!$P$58="Palier",IF(AND(AW$20&gt;='01_Input'!$N$58,AW$20&lt;'01_Input'!$O$58),'01_Input'!$Q$58,0),MAX(MIN(AW$20,'01_Input'!$O$58)-'01_Input'!$N$58,0)*'01_Input'!$Q$58))+IF('01_Input'!$T$58="Forfait",IF(AW$20&gt;='01_Input'!$R$58,'01_Input'!$U$58,0),IF('01_Input'!$T$58="Palier",IF(AND(AW$20&gt;='01_Input'!$R$58,AW$20&lt;'01_Input'!$S$58),'01_Input'!$U$58,0),MAX(MIN(AW$20,'01_Input'!$S$58)-'01_Input'!$R$58,0)*'01_Input'!$U$58))+IF('01_Input'!$X$58="Forfait",IF(AW$20&gt;='01_Input'!$V$58,'01_Input'!$Y$58,0),IF('01_Input'!$X$58="Palier",IF(AND(AW$20&gt;='01_Input'!$V$58,AW$20&lt;'01_Input'!$W$58),'01_Input'!$Y$58,0),MAX(MIN(AW$20,'01_Input'!$W$58)-'01_Input'!$V$58,0)*'01_Input'!$Y$58))+IF('01_Input'!$AB$58="Forfait",IF(AW$20&gt;='01_Input'!$Z$58,'01_Input'!$AC$58,0),IF('01_Input'!$AB$58="Palier",IF(AND(AW$20&gt;='01_Input'!$Z$58,AW$20&lt;'01_Input'!$AA$58),'01_Input'!$AC$58,0),MAX(MIN(AW$20,'01_Input'!$AA$58)-'01_Input'!$Z$58,0)*'01_Input'!$AC$58)))))))))</f>
        <v>5500</v>
      </c>
      <c r="AX26" s="83">
        <f>IF('01_Input'!$C$58="Non",0,MIN('01_Input'!$I$58,MAX('01_Input'!$H$58,IF('01_Input'!$G$58="Résiduel vs Gestion",0,IF('01_Input'!$G$58="Taux Classe sélectionnée",Distrib_Global_Classe_Selectionnee*AX$20,IF('01_Input'!$G$58="Frais KYC (paliers de 100M€)",MAX(0,Nb_Investisseurs-Nb_KYC_Gratuites_Par_Tranche*(FLOOR(AX$20/Taille_Tranche_KYC,1)+1))*Cout_Par_KYC_Supplementaire,(IF('01_Input'!$L$58="Forfait",IF(AX$20&gt;='01_Input'!$J$58,'01_Input'!$M$58,0),IF('01_Input'!$L$58="Palier",IF(AND(AX$20&gt;='01_Input'!$J$58,AX$20&lt;'01_Input'!$K$58),'01_Input'!$M$58,0),MAX(MIN(AX$20,'01_Input'!$K$58)-'01_Input'!$J$58,0)*'01_Input'!$M$58))+IF('01_Input'!$P$58="Forfait",IF(AX$20&gt;='01_Input'!$N$58,'01_Input'!$Q$58,0),IF('01_Input'!$P$58="Palier",IF(AND(AX$20&gt;='01_Input'!$N$58,AX$20&lt;'01_Input'!$O$58),'01_Input'!$Q$58,0),MAX(MIN(AX$20,'01_Input'!$O$58)-'01_Input'!$N$58,0)*'01_Input'!$Q$58))+IF('01_Input'!$T$58="Forfait",IF(AX$20&gt;='01_Input'!$R$58,'01_Input'!$U$58,0),IF('01_Input'!$T$58="Palier",IF(AND(AX$20&gt;='01_Input'!$R$58,AX$20&lt;'01_Input'!$S$58),'01_Input'!$U$58,0),MAX(MIN(AX$20,'01_Input'!$S$58)-'01_Input'!$R$58,0)*'01_Input'!$U$58))+IF('01_Input'!$X$58="Forfait",IF(AX$20&gt;='01_Input'!$V$58,'01_Input'!$Y$58,0),IF('01_Input'!$X$58="Palier",IF(AND(AX$20&gt;='01_Input'!$V$58,AX$20&lt;'01_Input'!$W$58),'01_Input'!$Y$58,0),MAX(MIN(AX$20,'01_Input'!$W$58)-'01_Input'!$V$58,0)*'01_Input'!$Y$58))+IF('01_Input'!$AB$58="Forfait",IF(AX$20&gt;='01_Input'!$Z$58,'01_Input'!$AC$58,0),IF('01_Input'!$AB$58="Palier",IF(AND(AX$20&gt;='01_Input'!$Z$58,AX$20&lt;'01_Input'!$AA$58),'01_Input'!$AC$58,0),MAX(MIN(AX$20,'01_Input'!$AA$58)-'01_Input'!$Z$58,0)*'01_Input'!$AC$58)))))))))</f>
        <v>5500</v>
      </c>
      <c r="AY26" s="83">
        <f>IF('01_Input'!$C$58="Non",0,MIN('01_Input'!$I$58,MAX('01_Input'!$H$58,IF('01_Input'!$G$58="Résiduel vs Gestion",0,IF('01_Input'!$G$58="Taux Classe sélectionnée",Distrib_Global_Classe_Selectionnee*AY$20,IF('01_Input'!$G$58="Frais KYC (paliers de 100M€)",MAX(0,Nb_Investisseurs-Nb_KYC_Gratuites_Par_Tranche*(FLOOR(AY$20/Taille_Tranche_KYC,1)+1))*Cout_Par_KYC_Supplementaire,(IF('01_Input'!$L$58="Forfait",IF(AY$20&gt;='01_Input'!$J$58,'01_Input'!$M$58,0),IF('01_Input'!$L$58="Palier",IF(AND(AY$20&gt;='01_Input'!$J$58,AY$20&lt;'01_Input'!$K$58),'01_Input'!$M$58,0),MAX(MIN(AY$20,'01_Input'!$K$58)-'01_Input'!$J$58,0)*'01_Input'!$M$58))+IF('01_Input'!$P$58="Forfait",IF(AY$20&gt;='01_Input'!$N$58,'01_Input'!$Q$58,0),IF('01_Input'!$P$58="Palier",IF(AND(AY$20&gt;='01_Input'!$N$58,AY$20&lt;'01_Input'!$O$58),'01_Input'!$Q$58,0),MAX(MIN(AY$20,'01_Input'!$O$58)-'01_Input'!$N$58,0)*'01_Input'!$Q$58))+IF('01_Input'!$T$58="Forfait",IF(AY$20&gt;='01_Input'!$R$58,'01_Input'!$U$58,0),IF('01_Input'!$T$58="Palier",IF(AND(AY$20&gt;='01_Input'!$R$58,AY$20&lt;'01_Input'!$S$58),'01_Input'!$U$58,0),MAX(MIN(AY$20,'01_Input'!$S$58)-'01_Input'!$R$58,0)*'01_Input'!$U$58))+IF('01_Input'!$X$58="Forfait",IF(AY$20&gt;='01_Input'!$V$58,'01_Input'!$Y$58,0),IF('01_Input'!$X$58="Palier",IF(AND(AY$20&gt;='01_Input'!$V$58,AY$20&lt;'01_Input'!$W$58),'01_Input'!$Y$58,0),MAX(MIN(AY$20,'01_Input'!$W$58)-'01_Input'!$V$58,0)*'01_Input'!$Y$58))+IF('01_Input'!$AB$58="Forfait",IF(AY$20&gt;='01_Input'!$Z$58,'01_Input'!$AC$58,0),IF('01_Input'!$AB$58="Palier",IF(AND(AY$20&gt;='01_Input'!$Z$58,AY$20&lt;'01_Input'!$AA$58),'01_Input'!$AC$58,0),MAX(MIN(AY$20,'01_Input'!$AA$58)-'01_Input'!$Z$58,0)*'01_Input'!$AC$58)))))))))</f>
        <v>5500</v>
      </c>
      <c r="AZ26" s="83">
        <f>IF('01_Input'!$C$58="Non",0,MIN('01_Input'!$I$58,MAX('01_Input'!$H$58,IF('01_Input'!$G$58="Résiduel vs Gestion",0,IF('01_Input'!$G$58="Taux Classe sélectionnée",Distrib_Global_Classe_Selectionnee*AZ$20,IF('01_Input'!$G$58="Frais KYC (paliers de 100M€)",MAX(0,Nb_Investisseurs-Nb_KYC_Gratuites_Par_Tranche*(FLOOR(AZ$20/Taille_Tranche_KYC,1)+1))*Cout_Par_KYC_Supplementaire,(IF('01_Input'!$L$58="Forfait",IF(AZ$20&gt;='01_Input'!$J$58,'01_Input'!$M$58,0),IF('01_Input'!$L$58="Palier",IF(AND(AZ$20&gt;='01_Input'!$J$58,AZ$20&lt;'01_Input'!$K$58),'01_Input'!$M$58,0),MAX(MIN(AZ$20,'01_Input'!$K$58)-'01_Input'!$J$58,0)*'01_Input'!$M$58))+IF('01_Input'!$P$58="Forfait",IF(AZ$20&gt;='01_Input'!$N$58,'01_Input'!$Q$58,0),IF('01_Input'!$P$58="Palier",IF(AND(AZ$20&gt;='01_Input'!$N$58,AZ$20&lt;'01_Input'!$O$58),'01_Input'!$Q$58,0),MAX(MIN(AZ$20,'01_Input'!$O$58)-'01_Input'!$N$58,0)*'01_Input'!$Q$58))+IF('01_Input'!$T$58="Forfait",IF(AZ$20&gt;='01_Input'!$R$58,'01_Input'!$U$58,0),IF('01_Input'!$T$58="Palier",IF(AND(AZ$20&gt;='01_Input'!$R$58,AZ$20&lt;'01_Input'!$S$58),'01_Input'!$U$58,0),MAX(MIN(AZ$20,'01_Input'!$S$58)-'01_Input'!$R$58,0)*'01_Input'!$U$58))+IF('01_Input'!$X$58="Forfait",IF(AZ$20&gt;='01_Input'!$V$58,'01_Input'!$Y$58,0),IF('01_Input'!$X$58="Palier",IF(AND(AZ$20&gt;='01_Input'!$V$58,AZ$20&lt;'01_Input'!$W$58),'01_Input'!$Y$58,0),MAX(MIN(AZ$20,'01_Input'!$W$58)-'01_Input'!$V$58,0)*'01_Input'!$Y$58))+IF('01_Input'!$AB$58="Forfait",IF(AZ$20&gt;='01_Input'!$Z$58,'01_Input'!$AC$58,0),IF('01_Input'!$AB$58="Palier",IF(AND(AZ$20&gt;='01_Input'!$Z$58,AZ$20&lt;'01_Input'!$AA$58),'01_Input'!$AC$58,0),MAX(MIN(AZ$20,'01_Input'!$AA$58)-'01_Input'!$Z$58,0)*'01_Input'!$AC$58)))))))))</f>
        <v>5500</v>
      </c>
      <c r="BA26" s="83">
        <f>IF('01_Input'!$C$58="Non",0,MIN('01_Input'!$I$58,MAX('01_Input'!$H$58,IF('01_Input'!$G$58="Résiduel vs Gestion",0,IF('01_Input'!$G$58="Taux Classe sélectionnée",Distrib_Global_Classe_Selectionnee*BA$20,IF('01_Input'!$G$58="Frais KYC (paliers de 100M€)",MAX(0,Nb_Investisseurs-Nb_KYC_Gratuites_Par_Tranche*(FLOOR(BA$20/Taille_Tranche_KYC,1)+1))*Cout_Par_KYC_Supplementaire,(IF('01_Input'!$L$58="Forfait",IF(BA$20&gt;='01_Input'!$J$58,'01_Input'!$M$58,0),IF('01_Input'!$L$58="Palier",IF(AND(BA$20&gt;='01_Input'!$J$58,BA$20&lt;'01_Input'!$K$58),'01_Input'!$M$58,0),MAX(MIN(BA$20,'01_Input'!$K$58)-'01_Input'!$J$58,0)*'01_Input'!$M$58))+IF('01_Input'!$P$58="Forfait",IF(BA$20&gt;='01_Input'!$N$58,'01_Input'!$Q$58,0),IF('01_Input'!$P$58="Palier",IF(AND(BA$20&gt;='01_Input'!$N$58,BA$20&lt;'01_Input'!$O$58),'01_Input'!$Q$58,0),MAX(MIN(BA$20,'01_Input'!$O$58)-'01_Input'!$N$58,0)*'01_Input'!$Q$58))+IF('01_Input'!$T$58="Forfait",IF(BA$20&gt;='01_Input'!$R$58,'01_Input'!$U$58,0),IF('01_Input'!$T$58="Palier",IF(AND(BA$20&gt;='01_Input'!$R$58,BA$20&lt;'01_Input'!$S$58),'01_Input'!$U$58,0),MAX(MIN(BA$20,'01_Input'!$S$58)-'01_Input'!$R$58,0)*'01_Input'!$U$58))+IF('01_Input'!$X$58="Forfait",IF(BA$20&gt;='01_Input'!$V$58,'01_Input'!$Y$58,0),IF('01_Input'!$X$58="Palier",IF(AND(BA$20&gt;='01_Input'!$V$58,BA$20&lt;'01_Input'!$W$58),'01_Input'!$Y$58,0),MAX(MIN(BA$20,'01_Input'!$W$58)-'01_Input'!$V$58,0)*'01_Input'!$Y$58))+IF('01_Input'!$AB$58="Forfait",IF(BA$20&gt;='01_Input'!$Z$58,'01_Input'!$AC$58,0),IF('01_Input'!$AB$58="Palier",IF(AND(BA$20&gt;='01_Input'!$Z$58,BA$20&lt;'01_Input'!$AA$58),'01_Input'!$AC$58,0),MAX(MIN(BA$20,'01_Input'!$AA$58)-'01_Input'!$Z$58,0)*'01_Input'!$AC$58)))))))))</f>
        <v>5500</v>
      </c>
      <c r="BB26" s="83">
        <f>IF('01_Input'!$C$58="Non",0,MIN('01_Input'!$I$58,MAX('01_Input'!$H$58,IF('01_Input'!$G$58="Résiduel vs Gestion",0,IF('01_Input'!$G$58="Taux Classe sélectionnée",Distrib_Global_Classe_Selectionnee*BB$20,IF('01_Input'!$G$58="Frais KYC (paliers de 100M€)",MAX(0,Nb_Investisseurs-Nb_KYC_Gratuites_Par_Tranche*(FLOOR(BB$20/Taille_Tranche_KYC,1)+1))*Cout_Par_KYC_Supplementaire,(IF('01_Input'!$L$58="Forfait",IF(BB$20&gt;='01_Input'!$J$58,'01_Input'!$M$58,0),IF('01_Input'!$L$58="Palier",IF(AND(BB$20&gt;='01_Input'!$J$58,BB$20&lt;'01_Input'!$K$58),'01_Input'!$M$58,0),MAX(MIN(BB$20,'01_Input'!$K$58)-'01_Input'!$J$58,0)*'01_Input'!$M$58))+IF('01_Input'!$P$58="Forfait",IF(BB$20&gt;='01_Input'!$N$58,'01_Input'!$Q$58,0),IF('01_Input'!$P$58="Palier",IF(AND(BB$20&gt;='01_Input'!$N$58,BB$20&lt;'01_Input'!$O$58),'01_Input'!$Q$58,0),MAX(MIN(BB$20,'01_Input'!$O$58)-'01_Input'!$N$58,0)*'01_Input'!$Q$58))+IF('01_Input'!$T$58="Forfait",IF(BB$20&gt;='01_Input'!$R$58,'01_Input'!$U$58,0),IF('01_Input'!$T$58="Palier",IF(AND(BB$20&gt;='01_Input'!$R$58,BB$20&lt;'01_Input'!$S$58),'01_Input'!$U$58,0),MAX(MIN(BB$20,'01_Input'!$S$58)-'01_Input'!$R$58,0)*'01_Input'!$U$58))+IF('01_Input'!$X$58="Forfait",IF(BB$20&gt;='01_Input'!$V$58,'01_Input'!$Y$58,0),IF('01_Input'!$X$58="Palier",IF(AND(BB$20&gt;='01_Input'!$V$58,BB$20&lt;'01_Input'!$W$58),'01_Input'!$Y$58,0),MAX(MIN(BB$20,'01_Input'!$W$58)-'01_Input'!$V$58,0)*'01_Input'!$Y$58))+IF('01_Input'!$AB$58="Forfait",IF(BB$20&gt;='01_Input'!$Z$58,'01_Input'!$AC$58,0),IF('01_Input'!$AB$58="Palier",IF(AND(BB$20&gt;='01_Input'!$Z$58,BB$20&lt;'01_Input'!$AA$58),'01_Input'!$AC$58,0),MAX(MIN(BB$20,'01_Input'!$AA$58)-'01_Input'!$Z$58,0)*'01_Input'!$AC$58)))))))))</f>
        <v>5500</v>
      </c>
      <c r="BC26" s="83">
        <f>IF('01_Input'!$C$58="Non",0,MIN('01_Input'!$I$58,MAX('01_Input'!$H$58,IF('01_Input'!$G$58="Résiduel vs Gestion",0,IF('01_Input'!$G$58="Taux Classe sélectionnée",Distrib_Global_Classe_Selectionnee*BC$20,IF('01_Input'!$G$58="Frais KYC (paliers de 100M€)",MAX(0,Nb_Investisseurs-Nb_KYC_Gratuites_Par_Tranche*(FLOOR(BC$20/Taille_Tranche_KYC,1)+1))*Cout_Par_KYC_Supplementaire,(IF('01_Input'!$L$58="Forfait",IF(BC$20&gt;='01_Input'!$J$58,'01_Input'!$M$58,0),IF('01_Input'!$L$58="Palier",IF(AND(BC$20&gt;='01_Input'!$J$58,BC$20&lt;'01_Input'!$K$58),'01_Input'!$M$58,0),MAX(MIN(BC$20,'01_Input'!$K$58)-'01_Input'!$J$58,0)*'01_Input'!$M$58))+IF('01_Input'!$P$58="Forfait",IF(BC$20&gt;='01_Input'!$N$58,'01_Input'!$Q$58,0),IF('01_Input'!$P$58="Palier",IF(AND(BC$20&gt;='01_Input'!$N$58,BC$20&lt;'01_Input'!$O$58),'01_Input'!$Q$58,0),MAX(MIN(BC$20,'01_Input'!$O$58)-'01_Input'!$N$58,0)*'01_Input'!$Q$58))+IF('01_Input'!$T$58="Forfait",IF(BC$20&gt;='01_Input'!$R$58,'01_Input'!$U$58,0),IF('01_Input'!$T$58="Palier",IF(AND(BC$20&gt;='01_Input'!$R$58,BC$20&lt;'01_Input'!$S$58),'01_Input'!$U$58,0),MAX(MIN(BC$20,'01_Input'!$S$58)-'01_Input'!$R$58,0)*'01_Input'!$U$58))+IF('01_Input'!$X$58="Forfait",IF(BC$20&gt;='01_Input'!$V$58,'01_Input'!$Y$58,0),IF('01_Input'!$X$58="Palier",IF(AND(BC$20&gt;='01_Input'!$V$58,BC$20&lt;'01_Input'!$W$58),'01_Input'!$Y$58,0),MAX(MIN(BC$20,'01_Input'!$W$58)-'01_Input'!$V$58,0)*'01_Input'!$Y$58))+IF('01_Input'!$AB$58="Forfait",IF(BC$20&gt;='01_Input'!$Z$58,'01_Input'!$AC$58,0),IF('01_Input'!$AB$58="Palier",IF(AND(BC$20&gt;='01_Input'!$Z$58,BC$20&lt;'01_Input'!$AA$58),'01_Input'!$AC$58,0),MAX(MIN(BC$20,'01_Input'!$AA$58)-'01_Input'!$Z$58,0)*'01_Input'!$AC$58)))))))))</f>
        <v>5500</v>
      </c>
      <c r="BD26" s="83">
        <f>IF('01_Input'!$C$58="Non",0,MIN('01_Input'!$I$58,MAX('01_Input'!$H$58,IF('01_Input'!$G$58="Résiduel vs Gestion",0,IF('01_Input'!$G$58="Taux Classe sélectionnée",Distrib_Global_Classe_Selectionnee*BD$20,IF('01_Input'!$G$58="Frais KYC (paliers de 100M€)",MAX(0,Nb_Investisseurs-Nb_KYC_Gratuites_Par_Tranche*(FLOOR(BD$20/Taille_Tranche_KYC,1)+1))*Cout_Par_KYC_Supplementaire,(IF('01_Input'!$L$58="Forfait",IF(BD$20&gt;='01_Input'!$J$58,'01_Input'!$M$58,0),IF('01_Input'!$L$58="Palier",IF(AND(BD$20&gt;='01_Input'!$J$58,BD$20&lt;'01_Input'!$K$58),'01_Input'!$M$58,0),MAX(MIN(BD$20,'01_Input'!$K$58)-'01_Input'!$J$58,0)*'01_Input'!$M$58))+IF('01_Input'!$P$58="Forfait",IF(BD$20&gt;='01_Input'!$N$58,'01_Input'!$Q$58,0),IF('01_Input'!$P$58="Palier",IF(AND(BD$20&gt;='01_Input'!$N$58,BD$20&lt;'01_Input'!$O$58),'01_Input'!$Q$58,0),MAX(MIN(BD$20,'01_Input'!$O$58)-'01_Input'!$N$58,0)*'01_Input'!$Q$58))+IF('01_Input'!$T$58="Forfait",IF(BD$20&gt;='01_Input'!$R$58,'01_Input'!$U$58,0),IF('01_Input'!$T$58="Palier",IF(AND(BD$20&gt;='01_Input'!$R$58,BD$20&lt;'01_Input'!$S$58),'01_Input'!$U$58,0),MAX(MIN(BD$20,'01_Input'!$S$58)-'01_Input'!$R$58,0)*'01_Input'!$U$58))+IF('01_Input'!$X$58="Forfait",IF(BD$20&gt;='01_Input'!$V$58,'01_Input'!$Y$58,0),IF('01_Input'!$X$58="Palier",IF(AND(BD$20&gt;='01_Input'!$V$58,BD$20&lt;'01_Input'!$W$58),'01_Input'!$Y$58,0),MAX(MIN(BD$20,'01_Input'!$W$58)-'01_Input'!$V$58,0)*'01_Input'!$Y$58))+IF('01_Input'!$AB$58="Forfait",IF(BD$20&gt;='01_Input'!$Z$58,'01_Input'!$AC$58,0),IF('01_Input'!$AB$58="Palier",IF(AND(BD$20&gt;='01_Input'!$Z$58,BD$20&lt;'01_Input'!$AA$58),'01_Input'!$AC$58,0),MAX(MIN(BD$20,'01_Input'!$AA$58)-'01_Input'!$Z$58,0)*'01_Input'!$AC$58)))))))))</f>
        <v>5500</v>
      </c>
      <c r="BE26" s="83">
        <f>IF('01_Input'!$C$58="Non",0,MIN('01_Input'!$I$58,MAX('01_Input'!$H$58,IF('01_Input'!$G$58="Résiduel vs Gestion",0,IF('01_Input'!$G$58="Taux Classe sélectionnée",Distrib_Global_Classe_Selectionnee*BE$20,IF('01_Input'!$G$58="Frais KYC (paliers de 100M€)",MAX(0,Nb_Investisseurs-Nb_KYC_Gratuites_Par_Tranche*(FLOOR(BE$20/Taille_Tranche_KYC,1)+1))*Cout_Par_KYC_Supplementaire,(IF('01_Input'!$L$58="Forfait",IF(BE$20&gt;='01_Input'!$J$58,'01_Input'!$M$58,0),IF('01_Input'!$L$58="Palier",IF(AND(BE$20&gt;='01_Input'!$J$58,BE$20&lt;'01_Input'!$K$58),'01_Input'!$M$58,0),MAX(MIN(BE$20,'01_Input'!$K$58)-'01_Input'!$J$58,0)*'01_Input'!$M$58))+IF('01_Input'!$P$58="Forfait",IF(BE$20&gt;='01_Input'!$N$58,'01_Input'!$Q$58,0),IF('01_Input'!$P$58="Palier",IF(AND(BE$20&gt;='01_Input'!$N$58,BE$20&lt;'01_Input'!$O$58),'01_Input'!$Q$58,0),MAX(MIN(BE$20,'01_Input'!$O$58)-'01_Input'!$N$58,0)*'01_Input'!$Q$58))+IF('01_Input'!$T$58="Forfait",IF(BE$20&gt;='01_Input'!$R$58,'01_Input'!$U$58,0),IF('01_Input'!$T$58="Palier",IF(AND(BE$20&gt;='01_Input'!$R$58,BE$20&lt;'01_Input'!$S$58),'01_Input'!$U$58,0),MAX(MIN(BE$20,'01_Input'!$S$58)-'01_Input'!$R$58,0)*'01_Input'!$U$58))+IF('01_Input'!$X$58="Forfait",IF(BE$20&gt;='01_Input'!$V$58,'01_Input'!$Y$58,0),IF('01_Input'!$X$58="Palier",IF(AND(BE$20&gt;='01_Input'!$V$58,BE$20&lt;'01_Input'!$W$58),'01_Input'!$Y$58,0),MAX(MIN(BE$20,'01_Input'!$W$58)-'01_Input'!$V$58,0)*'01_Input'!$Y$58))+IF('01_Input'!$AB$58="Forfait",IF(BE$20&gt;='01_Input'!$Z$58,'01_Input'!$AC$58,0),IF('01_Input'!$AB$58="Palier",IF(AND(BE$20&gt;='01_Input'!$Z$58,BE$20&lt;'01_Input'!$AA$58),'01_Input'!$AC$58,0),MAX(MIN(BE$20,'01_Input'!$AA$58)-'01_Input'!$Z$58,0)*'01_Input'!$AC$58)))))))))</f>
        <v>5500</v>
      </c>
      <c r="BF26" s="83">
        <f>IF('01_Input'!$C$58="Non",0,MIN('01_Input'!$I$58,MAX('01_Input'!$H$58,IF('01_Input'!$G$58="Résiduel vs Gestion",0,IF('01_Input'!$G$58="Taux Classe sélectionnée",Distrib_Global_Classe_Selectionnee*BF$20,IF('01_Input'!$G$58="Frais KYC (paliers de 100M€)",MAX(0,Nb_Investisseurs-Nb_KYC_Gratuites_Par_Tranche*(FLOOR(BF$20/Taille_Tranche_KYC,1)+1))*Cout_Par_KYC_Supplementaire,(IF('01_Input'!$L$58="Forfait",IF(BF$20&gt;='01_Input'!$J$58,'01_Input'!$M$58,0),IF('01_Input'!$L$58="Palier",IF(AND(BF$20&gt;='01_Input'!$J$58,BF$20&lt;'01_Input'!$K$58),'01_Input'!$M$58,0),MAX(MIN(BF$20,'01_Input'!$K$58)-'01_Input'!$J$58,0)*'01_Input'!$M$58))+IF('01_Input'!$P$58="Forfait",IF(BF$20&gt;='01_Input'!$N$58,'01_Input'!$Q$58,0),IF('01_Input'!$P$58="Palier",IF(AND(BF$20&gt;='01_Input'!$N$58,BF$20&lt;'01_Input'!$O$58),'01_Input'!$Q$58,0),MAX(MIN(BF$20,'01_Input'!$O$58)-'01_Input'!$N$58,0)*'01_Input'!$Q$58))+IF('01_Input'!$T$58="Forfait",IF(BF$20&gt;='01_Input'!$R$58,'01_Input'!$U$58,0),IF('01_Input'!$T$58="Palier",IF(AND(BF$20&gt;='01_Input'!$R$58,BF$20&lt;'01_Input'!$S$58),'01_Input'!$U$58,0),MAX(MIN(BF$20,'01_Input'!$S$58)-'01_Input'!$R$58,0)*'01_Input'!$U$58))+IF('01_Input'!$X$58="Forfait",IF(BF$20&gt;='01_Input'!$V$58,'01_Input'!$Y$58,0),IF('01_Input'!$X$58="Palier",IF(AND(BF$20&gt;='01_Input'!$V$58,BF$20&lt;'01_Input'!$W$58),'01_Input'!$Y$58,0),MAX(MIN(BF$20,'01_Input'!$W$58)-'01_Input'!$V$58,0)*'01_Input'!$Y$58))+IF('01_Input'!$AB$58="Forfait",IF(BF$20&gt;='01_Input'!$Z$58,'01_Input'!$AC$58,0),IF('01_Input'!$AB$58="Palier",IF(AND(BF$20&gt;='01_Input'!$Z$58,BF$20&lt;'01_Input'!$AA$58),'01_Input'!$AC$58,0),MAX(MIN(BF$20,'01_Input'!$AA$58)-'01_Input'!$Z$58,0)*'01_Input'!$AC$58)))))))))</f>
        <v>5500</v>
      </c>
      <c r="BG26" s="83">
        <f>IF('01_Input'!$C$58="Non",0,MIN('01_Input'!$I$58,MAX('01_Input'!$H$58,IF('01_Input'!$G$58="Résiduel vs Gestion",0,IF('01_Input'!$G$58="Taux Classe sélectionnée",Distrib_Global_Classe_Selectionnee*BG$20,IF('01_Input'!$G$58="Frais KYC (paliers de 100M€)",MAX(0,Nb_Investisseurs-Nb_KYC_Gratuites_Par_Tranche*(FLOOR(BG$20/Taille_Tranche_KYC,1)+1))*Cout_Par_KYC_Supplementaire,(IF('01_Input'!$L$58="Forfait",IF(BG$20&gt;='01_Input'!$J$58,'01_Input'!$M$58,0),IF('01_Input'!$L$58="Palier",IF(AND(BG$20&gt;='01_Input'!$J$58,BG$20&lt;'01_Input'!$K$58),'01_Input'!$M$58,0),MAX(MIN(BG$20,'01_Input'!$K$58)-'01_Input'!$J$58,0)*'01_Input'!$M$58))+IF('01_Input'!$P$58="Forfait",IF(BG$20&gt;='01_Input'!$N$58,'01_Input'!$Q$58,0),IF('01_Input'!$P$58="Palier",IF(AND(BG$20&gt;='01_Input'!$N$58,BG$20&lt;'01_Input'!$O$58),'01_Input'!$Q$58,0),MAX(MIN(BG$20,'01_Input'!$O$58)-'01_Input'!$N$58,0)*'01_Input'!$Q$58))+IF('01_Input'!$T$58="Forfait",IF(BG$20&gt;='01_Input'!$R$58,'01_Input'!$U$58,0),IF('01_Input'!$T$58="Palier",IF(AND(BG$20&gt;='01_Input'!$R$58,BG$20&lt;'01_Input'!$S$58),'01_Input'!$U$58,0),MAX(MIN(BG$20,'01_Input'!$S$58)-'01_Input'!$R$58,0)*'01_Input'!$U$58))+IF('01_Input'!$X$58="Forfait",IF(BG$20&gt;='01_Input'!$V$58,'01_Input'!$Y$58,0),IF('01_Input'!$X$58="Palier",IF(AND(BG$20&gt;='01_Input'!$V$58,BG$20&lt;'01_Input'!$W$58),'01_Input'!$Y$58,0),MAX(MIN(BG$20,'01_Input'!$W$58)-'01_Input'!$V$58,0)*'01_Input'!$Y$58))+IF('01_Input'!$AB$58="Forfait",IF(BG$20&gt;='01_Input'!$Z$58,'01_Input'!$AC$58,0),IF('01_Input'!$AB$58="Palier",IF(AND(BG$20&gt;='01_Input'!$Z$58,BG$20&lt;'01_Input'!$AA$58),'01_Input'!$AC$58,0),MAX(MIN(BG$20,'01_Input'!$AA$58)-'01_Input'!$Z$58,0)*'01_Input'!$AC$58)))))))))</f>
        <v>5500</v>
      </c>
      <c r="BH26" s="83">
        <f>IF('01_Input'!$C$58="Non",0,MIN('01_Input'!$I$58,MAX('01_Input'!$H$58,IF('01_Input'!$G$58="Résiduel vs Gestion",0,IF('01_Input'!$G$58="Taux Classe sélectionnée",Distrib_Global_Classe_Selectionnee*BH$20,IF('01_Input'!$G$58="Frais KYC (paliers de 100M€)",MAX(0,Nb_Investisseurs-Nb_KYC_Gratuites_Par_Tranche*(FLOOR(BH$20/Taille_Tranche_KYC,1)+1))*Cout_Par_KYC_Supplementaire,(IF('01_Input'!$L$58="Forfait",IF(BH$20&gt;='01_Input'!$J$58,'01_Input'!$M$58,0),IF('01_Input'!$L$58="Palier",IF(AND(BH$20&gt;='01_Input'!$J$58,BH$20&lt;'01_Input'!$K$58),'01_Input'!$M$58,0),MAX(MIN(BH$20,'01_Input'!$K$58)-'01_Input'!$J$58,0)*'01_Input'!$M$58))+IF('01_Input'!$P$58="Forfait",IF(BH$20&gt;='01_Input'!$N$58,'01_Input'!$Q$58,0),IF('01_Input'!$P$58="Palier",IF(AND(BH$20&gt;='01_Input'!$N$58,BH$20&lt;'01_Input'!$O$58),'01_Input'!$Q$58,0),MAX(MIN(BH$20,'01_Input'!$O$58)-'01_Input'!$N$58,0)*'01_Input'!$Q$58))+IF('01_Input'!$T$58="Forfait",IF(BH$20&gt;='01_Input'!$R$58,'01_Input'!$U$58,0),IF('01_Input'!$T$58="Palier",IF(AND(BH$20&gt;='01_Input'!$R$58,BH$20&lt;'01_Input'!$S$58),'01_Input'!$U$58,0),MAX(MIN(BH$20,'01_Input'!$S$58)-'01_Input'!$R$58,0)*'01_Input'!$U$58))+IF('01_Input'!$X$58="Forfait",IF(BH$20&gt;='01_Input'!$V$58,'01_Input'!$Y$58,0),IF('01_Input'!$X$58="Palier",IF(AND(BH$20&gt;='01_Input'!$V$58,BH$20&lt;'01_Input'!$W$58),'01_Input'!$Y$58,0),MAX(MIN(BH$20,'01_Input'!$W$58)-'01_Input'!$V$58,0)*'01_Input'!$Y$58))+IF('01_Input'!$AB$58="Forfait",IF(BH$20&gt;='01_Input'!$Z$58,'01_Input'!$AC$58,0),IF('01_Input'!$AB$58="Palier",IF(AND(BH$20&gt;='01_Input'!$Z$58,BH$20&lt;'01_Input'!$AA$58),'01_Input'!$AC$58,0),MAX(MIN(BH$20,'01_Input'!$AA$58)-'01_Input'!$Z$58,0)*'01_Input'!$AC$58)))))))))</f>
        <v>5500</v>
      </c>
      <c r="BI26" s="83">
        <f>IF('01_Input'!$C$58="Non",0,MIN('01_Input'!$I$58,MAX('01_Input'!$H$58,IF('01_Input'!$G$58="Résiduel vs Gestion",0,IF('01_Input'!$G$58="Taux Classe sélectionnée",Distrib_Global_Classe_Selectionnee*BI$20,IF('01_Input'!$G$58="Frais KYC (paliers de 100M€)",MAX(0,Nb_Investisseurs-Nb_KYC_Gratuites_Par_Tranche*(FLOOR(BI$20/Taille_Tranche_KYC,1)+1))*Cout_Par_KYC_Supplementaire,(IF('01_Input'!$L$58="Forfait",IF(BI$20&gt;='01_Input'!$J$58,'01_Input'!$M$58,0),IF('01_Input'!$L$58="Palier",IF(AND(BI$20&gt;='01_Input'!$J$58,BI$20&lt;'01_Input'!$K$58),'01_Input'!$M$58,0),MAX(MIN(BI$20,'01_Input'!$K$58)-'01_Input'!$J$58,0)*'01_Input'!$M$58))+IF('01_Input'!$P$58="Forfait",IF(BI$20&gt;='01_Input'!$N$58,'01_Input'!$Q$58,0),IF('01_Input'!$P$58="Palier",IF(AND(BI$20&gt;='01_Input'!$N$58,BI$20&lt;'01_Input'!$O$58),'01_Input'!$Q$58,0),MAX(MIN(BI$20,'01_Input'!$O$58)-'01_Input'!$N$58,0)*'01_Input'!$Q$58))+IF('01_Input'!$T$58="Forfait",IF(BI$20&gt;='01_Input'!$R$58,'01_Input'!$U$58,0),IF('01_Input'!$T$58="Palier",IF(AND(BI$20&gt;='01_Input'!$R$58,BI$20&lt;'01_Input'!$S$58),'01_Input'!$U$58,0),MAX(MIN(BI$20,'01_Input'!$S$58)-'01_Input'!$R$58,0)*'01_Input'!$U$58))+IF('01_Input'!$X$58="Forfait",IF(BI$20&gt;='01_Input'!$V$58,'01_Input'!$Y$58,0),IF('01_Input'!$X$58="Palier",IF(AND(BI$20&gt;='01_Input'!$V$58,BI$20&lt;'01_Input'!$W$58),'01_Input'!$Y$58,0),MAX(MIN(BI$20,'01_Input'!$W$58)-'01_Input'!$V$58,0)*'01_Input'!$Y$58))+IF('01_Input'!$AB$58="Forfait",IF(BI$20&gt;='01_Input'!$Z$58,'01_Input'!$AC$58,0),IF('01_Input'!$AB$58="Palier",IF(AND(BI$20&gt;='01_Input'!$Z$58,BI$20&lt;'01_Input'!$AA$58),'01_Input'!$AC$58,0),MAX(MIN(BI$20,'01_Input'!$AA$58)-'01_Input'!$Z$58,0)*'01_Input'!$AC$58)))))))))</f>
        <v>5500</v>
      </c>
      <c r="BJ26" s="83">
        <f>IF('01_Input'!$C$58="Non",0,MIN('01_Input'!$I$58,MAX('01_Input'!$H$58,IF('01_Input'!$G$58="Résiduel vs Gestion",0,IF('01_Input'!$G$58="Taux Classe sélectionnée",Distrib_Global_Classe_Selectionnee*BJ$20,IF('01_Input'!$G$58="Frais KYC (paliers de 100M€)",MAX(0,Nb_Investisseurs-Nb_KYC_Gratuites_Par_Tranche*(FLOOR(BJ$20/Taille_Tranche_KYC,1)+1))*Cout_Par_KYC_Supplementaire,(IF('01_Input'!$L$58="Forfait",IF(BJ$20&gt;='01_Input'!$J$58,'01_Input'!$M$58,0),IF('01_Input'!$L$58="Palier",IF(AND(BJ$20&gt;='01_Input'!$J$58,BJ$20&lt;'01_Input'!$K$58),'01_Input'!$M$58,0),MAX(MIN(BJ$20,'01_Input'!$K$58)-'01_Input'!$J$58,0)*'01_Input'!$M$58))+IF('01_Input'!$P$58="Forfait",IF(BJ$20&gt;='01_Input'!$N$58,'01_Input'!$Q$58,0),IF('01_Input'!$P$58="Palier",IF(AND(BJ$20&gt;='01_Input'!$N$58,BJ$20&lt;'01_Input'!$O$58),'01_Input'!$Q$58,0),MAX(MIN(BJ$20,'01_Input'!$O$58)-'01_Input'!$N$58,0)*'01_Input'!$Q$58))+IF('01_Input'!$T$58="Forfait",IF(BJ$20&gt;='01_Input'!$R$58,'01_Input'!$U$58,0),IF('01_Input'!$T$58="Palier",IF(AND(BJ$20&gt;='01_Input'!$R$58,BJ$20&lt;'01_Input'!$S$58),'01_Input'!$U$58,0),MAX(MIN(BJ$20,'01_Input'!$S$58)-'01_Input'!$R$58,0)*'01_Input'!$U$58))+IF('01_Input'!$X$58="Forfait",IF(BJ$20&gt;='01_Input'!$V$58,'01_Input'!$Y$58,0),IF('01_Input'!$X$58="Palier",IF(AND(BJ$20&gt;='01_Input'!$V$58,BJ$20&lt;'01_Input'!$W$58),'01_Input'!$Y$58,0),MAX(MIN(BJ$20,'01_Input'!$W$58)-'01_Input'!$V$58,0)*'01_Input'!$Y$58))+IF('01_Input'!$AB$58="Forfait",IF(BJ$20&gt;='01_Input'!$Z$58,'01_Input'!$AC$58,0),IF('01_Input'!$AB$58="Palier",IF(AND(BJ$20&gt;='01_Input'!$Z$58,BJ$20&lt;'01_Input'!$AA$58),'01_Input'!$AC$58,0),MAX(MIN(BJ$20,'01_Input'!$AA$58)-'01_Input'!$Z$58,0)*'01_Input'!$AC$58)))))))))</f>
        <v>5500</v>
      </c>
      <c r="BK26" s="83">
        <f>IF('01_Input'!$C$58="Non",0,MIN('01_Input'!$I$58,MAX('01_Input'!$H$58,IF('01_Input'!$G$58="Résiduel vs Gestion",0,IF('01_Input'!$G$58="Taux Classe sélectionnée",Distrib_Global_Classe_Selectionnee*BK$20,IF('01_Input'!$G$58="Frais KYC (paliers de 100M€)",MAX(0,Nb_Investisseurs-Nb_KYC_Gratuites_Par_Tranche*(FLOOR(BK$20/Taille_Tranche_KYC,1)+1))*Cout_Par_KYC_Supplementaire,(IF('01_Input'!$L$58="Forfait",IF(BK$20&gt;='01_Input'!$J$58,'01_Input'!$M$58,0),IF('01_Input'!$L$58="Palier",IF(AND(BK$20&gt;='01_Input'!$J$58,BK$20&lt;'01_Input'!$K$58),'01_Input'!$M$58,0),MAX(MIN(BK$20,'01_Input'!$K$58)-'01_Input'!$J$58,0)*'01_Input'!$M$58))+IF('01_Input'!$P$58="Forfait",IF(BK$20&gt;='01_Input'!$N$58,'01_Input'!$Q$58,0),IF('01_Input'!$P$58="Palier",IF(AND(BK$20&gt;='01_Input'!$N$58,BK$20&lt;'01_Input'!$O$58),'01_Input'!$Q$58,0),MAX(MIN(BK$20,'01_Input'!$O$58)-'01_Input'!$N$58,0)*'01_Input'!$Q$58))+IF('01_Input'!$T$58="Forfait",IF(BK$20&gt;='01_Input'!$R$58,'01_Input'!$U$58,0),IF('01_Input'!$T$58="Palier",IF(AND(BK$20&gt;='01_Input'!$R$58,BK$20&lt;'01_Input'!$S$58),'01_Input'!$U$58,0),MAX(MIN(BK$20,'01_Input'!$S$58)-'01_Input'!$R$58,0)*'01_Input'!$U$58))+IF('01_Input'!$X$58="Forfait",IF(BK$20&gt;='01_Input'!$V$58,'01_Input'!$Y$58,0),IF('01_Input'!$X$58="Palier",IF(AND(BK$20&gt;='01_Input'!$V$58,BK$20&lt;'01_Input'!$W$58),'01_Input'!$Y$58,0),MAX(MIN(BK$20,'01_Input'!$W$58)-'01_Input'!$V$58,0)*'01_Input'!$Y$58))+IF('01_Input'!$AB$58="Forfait",IF(BK$20&gt;='01_Input'!$Z$58,'01_Input'!$AC$58,0),IF('01_Input'!$AB$58="Palier",IF(AND(BK$20&gt;='01_Input'!$Z$58,BK$20&lt;'01_Input'!$AA$58),'01_Input'!$AC$58,0),MAX(MIN(BK$20,'01_Input'!$AA$58)-'01_Input'!$Z$58,0)*'01_Input'!$AC$58)))))))))</f>
        <v>5500</v>
      </c>
      <c r="BL26" s="83">
        <f>IF('01_Input'!$C$58="Non",0,MIN('01_Input'!$I$58,MAX('01_Input'!$H$58,IF('01_Input'!$G$58="Résiduel vs Gestion",0,IF('01_Input'!$G$58="Taux Classe sélectionnée",Distrib_Global_Classe_Selectionnee*BL$20,IF('01_Input'!$G$58="Frais KYC (paliers de 100M€)",MAX(0,Nb_Investisseurs-Nb_KYC_Gratuites_Par_Tranche*(FLOOR(BL$20/Taille_Tranche_KYC,1)+1))*Cout_Par_KYC_Supplementaire,(IF('01_Input'!$L$58="Forfait",IF(BL$20&gt;='01_Input'!$J$58,'01_Input'!$M$58,0),IF('01_Input'!$L$58="Palier",IF(AND(BL$20&gt;='01_Input'!$J$58,BL$20&lt;'01_Input'!$K$58),'01_Input'!$M$58,0),MAX(MIN(BL$20,'01_Input'!$K$58)-'01_Input'!$J$58,0)*'01_Input'!$M$58))+IF('01_Input'!$P$58="Forfait",IF(BL$20&gt;='01_Input'!$N$58,'01_Input'!$Q$58,0),IF('01_Input'!$P$58="Palier",IF(AND(BL$20&gt;='01_Input'!$N$58,BL$20&lt;'01_Input'!$O$58),'01_Input'!$Q$58,0),MAX(MIN(BL$20,'01_Input'!$O$58)-'01_Input'!$N$58,0)*'01_Input'!$Q$58))+IF('01_Input'!$T$58="Forfait",IF(BL$20&gt;='01_Input'!$R$58,'01_Input'!$U$58,0),IF('01_Input'!$T$58="Palier",IF(AND(BL$20&gt;='01_Input'!$R$58,BL$20&lt;'01_Input'!$S$58),'01_Input'!$U$58,0),MAX(MIN(BL$20,'01_Input'!$S$58)-'01_Input'!$R$58,0)*'01_Input'!$U$58))+IF('01_Input'!$X$58="Forfait",IF(BL$20&gt;='01_Input'!$V$58,'01_Input'!$Y$58,0),IF('01_Input'!$X$58="Palier",IF(AND(BL$20&gt;='01_Input'!$V$58,BL$20&lt;'01_Input'!$W$58),'01_Input'!$Y$58,0),MAX(MIN(BL$20,'01_Input'!$W$58)-'01_Input'!$V$58,0)*'01_Input'!$Y$58))+IF('01_Input'!$AB$58="Forfait",IF(BL$20&gt;='01_Input'!$Z$58,'01_Input'!$AC$58,0),IF('01_Input'!$AB$58="Palier",IF(AND(BL$20&gt;='01_Input'!$Z$58,BL$20&lt;'01_Input'!$AA$58),'01_Input'!$AC$58,0),MAX(MIN(BL$20,'01_Input'!$AA$58)-'01_Input'!$Z$58,0)*'01_Input'!$AC$58)))))))))</f>
        <v>5500</v>
      </c>
      <c r="BM26" s="83">
        <f>IF('01_Input'!$C$58="Non",0,MIN('01_Input'!$I$58,MAX('01_Input'!$H$58,IF('01_Input'!$G$58="Résiduel vs Gestion",0,IF('01_Input'!$G$58="Taux Classe sélectionnée",Distrib_Global_Classe_Selectionnee*BM$20,IF('01_Input'!$G$58="Frais KYC (paliers de 100M€)",MAX(0,Nb_Investisseurs-Nb_KYC_Gratuites_Par_Tranche*(FLOOR(BM$20/Taille_Tranche_KYC,1)+1))*Cout_Par_KYC_Supplementaire,(IF('01_Input'!$L$58="Forfait",IF(BM$20&gt;='01_Input'!$J$58,'01_Input'!$M$58,0),IF('01_Input'!$L$58="Palier",IF(AND(BM$20&gt;='01_Input'!$J$58,BM$20&lt;'01_Input'!$K$58),'01_Input'!$M$58,0),MAX(MIN(BM$20,'01_Input'!$K$58)-'01_Input'!$J$58,0)*'01_Input'!$M$58))+IF('01_Input'!$P$58="Forfait",IF(BM$20&gt;='01_Input'!$N$58,'01_Input'!$Q$58,0),IF('01_Input'!$P$58="Palier",IF(AND(BM$20&gt;='01_Input'!$N$58,BM$20&lt;'01_Input'!$O$58),'01_Input'!$Q$58,0),MAX(MIN(BM$20,'01_Input'!$O$58)-'01_Input'!$N$58,0)*'01_Input'!$Q$58))+IF('01_Input'!$T$58="Forfait",IF(BM$20&gt;='01_Input'!$R$58,'01_Input'!$U$58,0),IF('01_Input'!$T$58="Palier",IF(AND(BM$20&gt;='01_Input'!$R$58,BM$20&lt;'01_Input'!$S$58),'01_Input'!$U$58,0),MAX(MIN(BM$20,'01_Input'!$S$58)-'01_Input'!$R$58,0)*'01_Input'!$U$58))+IF('01_Input'!$X$58="Forfait",IF(BM$20&gt;='01_Input'!$V$58,'01_Input'!$Y$58,0),IF('01_Input'!$X$58="Palier",IF(AND(BM$20&gt;='01_Input'!$V$58,BM$20&lt;'01_Input'!$W$58),'01_Input'!$Y$58,0),MAX(MIN(BM$20,'01_Input'!$W$58)-'01_Input'!$V$58,0)*'01_Input'!$Y$58))+IF('01_Input'!$AB$58="Forfait",IF(BM$20&gt;='01_Input'!$Z$58,'01_Input'!$AC$58,0),IF('01_Input'!$AB$58="Palier",IF(AND(BM$20&gt;='01_Input'!$Z$58,BM$20&lt;'01_Input'!$AA$58),'01_Input'!$AC$58,0),MAX(MIN(BM$20,'01_Input'!$AA$58)-'01_Input'!$Z$58,0)*'01_Input'!$AC$58)))))))))</f>
        <v>5500</v>
      </c>
      <c r="BN26" s="83">
        <f>IF('01_Input'!$C$58="Non",0,MIN('01_Input'!$I$58,MAX('01_Input'!$H$58,IF('01_Input'!$G$58="Résiduel vs Gestion",0,IF('01_Input'!$G$58="Taux Classe sélectionnée",Distrib_Global_Classe_Selectionnee*BN$20,IF('01_Input'!$G$58="Frais KYC (paliers de 100M€)",MAX(0,Nb_Investisseurs-Nb_KYC_Gratuites_Par_Tranche*(FLOOR(BN$20/Taille_Tranche_KYC,1)+1))*Cout_Par_KYC_Supplementaire,(IF('01_Input'!$L$58="Forfait",IF(BN$20&gt;='01_Input'!$J$58,'01_Input'!$M$58,0),IF('01_Input'!$L$58="Palier",IF(AND(BN$20&gt;='01_Input'!$J$58,BN$20&lt;'01_Input'!$K$58),'01_Input'!$M$58,0),MAX(MIN(BN$20,'01_Input'!$K$58)-'01_Input'!$J$58,0)*'01_Input'!$M$58))+IF('01_Input'!$P$58="Forfait",IF(BN$20&gt;='01_Input'!$N$58,'01_Input'!$Q$58,0),IF('01_Input'!$P$58="Palier",IF(AND(BN$20&gt;='01_Input'!$N$58,BN$20&lt;'01_Input'!$O$58),'01_Input'!$Q$58,0),MAX(MIN(BN$20,'01_Input'!$O$58)-'01_Input'!$N$58,0)*'01_Input'!$Q$58))+IF('01_Input'!$T$58="Forfait",IF(BN$20&gt;='01_Input'!$R$58,'01_Input'!$U$58,0),IF('01_Input'!$T$58="Palier",IF(AND(BN$20&gt;='01_Input'!$R$58,BN$20&lt;'01_Input'!$S$58),'01_Input'!$U$58,0),MAX(MIN(BN$20,'01_Input'!$S$58)-'01_Input'!$R$58,0)*'01_Input'!$U$58))+IF('01_Input'!$X$58="Forfait",IF(BN$20&gt;='01_Input'!$V$58,'01_Input'!$Y$58,0),IF('01_Input'!$X$58="Palier",IF(AND(BN$20&gt;='01_Input'!$V$58,BN$20&lt;'01_Input'!$W$58),'01_Input'!$Y$58,0),MAX(MIN(BN$20,'01_Input'!$W$58)-'01_Input'!$V$58,0)*'01_Input'!$Y$58))+IF('01_Input'!$AB$58="Forfait",IF(BN$20&gt;='01_Input'!$Z$58,'01_Input'!$AC$58,0),IF('01_Input'!$AB$58="Palier",IF(AND(BN$20&gt;='01_Input'!$Z$58,BN$20&lt;'01_Input'!$AA$58),'01_Input'!$AC$58,0),MAX(MIN(BN$20,'01_Input'!$AA$58)-'01_Input'!$Z$58,0)*'01_Input'!$AC$58)))))))))</f>
        <v>5500</v>
      </c>
      <c r="BO26" s="83">
        <f>IF('01_Input'!$C$58="Non",0,MIN('01_Input'!$I$58,MAX('01_Input'!$H$58,IF('01_Input'!$G$58="Résiduel vs Gestion",0,IF('01_Input'!$G$58="Taux Classe sélectionnée",Distrib_Global_Classe_Selectionnee*BO$20,IF('01_Input'!$G$58="Frais KYC (paliers de 100M€)",MAX(0,Nb_Investisseurs-Nb_KYC_Gratuites_Par_Tranche*(FLOOR(BO$20/Taille_Tranche_KYC,1)+1))*Cout_Par_KYC_Supplementaire,(IF('01_Input'!$L$58="Forfait",IF(BO$20&gt;='01_Input'!$J$58,'01_Input'!$M$58,0),IF('01_Input'!$L$58="Palier",IF(AND(BO$20&gt;='01_Input'!$J$58,BO$20&lt;'01_Input'!$K$58),'01_Input'!$M$58,0),MAX(MIN(BO$20,'01_Input'!$K$58)-'01_Input'!$J$58,0)*'01_Input'!$M$58))+IF('01_Input'!$P$58="Forfait",IF(BO$20&gt;='01_Input'!$N$58,'01_Input'!$Q$58,0),IF('01_Input'!$P$58="Palier",IF(AND(BO$20&gt;='01_Input'!$N$58,BO$20&lt;'01_Input'!$O$58),'01_Input'!$Q$58,0),MAX(MIN(BO$20,'01_Input'!$O$58)-'01_Input'!$N$58,0)*'01_Input'!$Q$58))+IF('01_Input'!$T$58="Forfait",IF(BO$20&gt;='01_Input'!$R$58,'01_Input'!$U$58,0),IF('01_Input'!$T$58="Palier",IF(AND(BO$20&gt;='01_Input'!$R$58,BO$20&lt;'01_Input'!$S$58),'01_Input'!$U$58,0),MAX(MIN(BO$20,'01_Input'!$S$58)-'01_Input'!$R$58,0)*'01_Input'!$U$58))+IF('01_Input'!$X$58="Forfait",IF(BO$20&gt;='01_Input'!$V$58,'01_Input'!$Y$58,0),IF('01_Input'!$X$58="Palier",IF(AND(BO$20&gt;='01_Input'!$V$58,BO$20&lt;'01_Input'!$W$58),'01_Input'!$Y$58,0),MAX(MIN(BO$20,'01_Input'!$W$58)-'01_Input'!$V$58,0)*'01_Input'!$Y$58))+IF('01_Input'!$AB$58="Forfait",IF(BO$20&gt;='01_Input'!$Z$58,'01_Input'!$AC$58,0),IF('01_Input'!$AB$58="Palier",IF(AND(BO$20&gt;='01_Input'!$Z$58,BO$20&lt;'01_Input'!$AA$58),'01_Input'!$AC$58,0),MAX(MIN(BO$20,'01_Input'!$AA$58)-'01_Input'!$Z$58,0)*'01_Input'!$AC$58)))))))))</f>
        <v>5500</v>
      </c>
      <c r="BP26" s="83">
        <f>IF('01_Input'!$C$58="Non",0,MIN('01_Input'!$I$58,MAX('01_Input'!$H$58,IF('01_Input'!$G$58="Résiduel vs Gestion",0,IF('01_Input'!$G$58="Taux Classe sélectionnée",Distrib_Global_Classe_Selectionnee*BP$20,IF('01_Input'!$G$58="Frais KYC (paliers de 100M€)",MAX(0,Nb_Investisseurs-Nb_KYC_Gratuites_Par_Tranche*(FLOOR(BP$20/Taille_Tranche_KYC,1)+1))*Cout_Par_KYC_Supplementaire,(IF('01_Input'!$L$58="Forfait",IF(BP$20&gt;='01_Input'!$J$58,'01_Input'!$M$58,0),IF('01_Input'!$L$58="Palier",IF(AND(BP$20&gt;='01_Input'!$J$58,BP$20&lt;'01_Input'!$K$58),'01_Input'!$M$58,0),MAX(MIN(BP$20,'01_Input'!$K$58)-'01_Input'!$J$58,0)*'01_Input'!$M$58))+IF('01_Input'!$P$58="Forfait",IF(BP$20&gt;='01_Input'!$N$58,'01_Input'!$Q$58,0),IF('01_Input'!$P$58="Palier",IF(AND(BP$20&gt;='01_Input'!$N$58,BP$20&lt;'01_Input'!$O$58),'01_Input'!$Q$58,0),MAX(MIN(BP$20,'01_Input'!$O$58)-'01_Input'!$N$58,0)*'01_Input'!$Q$58))+IF('01_Input'!$T$58="Forfait",IF(BP$20&gt;='01_Input'!$R$58,'01_Input'!$U$58,0),IF('01_Input'!$T$58="Palier",IF(AND(BP$20&gt;='01_Input'!$R$58,BP$20&lt;'01_Input'!$S$58),'01_Input'!$U$58,0),MAX(MIN(BP$20,'01_Input'!$S$58)-'01_Input'!$R$58,0)*'01_Input'!$U$58))+IF('01_Input'!$X$58="Forfait",IF(BP$20&gt;='01_Input'!$V$58,'01_Input'!$Y$58,0),IF('01_Input'!$X$58="Palier",IF(AND(BP$20&gt;='01_Input'!$V$58,BP$20&lt;'01_Input'!$W$58),'01_Input'!$Y$58,0),MAX(MIN(BP$20,'01_Input'!$W$58)-'01_Input'!$V$58,0)*'01_Input'!$Y$58))+IF('01_Input'!$AB$58="Forfait",IF(BP$20&gt;='01_Input'!$Z$58,'01_Input'!$AC$58,0),IF('01_Input'!$AB$58="Palier",IF(AND(BP$20&gt;='01_Input'!$Z$58,BP$20&lt;'01_Input'!$AA$58),'01_Input'!$AC$58,0),MAX(MIN(BP$20,'01_Input'!$AA$58)-'01_Input'!$Z$58,0)*'01_Input'!$AC$58)))))))))</f>
        <v>5500</v>
      </c>
      <c r="BQ26" s="83">
        <f>IF('01_Input'!$C$58="Non",0,MIN('01_Input'!$I$58,MAX('01_Input'!$H$58,IF('01_Input'!$G$58="Résiduel vs Gestion",0,IF('01_Input'!$G$58="Taux Classe sélectionnée",Distrib_Global_Classe_Selectionnee*BQ$20,IF('01_Input'!$G$58="Frais KYC (paliers de 100M€)",MAX(0,Nb_Investisseurs-Nb_KYC_Gratuites_Par_Tranche*(FLOOR(BQ$20/Taille_Tranche_KYC,1)+1))*Cout_Par_KYC_Supplementaire,(IF('01_Input'!$L$58="Forfait",IF(BQ$20&gt;='01_Input'!$J$58,'01_Input'!$M$58,0),IF('01_Input'!$L$58="Palier",IF(AND(BQ$20&gt;='01_Input'!$J$58,BQ$20&lt;'01_Input'!$K$58),'01_Input'!$M$58,0),MAX(MIN(BQ$20,'01_Input'!$K$58)-'01_Input'!$J$58,0)*'01_Input'!$M$58))+IF('01_Input'!$P$58="Forfait",IF(BQ$20&gt;='01_Input'!$N$58,'01_Input'!$Q$58,0),IF('01_Input'!$P$58="Palier",IF(AND(BQ$20&gt;='01_Input'!$N$58,BQ$20&lt;'01_Input'!$O$58),'01_Input'!$Q$58,0),MAX(MIN(BQ$20,'01_Input'!$O$58)-'01_Input'!$N$58,0)*'01_Input'!$Q$58))+IF('01_Input'!$T$58="Forfait",IF(BQ$20&gt;='01_Input'!$R$58,'01_Input'!$U$58,0),IF('01_Input'!$T$58="Palier",IF(AND(BQ$20&gt;='01_Input'!$R$58,BQ$20&lt;'01_Input'!$S$58),'01_Input'!$U$58,0),MAX(MIN(BQ$20,'01_Input'!$S$58)-'01_Input'!$R$58,0)*'01_Input'!$U$58))+IF('01_Input'!$X$58="Forfait",IF(BQ$20&gt;='01_Input'!$V$58,'01_Input'!$Y$58,0),IF('01_Input'!$X$58="Palier",IF(AND(BQ$20&gt;='01_Input'!$V$58,BQ$20&lt;'01_Input'!$W$58),'01_Input'!$Y$58,0),MAX(MIN(BQ$20,'01_Input'!$W$58)-'01_Input'!$V$58,0)*'01_Input'!$Y$58))+IF('01_Input'!$AB$58="Forfait",IF(BQ$20&gt;='01_Input'!$Z$58,'01_Input'!$AC$58,0),IF('01_Input'!$AB$58="Palier",IF(AND(BQ$20&gt;='01_Input'!$Z$58,BQ$20&lt;'01_Input'!$AA$58),'01_Input'!$AC$58,0),MAX(MIN(BQ$20,'01_Input'!$AA$58)-'01_Input'!$Z$58,0)*'01_Input'!$AC$58)))))))))</f>
        <v>5500</v>
      </c>
      <c r="BR26" s="83">
        <f>IF('01_Input'!$C$58="Non",0,MIN('01_Input'!$I$58,MAX('01_Input'!$H$58,IF('01_Input'!$G$58="Résiduel vs Gestion",0,IF('01_Input'!$G$58="Taux Classe sélectionnée",Distrib_Global_Classe_Selectionnee*BR$20,IF('01_Input'!$G$58="Frais KYC (paliers de 100M€)",MAX(0,Nb_Investisseurs-Nb_KYC_Gratuites_Par_Tranche*(FLOOR(BR$20/Taille_Tranche_KYC,1)+1))*Cout_Par_KYC_Supplementaire,(IF('01_Input'!$L$58="Forfait",IF(BR$20&gt;='01_Input'!$J$58,'01_Input'!$M$58,0),IF('01_Input'!$L$58="Palier",IF(AND(BR$20&gt;='01_Input'!$J$58,BR$20&lt;'01_Input'!$K$58),'01_Input'!$M$58,0),MAX(MIN(BR$20,'01_Input'!$K$58)-'01_Input'!$J$58,0)*'01_Input'!$M$58))+IF('01_Input'!$P$58="Forfait",IF(BR$20&gt;='01_Input'!$N$58,'01_Input'!$Q$58,0),IF('01_Input'!$P$58="Palier",IF(AND(BR$20&gt;='01_Input'!$N$58,BR$20&lt;'01_Input'!$O$58),'01_Input'!$Q$58,0),MAX(MIN(BR$20,'01_Input'!$O$58)-'01_Input'!$N$58,0)*'01_Input'!$Q$58))+IF('01_Input'!$T$58="Forfait",IF(BR$20&gt;='01_Input'!$R$58,'01_Input'!$U$58,0),IF('01_Input'!$T$58="Palier",IF(AND(BR$20&gt;='01_Input'!$R$58,BR$20&lt;'01_Input'!$S$58),'01_Input'!$U$58,0),MAX(MIN(BR$20,'01_Input'!$S$58)-'01_Input'!$R$58,0)*'01_Input'!$U$58))+IF('01_Input'!$X$58="Forfait",IF(BR$20&gt;='01_Input'!$V$58,'01_Input'!$Y$58,0),IF('01_Input'!$X$58="Palier",IF(AND(BR$20&gt;='01_Input'!$V$58,BR$20&lt;'01_Input'!$W$58),'01_Input'!$Y$58,0),MAX(MIN(BR$20,'01_Input'!$W$58)-'01_Input'!$V$58,0)*'01_Input'!$Y$58))+IF('01_Input'!$AB$58="Forfait",IF(BR$20&gt;='01_Input'!$Z$58,'01_Input'!$AC$58,0),IF('01_Input'!$AB$58="Palier",IF(AND(BR$20&gt;='01_Input'!$Z$58,BR$20&lt;'01_Input'!$AA$58),'01_Input'!$AC$58,0),MAX(MIN(BR$20,'01_Input'!$AA$58)-'01_Input'!$Z$58,0)*'01_Input'!$AC$58)))))))))</f>
        <v>5500</v>
      </c>
      <c r="BS26" s="83">
        <f>IF('01_Input'!$C$58="Non",0,MIN('01_Input'!$I$58,MAX('01_Input'!$H$58,IF('01_Input'!$G$58="Résiduel vs Gestion",0,IF('01_Input'!$G$58="Taux Classe sélectionnée",Distrib_Global_Classe_Selectionnee*BS$20,IF('01_Input'!$G$58="Frais KYC (paliers de 100M€)",MAX(0,Nb_Investisseurs-Nb_KYC_Gratuites_Par_Tranche*(FLOOR(BS$20/Taille_Tranche_KYC,1)+1))*Cout_Par_KYC_Supplementaire,(IF('01_Input'!$L$58="Forfait",IF(BS$20&gt;='01_Input'!$J$58,'01_Input'!$M$58,0),IF('01_Input'!$L$58="Palier",IF(AND(BS$20&gt;='01_Input'!$J$58,BS$20&lt;'01_Input'!$K$58),'01_Input'!$M$58,0),MAX(MIN(BS$20,'01_Input'!$K$58)-'01_Input'!$J$58,0)*'01_Input'!$M$58))+IF('01_Input'!$P$58="Forfait",IF(BS$20&gt;='01_Input'!$N$58,'01_Input'!$Q$58,0),IF('01_Input'!$P$58="Palier",IF(AND(BS$20&gt;='01_Input'!$N$58,BS$20&lt;'01_Input'!$O$58),'01_Input'!$Q$58,0),MAX(MIN(BS$20,'01_Input'!$O$58)-'01_Input'!$N$58,0)*'01_Input'!$Q$58))+IF('01_Input'!$T$58="Forfait",IF(BS$20&gt;='01_Input'!$R$58,'01_Input'!$U$58,0),IF('01_Input'!$T$58="Palier",IF(AND(BS$20&gt;='01_Input'!$R$58,BS$20&lt;'01_Input'!$S$58),'01_Input'!$U$58,0),MAX(MIN(BS$20,'01_Input'!$S$58)-'01_Input'!$R$58,0)*'01_Input'!$U$58))+IF('01_Input'!$X$58="Forfait",IF(BS$20&gt;='01_Input'!$V$58,'01_Input'!$Y$58,0),IF('01_Input'!$X$58="Palier",IF(AND(BS$20&gt;='01_Input'!$V$58,BS$20&lt;'01_Input'!$W$58),'01_Input'!$Y$58,0),MAX(MIN(BS$20,'01_Input'!$W$58)-'01_Input'!$V$58,0)*'01_Input'!$Y$58))+IF('01_Input'!$AB$58="Forfait",IF(BS$20&gt;='01_Input'!$Z$58,'01_Input'!$AC$58,0),IF('01_Input'!$AB$58="Palier",IF(AND(BS$20&gt;='01_Input'!$Z$58,BS$20&lt;'01_Input'!$AA$58),'01_Input'!$AC$58,0),MAX(MIN(BS$20,'01_Input'!$AA$58)-'01_Input'!$Z$58,0)*'01_Input'!$AC$58)))))))))</f>
        <v>5500</v>
      </c>
      <c r="BT26" s="83">
        <f>IF('01_Input'!$C$58="Non",0,MIN('01_Input'!$I$58,MAX('01_Input'!$H$58,IF('01_Input'!$G$58="Résiduel vs Gestion",0,IF('01_Input'!$G$58="Taux Classe sélectionnée",Distrib_Global_Classe_Selectionnee*BT$20,IF('01_Input'!$G$58="Frais KYC (paliers de 100M€)",MAX(0,Nb_Investisseurs-Nb_KYC_Gratuites_Par_Tranche*(FLOOR(BT$20/Taille_Tranche_KYC,1)+1))*Cout_Par_KYC_Supplementaire,(IF('01_Input'!$L$58="Forfait",IF(BT$20&gt;='01_Input'!$J$58,'01_Input'!$M$58,0),IF('01_Input'!$L$58="Palier",IF(AND(BT$20&gt;='01_Input'!$J$58,BT$20&lt;'01_Input'!$K$58),'01_Input'!$M$58,0),MAX(MIN(BT$20,'01_Input'!$K$58)-'01_Input'!$J$58,0)*'01_Input'!$M$58))+IF('01_Input'!$P$58="Forfait",IF(BT$20&gt;='01_Input'!$N$58,'01_Input'!$Q$58,0),IF('01_Input'!$P$58="Palier",IF(AND(BT$20&gt;='01_Input'!$N$58,BT$20&lt;'01_Input'!$O$58),'01_Input'!$Q$58,0),MAX(MIN(BT$20,'01_Input'!$O$58)-'01_Input'!$N$58,0)*'01_Input'!$Q$58))+IF('01_Input'!$T$58="Forfait",IF(BT$20&gt;='01_Input'!$R$58,'01_Input'!$U$58,0),IF('01_Input'!$T$58="Palier",IF(AND(BT$20&gt;='01_Input'!$R$58,BT$20&lt;'01_Input'!$S$58),'01_Input'!$U$58,0),MAX(MIN(BT$20,'01_Input'!$S$58)-'01_Input'!$R$58,0)*'01_Input'!$U$58))+IF('01_Input'!$X$58="Forfait",IF(BT$20&gt;='01_Input'!$V$58,'01_Input'!$Y$58,0),IF('01_Input'!$X$58="Palier",IF(AND(BT$20&gt;='01_Input'!$V$58,BT$20&lt;'01_Input'!$W$58),'01_Input'!$Y$58,0),MAX(MIN(BT$20,'01_Input'!$W$58)-'01_Input'!$V$58,0)*'01_Input'!$Y$58))+IF('01_Input'!$AB$58="Forfait",IF(BT$20&gt;='01_Input'!$Z$58,'01_Input'!$AC$58,0),IF('01_Input'!$AB$58="Palier",IF(AND(BT$20&gt;='01_Input'!$Z$58,BT$20&lt;'01_Input'!$AA$58),'01_Input'!$AC$58,0),MAX(MIN(BT$20,'01_Input'!$AA$58)-'01_Input'!$Z$58,0)*'01_Input'!$AC$58)))))))))</f>
        <v>5500</v>
      </c>
      <c r="BU26" s="83">
        <f>IF('01_Input'!$C$58="Non",0,MIN('01_Input'!$I$58,MAX('01_Input'!$H$58,IF('01_Input'!$G$58="Résiduel vs Gestion",0,IF('01_Input'!$G$58="Taux Classe sélectionnée",Distrib_Global_Classe_Selectionnee*BU$20,IF('01_Input'!$G$58="Frais KYC (paliers de 100M€)",MAX(0,Nb_Investisseurs-Nb_KYC_Gratuites_Par_Tranche*(FLOOR(BU$20/Taille_Tranche_KYC,1)+1))*Cout_Par_KYC_Supplementaire,(IF('01_Input'!$L$58="Forfait",IF(BU$20&gt;='01_Input'!$J$58,'01_Input'!$M$58,0),IF('01_Input'!$L$58="Palier",IF(AND(BU$20&gt;='01_Input'!$J$58,BU$20&lt;'01_Input'!$K$58),'01_Input'!$M$58,0),MAX(MIN(BU$20,'01_Input'!$K$58)-'01_Input'!$J$58,0)*'01_Input'!$M$58))+IF('01_Input'!$P$58="Forfait",IF(BU$20&gt;='01_Input'!$N$58,'01_Input'!$Q$58,0),IF('01_Input'!$P$58="Palier",IF(AND(BU$20&gt;='01_Input'!$N$58,BU$20&lt;'01_Input'!$O$58),'01_Input'!$Q$58,0),MAX(MIN(BU$20,'01_Input'!$O$58)-'01_Input'!$N$58,0)*'01_Input'!$Q$58))+IF('01_Input'!$T$58="Forfait",IF(BU$20&gt;='01_Input'!$R$58,'01_Input'!$U$58,0),IF('01_Input'!$T$58="Palier",IF(AND(BU$20&gt;='01_Input'!$R$58,BU$20&lt;'01_Input'!$S$58),'01_Input'!$U$58,0),MAX(MIN(BU$20,'01_Input'!$S$58)-'01_Input'!$R$58,0)*'01_Input'!$U$58))+IF('01_Input'!$X$58="Forfait",IF(BU$20&gt;='01_Input'!$V$58,'01_Input'!$Y$58,0),IF('01_Input'!$X$58="Palier",IF(AND(BU$20&gt;='01_Input'!$V$58,BU$20&lt;'01_Input'!$W$58),'01_Input'!$Y$58,0),MAX(MIN(BU$20,'01_Input'!$W$58)-'01_Input'!$V$58,0)*'01_Input'!$Y$58))+IF('01_Input'!$AB$58="Forfait",IF(BU$20&gt;='01_Input'!$Z$58,'01_Input'!$AC$58,0),IF('01_Input'!$AB$58="Palier",IF(AND(BU$20&gt;='01_Input'!$Z$58,BU$20&lt;'01_Input'!$AA$58),'01_Input'!$AC$58,0),MAX(MIN(BU$20,'01_Input'!$AA$58)-'01_Input'!$Z$58,0)*'01_Input'!$AC$58)))))))))</f>
        <v>5500</v>
      </c>
      <c r="BV26" s="83">
        <f>IF('01_Input'!$C$58="Non",0,MIN('01_Input'!$I$58,MAX('01_Input'!$H$58,IF('01_Input'!$G$58="Résiduel vs Gestion",0,IF('01_Input'!$G$58="Taux Classe sélectionnée",Distrib_Global_Classe_Selectionnee*BV$20,IF('01_Input'!$G$58="Frais KYC (paliers de 100M€)",MAX(0,Nb_Investisseurs-Nb_KYC_Gratuites_Par_Tranche*(FLOOR(BV$20/Taille_Tranche_KYC,1)+1))*Cout_Par_KYC_Supplementaire,(IF('01_Input'!$L$58="Forfait",IF(BV$20&gt;='01_Input'!$J$58,'01_Input'!$M$58,0),IF('01_Input'!$L$58="Palier",IF(AND(BV$20&gt;='01_Input'!$J$58,BV$20&lt;'01_Input'!$K$58),'01_Input'!$M$58,0),MAX(MIN(BV$20,'01_Input'!$K$58)-'01_Input'!$J$58,0)*'01_Input'!$M$58))+IF('01_Input'!$P$58="Forfait",IF(BV$20&gt;='01_Input'!$N$58,'01_Input'!$Q$58,0),IF('01_Input'!$P$58="Palier",IF(AND(BV$20&gt;='01_Input'!$N$58,BV$20&lt;'01_Input'!$O$58),'01_Input'!$Q$58,0),MAX(MIN(BV$20,'01_Input'!$O$58)-'01_Input'!$N$58,0)*'01_Input'!$Q$58))+IF('01_Input'!$T$58="Forfait",IF(BV$20&gt;='01_Input'!$R$58,'01_Input'!$U$58,0),IF('01_Input'!$T$58="Palier",IF(AND(BV$20&gt;='01_Input'!$R$58,BV$20&lt;'01_Input'!$S$58),'01_Input'!$U$58,0),MAX(MIN(BV$20,'01_Input'!$S$58)-'01_Input'!$R$58,0)*'01_Input'!$U$58))+IF('01_Input'!$X$58="Forfait",IF(BV$20&gt;='01_Input'!$V$58,'01_Input'!$Y$58,0),IF('01_Input'!$X$58="Palier",IF(AND(BV$20&gt;='01_Input'!$V$58,BV$20&lt;'01_Input'!$W$58),'01_Input'!$Y$58,0),MAX(MIN(BV$20,'01_Input'!$W$58)-'01_Input'!$V$58,0)*'01_Input'!$Y$58))+IF('01_Input'!$AB$58="Forfait",IF(BV$20&gt;='01_Input'!$Z$58,'01_Input'!$AC$58,0),IF('01_Input'!$AB$58="Palier",IF(AND(BV$20&gt;='01_Input'!$Z$58,BV$20&lt;'01_Input'!$AA$58),'01_Input'!$AC$58,0),MAX(MIN(BV$20,'01_Input'!$AA$58)-'01_Input'!$Z$58,0)*'01_Input'!$AC$58)))))))))</f>
        <v>5500</v>
      </c>
      <c r="BW26" s="83">
        <f>IF('01_Input'!$C$58="Non",0,MIN('01_Input'!$I$58,MAX('01_Input'!$H$58,IF('01_Input'!$G$58="Résiduel vs Gestion",0,IF('01_Input'!$G$58="Taux Classe sélectionnée",Distrib_Global_Classe_Selectionnee*BW$20,IF('01_Input'!$G$58="Frais KYC (paliers de 100M€)",MAX(0,Nb_Investisseurs-Nb_KYC_Gratuites_Par_Tranche*(FLOOR(BW$20/Taille_Tranche_KYC,1)+1))*Cout_Par_KYC_Supplementaire,(IF('01_Input'!$L$58="Forfait",IF(BW$20&gt;='01_Input'!$J$58,'01_Input'!$M$58,0),IF('01_Input'!$L$58="Palier",IF(AND(BW$20&gt;='01_Input'!$J$58,BW$20&lt;'01_Input'!$K$58),'01_Input'!$M$58,0),MAX(MIN(BW$20,'01_Input'!$K$58)-'01_Input'!$J$58,0)*'01_Input'!$M$58))+IF('01_Input'!$P$58="Forfait",IF(BW$20&gt;='01_Input'!$N$58,'01_Input'!$Q$58,0),IF('01_Input'!$P$58="Palier",IF(AND(BW$20&gt;='01_Input'!$N$58,BW$20&lt;'01_Input'!$O$58),'01_Input'!$Q$58,0),MAX(MIN(BW$20,'01_Input'!$O$58)-'01_Input'!$N$58,0)*'01_Input'!$Q$58))+IF('01_Input'!$T$58="Forfait",IF(BW$20&gt;='01_Input'!$R$58,'01_Input'!$U$58,0),IF('01_Input'!$T$58="Palier",IF(AND(BW$20&gt;='01_Input'!$R$58,BW$20&lt;'01_Input'!$S$58),'01_Input'!$U$58,0),MAX(MIN(BW$20,'01_Input'!$S$58)-'01_Input'!$R$58,0)*'01_Input'!$U$58))+IF('01_Input'!$X$58="Forfait",IF(BW$20&gt;='01_Input'!$V$58,'01_Input'!$Y$58,0),IF('01_Input'!$X$58="Palier",IF(AND(BW$20&gt;='01_Input'!$V$58,BW$20&lt;'01_Input'!$W$58),'01_Input'!$Y$58,0),MAX(MIN(BW$20,'01_Input'!$W$58)-'01_Input'!$V$58,0)*'01_Input'!$Y$58))+IF('01_Input'!$AB$58="Forfait",IF(BW$20&gt;='01_Input'!$Z$58,'01_Input'!$AC$58,0),IF('01_Input'!$AB$58="Palier",IF(AND(BW$20&gt;='01_Input'!$Z$58,BW$20&lt;'01_Input'!$AA$58),'01_Input'!$AC$58,0),MAX(MIN(BW$20,'01_Input'!$AA$58)-'01_Input'!$Z$58,0)*'01_Input'!$AC$58)))))))))</f>
        <v>5500</v>
      </c>
      <c r="BX26" s="83">
        <f>IF('01_Input'!$C$58="Non",0,MIN('01_Input'!$I$58,MAX('01_Input'!$H$58,IF('01_Input'!$G$58="Résiduel vs Gestion",0,IF('01_Input'!$G$58="Taux Classe sélectionnée",Distrib_Global_Classe_Selectionnee*BX$20,IF('01_Input'!$G$58="Frais KYC (paliers de 100M€)",MAX(0,Nb_Investisseurs-Nb_KYC_Gratuites_Par_Tranche*(FLOOR(BX$20/Taille_Tranche_KYC,1)+1))*Cout_Par_KYC_Supplementaire,(IF('01_Input'!$L$58="Forfait",IF(BX$20&gt;='01_Input'!$J$58,'01_Input'!$M$58,0),IF('01_Input'!$L$58="Palier",IF(AND(BX$20&gt;='01_Input'!$J$58,BX$20&lt;'01_Input'!$K$58),'01_Input'!$M$58,0),MAX(MIN(BX$20,'01_Input'!$K$58)-'01_Input'!$J$58,0)*'01_Input'!$M$58))+IF('01_Input'!$P$58="Forfait",IF(BX$20&gt;='01_Input'!$N$58,'01_Input'!$Q$58,0),IF('01_Input'!$P$58="Palier",IF(AND(BX$20&gt;='01_Input'!$N$58,BX$20&lt;'01_Input'!$O$58),'01_Input'!$Q$58,0),MAX(MIN(BX$20,'01_Input'!$O$58)-'01_Input'!$N$58,0)*'01_Input'!$Q$58))+IF('01_Input'!$T$58="Forfait",IF(BX$20&gt;='01_Input'!$R$58,'01_Input'!$U$58,0),IF('01_Input'!$T$58="Palier",IF(AND(BX$20&gt;='01_Input'!$R$58,BX$20&lt;'01_Input'!$S$58),'01_Input'!$U$58,0),MAX(MIN(BX$20,'01_Input'!$S$58)-'01_Input'!$R$58,0)*'01_Input'!$U$58))+IF('01_Input'!$X$58="Forfait",IF(BX$20&gt;='01_Input'!$V$58,'01_Input'!$Y$58,0),IF('01_Input'!$X$58="Palier",IF(AND(BX$20&gt;='01_Input'!$V$58,BX$20&lt;'01_Input'!$W$58),'01_Input'!$Y$58,0),MAX(MIN(BX$20,'01_Input'!$W$58)-'01_Input'!$V$58,0)*'01_Input'!$Y$58))+IF('01_Input'!$AB$58="Forfait",IF(BX$20&gt;='01_Input'!$Z$58,'01_Input'!$AC$58,0),IF('01_Input'!$AB$58="Palier",IF(AND(BX$20&gt;='01_Input'!$Z$58,BX$20&lt;'01_Input'!$AA$58),'01_Input'!$AC$58,0),MAX(MIN(BX$20,'01_Input'!$AA$58)-'01_Input'!$Z$58,0)*'01_Input'!$AC$58)))))))))</f>
        <v>5500</v>
      </c>
      <c r="BY26" s="83">
        <f>IF('01_Input'!$C$58="Non",0,MIN('01_Input'!$I$58,MAX('01_Input'!$H$58,IF('01_Input'!$G$58="Résiduel vs Gestion",0,IF('01_Input'!$G$58="Taux Classe sélectionnée",Distrib_Global_Classe_Selectionnee*BY$20,IF('01_Input'!$G$58="Frais KYC (paliers de 100M€)",MAX(0,Nb_Investisseurs-Nb_KYC_Gratuites_Par_Tranche*(FLOOR(BY$20/Taille_Tranche_KYC,1)+1))*Cout_Par_KYC_Supplementaire,(IF('01_Input'!$L$58="Forfait",IF(BY$20&gt;='01_Input'!$J$58,'01_Input'!$M$58,0),IF('01_Input'!$L$58="Palier",IF(AND(BY$20&gt;='01_Input'!$J$58,BY$20&lt;'01_Input'!$K$58),'01_Input'!$M$58,0),MAX(MIN(BY$20,'01_Input'!$K$58)-'01_Input'!$J$58,0)*'01_Input'!$M$58))+IF('01_Input'!$P$58="Forfait",IF(BY$20&gt;='01_Input'!$N$58,'01_Input'!$Q$58,0),IF('01_Input'!$P$58="Palier",IF(AND(BY$20&gt;='01_Input'!$N$58,BY$20&lt;'01_Input'!$O$58),'01_Input'!$Q$58,0),MAX(MIN(BY$20,'01_Input'!$O$58)-'01_Input'!$N$58,0)*'01_Input'!$Q$58))+IF('01_Input'!$T$58="Forfait",IF(BY$20&gt;='01_Input'!$R$58,'01_Input'!$U$58,0),IF('01_Input'!$T$58="Palier",IF(AND(BY$20&gt;='01_Input'!$R$58,BY$20&lt;'01_Input'!$S$58),'01_Input'!$U$58,0),MAX(MIN(BY$20,'01_Input'!$S$58)-'01_Input'!$R$58,0)*'01_Input'!$U$58))+IF('01_Input'!$X$58="Forfait",IF(BY$20&gt;='01_Input'!$V$58,'01_Input'!$Y$58,0),IF('01_Input'!$X$58="Palier",IF(AND(BY$20&gt;='01_Input'!$V$58,BY$20&lt;'01_Input'!$W$58),'01_Input'!$Y$58,0),MAX(MIN(BY$20,'01_Input'!$W$58)-'01_Input'!$V$58,0)*'01_Input'!$Y$58))+IF('01_Input'!$AB$58="Forfait",IF(BY$20&gt;='01_Input'!$Z$58,'01_Input'!$AC$58,0),IF('01_Input'!$AB$58="Palier",IF(AND(BY$20&gt;='01_Input'!$Z$58,BY$20&lt;'01_Input'!$AA$58),'01_Input'!$AC$58,0),MAX(MIN(BY$20,'01_Input'!$AA$58)-'01_Input'!$Z$58,0)*'01_Input'!$AC$58)))))))))</f>
        <v>5500</v>
      </c>
      <c r="BZ26" s="83">
        <f>IF('01_Input'!$C$58="Non",0,MIN('01_Input'!$I$58,MAX('01_Input'!$H$58,IF('01_Input'!$G$58="Résiduel vs Gestion",0,IF('01_Input'!$G$58="Taux Classe sélectionnée",Distrib_Global_Classe_Selectionnee*BZ$20,IF('01_Input'!$G$58="Frais KYC (paliers de 100M€)",MAX(0,Nb_Investisseurs-Nb_KYC_Gratuites_Par_Tranche*(FLOOR(BZ$20/Taille_Tranche_KYC,1)+1))*Cout_Par_KYC_Supplementaire,(IF('01_Input'!$L$58="Forfait",IF(BZ$20&gt;='01_Input'!$J$58,'01_Input'!$M$58,0),IF('01_Input'!$L$58="Palier",IF(AND(BZ$20&gt;='01_Input'!$J$58,BZ$20&lt;'01_Input'!$K$58),'01_Input'!$M$58,0),MAX(MIN(BZ$20,'01_Input'!$K$58)-'01_Input'!$J$58,0)*'01_Input'!$M$58))+IF('01_Input'!$P$58="Forfait",IF(BZ$20&gt;='01_Input'!$N$58,'01_Input'!$Q$58,0),IF('01_Input'!$P$58="Palier",IF(AND(BZ$20&gt;='01_Input'!$N$58,BZ$20&lt;'01_Input'!$O$58),'01_Input'!$Q$58,0),MAX(MIN(BZ$20,'01_Input'!$O$58)-'01_Input'!$N$58,0)*'01_Input'!$Q$58))+IF('01_Input'!$T$58="Forfait",IF(BZ$20&gt;='01_Input'!$R$58,'01_Input'!$U$58,0),IF('01_Input'!$T$58="Palier",IF(AND(BZ$20&gt;='01_Input'!$R$58,BZ$20&lt;'01_Input'!$S$58),'01_Input'!$U$58,0),MAX(MIN(BZ$20,'01_Input'!$S$58)-'01_Input'!$R$58,0)*'01_Input'!$U$58))+IF('01_Input'!$X$58="Forfait",IF(BZ$20&gt;='01_Input'!$V$58,'01_Input'!$Y$58,0),IF('01_Input'!$X$58="Palier",IF(AND(BZ$20&gt;='01_Input'!$V$58,BZ$20&lt;'01_Input'!$W$58),'01_Input'!$Y$58,0),MAX(MIN(BZ$20,'01_Input'!$W$58)-'01_Input'!$V$58,0)*'01_Input'!$Y$58))+IF('01_Input'!$AB$58="Forfait",IF(BZ$20&gt;='01_Input'!$Z$58,'01_Input'!$AC$58,0),IF('01_Input'!$AB$58="Palier",IF(AND(BZ$20&gt;='01_Input'!$Z$58,BZ$20&lt;'01_Input'!$AA$58),'01_Input'!$AC$58,0),MAX(MIN(BZ$20,'01_Input'!$AA$58)-'01_Input'!$Z$58,0)*'01_Input'!$AC$58)))))))))</f>
        <v>5500</v>
      </c>
      <c r="CA26" s="83">
        <f>IF('01_Input'!$C$58="Non",0,MIN('01_Input'!$I$58,MAX('01_Input'!$H$58,IF('01_Input'!$G$58="Résiduel vs Gestion",0,IF('01_Input'!$G$58="Taux Classe sélectionnée",Distrib_Global_Classe_Selectionnee*CA$20,IF('01_Input'!$G$58="Frais KYC (paliers de 100M€)",MAX(0,Nb_Investisseurs-Nb_KYC_Gratuites_Par_Tranche*(FLOOR(CA$20/Taille_Tranche_KYC,1)+1))*Cout_Par_KYC_Supplementaire,(IF('01_Input'!$L$58="Forfait",IF(CA$20&gt;='01_Input'!$J$58,'01_Input'!$M$58,0),IF('01_Input'!$L$58="Palier",IF(AND(CA$20&gt;='01_Input'!$J$58,CA$20&lt;'01_Input'!$K$58),'01_Input'!$M$58,0),MAX(MIN(CA$20,'01_Input'!$K$58)-'01_Input'!$J$58,0)*'01_Input'!$M$58))+IF('01_Input'!$P$58="Forfait",IF(CA$20&gt;='01_Input'!$N$58,'01_Input'!$Q$58,0),IF('01_Input'!$P$58="Palier",IF(AND(CA$20&gt;='01_Input'!$N$58,CA$20&lt;'01_Input'!$O$58),'01_Input'!$Q$58,0),MAX(MIN(CA$20,'01_Input'!$O$58)-'01_Input'!$N$58,0)*'01_Input'!$Q$58))+IF('01_Input'!$T$58="Forfait",IF(CA$20&gt;='01_Input'!$R$58,'01_Input'!$U$58,0),IF('01_Input'!$T$58="Palier",IF(AND(CA$20&gt;='01_Input'!$R$58,CA$20&lt;'01_Input'!$S$58),'01_Input'!$U$58,0),MAX(MIN(CA$20,'01_Input'!$S$58)-'01_Input'!$R$58,0)*'01_Input'!$U$58))+IF('01_Input'!$X$58="Forfait",IF(CA$20&gt;='01_Input'!$V$58,'01_Input'!$Y$58,0),IF('01_Input'!$X$58="Palier",IF(AND(CA$20&gt;='01_Input'!$V$58,CA$20&lt;'01_Input'!$W$58),'01_Input'!$Y$58,0),MAX(MIN(CA$20,'01_Input'!$W$58)-'01_Input'!$V$58,0)*'01_Input'!$Y$58))+IF('01_Input'!$AB$58="Forfait",IF(CA$20&gt;='01_Input'!$Z$58,'01_Input'!$AC$58,0),IF('01_Input'!$AB$58="Palier",IF(AND(CA$20&gt;='01_Input'!$Z$58,CA$20&lt;'01_Input'!$AA$58),'01_Input'!$AC$58,0),MAX(MIN(CA$20,'01_Input'!$AA$58)-'01_Input'!$Z$58,0)*'01_Input'!$AC$58)))))))))</f>
        <v>5500</v>
      </c>
      <c r="CB26" s="83">
        <f>IF('01_Input'!$C$58="Non",0,MIN('01_Input'!$I$58,MAX('01_Input'!$H$58,IF('01_Input'!$G$58="Résiduel vs Gestion",0,IF('01_Input'!$G$58="Taux Classe sélectionnée",Distrib_Global_Classe_Selectionnee*CB$20,IF('01_Input'!$G$58="Frais KYC (paliers de 100M€)",MAX(0,Nb_Investisseurs-Nb_KYC_Gratuites_Par_Tranche*(FLOOR(CB$20/Taille_Tranche_KYC,1)+1))*Cout_Par_KYC_Supplementaire,(IF('01_Input'!$L$58="Forfait",IF(CB$20&gt;='01_Input'!$J$58,'01_Input'!$M$58,0),IF('01_Input'!$L$58="Palier",IF(AND(CB$20&gt;='01_Input'!$J$58,CB$20&lt;'01_Input'!$K$58),'01_Input'!$M$58,0),MAX(MIN(CB$20,'01_Input'!$K$58)-'01_Input'!$J$58,0)*'01_Input'!$M$58))+IF('01_Input'!$P$58="Forfait",IF(CB$20&gt;='01_Input'!$N$58,'01_Input'!$Q$58,0),IF('01_Input'!$P$58="Palier",IF(AND(CB$20&gt;='01_Input'!$N$58,CB$20&lt;'01_Input'!$O$58),'01_Input'!$Q$58,0),MAX(MIN(CB$20,'01_Input'!$O$58)-'01_Input'!$N$58,0)*'01_Input'!$Q$58))+IF('01_Input'!$T$58="Forfait",IF(CB$20&gt;='01_Input'!$R$58,'01_Input'!$U$58,0),IF('01_Input'!$T$58="Palier",IF(AND(CB$20&gt;='01_Input'!$R$58,CB$20&lt;'01_Input'!$S$58),'01_Input'!$U$58,0),MAX(MIN(CB$20,'01_Input'!$S$58)-'01_Input'!$R$58,0)*'01_Input'!$U$58))+IF('01_Input'!$X$58="Forfait",IF(CB$20&gt;='01_Input'!$V$58,'01_Input'!$Y$58,0),IF('01_Input'!$X$58="Palier",IF(AND(CB$20&gt;='01_Input'!$V$58,CB$20&lt;'01_Input'!$W$58),'01_Input'!$Y$58,0),MAX(MIN(CB$20,'01_Input'!$W$58)-'01_Input'!$V$58,0)*'01_Input'!$Y$58))+IF('01_Input'!$AB$58="Forfait",IF(CB$20&gt;='01_Input'!$Z$58,'01_Input'!$AC$58,0),IF('01_Input'!$AB$58="Palier",IF(AND(CB$20&gt;='01_Input'!$Z$58,CB$20&lt;'01_Input'!$AA$58),'01_Input'!$AC$58,0),MAX(MIN(CB$20,'01_Input'!$AA$58)-'01_Input'!$Z$58,0)*'01_Input'!$AC$58)))))))))</f>
        <v>5500</v>
      </c>
      <c r="CC26" s="83">
        <f>IF('01_Input'!$C$58="Non",0,MIN('01_Input'!$I$58,MAX('01_Input'!$H$58,IF('01_Input'!$G$58="Résiduel vs Gestion",0,IF('01_Input'!$G$58="Taux Classe sélectionnée",Distrib_Global_Classe_Selectionnee*CC$20,IF('01_Input'!$G$58="Frais KYC (paliers de 100M€)",MAX(0,Nb_Investisseurs-Nb_KYC_Gratuites_Par_Tranche*(FLOOR(CC$20/Taille_Tranche_KYC,1)+1))*Cout_Par_KYC_Supplementaire,(IF('01_Input'!$L$58="Forfait",IF(CC$20&gt;='01_Input'!$J$58,'01_Input'!$M$58,0),IF('01_Input'!$L$58="Palier",IF(AND(CC$20&gt;='01_Input'!$J$58,CC$20&lt;'01_Input'!$K$58),'01_Input'!$M$58,0),MAX(MIN(CC$20,'01_Input'!$K$58)-'01_Input'!$J$58,0)*'01_Input'!$M$58))+IF('01_Input'!$P$58="Forfait",IF(CC$20&gt;='01_Input'!$N$58,'01_Input'!$Q$58,0),IF('01_Input'!$P$58="Palier",IF(AND(CC$20&gt;='01_Input'!$N$58,CC$20&lt;'01_Input'!$O$58),'01_Input'!$Q$58,0),MAX(MIN(CC$20,'01_Input'!$O$58)-'01_Input'!$N$58,0)*'01_Input'!$Q$58))+IF('01_Input'!$T$58="Forfait",IF(CC$20&gt;='01_Input'!$R$58,'01_Input'!$U$58,0),IF('01_Input'!$T$58="Palier",IF(AND(CC$20&gt;='01_Input'!$R$58,CC$20&lt;'01_Input'!$S$58),'01_Input'!$U$58,0),MAX(MIN(CC$20,'01_Input'!$S$58)-'01_Input'!$R$58,0)*'01_Input'!$U$58))+IF('01_Input'!$X$58="Forfait",IF(CC$20&gt;='01_Input'!$V$58,'01_Input'!$Y$58,0),IF('01_Input'!$X$58="Palier",IF(AND(CC$20&gt;='01_Input'!$V$58,CC$20&lt;'01_Input'!$W$58),'01_Input'!$Y$58,0),MAX(MIN(CC$20,'01_Input'!$W$58)-'01_Input'!$V$58,0)*'01_Input'!$Y$58))+IF('01_Input'!$AB$58="Forfait",IF(CC$20&gt;='01_Input'!$Z$58,'01_Input'!$AC$58,0),IF('01_Input'!$AB$58="Palier",IF(AND(CC$20&gt;='01_Input'!$Z$58,CC$20&lt;'01_Input'!$AA$58),'01_Input'!$AC$58,0),MAX(MIN(CC$20,'01_Input'!$AA$58)-'01_Input'!$Z$58,0)*'01_Input'!$AC$58)))))))))</f>
        <v>5500</v>
      </c>
      <c r="CD26" s="83">
        <f>IF('01_Input'!$C$58="Non",0,MIN('01_Input'!$I$58,MAX('01_Input'!$H$58,IF('01_Input'!$G$58="Résiduel vs Gestion",0,IF('01_Input'!$G$58="Taux Classe sélectionnée",Distrib_Global_Classe_Selectionnee*CD$20,IF('01_Input'!$G$58="Frais KYC (paliers de 100M€)",MAX(0,Nb_Investisseurs-Nb_KYC_Gratuites_Par_Tranche*(FLOOR(CD$20/Taille_Tranche_KYC,1)+1))*Cout_Par_KYC_Supplementaire,(IF('01_Input'!$L$58="Forfait",IF(CD$20&gt;='01_Input'!$J$58,'01_Input'!$M$58,0),IF('01_Input'!$L$58="Palier",IF(AND(CD$20&gt;='01_Input'!$J$58,CD$20&lt;'01_Input'!$K$58),'01_Input'!$M$58,0),MAX(MIN(CD$20,'01_Input'!$K$58)-'01_Input'!$J$58,0)*'01_Input'!$M$58))+IF('01_Input'!$P$58="Forfait",IF(CD$20&gt;='01_Input'!$N$58,'01_Input'!$Q$58,0),IF('01_Input'!$P$58="Palier",IF(AND(CD$20&gt;='01_Input'!$N$58,CD$20&lt;'01_Input'!$O$58),'01_Input'!$Q$58,0),MAX(MIN(CD$20,'01_Input'!$O$58)-'01_Input'!$N$58,0)*'01_Input'!$Q$58))+IF('01_Input'!$T$58="Forfait",IF(CD$20&gt;='01_Input'!$R$58,'01_Input'!$U$58,0),IF('01_Input'!$T$58="Palier",IF(AND(CD$20&gt;='01_Input'!$R$58,CD$20&lt;'01_Input'!$S$58),'01_Input'!$U$58,0),MAX(MIN(CD$20,'01_Input'!$S$58)-'01_Input'!$R$58,0)*'01_Input'!$U$58))+IF('01_Input'!$X$58="Forfait",IF(CD$20&gt;='01_Input'!$V$58,'01_Input'!$Y$58,0),IF('01_Input'!$X$58="Palier",IF(AND(CD$20&gt;='01_Input'!$V$58,CD$20&lt;'01_Input'!$W$58),'01_Input'!$Y$58,0),MAX(MIN(CD$20,'01_Input'!$W$58)-'01_Input'!$V$58,0)*'01_Input'!$Y$58))+IF('01_Input'!$AB$58="Forfait",IF(CD$20&gt;='01_Input'!$Z$58,'01_Input'!$AC$58,0),IF('01_Input'!$AB$58="Palier",IF(AND(CD$20&gt;='01_Input'!$Z$58,CD$20&lt;'01_Input'!$AA$58),'01_Input'!$AC$58,0),MAX(MIN(CD$20,'01_Input'!$AA$58)-'01_Input'!$Z$58,0)*'01_Input'!$AC$58)))))))))</f>
        <v>5500</v>
      </c>
      <c r="CE26" s="83">
        <f>IF('01_Input'!$C$58="Non",0,MIN('01_Input'!$I$58,MAX('01_Input'!$H$58,IF('01_Input'!$G$58="Résiduel vs Gestion",0,IF('01_Input'!$G$58="Taux Classe sélectionnée",Distrib_Global_Classe_Selectionnee*CE$20,IF('01_Input'!$G$58="Frais KYC (paliers de 100M€)",MAX(0,Nb_Investisseurs-Nb_KYC_Gratuites_Par_Tranche*(FLOOR(CE$20/Taille_Tranche_KYC,1)+1))*Cout_Par_KYC_Supplementaire,(IF('01_Input'!$L$58="Forfait",IF(CE$20&gt;='01_Input'!$J$58,'01_Input'!$M$58,0),IF('01_Input'!$L$58="Palier",IF(AND(CE$20&gt;='01_Input'!$J$58,CE$20&lt;'01_Input'!$K$58),'01_Input'!$M$58,0),MAX(MIN(CE$20,'01_Input'!$K$58)-'01_Input'!$J$58,0)*'01_Input'!$M$58))+IF('01_Input'!$P$58="Forfait",IF(CE$20&gt;='01_Input'!$N$58,'01_Input'!$Q$58,0),IF('01_Input'!$P$58="Palier",IF(AND(CE$20&gt;='01_Input'!$N$58,CE$20&lt;'01_Input'!$O$58),'01_Input'!$Q$58,0),MAX(MIN(CE$20,'01_Input'!$O$58)-'01_Input'!$N$58,0)*'01_Input'!$Q$58))+IF('01_Input'!$T$58="Forfait",IF(CE$20&gt;='01_Input'!$R$58,'01_Input'!$U$58,0),IF('01_Input'!$T$58="Palier",IF(AND(CE$20&gt;='01_Input'!$R$58,CE$20&lt;'01_Input'!$S$58),'01_Input'!$U$58,0),MAX(MIN(CE$20,'01_Input'!$S$58)-'01_Input'!$R$58,0)*'01_Input'!$U$58))+IF('01_Input'!$X$58="Forfait",IF(CE$20&gt;='01_Input'!$V$58,'01_Input'!$Y$58,0),IF('01_Input'!$X$58="Palier",IF(AND(CE$20&gt;='01_Input'!$V$58,CE$20&lt;'01_Input'!$W$58),'01_Input'!$Y$58,0),MAX(MIN(CE$20,'01_Input'!$W$58)-'01_Input'!$V$58,0)*'01_Input'!$Y$58))+IF('01_Input'!$AB$58="Forfait",IF(CE$20&gt;='01_Input'!$Z$58,'01_Input'!$AC$58,0),IF('01_Input'!$AB$58="Palier",IF(AND(CE$20&gt;='01_Input'!$Z$58,CE$20&lt;'01_Input'!$AA$58),'01_Input'!$AC$58,0),MAX(MIN(CE$20,'01_Input'!$AA$58)-'01_Input'!$Z$58,0)*'01_Input'!$AC$58)))))))))</f>
        <v>5500</v>
      </c>
      <c r="CF26" s="83">
        <f>IF('01_Input'!$C$58="Non",0,MIN('01_Input'!$I$58,MAX('01_Input'!$H$58,IF('01_Input'!$G$58="Résiduel vs Gestion",0,IF('01_Input'!$G$58="Taux Classe sélectionnée",Distrib_Global_Classe_Selectionnee*CF$20,IF('01_Input'!$G$58="Frais KYC (paliers de 100M€)",MAX(0,Nb_Investisseurs-Nb_KYC_Gratuites_Par_Tranche*(FLOOR(CF$20/Taille_Tranche_KYC,1)+1))*Cout_Par_KYC_Supplementaire,(IF('01_Input'!$L$58="Forfait",IF(CF$20&gt;='01_Input'!$J$58,'01_Input'!$M$58,0),IF('01_Input'!$L$58="Palier",IF(AND(CF$20&gt;='01_Input'!$J$58,CF$20&lt;'01_Input'!$K$58),'01_Input'!$M$58,0),MAX(MIN(CF$20,'01_Input'!$K$58)-'01_Input'!$J$58,0)*'01_Input'!$M$58))+IF('01_Input'!$P$58="Forfait",IF(CF$20&gt;='01_Input'!$N$58,'01_Input'!$Q$58,0),IF('01_Input'!$P$58="Palier",IF(AND(CF$20&gt;='01_Input'!$N$58,CF$20&lt;'01_Input'!$O$58),'01_Input'!$Q$58,0),MAX(MIN(CF$20,'01_Input'!$O$58)-'01_Input'!$N$58,0)*'01_Input'!$Q$58))+IF('01_Input'!$T$58="Forfait",IF(CF$20&gt;='01_Input'!$R$58,'01_Input'!$U$58,0),IF('01_Input'!$T$58="Palier",IF(AND(CF$20&gt;='01_Input'!$R$58,CF$20&lt;'01_Input'!$S$58),'01_Input'!$U$58,0),MAX(MIN(CF$20,'01_Input'!$S$58)-'01_Input'!$R$58,0)*'01_Input'!$U$58))+IF('01_Input'!$X$58="Forfait",IF(CF$20&gt;='01_Input'!$V$58,'01_Input'!$Y$58,0),IF('01_Input'!$X$58="Palier",IF(AND(CF$20&gt;='01_Input'!$V$58,CF$20&lt;'01_Input'!$W$58),'01_Input'!$Y$58,0),MAX(MIN(CF$20,'01_Input'!$W$58)-'01_Input'!$V$58,0)*'01_Input'!$Y$58))+IF('01_Input'!$AB$58="Forfait",IF(CF$20&gt;='01_Input'!$Z$58,'01_Input'!$AC$58,0),IF('01_Input'!$AB$58="Palier",IF(AND(CF$20&gt;='01_Input'!$Z$58,CF$20&lt;'01_Input'!$AA$58),'01_Input'!$AC$58,0),MAX(MIN(CF$20,'01_Input'!$AA$58)-'01_Input'!$Z$58,0)*'01_Input'!$AC$58)))))))))</f>
        <v>5500</v>
      </c>
      <c r="CG26" s="83">
        <f>IF('01_Input'!$C$58="Non",0,MIN('01_Input'!$I$58,MAX('01_Input'!$H$58,IF('01_Input'!$G$58="Résiduel vs Gestion",0,IF('01_Input'!$G$58="Taux Classe sélectionnée",Distrib_Global_Classe_Selectionnee*CG$20,IF('01_Input'!$G$58="Frais KYC (paliers de 100M€)",MAX(0,Nb_Investisseurs-Nb_KYC_Gratuites_Par_Tranche*(FLOOR(CG$20/Taille_Tranche_KYC,1)+1))*Cout_Par_KYC_Supplementaire,(IF('01_Input'!$L$58="Forfait",IF(CG$20&gt;='01_Input'!$J$58,'01_Input'!$M$58,0),IF('01_Input'!$L$58="Palier",IF(AND(CG$20&gt;='01_Input'!$J$58,CG$20&lt;'01_Input'!$K$58),'01_Input'!$M$58,0),MAX(MIN(CG$20,'01_Input'!$K$58)-'01_Input'!$J$58,0)*'01_Input'!$M$58))+IF('01_Input'!$P$58="Forfait",IF(CG$20&gt;='01_Input'!$N$58,'01_Input'!$Q$58,0),IF('01_Input'!$P$58="Palier",IF(AND(CG$20&gt;='01_Input'!$N$58,CG$20&lt;'01_Input'!$O$58),'01_Input'!$Q$58,0),MAX(MIN(CG$20,'01_Input'!$O$58)-'01_Input'!$N$58,0)*'01_Input'!$Q$58))+IF('01_Input'!$T$58="Forfait",IF(CG$20&gt;='01_Input'!$R$58,'01_Input'!$U$58,0),IF('01_Input'!$T$58="Palier",IF(AND(CG$20&gt;='01_Input'!$R$58,CG$20&lt;'01_Input'!$S$58),'01_Input'!$U$58,0),MAX(MIN(CG$20,'01_Input'!$S$58)-'01_Input'!$R$58,0)*'01_Input'!$U$58))+IF('01_Input'!$X$58="Forfait",IF(CG$20&gt;='01_Input'!$V$58,'01_Input'!$Y$58,0),IF('01_Input'!$X$58="Palier",IF(AND(CG$20&gt;='01_Input'!$V$58,CG$20&lt;'01_Input'!$W$58),'01_Input'!$Y$58,0),MAX(MIN(CG$20,'01_Input'!$W$58)-'01_Input'!$V$58,0)*'01_Input'!$Y$58))+IF('01_Input'!$AB$58="Forfait",IF(CG$20&gt;='01_Input'!$Z$58,'01_Input'!$AC$58,0),IF('01_Input'!$AB$58="Palier",IF(AND(CG$20&gt;='01_Input'!$Z$58,CG$20&lt;'01_Input'!$AA$58),'01_Input'!$AC$58,0),MAX(MIN(CG$20,'01_Input'!$AA$58)-'01_Input'!$Z$58,0)*'01_Input'!$AC$58)))))))))</f>
        <v>5500</v>
      </c>
      <c r="CH26" s="83">
        <f>IF('01_Input'!$C$58="Non",0,MIN('01_Input'!$I$58,MAX('01_Input'!$H$58,IF('01_Input'!$G$58="Résiduel vs Gestion",0,IF('01_Input'!$G$58="Taux Classe sélectionnée",Distrib_Global_Classe_Selectionnee*CH$20,IF('01_Input'!$G$58="Frais KYC (paliers de 100M€)",MAX(0,Nb_Investisseurs-Nb_KYC_Gratuites_Par_Tranche*(FLOOR(CH$20/Taille_Tranche_KYC,1)+1))*Cout_Par_KYC_Supplementaire,(IF('01_Input'!$L$58="Forfait",IF(CH$20&gt;='01_Input'!$J$58,'01_Input'!$M$58,0),IF('01_Input'!$L$58="Palier",IF(AND(CH$20&gt;='01_Input'!$J$58,CH$20&lt;'01_Input'!$K$58),'01_Input'!$M$58,0),MAX(MIN(CH$20,'01_Input'!$K$58)-'01_Input'!$J$58,0)*'01_Input'!$M$58))+IF('01_Input'!$P$58="Forfait",IF(CH$20&gt;='01_Input'!$N$58,'01_Input'!$Q$58,0),IF('01_Input'!$P$58="Palier",IF(AND(CH$20&gt;='01_Input'!$N$58,CH$20&lt;'01_Input'!$O$58),'01_Input'!$Q$58,0),MAX(MIN(CH$20,'01_Input'!$O$58)-'01_Input'!$N$58,0)*'01_Input'!$Q$58))+IF('01_Input'!$T$58="Forfait",IF(CH$20&gt;='01_Input'!$R$58,'01_Input'!$U$58,0),IF('01_Input'!$T$58="Palier",IF(AND(CH$20&gt;='01_Input'!$R$58,CH$20&lt;'01_Input'!$S$58),'01_Input'!$U$58,0),MAX(MIN(CH$20,'01_Input'!$S$58)-'01_Input'!$R$58,0)*'01_Input'!$U$58))+IF('01_Input'!$X$58="Forfait",IF(CH$20&gt;='01_Input'!$V$58,'01_Input'!$Y$58,0),IF('01_Input'!$X$58="Palier",IF(AND(CH$20&gt;='01_Input'!$V$58,CH$20&lt;'01_Input'!$W$58),'01_Input'!$Y$58,0),MAX(MIN(CH$20,'01_Input'!$W$58)-'01_Input'!$V$58,0)*'01_Input'!$Y$58))+IF('01_Input'!$AB$58="Forfait",IF(CH$20&gt;='01_Input'!$Z$58,'01_Input'!$AC$58,0),IF('01_Input'!$AB$58="Palier",IF(AND(CH$20&gt;='01_Input'!$Z$58,CH$20&lt;'01_Input'!$AA$58),'01_Input'!$AC$58,0),MAX(MIN(CH$20,'01_Input'!$AA$58)-'01_Input'!$Z$58,0)*'01_Input'!$AC$58)))))))))</f>
        <v>5500</v>
      </c>
      <c r="CI26" s="83">
        <f>IF('01_Input'!$C$58="Non",0,MIN('01_Input'!$I$58,MAX('01_Input'!$H$58,IF('01_Input'!$G$58="Résiduel vs Gestion",0,IF('01_Input'!$G$58="Taux Classe sélectionnée",Distrib_Global_Classe_Selectionnee*CI$20,IF('01_Input'!$G$58="Frais KYC (paliers de 100M€)",MAX(0,Nb_Investisseurs-Nb_KYC_Gratuites_Par_Tranche*(FLOOR(CI$20/Taille_Tranche_KYC,1)+1))*Cout_Par_KYC_Supplementaire,(IF('01_Input'!$L$58="Forfait",IF(CI$20&gt;='01_Input'!$J$58,'01_Input'!$M$58,0),IF('01_Input'!$L$58="Palier",IF(AND(CI$20&gt;='01_Input'!$J$58,CI$20&lt;'01_Input'!$K$58),'01_Input'!$M$58,0),MAX(MIN(CI$20,'01_Input'!$K$58)-'01_Input'!$J$58,0)*'01_Input'!$M$58))+IF('01_Input'!$P$58="Forfait",IF(CI$20&gt;='01_Input'!$N$58,'01_Input'!$Q$58,0),IF('01_Input'!$P$58="Palier",IF(AND(CI$20&gt;='01_Input'!$N$58,CI$20&lt;'01_Input'!$O$58),'01_Input'!$Q$58,0),MAX(MIN(CI$20,'01_Input'!$O$58)-'01_Input'!$N$58,0)*'01_Input'!$Q$58))+IF('01_Input'!$T$58="Forfait",IF(CI$20&gt;='01_Input'!$R$58,'01_Input'!$U$58,0),IF('01_Input'!$T$58="Palier",IF(AND(CI$20&gt;='01_Input'!$R$58,CI$20&lt;'01_Input'!$S$58),'01_Input'!$U$58,0),MAX(MIN(CI$20,'01_Input'!$S$58)-'01_Input'!$R$58,0)*'01_Input'!$U$58))+IF('01_Input'!$X$58="Forfait",IF(CI$20&gt;='01_Input'!$V$58,'01_Input'!$Y$58,0),IF('01_Input'!$X$58="Palier",IF(AND(CI$20&gt;='01_Input'!$V$58,CI$20&lt;'01_Input'!$W$58),'01_Input'!$Y$58,0),MAX(MIN(CI$20,'01_Input'!$W$58)-'01_Input'!$V$58,0)*'01_Input'!$Y$58))+IF('01_Input'!$AB$58="Forfait",IF(CI$20&gt;='01_Input'!$Z$58,'01_Input'!$AC$58,0),IF('01_Input'!$AB$58="Palier",IF(AND(CI$20&gt;='01_Input'!$Z$58,CI$20&lt;'01_Input'!$AA$58),'01_Input'!$AC$58,0),MAX(MIN(CI$20,'01_Input'!$AA$58)-'01_Input'!$Z$58,0)*'01_Input'!$AC$58)))))))))</f>
        <v>5500</v>
      </c>
      <c r="CJ26" s="83">
        <f>IF('01_Input'!$C$58="Non",0,MIN('01_Input'!$I$58,MAX('01_Input'!$H$58,IF('01_Input'!$G$58="Résiduel vs Gestion",0,IF('01_Input'!$G$58="Taux Classe sélectionnée",Distrib_Global_Classe_Selectionnee*CJ$20,IF('01_Input'!$G$58="Frais KYC (paliers de 100M€)",MAX(0,Nb_Investisseurs-Nb_KYC_Gratuites_Par_Tranche*(FLOOR(CJ$20/Taille_Tranche_KYC,1)+1))*Cout_Par_KYC_Supplementaire,(IF('01_Input'!$L$58="Forfait",IF(CJ$20&gt;='01_Input'!$J$58,'01_Input'!$M$58,0),IF('01_Input'!$L$58="Palier",IF(AND(CJ$20&gt;='01_Input'!$J$58,CJ$20&lt;'01_Input'!$K$58),'01_Input'!$M$58,0),MAX(MIN(CJ$20,'01_Input'!$K$58)-'01_Input'!$J$58,0)*'01_Input'!$M$58))+IF('01_Input'!$P$58="Forfait",IF(CJ$20&gt;='01_Input'!$N$58,'01_Input'!$Q$58,0),IF('01_Input'!$P$58="Palier",IF(AND(CJ$20&gt;='01_Input'!$N$58,CJ$20&lt;'01_Input'!$O$58),'01_Input'!$Q$58,0),MAX(MIN(CJ$20,'01_Input'!$O$58)-'01_Input'!$N$58,0)*'01_Input'!$Q$58))+IF('01_Input'!$T$58="Forfait",IF(CJ$20&gt;='01_Input'!$R$58,'01_Input'!$U$58,0),IF('01_Input'!$T$58="Palier",IF(AND(CJ$20&gt;='01_Input'!$R$58,CJ$20&lt;'01_Input'!$S$58),'01_Input'!$U$58,0),MAX(MIN(CJ$20,'01_Input'!$S$58)-'01_Input'!$R$58,0)*'01_Input'!$U$58))+IF('01_Input'!$X$58="Forfait",IF(CJ$20&gt;='01_Input'!$V$58,'01_Input'!$Y$58,0),IF('01_Input'!$X$58="Palier",IF(AND(CJ$20&gt;='01_Input'!$V$58,CJ$20&lt;'01_Input'!$W$58),'01_Input'!$Y$58,0),MAX(MIN(CJ$20,'01_Input'!$W$58)-'01_Input'!$V$58,0)*'01_Input'!$Y$58))+IF('01_Input'!$AB$58="Forfait",IF(CJ$20&gt;='01_Input'!$Z$58,'01_Input'!$AC$58,0),IF('01_Input'!$AB$58="Palier",IF(AND(CJ$20&gt;='01_Input'!$Z$58,CJ$20&lt;'01_Input'!$AA$58),'01_Input'!$AC$58,0),MAX(MIN(CJ$20,'01_Input'!$AA$58)-'01_Input'!$Z$58,0)*'01_Input'!$AC$58)))))))))</f>
        <v>5500</v>
      </c>
      <c r="CK26" s="83">
        <f>IF('01_Input'!$C$58="Non",0,MIN('01_Input'!$I$58,MAX('01_Input'!$H$58,IF('01_Input'!$G$58="Résiduel vs Gestion",0,IF('01_Input'!$G$58="Taux Classe sélectionnée",Distrib_Global_Classe_Selectionnee*CK$20,IF('01_Input'!$G$58="Frais KYC (paliers de 100M€)",MAX(0,Nb_Investisseurs-Nb_KYC_Gratuites_Par_Tranche*(FLOOR(CK$20/Taille_Tranche_KYC,1)+1))*Cout_Par_KYC_Supplementaire,(IF('01_Input'!$L$58="Forfait",IF(CK$20&gt;='01_Input'!$J$58,'01_Input'!$M$58,0),IF('01_Input'!$L$58="Palier",IF(AND(CK$20&gt;='01_Input'!$J$58,CK$20&lt;'01_Input'!$K$58),'01_Input'!$M$58,0),MAX(MIN(CK$20,'01_Input'!$K$58)-'01_Input'!$J$58,0)*'01_Input'!$M$58))+IF('01_Input'!$P$58="Forfait",IF(CK$20&gt;='01_Input'!$N$58,'01_Input'!$Q$58,0),IF('01_Input'!$P$58="Palier",IF(AND(CK$20&gt;='01_Input'!$N$58,CK$20&lt;'01_Input'!$O$58),'01_Input'!$Q$58,0),MAX(MIN(CK$20,'01_Input'!$O$58)-'01_Input'!$N$58,0)*'01_Input'!$Q$58))+IF('01_Input'!$T$58="Forfait",IF(CK$20&gt;='01_Input'!$R$58,'01_Input'!$U$58,0),IF('01_Input'!$T$58="Palier",IF(AND(CK$20&gt;='01_Input'!$R$58,CK$20&lt;'01_Input'!$S$58),'01_Input'!$U$58,0),MAX(MIN(CK$20,'01_Input'!$S$58)-'01_Input'!$R$58,0)*'01_Input'!$U$58))+IF('01_Input'!$X$58="Forfait",IF(CK$20&gt;='01_Input'!$V$58,'01_Input'!$Y$58,0),IF('01_Input'!$X$58="Palier",IF(AND(CK$20&gt;='01_Input'!$V$58,CK$20&lt;'01_Input'!$W$58),'01_Input'!$Y$58,0),MAX(MIN(CK$20,'01_Input'!$W$58)-'01_Input'!$V$58,0)*'01_Input'!$Y$58))+IF('01_Input'!$AB$58="Forfait",IF(CK$20&gt;='01_Input'!$Z$58,'01_Input'!$AC$58,0),IF('01_Input'!$AB$58="Palier",IF(AND(CK$20&gt;='01_Input'!$Z$58,CK$20&lt;'01_Input'!$AA$58),'01_Input'!$AC$58,0),MAX(MIN(CK$20,'01_Input'!$AA$58)-'01_Input'!$Z$58,0)*'01_Input'!$AC$58)))))))))</f>
        <v>5500</v>
      </c>
      <c r="CL26" s="83">
        <f>IF('01_Input'!$C$58="Non",0,MIN('01_Input'!$I$58,MAX('01_Input'!$H$58,IF('01_Input'!$G$58="Résiduel vs Gestion",0,IF('01_Input'!$G$58="Taux Classe sélectionnée",Distrib_Global_Classe_Selectionnee*CL$20,IF('01_Input'!$G$58="Frais KYC (paliers de 100M€)",MAX(0,Nb_Investisseurs-Nb_KYC_Gratuites_Par_Tranche*(FLOOR(CL$20/Taille_Tranche_KYC,1)+1))*Cout_Par_KYC_Supplementaire,(IF('01_Input'!$L$58="Forfait",IF(CL$20&gt;='01_Input'!$J$58,'01_Input'!$M$58,0),IF('01_Input'!$L$58="Palier",IF(AND(CL$20&gt;='01_Input'!$J$58,CL$20&lt;'01_Input'!$K$58),'01_Input'!$M$58,0),MAX(MIN(CL$20,'01_Input'!$K$58)-'01_Input'!$J$58,0)*'01_Input'!$M$58))+IF('01_Input'!$P$58="Forfait",IF(CL$20&gt;='01_Input'!$N$58,'01_Input'!$Q$58,0),IF('01_Input'!$P$58="Palier",IF(AND(CL$20&gt;='01_Input'!$N$58,CL$20&lt;'01_Input'!$O$58),'01_Input'!$Q$58,0),MAX(MIN(CL$20,'01_Input'!$O$58)-'01_Input'!$N$58,0)*'01_Input'!$Q$58))+IF('01_Input'!$T$58="Forfait",IF(CL$20&gt;='01_Input'!$R$58,'01_Input'!$U$58,0),IF('01_Input'!$T$58="Palier",IF(AND(CL$20&gt;='01_Input'!$R$58,CL$20&lt;'01_Input'!$S$58),'01_Input'!$U$58,0),MAX(MIN(CL$20,'01_Input'!$S$58)-'01_Input'!$R$58,0)*'01_Input'!$U$58))+IF('01_Input'!$X$58="Forfait",IF(CL$20&gt;='01_Input'!$V$58,'01_Input'!$Y$58,0),IF('01_Input'!$X$58="Palier",IF(AND(CL$20&gt;='01_Input'!$V$58,CL$20&lt;'01_Input'!$W$58),'01_Input'!$Y$58,0),MAX(MIN(CL$20,'01_Input'!$W$58)-'01_Input'!$V$58,0)*'01_Input'!$Y$58))+IF('01_Input'!$AB$58="Forfait",IF(CL$20&gt;='01_Input'!$Z$58,'01_Input'!$AC$58,0),IF('01_Input'!$AB$58="Palier",IF(AND(CL$20&gt;='01_Input'!$Z$58,CL$20&lt;'01_Input'!$AA$58),'01_Input'!$AC$58,0),MAX(MIN(CL$20,'01_Input'!$AA$58)-'01_Input'!$Z$58,0)*'01_Input'!$AC$58)))))))))</f>
        <v>5500</v>
      </c>
      <c r="CM26" s="83">
        <f>IF('01_Input'!$C$58="Non",0,MIN('01_Input'!$I$58,MAX('01_Input'!$H$58,IF('01_Input'!$G$58="Résiduel vs Gestion",0,IF('01_Input'!$G$58="Taux Classe sélectionnée",Distrib_Global_Classe_Selectionnee*CM$20,IF('01_Input'!$G$58="Frais KYC (paliers de 100M€)",MAX(0,Nb_Investisseurs-Nb_KYC_Gratuites_Par_Tranche*(FLOOR(CM$20/Taille_Tranche_KYC,1)+1))*Cout_Par_KYC_Supplementaire,(IF('01_Input'!$L$58="Forfait",IF(CM$20&gt;='01_Input'!$J$58,'01_Input'!$M$58,0),IF('01_Input'!$L$58="Palier",IF(AND(CM$20&gt;='01_Input'!$J$58,CM$20&lt;'01_Input'!$K$58),'01_Input'!$M$58,0),MAX(MIN(CM$20,'01_Input'!$K$58)-'01_Input'!$J$58,0)*'01_Input'!$M$58))+IF('01_Input'!$P$58="Forfait",IF(CM$20&gt;='01_Input'!$N$58,'01_Input'!$Q$58,0),IF('01_Input'!$P$58="Palier",IF(AND(CM$20&gt;='01_Input'!$N$58,CM$20&lt;'01_Input'!$O$58),'01_Input'!$Q$58,0),MAX(MIN(CM$20,'01_Input'!$O$58)-'01_Input'!$N$58,0)*'01_Input'!$Q$58))+IF('01_Input'!$T$58="Forfait",IF(CM$20&gt;='01_Input'!$R$58,'01_Input'!$U$58,0),IF('01_Input'!$T$58="Palier",IF(AND(CM$20&gt;='01_Input'!$R$58,CM$20&lt;'01_Input'!$S$58),'01_Input'!$U$58,0),MAX(MIN(CM$20,'01_Input'!$S$58)-'01_Input'!$R$58,0)*'01_Input'!$U$58))+IF('01_Input'!$X$58="Forfait",IF(CM$20&gt;='01_Input'!$V$58,'01_Input'!$Y$58,0),IF('01_Input'!$X$58="Palier",IF(AND(CM$20&gt;='01_Input'!$V$58,CM$20&lt;'01_Input'!$W$58),'01_Input'!$Y$58,0),MAX(MIN(CM$20,'01_Input'!$W$58)-'01_Input'!$V$58,0)*'01_Input'!$Y$58))+IF('01_Input'!$AB$58="Forfait",IF(CM$20&gt;='01_Input'!$Z$58,'01_Input'!$AC$58,0),IF('01_Input'!$AB$58="Palier",IF(AND(CM$20&gt;='01_Input'!$Z$58,CM$20&lt;'01_Input'!$AA$58),'01_Input'!$AC$58,0),MAX(MIN(CM$20,'01_Input'!$AA$58)-'01_Input'!$Z$58,0)*'01_Input'!$AC$58)))))))))</f>
        <v>5500</v>
      </c>
      <c r="CN26" s="83">
        <f>IF('01_Input'!$C$58="Non",0,MIN('01_Input'!$I$58,MAX('01_Input'!$H$58,IF('01_Input'!$G$58="Résiduel vs Gestion",0,IF('01_Input'!$G$58="Taux Classe sélectionnée",Distrib_Global_Classe_Selectionnee*CN$20,IF('01_Input'!$G$58="Frais KYC (paliers de 100M€)",MAX(0,Nb_Investisseurs-Nb_KYC_Gratuites_Par_Tranche*(FLOOR(CN$20/Taille_Tranche_KYC,1)+1))*Cout_Par_KYC_Supplementaire,(IF('01_Input'!$L$58="Forfait",IF(CN$20&gt;='01_Input'!$J$58,'01_Input'!$M$58,0),IF('01_Input'!$L$58="Palier",IF(AND(CN$20&gt;='01_Input'!$J$58,CN$20&lt;'01_Input'!$K$58),'01_Input'!$M$58,0),MAX(MIN(CN$20,'01_Input'!$K$58)-'01_Input'!$J$58,0)*'01_Input'!$M$58))+IF('01_Input'!$P$58="Forfait",IF(CN$20&gt;='01_Input'!$N$58,'01_Input'!$Q$58,0),IF('01_Input'!$P$58="Palier",IF(AND(CN$20&gt;='01_Input'!$N$58,CN$20&lt;'01_Input'!$O$58),'01_Input'!$Q$58,0),MAX(MIN(CN$20,'01_Input'!$O$58)-'01_Input'!$N$58,0)*'01_Input'!$Q$58))+IF('01_Input'!$T$58="Forfait",IF(CN$20&gt;='01_Input'!$R$58,'01_Input'!$U$58,0),IF('01_Input'!$T$58="Palier",IF(AND(CN$20&gt;='01_Input'!$R$58,CN$20&lt;'01_Input'!$S$58),'01_Input'!$U$58,0),MAX(MIN(CN$20,'01_Input'!$S$58)-'01_Input'!$R$58,0)*'01_Input'!$U$58))+IF('01_Input'!$X$58="Forfait",IF(CN$20&gt;='01_Input'!$V$58,'01_Input'!$Y$58,0),IF('01_Input'!$X$58="Palier",IF(AND(CN$20&gt;='01_Input'!$V$58,CN$20&lt;'01_Input'!$W$58),'01_Input'!$Y$58,0),MAX(MIN(CN$20,'01_Input'!$W$58)-'01_Input'!$V$58,0)*'01_Input'!$Y$58))+IF('01_Input'!$AB$58="Forfait",IF(CN$20&gt;='01_Input'!$Z$58,'01_Input'!$AC$58,0),IF('01_Input'!$AB$58="Palier",IF(AND(CN$20&gt;='01_Input'!$Z$58,CN$20&lt;'01_Input'!$AA$58),'01_Input'!$AC$58,0),MAX(MIN(CN$20,'01_Input'!$AA$58)-'01_Input'!$Z$58,0)*'01_Input'!$AC$58)))))))))</f>
        <v>5500</v>
      </c>
      <c r="CO26" s="83">
        <f>IF('01_Input'!$C$58="Non",0,MIN('01_Input'!$I$58,MAX('01_Input'!$H$58,IF('01_Input'!$G$58="Résiduel vs Gestion",0,IF('01_Input'!$G$58="Taux Classe sélectionnée",Distrib_Global_Classe_Selectionnee*CO$20,IF('01_Input'!$G$58="Frais KYC (paliers de 100M€)",MAX(0,Nb_Investisseurs-Nb_KYC_Gratuites_Par_Tranche*(FLOOR(CO$20/Taille_Tranche_KYC,1)+1))*Cout_Par_KYC_Supplementaire,(IF('01_Input'!$L$58="Forfait",IF(CO$20&gt;='01_Input'!$J$58,'01_Input'!$M$58,0),IF('01_Input'!$L$58="Palier",IF(AND(CO$20&gt;='01_Input'!$J$58,CO$20&lt;'01_Input'!$K$58),'01_Input'!$M$58,0),MAX(MIN(CO$20,'01_Input'!$K$58)-'01_Input'!$J$58,0)*'01_Input'!$M$58))+IF('01_Input'!$P$58="Forfait",IF(CO$20&gt;='01_Input'!$N$58,'01_Input'!$Q$58,0),IF('01_Input'!$P$58="Palier",IF(AND(CO$20&gt;='01_Input'!$N$58,CO$20&lt;'01_Input'!$O$58),'01_Input'!$Q$58,0),MAX(MIN(CO$20,'01_Input'!$O$58)-'01_Input'!$N$58,0)*'01_Input'!$Q$58))+IF('01_Input'!$T$58="Forfait",IF(CO$20&gt;='01_Input'!$R$58,'01_Input'!$U$58,0),IF('01_Input'!$T$58="Palier",IF(AND(CO$20&gt;='01_Input'!$R$58,CO$20&lt;'01_Input'!$S$58),'01_Input'!$U$58,0),MAX(MIN(CO$20,'01_Input'!$S$58)-'01_Input'!$R$58,0)*'01_Input'!$U$58))+IF('01_Input'!$X$58="Forfait",IF(CO$20&gt;='01_Input'!$V$58,'01_Input'!$Y$58,0),IF('01_Input'!$X$58="Palier",IF(AND(CO$20&gt;='01_Input'!$V$58,CO$20&lt;'01_Input'!$W$58),'01_Input'!$Y$58,0),MAX(MIN(CO$20,'01_Input'!$W$58)-'01_Input'!$V$58,0)*'01_Input'!$Y$58))+IF('01_Input'!$AB$58="Forfait",IF(CO$20&gt;='01_Input'!$Z$58,'01_Input'!$AC$58,0),IF('01_Input'!$AB$58="Palier",IF(AND(CO$20&gt;='01_Input'!$Z$58,CO$20&lt;'01_Input'!$AA$58),'01_Input'!$AC$58,0),MAX(MIN(CO$20,'01_Input'!$AA$58)-'01_Input'!$Z$58,0)*'01_Input'!$AC$58)))))))))</f>
        <v>5500</v>
      </c>
      <c r="CP26" s="83">
        <f>IF('01_Input'!$C$58="Non",0,MIN('01_Input'!$I$58,MAX('01_Input'!$H$58,IF('01_Input'!$G$58="Résiduel vs Gestion",0,IF('01_Input'!$G$58="Taux Classe sélectionnée",Distrib_Global_Classe_Selectionnee*CP$20,IF('01_Input'!$G$58="Frais KYC (paliers de 100M€)",MAX(0,Nb_Investisseurs-Nb_KYC_Gratuites_Par_Tranche*(FLOOR(CP$20/Taille_Tranche_KYC,1)+1))*Cout_Par_KYC_Supplementaire,(IF('01_Input'!$L$58="Forfait",IF(CP$20&gt;='01_Input'!$J$58,'01_Input'!$M$58,0),IF('01_Input'!$L$58="Palier",IF(AND(CP$20&gt;='01_Input'!$J$58,CP$20&lt;'01_Input'!$K$58),'01_Input'!$M$58,0),MAX(MIN(CP$20,'01_Input'!$K$58)-'01_Input'!$J$58,0)*'01_Input'!$M$58))+IF('01_Input'!$P$58="Forfait",IF(CP$20&gt;='01_Input'!$N$58,'01_Input'!$Q$58,0),IF('01_Input'!$P$58="Palier",IF(AND(CP$20&gt;='01_Input'!$N$58,CP$20&lt;'01_Input'!$O$58),'01_Input'!$Q$58,0),MAX(MIN(CP$20,'01_Input'!$O$58)-'01_Input'!$N$58,0)*'01_Input'!$Q$58))+IF('01_Input'!$T$58="Forfait",IF(CP$20&gt;='01_Input'!$R$58,'01_Input'!$U$58,0),IF('01_Input'!$T$58="Palier",IF(AND(CP$20&gt;='01_Input'!$R$58,CP$20&lt;'01_Input'!$S$58),'01_Input'!$U$58,0),MAX(MIN(CP$20,'01_Input'!$S$58)-'01_Input'!$R$58,0)*'01_Input'!$U$58))+IF('01_Input'!$X$58="Forfait",IF(CP$20&gt;='01_Input'!$V$58,'01_Input'!$Y$58,0),IF('01_Input'!$X$58="Palier",IF(AND(CP$20&gt;='01_Input'!$V$58,CP$20&lt;'01_Input'!$W$58),'01_Input'!$Y$58,0),MAX(MIN(CP$20,'01_Input'!$W$58)-'01_Input'!$V$58,0)*'01_Input'!$Y$58))+IF('01_Input'!$AB$58="Forfait",IF(CP$20&gt;='01_Input'!$Z$58,'01_Input'!$AC$58,0),IF('01_Input'!$AB$58="Palier",IF(AND(CP$20&gt;='01_Input'!$Z$58,CP$20&lt;'01_Input'!$AA$58),'01_Input'!$AC$58,0),MAX(MIN(CP$20,'01_Input'!$AA$58)-'01_Input'!$Z$58,0)*'01_Input'!$AC$58)))))))))</f>
        <v>5500</v>
      </c>
      <c r="CQ26" s="83">
        <f>IF('01_Input'!$C$58="Non",0,MIN('01_Input'!$I$58,MAX('01_Input'!$H$58,IF('01_Input'!$G$58="Résiduel vs Gestion",0,IF('01_Input'!$G$58="Taux Classe sélectionnée",Distrib_Global_Classe_Selectionnee*CQ$20,IF('01_Input'!$G$58="Frais KYC (paliers de 100M€)",MAX(0,Nb_Investisseurs-Nb_KYC_Gratuites_Par_Tranche*(FLOOR(CQ$20/Taille_Tranche_KYC,1)+1))*Cout_Par_KYC_Supplementaire,(IF('01_Input'!$L$58="Forfait",IF(CQ$20&gt;='01_Input'!$J$58,'01_Input'!$M$58,0),IF('01_Input'!$L$58="Palier",IF(AND(CQ$20&gt;='01_Input'!$J$58,CQ$20&lt;'01_Input'!$K$58),'01_Input'!$M$58,0),MAX(MIN(CQ$20,'01_Input'!$K$58)-'01_Input'!$J$58,0)*'01_Input'!$M$58))+IF('01_Input'!$P$58="Forfait",IF(CQ$20&gt;='01_Input'!$N$58,'01_Input'!$Q$58,0),IF('01_Input'!$P$58="Palier",IF(AND(CQ$20&gt;='01_Input'!$N$58,CQ$20&lt;'01_Input'!$O$58),'01_Input'!$Q$58,0),MAX(MIN(CQ$20,'01_Input'!$O$58)-'01_Input'!$N$58,0)*'01_Input'!$Q$58))+IF('01_Input'!$T$58="Forfait",IF(CQ$20&gt;='01_Input'!$R$58,'01_Input'!$U$58,0),IF('01_Input'!$T$58="Palier",IF(AND(CQ$20&gt;='01_Input'!$R$58,CQ$20&lt;'01_Input'!$S$58),'01_Input'!$U$58,0),MAX(MIN(CQ$20,'01_Input'!$S$58)-'01_Input'!$R$58,0)*'01_Input'!$U$58))+IF('01_Input'!$X$58="Forfait",IF(CQ$20&gt;='01_Input'!$V$58,'01_Input'!$Y$58,0),IF('01_Input'!$X$58="Palier",IF(AND(CQ$20&gt;='01_Input'!$V$58,CQ$20&lt;'01_Input'!$W$58),'01_Input'!$Y$58,0),MAX(MIN(CQ$20,'01_Input'!$W$58)-'01_Input'!$V$58,0)*'01_Input'!$Y$58))+IF('01_Input'!$AB$58="Forfait",IF(CQ$20&gt;='01_Input'!$Z$58,'01_Input'!$AC$58,0),IF('01_Input'!$AB$58="Palier",IF(AND(CQ$20&gt;='01_Input'!$Z$58,CQ$20&lt;'01_Input'!$AA$58),'01_Input'!$AC$58,0),MAX(MIN(CQ$20,'01_Input'!$AA$58)-'01_Input'!$Z$58,0)*'01_Input'!$AC$58)))))))))</f>
        <v>5500</v>
      </c>
      <c r="CR26" s="83">
        <f>IF('01_Input'!$C$58="Non",0,MIN('01_Input'!$I$58,MAX('01_Input'!$H$58,IF('01_Input'!$G$58="Résiduel vs Gestion",0,IF('01_Input'!$G$58="Taux Classe sélectionnée",Distrib_Global_Classe_Selectionnee*CR$20,IF('01_Input'!$G$58="Frais KYC (paliers de 100M€)",MAX(0,Nb_Investisseurs-Nb_KYC_Gratuites_Par_Tranche*(FLOOR(CR$20/Taille_Tranche_KYC,1)+1))*Cout_Par_KYC_Supplementaire,(IF('01_Input'!$L$58="Forfait",IF(CR$20&gt;='01_Input'!$J$58,'01_Input'!$M$58,0),IF('01_Input'!$L$58="Palier",IF(AND(CR$20&gt;='01_Input'!$J$58,CR$20&lt;'01_Input'!$K$58),'01_Input'!$M$58,0),MAX(MIN(CR$20,'01_Input'!$K$58)-'01_Input'!$J$58,0)*'01_Input'!$M$58))+IF('01_Input'!$P$58="Forfait",IF(CR$20&gt;='01_Input'!$N$58,'01_Input'!$Q$58,0),IF('01_Input'!$P$58="Palier",IF(AND(CR$20&gt;='01_Input'!$N$58,CR$20&lt;'01_Input'!$O$58),'01_Input'!$Q$58,0),MAX(MIN(CR$20,'01_Input'!$O$58)-'01_Input'!$N$58,0)*'01_Input'!$Q$58))+IF('01_Input'!$T$58="Forfait",IF(CR$20&gt;='01_Input'!$R$58,'01_Input'!$U$58,0),IF('01_Input'!$T$58="Palier",IF(AND(CR$20&gt;='01_Input'!$R$58,CR$20&lt;'01_Input'!$S$58),'01_Input'!$U$58,0),MAX(MIN(CR$20,'01_Input'!$S$58)-'01_Input'!$R$58,0)*'01_Input'!$U$58))+IF('01_Input'!$X$58="Forfait",IF(CR$20&gt;='01_Input'!$V$58,'01_Input'!$Y$58,0),IF('01_Input'!$X$58="Palier",IF(AND(CR$20&gt;='01_Input'!$V$58,CR$20&lt;'01_Input'!$W$58),'01_Input'!$Y$58,0),MAX(MIN(CR$20,'01_Input'!$W$58)-'01_Input'!$V$58,0)*'01_Input'!$Y$58))+IF('01_Input'!$AB$58="Forfait",IF(CR$20&gt;='01_Input'!$Z$58,'01_Input'!$AC$58,0),IF('01_Input'!$AB$58="Palier",IF(AND(CR$20&gt;='01_Input'!$Z$58,CR$20&lt;'01_Input'!$AA$58),'01_Input'!$AC$58,0),MAX(MIN(CR$20,'01_Input'!$AA$58)-'01_Input'!$Z$58,0)*'01_Input'!$AC$58)))))))))</f>
        <v>5500</v>
      </c>
      <c r="CS26" s="83">
        <f>IF('01_Input'!$C$58="Non",0,MIN('01_Input'!$I$58,MAX('01_Input'!$H$58,IF('01_Input'!$G$58="Résiduel vs Gestion",0,IF('01_Input'!$G$58="Taux Classe sélectionnée",Distrib_Global_Classe_Selectionnee*CS$20,IF('01_Input'!$G$58="Frais KYC (paliers de 100M€)",MAX(0,Nb_Investisseurs-Nb_KYC_Gratuites_Par_Tranche*(FLOOR(CS$20/Taille_Tranche_KYC,1)+1))*Cout_Par_KYC_Supplementaire,(IF('01_Input'!$L$58="Forfait",IF(CS$20&gt;='01_Input'!$J$58,'01_Input'!$M$58,0),IF('01_Input'!$L$58="Palier",IF(AND(CS$20&gt;='01_Input'!$J$58,CS$20&lt;'01_Input'!$K$58),'01_Input'!$M$58,0),MAX(MIN(CS$20,'01_Input'!$K$58)-'01_Input'!$J$58,0)*'01_Input'!$M$58))+IF('01_Input'!$P$58="Forfait",IF(CS$20&gt;='01_Input'!$N$58,'01_Input'!$Q$58,0),IF('01_Input'!$P$58="Palier",IF(AND(CS$20&gt;='01_Input'!$N$58,CS$20&lt;'01_Input'!$O$58),'01_Input'!$Q$58,0),MAX(MIN(CS$20,'01_Input'!$O$58)-'01_Input'!$N$58,0)*'01_Input'!$Q$58))+IF('01_Input'!$T$58="Forfait",IF(CS$20&gt;='01_Input'!$R$58,'01_Input'!$U$58,0),IF('01_Input'!$T$58="Palier",IF(AND(CS$20&gt;='01_Input'!$R$58,CS$20&lt;'01_Input'!$S$58),'01_Input'!$U$58,0),MAX(MIN(CS$20,'01_Input'!$S$58)-'01_Input'!$R$58,0)*'01_Input'!$U$58))+IF('01_Input'!$X$58="Forfait",IF(CS$20&gt;='01_Input'!$V$58,'01_Input'!$Y$58,0),IF('01_Input'!$X$58="Palier",IF(AND(CS$20&gt;='01_Input'!$V$58,CS$20&lt;'01_Input'!$W$58),'01_Input'!$Y$58,0),MAX(MIN(CS$20,'01_Input'!$W$58)-'01_Input'!$V$58,0)*'01_Input'!$Y$58))+IF('01_Input'!$AB$58="Forfait",IF(CS$20&gt;='01_Input'!$Z$58,'01_Input'!$AC$58,0),IF('01_Input'!$AB$58="Palier",IF(AND(CS$20&gt;='01_Input'!$Z$58,CS$20&lt;'01_Input'!$AA$58),'01_Input'!$AC$58,0),MAX(MIN(CS$20,'01_Input'!$AA$58)-'01_Input'!$Z$58,0)*'01_Input'!$AC$58)))))))))</f>
        <v>5500</v>
      </c>
      <c r="CT26" s="83">
        <f>IF('01_Input'!$C$58="Non",0,MIN('01_Input'!$I$58,MAX('01_Input'!$H$58,IF('01_Input'!$G$58="Résiduel vs Gestion",0,IF('01_Input'!$G$58="Taux Classe sélectionnée",Distrib_Global_Classe_Selectionnee*CT$20,IF('01_Input'!$G$58="Frais KYC (paliers de 100M€)",MAX(0,Nb_Investisseurs-Nb_KYC_Gratuites_Par_Tranche*(FLOOR(CT$20/Taille_Tranche_KYC,1)+1))*Cout_Par_KYC_Supplementaire,(IF('01_Input'!$L$58="Forfait",IF(CT$20&gt;='01_Input'!$J$58,'01_Input'!$M$58,0),IF('01_Input'!$L$58="Palier",IF(AND(CT$20&gt;='01_Input'!$J$58,CT$20&lt;'01_Input'!$K$58),'01_Input'!$M$58,0),MAX(MIN(CT$20,'01_Input'!$K$58)-'01_Input'!$J$58,0)*'01_Input'!$M$58))+IF('01_Input'!$P$58="Forfait",IF(CT$20&gt;='01_Input'!$N$58,'01_Input'!$Q$58,0),IF('01_Input'!$P$58="Palier",IF(AND(CT$20&gt;='01_Input'!$N$58,CT$20&lt;'01_Input'!$O$58),'01_Input'!$Q$58,0),MAX(MIN(CT$20,'01_Input'!$O$58)-'01_Input'!$N$58,0)*'01_Input'!$Q$58))+IF('01_Input'!$T$58="Forfait",IF(CT$20&gt;='01_Input'!$R$58,'01_Input'!$U$58,0),IF('01_Input'!$T$58="Palier",IF(AND(CT$20&gt;='01_Input'!$R$58,CT$20&lt;'01_Input'!$S$58),'01_Input'!$U$58,0),MAX(MIN(CT$20,'01_Input'!$S$58)-'01_Input'!$R$58,0)*'01_Input'!$U$58))+IF('01_Input'!$X$58="Forfait",IF(CT$20&gt;='01_Input'!$V$58,'01_Input'!$Y$58,0),IF('01_Input'!$X$58="Palier",IF(AND(CT$20&gt;='01_Input'!$V$58,CT$20&lt;'01_Input'!$W$58),'01_Input'!$Y$58,0),MAX(MIN(CT$20,'01_Input'!$W$58)-'01_Input'!$V$58,0)*'01_Input'!$Y$58))+IF('01_Input'!$AB$58="Forfait",IF(CT$20&gt;='01_Input'!$Z$58,'01_Input'!$AC$58,0),IF('01_Input'!$AB$58="Palier",IF(AND(CT$20&gt;='01_Input'!$Z$58,CT$20&lt;'01_Input'!$AA$58),'01_Input'!$AC$58,0),MAX(MIN(CT$20,'01_Input'!$AA$58)-'01_Input'!$Z$58,0)*'01_Input'!$AC$58)))))))))</f>
        <v>5500</v>
      </c>
      <c r="CU26" s="83">
        <f>IF('01_Input'!$C$58="Non",0,MIN('01_Input'!$I$58,MAX('01_Input'!$H$58,IF('01_Input'!$G$58="Résiduel vs Gestion",0,IF('01_Input'!$G$58="Taux Classe sélectionnée",Distrib_Global_Classe_Selectionnee*CU$20,IF('01_Input'!$G$58="Frais KYC (paliers de 100M€)",MAX(0,Nb_Investisseurs-Nb_KYC_Gratuites_Par_Tranche*(FLOOR(CU$20/Taille_Tranche_KYC,1)+1))*Cout_Par_KYC_Supplementaire,(IF('01_Input'!$L$58="Forfait",IF(CU$20&gt;='01_Input'!$J$58,'01_Input'!$M$58,0),IF('01_Input'!$L$58="Palier",IF(AND(CU$20&gt;='01_Input'!$J$58,CU$20&lt;'01_Input'!$K$58),'01_Input'!$M$58,0),MAX(MIN(CU$20,'01_Input'!$K$58)-'01_Input'!$J$58,0)*'01_Input'!$M$58))+IF('01_Input'!$P$58="Forfait",IF(CU$20&gt;='01_Input'!$N$58,'01_Input'!$Q$58,0),IF('01_Input'!$P$58="Palier",IF(AND(CU$20&gt;='01_Input'!$N$58,CU$20&lt;'01_Input'!$O$58),'01_Input'!$Q$58,0),MAX(MIN(CU$20,'01_Input'!$O$58)-'01_Input'!$N$58,0)*'01_Input'!$Q$58))+IF('01_Input'!$T$58="Forfait",IF(CU$20&gt;='01_Input'!$R$58,'01_Input'!$U$58,0),IF('01_Input'!$T$58="Palier",IF(AND(CU$20&gt;='01_Input'!$R$58,CU$20&lt;'01_Input'!$S$58),'01_Input'!$U$58,0),MAX(MIN(CU$20,'01_Input'!$S$58)-'01_Input'!$R$58,0)*'01_Input'!$U$58))+IF('01_Input'!$X$58="Forfait",IF(CU$20&gt;='01_Input'!$V$58,'01_Input'!$Y$58,0),IF('01_Input'!$X$58="Palier",IF(AND(CU$20&gt;='01_Input'!$V$58,CU$20&lt;'01_Input'!$W$58),'01_Input'!$Y$58,0),MAX(MIN(CU$20,'01_Input'!$W$58)-'01_Input'!$V$58,0)*'01_Input'!$Y$58))+IF('01_Input'!$AB$58="Forfait",IF(CU$20&gt;='01_Input'!$Z$58,'01_Input'!$AC$58,0),IF('01_Input'!$AB$58="Palier",IF(AND(CU$20&gt;='01_Input'!$Z$58,CU$20&lt;'01_Input'!$AA$58),'01_Input'!$AC$58,0),MAX(MIN(CU$20,'01_Input'!$AA$58)-'01_Input'!$Z$58,0)*'01_Input'!$AC$58)))))))))</f>
        <v>5500</v>
      </c>
      <c r="CV26" s="83">
        <f>IF('01_Input'!$C$58="Non",0,MIN('01_Input'!$I$58,MAX('01_Input'!$H$58,IF('01_Input'!$G$58="Résiduel vs Gestion",0,IF('01_Input'!$G$58="Taux Classe sélectionnée",Distrib_Global_Classe_Selectionnee*CV$20,IF('01_Input'!$G$58="Frais KYC (paliers de 100M€)",MAX(0,Nb_Investisseurs-Nb_KYC_Gratuites_Par_Tranche*(FLOOR(CV$20/Taille_Tranche_KYC,1)+1))*Cout_Par_KYC_Supplementaire,(IF('01_Input'!$L$58="Forfait",IF(CV$20&gt;='01_Input'!$J$58,'01_Input'!$M$58,0),IF('01_Input'!$L$58="Palier",IF(AND(CV$20&gt;='01_Input'!$J$58,CV$20&lt;'01_Input'!$K$58),'01_Input'!$M$58,0),MAX(MIN(CV$20,'01_Input'!$K$58)-'01_Input'!$J$58,0)*'01_Input'!$M$58))+IF('01_Input'!$P$58="Forfait",IF(CV$20&gt;='01_Input'!$N$58,'01_Input'!$Q$58,0),IF('01_Input'!$P$58="Palier",IF(AND(CV$20&gt;='01_Input'!$N$58,CV$20&lt;'01_Input'!$O$58),'01_Input'!$Q$58,0),MAX(MIN(CV$20,'01_Input'!$O$58)-'01_Input'!$N$58,0)*'01_Input'!$Q$58))+IF('01_Input'!$T$58="Forfait",IF(CV$20&gt;='01_Input'!$R$58,'01_Input'!$U$58,0),IF('01_Input'!$T$58="Palier",IF(AND(CV$20&gt;='01_Input'!$R$58,CV$20&lt;'01_Input'!$S$58),'01_Input'!$U$58,0),MAX(MIN(CV$20,'01_Input'!$S$58)-'01_Input'!$R$58,0)*'01_Input'!$U$58))+IF('01_Input'!$X$58="Forfait",IF(CV$20&gt;='01_Input'!$V$58,'01_Input'!$Y$58,0),IF('01_Input'!$X$58="Palier",IF(AND(CV$20&gt;='01_Input'!$V$58,CV$20&lt;'01_Input'!$W$58),'01_Input'!$Y$58,0),MAX(MIN(CV$20,'01_Input'!$W$58)-'01_Input'!$V$58,0)*'01_Input'!$Y$58))+IF('01_Input'!$AB$58="Forfait",IF(CV$20&gt;='01_Input'!$Z$58,'01_Input'!$AC$58,0),IF('01_Input'!$AB$58="Palier",IF(AND(CV$20&gt;='01_Input'!$Z$58,CV$20&lt;'01_Input'!$AA$58),'01_Input'!$AC$58,0),MAX(MIN(CV$20,'01_Input'!$AA$58)-'01_Input'!$Z$58,0)*'01_Input'!$AC$58)))))))))</f>
        <v>5500</v>
      </c>
      <c r="CW26" s="83">
        <f>IF('01_Input'!$C$58="Non",0,MIN('01_Input'!$I$58,MAX('01_Input'!$H$58,IF('01_Input'!$G$58="Résiduel vs Gestion",0,IF('01_Input'!$G$58="Taux Classe sélectionnée",Distrib_Global_Classe_Selectionnee*CW$20,IF('01_Input'!$G$58="Frais KYC (paliers de 100M€)",MAX(0,Nb_Investisseurs-Nb_KYC_Gratuites_Par_Tranche*(FLOOR(CW$20/Taille_Tranche_KYC,1)+1))*Cout_Par_KYC_Supplementaire,(IF('01_Input'!$L$58="Forfait",IF(CW$20&gt;='01_Input'!$J$58,'01_Input'!$M$58,0),IF('01_Input'!$L$58="Palier",IF(AND(CW$20&gt;='01_Input'!$J$58,CW$20&lt;'01_Input'!$K$58),'01_Input'!$M$58,0),MAX(MIN(CW$20,'01_Input'!$K$58)-'01_Input'!$J$58,0)*'01_Input'!$M$58))+IF('01_Input'!$P$58="Forfait",IF(CW$20&gt;='01_Input'!$N$58,'01_Input'!$Q$58,0),IF('01_Input'!$P$58="Palier",IF(AND(CW$20&gt;='01_Input'!$N$58,CW$20&lt;'01_Input'!$O$58),'01_Input'!$Q$58,0),MAX(MIN(CW$20,'01_Input'!$O$58)-'01_Input'!$N$58,0)*'01_Input'!$Q$58))+IF('01_Input'!$T$58="Forfait",IF(CW$20&gt;='01_Input'!$R$58,'01_Input'!$U$58,0),IF('01_Input'!$T$58="Palier",IF(AND(CW$20&gt;='01_Input'!$R$58,CW$20&lt;'01_Input'!$S$58),'01_Input'!$U$58,0),MAX(MIN(CW$20,'01_Input'!$S$58)-'01_Input'!$R$58,0)*'01_Input'!$U$58))+IF('01_Input'!$X$58="Forfait",IF(CW$20&gt;='01_Input'!$V$58,'01_Input'!$Y$58,0),IF('01_Input'!$X$58="Palier",IF(AND(CW$20&gt;='01_Input'!$V$58,CW$20&lt;'01_Input'!$W$58),'01_Input'!$Y$58,0),MAX(MIN(CW$20,'01_Input'!$W$58)-'01_Input'!$V$58,0)*'01_Input'!$Y$58))+IF('01_Input'!$AB$58="Forfait",IF(CW$20&gt;='01_Input'!$Z$58,'01_Input'!$AC$58,0),IF('01_Input'!$AB$58="Palier",IF(AND(CW$20&gt;='01_Input'!$Z$58,CW$20&lt;'01_Input'!$AA$58),'01_Input'!$AC$58,0),MAX(MIN(CW$20,'01_Input'!$AA$58)-'01_Input'!$Z$58,0)*'01_Input'!$AC$58)))))))))</f>
        <v>5500</v>
      </c>
      <c r="CX26" s="83">
        <f>IF('01_Input'!$C$58="Non",0,MIN('01_Input'!$I$58,MAX('01_Input'!$H$58,IF('01_Input'!$G$58="Résiduel vs Gestion",0,IF('01_Input'!$G$58="Taux Classe sélectionnée",Distrib_Global_Classe_Selectionnee*CX$20,IF('01_Input'!$G$58="Frais KYC (paliers de 100M€)",MAX(0,Nb_Investisseurs-Nb_KYC_Gratuites_Par_Tranche*(FLOOR(CX$20/Taille_Tranche_KYC,1)+1))*Cout_Par_KYC_Supplementaire,(IF('01_Input'!$L$58="Forfait",IF(CX$20&gt;='01_Input'!$J$58,'01_Input'!$M$58,0),IF('01_Input'!$L$58="Palier",IF(AND(CX$20&gt;='01_Input'!$J$58,CX$20&lt;'01_Input'!$K$58),'01_Input'!$M$58,0),MAX(MIN(CX$20,'01_Input'!$K$58)-'01_Input'!$J$58,0)*'01_Input'!$M$58))+IF('01_Input'!$P$58="Forfait",IF(CX$20&gt;='01_Input'!$N$58,'01_Input'!$Q$58,0),IF('01_Input'!$P$58="Palier",IF(AND(CX$20&gt;='01_Input'!$N$58,CX$20&lt;'01_Input'!$O$58),'01_Input'!$Q$58,0),MAX(MIN(CX$20,'01_Input'!$O$58)-'01_Input'!$N$58,0)*'01_Input'!$Q$58))+IF('01_Input'!$T$58="Forfait",IF(CX$20&gt;='01_Input'!$R$58,'01_Input'!$U$58,0),IF('01_Input'!$T$58="Palier",IF(AND(CX$20&gt;='01_Input'!$R$58,CX$20&lt;'01_Input'!$S$58),'01_Input'!$U$58,0),MAX(MIN(CX$20,'01_Input'!$S$58)-'01_Input'!$R$58,0)*'01_Input'!$U$58))+IF('01_Input'!$X$58="Forfait",IF(CX$20&gt;='01_Input'!$V$58,'01_Input'!$Y$58,0),IF('01_Input'!$X$58="Palier",IF(AND(CX$20&gt;='01_Input'!$V$58,CX$20&lt;'01_Input'!$W$58),'01_Input'!$Y$58,0),MAX(MIN(CX$20,'01_Input'!$W$58)-'01_Input'!$V$58,0)*'01_Input'!$Y$58))+IF('01_Input'!$AB$58="Forfait",IF(CX$20&gt;='01_Input'!$Z$58,'01_Input'!$AC$58,0),IF('01_Input'!$AB$58="Palier",IF(AND(CX$20&gt;='01_Input'!$Z$58,CX$20&lt;'01_Input'!$AA$58),'01_Input'!$AC$58,0),MAX(MIN(CX$20,'01_Input'!$AA$58)-'01_Input'!$Z$58,0)*'01_Input'!$AC$58)))))))))</f>
        <v>5500</v>
      </c>
      <c r="CY26" s="83">
        <f>IF('01_Input'!$C$58="Non",0,MIN('01_Input'!$I$58,MAX('01_Input'!$H$58,IF('01_Input'!$G$58="Résiduel vs Gestion",0,IF('01_Input'!$G$58="Taux Classe sélectionnée",Distrib_Global_Classe_Selectionnee*CY$20,IF('01_Input'!$G$58="Frais KYC (paliers de 100M€)",MAX(0,Nb_Investisseurs-Nb_KYC_Gratuites_Par_Tranche*(FLOOR(CY$20/Taille_Tranche_KYC,1)+1))*Cout_Par_KYC_Supplementaire,(IF('01_Input'!$L$58="Forfait",IF(CY$20&gt;='01_Input'!$J$58,'01_Input'!$M$58,0),IF('01_Input'!$L$58="Palier",IF(AND(CY$20&gt;='01_Input'!$J$58,CY$20&lt;'01_Input'!$K$58),'01_Input'!$M$58,0),MAX(MIN(CY$20,'01_Input'!$K$58)-'01_Input'!$J$58,0)*'01_Input'!$M$58))+IF('01_Input'!$P$58="Forfait",IF(CY$20&gt;='01_Input'!$N$58,'01_Input'!$Q$58,0),IF('01_Input'!$P$58="Palier",IF(AND(CY$20&gt;='01_Input'!$N$58,CY$20&lt;'01_Input'!$O$58),'01_Input'!$Q$58,0),MAX(MIN(CY$20,'01_Input'!$O$58)-'01_Input'!$N$58,0)*'01_Input'!$Q$58))+IF('01_Input'!$T$58="Forfait",IF(CY$20&gt;='01_Input'!$R$58,'01_Input'!$U$58,0),IF('01_Input'!$T$58="Palier",IF(AND(CY$20&gt;='01_Input'!$R$58,CY$20&lt;'01_Input'!$S$58),'01_Input'!$U$58,0),MAX(MIN(CY$20,'01_Input'!$S$58)-'01_Input'!$R$58,0)*'01_Input'!$U$58))+IF('01_Input'!$X$58="Forfait",IF(CY$20&gt;='01_Input'!$V$58,'01_Input'!$Y$58,0),IF('01_Input'!$X$58="Palier",IF(AND(CY$20&gt;='01_Input'!$V$58,CY$20&lt;'01_Input'!$W$58),'01_Input'!$Y$58,0),MAX(MIN(CY$20,'01_Input'!$W$58)-'01_Input'!$V$58,0)*'01_Input'!$Y$58))+IF('01_Input'!$AB$58="Forfait",IF(CY$20&gt;='01_Input'!$Z$58,'01_Input'!$AC$58,0),IF('01_Input'!$AB$58="Palier",IF(AND(CY$20&gt;='01_Input'!$Z$58,CY$20&lt;'01_Input'!$AA$58),'01_Input'!$AC$58,0),MAX(MIN(CY$20,'01_Input'!$AA$58)-'01_Input'!$Z$58,0)*'01_Input'!$AC$58)))))))))</f>
        <v>5500</v>
      </c>
      <c r="CZ26" s="83">
        <f>IF('01_Input'!$C$58="Non",0,MIN('01_Input'!$I$58,MAX('01_Input'!$H$58,IF('01_Input'!$G$58="Résiduel vs Gestion",0,IF('01_Input'!$G$58="Taux Classe sélectionnée",Distrib_Global_Classe_Selectionnee*CZ$20,IF('01_Input'!$G$58="Frais KYC (paliers de 100M€)",MAX(0,Nb_Investisseurs-Nb_KYC_Gratuites_Par_Tranche*(FLOOR(CZ$20/Taille_Tranche_KYC,1)+1))*Cout_Par_KYC_Supplementaire,(IF('01_Input'!$L$58="Forfait",IF(CZ$20&gt;='01_Input'!$J$58,'01_Input'!$M$58,0),IF('01_Input'!$L$58="Palier",IF(AND(CZ$20&gt;='01_Input'!$J$58,CZ$20&lt;'01_Input'!$K$58),'01_Input'!$M$58,0),MAX(MIN(CZ$20,'01_Input'!$K$58)-'01_Input'!$J$58,0)*'01_Input'!$M$58))+IF('01_Input'!$P$58="Forfait",IF(CZ$20&gt;='01_Input'!$N$58,'01_Input'!$Q$58,0),IF('01_Input'!$P$58="Palier",IF(AND(CZ$20&gt;='01_Input'!$N$58,CZ$20&lt;'01_Input'!$O$58),'01_Input'!$Q$58,0),MAX(MIN(CZ$20,'01_Input'!$O$58)-'01_Input'!$N$58,0)*'01_Input'!$Q$58))+IF('01_Input'!$T$58="Forfait",IF(CZ$20&gt;='01_Input'!$R$58,'01_Input'!$U$58,0),IF('01_Input'!$T$58="Palier",IF(AND(CZ$20&gt;='01_Input'!$R$58,CZ$20&lt;'01_Input'!$S$58),'01_Input'!$U$58,0),MAX(MIN(CZ$20,'01_Input'!$S$58)-'01_Input'!$R$58,0)*'01_Input'!$U$58))+IF('01_Input'!$X$58="Forfait",IF(CZ$20&gt;='01_Input'!$V$58,'01_Input'!$Y$58,0),IF('01_Input'!$X$58="Palier",IF(AND(CZ$20&gt;='01_Input'!$V$58,CZ$20&lt;'01_Input'!$W$58),'01_Input'!$Y$58,0),MAX(MIN(CZ$20,'01_Input'!$W$58)-'01_Input'!$V$58,0)*'01_Input'!$Y$58))+IF('01_Input'!$AB$58="Forfait",IF(CZ$20&gt;='01_Input'!$Z$58,'01_Input'!$AC$58,0),IF('01_Input'!$AB$58="Palier",IF(AND(CZ$20&gt;='01_Input'!$Z$58,CZ$20&lt;'01_Input'!$AA$58),'01_Input'!$AC$58,0),MAX(MIN(CZ$20,'01_Input'!$AA$58)-'01_Input'!$Z$58,0)*'01_Input'!$AC$58)))))))))</f>
        <v>5500</v>
      </c>
      <c r="DA26" s="83">
        <f>IF('01_Input'!$C$58="Non",0,MIN('01_Input'!$I$58,MAX('01_Input'!$H$58,IF('01_Input'!$G$58="Résiduel vs Gestion",0,IF('01_Input'!$G$58="Taux Classe sélectionnée",Distrib_Global_Classe_Selectionnee*DA$20,IF('01_Input'!$G$58="Frais KYC (paliers de 100M€)",MAX(0,Nb_Investisseurs-Nb_KYC_Gratuites_Par_Tranche*(FLOOR(DA$20/Taille_Tranche_KYC,1)+1))*Cout_Par_KYC_Supplementaire,(IF('01_Input'!$L$58="Forfait",IF(DA$20&gt;='01_Input'!$J$58,'01_Input'!$M$58,0),IF('01_Input'!$L$58="Palier",IF(AND(DA$20&gt;='01_Input'!$J$58,DA$20&lt;'01_Input'!$K$58),'01_Input'!$M$58,0),MAX(MIN(DA$20,'01_Input'!$K$58)-'01_Input'!$J$58,0)*'01_Input'!$M$58))+IF('01_Input'!$P$58="Forfait",IF(DA$20&gt;='01_Input'!$N$58,'01_Input'!$Q$58,0),IF('01_Input'!$P$58="Palier",IF(AND(DA$20&gt;='01_Input'!$N$58,DA$20&lt;'01_Input'!$O$58),'01_Input'!$Q$58,0),MAX(MIN(DA$20,'01_Input'!$O$58)-'01_Input'!$N$58,0)*'01_Input'!$Q$58))+IF('01_Input'!$T$58="Forfait",IF(DA$20&gt;='01_Input'!$R$58,'01_Input'!$U$58,0),IF('01_Input'!$T$58="Palier",IF(AND(DA$20&gt;='01_Input'!$R$58,DA$20&lt;'01_Input'!$S$58),'01_Input'!$U$58,0),MAX(MIN(DA$20,'01_Input'!$S$58)-'01_Input'!$R$58,0)*'01_Input'!$U$58))+IF('01_Input'!$X$58="Forfait",IF(DA$20&gt;='01_Input'!$V$58,'01_Input'!$Y$58,0),IF('01_Input'!$X$58="Palier",IF(AND(DA$20&gt;='01_Input'!$V$58,DA$20&lt;'01_Input'!$W$58),'01_Input'!$Y$58,0),MAX(MIN(DA$20,'01_Input'!$W$58)-'01_Input'!$V$58,0)*'01_Input'!$Y$58))+IF('01_Input'!$AB$58="Forfait",IF(DA$20&gt;='01_Input'!$Z$58,'01_Input'!$AC$58,0),IF('01_Input'!$AB$58="Palier",IF(AND(DA$20&gt;='01_Input'!$Z$58,DA$20&lt;'01_Input'!$AA$58),'01_Input'!$AC$58,0),MAX(MIN(DA$20,'01_Input'!$AA$58)-'01_Input'!$Z$58,0)*'01_Input'!$AC$58)))))))))</f>
        <v>5500</v>
      </c>
      <c r="DB26" s="83">
        <f>IF('01_Input'!$C$58="Non",0,MIN('01_Input'!$I$58,MAX('01_Input'!$H$58,IF('01_Input'!$G$58="Résiduel vs Gestion",0,IF('01_Input'!$G$58="Taux Classe sélectionnée",Distrib_Global_Classe_Selectionnee*DB$20,IF('01_Input'!$G$58="Frais KYC (paliers de 100M€)",MAX(0,Nb_Investisseurs-Nb_KYC_Gratuites_Par_Tranche*(FLOOR(DB$20/Taille_Tranche_KYC,1)+1))*Cout_Par_KYC_Supplementaire,(IF('01_Input'!$L$58="Forfait",IF(DB$20&gt;='01_Input'!$J$58,'01_Input'!$M$58,0),IF('01_Input'!$L$58="Palier",IF(AND(DB$20&gt;='01_Input'!$J$58,DB$20&lt;'01_Input'!$K$58),'01_Input'!$M$58,0),MAX(MIN(DB$20,'01_Input'!$K$58)-'01_Input'!$J$58,0)*'01_Input'!$M$58))+IF('01_Input'!$P$58="Forfait",IF(DB$20&gt;='01_Input'!$N$58,'01_Input'!$Q$58,0),IF('01_Input'!$P$58="Palier",IF(AND(DB$20&gt;='01_Input'!$N$58,DB$20&lt;'01_Input'!$O$58),'01_Input'!$Q$58,0),MAX(MIN(DB$20,'01_Input'!$O$58)-'01_Input'!$N$58,0)*'01_Input'!$Q$58))+IF('01_Input'!$T$58="Forfait",IF(DB$20&gt;='01_Input'!$R$58,'01_Input'!$U$58,0),IF('01_Input'!$T$58="Palier",IF(AND(DB$20&gt;='01_Input'!$R$58,DB$20&lt;'01_Input'!$S$58),'01_Input'!$U$58,0),MAX(MIN(DB$20,'01_Input'!$S$58)-'01_Input'!$R$58,0)*'01_Input'!$U$58))+IF('01_Input'!$X$58="Forfait",IF(DB$20&gt;='01_Input'!$V$58,'01_Input'!$Y$58,0),IF('01_Input'!$X$58="Palier",IF(AND(DB$20&gt;='01_Input'!$V$58,DB$20&lt;'01_Input'!$W$58),'01_Input'!$Y$58,0),MAX(MIN(DB$20,'01_Input'!$W$58)-'01_Input'!$V$58,0)*'01_Input'!$Y$58))+IF('01_Input'!$AB$58="Forfait",IF(DB$20&gt;='01_Input'!$Z$58,'01_Input'!$AC$58,0),IF('01_Input'!$AB$58="Palier",IF(AND(DB$20&gt;='01_Input'!$Z$58,DB$20&lt;'01_Input'!$AA$58),'01_Input'!$AC$58,0),MAX(MIN(DB$20,'01_Input'!$AA$58)-'01_Input'!$Z$58,0)*'01_Input'!$AC$58)))))))))</f>
        <v>5500</v>
      </c>
      <c r="DC26" s="83">
        <f>IF('01_Input'!$C$58="Non",0,MIN('01_Input'!$I$58,MAX('01_Input'!$H$58,IF('01_Input'!$G$58="Résiduel vs Gestion",0,IF('01_Input'!$G$58="Taux Classe sélectionnée",Distrib_Global_Classe_Selectionnee*DC$20,IF('01_Input'!$G$58="Frais KYC (paliers de 100M€)",MAX(0,Nb_Investisseurs-Nb_KYC_Gratuites_Par_Tranche*(FLOOR(DC$20/Taille_Tranche_KYC,1)+1))*Cout_Par_KYC_Supplementaire,(IF('01_Input'!$L$58="Forfait",IF(DC$20&gt;='01_Input'!$J$58,'01_Input'!$M$58,0),IF('01_Input'!$L$58="Palier",IF(AND(DC$20&gt;='01_Input'!$J$58,DC$20&lt;'01_Input'!$K$58),'01_Input'!$M$58,0),MAX(MIN(DC$20,'01_Input'!$K$58)-'01_Input'!$J$58,0)*'01_Input'!$M$58))+IF('01_Input'!$P$58="Forfait",IF(DC$20&gt;='01_Input'!$N$58,'01_Input'!$Q$58,0),IF('01_Input'!$P$58="Palier",IF(AND(DC$20&gt;='01_Input'!$N$58,DC$20&lt;'01_Input'!$O$58),'01_Input'!$Q$58,0),MAX(MIN(DC$20,'01_Input'!$O$58)-'01_Input'!$N$58,0)*'01_Input'!$Q$58))+IF('01_Input'!$T$58="Forfait",IF(DC$20&gt;='01_Input'!$R$58,'01_Input'!$U$58,0),IF('01_Input'!$T$58="Palier",IF(AND(DC$20&gt;='01_Input'!$R$58,DC$20&lt;'01_Input'!$S$58),'01_Input'!$U$58,0),MAX(MIN(DC$20,'01_Input'!$S$58)-'01_Input'!$R$58,0)*'01_Input'!$U$58))+IF('01_Input'!$X$58="Forfait",IF(DC$20&gt;='01_Input'!$V$58,'01_Input'!$Y$58,0),IF('01_Input'!$X$58="Palier",IF(AND(DC$20&gt;='01_Input'!$V$58,DC$20&lt;'01_Input'!$W$58),'01_Input'!$Y$58,0),MAX(MIN(DC$20,'01_Input'!$W$58)-'01_Input'!$V$58,0)*'01_Input'!$Y$58))+IF('01_Input'!$AB$58="Forfait",IF(DC$20&gt;='01_Input'!$Z$58,'01_Input'!$AC$58,0),IF('01_Input'!$AB$58="Palier",IF(AND(DC$20&gt;='01_Input'!$Z$58,DC$20&lt;'01_Input'!$AA$58),'01_Input'!$AC$58,0),MAX(MIN(DC$20,'01_Input'!$AA$58)-'01_Input'!$Z$58,0)*'01_Input'!$AC$58)))))))))</f>
        <v>5500</v>
      </c>
      <c r="DD26" s="83">
        <f>IF('01_Input'!$C$58="Non",0,MIN('01_Input'!$I$58,MAX('01_Input'!$H$58,IF('01_Input'!$G$58="Résiduel vs Gestion",0,IF('01_Input'!$G$58="Taux Classe sélectionnée",Distrib_Global_Classe_Selectionnee*DD$20,IF('01_Input'!$G$58="Frais KYC (paliers de 100M€)",MAX(0,Nb_Investisseurs-Nb_KYC_Gratuites_Par_Tranche*(FLOOR(DD$20/Taille_Tranche_KYC,1)+1))*Cout_Par_KYC_Supplementaire,(IF('01_Input'!$L$58="Forfait",IF(DD$20&gt;='01_Input'!$J$58,'01_Input'!$M$58,0),IF('01_Input'!$L$58="Palier",IF(AND(DD$20&gt;='01_Input'!$J$58,DD$20&lt;'01_Input'!$K$58),'01_Input'!$M$58,0),MAX(MIN(DD$20,'01_Input'!$K$58)-'01_Input'!$J$58,0)*'01_Input'!$M$58))+IF('01_Input'!$P$58="Forfait",IF(DD$20&gt;='01_Input'!$N$58,'01_Input'!$Q$58,0),IF('01_Input'!$P$58="Palier",IF(AND(DD$20&gt;='01_Input'!$N$58,DD$20&lt;'01_Input'!$O$58),'01_Input'!$Q$58,0),MAX(MIN(DD$20,'01_Input'!$O$58)-'01_Input'!$N$58,0)*'01_Input'!$Q$58))+IF('01_Input'!$T$58="Forfait",IF(DD$20&gt;='01_Input'!$R$58,'01_Input'!$U$58,0),IF('01_Input'!$T$58="Palier",IF(AND(DD$20&gt;='01_Input'!$R$58,DD$20&lt;'01_Input'!$S$58),'01_Input'!$U$58,0),MAX(MIN(DD$20,'01_Input'!$S$58)-'01_Input'!$R$58,0)*'01_Input'!$U$58))+IF('01_Input'!$X$58="Forfait",IF(DD$20&gt;='01_Input'!$V$58,'01_Input'!$Y$58,0),IF('01_Input'!$X$58="Palier",IF(AND(DD$20&gt;='01_Input'!$V$58,DD$20&lt;'01_Input'!$W$58),'01_Input'!$Y$58,0),MAX(MIN(DD$20,'01_Input'!$W$58)-'01_Input'!$V$58,0)*'01_Input'!$Y$58))+IF('01_Input'!$AB$58="Forfait",IF(DD$20&gt;='01_Input'!$Z$58,'01_Input'!$AC$58,0),IF('01_Input'!$AB$58="Palier",IF(AND(DD$20&gt;='01_Input'!$Z$58,DD$20&lt;'01_Input'!$AA$58),'01_Input'!$AC$58,0),MAX(MIN(DD$20,'01_Input'!$AA$58)-'01_Input'!$Z$58,0)*'01_Input'!$AC$58)))))))))</f>
        <v>5500</v>
      </c>
      <c r="DE26" s="83">
        <f>IF('01_Input'!$C$58="Non",0,MIN('01_Input'!$I$58,MAX('01_Input'!$H$58,IF('01_Input'!$G$58="Résiduel vs Gestion",0,IF('01_Input'!$G$58="Taux Classe sélectionnée",Distrib_Global_Classe_Selectionnee*DE$20,IF('01_Input'!$G$58="Frais KYC (paliers de 100M€)",MAX(0,Nb_Investisseurs-Nb_KYC_Gratuites_Par_Tranche*(FLOOR(DE$20/Taille_Tranche_KYC,1)+1))*Cout_Par_KYC_Supplementaire,(IF('01_Input'!$L$58="Forfait",IF(DE$20&gt;='01_Input'!$J$58,'01_Input'!$M$58,0),IF('01_Input'!$L$58="Palier",IF(AND(DE$20&gt;='01_Input'!$J$58,DE$20&lt;'01_Input'!$K$58),'01_Input'!$M$58,0),MAX(MIN(DE$20,'01_Input'!$K$58)-'01_Input'!$J$58,0)*'01_Input'!$M$58))+IF('01_Input'!$P$58="Forfait",IF(DE$20&gt;='01_Input'!$N$58,'01_Input'!$Q$58,0),IF('01_Input'!$P$58="Palier",IF(AND(DE$20&gt;='01_Input'!$N$58,DE$20&lt;'01_Input'!$O$58),'01_Input'!$Q$58,0),MAX(MIN(DE$20,'01_Input'!$O$58)-'01_Input'!$N$58,0)*'01_Input'!$Q$58))+IF('01_Input'!$T$58="Forfait",IF(DE$20&gt;='01_Input'!$R$58,'01_Input'!$U$58,0),IF('01_Input'!$T$58="Palier",IF(AND(DE$20&gt;='01_Input'!$R$58,DE$20&lt;'01_Input'!$S$58),'01_Input'!$U$58,0),MAX(MIN(DE$20,'01_Input'!$S$58)-'01_Input'!$R$58,0)*'01_Input'!$U$58))+IF('01_Input'!$X$58="Forfait",IF(DE$20&gt;='01_Input'!$V$58,'01_Input'!$Y$58,0),IF('01_Input'!$X$58="Palier",IF(AND(DE$20&gt;='01_Input'!$V$58,DE$20&lt;'01_Input'!$W$58),'01_Input'!$Y$58,0),MAX(MIN(DE$20,'01_Input'!$W$58)-'01_Input'!$V$58,0)*'01_Input'!$Y$58))+IF('01_Input'!$AB$58="Forfait",IF(DE$20&gt;='01_Input'!$Z$58,'01_Input'!$AC$58,0),IF('01_Input'!$AB$58="Palier",IF(AND(DE$20&gt;='01_Input'!$Z$58,DE$20&lt;'01_Input'!$AA$58),'01_Input'!$AC$58,0),MAX(MIN(DE$20,'01_Input'!$AA$58)-'01_Input'!$Z$58,0)*'01_Input'!$AC$58)))))))))</f>
        <v>5500</v>
      </c>
      <c r="DF26" s="83">
        <f>IF('01_Input'!$C$58="Non",0,MIN('01_Input'!$I$58,MAX('01_Input'!$H$58,IF('01_Input'!$G$58="Résiduel vs Gestion",0,IF('01_Input'!$G$58="Taux Classe sélectionnée",Distrib_Global_Classe_Selectionnee*DF$20,IF('01_Input'!$G$58="Frais KYC (paliers de 100M€)",MAX(0,Nb_Investisseurs-Nb_KYC_Gratuites_Par_Tranche*(FLOOR(DF$20/Taille_Tranche_KYC,1)+1))*Cout_Par_KYC_Supplementaire,(IF('01_Input'!$L$58="Forfait",IF(DF$20&gt;='01_Input'!$J$58,'01_Input'!$M$58,0),IF('01_Input'!$L$58="Palier",IF(AND(DF$20&gt;='01_Input'!$J$58,DF$20&lt;'01_Input'!$K$58),'01_Input'!$M$58,0),MAX(MIN(DF$20,'01_Input'!$K$58)-'01_Input'!$J$58,0)*'01_Input'!$M$58))+IF('01_Input'!$P$58="Forfait",IF(DF$20&gt;='01_Input'!$N$58,'01_Input'!$Q$58,0),IF('01_Input'!$P$58="Palier",IF(AND(DF$20&gt;='01_Input'!$N$58,DF$20&lt;'01_Input'!$O$58),'01_Input'!$Q$58,0),MAX(MIN(DF$20,'01_Input'!$O$58)-'01_Input'!$N$58,0)*'01_Input'!$Q$58))+IF('01_Input'!$T$58="Forfait",IF(DF$20&gt;='01_Input'!$R$58,'01_Input'!$U$58,0),IF('01_Input'!$T$58="Palier",IF(AND(DF$20&gt;='01_Input'!$R$58,DF$20&lt;'01_Input'!$S$58),'01_Input'!$U$58,0),MAX(MIN(DF$20,'01_Input'!$S$58)-'01_Input'!$R$58,0)*'01_Input'!$U$58))+IF('01_Input'!$X$58="Forfait",IF(DF$20&gt;='01_Input'!$V$58,'01_Input'!$Y$58,0),IF('01_Input'!$X$58="Palier",IF(AND(DF$20&gt;='01_Input'!$V$58,DF$20&lt;'01_Input'!$W$58),'01_Input'!$Y$58,0),MAX(MIN(DF$20,'01_Input'!$W$58)-'01_Input'!$V$58,0)*'01_Input'!$Y$58))+IF('01_Input'!$AB$58="Forfait",IF(DF$20&gt;='01_Input'!$Z$58,'01_Input'!$AC$58,0),IF('01_Input'!$AB$58="Palier",IF(AND(DF$20&gt;='01_Input'!$Z$58,DF$20&lt;'01_Input'!$AA$58),'01_Input'!$AC$58,0),MAX(MIN(DF$20,'01_Input'!$AA$58)-'01_Input'!$Z$58,0)*'01_Input'!$AC$58)))))))))</f>
        <v>5500</v>
      </c>
      <c r="DG26" s="83">
        <f>IF('01_Input'!$C$58="Non",0,MIN('01_Input'!$I$58,MAX('01_Input'!$H$58,IF('01_Input'!$G$58="Résiduel vs Gestion",0,IF('01_Input'!$G$58="Taux Classe sélectionnée",Distrib_Global_Classe_Selectionnee*DG$20,IF('01_Input'!$G$58="Frais KYC (paliers de 100M€)",MAX(0,Nb_Investisseurs-Nb_KYC_Gratuites_Par_Tranche*(FLOOR(DG$20/Taille_Tranche_KYC,1)+1))*Cout_Par_KYC_Supplementaire,(IF('01_Input'!$L$58="Forfait",IF(DG$20&gt;='01_Input'!$J$58,'01_Input'!$M$58,0),IF('01_Input'!$L$58="Palier",IF(AND(DG$20&gt;='01_Input'!$J$58,DG$20&lt;'01_Input'!$K$58),'01_Input'!$M$58,0),MAX(MIN(DG$20,'01_Input'!$K$58)-'01_Input'!$J$58,0)*'01_Input'!$M$58))+IF('01_Input'!$P$58="Forfait",IF(DG$20&gt;='01_Input'!$N$58,'01_Input'!$Q$58,0),IF('01_Input'!$P$58="Palier",IF(AND(DG$20&gt;='01_Input'!$N$58,DG$20&lt;'01_Input'!$O$58),'01_Input'!$Q$58,0),MAX(MIN(DG$20,'01_Input'!$O$58)-'01_Input'!$N$58,0)*'01_Input'!$Q$58))+IF('01_Input'!$T$58="Forfait",IF(DG$20&gt;='01_Input'!$R$58,'01_Input'!$U$58,0),IF('01_Input'!$T$58="Palier",IF(AND(DG$20&gt;='01_Input'!$R$58,DG$20&lt;'01_Input'!$S$58),'01_Input'!$U$58,0),MAX(MIN(DG$20,'01_Input'!$S$58)-'01_Input'!$R$58,0)*'01_Input'!$U$58))+IF('01_Input'!$X$58="Forfait",IF(DG$20&gt;='01_Input'!$V$58,'01_Input'!$Y$58,0),IF('01_Input'!$X$58="Palier",IF(AND(DG$20&gt;='01_Input'!$V$58,DG$20&lt;'01_Input'!$W$58),'01_Input'!$Y$58,0),MAX(MIN(DG$20,'01_Input'!$W$58)-'01_Input'!$V$58,0)*'01_Input'!$Y$58))+IF('01_Input'!$AB$58="Forfait",IF(DG$20&gt;='01_Input'!$Z$58,'01_Input'!$AC$58,0),IF('01_Input'!$AB$58="Palier",IF(AND(DG$20&gt;='01_Input'!$Z$58,DG$20&lt;'01_Input'!$AA$58),'01_Input'!$AC$58,0),MAX(MIN(DG$20,'01_Input'!$AA$58)-'01_Input'!$Z$58,0)*'01_Input'!$AC$58)))))))))</f>
        <v>5500</v>
      </c>
      <c r="DH26" s="83">
        <f>IF('01_Input'!$C$58="Non",0,MIN('01_Input'!$I$58,MAX('01_Input'!$H$58,IF('01_Input'!$G$58="Résiduel vs Gestion",0,IF('01_Input'!$G$58="Taux Classe sélectionnée",Distrib_Global_Classe_Selectionnee*DH$20,IF('01_Input'!$G$58="Frais KYC (paliers de 100M€)",MAX(0,Nb_Investisseurs-Nb_KYC_Gratuites_Par_Tranche*(FLOOR(DH$20/Taille_Tranche_KYC,1)+1))*Cout_Par_KYC_Supplementaire,(IF('01_Input'!$L$58="Forfait",IF(DH$20&gt;='01_Input'!$J$58,'01_Input'!$M$58,0),IF('01_Input'!$L$58="Palier",IF(AND(DH$20&gt;='01_Input'!$J$58,DH$20&lt;'01_Input'!$K$58),'01_Input'!$M$58,0),MAX(MIN(DH$20,'01_Input'!$K$58)-'01_Input'!$J$58,0)*'01_Input'!$M$58))+IF('01_Input'!$P$58="Forfait",IF(DH$20&gt;='01_Input'!$N$58,'01_Input'!$Q$58,0),IF('01_Input'!$P$58="Palier",IF(AND(DH$20&gt;='01_Input'!$N$58,DH$20&lt;'01_Input'!$O$58),'01_Input'!$Q$58,0),MAX(MIN(DH$20,'01_Input'!$O$58)-'01_Input'!$N$58,0)*'01_Input'!$Q$58))+IF('01_Input'!$T$58="Forfait",IF(DH$20&gt;='01_Input'!$R$58,'01_Input'!$U$58,0),IF('01_Input'!$T$58="Palier",IF(AND(DH$20&gt;='01_Input'!$R$58,DH$20&lt;'01_Input'!$S$58),'01_Input'!$U$58,0),MAX(MIN(DH$20,'01_Input'!$S$58)-'01_Input'!$R$58,0)*'01_Input'!$U$58))+IF('01_Input'!$X$58="Forfait",IF(DH$20&gt;='01_Input'!$V$58,'01_Input'!$Y$58,0),IF('01_Input'!$X$58="Palier",IF(AND(DH$20&gt;='01_Input'!$V$58,DH$20&lt;'01_Input'!$W$58),'01_Input'!$Y$58,0),MAX(MIN(DH$20,'01_Input'!$W$58)-'01_Input'!$V$58,0)*'01_Input'!$Y$58))+IF('01_Input'!$AB$58="Forfait",IF(DH$20&gt;='01_Input'!$Z$58,'01_Input'!$AC$58,0),IF('01_Input'!$AB$58="Palier",IF(AND(DH$20&gt;='01_Input'!$Z$58,DH$20&lt;'01_Input'!$AA$58),'01_Input'!$AC$58,0),MAX(MIN(DH$20,'01_Input'!$AA$58)-'01_Input'!$Z$58,0)*'01_Input'!$AC$58)))))))))</f>
        <v>5500</v>
      </c>
      <c r="DI26" s="83">
        <f>IF('01_Input'!$C$58="Non",0,MIN('01_Input'!$I$58,MAX('01_Input'!$H$58,IF('01_Input'!$G$58="Résiduel vs Gestion",0,IF('01_Input'!$G$58="Taux Classe sélectionnée",Distrib_Global_Classe_Selectionnee*DI$20,IF('01_Input'!$G$58="Frais KYC (paliers de 100M€)",MAX(0,Nb_Investisseurs-Nb_KYC_Gratuites_Par_Tranche*(FLOOR(DI$20/Taille_Tranche_KYC,1)+1))*Cout_Par_KYC_Supplementaire,(IF('01_Input'!$L$58="Forfait",IF(DI$20&gt;='01_Input'!$J$58,'01_Input'!$M$58,0),IF('01_Input'!$L$58="Palier",IF(AND(DI$20&gt;='01_Input'!$J$58,DI$20&lt;'01_Input'!$K$58),'01_Input'!$M$58,0),MAX(MIN(DI$20,'01_Input'!$K$58)-'01_Input'!$J$58,0)*'01_Input'!$M$58))+IF('01_Input'!$P$58="Forfait",IF(DI$20&gt;='01_Input'!$N$58,'01_Input'!$Q$58,0),IF('01_Input'!$P$58="Palier",IF(AND(DI$20&gt;='01_Input'!$N$58,DI$20&lt;'01_Input'!$O$58),'01_Input'!$Q$58,0),MAX(MIN(DI$20,'01_Input'!$O$58)-'01_Input'!$N$58,0)*'01_Input'!$Q$58))+IF('01_Input'!$T$58="Forfait",IF(DI$20&gt;='01_Input'!$R$58,'01_Input'!$U$58,0),IF('01_Input'!$T$58="Palier",IF(AND(DI$20&gt;='01_Input'!$R$58,DI$20&lt;'01_Input'!$S$58),'01_Input'!$U$58,0),MAX(MIN(DI$20,'01_Input'!$S$58)-'01_Input'!$R$58,0)*'01_Input'!$U$58))+IF('01_Input'!$X$58="Forfait",IF(DI$20&gt;='01_Input'!$V$58,'01_Input'!$Y$58,0),IF('01_Input'!$X$58="Palier",IF(AND(DI$20&gt;='01_Input'!$V$58,DI$20&lt;'01_Input'!$W$58),'01_Input'!$Y$58,0),MAX(MIN(DI$20,'01_Input'!$W$58)-'01_Input'!$V$58,0)*'01_Input'!$Y$58))+IF('01_Input'!$AB$58="Forfait",IF(DI$20&gt;='01_Input'!$Z$58,'01_Input'!$AC$58,0),IF('01_Input'!$AB$58="Palier",IF(AND(DI$20&gt;='01_Input'!$Z$58,DI$20&lt;'01_Input'!$AA$58),'01_Input'!$AC$58,0),MAX(MIN(DI$20,'01_Input'!$AA$58)-'01_Input'!$Z$58,0)*'01_Input'!$AC$58)))))))))</f>
        <v>5500</v>
      </c>
      <c r="DJ26" s="83">
        <f>IF('01_Input'!$C$58="Non",0,MIN('01_Input'!$I$58,MAX('01_Input'!$H$58,IF('01_Input'!$G$58="Résiduel vs Gestion",0,IF('01_Input'!$G$58="Taux Classe sélectionnée",Distrib_Global_Classe_Selectionnee*DJ$20,IF('01_Input'!$G$58="Frais KYC (paliers de 100M€)",MAX(0,Nb_Investisseurs-Nb_KYC_Gratuites_Par_Tranche*(FLOOR(DJ$20/Taille_Tranche_KYC,1)+1))*Cout_Par_KYC_Supplementaire,(IF('01_Input'!$L$58="Forfait",IF(DJ$20&gt;='01_Input'!$J$58,'01_Input'!$M$58,0),IF('01_Input'!$L$58="Palier",IF(AND(DJ$20&gt;='01_Input'!$J$58,DJ$20&lt;'01_Input'!$K$58),'01_Input'!$M$58,0),MAX(MIN(DJ$20,'01_Input'!$K$58)-'01_Input'!$J$58,0)*'01_Input'!$M$58))+IF('01_Input'!$P$58="Forfait",IF(DJ$20&gt;='01_Input'!$N$58,'01_Input'!$Q$58,0),IF('01_Input'!$P$58="Palier",IF(AND(DJ$20&gt;='01_Input'!$N$58,DJ$20&lt;'01_Input'!$O$58),'01_Input'!$Q$58,0),MAX(MIN(DJ$20,'01_Input'!$O$58)-'01_Input'!$N$58,0)*'01_Input'!$Q$58))+IF('01_Input'!$T$58="Forfait",IF(DJ$20&gt;='01_Input'!$R$58,'01_Input'!$U$58,0),IF('01_Input'!$T$58="Palier",IF(AND(DJ$20&gt;='01_Input'!$R$58,DJ$20&lt;'01_Input'!$S$58),'01_Input'!$U$58,0),MAX(MIN(DJ$20,'01_Input'!$S$58)-'01_Input'!$R$58,0)*'01_Input'!$U$58))+IF('01_Input'!$X$58="Forfait",IF(DJ$20&gt;='01_Input'!$V$58,'01_Input'!$Y$58,0),IF('01_Input'!$X$58="Palier",IF(AND(DJ$20&gt;='01_Input'!$V$58,DJ$20&lt;'01_Input'!$W$58),'01_Input'!$Y$58,0),MAX(MIN(DJ$20,'01_Input'!$W$58)-'01_Input'!$V$58,0)*'01_Input'!$Y$58))+IF('01_Input'!$AB$58="Forfait",IF(DJ$20&gt;='01_Input'!$Z$58,'01_Input'!$AC$58,0),IF('01_Input'!$AB$58="Palier",IF(AND(DJ$20&gt;='01_Input'!$Z$58,DJ$20&lt;'01_Input'!$AA$58),'01_Input'!$AC$58,0),MAX(MIN(DJ$20,'01_Input'!$AA$58)-'01_Input'!$Z$58,0)*'01_Input'!$AC$58)))))))))</f>
        <v>5500</v>
      </c>
      <c r="DK26" s="83">
        <f>IF('01_Input'!$C$58="Non",0,MIN('01_Input'!$I$58,MAX('01_Input'!$H$58,IF('01_Input'!$G$58="Résiduel vs Gestion",0,IF('01_Input'!$G$58="Taux Classe sélectionnée",Distrib_Global_Classe_Selectionnee*DK$20,IF('01_Input'!$G$58="Frais KYC (paliers de 100M€)",MAX(0,Nb_Investisseurs-Nb_KYC_Gratuites_Par_Tranche*(FLOOR(DK$20/Taille_Tranche_KYC,1)+1))*Cout_Par_KYC_Supplementaire,(IF('01_Input'!$L$58="Forfait",IF(DK$20&gt;='01_Input'!$J$58,'01_Input'!$M$58,0),IF('01_Input'!$L$58="Palier",IF(AND(DK$20&gt;='01_Input'!$J$58,DK$20&lt;'01_Input'!$K$58),'01_Input'!$M$58,0),MAX(MIN(DK$20,'01_Input'!$K$58)-'01_Input'!$J$58,0)*'01_Input'!$M$58))+IF('01_Input'!$P$58="Forfait",IF(DK$20&gt;='01_Input'!$N$58,'01_Input'!$Q$58,0),IF('01_Input'!$P$58="Palier",IF(AND(DK$20&gt;='01_Input'!$N$58,DK$20&lt;'01_Input'!$O$58),'01_Input'!$Q$58,0),MAX(MIN(DK$20,'01_Input'!$O$58)-'01_Input'!$N$58,0)*'01_Input'!$Q$58))+IF('01_Input'!$T$58="Forfait",IF(DK$20&gt;='01_Input'!$R$58,'01_Input'!$U$58,0),IF('01_Input'!$T$58="Palier",IF(AND(DK$20&gt;='01_Input'!$R$58,DK$20&lt;'01_Input'!$S$58),'01_Input'!$U$58,0),MAX(MIN(DK$20,'01_Input'!$S$58)-'01_Input'!$R$58,0)*'01_Input'!$U$58))+IF('01_Input'!$X$58="Forfait",IF(DK$20&gt;='01_Input'!$V$58,'01_Input'!$Y$58,0),IF('01_Input'!$X$58="Palier",IF(AND(DK$20&gt;='01_Input'!$V$58,DK$20&lt;'01_Input'!$W$58),'01_Input'!$Y$58,0),MAX(MIN(DK$20,'01_Input'!$W$58)-'01_Input'!$V$58,0)*'01_Input'!$Y$58))+IF('01_Input'!$AB$58="Forfait",IF(DK$20&gt;='01_Input'!$Z$58,'01_Input'!$AC$58,0),IF('01_Input'!$AB$58="Palier",IF(AND(DK$20&gt;='01_Input'!$Z$58,DK$20&lt;'01_Input'!$AA$58),'01_Input'!$AC$58,0),MAX(MIN(DK$20,'01_Input'!$AA$58)-'01_Input'!$Z$58,0)*'01_Input'!$AC$58)))))))))</f>
        <v>5500</v>
      </c>
      <c r="DL26" s="83">
        <f>IF('01_Input'!$C$58="Non",0,MIN('01_Input'!$I$58,MAX('01_Input'!$H$58,IF('01_Input'!$G$58="Résiduel vs Gestion",0,IF('01_Input'!$G$58="Taux Classe sélectionnée",Distrib_Global_Classe_Selectionnee*DL$20,IF('01_Input'!$G$58="Frais KYC (paliers de 100M€)",MAX(0,Nb_Investisseurs-Nb_KYC_Gratuites_Par_Tranche*(FLOOR(DL$20/Taille_Tranche_KYC,1)+1))*Cout_Par_KYC_Supplementaire,(IF('01_Input'!$L$58="Forfait",IF(DL$20&gt;='01_Input'!$J$58,'01_Input'!$M$58,0),IF('01_Input'!$L$58="Palier",IF(AND(DL$20&gt;='01_Input'!$J$58,DL$20&lt;'01_Input'!$K$58),'01_Input'!$M$58,0),MAX(MIN(DL$20,'01_Input'!$K$58)-'01_Input'!$J$58,0)*'01_Input'!$M$58))+IF('01_Input'!$P$58="Forfait",IF(DL$20&gt;='01_Input'!$N$58,'01_Input'!$Q$58,0),IF('01_Input'!$P$58="Palier",IF(AND(DL$20&gt;='01_Input'!$N$58,DL$20&lt;'01_Input'!$O$58),'01_Input'!$Q$58,0),MAX(MIN(DL$20,'01_Input'!$O$58)-'01_Input'!$N$58,0)*'01_Input'!$Q$58))+IF('01_Input'!$T$58="Forfait",IF(DL$20&gt;='01_Input'!$R$58,'01_Input'!$U$58,0),IF('01_Input'!$T$58="Palier",IF(AND(DL$20&gt;='01_Input'!$R$58,DL$20&lt;'01_Input'!$S$58),'01_Input'!$U$58,0),MAX(MIN(DL$20,'01_Input'!$S$58)-'01_Input'!$R$58,0)*'01_Input'!$U$58))+IF('01_Input'!$X$58="Forfait",IF(DL$20&gt;='01_Input'!$V$58,'01_Input'!$Y$58,0),IF('01_Input'!$X$58="Palier",IF(AND(DL$20&gt;='01_Input'!$V$58,DL$20&lt;'01_Input'!$W$58),'01_Input'!$Y$58,0),MAX(MIN(DL$20,'01_Input'!$W$58)-'01_Input'!$V$58,0)*'01_Input'!$Y$58))+IF('01_Input'!$AB$58="Forfait",IF(DL$20&gt;='01_Input'!$Z$58,'01_Input'!$AC$58,0),IF('01_Input'!$AB$58="Palier",IF(AND(DL$20&gt;='01_Input'!$Z$58,DL$20&lt;'01_Input'!$AA$58),'01_Input'!$AC$58,0),MAX(MIN(DL$20,'01_Input'!$AA$58)-'01_Input'!$Z$58,0)*'01_Input'!$AC$58)))))))))</f>
        <v>5500</v>
      </c>
      <c r="DM26" s="83">
        <f>IF('01_Input'!$C$58="Non",0,MIN('01_Input'!$I$58,MAX('01_Input'!$H$58,IF('01_Input'!$G$58="Résiduel vs Gestion",0,IF('01_Input'!$G$58="Taux Classe sélectionnée",Distrib_Global_Classe_Selectionnee*DM$20,IF('01_Input'!$G$58="Frais KYC (paliers de 100M€)",MAX(0,Nb_Investisseurs-Nb_KYC_Gratuites_Par_Tranche*(FLOOR(DM$20/Taille_Tranche_KYC,1)+1))*Cout_Par_KYC_Supplementaire,(IF('01_Input'!$L$58="Forfait",IF(DM$20&gt;='01_Input'!$J$58,'01_Input'!$M$58,0),IF('01_Input'!$L$58="Palier",IF(AND(DM$20&gt;='01_Input'!$J$58,DM$20&lt;'01_Input'!$K$58),'01_Input'!$M$58,0),MAX(MIN(DM$20,'01_Input'!$K$58)-'01_Input'!$J$58,0)*'01_Input'!$M$58))+IF('01_Input'!$P$58="Forfait",IF(DM$20&gt;='01_Input'!$N$58,'01_Input'!$Q$58,0),IF('01_Input'!$P$58="Palier",IF(AND(DM$20&gt;='01_Input'!$N$58,DM$20&lt;'01_Input'!$O$58),'01_Input'!$Q$58,0),MAX(MIN(DM$20,'01_Input'!$O$58)-'01_Input'!$N$58,0)*'01_Input'!$Q$58))+IF('01_Input'!$T$58="Forfait",IF(DM$20&gt;='01_Input'!$R$58,'01_Input'!$U$58,0),IF('01_Input'!$T$58="Palier",IF(AND(DM$20&gt;='01_Input'!$R$58,DM$20&lt;'01_Input'!$S$58),'01_Input'!$U$58,0),MAX(MIN(DM$20,'01_Input'!$S$58)-'01_Input'!$R$58,0)*'01_Input'!$U$58))+IF('01_Input'!$X$58="Forfait",IF(DM$20&gt;='01_Input'!$V$58,'01_Input'!$Y$58,0),IF('01_Input'!$X$58="Palier",IF(AND(DM$20&gt;='01_Input'!$V$58,DM$20&lt;'01_Input'!$W$58),'01_Input'!$Y$58,0),MAX(MIN(DM$20,'01_Input'!$W$58)-'01_Input'!$V$58,0)*'01_Input'!$Y$58))+IF('01_Input'!$AB$58="Forfait",IF(DM$20&gt;='01_Input'!$Z$58,'01_Input'!$AC$58,0),IF('01_Input'!$AB$58="Palier",IF(AND(DM$20&gt;='01_Input'!$Z$58,DM$20&lt;'01_Input'!$AA$58),'01_Input'!$AC$58,0),MAX(MIN(DM$20,'01_Input'!$AA$58)-'01_Input'!$Z$58,0)*'01_Input'!$AC$58)))))))))</f>
        <v>5500</v>
      </c>
      <c r="DN26" s="83">
        <f>IF('01_Input'!$C$58="Non",0,MIN('01_Input'!$I$58,MAX('01_Input'!$H$58,IF('01_Input'!$G$58="Résiduel vs Gestion",0,IF('01_Input'!$G$58="Taux Classe sélectionnée",Distrib_Global_Classe_Selectionnee*DN$20,IF('01_Input'!$G$58="Frais KYC (paliers de 100M€)",MAX(0,Nb_Investisseurs-Nb_KYC_Gratuites_Par_Tranche*(FLOOR(DN$20/Taille_Tranche_KYC,1)+1))*Cout_Par_KYC_Supplementaire,(IF('01_Input'!$L$58="Forfait",IF(DN$20&gt;='01_Input'!$J$58,'01_Input'!$M$58,0),IF('01_Input'!$L$58="Palier",IF(AND(DN$20&gt;='01_Input'!$J$58,DN$20&lt;'01_Input'!$K$58),'01_Input'!$M$58,0),MAX(MIN(DN$20,'01_Input'!$K$58)-'01_Input'!$J$58,0)*'01_Input'!$M$58))+IF('01_Input'!$P$58="Forfait",IF(DN$20&gt;='01_Input'!$N$58,'01_Input'!$Q$58,0),IF('01_Input'!$P$58="Palier",IF(AND(DN$20&gt;='01_Input'!$N$58,DN$20&lt;'01_Input'!$O$58),'01_Input'!$Q$58,0),MAX(MIN(DN$20,'01_Input'!$O$58)-'01_Input'!$N$58,0)*'01_Input'!$Q$58))+IF('01_Input'!$T$58="Forfait",IF(DN$20&gt;='01_Input'!$R$58,'01_Input'!$U$58,0),IF('01_Input'!$T$58="Palier",IF(AND(DN$20&gt;='01_Input'!$R$58,DN$20&lt;'01_Input'!$S$58),'01_Input'!$U$58,0),MAX(MIN(DN$20,'01_Input'!$S$58)-'01_Input'!$R$58,0)*'01_Input'!$U$58))+IF('01_Input'!$X$58="Forfait",IF(DN$20&gt;='01_Input'!$V$58,'01_Input'!$Y$58,0),IF('01_Input'!$X$58="Palier",IF(AND(DN$20&gt;='01_Input'!$V$58,DN$20&lt;'01_Input'!$W$58),'01_Input'!$Y$58,0),MAX(MIN(DN$20,'01_Input'!$W$58)-'01_Input'!$V$58,0)*'01_Input'!$Y$58))+IF('01_Input'!$AB$58="Forfait",IF(DN$20&gt;='01_Input'!$Z$58,'01_Input'!$AC$58,0),IF('01_Input'!$AB$58="Palier",IF(AND(DN$20&gt;='01_Input'!$Z$58,DN$20&lt;'01_Input'!$AA$58),'01_Input'!$AC$58,0),MAX(MIN(DN$20,'01_Input'!$AA$58)-'01_Input'!$Z$58,0)*'01_Input'!$AC$58)))))))))</f>
        <v>5500</v>
      </c>
      <c r="DO26" s="83">
        <f>IF('01_Input'!$C$58="Non",0,MIN('01_Input'!$I$58,MAX('01_Input'!$H$58,IF('01_Input'!$G$58="Résiduel vs Gestion",0,IF('01_Input'!$G$58="Taux Classe sélectionnée",Distrib_Global_Classe_Selectionnee*DO$20,IF('01_Input'!$G$58="Frais KYC (paliers de 100M€)",MAX(0,Nb_Investisseurs-Nb_KYC_Gratuites_Par_Tranche*(FLOOR(DO$20/Taille_Tranche_KYC,1)+1))*Cout_Par_KYC_Supplementaire,(IF('01_Input'!$L$58="Forfait",IF(DO$20&gt;='01_Input'!$J$58,'01_Input'!$M$58,0),IF('01_Input'!$L$58="Palier",IF(AND(DO$20&gt;='01_Input'!$J$58,DO$20&lt;'01_Input'!$K$58),'01_Input'!$M$58,0),MAX(MIN(DO$20,'01_Input'!$K$58)-'01_Input'!$J$58,0)*'01_Input'!$M$58))+IF('01_Input'!$P$58="Forfait",IF(DO$20&gt;='01_Input'!$N$58,'01_Input'!$Q$58,0),IF('01_Input'!$P$58="Palier",IF(AND(DO$20&gt;='01_Input'!$N$58,DO$20&lt;'01_Input'!$O$58),'01_Input'!$Q$58,0),MAX(MIN(DO$20,'01_Input'!$O$58)-'01_Input'!$N$58,0)*'01_Input'!$Q$58))+IF('01_Input'!$T$58="Forfait",IF(DO$20&gt;='01_Input'!$R$58,'01_Input'!$U$58,0),IF('01_Input'!$T$58="Palier",IF(AND(DO$20&gt;='01_Input'!$R$58,DO$20&lt;'01_Input'!$S$58),'01_Input'!$U$58,0),MAX(MIN(DO$20,'01_Input'!$S$58)-'01_Input'!$R$58,0)*'01_Input'!$U$58))+IF('01_Input'!$X$58="Forfait",IF(DO$20&gt;='01_Input'!$V$58,'01_Input'!$Y$58,0),IF('01_Input'!$X$58="Palier",IF(AND(DO$20&gt;='01_Input'!$V$58,DO$20&lt;'01_Input'!$W$58),'01_Input'!$Y$58,0),MAX(MIN(DO$20,'01_Input'!$W$58)-'01_Input'!$V$58,0)*'01_Input'!$Y$58))+IF('01_Input'!$AB$58="Forfait",IF(DO$20&gt;='01_Input'!$Z$58,'01_Input'!$AC$58,0),IF('01_Input'!$AB$58="Palier",IF(AND(DO$20&gt;='01_Input'!$Z$58,DO$20&lt;'01_Input'!$AA$58),'01_Input'!$AC$58,0),MAX(MIN(DO$20,'01_Input'!$AA$58)-'01_Input'!$Z$58,0)*'01_Input'!$AC$58)))))))))</f>
        <v>5500</v>
      </c>
      <c r="DP26" s="83">
        <f>IF('01_Input'!$C$58="Non",0,MIN('01_Input'!$I$58,MAX('01_Input'!$H$58,IF('01_Input'!$G$58="Résiduel vs Gestion",0,IF('01_Input'!$G$58="Taux Classe sélectionnée",Distrib_Global_Classe_Selectionnee*DP$20,IF('01_Input'!$G$58="Frais KYC (paliers de 100M€)",MAX(0,Nb_Investisseurs-Nb_KYC_Gratuites_Par_Tranche*(FLOOR(DP$20/Taille_Tranche_KYC,1)+1))*Cout_Par_KYC_Supplementaire,(IF('01_Input'!$L$58="Forfait",IF(DP$20&gt;='01_Input'!$J$58,'01_Input'!$M$58,0),IF('01_Input'!$L$58="Palier",IF(AND(DP$20&gt;='01_Input'!$J$58,DP$20&lt;'01_Input'!$K$58),'01_Input'!$M$58,0),MAX(MIN(DP$20,'01_Input'!$K$58)-'01_Input'!$J$58,0)*'01_Input'!$M$58))+IF('01_Input'!$P$58="Forfait",IF(DP$20&gt;='01_Input'!$N$58,'01_Input'!$Q$58,0),IF('01_Input'!$P$58="Palier",IF(AND(DP$20&gt;='01_Input'!$N$58,DP$20&lt;'01_Input'!$O$58),'01_Input'!$Q$58,0),MAX(MIN(DP$20,'01_Input'!$O$58)-'01_Input'!$N$58,0)*'01_Input'!$Q$58))+IF('01_Input'!$T$58="Forfait",IF(DP$20&gt;='01_Input'!$R$58,'01_Input'!$U$58,0),IF('01_Input'!$T$58="Palier",IF(AND(DP$20&gt;='01_Input'!$R$58,DP$20&lt;'01_Input'!$S$58),'01_Input'!$U$58,0),MAX(MIN(DP$20,'01_Input'!$S$58)-'01_Input'!$R$58,0)*'01_Input'!$U$58))+IF('01_Input'!$X$58="Forfait",IF(DP$20&gt;='01_Input'!$V$58,'01_Input'!$Y$58,0),IF('01_Input'!$X$58="Palier",IF(AND(DP$20&gt;='01_Input'!$V$58,DP$20&lt;'01_Input'!$W$58),'01_Input'!$Y$58,0),MAX(MIN(DP$20,'01_Input'!$W$58)-'01_Input'!$V$58,0)*'01_Input'!$Y$58))+IF('01_Input'!$AB$58="Forfait",IF(DP$20&gt;='01_Input'!$Z$58,'01_Input'!$AC$58,0),IF('01_Input'!$AB$58="Palier",IF(AND(DP$20&gt;='01_Input'!$Z$58,DP$20&lt;'01_Input'!$AA$58),'01_Input'!$AC$58,0),MAX(MIN(DP$20,'01_Input'!$AA$58)-'01_Input'!$Z$58,0)*'01_Input'!$AC$58)))))))))</f>
        <v>5500</v>
      </c>
      <c r="DQ26" s="83">
        <f>IF('01_Input'!$C$58="Non",0,MIN('01_Input'!$I$58,MAX('01_Input'!$H$58,IF('01_Input'!$G$58="Résiduel vs Gestion",0,IF('01_Input'!$G$58="Taux Classe sélectionnée",Distrib_Global_Classe_Selectionnee*DQ$20,IF('01_Input'!$G$58="Frais KYC (paliers de 100M€)",MAX(0,Nb_Investisseurs-Nb_KYC_Gratuites_Par_Tranche*(FLOOR(DQ$20/Taille_Tranche_KYC,1)+1))*Cout_Par_KYC_Supplementaire,(IF('01_Input'!$L$58="Forfait",IF(DQ$20&gt;='01_Input'!$J$58,'01_Input'!$M$58,0),IF('01_Input'!$L$58="Palier",IF(AND(DQ$20&gt;='01_Input'!$J$58,DQ$20&lt;'01_Input'!$K$58),'01_Input'!$M$58,0),MAX(MIN(DQ$20,'01_Input'!$K$58)-'01_Input'!$J$58,0)*'01_Input'!$M$58))+IF('01_Input'!$P$58="Forfait",IF(DQ$20&gt;='01_Input'!$N$58,'01_Input'!$Q$58,0),IF('01_Input'!$P$58="Palier",IF(AND(DQ$20&gt;='01_Input'!$N$58,DQ$20&lt;'01_Input'!$O$58),'01_Input'!$Q$58,0),MAX(MIN(DQ$20,'01_Input'!$O$58)-'01_Input'!$N$58,0)*'01_Input'!$Q$58))+IF('01_Input'!$T$58="Forfait",IF(DQ$20&gt;='01_Input'!$R$58,'01_Input'!$U$58,0),IF('01_Input'!$T$58="Palier",IF(AND(DQ$20&gt;='01_Input'!$R$58,DQ$20&lt;'01_Input'!$S$58),'01_Input'!$U$58,0),MAX(MIN(DQ$20,'01_Input'!$S$58)-'01_Input'!$R$58,0)*'01_Input'!$U$58))+IF('01_Input'!$X$58="Forfait",IF(DQ$20&gt;='01_Input'!$V$58,'01_Input'!$Y$58,0),IF('01_Input'!$X$58="Palier",IF(AND(DQ$20&gt;='01_Input'!$V$58,DQ$20&lt;'01_Input'!$W$58),'01_Input'!$Y$58,0),MAX(MIN(DQ$20,'01_Input'!$W$58)-'01_Input'!$V$58,0)*'01_Input'!$Y$58))+IF('01_Input'!$AB$58="Forfait",IF(DQ$20&gt;='01_Input'!$Z$58,'01_Input'!$AC$58,0),IF('01_Input'!$AB$58="Palier",IF(AND(DQ$20&gt;='01_Input'!$Z$58,DQ$20&lt;'01_Input'!$AA$58),'01_Input'!$AC$58,0),MAX(MIN(DQ$20,'01_Input'!$AA$58)-'01_Input'!$Z$58,0)*'01_Input'!$AC$58)))))))))</f>
        <v>5500</v>
      </c>
      <c r="DR26" s="83">
        <f>IF('01_Input'!$C$58="Non",0,MIN('01_Input'!$I$58,MAX('01_Input'!$H$58,IF('01_Input'!$G$58="Résiduel vs Gestion",0,IF('01_Input'!$G$58="Taux Classe sélectionnée",Distrib_Global_Classe_Selectionnee*DR$20,IF('01_Input'!$G$58="Frais KYC (paliers de 100M€)",MAX(0,Nb_Investisseurs-Nb_KYC_Gratuites_Par_Tranche*(FLOOR(DR$20/Taille_Tranche_KYC,1)+1))*Cout_Par_KYC_Supplementaire,(IF('01_Input'!$L$58="Forfait",IF(DR$20&gt;='01_Input'!$J$58,'01_Input'!$M$58,0),IF('01_Input'!$L$58="Palier",IF(AND(DR$20&gt;='01_Input'!$J$58,DR$20&lt;'01_Input'!$K$58),'01_Input'!$M$58,0),MAX(MIN(DR$20,'01_Input'!$K$58)-'01_Input'!$J$58,0)*'01_Input'!$M$58))+IF('01_Input'!$P$58="Forfait",IF(DR$20&gt;='01_Input'!$N$58,'01_Input'!$Q$58,0),IF('01_Input'!$P$58="Palier",IF(AND(DR$20&gt;='01_Input'!$N$58,DR$20&lt;'01_Input'!$O$58),'01_Input'!$Q$58,0),MAX(MIN(DR$20,'01_Input'!$O$58)-'01_Input'!$N$58,0)*'01_Input'!$Q$58))+IF('01_Input'!$T$58="Forfait",IF(DR$20&gt;='01_Input'!$R$58,'01_Input'!$U$58,0),IF('01_Input'!$T$58="Palier",IF(AND(DR$20&gt;='01_Input'!$R$58,DR$20&lt;'01_Input'!$S$58),'01_Input'!$U$58,0),MAX(MIN(DR$20,'01_Input'!$S$58)-'01_Input'!$R$58,0)*'01_Input'!$U$58))+IF('01_Input'!$X$58="Forfait",IF(DR$20&gt;='01_Input'!$V$58,'01_Input'!$Y$58,0),IF('01_Input'!$X$58="Palier",IF(AND(DR$20&gt;='01_Input'!$V$58,DR$20&lt;'01_Input'!$W$58),'01_Input'!$Y$58,0),MAX(MIN(DR$20,'01_Input'!$W$58)-'01_Input'!$V$58,0)*'01_Input'!$Y$58))+IF('01_Input'!$AB$58="Forfait",IF(DR$20&gt;='01_Input'!$Z$58,'01_Input'!$AC$58,0),IF('01_Input'!$AB$58="Palier",IF(AND(DR$20&gt;='01_Input'!$Z$58,DR$20&lt;'01_Input'!$AA$58),'01_Input'!$AC$58,0),MAX(MIN(DR$20,'01_Input'!$AA$58)-'01_Input'!$Z$58,0)*'01_Input'!$AC$58)))))))))</f>
        <v>5500</v>
      </c>
      <c r="DS26" s="83">
        <f>IF('01_Input'!$C$58="Non",0,MIN('01_Input'!$I$58,MAX('01_Input'!$H$58,IF('01_Input'!$G$58="Résiduel vs Gestion",0,IF('01_Input'!$G$58="Taux Classe sélectionnée",Distrib_Global_Classe_Selectionnee*DS$20,IF('01_Input'!$G$58="Frais KYC (paliers de 100M€)",MAX(0,Nb_Investisseurs-Nb_KYC_Gratuites_Par_Tranche*(FLOOR(DS$20/Taille_Tranche_KYC,1)+1))*Cout_Par_KYC_Supplementaire,(IF('01_Input'!$L$58="Forfait",IF(DS$20&gt;='01_Input'!$J$58,'01_Input'!$M$58,0),IF('01_Input'!$L$58="Palier",IF(AND(DS$20&gt;='01_Input'!$J$58,DS$20&lt;'01_Input'!$K$58),'01_Input'!$M$58,0),MAX(MIN(DS$20,'01_Input'!$K$58)-'01_Input'!$J$58,0)*'01_Input'!$M$58))+IF('01_Input'!$P$58="Forfait",IF(DS$20&gt;='01_Input'!$N$58,'01_Input'!$Q$58,0),IF('01_Input'!$P$58="Palier",IF(AND(DS$20&gt;='01_Input'!$N$58,DS$20&lt;'01_Input'!$O$58),'01_Input'!$Q$58,0),MAX(MIN(DS$20,'01_Input'!$O$58)-'01_Input'!$N$58,0)*'01_Input'!$Q$58))+IF('01_Input'!$T$58="Forfait",IF(DS$20&gt;='01_Input'!$R$58,'01_Input'!$U$58,0),IF('01_Input'!$T$58="Palier",IF(AND(DS$20&gt;='01_Input'!$R$58,DS$20&lt;'01_Input'!$S$58),'01_Input'!$U$58,0),MAX(MIN(DS$20,'01_Input'!$S$58)-'01_Input'!$R$58,0)*'01_Input'!$U$58))+IF('01_Input'!$X$58="Forfait",IF(DS$20&gt;='01_Input'!$V$58,'01_Input'!$Y$58,0),IF('01_Input'!$X$58="Palier",IF(AND(DS$20&gt;='01_Input'!$V$58,DS$20&lt;'01_Input'!$W$58),'01_Input'!$Y$58,0),MAX(MIN(DS$20,'01_Input'!$W$58)-'01_Input'!$V$58,0)*'01_Input'!$Y$58))+IF('01_Input'!$AB$58="Forfait",IF(DS$20&gt;='01_Input'!$Z$58,'01_Input'!$AC$58,0),IF('01_Input'!$AB$58="Palier",IF(AND(DS$20&gt;='01_Input'!$Z$58,DS$20&lt;'01_Input'!$AA$58),'01_Input'!$AC$58,0),MAX(MIN(DS$20,'01_Input'!$AA$58)-'01_Input'!$Z$58,0)*'01_Input'!$AC$58)))))))))</f>
        <v>5500</v>
      </c>
      <c r="DT26" s="83">
        <f>IF('01_Input'!$C$58="Non",0,MIN('01_Input'!$I$58,MAX('01_Input'!$H$58,IF('01_Input'!$G$58="Résiduel vs Gestion",0,IF('01_Input'!$G$58="Taux Classe sélectionnée",Distrib_Global_Classe_Selectionnee*DT$20,IF('01_Input'!$G$58="Frais KYC (paliers de 100M€)",MAX(0,Nb_Investisseurs-Nb_KYC_Gratuites_Par_Tranche*(FLOOR(DT$20/Taille_Tranche_KYC,1)+1))*Cout_Par_KYC_Supplementaire,(IF('01_Input'!$L$58="Forfait",IF(DT$20&gt;='01_Input'!$J$58,'01_Input'!$M$58,0),IF('01_Input'!$L$58="Palier",IF(AND(DT$20&gt;='01_Input'!$J$58,DT$20&lt;'01_Input'!$K$58),'01_Input'!$M$58,0),MAX(MIN(DT$20,'01_Input'!$K$58)-'01_Input'!$J$58,0)*'01_Input'!$M$58))+IF('01_Input'!$P$58="Forfait",IF(DT$20&gt;='01_Input'!$N$58,'01_Input'!$Q$58,0),IF('01_Input'!$P$58="Palier",IF(AND(DT$20&gt;='01_Input'!$N$58,DT$20&lt;'01_Input'!$O$58),'01_Input'!$Q$58,0),MAX(MIN(DT$20,'01_Input'!$O$58)-'01_Input'!$N$58,0)*'01_Input'!$Q$58))+IF('01_Input'!$T$58="Forfait",IF(DT$20&gt;='01_Input'!$R$58,'01_Input'!$U$58,0),IF('01_Input'!$T$58="Palier",IF(AND(DT$20&gt;='01_Input'!$R$58,DT$20&lt;'01_Input'!$S$58),'01_Input'!$U$58,0),MAX(MIN(DT$20,'01_Input'!$S$58)-'01_Input'!$R$58,0)*'01_Input'!$U$58))+IF('01_Input'!$X$58="Forfait",IF(DT$20&gt;='01_Input'!$V$58,'01_Input'!$Y$58,0),IF('01_Input'!$X$58="Palier",IF(AND(DT$20&gt;='01_Input'!$V$58,DT$20&lt;'01_Input'!$W$58),'01_Input'!$Y$58,0),MAX(MIN(DT$20,'01_Input'!$W$58)-'01_Input'!$V$58,0)*'01_Input'!$Y$58))+IF('01_Input'!$AB$58="Forfait",IF(DT$20&gt;='01_Input'!$Z$58,'01_Input'!$AC$58,0),IF('01_Input'!$AB$58="Palier",IF(AND(DT$20&gt;='01_Input'!$Z$58,DT$20&lt;'01_Input'!$AA$58),'01_Input'!$AC$58,0),MAX(MIN(DT$20,'01_Input'!$AA$58)-'01_Input'!$Z$58,0)*'01_Input'!$AC$58)))))))))</f>
        <v>5500</v>
      </c>
      <c r="DU26" s="83">
        <f>IF('01_Input'!$C$58="Non",0,MIN('01_Input'!$I$58,MAX('01_Input'!$H$58,IF('01_Input'!$G$58="Résiduel vs Gestion",0,IF('01_Input'!$G$58="Taux Classe sélectionnée",Distrib_Global_Classe_Selectionnee*DU$20,IF('01_Input'!$G$58="Frais KYC (paliers de 100M€)",MAX(0,Nb_Investisseurs-Nb_KYC_Gratuites_Par_Tranche*(FLOOR(DU$20/Taille_Tranche_KYC,1)+1))*Cout_Par_KYC_Supplementaire,(IF('01_Input'!$L$58="Forfait",IF(DU$20&gt;='01_Input'!$J$58,'01_Input'!$M$58,0),IF('01_Input'!$L$58="Palier",IF(AND(DU$20&gt;='01_Input'!$J$58,DU$20&lt;'01_Input'!$K$58),'01_Input'!$M$58,0),MAX(MIN(DU$20,'01_Input'!$K$58)-'01_Input'!$J$58,0)*'01_Input'!$M$58))+IF('01_Input'!$P$58="Forfait",IF(DU$20&gt;='01_Input'!$N$58,'01_Input'!$Q$58,0),IF('01_Input'!$P$58="Palier",IF(AND(DU$20&gt;='01_Input'!$N$58,DU$20&lt;'01_Input'!$O$58),'01_Input'!$Q$58,0),MAX(MIN(DU$20,'01_Input'!$O$58)-'01_Input'!$N$58,0)*'01_Input'!$Q$58))+IF('01_Input'!$T$58="Forfait",IF(DU$20&gt;='01_Input'!$R$58,'01_Input'!$U$58,0),IF('01_Input'!$T$58="Palier",IF(AND(DU$20&gt;='01_Input'!$R$58,DU$20&lt;'01_Input'!$S$58),'01_Input'!$U$58,0),MAX(MIN(DU$20,'01_Input'!$S$58)-'01_Input'!$R$58,0)*'01_Input'!$U$58))+IF('01_Input'!$X$58="Forfait",IF(DU$20&gt;='01_Input'!$V$58,'01_Input'!$Y$58,0),IF('01_Input'!$X$58="Palier",IF(AND(DU$20&gt;='01_Input'!$V$58,DU$20&lt;'01_Input'!$W$58),'01_Input'!$Y$58,0),MAX(MIN(DU$20,'01_Input'!$W$58)-'01_Input'!$V$58,0)*'01_Input'!$Y$58))+IF('01_Input'!$AB$58="Forfait",IF(DU$20&gt;='01_Input'!$Z$58,'01_Input'!$AC$58,0),IF('01_Input'!$AB$58="Palier",IF(AND(DU$20&gt;='01_Input'!$Z$58,DU$20&lt;'01_Input'!$AA$58),'01_Input'!$AC$58,0),MAX(MIN(DU$20,'01_Input'!$AA$58)-'01_Input'!$Z$58,0)*'01_Input'!$AC$58)))))))))</f>
        <v>5500</v>
      </c>
      <c r="DV26" s="83">
        <f>IF('01_Input'!$C$58="Non",0,MIN('01_Input'!$I$58,MAX('01_Input'!$H$58,IF('01_Input'!$G$58="Résiduel vs Gestion",0,IF('01_Input'!$G$58="Taux Classe sélectionnée",Distrib_Global_Classe_Selectionnee*DV$20,IF('01_Input'!$G$58="Frais KYC (paliers de 100M€)",MAX(0,Nb_Investisseurs-Nb_KYC_Gratuites_Par_Tranche*(FLOOR(DV$20/Taille_Tranche_KYC,1)+1))*Cout_Par_KYC_Supplementaire,(IF('01_Input'!$L$58="Forfait",IF(DV$20&gt;='01_Input'!$J$58,'01_Input'!$M$58,0),IF('01_Input'!$L$58="Palier",IF(AND(DV$20&gt;='01_Input'!$J$58,DV$20&lt;'01_Input'!$K$58),'01_Input'!$M$58,0),MAX(MIN(DV$20,'01_Input'!$K$58)-'01_Input'!$J$58,0)*'01_Input'!$M$58))+IF('01_Input'!$P$58="Forfait",IF(DV$20&gt;='01_Input'!$N$58,'01_Input'!$Q$58,0),IF('01_Input'!$P$58="Palier",IF(AND(DV$20&gt;='01_Input'!$N$58,DV$20&lt;'01_Input'!$O$58),'01_Input'!$Q$58,0),MAX(MIN(DV$20,'01_Input'!$O$58)-'01_Input'!$N$58,0)*'01_Input'!$Q$58))+IF('01_Input'!$T$58="Forfait",IF(DV$20&gt;='01_Input'!$R$58,'01_Input'!$U$58,0),IF('01_Input'!$T$58="Palier",IF(AND(DV$20&gt;='01_Input'!$R$58,DV$20&lt;'01_Input'!$S$58),'01_Input'!$U$58,0),MAX(MIN(DV$20,'01_Input'!$S$58)-'01_Input'!$R$58,0)*'01_Input'!$U$58))+IF('01_Input'!$X$58="Forfait",IF(DV$20&gt;='01_Input'!$V$58,'01_Input'!$Y$58,0),IF('01_Input'!$X$58="Palier",IF(AND(DV$20&gt;='01_Input'!$V$58,DV$20&lt;'01_Input'!$W$58),'01_Input'!$Y$58,0),MAX(MIN(DV$20,'01_Input'!$W$58)-'01_Input'!$V$58,0)*'01_Input'!$Y$58))+IF('01_Input'!$AB$58="Forfait",IF(DV$20&gt;='01_Input'!$Z$58,'01_Input'!$AC$58,0),IF('01_Input'!$AB$58="Palier",IF(AND(DV$20&gt;='01_Input'!$Z$58,DV$20&lt;'01_Input'!$AA$58),'01_Input'!$AC$58,0),MAX(MIN(DV$20,'01_Input'!$AA$58)-'01_Input'!$Z$58,0)*'01_Input'!$AC$58)))))))))</f>
        <v>5500</v>
      </c>
      <c r="DW26" s="83">
        <f>IF('01_Input'!$C$58="Non",0,MIN('01_Input'!$I$58,MAX('01_Input'!$H$58,IF('01_Input'!$G$58="Résiduel vs Gestion",0,IF('01_Input'!$G$58="Taux Classe sélectionnée",Distrib_Global_Classe_Selectionnee*DW$20,IF('01_Input'!$G$58="Frais KYC (paliers de 100M€)",MAX(0,Nb_Investisseurs-Nb_KYC_Gratuites_Par_Tranche*(FLOOR(DW$20/Taille_Tranche_KYC,1)+1))*Cout_Par_KYC_Supplementaire,(IF('01_Input'!$L$58="Forfait",IF(DW$20&gt;='01_Input'!$J$58,'01_Input'!$M$58,0),IF('01_Input'!$L$58="Palier",IF(AND(DW$20&gt;='01_Input'!$J$58,DW$20&lt;'01_Input'!$K$58),'01_Input'!$M$58,0),MAX(MIN(DW$20,'01_Input'!$K$58)-'01_Input'!$J$58,0)*'01_Input'!$M$58))+IF('01_Input'!$P$58="Forfait",IF(DW$20&gt;='01_Input'!$N$58,'01_Input'!$Q$58,0),IF('01_Input'!$P$58="Palier",IF(AND(DW$20&gt;='01_Input'!$N$58,DW$20&lt;'01_Input'!$O$58),'01_Input'!$Q$58,0),MAX(MIN(DW$20,'01_Input'!$O$58)-'01_Input'!$N$58,0)*'01_Input'!$Q$58))+IF('01_Input'!$T$58="Forfait",IF(DW$20&gt;='01_Input'!$R$58,'01_Input'!$U$58,0),IF('01_Input'!$T$58="Palier",IF(AND(DW$20&gt;='01_Input'!$R$58,DW$20&lt;'01_Input'!$S$58),'01_Input'!$U$58,0),MAX(MIN(DW$20,'01_Input'!$S$58)-'01_Input'!$R$58,0)*'01_Input'!$U$58))+IF('01_Input'!$X$58="Forfait",IF(DW$20&gt;='01_Input'!$V$58,'01_Input'!$Y$58,0),IF('01_Input'!$X$58="Palier",IF(AND(DW$20&gt;='01_Input'!$V$58,DW$20&lt;'01_Input'!$W$58),'01_Input'!$Y$58,0),MAX(MIN(DW$20,'01_Input'!$W$58)-'01_Input'!$V$58,0)*'01_Input'!$Y$58))+IF('01_Input'!$AB$58="Forfait",IF(DW$20&gt;='01_Input'!$Z$58,'01_Input'!$AC$58,0),IF('01_Input'!$AB$58="Palier",IF(AND(DW$20&gt;='01_Input'!$Z$58,DW$20&lt;'01_Input'!$AA$58),'01_Input'!$AC$58,0),MAX(MIN(DW$20,'01_Input'!$AA$58)-'01_Input'!$Z$58,0)*'01_Input'!$AC$58)))))))))</f>
        <v>5500</v>
      </c>
      <c r="DX26" s="83">
        <f>IF('01_Input'!$C$58="Non",0,MIN('01_Input'!$I$58,MAX('01_Input'!$H$58,IF('01_Input'!$G$58="Résiduel vs Gestion",0,IF('01_Input'!$G$58="Taux Classe sélectionnée",Distrib_Global_Classe_Selectionnee*DX$20,IF('01_Input'!$G$58="Frais KYC (paliers de 100M€)",MAX(0,Nb_Investisseurs-Nb_KYC_Gratuites_Par_Tranche*(FLOOR(DX$20/Taille_Tranche_KYC,1)+1))*Cout_Par_KYC_Supplementaire,(IF('01_Input'!$L$58="Forfait",IF(DX$20&gt;='01_Input'!$J$58,'01_Input'!$M$58,0),IF('01_Input'!$L$58="Palier",IF(AND(DX$20&gt;='01_Input'!$J$58,DX$20&lt;'01_Input'!$K$58),'01_Input'!$M$58,0),MAX(MIN(DX$20,'01_Input'!$K$58)-'01_Input'!$J$58,0)*'01_Input'!$M$58))+IF('01_Input'!$P$58="Forfait",IF(DX$20&gt;='01_Input'!$N$58,'01_Input'!$Q$58,0),IF('01_Input'!$P$58="Palier",IF(AND(DX$20&gt;='01_Input'!$N$58,DX$20&lt;'01_Input'!$O$58),'01_Input'!$Q$58,0),MAX(MIN(DX$20,'01_Input'!$O$58)-'01_Input'!$N$58,0)*'01_Input'!$Q$58))+IF('01_Input'!$T$58="Forfait",IF(DX$20&gt;='01_Input'!$R$58,'01_Input'!$U$58,0),IF('01_Input'!$T$58="Palier",IF(AND(DX$20&gt;='01_Input'!$R$58,DX$20&lt;'01_Input'!$S$58),'01_Input'!$U$58,0),MAX(MIN(DX$20,'01_Input'!$S$58)-'01_Input'!$R$58,0)*'01_Input'!$U$58))+IF('01_Input'!$X$58="Forfait",IF(DX$20&gt;='01_Input'!$V$58,'01_Input'!$Y$58,0),IF('01_Input'!$X$58="Palier",IF(AND(DX$20&gt;='01_Input'!$V$58,DX$20&lt;'01_Input'!$W$58),'01_Input'!$Y$58,0),MAX(MIN(DX$20,'01_Input'!$W$58)-'01_Input'!$V$58,0)*'01_Input'!$Y$58))+IF('01_Input'!$AB$58="Forfait",IF(DX$20&gt;='01_Input'!$Z$58,'01_Input'!$AC$58,0),IF('01_Input'!$AB$58="Palier",IF(AND(DX$20&gt;='01_Input'!$Z$58,DX$20&lt;'01_Input'!$AA$58),'01_Input'!$AC$58,0),MAX(MIN(DX$20,'01_Input'!$AA$58)-'01_Input'!$Z$58,0)*'01_Input'!$AC$58)))))))))</f>
        <v>5500</v>
      </c>
      <c r="DY26" s="83">
        <f>IF('01_Input'!$C$58="Non",0,MIN('01_Input'!$I$58,MAX('01_Input'!$H$58,IF('01_Input'!$G$58="Résiduel vs Gestion",0,IF('01_Input'!$G$58="Taux Classe sélectionnée",Distrib_Global_Classe_Selectionnee*DY$20,IF('01_Input'!$G$58="Frais KYC (paliers de 100M€)",MAX(0,Nb_Investisseurs-Nb_KYC_Gratuites_Par_Tranche*(FLOOR(DY$20/Taille_Tranche_KYC,1)+1))*Cout_Par_KYC_Supplementaire,(IF('01_Input'!$L$58="Forfait",IF(DY$20&gt;='01_Input'!$J$58,'01_Input'!$M$58,0),IF('01_Input'!$L$58="Palier",IF(AND(DY$20&gt;='01_Input'!$J$58,DY$20&lt;'01_Input'!$K$58),'01_Input'!$M$58,0),MAX(MIN(DY$20,'01_Input'!$K$58)-'01_Input'!$J$58,0)*'01_Input'!$M$58))+IF('01_Input'!$P$58="Forfait",IF(DY$20&gt;='01_Input'!$N$58,'01_Input'!$Q$58,0),IF('01_Input'!$P$58="Palier",IF(AND(DY$20&gt;='01_Input'!$N$58,DY$20&lt;'01_Input'!$O$58),'01_Input'!$Q$58,0),MAX(MIN(DY$20,'01_Input'!$O$58)-'01_Input'!$N$58,0)*'01_Input'!$Q$58))+IF('01_Input'!$T$58="Forfait",IF(DY$20&gt;='01_Input'!$R$58,'01_Input'!$U$58,0),IF('01_Input'!$T$58="Palier",IF(AND(DY$20&gt;='01_Input'!$R$58,DY$20&lt;'01_Input'!$S$58),'01_Input'!$U$58,0),MAX(MIN(DY$20,'01_Input'!$S$58)-'01_Input'!$R$58,0)*'01_Input'!$U$58))+IF('01_Input'!$X$58="Forfait",IF(DY$20&gt;='01_Input'!$V$58,'01_Input'!$Y$58,0),IF('01_Input'!$X$58="Palier",IF(AND(DY$20&gt;='01_Input'!$V$58,DY$20&lt;'01_Input'!$W$58),'01_Input'!$Y$58,0),MAX(MIN(DY$20,'01_Input'!$W$58)-'01_Input'!$V$58,0)*'01_Input'!$Y$58))+IF('01_Input'!$AB$58="Forfait",IF(DY$20&gt;='01_Input'!$Z$58,'01_Input'!$AC$58,0),IF('01_Input'!$AB$58="Palier",IF(AND(DY$20&gt;='01_Input'!$Z$58,DY$20&lt;'01_Input'!$AA$58),'01_Input'!$AC$58,0),MAX(MIN(DY$20,'01_Input'!$AA$58)-'01_Input'!$Z$58,0)*'01_Input'!$AC$58)))))))))</f>
        <v>5500</v>
      </c>
      <c r="DZ26" s="83">
        <f>IF('01_Input'!$C$58="Non",0,MIN('01_Input'!$I$58,MAX('01_Input'!$H$58,IF('01_Input'!$G$58="Résiduel vs Gestion",0,IF('01_Input'!$G$58="Taux Classe sélectionnée",Distrib_Global_Classe_Selectionnee*DZ$20,IF('01_Input'!$G$58="Frais KYC (paliers de 100M€)",MAX(0,Nb_Investisseurs-Nb_KYC_Gratuites_Par_Tranche*(FLOOR(DZ$20/Taille_Tranche_KYC,1)+1))*Cout_Par_KYC_Supplementaire,(IF('01_Input'!$L$58="Forfait",IF(DZ$20&gt;='01_Input'!$J$58,'01_Input'!$M$58,0),IF('01_Input'!$L$58="Palier",IF(AND(DZ$20&gt;='01_Input'!$J$58,DZ$20&lt;'01_Input'!$K$58),'01_Input'!$M$58,0),MAX(MIN(DZ$20,'01_Input'!$K$58)-'01_Input'!$J$58,0)*'01_Input'!$M$58))+IF('01_Input'!$P$58="Forfait",IF(DZ$20&gt;='01_Input'!$N$58,'01_Input'!$Q$58,0),IF('01_Input'!$P$58="Palier",IF(AND(DZ$20&gt;='01_Input'!$N$58,DZ$20&lt;'01_Input'!$O$58),'01_Input'!$Q$58,0),MAX(MIN(DZ$20,'01_Input'!$O$58)-'01_Input'!$N$58,0)*'01_Input'!$Q$58))+IF('01_Input'!$T$58="Forfait",IF(DZ$20&gt;='01_Input'!$R$58,'01_Input'!$U$58,0),IF('01_Input'!$T$58="Palier",IF(AND(DZ$20&gt;='01_Input'!$R$58,DZ$20&lt;'01_Input'!$S$58),'01_Input'!$U$58,0),MAX(MIN(DZ$20,'01_Input'!$S$58)-'01_Input'!$R$58,0)*'01_Input'!$U$58))+IF('01_Input'!$X$58="Forfait",IF(DZ$20&gt;='01_Input'!$V$58,'01_Input'!$Y$58,0),IF('01_Input'!$X$58="Palier",IF(AND(DZ$20&gt;='01_Input'!$V$58,DZ$20&lt;'01_Input'!$W$58),'01_Input'!$Y$58,0),MAX(MIN(DZ$20,'01_Input'!$W$58)-'01_Input'!$V$58,0)*'01_Input'!$Y$58))+IF('01_Input'!$AB$58="Forfait",IF(DZ$20&gt;='01_Input'!$Z$58,'01_Input'!$AC$58,0),IF('01_Input'!$AB$58="Palier",IF(AND(DZ$20&gt;='01_Input'!$Z$58,DZ$20&lt;'01_Input'!$AA$58),'01_Input'!$AC$58,0),MAX(MIN(DZ$20,'01_Input'!$AA$58)-'01_Input'!$Z$58,0)*'01_Input'!$AC$58)))))))))</f>
        <v>5500</v>
      </c>
      <c r="EA26" s="83">
        <f>IF('01_Input'!$C$58="Non",0,MIN('01_Input'!$I$58,MAX('01_Input'!$H$58,IF('01_Input'!$G$58="Résiduel vs Gestion",0,IF('01_Input'!$G$58="Taux Classe sélectionnée",Distrib_Global_Classe_Selectionnee*EA$20,IF('01_Input'!$G$58="Frais KYC (paliers de 100M€)",MAX(0,Nb_Investisseurs-Nb_KYC_Gratuites_Par_Tranche*(FLOOR(EA$20/Taille_Tranche_KYC,1)+1))*Cout_Par_KYC_Supplementaire,(IF('01_Input'!$L$58="Forfait",IF(EA$20&gt;='01_Input'!$J$58,'01_Input'!$M$58,0),IF('01_Input'!$L$58="Palier",IF(AND(EA$20&gt;='01_Input'!$J$58,EA$20&lt;'01_Input'!$K$58),'01_Input'!$M$58,0),MAX(MIN(EA$20,'01_Input'!$K$58)-'01_Input'!$J$58,0)*'01_Input'!$M$58))+IF('01_Input'!$P$58="Forfait",IF(EA$20&gt;='01_Input'!$N$58,'01_Input'!$Q$58,0),IF('01_Input'!$P$58="Palier",IF(AND(EA$20&gt;='01_Input'!$N$58,EA$20&lt;'01_Input'!$O$58),'01_Input'!$Q$58,0),MAX(MIN(EA$20,'01_Input'!$O$58)-'01_Input'!$N$58,0)*'01_Input'!$Q$58))+IF('01_Input'!$T$58="Forfait",IF(EA$20&gt;='01_Input'!$R$58,'01_Input'!$U$58,0),IF('01_Input'!$T$58="Palier",IF(AND(EA$20&gt;='01_Input'!$R$58,EA$20&lt;'01_Input'!$S$58),'01_Input'!$U$58,0),MAX(MIN(EA$20,'01_Input'!$S$58)-'01_Input'!$R$58,0)*'01_Input'!$U$58))+IF('01_Input'!$X$58="Forfait",IF(EA$20&gt;='01_Input'!$V$58,'01_Input'!$Y$58,0),IF('01_Input'!$X$58="Palier",IF(AND(EA$20&gt;='01_Input'!$V$58,EA$20&lt;'01_Input'!$W$58),'01_Input'!$Y$58,0),MAX(MIN(EA$20,'01_Input'!$W$58)-'01_Input'!$V$58,0)*'01_Input'!$Y$58))+IF('01_Input'!$AB$58="Forfait",IF(EA$20&gt;='01_Input'!$Z$58,'01_Input'!$AC$58,0),IF('01_Input'!$AB$58="Palier",IF(AND(EA$20&gt;='01_Input'!$Z$58,EA$20&lt;'01_Input'!$AA$58),'01_Input'!$AC$58,0),MAX(MIN(EA$20,'01_Input'!$AA$58)-'01_Input'!$Z$58,0)*'01_Input'!$AC$58)))))))))</f>
        <v>5500</v>
      </c>
      <c r="EB26" s="83">
        <f>IF('01_Input'!$C$58="Non",0,MIN('01_Input'!$I$58,MAX('01_Input'!$H$58,IF('01_Input'!$G$58="Résiduel vs Gestion",0,IF('01_Input'!$G$58="Taux Classe sélectionnée",Distrib_Global_Classe_Selectionnee*EB$20,IF('01_Input'!$G$58="Frais KYC (paliers de 100M€)",MAX(0,Nb_Investisseurs-Nb_KYC_Gratuites_Par_Tranche*(FLOOR(EB$20/Taille_Tranche_KYC,1)+1))*Cout_Par_KYC_Supplementaire,(IF('01_Input'!$L$58="Forfait",IF(EB$20&gt;='01_Input'!$J$58,'01_Input'!$M$58,0),IF('01_Input'!$L$58="Palier",IF(AND(EB$20&gt;='01_Input'!$J$58,EB$20&lt;'01_Input'!$K$58),'01_Input'!$M$58,0),MAX(MIN(EB$20,'01_Input'!$K$58)-'01_Input'!$J$58,0)*'01_Input'!$M$58))+IF('01_Input'!$P$58="Forfait",IF(EB$20&gt;='01_Input'!$N$58,'01_Input'!$Q$58,0),IF('01_Input'!$P$58="Palier",IF(AND(EB$20&gt;='01_Input'!$N$58,EB$20&lt;'01_Input'!$O$58),'01_Input'!$Q$58,0),MAX(MIN(EB$20,'01_Input'!$O$58)-'01_Input'!$N$58,0)*'01_Input'!$Q$58))+IF('01_Input'!$T$58="Forfait",IF(EB$20&gt;='01_Input'!$R$58,'01_Input'!$U$58,0),IF('01_Input'!$T$58="Palier",IF(AND(EB$20&gt;='01_Input'!$R$58,EB$20&lt;'01_Input'!$S$58),'01_Input'!$U$58,0),MAX(MIN(EB$20,'01_Input'!$S$58)-'01_Input'!$R$58,0)*'01_Input'!$U$58))+IF('01_Input'!$X$58="Forfait",IF(EB$20&gt;='01_Input'!$V$58,'01_Input'!$Y$58,0),IF('01_Input'!$X$58="Palier",IF(AND(EB$20&gt;='01_Input'!$V$58,EB$20&lt;'01_Input'!$W$58),'01_Input'!$Y$58,0),MAX(MIN(EB$20,'01_Input'!$W$58)-'01_Input'!$V$58,0)*'01_Input'!$Y$58))+IF('01_Input'!$AB$58="Forfait",IF(EB$20&gt;='01_Input'!$Z$58,'01_Input'!$AC$58,0),IF('01_Input'!$AB$58="Palier",IF(AND(EB$20&gt;='01_Input'!$Z$58,EB$20&lt;'01_Input'!$AA$58),'01_Input'!$AC$58,0),MAX(MIN(EB$20,'01_Input'!$AA$58)-'01_Input'!$Z$58,0)*'01_Input'!$AC$58)))))))))</f>
        <v>5500</v>
      </c>
      <c r="EC26" s="83">
        <f>IF('01_Input'!$C$58="Non",0,MIN('01_Input'!$I$58,MAX('01_Input'!$H$58,IF('01_Input'!$G$58="Résiduel vs Gestion",0,IF('01_Input'!$G$58="Taux Classe sélectionnée",Distrib_Global_Classe_Selectionnee*EC$20,IF('01_Input'!$G$58="Frais KYC (paliers de 100M€)",MAX(0,Nb_Investisseurs-Nb_KYC_Gratuites_Par_Tranche*(FLOOR(EC$20/Taille_Tranche_KYC,1)+1))*Cout_Par_KYC_Supplementaire,(IF('01_Input'!$L$58="Forfait",IF(EC$20&gt;='01_Input'!$J$58,'01_Input'!$M$58,0),IF('01_Input'!$L$58="Palier",IF(AND(EC$20&gt;='01_Input'!$J$58,EC$20&lt;'01_Input'!$K$58),'01_Input'!$M$58,0),MAX(MIN(EC$20,'01_Input'!$K$58)-'01_Input'!$J$58,0)*'01_Input'!$M$58))+IF('01_Input'!$P$58="Forfait",IF(EC$20&gt;='01_Input'!$N$58,'01_Input'!$Q$58,0),IF('01_Input'!$P$58="Palier",IF(AND(EC$20&gt;='01_Input'!$N$58,EC$20&lt;'01_Input'!$O$58),'01_Input'!$Q$58,0),MAX(MIN(EC$20,'01_Input'!$O$58)-'01_Input'!$N$58,0)*'01_Input'!$Q$58))+IF('01_Input'!$T$58="Forfait",IF(EC$20&gt;='01_Input'!$R$58,'01_Input'!$U$58,0),IF('01_Input'!$T$58="Palier",IF(AND(EC$20&gt;='01_Input'!$R$58,EC$20&lt;'01_Input'!$S$58),'01_Input'!$U$58,0),MAX(MIN(EC$20,'01_Input'!$S$58)-'01_Input'!$R$58,0)*'01_Input'!$U$58))+IF('01_Input'!$X$58="Forfait",IF(EC$20&gt;='01_Input'!$V$58,'01_Input'!$Y$58,0),IF('01_Input'!$X$58="Palier",IF(AND(EC$20&gt;='01_Input'!$V$58,EC$20&lt;'01_Input'!$W$58),'01_Input'!$Y$58,0),MAX(MIN(EC$20,'01_Input'!$W$58)-'01_Input'!$V$58,0)*'01_Input'!$Y$58))+IF('01_Input'!$AB$58="Forfait",IF(EC$20&gt;='01_Input'!$Z$58,'01_Input'!$AC$58,0),IF('01_Input'!$AB$58="Palier",IF(AND(EC$20&gt;='01_Input'!$Z$58,EC$20&lt;'01_Input'!$AA$58),'01_Input'!$AC$58,0),MAX(MIN(EC$20,'01_Input'!$AA$58)-'01_Input'!$Z$58,0)*'01_Input'!$AC$58)))))))))</f>
        <v>5500</v>
      </c>
      <c r="ED26" s="83">
        <f>IF('01_Input'!$C$58="Non",0,MIN('01_Input'!$I$58,MAX('01_Input'!$H$58,IF('01_Input'!$G$58="Résiduel vs Gestion",0,IF('01_Input'!$G$58="Taux Classe sélectionnée",Distrib_Global_Classe_Selectionnee*ED$20,IF('01_Input'!$G$58="Frais KYC (paliers de 100M€)",MAX(0,Nb_Investisseurs-Nb_KYC_Gratuites_Par_Tranche*(FLOOR(ED$20/Taille_Tranche_KYC,1)+1))*Cout_Par_KYC_Supplementaire,(IF('01_Input'!$L$58="Forfait",IF(ED$20&gt;='01_Input'!$J$58,'01_Input'!$M$58,0),IF('01_Input'!$L$58="Palier",IF(AND(ED$20&gt;='01_Input'!$J$58,ED$20&lt;'01_Input'!$K$58),'01_Input'!$M$58,0),MAX(MIN(ED$20,'01_Input'!$K$58)-'01_Input'!$J$58,0)*'01_Input'!$M$58))+IF('01_Input'!$P$58="Forfait",IF(ED$20&gt;='01_Input'!$N$58,'01_Input'!$Q$58,0),IF('01_Input'!$P$58="Palier",IF(AND(ED$20&gt;='01_Input'!$N$58,ED$20&lt;'01_Input'!$O$58),'01_Input'!$Q$58,0),MAX(MIN(ED$20,'01_Input'!$O$58)-'01_Input'!$N$58,0)*'01_Input'!$Q$58))+IF('01_Input'!$T$58="Forfait",IF(ED$20&gt;='01_Input'!$R$58,'01_Input'!$U$58,0),IF('01_Input'!$T$58="Palier",IF(AND(ED$20&gt;='01_Input'!$R$58,ED$20&lt;'01_Input'!$S$58),'01_Input'!$U$58,0),MAX(MIN(ED$20,'01_Input'!$S$58)-'01_Input'!$R$58,0)*'01_Input'!$U$58))+IF('01_Input'!$X$58="Forfait",IF(ED$20&gt;='01_Input'!$V$58,'01_Input'!$Y$58,0),IF('01_Input'!$X$58="Palier",IF(AND(ED$20&gt;='01_Input'!$V$58,ED$20&lt;'01_Input'!$W$58),'01_Input'!$Y$58,0),MAX(MIN(ED$20,'01_Input'!$W$58)-'01_Input'!$V$58,0)*'01_Input'!$Y$58))+IF('01_Input'!$AB$58="Forfait",IF(ED$20&gt;='01_Input'!$Z$58,'01_Input'!$AC$58,0),IF('01_Input'!$AB$58="Palier",IF(AND(ED$20&gt;='01_Input'!$Z$58,ED$20&lt;'01_Input'!$AA$58),'01_Input'!$AC$58,0),MAX(MIN(ED$20,'01_Input'!$AA$58)-'01_Input'!$Z$58,0)*'01_Input'!$AC$58)))))))))</f>
        <v>5500</v>
      </c>
      <c r="EE26" s="83">
        <f>IF('01_Input'!$C$58="Non",0,MIN('01_Input'!$I$58,MAX('01_Input'!$H$58,IF('01_Input'!$G$58="Résiduel vs Gestion",0,IF('01_Input'!$G$58="Taux Classe sélectionnée",Distrib_Global_Classe_Selectionnee*EE$20,IF('01_Input'!$G$58="Frais KYC (paliers de 100M€)",MAX(0,Nb_Investisseurs-Nb_KYC_Gratuites_Par_Tranche*(FLOOR(EE$20/Taille_Tranche_KYC,1)+1))*Cout_Par_KYC_Supplementaire,(IF('01_Input'!$L$58="Forfait",IF(EE$20&gt;='01_Input'!$J$58,'01_Input'!$M$58,0),IF('01_Input'!$L$58="Palier",IF(AND(EE$20&gt;='01_Input'!$J$58,EE$20&lt;'01_Input'!$K$58),'01_Input'!$M$58,0),MAX(MIN(EE$20,'01_Input'!$K$58)-'01_Input'!$J$58,0)*'01_Input'!$M$58))+IF('01_Input'!$P$58="Forfait",IF(EE$20&gt;='01_Input'!$N$58,'01_Input'!$Q$58,0),IF('01_Input'!$P$58="Palier",IF(AND(EE$20&gt;='01_Input'!$N$58,EE$20&lt;'01_Input'!$O$58),'01_Input'!$Q$58,0),MAX(MIN(EE$20,'01_Input'!$O$58)-'01_Input'!$N$58,0)*'01_Input'!$Q$58))+IF('01_Input'!$T$58="Forfait",IF(EE$20&gt;='01_Input'!$R$58,'01_Input'!$U$58,0),IF('01_Input'!$T$58="Palier",IF(AND(EE$20&gt;='01_Input'!$R$58,EE$20&lt;'01_Input'!$S$58),'01_Input'!$U$58,0),MAX(MIN(EE$20,'01_Input'!$S$58)-'01_Input'!$R$58,0)*'01_Input'!$U$58))+IF('01_Input'!$X$58="Forfait",IF(EE$20&gt;='01_Input'!$V$58,'01_Input'!$Y$58,0),IF('01_Input'!$X$58="Palier",IF(AND(EE$20&gt;='01_Input'!$V$58,EE$20&lt;'01_Input'!$W$58),'01_Input'!$Y$58,0),MAX(MIN(EE$20,'01_Input'!$W$58)-'01_Input'!$V$58,0)*'01_Input'!$Y$58))+IF('01_Input'!$AB$58="Forfait",IF(EE$20&gt;='01_Input'!$Z$58,'01_Input'!$AC$58,0),IF('01_Input'!$AB$58="Palier",IF(AND(EE$20&gt;='01_Input'!$Z$58,EE$20&lt;'01_Input'!$AA$58),'01_Input'!$AC$58,0),MAX(MIN(EE$20,'01_Input'!$AA$58)-'01_Input'!$Z$58,0)*'01_Input'!$AC$58)))))))))</f>
        <v>5500</v>
      </c>
      <c r="EF26" s="83">
        <f>IF('01_Input'!$C$58="Non",0,MIN('01_Input'!$I$58,MAX('01_Input'!$H$58,IF('01_Input'!$G$58="Résiduel vs Gestion",0,IF('01_Input'!$G$58="Taux Classe sélectionnée",Distrib_Global_Classe_Selectionnee*EF$20,IF('01_Input'!$G$58="Frais KYC (paliers de 100M€)",MAX(0,Nb_Investisseurs-Nb_KYC_Gratuites_Par_Tranche*(FLOOR(EF$20/Taille_Tranche_KYC,1)+1))*Cout_Par_KYC_Supplementaire,(IF('01_Input'!$L$58="Forfait",IF(EF$20&gt;='01_Input'!$J$58,'01_Input'!$M$58,0),IF('01_Input'!$L$58="Palier",IF(AND(EF$20&gt;='01_Input'!$J$58,EF$20&lt;'01_Input'!$K$58),'01_Input'!$M$58,0),MAX(MIN(EF$20,'01_Input'!$K$58)-'01_Input'!$J$58,0)*'01_Input'!$M$58))+IF('01_Input'!$P$58="Forfait",IF(EF$20&gt;='01_Input'!$N$58,'01_Input'!$Q$58,0),IF('01_Input'!$P$58="Palier",IF(AND(EF$20&gt;='01_Input'!$N$58,EF$20&lt;'01_Input'!$O$58),'01_Input'!$Q$58,0),MAX(MIN(EF$20,'01_Input'!$O$58)-'01_Input'!$N$58,0)*'01_Input'!$Q$58))+IF('01_Input'!$T$58="Forfait",IF(EF$20&gt;='01_Input'!$R$58,'01_Input'!$U$58,0),IF('01_Input'!$T$58="Palier",IF(AND(EF$20&gt;='01_Input'!$R$58,EF$20&lt;'01_Input'!$S$58),'01_Input'!$U$58,0),MAX(MIN(EF$20,'01_Input'!$S$58)-'01_Input'!$R$58,0)*'01_Input'!$U$58))+IF('01_Input'!$X$58="Forfait",IF(EF$20&gt;='01_Input'!$V$58,'01_Input'!$Y$58,0),IF('01_Input'!$X$58="Palier",IF(AND(EF$20&gt;='01_Input'!$V$58,EF$20&lt;'01_Input'!$W$58),'01_Input'!$Y$58,0),MAX(MIN(EF$20,'01_Input'!$W$58)-'01_Input'!$V$58,0)*'01_Input'!$Y$58))+IF('01_Input'!$AB$58="Forfait",IF(EF$20&gt;='01_Input'!$Z$58,'01_Input'!$AC$58,0),IF('01_Input'!$AB$58="Palier",IF(AND(EF$20&gt;='01_Input'!$Z$58,EF$20&lt;'01_Input'!$AA$58),'01_Input'!$AC$58,0),MAX(MIN(EF$20,'01_Input'!$AA$58)-'01_Input'!$Z$58,0)*'01_Input'!$AC$58)))))))))</f>
        <v>5500</v>
      </c>
      <c r="EG26" s="83">
        <f>IF('01_Input'!$C$58="Non",0,MIN('01_Input'!$I$58,MAX('01_Input'!$H$58,IF('01_Input'!$G$58="Résiduel vs Gestion",0,IF('01_Input'!$G$58="Taux Classe sélectionnée",Distrib_Global_Classe_Selectionnee*EG$20,IF('01_Input'!$G$58="Frais KYC (paliers de 100M€)",MAX(0,Nb_Investisseurs-Nb_KYC_Gratuites_Par_Tranche*(FLOOR(EG$20/Taille_Tranche_KYC,1)+1))*Cout_Par_KYC_Supplementaire,(IF('01_Input'!$L$58="Forfait",IF(EG$20&gt;='01_Input'!$J$58,'01_Input'!$M$58,0),IF('01_Input'!$L$58="Palier",IF(AND(EG$20&gt;='01_Input'!$J$58,EG$20&lt;'01_Input'!$K$58),'01_Input'!$M$58,0),MAX(MIN(EG$20,'01_Input'!$K$58)-'01_Input'!$J$58,0)*'01_Input'!$M$58))+IF('01_Input'!$P$58="Forfait",IF(EG$20&gt;='01_Input'!$N$58,'01_Input'!$Q$58,0),IF('01_Input'!$P$58="Palier",IF(AND(EG$20&gt;='01_Input'!$N$58,EG$20&lt;'01_Input'!$O$58),'01_Input'!$Q$58,0),MAX(MIN(EG$20,'01_Input'!$O$58)-'01_Input'!$N$58,0)*'01_Input'!$Q$58))+IF('01_Input'!$T$58="Forfait",IF(EG$20&gt;='01_Input'!$R$58,'01_Input'!$U$58,0),IF('01_Input'!$T$58="Palier",IF(AND(EG$20&gt;='01_Input'!$R$58,EG$20&lt;'01_Input'!$S$58),'01_Input'!$U$58,0),MAX(MIN(EG$20,'01_Input'!$S$58)-'01_Input'!$R$58,0)*'01_Input'!$U$58))+IF('01_Input'!$X$58="Forfait",IF(EG$20&gt;='01_Input'!$V$58,'01_Input'!$Y$58,0),IF('01_Input'!$X$58="Palier",IF(AND(EG$20&gt;='01_Input'!$V$58,EG$20&lt;'01_Input'!$W$58),'01_Input'!$Y$58,0),MAX(MIN(EG$20,'01_Input'!$W$58)-'01_Input'!$V$58,0)*'01_Input'!$Y$58))+IF('01_Input'!$AB$58="Forfait",IF(EG$20&gt;='01_Input'!$Z$58,'01_Input'!$AC$58,0),IF('01_Input'!$AB$58="Palier",IF(AND(EG$20&gt;='01_Input'!$Z$58,EG$20&lt;'01_Input'!$AA$58),'01_Input'!$AC$58,0),MAX(MIN(EG$20,'01_Input'!$AA$58)-'01_Input'!$Z$58,0)*'01_Input'!$AC$58)))))))))</f>
        <v>5500</v>
      </c>
      <c r="EH26" s="83">
        <f>IF('01_Input'!$C$58="Non",0,MIN('01_Input'!$I$58,MAX('01_Input'!$H$58,IF('01_Input'!$G$58="Résiduel vs Gestion",0,IF('01_Input'!$G$58="Taux Classe sélectionnée",Distrib_Global_Classe_Selectionnee*EH$20,IF('01_Input'!$G$58="Frais KYC (paliers de 100M€)",MAX(0,Nb_Investisseurs-Nb_KYC_Gratuites_Par_Tranche*(FLOOR(EH$20/Taille_Tranche_KYC,1)+1))*Cout_Par_KYC_Supplementaire,(IF('01_Input'!$L$58="Forfait",IF(EH$20&gt;='01_Input'!$J$58,'01_Input'!$M$58,0),IF('01_Input'!$L$58="Palier",IF(AND(EH$20&gt;='01_Input'!$J$58,EH$20&lt;'01_Input'!$K$58),'01_Input'!$M$58,0),MAX(MIN(EH$20,'01_Input'!$K$58)-'01_Input'!$J$58,0)*'01_Input'!$M$58))+IF('01_Input'!$P$58="Forfait",IF(EH$20&gt;='01_Input'!$N$58,'01_Input'!$Q$58,0),IF('01_Input'!$P$58="Palier",IF(AND(EH$20&gt;='01_Input'!$N$58,EH$20&lt;'01_Input'!$O$58),'01_Input'!$Q$58,0),MAX(MIN(EH$20,'01_Input'!$O$58)-'01_Input'!$N$58,0)*'01_Input'!$Q$58))+IF('01_Input'!$T$58="Forfait",IF(EH$20&gt;='01_Input'!$R$58,'01_Input'!$U$58,0),IF('01_Input'!$T$58="Palier",IF(AND(EH$20&gt;='01_Input'!$R$58,EH$20&lt;'01_Input'!$S$58),'01_Input'!$U$58,0),MAX(MIN(EH$20,'01_Input'!$S$58)-'01_Input'!$R$58,0)*'01_Input'!$U$58))+IF('01_Input'!$X$58="Forfait",IF(EH$20&gt;='01_Input'!$V$58,'01_Input'!$Y$58,0),IF('01_Input'!$X$58="Palier",IF(AND(EH$20&gt;='01_Input'!$V$58,EH$20&lt;'01_Input'!$W$58),'01_Input'!$Y$58,0),MAX(MIN(EH$20,'01_Input'!$W$58)-'01_Input'!$V$58,0)*'01_Input'!$Y$58))+IF('01_Input'!$AB$58="Forfait",IF(EH$20&gt;='01_Input'!$Z$58,'01_Input'!$AC$58,0),IF('01_Input'!$AB$58="Palier",IF(AND(EH$20&gt;='01_Input'!$Z$58,EH$20&lt;'01_Input'!$AA$58),'01_Input'!$AC$58,0),MAX(MIN(EH$20,'01_Input'!$AA$58)-'01_Input'!$Z$58,0)*'01_Input'!$AC$58)))))))))</f>
        <v>5500</v>
      </c>
      <c r="EI26" s="83">
        <f>IF('01_Input'!$C$58="Non",0,MIN('01_Input'!$I$58,MAX('01_Input'!$H$58,IF('01_Input'!$G$58="Résiduel vs Gestion",0,IF('01_Input'!$G$58="Taux Classe sélectionnée",Distrib_Global_Classe_Selectionnee*EI$20,IF('01_Input'!$G$58="Frais KYC (paliers de 100M€)",MAX(0,Nb_Investisseurs-Nb_KYC_Gratuites_Par_Tranche*(FLOOR(EI$20/Taille_Tranche_KYC,1)+1))*Cout_Par_KYC_Supplementaire,(IF('01_Input'!$L$58="Forfait",IF(EI$20&gt;='01_Input'!$J$58,'01_Input'!$M$58,0),IF('01_Input'!$L$58="Palier",IF(AND(EI$20&gt;='01_Input'!$J$58,EI$20&lt;'01_Input'!$K$58),'01_Input'!$M$58,0),MAX(MIN(EI$20,'01_Input'!$K$58)-'01_Input'!$J$58,0)*'01_Input'!$M$58))+IF('01_Input'!$P$58="Forfait",IF(EI$20&gt;='01_Input'!$N$58,'01_Input'!$Q$58,0),IF('01_Input'!$P$58="Palier",IF(AND(EI$20&gt;='01_Input'!$N$58,EI$20&lt;'01_Input'!$O$58),'01_Input'!$Q$58,0),MAX(MIN(EI$20,'01_Input'!$O$58)-'01_Input'!$N$58,0)*'01_Input'!$Q$58))+IF('01_Input'!$T$58="Forfait",IF(EI$20&gt;='01_Input'!$R$58,'01_Input'!$U$58,0),IF('01_Input'!$T$58="Palier",IF(AND(EI$20&gt;='01_Input'!$R$58,EI$20&lt;'01_Input'!$S$58),'01_Input'!$U$58,0),MAX(MIN(EI$20,'01_Input'!$S$58)-'01_Input'!$R$58,0)*'01_Input'!$U$58))+IF('01_Input'!$X$58="Forfait",IF(EI$20&gt;='01_Input'!$V$58,'01_Input'!$Y$58,0),IF('01_Input'!$X$58="Palier",IF(AND(EI$20&gt;='01_Input'!$V$58,EI$20&lt;'01_Input'!$W$58),'01_Input'!$Y$58,0),MAX(MIN(EI$20,'01_Input'!$W$58)-'01_Input'!$V$58,0)*'01_Input'!$Y$58))+IF('01_Input'!$AB$58="Forfait",IF(EI$20&gt;='01_Input'!$Z$58,'01_Input'!$AC$58,0),IF('01_Input'!$AB$58="Palier",IF(AND(EI$20&gt;='01_Input'!$Z$58,EI$20&lt;'01_Input'!$AA$58),'01_Input'!$AC$58,0),MAX(MIN(EI$20,'01_Input'!$AA$58)-'01_Input'!$Z$58,0)*'01_Input'!$AC$58)))))))))</f>
        <v>5500</v>
      </c>
      <c r="EJ26" s="83">
        <f>IF('01_Input'!$C$58="Non",0,MIN('01_Input'!$I$58,MAX('01_Input'!$H$58,IF('01_Input'!$G$58="Résiduel vs Gestion",0,IF('01_Input'!$G$58="Taux Classe sélectionnée",Distrib_Global_Classe_Selectionnee*EJ$20,IF('01_Input'!$G$58="Frais KYC (paliers de 100M€)",MAX(0,Nb_Investisseurs-Nb_KYC_Gratuites_Par_Tranche*(FLOOR(EJ$20/Taille_Tranche_KYC,1)+1))*Cout_Par_KYC_Supplementaire,(IF('01_Input'!$L$58="Forfait",IF(EJ$20&gt;='01_Input'!$J$58,'01_Input'!$M$58,0),IF('01_Input'!$L$58="Palier",IF(AND(EJ$20&gt;='01_Input'!$J$58,EJ$20&lt;'01_Input'!$K$58),'01_Input'!$M$58,0),MAX(MIN(EJ$20,'01_Input'!$K$58)-'01_Input'!$J$58,0)*'01_Input'!$M$58))+IF('01_Input'!$P$58="Forfait",IF(EJ$20&gt;='01_Input'!$N$58,'01_Input'!$Q$58,0),IF('01_Input'!$P$58="Palier",IF(AND(EJ$20&gt;='01_Input'!$N$58,EJ$20&lt;'01_Input'!$O$58),'01_Input'!$Q$58,0),MAX(MIN(EJ$20,'01_Input'!$O$58)-'01_Input'!$N$58,0)*'01_Input'!$Q$58))+IF('01_Input'!$T$58="Forfait",IF(EJ$20&gt;='01_Input'!$R$58,'01_Input'!$U$58,0),IF('01_Input'!$T$58="Palier",IF(AND(EJ$20&gt;='01_Input'!$R$58,EJ$20&lt;'01_Input'!$S$58),'01_Input'!$U$58,0),MAX(MIN(EJ$20,'01_Input'!$S$58)-'01_Input'!$R$58,0)*'01_Input'!$U$58))+IF('01_Input'!$X$58="Forfait",IF(EJ$20&gt;='01_Input'!$V$58,'01_Input'!$Y$58,0),IF('01_Input'!$X$58="Palier",IF(AND(EJ$20&gt;='01_Input'!$V$58,EJ$20&lt;'01_Input'!$W$58),'01_Input'!$Y$58,0),MAX(MIN(EJ$20,'01_Input'!$W$58)-'01_Input'!$V$58,0)*'01_Input'!$Y$58))+IF('01_Input'!$AB$58="Forfait",IF(EJ$20&gt;='01_Input'!$Z$58,'01_Input'!$AC$58,0),IF('01_Input'!$AB$58="Palier",IF(AND(EJ$20&gt;='01_Input'!$Z$58,EJ$20&lt;'01_Input'!$AA$58),'01_Input'!$AC$58,0),MAX(MIN(EJ$20,'01_Input'!$AA$58)-'01_Input'!$Z$58,0)*'01_Input'!$AC$58)))))))))</f>
        <v>5500</v>
      </c>
      <c r="EK26" s="83">
        <f>IF('01_Input'!$C$58="Non",0,MIN('01_Input'!$I$58,MAX('01_Input'!$H$58,IF('01_Input'!$G$58="Résiduel vs Gestion",0,IF('01_Input'!$G$58="Taux Classe sélectionnée",Distrib_Global_Classe_Selectionnee*EK$20,IF('01_Input'!$G$58="Frais KYC (paliers de 100M€)",MAX(0,Nb_Investisseurs-Nb_KYC_Gratuites_Par_Tranche*(FLOOR(EK$20/Taille_Tranche_KYC,1)+1))*Cout_Par_KYC_Supplementaire,(IF('01_Input'!$L$58="Forfait",IF(EK$20&gt;='01_Input'!$J$58,'01_Input'!$M$58,0),IF('01_Input'!$L$58="Palier",IF(AND(EK$20&gt;='01_Input'!$J$58,EK$20&lt;'01_Input'!$K$58),'01_Input'!$M$58,0),MAX(MIN(EK$20,'01_Input'!$K$58)-'01_Input'!$J$58,0)*'01_Input'!$M$58))+IF('01_Input'!$P$58="Forfait",IF(EK$20&gt;='01_Input'!$N$58,'01_Input'!$Q$58,0),IF('01_Input'!$P$58="Palier",IF(AND(EK$20&gt;='01_Input'!$N$58,EK$20&lt;'01_Input'!$O$58),'01_Input'!$Q$58,0),MAX(MIN(EK$20,'01_Input'!$O$58)-'01_Input'!$N$58,0)*'01_Input'!$Q$58))+IF('01_Input'!$T$58="Forfait",IF(EK$20&gt;='01_Input'!$R$58,'01_Input'!$U$58,0),IF('01_Input'!$T$58="Palier",IF(AND(EK$20&gt;='01_Input'!$R$58,EK$20&lt;'01_Input'!$S$58),'01_Input'!$U$58,0),MAX(MIN(EK$20,'01_Input'!$S$58)-'01_Input'!$R$58,0)*'01_Input'!$U$58))+IF('01_Input'!$X$58="Forfait",IF(EK$20&gt;='01_Input'!$V$58,'01_Input'!$Y$58,0),IF('01_Input'!$X$58="Palier",IF(AND(EK$20&gt;='01_Input'!$V$58,EK$20&lt;'01_Input'!$W$58),'01_Input'!$Y$58,0),MAX(MIN(EK$20,'01_Input'!$W$58)-'01_Input'!$V$58,0)*'01_Input'!$Y$58))+IF('01_Input'!$AB$58="Forfait",IF(EK$20&gt;='01_Input'!$Z$58,'01_Input'!$AC$58,0),IF('01_Input'!$AB$58="Palier",IF(AND(EK$20&gt;='01_Input'!$Z$58,EK$20&lt;'01_Input'!$AA$58),'01_Input'!$AC$58,0),MAX(MIN(EK$20,'01_Input'!$AA$58)-'01_Input'!$Z$58,0)*'01_Input'!$AC$58)))))))))</f>
        <v>5500</v>
      </c>
      <c r="EL26" s="83">
        <f>IF('01_Input'!$C$58="Non",0,MIN('01_Input'!$I$58,MAX('01_Input'!$H$58,IF('01_Input'!$G$58="Résiduel vs Gestion",0,IF('01_Input'!$G$58="Taux Classe sélectionnée",Distrib_Global_Classe_Selectionnee*EL$20,IF('01_Input'!$G$58="Frais KYC (paliers de 100M€)",MAX(0,Nb_Investisseurs-Nb_KYC_Gratuites_Par_Tranche*(FLOOR(EL$20/Taille_Tranche_KYC,1)+1))*Cout_Par_KYC_Supplementaire,(IF('01_Input'!$L$58="Forfait",IF(EL$20&gt;='01_Input'!$J$58,'01_Input'!$M$58,0),IF('01_Input'!$L$58="Palier",IF(AND(EL$20&gt;='01_Input'!$J$58,EL$20&lt;'01_Input'!$K$58),'01_Input'!$M$58,0),MAX(MIN(EL$20,'01_Input'!$K$58)-'01_Input'!$J$58,0)*'01_Input'!$M$58))+IF('01_Input'!$P$58="Forfait",IF(EL$20&gt;='01_Input'!$N$58,'01_Input'!$Q$58,0),IF('01_Input'!$P$58="Palier",IF(AND(EL$20&gt;='01_Input'!$N$58,EL$20&lt;'01_Input'!$O$58),'01_Input'!$Q$58,0),MAX(MIN(EL$20,'01_Input'!$O$58)-'01_Input'!$N$58,0)*'01_Input'!$Q$58))+IF('01_Input'!$T$58="Forfait",IF(EL$20&gt;='01_Input'!$R$58,'01_Input'!$U$58,0),IF('01_Input'!$T$58="Palier",IF(AND(EL$20&gt;='01_Input'!$R$58,EL$20&lt;'01_Input'!$S$58),'01_Input'!$U$58,0),MAX(MIN(EL$20,'01_Input'!$S$58)-'01_Input'!$R$58,0)*'01_Input'!$U$58))+IF('01_Input'!$X$58="Forfait",IF(EL$20&gt;='01_Input'!$V$58,'01_Input'!$Y$58,0),IF('01_Input'!$X$58="Palier",IF(AND(EL$20&gt;='01_Input'!$V$58,EL$20&lt;'01_Input'!$W$58),'01_Input'!$Y$58,0),MAX(MIN(EL$20,'01_Input'!$W$58)-'01_Input'!$V$58,0)*'01_Input'!$Y$58))+IF('01_Input'!$AB$58="Forfait",IF(EL$20&gt;='01_Input'!$Z$58,'01_Input'!$AC$58,0),IF('01_Input'!$AB$58="Palier",IF(AND(EL$20&gt;='01_Input'!$Z$58,EL$20&lt;'01_Input'!$AA$58),'01_Input'!$AC$58,0),MAX(MIN(EL$20,'01_Input'!$AA$58)-'01_Input'!$Z$58,0)*'01_Input'!$AC$58)))))))))</f>
        <v>5500</v>
      </c>
      <c r="EM26" s="83">
        <f>IF('01_Input'!$C$58="Non",0,MIN('01_Input'!$I$58,MAX('01_Input'!$H$58,IF('01_Input'!$G$58="Résiduel vs Gestion",0,IF('01_Input'!$G$58="Taux Classe sélectionnée",Distrib_Global_Classe_Selectionnee*EM$20,IF('01_Input'!$G$58="Frais KYC (paliers de 100M€)",MAX(0,Nb_Investisseurs-Nb_KYC_Gratuites_Par_Tranche*(FLOOR(EM$20/Taille_Tranche_KYC,1)+1))*Cout_Par_KYC_Supplementaire,(IF('01_Input'!$L$58="Forfait",IF(EM$20&gt;='01_Input'!$J$58,'01_Input'!$M$58,0),IF('01_Input'!$L$58="Palier",IF(AND(EM$20&gt;='01_Input'!$J$58,EM$20&lt;'01_Input'!$K$58),'01_Input'!$M$58,0),MAX(MIN(EM$20,'01_Input'!$K$58)-'01_Input'!$J$58,0)*'01_Input'!$M$58))+IF('01_Input'!$P$58="Forfait",IF(EM$20&gt;='01_Input'!$N$58,'01_Input'!$Q$58,0),IF('01_Input'!$P$58="Palier",IF(AND(EM$20&gt;='01_Input'!$N$58,EM$20&lt;'01_Input'!$O$58),'01_Input'!$Q$58,0),MAX(MIN(EM$20,'01_Input'!$O$58)-'01_Input'!$N$58,0)*'01_Input'!$Q$58))+IF('01_Input'!$T$58="Forfait",IF(EM$20&gt;='01_Input'!$R$58,'01_Input'!$U$58,0),IF('01_Input'!$T$58="Palier",IF(AND(EM$20&gt;='01_Input'!$R$58,EM$20&lt;'01_Input'!$S$58),'01_Input'!$U$58,0),MAX(MIN(EM$20,'01_Input'!$S$58)-'01_Input'!$R$58,0)*'01_Input'!$U$58))+IF('01_Input'!$X$58="Forfait",IF(EM$20&gt;='01_Input'!$V$58,'01_Input'!$Y$58,0),IF('01_Input'!$X$58="Palier",IF(AND(EM$20&gt;='01_Input'!$V$58,EM$20&lt;'01_Input'!$W$58),'01_Input'!$Y$58,0),MAX(MIN(EM$20,'01_Input'!$W$58)-'01_Input'!$V$58,0)*'01_Input'!$Y$58))+IF('01_Input'!$AB$58="Forfait",IF(EM$20&gt;='01_Input'!$Z$58,'01_Input'!$AC$58,0),IF('01_Input'!$AB$58="Palier",IF(AND(EM$20&gt;='01_Input'!$Z$58,EM$20&lt;'01_Input'!$AA$58),'01_Input'!$AC$58,0),MAX(MIN(EM$20,'01_Input'!$AA$58)-'01_Input'!$Z$58,0)*'01_Input'!$AC$58)))))))))</f>
        <v>5500</v>
      </c>
      <c r="EN26" s="83">
        <f>IF('01_Input'!$C$58="Non",0,MIN('01_Input'!$I$58,MAX('01_Input'!$H$58,IF('01_Input'!$G$58="Résiduel vs Gestion",0,IF('01_Input'!$G$58="Taux Classe sélectionnée",Distrib_Global_Classe_Selectionnee*EN$20,IF('01_Input'!$G$58="Frais KYC (paliers de 100M€)",MAX(0,Nb_Investisseurs-Nb_KYC_Gratuites_Par_Tranche*(FLOOR(EN$20/Taille_Tranche_KYC,1)+1))*Cout_Par_KYC_Supplementaire,(IF('01_Input'!$L$58="Forfait",IF(EN$20&gt;='01_Input'!$J$58,'01_Input'!$M$58,0),IF('01_Input'!$L$58="Palier",IF(AND(EN$20&gt;='01_Input'!$J$58,EN$20&lt;'01_Input'!$K$58),'01_Input'!$M$58,0),MAX(MIN(EN$20,'01_Input'!$K$58)-'01_Input'!$J$58,0)*'01_Input'!$M$58))+IF('01_Input'!$P$58="Forfait",IF(EN$20&gt;='01_Input'!$N$58,'01_Input'!$Q$58,0),IF('01_Input'!$P$58="Palier",IF(AND(EN$20&gt;='01_Input'!$N$58,EN$20&lt;'01_Input'!$O$58),'01_Input'!$Q$58,0),MAX(MIN(EN$20,'01_Input'!$O$58)-'01_Input'!$N$58,0)*'01_Input'!$Q$58))+IF('01_Input'!$T$58="Forfait",IF(EN$20&gt;='01_Input'!$R$58,'01_Input'!$U$58,0),IF('01_Input'!$T$58="Palier",IF(AND(EN$20&gt;='01_Input'!$R$58,EN$20&lt;'01_Input'!$S$58),'01_Input'!$U$58,0),MAX(MIN(EN$20,'01_Input'!$S$58)-'01_Input'!$R$58,0)*'01_Input'!$U$58))+IF('01_Input'!$X$58="Forfait",IF(EN$20&gt;='01_Input'!$V$58,'01_Input'!$Y$58,0),IF('01_Input'!$X$58="Palier",IF(AND(EN$20&gt;='01_Input'!$V$58,EN$20&lt;'01_Input'!$W$58),'01_Input'!$Y$58,0),MAX(MIN(EN$20,'01_Input'!$W$58)-'01_Input'!$V$58,0)*'01_Input'!$Y$58))+IF('01_Input'!$AB$58="Forfait",IF(EN$20&gt;='01_Input'!$Z$58,'01_Input'!$AC$58,0),IF('01_Input'!$AB$58="Palier",IF(AND(EN$20&gt;='01_Input'!$Z$58,EN$20&lt;'01_Input'!$AA$58),'01_Input'!$AC$58,0),MAX(MIN(EN$20,'01_Input'!$AA$58)-'01_Input'!$Z$58,0)*'01_Input'!$AC$58)))))))))</f>
        <v>5500</v>
      </c>
      <c r="EO26" s="83">
        <f>IF('01_Input'!$C$58="Non",0,MIN('01_Input'!$I$58,MAX('01_Input'!$H$58,IF('01_Input'!$G$58="Résiduel vs Gestion",0,IF('01_Input'!$G$58="Taux Classe sélectionnée",Distrib_Global_Classe_Selectionnee*EO$20,IF('01_Input'!$G$58="Frais KYC (paliers de 100M€)",MAX(0,Nb_Investisseurs-Nb_KYC_Gratuites_Par_Tranche*(FLOOR(EO$20/Taille_Tranche_KYC,1)+1))*Cout_Par_KYC_Supplementaire,(IF('01_Input'!$L$58="Forfait",IF(EO$20&gt;='01_Input'!$J$58,'01_Input'!$M$58,0),IF('01_Input'!$L$58="Palier",IF(AND(EO$20&gt;='01_Input'!$J$58,EO$20&lt;'01_Input'!$K$58),'01_Input'!$M$58,0),MAX(MIN(EO$20,'01_Input'!$K$58)-'01_Input'!$J$58,0)*'01_Input'!$M$58))+IF('01_Input'!$P$58="Forfait",IF(EO$20&gt;='01_Input'!$N$58,'01_Input'!$Q$58,0),IF('01_Input'!$P$58="Palier",IF(AND(EO$20&gt;='01_Input'!$N$58,EO$20&lt;'01_Input'!$O$58),'01_Input'!$Q$58,0),MAX(MIN(EO$20,'01_Input'!$O$58)-'01_Input'!$N$58,0)*'01_Input'!$Q$58))+IF('01_Input'!$T$58="Forfait",IF(EO$20&gt;='01_Input'!$R$58,'01_Input'!$U$58,0),IF('01_Input'!$T$58="Palier",IF(AND(EO$20&gt;='01_Input'!$R$58,EO$20&lt;'01_Input'!$S$58),'01_Input'!$U$58,0),MAX(MIN(EO$20,'01_Input'!$S$58)-'01_Input'!$R$58,0)*'01_Input'!$U$58))+IF('01_Input'!$X$58="Forfait",IF(EO$20&gt;='01_Input'!$V$58,'01_Input'!$Y$58,0),IF('01_Input'!$X$58="Palier",IF(AND(EO$20&gt;='01_Input'!$V$58,EO$20&lt;'01_Input'!$W$58),'01_Input'!$Y$58,0),MAX(MIN(EO$20,'01_Input'!$W$58)-'01_Input'!$V$58,0)*'01_Input'!$Y$58))+IF('01_Input'!$AB$58="Forfait",IF(EO$20&gt;='01_Input'!$Z$58,'01_Input'!$AC$58,0),IF('01_Input'!$AB$58="Palier",IF(AND(EO$20&gt;='01_Input'!$Z$58,EO$20&lt;'01_Input'!$AA$58),'01_Input'!$AC$58,0),MAX(MIN(EO$20,'01_Input'!$AA$58)-'01_Input'!$Z$58,0)*'01_Input'!$AC$58)))))))))</f>
        <v>5500</v>
      </c>
      <c r="EP26" s="83">
        <f>IF('01_Input'!$C$58="Non",0,MIN('01_Input'!$I$58,MAX('01_Input'!$H$58,IF('01_Input'!$G$58="Résiduel vs Gestion",0,IF('01_Input'!$G$58="Taux Classe sélectionnée",Distrib_Global_Classe_Selectionnee*EP$20,IF('01_Input'!$G$58="Frais KYC (paliers de 100M€)",MAX(0,Nb_Investisseurs-Nb_KYC_Gratuites_Par_Tranche*(FLOOR(EP$20/Taille_Tranche_KYC,1)+1))*Cout_Par_KYC_Supplementaire,(IF('01_Input'!$L$58="Forfait",IF(EP$20&gt;='01_Input'!$J$58,'01_Input'!$M$58,0),IF('01_Input'!$L$58="Palier",IF(AND(EP$20&gt;='01_Input'!$J$58,EP$20&lt;'01_Input'!$K$58),'01_Input'!$M$58,0),MAX(MIN(EP$20,'01_Input'!$K$58)-'01_Input'!$J$58,0)*'01_Input'!$M$58))+IF('01_Input'!$P$58="Forfait",IF(EP$20&gt;='01_Input'!$N$58,'01_Input'!$Q$58,0),IF('01_Input'!$P$58="Palier",IF(AND(EP$20&gt;='01_Input'!$N$58,EP$20&lt;'01_Input'!$O$58),'01_Input'!$Q$58,0),MAX(MIN(EP$20,'01_Input'!$O$58)-'01_Input'!$N$58,0)*'01_Input'!$Q$58))+IF('01_Input'!$T$58="Forfait",IF(EP$20&gt;='01_Input'!$R$58,'01_Input'!$U$58,0),IF('01_Input'!$T$58="Palier",IF(AND(EP$20&gt;='01_Input'!$R$58,EP$20&lt;'01_Input'!$S$58),'01_Input'!$U$58,0),MAX(MIN(EP$20,'01_Input'!$S$58)-'01_Input'!$R$58,0)*'01_Input'!$U$58))+IF('01_Input'!$X$58="Forfait",IF(EP$20&gt;='01_Input'!$V$58,'01_Input'!$Y$58,0),IF('01_Input'!$X$58="Palier",IF(AND(EP$20&gt;='01_Input'!$V$58,EP$20&lt;'01_Input'!$W$58),'01_Input'!$Y$58,0),MAX(MIN(EP$20,'01_Input'!$W$58)-'01_Input'!$V$58,0)*'01_Input'!$Y$58))+IF('01_Input'!$AB$58="Forfait",IF(EP$20&gt;='01_Input'!$Z$58,'01_Input'!$AC$58,0),IF('01_Input'!$AB$58="Palier",IF(AND(EP$20&gt;='01_Input'!$Z$58,EP$20&lt;'01_Input'!$AA$58),'01_Input'!$AC$58,0),MAX(MIN(EP$20,'01_Input'!$AA$58)-'01_Input'!$Z$58,0)*'01_Input'!$AC$58)))))))))</f>
        <v>5500</v>
      </c>
      <c r="EQ26" s="83">
        <f>IF('01_Input'!$C$58="Non",0,MIN('01_Input'!$I$58,MAX('01_Input'!$H$58,IF('01_Input'!$G$58="Résiduel vs Gestion",0,IF('01_Input'!$G$58="Taux Classe sélectionnée",Distrib_Global_Classe_Selectionnee*EQ$20,IF('01_Input'!$G$58="Frais KYC (paliers de 100M€)",MAX(0,Nb_Investisseurs-Nb_KYC_Gratuites_Par_Tranche*(FLOOR(EQ$20/Taille_Tranche_KYC,1)+1))*Cout_Par_KYC_Supplementaire,(IF('01_Input'!$L$58="Forfait",IF(EQ$20&gt;='01_Input'!$J$58,'01_Input'!$M$58,0),IF('01_Input'!$L$58="Palier",IF(AND(EQ$20&gt;='01_Input'!$J$58,EQ$20&lt;'01_Input'!$K$58),'01_Input'!$M$58,0),MAX(MIN(EQ$20,'01_Input'!$K$58)-'01_Input'!$J$58,0)*'01_Input'!$M$58))+IF('01_Input'!$P$58="Forfait",IF(EQ$20&gt;='01_Input'!$N$58,'01_Input'!$Q$58,0),IF('01_Input'!$P$58="Palier",IF(AND(EQ$20&gt;='01_Input'!$N$58,EQ$20&lt;'01_Input'!$O$58),'01_Input'!$Q$58,0),MAX(MIN(EQ$20,'01_Input'!$O$58)-'01_Input'!$N$58,0)*'01_Input'!$Q$58))+IF('01_Input'!$T$58="Forfait",IF(EQ$20&gt;='01_Input'!$R$58,'01_Input'!$U$58,0),IF('01_Input'!$T$58="Palier",IF(AND(EQ$20&gt;='01_Input'!$R$58,EQ$20&lt;'01_Input'!$S$58),'01_Input'!$U$58,0),MAX(MIN(EQ$20,'01_Input'!$S$58)-'01_Input'!$R$58,0)*'01_Input'!$U$58))+IF('01_Input'!$X$58="Forfait",IF(EQ$20&gt;='01_Input'!$V$58,'01_Input'!$Y$58,0),IF('01_Input'!$X$58="Palier",IF(AND(EQ$20&gt;='01_Input'!$V$58,EQ$20&lt;'01_Input'!$W$58),'01_Input'!$Y$58,0),MAX(MIN(EQ$20,'01_Input'!$W$58)-'01_Input'!$V$58,0)*'01_Input'!$Y$58))+IF('01_Input'!$AB$58="Forfait",IF(EQ$20&gt;='01_Input'!$Z$58,'01_Input'!$AC$58,0),IF('01_Input'!$AB$58="Palier",IF(AND(EQ$20&gt;='01_Input'!$Z$58,EQ$20&lt;'01_Input'!$AA$58),'01_Input'!$AC$58,0),MAX(MIN(EQ$20,'01_Input'!$AA$58)-'01_Input'!$Z$58,0)*'01_Input'!$AC$58)))))))))</f>
        <v>5500</v>
      </c>
      <c r="ER26" s="83">
        <f>IF('01_Input'!$C$58="Non",0,MIN('01_Input'!$I$58,MAX('01_Input'!$H$58,IF('01_Input'!$G$58="Résiduel vs Gestion",0,IF('01_Input'!$G$58="Taux Classe sélectionnée",Distrib_Global_Classe_Selectionnee*ER$20,IF('01_Input'!$G$58="Frais KYC (paliers de 100M€)",MAX(0,Nb_Investisseurs-Nb_KYC_Gratuites_Par_Tranche*(FLOOR(ER$20/Taille_Tranche_KYC,1)+1))*Cout_Par_KYC_Supplementaire,(IF('01_Input'!$L$58="Forfait",IF(ER$20&gt;='01_Input'!$J$58,'01_Input'!$M$58,0),IF('01_Input'!$L$58="Palier",IF(AND(ER$20&gt;='01_Input'!$J$58,ER$20&lt;'01_Input'!$K$58),'01_Input'!$M$58,0),MAX(MIN(ER$20,'01_Input'!$K$58)-'01_Input'!$J$58,0)*'01_Input'!$M$58))+IF('01_Input'!$P$58="Forfait",IF(ER$20&gt;='01_Input'!$N$58,'01_Input'!$Q$58,0),IF('01_Input'!$P$58="Palier",IF(AND(ER$20&gt;='01_Input'!$N$58,ER$20&lt;'01_Input'!$O$58),'01_Input'!$Q$58,0),MAX(MIN(ER$20,'01_Input'!$O$58)-'01_Input'!$N$58,0)*'01_Input'!$Q$58))+IF('01_Input'!$T$58="Forfait",IF(ER$20&gt;='01_Input'!$R$58,'01_Input'!$U$58,0),IF('01_Input'!$T$58="Palier",IF(AND(ER$20&gt;='01_Input'!$R$58,ER$20&lt;'01_Input'!$S$58),'01_Input'!$U$58,0),MAX(MIN(ER$20,'01_Input'!$S$58)-'01_Input'!$R$58,0)*'01_Input'!$U$58))+IF('01_Input'!$X$58="Forfait",IF(ER$20&gt;='01_Input'!$V$58,'01_Input'!$Y$58,0),IF('01_Input'!$X$58="Palier",IF(AND(ER$20&gt;='01_Input'!$V$58,ER$20&lt;'01_Input'!$W$58),'01_Input'!$Y$58,0),MAX(MIN(ER$20,'01_Input'!$W$58)-'01_Input'!$V$58,0)*'01_Input'!$Y$58))+IF('01_Input'!$AB$58="Forfait",IF(ER$20&gt;='01_Input'!$Z$58,'01_Input'!$AC$58,0),IF('01_Input'!$AB$58="Palier",IF(AND(ER$20&gt;='01_Input'!$Z$58,ER$20&lt;'01_Input'!$AA$58),'01_Input'!$AC$58,0),MAX(MIN(ER$20,'01_Input'!$AA$58)-'01_Input'!$Z$58,0)*'01_Input'!$AC$58)))))))))</f>
        <v>5500</v>
      </c>
      <c r="ES26" s="83">
        <f>IF('01_Input'!$C$58="Non",0,MIN('01_Input'!$I$58,MAX('01_Input'!$H$58,IF('01_Input'!$G$58="Résiduel vs Gestion",0,IF('01_Input'!$G$58="Taux Classe sélectionnée",Distrib_Global_Classe_Selectionnee*ES$20,IF('01_Input'!$G$58="Frais KYC (paliers de 100M€)",MAX(0,Nb_Investisseurs-Nb_KYC_Gratuites_Par_Tranche*(FLOOR(ES$20/Taille_Tranche_KYC,1)+1))*Cout_Par_KYC_Supplementaire,(IF('01_Input'!$L$58="Forfait",IF(ES$20&gt;='01_Input'!$J$58,'01_Input'!$M$58,0),IF('01_Input'!$L$58="Palier",IF(AND(ES$20&gt;='01_Input'!$J$58,ES$20&lt;'01_Input'!$K$58),'01_Input'!$M$58,0),MAX(MIN(ES$20,'01_Input'!$K$58)-'01_Input'!$J$58,0)*'01_Input'!$M$58))+IF('01_Input'!$P$58="Forfait",IF(ES$20&gt;='01_Input'!$N$58,'01_Input'!$Q$58,0),IF('01_Input'!$P$58="Palier",IF(AND(ES$20&gt;='01_Input'!$N$58,ES$20&lt;'01_Input'!$O$58),'01_Input'!$Q$58,0),MAX(MIN(ES$20,'01_Input'!$O$58)-'01_Input'!$N$58,0)*'01_Input'!$Q$58))+IF('01_Input'!$T$58="Forfait",IF(ES$20&gt;='01_Input'!$R$58,'01_Input'!$U$58,0),IF('01_Input'!$T$58="Palier",IF(AND(ES$20&gt;='01_Input'!$R$58,ES$20&lt;'01_Input'!$S$58),'01_Input'!$U$58,0),MAX(MIN(ES$20,'01_Input'!$S$58)-'01_Input'!$R$58,0)*'01_Input'!$U$58))+IF('01_Input'!$X$58="Forfait",IF(ES$20&gt;='01_Input'!$V$58,'01_Input'!$Y$58,0),IF('01_Input'!$X$58="Palier",IF(AND(ES$20&gt;='01_Input'!$V$58,ES$20&lt;'01_Input'!$W$58),'01_Input'!$Y$58,0),MAX(MIN(ES$20,'01_Input'!$W$58)-'01_Input'!$V$58,0)*'01_Input'!$Y$58))+IF('01_Input'!$AB$58="Forfait",IF(ES$20&gt;='01_Input'!$Z$58,'01_Input'!$AC$58,0),IF('01_Input'!$AB$58="Palier",IF(AND(ES$20&gt;='01_Input'!$Z$58,ES$20&lt;'01_Input'!$AA$58),'01_Input'!$AC$58,0),MAX(MIN(ES$20,'01_Input'!$AA$58)-'01_Input'!$Z$58,0)*'01_Input'!$AC$58)))))))))</f>
        <v>5500</v>
      </c>
      <c r="ET26" s="83">
        <f>IF('01_Input'!$C$58="Non",0,MIN('01_Input'!$I$58,MAX('01_Input'!$H$58,IF('01_Input'!$G$58="Résiduel vs Gestion",0,IF('01_Input'!$G$58="Taux Classe sélectionnée",Distrib_Global_Classe_Selectionnee*ET$20,IF('01_Input'!$G$58="Frais KYC (paliers de 100M€)",MAX(0,Nb_Investisseurs-Nb_KYC_Gratuites_Par_Tranche*(FLOOR(ET$20/Taille_Tranche_KYC,1)+1))*Cout_Par_KYC_Supplementaire,(IF('01_Input'!$L$58="Forfait",IF(ET$20&gt;='01_Input'!$J$58,'01_Input'!$M$58,0),IF('01_Input'!$L$58="Palier",IF(AND(ET$20&gt;='01_Input'!$J$58,ET$20&lt;'01_Input'!$K$58),'01_Input'!$M$58,0),MAX(MIN(ET$20,'01_Input'!$K$58)-'01_Input'!$J$58,0)*'01_Input'!$M$58))+IF('01_Input'!$P$58="Forfait",IF(ET$20&gt;='01_Input'!$N$58,'01_Input'!$Q$58,0),IF('01_Input'!$P$58="Palier",IF(AND(ET$20&gt;='01_Input'!$N$58,ET$20&lt;'01_Input'!$O$58),'01_Input'!$Q$58,0),MAX(MIN(ET$20,'01_Input'!$O$58)-'01_Input'!$N$58,0)*'01_Input'!$Q$58))+IF('01_Input'!$T$58="Forfait",IF(ET$20&gt;='01_Input'!$R$58,'01_Input'!$U$58,0),IF('01_Input'!$T$58="Palier",IF(AND(ET$20&gt;='01_Input'!$R$58,ET$20&lt;'01_Input'!$S$58),'01_Input'!$U$58,0),MAX(MIN(ET$20,'01_Input'!$S$58)-'01_Input'!$R$58,0)*'01_Input'!$U$58))+IF('01_Input'!$X$58="Forfait",IF(ET$20&gt;='01_Input'!$V$58,'01_Input'!$Y$58,0),IF('01_Input'!$X$58="Palier",IF(AND(ET$20&gt;='01_Input'!$V$58,ET$20&lt;'01_Input'!$W$58),'01_Input'!$Y$58,0),MAX(MIN(ET$20,'01_Input'!$W$58)-'01_Input'!$V$58,0)*'01_Input'!$Y$58))+IF('01_Input'!$AB$58="Forfait",IF(ET$20&gt;='01_Input'!$Z$58,'01_Input'!$AC$58,0),IF('01_Input'!$AB$58="Palier",IF(AND(ET$20&gt;='01_Input'!$Z$58,ET$20&lt;'01_Input'!$AA$58),'01_Input'!$AC$58,0),MAX(MIN(ET$20,'01_Input'!$AA$58)-'01_Input'!$Z$58,0)*'01_Input'!$AC$58)))))))))</f>
        <v>5500</v>
      </c>
      <c r="EU26" s="83">
        <f>IF('01_Input'!$C$58="Non",0,MIN('01_Input'!$I$58,MAX('01_Input'!$H$58,IF('01_Input'!$G$58="Résiduel vs Gestion",0,IF('01_Input'!$G$58="Taux Classe sélectionnée",Distrib_Global_Classe_Selectionnee*EU$20,IF('01_Input'!$G$58="Frais KYC (paliers de 100M€)",MAX(0,Nb_Investisseurs-Nb_KYC_Gratuites_Par_Tranche*(FLOOR(EU$20/Taille_Tranche_KYC,1)+1))*Cout_Par_KYC_Supplementaire,(IF('01_Input'!$L$58="Forfait",IF(EU$20&gt;='01_Input'!$J$58,'01_Input'!$M$58,0),IF('01_Input'!$L$58="Palier",IF(AND(EU$20&gt;='01_Input'!$J$58,EU$20&lt;'01_Input'!$K$58),'01_Input'!$M$58,0),MAX(MIN(EU$20,'01_Input'!$K$58)-'01_Input'!$J$58,0)*'01_Input'!$M$58))+IF('01_Input'!$P$58="Forfait",IF(EU$20&gt;='01_Input'!$N$58,'01_Input'!$Q$58,0),IF('01_Input'!$P$58="Palier",IF(AND(EU$20&gt;='01_Input'!$N$58,EU$20&lt;'01_Input'!$O$58),'01_Input'!$Q$58,0),MAX(MIN(EU$20,'01_Input'!$O$58)-'01_Input'!$N$58,0)*'01_Input'!$Q$58))+IF('01_Input'!$T$58="Forfait",IF(EU$20&gt;='01_Input'!$R$58,'01_Input'!$U$58,0),IF('01_Input'!$T$58="Palier",IF(AND(EU$20&gt;='01_Input'!$R$58,EU$20&lt;'01_Input'!$S$58),'01_Input'!$U$58,0),MAX(MIN(EU$20,'01_Input'!$S$58)-'01_Input'!$R$58,0)*'01_Input'!$U$58))+IF('01_Input'!$X$58="Forfait",IF(EU$20&gt;='01_Input'!$V$58,'01_Input'!$Y$58,0),IF('01_Input'!$X$58="Palier",IF(AND(EU$20&gt;='01_Input'!$V$58,EU$20&lt;'01_Input'!$W$58),'01_Input'!$Y$58,0),MAX(MIN(EU$20,'01_Input'!$W$58)-'01_Input'!$V$58,0)*'01_Input'!$Y$58))+IF('01_Input'!$AB$58="Forfait",IF(EU$20&gt;='01_Input'!$Z$58,'01_Input'!$AC$58,0),IF('01_Input'!$AB$58="Palier",IF(AND(EU$20&gt;='01_Input'!$Z$58,EU$20&lt;'01_Input'!$AA$58),'01_Input'!$AC$58,0),MAX(MIN(EU$20,'01_Input'!$AA$58)-'01_Input'!$Z$58,0)*'01_Input'!$AC$58)))))))))</f>
        <v>5500</v>
      </c>
      <c r="EV26" s="83">
        <f>IF('01_Input'!$C$58="Non",0,MIN('01_Input'!$I$58,MAX('01_Input'!$H$58,IF('01_Input'!$G$58="Résiduel vs Gestion",0,IF('01_Input'!$G$58="Taux Classe sélectionnée",Distrib_Global_Classe_Selectionnee*EV$20,IF('01_Input'!$G$58="Frais KYC (paliers de 100M€)",MAX(0,Nb_Investisseurs-Nb_KYC_Gratuites_Par_Tranche*(FLOOR(EV$20/Taille_Tranche_KYC,1)+1))*Cout_Par_KYC_Supplementaire,(IF('01_Input'!$L$58="Forfait",IF(EV$20&gt;='01_Input'!$J$58,'01_Input'!$M$58,0),IF('01_Input'!$L$58="Palier",IF(AND(EV$20&gt;='01_Input'!$J$58,EV$20&lt;'01_Input'!$K$58),'01_Input'!$M$58,0),MAX(MIN(EV$20,'01_Input'!$K$58)-'01_Input'!$J$58,0)*'01_Input'!$M$58))+IF('01_Input'!$P$58="Forfait",IF(EV$20&gt;='01_Input'!$N$58,'01_Input'!$Q$58,0),IF('01_Input'!$P$58="Palier",IF(AND(EV$20&gt;='01_Input'!$N$58,EV$20&lt;'01_Input'!$O$58),'01_Input'!$Q$58,0),MAX(MIN(EV$20,'01_Input'!$O$58)-'01_Input'!$N$58,0)*'01_Input'!$Q$58))+IF('01_Input'!$T$58="Forfait",IF(EV$20&gt;='01_Input'!$R$58,'01_Input'!$U$58,0),IF('01_Input'!$T$58="Palier",IF(AND(EV$20&gt;='01_Input'!$R$58,EV$20&lt;'01_Input'!$S$58),'01_Input'!$U$58,0),MAX(MIN(EV$20,'01_Input'!$S$58)-'01_Input'!$R$58,0)*'01_Input'!$U$58))+IF('01_Input'!$X$58="Forfait",IF(EV$20&gt;='01_Input'!$V$58,'01_Input'!$Y$58,0),IF('01_Input'!$X$58="Palier",IF(AND(EV$20&gt;='01_Input'!$V$58,EV$20&lt;'01_Input'!$W$58),'01_Input'!$Y$58,0),MAX(MIN(EV$20,'01_Input'!$W$58)-'01_Input'!$V$58,0)*'01_Input'!$Y$58))+IF('01_Input'!$AB$58="Forfait",IF(EV$20&gt;='01_Input'!$Z$58,'01_Input'!$AC$58,0),IF('01_Input'!$AB$58="Palier",IF(AND(EV$20&gt;='01_Input'!$Z$58,EV$20&lt;'01_Input'!$AA$58),'01_Input'!$AC$58,0),MAX(MIN(EV$20,'01_Input'!$AA$58)-'01_Input'!$Z$58,0)*'01_Input'!$AC$58)))))))))</f>
        <v>5500</v>
      </c>
      <c r="EW26" s="83">
        <f>IF('01_Input'!$C$58="Non",0,MIN('01_Input'!$I$58,MAX('01_Input'!$H$58,IF('01_Input'!$G$58="Résiduel vs Gestion",0,IF('01_Input'!$G$58="Taux Classe sélectionnée",Distrib_Global_Classe_Selectionnee*EW$20,IF('01_Input'!$G$58="Frais KYC (paliers de 100M€)",MAX(0,Nb_Investisseurs-Nb_KYC_Gratuites_Par_Tranche*(FLOOR(EW$20/Taille_Tranche_KYC,1)+1))*Cout_Par_KYC_Supplementaire,(IF('01_Input'!$L$58="Forfait",IF(EW$20&gt;='01_Input'!$J$58,'01_Input'!$M$58,0),IF('01_Input'!$L$58="Palier",IF(AND(EW$20&gt;='01_Input'!$J$58,EW$20&lt;'01_Input'!$K$58),'01_Input'!$M$58,0),MAX(MIN(EW$20,'01_Input'!$K$58)-'01_Input'!$J$58,0)*'01_Input'!$M$58))+IF('01_Input'!$P$58="Forfait",IF(EW$20&gt;='01_Input'!$N$58,'01_Input'!$Q$58,0),IF('01_Input'!$P$58="Palier",IF(AND(EW$20&gt;='01_Input'!$N$58,EW$20&lt;'01_Input'!$O$58),'01_Input'!$Q$58,0),MAX(MIN(EW$20,'01_Input'!$O$58)-'01_Input'!$N$58,0)*'01_Input'!$Q$58))+IF('01_Input'!$T$58="Forfait",IF(EW$20&gt;='01_Input'!$R$58,'01_Input'!$U$58,0),IF('01_Input'!$T$58="Palier",IF(AND(EW$20&gt;='01_Input'!$R$58,EW$20&lt;'01_Input'!$S$58),'01_Input'!$U$58,0),MAX(MIN(EW$20,'01_Input'!$S$58)-'01_Input'!$R$58,0)*'01_Input'!$U$58))+IF('01_Input'!$X$58="Forfait",IF(EW$20&gt;='01_Input'!$V$58,'01_Input'!$Y$58,0),IF('01_Input'!$X$58="Palier",IF(AND(EW$20&gt;='01_Input'!$V$58,EW$20&lt;'01_Input'!$W$58),'01_Input'!$Y$58,0),MAX(MIN(EW$20,'01_Input'!$W$58)-'01_Input'!$V$58,0)*'01_Input'!$Y$58))+IF('01_Input'!$AB$58="Forfait",IF(EW$20&gt;='01_Input'!$Z$58,'01_Input'!$AC$58,0),IF('01_Input'!$AB$58="Palier",IF(AND(EW$20&gt;='01_Input'!$Z$58,EW$20&lt;'01_Input'!$AA$58),'01_Input'!$AC$58,0),MAX(MIN(EW$20,'01_Input'!$AA$58)-'01_Input'!$Z$58,0)*'01_Input'!$AC$58)))))))))</f>
        <v>5500</v>
      </c>
      <c r="EX26" s="83">
        <f>IF('01_Input'!$C$58="Non",0,MIN('01_Input'!$I$58,MAX('01_Input'!$H$58,IF('01_Input'!$G$58="Résiduel vs Gestion",0,IF('01_Input'!$G$58="Taux Classe sélectionnée",Distrib_Global_Classe_Selectionnee*EX$20,IF('01_Input'!$G$58="Frais KYC (paliers de 100M€)",MAX(0,Nb_Investisseurs-Nb_KYC_Gratuites_Par_Tranche*(FLOOR(EX$20/Taille_Tranche_KYC,1)+1))*Cout_Par_KYC_Supplementaire,(IF('01_Input'!$L$58="Forfait",IF(EX$20&gt;='01_Input'!$J$58,'01_Input'!$M$58,0),IF('01_Input'!$L$58="Palier",IF(AND(EX$20&gt;='01_Input'!$J$58,EX$20&lt;'01_Input'!$K$58),'01_Input'!$M$58,0),MAX(MIN(EX$20,'01_Input'!$K$58)-'01_Input'!$J$58,0)*'01_Input'!$M$58))+IF('01_Input'!$P$58="Forfait",IF(EX$20&gt;='01_Input'!$N$58,'01_Input'!$Q$58,0),IF('01_Input'!$P$58="Palier",IF(AND(EX$20&gt;='01_Input'!$N$58,EX$20&lt;'01_Input'!$O$58),'01_Input'!$Q$58,0),MAX(MIN(EX$20,'01_Input'!$O$58)-'01_Input'!$N$58,0)*'01_Input'!$Q$58))+IF('01_Input'!$T$58="Forfait",IF(EX$20&gt;='01_Input'!$R$58,'01_Input'!$U$58,0),IF('01_Input'!$T$58="Palier",IF(AND(EX$20&gt;='01_Input'!$R$58,EX$20&lt;'01_Input'!$S$58),'01_Input'!$U$58,0),MAX(MIN(EX$20,'01_Input'!$S$58)-'01_Input'!$R$58,0)*'01_Input'!$U$58))+IF('01_Input'!$X$58="Forfait",IF(EX$20&gt;='01_Input'!$V$58,'01_Input'!$Y$58,0),IF('01_Input'!$X$58="Palier",IF(AND(EX$20&gt;='01_Input'!$V$58,EX$20&lt;'01_Input'!$W$58),'01_Input'!$Y$58,0),MAX(MIN(EX$20,'01_Input'!$W$58)-'01_Input'!$V$58,0)*'01_Input'!$Y$58))+IF('01_Input'!$AB$58="Forfait",IF(EX$20&gt;='01_Input'!$Z$58,'01_Input'!$AC$58,0),IF('01_Input'!$AB$58="Palier",IF(AND(EX$20&gt;='01_Input'!$Z$58,EX$20&lt;'01_Input'!$AA$58),'01_Input'!$AC$58,0),MAX(MIN(EX$20,'01_Input'!$AA$58)-'01_Input'!$Z$58,0)*'01_Input'!$AC$58)))))))))</f>
        <v>5500</v>
      </c>
    </row>
    <row r="27" ht="15.75" customHeight="1">
      <c r="B27" s="40" t="str">
        <f>IF('01_Input'!D59="","(inactif)",'01_Input'!D59)</f>
        <v>CAC — Frais par Distribution</v>
      </c>
      <c r="C27" s="40" t="str">
        <f>IF('01_Input'!E59="","",'01_Input'!E59)</f>
        <v/>
      </c>
      <c r="D27" s="51" t="str">
        <f>'01_Input'!C59</f>
        <v>Oui</v>
      </c>
      <c r="E27" s="25">
        <f>IF('01_Input'!$C$59="Non",0,MIN('01_Input'!$I$59,MAX('01_Input'!$H$59,IF('01_Input'!$G$59="Résiduel vs Gestion",0,IF('01_Input'!$G$59="Taux Classe sélectionnée",Distrib_Global_Classe_Selectionnee*E$20,IF('01_Input'!$G$59="Frais KYC (paliers de 100M€)",MAX(0,Nb_Investisseurs-Nb_KYC_Gratuites_Par_Tranche*(FLOOR(E$20/Taille_Tranche_KYC,1)+1))*Cout_Par_KYC_Supplementaire,(IF('01_Input'!$L$59="Forfait",IF(E$20&gt;='01_Input'!$J$59,'01_Input'!$M$59,0),IF('01_Input'!$L$59="Palier",IF(AND(E$20&gt;='01_Input'!$J$59,E$20&lt;'01_Input'!$K$59),'01_Input'!$M$59,0),MAX(MIN(E$20,'01_Input'!$K$59)-'01_Input'!$J$59,0)*'01_Input'!$M$59))+IF('01_Input'!$P$59="Forfait",IF(E$20&gt;='01_Input'!$N$59,'01_Input'!$Q$59,0),IF('01_Input'!$P$59="Palier",IF(AND(E$20&gt;='01_Input'!$N$59,E$20&lt;'01_Input'!$O$59),'01_Input'!$Q$59,0),MAX(MIN(E$20,'01_Input'!$O$59)-'01_Input'!$N$59,0)*'01_Input'!$Q$59))+IF('01_Input'!$T$59="Forfait",IF(E$20&gt;='01_Input'!$R$59,'01_Input'!$U$59,0),IF('01_Input'!$T$59="Palier",IF(AND(E$20&gt;='01_Input'!$R$59,E$20&lt;'01_Input'!$S$59),'01_Input'!$U$59,0),MAX(MIN(E$20,'01_Input'!$S$59)-'01_Input'!$R$59,0)*'01_Input'!$U$59))+IF('01_Input'!$X$59="Forfait",IF(E$20&gt;='01_Input'!$V$59,'01_Input'!$Y$59,0),IF('01_Input'!$X$59="Palier",IF(AND(E$20&gt;='01_Input'!$V$59,E$20&lt;'01_Input'!$W$59),'01_Input'!$Y$59,0),MAX(MIN(E$20,'01_Input'!$W$59)-'01_Input'!$V$59,0)*'01_Input'!$Y$59))+IF('01_Input'!$AB$59="Forfait",IF(E$20&gt;='01_Input'!$Z$59,'01_Input'!$AC$59,0),IF('01_Input'!$AB$59="Palier",IF(AND(E$20&gt;='01_Input'!$Z$59,E$20&lt;'01_Input'!$AA$59),'01_Input'!$AC$59,0),MAX(MIN(E$20,'01_Input'!$AA$59)-'01_Input'!$Z$59,0)*'01_Input'!$AC$59)))))))))</f>
        <v>0</v>
      </c>
      <c r="F27" s="25">
        <f>IF('01_Input'!$C$59="Non",0,MIN('01_Input'!$I$59,MAX('01_Input'!$H$59,IF('01_Input'!$G$59="Résiduel vs Gestion",0,IF('01_Input'!$G$59="Taux Classe sélectionnée",Distrib_Global_Classe_Selectionnee*F$20,IF('01_Input'!$G$59="Frais KYC (paliers de 100M€)",MAX(0,Nb_Investisseurs-Nb_KYC_Gratuites_Par_Tranche*(FLOOR(F$20/Taille_Tranche_KYC,1)+1))*Cout_Par_KYC_Supplementaire,(IF('01_Input'!$L$59="Forfait",IF(F$20&gt;='01_Input'!$J$59,'01_Input'!$M$59,0),IF('01_Input'!$L$59="Palier",IF(AND(F$20&gt;='01_Input'!$J$59,F$20&lt;'01_Input'!$K$59),'01_Input'!$M$59,0),MAX(MIN(F$20,'01_Input'!$K$59)-'01_Input'!$J$59,0)*'01_Input'!$M$59))+IF('01_Input'!$P$59="Forfait",IF(F$20&gt;='01_Input'!$N$59,'01_Input'!$Q$59,0),IF('01_Input'!$P$59="Palier",IF(AND(F$20&gt;='01_Input'!$N$59,F$20&lt;'01_Input'!$O$59),'01_Input'!$Q$59,0),MAX(MIN(F$20,'01_Input'!$O$59)-'01_Input'!$N$59,0)*'01_Input'!$Q$59))+IF('01_Input'!$T$59="Forfait",IF(F$20&gt;='01_Input'!$R$59,'01_Input'!$U$59,0),IF('01_Input'!$T$59="Palier",IF(AND(F$20&gt;='01_Input'!$R$59,F$20&lt;'01_Input'!$S$59),'01_Input'!$U$59,0),MAX(MIN(F$20,'01_Input'!$S$59)-'01_Input'!$R$59,0)*'01_Input'!$U$59))+IF('01_Input'!$X$59="Forfait",IF(F$20&gt;='01_Input'!$V$59,'01_Input'!$Y$59,0),IF('01_Input'!$X$59="Palier",IF(AND(F$20&gt;='01_Input'!$V$59,F$20&lt;'01_Input'!$W$59),'01_Input'!$Y$59,0),MAX(MIN(F$20,'01_Input'!$W$59)-'01_Input'!$V$59,0)*'01_Input'!$Y$59))+IF('01_Input'!$AB$59="Forfait",IF(F$20&gt;='01_Input'!$Z$59,'01_Input'!$AC$59,0),IF('01_Input'!$AB$59="Palier",IF(AND(F$20&gt;='01_Input'!$Z$59,F$20&lt;'01_Input'!$AA$59),'01_Input'!$AC$59,0),MAX(MIN(F$20,'01_Input'!$AA$59)-'01_Input'!$Z$59,0)*'01_Input'!$AC$59)))))))))</f>
        <v>0</v>
      </c>
      <c r="G27" s="25">
        <f>IF('01_Input'!$C$59="Non",0,MIN('01_Input'!$I$59,MAX('01_Input'!$H$59,IF('01_Input'!$G$59="Résiduel vs Gestion",0,IF('01_Input'!$G$59="Taux Classe sélectionnée",Distrib_Global_Classe_Selectionnee*G$20,IF('01_Input'!$G$59="Frais KYC (paliers de 100M€)",MAX(0,Nb_Investisseurs-Nb_KYC_Gratuites_Par_Tranche*(FLOOR(G$20/Taille_Tranche_KYC,1)+1))*Cout_Par_KYC_Supplementaire,(IF('01_Input'!$L$59="Forfait",IF(G$20&gt;='01_Input'!$J$59,'01_Input'!$M$59,0),IF('01_Input'!$L$59="Palier",IF(AND(G$20&gt;='01_Input'!$J$59,G$20&lt;'01_Input'!$K$59),'01_Input'!$M$59,0),MAX(MIN(G$20,'01_Input'!$K$59)-'01_Input'!$J$59,0)*'01_Input'!$M$59))+IF('01_Input'!$P$59="Forfait",IF(G$20&gt;='01_Input'!$N$59,'01_Input'!$Q$59,0),IF('01_Input'!$P$59="Palier",IF(AND(G$20&gt;='01_Input'!$N$59,G$20&lt;'01_Input'!$O$59),'01_Input'!$Q$59,0),MAX(MIN(G$20,'01_Input'!$O$59)-'01_Input'!$N$59,0)*'01_Input'!$Q$59))+IF('01_Input'!$T$59="Forfait",IF(G$20&gt;='01_Input'!$R$59,'01_Input'!$U$59,0),IF('01_Input'!$T$59="Palier",IF(AND(G$20&gt;='01_Input'!$R$59,G$20&lt;'01_Input'!$S$59),'01_Input'!$U$59,0),MAX(MIN(G$20,'01_Input'!$S$59)-'01_Input'!$R$59,0)*'01_Input'!$U$59))+IF('01_Input'!$X$59="Forfait",IF(G$20&gt;='01_Input'!$V$59,'01_Input'!$Y$59,0),IF('01_Input'!$X$59="Palier",IF(AND(G$20&gt;='01_Input'!$V$59,G$20&lt;'01_Input'!$W$59),'01_Input'!$Y$59,0),MAX(MIN(G$20,'01_Input'!$W$59)-'01_Input'!$V$59,0)*'01_Input'!$Y$59))+IF('01_Input'!$AB$59="Forfait",IF(G$20&gt;='01_Input'!$Z$59,'01_Input'!$AC$59,0),IF('01_Input'!$AB$59="Palier",IF(AND(G$20&gt;='01_Input'!$Z$59,G$20&lt;'01_Input'!$AA$59),'01_Input'!$AC$59,0),MAX(MIN(G$20,'01_Input'!$AA$59)-'01_Input'!$Z$59,0)*'01_Input'!$AC$59)))))))))</f>
        <v>0</v>
      </c>
      <c r="H27" s="25">
        <f>IF('01_Input'!$C$59="Non",0,MIN('01_Input'!$I$59,MAX('01_Input'!$H$59,IF('01_Input'!$G$59="Résiduel vs Gestion",0,IF('01_Input'!$G$59="Taux Classe sélectionnée",Distrib_Global_Classe_Selectionnee*H$20,IF('01_Input'!$G$59="Frais KYC (paliers de 100M€)",MAX(0,Nb_Investisseurs-Nb_KYC_Gratuites_Par_Tranche*(FLOOR(H$20/Taille_Tranche_KYC,1)+1))*Cout_Par_KYC_Supplementaire,(IF('01_Input'!$L$59="Forfait",IF(H$20&gt;='01_Input'!$J$59,'01_Input'!$M$59,0),IF('01_Input'!$L$59="Palier",IF(AND(H$20&gt;='01_Input'!$J$59,H$20&lt;'01_Input'!$K$59),'01_Input'!$M$59,0),MAX(MIN(H$20,'01_Input'!$K$59)-'01_Input'!$J$59,0)*'01_Input'!$M$59))+IF('01_Input'!$P$59="Forfait",IF(H$20&gt;='01_Input'!$N$59,'01_Input'!$Q$59,0),IF('01_Input'!$P$59="Palier",IF(AND(H$20&gt;='01_Input'!$N$59,H$20&lt;'01_Input'!$O$59),'01_Input'!$Q$59,0),MAX(MIN(H$20,'01_Input'!$O$59)-'01_Input'!$N$59,0)*'01_Input'!$Q$59))+IF('01_Input'!$T$59="Forfait",IF(H$20&gt;='01_Input'!$R$59,'01_Input'!$U$59,0),IF('01_Input'!$T$59="Palier",IF(AND(H$20&gt;='01_Input'!$R$59,H$20&lt;'01_Input'!$S$59),'01_Input'!$U$59,0),MAX(MIN(H$20,'01_Input'!$S$59)-'01_Input'!$R$59,0)*'01_Input'!$U$59))+IF('01_Input'!$X$59="Forfait",IF(H$20&gt;='01_Input'!$V$59,'01_Input'!$Y$59,0),IF('01_Input'!$X$59="Palier",IF(AND(H$20&gt;='01_Input'!$V$59,H$20&lt;'01_Input'!$W$59),'01_Input'!$Y$59,0),MAX(MIN(H$20,'01_Input'!$W$59)-'01_Input'!$V$59,0)*'01_Input'!$Y$59))+IF('01_Input'!$AB$59="Forfait",IF(H$20&gt;='01_Input'!$Z$59,'01_Input'!$AC$59,0),IF('01_Input'!$AB$59="Palier",IF(AND(H$20&gt;='01_Input'!$Z$59,H$20&lt;'01_Input'!$AA$59),'01_Input'!$AC$59,0),MAX(MIN(H$20,'01_Input'!$AA$59)-'01_Input'!$Z$59,0)*'01_Input'!$AC$59)))))))))</f>
        <v>0</v>
      </c>
      <c r="I27" s="25">
        <f>IF('01_Input'!$C$59="Non",0,MIN('01_Input'!$I$59,MAX('01_Input'!$H$59,IF('01_Input'!$G$59="Résiduel vs Gestion",0,IF('01_Input'!$G$59="Taux Classe sélectionnée",Distrib_Global_Classe_Selectionnee*I$20,IF('01_Input'!$G$59="Frais KYC (paliers de 100M€)",MAX(0,Nb_Investisseurs-Nb_KYC_Gratuites_Par_Tranche*(FLOOR(I$20/Taille_Tranche_KYC,1)+1))*Cout_Par_KYC_Supplementaire,(IF('01_Input'!$L$59="Forfait",IF(I$20&gt;='01_Input'!$J$59,'01_Input'!$M$59,0),IF('01_Input'!$L$59="Palier",IF(AND(I$20&gt;='01_Input'!$J$59,I$20&lt;'01_Input'!$K$59),'01_Input'!$M$59,0),MAX(MIN(I$20,'01_Input'!$K$59)-'01_Input'!$J$59,0)*'01_Input'!$M$59))+IF('01_Input'!$P$59="Forfait",IF(I$20&gt;='01_Input'!$N$59,'01_Input'!$Q$59,0),IF('01_Input'!$P$59="Palier",IF(AND(I$20&gt;='01_Input'!$N$59,I$20&lt;'01_Input'!$O$59),'01_Input'!$Q$59,0),MAX(MIN(I$20,'01_Input'!$O$59)-'01_Input'!$N$59,0)*'01_Input'!$Q$59))+IF('01_Input'!$T$59="Forfait",IF(I$20&gt;='01_Input'!$R$59,'01_Input'!$U$59,0),IF('01_Input'!$T$59="Palier",IF(AND(I$20&gt;='01_Input'!$R$59,I$20&lt;'01_Input'!$S$59),'01_Input'!$U$59,0),MAX(MIN(I$20,'01_Input'!$S$59)-'01_Input'!$R$59,0)*'01_Input'!$U$59))+IF('01_Input'!$X$59="Forfait",IF(I$20&gt;='01_Input'!$V$59,'01_Input'!$Y$59,0),IF('01_Input'!$X$59="Palier",IF(AND(I$20&gt;='01_Input'!$V$59,I$20&lt;'01_Input'!$W$59),'01_Input'!$Y$59,0),MAX(MIN(I$20,'01_Input'!$W$59)-'01_Input'!$V$59,0)*'01_Input'!$Y$59))+IF('01_Input'!$AB$59="Forfait",IF(I$20&gt;='01_Input'!$Z$59,'01_Input'!$AC$59,0),IF('01_Input'!$AB$59="Palier",IF(AND(I$20&gt;='01_Input'!$Z$59,I$20&lt;'01_Input'!$AA$59),'01_Input'!$AC$59,0),MAX(MIN(I$20,'01_Input'!$AA$59)-'01_Input'!$Z$59,0)*'01_Input'!$AC$59)))))))))</f>
        <v>0</v>
      </c>
      <c r="J27" s="25">
        <f>IF('01_Input'!$C$59="Non",0,MIN('01_Input'!$I$59,MAX('01_Input'!$H$59,IF('01_Input'!$G$59="Résiduel vs Gestion",0,IF('01_Input'!$G$59="Taux Classe sélectionnée",Distrib_Global_Classe_Selectionnee*J$20,IF('01_Input'!$G$59="Frais KYC (paliers de 100M€)",MAX(0,Nb_Investisseurs-Nb_KYC_Gratuites_Par_Tranche*(FLOOR(J$20/Taille_Tranche_KYC,1)+1))*Cout_Par_KYC_Supplementaire,(IF('01_Input'!$L$59="Forfait",IF(J$20&gt;='01_Input'!$J$59,'01_Input'!$M$59,0),IF('01_Input'!$L$59="Palier",IF(AND(J$20&gt;='01_Input'!$J$59,J$20&lt;'01_Input'!$K$59),'01_Input'!$M$59,0),MAX(MIN(J$20,'01_Input'!$K$59)-'01_Input'!$J$59,0)*'01_Input'!$M$59))+IF('01_Input'!$P$59="Forfait",IF(J$20&gt;='01_Input'!$N$59,'01_Input'!$Q$59,0),IF('01_Input'!$P$59="Palier",IF(AND(J$20&gt;='01_Input'!$N$59,J$20&lt;'01_Input'!$O$59),'01_Input'!$Q$59,0),MAX(MIN(J$20,'01_Input'!$O$59)-'01_Input'!$N$59,0)*'01_Input'!$Q$59))+IF('01_Input'!$T$59="Forfait",IF(J$20&gt;='01_Input'!$R$59,'01_Input'!$U$59,0),IF('01_Input'!$T$59="Palier",IF(AND(J$20&gt;='01_Input'!$R$59,J$20&lt;'01_Input'!$S$59),'01_Input'!$U$59,0),MAX(MIN(J$20,'01_Input'!$S$59)-'01_Input'!$R$59,0)*'01_Input'!$U$59))+IF('01_Input'!$X$59="Forfait",IF(J$20&gt;='01_Input'!$V$59,'01_Input'!$Y$59,0),IF('01_Input'!$X$59="Palier",IF(AND(J$20&gt;='01_Input'!$V$59,J$20&lt;'01_Input'!$W$59),'01_Input'!$Y$59,0),MAX(MIN(J$20,'01_Input'!$W$59)-'01_Input'!$V$59,0)*'01_Input'!$Y$59))+IF('01_Input'!$AB$59="Forfait",IF(J$20&gt;='01_Input'!$Z$59,'01_Input'!$AC$59,0),IF('01_Input'!$AB$59="Palier",IF(AND(J$20&gt;='01_Input'!$Z$59,J$20&lt;'01_Input'!$AA$59),'01_Input'!$AC$59,0),MAX(MIN(J$20,'01_Input'!$AA$59)-'01_Input'!$Z$59,0)*'01_Input'!$AC$59)))))))))</f>
        <v>0</v>
      </c>
      <c r="K27" s="25">
        <f>IF('01_Input'!$C$59="Non",0,MIN('01_Input'!$I$59,MAX('01_Input'!$H$59,IF('01_Input'!$G$59="Résiduel vs Gestion",0,IF('01_Input'!$G$59="Taux Classe sélectionnée",Distrib_Global_Classe_Selectionnee*K$20,IF('01_Input'!$G$59="Frais KYC (paliers de 100M€)",MAX(0,Nb_Investisseurs-Nb_KYC_Gratuites_Par_Tranche*(FLOOR(K$20/Taille_Tranche_KYC,1)+1))*Cout_Par_KYC_Supplementaire,(IF('01_Input'!$L$59="Forfait",IF(K$20&gt;='01_Input'!$J$59,'01_Input'!$M$59,0),IF('01_Input'!$L$59="Palier",IF(AND(K$20&gt;='01_Input'!$J$59,K$20&lt;'01_Input'!$K$59),'01_Input'!$M$59,0),MAX(MIN(K$20,'01_Input'!$K$59)-'01_Input'!$J$59,0)*'01_Input'!$M$59))+IF('01_Input'!$P$59="Forfait",IF(K$20&gt;='01_Input'!$N$59,'01_Input'!$Q$59,0),IF('01_Input'!$P$59="Palier",IF(AND(K$20&gt;='01_Input'!$N$59,K$20&lt;'01_Input'!$O$59),'01_Input'!$Q$59,0),MAX(MIN(K$20,'01_Input'!$O$59)-'01_Input'!$N$59,0)*'01_Input'!$Q$59))+IF('01_Input'!$T$59="Forfait",IF(K$20&gt;='01_Input'!$R$59,'01_Input'!$U$59,0),IF('01_Input'!$T$59="Palier",IF(AND(K$20&gt;='01_Input'!$R$59,K$20&lt;'01_Input'!$S$59),'01_Input'!$U$59,0),MAX(MIN(K$20,'01_Input'!$S$59)-'01_Input'!$R$59,0)*'01_Input'!$U$59))+IF('01_Input'!$X$59="Forfait",IF(K$20&gt;='01_Input'!$V$59,'01_Input'!$Y$59,0),IF('01_Input'!$X$59="Palier",IF(AND(K$20&gt;='01_Input'!$V$59,K$20&lt;'01_Input'!$W$59),'01_Input'!$Y$59,0),MAX(MIN(K$20,'01_Input'!$W$59)-'01_Input'!$V$59,0)*'01_Input'!$Y$59))+IF('01_Input'!$AB$59="Forfait",IF(K$20&gt;='01_Input'!$Z$59,'01_Input'!$AC$59,0),IF('01_Input'!$AB$59="Palier",IF(AND(K$20&gt;='01_Input'!$Z$59,K$20&lt;'01_Input'!$AA$59),'01_Input'!$AC$59,0),MAX(MIN(K$20,'01_Input'!$AA$59)-'01_Input'!$Z$59,0)*'01_Input'!$AC$59)))))))))</f>
        <v>0</v>
      </c>
      <c r="L27" s="25">
        <f>IF('01_Input'!$C$59="Non",0,MIN('01_Input'!$I$59,MAX('01_Input'!$H$59,IF('01_Input'!$G$59="Résiduel vs Gestion",0,IF('01_Input'!$G$59="Taux Classe sélectionnée",Distrib_Global_Classe_Selectionnee*L$20,IF('01_Input'!$G$59="Frais KYC (paliers de 100M€)",MAX(0,Nb_Investisseurs-Nb_KYC_Gratuites_Par_Tranche*(FLOOR(L$20/Taille_Tranche_KYC,1)+1))*Cout_Par_KYC_Supplementaire,(IF('01_Input'!$L$59="Forfait",IF(L$20&gt;='01_Input'!$J$59,'01_Input'!$M$59,0),IF('01_Input'!$L$59="Palier",IF(AND(L$20&gt;='01_Input'!$J$59,L$20&lt;'01_Input'!$K$59),'01_Input'!$M$59,0),MAX(MIN(L$20,'01_Input'!$K$59)-'01_Input'!$J$59,0)*'01_Input'!$M$59))+IF('01_Input'!$P$59="Forfait",IF(L$20&gt;='01_Input'!$N$59,'01_Input'!$Q$59,0),IF('01_Input'!$P$59="Palier",IF(AND(L$20&gt;='01_Input'!$N$59,L$20&lt;'01_Input'!$O$59),'01_Input'!$Q$59,0),MAX(MIN(L$20,'01_Input'!$O$59)-'01_Input'!$N$59,0)*'01_Input'!$Q$59))+IF('01_Input'!$T$59="Forfait",IF(L$20&gt;='01_Input'!$R$59,'01_Input'!$U$59,0),IF('01_Input'!$T$59="Palier",IF(AND(L$20&gt;='01_Input'!$R$59,L$20&lt;'01_Input'!$S$59),'01_Input'!$U$59,0),MAX(MIN(L$20,'01_Input'!$S$59)-'01_Input'!$R$59,0)*'01_Input'!$U$59))+IF('01_Input'!$X$59="Forfait",IF(L$20&gt;='01_Input'!$V$59,'01_Input'!$Y$59,0),IF('01_Input'!$X$59="Palier",IF(AND(L$20&gt;='01_Input'!$V$59,L$20&lt;'01_Input'!$W$59),'01_Input'!$Y$59,0),MAX(MIN(L$20,'01_Input'!$W$59)-'01_Input'!$V$59,0)*'01_Input'!$Y$59))+IF('01_Input'!$AB$59="Forfait",IF(L$20&gt;='01_Input'!$Z$59,'01_Input'!$AC$59,0),IF('01_Input'!$AB$59="Palier",IF(AND(L$20&gt;='01_Input'!$Z$59,L$20&lt;'01_Input'!$AA$59),'01_Input'!$AC$59,0),MAX(MIN(L$20,'01_Input'!$AA$59)-'01_Input'!$Z$59,0)*'01_Input'!$AC$59)))))))))</f>
        <v>0</v>
      </c>
      <c r="M27" s="25">
        <f>IF('01_Input'!$C$59="Non",0,MIN('01_Input'!$I$59,MAX('01_Input'!$H$59,IF('01_Input'!$G$59="Résiduel vs Gestion",0,IF('01_Input'!$G$59="Taux Classe sélectionnée",Distrib_Global_Classe_Selectionnee*M$20,IF('01_Input'!$G$59="Frais KYC (paliers de 100M€)",MAX(0,Nb_Investisseurs-Nb_KYC_Gratuites_Par_Tranche*(FLOOR(M$20/Taille_Tranche_KYC,1)+1))*Cout_Par_KYC_Supplementaire,(IF('01_Input'!$L$59="Forfait",IF(M$20&gt;='01_Input'!$J$59,'01_Input'!$M$59,0),IF('01_Input'!$L$59="Palier",IF(AND(M$20&gt;='01_Input'!$J$59,M$20&lt;'01_Input'!$K$59),'01_Input'!$M$59,0),MAX(MIN(M$20,'01_Input'!$K$59)-'01_Input'!$J$59,0)*'01_Input'!$M$59))+IF('01_Input'!$P$59="Forfait",IF(M$20&gt;='01_Input'!$N$59,'01_Input'!$Q$59,0),IF('01_Input'!$P$59="Palier",IF(AND(M$20&gt;='01_Input'!$N$59,M$20&lt;'01_Input'!$O$59),'01_Input'!$Q$59,0),MAX(MIN(M$20,'01_Input'!$O$59)-'01_Input'!$N$59,0)*'01_Input'!$Q$59))+IF('01_Input'!$T$59="Forfait",IF(M$20&gt;='01_Input'!$R$59,'01_Input'!$U$59,0),IF('01_Input'!$T$59="Palier",IF(AND(M$20&gt;='01_Input'!$R$59,M$20&lt;'01_Input'!$S$59),'01_Input'!$U$59,0),MAX(MIN(M$20,'01_Input'!$S$59)-'01_Input'!$R$59,0)*'01_Input'!$U$59))+IF('01_Input'!$X$59="Forfait",IF(M$20&gt;='01_Input'!$V$59,'01_Input'!$Y$59,0),IF('01_Input'!$X$59="Palier",IF(AND(M$20&gt;='01_Input'!$V$59,M$20&lt;'01_Input'!$W$59),'01_Input'!$Y$59,0),MAX(MIN(M$20,'01_Input'!$W$59)-'01_Input'!$V$59,0)*'01_Input'!$Y$59))+IF('01_Input'!$AB$59="Forfait",IF(M$20&gt;='01_Input'!$Z$59,'01_Input'!$AC$59,0),IF('01_Input'!$AB$59="Palier",IF(AND(M$20&gt;='01_Input'!$Z$59,M$20&lt;'01_Input'!$AA$59),'01_Input'!$AC$59,0),MAX(MIN(M$20,'01_Input'!$AA$59)-'01_Input'!$Z$59,0)*'01_Input'!$AC$59)))))))))</f>
        <v>0</v>
      </c>
      <c r="N27" s="25">
        <f>IF('01_Input'!$C$59="Non",0,MIN('01_Input'!$I$59,MAX('01_Input'!$H$59,IF('01_Input'!$G$59="Résiduel vs Gestion",0,IF('01_Input'!$G$59="Taux Classe sélectionnée",Distrib_Global_Classe_Selectionnee*N$20,IF('01_Input'!$G$59="Frais KYC (paliers de 100M€)",MAX(0,Nb_Investisseurs-Nb_KYC_Gratuites_Par_Tranche*(FLOOR(N$20/Taille_Tranche_KYC,1)+1))*Cout_Par_KYC_Supplementaire,(IF('01_Input'!$L$59="Forfait",IF(N$20&gt;='01_Input'!$J$59,'01_Input'!$M$59,0),IF('01_Input'!$L$59="Palier",IF(AND(N$20&gt;='01_Input'!$J$59,N$20&lt;'01_Input'!$K$59),'01_Input'!$M$59,0),MAX(MIN(N$20,'01_Input'!$K$59)-'01_Input'!$J$59,0)*'01_Input'!$M$59))+IF('01_Input'!$P$59="Forfait",IF(N$20&gt;='01_Input'!$N$59,'01_Input'!$Q$59,0),IF('01_Input'!$P$59="Palier",IF(AND(N$20&gt;='01_Input'!$N$59,N$20&lt;'01_Input'!$O$59),'01_Input'!$Q$59,0),MAX(MIN(N$20,'01_Input'!$O$59)-'01_Input'!$N$59,0)*'01_Input'!$Q$59))+IF('01_Input'!$T$59="Forfait",IF(N$20&gt;='01_Input'!$R$59,'01_Input'!$U$59,0),IF('01_Input'!$T$59="Palier",IF(AND(N$20&gt;='01_Input'!$R$59,N$20&lt;'01_Input'!$S$59),'01_Input'!$U$59,0),MAX(MIN(N$20,'01_Input'!$S$59)-'01_Input'!$R$59,0)*'01_Input'!$U$59))+IF('01_Input'!$X$59="Forfait",IF(N$20&gt;='01_Input'!$V$59,'01_Input'!$Y$59,0),IF('01_Input'!$X$59="Palier",IF(AND(N$20&gt;='01_Input'!$V$59,N$20&lt;'01_Input'!$W$59),'01_Input'!$Y$59,0),MAX(MIN(N$20,'01_Input'!$W$59)-'01_Input'!$V$59,0)*'01_Input'!$Y$59))+IF('01_Input'!$AB$59="Forfait",IF(N$20&gt;='01_Input'!$Z$59,'01_Input'!$AC$59,0),IF('01_Input'!$AB$59="Palier",IF(AND(N$20&gt;='01_Input'!$Z$59,N$20&lt;'01_Input'!$AA$59),'01_Input'!$AC$59,0),MAX(MIN(N$20,'01_Input'!$AA$59)-'01_Input'!$Z$59,0)*'01_Input'!$AC$59)))))))))</f>
        <v>0</v>
      </c>
      <c r="O27" s="25">
        <f>IF('01_Input'!$C$59="Non",0,MIN('01_Input'!$I$59,MAX('01_Input'!$H$59,IF('01_Input'!$G$59="Résiduel vs Gestion",0,IF('01_Input'!$G$59="Taux Classe sélectionnée",Distrib_Global_Classe_Selectionnee*O$20,IF('01_Input'!$G$59="Frais KYC (paliers de 100M€)",MAX(0,Nb_Investisseurs-Nb_KYC_Gratuites_Par_Tranche*(FLOOR(O$20/Taille_Tranche_KYC,1)+1))*Cout_Par_KYC_Supplementaire,(IF('01_Input'!$L$59="Forfait",IF(O$20&gt;='01_Input'!$J$59,'01_Input'!$M$59,0),IF('01_Input'!$L$59="Palier",IF(AND(O$20&gt;='01_Input'!$J$59,O$20&lt;'01_Input'!$K$59),'01_Input'!$M$59,0),MAX(MIN(O$20,'01_Input'!$K$59)-'01_Input'!$J$59,0)*'01_Input'!$M$59))+IF('01_Input'!$P$59="Forfait",IF(O$20&gt;='01_Input'!$N$59,'01_Input'!$Q$59,0),IF('01_Input'!$P$59="Palier",IF(AND(O$20&gt;='01_Input'!$N$59,O$20&lt;'01_Input'!$O$59),'01_Input'!$Q$59,0),MAX(MIN(O$20,'01_Input'!$O$59)-'01_Input'!$N$59,0)*'01_Input'!$Q$59))+IF('01_Input'!$T$59="Forfait",IF(O$20&gt;='01_Input'!$R$59,'01_Input'!$U$59,0),IF('01_Input'!$T$59="Palier",IF(AND(O$20&gt;='01_Input'!$R$59,O$20&lt;'01_Input'!$S$59),'01_Input'!$U$59,0),MAX(MIN(O$20,'01_Input'!$S$59)-'01_Input'!$R$59,0)*'01_Input'!$U$59))+IF('01_Input'!$X$59="Forfait",IF(O$20&gt;='01_Input'!$V$59,'01_Input'!$Y$59,0),IF('01_Input'!$X$59="Palier",IF(AND(O$20&gt;='01_Input'!$V$59,O$20&lt;'01_Input'!$W$59),'01_Input'!$Y$59,0),MAX(MIN(O$20,'01_Input'!$W$59)-'01_Input'!$V$59,0)*'01_Input'!$Y$59))+IF('01_Input'!$AB$59="Forfait",IF(O$20&gt;='01_Input'!$Z$59,'01_Input'!$AC$59,0),IF('01_Input'!$AB$59="Palier",IF(AND(O$20&gt;='01_Input'!$Z$59,O$20&lt;'01_Input'!$AA$59),'01_Input'!$AC$59,0),MAX(MIN(O$20,'01_Input'!$AA$59)-'01_Input'!$Z$59,0)*'01_Input'!$AC$59)))))))))</f>
        <v>0</v>
      </c>
      <c r="P27" s="25">
        <f>IF('01_Input'!$C$59="Non",0,MIN('01_Input'!$I$59,MAX('01_Input'!$H$59,IF('01_Input'!$G$59="Résiduel vs Gestion",0,IF('01_Input'!$G$59="Taux Classe sélectionnée",Distrib_Global_Classe_Selectionnee*P$20,IF('01_Input'!$G$59="Frais KYC (paliers de 100M€)",MAX(0,Nb_Investisseurs-Nb_KYC_Gratuites_Par_Tranche*(FLOOR(P$20/Taille_Tranche_KYC,1)+1))*Cout_Par_KYC_Supplementaire,(IF('01_Input'!$L$59="Forfait",IF(P$20&gt;='01_Input'!$J$59,'01_Input'!$M$59,0),IF('01_Input'!$L$59="Palier",IF(AND(P$20&gt;='01_Input'!$J$59,P$20&lt;'01_Input'!$K$59),'01_Input'!$M$59,0),MAX(MIN(P$20,'01_Input'!$K$59)-'01_Input'!$J$59,0)*'01_Input'!$M$59))+IF('01_Input'!$P$59="Forfait",IF(P$20&gt;='01_Input'!$N$59,'01_Input'!$Q$59,0),IF('01_Input'!$P$59="Palier",IF(AND(P$20&gt;='01_Input'!$N$59,P$20&lt;'01_Input'!$O$59),'01_Input'!$Q$59,0),MAX(MIN(P$20,'01_Input'!$O$59)-'01_Input'!$N$59,0)*'01_Input'!$Q$59))+IF('01_Input'!$T$59="Forfait",IF(P$20&gt;='01_Input'!$R$59,'01_Input'!$U$59,0),IF('01_Input'!$T$59="Palier",IF(AND(P$20&gt;='01_Input'!$R$59,P$20&lt;'01_Input'!$S$59),'01_Input'!$U$59,0),MAX(MIN(P$20,'01_Input'!$S$59)-'01_Input'!$R$59,0)*'01_Input'!$U$59))+IF('01_Input'!$X$59="Forfait",IF(P$20&gt;='01_Input'!$V$59,'01_Input'!$Y$59,0),IF('01_Input'!$X$59="Palier",IF(AND(P$20&gt;='01_Input'!$V$59,P$20&lt;'01_Input'!$W$59),'01_Input'!$Y$59,0),MAX(MIN(P$20,'01_Input'!$W$59)-'01_Input'!$V$59,0)*'01_Input'!$Y$59))+IF('01_Input'!$AB$59="Forfait",IF(P$20&gt;='01_Input'!$Z$59,'01_Input'!$AC$59,0),IF('01_Input'!$AB$59="Palier",IF(AND(P$20&gt;='01_Input'!$Z$59,P$20&lt;'01_Input'!$AA$59),'01_Input'!$AC$59,0),MAX(MIN(P$20,'01_Input'!$AA$59)-'01_Input'!$Z$59,0)*'01_Input'!$AC$59)))))))))</f>
        <v>0</v>
      </c>
      <c r="Q27" s="25">
        <f>IF('01_Input'!$C$59="Non",0,MIN('01_Input'!$I$59,MAX('01_Input'!$H$59,IF('01_Input'!$G$59="Résiduel vs Gestion",0,IF('01_Input'!$G$59="Taux Classe sélectionnée",Distrib_Global_Classe_Selectionnee*Q$20,IF('01_Input'!$G$59="Frais KYC (paliers de 100M€)",MAX(0,Nb_Investisseurs-Nb_KYC_Gratuites_Par_Tranche*(FLOOR(Q$20/Taille_Tranche_KYC,1)+1))*Cout_Par_KYC_Supplementaire,(IF('01_Input'!$L$59="Forfait",IF(Q$20&gt;='01_Input'!$J$59,'01_Input'!$M$59,0),IF('01_Input'!$L$59="Palier",IF(AND(Q$20&gt;='01_Input'!$J$59,Q$20&lt;'01_Input'!$K$59),'01_Input'!$M$59,0),MAX(MIN(Q$20,'01_Input'!$K$59)-'01_Input'!$J$59,0)*'01_Input'!$M$59))+IF('01_Input'!$P$59="Forfait",IF(Q$20&gt;='01_Input'!$N$59,'01_Input'!$Q$59,0),IF('01_Input'!$P$59="Palier",IF(AND(Q$20&gt;='01_Input'!$N$59,Q$20&lt;'01_Input'!$O$59),'01_Input'!$Q$59,0),MAX(MIN(Q$20,'01_Input'!$O$59)-'01_Input'!$N$59,0)*'01_Input'!$Q$59))+IF('01_Input'!$T$59="Forfait",IF(Q$20&gt;='01_Input'!$R$59,'01_Input'!$U$59,0),IF('01_Input'!$T$59="Palier",IF(AND(Q$20&gt;='01_Input'!$R$59,Q$20&lt;'01_Input'!$S$59),'01_Input'!$U$59,0),MAX(MIN(Q$20,'01_Input'!$S$59)-'01_Input'!$R$59,0)*'01_Input'!$U$59))+IF('01_Input'!$X$59="Forfait",IF(Q$20&gt;='01_Input'!$V$59,'01_Input'!$Y$59,0),IF('01_Input'!$X$59="Palier",IF(AND(Q$20&gt;='01_Input'!$V$59,Q$20&lt;'01_Input'!$W$59),'01_Input'!$Y$59,0),MAX(MIN(Q$20,'01_Input'!$W$59)-'01_Input'!$V$59,0)*'01_Input'!$Y$59))+IF('01_Input'!$AB$59="Forfait",IF(Q$20&gt;='01_Input'!$Z$59,'01_Input'!$AC$59,0),IF('01_Input'!$AB$59="Palier",IF(AND(Q$20&gt;='01_Input'!$Z$59,Q$20&lt;'01_Input'!$AA$59),'01_Input'!$AC$59,0),MAX(MIN(Q$20,'01_Input'!$AA$59)-'01_Input'!$Z$59,0)*'01_Input'!$AC$59)))))))))</f>
        <v>0</v>
      </c>
      <c r="R27" s="25">
        <f>IF('01_Input'!$C$59="Non",0,MIN('01_Input'!$I$59,MAX('01_Input'!$H$59,IF('01_Input'!$G$59="Résiduel vs Gestion",0,IF('01_Input'!$G$59="Taux Classe sélectionnée",Distrib_Global_Classe_Selectionnee*R$20,IF('01_Input'!$G$59="Frais KYC (paliers de 100M€)",MAX(0,Nb_Investisseurs-Nb_KYC_Gratuites_Par_Tranche*(FLOOR(R$20/Taille_Tranche_KYC,1)+1))*Cout_Par_KYC_Supplementaire,(IF('01_Input'!$L$59="Forfait",IF(R$20&gt;='01_Input'!$J$59,'01_Input'!$M$59,0),IF('01_Input'!$L$59="Palier",IF(AND(R$20&gt;='01_Input'!$J$59,R$20&lt;'01_Input'!$K$59),'01_Input'!$M$59,0),MAX(MIN(R$20,'01_Input'!$K$59)-'01_Input'!$J$59,0)*'01_Input'!$M$59))+IF('01_Input'!$P$59="Forfait",IF(R$20&gt;='01_Input'!$N$59,'01_Input'!$Q$59,0),IF('01_Input'!$P$59="Palier",IF(AND(R$20&gt;='01_Input'!$N$59,R$20&lt;'01_Input'!$O$59),'01_Input'!$Q$59,0),MAX(MIN(R$20,'01_Input'!$O$59)-'01_Input'!$N$59,0)*'01_Input'!$Q$59))+IF('01_Input'!$T$59="Forfait",IF(R$20&gt;='01_Input'!$R$59,'01_Input'!$U$59,0),IF('01_Input'!$T$59="Palier",IF(AND(R$20&gt;='01_Input'!$R$59,R$20&lt;'01_Input'!$S$59),'01_Input'!$U$59,0),MAX(MIN(R$20,'01_Input'!$S$59)-'01_Input'!$R$59,0)*'01_Input'!$U$59))+IF('01_Input'!$X$59="Forfait",IF(R$20&gt;='01_Input'!$V$59,'01_Input'!$Y$59,0),IF('01_Input'!$X$59="Palier",IF(AND(R$20&gt;='01_Input'!$V$59,R$20&lt;'01_Input'!$W$59),'01_Input'!$Y$59,0),MAX(MIN(R$20,'01_Input'!$W$59)-'01_Input'!$V$59,0)*'01_Input'!$Y$59))+IF('01_Input'!$AB$59="Forfait",IF(R$20&gt;='01_Input'!$Z$59,'01_Input'!$AC$59,0),IF('01_Input'!$AB$59="Palier",IF(AND(R$20&gt;='01_Input'!$Z$59,R$20&lt;'01_Input'!$AA$59),'01_Input'!$AC$59,0),MAX(MIN(R$20,'01_Input'!$AA$59)-'01_Input'!$Z$59,0)*'01_Input'!$AC$59)))))))))</f>
        <v>0</v>
      </c>
      <c r="S27" s="25">
        <f>IF('01_Input'!$C$59="Non",0,MIN('01_Input'!$I$59,MAX('01_Input'!$H$59,IF('01_Input'!$G$59="Résiduel vs Gestion",0,IF('01_Input'!$G$59="Taux Classe sélectionnée",Distrib_Global_Classe_Selectionnee*S$20,IF('01_Input'!$G$59="Frais KYC (paliers de 100M€)",MAX(0,Nb_Investisseurs-Nb_KYC_Gratuites_Par_Tranche*(FLOOR(S$20/Taille_Tranche_KYC,1)+1))*Cout_Par_KYC_Supplementaire,(IF('01_Input'!$L$59="Forfait",IF(S$20&gt;='01_Input'!$J$59,'01_Input'!$M$59,0),IF('01_Input'!$L$59="Palier",IF(AND(S$20&gt;='01_Input'!$J$59,S$20&lt;'01_Input'!$K$59),'01_Input'!$M$59,0),MAX(MIN(S$20,'01_Input'!$K$59)-'01_Input'!$J$59,0)*'01_Input'!$M$59))+IF('01_Input'!$P$59="Forfait",IF(S$20&gt;='01_Input'!$N$59,'01_Input'!$Q$59,0),IF('01_Input'!$P$59="Palier",IF(AND(S$20&gt;='01_Input'!$N$59,S$20&lt;'01_Input'!$O$59),'01_Input'!$Q$59,0),MAX(MIN(S$20,'01_Input'!$O$59)-'01_Input'!$N$59,0)*'01_Input'!$Q$59))+IF('01_Input'!$T$59="Forfait",IF(S$20&gt;='01_Input'!$R$59,'01_Input'!$U$59,0),IF('01_Input'!$T$59="Palier",IF(AND(S$20&gt;='01_Input'!$R$59,S$20&lt;'01_Input'!$S$59),'01_Input'!$U$59,0),MAX(MIN(S$20,'01_Input'!$S$59)-'01_Input'!$R$59,0)*'01_Input'!$U$59))+IF('01_Input'!$X$59="Forfait",IF(S$20&gt;='01_Input'!$V$59,'01_Input'!$Y$59,0),IF('01_Input'!$X$59="Palier",IF(AND(S$20&gt;='01_Input'!$V$59,S$20&lt;'01_Input'!$W$59),'01_Input'!$Y$59,0),MAX(MIN(S$20,'01_Input'!$W$59)-'01_Input'!$V$59,0)*'01_Input'!$Y$59))+IF('01_Input'!$AB$59="Forfait",IF(S$20&gt;='01_Input'!$Z$59,'01_Input'!$AC$59,0),IF('01_Input'!$AB$59="Palier",IF(AND(S$20&gt;='01_Input'!$Z$59,S$20&lt;'01_Input'!$AA$59),'01_Input'!$AC$59,0),MAX(MIN(S$20,'01_Input'!$AA$59)-'01_Input'!$Z$59,0)*'01_Input'!$AC$59)))))))))</f>
        <v>0</v>
      </c>
      <c r="T27" s="25">
        <f>IF('01_Input'!$C$59="Non",0,MIN('01_Input'!$I$59,MAX('01_Input'!$H$59,IF('01_Input'!$G$59="Résiduel vs Gestion",0,IF('01_Input'!$G$59="Taux Classe sélectionnée",Distrib_Global_Classe_Selectionnee*T$20,IF('01_Input'!$G$59="Frais KYC (paliers de 100M€)",MAX(0,Nb_Investisseurs-Nb_KYC_Gratuites_Par_Tranche*(FLOOR(T$20/Taille_Tranche_KYC,1)+1))*Cout_Par_KYC_Supplementaire,(IF('01_Input'!$L$59="Forfait",IF(T$20&gt;='01_Input'!$J$59,'01_Input'!$M$59,0),IF('01_Input'!$L$59="Palier",IF(AND(T$20&gt;='01_Input'!$J$59,T$20&lt;'01_Input'!$K$59),'01_Input'!$M$59,0),MAX(MIN(T$20,'01_Input'!$K$59)-'01_Input'!$J$59,0)*'01_Input'!$M$59))+IF('01_Input'!$P$59="Forfait",IF(T$20&gt;='01_Input'!$N$59,'01_Input'!$Q$59,0),IF('01_Input'!$P$59="Palier",IF(AND(T$20&gt;='01_Input'!$N$59,T$20&lt;'01_Input'!$O$59),'01_Input'!$Q$59,0),MAX(MIN(T$20,'01_Input'!$O$59)-'01_Input'!$N$59,0)*'01_Input'!$Q$59))+IF('01_Input'!$T$59="Forfait",IF(T$20&gt;='01_Input'!$R$59,'01_Input'!$U$59,0),IF('01_Input'!$T$59="Palier",IF(AND(T$20&gt;='01_Input'!$R$59,T$20&lt;'01_Input'!$S$59),'01_Input'!$U$59,0),MAX(MIN(T$20,'01_Input'!$S$59)-'01_Input'!$R$59,0)*'01_Input'!$U$59))+IF('01_Input'!$X$59="Forfait",IF(T$20&gt;='01_Input'!$V$59,'01_Input'!$Y$59,0),IF('01_Input'!$X$59="Palier",IF(AND(T$20&gt;='01_Input'!$V$59,T$20&lt;'01_Input'!$W$59),'01_Input'!$Y$59,0),MAX(MIN(T$20,'01_Input'!$W$59)-'01_Input'!$V$59,0)*'01_Input'!$Y$59))+IF('01_Input'!$AB$59="Forfait",IF(T$20&gt;='01_Input'!$Z$59,'01_Input'!$AC$59,0),IF('01_Input'!$AB$59="Palier",IF(AND(T$20&gt;='01_Input'!$Z$59,T$20&lt;'01_Input'!$AA$59),'01_Input'!$AC$59,0),MAX(MIN(T$20,'01_Input'!$AA$59)-'01_Input'!$Z$59,0)*'01_Input'!$AC$59)))))))))</f>
        <v>0</v>
      </c>
      <c r="U27" s="25">
        <f>IF('01_Input'!$C$59="Non",0,MIN('01_Input'!$I$59,MAX('01_Input'!$H$59,IF('01_Input'!$G$59="Résiduel vs Gestion",0,IF('01_Input'!$G$59="Taux Classe sélectionnée",Distrib_Global_Classe_Selectionnee*U$20,IF('01_Input'!$G$59="Frais KYC (paliers de 100M€)",MAX(0,Nb_Investisseurs-Nb_KYC_Gratuites_Par_Tranche*(FLOOR(U$20/Taille_Tranche_KYC,1)+1))*Cout_Par_KYC_Supplementaire,(IF('01_Input'!$L$59="Forfait",IF(U$20&gt;='01_Input'!$J$59,'01_Input'!$M$59,0),IF('01_Input'!$L$59="Palier",IF(AND(U$20&gt;='01_Input'!$J$59,U$20&lt;'01_Input'!$K$59),'01_Input'!$M$59,0),MAX(MIN(U$20,'01_Input'!$K$59)-'01_Input'!$J$59,0)*'01_Input'!$M$59))+IF('01_Input'!$P$59="Forfait",IF(U$20&gt;='01_Input'!$N$59,'01_Input'!$Q$59,0),IF('01_Input'!$P$59="Palier",IF(AND(U$20&gt;='01_Input'!$N$59,U$20&lt;'01_Input'!$O$59),'01_Input'!$Q$59,0),MAX(MIN(U$20,'01_Input'!$O$59)-'01_Input'!$N$59,0)*'01_Input'!$Q$59))+IF('01_Input'!$T$59="Forfait",IF(U$20&gt;='01_Input'!$R$59,'01_Input'!$U$59,0),IF('01_Input'!$T$59="Palier",IF(AND(U$20&gt;='01_Input'!$R$59,U$20&lt;'01_Input'!$S$59),'01_Input'!$U$59,0),MAX(MIN(U$20,'01_Input'!$S$59)-'01_Input'!$R$59,0)*'01_Input'!$U$59))+IF('01_Input'!$X$59="Forfait",IF(U$20&gt;='01_Input'!$V$59,'01_Input'!$Y$59,0),IF('01_Input'!$X$59="Palier",IF(AND(U$20&gt;='01_Input'!$V$59,U$20&lt;'01_Input'!$W$59),'01_Input'!$Y$59,0),MAX(MIN(U$20,'01_Input'!$W$59)-'01_Input'!$V$59,0)*'01_Input'!$Y$59))+IF('01_Input'!$AB$59="Forfait",IF(U$20&gt;='01_Input'!$Z$59,'01_Input'!$AC$59,0),IF('01_Input'!$AB$59="Palier",IF(AND(U$20&gt;='01_Input'!$Z$59,U$20&lt;'01_Input'!$AA$59),'01_Input'!$AC$59,0),MAX(MIN(U$20,'01_Input'!$AA$59)-'01_Input'!$Z$59,0)*'01_Input'!$AC$59)))))))))</f>
        <v>0</v>
      </c>
      <c r="V27" s="25">
        <f>IF('01_Input'!$C$59="Non",0,MIN('01_Input'!$I$59,MAX('01_Input'!$H$59,IF('01_Input'!$G$59="Résiduel vs Gestion",0,IF('01_Input'!$G$59="Taux Classe sélectionnée",Distrib_Global_Classe_Selectionnee*V$20,IF('01_Input'!$G$59="Frais KYC (paliers de 100M€)",MAX(0,Nb_Investisseurs-Nb_KYC_Gratuites_Par_Tranche*(FLOOR(V$20/Taille_Tranche_KYC,1)+1))*Cout_Par_KYC_Supplementaire,(IF('01_Input'!$L$59="Forfait",IF(V$20&gt;='01_Input'!$J$59,'01_Input'!$M$59,0),IF('01_Input'!$L$59="Palier",IF(AND(V$20&gt;='01_Input'!$J$59,V$20&lt;'01_Input'!$K$59),'01_Input'!$M$59,0),MAX(MIN(V$20,'01_Input'!$K$59)-'01_Input'!$J$59,0)*'01_Input'!$M$59))+IF('01_Input'!$P$59="Forfait",IF(V$20&gt;='01_Input'!$N$59,'01_Input'!$Q$59,0),IF('01_Input'!$P$59="Palier",IF(AND(V$20&gt;='01_Input'!$N$59,V$20&lt;'01_Input'!$O$59),'01_Input'!$Q$59,0),MAX(MIN(V$20,'01_Input'!$O$59)-'01_Input'!$N$59,0)*'01_Input'!$Q$59))+IF('01_Input'!$T$59="Forfait",IF(V$20&gt;='01_Input'!$R$59,'01_Input'!$U$59,0),IF('01_Input'!$T$59="Palier",IF(AND(V$20&gt;='01_Input'!$R$59,V$20&lt;'01_Input'!$S$59),'01_Input'!$U$59,0),MAX(MIN(V$20,'01_Input'!$S$59)-'01_Input'!$R$59,0)*'01_Input'!$U$59))+IF('01_Input'!$X$59="Forfait",IF(V$20&gt;='01_Input'!$V$59,'01_Input'!$Y$59,0),IF('01_Input'!$X$59="Palier",IF(AND(V$20&gt;='01_Input'!$V$59,V$20&lt;'01_Input'!$W$59),'01_Input'!$Y$59,0),MAX(MIN(V$20,'01_Input'!$W$59)-'01_Input'!$V$59,0)*'01_Input'!$Y$59))+IF('01_Input'!$AB$59="Forfait",IF(V$20&gt;='01_Input'!$Z$59,'01_Input'!$AC$59,0),IF('01_Input'!$AB$59="Palier",IF(AND(V$20&gt;='01_Input'!$Z$59,V$20&lt;'01_Input'!$AA$59),'01_Input'!$AC$59,0),MAX(MIN(V$20,'01_Input'!$AA$59)-'01_Input'!$Z$59,0)*'01_Input'!$AC$59)))))))))</f>
        <v>0</v>
      </c>
      <c r="W27" s="25">
        <f>IF('01_Input'!$C$59="Non",0,MIN('01_Input'!$I$59,MAX('01_Input'!$H$59,IF('01_Input'!$G$59="Résiduel vs Gestion",0,IF('01_Input'!$G$59="Taux Classe sélectionnée",Distrib_Global_Classe_Selectionnee*W$20,IF('01_Input'!$G$59="Frais KYC (paliers de 100M€)",MAX(0,Nb_Investisseurs-Nb_KYC_Gratuites_Par_Tranche*(FLOOR(W$20/Taille_Tranche_KYC,1)+1))*Cout_Par_KYC_Supplementaire,(IF('01_Input'!$L$59="Forfait",IF(W$20&gt;='01_Input'!$J$59,'01_Input'!$M$59,0),IF('01_Input'!$L$59="Palier",IF(AND(W$20&gt;='01_Input'!$J$59,W$20&lt;'01_Input'!$K$59),'01_Input'!$M$59,0),MAX(MIN(W$20,'01_Input'!$K$59)-'01_Input'!$J$59,0)*'01_Input'!$M$59))+IF('01_Input'!$P$59="Forfait",IF(W$20&gt;='01_Input'!$N$59,'01_Input'!$Q$59,0),IF('01_Input'!$P$59="Palier",IF(AND(W$20&gt;='01_Input'!$N$59,W$20&lt;'01_Input'!$O$59),'01_Input'!$Q$59,0),MAX(MIN(W$20,'01_Input'!$O$59)-'01_Input'!$N$59,0)*'01_Input'!$Q$59))+IF('01_Input'!$T$59="Forfait",IF(W$20&gt;='01_Input'!$R$59,'01_Input'!$U$59,0),IF('01_Input'!$T$59="Palier",IF(AND(W$20&gt;='01_Input'!$R$59,W$20&lt;'01_Input'!$S$59),'01_Input'!$U$59,0),MAX(MIN(W$20,'01_Input'!$S$59)-'01_Input'!$R$59,0)*'01_Input'!$U$59))+IF('01_Input'!$X$59="Forfait",IF(W$20&gt;='01_Input'!$V$59,'01_Input'!$Y$59,0),IF('01_Input'!$X$59="Palier",IF(AND(W$20&gt;='01_Input'!$V$59,W$20&lt;'01_Input'!$W$59),'01_Input'!$Y$59,0),MAX(MIN(W$20,'01_Input'!$W$59)-'01_Input'!$V$59,0)*'01_Input'!$Y$59))+IF('01_Input'!$AB$59="Forfait",IF(W$20&gt;='01_Input'!$Z$59,'01_Input'!$AC$59,0),IF('01_Input'!$AB$59="Palier",IF(AND(W$20&gt;='01_Input'!$Z$59,W$20&lt;'01_Input'!$AA$59),'01_Input'!$AC$59,0),MAX(MIN(W$20,'01_Input'!$AA$59)-'01_Input'!$Z$59,0)*'01_Input'!$AC$59)))))))))</f>
        <v>0</v>
      </c>
      <c r="X27" s="25">
        <f>IF('01_Input'!$C$59="Non",0,MIN('01_Input'!$I$59,MAX('01_Input'!$H$59,IF('01_Input'!$G$59="Résiduel vs Gestion",0,IF('01_Input'!$G$59="Taux Classe sélectionnée",Distrib_Global_Classe_Selectionnee*X$20,IF('01_Input'!$G$59="Frais KYC (paliers de 100M€)",MAX(0,Nb_Investisseurs-Nb_KYC_Gratuites_Par_Tranche*(FLOOR(X$20/Taille_Tranche_KYC,1)+1))*Cout_Par_KYC_Supplementaire,(IF('01_Input'!$L$59="Forfait",IF(X$20&gt;='01_Input'!$J$59,'01_Input'!$M$59,0),IF('01_Input'!$L$59="Palier",IF(AND(X$20&gt;='01_Input'!$J$59,X$20&lt;'01_Input'!$K$59),'01_Input'!$M$59,0),MAX(MIN(X$20,'01_Input'!$K$59)-'01_Input'!$J$59,0)*'01_Input'!$M$59))+IF('01_Input'!$P$59="Forfait",IF(X$20&gt;='01_Input'!$N$59,'01_Input'!$Q$59,0),IF('01_Input'!$P$59="Palier",IF(AND(X$20&gt;='01_Input'!$N$59,X$20&lt;'01_Input'!$O$59),'01_Input'!$Q$59,0),MAX(MIN(X$20,'01_Input'!$O$59)-'01_Input'!$N$59,0)*'01_Input'!$Q$59))+IF('01_Input'!$T$59="Forfait",IF(X$20&gt;='01_Input'!$R$59,'01_Input'!$U$59,0),IF('01_Input'!$T$59="Palier",IF(AND(X$20&gt;='01_Input'!$R$59,X$20&lt;'01_Input'!$S$59),'01_Input'!$U$59,0),MAX(MIN(X$20,'01_Input'!$S$59)-'01_Input'!$R$59,0)*'01_Input'!$U$59))+IF('01_Input'!$X$59="Forfait",IF(X$20&gt;='01_Input'!$V$59,'01_Input'!$Y$59,0),IF('01_Input'!$X$59="Palier",IF(AND(X$20&gt;='01_Input'!$V$59,X$20&lt;'01_Input'!$W$59),'01_Input'!$Y$59,0),MAX(MIN(X$20,'01_Input'!$W$59)-'01_Input'!$V$59,0)*'01_Input'!$Y$59))+IF('01_Input'!$AB$59="Forfait",IF(X$20&gt;='01_Input'!$Z$59,'01_Input'!$AC$59,0),IF('01_Input'!$AB$59="Palier",IF(AND(X$20&gt;='01_Input'!$Z$59,X$20&lt;'01_Input'!$AA$59),'01_Input'!$AC$59,0),MAX(MIN(X$20,'01_Input'!$AA$59)-'01_Input'!$Z$59,0)*'01_Input'!$AC$59)))))))))</f>
        <v>0</v>
      </c>
      <c r="Y27" s="25">
        <f>IF('01_Input'!$C$59="Non",0,MIN('01_Input'!$I$59,MAX('01_Input'!$H$59,IF('01_Input'!$G$59="Résiduel vs Gestion",0,IF('01_Input'!$G$59="Taux Classe sélectionnée",Distrib_Global_Classe_Selectionnee*Y$20,IF('01_Input'!$G$59="Frais KYC (paliers de 100M€)",MAX(0,Nb_Investisseurs-Nb_KYC_Gratuites_Par_Tranche*(FLOOR(Y$20/Taille_Tranche_KYC,1)+1))*Cout_Par_KYC_Supplementaire,(IF('01_Input'!$L$59="Forfait",IF(Y$20&gt;='01_Input'!$J$59,'01_Input'!$M$59,0),IF('01_Input'!$L$59="Palier",IF(AND(Y$20&gt;='01_Input'!$J$59,Y$20&lt;'01_Input'!$K$59),'01_Input'!$M$59,0),MAX(MIN(Y$20,'01_Input'!$K$59)-'01_Input'!$J$59,0)*'01_Input'!$M$59))+IF('01_Input'!$P$59="Forfait",IF(Y$20&gt;='01_Input'!$N$59,'01_Input'!$Q$59,0),IF('01_Input'!$P$59="Palier",IF(AND(Y$20&gt;='01_Input'!$N$59,Y$20&lt;'01_Input'!$O$59),'01_Input'!$Q$59,0),MAX(MIN(Y$20,'01_Input'!$O$59)-'01_Input'!$N$59,0)*'01_Input'!$Q$59))+IF('01_Input'!$T$59="Forfait",IF(Y$20&gt;='01_Input'!$R$59,'01_Input'!$U$59,0),IF('01_Input'!$T$59="Palier",IF(AND(Y$20&gt;='01_Input'!$R$59,Y$20&lt;'01_Input'!$S$59),'01_Input'!$U$59,0),MAX(MIN(Y$20,'01_Input'!$S$59)-'01_Input'!$R$59,0)*'01_Input'!$U$59))+IF('01_Input'!$X$59="Forfait",IF(Y$20&gt;='01_Input'!$V$59,'01_Input'!$Y$59,0),IF('01_Input'!$X$59="Palier",IF(AND(Y$20&gt;='01_Input'!$V$59,Y$20&lt;'01_Input'!$W$59),'01_Input'!$Y$59,0),MAX(MIN(Y$20,'01_Input'!$W$59)-'01_Input'!$V$59,0)*'01_Input'!$Y$59))+IF('01_Input'!$AB$59="Forfait",IF(Y$20&gt;='01_Input'!$Z$59,'01_Input'!$AC$59,0),IF('01_Input'!$AB$59="Palier",IF(AND(Y$20&gt;='01_Input'!$Z$59,Y$20&lt;'01_Input'!$AA$59),'01_Input'!$AC$59,0),MAX(MIN(Y$20,'01_Input'!$AA$59)-'01_Input'!$Z$59,0)*'01_Input'!$AC$59)))))))))</f>
        <v>0</v>
      </c>
      <c r="Z27" s="25">
        <f>IF('01_Input'!$C$59="Non",0,MIN('01_Input'!$I$59,MAX('01_Input'!$H$59,IF('01_Input'!$G$59="Résiduel vs Gestion",0,IF('01_Input'!$G$59="Taux Classe sélectionnée",Distrib_Global_Classe_Selectionnee*Z$20,IF('01_Input'!$G$59="Frais KYC (paliers de 100M€)",MAX(0,Nb_Investisseurs-Nb_KYC_Gratuites_Par_Tranche*(FLOOR(Z$20/Taille_Tranche_KYC,1)+1))*Cout_Par_KYC_Supplementaire,(IF('01_Input'!$L$59="Forfait",IF(Z$20&gt;='01_Input'!$J$59,'01_Input'!$M$59,0),IF('01_Input'!$L$59="Palier",IF(AND(Z$20&gt;='01_Input'!$J$59,Z$20&lt;'01_Input'!$K$59),'01_Input'!$M$59,0),MAX(MIN(Z$20,'01_Input'!$K$59)-'01_Input'!$J$59,0)*'01_Input'!$M$59))+IF('01_Input'!$P$59="Forfait",IF(Z$20&gt;='01_Input'!$N$59,'01_Input'!$Q$59,0),IF('01_Input'!$P$59="Palier",IF(AND(Z$20&gt;='01_Input'!$N$59,Z$20&lt;'01_Input'!$O$59),'01_Input'!$Q$59,0),MAX(MIN(Z$20,'01_Input'!$O$59)-'01_Input'!$N$59,0)*'01_Input'!$Q$59))+IF('01_Input'!$T$59="Forfait",IF(Z$20&gt;='01_Input'!$R$59,'01_Input'!$U$59,0),IF('01_Input'!$T$59="Palier",IF(AND(Z$20&gt;='01_Input'!$R$59,Z$20&lt;'01_Input'!$S$59),'01_Input'!$U$59,0),MAX(MIN(Z$20,'01_Input'!$S$59)-'01_Input'!$R$59,0)*'01_Input'!$U$59))+IF('01_Input'!$X$59="Forfait",IF(Z$20&gt;='01_Input'!$V$59,'01_Input'!$Y$59,0),IF('01_Input'!$X$59="Palier",IF(AND(Z$20&gt;='01_Input'!$V$59,Z$20&lt;'01_Input'!$W$59),'01_Input'!$Y$59,0),MAX(MIN(Z$20,'01_Input'!$W$59)-'01_Input'!$V$59,0)*'01_Input'!$Y$59))+IF('01_Input'!$AB$59="Forfait",IF(Z$20&gt;='01_Input'!$Z$59,'01_Input'!$AC$59,0),IF('01_Input'!$AB$59="Palier",IF(AND(Z$20&gt;='01_Input'!$Z$59,Z$20&lt;'01_Input'!$AA$59),'01_Input'!$AC$59,0),MAX(MIN(Z$20,'01_Input'!$AA$59)-'01_Input'!$Z$59,0)*'01_Input'!$AC$59)))))))))</f>
        <v>0</v>
      </c>
      <c r="AA27" s="25">
        <f>IF('01_Input'!$C$59="Non",0,MIN('01_Input'!$I$59,MAX('01_Input'!$H$59,IF('01_Input'!$G$59="Résiduel vs Gestion",0,IF('01_Input'!$G$59="Taux Classe sélectionnée",Distrib_Global_Classe_Selectionnee*AA$20,IF('01_Input'!$G$59="Frais KYC (paliers de 100M€)",MAX(0,Nb_Investisseurs-Nb_KYC_Gratuites_Par_Tranche*(FLOOR(AA$20/Taille_Tranche_KYC,1)+1))*Cout_Par_KYC_Supplementaire,(IF('01_Input'!$L$59="Forfait",IF(AA$20&gt;='01_Input'!$J$59,'01_Input'!$M$59,0),IF('01_Input'!$L$59="Palier",IF(AND(AA$20&gt;='01_Input'!$J$59,AA$20&lt;'01_Input'!$K$59),'01_Input'!$M$59,0),MAX(MIN(AA$20,'01_Input'!$K$59)-'01_Input'!$J$59,0)*'01_Input'!$M$59))+IF('01_Input'!$P$59="Forfait",IF(AA$20&gt;='01_Input'!$N$59,'01_Input'!$Q$59,0),IF('01_Input'!$P$59="Palier",IF(AND(AA$20&gt;='01_Input'!$N$59,AA$20&lt;'01_Input'!$O$59),'01_Input'!$Q$59,0),MAX(MIN(AA$20,'01_Input'!$O$59)-'01_Input'!$N$59,0)*'01_Input'!$Q$59))+IF('01_Input'!$T$59="Forfait",IF(AA$20&gt;='01_Input'!$R$59,'01_Input'!$U$59,0),IF('01_Input'!$T$59="Palier",IF(AND(AA$20&gt;='01_Input'!$R$59,AA$20&lt;'01_Input'!$S$59),'01_Input'!$U$59,0),MAX(MIN(AA$20,'01_Input'!$S$59)-'01_Input'!$R$59,0)*'01_Input'!$U$59))+IF('01_Input'!$X$59="Forfait",IF(AA$20&gt;='01_Input'!$V$59,'01_Input'!$Y$59,0),IF('01_Input'!$X$59="Palier",IF(AND(AA$20&gt;='01_Input'!$V$59,AA$20&lt;'01_Input'!$W$59),'01_Input'!$Y$59,0),MAX(MIN(AA$20,'01_Input'!$W$59)-'01_Input'!$V$59,0)*'01_Input'!$Y$59))+IF('01_Input'!$AB$59="Forfait",IF(AA$20&gt;='01_Input'!$Z$59,'01_Input'!$AC$59,0),IF('01_Input'!$AB$59="Palier",IF(AND(AA$20&gt;='01_Input'!$Z$59,AA$20&lt;'01_Input'!$AA$59),'01_Input'!$AC$59,0),MAX(MIN(AA$20,'01_Input'!$AA$59)-'01_Input'!$Z$59,0)*'01_Input'!$AC$59)))))))))</f>
        <v>0</v>
      </c>
      <c r="AB27" s="25">
        <f>IF('01_Input'!$C$59="Non",0,MIN('01_Input'!$I$59,MAX('01_Input'!$H$59,IF('01_Input'!$G$59="Résiduel vs Gestion",0,IF('01_Input'!$G$59="Taux Classe sélectionnée",Distrib_Global_Classe_Selectionnee*AB$20,IF('01_Input'!$G$59="Frais KYC (paliers de 100M€)",MAX(0,Nb_Investisseurs-Nb_KYC_Gratuites_Par_Tranche*(FLOOR(AB$20/Taille_Tranche_KYC,1)+1))*Cout_Par_KYC_Supplementaire,(IF('01_Input'!$L$59="Forfait",IF(AB$20&gt;='01_Input'!$J$59,'01_Input'!$M$59,0),IF('01_Input'!$L$59="Palier",IF(AND(AB$20&gt;='01_Input'!$J$59,AB$20&lt;'01_Input'!$K$59),'01_Input'!$M$59,0),MAX(MIN(AB$20,'01_Input'!$K$59)-'01_Input'!$J$59,0)*'01_Input'!$M$59))+IF('01_Input'!$P$59="Forfait",IF(AB$20&gt;='01_Input'!$N$59,'01_Input'!$Q$59,0),IF('01_Input'!$P$59="Palier",IF(AND(AB$20&gt;='01_Input'!$N$59,AB$20&lt;'01_Input'!$O$59),'01_Input'!$Q$59,0),MAX(MIN(AB$20,'01_Input'!$O$59)-'01_Input'!$N$59,0)*'01_Input'!$Q$59))+IF('01_Input'!$T$59="Forfait",IF(AB$20&gt;='01_Input'!$R$59,'01_Input'!$U$59,0),IF('01_Input'!$T$59="Palier",IF(AND(AB$20&gt;='01_Input'!$R$59,AB$20&lt;'01_Input'!$S$59),'01_Input'!$U$59,0),MAX(MIN(AB$20,'01_Input'!$S$59)-'01_Input'!$R$59,0)*'01_Input'!$U$59))+IF('01_Input'!$X$59="Forfait",IF(AB$20&gt;='01_Input'!$V$59,'01_Input'!$Y$59,0),IF('01_Input'!$X$59="Palier",IF(AND(AB$20&gt;='01_Input'!$V$59,AB$20&lt;'01_Input'!$W$59),'01_Input'!$Y$59,0),MAX(MIN(AB$20,'01_Input'!$W$59)-'01_Input'!$V$59,0)*'01_Input'!$Y$59))+IF('01_Input'!$AB$59="Forfait",IF(AB$20&gt;='01_Input'!$Z$59,'01_Input'!$AC$59,0),IF('01_Input'!$AB$59="Palier",IF(AND(AB$20&gt;='01_Input'!$Z$59,AB$20&lt;'01_Input'!$AA$59),'01_Input'!$AC$59,0),MAX(MIN(AB$20,'01_Input'!$AA$59)-'01_Input'!$Z$59,0)*'01_Input'!$AC$59)))))))))</f>
        <v>0</v>
      </c>
      <c r="AC27" s="25">
        <f>IF('01_Input'!$C$59="Non",0,MIN('01_Input'!$I$59,MAX('01_Input'!$H$59,IF('01_Input'!$G$59="Résiduel vs Gestion",0,IF('01_Input'!$G$59="Taux Classe sélectionnée",Distrib_Global_Classe_Selectionnee*AC$20,IF('01_Input'!$G$59="Frais KYC (paliers de 100M€)",MAX(0,Nb_Investisseurs-Nb_KYC_Gratuites_Par_Tranche*(FLOOR(AC$20/Taille_Tranche_KYC,1)+1))*Cout_Par_KYC_Supplementaire,(IF('01_Input'!$L$59="Forfait",IF(AC$20&gt;='01_Input'!$J$59,'01_Input'!$M$59,0),IF('01_Input'!$L$59="Palier",IF(AND(AC$20&gt;='01_Input'!$J$59,AC$20&lt;'01_Input'!$K$59),'01_Input'!$M$59,0),MAX(MIN(AC$20,'01_Input'!$K$59)-'01_Input'!$J$59,0)*'01_Input'!$M$59))+IF('01_Input'!$P$59="Forfait",IF(AC$20&gt;='01_Input'!$N$59,'01_Input'!$Q$59,0),IF('01_Input'!$P$59="Palier",IF(AND(AC$20&gt;='01_Input'!$N$59,AC$20&lt;'01_Input'!$O$59),'01_Input'!$Q$59,0),MAX(MIN(AC$20,'01_Input'!$O$59)-'01_Input'!$N$59,0)*'01_Input'!$Q$59))+IF('01_Input'!$T$59="Forfait",IF(AC$20&gt;='01_Input'!$R$59,'01_Input'!$U$59,0),IF('01_Input'!$T$59="Palier",IF(AND(AC$20&gt;='01_Input'!$R$59,AC$20&lt;'01_Input'!$S$59),'01_Input'!$U$59,0),MAX(MIN(AC$20,'01_Input'!$S$59)-'01_Input'!$R$59,0)*'01_Input'!$U$59))+IF('01_Input'!$X$59="Forfait",IF(AC$20&gt;='01_Input'!$V$59,'01_Input'!$Y$59,0),IF('01_Input'!$X$59="Palier",IF(AND(AC$20&gt;='01_Input'!$V$59,AC$20&lt;'01_Input'!$W$59),'01_Input'!$Y$59,0),MAX(MIN(AC$20,'01_Input'!$W$59)-'01_Input'!$V$59,0)*'01_Input'!$Y$59))+IF('01_Input'!$AB$59="Forfait",IF(AC$20&gt;='01_Input'!$Z$59,'01_Input'!$AC$59,0),IF('01_Input'!$AB$59="Palier",IF(AND(AC$20&gt;='01_Input'!$Z$59,AC$20&lt;'01_Input'!$AA$59),'01_Input'!$AC$59,0),MAX(MIN(AC$20,'01_Input'!$AA$59)-'01_Input'!$Z$59,0)*'01_Input'!$AC$59)))))))))</f>
        <v>0</v>
      </c>
      <c r="AD27" s="25">
        <f>IF('01_Input'!$C$59="Non",0,MIN('01_Input'!$I$59,MAX('01_Input'!$H$59,IF('01_Input'!$G$59="Résiduel vs Gestion",0,IF('01_Input'!$G$59="Taux Classe sélectionnée",Distrib_Global_Classe_Selectionnee*AD$20,IF('01_Input'!$G$59="Frais KYC (paliers de 100M€)",MAX(0,Nb_Investisseurs-Nb_KYC_Gratuites_Par_Tranche*(FLOOR(AD$20/Taille_Tranche_KYC,1)+1))*Cout_Par_KYC_Supplementaire,(IF('01_Input'!$L$59="Forfait",IF(AD$20&gt;='01_Input'!$J$59,'01_Input'!$M$59,0),IF('01_Input'!$L$59="Palier",IF(AND(AD$20&gt;='01_Input'!$J$59,AD$20&lt;'01_Input'!$K$59),'01_Input'!$M$59,0),MAX(MIN(AD$20,'01_Input'!$K$59)-'01_Input'!$J$59,0)*'01_Input'!$M$59))+IF('01_Input'!$P$59="Forfait",IF(AD$20&gt;='01_Input'!$N$59,'01_Input'!$Q$59,0),IF('01_Input'!$P$59="Palier",IF(AND(AD$20&gt;='01_Input'!$N$59,AD$20&lt;'01_Input'!$O$59),'01_Input'!$Q$59,0),MAX(MIN(AD$20,'01_Input'!$O$59)-'01_Input'!$N$59,0)*'01_Input'!$Q$59))+IF('01_Input'!$T$59="Forfait",IF(AD$20&gt;='01_Input'!$R$59,'01_Input'!$U$59,0),IF('01_Input'!$T$59="Palier",IF(AND(AD$20&gt;='01_Input'!$R$59,AD$20&lt;'01_Input'!$S$59),'01_Input'!$U$59,0),MAX(MIN(AD$20,'01_Input'!$S$59)-'01_Input'!$R$59,0)*'01_Input'!$U$59))+IF('01_Input'!$X$59="Forfait",IF(AD$20&gt;='01_Input'!$V$59,'01_Input'!$Y$59,0),IF('01_Input'!$X$59="Palier",IF(AND(AD$20&gt;='01_Input'!$V$59,AD$20&lt;'01_Input'!$W$59),'01_Input'!$Y$59,0),MAX(MIN(AD$20,'01_Input'!$W$59)-'01_Input'!$V$59,0)*'01_Input'!$Y$59))+IF('01_Input'!$AB$59="Forfait",IF(AD$20&gt;='01_Input'!$Z$59,'01_Input'!$AC$59,0),IF('01_Input'!$AB$59="Palier",IF(AND(AD$20&gt;='01_Input'!$Z$59,AD$20&lt;'01_Input'!$AA$59),'01_Input'!$AC$59,0),MAX(MIN(AD$20,'01_Input'!$AA$59)-'01_Input'!$Z$59,0)*'01_Input'!$AC$59)))))))))</f>
        <v>0</v>
      </c>
      <c r="AE27" s="25">
        <f>IF('01_Input'!$C$59="Non",0,MIN('01_Input'!$I$59,MAX('01_Input'!$H$59,IF('01_Input'!$G$59="Résiduel vs Gestion",0,IF('01_Input'!$G$59="Taux Classe sélectionnée",Distrib_Global_Classe_Selectionnee*AE$20,IF('01_Input'!$G$59="Frais KYC (paliers de 100M€)",MAX(0,Nb_Investisseurs-Nb_KYC_Gratuites_Par_Tranche*(FLOOR(AE$20/Taille_Tranche_KYC,1)+1))*Cout_Par_KYC_Supplementaire,(IF('01_Input'!$L$59="Forfait",IF(AE$20&gt;='01_Input'!$J$59,'01_Input'!$M$59,0),IF('01_Input'!$L$59="Palier",IF(AND(AE$20&gt;='01_Input'!$J$59,AE$20&lt;'01_Input'!$K$59),'01_Input'!$M$59,0),MAX(MIN(AE$20,'01_Input'!$K$59)-'01_Input'!$J$59,0)*'01_Input'!$M$59))+IF('01_Input'!$P$59="Forfait",IF(AE$20&gt;='01_Input'!$N$59,'01_Input'!$Q$59,0),IF('01_Input'!$P$59="Palier",IF(AND(AE$20&gt;='01_Input'!$N$59,AE$20&lt;'01_Input'!$O$59),'01_Input'!$Q$59,0),MAX(MIN(AE$20,'01_Input'!$O$59)-'01_Input'!$N$59,0)*'01_Input'!$Q$59))+IF('01_Input'!$T$59="Forfait",IF(AE$20&gt;='01_Input'!$R$59,'01_Input'!$U$59,0),IF('01_Input'!$T$59="Palier",IF(AND(AE$20&gt;='01_Input'!$R$59,AE$20&lt;'01_Input'!$S$59),'01_Input'!$U$59,0),MAX(MIN(AE$20,'01_Input'!$S$59)-'01_Input'!$R$59,0)*'01_Input'!$U$59))+IF('01_Input'!$X$59="Forfait",IF(AE$20&gt;='01_Input'!$V$59,'01_Input'!$Y$59,0),IF('01_Input'!$X$59="Palier",IF(AND(AE$20&gt;='01_Input'!$V$59,AE$20&lt;'01_Input'!$W$59),'01_Input'!$Y$59,0),MAX(MIN(AE$20,'01_Input'!$W$59)-'01_Input'!$V$59,0)*'01_Input'!$Y$59))+IF('01_Input'!$AB$59="Forfait",IF(AE$20&gt;='01_Input'!$Z$59,'01_Input'!$AC$59,0),IF('01_Input'!$AB$59="Palier",IF(AND(AE$20&gt;='01_Input'!$Z$59,AE$20&lt;'01_Input'!$AA$59),'01_Input'!$AC$59,0),MAX(MIN(AE$20,'01_Input'!$AA$59)-'01_Input'!$Z$59,0)*'01_Input'!$AC$59)))))))))</f>
        <v>0</v>
      </c>
      <c r="AF27" s="25">
        <f>IF('01_Input'!$C$59="Non",0,MIN('01_Input'!$I$59,MAX('01_Input'!$H$59,IF('01_Input'!$G$59="Résiduel vs Gestion",0,IF('01_Input'!$G$59="Taux Classe sélectionnée",Distrib_Global_Classe_Selectionnee*AF$20,IF('01_Input'!$G$59="Frais KYC (paliers de 100M€)",MAX(0,Nb_Investisseurs-Nb_KYC_Gratuites_Par_Tranche*(FLOOR(AF$20/Taille_Tranche_KYC,1)+1))*Cout_Par_KYC_Supplementaire,(IF('01_Input'!$L$59="Forfait",IF(AF$20&gt;='01_Input'!$J$59,'01_Input'!$M$59,0),IF('01_Input'!$L$59="Palier",IF(AND(AF$20&gt;='01_Input'!$J$59,AF$20&lt;'01_Input'!$K$59),'01_Input'!$M$59,0),MAX(MIN(AF$20,'01_Input'!$K$59)-'01_Input'!$J$59,0)*'01_Input'!$M$59))+IF('01_Input'!$P$59="Forfait",IF(AF$20&gt;='01_Input'!$N$59,'01_Input'!$Q$59,0),IF('01_Input'!$P$59="Palier",IF(AND(AF$20&gt;='01_Input'!$N$59,AF$20&lt;'01_Input'!$O$59),'01_Input'!$Q$59,0),MAX(MIN(AF$20,'01_Input'!$O$59)-'01_Input'!$N$59,0)*'01_Input'!$Q$59))+IF('01_Input'!$T$59="Forfait",IF(AF$20&gt;='01_Input'!$R$59,'01_Input'!$U$59,0),IF('01_Input'!$T$59="Palier",IF(AND(AF$20&gt;='01_Input'!$R$59,AF$20&lt;'01_Input'!$S$59),'01_Input'!$U$59,0),MAX(MIN(AF$20,'01_Input'!$S$59)-'01_Input'!$R$59,0)*'01_Input'!$U$59))+IF('01_Input'!$X$59="Forfait",IF(AF$20&gt;='01_Input'!$V$59,'01_Input'!$Y$59,0),IF('01_Input'!$X$59="Palier",IF(AND(AF$20&gt;='01_Input'!$V$59,AF$20&lt;'01_Input'!$W$59),'01_Input'!$Y$59,0),MAX(MIN(AF$20,'01_Input'!$W$59)-'01_Input'!$V$59,0)*'01_Input'!$Y$59))+IF('01_Input'!$AB$59="Forfait",IF(AF$20&gt;='01_Input'!$Z$59,'01_Input'!$AC$59,0),IF('01_Input'!$AB$59="Palier",IF(AND(AF$20&gt;='01_Input'!$Z$59,AF$20&lt;'01_Input'!$AA$59),'01_Input'!$AC$59,0),MAX(MIN(AF$20,'01_Input'!$AA$59)-'01_Input'!$Z$59,0)*'01_Input'!$AC$59)))))))))</f>
        <v>0</v>
      </c>
      <c r="AG27" s="25">
        <f>IF('01_Input'!$C$59="Non",0,MIN('01_Input'!$I$59,MAX('01_Input'!$H$59,IF('01_Input'!$G$59="Résiduel vs Gestion",0,IF('01_Input'!$G$59="Taux Classe sélectionnée",Distrib_Global_Classe_Selectionnee*AG$20,IF('01_Input'!$G$59="Frais KYC (paliers de 100M€)",MAX(0,Nb_Investisseurs-Nb_KYC_Gratuites_Par_Tranche*(FLOOR(AG$20/Taille_Tranche_KYC,1)+1))*Cout_Par_KYC_Supplementaire,(IF('01_Input'!$L$59="Forfait",IF(AG$20&gt;='01_Input'!$J$59,'01_Input'!$M$59,0),IF('01_Input'!$L$59="Palier",IF(AND(AG$20&gt;='01_Input'!$J$59,AG$20&lt;'01_Input'!$K$59),'01_Input'!$M$59,0),MAX(MIN(AG$20,'01_Input'!$K$59)-'01_Input'!$J$59,0)*'01_Input'!$M$59))+IF('01_Input'!$P$59="Forfait",IF(AG$20&gt;='01_Input'!$N$59,'01_Input'!$Q$59,0),IF('01_Input'!$P$59="Palier",IF(AND(AG$20&gt;='01_Input'!$N$59,AG$20&lt;'01_Input'!$O$59),'01_Input'!$Q$59,0),MAX(MIN(AG$20,'01_Input'!$O$59)-'01_Input'!$N$59,0)*'01_Input'!$Q$59))+IF('01_Input'!$T$59="Forfait",IF(AG$20&gt;='01_Input'!$R$59,'01_Input'!$U$59,0),IF('01_Input'!$T$59="Palier",IF(AND(AG$20&gt;='01_Input'!$R$59,AG$20&lt;'01_Input'!$S$59),'01_Input'!$U$59,0),MAX(MIN(AG$20,'01_Input'!$S$59)-'01_Input'!$R$59,0)*'01_Input'!$U$59))+IF('01_Input'!$X$59="Forfait",IF(AG$20&gt;='01_Input'!$V$59,'01_Input'!$Y$59,0),IF('01_Input'!$X$59="Palier",IF(AND(AG$20&gt;='01_Input'!$V$59,AG$20&lt;'01_Input'!$W$59),'01_Input'!$Y$59,0),MAX(MIN(AG$20,'01_Input'!$W$59)-'01_Input'!$V$59,0)*'01_Input'!$Y$59))+IF('01_Input'!$AB$59="Forfait",IF(AG$20&gt;='01_Input'!$Z$59,'01_Input'!$AC$59,0),IF('01_Input'!$AB$59="Palier",IF(AND(AG$20&gt;='01_Input'!$Z$59,AG$20&lt;'01_Input'!$AA$59),'01_Input'!$AC$59,0),MAX(MIN(AG$20,'01_Input'!$AA$59)-'01_Input'!$Z$59,0)*'01_Input'!$AC$59)))))))))</f>
        <v>0</v>
      </c>
      <c r="AH27" s="25">
        <f>IF('01_Input'!$C$59="Non",0,MIN('01_Input'!$I$59,MAX('01_Input'!$H$59,IF('01_Input'!$G$59="Résiduel vs Gestion",0,IF('01_Input'!$G$59="Taux Classe sélectionnée",Distrib_Global_Classe_Selectionnee*AH$20,IF('01_Input'!$G$59="Frais KYC (paliers de 100M€)",MAX(0,Nb_Investisseurs-Nb_KYC_Gratuites_Par_Tranche*(FLOOR(AH$20/Taille_Tranche_KYC,1)+1))*Cout_Par_KYC_Supplementaire,(IF('01_Input'!$L$59="Forfait",IF(AH$20&gt;='01_Input'!$J$59,'01_Input'!$M$59,0),IF('01_Input'!$L$59="Palier",IF(AND(AH$20&gt;='01_Input'!$J$59,AH$20&lt;'01_Input'!$K$59),'01_Input'!$M$59,0),MAX(MIN(AH$20,'01_Input'!$K$59)-'01_Input'!$J$59,0)*'01_Input'!$M$59))+IF('01_Input'!$P$59="Forfait",IF(AH$20&gt;='01_Input'!$N$59,'01_Input'!$Q$59,0),IF('01_Input'!$P$59="Palier",IF(AND(AH$20&gt;='01_Input'!$N$59,AH$20&lt;'01_Input'!$O$59),'01_Input'!$Q$59,0),MAX(MIN(AH$20,'01_Input'!$O$59)-'01_Input'!$N$59,0)*'01_Input'!$Q$59))+IF('01_Input'!$T$59="Forfait",IF(AH$20&gt;='01_Input'!$R$59,'01_Input'!$U$59,0),IF('01_Input'!$T$59="Palier",IF(AND(AH$20&gt;='01_Input'!$R$59,AH$20&lt;'01_Input'!$S$59),'01_Input'!$U$59,0),MAX(MIN(AH$20,'01_Input'!$S$59)-'01_Input'!$R$59,0)*'01_Input'!$U$59))+IF('01_Input'!$X$59="Forfait",IF(AH$20&gt;='01_Input'!$V$59,'01_Input'!$Y$59,0),IF('01_Input'!$X$59="Palier",IF(AND(AH$20&gt;='01_Input'!$V$59,AH$20&lt;'01_Input'!$W$59),'01_Input'!$Y$59,0),MAX(MIN(AH$20,'01_Input'!$W$59)-'01_Input'!$V$59,0)*'01_Input'!$Y$59))+IF('01_Input'!$AB$59="Forfait",IF(AH$20&gt;='01_Input'!$Z$59,'01_Input'!$AC$59,0),IF('01_Input'!$AB$59="Palier",IF(AND(AH$20&gt;='01_Input'!$Z$59,AH$20&lt;'01_Input'!$AA$59),'01_Input'!$AC$59,0),MAX(MIN(AH$20,'01_Input'!$AA$59)-'01_Input'!$Z$59,0)*'01_Input'!$AC$59)))))))))</f>
        <v>0</v>
      </c>
      <c r="AI27" s="25">
        <f>IF('01_Input'!$C$59="Non",0,MIN('01_Input'!$I$59,MAX('01_Input'!$H$59,IF('01_Input'!$G$59="Résiduel vs Gestion",0,IF('01_Input'!$G$59="Taux Classe sélectionnée",Distrib_Global_Classe_Selectionnee*AI$20,IF('01_Input'!$G$59="Frais KYC (paliers de 100M€)",MAX(0,Nb_Investisseurs-Nb_KYC_Gratuites_Par_Tranche*(FLOOR(AI$20/Taille_Tranche_KYC,1)+1))*Cout_Par_KYC_Supplementaire,(IF('01_Input'!$L$59="Forfait",IF(AI$20&gt;='01_Input'!$J$59,'01_Input'!$M$59,0),IF('01_Input'!$L$59="Palier",IF(AND(AI$20&gt;='01_Input'!$J$59,AI$20&lt;'01_Input'!$K$59),'01_Input'!$M$59,0),MAX(MIN(AI$20,'01_Input'!$K$59)-'01_Input'!$J$59,0)*'01_Input'!$M$59))+IF('01_Input'!$P$59="Forfait",IF(AI$20&gt;='01_Input'!$N$59,'01_Input'!$Q$59,0),IF('01_Input'!$P$59="Palier",IF(AND(AI$20&gt;='01_Input'!$N$59,AI$20&lt;'01_Input'!$O$59),'01_Input'!$Q$59,0),MAX(MIN(AI$20,'01_Input'!$O$59)-'01_Input'!$N$59,0)*'01_Input'!$Q$59))+IF('01_Input'!$T$59="Forfait",IF(AI$20&gt;='01_Input'!$R$59,'01_Input'!$U$59,0),IF('01_Input'!$T$59="Palier",IF(AND(AI$20&gt;='01_Input'!$R$59,AI$20&lt;'01_Input'!$S$59),'01_Input'!$U$59,0),MAX(MIN(AI$20,'01_Input'!$S$59)-'01_Input'!$R$59,0)*'01_Input'!$U$59))+IF('01_Input'!$X$59="Forfait",IF(AI$20&gt;='01_Input'!$V$59,'01_Input'!$Y$59,0),IF('01_Input'!$X$59="Palier",IF(AND(AI$20&gt;='01_Input'!$V$59,AI$20&lt;'01_Input'!$W$59),'01_Input'!$Y$59,0),MAX(MIN(AI$20,'01_Input'!$W$59)-'01_Input'!$V$59,0)*'01_Input'!$Y$59))+IF('01_Input'!$AB$59="Forfait",IF(AI$20&gt;='01_Input'!$Z$59,'01_Input'!$AC$59,0),IF('01_Input'!$AB$59="Palier",IF(AND(AI$20&gt;='01_Input'!$Z$59,AI$20&lt;'01_Input'!$AA$59),'01_Input'!$AC$59,0),MAX(MIN(AI$20,'01_Input'!$AA$59)-'01_Input'!$Z$59,0)*'01_Input'!$AC$59)))))))))</f>
        <v>0</v>
      </c>
      <c r="AJ27" s="25">
        <f>IF('01_Input'!$C$59="Non",0,MIN('01_Input'!$I$59,MAX('01_Input'!$H$59,IF('01_Input'!$G$59="Résiduel vs Gestion",0,IF('01_Input'!$G$59="Taux Classe sélectionnée",Distrib_Global_Classe_Selectionnee*AJ$20,IF('01_Input'!$G$59="Frais KYC (paliers de 100M€)",MAX(0,Nb_Investisseurs-Nb_KYC_Gratuites_Par_Tranche*(FLOOR(AJ$20/Taille_Tranche_KYC,1)+1))*Cout_Par_KYC_Supplementaire,(IF('01_Input'!$L$59="Forfait",IF(AJ$20&gt;='01_Input'!$J$59,'01_Input'!$M$59,0),IF('01_Input'!$L$59="Palier",IF(AND(AJ$20&gt;='01_Input'!$J$59,AJ$20&lt;'01_Input'!$K$59),'01_Input'!$M$59,0),MAX(MIN(AJ$20,'01_Input'!$K$59)-'01_Input'!$J$59,0)*'01_Input'!$M$59))+IF('01_Input'!$P$59="Forfait",IF(AJ$20&gt;='01_Input'!$N$59,'01_Input'!$Q$59,0),IF('01_Input'!$P$59="Palier",IF(AND(AJ$20&gt;='01_Input'!$N$59,AJ$20&lt;'01_Input'!$O$59),'01_Input'!$Q$59,0),MAX(MIN(AJ$20,'01_Input'!$O$59)-'01_Input'!$N$59,0)*'01_Input'!$Q$59))+IF('01_Input'!$T$59="Forfait",IF(AJ$20&gt;='01_Input'!$R$59,'01_Input'!$U$59,0),IF('01_Input'!$T$59="Palier",IF(AND(AJ$20&gt;='01_Input'!$R$59,AJ$20&lt;'01_Input'!$S$59),'01_Input'!$U$59,0),MAX(MIN(AJ$20,'01_Input'!$S$59)-'01_Input'!$R$59,0)*'01_Input'!$U$59))+IF('01_Input'!$X$59="Forfait",IF(AJ$20&gt;='01_Input'!$V$59,'01_Input'!$Y$59,0),IF('01_Input'!$X$59="Palier",IF(AND(AJ$20&gt;='01_Input'!$V$59,AJ$20&lt;'01_Input'!$W$59),'01_Input'!$Y$59,0),MAX(MIN(AJ$20,'01_Input'!$W$59)-'01_Input'!$V$59,0)*'01_Input'!$Y$59))+IF('01_Input'!$AB$59="Forfait",IF(AJ$20&gt;='01_Input'!$Z$59,'01_Input'!$AC$59,0),IF('01_Input'!$AB$59="Palier",IF(AND(AJ$20&gt;='01_Input'!$Z$59,AJ$20&lt;'01_Input'!$AA$59),'01_Input'!$AC$59,0),MAX(MIN(AJ$20,'01_Input'!$AA$59)-'01_Input'!$Z$59,0)*'01_Input'!$AC$59)))))))))</f>
        <v>0</v>
      </c>
      <c r="AK27" s="25">
        <f>IF('01_Input'!$C$59="Non",0,MIN('01_Input'!$I$59,MAX('01_Input'!$H$59,IF('01_Input'!$G$59="Résiduel vs Gestion",0,IF('01_Input'!$G$59="Taux Classe sélectionnée",Distrib_Global_Classe_Selectionnee*AK$20,IF('01_Input'!$G$59="Frais KYC (paliers de 100M€)",MAX(0,Nb_Investisseurs-Nb_KYC_Gratuites_Par_Tranche*(FLOOR(AK$20/Taille_Tranche_KYC,1)+1))*Cout_Par_KYC_Supplementaire,(IF('01_Input'!$L$59="Forfait",IF(AK$20&gt;='01_Input'!$J$59,'01_Input'!$M$59,0),IF('01_Input'!$L$59="Palier",IF(AND(AK$20&gt;='01_Input'!$J$59,AK$20&lt;'01_Input'!$K$59),'01_Input'!$M$59,0),MAX(MIN(AK$20,'01_Input'!$K$59)-'01_Input'!$J$59,0)*'01_Input'!$M$59))+IF('01_Input'!$P$59="Forfait",IF(AK$20&gt;='01_Input'!$N$59,'01_Input'!$Q$59,0),IF('01_Input'!$P$59="Palier",IF(AND(AK$20&gt;='01_Input'!$N$59,AK$20&lt;'01_Input'!$O$59),'01_Input'!$Q$59,0),MAX(MIN(AK$20,'01_Input'!$O$59)-'01_Input'!$N$59,0)*'01_Input'!$Q$59))+IF('01_Input'!$T$59="Forfait",IF(AK$20&gt;='01_Input'!$R$59,'01_Input'!$U$59,0),IF('01_Input'!$T$59="Palier",IF(AND(AK$20&gt;='01_Input'!$R$59,AK$20&lt;'01_Input'!$S$59),'01_Input'!$U$59,0),MAX(MIN(AK$20,'01_Input'!$S$59)-'01_Input'!$R$59,0)*'01_Input'!$U$59))+IF('01_Input'!$X$59="Forfait",IF(AK$20&gt;='01_Input'!$V$59,'01_Input'!$Y$59,0),IF('01_Input'!$X$59="Palier",IF(AND(AK$20&gt;='01_Input'!$V$59,AK$20&lt;'01_Input'!$W$59),'01_Input'!$Y$59,0),MAX(MIN(AK$20,'01_Input'!$W$59)-'01_Input'!$V$59,0)*'01_Input'!$Y$59))+IF('01_Input'!$AB$59="Forfait",IF(AK$20&gt;='01_Input'!$Z$59,'01_Input'!$AC$59,0),IF('01_Input'!$AB$59="Palier",IF(AND(AK$20&gt;='01_Input'!$Z$59,AK$20&lt;'01_Input'!$AA$59),'01_Input'!$AC$59,0),MAX(MIN(AK$20,'01_Input'!$AA$59)-'01_Input'!$Z$59,0)*'01_Input'!$AC$59)))))))))</f>
        <v>0</v>
      </c>
      <c r="AL27" s="25">
        <f>IF('01_Input'!$C$59="Non",0,MIN('01_Input'!$I$59,MAX('01_Input'!$H$59,IF('01_Input'!$G$59="Résiduel vs Gestion",0,IF('01_Input'!$G$59="Taux Classe sélectionnée",Distrib_Global_Classe_Selectionnee*AL$20,IF('01_Input'!$G$59="Frais KYC (paliers de 100M€)",MAX(0,Nb_Investisseurs-Nb_KYC_Gratuites_Par_Tranche*(FLOOR(AL$20/Taille_Tranche_KYC,1)+1))*Cout_Par_KYC_Supplementaire,(IF('01_Input'!$L$59="Forfait",IF(AL$20&gt;='01_Input'!$J$59,'01_Input'!$M$59,0),IF('01_Input'!$L$59="Palier",IF(AND(AL$20&gt;='01_Input'!$J$59,AL$20&lt;'01_Input'!$K$59),'01_Input'!$M$59,0),MAX(MIN(AL$20,'01_Input'!$K$59)-'01_Input'!$J$59,0)*'01_Input'!$M$59))+IF('01_Input'!$P$59="Forfait",IF(AL$20&gt;='01_Input'!$N$59,'01_Input'!$Q$59,0),IF('01_Input'!$P$59="Palier",IF(AND(AL$20&gt;='01_Input'!$N$59,AL$20&lt;'01_Input'!$O$59),'01_Input'!$Q$59,0),MAX(MIN(AL$20,'01_Input'!$O$59)-'01_Input'!$N$59,0)*'01_Input'!$Q$59))+IF('01_Input'!$T$59="Forfait",IF(AL$20&gt;='01_Input'!$R$59,'01_Input'!$U$59,0),IF('01_Input'!$T$59="Palier",IF(AND(AL$20&gt;='01_Input'!$R$59,AL$20&lt;'01_Input'!$S$59),'01_Input'!$U$59,0),MAX(MIN(AL$20,'01_Input'!$S$59)-'01_Input'!$R$59,0)*'01_Input'!$U$59))+IF('01_Input'!$X$59="Forfait",IF(AL$20&gt;='01_Input'!$V$59,'01_Input'!$Y$59,0),IF('01_Input'!$X$59="Palier",IF(AND(AL$20&gt;='01_Input'!$V$59,AL$20&lt;'01_Input'!$W$59),'01_Input'!$Y$59,0),MAX(MIN(AL$20,'01_Input'!$W$59)-'01_Input'!$V$59,0)*'01_Input'!$Y$59))+IF('01_Input'!$AB$59="Forfait",IF(AL$20&gt;='01_Input'!$Z$59,'01_Input'!$AC$59,0),IF('01_Input'!$AB$59="Palier",IF(AND(AL$20&gt;='01_Input'!$Z$59,AL$20&lt;'01_Input'!$AA$59),'01_Input'!$AC$59,0),MAX(MIN(AL$20,'01_Input'!$AA$59)-'01_Input'!$Z$59,0)*'01_Input'!$AC$59)))))))))</f>
        <v>0</v>
      </c>
      <c r="AM27" s="25">
        <f>IF('01_Input'!$C$59="Non",0,MIN('01_Input'!$I$59,MAX('01_Input'!$H$59,IF('01_Input'!$G$59="Résiduel vs Gestion",0,IF('01_Input'!$G$59="Taux Classe sélectionnée",Distrib_Global_Classe_Selectionnee*AM$20,IF('01_Input'!$G$59="Frais KYC (paliers de 100M€)",MAX(0,Nb_Investisseurs-Nb_KYC_Gratuites_Par_Tranche*(FLOOR(AM$20/Taille_Tranche_KYC,1)+1))*Cout_Par_KYC_Supplementaire,(IF('01_Input'!$L$59="Forfait",IF(AM$20&gt;='01_Input'!$J$59,'01_Input'!$M$59,0),IF('01_Input'!$L$59="Palier",IF(AND(AM$20&gt;='01_Input'!$J$59,AM$20&lt;'01_Input'!$K$59),'01_Input'!$M$59,0),MAX(MIN(AM$20,'01_Input'!$K$59)-'01_Input'!$J$59,0)*'01_Input'!$M$59))+IF('01_Input'!$P$59="Forfait",IF(AM$20&gt;='01_Input'!$N$59,'01_Input'!$Q$59,0),IF('01_Input'!$P$59="Palier",IF(AND(AM$20&gt;='01_Input'!$N$59,AM$20&lt;'01_Input'!$O$59),'01_Input'!$Q$59,0),MAX(MIN(AM$20,'01_Input'!$O$59)-'01_Input'!$N$59,0)*'01_Input'!$Q$59))+IF('01_Input'!$T$59="Forfait",IF(AM$20&gt;='01_Input'!$R$59,'01_Input'!$U$59,0),IF('01_Input'!$T$59="Palier",IF(AND(AM$20&gt;='01_Input'!$R$59,AM$20&lt;'01_Input'!$S$59),'01_Input'!$U$59,0),MAX(MIN(AM$20,'01_Input'!$S$59)-'01_Input'!$R$59,0)*'01_Input'!$U$59))+IF('01_Input'!$X$59="Forfait",IF(AM$20&gt;='01_Input'!$V$59,'01_Input'!$Y$59,0),IF('01_Input'!$X$59="Palier",IF(AND(AM$20&gt;='01_Input'!$V$59,AM$20&lt;'01_Input'!$W$59),'01_Input'!$Y$59,0),MAX(MIN(AM$20,'01_Input'!$W$59)-'01_Input'!$V$59,0)*'01_Input'!$Y$59))+IF('01_Input'!$AB$59="Forfait",IF(AM$20&gt;='01_Input'!$Z$59,'01_Input'!$AC$59,0),IF('01_Input'!$AB$59="Palier",IF(AND(AM$20&gt;='01_Input'!$Z$59,AM$20&lt;'01_Input'!$AA$59),'01_Input'!$AC$59,0),MAX(MIN(AM$20,'01_Input'!$AA$59)-'01_Input'!$Z$59,0)*'01_Input'!$AC$59)))))))))</f>
        <v>0</v>
      </c>
      <c r="AN27" s="25">
        <f>IF('01_Input'!$C$59="Non",0,MIN('01_Input'!$I$59,MAX('01_Input'!$H$59,IF('01_Input'!$G$59="Résiduel vs Gestion",0,IF('01_Input'!$G$59="Taux Classe sélectionnée",Distrib_Global_Classe_Selectionnee*AN$20,IF('01_Input'!$G$59="Frais KYC (paliers de 100M€)",MAX(0,Nb_Investisseurs-Nb_KYC_Gratuites_Par_Tranche*(FLOOR(AN$20/Taille_Tranche_KYC,1)+1))*Cout_Par_KYC_Supplementaire,(IF('01_Input'!$L$59="Forfait",IF(AN$20&gt;='01_Input'!$J$59,'01_Input'!$M$59,0),IF('01_Input'!$L$59="Palier",IF(AND(AN$20&gt;='01_Input'!$J$59,AN$20&lt;'01_Input'!$K$59),'01_Input'!$M$59,0),MAX(MIN(AN$20,'01_Input'!$K$59)-'01_Input'!$J$59,0)*'01_Input'!$M$59))+IF('01_Input'!$P$59="Forfait",IF(AN$20&gt;='01_Input'!$N$59,'01_Input'!$Q$59,0),IF('01_Input'!$P$59="Palier",IF(AND(AN$20&gt;='01_Input'!$N$59,AN$20&lt;'01_Input'!$O$59),'01_Input'!$Q$59,0),MAX(MIN(AN$20,'01_Input'!$O$59)-'01_Input'!$N$59,0)*'01_Input'!$Q$59))+IF('01_Input'!$T$59="Forfait",IF(AN$20&gt;='01_Input'!$R$59,'01_Input'!$U$59,0),IF('01_Input'!$T$59="Palier",IF(AND(AN$20&gt;='01_Input'!$R$59,AN$20&lt;'01_Input'!$S$59),'01_Input'!$U$59,0),MAX(MIN(AN$20,'01_Input'!$S$59)-'01_Input'!$R$59,0)*'01_Input'!$U$59))+IF('01_Input'!$X$59="Forfait",IF(AN$20&gt;='01_Input'!$V$59,'01_Input'!$Y$59,0),IF('01_Input'!$X$59="Palier",IF(AND(AN$20&gt;='01_Input'!$V$59,AN$20&lt;'01_Input'!$W$59),'01_Input'!$Y$59,0),MAX(MIN(AN$20,'01_Input'!$W$59)-'01_Input'!$V$59,0)*'01_Input'!$Y$59))+IF('01_Input'!$AB$59="Forfait",IF(AN$20&gt;='01_Input'!$Z$59,'01_Input'!$AC$59,0),IF('01_Input'!$AB$59="Palier",IF(AND(AN$20&gt;='01_Input'!$Z$59,AN$20&lt;'01_Input'!$AA$59),'01_Input'!$AC$59,0),MAX(MIN(AN$20,'01_Input'!$AA$59)-'01_Input'!$Z$59,0)*'01_Input'!$AC$59)))))))))</f>
        <v>0</v>
      </c>
      <c r="AO27" s="25">
        <f>IF('01_Input'!$C$59="Non",0,MIN('01_Input'!$I$59,MAX('01_Input'!$H$59,IF('01_Input'!$G$59="Résiduel vs Gestion",0,IF('01_Input'!$G$59="Taux Classe sélectionnée",Distrib_Global_Classe_Selectionnee*AO$20,IF('01_Input'!$G$59="Frais KYC (paliers de 100M€)",MAX(0,Nb_Investisseurs-Nb_KYC_Gratuites_Par_Tranche*(FLOOR(AO$20/Taille_Tranche_KYC,1)+1))*Cout_Par_KYC_Supplementaire,(IF('01_Input'!$L$59="Forfait",IF(AO$20&gt;='01_Input'!$J$59,'01_Input'!$M$59,0),IF('01_Input'!$L$59="Palier",IF(AND(AO$20&gt;='01_Input'!$J$59,AO$20&lt;'01_Input'!$K$59),'01_Input'!$M$59,0),MAX(MIN(AO$20,'01_Input'!$K$59)-'01_Input'!$J$59,0)*'01_Input'!$M$59))+IF('01_Input'!$P$59="Forfait",IF(AO$20&gt;='01_Input'!$N$59,'01_Input'!$Q$59,0),IF('01_Input'!$P$59="Palier",IF(AND(AO$20&gt;='01_Input'!$N$59,AO$20&lt;'01_Input'!$O$59),'01_Input'!$Q$59,0),MAX(MIN(AO$20,'01_Input'!$O$59)-'01_Input'!$N$59,0)*'01_Input'!$Q$59))+IF('01_Input'!$T$59="Forfait",IF(AO$20&gt;='01_Input'!$R$59,'01_Input'!$U$59,0),IF('01_Input'!$T$59="Palier",IF(AND(AO$20&gt;='01_Input'!$R$59,AO$20&lt;'01_Input'!$S$59),'01_Input'!$U$59,0),MAX(MIN(AO$20,'01_Input'!$S$59)-'01_Input'!$R$59,0)*'01_Input'!$U$59))+IF('01_Input'!$X$59="Forfait",IF(AO$20&gt;='01_Input'!$V$59,'01_Input'!$Y$59,0),IF('01_Input'!$X$59="Palier",IF(AND(AO$20&gt;='01_Input'!$V$59,AO$20&lt;'01_Input'!$W$59),'01_Input'!$Y$59,0),MAX(MIN(AO$20,'01_Input'!$W$59)-'01_Input'!$V$59,0)*'01_Input'!$Y$59))+IF('01_Input'!$AB$59="Forfait",IF(AO$20&gt;='01_Input'!$Z$59,'01_Input'!$AC$59,0),IF('01_Input'!$AB$59="Palier",IF(AND(AO$20&gt;='01_Input'!$Z$59,AO$20&lt;'01_Input'!$AA$59),'01_Input'!$AC$59,0),MAX(MIN(AO$20,'01_Input'!$AA$59)-'01_Input'!$Z$59,0)*'01_Input'!$AC$59)))))))))</f>
        <v>0</v>
      </c>
      <c r="AP27" s="25">
        <f>IF('01_Input'!$C$59="Non",0,MIN('01_Input'!$I$59,MAX('01_Input'!$H$59,IF('01_Input'!$G$59="Résiduel vs Gestion",0,IF('01_Input'!$G$59="Taux Classe sélectionnée",Distrib_Global_Classe_Selectionnee*AP$20,IF('01_Input'!$G$59="Frais KYC (paliers de 100M€)",MAX(0,Nb_Investisseurs-Nb_KYC_Gratuites_Par_Tranche*(FLOOR(AP$20/Taille_Tranche_KYC,1)+1))*Cout_Par_KYC_Supplementaire,(IF('01_Input'!$L$59="Forfait",IF(AP$20&gt;='01_Input'!$J$59,'01_Input'!$M$59,0),IF('01_Input'!$L$59="Palier",IF(AND(AP$20&gt;='01_Input'!$J$59,AP$20&lt;'01_Input'!$K$59),'01_Input'!$M$59,0),MAX(MIN(AP$20,'01_Input'!$K$59)-'01_Input'!$J$59,0)*'01_Input'!$M$59))+IF('01_Input'!$P$59="Forfait",IF(AP$20&gt;='01_Input'!$N$59,'01_Input'!$Q$59,0),IF('01_Input'!$P$59="Palier",IF(AND(AP$20&gt;='01_Input'!$N$59,AP$20&lt;'01_Input'!$O$59),'01_Input'!$Q$59,0),MAX(MIN(AP$20,'01_Input'!$O$59)-'01_Input'!$N$59,0)*'01_Input'!$Q$59))+IF('01_Input'!$T$59="Forfait",IF(AP$20&gt;='01_Input'!$R$59,'01_Input'!$U$59,0),IF('01_Input'!$T$59="Palier",IF(AND(AP$20&gt;='01_Input'!$R$59,AP$20&lt;'01_Input'!$S$59),'01_Input'!$U$59,0),MAX(MIN(AP$20,'01_Input'!$S$59)-'01_Input'!$R$59,0)*'01_Input'!$U$59))+IF('01_Input'!$X$59="Forfait",IF(AP$20&gt;='01_Input'!$V$59,'01_Input'!$Y$59,0),IF('01_Input'!$X$59="Palier",IF(AND(AP$20&gt;='01_Input'!$V$59,AP$20&lt;'01_Input'!$W$59),'01_Input'!$Y$59,0),MAX(MIN(AP$20,'01_Input'!$W$59)-'01_Input'!$V$59,0)*'01_Input'!$Y$59))+IF('01_Input'!$AB$59="Forfait",IF(AP$20&gt;='01_Input'!$Z$59,'01_Input'!$AC$59,0),IF('01_Input'!$AB$59="Palier",IF(AND(AP$20&gt;='01_Input'!$Z$59,AP$20&lt;'01_Input'!$AA$59),'01_Input'!$AC$59,0),MAX(MIN(AP$20,'01_Input'!$AA$59)-'01_Input'!$Z$59,0)*'01_Input'!$AC$59)))))))))</f>
        <v>0</v>
      </c>
      <c r="AQ27" s="25">
        <f>IF('01_Input'!$C$59="Non",0,MIN('01_Input'!$I$59,MAX('01_Input'!$H$59,IF('01_Input'!$G$59="Résiduel vs Gestion",0,IF('01_Input'!$G$59="Taux Classe sélectionnée",Distrib_Global_Classe_Selectionnee*AQ$20,IF('01_Input'!$G$59="Frais KYC (paliers de 100M€)",MAX(0,Nb_Investisseurs-Nb_KYC_Gratuites_Par_Tranche*(FLOOR(AQ$20/Taille_Tranche_KYC,1)+1))*Cout_Par_KYC_Supplementaire,(IF('01_Input'!$L$59="Forfait",IF(AQ$20&gt;='01_Input'!$J$59,'01_Input'!$M$59,0),IF('01_Input'!$L$59="Palier",IF(AND(AQ$20&gt;='01_Input'!$J$59,AQ$20&lt;'01_Input'!$K$59),'01_Input'!$M$59,0),MAX(MIN(AQ$20,'01_Input'!$K$59)-'01_Input'!$J$59,0)*'01_Input'!$M$59))+IF('01_Input'!$P$59="Forfait",IF(AQ$20&gt;='01_Input'!$N$59,'01_Input'!$Q$59,0),IF('01_Input'!$P$59="Palier",IF(AND(AQ$20&gt;='01_Input'!$N$59,AQ$20&lt;'01_Input'!$O$59),'01_Input'!$Q$59,0),MAX(MIN(AQ$20,'01_Input'!$O$59)-'01_Input'!$N$59,0)*'01_Input'!$Q$59))+IF('01_Input'!$T$59="Forfait",IF(AQ$20&gt;='01_Input'!$R$59,'01_Input'!$U$59,0),IF('01_Input'!$T$59="Palier",IF(AND(AQ$20&gt;='01_Input'!$R$59,AQ$20&lt;'01_Input'!$S$59),'01_Input'!$U$59,0),MAX(MIN(AQ$20,'01_Input'!$S$59)-'01_Input'!$R$59,0)*'01_Input'!$U$59))+IF('01_Input'!$X$59="Forfait",IF(AQ$20&gt;='01_Input'!$V$59,'01_Input'!$Y$59,0),IF('01_Input'!$X$59="Palier",IF(AND(AQ$20&gt;='01_Input'!$V$59,AQ$20&lt;'01_Input'!$W$59),'01_Input'!$Y$59,0),MAX(MIN(AQ$20,'01_Input'!$W$59)-'01_Input'!$V$59,0)*'01_Input'!$Y$59))+IF('01_Input'!$AB$59="Forfait",IF(AQ$20&gt;='01_Input'!$Z$59,'01_Input'!$AC$59,0),IF('01_Input'!$AB$59="Palier",IF(AND(AQ$20&gt;='01_Input'!$Z$59,AQ$20&lt;'01_Input'!$AA$59),'01_Input'!$AC$59,0),MAX(MIN(AQ$20,'01_Input'!$AA$59)-'01_Input'!$Z$59,0)*'01_Input'!$AC$59)))))))))</f>
        <v>0</v>
      </c>
      <c r="AR27" s="25">
        <f>IF('01_Input'!$C$59="Non",0,MIN('01_Input'!$I$59,MAX('01_Input'!$H$59,IF('01_Input'!$G$59="Résiduel vs Gestion",0,IF('01_Input'!$G$59="Taux Classe sélectionnée",Distrib_Global_Classe_Selectionnee*AR$20,IF('01_Input'!$G$59="Frais KYC (paliers de 100M€)",MAX(0,Nb_Investisseurs-Nb_KYC_Gratuites_Par_Tranche*(FLOOR(AR$20/Taille_Tranche_KYC,1)+1))*Cout_Par_KYC_Supplementaire,(IF('01_Input'!$L$59="Forfait",IF(AR$20&gt;='01_Input'!$J$59,'01_Input'!$M$59,0),IF('01_Input'!$L$59="Palier",IF(AND(AR$20&gt;='01_Input'!$J$59,AR$20&lt;'01_Input'!$K$59),'01_Input'!$M$59,0),MAX(MIN(AR$20,'01_Input'!$K$59)-'01_Input'!$J$59,0)*'01_Input'!$M$59))+IF('01_Input'!$P$59="Forfait",IF(AR$20&gt;='01_Input'!$N$59,'01_Input'!$Q$59,0),IF('01_Input'!$P$59="Palier",IF(AND(AR$20&gt;='01_Input'!$N$59,AR$20&lt;'01_Input'!$O$59),'01_Input'!$Q$59,0),MAX(MIN(AR$20,'01_Input'!$O$59)-'01_Input'!$N$59,0)*'01_Input'!$Q$59))+IF('01_Input'!$T$59="Forfait",IF(AR$20&gt;='01_Input'!$R$59,'01_Input'!$U$59,0),IF('01_Input'!$T$59="Palier",IF(AND(AR$20&gt;='01_Input'!$R$59,AR$20&lt;'01_Input'!$S$59),'01_Input'!$U$59,0),MAX(MIN(AR$20,'01_Input'!$S$59)-'01_Input'!$R$59,0)*'01_Input'!$U$59))+IF('01_Input'!$X$59="Forfait",IF(AR$20&gt;='01_Input'!$V$59,'01_Input'!$Y$59,0),IF('01_Input'!$X$59="Palier",IF(AND(AR$20&gt;='01_Input'!$V$59,AR$20&lt;'01_Input'!$W$59),'01_Input'!$Y$59,0),MAX(MIN(AR$20,'01_Input'!$W$59)-'01_Input'!$V$59,0)*'01_Input'!$Y$59))+IF('01_Input'!$AB$59="Forfait",IF(AR$20&gt;='01_Input'!$Z$59,'01_Input'!$AC$59,0),IF('01_Input'!$AB$59="Palier",IF(AND(AR$20&gt;='01_Input'!$Z$59,AR$20&lt;'01_Input'!$AA$59),'01_Input'!$AC$59,0),MAX(MIN(AR$20,'01_Input'!$AA$59)-'01_Input'!$Z$59,0)*'01_Input'!$AC$59)))))))))</f>
        <v>0</v>
      </c>
      <c r="AS27" s="25">
        <f>IF('01_Input'!$C$59="Non",0,MIN('01_Input'!$I$59,MAX('01_Input'!$H$59,IF('01_Input'!$G$59="Résiduel vs Gestion",0,IF('01_Input'!$G$59="Taux Classe sélectionnée",Distrib_Global_Classe_Selectionnee*AS$20,IF('01_Input'!$G$59="Frais KYC (paliers de 100M€)",MAX(0,Nb_Investisseurs-Nb_KYC_Gratuites_Par_Tranche*(FLOOR(AS$20/Taille_Tranche_KYC,1)+1))*Cout_Par_KYC_Supplementaire,(IF('01_Input'!$L$59="Forfait",IF(AS$20&gt;='01_Input'!$J$59,'01_Input'!$M$59,0),IF('01_Input'!$L$59="Palier",IF(AND(AS$20&gt;='01_Input'!$J$59,AS$20&lt;'01_Input'!$K$59),'01_Input'!$M$59,0),MAX(MIN(AS$20,'01_Input'!$K$59)-'01_Input'!$J$59,0)*'01_Input'!$M$59))+IF('01_Input'!$P$59="Forfait",IF(AS$20&gt;='01_Input'!$N$59,'01_Input'!$Q$59,0),IF('01_Input'!$P$59="Palier",IF(AND(AS$20&gt;='01_Input'!$N$59,AS$20&lt;'01_Input'!$O$59),'01_Input'!$Q$59,0),MAX(MIN(AS$20,'01_Input'!$O$59)-'01_Input'!$N$59,0)*'01_Input'!$Q$59))+IF('01_Input'!$T$59="Forfait",IF(AS$20&gt;='01_Input'!$R$59,'01_Input'!$U$59,0),IF('01_Input'!$T$59="Palier",IF(AND(AS$20&gt;='01_Input'!$R$59,AS$20&lt;'01_Input'!$S$59),'01_Input'!$U$59,0),MAX(MIN(AS$20,'01_Input'!$S$59)-'01_Input'!$R$59,0)*'01_Input'!$U$59))+IF('01_Input'!$X$59="Forfait",IF(AS$20&gt;='01_Input'!$V$59,'01_Input'!$Y$59,0),IF('01_Input'!$X$59="Palier",IF(AND(AS$20&gt;='01_Input'!$V$59,AS$20&lt;'01_Input'!$W$59),'01_Input'!$Y$59,0),MAX(MIN(AS$20,'01_Input'!$W$59)-'01_Input'!$V$59,0)*'01_Input'!$Y$59))+IF('01_Input'!$AB$59="Forfait",IF(AS$20&gt;='01_Input'!$Z$59,'01_Input'!$AC$59,0),IF('01_Input'!$AB$59="Palier",IF(AND(AS$20&gt;='01_Input'!$Z$59,AS$20&lt;'01_Input'!$AA$59),'01_Input'!$AC$59,0),MAX(MIN(AS$20,'01_Input'!$AA$59)-'01_Input'!$Z$59,0)*'01_Input'!$AC$59)))))))))</f>
        <v>0</v>
      </c>
      <c r="AT27" s="25">
        <f>IF('01_Input'!$C$59="Non",0,MIN('01_Input'!$I$59,MAX('01_Input'!$H$59,IF('01_Input'!$G$59="Résiduel vs Gestion",0,IF('01_Input'!$G$59="Taux Classe sélectionnée",Distrib_Global_Classe_Selectionnee*AT$20,IF('01_Input'!$G$59="Frais KYC (paliers de 100M€)",MAX(0,Nb_Investisseurs-Nb_KYC_Gratuites_Par_Tranche*(FLOOR(AT$20/Taille_Tranche_KYC,1)+1))*Cout_Par_KYC_Supplementaire,(IF('01_Input'!$L$59="Forfait",IF(AT$20&gt;='01_Input'!$J$59,'01_Input'!$M$59,0),IF('01_Input'!$L$59="Palier",IF(AND(AT$20&gt;='01_Input'!$J$59,AT$20&lt;'01_Input'!$K$59),'01_Input'!$M$59,0),MAX(MIN(AT$20,'01_Input'!$K$59)-'01_Input'!$J$59,0)*'01_Input'!$M$59))+IF('01_Input'!$P$59="Forfait",IF(AT$20&gt;='01_Input'!$N$59,'01_Input'!$Q$59,0),IF('01_Input'!$P$59="Palier",IF(AND(AT$20&gt;='01_Input'!$N$59,AT$20&lt;'01_Input'!$O$59),'01_Input'!$Q$59,0),MAX(MIN(AT$20,'01_Input'!$O$59)-'01_Input'!$N$59,0)*'01_Input'!$Q$59))+IF('01_Input'!$T$59="Forfait",IF(AT$20&gt;='01_Input'!$R$59,'01_Input'!$U$59,0),IF('01_Input'!$T$59="Palier",IF(AND(AT$20&gt;='01_Input'!$R$59,AT$20&lt;'01_Input'!$S$59),'01_Input'!$U$59,0),MAX(MIN(AT$20,'01_Input'!$S$59)-'01_Input'!$R$59,0)*'01_Input'!$U$59))+IF('01_Input'!$X$59="Forfait",IF(AT$20&gt;='01_Input'!$V$59,'01_Input'!$Y$59,0),IF('01_Input'!$X$59="Palier",IF(AND(AT$20&gt;='01_Input'!$V$59,AT$20&lt;'01_Input'!$W$59),'01_Input'!$Y$59,0),MAX(MIN(AT$20,'01_Input'!$W$59)-'01_Input'!$V$59,0)*'01_Input'!$Y$59))+IF('01_Input'!$AB$59="Forfait",IF(AT$20&gt;='01_Input'!$Z$59,'01_Input'!$AC$59,0),IF('01_Input'!$AB$59="Palier",IF(AND(AT$20&gt;='01_Input'!$Z$59,AT$20&lt;'01_Input'!$AA$59),'01_Input'!$AC$59,0),MAX(MIN(AT$20,'01_Input'!$AA$59)-'01_Input'!$Z$59,0)*'01_Input'!$AC$59)))))))))</f>
        <v>0</v>
      </c>
      <c r="AU27" s="25">
        <f>IF('01_Input'!$C$59="Non",0,MIN('01_Input'!$I$59,MAX('01_Input'!$H$59,IF('01_Input'!$G$59="Résiduel vs Gestion",0,IF('01_Input'!$G$59="Taux Classe sélectionnée",Distrib_Global_Classe_Selectionnee*AU$20,IF('01_Input'!$G$59="Frais KYC (paliers de 100M€)",MAX(0,Nb_Investisseurs-Nb_KYC_Gratuites_Par_Tranche*(FLOOR(AU$20/Taille_Tranche_KYC,1)+1))*Cout_Par_KYC_Supplementaire,(IF('01_Input'!$L$59="Forfait",IF(AU$20&gt;='01_Input'!$J$59,'01_Input'!$M$59,0),IF('01_Input'!$L$59="Palier",IF(AND(AU$20&gt;='01_Input'!$J$59,AU$20&lt;'01_Input'!$K$59),'01_Input'!$M$59,0),MAX(MIN(AU$20,'01_Input'!$K$59)-'01_Input'!$J$59,0)*'01_Input'!$M$59))+IF('01_Input'!$P$59="Forfait",IF(AU$20&gt;='01_Input'!$N$59,'01_Input'!$Q$59,0),IF('01_Input'!$P$59="Palier",IF(AND(AU$20&gt;='01_Input'!$N$59,AU$20&lt;'01_Input'!$O$59),'01_Input'!$Q$59,0),MAX(MIN(AU$20,'01_Input'!$O$59)-'01_Input'!$N$59,0)*'01_Input'!$Q$59))+IF('01_Input'!$T$59="Forfait",IF(AU$20&gt;='01_Input'!$R$59,'01_Input'!$U$59,0),IF('01_Input'!$T$59="Palier",IF(AND(AU$20&gt;='01_Input'!$R$59,AU$20&lt;'01_Input'!$S$59),'01_Input'!$U$59,0),MAX(MIN(AU$20,'01_Input'!$S$59)-'01_Input'!$R$59,0)*'01_Input'!$U$59))+IF('01_Input'!$X$59="Forfait",IF(AU$20&gt;='01_Input'!$V$59,'01_Input'!$Y$59,0),IF('01_Input'!$X$59="Palier",IF(AND(AU$20&gt;='01_Input'!$V$59,AU$20&lt;'01_Input'!$W$59),'01_Input'!$Y$59,0),MAX(MIN(AU$20,'01_Input'!$W$59)-'01_Input'!$V$59,0)*'01_Input'!$Y$59))+IF('01_Input'!$AB$59="Forfait",IF(AU$20&gt;='01_Input'!$Z$59,'01_Input'!$AC$59,0),IF('01_Input'!$AB$59="Palier",IF(AND(AU$20&gt;='01_Input'!$Z$59,AU$20&lt;'01_Input'!$AA$59),'01_Input'!$AC$59,0),MAX(MIN(AU$20,'01_Input'!$AA$59)-'01_Input'!$Z$59,0)*'01_Input'!$AC$59)))))))))</f>
        <v>0</v>
      </c>
      <c r="AV27" s="25">
        <f>IF('01_Input'!$C$59="Non",0,MIN('01_Input'!$I$59,MAX('01_Input'!$H$59,IF('01_Input'!$G$59="Résiduel vs Gestion",0,IF('01_Input'!$G$59="Taux Classe sélectionnée",Distrib_Global_Classe_Selectionnee*AV$20,IF('01_Input'!$G$59="Frais KYC (paliers de 100M€)",MAX(0,Nb_Investisseurs-Nb_KYC_Gratuites_Par_Tranche*(FLOOR(AV$20/Taille_Tranche_KYC,1)+1))*Cout_Par_KYC_Supplementaire,(IF('01_Input'!$L$59="Forfait",IF(AV$20&gt;='01_Input'!$J$59,'01_Input'!$M$59,0),IF('01_Input'!$L$59="Palier",IF(AND(AV$20&gt;='01_Input'!$J$59,AV$20&lt;'01_Input'!$K$59),'01_Input'!$M$59,0),MAX(MIN(AV$20,'01_Input'!$K$59)-'01_Input'!$J$59,0)*'01_Input'!$M$59))+IF('01_Input'!$P$59="Forfait",IF(AV$20&gt;='01_Input'!$N$59,'01_Input'!$Q$59,0),IF('01_Input'!$P$59="Palier",IF(AND(AV$20&gt;='01_Input'!$N$59,AV$20&lt;'01_Input'!$O$59),'01_Input'!$Q$59,0),MAX(MIN(AV$20,'01_Input'!$O$59)-'01_Input'!$N$59,0)*'01_Input'!$Q$59))+IF('01_Input'!$T$59="Forfait",IF(AV$20&gt;='01_Input'!$R$59,'01_Input'!$U$59,0),IF('01_Input'!$T$59="Palier",IF(AND(AV$20&gt;='01_Input'!$R$59,AV$20&lt;'01_Input'!$S$59),'01_Input'!$U$59,0),MAX(MIN(AV$20,'01_Input'!$S$59)-'01_Input'!$R$59,0)*'01_Input'!$U$59))+IF('01_Input'!$X$59="Forfait",IF(AV$20&gt;='01_Input'!$V$59,'01_Input'!$Y$59,0),IF('01_Input'!$X$59="Palier",IF(AND(AV$20&gt;='01_Input'!$V$59,AV$20&lt;'01_Input'!$W$59),'01_Input'!$Y$59,0),MAX(MIN(AV$20,'01_Input'!$W$59)-'01_Input'!$V$59,0)*'01_Input'!$Y$59))+IF('01_Input'!$AB$59="Forfait",IF(AV$20&gt;='01_Input'!$Z$59,'01_Input'!$AC$59,0),IF('01_Input'!$AB$59="Palier",IF(AND(AV$20&gt;='01_Input'!$Z$59,AV$20&lt;'01_Input'!$AA$59),'01_Input'!$AC$59,0),MAX(MIN(AV$20,'01_Input'!$AA$59)-'01_Input'!$Z$59,0)*'01_Input'!$AC$59)))))))))</f>
        <v>0</v>
      </c>
      <c r="AW27" s="25">
        <f>IF('01_Input'!$C$59="Non",0,MIN('01_Input'!$I$59,MAX('01_Input'!$H$59,IF('01_Input'!$G$59="Résiduel vs Gestion",0,IF('01_Input'!$G$59="Taux Classe sélectionnée",Distrib_Global_Classe_Selectionnee*AW$20,IF('01_Input'!$G$59="Frais KYC (paliers de 100M€)",MAX(0,Nb_Investisseurs-Nb_KYC_Gratuites_Par_Tranche*(FLOOR(AW$20/Taille_Tranche_KYC,1)+1))*Cout_Par_KYC_Supplementaire,(IF('01_Input'!$L$59="Forfait",IF(AW$20&gt;='01_Input'!$J$59,'01_Input'!$M$59,0),IF('01_Input'!$L$59="Palier",IF(AND(AW$20&gt;='01_Input'!$J$59,AW$20&lt;'01_Input'!$K$59),'01_Input'!$M$59,0),MAX(MIN(AW$20,'01_Input'!$K$59)-'01_Input'!$J$59,0)*'01_Input'!$M$59))+IF('01_Input'!$P$59="Forfait",IF(AW$20&gt;='01_Input'!$N$59,'01_Input'!$Q$59,0),IF('01_Input'!$P$59="Palier",IF(AND(AW$20&gt;='01_Input'!$N$59,AW$20&lt;'01_Input'!$O$59),'01_Input'!$Q$59,0),MAX(MIN(AW$20,'01_Input'!$O$59)-'01_Input'!$N$59,0)*'01_Input'!$Q$59))+IF('01_Input'!$T$59="Forfait",IF(AW$20&gt;='01_Input'!$R$59,'01_Input'!$U$59,0),IF('01_Input'!$T$59="Palier",IF(AND(AW$20&gt;='01_Input'!$R$59,AW$20&lt;'01_Input'!$S$59),'01_Input'!$U$59,0),MAX(MIN(AW$20,'01_Input'!$S$59)-'01_Input'!$R$59,0)*'01_Input'!$U$59))+IF('01_Input'!$X$59="Forfait",IF(AW$20&gt;='01_Input'!$V$59,'01_Input'!$Y$59,0),IF('01_Input'!$X$59="Palier",IF(AND(AW$20&gt;='01_Input'!$V$59,AW$20&lt;'01_Input'!$W$59),'01_Input'!$Y$59,0),MAX(MIN(AW$20,'01_Input'!$W$59)-'01_Input'!$V$59,0)*'01_Input'!$Y$59))+IF('01_Input'!$AB$59="Forfait",IF(AW$20&gt;='01_Input'!$Z$59,'01_Input'!$AC$59,0),IF('01_Input'!$AB$59="Palier",IF(AND(AW$20&gt;='01_Input'!$Z$59,AW$20&lt;'01_Input'!$AA$59),'01_Input'!$AC$59,0),MAX(MIN(AW$20,'01_Input'!$AA$59)-'01_Input'!$Z$59,0)*'01_Input'!$AC$59)))))))))</f>
        <v>0</v>
      </c>
      <c r="AX27" s="25">
        <f>IF('01_Input'!$C$59="Non",0,MIN('01_Input'!$I$59,MAX('01_Input'!$H$59,IF('01_Input'!$G$59="Résiduel vs Gestion",0,IF('01_Input'!$G$59="Taux Classe sélectionnée",Distrib_Global_Classe_Selectionnee*AX$20,IF('01_Input'!$G$59="Frais KYC (paliers de 100M€)",MAX(0,Nb_Investisseurs-Nb_KYC_Gratuites_Par_Tranche*(FLOOR(AX$20/Taille_Tranche_KYC,1)+1))*Cout_Par_KYC_Supplementaire,(IF('01_Input'!$L$59="Forfait",IF(AX$20&gt;='01_Input'!$J$59,'01_Input'!$M$59,0),IF('01_Input'!$L$59="Palier",IF(AND(AX$20&gt;='01_Input'!$J$59,AX$20&lt;'01_Input'!$K$59),'01_Input'!$M$59,0),MAX(MIN(AX$20,'01_Input'!$K$59)-'01_Input'!$J$59,0)*'01_Input'!$M$59))+IF('01_Input'!$P$59="Forfait",IF(AX$20&gt;='01_Input'!$N$59,'01_Input'!$Q$59,0),IF('01_Input'!$P$59="Palier",IF(AND(AX$20&gt;='01_Input'!$N$59,AX$20&lt;'01_Input'!$O$59),'01_Input'!$Q$59,0),MAX(MIN(AX$20,'01_Input'!$O$59)-'01_Input'!$N$59,0)*'01_Input'!$Q$59))+IF('01_Input'!$T$59="Forfait",IF(AX$20&gt;='01_Input'!$R$59,'01_Input'!$U$59,0),IF('01_Input'!$T$59="Palier",IF(AND(AX$20&gt;='01_Input'!$R$59,AX$20&lt;'01_Input'!$S$59),'01_Input'!$U$59,0),MAX(MIN(AX$20,'01_Input'!$S$59)-'01_Input'!$R$59,0)*'01_Input'!$U$59))+IF('01_Input'!$X$59="Forfait",IF(AX$20&gt;='01_Input'!$V$59,'01_Input'!$Y$59,0),IF('01_Input'!$X$59="Palier",IF(AND(AX$20&gt;='01_Input'!$V$59,AX$20&lt;'01_Input'!$W$59),'01_Input'!$Y$59,0),MAX(MIN(AX$20,'01_Input'!$W$59)-'01_Input'!$V$59,0)*'01_Input'!$Y$59))+IF('01_Input'!$AB$59="Forfait",IF(AX$20&gt;='01_Input'!$Z$59,'01_Input'!$AC$59,0),IF('01_Input'!$AB$59="Palier",IF(AND(AX$20&gt;='01_Input'!$Z$59,AX$20&lt;'01_Input'!$AA$59),'01_Input'!$AC$59,0),MAX(MIN(AX$20,'01_Input'!$AA$59)-'01_Input'!$Z$59,0)*'01_Input'!$AC$59)))))))))</f>
        <v>0</v>
      </c>
      <c r="AY27" s="25">
        <f>IF('01_Input'!$C$59="Non",0,MIN('01_Input'!$I$59,MAX('01_Input'!$H$59,IF('01_Input'!$G$59="Résiduel vs Gestion",0,IF('01_Input'!$G$59="Taux Classe sélectionnée",Distrib_Global_Classe_Selectionnee*AY$20,IF('01_Input'!$G$59="Frais KYC (paliers de 100M€)",MAX(0,Nb_Investisseurs-Nb_KYC_Gratuites_Par_Tranche*(FLOOR(AY$20/Taille_Tranche_KYC,1)+1))*Cout_Par_KYC_Supplementaire,(IF('01_Input'!$L$59="Forfait",IF(AY$20&gt;='01_Input'!$J$59,'01_Input'!$M$59,0),IF('01_Input'!$L$59="Palier",IF(AND(AY$20&gt;='01_Input'!$J$59,AY$20&lt;'01_Input'!$K$59),'01_Input'!$M$59,0),MAX(MIN(AY$20,'01_Input'!$K$59)-'01_Input'!$J$59,0)*'01_Input'!$M$59))+IF('01_Input'!$P$59="Forfait",IF(AY$20&gt;='01_Input'!$N$59,'01_Input'!$Q$59,0),IF('01_Input'!$P$59="Palier",IF(AND(AY$20&gt;='01_Input'!$N$59,AY$20&lt;'01_Input'!$O$59),'01_Input'!$Q$59,0),MAX(MIN(AY$20,'01_Input'!$O$59)-'01_Input'!$N$59,0)*'01_Input'!$Q$59))+IF('01_Input'!$T$59="Forfait",IF(AY$20&gt;='01_Input'!$R$59,'01_Input'!$U$59,0),IF('01_Input'!$T$59="Palier",IF(AND(AY$20&gt;='01_Input'!$R$59,AY$20&lt;'01_Input'!$S$59),'01_Input'!$U$59,0),MAX(MIN(AY$20,'01_Input'!$S$59)-'01_Input'!$R$59,0)*'01_Input'!$U$59))+IF('01_Input'!$X$59="Forfait",IF(AY$20&gt;='01_Input'!$V$59,'01_Input'!$Y$59,0),IF('01_Input'!$X$59="Palier",IF(AND(AY$20&gt;='01_Input'!$V$59,AY$20&lt;'01_Input'!$W$59),'01_Input'!$Y$59,0),MAX(MIN(AY$20,'01_Input'!$W$59)-'01_Input'!$V$59,0)*'01_Input'!$Y$59))+IF('01_Input'!$AB$59="Forfait",IF(AY$20&gt;='01_Input'!$Z$59,'01_Input'!$AC$59,0),IF('01_Input'!$AB$59="Palier",IF(AND(AY$20&gt;='01_Input'!$Z$59,AY$20&lt;'01_Input'!$AA$59),'01_Input'!$AC$59,0),MAX(MIN(AY$20,'01_Input'!$AA$59)-'01_Input'!$Z$59,0)*'01_Input'!$AC$59)))))))))</f>
        <v>0</v>
      </c>
      <c r="AZ27" s="25">
        <f>IF('01_Input'!$C$59="Non",0,MIN('01_Input'!$I$59,MAX('01_Input'!$H$59,IF('01_Input'!$G$59="Résiduel vs Gestion",0,IF('01_Input'!$G$59="Taux Classe sélectionnée",Distrib_Global_Classe_Selectionnee*AZ$20,IF('01_Input'!$G$59="Frais KYC (paliers de 100M€)",MAX(0,Nb_Investisseurs-Nb_KYC_Gratuites_Par_Tranche*(FLOOR(AZ$20/Taille_Tranche_KYC,1)+1))*Cout_Par_KYC_Supplementaire,(IF('01_Input'!$L$59="Forfait",IF(AZ$20&gt;='01_Input'!$J$59,'01_Input'!$M$59,0),IF('01_Input'!$L$59="Palier",IF(AND(AZ$20&gt;='01_Input'!$J$59,AZ$20&lt;'01_Input'!$K$59),'01_Input'!$M$59,0),MAX(MIN(AZ$20,'01_Input'!$K$59)-'01_Input'!$J$59,0)*'01_Input'!$M$59))+IF('01_Input'!$P$59="Forfait",IF(AZ$20&gt;='01_Input'!$N$59,'01_Input'!$Q$59,0),IF('01_Input'!$P$59="Palier",IF(AND(AZ$20&gt;='01_Input'!$N$59,AZ$20&lt;'01_Input'!$O$59),'01_Input'!$Q$59,0),MAX(MIN(AZ$20,'01_Input'!$O$59)-'01_Input'!$N$59,0)*'01_Input'!$Q$59))+IF('01_Input'!$T$59="Forfait",IF(AZ$20&gt;='01_Input'!$R$59,'01_Input'!$U$59,0),IF('01_Input'!$T$59="Palier",IF(AND(AZ$20&gt;='01_Input'!$R$59,AZ$20&lt;'01_Input'!$S$59),'01_Input'!$U$59,0),MAX(MIN(AZ$20,'01_Input'!$S$59)-'01_Input'!$R$59,0)*'01_Input'!$U$59))+IF('01_Input'!$X$59="Forfait",IF(AZ$20&gt;='01_Input'!$V$59,'01_Input'!$Y$59,0),IF('01_Input'!$X$59="Palier",IF(AND(AZ$20&gt;='01_Input'!$V$59,AZ$20&lt;'01_Input'!$W$59),'01_Input'!$Y$59,0),MAX(MIN(AZ$20,'01_Input'!$W$59)-'01_Input'!$V$59,0)*'01_Input'!$Y$59))+IF('01_Input'!$AB$59="Forfait",IF(AZ$20&gt;='01_Input'!$Z$59,'01_Input'!$AC$59,0),IF('01_Input'!$AB$59="Palier",IF(AND(AZ$20&gt;='01_Input'!$Z$59,AZ$20&lt;'01_Input'!$AA$59),'01_Input'!$AC$59,0),MAX(MIN(AZ$20,'01_Input'!$AA$59)-'01_Input'!$Z$59,0)*'01_Input'!$AC$59)))))))))</f>
        <v>0</v>
      </c>
      <c r="BA27" s="25">
        <f>IF('01_Input'!$C$59="Non",0,MIN('01_Input'!$I$59,MAX('01_Input'!$H$59,IF('01_Input'!$G$59="Résiduel vs Gestion",0,IF('01_Input'!$G$59="Taux Classe sélectionnée",Distrib_Global_Classe_Selectionnee*BA$20,IF('01_Input'!$G$59="Frais KYC (paliers de 100M€)",MAX(0,Nb_Investisseurs-Nb_KYC_Gratuites_Par_Tranche*(FLOOR(BA$20/Taille_Tranche_KYC,1)+1))*Cout_Par_KYC_Supplementaire,(IF('01_Input'!$L$59="Forfait",IF(BA$20&gt;='01_Input'!$J$59,'01_Input'!$M$59,0),IF('01_Input'!$L$59="Palier",IF(AND(BA$20&gt;='01_Input'!$J$59,BA$20&lt;'01_Input'!$K$59),'01_Input'!$M$59,0),MAX(MIN(BA$20,'01_Input'!$K$59)-'01_Input'!$J$59,0)*'01_Input'!$M$59))+IF('01_Input'!$P$59="Forfait",IF(BA$20&gt;='01_Input'!$N$59,'01_Input'!$Q$59,0),IF('01_Input'!$P$59="Palier",IF(AND(BA$20&gt;='01_Input'!$N$59,BA$20&lt;'01_Input'!$O$59),'01_Input'!$Q$59,0),MAX(MIN(BA$20,'01_Input'!$O$59)-'01_Input'!$N$59,0)*'01_Input'!$Q$59))+IF('01_Input'!$T$59="Forfait",IF(BA$20&gt;='01_Input'!$R$59,'01_Input'!$U$59,0),IF('01_Input'!$T$59="Palier",IF(AND(BA$20&gt;='01_Input'!$R$59,BA$20&lt;'01_Input'!$S$59),'01_Input'!$U$59,0),MAX(MIN(BA$20,'01_Input'!$S$59)-'01_Input'!$R$59,0)*'01_Input'!$U$59))+IF('01_Input'!$X$59="Forfait",IF(BA$20&gt;='01_Input'!$V$59,'01_Input'!$Y$59,0),IF('01_Input'!$X$59="Palier",IF(AND(BA$20&gt;='01_Input'!$V$59,BA$20&lt;'01_Input'!$W$59),'01_Input'!$Y$59,0),MAX(MIN(BA$20,'01_Input'!$W$59)-'01_Input'!$V$59,0)*'01_Input'!$Y$59))+IF('01_Input'!$AB$59="Forfait",IF(BA$20&gt;='01_Input'!$Z$59,'01_Input'!$AC$59,0),IF('01_Input'!$AB$59="Palier",IF(AND(BA$20&gt;='01_Input'!$Z$59,BA$20&lt;'01_Input'!$AA$59),'01_Input'!$AC$59,0),MAX(MIN(BA$20,'01_Input'!$AA$59)-'01_Input'!$Z$59,0)*'01_Input'!$AC$59)))))))))</f>
        <v>0</v>
      </c>
      <c r="BB27" s="25">
        <f>IF('01_Input'!$C$59="Non",0,MIN('01_Input'!$I$59,MAX('01_Input'!$H$59,IF('01_Input'!$G$59="Résiduel vs Gestion",0,IF('01_Input'!$G$59="Taux Classe sélectionnée",Distrib_Global_Classe_Selectionnee*BB$20,IF('01_Input'!$G$59="Frais KYC (paliers de 100M€)",MAX(0,Nb_Investisseurs-Nb_KYC_Gratuites_Par_Tranche*(FLOOR(BB$20/Taille_Tranche_KYC,1)+1))*Cout_Par_KYC_Supplementaire,(IF('01_Input'!$L$59="Forfait",IF(BB$20&gt;='01_Input'!$J$59,'01_Input'!$M$59,0),IF('01_Input'!$L$59="Palier",IF(AND(BB$20&gt;='01_Input'!$J$59,BB$20&lt;'01_Input'!$K$59),'01_Input'!$M$59,0),MAX(MIN(BB$20,'01_Input'!$K$59)-'01_Input'!$J$59,0)*'01_Input'!$M$59))+IF('01_Input'!$P$59="Forfait",IF(BB$20&gt;='01_Input'!$N$59,'01_Input'!$Q$59,0),IF('01_Input'!$P$59="Palier",IF(AND(BB$20&gt;='01_Input'!$N$59,BB$20&lt;'01_Input'!$O$59),'01_Input'!$Q$59,0),MAX(MIN(BB$20,'01_Input'!$O$59)-'01_Input'!$N$59,0)*'01_Input'!$Q$59))+IF('01_Input'!$T$59="Forfait",IF(BB$20&gt;='01_Input'!$R$59,'01_Input'!$U$59,0),IF('01_Input'!$T$59="Palier",IF(AND(BB$20&gt;='01_Input'!$R$59,BB$20&lt;'01_Input'!$S$59),'01_Input'!$U$59,0),MAX(MIN(BB$20,'01_Input'!$S$59)-'01_Input'!$R$59,0)*'01_Input'!$U$59))+IF('01_Input'!$X$59="Forfait",IF(BB$20&gt;='01_Input'!$V$59,'01_Input'!$Y$59,0),IF('01_Input'!$X$59="Palier",IF(AND(BB$20&gt;='01_Input'!$V$59,BB$20&lt;'01_Input'!$W$59),'01_Input'!$Y$59,0),MAX(MIN(BB$20,'01_Input'!$W$59)-'01_Input'!$V$59,0)*'01_Input'!$Y$59))+IF('01_Input'!$AB$59="Forfait",IF(BB$20&gt;='01_Input'!$Z$59,'01_Input'!$AC$59,0),IF('01_Input'!$AB$59="Palier",IF(AND(BB$20&gt;='01_Input'!$Z$59,BB$20&lt;'01_Input'!$AA$59),'01_Input'!$AC$59,0),MAX(MIN(BB$20,'01_Input'!$AA$59)-'01_Input'!$Z$59,0)*'01_Input'!$AC$59)))))))))</f>
        <v>0</v>
      </c>
      <c r="BC27" s="25">
        <f>IF('01_Input'!$C$59="Non",0,MIN('01_Input'!$I$59,MAX('01_Input'!$H$59,IF('01_Input'!$G$59="Résiduel vs Gestion",0,IF('01_Input'!$G$59="Taux Classe sélectionnée",Distrib_Global_Classe_Selectionnee*BC$20,IF('01_Input'!$G$59="Frais KYC (paliers de 100M€)",MAX(0,Nb_Investisseurs-Nb_KYC_Gratuites_Par_Tranche*(FLOOR(BC$20/Taille_Tranche_KYC,1)+1))*Cout_Par_KYC_Supplementaire,(IF('01_Input'!$L$59="Forfait",IF(BC$20&gt;='01_Input'!$J$59,'01_Input'!$M$59,0),IF('01_Input'!$L$59="Palier",IF(AND(BC$20&gt;='01_Input'!$J$59,BC$20&lt;'01_Input'!$K$59),'01_Input'!$M$59,0),MAX(MIN(BC$20,'01_Input'!$K$59)-'01_Input'!$J$59,0)*'01_Input'!$M$59))+IF('01_Input'!$P$59="Forfait",IF(BC$20&gt;='01_Input'!$N$59,'01_Input'!$Q$59,0),IF('01_Input'!$P$59="Palier",IF(AND(BC$20&gt;='01_Input'!$N$59,BC$20&lt;'01_Input'!$O$59),'01_Input'!$Q$59,0),MAX(MIN(BC$20,'01_Input'!$O$59)-'01_Input'!$N$59,0)*'01_Input'!$Q$59))+IF('01_Input'!$T$59="Forfait",IF(BC$20&gt;='01_Input'!$R$59,'01_Input'!$U$59,0),IF('01_Input'!$T$59="Palier",IF(AND(BC$20&gt;='01_Input'!$R$59,BC$20&lt;'01_Input'!$S$59),'01_Input'!$U$59,0),MAX(MIN(BC$20,'01_Input'!$S$59)-'01_Input'!$R$59,0)*'01_Input'!$U$59))+IF('01_Input'!$X$59="Forfait",IF(BC$20&gt;='01_Input'!$V$59,'01_Input'!$Y$59,0),IF('01_Input'!$X$59="Palier",IF(AND(BC$20&gt;='01_Input'!$V$59,BC$20&lt;'01_Input'!$W$59),'01_Input'!$Y$59,0),MAX(MIN(BC$20,'01_Input'!$W$59)-'01_Input'!$V$59,0)*'01_Input'!$Y$59))+IF('01_Input'!$AB$59="Forfait",IF(BC$20&gt;='01_Input'!$Z$59,'01_Input'!$AC$59,0),IF('01_Input'!$AB$59="Palier",IF(AND(BC$20&gt;='01_Input'!$Z$59,BC$20&lt;'01_Input'!$AA$59),'01_Input'!$AC$59,0),MAX(MIN(BC$20,'01_Input'!$AA$59)-'01_Input'!$Z$59,0)*'01_Input'!$AC$59)))))))))</f>
        <v>0</v>
      </c>
      <c r="BD27" s="25">
        <f>IF('01_Input'!$C$59="Non",0,MIN('01_Input'!$I$59,MAX('01_Input'!$H$59,IF('01_Input'!$G$59="Résiduel vs Gestion",0,IF('01_Input'!$G$59="Taux Classe sélectionnée",Distrib_Global_Classe_Selectionnee*BD$20,IF('01_Input'!$G$59="Frais KYC (paliers de 100M€)",MAX(0,Nb_Investisseurs-Nb_KYC_Gratuites_Par_Tranche*(FLOOR(BD$20/Taille_Tranche_KYC,1)+1))*Cout_Par_KYC_Supplementaire,(IF('01_Input'!$L$59="Forfait",IF(BD$20&gt;='01_Input'!$J$59,'01_Input'!$M$59,0),IF('01_Input'!$L$59="Palier",IF(AND(BD$20&gt;='01_Input'!$J$59,BD$20&lt;'01_Input'!$K$59),'01_Input'!$M$59,0),MAX(MIN(BD$20,'01_Input'!$K$59)-'01_Input'!$J$59,0)*'01_Input'!$M$59))+IF('01_Input'!$P$59="Forfait",IF(BD$20&gt;='01_Input'!$N$59,'01_Input'!$Q$59,0),IF('01_Input'!$P$59="Palier",IF(AND(BD$20&gt;='01_Input'!$N$59,BD$20&lt;'01_Input'!$O$59),'01_Input'!$Q$59,0),MAX(MIN(BD$20,'01_Input'!$O$59)-'01_Input'!$N$59,0)*'01_Input'!$Q$59))+IF('01_Input'!$T$59="Forfait",IF(BD$20&gt;='01_Input'!$R$59,'01_Input'!$U$59,0),IF('01_Input'!$T$59="Palier",IF(AND(BD$20&gt;='01_Input'!$R$59,BD$20&lt;'01_Input'!$S$59),'01_Input'!$U$59,0),MAX(MIN(BD$20,'01_Input'!$S$59)-'01_Input'!$R$59,0)*'01_Input'!$U$59))+IF('01_Input'!$X$59="Forfait",IF(BD$20&gt;='01_Input'!$V$59,'01_Input'!$Y$59,0),IF('01_Input'!$X$59="Palier",IF(AND(BD$20&gt;='01_Input'!$V$59,BD$20&lt;'01_Input'!$W$59),'01_Input'!$Y$59,0),MAX(MIN(BD$20,'01_Input'!$W$59)-'01_Input'!$V$59,0)*'01_Input'!$Y$59))+IF('01_Input'!$AB$59="Forfait",IF(BD$20&gt;='01_Input'!$Z$59,'01_Input'!$AC$59,0),IF('01_Input'!$AB$59="Palier",IF(AND(BD$20&gt;='01_Input'!$Z$59,BD$20&lt;'01_Input'!$AA$59),'01_Input'!$AC$59,0),MAX(MIN(BD$20,'01_Input'!$AA$59)-'01_Input'!$Z$59,0)*'01_Input'!$AC$59)))))))))</f>
        <v>0</v>
      </c>
      <c r="BE27" s="25">
        <f>IF('01_Input'!$C$59="Non",0,MIN('01_Input'!$I$59,MAX('01_Input'!$H$59,IF('01_Input'!$G$59="Résiduel vs Gestion",0,IF('01_Input'!$G$59="Taux Classe sélectionnée",Distrib_Global_Classe_Selectionnee*BE$20,IF('01_Input'!$G$59="Frais KYC (paliers de 100M€)",MAX(0,Nb_Investisseurs-Nb_KYC_Gratuites_Par_Tranche*(FLOOR(BE$20/Taille_Tranche_KYC,1)+1))*Cout_Par_KYC_Supplementaire,(IF('01_Input'!$L$59="Forfait",IF(BE$20&gt;='01_Input'!$J$59,'01_Input'!$M$59,0),IF('01_Input'!$L$59="Palier",IF(AND(BE$20&gt;='01_Input'!$J$59,BE$20&lt;'01_Input'!$K$59),'01_Input'!$M$59,0),MAX(MIN(BE$20,'01_Input'!$K$59)-'01_Input'!$J$59,0)*'01_Input'!$M$59))+IF('01_Input'!$P$59="Forfait",IF(BE$20&gt;='01_Input'!$N$59,'01_Input'!$Q$59,0),IF('01_Input'!$P$59="Palier",IF(AND(BE$20&gt;='01_Input'!$N$59,BE$20&lt;'01_Input'!$O$59),'01_Input'!$Q$59,0),MAX(MIN(BE$20,'01_Input'!$O$59)-'01_Input'!$N$59,0)*'01_Input'!$Q$59))+IF('01_Input'!$T$59="Forfait",IF(BE$20&gt;='01_Input'!$R$59,'01_Input'!$U$59,0),IF('01_Input'!$T$59="Palier",IF(AND(BE$20&gt;='01_Input'!$R$59,BE$20&lt;'01_Input'!$S$59),'01_Input'!$U$59,0),MAX(MIN(BE$20,'01_Input'!$S$59)-'01_Input'!$R$59,0)*'01_Input'!$U$59))+IF('01_Input'!$X$59="Forfait",IF(BE$20&gt;='01_Input'!$V$59,'01_Input'!$Y$59,0),IF('01_Input'!$X$59="Palier",IF(AND(BE$20&gt;='01_Input'!$V$59,BE$20&lt;'01_Input'!$W$59),'01_Input'!$Y$59,0),MAX(MIN(BE$20,'01_Input'!$W$59)-'01_Input'!$V$59,0)*'01_Input'!$Y$59))+IF('01_Input'!$AB$59="Forfait",IF(BE$20&gt;='01_Input'!$Z$59,'01_Input'!$AC$59,0),IF('01_Input'!$AB$59="Palier",IF(AND(BE$20&gt;='01_Input'!$Z$59,BE$20&lt;'01_Input'!$AA$59),'01_Input'!$AC$59,0),MAX(MIN(BE$20,'01_Input'!$AA$59)-'01_Input'!$Z$59,0)*'01_Input'!$AC$59)))))))))</f>
        <v>0</v>
      </c>
      <c r="BF27" s="25">
        <f>IF('01_Input'!$C$59="Non",0,MIN('01_Input'!$I$59,MAX('01_Input'!$H$59,IF('01_Input'!$G$59="Résiduel vs Gestion",0,IF('01_Input'!$G$59="Taux Classe sélectionnée",Distrib_Global_Classe_Selectionnee*BF$20,IF('01_Input'!$G$59="Frais KYC (paliers de 100M€)",MAX(0,Nb_Investisseurs-Nb_KYC_Gratuites_Par_Tranche*(FLOOR(BF$20/Taille_Tranche_KYC,1)+1))*Cout_Par_KYC_Supplementaire,(IF('01_Input'!$L$59="Forfait",IF(BF$20&gt;='01_Input'!$J$59,'01_Input'!$M$59,0),IF('01_Input'!$L$59="Palier",IF(AND(BF$20&gt;='01_Input'!$J$59,BF$20&lt;'01_Input'!$K$59),'01_Input'!$M$59,0),MAX(MIN(BF$20,'01_Input'!$K$59)-'01_Input'!$J$59,0)*'01_Input'!$M$59))+IF('01_Input'!$P$59="Forfait",IF(BF$20&gt;='01_Input'!$N$59,'01_Input'!$Q$59,0),IF('01_Input'!$P$59="Palier",IF(AND(BF$20&gt;='01_Input'!$N$59,BF$20&lt;'01_Input'!$O$59),'01_Input'!$Q$59,0),MAX(MIN(BF$20,'01_Input'!$O$59)-'01_Input'!$N$59,0)*'01_Input'!$Q$59))+IF('01_Input'!$T$59="Forfait",IF(BF$20&gt;='01_Input'!$R$59,'01_Input'!$U$59,0),IF('01_Input'!$T$59="Palier",IF(AND(BF$20&gt;='01_Input'!$R$59,BF$20&lt;'01_Input'!$S$59),'01_Input'!$U$59,0),MAX(MIN(BF$20,'01_Input'!$S$59)-'01_Input'!$R$59,0)*'01_Input'!$U$59))+IF('01_Input'!$X$59="Forfait",IF(BF$20&gt;='01_Input'!$V$59,'01_Input'!$Y$59,0),IF('01_Input'!$X$59="Palier",IF(AND(BF$20&gt;='01_Input'!$V$59,BF$20&lt;'01_Input'!$W$59),'01_Input'!$Y$59,0),MAX(MIN(BF$20,'01_Input'!$W$59)-'01_Input'!$V$59,0)*'01_Input'!$Y$59))+IF('01_Input'!$AB$59="Forfait",IF(BF$20&gt;='01_Input'!$Z$59,'01_Input'!$AC$59,0),IF('01_Input'!$AB$59="Palier",IF(AND(BF$20&gt;='01_Input'!$Z$59,BF$20&lt;'01_Input'!$AA$59),'01_Input'!$AC$59,0),MAX(MIN(BF$20,'01_Input'!$AA$59)-'01_Input'!$Z$59,0)*'01_Input'!$AC$59)))))))))</f>
        <v>0</v>
      </c>
      <c r="BG27" s="25">
        <f>IF('01_Input'!$C$59="Non",0,MIN('01_Input'!$I$59,MAX('01_Input'!$H$59,IF('01_Input'!$G$59="Résiduel vs Gestion",0,IF('01_Input'!$G$59="Taux Classe sélectionnée",Distrib_Global_Classe_Selectionnee*BG$20,IF('01_Input'!$G$59="Frais KYC (paliers de 100M€)",MAX(0,Nb_Investisseurs-Nb_KYC_Gratuites_Par_Tranche*(FLOOR(BG$20/Taille_Tranche_KYC,1)+1))*Cout_Par_KYC_Supplementaire,(IF('01_Input'!$L$59="Forfait",IF(BG$20&gt;='01_Input'!$J$59,'01_Input'!$M$59,0),IF('01_Input'!$L$59="Palier",IF(AND(BG$20&gt;='01_Input'!$J$59,BG$20&lt;'01_Input'!$K$59),'01_Input'!$M$59,0),MAX(MIN(BG$20,'01_Input'!$K$59)-'01_Input'!$J$59,0)*'01_Input'!$M$59))+IF('01_Input'!$P$59="Forfait",IF(BG$20&gt;='01_Input'!$N$59,'01_Input'!$Q$59,0),IF('01_Input'!$P$59="Palier",IF(AND(BG$20&gt;='01_Input'!$N$59,BG$20&lt;'01_Input'!$O$59),'01_Input'!$Q$59,0),MAX(MIN(BG$20,'01_Input'!$O$59)-'01_Input'!$N$59,0)*'01_Input'!$Q$59))+IF('01_Input'!$T$59="Forfait",IF(BG$20&gt;='01_Input'!$R$59,'01_Input'!$U$59,0),IF('01_Input'!$T$59="Palier",IF(AND(BG$20&gt;='01_Input'!$R$59,BG$20&lt;'01_Input'!$S$59),'01_Input'!$U$59,0),MAX(MIN(BG$20,'01_Input'!$S$59)-'01_Input'!$R$59,0)*'01_Input'!$U$59))+IF('01_Input'!$X$59="Forfait",IF(BG$20&gt;='01_Input'!$V$59,'01_Input'!$Y$59,0),IF('01_Input'!$X$59="Palier",IF(AND(BG$20&gt;='01_Input'!$V$59,BG$20&lt;'01_Input'!$W$59),'01_Input'!$Y$59,0),MAX(MIN(BG$20,'01_Input'!$W$59)-'01_Input'!$V$59,0)*'01_Input'!$Y$59))+IF('01_Input'!$AB$59="Forfait",IF(BG$20&gt;='01_Input'!$Z$59,'01_Input'!$AC$59,0),IF('01_Input'!$AB$59="Palier",IF(AND(BG$20&gt;='01_Input'!$Z$59,BG$20&lt;'01_Input'!$AA$59),'01_Input'!$AC$59,0),MAX(MIN(BG$20,'01_Input'!$AA$59)-'01_Input'!$Z$59,0)*'01_Input'!$AC$59)))))))))</f>
        <v>0</v>
      </c>
      <c r="BH27" s="25">
        <f>IF('01_Input'!$C$59="Non",0,MIN('01_Input'!$I$59,MAX('01_Input'!$H$59,IF('01_Input'!$G$59="Résiduel vs Gestion",0,IF('01_Input'!$G$59="Taux Classe sélectionnée",Distrib_Global_Classe_Selectionnee*BH$20,IF('01_Input'!$G$59="Frais KYC (paliers de 100M€)",MAX(0,Nb_Investisseurs-Nb_KYC_Gratuites_Par_Tranche*(FLOOR(BH$20/Taille_Tranche_KYC,1)+1))*Cout_Par_KYC_Supplementaire,(IF('01_Input'!$L$59="Forfait",IF(BH$20&gt;='01_Input'!$J$59,'01_Input'!$M$59,0),IF('01_Input'!$L$59="Palier",IF(AND(BH$20&gt;='01_Input'!$J$59,BH$20&lt;'01_Input'!$K$59),'01_Input'!$M$59,0),MAX(MIN(BH$20,'01_Input'!$K$59)-'01_Input'!$J$59,0)*'01_Input'!$M$59))+IF('01_Input'!$P$59="Forfait",IF(BH$20&gt;='01_Input'!$N$59,'01_Input'!$Q$59,0),IF('01_Input'!$P$59="Palier",IF(AND(BH$20&gt;='01_Input'!$N$59,BH$20&lt;'01_Input'!$O$59),'01_Input'!$Q$59,0),MAX(MIN(BH$20,'01_Input'!$O$59)-'01_Input'!$N$59,0)*'01_Input'!$Q$59))+IF('01_Input'!$T$59="Forfait",IF(BH$20&gt;='01_Input'!$R$59,'01_Input'!$U$59,0),IF('01_Input'!$T$59="Palier",IF(AND(BH$20&gt;='01_Input'!$R$59,BH$20&lt;'01_Input'!$S$59),'01_Input'!$U$59,0),MAX(MIN(BH$20,'01_Input'!$S$59)-'01_Input'!$R$59,0)*'01_Input'!$U$59))+IF('01_Input'!$X$59="Forfait",IF(BH$20&gt;='01_Input'!$V$59,'01_Input'!$Y$59,0),IF('01_Input'!$X$59="Palier",IF(AND(BH$20&gt;='01_Input'!$V$59,BH$20&lt;'01_Input'!$W$59),'01_Input'!$Y$59,0),MAX(MIN(BH$20,'01_Input'!$W$59)-'01_Input'!$V$59,0)*'01_Input'!$Y$59))+IF('01_Input'!$AB$59="Forfait",IF(BH$20&gt;='01_Input'!$Z$59,'01_Input'!$AC$59,0),IF('01_Input'!$AB$59="Palier",IF(AND(BH$20&gt;='01_Input'!$Z$59,BH$20&lt;'01_Input'!$AA$59),'01_Input'!$AC$59,0),MAX(MIN(BH$20,'01_Input'!$AA$59)-'01_Input'!$Z$59,0)*'01_Input'!$AC$59)))))))))</f>
        <v>0</v>
      </c>
      <c r="BI27" s="25">
        <f>IF('01_Input'!$C$59="Non",0,MIN('01_Input'!$I$59,MAX('01_Input'!$H$59,IF('01_Input'!$G$59="Résiduel vs Gestion",0,IF('01_Input'!$G$59="Taux Classe sélectionnée",Distrib_Global_Classe_Selectionnee*BI$20,IF('01_Input'!$G$59="Frais KYC (paliers de 100M€)",MAX(0,Nb_Investisseurs-Nb_KYC_Gratuites_Par_Tranche*(FLOOR(BI$20/Taille_Tranche_KYC,1)+1))*Cout_Par_KYC_Supplementaire,(IF('01_Input'!$L$59="Forfait",IF(BI$20&gt;='01_Input'!$J$59,'01_Input'!$M$59,0),IF('01_Input'!$L$59="Palier",IF(AND(BI$20&gt;='01_Input'!$J$59,BI$20&lt;'01_Input'!$K$59),'01_Input'!$M$59,0),MAX(MIN(BI$20,'01_Input'!$K$59)-'01_Input'!$J$59,0)*'01_Input'!$M$59))+IF('01_Input'!$P$59="Forfait",IF(BI$20&gt;='01_Input'!$N$59,'01_Input'!$Q$59,0),IF('01_Input'!$P$59="Palier",IF(AND(BI$20&gt;='01_Input'!$N$59,BI$20&lt;'01_Input'!$O$59),'01_Input'!$Q$59,0),MAX(MIN(BI$20,'01_Input'!$O$59)-'01_Input'!$N$59,0)*'01_Input'!$Q$59))+IF('01_Input'!$T$59="Forfait",IF(BI$20&gt;='01_Input'!$R$59,'01_Input'!$U$59,0),IF('01_Input'!$T$59="Palier",IF(AND(BI$20&gt;='01_Input'!$R$59,BI$20&lt;'01_Input'!$S$59),'01_Input'!$U$59,0),MAX(MIN(BI$20,'01_Input'!$S$59)-'01_Input'!$R$59,0)*'01_Input'!$U$59))+IF('01_Input'!$X$59="Forfait",IF(BI$20&gt;='01_Input'!$V$59,'01_Input'!$Y$59,0),IF('01_Input'!$X$59="Palier",IF(AND(BI$20&gt;='01_Input'!$V$59,BI$20&lt;'01_Input'!$W$59),'01_Input'!$Y$59,0),MAX(MIN(BI$20,'01_Input'!$W$59)-'01_Input'!$V$59,0)*'01_Input'!$Y$59))+IF('01_Input'!$AB$59="Forfait",IF(BI$20&gt;='01_Input'!$Z$59,'01_Input'!$AC$59,0),IF('01_Input'!$AB$59="Palier",IF(AND(BI$20&gt;='01_Input'!$Z$59,BI$20&lt;'01_Input'!$AA$59),'01_Input'!$AC$59,0),MAX(MIN(BI$20,'01_Input'!$AA$59)-'01_Input'!$Z$59,0)*'01_Input'!$AC$59)))))))))</f>
        <v>0</v>
      </c>
      <c r="BJ27" s="25">
        <f>IF('01_Input'!$C$59="Non",0,MIN('01_Input'!$I$59,MAX('01_Input'!$H$59,IF('01_Input'!$G$59="Résiduel vs Gestion",0,IF('01_Input'!$G$59="Taux Classe sélectionnée",Distrib_Global_Classe_Selectionnee*BJ$20,IF('01_Input'!$G$59="Frais KYC (paliers de 100M€)",MAX(0,Nb_Investisseurs-Nb_KYC_Gratuites_Par_Tranche*(FLOOR(BJ$20/Taille_Tranche_KYC,1)+1))*Cout_Par_KYC_Supplementaire,(IF('01_Input'!$L$59="Forfait",IF(BJ$20&gt;='01_Input'!$J$59,'01_Input'!$M$59,0),IF('01_Input'!$L$59="Palier",IF(AND(BJ$20&gt;='01_Input'!$J$59,BJ$20&lt;'01_Input'!$K$59),'01_Input'!$M$59,0),MAX(MIN(BJ$20,'01_Input'!$K$59)-'01_Input'!$J$59,0)*'01_Input'!$M$59))+IF('01_Input'!$P$59="Forfait",IF(BJ$20&gt;='01_Input'!$N$59,'01_Input'!$Q$59,0),IF('01_Input'!$P$59="Palier",IF(AND(BJ$20&gt;='01_Input'!$N$59,BJ$20&lt;'01_Input'!$O$59),'01_Input'!$Q$59,0),MAX(MIN(BJ$20,'01_Input'!$O$59)-'01_Input'!$N$59,0)*'01_Input'!$Q$59))+IF('01_Input'!$T$59="Forfait",IF(BJ$20&gt;='01_Input'!$R$59,'01_Input'!$U$59,0),IF('01_Input'!$T$59="Palier",IF(AND(BJ$20&gt;='01_Input'!$R$59,BJ$20&lt;'01_Input'!$S$59),'01_Input'!$U$59,0),MAX(MIN(BJ$20,'01_Input'!$S$59)-'01_Input'!$R$59,0)*'01_Input'!$U$59))+IF('01_Input'!$X$59="Forfait",IF(BJ$20&gt;='01_Input'!$V$59,'01_Input'!$Y$59,0),IF('01_Input'!$X$59="Palier",IF(AND(BJ$20&gt;='01_Input'!$V$59,BJ$20&lt;'01_Input'!$W$59),'01_Input'!$Y$59,0),MAX(MIN(BJ$20,'01_Input'!$W$59)-'01_Input'!$V$59,0)*'01_Input'!$Y$59))+IF('01_Input'!$AB$59="Forfait",IF(BJ$20&gt;='01_Input'!$Z$59,'01_Input'!$AC$59,0),IF('01_Input'!$AB$59="Palier",IF(AND(BJ$20&gt;='01_Input'!$Z$59,BJ$20&lt;'01_Input'!$AA$59),'01_Input'!$AC$59,0),MAX(MIN(BJ$20,'01_Input'!$AA$59)-'01_Input'!$Z$59,0)*'01_Input'!$AC$59)))))))))</f>
        <v>0</v>
      </c>
      <c r="BK27" s="25">
        <f>IF('01_Input'!$C$59="Non",0,MIN('01_Input'!$I$59,MAX('01_Input'!$H$59,IF('01_Input'!$G$59="Résiduel vs Gestion",0,IF('01_Input'!$G$59="Taux Classe sélectionnée",Distrib_Global_Classe_Selectionnee*BK$20,IF('01_Input'!$G$59="Frais KYC (paliers de 100M€)",MAX(0,Nb_Investisseurs-Nb_KYC_Gratuites_Par_Tranche*(FLOOR(BK$20/Taille_Tranche_KYC,1)+1))*Cout_Par_KYC_Supplementaire,(IF('01_Input'!$L$59="Forfait",IF(BK$20&gt;='01_Input'!$J$59,'01_Input'!$M$59,0),IF('01_Input'!$L$59="Palier",IF(AND(BK$20&gt;='01_Input'!$J$59,BK$20&lt;'01_Input'!$K$59),'01_Input'!$M$59,0),MAX(MIN(BK$20,'01_Input'!$K$59)-'01_Input'!$J$59,0)*'01_Input'!$M$59))+IF('01_Input'!$P$59="Forfait",IF(BK$20&gt;='01_Input'!$N$59,'01_Input'!$Q$59,0),IF('01_Input'!$P$59="Palier",IF(AND(BK$20&gt;='01_Input'!$N$59,BK$20&lt;'01_Input'!$O$59),'01_Input'!$Q$59,0),MAX(MIN(BK$20,'01_Input'!$O$59)-'01_Input'!$N$59,0)*'01_Input'!$Q$59))+IF('01_Input'!$T$59="Forfait",IF(BK$20&gt;='01_Input'!$R$59,'01_Input'!$U$59,0),IF('01_Input'!$T$59="Palier",IF(AND(BK$20&gt;='01_Input'!$R$59,BK$20&lt;'01_Input'!$S$59),'01_Input'!$U$59,0),MAX(MIN(BK$20,'01_Input'!$S$59)-'01_Input'!$R$59,0)*'01_Input'!$U$59))+IF('01_Input'!$X$59="Forfait",IF(BK$20&gt;='01_Input'!$V$59,'01_Input'!$Y$59,0),IF('01_Input'!$X$59="Palier",IF(AND(BK$20&gt;='01_Input'!$V$59,BK$20&lt;'01_Input'!$W$59),'01_Input'!$Y$59,0),MAX(MIN(BK$20,'01_Input'!$W$59)-'01_Input'!$V$59,0)*'01_Input'!$Y$59))+IF('01_Input'!$AB$59="Forfait",IF(BK$20&gt;='01_Input'!$Z$59,'01_Input'!$AC$59,0),IF('01_Input'!$AB$59="Palier",IF(AND(BK$20&gt;='01_Input'!$Z$59,BK$20&lt;'01_Input'!$AA$59),'01_Input'!$AC$59,0),MAX(MIN(BK$20,'01_Input'!$AA$59)-'01_Input'!$Z$59,0)*'01_Input'!$AC$59)))))))))</f>
        <v>0</v>
      </c>
      <c r="BL27" s="25">
        <f>IF('01_Input'!$C$59="Non",0,MIN('01_Input'!$I$59,MAX('01_Input'!$H$59,IF('01_Input'!$G$59="Résiduel vs Gestion",0,IF('01_Input'!$G$59="Taux Classe sélectionnée",Distrib_Global_Classe_Selectionnee*BL$20,IF('01_Input'!$G$59="Frais KYC (paliers de 100M€)",MAX(0,Nb_Investisseurs-Nb_KYC_Gratuites_Par_Tranche*(FLOOR(BL$20/Taille_Tranche_KYC,1)+1))*Cout_Par_KYC_Supplementaire,(IF('01_Input'!$L$59="Forfait",IF(BL$20&gt;='01_Input'!$J$59,'01_Input'!$M$59,0),IF('01_Input'!$L$59="Palier",IF(AND(BL$20&gt;='01_Input'!$J$59,BL$20&lt;'01_Input'!$K$59),'01_Input'!$M$59,0),MAX(MIN(BL$20,'01_Input'!$K$59)-'01_Input'!$J$59,0)*'01_Input'!$M$59))+IF('01_Input'!$P$59="Forfait",IF(BL$20&gt;='01_Input'!$N$59,'01_Input'!$Q$59,0),IF('01_Input'!$P$59="Palier",IF(AND(BL$20&gt;='01_Input'!$N$59,BL$20&lt;'01_Input'!$O$59),'01_Input'!$Q$59,0),MAX(MIN(BL$20,'01_Input'!$O$59)-'01_Input'!$N$59,0)*'01_Input'!$Q$59))+IF('01_Input'!$T$59="Forfait",IF(BL$20&gt;='01_Input'!$R$59,'01_Input'!$U$59,0),IF('01_Input'!$T$59="Palier",IF(AND(BL$20&gt;='01_Input'!$R$59,BL$20&lt;'01_Input'!$S$59),'01_Input'!$U$59,0),MAX(MIN(BL$20,'01_Input'!$S$59)-'01_Input'!$R$59,0)*'01_Input'!$U$59))+IF('01_Input'!$X$59="Forfait",IF(BL$20&gt;='01_Input'!$V$59,'01_Input'!$Y$59,0),IF('01_Input'!$X$59="Palier",IF(AND(BL$20&gt;='01_Input'!$V$59,BL$20&lt;'01_Input'!$W$59),'01_Input'!$Y$59,0),MAX(MIN(BL$20,'01_Input'!$W$59)-'01_Input'!$V$59,0)*'01_Input'!$Y$59))+IF('01_Input'!$AB$59="Forfait",IF(BL$20&gt;='01_Input'!$Z$59,'01_Input'!$AC$59,0),IF('01_Input'!$AB$59="Palier",IF(AND(BL$20&gt;='01_Input'!$Z$59,BL$20&lt;'01_Input'!$AA$59),'01_Input'!$AC$59,0),MAX(MIN(BL$20,'01_Input'!$AA$59)-'01_Input'!$Z$59,0)*'01_Input'!$AC$59)))))))))</f>
        <v>0</v>
      </c>
      <c r="BM27" s="25">
        <f>IF('01_Input'!$C$59="Non",0,MIN('01_Input'!$I$59,MAX('01_Input'!$H$59,IF('01_Input'!$G$59="Résiduel vs Gestion",0,IF('01_Input'!$G$59="Taux Classe sélectionnée",Distrib_Global_Classe_Selectionnee*BM$20,IF('01_Input'!$G$59="Frais KYC (paliers de 100M€)",MAX(0,Nb_Investisseurs-Nb_KYC_Gratuites_Par_Tranche*(FLOOR(BM$20/Taille_Tranche_KYC,1)+1))*Cout_Par_KYC_Supplementaire,(IF('01_Input'!$L$59="Forfait",IF(BM$20&gt;='01_Input'!$J$59,'01_Input'!$M$59,0),IF('01_Input'!$L$59="Palier",IF(AND(BM$20&gt;='01_Input'!$J$59,BM$20&lt;'01_Input'!$K$59),'01_Input'!$M$59,0),MAX(MIN(BM$20,'01_Input'!$K$59)-'01_Input'!$J$59,0)*'01_Input'!$M$59))+IF('01_Input'!$P$59="Forfait",IF(BM$20&gt;='01_Input'!$N$59,'01_Input'!$Q$59,0),IF('01_Input'!$P$59="Palier",IF(AND(BM$20&gt;='01_Input'!$N$59,BM$20&lt;'01_Input'!$O$59),'01_Input'!$Q$59,0),MAX(MIN(BM$20,'01_Input'!$O$59)-'01_Input'!$N$59,0)*'01_Input'!$Q$59))+IF('01_Input'!$T$59="Forfait",IF(BM$20&gt;='01_Input'!$R$59,'01_Input'!$U$59,0),IF('01_Input'!$T$59="Palier",IF(AND(BM$20&gt;='01_Input'!$R$59,BM$20&lt;'01_Input'!$S$59),'01_Input'!$U$59,0),MAX(MIN(BM$20,'01_Input'!$S$59)-'01_Input'!$R$59,0)*'01_Input'!$U$59))+IF('01_Input'!$X$59="Forfait",IF(BM$20&gt;='01_Input'!$V$59,'01_Input'!$Y$59,0),IF('01_Input'!$X$59="Palier",IF(AND(BM$20&gt;='01_Input'!$V$59,BM$20&lt;'01_Input'!$W$59),'01_Input'!$Y$59,0),MAX(MIN(BM$20,'01_Input'!$W$59)-'01_Input'!$V$59,0)*'01_Input'!$Y$59))+IF('01_Input'!$AB$59="Forfait",IF(BM$20&gt;='01_Input'!$Z$59,'01_Input'!$AC$59,0),IF('01_Input'!$AB$59="Palier",IF(AND(BM$20&gt;='01_Input'!$Z$59,BM$20&lt;'01_Input'!$AA$59),'01_Input'!$AC$59,0),MAX(MIN(BM$20,'01_Input'!$AA$59)-'01_Input'!$Z$59,0)*'01_Input'!$AC$59)))))))))</f>
        <v>0</v>
      </c>
      <c r="BN27" s="25">
        <f>IF('01_Input'!$C$59="Non",0,MIN('01_Input'!$I$59,MAX('01_Input'!$H$59,IF('01_Input'!$G$59="Résiduel vs Gestion",0,IF('01_Input'!$G$59="Taux Classe sélectionnée",Distrib_Global_Classe_Selectionnee*BN$20,IF('01_Input'!$G$59="Frais KYC (paliers de 100M€)",MAX(0,Nb_Investisseurs-Nb_KYC_Gratuites_Par_Tranche*(FLOOR(BN$20/Taille_Tranche_KYC,1)+1))*Cout_Par_KYC_Supplementaire,(IF('01_Input'!$L$59="Forfait",IF(BN$20&gt;='01_Input'!$J$59,'01_Input'!$M$59,0),IF('01_Input'!$L$59="Palier",IF(AND(BN$20&gt;='01_Input'!$J$59,BN$20&lt;'01_Input'!$K$59),'01_Input'!$M$59,0),MAX(MIN(BN$20,'01_Input'!$K$59)-'01_Input'!$J$59,0)*'01_Input'!$M$59))+IF('01_Input'!$P$59="Forfait",IF(BN$20&gt;='01_Input'!$N$59,'01_Input'!$Q$59,0),IF('01_Input'!$P$59="Palier",IF(AND(BN$20&gt;='01_Input'!$N$59,BN$20&lt;'01_Input'!$O$59),'01_Input'!$Q$59,0),MAX(MIN(BN$20,'01_Input'!$O$59)-'01_Input'!$N$59,0)*'01_Input'!$Q$59))+IF('01_Input'!$T$59="Forfait",IF(BN$20&gt;='01_Input'!$R$59,'01_Input'!$U$59,0),IF('01_Input'!$T$59="Palier",IF(AND(BN$20&gt;='01_Input'!$R$59,BN$20&lt;'01_Input'!$S$59),'01_Input'!$U$59,0),MAX(MIN(BN$20,'01_Input'!$S$59)-'01_Input'!$R$59,0)*'01_Input'!$U$59))+IF('01_Input'!$X$59="Forfait",IF(BN$20&gt;='01_Input'!$V$59,'01_Input'!$Y$59,0),IF('01_Input'!$X$59="Palier",IF(AND(BN$20&gt;='01_Input'!$V$59,BN$20&lt;'01_Input'!$W$59),'01_Input'!$Y$59,0),MAX(MIN(BN$20,'01_Input'!$W$59)-'01_Input'!$V$59,0)*'01_Input'!$Y$59))+IF('01_Input'!$AB$59="Forfait",IF(BN$20&gt;='01_Input'!$Z$59,'01_Input'!$AC$59,0),IF('01_Input'!$AB$59="Palier",IF(AND(BN$20&gt;='01_Input'!$Z$59,BN$20&lt;'01_Input'!$AA$59),'01_Input'!$AC$59,0),MAX(MIN(BN$20,'01_Input'!$AA$59)-'01_Input'!$Z$59,0)*'01_Input'!$AC$59)))))))))</f>
        <v>0</v>
      </c>
      <c r="BO27" s="25">
        <f>IF('01_Input'!$C$59="Non",0,MIN('01_Input'!$I$59,MAX('01_Input'!$H$59,IF('01_Input'!$G$59="Résiduel vs Gestion",0,IF('01_Input'!$G$59="Taux Classe sélectionnée",Distrib_Global_Classe_Selectionnee*BO$20,IF('01_Input'!$G$59="Frais KYC (paliers de 100M€)",MAX(0,Nb_Investisseurs-Nb_KYC_Gratuites_Par_Tranche*(FLOOR(BO$20/Taille_Tranche_KYC,1)+1))*Cout_Par_KYC_Supplementaire,(IF('01_Input'!$L$59="Forfait",IF(BO$20&gt;='01_Input'!$J$59,'01_Input'!$M$59,0),IF('01_Input'!$L$59="Palier",IF(AND(BO$20&gt;='01_Input'!$J$59,BO$20&lt;'01_Input'!$K$59),'01_Input'!$M$59,0),MAX(MIN(BO$20,'01_Input'!$K$59)-'01_Input'!$J$59,0)*'01_Input'!$M$59))+IF('01_Input'!$P$59="Forfait",IF(BO$20&gt;='01_Input'!$N$59,'01_Input'!$Q$59,0),IF('01_Input'!$P$59="Palier",IF(AND(BO$20&gt;='01_Input'!$N$59,BO$20&lt;'01_Input'!$O$59),'01_Input'!$Q$59,0),MAX(MIN(BO$20,'01_Input'!$O$59)-'01_Input'!$N$59,0)*'01_Input'!$Q$59))+IF('01_Input'!$T$59="Forfait",IF(BO$20&gt;='01_Input'!$R$59,'01_Input'!$U$59,0),IF('01_Input'!$T$59="Palier",IF(AND(BO$20&gt;='01_Input'!$R$59,BO$20&lt;'01_Input'!$S$59),'01_Input'!$U$59,0),MAX(MIN(BO$20,'01_Input'!$S$59)-'01_Input'!$R$59,0)*'01_Input'!$U$59))+IF('01_Input'!$X$59="Forfait",IF(BO$20&gt;='01_Input'!$V$59,'01_Input'!$Y$59,0),IF('01_Input'!$X$59="Palier",IF(AND(BO$20&gt;='01_Input'!$V$59,BO$20&lt;'01_Input'!$W$59),'01_Input'!$Y$59,0),MAX(MIN(BO$20,'01_Input'!$W$59)-'01_Input'!$V$59,0)*'01_Input'!$Y$59))+IF('01_Input'!$AB$59="Forfait",IF(BO$20&gt;='01_Input'!$Z$59,'01_Input'!$AC$59,0),IF('01_Input'!$AB$59="Palier",IF(AND(BO$20&gt;='01_Input'!$Z$59,BO$20&lt;'01_Input'!$AA$59),'01_Input'!$AC$59,0),MAX(MIN(BO$20,'01_Input'!$AA$59)-'01_Input'!$Z$59,0)*'01_Input'!$AC$59)))))))))</f>
        <v>0</v>
      </c>
      <c r="BP27" s="25">
        <f>IF('01_Input'!$C$59="Non",0,MIN('01_Input'!$I$59,MAX('01_Input'!$H$59,IF('01_Input'!$G$59="Résiduel vs Gestion",0,IF('01_Input'!$G$59="Taux Classe sélectionnée",Distrib_Global_Classe_Selectionnee*BP$20,IF('01_Input'!$G$59="Frais KYC (paliers de 100M€)",MAX(0,Nb_Investisseurs-Nb_KYC_Gratuites_Par_Tranche*(FLOOR(BP$20/Taille_Tranche_KYC,1)+1))*Cout_Par_KYC_Supplementaire,(IF('01_Input'!$L$59="Forfait",IF(BP$20&gt;='01_Input'!$J$59,'01_Input'!$M$59,0),IF('01_Input'!$L$59="Palier",IF(AND(BP$20&gt;='01_Input'!$J$59,BP$20&lt;'01_Input'!$K$59),'01_Input'!$M$59,0),MAX(MIN(BP$20,'01_Input'!$K$59)-'01_Input'!$J$59,0)*'01_Input'!$M$59))+IF('01_Input'!$P$59="Forfait",IF(BP$20&gt;='01_Input'!$N$59,'01_Input'!$Q$59,0),IF('01_Input'!$P$59="Palier",IF(AND(BP$20&gt;='01_Input'!$N$59,BP$20&lt;'01_Input'!$O$59),'01_Input'!$Q$59,0),MAX(MIN(BP$20,'01_Input'!$O$59)-'01_Input'!$N$59,0)*'01_Input'!$Q$59))+IF('01_Input'!$T$59="Forfait",IF(BP$20&gt;='01_Input'!$R$59,'01_Input'!$U$59,0),IF('01_Input'!$T$59="Palier",IF(AND(BP$20&gt;='01_Input'!$R$59,BP$20&lt;'01_Input'!$S$59),'01_Input'!$U$59,0),MAX(MIN(BP$20,'01_Input'!$S$59)-'01_Input'!$R$59,0)*'01_Input'!$U$59))+IF('01_Input'!$X$59="Forfait",IF(BP$20&gt;='01_Input'!$V$59,'01_Input'!$Y$59,0),IF('01_Input'!$X$59="Palier",IF(AND(BP$20&gt;='01_Input'!$V$59,BP$20&lt;'01_Input'!$W$59),'01_Input'!$Y$59,0),MAX(MIN(BP$20,'01_Input'!$W$59)-'01_Input'!$V$59,0)*'01_Input'!$Y$59))+IF('01_Input'!$AB$59="Forfait",IF(BP$20&gt;='01_Input'!$Z$59,'01_Input'!$AC$59,0),IF('01_Input'!$AB$59="Palier",IF(AND(BP$20&gt;='01_Input'!$Z$59,BP$20&lt;'01_Input'!$AA$59),'01_Input'!$AC$59,0),MAX(MIN(BP$20,'01_Input'!$AA$59)-'01_Input'!$Z$59,0)*'01_Input'!$AC$59)))))))))</f>
        <v>0</v>
      </c>
      <c r="BQ27" s="25">
        <f>IF('01_Input'!$C$59="Non",0,MIN('01_Input'!$I$59,MAX('01_Input'!$H$59,IF('01_Input'!$G$59="Résiduel vs Gestion",0,IF('01_Input'!$G$59="Taux Classe sélectionnée",Distrib_Global_Classe_Selectionnee*BQ$20,IF('01_Input'!$G$59="Frais KYC (paliers de 100M€)",MAX(0,Nb_Investisseurs-Nb_KYC_Gratuites_Par_Tranche*(FLOOR(BQ$20/Taille_Tranche_KYC,1)+1))*Cout_Par_KYC_Supplementaire,(IF('01_Input'!$L$59="Forfait",IF(BQ$20&gt;='01_Input'!$J$59,'01_Input'!$M$59,0),IF('01_Input'!$L$59="Palier",IF(AND(BQ$20&gt;='01_Input'!$J$59,BQ$20&lt;'01_Input'!$K$59),'01_Input'!$M$59,0),MAX(MIN(BQ$20,'01_Input'!$K$59)-'01_Input'!$J$59,0)*'01_Input'!$M$59))+IF('01_Input'!$P$59="Forfait",IF(BQ$20&gt;='01_Input'!$N$59,'01_Input'!$Q$59,0),IF('01_Input'!$P$59="Palier",IF(AND(BQ$20&gt;='01_Input'!$N$59,BQ$20&lt;'01_Input'!$O$59),'01_Input'!$Q$59,0),MAX(MIN(BQ$20,'01_Input'!$O$59)-'01_Input'!$N$59,0)*'01_Input'!$Q$59))+IF('01_Input'!$T$59="Forfait",IF(BQ$20&gt;='01_Input'!$R$59,'01_Input'!$U$59,0),IF('01_Input'!$T$59="Palier",IF(AND(BQ$20&gt;='01_Input'!$R$59,BQ$20&lt;'01_Input'!$S$59),'01_Input'!$U$59,0),MAX(MIN(BQ$20,'01_Input'!$S$59)-'01_Input'!$R$59,0)*'01_Input'!$U$59))+IF('01_Input'!$X$59="Forfait",IF(BQ$20&gt;='01_Input'!$V$59,'01_Input'!$Y$59,0),IF('01_Input'!$X$59="Palier",IF(AND(BQ$20&gt;='01_Input'!$V$59,BQ$20&lt;'01_Input'!$W$59),'01_Input'!$Y$59,0),MAX(MIN(BQ$20,'01_Input'!$W$59)-'01_Input'!$V$59,0)*'01_Input'!$Y$59))+IF('01_Input'!$AB$59="Forfait",IF(BQ$20&gt;='01_Input'!$Z$59,'01_Input'!$AC$59,0),IF('01_Input'!$AB$59="Palier",IF(AND(BQ$20&gt;='01_Input'!$Z$59,BQ$20&lt;'01_Input'!$AA$59),'01_Input'!$AC$59,0),MAX(MIN(BQ$20,'01_Input'!$AA$59)-'01_Input'!$Z$59,0)*'01_Input'!$AC$59)))))))))</f>
        <v>0</v>
      </c>
      <c r="BR27" s="25">
        <f>IF('01_Input'!$C$59="Non",0,MIN('01_Input'!$I$59,MAX('01_Input'!$H$59,IF('01_Input'!$G$59="Résiduel vs Gestion",0,IF('01_Input'!$G$59="Taux Classe sélectionnée",Distrib_Global_Classe_Selectionnee*BR$20,IF('01_Input'!$G$59="Frais KYC (paliers de 100M€)",MAX(0,Nb_Investisseurs-Nb_KYC_Gratuites_Par_Tranche*(FLOOR(BR$20/Taille_Tranche_KYC,1)+1))*Cout_Par_KYC_Supplementaire,(IF('01_Input'!$L$59="Forfait",IF(BR$20&gt;='01_Input'!$J$59,'01_Input'!$M$59,0),IF('01_Input'!$L$59="Palier",IF(AND(BR$20&gt;='01_Input'!$J$59,BR$20&lt;'01_Input'!$K$59),'01_Input'!$M$59,0),MAX(MIN(BR$20,'01_Input'!$K$59)-'01_Input'!$J$59,0)*'01_Input'!$M$59))+IF('01_Input'!$P$59="Forfait",IF(BR$20&gt;='01_Input'!$N$59,'01_Input'!$Q$59,0),IF('01_Input'!$P$59="Palier",IF(AND(BR$20&gt;='01_Input'!$N$59,BR$20&lt;'01_Input'!$O$59),'01_Input'!$Q$59,0),MAX(MIN(BR$20,'01_Input'!$O$59)-'01_Input'!$N$59,0)*'01_Input'!$Q$59))+IF('01_Input'!$T$59="Forfait",IF(BR$20&gt;='01_Input'!$R$59,'01_Input'!$U$59,0),IF('01_Input'!$T$59="Palier",IF(AND(BR$20&gt;='01_Input'!$R$59,BR$20&lt;'01_Input'!$S$59),'01_Input'!$U$59,0),MAX(MIN(BR$20,'01_Input'!$S$59)-'01_Input'!$R$59,0)*'01_Input'!$U$59))+IF('01_Input'!$X$59="Forfait",IF(BR$20&gt;='01_Input'!$V$59,'01_Input'!$Y$59,0),IF('01_Input'!$X$59="Palier",IF(AND(BR$20&gt;='01_Input'!$V$59,BR$20&lt;'01_Input'!$W$59),'01_Input'!$Y$59,0),MAX(MIN(BR$20,'01_Input'!$W$59)-'01_Input'!$V$59,0)*'01_Input'!$Y$59))+IF('01_Input'!$AB$59="Forfait",IF(BR$20&gt;='01_Input'!$Z$59,'01_Input'!$AC$59,0),IF('01_Input'!$AB$59="Palier",IF(AND(BR$20&gt;='01_Input'!$Z$59,BR$20&lt;'01_Input'!$AA$59),'01_Input'!$AC$59,0),MAX(MIN(BR$20,'01_Input'!$AA$59)-'01_Input'!$Z$59,0)*'01_Input'!$AC$59)))))))))</f>
        <v>0</v>
      </c>
      <c r="BS27" s="25">
        <f>IF('01_Input'!$C$59="Non",0,MIN('01_Input'!$I$59,MAX('01_Input'!$H$59,IF('01_Input'!$G$59="Résiduel vs Gestion",0,IF('01_Input'!$G$59="Taux Classe sélectionnée",Distrib_Global_Classe_Selectionnee*BS$20,IF('01_Input'!$G$59="Frais KYC (paliers de 100M€)",MAX(0,Nb_Investisseurs-Nb_KYC_Gratuites_Par_Tranche*(FLOOR(BS$20/Taille_Tranche_KYC,1)+1))*Cout_Par_KYC_Supplementaire,(IF('01_Input'!$L$59="Forfait",IF(BS$20&gt;='01_Input'!$J$59,'01_Input'!$M$59,0),IF('01_Input'!$L$59="Palier",IF(AND(BS$20&gt;='01_Input'!$J$59,BS$20&lt;'01_Input'!$K$59),'01_Input'!$M$59,0),MAX(MIN(BS$20,'01_Input'!$K$59)-'01_Input'!$J$59,0)*'01_Input'!$M$59))+IF('01_Input'!$P$59="Forfait",IF(BS$20&gt;='01_Input'!$N$59,'01_Input'!$Q$59,0),IF('01_Input'!$P$59="Palier",IF(AND(BS$20&gt;='01_Input'!$N$59,BS$20&lt;'01_Input'!$O$59),'01_Input'!$Q$59,0),MAX(MIN(BS$20,'01_Input'!$O$59)-'01_Input'!$N$59,0)*'01_Input'!$Q$59))+IF('01_Input'!$T$59="Forfait",IF(BS$20&gt;='01_Input'!$R$59,'01_Input'!$U$59,0),IF('01_Input'!$T$59="Palier",IF(AND(BS$20&gt;='01_Input'!$R$59,BS$20&lt;'01_Input'!$S$59),'01_Input'!$U$59,0),MAX(MIN(BS$20,'01_Input'!$S$59)-'01_Input'!$R$59,0)*'01_Input'!$U$59))+IF('01_Input'!$X$59="Forfait",IF(BS$20&gt;='01_Input'!$V$59,'01_Input'!$Y$59,0),IF('01_Input'!$X$59="Palier",IF(AND(BS$20&gt;='01_Input'!$V$59,BS$20&lt;'01_Input'!$W$59),'01_Input'!$Y$59,0),MAX(MIN(BS$20,'01_Input'!$W$59)-'01_Input'!$V$59,0)*'01_Input'!$Y$59))+IF('01_Input'!$AB$59="Forfait",IF(BS$20&gt;='01_Input'!$Z$59,'01_Input'!$AC$59,0),IF('01_Input'!$AB$59="Palier",IF(AND(BS$20&gt;='01_Input'!$Z$59,BS$20&lt;'01_Input'!$AA$59),'01_Input'!$AC$59,0),MAX(MIN(BS$20,'01_Input'!$AA$59)-'01_Input'!$Z$59,0)*'01_Input'!$AC$59)))))))))</f>
        <v>0</v>
      </c>
      <c r="BT27" s="25">
        <f>IF('01_Input'!$C$59="Non",0,MIN('01_Input'!$I$59,MAX('01_Input'!$H$59,IF('01_Input'!$G$59="Résiduel vs Gestion",0,IF('01_Input'!$G$59="Taux Classe sélectionnée",Distrib_Global_Classe_Selectionnee*BT$20,IF('01_Input'!$G$59="Frais KYC (paliers de 100M€)",MAX(0,Nb_Investisseurs-Nb_KYC_Gratuites_Par_Tranche*(FLOOR(BT$20/Taille_Tranche_KYC,1)+1))*Cout_Par_KYC_Supplementaire,(IF('01_Input'!$L$59="Forfait",IF(BT$20&gt;='01_Input'!$J$59,'01_Input'!$M$59,0),IF('01_Input'!$L$59="Palier",IF(AND(BT$20&gt;='01_Input'!$J$59,BT$20&lt;'01_Input'!$K$59),'01_Input'!$M$59,0),MAX(MIN(BT$20,'01_Input'!$K$59)-'01_Input'!$J$59,0)*'01_Input'!$M$59))+IF('01_Input'!$P$59="Forfait",IF(BT$20&gt;='01_Input'!$N$59,'01_Input'!$Q$59,0),IF('01_Input'!$P$59="Palier",IF(AND(BT$20&gt;='01_Input'!$N$59,BT$20&lt;'01_Input'!$O$59),'01_Input'!$Q$59,0),MAX(MIN(BT$20,'01_Input'!$O$59)-'01_Input'!$N$59,0)*'01_Input'!$Q$59))+IF('01_Input'!$T$59="Forfait",IF(BT$20&gt;='01_Input'!$R$59,'01_Input'!$U$59,0),IF('01_Input'!$T$59="Palier",IF(AND(BT$20&gt;='01_Input'!$R$59,BT$20&lt;'01_Input'!$S$59),'01_Input'!$U$59,0),MAX(MIN(BT$20,'01_Input'!$S$59)-'01_Input'!$R$59,0)*'01_Input'!$U$59))+IF('01_Input'!$X$59="Forfait",IF(BT$20&gt;='01_Input'!$V$59,'01_Input'!$Y$59,0),IF('01_Input'!$X$59="Palier",IF(AND(BT$20&gt;='01_Input'!$V$59,BT$20&lt;'01_Input'!$W$59),'01_Input'!$Y$59,0),MAX(MIN(BT$20,'01_Input'!$W$59)-'01_Input'!$V$59,0)*'01_Input'!$Y$59))+IF('01_Input'!$AB$59="Forfait",IF(BT$20&gt;='01_Input'!$Z$59,'01_Input'!$AC$59,0),IF('01_Input'!$AB$59="Palier",IF(AND(BT$20&gt;='01_Input'!$Z$59,BT$20&lt;'01_Input'!$AA$59),'01_Input'!$AC$59,0),MAX(MIN(BT$20,'01_Input'!$AA$59)-'01_Input'!$Z$59,0)*'01_Input'!$AC$59)))))))))</f>
        <v>0</v>
      </c>
      <c r="BU27" s="25">
        <f>IF('01_Input'!$C$59="Non",0,MIN('01_Input'!$I$59,MAX('01_Input'!$H$59,IF('01_Input'!$G$59="Résiduel vs Gestion",0,IF('01_Input'!$G$59="Taux Classe sélectionnée",Distrib_Global_Classe_Selectionnee*BU$20,IF('01_Input'!$G$59="Frais KYC (paliers de 100M€)",MAX(0,Nb_Investisseurs-Nb_KYC_Gratuites_Par_Tranche*(FLOOR(BU$20/Taille_Tranche_KYC,1)+1))*Cout_Par_KYC_Supplementaire,(IF('01_Input'!$L$59="Forfait",IF(BU$20&gt;='01_Input'!$J$59,'01_Input'!$M$59,0),IF('01_Input'!$L$59="Palier",IF(AND(BU$20&gt;='01_Input'!$J$59,BU$20&lt;'01_Input'!$K$59),'01_Input'!$M$59,0),MAX(MIN(BU$20,'01_Input'!$K$59)-'01_Input'!$J$59,0)*'01_Input'!$M$59))+IF('01_Input'!$P$59="Forfait",IF(BU$20&gt;='01_Input'!$N$59,'01_Input'!$Q$59,0),IF('01_Input'!$P$59="Palier",IF(AND(BU$20&gt;='01_Input'!$N$59,BU$20&lt;'01_Input'!$O$59),'01_Input'!$Q$59,0),MAX(MIN(BU$20,'01_Input'!$O$59)-'01_Input'!$N$59,0)*'01_Input'!$Q$59))+IF('01_Input'!$T$59="Forfait",IF(BU$20&gt;='01_Input'!$R$59,'01_Input'!$U$59,0),IF('01_Input'!$T$59="Palier",IF(AND(BU$20&gt;='01_Input'!$R$59,BU$20&lt;'01_Input'!$S$59),'01_Input'!$U$59,0),MAX(MIN(BU$20,'01_Input'!$S$59)-'01_Input'!$R$59,0)*'01_Input'!$U$59))+IF('01_Input'!$X$59="Forfait",IF(BU$20&gt;='01_Input'!$V$59,'01_Input'!$Y$59,0),IF('01_Input'!$X$59="Palier",IF(AND(BU$20&gt;='01_Input'!$V$59,BU$20&lt;'01_Input'!$W$59),'01_Input'!$Y$59,0),MAX(MIN(BU$20,'01_Input'!$W$59)-'01_Input'!$V$59,0)*'01_Input'!$Y$59))+IF('01_Input'!$AB$59="Forfait",IF(BU$20&gt;='01_Input'!$Z$59,'01_Input'!$AC$59,0),IF('01_Input'!$AB$59="Palier",IF(AND(BU$20&gt;='01_Input'!$Z$59,BU$20&lt;'01_Input'!$AA$59),'01_Input'!$AC$59,0),MAX(MIN(BU$20,'01_Input'!$AA$59)-'01_Input'!$Z$59,0)*'01_Input'!$AC$59)))))))))</f>
        <v>0</v>
      </c>
      <c r="BV27" s="25">
        <f>IF('01_Input'!$C$59="Non",0,MIN('01_Input'!$I$59,MAX('01_Input'!$H$59,IF('01_Input'!$G$59="Résiduel vs Gestion",0,IF('01_Input'!$G$59="Taux Classe sélectionnée",Distrib_Global_Classe_Selectionnee*BV$20,IF('01_Input'!$G$59="Frais KYC (paliers de 100M€)",MAX(0,Nb_Investisseurs-Nb_KYC_Gratuites_Par_Tranche*(FLOOR(BV$20/Taille_Tranche_KYC,1)+1))*Cout_Par_KYC_Supplementaire,(IF('01_Input'!$L$59="Forfait",IF(BV$20&gt;='01_Input'!$J$59,'01_Input'!$M$59,0),IF('01_Input'!$L$59="Palier",IF(AND(BV$20&gt;='01_Input'!$J$59,BV$20&lt;'01_Input'!$K$59),'01_Input'!$M$59,0),MAX(MIN(BV$20,'01_Input'!$K$59)-'01_Input'!$J$59,0)*'01_Input'!$M$59))+IF('01_Input'!$P$59="Forfait",IF(BV$20&gt;='01_Input'!$N$59,'01_Input'!$Q$59,0),IF('01_Input'!$P$59="Palier",IF(AND(BV$20&gt;='01_Input'!$N$59,BV$20&lt;'01_Input'!$O$59),'01_Input'!$Q$59,0),MAX(MIN(BV$20,'01_Input'!$O$59)-'01_Input'!$N$59,0)*'01_Input'!$Q$59))+IF('01_Input'!$T$59="Forfait",IF(BV$20&gt;='01_Input'!$R$59,'01_Input'!$U$59,0),IF('01_Input'!$T$59="Palier",IF(AND(BV$20&gt;='01_Input'!$R$59,BV$20&lt;'01_Input'!$S$59),'01_Input'!$U$59,0),MAX(MIN(BV$20,'01_Input'!$S$59)-'01_Input'!$R$59,0)*'01_Input'!$U$59))+IF('01_Input'!$X$59="Forfait",IF(BV$20&gt;='01_Input'!$V$59,'01_Input'!$Y$59,0),IF('01_Input'!$X$59="Palier",IF(AND(BV$20&gt;='01_Input'!$V$59,BV$20&lt;'01_Input'!$W$59),'01_Input'!$Y$59,0),MAX(MIN(BV$20,'01_Input'!$W$59)-'01_Input'!$V$59,0)*'01_Input'!$Y$59))+IF('01_Input'!$AB$59="Forfait",IF(BV$20&gt;='01_Input'!$Z$59,'01_Input'!$AC$59,0),IF('01_Input'!$AB$59="Palier",IF(AND(BV$20&gt;='01_Input'!$Z$59,BV$20&lt;'01_Input'!$AA$59),'01_Input'!$AC$59,0),MAX(MIN(BV$20,'01_Input'!$AA$59)-'01_Input'!$Z$59,0)*'01_Input'!$AC$59)))))))))</f>
        <v>0</v>
      </c>
      <c r="BW27" s="25">
        <f>IF('01_Input'!$C$59="Non",0,MIN('01_Input'!$I$59,MAX('01_Input'!$H$59,IF('01_Input'!$G$59="Résiduel vs Gestion",0,IF('01_Input'!$G$59="Taux Classe sélectionnée",Distrib_Global_Classe_Selectionnee*BW$20,IF('01_Input'!$G$59="Frais KYC (paliers de 100M€)",MAX(0,Nb_Investisseurs-Nb_KYC_Gratuites_Par_Tranche*(FLOOR(BW$20/Taille_Tranche_KYC,1)+1))*Cout_Par_KYC_Supplementaire,(IF('01_Input'!$L$59="Forfait",IF(BW$20&gt;='01_Input'!$J$59,'01_Input'!$M$59,0),IF('01_Input'!$L$59="Palier",IF(AND(BW$20&gt;='01_Input'!$J$59,BW$20&lt;'01_Input'!$K$59),'01_Input'!$M$59,0),MAX(MIN(BW$20,'01_Input'!$K$59)-'01_Input'!$J$59,0)*'01_Input'!$M$59))+IF('01_Input'!$P$59="Forfait",IF(BW$20&gt;='01_Input'!$N$59,'01_Input'!$Q$59,0),IF('01_Input'!$P$59="Palier",IF(AND(BW$20&gt;='01_Input'!$N$59,BW$20&lt;'01_Input'!$O$59),'01_Input'!$Q$59,0),MAX(MIN(BW$20,'01_Input'!$O$59)-'01_Input'!$N$59,0)*'01_Input'!$Q$59))+IF('01_Input'!$T$59="Forfait",IF(BW$20&gt;='01_Input'!$R$59,'01_Input'!$U$59,0),IF('01_Input'!$T$59="Palier",IF(AND(BW$20&gt;='01_Input'!$R$59,BW$20&lt;'01_Input'!$S$59),'01_Input'!$U$59,0),MAX(MIN(BW$20,'01_Input'!$S$59)-'01_Input'!$R$59,0)*'01_Input'!$U$59))+IF('01_Input'!$X$59="Forfait",IF(BW$20&gt;='01_Input'!$V$59,'01_Input'!$Y$59,0),IF('01_Input'!$X$59="Palier",IF(AND(BW$20&gt;='01_Input'!$V$59,BW$20&lt;'01_Input'!$W$59),'01_Input'!$Y$59,0),MAX(MIN(BW$20,'01_Input'!$W$59)-'01_Input'!$V$59,0)*'01_Input'!$Y$59))+IF('01_Input'!$AB$59="Forfait",IF(BW$20&gt;='01_Input'!$Z$59,'01_Input'!$AC$59,0),IF('01_Input'!$AB$59="Palier",IF(AND(BW$20&gt;='01_Input'!$Z$59,BW$20&lt;'01_Input'!$AA$59),'01_Input'!$AC$59,0),MAX(MIN(BW$20,'01_Input'!$AA$59)-'01_Input'!$Z$59,0)*'01_Input'!$AC$59)))))))))</f>
        <v>0</v>
      </c>
      <c r="BX27" s="25">
        <f>IF('01_Input'!$C$59="Non",0,MIN('01_Input'!$I$59,MAX('01_Input'!$H$59,IF('01_Input'!$G$59="Résiduel vs Gestion",0,IF('01_Input'!$G$59="Taux Classe sélectionnée",Distrib_Global_Classe_Selectionnee*BX$20,IF('01_Input'!$G$59="Frais KYC (paliers de 100M€)",MAX(0,Nb_Investisseurs-Nb_KYC_Gratuites_Par_Tranche*(FLOOR(BX$20/Taille_Tranche_KYC,1)+1))*Cout_Par_KYC_Supplementaire,(IF('01_Input'!$L$59="Forfait",IF(BX$20&gt;='01_Input'!$J$59,'01_Input'!$M$59,0),IF('01_Input'!$L$59="Palier",IF(AND(BX$20&gt;='01_Input'!$J$59,BX$20&lt;'01_Input'!$K$59),'01_Input'!$M$59,0),MAX(MIN(BX$20,'01_Input'!$K$59)-'01_Input'!$J$59,0)*'01_Input'!$M$59))+IF('01_Input'!$P$59="Forfait",IF(BX$20&gt;='01_Input'!$N$59,'01_Input'!$Q$59,0),IF('01_Input'!$P$59="Palier",IF(AND(BX$20&gt;='01_Input'!$N$59,BX$20&lt;'01_Input'!$O$59),'01_Input'!$Q$59,0),MAX(MIN(BX$20,'01_Input'!$O$59)-'01_Input'!$N$59,0)*'01_Input'!$Q$59))+IF('01_Input'!$T$59="Forfait",IF(BX$20&gt;='01_Input'!$R$59,'01_Input'!$U$59,0),IF('01_Input'!$T$59="Palier",IF(AND(BX$20&gt;='01_Input'!$R$59,BX$20&lt;'01_Input'!$S$59),'01_Input'!$U$59,0),MAX(MIN(BX$20,'01_Input'!$S$59)-'01_Input'!$R$59,0)*'01_Input'!$U$59))+IF('01_Input'!$X$59="Forfait",IF(BX$20&gt;='01_Input'!$V$59,'01_Input'!$Y$59,0),IF('01_Input'!$X$59="Palier",IF(AND(BX$20&gt;='01_Input'!$V$59,BX$20&lt;'01_Input'!$W$59),'01_Input'!$Y$59,0),MAX(MIN(BX$20,'01_Input'!$W$59)-'01_Input'!$V$59,0)*'01_Input'!$Y$59))+IF('01_Input'!$AB$59="Forfait",IF(BX$20&gt;='01_Input'!$Z$59,'01_Input'!$AC$59,0),IF('01_Input'!$AB$59="Palier",IF(AND(BX$20&gt;='01_Input'!$Z$59,BX$20&lt;'01_Input'!$AA$59),'01_Input'!$AC$59,0),MAX(MIN(BX$20,'01_Input'!$AA$59)-'01_Input'!$Z$59,0)*'01_Input'!$AC$59)))))))))</f>
        <v>0</v>
      </c>
      <c r="BY27" s="25">
        <f>IF('01_Input'!$C$59="Non",0,MIN('01_Input'!$I$59,MAX('01_Input'!$H$59,IF('01_Input'!$G$59="Résiduel vs Gestion",0,IF('01_Input'!$G$59="Taux Classe sélectionnée",Distrib_Global_Classe_Selectionnee*BY$20,IF('01_Input'!$G$59="Frais KYC (paliers de 100M€)",MAX(0,Nb_Investisseurs-Nb_KYC_Gratuites_Par_Tranche*(FLOOR(BY$20/Taille_Tranche_KYC,1)+1))*Cout_Par_KYC_Supplementaire,(IF('01_Input'!$L$59="Forfait",IF(BY$20&gt;='01_Input'!$J$59,'01_Input'!$M$59,0),IF('01_Input'!$L$59="Palier",IF(AND(BY$20&gt;='01_Input'!$J$59,BY$20&lt;'01_Input'!$K$59),'01_Input'!$M$59,0),MAX(MIN(BY$20,'01_Input'!$K$59)-'01_Input'!$J$59,0)*'01_Input'!$M$59))+IF('01_Input'!$P$59="Forfait",IF(BY$20&gt;='01_Input'!$N$59,'01_Input'!$Q$59,0),IF('01_Input'!$P$59="Palier",IF(AND(BY$20&gt;='01_Input'!$N$59,BY$20&lt;'01_Input'!$O$59),'01_Input'!$Q$59,0),MAX(MIN(BY$20,'01_Input'!$O$59)-'01_Input'!$N$59,0)*'01_Input'!$Q$59))+IF('01_Input'!$T$59="Forfait",IF(BY$20&gt;='01_Input'!$R$59,'01_Input'!$U$59,0),IF('01_Input'!$T$59="Palier",IF(AND(BY$20&gt;='01_Input'!$R$59,BY$20&lt;'01_Input'!$S$59),'01_Input'!$U$59,0),MAX(MIN(BY$20,'01_Input'!$S$59)-'01_Input'!$R$59,0)*'01_Input'!$U$59))+IF('01_Input'!$X$59="Forfait",IF(BY$20&gt;='01_Input'!$V$59,'01_Input'!$Y$59,0),IF('01_Input'!$X$59="Palier",IF(AND(BY$20&gt;='01_Input'!$V$59,BY$20&lt;'01_Input'!$W$59),'01_Input'!$Y$59,0),MAX(MIN(BY$20,'01_Input'!$W$59)-'01_Input'!$V$59,0)*'01_Input'!$Y$59))+IF('01_Input'!$AB$59="Forfait",IF(BY$20&gt;='01_Input'!$Z$59,'01_Input'!$AC$59,0),IF('01_Input'!$AB$59="Palier",IF(AND(BY$20&gt;='01_Input'!$Z$59,BY$20&lt;'01_Input'!$AA$59),'01_Input'!$AC$59,0),MAX(MIN(BY$20,'01_Input'!$AA$59)-'01_Input'!$Z$59,0)*'01_Input'!$AC$59)))))))))</f>
        <v>0</v>
      </c>
      <c r="BZ27" s="25">
        <f>IF('01_Input'!$C$59="Non",0,MIN('01_Input'!$I$59,MAX('01_Input'!$H$59,IF('01_Input'!$G$59="Résiduel vs Gestion",0,IF('01_Input'!$G$59="Taux Classe sélectionnée",Distrib_Global_Classe_Selectionnee*BZ$20,IF('01_Input'!$G$59="Frais KYC (paliers de 100M€)",MAX(0,Nb_Investisseurs-Nb_KYC_Gratuites_Par_Tranche*(FLOOR(BZ$20/Taille_Tranche_KYC,1)+1))*Cout_Par_KYC_Supplementaire,(IF('01_Input'!$L$59="Forfait",IF(BZ$20&gt;='01_Input'!$J$59,'01_Input'!$M$59,0),IF('01_Input'!$L$59="Palier",IF(AND(BZ$20&gt;='01_Input'!$J$59,BZ$20&lt;'01_Input'!$K$59),'01_Input'!$M$59,0),MAX(MIN(BZ$20,'01_Input'!$K$59)-'01_Input'!$J$59,0)*'01_Input'!$M$59))+IF('01_Input'!$P$59="Forfait",IF(BZ$20&gt;='01_Input'!$N$59,'01_Input'!$Q$59,0),IF('01_Input'!$P$59="Palier",IF(AND(BZ$20&gt;='01_Input'!$N$59,BZ$20&lt;'01_Input'!$O$59),'01_Input'!$Q$59,0),MAX(MIN(BZ$20,'01_Input'!$O$59)-'01_Input'!$N$59,0)*'01_Input'!$Q$59))+IF('01_Input'!$T$59="Forfait",IF(BZ$20&gt;='01_Input'!$R$59,'01_Input'!$U$59,0),IF('01_Input'!$T$59="Palier",IF(AND(BZ$20&gt;='01_Input'!$R$59,BZ$20&lt;'01_Input'!$S$59),'01_Input'!$U$59,0),MAX(MIN(BZ$20,'01_Input'!$S$59)-'01_Input'!$R$59,0)*'01_Input'!$U$59))+IF('01_Input'!$X$59="Forfait",IF(BZ$20&gt;='01_Input'!$V$59,'01_Input'!$Y$59,0),IF('01_Input'!$X$59="Palier",IF(AND(BZ$20&gt;='01_Input'!$V$59,BZ$20&lt;'01_Input'!$W$59),'01_Input'!$Y$59,0),MAX(MIN(BZ$20,'01_Input'!$W$59)-'01_Input'!$V$59,0)*'01_Input'!$Y$59))+IF('01_Input'!$AB$59="Forfait",IF(BZ$20&gt;='01_Input'!$Z$59,'01_Input'!$AC$59,0),IF('01_Input'!$AB$59="Palier",IF(AND(BZ$20&gt;='01_Input'!$Z$59,BZ$20&lt;'01_Input'!$AA$59),'01_Input'!$AC$59,0),MAX(MIN(BZ$20,'01_Input'!$AA$59)-'01_Input'!$Z$59,0)*'01_Input'!$AC$59)))))))))</f>
        <v>0</v>
      </c>
      <c r="CA27" s="25">
        <f>IF('01_Input'!$C$59="Non",0,MIN('01_Input'!$I$59,MAX('01_Input'!$H$59,IF('01_Input'!$G$59="Résiduel vs Gestion",0,IF('01_Input'!$G$59="Taux Classe sélectionnée",Distrib_Global_Classe_Selectionnee*CA$20,IF('01_Input'!$G$59="Frais KYC (paliers de 100M€)",MAX(0,Nb_Investisseurs-Nb_KYC_Gratuites_Par_Tranche*(FLOOR(CA$20/Taille_Tranche_KYC,1)+1))*Cout_Par_KYC_Supplementaire,(IF('01_Input'!$L$59="Forfait",IF(CA$20&gt;='01_Input'!$J$59,'01_Input'!$M$59,0),IF('01_Input'!$L$59="Palier",IF(AND(CA$20&gt;='01_Input'!$J$59,CA$20&lt;'01_Input'!$K$59),'01_Input'!$M$59,0),MAX(MIN(CA$20,'01_Input'!$K$59)-'01_Input'!$J$59,0)*'01_Input'!$M$59))+IF('01_Input'!$P$59="Forfait",IF(CA$20&gt;='01_Input'!$N$59,'01_Input'!$Q$59,0),IF('01_Input'!$P$59="Palier",IF(AND(CA$20&gt;='01_Input'!$N$59,CA$20&lt;'01_Input'!$O$59),'01_Input'!$Q$59,0),MAX(MIN(CA$20,'01_Input'!$O$59)-'01_Input'!$N$59,0)*'01_Input'!$Q$59))+IF('01_Input'!$T$59="Forfait",IF(CA$20&gt;='01_Input'!$R$59,'01_Input'!$U$59,0),IF('01_Input'!$T$59="Palier",IF(AND(CA$20&gt;='01_Input'!$R$59,CA$20&lt;'01_Input'!$S$59),'01_Input'!$U$59,0),MAX(MIN(CA$20,'01_Input'!$S$59)-'01_Input'!$R$59,0)*'01_Input'!$U$59))+IF('01_Input'!$X$59="Forfait",IF(CA$20&gt;='01_Input'!$V$59,'01_Input'!$Y$59,0),IF('01_Input'!$X$59="Palier",IF(AND(CA$20&gt;='01_Input'!$V$59,CA$20&lt;'01_Input'!$W$59),'01_Input'!$Y$59,0),MAX(MIN(CA$20,'01_Input'!$W$59)-'01_Input'!$V$59,0)*'01_Input'!$Y$59))+IF('01_Input'!$AB$59="Forfait",IF(CA$20&gt;='01_Input'!$Z$59,'01_Input'!$AC$59,0),IF('01_Input'!$AB$59="Palier",IF(AND(CA$20&gt;='01_Input'!$Z$59,CA$20&lt;'01_Input'!$AA$59),'01_Input'!$AC$59,0),MAX(MIN(CA$20,'01_Input'!$AA$59)-'01_Input'!$Z$59,0)*'01_Input'!$AC$59)))))))))</f>
        <v>0</v>
      </c>
      <c r="CB27" s="25">
        <f>IF('01_Input'!$C$59="Non",0,MIN('01_Input'!$I$59,MAX('01_Input'!$H$59,IF('01_Input'!$G$59="Résiduel vs Gestion",0,IF('01_Input'!$G$59="Taux Classe sélectionnée",Distrib_Global_Classe_Selectionnee*CB$20,IF('01_Input'!$G$59="Frais KYC (paliers de 100M€)",MAX(0,Nb_Investisseurs-Nb_KYC_Gratuites_Par_Tranche*(FLOOR(CB$20/Taille_Tranche_KYC,1)+1))*Cout_Par_KYC_Supplementaire,(IF('01_Input'!$L$59="Forfait",IF(CB$20&gt;='01_Input'!$J$59,'01_Input'!$M$59,0),IF('01_Input'!$L$59="Palier",IF(AND(CB$20&gt;='01_Input'!$J$59,CB$20&lt;'01_Input'!$K$59),'01_Input'!$M$59,0),MAX(MIN(CB$20,'01_Input'!$K$59)-'01_Input'!$J$59,0)*'01_Input'!$M$59))+IF('01_Input'!$P$59="Forfait",IF(CB$20&gt;='01_Input'!$N$59,'01_Input'!$Q$59,0),IF('01_Input'!$P$59="Palier",IF(AND(CB$20&gt;='01_Input'!$N$59,CB$20&lt;'01_Input'!$O$59),'01_Input'!$Q$59,0),MAX(MIN(CB$20,'01_Input'!$O$59)-'01_Input'!$N$59,0)*'01_Input'!$Q$59))+IF('01_Input'!$T$59="Forfait",IF(CB$20&gt;='01_Input'!$R$59,'01_Input'!$U$59,0),IF('01_Input'!$T$59="Palier",IF(AND(CB$20&gt;='01_Input'!$R$59,CB$20&lt;'01_Input'!$S$59),'01_Input'!$U$59,0),MAX(MIN(CB$20,'01_Input'!$S$59)-'01_Input'!$R$59,0)*'01_Input'!$U$59))+IF('01_Input'!$X$59="Forfait",IF(CB$20&gt;='01_Input'!$V$59,'01_Input'!$Y$59,0),IF('01_Input'!$X$59="Palier",IF(AND(CB$20&gt;='01_Input'!$V$59,CB$20&lt;'01_Input'!$W$59),'01_Input'!$Y$59,0),MAX(MIN(CB$20,'01_Input'!$W$59)-'01_Input'!$V$59,0)*'01_Input'!$Y$59))+IF('01_Input'!$AB$59="Forfait",IF(CB$20&gt;='01_Input'!$Z$59,'01_Input'!$AC$59,0),IF('01_Input'!$AB$59="Palier",IF(AND(CB$20&gt;='01_Input'!$Z$59,CB$20&lt;'01_Input'!$AA$59),'01_Input'!$AC$59,0),MAX(MIN(CB$20,'01_Input'!$AA$59)-'01_Input'!$Z$59,0)*'01_Input'!$AC$59)))))))))</f>
        <v>0</v>
      </c>
      <c r="CC27" s="25">
        <f>IF('01_Input'!$C$59="Non",0,MIN('01_Input'!$I$59,MAX('01_Input'!$H$59,IF('01_Input'!$G$59="Résiduel vs Gestion",0,IF('01_Input'!$G$59="Taux Classe sélectionnée",Distrib_Global_Classe_Selectionnee*CC$20,IF('01_Input'!$G$59="Frais KYC (paliers de 100M€)",MAX(0,Nb_Investisseurs-Nb_KYC_Gratuites_Par_Tranche*(FLOOR(CC$20/Taille_Tranche_KYC,1)+1))*Cout_Par_KYC_Supplementaire,(IF('01_Input'!$L$59="Forfait",IF(CC$20&gt;='01_Input'!$J$59,'01_Input'!$M$59,0),IF('01_Input'!$L$59="Palier",IF(AND(CC$20&gt;='01_Input'!$J$59,CC$20&lt;'01_Input'!$K$59),'01_Input'!$M$59,0),MAX(MIN(CC$20,'01_Input'!$K$59)-'01_Input'!$J$59,0)*'01_Input'!$M$59))+IF('01_Input'!$P$59="Forfait",IF(CC$20&gt;='01_Input'!$N$59,'01_Input'!$Q$59,0),IF('01_Input'!$P$59="Palier",IF(AND(CC$20&gt;='01_Input'!$N$59,CC$20&lt;'01_Input'!$O$59),'01_Input'!$Q$59,0),MAX(MIN(CC$20,'01_Input'!$O$59)-'01_Input'!$N$59,0)*'01_Input'!$Q$59))+IF('01_Input'!$T$59="Forfait",IF(CC$20&gt;='01_Input'!$R$59,'01_Input'!$U$59,0),IF('01_Input'!$T$59="Palier",IF(AND(CC$20&gt;='01_Input'!$R$59,CC$20&lt;'01_Input'!$S$59),'01_Input'!$U$59,0),MAX(MIN(CC$20,'01_Input'!$S$59)-'01_Input'!$R$59,0)*'01_Input'!$U$59))+IF('01_Input'!$X$59="Forfait",IF(CC$20&gt;='01_Input'!$V$59,'01_Input'!$Y$59,0),IF('01_Input'!$X$59="Palier",IF(AND(CC$20&gt;='01_Input'!$V$59,CC$20&lt;'01_Input'!$W$59),'01_Input'!$Y$59,0),MAX(MIN(CC$20,'01_Input'!$W$59)-'01_Input'!$V$59,0)*'01_Input'!$Y$59))+IF('01_Input'!$AB$59="Forfait",IF(CC$20&gt;='01_Input'!$Z$59,'01_Input'!$AC$59,0),IF('01_Input'!$AB$59="Palier",IF(AND(CC$20&gt;='01_Input'!$Z$59,CC$20&lt;'01_Input'!$AA$59),'01_Input'!$AC$59,0),MAX(MIN(CC$20,'01_Input'!$AA$59)-'01_Input'!$Z$59,0)*'01_Input'!$AC$59)))))))))</f>
        <v>0</v>
      </c>
      <c r="CD27" s="25">
        <f>IF('01_Input'!$C$59="Non",0,MIN('01_Input'!$I$59,MAX('01_Input'!$H$59,IF('01_Input'!$G$59="Résiduel vs Gestion",0,IF('01_Input'!$G$59="Taux Classe sélectionnée",Distrib_Global_Classe_Selectionnee*CD$20,IF('01_Input'!$G$59="Frais KYC (paliers de 100M€)",MAX(0,Nb_Investisseurs-Nb_KYC_Gratuites_Par_Tranche*(FLOOR(CD$20/Taille_Tranche_KYC,1)+1))*Cout_Par_KYC_Supplementaire,(IF('01_Input'!$L$59="Forfait",IF(CD$20&gt;='01_Input'!$J$59,'01_Input'!$M$59,0),IF('01_Input'!$L$59="Palier",IF(AND(CD$20&gt;='01_Input'!$J$59,CD$20&lt;'01_Input'!$K$59),'01_Input'!$M$59,0),MAX(MIN(CD$20,'01_Input'!$K$59)-'01_Input'!$J$59,0)*'01_Input'!$M$59))+IF('01_Input'!$P$59="Forfait",IF(CD$20&gt;='01_Input'!$N$59,'01_Input'!$Q$59,0),IF('01_Input'!$P$59="Palier",IF(AND(CD$20&gt;='01_Input'!$N$59,CD$20&lt;'01_Input'!$O$59),'01_Input'!$Q$59,0),MAX(MIN(CD$20,'01_Input'!$O$59)-'01_Input'!$N$59,0)*'01_Input'!$Q$59))+IF('01_Input'!$T$59="Forfait",IF(CD$20&gt;='01_Input'!$R$59,'01_Input'!$U$59,0),IF('01_Input'!$T$59="Palier",IF(AND(CD$20&gt;='01_Input'!$R$59,CD$20&lt;'01_Input'!$S$59),'01_Input'!$U$59,0),MAX(MIN(CD$20,'01_Input'!$S$59)-'01_Input'!$R$59,0)*'01_Input'!$U$59))+IF('01_Input'!$X$59="Forfait",IF(CD$20&gt;='01_Input'!$V$59,'01_Input'!$Y$59,0),IF('01_Input'!$X$59="Palier",IF(AND(CD$20&gt;='01_Input'!$V$59,CD$20&lt;'01_Input'!$W$59),'01_Input'!$Y$59,0),MAX(MIN(CD$20,'01_Input'!$W$59)-'01_Input'!$V$59,0)*'01_Input'!$Y$59))+IF('01_Input'!$AB$59="Forfait",IF(CD$20&gt;='01_Input'!$Z$59,'01_Input'!$AC$59,0),IF('01_Input'!$AB$59="Palier",IF(AND(CD$20&gt;='01_Input'!$Z$59,CD$20&lt;'01_Input'!$AA$59),'01_Input'!$AC$59,0),MAX(MIN(CD$20,'01_Input'!$AA$59)-'01_Input'!$Z$59,0)*'01_Input'!$AC$59)))))))))</f>
        <v>0</v>
      </c>
      <c r="CE27" s="25">
        <f>IF('01_Input'!$C$59="Non",0,MIN('01_Input'!$I$59,MAX('01_Input'!$H$59,IF('01_Input'!$G$59="Résiduel vs Gestion",0,IF('01_Input'!$G$59="Taux Classe sélectionnée",Distrib_Global_Classe_Selectionnee*CE$20,IF('01_Input'!$G$59="Frais KYC (paliers de 100M€)",MAX(0,Nb_Investisseurs-Nb_KYC_Gratuites_Par_Tranche*(FLOOR(CE$20/Taille_Tranche_KYC,1)+1))*Cout_Par_KYC_Supplementaire,(IF('01_Input'!$L$59="Forfait",IF(CE$20&gt;='01_Input'!$J$59,'01_Input'!$M$59,0),IF('01_Input'!$L$59="Palier",IF(AND(CE$20&gt;='01_Input'!$J$59,CE$20&lt;'01_Input'!$K$59),'01_Input'!$M$59,0),MAX(MIN(CE$20,'01_Input'!$K$59)-'01_Input'!$J$59,0)*'01_Input'!$M$59))+IF('01_Input'!$P$59="Forfait",IF(CE$20&gt;='01_Input'!$N$59,'01_Input'!$Q$59,0),IF('01_Input'!$P$59="Palier",IF(AND(CE$20&gt;='01_Input'!$N$59,CE$20&lt;'01_Input'!$O$59),'01_Input'!$Q$59,0),MAX(MIN(CE$20,'01_Input'!$O$59)-'01_Input'!$N$59,0)*'01_Input'!$Q$59))+IF('01_Input'!$T$59="Forfait",IF(CE$20&gt;='01_Input'!$R$59,'01_Input'!$U$59,0),IF('01_Input'!$T$59="Palier",IF(AND(CE$20&gt;='01_Input'!$R$59,CE$20&lt;'01_Input'!$S$59),'01_Input'!$U$59,0),MAX(MIN(CE$20,'01_Input'!$S$59)-'01_Input'!$R$59,0)*'01_Input'!$U$59))+IF('01_Input'!$X$59="Forfait",IF(CE$20&gt;='01_Input'!$V$59,'01_Input'!$Y$59,0),IF('01_Input'!$X$59="Palier",IF(AND(CE$20&gt;='01_Input'!$V$59,CE$20&lt;'01_Input'!$W$59),'01_Input'!$Y$59,0),MAX(MIN(CE$20,'01_Input'!$W$59)-'01_Input'!$V$59,0)*'01_Input'!$Y$59))+IF('01_Input'!$AB$59="Forfait",IF(CE$20&gt;='01_Input'!$Z$59,'01_Input'!$AC$59,0),IF('01_Input'!$AB$59="Palier",IF(AND(CE$20&gt;='01_Input'!$Z$59,CE$20&lt;'01_Input'!$AA$59),'01_Input'!$AC$59,0),MAX(MIN(CE$20,'01_Input'!$AA$59)-'01_Input'!$Z$59,0)*'01_Input'!$AC$59)))))))))</f>
        <v>0</v>
      </c>
      <c r="CF27" s="25">
        <f>IF('01_Input'!$C$59="Non",0,MIN('01_Input'!$I$59,MAX('01_Input'!$H$59,IF('01_Input'!$G$59="Résiduel vs Gestion",0,IF('01_Input'!$G$59="Taux Classe sélectionnée",Distrib_Global_Classe_Selectionnee*CF$20,IF('01_Input'!$G$59="Frais KYC (paliers de 100M€)",MAX(0,Nb_Investisseurs-Nb_KYC_Gratuites_Par_Tranche*(FLOOR(CF$20/Taille_Tranche_KYC,1)+1))*Cout_Par_KYC_Supplementaire,(IF('01_Input'!$L$59="Forfait",IF(CF$20&gt;='01_Input'!$J$59,'01_Input'!$M$59,0),IF('01_Input'!$L$59="Palier",IF(AND(CF$20&gt;='01_Input'!$J$59,CF$20&lt;'01_Input'!$K$59),'01_Input'!$M$59,0),MAX(MIN(CF$20,'01_Input'!$K$59)-'01_Input'!$J$59,0)*'01_Input'!$M$59))+IF('01_Input'!$P$59="Forfait",IF(CF$20&gt;='01_Input'!$N$59,'01_Input'!$Q$59,0),IF('01_Input'!$P$59="Palier",IF(AND(CF$20&gt;='01_Input'!$N$59,CF$20&lt;'01_Input'!$O$59),'01_Input'!$Q$59,0),MAX(MIN(CF$20,'01_Input'!$O$59)-'01_Input'!$N$59,0)*'01_Input'!$Q$59))+IF('01_Input'!$T$59="Forfait",IF(CF$20&gt;='01_Input'!$R$59,'01_Input'!$U$59,0),IF('01_Input'!$T$59="Palier",IF(AND(CF$20&gt;='01_Input'!$R$59,CF$20&lt;'01_Input'!$S$59),'01_Input'!$U$59,0),MAX(MIN(CF$20,'01_Input'!$S$59)-'01_Input'!$R$59,0)*'01_Input'!$U$59))+IF('01_Input'!$X$59="Forfait",IF(CF$20&gt;='01_Input'!$V$59,'01_Input'!$Y$59,0),IF('01_Input'!$X$59="Palier",IF(AND(CF$20&gt;='01_Input'!$V$59,CF$20&lt;'01_Input'!$W$59),'01_Input'!$Y$59,0),MAX(MIN(CF$20,'01_Input'!$W$59)-'01_Input'!$V$59,0)*'01_Input'!$Y$59))+IF('01_Input'!$AB$59="Forfait",IF(CF$20&gt;='01_Input'!$Z$59,'01_Input'!$AC$59,0),IF('01_Input'!$AB$59="Palier",IF(AND(CF$20&gt;='01_Input'!$Z$59,CF$20&lt;'01_Input'!$AA$59),'01_Input'!$AC$59,0),MAX(MIN(CF$20,'01_Input'!$AA$59)-'01_Input'!$Z$59,0)*'01_Input'!$AC$59)))))))))</f>
        <v>0</v>
      </c>
      <c r="CG27" s="25">
        <f>IF('01_Input'!$C$59="Non",0,MIN('01_Input'!$I$59,MAX('01_Input'!$H$59,IF('01_Input'!$G$59="Résiduel vs Gestion",0,IF('01_Input'!$G$59="Taux Classe sélectionnée",Distrib_Global_Classe_Selectionnee*CG$20,IF('01_Input'!$G$59="Frais KYC (paliers de 100M€)",MAX(0,Nb_Investisseurs-Nb_KYC_Gratuites_Par_Tranche*(FLOOR(CG$20/Taille_Tranche_KYC,1)+1))*Cout_Par_KYC_Supplementaire,(IF('01_Input'!$L$59="Forfait",IF(CG$20&gt;='01_Input'!$J$59,'01_Input'!$M$59,0),IF('01_Input'!$L$59="Palier",IF(AND(CG$20&gt;='01_Input'!$J$59,CG$20&lt;'01_Input'!$K$59),'01_Input'!$M$59,0),MAX(MIN(CG$20,'01_Input'!$K$59)-'01_Input'!$J$59,0)*'01_Input'!$M$59))+IF('01_Input'!$P$59="Forfait",IF(CG$20&gt;='01_Input'!$N$59,'01_Input'!$Q$59,0),IF('01_Input'!$P$59="Palier",IF(AND(CG$20&gt;='01_Input'!$N$59,CG$20&lt;'01_Input'!$O$59),'01_Input'!$Q$59,0),MAX(MIN(CG$20,'01_Input'!$O$59)-'01_Input'!$N$59,0)*'01_Input'!$Q$59))+IF('01_Input'!$T$59="Forfait",IF(CG$20&gt;='01_Input'!$R$59,'01_Input'!$U$59,0),IF('01_Input'!$T$59="Palier",IF(AND(CG$20&gt;='01_Input'!$R$59,CG$20&lt;'01_Input'!$S$59),'01_Input'!$U$59,0),MAX(MIN(CG$20,'01_Input'!$S$59)-'01_Input'!$R$59,0)*'01_Input'!$U$59))+IF('01_Input'!$X$59="Forfait",IF(CG$20&gt;='01_Input'!$V$59,'01_Input'!$Y$59,0),IF('01_Input'!$X$59="Palier",IF(AND(CG$20&gt;='01_Input'!$V$59,CG$20&lt;'01_Input'!$W$59),'01_Input'!$Y$59,0),MAX(MIN(CG$20,'01_Input'!$W$59)-'01_Input'!$V$59,0)*'01_Input'!$Y$59))+IF('01_Input'!$AB$59="Forfait",IF(CG$20&gt;='01_Input'!$Z$59,'01_Input'!$AC$59,0),IF('01_Input'!$AB$59="Palier",IF(AND(CG$20&gt;='01_Input'!$Z$59,CG$20&lt;'01_Input'!$AA$59),'01_Input'!$AC$59,0),MAX(MIN(CG$20,'01_Input'!$AA$59)-'01_Input'!$Z$59,0)*'01_Input'!$AC$59)))))))))</f>
        <v>0</v>
      </c>
      <c r="CH27" s="25">
        <f>IF('01_Input'!$C$59="Non",0,MIN('01_Input'!$I$59,MAX('01_Input'!$H$59,IF('01_Input'!$G$59="Résiduel vs Gestion",0,IF('01_Input'!$G$59="Taux Classe sélectionnée",Distrib_Global_Classe_Selectionnee*CH$20,IF('01_Input'!$G$59="Frais KYC (paliers de 100M€)",MAX(0,Nb_Investisseurs-Nb_KYC_Gratuites_Par_Tranche*(FLOOR(CH$20/Taille_Tranche_KYC,1)+1))*Cout_Par_KYC_Supplementaire,(IF('01_Input'!$L$59="Forfait",IF(CH$20&gt;='01_Input'!$J$59,'01_Input'!$M$59,0),IF('01_Input'!$L$59="Palier",IF(AND(CH$20&gt;='01_Input'!$J$59,CH$20&lt;'01_Input'!$K$59),'01_Input'!$M$59,0),MAX(MIN(CH$20,'01_Input'!$K$59)-'01_Input'!$J$59,0)*'01_Input'!$M$59))+IF('01_Input'!$P$59="Forfait",IF(CH$20&gt;='01_Input'!$N$59,'01_Input'!$Q$59,0),IF('01_Input'!$P$59="Palier",IF(AND(CH$20&gt;='01_Input'!$N$59,CH$20&lt;'01_Input'!$O$59),'01_Input'!$Q$59,0),MAX(MIN(CH$20,'01_Input'!$O$59)-'01_Input'!$N$59,0)*'01_Input'!$Q$59))+IF('01_Input'!$T$59="Forfait",IF(CH$20&gt;='01_Input'!$R$59,'01_Input'!$U$59,0),IF('01_Input'!$T$59="Palier",IF(AND(CH$20&gt;='01_Input'!$R$59,CH$20&lt;'01_Input'!$S$59),'01_Input'!$U$59,0),MAX(MIN(CH$20,'01_Input'!$S$59)-'01_Input'!$R$59,0)*'01_Input'!$U$59))+IF('01_Input'!$X$59="Forfait",IF(CH$20&gt;='01_Input'!$V$59,'01_Input'!$Y$59,0),IF('01_Input'!$X$59="Palier",IF(AND(CH$20&gt;='01_Input'!$V$59,CH$20&lt;'01_Input'!$W$59),'01_Input'!$Y$59,0),MAX(MIN(CH$20,'01_Input'!$W$59)-'01_Input'!$V$59,0)*'01_Input'!$Y$59))+IF('01_Input'!$AB$59="Forfait",IF(CH$20&gt;='01_Input'!$Z$59,'01_Input'!$AC$59,0),IF('01_Input'!$AB$59="Palier",IF(AND(CH$20&gt;='01_Input'!$Z$59,CH$20&lt;'01_Input'!$AA$59),'01_Input'!$AC$59,0),MAX(MIN(CH$20,'01_Input'!$AA$59)-'01_Input'!$Z$59,0)*'01_Input'!$AC$59)))))))))</f>
        <v>0</v>
      </c>
      <c r="CI27" s="25">
        <f>IF('01_Input'!$C$59="Non",0,MIN('01_Input'!$I$59,MAX('01_Input'!$H$59,IF('01_Input'!$G$59="Résiduel vs Gestion",0,IF('01_Input'!$G$59="Taux Classe sélectionnée",Distrib_Global_Classe_Selectionnee*CI$20,IF('01_Input'!$G$59="Frais KYC (paliers de 100M€)",MAX(0,Nb_Investisseurs-Nb_KYC_Gratuites_Par_Tranche*(FLOOR(CI$20/Taille_Tranche_KYC,1)+1))*Cout_Par_KYC_Supplementaire,(IF('01_Input'!$L$59="Forfait",IF(CI$20&gt;='01_Input'!$J$59,'01_Input'!$M$59,0),IF('01_Input'!$L$59="Palier",IF(AND(CI$20&gt;='01_Input'!$J$59,CI$20&lt;'01_Input'!$K$59),'01_Input'!$M$59,0),MAX(MIN(CI$20,'01_Input'!$K$59)-'01_Input'!$J$59,0)*'01_Input'!$M$59))+IF('01_Input'!$P$59="Forfait",IF(CI$20&gt;='01_Input'!$N$59,'01_Input'!$Q$59,0),IF('01_Input'!$P$59="Palier",IF(AND(CI$20&gt;='01_Input'!$N$59,CI$20&lt;'01_Input'!$O$59),'01_Input'!$Q$59,0),MAX(MIN(CI$20,'01_Input'!$O$59)-'01_Input'!$N$59,0)*'01_Input'!$Q$59))+IF('01_Input'!$T$59="Forfait",IF(CI$20&gt;='01_Input'!$R$59,'01_Input'!$U$59,0),IF('01_Input'!$T$59="Palier",IF(AND(CI$20&gt;='01_Input'!$R$59,CI$20&lt;'01_Input'!$S$59),'01_Input'!$U$59,0),MAX(MIN(CI$20,'01_Input'!$S$59)-'01_Input'!$R$59,0)*'01_Input'!$U$59))+IF('01_Input'!$X$59="Forfait",IF(CI$20&gt;='01_Input'!$V$59,'01_Input'!$Y$59,0),IF('01_Input'!$X$59="Palier",IF(AND(CI$20&gt;='01_Input'!$V$59,CI$20&lt;'01_Input'!$W$59),'01_Input'!$Y$59,0),MAX(MIN(CI$20,'01_Input'!$W$59)-'01_Input'!$V$59,0)*'01_Input'!$Y$59))+IF('01_Input'!$AB$59="Forfait",IF(CI$20&gt;='01_Input'!$Z$59,'01_Input'!$AC$59,0),IF('01_Input'!$AB$59="Palier",IF(AND(CI$20&gt;='01_Input'!$Z$59,CI$20&lt;'01_Input'!$AA$59),'01_Input'!$AC$59,0),MAX(MIN(CI$20,'01_Input'!$AA$59)-'01_Input'!$Z$59,0)*'01_Input'!$AC$59)))))))))</f>
        <v>0</v>
      </c>
      <c r="CJ27" s="25">
        <f>IF('01_Input'!$C$59="Non",0,MIN('01_Input'!$I$59,MAX('01_Input'!$H$59,IF('01_Input'!$G$59="Résiduel vs Gestion",0,IF('01_Input'!$G$59="Taux Classe sélectionnée",Distrib_Global_Classe_Selectionnee*CJ$20,IF('01_Input'!$G$59="Frais KYC (paliers de 100M€)",MAX(0,Nb_Investisseurs-Nb_KYC_Gratuites_Par_Tranche*(FLOOR(CJ$20/Taille_Tranche_KYC,1)+1))*Cout_Par_KYC_Supplementaire,(IF('01_Input'!$L$59="Forfait",IF(CJ$20&gt;='01_Input'!$J$59,'01_Input'!$M$59,0),IF('01_Input'!$L$59="Palier",IF(AND(CJ$20&gt;='01_Input'!$J$59,CJ$20&lt;'01_Input'!$K$59),'01_Input'!$M$59,0),MAX(MIN(CJ$20,'01_Input'!$K$59)-'01_Input'!$J$59,0)*'01_Input'!$M$59))+IF('01_Input'!$P$59="Forfait",IF(CJ$20&gt;='01_Input'!$N$59,'01_Input'!$Q$59,0),IF('01_Input'!$P$59="Palier",IF(AND(CJ$20&gt;='01_Input'!$N$59,CJ$20&lt;'01_Input'!$O$59),'01_Input'!$Q$59,0),MAX(MIN(CJ$20,'01_Input'!$O$59)-'01_Input'!$N$59,0)*'01_Input'!$Q$59))+IF('01_Input'!$T$59="Forfait",IF(CJ$20&gt;='01_Input'!$R$59,'01_Input'!$U$59,0),IF('01_Input'!$T$59="Palier",IF(AND(CJ$20&gt;='01_Input'!$R$59,CJ$20&lt;'01_Input'!$S$59),'01_Input'!$U$59,0),MAX(MIN(CJ$20,'01_Input'!$S$59)-'01_Input'!$R$59,0)*'01_Input'!$U$59))+IF('01_Input'!$X$59="Forfait",IF(CJ$20&gt;='01_Input'!$V$59,'01_Input'!$Y$59,0),IF('01_Input'!$X$59="Palier",IF(AND(CJ$20&gt;='01_Input'!$V$59,CJ$20&lt;'01_Input'!$W$59),'01_Input'!$Y$59,0),MAX(MIN(CJ$20,'01_Input'!$W$59)-'01_Input'!$V$59,0)*'01_Input'!$Y$59))+IF('01_Input'!$AB$59="Forfait",IF(CJ$20&gt;='01_Input'!$Z$59,'01_Input'!$AC$59,0),IF('01_Input'!$AB$59="Palier",IF(AND(CJ$20&gt;='01_Input'!$Z$59,CJ$20&lt;'01_Input'!$AA$59),'01_Input'!$AC$59,0),MAX(MIN(CJ$20,'01_Input'!$AA$59)-'01_Input'!$Z$59,0)*'01_Input'!$AC$59)))))))))</f>
        <v>0</v>
      </c>
      <c r="CK27" s="25">
        <f>IF('01_Input'!$C$59="Non",0,MIN('01_Input'!$I$59,MAX('01_Input'!$H$59,IF('01_Input'!$G$59="Résiduel vs Gestion",0,IF('01_Input'!$G$59="Taux Classe sélectionnée",Distrib_Global_Classe_Selectionnee*CK$20,IF('01_Input'!$G$59="Frais KYC (paliers de 100M€)",MAX(0,Nb_Investisseurs-Nb_KYC_Gratuites_Par_Tranche*(FLOOR(CK$20/Taille_Tranche_KYC,1)+1))*Cout_Par_KYC_Supplementaire,(IF('01_Input'!$L$59="Forfait",IF(CK$20&gt;='01_Input'!$J$59,'01_Input'!$M$59,0),IF('01_Input'!$L$59="Palier",IF(AND(CK$20&gt;='01_Input'!$J$59,CK$20&lt;'01_Input'!$K$59),'01_Input'!$M$59,0),MAX(MIN(CK$20,'01_Input'!$K$59)-'01_Input'!$J$59,0)*'01_Input'!$M$59))+IF('01_Input'!$P$59="Forfait",IF(CK$20&gt;='01_Input'!$N$59,'01_Input'!$Q$59,0),IF('01_Input'!$P$59="Palier",IF(AND(CK$20&gt;='01_Input'!$N$59,CK$20&lt;'01_Input'!$O$59),'01_Input'!$Q$59,0),MAX(MIN(CK$20,'01_Input'!$O$59)-'01_Input'!$N$59,0)*'01_Input'!$Q$59))+IF('01_Input'!$T$59="Forfait",IF(CK$20&gt;='01_Input'!$R$59,'01_Input'!$U$59,0),IF('01_Input'!$T$59="Palier",IF(AND(CK$20&gt;='01_Input'!$R$59,CK$20&lt;'01_Input'!$S$59),'01_Input'!$U$59,0),MAX(MIN(CK$20,'01_Input'!$S$59)-'01_Input'!$R$59,0)*'01_Input'!$U$59))+IF('01_Input'!$X$59="Forfait",IF(CK$20&gt;='01_Input'!$V$59,'01_Input'!$Y$59,0),IF('01_Input'!$X$59="Palier",IF(AND(CK$20&gt;='01_Input'!$V$59,CK$20&lt;'01_Input'!$W$59),'01_Input'!$Y$59,0),MAX(MIN(CK$20,'01_Input'!$W$59)-'01_Input'!$V$59,0)*'01_Input'!$Y$59))+IF('01_Input'!$AB$59="Forfait",IF(CK$20&gt;='01_Input'!$Z$59,'01_Input'!$AC$59,0),IF('01_Input'!$AB$59="Palier",IF(AND(CK$20&gt;='01_Input'!$Z$59,CK$20&lt;'01_Input'!$AA$59),'01_Input'!$AC$59,0),MAX(MIN(CK$20,'01_Input'!$AA$59)-'01_Input'!$Z$59,0)*'01_Input'!$AC$59)))))))))</f>
        <v>0</v>
      </c>
      <c r="CL27" s="25">
        <f>IF('01_Input'!$C$59="Non",0,MIN('01_Input'!$I$59,MAX('01_Input'!$H$59,IF('01_Input'!$G$59="Résiduel vs Gestion",0,IF('01_Input'!$G$59="Taux Classe sélectionnée",Distrib_Global_Classe_Selectionnee*CL$20,IF('01_Input'!$G$59="Frais KYC (paliers de 100M€)",MAX(0,Nb_Investisseurs-Nb_KYC_Gratuites_Par_Tranche*(FLOOR(CL$20/Taille_Tranche_KYC,1)+1))*Cout_Par_KYC_Supplementaire,(IF('01_Input'!$L$59="Forfait",IF(CL$20&gt;='01_Input'!$J$59,'01_Input'!$M$59,0),IF('01_Input'!$L$59="Palier",IF(AND(CL$20&gt;='01_Input'!$J$59,CL$20&lt;'01_Input'!$K$59),'01_Input'!$M$59,0),MAX(MIN(CL$20,'01_Input'!$K$59)-'01_Input'!$J$59,0)*'01_Input'!$M$59))+IF('01_Input'!$P$59="Forfait",IF(CL$20&gt;='01_Input'!$N$59,'01_Input'!$Q$59,0),IF('01_Input'!$P$59="Palier",IF(AND(CL$20&gt;='01_Input'!$N$59,CL$20&lt;'01_Input'!$O$59),'01_Input'!$Q$59,0),MAX(MIN(CL$20,'01_Input'!$O$59)-'01_Input'!$N$59,0)*'01_Input'!$Q$59))+IF('01_Input'!$T$59="Forfait",IF(CL$20&gt;='01_Input'!$R$59,'01_Input'!$U$59,0),IF('01_Input'!$T$59="Palier",IF(AND(CL$20&gt;='01_Input'!$R$59,CL$20&lt;'01_Input'!$S$59),'01_Input'!$U$59,0),MAX(MIN(CL$20,'01_Input'!$S$59)-'01_Input'!$R$59,0)*'01_Input'!$U$59))+IF('01_Input'!$X$59="Forfait",IF(CL$20&gt;='01_Input'!$V$59,'01_Input'!$Y$59,0),IF('01_Input'!$X$59="Palier",IF(AND(CL$20&gt;='01_Input'!$V$59,CL$20&lt;'01_Input'!$W$59),'01_Input'!$Y$59,0),MAX(MIN(CL$20,'01_Input'!$W$59)-'01_Input'!$V$59,0)*'01_Input'!$Y$59))+IF('01_Input'!$AB$59="Forfait",IF(CL$20&gt;='01_Input'!$Z$59,'01_Input'!$AC$59,0),IF('01_Input'!$AB$59="Palier",IF(AND(CL$20&gt;='01_Input'!$Z$59,CL$20&lt;'01_Input'!$AA$59),'01_Input'!$AC$59,0),MAX(MIN(CL$20,'01_Input'!$AA$59)-'01_Input'!$Z$59,0)*'01_Input'!$AC$59)))))))))</f>
        <v>0</v>
      </c>
      <c r="CM27" s="25">
        <f>IF('01_Input'!$C$59="Non",0,MIN('01_Input'!$I$59,MAX('01_Input'!$H$59,IF('01_Input'!$G$59="Résiduel vs Gestion",0,IF('01_Input'!$G$59="Taux Classe sélectionnée",Distrib_Global_Classe_Selectionnee*CM$20,IF('01_Input'!$G$59="Frais KYC (paliers de 100M€)",MAX(0,Nb_Investisseurs-Nb_KYC_Gratuites_Par_Tranche*(FLOOR(CM$20/Taille_Tranche_KYC,1)+1))*Cout_Par_KYC_Supplementaire,(IF('01_Input'!$L$59="Forfait",IF(CM$20&gt;='01_Input'!$J$59,'01_Input'!$M$59,0),IF('01_Input'!$L$59="Palier",IF(AND(CM$20&gt;='01_Input'!$J$59,CM$20&lt;'01_Input'!$K$59),'01_Input'!$M$59,0),MAX(MIN(CM$20,'01_Input'!$K$59)-'01_Input'!$J$59,0)*'01_Input'!$M$59))+IF('01_Input'!$P$59="Forfait",IF(CM$20&gt;='01_Input'!$N$59,'01_Input'!$Q$59,0),IF('01_Input'!$P$59="Palier",IF(AND(CM$20&gt;='01_Input'!$N$59,CM$20&lt;'01_Input'!$O$59),'01_Input'!$Q$59,0),MAX(MIN(CM$20,'01_Input'!$O$59)-'01_Input'!$N$59,0)*'01_Input'!$Q$59))+IF('01_Input'!$T$59="Forfait",IF(CM$20&gt;='01_Input'!$R$59,'01_Input'!$U$59,0),IF('01_Input'!$T$59="Palier",IF(AND(CM$20&gt;='01_Input'!$R$59,CM$20&lt;'01_Input'!$S$59),'01_Input'!$U$59,0),MAX(MIN(CM$20,'01_Input'!$S$59)-'01_Input'!$R$59,0)*'01_Input'!$U$59))+IF('01_Input'!$X$59="Forfait",IF(CM$20&gt;='01_Input'!$V$59,'01_Input'!$Y$59,0),IF('01_Input'!$X$59="Palier",IF(AND(CM$20&gt;='01_Input'!$V$59,CM$20&lt;'01_Input'!$W$59),'01_Input'!$Y$59,0),MAX(MIN(CM$20,'01_Input'!$W$59)-'01_Input'!$V$59,0)*'01_Input'!$Y$59))+IF('01_Input'!$AB$59="Forfait",IF(CM$20&gt;='01_Input'!$Z$59,'01_Input'!$AC$59,0),IF('01_Input'!$AB$59="Palier",IF(AND(CM$20&gt;='01_Input'!$Z$59,CM$20&lt;'01_Input'!$AA$59),'01_Input'!$AC$59,0),MAX(MIN(CM$20,'01_Input'!$AA$59)-'01_Input'!$Z$59,0)*'01_Input'!$AC$59)))))))))</f>
        <v>0</v>
      </c>
      <c r="CN27" s="25">
        <f>IF('01_Input'!$C$59="Non",0,MIN('01_Input'!$I$59,MAX('01_Input'!$H$59,IF('01_Input'!$G$59="Résiduel vs Gestion",0,IF('01_Input'!$G$59="Taux Classe sélectionnée",Distrib_Global_Classe_Selectionnee*CN$20,IF('01_Input'!$G$59="Frais KYC (paliers de 100M€)",MAX(0,Nb_Investisseurs-Nb_KYC_Gratuites_Par_Tranche*(FLOOR(CN$20/Taille_Tranche_KYC,1)+1))*Cout_Par_KYC_Supplementaire,(IF('01_Input'!$L$59="Forfait",IF(CN$20&gt;='01_Input'!$J$59,'01_Input'!$M$59,0),IF('01_Input'!$L$59="Palier",IF(AND(CN$20&gt;='01_Input'!$J$59,CN$20&lt;'01_Input'!$K$59),'01_Input'!$M$59,0),MAX(MIN(CN$20,'01_Input'!$K$59)-'01_Input'!$J$59,0)*'01_Input'!$M$59))+IF('01_Input'!$P$59="Forfait",IF(CN$20&gt;='01_Input'!$N$59,'01_Input'!$Q$59,0),IF('01_Input'!$P$59="Palier",IF(AND(CN$20&gt;='01_Input'!$N$59,CN$20&lt;'01_Input'!$O$59),'01_Input'!$Q$59,0),MAX(MIN(CN$20,'01_Input'!$O$59)-'01_Input'!$N$59,0)*'01_Input'!$Q$59))+IF('01_Input'!$T$59="Forfait",IF(CN$20&gt;='01_Input'!$R$59,'01_Input'!$U$59,0),IF('01_Input'!$T$59="Palier",IF(AND(CN$20&gt;='01_Input'!$R$59,CN$20&lt;'01_Input'!$S$59),'01_Input'!$U$59,0),MAX(MIN(CN$20,'01_Input'!$S$59)-'01_Input'!$R$59,0)*'01_Input'!$U$59))+IF('01_Input'!$X$59="Forfait",IF(CN$20&gt;='01_Input'!$V$59,'01_Input'!$Y$59,0),IF('01_Input'!$X$59="Palier",IF(AND(CN$20&gt;='01_Input'!$V$59,CN$20&lt;'01_Input'!$W$59),'01_Input'!$Y$59,0),MAX(MIN(CN$20,'01_Input'!$W$59)-'01_Input'!$V$59,0)*'01_Input'!$Y$59))+IF('01_Input'!$AB$59="Forfait",IF(CN$20&gt;='01_Input'!$Z$59,'01_Input'!$AC$59,0),IF('01_Input'!$AB$59="Palier",IF(AND(CN$20&gt;='01_Input'!$Z$59,CN$20&lt;'01_Input'!$AA$59),'01_Input'!$AC$59,0),MAX(MIN(CN$20,'01_Input'!$AA$59)-'01_Input'!$Z$59,0)*'01_Input'!$AC$59)))))))))</f>
        <v>0</v>
      </c>
      <c r="CO27" s="25">
        <f>IF('01_Input'!$C$59="Non",0,MIN('01_Input'!$I$59,MAX('01_Input'!$H$59,IF('01_Input'!$G$59="Résiduel vs Gestion",0,IF('01_Input'!$G$59="Taux Classe sélectionnée",Distrib_Global_Classe_Selectionnee*CO$20,IF('01_Input'!$G$59="Frais KYC (paliers de 100M€)",MAX(0,Nb_Investisseurs-Nb_KYC_Gratuites_Par_Tranche*(FLOOR(CO$20/Taille_Tranche_KYC,1)+1))*Cout_Par_KYC_Supplementaire,(IF('01_Input'!$L$59="Forfait",IF(CO$20&gt;='01_Input'!$J$59,'01_Input'!$M$59,0),IF('01_Input'!$L$59="Palier",IF(AND(CO$20&gt;='01_Input'!$J$59,CO$20&lt;'01_Input'!$K$59),'01_Input'!$M$59,0),MAX(MIN(CO$20,'01_Input'!$K$59)-'01_Input'!$J$59,0)*'01_Input'!$M$59))+IF('01_Input'!$P$59="Forfait",IF(CO$20&gt;='01_Input'!$N$59,'01_Input'!$Q$59,0),IF('01_Input'!$P$59="Palier",IF(AND(CO$20&gt;='01_Input'!$N$59,CO$20&lt;'01_Input'!$O$59),'01_Input'!$Q$59,0),MAX(MIN(CO$20,'01_Input'!$O$59)-'01_Input'!$N$59,0)*'01_Input'!$Q$59))+IF('01_Input'!$T$59="Forfait",IF(CO$20&gt;='01_Input'!$R$59,'01_Input'!$U$59,0),IF('01_Input'!$T$59="Palier",IF(AND(CO$20&gt;='01_Input'!$R$59,CO$20&lt;'01_Input'!$S$59),'01_Input'!$U$59,0),MAX(MIN(CO$20,'01_Input'!$S$59)-'01_Input'!$R$59,0)*'01_Input'!$U$59))+IF('01_Input'!$X$59="Forfait",IF(CO$20&gt;='01_Input'!$V$59,'01_Input'!$Y$59,0),IF('01_Input'!$X$59="Palier",IF(AND(CO$20&gt;='01_Input'!$V$59,CO$20&lt;'01_Input'!$W$59),'01_Input'!$Y$59,0),MAX(MIN(CO$20,'01_Input'!$W$59)-'01_Input'!$V$59,0)*'01_Input'!$Y$59))+IF('01_Input'!$AB$59="Forfait",IF(CO$20&gt;='01_Input'!$Z$59,'01_Input'!$AC$59,0),IF('01_Input'!$AB$59="Palier",IF(AND(CO$20&gt;='01_Input'!$Z$59,CO$20&lt;'01_Input'!$AA$59),'01_Input'!$AC$59,0),MAX(MIN(CO$20,'01_Input'!$AA$59)-'01_Input'!$Z$59,0)*'01_Input'!$AC$59)))))))))</f>
        <v>0</v>
      </c>
      <c r="CP27" s="25">
        <f>IF('01_Input'!$C$59="Non",0,MIN('01_Input'!$I$59,MAX('01_Input'!$H$59,IF('01_Input'!$G$59="Résiduel vs Gestion",0,IF('01_Input'!$G$59="Taux Classe sélectionnée",Distrib_Global_Classe_Selectionnee*CP$20,IF('01_Input'!$G$59="Frais KYC (paliers de 100M€)",MAX(0,Nb_Investisseurs-Nb_KYC_Gratuites_Par_Tranche*(FLOOR(CP$20/Taille_Tranche_KYC,1)+1))*Cout_Par_KYC_Supplementaire,(IF('01_Input'!$L$59="Forfait",IF(CP$20&gt;='01_Input'!$J$59,'01_Input'!$M$59,0),IF('01_Input'!$L$59="Palier",IF(AND(CP$20&gt;='01_Input'!$J$59,CP$20&lt;'01_Input'!$K$59),'01_Input'!$M$59,0),MAX(MIN(CP$20,'01_Input'!$K$59)-'01_Input'!$J$59,0)*'01_Input'!$M$59))+IF('01_Input'!$P$59="Forfait",IF(CP$20&gt;='01_Input'!$N$59,'01_Input'!$Q$59,0),IF('01_Input'!$P$59="Palier",IF(AND(CP$20&gt;='01_Input'!$N$59,CP$20&lt;'01_Input'!$O$59),'01_Input'!$Q$59,0),MAX(MIN(CP$20,'01_Input'!$O$59)-'01_Input'!$N$59,0)*'01_Input'!$Q$59))+IF('01_Input'!$T$59="Forfait",IF(CP$20&gt;='01_Input'!$R$59,'01_Input'!$U$59,0),IF('01_Input'!$T$59="Palier",IF(AND(CP$20&gt;='01_Input'!$R$59,CP$20&lt;'01_Input'!$S$59),'01_Input'!$U$59,0),MAX(MIN(CP$20,'01_Input'!$S$59)-'01_Input'!$R$59,0)*'01_Input'!$U$59))+IF('01_Input'!$X$59="Forfait",IF(CP$20&gt;='01_Input'!$V$59,'01_Input'!$Y$59,0),IF('01_Input'!$X$59="Palier",IF(AND(CP$20&gt;='01_Input'!$V$59,CP$20&lt;'01_Input'!$W$59),'01_Input'!$Y$59,0),MAX(MIN(CP$20,'01_Input'!$W$59)-'01_Input'!$V$59,0)*'01_Input'!$Y$59))+IF('01_Input'!$AB$59="Forfait",IF(CP$20&gt;='01_Input'!$Z$59,'01_Input'!$AC$59,0),IF('01_Input'!$AB$59="Palier",IF(AND(CP$20&gt;='01_Input'!$Z$59,CP$20&lt;'01_Input'!$AA$59),'01_Input'!$AC$59,0),MAX(MIN(CP$20,'01_Input'!$AA$59)-'01_Input'!$Z$59,0)*'01_Input'!$AC$59)))))))))</f>
        <v>0</v>
      </c>
      <c r="CQ27" s="25">
        <f>IF('01_Input'!$C$59="Non",0,MIN('01_Input'!$I$59,MAX('01_Input'!$H$59,IF('01_Input'!$G$59="Résiduel vs Gestion",0,IF('01_Input'!$G$59="Taux Classe sélectionnée",Distrib_Global_Classe_Selectionnee*CQ$20,IF('01_Input'!$G$59="Frais KYC (paliers de 100M€)",MAX(0,Nb_Investisseurs-Nb_KYC_Gratuites_Par_Tranche*(FLOOR(CQ$20/Taille_Tranche_KYC,1)+1))*Cout_Par_KYC_Supplementaire,(IF('01_Input'!$L$59="Forfait",IF(CQ$20&gt;='01_Input'!$J$59,'01_Input'!$M$59,0),IF('01_Input'!$L$59="Palier",IF(AND(CQ$20&gt;='01_Input'!$J$59,CQ$20&lt;'01_Input'!$K$59),'01_Input'!$M$59,0),MAX(MIN(CQ$20,'01_Input'!$K$59)-'01_Input'!$J$59,0)*'01_Input'!$M$59))+IF('01_Input'!$P$59="Forfait",IF(CQ$20&gt;='01_Input'!$N$59,'01_Input'!$Q$59,0),IF('01_Input'!$P$59="Palier",IF(AND(CQ$20&gt;='01_Input'!$N$59,CQ$20&lt;'01_Input'!$O$59),'01_Input'!$Q$59,0),MAX(MIN(CQ$20,'01_Input'!$O$59)-'01_Input'!$N$59,0)*'01_Input'!$Q$59))+IF('01_Input'!$T$59="Forfait",IF(CQ$20&gt;='01_Input'!$R$59,'01_Input'!$U$59,0),IF('01_Input'!$T$59="Palier",IF(AND(CQ$20&gt;='01_Input'!$R$59,CQ$20&lt;'01_Input'!$S$59),'01_Input'!$U$59,0),MAX(MIN(CQ$20,'01_Input'!$S$59)-'01_Input'!$R$59,0)*'01_Input'!$U$59))+IF('01_Input'!$X$59="Forfait",IF(CQ$20&gt;='01_Input'!$V$59,'01_Input'!$Y$59,0),IF('01_Input'!$X$59="Palier",IF(AND(CQ$20&gt;='01_Input'!$V$59,CQ$20&lt;'01_Input'!$W$59),'01_Input'!$Y$59,0),MAX(MIN(CQ$20,'01_Input'!$W$59)-'01_Input'!$V$59,0)*'01_Input'!$Y$59))+IF('01_Input'!$AB$59="Forfait",IF(CQ$20&gt;='01_Input'!$Z$59,'01_Input'!$AC$59,0),IF('01_Input'!$AB$59="Palier",IF(AND(CQ$20&gt;='01_Input'!$Z$59,CQ$20&lt;'01_Input'!$AA$59),'01_Input'!$AC$59,0),MAX(MIN(CQ$20,'01_Input'!$AA$59)-'01_Input'!$Z$59,0)*'01_Input'!$AC$59)))))))))</f>
        <v>0</v>
      </c>
      <c r="CR27" s="25">
        <f>IF('01_Input'!$C$59="Non",0,MIN('01_Input'!$I$59,MAX('01_Input'!$H$59,IF('01_Input'!$G$59="Résiduel vs Gestion",0,IF('01_Input'!$G$59="Taux Classe sélectionnée",Distrib_Global_Classe_Selectionnee*CR$20,IF('01_Input'!$G$59="Frais KYC (paliers de 100M€)",MAX(0,Nb_Investisseurs-Nb_KYC_Gratuites_Par_Tranche*(FLOOR(CR$20/Taille_Tranche_KYC,1)+1))*Cout_Par_KYC_Supplementaire,(IF('01_Input'!$L$59="Forfait",IF(CR$20&gt;='01_Input'!$J$59,'01_Input'!$M$59,0),IF('01_Input'!$L$59="Palier",IF(AND(CR$20&gt;='01_Input'!$J$59,CR$20&lt;'01_Input'!$K$59),'01_Input'!$M$59,0),MAX(MIN(CR$20,'01_Input'!$K$59)-'01_Input'!$J$59,0)*'01_Input'!$M$59))+IF('01_Input'!$P$59="Forfait",IF(CR$20&gt;='01_Input'!$N$59,'01_Input'!$Q$59,0),IF('01_Input'!$P$59="Palier",IF(AND(CR$20&gt;='01_Input'!$N$59,CR$20&lt;'01_Input'!$O$59),'01_Input'!$Q$59,0),MAX(MIN(CR$20,'01_Input'!$O$59)-'01_Input'!$N$59,0)*'01_Input'!$Q$59))+IF('01_Input'!$T$59="Forfait",IF(CR$20&gt;='01_Input'!$R$59,'01_Input'!$U$59,0),IF('01_Input'!$T$59="Palier",IF(AND(CR$20&gt;='01_Input'!$R$59,CR$20&lt;'01_Input'!$S$59),'01_Input'!$U$59,0),MAX(MIN(CR$20,'01_Input'!$S$59)-'01_Input'!$R$59,0)*'01_Input'!$U$59))+IF('01_Input'!$X$59="Forfait",IF(CR$20&gt;='01_Input'!$V$59,'01_Input'!$Y$59,0),IF('01_Input'!$X$59="Palier",IF(AND(CR$20&gt;='01_Input'!$V$59,CR$20&lt;'01_Input'!$W$59),'01_Input'!$Y$59,0),MAX(MIN(CR$20,'01_Input'!$W$59)-'01_Input'!$V$59,0)*'01_Input'!$Y$59))+IF('01_Input'!$AB$59="Forfait",IF(CR$20&gt;='01_Input'!$Z$59,'01_Input'!$AC$59,0),IF('01_Input'!$AB$59="Palier",IF(AND(CR$20&gt;='01_Input'!$Z$59,CR$20&lt;'01_Input'!$AA$59),'01_Input'!$AC$59,0),MAX(MIN(CR$20,'01_Input'!$AA$59)-'01_Input'!$Z$59,0)*'01_Input'!$AC$59)))))))))</f>
        <v>0</v>
      </c>
      <c r="CS27" s="25">
        <f>IF('01_Input'!$C$59="Non",0,MIN('01_Input'!$I$59,MAX('01_Input'!$H$59,IF('01_Input'!$G$59="Résiduel vs Gestion",0,IF('01_Input'!$G$59="Taux Classe sélectionnée",Distrib_Global_Classe_Selectionnee*CS$20,IF('01_Input'!$G$59="Frais KYC (paliers de 100M€)",MAX(0,Nb_Investisseurs-Nb_KYC_Gratuites_Par_Tranche*(FLOOR(CS$20/Taille_Tranche_KYC,1)+1))*Cout_Par_KYC_Supplementaire,(IF('01_Input'!$L$59="Forfait",IF(CS$20&gt;='01_Input'!$J$59,'01_Input'!$M$59,0),IF('01_Input'!$L$59="Palier",IF(AND(CS$20&gt;='01_Input'!$J$59,CS$20&lt;'01_Input'!$K$59),'01_Input'!$M$59,0),MAX(MIN(CS$20,'01_Input'!$K$59)-'01_Input'!$J$59,0)*'01_Input'!$M$59))+IF('01_Input'!$P$59="Forfait",IF(CS$20&gt;='01_Input'!$N$59,'01_Input'!$Q$59,0),IF('01_Input'!$P$59="Palier",IF(AND(CS$20&gt;='01_Input'!$N$59,CS$20&lt;'01_Input'!$O$59),'01_Input'!$Q$59,0),MAX(MIN(CS$20,'01_Input'!$O$59)-'01_Input'!$N$59,0)*'01_Input'!$Q$59))+IF('01_Input'!$T$59="Forfait",IF(CS$20&gt;='01_Input'!$R$59,'01_Input'!$U$59,0),IF('01_Input'!$T$59="Palier",IF(AND(CS$20&gt;='01_Input'!$R$59,CS$20&lt;'01_Input'!$S$59),'01_Input'!$U$59,0),MAX(MIN(CS$20,'01_Input'!$S$59)-'01_Input'!$R$59,0)*'01_Input'!$U$59))+IF('01_Input'!$X$59="Forfait",IF(CS$20&gt;='01_Input'!$V$59,'01_Input'!$Y$59,0),IF('01_Input'!$X$59="Palier",IF(AND(CS$20&gt;='01_Input'!$V$59,CS$20&lt;'01_Input'!$W$59),'01_Input'!$Y$59,0),MAX(MIN(CS$20,'01_Input'!$W$59)-'01_Input'!$V$59,0)*'01_Input'!$Y$59))+IF('01_Input'!$AB$59="Forfait",IF(CS$20&gt;='01_Input'!$Z$59,'01_Input'!$AC$59,0),IF('01_Input'!$AB$59="Palier",IF(AND(CS$20&gt;='01_Input'!$Z$59,CS$20&lt;'01_Input'!$AA$59),'01_Input'!$AC$59,0),MAX(MIN(CS$20,'01_Input'!$AA$59)-'01_Input'!$Z$59,0)*'01_Input'!$AC$59)))))))))</f>
        <v>0</v>
      </c>
      <c r="CT27" s="25">
        <f>IF('01_Input'!$C$59="Non",0,MIN('01_Input'!$I$59,MAX('01_Input'!$H$59,IF('01_Input'!$G$59="Résiduel vs Gestion",0,IF('01_Input'!$G$59="Taux Classe sélectionnée",Distrib_Global_Classe_Selectionnee*CT$20,IF('01_Input'!$G$59="Frais KYC (paliers de 100M€)",MAX(0,Nb_Investisseurs-Nb_KYC_Gratuites_Par_Tranche*(FLOOR(CT$20/Taille_Tranche_KYC,1)+1))*Cout_Par_KYC_Supplementaire,(IF('01_Input'!$L$59="Forfait",IF(CT$20&gt;='01_Input'!$J$59,'01_Input'!$M$59,0),IF('01_Input'!$L$59="Palier",IF(AND(CT$20&gt;='01_Input'!$J$59,CT$20&lt;'01_Input'!$K$59),'01_Input'!$M$59,0),MAX(MIN(CT$20,'01_Input'!$K$59)-'01_Input'!$J$59,0)*'01_Input'!$M$59))+IF('01_Input'!$P$59="Forfait",IF(CT$20&gt;='01_Input'!$N$59,'01_Input'!$Q$59,0),IF('01_Input'!$P$59="Palier",IF(AND(CT$20&gt;='01_Input'!$N$59,CT$20&lt;'01_Input'!$O$59),'01_Input'!$Q$59,0),MAX(MIN(CT$20,'01_Input'!$O$59)-'01_Input'!$N$59,0)*'01_Input'!$Q$59))+IF('01_Input'!$T$59="Forfait",IF(CT$20&gt;='01_Input'!$R$59,'01_Input'!$U$59,0),IF('01_Input'!$T$59="Palier",IF(AND(CT$20&gt;='01_Input'!$R$59,CT$20&lt;'01_Input'!$S$59),'01_Input'!$U$59,0),MAX(MIN(CT$20,'01_Input'!$S$59)-'01_Input'!$R$59,0)*'01_Input'!$U$59))+IF('01_Input'!$X$59="Forfait",IF(CT$20&gt;='01_Input'!$V$59,'01_Input'!$Y$59,0),IF('01_Input'!$X$59="Palier",IF(AND(CT$20&gt;='01_Input'!$V$59,CT$20&lt;'01_Input'!$W$59),'01_Input'!$Y$59,0),MAX(MIN(CT$20,'01_Input'!$W$59)-'01_Input'!$V$59,0)*'01_Input'!$Y$59))+IF('01_Input'!$AB$59="Forfait",IF(CT$20&gt;='01_Input'!$Z$59,'01_Input'!$AC$59,0),IF('01_Input'!$AB$59="Palier",IF(AND(CT$20&gt;='01_Input'!$Z$59,CT$20&lt;'01_Input'!$AA$59),'01_Input'!$AC$59,0),MAX(MIN(CT$20,'01_Input'!$AA$59)-'01_Input'!$Z$59,0)*'01_Input'!$AC$59)))))))))</f>
        <v>0</v>
      </c>
      <c r="CU27" s="25">
        <f>IF('01_Input'!$C$59="Non",0,MIN('01_Input'!$I$59,MAX('01_Input'!$H$59,IF('01_Input'!$G$59="Résiduel vs Gestion",0,IF('01_Input'!$G$59="Taux Classe sélectionnée",Distrib_Global_Classe_Selectionnee*CU$20,IF('01_Input'!$G$59="Frais KYC (paliers de 100M€)",MAX(0,Nb_Investisseurs-Nb_KYC_Gratuites_Par_Tranche*(FLOOR(CU$20/Taille_Tranche_KYC,1)+1))*Cout_Par_KYC_Supplementaire,(IF('01_Input'!$L$59="Forfait",IF(CU$20&gt;='01_Input'!$J$59,'01_Input'!$M$59,0),IF('01_Input'!$L$59="Palier",IF(AND(CU$20&gt;='01_Input'!$J$59,CU$20&lt;'01_Input'!$K$59),'01_Input'!$M$59,0),MAX(MIN(CU$20,'01_Input'!$K$59)-'01_Input'!$J$59,0)*'01_Input'!$M$59))+IF('01_Input'!$P$59="Forfait",IF(CU$20&gt;='01_Input'!$N$59,'01_Input'!$Q$59,0),IF('01_Input'!$P$59="Palier",IF(AND(CU$20&gt;='01_Input'!$N$59,CU$20&lt;'01_Input'!$O$59),'01_Input'!$Q$59,0),MAX(MIN(CU$20,'01_Input'!$O$59)-'01_Input'!$N$59,0)*'01_Input'!$Q$59))+IF('01_Input'!$T$59="Forfait",IF(CU$20&gt;='01_Input'!$R$59,'01_Input'!$U$59,0),IF('01_Input'!$T$59="Palier",IF(AND(CU$20&gt;='01_Input'!$R$59,CU$20&lt;'01_Input'!$S$59),'01_Input'!$U$59,0),MAX(MIN(CU$20,'01_Input'!$S$59)-'01_Input'!$R$59,0)*'01_Input'!$U$59))+IF('01_Input'!$X$59="Forfait",IF(CU$20&gt;='01_Input'!$V$59,'01_Input'!$Y$59,0),IF('01_Input'!$X$59="Palier",IF(AND(CU$20&gt;='01_Input'!$V$59,CU$20&lt;'01_Input'!$W$59),'01_Input'!$Y$59,0),MAX(MIN(CU$20,'01_Input'!$W$59)-'01_Input'!$V$59,0)*'01_Input'!$Y$59))+IF('01_Input'!$AB$59="Forfait",IF(CU$20&gt;='01_Input'!$Z$59,'01_Input'!$AC$59,0),IF('01_Input'!$AB$59="Palier",IF(AND(CU$20&gt;='01_Input'!$Z$59,CU$20&lt;'01_Input'!$AA$59),'01_Input'!$AC$59,0),MAX(MIN(CU$20,'01_Input'!$AA$59)-'01_Input'!$Z$59,0)*'01_Input'!$AC$59)))))))))</f>
        <v>0</v>
      </c>
      <c r="CV27" s="25">
        <f>IF('01_Input'!$C$59="Non",0,MIN('01_Input'!$I$59,MAX('01_Input'!$H$59,IF('01_Input'!$G$59="Résiduel vs Gestion",0,IF('01_Input'!$G$59="Taux Classe sélectionnée",Distrib_Global_Classe_Selectionnee*CV$20,IF('01_Input'!$G$59="Frais KYC (paliers de 100M€)",MAX(0,Nb_Investisseurs-Nb_KYC_Gratuites_Par_Tranche*(FLOOR(CV$20/Taille_Tranche_KYC,1)+1))*Cout_Par_KYC_Supplementaire,(IF('01_Input'!$L$59="Forfait",IF(CV$20&gt;='01_Input'!$J$59,'01_Input'!$M$59,0),IF('01_Input'!$L$59="Palier",IF(AND(CV$20&gt;='01_Input'!$J$59,CV$20&lt;'01_Input'!$K$59),'01_Input'!$M$59,0),MAX(MIN(CV$20,'01_Input'!$K$59)-'01_Input'!$J$59,0)*'01_Input'!$M$59))+IF('01_Input'!$P$59="Forfait",IF(CV$20&gt;='01_Input'!$N$59,'01_Input'!$Q$59,0),IF('01_Input'!$P$59="Palier",IF(AND(CV$20&gt;='01_Input'!$N$59,CV$20&lt;'01_Input'!$O$59),'01_Input'!$Q$59,0),MAX(MIN(CV$20,'01_Input'!$O$59)-'01_Input'!$N$59,0)*'01_Input'!$Q$59))+IF('01_Input'!$T$59="Forfait",IF(CV$20&gt;='01_Input'!$R$59,'01_Input'!$U$59,0),IF('01_Input'!$T$59="Palier",IF(AND(CV$20&gt;='01_Input'!$R$59,CV$20&lt;'01_Input'!$S$59),'01_Input'!$U$59,0),MAX(MIN(CV$20,'01_Input'!$S$59)-'01_Input'!$R$59,0)*'01_Input'!$U$59))+IF('01_Input'!$X$59="Forfait",IF(CV$20&gt;='01_Input'!$V$59,'01_Input'!$Y$59,0),IF('01_Input'!$X$59="Palier",IF(AND(CV$20&gt;='01_Input'!$V$59,CV$20&lt;'01_Input'!$W$59),'01_Input'!$Y$59,0),MAX(MIN(CV$20,'01_Input'!$W$59)-'01_Input'!$V$59,0)*'01_Input'!$Y$59))+IF('01_Input'!$AB$59="Forfait",IF(CV$20&gt;='01_Input'!$Z$59,'01_Input'!$AC$59,0),IF('01_Input'!$AB$59="Palier",IF(AND(CV$20&gt;='01_Input'!$Z$59,CV$20&lt;'01_Input'!$AA$59),'01_Input'!$AC$59,0),MAX(MIN(CV$20,'01_Input'!$AA$59)-'01_Input'!$Z$59,0)*'01_Input'!$AC$59)))))))))</f>
        <v>0</v>
      </c>
      <c r="CW27" s="25">
        <f>IF('01_Input'!$C$59="Non",0,MIN('01_Input'!$I$59,MAX('01_Input'!$H$59,IF('01_Input'!$G$59="Résiduel vs Gestion",0,IF('01_Input'!$G$59="Taux Classe sélectionnée",Distrib_Global_Classe_Selectionnee*CW$20,IF('01_Input'!$G$59="Frais KYC (paliers de 100M€)",MAX(0,Nb_Investisseurs-Nb_KYC_Gratuites_Par_Tranche*(FLOOR(CW$20/Taille_Tranche_KYC,1)+1))*Cout_Par_KYC_Supplementaire,(IF('01_Input'!$L$59="Forfait",IF(CW$20&gt;='01_Input'!$J$59,'01_Input'!$M$59,0),IF('01_Input'!$L$59="Palier",IF(AND(CW$20&gt;='01_Input'!$J$59,CW$20&lt;'01_Input'!$K$59),'01_Input'!$M$59,0),MAX(MIN(CW$20,'01_Input'!$K$59)-'01_Input'!$J$59,0)*'01_Input'!$M$59))+IF('01_Input'!$P$59="Forfait",IF(CW$20&gt;='01_Input'!$N$59,'01_Input'!$Q$59,0),IF('01_Input'!$P$59="Palier",IF(AND(CW$20&gt;='01_Input'!$N$59,CW$20&lt;'01_Input'!$O$59),'01_Input'!$Q$59,0),MAX(MIN(CW$20,'01_Input'!$O$59)-'01_Input'!$N$59,0)*'01_Input'!$Q$59))+IF('01_Input'!$T$59="Forfait",IF(CW$20&gt;='01_Input'!$R$59,'01_Input'!$U$59,0),IF('01_Input'!$T$59="Palier",IF(AND(CW$20&gt;='01_Input'!$R$59,CW$20&lt;'01_Input'!$S$59),'01_Input'!$U$59,0),MAX(MIN(CW$20,'01_Input'!$S$59)-'01_Input'!$R$59,0)*'01_Input'!$U$59))+IF('01_Input'!$X$59="Forfait",IF(CW$20&gt;='01_Input'!$V$59,'01_Input'!$Y$59,0),IF('01_Input'!$X$59="Palier",IF(AND(CW$20&gt;='01_Input'!$V$59,CW$20&lt;'01_Input'!$W$59),'01_Input'!$Y$59,0),MAX(MIN(CW$20,'01_Input'!$W$59)-'01_Input'!$V$59,0)*'01_Input'!$Y$59))+IF('01_Input'!$AB$59="Forfait",IF(CW$20&gt;='01_Input'!$Z$59,'01_Input'!$AC$59,0),IF('01_Input'!$AB$59="Palier",IF(AND(CW$20&gt;='01_Input'!$Z$59,CW$20&lt;'01_Input'!$AA$59),'01_Input'!$AC$59,0),MAX(MIN(CW$20,'01_Input'!$AA$59)-'01_Input'!$Z$59,0)*'01_Input'!$AC$59)))))))))</f>
        <v>0</v>
      </c>
      <c r="CX27" s="25">
        <f>IF('01_Input'!$C$59="Non",0,MIN('01_Input'!$I$59,MAX('01_Input'!$H$59,IF('01_Input'!$G$59="Résiduel vs Gestion",0,IF('01_Input'!$G$59="Taux Classe sélectionnée",Distrib_Global_Classe_Selectionnee*CX$20,IF('01_Input'!$G$59="Frais KYC (paliers de 100M€)",MAX(0,Nb_Investisseurs-Nb_KYC_Gratuites_Par_Tranche*(FLOOR(CX$20/Taille_Tranche_KYC,1)+1))*Cout_Par_KYC_Supplementaire,(IF('01_Input'!$L$59="Forfait",IF(CX$20&gt;='01_Input'!$J$59,'01_Input'!$M$59,0),IF('01_Input'!$L$59="Palier",IF(AND(CX$20&gt;='01_Input'!$J$59,CX$20&lt;'01_Input'!$K$59),'01_Input'!$M$59,0),MAX(MIN(CX$20,'01_Input'!$K$59)-'01_Input'!$J$59,0)*'01_Input'!$M$59))+IF('01_Input'!$P$59="Forfait",IF(CX$20&gt;='01_Input'!$N$59,'01_Input'!$Q$59,0),IF('01_Input'!$P$59="Palier",IF(AND(CX$20&gt;='01_Input'!$N$59,CX$20&lt;'01_Input'!$O$59),'01_Input'!$Q$59,0),MAX(MIN(CX$20,'01_Input'!$O$59)-'01_Input'!$N$59,0)*'01_Input'!$Q$59))+IF('01_Input'!$T$59="Forfait",IF(CX$20&gt;='01_Input'!$R$59,'01_Input'!$U$59,0),IF('01_Input'!$T$59="Palier",IF(AND(CX$20&gt;='01_Input'!$R$59,CX$20&lt;'01_Input'!$S$59),'01_Input'!$U$59,0),MAX(MIN(CX$20,'01_Input'!$S$59)-'01_Input'!$R$59,0)*'01_Input'!$U$59))+IF('01_Input'!$X$59="Forfait",IF(CX$20&gt;='01_Input'!$V$59,'01_Input'!$Y$59,0),IF('01_Input'!$X$59="Palier",IF(AND(CX$20&gt;='01_Input'!$V$59,CX$20&lt;'01_Input'!$W$59),'01_Input'!$Y$59,0),MAX(MIN(CX$20,'01_Input'!$W$59)-'01_Input'!$V$59,0)*'01_Input'!$Y$59))+IF('01_Input'!$AB$59="Forfait",IF(CX$20&gt;='01_Input'!$Z$59,'01_Input'!$AC$59,0),IF('01_Input'!$AB$59="Palier",IF(AND(CX$20&gt;='01_Input'!$Z$59,CX$20&lt;'01_Input'!$AA$59),'01_Input'!$AC$59,0),MAX(MIN(CX$20,'01_Input'!$AA$59)-'01_Input'!$Z$59,0)*'01_Input'!$AC$59)))))))))</f>
        <v>0</v>
      </c>
      <c r="CY27" s="25">
        <f>IF('01_Input'!$C$59="Non",0,MIN('01_Input'!$I$59,MAX('01_Input'!$H$59,IF('01_Input'!$G$59="Résiduel vs Gestion",0,IF('01_Input'!$G$59="Taux Classe sélectionnée",Distrib_Global_Classe_Selectionnee*CY$20,IF('01_Input'!$G$59="Frais KYC (paliers de 100M€)",MAX(0,Nb_Investisseurs-Nb_KYC_Gratuites_Par_Tranche*(FLOOR(CY$20/Taille_Tranche_KYC,1)+1))*Cout_Par_KYC_Supplementaire,(IF('01_Input'!$L$59="Forfait",IF(CY$20&gt;='01_Input'!$J$59,'01_Input'!$M$59,0),IF('01_Input'!$L$59="Palier",IF(AND(CY$20&gt;='01_Input'!$J$59,CY$20&lt;'01_Input'!$K$59),'01_Input'!$M$59,0),MAX(MIN(CY$20,'01_Input'!$K$59)-'01_Input'!$J$59,0)*'01_Input'!$M$59))+IF('01_Input'!$P$59="Forfait",IF(CY$20&gt;='01_Input'!$N$59,'01_Input'!$Q$59,0),IF('01_Input'!$P$59="Palier",IF(AND(CY$20&gt;='01_Input'!$N$59,CY$20&lt;'01_Input'!$O$59),'01_Input'!$Q$59,0),MAX(MIN(CY$20,'01_Input'!$O$59)-'01_Input'!$N$59,0)*'01_Input'!$Q$59))+IF('01_Input'!$T$59="Forfait",IF(CY$20&gt;='01_Input'!$R$59,'01_Input'!$U$59,0),IF('01_Input'!$T$59="Palier",IF(AND(CY$20&gt;='01_Input'!$R$59,CY$20&lt;'01_Input'!$S$59),'01_Input'!$U$59,0),MAX(MIN(CY$20,'01_Input'!$S$59)-'01_Input'!$R$59,0)*'01_Input'!$U$59))+IF('01_Input'!$X$59="Forfait",IF(CY$20&gt;='01_Input'!$V$59,'01_Input'!$Y$59,0),IF('01_Input'!$X$59="Palier",IF(AND(CY$20&gt;='01_Input'!$V$59,CY$20&lt;'01_Input'!$W$59),'01_Input'!$Y$59,0),MAX(MIN(CY$20,'01_Input'!$W$59)-'01_Input'!$V$59,0)*'01_Input'!$Y$59))+IF('01_Input'!$AB$59="Forfait",IF(CY$20&gt;='01_Input'!$Z$59,'01_Input'!$AC$59,0),IF('01_Input'!$AB$59="Palier",IF(AND(CY$20&gt;='01_Input'!$Z$59,CY$20&lt;'01_Input'!$AA$59),'01_Input'!$AC$59,0),MAX(MIN(CY$20,'01_Input'!$AA$59)-'01_Input'!$Z$59,0)*'01_Input'!$AC$59)))))))))</f>
        <v>0</v>
      </c>
      <c r="CZ27" s="25">
        <f>IF('01_Input'!$C$59="Non",0,MIN('01_Input'!$I$59,MAX('01_Input'!$H$59,IF('01_Input'!$G$59="Résiduel vs Gestion",0,IF('01_Input'!$G$59="Taux Classe sélectionnée",Distrib_Global_Classe_Selectionnee*CZ$20,IF('01_Input'!$G$59="Frais KYC (paliers de 100M€)",MAX(0,Nb_Investisseurs-Nb_KYC_Gratuites_Par_Tranche*(FLOOR(CZ$20/Taille_Tranche_KYC,1)+1))*Cout_Par_KYC_Supplementaire,(IF('01_Input'!$L$59="Forfait",IF(CZ$20&gt;='01_Input'!$J$59,'01_Input'!$M$59,0),IF('01_Input'!$L$59="Palier",IF(AND(CZ$20&gt;='01_Input'!$J$59,CZ$20&lt;'01_Input'!$K$59),'01_Input'!$M$59,0),MAX(MIN(CZ$20,'01_Input'!$K$59)-'01_Input'!$J$59,0)*'01_Input'!$M$59))+IF('01_Input'!$P$59="Forfait",IF(CZ$20&gt;='01_Input'!$N$59,'01_Input'!$Q$59,0),IF('01_Input'!$P$59="Palier",IF(AND(CZ$20&gt;='01_Input'!$N$59,CZ$20&lt;'01_Input'!$O$59),'01_Input'!$Q$59,0),MAX(MIN(CZ$20,'01_Input'!$O$59)-'01_Input'!$N$59,0)*'01_Input'!$Q$59))+IF('01_Input'!$T$59="Forfait",IF(CZ$20&gt;='01_Input'!$R$59,'01_Input'!$U$59,0),IF('01_Input'!$T$59="Palier",IF(AND(CZ$20&gt;='01_Input'!$R$59,CZ$20&lt;'01_Input'!$S$59),'01_Input'!$U$59,0),MAX(MIN(CZ$20,'01_Input'!$S$59)-'01_Input'!$R$59,0)*'01_Input'!$U$59))+IF('01_Input'!$X$59="Forfait",IF(CZ$20&gt;='01_Input'!$V$59,'01_Input'!$Y$59,0),IF('01_Input'!$X$59="Palier",IF(AND(CZ$20&gt;='01_Input'!$V$59,CZ$20&lt;'01_Input'!$W$59),'01_Input'!$Y$59,0),MAX(MIN(CZ$20,'01_Input'!$W$59)-'01_Input'!$V$59,0)*'01_Input'!$Y$59))+IF('01_Input'!$AB$59="Forfait",IF(CZ$20&gt;='01_Input'!$Z$59,'01_Input'!$AC$59,0),IF('01_Input'!$AB$59="Palier",IF(AND(CZ$20&gt;='01_Input'!$Z$59,CZ$20&lt;'01_Input'!$AA$59),'01_Input'!$AC$59,0),MAX(MIN(CZ$20,'01_Input'!$AA$59)-'01_Input'!$Z$59,0)*'01_Input'!$AC$59)))))))))</f>
        <v>0</v>
      </c>
      <c r="DA27" s="25">
        <f>IF('01_Input'!$C$59="Non",0,MIN('01_Input'!$I$59,MAX('01_Input'!$H$59,IF('01_Input'!$G$59="Résiduel vs Gestion",0,IF('01_Input'!$G$59="Taux Classe sélectionnée",Distrib_Global_Classe_Selectionnee*DA$20,IF('01_Input'!$G$59="Frais KYC (paliers de 100M€)",MAX(0,Nb_Investisseurs-Nb_KYC_Gratuites_Par_Tranche*(FLOOR(DA$20/Taille_Tranche_KYC,1)+1))*Cout_Par_KYC_Supplementaire,(IF('01_Input'!$L$59="Forfait",IF(DA$20&gt;='01_Input'!$J$59,'01_Input'!$M$59,0),IF('01_Input'!$L$59="Palier",IF(AND(DA$20&gt;='01_Input'!$J$59,DA$20&lt;'01_Input'!$K$59),'01_Input'!$M$59,0),MAX(MIN(DA$20,'01_Input'!$K$59)-'01_Input'!$J$59,0)*'01_Input'!$M$59))+IF('01_Input'!$P$59="Forfait",IF(DA$20&gt;='01_Input'!$N$59,'01_Input'!$Q$59,0),IF('01_Input'!$P$59="Palier",IF(AND(DA$20&gt;='01_Input'!$N$59,DA$20&lt;'01_Input'!$O$59),'01_Input'!$Q$59,0),MAX(MIN(DA$20,'01_Input'!$O$59)-'01_Input'!$N$59,0)*'01_Input'!$Q$59))+IF('01_Input'!$T$59="Forfait",IF(DA$20&gt;='01_Input'!$R$59,'01_Input'!$U$59,0),IF('01_Input'!$T$59="Palier",IF(AND(DA$20&gt;='01_Input'!$R$59,DA$20&lt;'01_Input'!$S$59),'01_Input'!$U$59,0),MAX(MIN(DA$20,'01_Input'!$S$59)-'01_Input'!$R$59,0)*'01_Input'!$U$59))+IF('01_Input'!$X$59="Forfait",IF(DA$20&gt;='01_Input'!$V$59,'01_Input'!$Y$59,0),IF('01_Input'!$X$59="Palier",IF(AND(DA$20&gt;='01_Input'!$V$59,DA$20&lt;'01_Input'!$W$59),'01_Input'!$Y$59,0),MAX(MIN(DA$20,'01_Input'!$W$59)-'01_Input'!$V$59,0)*'01_Input'!$Y$59))+IF('01_Input'!$AB$59="Forfait",IF(DA$20&gt;='01_Input'!$Z$59,'01_Input'!$AC$59,0),IF('01_Input'!$AB$59="Palier",IF(AND(DA$20&gt;='01_Input'!$Z$59,DA$20&lt;'01_Input'!$AA$59),'01_Input'!$AC$59,0),MAX(MIN(DA$20,'01_Input'!$AA$59)-'01_Input'!$Z$59,0)*'01_Input'!$AC$59)))))))))</f>
        <v>0</v>
      </c>
      <c r="DB27" s="25">
        <f>IF('01_Input'!$C$59="Non",0,MIN('01_Input'!$I$59,MAX('01_Input'!$H$59,IF('01_Input'!$G$59="Résiduel vs Gestion",0,IF('01_Input'!$G$59="Taux Classe sélectionnée",Distrib_Global_Classe_Selectionnee*DB$20,IF('01_Input'!$G$59="Frais KYC (paliers de 100M€)",MAX(0,Nb_Investisseurs-Nb_KYC_Gratuites_Par_Tranche*(FLOOR(DB$20/Taille_Tranche_KYC,1)+1))*Cout_Par_KYC_Supplementaire,(IF('01_Input'!$L$59="Forfait",IF(DB$20&gt;='01_Input'!$J$59,'01_Input'!$M$59,0),IF('01_Input'!$L$59="Palier",IF(AND(DB$20&gt;='01_Input'!$J$59,DB$20&lt;'01_Input'!$K$59),'01_Input'!$M$59,0),MAX(MIN(DB$20,'01_Input'!$K$59)-'01_Input'!$J$59,0)*'01_Input'!$M$59))+IF('01_Input'!$P$59="Forfait",IF(DB$20&gt;='01_Input'!$N$59,'01_Input'!$Q$59,0),IF('01_Input'!$P$59="Palier",IF(AND(DB$20&gt;='01_Input'!$N$59,DB$20&lt;'01_Input'!$O$59),'01_Input'!$Q$59,0),MAX(MIN(DB$20,'01_Input'!$O$59)-'01_Input'!$N$59,0)*'01_Input'!$Q$59))+IF('01_Input'!$T$59="Forfait",IF(DB$20&gt;='01_Input'!$R$59,'01_Input'!$U$59,0),IF('01_Input'!$T$59="Palier",IF(AND(DB$20&gt;='01_Input'!$R$59,DB$20&lt;'01_Input'!$S$59),'01_Input'!$U$59,0),MAX(MIN(DB$20,'01_Input'!$S$59)-'01_Input'!$R$59,0)*'01_Input'!$U$59))+IF('01_Input'!$X$59="Forfait",IF(DB$20&gt;='01_Input'!$V$59,'01_Input'!$Y$59,0),IF('01_Input'!$X$59="Palier",IF(AND(DB$20&gt;='01_Input'!$V$59,DB$20&lt;'01_Input'!$W$59),'01_Input'!$Y$59,0),MAX(MIN(DB$20,'01_Input'!$W$59)-'01_Input'!$V$59,0)*'01_Input'!$Y$59))+IF('01_Input'!$AB$59="Forfait",IF(DB$20&gt;='01_Input'!$Z$59,'01_Input'!$AC$59,0),IF('01_Input'!$AB$59="Palier",IF(AND(DB$20&gt;='01_Input'!$Z$59,DB$20&lt;'01_Input'!$AA$59),'01_Input'!$AC$59,0),MAX(MIN(DB$20,'01_Input'!$AA$59)-'01_Input'!$Z$59,0)*'01_Input'!$AC$59)))))))))</f>
        <v>0</v>
      </c>
      <c r="DC27" s="25">
        <f>IF('01_Input'!$C$59="Non",0,MIN('01_Input'!$I$59,MAX('01_Input'!$H$59,IF('01_Input'!$G$59="Résiduel vs Gestion",0,IF('01_Input'!$G$59="Taux Classe sélectionnée",Distrib_Global_Classe_Selectionnee*DC$20,IF('01_Input'!$G$59="Frais KYC (paliers de 100M€)",MAX(0,Nb_Investisseurs-Nb_KYC_Gratuites_Par_Tranche*(FLOOR(DC$20/Taille_Tranche_KYC,1)+1))*Cout_Par_KYC_Supplementaire,(IF('01_Input'!$L$59="Forfait",IF(DC$20&gt;='01_Input'!$J$59,'01_Input'!$M$59,0),IF('01_Input'!$L$59="Palier",IF(AND(DC$20&gt;='01_Input'!$J$59,DC$20&lt;'01_Input'!$K$59),'01_Input'!$M$59,0),MAX(MIN(DC$20,'01_Input'!$K$59)-'01_Input'!$J$59,0)*'01_Input'!$M$59))+IF('01_Input'!$P$59="Forfait",IF(DC$20&gt;='01_Input'!$N$59,'01_Input'!$Q$59,0),IF('01_Input'!$P$59="Palier",IF(AND(DC$20&gt;='01_Input'!$N$59,DC$20&lt;'01_Input'!$O$59),'01_Input'!$Q$59,0),MAX(MIN(DC$20,'01_Input'!$O$59)-'01_Input'!$N$59,0)*'01_Input'!$Q$59))+IF('01_Input'!$T$59="Forfait",IF(DC$20&gt;='01_Input'!$R$59,'01_Input'!$U$59,0),IF('01_Input'!$T$59="Palier",IF(AND(DC$20&gt;='01_Input'!$R$59,DC$20&lt;'01_Input'!$S$59),'01_Input'!$U$59,0),MAX(MIN(DC$20,'01_Input'!$S$59)-'01_Input'!$R$59,0)*'01_Input'!$U$59))+IF('01_Input'!$X$59="Forfait",IF(DC$20&gt;='01_Input'!$V$59,'01_Input'!$Y$59,0),IF('01_Input'!$X$59="Palier",IF(AND(DC$20&gt;='01_Input'!$V$59,DC$20&lt;'01_Input'!$W$59),'01_Input'!$Y$59,0),MAX(MIN(DC$20,'01_Input'!$W$59)-'01_Input'!$V$59,0)*'01_Input'!$Y$59))+IF('01_Input'!$AB$59="Forfait",IF(DC$20&gt;='01_Input'!$Z$59,'01_Input'!$AC$59,0),IF('01_Input'!$AB$59="Palier",IF(AND(DC$20&gt;='01_Input'!$Z$59,DC$20&lt;'01_Input'!$AA$59),'01_Input'!$AC$59,0),MAX(MIN(DC$20,'01_Input'!$AA$59)-'01_Input'!$Z$59,0)*'01_Input'!$AC$59)))))))))</f>
        <v>0</v>
      </c>
      <c r="DD27" s="25">
        <f>IF('01_Input'!$C$59="Non",0,MIN('01_Input'!$I$59,MAX('01_Input'!$H$59,IF('01_Input'!$G$59="Résiduel vs Gestion",0,IF('01_Input'!$G$59="Taux Classe sélectionnée",Distrib_Global_Classe_Selectionnee*DD$20,IF('01_Input'!$G$59="Frais KYC (paliers de 100M€)",MAX(0,Nb_Investisseurs-Nb_KYC_Gratuites_Par_Tranche*(FLOOR(DD$20/Taille_Tranche_KYC,1)+1))*Cout_Par_KYC_Supplementaire,(IF('01_Input'!$L$59="Forfait",IF(DD$20&gt;='01_Input'!$J$59,'01_Input'!$M$59,0),IF('01_Input'!$L$59="Palier",IF(AND(DD$20&gt;='01_Input'!$J$59,DD$20&lt;'01_Input'!$K$59),'01_Input'!$M$59,0),MAX(MIN(DD$20,'01_Input'!$K$59)-'01_Input'!$J$59,0)*'01_Input'!$M$59))+IF('01_Input'!$P$59="Forfait",IF(DD$20&gt;='01_Input'!$N$59,'01_Input'!$Q$59,0),IF('01_Input'!$P$59="Palier",IF(AND(DD$20&gt;='01_Input'!$N$59,DD$20&lt;'01_Input'!$O$59),'01_Input'!$Q$59,0),MAX(MIN(DD$20,'01_Input'!$O$59)-'01_Input'!$N$59,0)*'01_Input'!$Q$59))+IF('01_Input'!$T$59="Forfait",IF(DD$20&gt;='01_Input'!$R$59,'01_Input'!$U$59,0),IF('01_Input'!$T$59="Palier",IF(AND(DD$20&gt;='01_Input'!$R$59,DD$20&lt;'01_Input'!$S$59),'01_Input'!$U$59,0),MAX(MIN(DD$20,'01_Input'!$S$59)-'01_Input'!$R$59,0)*'01_Input'!$U$59))+IF('01_Input'!$X$59="Forfait",IF(DD$20&gt;='01_Input'!$V$59,'01_Input'!$Y$59,0),IF('01_Input'!$X$59="Palier",IF(AND(DD$20&gt;='01_Input'!$V$59,DD$20&lt;'01_Input'!$W$59),'01_Input'!$Y$59,0),MAX(MIN(DD$20,'01_Input'!$W$59)-'01_Input'!$V$59,0)*'01_Input'!$Y$59))+IF('01_Input'!$AB$59="Forfait",IF(DD$20&gt;='01_Input'!$Z$59,'01_Input'!$AC$59,0),IF('01_Input'!$AB$59="Palier",IF(AND(DD$20&gt;='01_Input'!$Z$59,DD$20&lt;'01_Input'!$AA$59),'01_Input'!$AC$59,0),MAX(MIN(DD$20,'01_Input'!$AA$59)-'01_Input'!$Z$59,0)*'01_Input'!$AC$59)))))))))</f>
        <v>0</v>
      </c>
      <c r="DE27" s="25">
        <f>IF('01_Input'!$C$59="Non",0,MIN('01_Input'!$I$59,MAX('01_Input'!$H$59,IF('01_Input'!$G$59="Résiduel vs Gestion",0,IF('01_Input'!$G$59="Taux Classe sélectionnée",Distrib_Global_Classe_Selectionnee*DE$20,IF('01_Input'!$G$59="Frais KYC (paliers de 100M€)",MAX(0,Nb_Investisseurs-Nb_KYC_Gratuites_Par_Tranche*(FLOOR(DE$20/Taille_Tranche_KYC,1)+1))*Cout_Par_KYC_Supplementaire,(IF('01_Input'!$L$59="Forfait",IF(DE$20&gt;='01_Input'!$J$59,'01_Input'!$M$59,0),IF('01_Input'!$L$59="Palier",IF(AND(DE$20&gt;='01_Input'!$J$59,DE$20&lt;'01_Input'!$K$59),'01_Input'!$M$59,0),MAX(MIN(DE$20,'01_Input'!$K$59)-'01_Input'!$J$59,0)*'01_Input'!$M$59))+IF('01_Input'!$P$59="Forfait",IF(DE$20&gt;='01_Input'!$N$59,'01_Input'!$Q$59,0),IF('01_Input'!$P$59="Palier",IF(AND(DE$20&gt;='01_Input'!$N$59,DE$20&lt;'01_Input'!$O$59),'01_Input'!$Q$59,0),MAX(MIN(DE$20,'01_Input'!$O$59)-'01_Input'!$N$59,0)*'01_Input'!$Q$59))+IF('01_Input'!$T$59="Forfait",IF(DE$20&gt;='01_Input'!$R$59,'01_Input'!$U$59,0),IF('01_Input'!$T$59="Palier",IF(AND(DE$20&gt;='01_Input'!$R$59,DE$20&lt;'01_Input'!$S$59),'01_Input'!$U$59,0),MAX(MIN(DE$20,'01_Input'!$S$59)-'01_Input'!$R$59,0)*'01_Input'!$U$59))+IF('01_Input'!$X$59="Forfait",IF(DE$20&gt;='01_Input'!$V$59,'01_Input'!$Y$59,0),IF('01_Input'!$X$59="Palier",IF(AND(DE$20&gt;='01_Input'!$V$59,DE$20&lt;'01_Input'!$W$59),'01_Input'!$Y$59,0),MAX(MIN(DE$20,'01_Input'!$W$59)-'01_Input'!$V$59,0)*'01_Input'!$Y$59))+IF('01_Input'!$AB$59="Forfait",IF(DE$20&gt;='01_Input'!$Z$59,'01_Input'!$AC$59,0),IF('01_Input'!$AB$59="Palier",IF(AND(DE$20&gt;='01_Input'!$Z$59,DE$20&lt;'01_Input'!$AA$59),'01_Input'!$AC$59,0),MAX(MIN(DE$20,'01_Input'!$AA$59)-'01_Input'!$Z$59,0)*'01_Input'!$AC$59)))))))))</f>
        <v>0</v>
      </c>
      <c r="DF27" s="25">
        <f>IF('01_Input'!$C$59="Non",0,MIN('01_Input'!$I$59,MAX('01_Input'!$H$59,IF('01_Input'!$G$59="Résiduel vs Gestion",0,IF('01_Input'!$G$59="Taux Classe sélectionnée",Distrib_Global_Classe_Selectionnee*DF$20,IF('01_Input'!$G$59="Frais KYC (paliers de 100M€)",MAX(0,Nb_Investisseurs-Nb_KYC_Gratuites_Par_Tranche*(FLOOR(DF$20/Taille_Tranche_KYC,1)+1))*Cout_Par_KYC_Supplementaire,(IF('01_Input'!$L$59="Forfait",IF(DF$20&gt;='01_Input'!$J$59,'01_Input'!$M$59,0),IF('01_Input'!$L$59="Palier",IF(AND(DF$20&gt;='01_Input'!$J$59,DF$20&lt;'01_Input'!$K$59),'01_Input'!$M$59,0),MAX(MIN(DF$20,'01_Input'!$K$59)-'01_Input'!$J$59,0)*'01_Input'!$M$59))+IF('01_Input'!$P$59="Forfait",IF(DF$20&gt;='01_Input'!$N$59,'01_Input'!$Q$59,0),IF('01_Input'!$P$59="Palier",IF(AND(DF$20&gt;='01_Input'!$N$59,DF$20&lt;'01_Input'!$O$59),'01_Input'!$Q$59,0),MAX(MIN(DF$20,'01_Input'!$O$59)-'01_Input'!$N$59,0)*'01_Input'!$Q$59))+IF('01_Input'!$T$59="Forfait",IF(DF$20&gt;='01_Input'!$R$59,'01_Input'!$U$59,0),IF('01_Input'!$T$59="Palier",IF(AND(DF$20&gt;='01_Input'!$R$59,DF$20&lt;'01_Input'!$S$59),'01_Input'!$U$59,0),MAX(MIN(DF$20,'01_Input'!$S$59)-'01_Input'!$R$59,0)*'01_Input'!$U$59))+IF('01_Input'!$X$59="Forfait",IF(DF$20&gt;='01_Input'!$V$59,'01_Input'!$Y$59,0),IF('01_Input'!$X$59="Palier",IF(AND(DF$20&gt;='01_Input'!$V$59,DF$20&lt;'01_Input'!$W$59),'01_Input'!$Y$59,0),MAX(MIN(DF$20,'01_Input'!$W$59)-'01_Input'!$V$59,0)*'01_Input'!$Y$59))+IF('01_Input'!$AB$59="Forfait",IF(DF$20&gt;='01_Input'!$Z$59,'01_Input'!$AC$59,0),IF('01_Input'!$AB$59="Palier",IF(AND(DF$20&gt;='01_Input'!$Z$59,DF$20&lt;'01_Input'!$AA$59),'01_Input'!$AC$59,0),MAX(MIN(DF$20,'01_Input'!$AA$59)-'01_Input'!$Z$59,0)*'01_Input'!$AC$59)))))))))</f>
        <v>0</v>
      </c>
      <c r="DG27" s="25">
        <f>IF('01_Input'!$C$59="Non",0,MIN('01_Input'!$I$59,MAX('01_Input'!$H$59,IF('01_Input'!$G$59="Résiduel vs Gestion",0,IF('01_Input'!$G$59="Taux Classe sélectionnée",Distrib_Global_Classe_Selectionnee*DG$20,IF('01_Input'!$G$59="Frais KYC (paliers de 100M€)",MAX(0,Nb_Investisseurs-Nb_KYC_Gratuites_Par_Tranche*(FLOOR(DG$20/Taille_Tranche_KYC,1)+1))*Cout_Par_KYC_Supplementaire,(IF('01_Input'!$L$59="Forfait",IF(DG$20&gt;='01_Input'!$J$59,'01_Input'!$M$59,0),IF('01_Input'!$L$59="Palier",IF(AND(DG$20&gt;='01_Input'!$J$59,DG$20&lt;'01_Input'!$K$59),'01_Input'!$M$59,0),MAX(MIN(DG$20,'01_Input'!$K$59)-'01_Input'!$J$59,0)*'01_Input'!$M$59))+IF('01_Input'!$P$59="Forfait",IF(DG$20&gt;='01_Input'!$N$59,'01_Input'!$Q$59,0),IF('01_Input'!$P$59="Palier",IF(AND(DG$20&gt;='01_Input'!$N$59,DG$20&lt;'01_Input'!$O$59),'01_Input'!$Q$59,0),MAX(MIN(DG$20,'01_Input'!$O$59)-'01_Input'!$N$59,0)*'01_Input'!$Q$59))+IF('01_Input'!$T$59="Forfait",IF(DG$20&gt;='01_Input'!$R$59,'01_Input'!$U$59,0),IF('01_Input'!$T$59="Palier",IF(AND(DG$20&gt;='01_Input'!$R$59,DG$20&lt;'01_Input'!$S$59),'01_Input'!$U$59,0),MAX(MIN(DG$20,'01_Input'!$S$59)-'01_Input'!$R$59,0)*'01_Input'!$U$59))+IF('01_Input'!$X$59="Forfait",IF(DG$20&gt;='01_Input'!$V$59,'01_Input'!$Y$59,0),IF('01_Input'!$X$59="Palier",IF(AND(DG$20&gt;='01_Input'!$V$59,DG$20&lt;'01_Input'!$W$59),'01_Input'!$Y$59,0),MAX(MIN(DG$20,'01_Input'!$W$59)-'01_Input'!$V$59,0)*'01_Input'!$Y$59))+IF('01_Input'!$AB$59="Forfait",IF(DG$20&gt;='01_Input'!$Z$59,'01_Input'!$AC$59,0),IF('01_Input'!$AB$59="Palier",IF(AND(DG$20&gt;='01_Input'!$Z$59,DG$20&lt;'01_Input'!$AA$59),'01_Input'!$AC$59,0),MAX(MIN(DG$20,'01_Input'!$AA$59)-'01_Input'!$Z$59,0)*'01_Input'!$AC$59)))))))))</f>
        <v>0</v>
      </c>
      <c r="DH27" s="25">
        <f>IF('01_Input'!$C$59="Non",0,MIN('01_Input'!$I$59,MAX('01_Input'!$H$59,IF('01_Input'!$G$59="Résiduel vs Gestion",0,IF('01_Input'!$G$59="Taux Classe sélectionnée",Distrib_Global_Classe_Selectionnee*DH$20,IF('01_Input'!$G$59="Frais KYC (paliers de 100M€)",MAX(0,Nb_Investisseurs-Nb_KYC_Gratuites_Par_Tranche*(FLOOR(DH$20/Taille_Tranche_KYC,1)+1))*Cout_Par_KYC_Supplementaire,(IF('01_Input'!$L$59="Forfait",IF(DH$20&gt;='01_Input'!$J$59,'01_Input'!$M$59,0),IF('01_Input'!$L$59="Palier",IF(AND(DH$20&gt;='01_Input'!$J$59,DH$20&lt;'01_Input'!$K$59),'01_Input'!$M$59,0),MAX(MIN(DH$20,'01_Input'!$K$59)-'01_Input'!$J$59,0)*'01_Input'!$M$59))+IF('01_Input'!$P$59="Forfait",IF(DH$20&gt;='01_Input'!$N$59,'01_Input'!$Q$59,0),IF('01_Input'!$P$59="Palier",IF(AND(DH$20&gt;='01_Input'!$N$59,DH$20&lt;'01_Input'!$O$59),'01_Input'!$Q$59,0),MAX(MIN(DH$20,'01_Input'!$O$59)-'01_Input'!$N$59,0)*'01_Input'!$Q$59))+IF('01_Input'!$T$59="Forfait",IF(DH$20&gt;='01_Input'!$R$59,'01_Input'!$U$59,0),IF('01_Input'!$T$59="Palier",IF(AND(DH$20&gt;='01_Input'!$R$59,DH$20&lt;'01_Input'!$S$59),'01_Input'!$U$59,0),MAX(MIN(DH$20,'01_Input'!$S$59)-'01_Input'!$R$59,0)*'01_Input'!$U$59))+IF('01_Input'!$X$59="Forfait",IF(DH$20&gt;='01_Input'!$V$59,'01_Input'!$Y$59,0),IF('01_Input'!$X$59="Palier",IF(AND(DH$20&gt;='01_Input'!$V$59,DH$20&lt;'01_Input'!$W$59),'01_Input'!$Y$59,0),MAX(MIN(DH$20,'01_Input'!$W$59)-'01_Input'!$V$59,0)*'01_Input'!$Y$59))+IF('01_Input'!$AB$59="Forfait",IF(DH$20&gt;='01_Input'!$Z$59,'01_Input'!$AC$59,0),IF('01_Input'!$AB$59="Palier",IF(AND(DH$20&gt;='01_Input'!$Z$59,DH$20&lt;'01_Input'!$AA$59),'01_Input'!$AC$59,0),MAX(MIN(DH$20,'01_Input'!$AA$59)-'01_Input'!$Z$59,0)*'01_Input'!$AC$59)))))))))</f>
        <v>0</v>
      </c>
      <c r="DI27" s="25">
        <f>IF('01_Input'!$C$59="Non",0,MIN('01_Input'!$I$59,MAX('01_Input'!$H$59,IF('01_Input'!$G$59="Résiduel vs Gestion",0,IF('01_Input'!$G$59="Taux Classe sélectionnée",Distrib_Global_Classe_Selectionnee*DI$20,IF('01_Input'!$G$59="Frais KYC (paliers de 100M€)",MAX(0,Nb_Investisseurs-Nb_KYC_Gratuites_Par_Tranche*(FLOOR(DI$20/Taille_Tranche_KYC,1)+1))*Cout_Par_KYC_Supplementaire,(IF('01_Input'!$L$59="Forfait",IF(DI$20&gt;='01_Input'!$J$59,'01_Input'!$M$59,0),IF('01_Input'!$L$59="Palier",IF(AND(DI$20&gt;='01_Input'!$J$59,DI$20&lt;'01_Input'!$K$59),'01_Input'!$M$59,0),MAX(MIN(DI$20,'01_Input'!$K$59)-'01_Input'!$J$59,0)*'01_Input'!$M$59))+IF('01_Input'!$P$59="Forfait",IF(DI$20&gt;='01_Input'!$N$59,'01_Input'!$Q$59,0),IF('01_Input'!$P$59="Palier",IF(AND(DI$20&gt;='01_Input'!$N$59,DI$20&lt;'01_Input'!$O$59),'01_Input'!$Q$59,0),MAX(MIN(DI$20,'01_Input'!$O$59)-'01_Input'!$N$59,0)*'01_Input'!$Q$59))+IF('01_Input'!$T$59="Forfait",IF(DI$20&gt;='01_Input'!$R$59,'01_Input'!$U$59,0),IF('01_Input'!$T$59="Palier",IF(AND(DI$20&gt;='01_Input'!$R$59,DI$20&lt;'01_Input'!$S$59),'01_Input'!$U$59,0),MAX(MIN(DI$20,'01_Input'!$S$59)-'01_Input'!$R$59,0)*'01_Input'!$U$59))+IF('01_Input'!$X$59="Forfait",IF(DI$20&gt;='01_Input'!$V$59,'01_Input'!$Y$59,0),IF('01_Input'!$X$59="Palier",IF(AND(DI$20&gt;='01_Input'!$V$59,DI$20&lt;'01_Input'!$W$59),'01_Input'!$Y$59,0),MAX(MIN(DI$20,'01_Input'!$W$59)-'01_Input'!$V$59,0)*'01_Input'!$Y$59))+IF('01_Input'!$AB$59="Forfait",IF(DI$20&gt;='01_Input'!$Z$59,'01_Input'!$AC$59,0),IF('01_Input'!$AB$59="Palier",IF(AND(DI$20&gt;='01_Input'!$Z$59,DI$20&lt;'01_Input'!$AA$59),'01_Input'!$AC$59,0),MAX(MIN(DI$20,'01_Input'!$AA$59)-'01_Input'!$Z$59,0)*'01_Input'!$AC$59)))))))))</f>
        <v>0</v>
      </c>
      <c r="DJ27" s="25">
        <f>IF('01_Input'!$C$59="Non",0,MIN('01_Input'!$I$59,MAX('01_Input'!$H$59,IF('01_Input'!$G$59="Résiduel vs Gestion",0,IF('01_Input'!$G$59="Taux Classe sélectionnée",Distrib_Global_Classe_Selectionnee*DJ$20,IF('01_Input'!$G$59="Frais KYC (paliers de 100M€)",MAX(0,Nb_Investisseurs-Nb_KYC_Gratuites_Par_Tranche*(FLOOR(DJ$20/Taille_Tranche_KYC,1)+1))*Cout_Par_KYC_Supplementaire,(IF('01_Input'!$L$59="Forfait",IF(DJ$20&gt;='01_Input'!$J$59,'01_Input'!$M$59,0),IF('01_Input'!$L$59="Palier",IF(AND(DJ$20&gt;='01_Input'!$J$59,DJ$20&lt;'01_Input'!$K$59),'01_Input'!$M$59,0),MAX(MIN(DJ$20,'01_Input'!$K$59)-'01_Input'!$J$59,0)*'01_Input'!$M$59))+IF('01_Input'!$P$59="Forfait",IF(DJ$20&gt;='01_Input'!$N$59,'01_Input'!$Q$59,0),IF('01_Input'!$P$59="Palier",IF(AND(DJ$20&gt;='01_Input'!$N$59,DJ$20&lt;'01_Input'!$O$59),'01_Input'!$Q$59,0),MAX(MIN(DJ$20,'01_Input'!$O$59)-'01_Input'!$N$59,0)*'01_Input'!$Q$59))+IF('01_Input'!$T$59="Forfait",IF(DJ$20&gt;='01_Input'!$R$59,'01_Input'!$U$59,0),IF('01_Input'!$T$59="Palier",IF(AND(DJ$20&gt;='01_Input'!$R$59,DJ$20&lt;'01_Input'!$S$59),'01_Input'!$U$59,0),MAX(MIN(DJ$20,'01_Input'!$S$59)-'01_Input'!$R$59,0)*'01_Input'!$U$59))+IF('01_Input'!$X$59="Forfait",IF(DJ$20&gt;='01_Input'!$V$59,'01_Input'!$Y$59,0),IF('01_Input'!$X$59="Palier",IF(AND(DJ$20&gt;='01_Input'!$V$59,DJ$20&lt;'01_Input'!$W$59),'01_Input'!$Y$59,0),MAX(MIN(DJ$20,'01_Input'!$W$59)-'01_Input'!$V$59,0)*'01_Input'!$Y$59))+IF('01_Input'!$AB$59="Forfait",IF(DJ$20&gt;='01_Input'!$Z$59,'01_Input'!$AC$59,0),IF('01_Input'!$AB$59="Palier",IF(AND(DJ$20&gt;='01_Input'!$Z$59,DJ$20&lt;'01_Input'!$AA$59),'01_Input'!$AC$59,0),MAX(MIN(DJ$20,'01_Input'!$AA$59)-'01_Input'!$Z$59,0)*'01_Input'!$AC$59)))))))))</f>
        <v>0</v>
      </c>
      <c r="DK27" s="25">
        <f>IF('01_Input'!$C$59="Non",0,MIN('01_Input'!$I$59,MAX('01_Input'!$H$59,IF('01_Input'!$G$59="Résiduel vs Gestion",0,IF('01_Input'!$G$59="Taux Classe sélectionnée",Distrib_Global_Classe_Selectionnee*DK$20,IF('01_Input'!$G$59="Frais KYC (paliers de 100M€)",MAX(0,Nb_Investisseurs-Nb_KYC_Gratuites_Par_Tranche*(FLOOR(DK$20/Taille_Tranche_KYC,1)+1))*Cout_Par_KYC_Supplementaire,(IF('01_Input'!$L$59="Forfait",IF(DK$20&gt;='01_Input'!$J$59,'01_Input'!$M$59,0),IF('01_Input'!$L$59="Palier",IF(AND(DK$20&gt;='01_Input'!$J$59,DK$20&lt;'01_Input'!$K$59),'01_Input'!$M$59,0),MAX(MIN(DK$20,'01_Input'!$K$59)-'01_Input'!$J$59,0)*'01_Input'!$M$59))+IF('01_Input'!$P$59="Forfait",IF(DK$20&gt;='01_Input'!$N$59,'01_Input'!$Q$59,0),IF('01_Input'!$P$59="Palier",IF(AND(DK$20&gt;='01_Input'!$N$59,DK$20&lt;'01_Input'!$O$59),'01_Input'!$Q$59,0),MAX(MIN(DK$20,'01_Input'!$O$59)-'01_Input'!$N$59,0)*'01_Input'!$Q$59))+IF('01_Input'!$T$59="Forfait",IF(DK$20&gt;='01_Input'!$R$59,'01_Input'!$U$59,0),IF('01_Input'!$T$59="Palier",IF(AND(DK$20&gt;='01_Input'!$R$59,DK$20&lt;'01_Input'!$S$59),'01_Input'!$U$59,0),MAX(MIN(DK$20,'01_Input'!$S$59)-'01_Input'!$R$59,0)*'01_Input'!$U$59))+IF('01_Input'!$X$59="Forfait",IF(DK$20&gt;='01_Input'!$V$59,'01_Input'!$Y$59,0),IF('01_Input'!$X$59="Palier",IF(AND(DK$20&gt;='01_Input'!$V$59,DK$20&lt;'01_Input'!$W$59),'01_Input'!$Y$59,0),MAX(MIN(DK$20,'01_Input'!$W$59)-'01_Input'!$V$59,0)*'01_Input'!$Y$59))+IF('01_Input'!$AB$59="Forfait",IF(DK$20&gt;='01_Input'!$Z$59,'01_Input'!$AC$59,0),IF('01_Input'!$AB$59="Palier",IF(AND(DK$20&gt;='01_Input'!$Z$59,DK$20&lt;'01_Input'!$AA$59),'01_Input'!$AC$59,0),MAX(MIN(DK$20,'01_Input'!$AA$59)-'01_Input'!$Z$59,0)*'01_Input'!$AC$59)))))))))</f>
        <v>0</v>
      </c>
      <c r="DL27" s="25">
        <f>IF('01_Input'!$C$59="Non",0,MIN('01_Input'!$I$59,MAX('01_Input'!$H$59,IF('01_Input'!$G$59="Résiduel vs Gestion",0,IF('01_Input'!$G$59="Taux Classe sélectionnée",Distrib_Global_Classe_Selectionnee*DL$20,IF('01_Input'!$G$59="Frais KYC (paliers de 100M€)",MAX(0,Nb_Investisseurs-Nb_KYC_Gratuites_Par_Tranche*(FLOOR(DL$20/Taille_Tranche_KYC,1)+1))*Cout_Par_KYC_Supplementaire,(IF('01_Input'!$L$59="Forfait",IF(DL$20&gt;='01_Input'!$J$59,'01_Input'!$M$59,0),IF('01_Input'!$L$59="Palier",IF(AND(DL$20&gt;='01_Input'!$J$59,DL$20&lt;'01_Input'!$K$59),'01_Input'!$M$59,0),MAX(MIN(DL$20,'01_Input'!$K$59)-'01_Input'!$J$59,0)*'01_Input'!$M$59))+IF('01_Input'!$P$59="Forfait",IF(DL$20&gt;='01_Input'!$N$59,'01_Input'!$Q$59,0),IF('01_Input'!$P$59="Palier",IF(AND(DL$20&gt;='01_Input'!$N$59,DL$20&lt;'01_Input'!$O$59),'01_Input'!$Q$59,0),MAX(MIN(DL$20,'01_Input'!$O$59)-'01_Input'!$N$59,0)*'01_Input'!$Q$59))+IF('01_Input'!$T$59="Forfait",IF(DL$20&gt;='01_Input'!$R$59,'01_Input'!$U$59,0),IF('01_Input'!$T$59="Palier",IF(AND(DL$20&gt;='01_Input'!$R$59,DL$20&lt;'01_Input'!$S$59),'01_Input'!$U$59,0),MAX(MIN(DL$20,'01_Input'!$S$59)-'01_Input'!$R$59,0)*'01_Input'!$U$59))+IF('01_Input'!$X$59="Forfait",IF(DL$20&gt;='01_Input'!$V$59,'01_Input'!$Y$59,0),IF('01_Input'!$X$59="Palier",IF(AND(DL$20&gt;='01_Input'!$V$59,DL$20&lt;'01_Input'!$W$59),'01_Input'!$Y$59,0),MAX(MIN(DL$20,'01_Input'!$W$59)-'01_Input'!$V$59,0)*'01_Input'!$Y$59))+IF('01_Input'!$AB$59="Forfait",IF(DL$20&gt;='01_Input'!$Z$59,'01_Input'!$AC$59,0),IF('01_Input'!$AB$59="Palier",IF(AND(DL$20&gt;='01_Input'!$Z$59,DL$20&lt;'01_Input'!$AA$59),'01_Input'!$AC$59,0),MAX(MIN(DL$20,'01_Input'!$AA$59)-'01_Input'!$Z$59,0)*'01_Input'!$AC$59)))))))))</f>
        <v>0</v>
      </c>
      <c r="DM27" s="25">
        <f>IF('01_Input'!$C$59="Non",0,MIN('01_Input'!$I$59,MAX('01_Input'!$H$59,IF('01_Input'!$G$59="Résiduel vs Gestion",0,IF('01_Input'!$G$59="Taux Classe sélectionnée",Distrib_Global_Classe_Selectionnee*DM$20,IF('01_Input'!$G$59="Frais KYC (paliers de 100M€)",MAX(0,Nb_Investisseurs-Nb_KYC_Gratuites_Par_Tranche*(FLOOR(DM$20/Taille_Tranche_KYC,1)+1))*Cout_Par_KYC_Supplementaire,(IF('01_Input'!$L$59="Forfait",IF(DM$20&gt;='01_Input'!$J$59,'01_Input'!$M$59,0),IF('01_Input'!$L$59="Palier",IF(AND(DM$20&gt;='01_Input'!$J$59,DM$20&lt;'01_Input'!$K$59),'01_Input'!$M$59,0),MAX(MIN(DM$20,'01_Input'!$K$59)-'01_Input'!$J$59,0)*'01_Input'!$M$59))+IF('01_Input'!$P$59="Forfait",IF(DM$20&gt;='01_Input'!$N$59,'01_Input'!$Q$59,0),IF('01_Input'!$P$59="Palier",IF(AND(DM$20&gt;='01_Input'!$N$59,DM$20&lt;'01_Input'!$O$59),'01_Input'!$Q$59,0),MAX(MIN(DM$20,'01_Input'!$O$59)-'01_Input'!$N$59,0)*'01_Input'!$Q$59))+IF('01_Input'!$T$59="Forfait",IF(DM$20&gt;='01_Input'!$R$59,'01_Input'!$U$59,0),IF('01_Input'!$T$59="Palier",IF(AND(DM$20&gt;='01_Input'!$R$59,DM$20&lt;'01_Input'!$S$59),'01_Input'!$U$59,0),MAX(MIN(DM$20,'01_Input'!$S$59)-'01_Input'!$R$59,0)*'01_Input'!$U$59))+IF('01_Input'!$X$59="Forfait",IF(DM$20&gt;='01_Input'!$V$59,'01_Input'!$Y$59,0),IF('01_Input'!$X$59="Palier",IF(AND(DM$20&gt;='01_Input'!$V$59,DM$20&lt;'01_Input'!$W$59),'01_Input'!$Y$59,0),MAX(MIN(DM$20,'01_Input'!$W$59)-'01_Input'!$V$59,0)*'01_Input'!$Y$59))+IF('01_Input'!$AB$59="Forfait",IF(DM$20&gt;='01_Input'!$Z$59,'01_Input'!$AC$59,0),IF('01_Input'!$AB$59="Palier",IF(AND(DM$20&gt;='01_Input'!$Z$59,DM$20&lt;'01_Input'!$AA$59),'01_Input'!$AC$59,0),MAX(MIN(DM$20,'01_Input'!$AA$59)-'01_Input'!$Z$59,0)*'01_Input'!$AC$59)))))))))</f>
        <v>0</v>
      </c>
      <c r="DN27" s="25">
        <f>IF('01_Input'!$C$59="Non",0,MIN('01_Input'!$I$59,MAX('01_Input'!$H$59,IF('01_Input'!$G$59="Résiduel vs Gestion",0,IF('01_Input'!$G$59="Taux Classe sélectionnée",Distrib_Global_Classe_Selectionnee*DN$20,IF('01_Input'!$G$59="Frais KYC (paliers de 100M€)",MAX(0,Nb_Investisseurs-Nb_KYC_Gratuites_Par_Tranche*(FLOOR(DN$20/Taille_Tranche_KYC,1)+1))*Cout_Par_KYC_Supplementaire,(IF('01_Input'!$L$59="Forfait",IF(DN$20&gt;='01_Input'!$J$59,'01_Input'!$M$59,0),IF('01_Input'!$L$59="Palier",IF(AND(DN$20&gt;='01_Input'!$J$59,DN$20&lt;'01_Input'!$K$59),'01_Input'!$M$59,0),MAX(MIN(DN$20,'01_Input'!$K$59)-'01_Input'!$J$59,0)*'01_Input'!$M$59))+IF('01_Input'!$P$59="Forfait",IF(DN$20&gt;='01_Input'!$N$59,'01_Input'!$Q$59,0),IF('01_Input'!$P$59="Palier",IF(AND(DN$20&gt;='01_Input'!$N$59,DN$20&lt;'01_Input'!$O$59),'01_Input'!$Q$59,0),MAX(MIN(DN$20,'01_Input'!$O$59)-'01_Input'!$N$59,0)*'01_Input'!$Q$59))+IF('01_Input'!$T$59="Forfait",IF(DN$20&gt;='01_Input'!$R$59,'01_Input'!$U$59,0),IF('01_Input'!$T$59="Palier",IF(AND(DN$20&gt;='01_Input'!$R$59,DN$20&lt;'01_Input'!$S$59),'01_Input'!$U$59,0),MAX(MIN(DN$20,'01_Input'!$S$59)-'01_Input'!$R$59,0)*'01_Input'!$U$59))+IF('01_Input'!$X$59="Forfait",IF(DN$20&gt;='01_Input'!$V$59,'01_Input'!$Y$59,0),IF('01_Input'!$X$59="Palier",IF(AND(DN$20&gt;='01_Input'!$V$59,DN$20&lt;'01_Input'!$W$59),'01_Input'!$Y$59,0),MAX(MIN(DN$20,'01_Input'!$W$59)-'01_Input'!$V$59,0)*'01_Input'!$Y$59))+IF('01_Input'!$AB$59="Forfait",IF(DN$20&gt;='01_Input'!$Z$59,'01_Input'!$AC$59,0),IF('01_Input'!$AB$59="Palier",IF(AND(DN$20&gt;='01_Input'!$Z$59,DN$20&lt;'01_Input'!$AA$59),'01_Input'!$AC$59,0),MAX(MIN(DN$20,'01_Input'!$AA$59)-'01_Input'!$Z$59,0)*'01_Input'!$AC$59)))))))))</f>
        <v>0</v>
      </c>
      <c r="DO27" s="25">
        <f>IF('01_Input'!$C$59="Non",0,MIN('01_Input'!$I$59,MAX('01_Input'!$H$59,IF('01_Input'!$G$59="Résiduel vs Gestion",0,IF('01_Input'!$G$59="Taux Classe sélectionnée",Distrib_Global_Classe_Selectionnee*DO$20,IF('01_Input'!$G$59="Frais KYC (paliers de 100M€)",MAX(0,Nb_Investisseurs-Nb_KYC_Gratuites_Par_Tranche*(FLOOR(DO$20/Taille_Tranche_KYC,1)+1))*Cout_Par_KYC_Supplementaire,(IF('01_Input'!$L$59="Forfait",IF(DO$20&gt;='01_Input'!$J$59,'01_Input'!$M$59,0),IF('01_Input'!$L$59="Palier",IF(AND(DO$20&gt;='01_Input'!$J$59,DO$20&lt;'01_Input'!$K$59),'01_Input'!$M$59,0),MAX(MIN(DO$20,'01_Input'!$K$59)-'01_Input'!$J$59,0)*'01_Input'!$M$59))+IF('01_Input'!$P$59="Forfait",IF(DO$20&gt;='01_Input'!$N$59,'01_Input'!$Q$59,0),IF('01_Input'!$P$59="Palier",IF(AND(DO$20&gt;='01_Input'!$N$59,DO$20&lt;'01_Input'!$O$59),'01_Input'!$Q$59,0),MAX(MIN(DO$20,'01_Input'!$O$59)-'01_Input'!$N$59,0)*'01_Input'!$Q$59))+IF('01_Input'!$T$59="Forfait",IF(DO$20&gt;='01_Input'!$R$59,'01_Input'!$U$59,0),IF('01_Input'!$T$59="Palier",IF(AND(DO$20&gt;='01_Input'!$R$59,DO$20&lt;'01_Input'!$S$59),'01_Input'!$U$59,0),MAX(MIN(DO$20,'01_Input'!$S$59)-'01_Input'!$R$59,0)*'01_Input'!$U$59))+IF('01_Input'!$X$59="Forfait",IF(DO$20&gt;='01_Input'!$V$59,'01_Input'!$Y$59,0),IF('01_Input'!$X$59="Palier",IF(AND(DO$20&gt;='01_Input'!$V$59,DO$20&lt;'01_Input'!$W$59),'01_Input'!$Y$59,0),MAX(MIN(DO$20,'01_Input'!$W$59)-'01_Input'!$V$59,0)*'01_Input'!$Y$59))+IF('01_Input'!$AB$59="Forfait",IF(DO$20&gt;='01_Input'!$Z$59,'01_Input'!$AC$59,0),IF('01_Input'!$AB$59="Palier",IF(AND(DO$20&gt;='01_Input'!$Z$59,DO$20&lt;'01_Input'!$AA$59),'01_Input'!$AC$59,0),MAX(MIN(DO$20,'01_Input'!$AA$59)-'01_Input'!$Z$59,0)*'01_Input'!$AC$59)))))))))</f>
        <v>0</v>
      </c>
      <c r="DP27" s="25">
        <f>IF('01_Input'!$C$59="Non",0,MIN('01_Input'!$I$59,MAX('01_Input'!$H$59,IF('01_Input'!$G$59="Résiduel vs Gestion",0,IF('01_Input'!$G$59="Taux Classe sélectionnée",Distrib_Global_Classe_Selectionnee*DP$20,IF('01_Input'!$G$59="Frais KYC (paliers de 100M€)",MAX(0,Nb_Investisseurs-Nb_KYC_Gratuites_Par_Tranche*(FLOOR(DP$20/Taille_Tranche_KYC,1)+1))*Cout_Par_KYC_Supplementaire,(IF('01_Input'!$L$59="Forfait",IF(DP$20&gt;='01_Input'!$J$59,'01_Input'!$M$59,0),IF('01_Input'!$L$59="Palier",IF(AND(DP$20&gt;='01_Input'!$J$59,DP$20&lt;'01_Input'!$K$59),'01_Input'!$M$59,0),MAX(MIN(DP$20,'01_Input'!$K$59)-'01_Input'!$J$59,0)*'01_Input'!$M$59))+IF('01_Input'!$P$59="Forfait",IF(DP$20&gt;='01_Input'!$N$59,'01_Input'!$Q$59,0),IF('01_Input'!$P$59="Palier",IF(AND(DP$20&gt;='01_Input'!$N$59,DP$20&lt;'01_Input'!$O$59),'01_Input'!$Q$59,0),MAX(MIN(DP$20,'01_Input'!$O$59)-'01_Input'!$N$59,0)*'01_Input'!$Q$59))+IF('01_Input'!$T$59="Forfait",IF(DP$20&gt;='01_Input'!$R$59,'01_Input'!$U$59,0),IF('01_Input'!$T$59="Palier",IF(AND(DP$20&gt;='01_Input'!$R$59,DP$20&lt;'01_Input'!$S$59),'01_Input'!$U$59,0),MAX(MIN(DP$20,'01_Input'!$S$59)-'01_Input'!$R$59,0)*'01_Input'!$U$59))+IF('01_Input'!$X$59="Forfait",IF(DP$20&gt;='01_Input'!$V$59,'01_Input'!$Y$59,0),IF('01_Input'!$X$59="Palier",IF(AND(DP$20&gt;='01_Input'!$V$59,DP$20&lt;'01_Input'!$W$59),'01_Input'!$Y$59,0),MAX(MIN(DP$20,'01_Input'!$W$59)-'01_Input'!$V$59,0)*'01_Input'!$Y$59))+IF('01_Input'!$AB$59="Forfait",IF(DP$20&gt;='01_Input'!$Z$59,'01_Input'!$AC$59,0),IF('01_Input'!$AB$59="Palier",IF(AND(DP$20&gt;='01_Input'!$Z$59,DP$20&lt;'01_Input'!$AA$59),'01_Input'!$AC$59,0),MAX(MIN(DP$20,'01_Input'!$AA$59)-'01_Input'!$Z$59,0)*'01_Input'!$AC$59)))))))))</f>
        <v>0</v>
      </c>
      <c r="DQ27" s="25">
        <f>IF('01_Input'!$C$59="Non",0,MIN('01_Input'!$I$59,MAX('01_Input'!$H$59,IF('01_Input'!$G$59="Résiduel vs Gestion",0,IF('01_Input'!$G$59="Taux Classe sélectionnée",Distrib_Global_Classe_Selectionnee*DQ$20,IF('01_Input'!$G$59="Frais KYC (paliers de 100M€)",MAX(0,Nb_Investisseurs-Nb_KYC_Gratuites_Par_Tranche*(FLOOR(DQ$20/Taille_Tranche_KYC,1)+1))*Cout_Par_KYC_Supplementaire,(IF('01_Input'!$L$59="Forfait",IF(DQ$20&gt;='01_Input'!$J$59,'01_Input'!$M$59,0),IF('01_Input'!$L$59="Palier",IF(AND(DQ$20&gt;='01_Input'!$J$59,DQ$20&lt;'01_Input'!$K$59),'01_Input'!$M$59,0),MAX(MIN(DQ$20,'01_Input'!$K$59)-'01_Input'!$J$59,0)*'01_Input'!$M$59))+IF('01_Input'!$P$59="Forfait",IF(DQ$20&gt;='01_Input'!$N$59,'01_Input'!$Q$59,0),IF('01_Input'!$P$59="Palier",IF(AND(DQ$20&gt;='01_Input'!$N$59,DQ$20&lt;'01_Input'!$O$59),'01_Input'!$Q$59,0),MAX(MIN(DQ$20,'01_Input'!$O$59)-'01_Input'!$N$59,0)*'01_Input'!$Q$59))+IF('01_Input'!$T$59="Forfait",IF(DQ$20&gt;='01_Input'!$R$59,'01_Input'!$U$59,0),IF('01_Input'!$T$59="Palier",IF(AND(DQ$20&gt;='01_Input'!$R$59,DQ$20&lt;'01_Input'!$S$59),'01_Input'!$U$59,0),MAX(MIN(DQ$20,'01_Input'!$S$59)-'01_Input'!$R$59,0)*'01_Input'!$U$59))+IF('01_Input'!$X$59="Forfait",IF(DQ$20&gt;='01_Input'!$V$59,'01_Input'!$Y$59,0),IF('01_Input'!$X$59="Palier",IF(AND(DQ$20&gt;='01_Input'!$V$59,DQ$20&lt;'01_Input'!$W$59),'01_Input'!$Y$59,0),MAX(MIN(DQ$20,'01_Input'!$W$59)-'01_Input'!$V$59,0)*'01_Input'!$Y$59))+IF('01_Input'!$AB$59="Forfait",IF(DQ$20&gt;='01_Input'!$Z$59,'01_Input'!$AC$59,0),IF('01_Input'!$AB$59="Palier",IF(AND(DQ$20&gt;='01_Input'!$Z$59,DQ$20&lt;'01_Input'!$AA$59),'01_Input'!$AC$59,0),MAX(MIN(DQ$20,'01_Input'!$AA$59)-'01_Input'!$Z$59,0)*'01_Input'!$AC$59)))))))))</f>
        <v>0</v>
      </c>
      <c r="DR27" s="25">
        <f>IF('01_Input'!$C$59="Non",0,MIN('01_Input'!$I$59,MAX('01_Input'!$H$59,IF('01_Input'!$G$59="Résiduel vs Gestion",0,IF('01_Input'!$G$59="Taux Classe sélectionnée",Distrib_Global_Classe_Selectionnee*DR$20,IF('01_Input'!$G$59="Frais KYC (paliers de 100M€)",MAX(0,Nb_Investisseurs-Nb_KYC_Gratuites_Par_Tranche*(FLOOR(DR$20/Taille_Tranche_KYC,1)+1))*Cout_Par_KYC_Supplementaire,(IF('01_Input'!$L$59="Forfait",IF(DR$20&gt;='01_Input'!$J$59,'01_Input'!$M$59,0),IF('01_Input'!$L$59="Palier",IF(AND(DR$20&gt;='01_Input'!$J$59,DR$20&lt;'01_Input'!$K$59),'01_Input'!$M$59,0),MAX(MIN(DR$20,'01_Input'!$K$59)-'01_Input'!$J$59,0)*'01_Input'!$M$59))+IF('01_Input'!$P$59="Forfait",IF(DR$20&gt;='01_Input'!$N$59,'01_Input'!$Q$59,0),IF('01_Input'!$P$59="Palier",IF(AND(DR$20&gt;='01_Input'!$N$59,DR$20&lt;'01_Input'!$O$59),'01_Input'!$Q$59,0),MAX(MIN(DR$20,'01_Input'!$O$59)-'01_Input'!$N$59,0)*'01_Input'!$Q$59))+IF('01_Input'!$T$59="Forfait",IF(DR$20&gt;='01_Input'!$R$59,'01_Input'!$U$59,0),IF('01_Input'!$T$59="Palier",IF(AND(DR$20&gt;='01_Input'!$R$59,DR$20&lt;'01_Input'!$S$59),'01_Input'!$U$59,0),MAX(MIN(DR$20,'01_Input'!$S$59)-'01_Input'!$R$59,0)*'01_Input'!$U$59))+IF('01_Input'!$X$59="Forfait",IF(DR$20&gt;='01_Input'!$V$59,'01_Input'!$Y$59,0),IF('01_Input'!$X$59="Palier",IF(AND(DR$20&gt;='01_Input'!$V$59,DR$20&lt;'01_Input'!$W$59),'01_Input'!$Y$59,0),MAX(MIN(DR$20,'01_Input'!$W$59)-'01_Input'!$V$59,0)*'01_Input'!$Y$59))+IF('01_Input'!$AB$59="Forfait",IF(DR$20&gt;='01_Input'!$Z$59,'01_Input'!$AC$59,0),IF('01_Input'!$AB$59="Palier",IF(AND(DR$20&gt;='01_Input'!$Z$59,DR$20&lt;'01_Input'!$AA$59),'01_Input'!$AC$59,0),MAX(MIN(DR$20,'01_Input'!$AA$59)-'01_Input'!$Z$59,0)*'01_Input'!$AC$59)))))))))</f>
        <v>0</v>
      </c>
      <c r="DS27" s="25">
        <f>IF('01_Input'!$C$59="Non",0,MIN('01_Input'!$I$59,MAX('01_Input'!$H$59,IF('01_Input'!$G$59="Résiduel vs Gestion",0,IF('01_Input'!$G$59="Taux Classe sélectionnée",Distrib_Global_Classe_Selectionnee*DS$20,IF('01_Input'!$G$59="Frais KYC (paliers de 100M€)",MAX(0,Nb_Investisseurs-Nb_KYC_Gratuites_Par_Tranche*(FLOOR(DS$20/Taille_Tranche_KYC,1)+1))*Cout_Par_KYC_Supplementaire,(IF('01_Input'!$L$59="Forfait",IF(DS$20&gt;='01_Input'!$J$59,'01_Input'!$M$59,0),IF('01_Input'!$L$59="Palier",IF(AND(DS$20&gt;='01_Input'!$J$59,DS$20&lt;'01_Input'!$K$59),'01_Input'!$M$59,0),MAX(MIN(DS$20,'01_Input'!$K$59)-'01_Input'!$J$59,0)*'01_Input'!$M$59))+IF('01_Input'!$P$59="Forfait",IF(DS$20&gt;='01_Input'!$N$59,'01_Input'!$Q$59,0),IF('01_Input'!$P$59="Palier",IF(AND(DS$20&gt;='01_Input'!$N$59,DS$20&lt;'01_Input'!$O$59),'01_Input'!$Q$59,0),MAX(MIN(DS$20,'01_Input'!$O$59)-'01_Input'!$N$59,0)*'01_Input'!$Q$59))+IF('01_Input'!$T$59="Forfait",IF(DS$20&gt;='01_Input'!$R$59,'01_Input'!$U$59,0),IF('01_Input'!$T$59="Palier",IF(AND(DS$20&gt;='01_Input'!$R$59,DS$20&lt;'01_Input'!$S$59),'01_Input'!$U$59,0),MAX(MIN(DS$20,'01_Input'!$S$59)-'01_Input'!$R$59,0)*'01_Input'!$U$59))+IF('01_Input'!$X$59="Forfait",IF(DS$20&gt;='01_Input'!$V$59,'01_Input'!$Y$59,0),IF('01_Input'!$X$59="Palier",IF(AND(DS$20&gt;='01_Input'!$V$59,DS$20&lt;'01_Input'!$W$59),'01_Input'!$Y$59,0),MAX(MIN(DS$20,'01_Input'!$W$59)-'01_Input'!$V$59,0)*'01_Input'!$Y$59))+IF('01_Input'!$AB$59="Forfait",IF(DS$20&gt;='01_Input'!$Z$59,'01_Input'!$AC$59,0),IF('01_Input'!$AB$59="Palier",IF(AND(DS$20&gt;='01_Input'!$Z$59,DS$20&lt;'01_Input'!$AA$59),'01_Input'!$AC$59,0),MAX(MIN(DS$20,'01_Input'!$AA$59)-'01_Input'!$Z$59,0)*'01_Input'!$AC$59)))))))))</f>
        <v>0</v>
      </c>
      <c r="DT27" s="25">
        <f>IF('01_Input'!$C$59="Non",0,MIN('01_Input'!$I$59,MAX('01_Input'!$H$59,IF('01_Input'!$G$59="Résiduel vs Gestion",0,IF('01_Input'!$G$59="Taux Classe sélectionnée",Distrib_Global_Classe_Selectionnee*DT$20,IF('01_Input'!$G$59="Frais KYC (paliers de 100M€)",MAX(0,Nb_Investisseurs-Nb_KYC_Gratuites_Par_Tranche*(FLOOR(DT$20/Taille_Tranche_KYC,1)+1))*Cout_Par_KYC_Supplementaire,(IF('01_Input'!$L$59="Forfait",IF(DT$20&gt;='01_Input'!$J$59,'01_Input'!$M$59,0),IF('01_Input'!$L$59="Palier",IF(AND(DT$20&gt;='01_Input'!$J$59,DT$20&lt;'01_Input'!$K$59),'01_Input'!$M$59,0),MAX(MIN(DT$20,'01_Input'!$K$59)-'01_Input'!$J$59,0)*'01_Input'!$M$59))+IF('01_Input'!$P$59="Forfait",IF(DT$20&gt;='01_Input'!$N$59,'01_Input'!$Q$59,0),IF('01_Input'!$P$59="Palier",IF(AND(DT$20&gt;='01_Input'!$N$59,DT$20&lt;'01_Input'!$O$59),'01_Input'!$Q$59,0),MAX(MIN(DT$20,'01_Input'!$O$59)-'01_Input'!$N$59,0)*'01_Input'!$Q$59))+IF('01_Input'!$T$59="Forfait",IF(DT$20&gt;='01_Input'!$R$59,'01_Input'!$U$59,0),IF('01_Input'!$T$59="Palier",IF(AND(DT$20&gt;='01_Input'!$R$59,DT$20&lt;'01_Input'!$S$59),'01_Input'!$U$59,0),MAX(MIN(DT$20,'01_Input'!$S$59)-'01_Input'!$R$59,0)*'01_Input'!$U$59))+IF('01_Input'!$X$59="Forfait",IF(DT$20&gt;='01_Input'!$V$59,'01_Input'!$Y$59,0),IF('01_Input'!$X$59="Palier",IF(AND(DT$20&gt;='01_Input'!$V$59,DT$20&lt;'01_Input'!$W$59),'01_Input'!$Y$59,0),MAX(MIN(DT$20,'01_Input'!$W$59)-'01_Input'!$V$59,0)*'01_Input'!$Y$59))+IF('01_Input'!$AB$59="Forfait",IF(DT$20&gt;='01_Input'!$Z$59,'01_Input'!$AC$59,0),IF('01_Input'!$AB$59="Palier",IF(AND(DT$20&gt;='01_Input'!$Z$59,DT$20&lt;'01_Input'!$AA$59),'01_Input'!$AC$59,0),MAX(MIN(DT$20,'01_Input'!$AA$59)-'01_Input'!$Z$59,0)*'01_Input'!$AC$59)))))))))</f>
        <v>0</v>
      </c>
      <c r="DU27" s="25">
        <f>IF('01_Input'!$C$59="Non",0,MIN('01_Input'!$I$59,MAX('01_Input'!$H$59,IF('01_Input'!$G$59="Résiduel vs Gestion",0,IF('01_Input'!$G$59="Taux Classe sélectionnée",Distrib_Global_Classe_Selectionnee*DU$20,IF('01_Input'!$G$59="Frais KYC (paliers de 100M€)",MAX(0,Nb_Investisseurs-Nb_KYC_Gratuites_Par_Tranche*(FLOOR(DU$20/Taille_Tranche_KYC,1)+1))*Cout_Par_KYC_Supplementaire,(IF('01_Input'!$L$59="Forfait",IF(DU$20&gt;='01_Input'!$J$59,'01_Input'!$M$59,0),IF('01_Input'!$L$59="Palier",IF(AND(DU$20&gt;='01_Input'!$J$59,DU$20&lt;'01_Input'!$K$59),'01_Input'!$M$59,0),MAX(MIN(DU$20,'01_Input'!$K$59)-'01_Input'!$J$59,0)*'01_Input'!$M$59))+IF('01_Input'!$P$59="Forfait",IF(DU$20&gt;='01_Input'!$N$59,'01_Input'!$Q$59,0),IF('01_Input'!$P$59="Palier",IF(AND(DU$20&gt;='01_Input'!$N$59,DU$20&lt;'01_Input'!$O$59),'01_Input'!$Q$59,0),MAX(MIN(DU$20,'01_Input'!$O$59)-'01_Input'!$N$59,0)*'01_Input'!$Q$59))+IF('01_Input'!$T$59="Forfait",IF(DU$20&gt;='01_Input'!$R$59,'01_Input'!$U$59,0),IF('01_Input'!$T$59="Palier",IF(AND(DU$20&gt;='01_Input'!$R$59,DU$20&lt;'01_Input'!$S$59),'01_Input'!$U$59,0),MAX(MIN(DU$20,'01_Input'!$S$59)-'01_Input'!$R$59,0)*'01_Input'!$U$59))+IF('01_Input'!$X$59="Forfait",IF(DU$20&gt;='01_Input'!$V$59,'01_Input'!$Y$59,0),IF('01_Input'!$X$59="Palier",IF(AND(DU$20&gt;='01_Input'!$V$59,DU$20&lt;'01_Input'!$W$59),'01_Input'!$Y$59,0),MAX(MIN(DU$20,'01_Input'!$W$59)-'01_Input'!$V$59,0)*'01_Input'!$Y$59))+IF('01_Input'!$AB$59="Forfait",IF(DU$20&gt;='01_Input'!$Z$59,'01_Input'!$AC$59,0),IF('01_Input'!$AB$59="Palier",IF(AND(DU$20&gt;='01_Input'!$Z$59,DU$20&lt;'01_Input'!$AA$59),'01_Input'!$AC$59,0),MAX(MIN(DU$20,'01_Input'!$AA$59)-'01_Input'!$Z$59,0)*'01_Input'!$AC$59)))))))))</f>
        <v>0</v>
      </c>
      <c r="DV27" s="25">
        <f>IF('01_Input'!$C$59="Non",0,MIN('01_Input'!$I$59,MAX('01_Input'!$H$59,IF('01_Input'!$G$59="Résiduel vs Gestion",0,IF('01_Input'!$G$59="Taux Classe sélectionnée",Distrib_Global_Classe_Selectionnee*DV$20,IF('01_Input'!$G$59="Frais KYC (paliers de 100M€)",MAX(0,Nb_Investisseurs-Nb_KYC_Gratuites_Par_Tranche*(FLOOR(DV$20/Taille_Tranche_KYC,1)+1))*Cout_Par_KYC_Supplementaire,(IF('01_Input'!$L$59="Forfait",IF(DV$20&gt;='01_Input'!$J$59,'01_Input'!$M$59,0),IF('01_Input'!$L$59="Palier",IF(AND(DV$20&gt;='01_Input'!$J$59,DV$20&lt;'01_Input'!$K$59),'01_Input'!$M$59,0),MAX(MIN(DV$20,'01_Input'!$K$59)-'01_Input'!$J$59,0)*'01_Input'!$M$59))+IF('01_Input'!$P$59="Forfait",IF(DV$20&gt;='01_Input'!$N$59,'01_Input'!$Q$59,0),IF('01_Input'!$P$59="Palier",IF(AND(DV$20&gt;='01_Input'!$N$59,DV$20&lt;'01_Input'!$O$59),'01_Input'!$Q$59,0),MAX(MIN(DV$20,'01_Input'!$O$59)-'01_Input'!$N$59,0)*'01_Input'!$Q$59))+IF('01_Input'!$T$59="Forfait",IF(DV$20&gt;='01_Input'!$R$59,'01_Input'!$U$59,0),IF('01_Input'!$T$59="Palier",IF(AND(DV$20&gt;='01_Input'!$R$59,DV$20&lt;'01_Input'!$S$59),'01_Input'!$U$59,0),MAX(MIN(DV$20,'01_Input'!$S$59)-'01_Input'!$R$59,0)*'01_Input'!$U$59))+IF('01_Input'!$X$59="Forfait",IF(DV$20&gt;='01_Input'!$V$59,'01_Input'!$Y$59,0),IF('01_Input'!$X$59="Palier",IF(AND(DV$20&gt;='01_Input'!$V$59,DV$20&lt;'01_Input'!$W$59),'01_Input'!$Y$59,0),MAX(MIN(DV$20,'01_Input'!$W$59)-'01_Input'!$V$59,0)*'01_Input'!$Y$59))+IF('01_Input'!$AB$59="Forfait",IF(DV$20&gt;='01_Input'!$Z$59,'01_Input'!$AC$59,0),IF('01_Input'!$AB$59="Palier",IF(AND(DV$20&gt;='01_Input'!$Z$59,DV$20&lt;'01_Input'!$AA$59),'01_Input'!$AC$59,0),MAX(MIN(DV$20,'01_Input'!$AA$59)-'01_Input'!$Z$59,0)*'01_Input'!$AC$59)))))))))</f>
        <v>0</v>
      </c>
      <c r="DW27" s="25">
        <f>IF('01_Input'!$C$59="Non",0,MIN('01_Input'!$I$59,MAX('01_Input'!$H$59,IF('01_Input'!$G$59="Résiduel vs Gestion",0,IF('01_Input'!$G$59="Taux Classe sélectionnée",Distrib_Global_Classe_Selectionnee*DW$20,IF('01_Input'!$G$59="Frais KYC (paliers de 100M€)",MAX(0,Nb_Investisseurs-Nb_KYC_Gratuites_Par_Tranche*(FLOOR(DW$20/Taille_Tranche_KYC,1)+1))*Cout_Par_KYC_Supplementaire,(IF('01_Input'!$L$59="Forfait",IF(DW$20&gt;='01_Input'!$J$59,'01_Input'!$M$59,0),IF('01_Input'!$L$59="Palier",IF(AND(DW$20&gt;='01_Input'!$J$59,DW$20&lt;'01_Input'!$K$59),'01_Input'!$M$59,0),MAX(MIN(DW$20,'01_Input'!$K$59)-'01_Input'!$J$59,0)*'01_Input'!$M$59))+IF('01_Input'!$P$59="Forfait",IF(DW$20&gt;='01_Input'!$N$59,'01_Input'!$Q$59,0),IF('01_Input'!$P$59="Palier",IF(AND(DW$20&gt;='01_Input'!$N$59,DW$20&lt;'01_Input'!$O$59),'01_Input'!$Q$59,0),MAX(MIN(DW$20,'01_Input'!$O$59)-'01_Input'!$N$59,0)*'01_Input'!$Q$59))+IF('01_Input'!$T$59="Forfait",IF(DW$20&gt;='01_Input'!$R$59,'01_Input'!$U$59,0),IF('01_Input'!$T$59="Palier",IF(AND(DW$20&gt;='01_Input'!$R$59,DW$20&lt;'01_Input'!$S$59),'01_Input'!$U$59,0),MAX(MIN(DW$20,'01_Input'!$S$59)-'01_Input'!$R$59,0)*'01_Input'!$U$59))+IF('01_Input'!$X$59="Forfait",IF(DW$20&gt;='01_Input'!$V$59,'01_Input'!$Y$59,0),IF('01_Input'!$X$59="Palier",IF(AND(DW$20&gt;='01_Input'!$V$59,DW$20&lt;'01_Input'!$W$59),'01_Input'!$Y$59,0),MAX(MIN(DW$20,'01_Input'!$W$59)-'01_Input'!$V$59,0)*'01_Input'!$Y$59))+IF('01_Input'!$AB$59="Forfait",IF(DW$20&gt;='01_Input'!$Z$59,'01_Input'!$AC$59,0),IF('01_Input'!$AB$59="Palier",IF(AND(DW$20&gt;='01_Input'!$Z$59,DW$20&lt;'01_Input'!$AA$59),'01_Input'!$AC$59,0),MAX(MIN(DW$20,'01_Input'!$AA$59)-'01_Input'!$Z$59,0)*'01_Input'!$AC$59)))))))))</f>
        <v>0</v>
      </c>
      <c r="DX27" s="25">
        <f>IF('01_Input'!$C$59="Non",0,MIN('01_Input'!$I$59,MAX('01_Input'!$H$59,IF('01_Input'!$G$59="Résiduel vs Gestion",0,IF('01_Input'!$G$59="Taux Classe sélectionnée",Distrib_Global_Classe_Selectionnee*DX$20,IF('01_Input'!$G$59="Frais KYC (paliers de 100M€)",MAX(0,Nb_Investisseurs-Nb_KYC_Gratuites_Par_Tranche*(FLOOR(DX$20/Taille_Tranche_KYC,1)+1))*Cout_Par_KYC_Supplementaire,(IF('01_Input'!$L$59="Forfait",IF(DX$20&gt;='01_Input'!$J$59,'01_Input'!$M$59,0),IF('01_Input'!$L$59="Palier",IF(AND(DX$20&gt;='01_Input'!$J$59,DX$20&lt;'01_Input'!$K$59),'01_Input'!$M$59,0),MAX(MIN(DX$20,'01_Input'!$K$59)-'01_Input'!$J$59,0)*'01_Input'!$M$59))+IF('01_Input'!$P$59="Forfait",IF(DX$20&gt;='01_Input'!$N$59,'01_Input'!$Q$59,0),IF('01_Input'!$P$59="Palier",IF(AND(DX$20&gt;='01_Input'!$N$59,DX$20&lt;'01_Input'!$O$59),'01_Input'!$Q$59,0),MAX(MIN(DX$20,'01_Input'!$O$59)-'01_Input'!$N$59,0)*'01_Input'!$Q$59))+IF('01_Input'!$T$59="Forfait",IF(DX$20&gt;='01_Input'!$R$59,'01_Input'!$U$59,0),IF('01_Input'!$T$59="Palier",IF(AND(DX$20&gt;='01_Input'!$R$59,DX$20&lt;'01_Input'!$S$59),'01_Input'!$U$59,0),MAX(MIN(DX$20,'01_Input'!$S$59)-'01_Input'!$R$59,0)*'01_Input'!$U$59))+IF('01_Input'!$X$59="Forfait",IF(DX$20&gt;='01_Input'!$V$59,'01_Input'!$Y$59,0),IF('01_Input'!$X$59="Palier",IF(AND(DX$20&gt;='01_Input'!$V$59,DX$20&lt;'01_Input'!$W$59),'01_Input'!$Y$59,0),MAX(MIN(DX$20,'01_Input'!$W$59)-'01_Input'!$V$59,0)*'01_Input'!$Y$59))+IF('01_Input'!$AB$59="Forfait",IF(DX$20&gt;='01_Input'!$Z$59,'01_Input'!$AC$59,0),IF('01_Input'!$AB$59="Palier",IF(AND(DX$20&gt;='01_Input'!$Z$59,DX$20&lt;'01_Input'!$AA$59),'01_Input'!$AC$59,0),MAX(MIN(DX$20,'01_Input'!$AA$59)-'01_Input'!$Z$59,0)*'01_Input'!$AC$59)))))))))</f>
        <v>0</v>
      </c>
      <c r="DY27" s="25">
        <f>IF('01_Input'!$C$59="Non",0,MIN('01_Input'!$I$59,MAX('01_Input'!$H$59,IF('01_Input'!$G$59="Résiduel vs Gestion",0,IF('01_Input'!$G$59="Taux Classe sélectionnée",Distrib_Global_Classe_Selectionnee*DY$20,IF('01_Input'!$G$59="Frais KYC (paliers de 100M€)",MAX(0,Nb_Investisseurs-Nb_KYC_Gratuites_Par_Tranche*(FLOOR(DY$20/Taille_Tranche_KYC,1)+1))*Cout_Par_KYC_Supplementaire,(IF('01_Input'!$L$59="Forfait",IF(DY$20&gt;='01_Input'!$J$59,'01_Input'!$M$59,0),IF('01_Input'!$L$59="Palier",IF(AND(DY$20&gt;='01_Input'!$J$59,DY$20&lt;'01_Input'!$K$59),'01_Input'!$M$59,0),MAX(MIN(DY$20,'01_Input'!$K$59)-'01_Input'!$J$59,0)*'01_Input'!$M$59))+IF('01_Input'!$P$59="Forfait",IF(DY$20&gt;='01_Input'!$N$59,'01_Input'!$Q$59,0),IF('01_Input'!$P$59="Palier",IF(AND(DY$20&gt;='01_Input'!$N$59,DY$20&lt;'01_Input'!$O$59),'01_Input'!$Q$59,0),MAX(MIN(DY$20,'01_Input'!$O$59)-'01_Input'!$N$59,0)*'01_Input'!$Q$59))+IF('01_Input'!$T$59="Forfait",IF(DY$20&gt;='01_Input'!$R$59,'01_Input'!$U$59,0),IF('01_Input'!$T$59="Palier",IF(AND(DY$20&gt;='01_Input'!$R$59,DY$20&lt;'01_Input'!$S$59),'01_Input'!$U$59,0),MAX(MIN(DY$20,'01_Input'!$S$59)-'01_Input'!$R$59,0)*'01_Input'!$U$59))+IF('01_Input'!$X$59="Forfait",IF(DY$20&gt;='01_Input'!$V$59,'01_Input'!$Y$59,0),IF('01_Input'!$X$59="Palier",IF(AND(DY$20&gt;='01_Input'!$V$59,DY$20&lt;'01_Input'!$W$59),'01_Input'!$Y$59,0),MAX(MIN(DY$20,'01_Input'!$W$59)-'01_Input'!$V$59,0)*'01_Input'!$Y$59))+IF('01_Input'!$AB$59="Forfait",IF(DY$20&gt;='01_Input'!$Z$59,'01_Input'!$AC$59,0),IF('01_Input'!$AB$59="Palier",IF(AND(DY$20&gt;='01_Input'!$Z$59,DY$20&lt;'01_Input'!$AA$59),'01_Input'!$AC$59,0),MAX(MIN(DY$20,'01_Input'!$AA$59)-'01_Input'!$Z$59,0)*'01_Input'!$AC$59)))))))))</f>
        <v>0</v>
      </c>
      <c r="DZ27" s="25">
        <f>IF('01_Input'!$C$59="Non",0,MIN('01_Input'!$I$59,MAX('01_Input'!$H$59,IF('01_Input'!$G$59="Résiduel vs Gestion",0,IF('01_Input'!$G$59="Taux Classe sélectionnée",Distrib_Global_Classe_Selectionnee*DZ$20,IF('01_Input'!$G$59="Frais KYC (paliers de 100M€)",MAX(0,Nb_Investisseurs-Nb_KYC_Gratuites_Par_Tranche*(FLOOR(DZ$20/Taille_Tranche_KYC,1)+1))*Cout_Par_KYC_Supplementaire,(IF('01_Input'!$L$59="Forfait",IF(DZ$20&gt;='01_Input'!$J$59,'01_Input'!$M$59,0),IF('01_Input'!$L$59="Palier",IF(AND(DZ$20&gt;='01_Input'!$J$59,DZ$20&lt;'01_Input'!$K$59),'01_Input'!$M$59,0),MAX(MIN(DZ$20,'01_Input'!$K$59)-'01_Input'!$J$59,0)*'01_Input'!$M$59))+IF('01_Input'!$P$59="Forfait",IF(DZ$20&gt;='01_Input'!$N$59,'01_Input'!$Q$59,0),IF('01_Input'!$P$59="Palier",IF(AND(DZ$20&gt;='01_Input'!$N$59,DZ$20&lt;'01_Input'!$O$59),'01_Input'!$Q$59,0),MAX(MIN(DZ$20,'01_Input'!$O$59)-'01_Input'!$N$59,0)*'01_Input'!$Q$59))+IF('01_Input'!$T$59="Forfait",IF(DZ$20&gt;='01_Input'!$R$59,'01_Input'!$U$59,0),IF('01_Input'!$T$59="Palier",IF(AND(DZ$20&gt;='01_Input'!$R$59,DZ$20&lt;'01_Input'!$S$59),'01_Input'!$U$59,0),MAX(MIN(DZ$20,'01_Input'!$S$59)-'01_Input'!$R$59,0)*'01_Input'!$U$59))+IF('01_Input'!$X$59="Forfait",IF(DZ$20&gt;='01_Input'!$V$59,'01_Input'!$Y$59,0),IF('01_Input'!$X$59="Palier",IF(AND(DZ$20&gt;='01_Input'!$V$59,DZ$20&lt;'01_Input'!$W$59),'01_Input'!$Y$59,0),MAX(MIN(DZ$20,'01_Input'!$W$59)-'01_Input'!$V$59,0)*'01_Input'!$Y$59))+IF('01_Input'!$AB$59="Forfait",IF(DZ$20&gt;='01_Input'!$Z$59,'01_Input'!$AC$59,0),IF('01_Input'!$AB$59="Palier",IF(AND(DZ$20&gt;='01_Input'!$Z$59,DZ$20&lt;'01_Input'!$AA$59),'01_Input'!$AC$59,0),MAX(MIN(DZ$20,'01_Input'!$AA$59)-'01_Input'!$Z$59,0)*'01_Input'!$AC$59)))))))))</f>
        <v>0</v>
      </c>
      <c r="EA27" s="25">
        <f>IF('01_Input'!$C$59="Non",0,MIN('01_Input'!$I$59,MAX('01_Input'!$H$59,IF('01_Input'!$G$59="Résiduel vs Gestion",0,IF('01_Input'!$G$59="Taux Classe sélectionnée",Distrib_Global_Classe_Selectionnee*EA$20,IF('01_Input'!$G$59="Frais KYC (paliers de 100M€)",MAX(0,Nb_Investisseurs-Nb_KYC_Gratuites_Par_Tranche*(FLOOR(EA$20/Taille_Tranche_KYC,1)+1))*Cout_Par_KYC_Supplementaire,(IF('01_Input'!$L$59="Forfait",IF(EA$20&gt;='01_Input'!$J$59,'01_Input'!$M$59,0),IF('01_Input'!$L$59="Palier",IF(AND(EA$20&gt;='01_Input'!$J$59,EA$20&lt;'01_Input'!$K$59),'01_Input'!$M$59,0),MAX(MIN(EA$20,'01_Input'!$K$59)-'01_Input'!$J$59,0)*'01_Input'!$M$59))+IF('01_Input'!$P$59="Forfait",IF(EA$20&gt;='01_Input'!$N$59,'01_Input'!$Q$59,0),IF('01_Input'!$P$59="Palier",IF(AND(EA$20&gt;='01_Input'!$N$59,EA$20&lt;'01_Input'!$O$59),'01_Input'!$Q$59,0),MAX(MIN(EA$20,'01_Input'!$O$59)-'01_Input'!$N$59,0)*'01_Input'!$Q$59))+IF('01_Input'!$T$59="Forfait",IF(EA$20&gt;='01_Input'!$R$59,'01_Input'!$U$59,0),IF('01_Input'!$T$59="Palier",IF(AND(EA$20&gt;='01_Input'!$R$59,EA$20&lt;'01_Input'!$S$59),'01_Input'!$U$59,0),MAX(MIN(EA$20,'01_Input'!$S$59)-'01_Input'!$R$59,0)*'01_Input'!$U$59))+IF('01_Input'!$X$59="Forfait",IF(EA$20&gt;='01_Input'!$V$59,'01_Input'!$Y$59,0),IF('01_Input'!$X$59="Palier",IF(AND(EA$20&gt;='01_Input'!$V$59,EA$20&lt;'01_Input'!$W$59),'01_Input'!$Y$59,0),MAX(MIN(EA$20,'01_Input'!$W$59)-'01_Input'!$V$59,0)*'01_Input'!$Y$59))+IF('01_Input'!$AB$59="Forfait",IF(EA$20&gt;='01_Input'!$Z$59,'01_Input'!$AC$59,0),IF('01_Input'!$AB$59="Palier",IF(AND(EA$20&gt;='01_Input'!$Z$59,EA$20&lt;'01_Input'!$AA$59),'01_Input'!$AC$59,0),MAX(MIN(EA$20,'01_Input'!$AA$59)-'01_Input'!$Z$59,0)*'01_Input'!$AC$59)))))))))</f>
        <v>0</v>
      </c>
      <c r="EB27" s="25">
        <f>IF('01_Input'!$C$59="Non",0,MIN('01_Input'!$I$59,MAX('01_Input'!$H$59,IF('01_Input'!$G$59="Résiduel vs Gestion",0,IF('01_Input'!$G$59="Taux Classe sélectionnée",Distrib_Global_Classe_Selectionnee*EB$20,IF('01_Input'!$G$59="Frais KYC (paliers de 100M€)",MAX(0,Nb_Investisseurs-Nb_KYC_Gratuites_Par_Tranche*(FLOOR(EB$20/Taille_Tranche_KYC,1)+1))*Cout_Par_KYC_Supplementaire,(IF('01_Input'!$L$59="Forfait",IF(EB$20&gt;='01_Input'!$J$59,'01_Input'!$M$59,0),IF('01_Input'!$L$59="Palier",IF(AND(EB$20&gt;='01_Input'!$J$59,EB$20&lt;'01_Input'!$K$59),'01_Input'!$M$59,0),MAX(MIN(EB$20,'01_Input'!$K$59)-'01_Input'!$J$59,0)*'01_Input'!$M$59))+IF('01_Input'!$P$59="Forfait",IF(EB$20&gt;='01_Input'!$N$59,'01_Input'!$Q$59,0),IF('01_Input'!$P$59="Palier",IF(AND(EB$20&gt;='01_Input'!$N$59,EB$20&lt;'01_Input'!$O$59),'01_Input'!$Q$59,0),MAX(MIN(EB$20,'01_Input'!$O$59)-'01_Input'!$N$59,0)*'01_Input'!$Q$59))+IF('01_Input'!$T$59="Forfait",IF(EB$20&gt;='01_Input'!$R$59,'01_Input'!$U$59,0),IF('01_Input'!$T$59="Palier",IF(AND(EB$20&gt;='01_Input'!$R$59,EB$20&lt;'01_Input'!$S$59),'01_Input'!$U$59,0),MAX(MIN(EB$20,'01_Input'!$S$59)-'01_Input'!$R$59,0)*'01_Input'!$U$59))+IF('01_Input'!$X$59="Forfait",IF(EB$20&gt;='01_Input'!$V$59,'01_Input'!$Y$59,0),IF('01_Input'!$X$59="Palier",IF(AND(EB$20&gt;='01_Input'!$V$59,EB$20&lt;'01_Input'!$W$59),'01_Input'!$Y$59,0),MAX(MIN(EB$20,'01_Input'!$W$59)-'01_Input'!$V$59,0)*'01_Input'!$Y$59))+IF('01_Input'!$AB$59="Forfait",IF(EB$20&gt;='01_Input'!$Z$59,'01_Input'!$AC$59,0),IF('01_Input'!$AB$59="Palier",IF(AND(EB$20&gt;='01_Input'!$Z$59,EB$20&lt;'01_Input'!$AA$59),'01_Input'!$AC$59,0),MAX(MIN(EB$20,'01_Input'!$AA$59)-'01_Input'!$Z$59,0)*'01_Input'!$AC$59)))))))))</f>
        <v>0</v>
      </c>
      <c r="EC27" s="25">
        <f>IF('01_Input'!$C$59="Non",0,MIN('01_Input'!$I$59,MAX('01_Input'!$H$59,IF('01_Input'!$G$59="Résiduel vs Gestion",0,IF('01_Input'!$G$59="Taux Classe sélectionnée",Distrib_Global_Classe_Selectionnee*EC$20,IF('01_Input'!$G$59="Frais KYC (paliers de 100M€)",MAX(0,Nb_Investisseurs-Nb_KYC_Gratuites_Par_Tranche*(FLOOR(EC$20/Taille_Tranche_KYC,1)+1))*Cout_Par_KYC_Supplementaire,(IF('01_Input'!$L$59="Forfait",IF(EC$20&gt;='01_Input'!$J$59,'01_Input'!$M$59,0),IF('01_Input'!$L$59="Palier",IF(AND(EC$20&gt;='01_Input'!$J$59,EC$20&lt;'01_Input'!$K$59),'01_Input'!$M$59,0),MAX(MIN(EC$20,'01_Input'!$K$59)-'01_Input'!$J$59,0)*'01_Input'!$M$59))+IF('01_Input'!$P$59="Forfait",IF(EC$20&gt;='01_Input'!$N$59,'01_Input'!$Q$59,0),IF('01_Input'!$P$59="Palier",IF(AND(EC$20&gt;='01_Input'!$N$59,EC$20&lt;'01_Input'!$O$59),'01_Input'!$Q$59,0),MAX(MIN(EC$20,'01_Input'!$O$59)-'01_Input'!$N$59,0)*'01_Input'!$Q$59))+IF('01_Input'!$T$59="Forfait",IF(EC$20&gt;='01_Input'!$R$59,'01_Input'!$U$59,0),IF('01_Input'!$T$59="Palier",IF(AND(EC$20&gt;='01_Input'!$R$59,EC$20&lt;'01_Input'!$S$59),'01_Input'!$U$59,0),MAX(MIN(EC$20,'01_Input'!$S$59)-'01_Input'!$R$59,0)*'01_Input'!$U$59))+IF('01_Input'!$X$59="Forfait",IF(EC$20&gt;='01_Input'!$V$59,'01_Input'!$Y$59,0),IF('01_Input'!$X$59="Palier",IF(AND(EC$20&gt;='01_Input'!$V$59,EC$20&lt;'01_Input'!$W$59),'01_Input'!$Y$59,0),MAX(MIN(EC$20,'01_Input'!$W$59)-'01_Input'!$V$59,0)*'01_Input'!$Y$59))+IF('01_Input'!$AB$59="Forfait",IF(EC$20&gt;='01_Input'!$Z$59,'01_Input'!$AC$59,0),IF('01_Input'!$AB$59="Palier",IF(AND(EC$20&gt;='01_Input'!$Z$59,EC$20&lt;'01_Input'!$AA$59),'01_Input'!$AC$59,0),MAX(MIN(EC$20,'01_Input'!$AA$59)-'01_Input'!$Z$59,0)*'01_Input'!$AC$59)))))))))</f>
        <v>0</v>
      </c>
      <c r="ED27" s="25">
        <f>IF('01_Input'!$C$59="Non",0,MIN('01_Input'!$I$59,MAX('01_Input'!$H$59,IF('01_Input'!$G$59="Résiduel vs Gestion",0,IF('01_Input'!$G$59="Taux Classe sélectionnée",Distrib_Global_Classe_Selectionnee*ED$20,IF('01_Input'!$G$59="Frais KYC (paliers de 100M€)",MAX(0,Nb_Investisseurs-Nb_KYC_Gratuites_Par_Tranche*(FLOOR(ED$20/Taille_Tranche_KYC,1)+1))*Cout_Par_KYC_Supplementaire,(IF('01_Input'!$L$59="Forfait",IF(ED$20&gt;='01_Input'!$J$59,'01_Input'!$M$59,0),IF('01_Input'!$L$59="Palier",IF(AND(ED$20&gt;='01_Input'!$J$59,ED$20&lt;'01_Input'!$K$59),'01_Input'!$M$59,0),MAX(MIN(ED$20,'01_Input'!$K$59)-'01_Input'!$J$59,0)*'01_Input'!$M$59))+IF('01_Input'!$P$59="Forfait",IF(ED$20&gt;='01_Input'!$N$59,'01_Input'!$Q$59,0),IF('01_Input'!$P$59="Palier",IF(AND(ED$20&gt;='01_Input'!$N$59,ED$20&lt;'01_Input'!$O$59),'01_Input'!$Q$59,0),MAX(MIN(ED$20,'01_Input'!$O$59)-'01_Input'!$N$59,0)*'01_Input'!$Q$59))+IF('01_Input'!$T$59="Forfait",IF(ED$20&gt;='01_Input'!$R$59,'01_Input'!$U$59,0),IF('01_Input'!$T$59="Palier",IF(AND(ED$20&gt;='01_Input'!$R$59,ED$20&lt;'01_Input'!$S$59),'01_Input'!$U$59,0),MAX(MIN(ED$20,'01_Input'!$S$59)-'01_Input'!$R$59,0)*'01_Input'!$U$59))+IF('01_Input'!$X$59="Forfait",IF(ED$20&gt;='01_Input'!$V$59,'01_Input'!$Y$59,0),IF('01_Input'!$X$59="Palier",IF(AND(ED$20&gt;='01_Input'!$V$59,ED$20&lt;'01_Input'!$W$59),'01_Input'!$Y$59,0),MAX(MIN(ED$20,'01_Input'!$W$59)-'01_Input'!$V$59,0)*'01_Input'!$Y$59))+IF('01_Input'!$AB$59="Forfait",IF(ED$20&gt;='01_Input'!$Z$59,'01_Input'!$AC$59,0),IF('01_Input'!$AB$59="Palier",IF(AND(ED$20&gt;='01_Input'!$Z$59,ED$20&lt;'01_Input'!$AA$59),'01_Input'!$AC$59,0),MAX(MIN(ED$20,'01_Input'!$AA$59)-'01_Input'!$Z$59,0)*'01_Input'!$AC$59)))))))))</f>
        <v>0</v>
      </c>
      <c r="EE27" s="25">
        <f>IF('01_Input'!$C$59="Non",0,MIN('01_Input'!$I$59,MAX('01_Input'!$H$59,IF('01_Input'!$G$59="Résiduel vs Gestion",0,IF('01_Input'!$G$59="Taux Classe sélectionnée",Distrib_Global_Classe_Selectionnee*EE$20,IF('01_Input'!$G$59="Frais KYC (paliers de 100M€)",MAX(0,Nb_Investisseurs-Nb_KYC_Gratuites_Par_Tranche*(FLOOR(EE$20/Taille_Tranche_KYC,1)+1))*Cout_Par_KYC_Supplementaire,(IF('01_Input'!$L$59="Forfait",IF(EE$20&gt;='01_Input'!$J$59,'01_Input'!$M$59,0),IF('01_Input'!$L$59="Palier",IF(AND(EE$20&gt;='01_Input'!$J$59,EE$20&lt;'01_Input'!$K$59),'01_Input'!$M$59,0),MAX(MIN(EE$20,'01_Input'!$K$59)-'01_Input'!$J$59,0)*'01_Input'!$M$59))+IF('01_Input'!$P$59="Forfait",IF(EE$20&gt;='01_Input'!$N$59,'01_Input'!$Q$59,0),IF('01_Input'!$P$59="Palier",IF(AND(EE$20&gt;='01_Input'!$N$59,EE$20&lt;'01_Input'!$O$59),'01_Input'!$Q$59,0),MAX(MIN(EE$20,'01_Input'!$O$59)-'01_Input'!$N$59,0)*'01_Input'!$Q$59))+IF('01_Input'!$T$59="Forfait",IF(EE$20&gt;='01_Input'!$R$59,'01_Input'!$U$59,0),IF('01_Input'!$T$59="Palier",IF(AND(EE$20&gt;='01_Input'!$R$59,EE$20&lt;'01_Input'!$S$59),'01_Input'!$U$59,0),MAX(MIN(EE$20,'01_Input'!$S$59)-'01_Input'!$R$59,0)*'01_Input'!$U$59))+IF('01_Input'!$X$59="Forfait",IF(EE$20&gt;='01_Input'!$V$59,'01_Input'!$Y$59,0),IF('01_Input'!$X$59="Palier",IF(AND(EE$20&gt;='01_Input'!$V$59,EE$20&lt;'01_Input'!$W$59),'01_Input'!$Y$59,0),MAX(MIN(EE$20,'01_Input'!$W$59)-'01_Input'!$V$59,0)*'01_Input'!$Y$59))+IF('01_Input'!$AB$59="Forfait",IF(EE$20&gt;='01_Input'!$Z$59,'01_Input'!$AC$59,0),IF('01_Input'!$AB$59="Palier",IF(AND(EE$20&gt;='01_Input'!$Z$59,EE$20&lt;'01_Input'!$AA$59),'01_Input'!$AC$59,0),MAX(MIN(EE$20,'01_Input'!$AA$59)-'01_Input'!$Z$59,0)*'01_Input'!$AC$59)))))))))</f>
        <v>0</v>
      </c>
      <c r="EF27" s="25">
        <f>IF('01_Input'!$C$59="Non",0,MIN('01_Input'!$I$59,MAX('01_Input'!$H$59,IF('01_Input'!$G$59="Résiduel vs Gestion",0,IF('01_Input'!$G$59="Taux Classe sélectionnée",Distrib_Global_Classe_Selectionnee*EF$20,IF('01_Input'!$G$59="Frais KYC (paliers de 100M€)",MAX(0,Nb_Investisseurs-Nb_KYC_Gratuites_Par_Tranche*(FLOOR(EF$20/Taille_Tranche_KYC,1)+1))*Cout_Par_KYC_Supplementaire,(IF('01_Input'!$L$59="Forfait",IF(EF$20&gt;='01_Input'!$J$59,'01_Input'!$M$59,0),IF('01_Input'!$L$59="Palier",IF(AND(EF$20&gt;='01_Input'!$J$59,EF$20&lt;'01_Input'!$K$59),'01_Input'!$M$59,0),MAX(MIN(EF$20,'01_Input'!$K$59)-'01_Input'!$J$59,0)*'01_Input'!$M$59))+IF('01_Input'!$P$59="Forfait",IF(EF$20&gt;='01_Input'!$N$59,'01_Input'!$Q$59,0),IF('01_Input'!$P$59="Palier",IF(AND(EF$20&gt;='01_Input'!$N$59,EF$20&lt;'01_Input'!$O$59),'01_Input'!$Q$59,0),MAX(MIN(EF$20,'01_Input'!$O$59)-'01_Input'!$N$59,0)*'01_Input'!$Q$59))+IF('01_Input'!$T$59="Forfait",IF(EF$20&gt;='01_Input'!$R$59,'01_Input'!$U$59,0),IF('01_Input'!$T$59="Palier",IF(AND(EF$20&gt;='01_Input'!$R$59,EF$20&lt;'01_Input'!$S$59),'01_Input'!$U$59,0),MAX(MIN(EF$20,'01_Input'!$S$59)-'01_Input'!$R$59,0)*'01_Input'!$U$59))+IF('01_Input'!$X$59="Forfait",IF(EF$20&gt;='01_Input'!$V$59,'01_Input'!$Y$59,0),IF('01_Input'!$X$59="Palier",IF(AND(EF$20&gt;='01_Input'!$V$59,EF$20&lt;'01_Input'!$W$59),'01_Input'!$Y$59,0),MAX(MIN(EF$20,'01_Input'!$W$59)-'01_Input'!$V$59,0)*'01_Input'!$Y$59))+IF('01_Input'!$AB$59="Forfait",IF(EF$20&gt;='01_Input'!$Z$59,'01_Input'!$AC$59,0),IF('01_Input'!$AB$59="Palier",IF(AND(EF$20&gt;='01_Input'!$Z$59,EF$20&lt;'01_Input'!$AA$59),'01_Input'!$AC$59,0),MAX(MIN(EF$20,'01_Input'!$AA$59)-'01_Input'!$Z$59,0)*'01_Input'!$AC$59)))))))))</f>
        <v>0</v>
      </c>
      <c r="EG27" s="25">
        <f>IF('01_Input'!$C$59="Non",0,MIN('01_Input'!$I$59,MAX('01_Input'!$H$59,IF('01_Input'!$G$59="Résiduel vs Gestion",0,IF('01_Input'!$G$59="Taux Classe sélectionnée",Distrib_Global_Classe_Selectionnee*EG$20,IF('01_Input'!$G$59="Frais KYC (paliers de 100M€)",MAX(0,Nb_Investisseurs-Nb_KYC_Gratuites_Par_Tranche*(FLOOR(EG$20/Taille_Tranche_KYC,1)+1))*Cout_Par_KYC_Supplementaire,(IF('01_Input'!$L$59="Forfait",IF(EG$20&gt;='01_Input'!$J$59,'01_Input'!$M$59,0),IF('01_Input'!$L$59="Palier",IF(AND(EG$20&gt;='01_Input'!$J$59,EG$20&lt;'01_Input'!$K$59),'01_Input'!$M$59,0),MAX(MIN(EG$20,'01_Input'!$K$59)-'01_Input'!$J$59,0)*'01_Input'!$M$59))+IF('01_Input'!$P$59="Forfait",IF(EG$20&gt;='01_Input'!$N$59,'01_Input'!$Q$59,0),IF('01_Input'!$P$59="Palier",IF(AND(EG$20&gt;='01_Input'!$N$59,EG$20&lt;'01_Input'!$O$59),'01_Input'!$Q$59,0),MAX(MIN(EG$20,'01_Input'!$O$59)-'01_Input'!$N$59,0)*'01_Input'!$Q$59))+IF('01_Input'!$T$59="Forfait",IF(EG$20&gt;='01_Input'!$R$59,'01_Input'!$U$59,0),IF('01_Input'!$T$59="Palier",IF(AND(EG$20&gt;='01_Input'!$R$59,EG$20&lt;'01_Input'!$S$59),'01_Input'!$U$59,0),MAX(MIN(EG$20,'01_Input'!$S$59)-'01_Input'!$R$59,0)*'01_Input'!$U$59))+IF('01_Input'!$X$59="Forfait",IF(EG$20&gt;='01_Input'!$V$59,'01_Input'!$Y$59,0),IF('01_Input'!$X$59="Palier",IF(AND(EG$20&gt;='01_Input'!$V$59,EG$20&lt;'01_Input'!$W$59),'01_Input'!$Y$59,0),MAX(MIN(EG$20,'01_Input'!$W$59)-'01_Input'!$V$59,0)*'01_Input'!$Y$59))+IF('01_Input'!$AB$59="Forfait",IF(EG$20&gt;='01_Input'!$Z$59,'01_Input'!$AC$59,0),IF('01_Input'!$AB$59="Palier",IF(AND(EG$20&gt;='01_Input'!$Z$59,EG$20&lt;'01_Input'!$AA$59),'01_Input'!$AC$59,0),MAX(MIN(EG$20,'01_Input'!$AA$59)-'01_Input'!$Z$59,0)*'01_Input'!$AC$59)))))))))</f>
        <v>0</v>
      </c>
      <c r="EH27" s="25">
        <f>IF('01_Input'!$C$59="Non",0,MIN('01_Input'!$I$59,MAX('01_Input'!$H$59,IF('01_Input'!$G$59="Résiduel vs Gestion",0,IF('01_Input'!$G$59="Taux Classe sélectionnée",Distrib_Global_Classe_Selectionnee*EH$20,IF('01_Input'!$G$59="Frais KYC (paliers de 100M€)",MAX(0,Nb_Investisseurs-Nb_KYC_Gratuites_Par_Tranche*(FLOOR(EH$20/Taille_Tranche_KYC,1)+1))*Cout_Par_KYC_Supplementaire,(IF('01_Input'!$L$59="Forfait",IF(EH$20&gt;='01_Input'!$J$59,'01_Input'!$M$59,0),IF('01_Input'!$L$59="Palier",IF(AND(EH$20&gt;='01_Input'!$J$59,EH$20&lt;'01_Input'!$K$59),'01_Input'!$M$59,0),MAX(MIN(EH$20,'01_Input'!$K$59)-'01_Input'!$J$59,0)*'01_Input'!$M$59))+IF('01_Input'!$P$59="Forfait",IF(EH$20&gt;='01_Input'!$N$59,'01_Input'!$Q$59,0),IF('01_Input'!$P$59="Palier",IF(AND(EH$20&gt;='01_Input'!$N$59,EH$20&lt;'01_Input'!$O$59),'01_Input'!$Q$59,0),MAX(MIN(EH$20,'01_Input'!$O$59)-'01_Input'!$N$59,0)*'01_Input'!$Q$59))+IF('01_Input'!$T$59="Forfait",IF(EH$20&gt;='01_Input'!$R$59,'01_Input'!$U$59,0),IF('01_Input'!$T$59="Palier",IF(AND(EH$20&gt;='01_Input'!$R$59,EH$20&lt;'01_Input'!$S$59),'01_Input'!$U$59,0),MAX(MIN(EH$20,'01_Input'!$S$59)-'01_Input'!$R$59,0)*'01_Input'!$U$59))+IF('01_Input'!$X$59="Forfait",IF(EH$20&gt;='01_Input'!$V$59,'01_Input'!$Y$59,0),IF('01_Input'!$X$59="Palier",IF(AND(EH$20&gt;='01_Input'!$V$59,EH$20&lt;'01_Input'!$W$59),'01_Input'!$Y$59,0),MAX(MIN(EH$20,'01_Input'!$W$59)-'01_Input'!$V$59,0)*'01_Input'!$Y$59))+IF('01_Input'!$AB$59="Forfait",IF(EH$20&gt;='01_Input'!$Z$59,'01_Input'!$AC$59,0),IF('01_Input'!$AB$59="Palier",IF(AND(EH$20&gt;='01_Input'!$Z$59,EH$20&lt;'01_Input'!$AA$59),'01_Input'!$AC$59,0),MAX(MIN(EH$20,'01_Input'!$AA$59)-'01_Input'!$Z$59,0)*'01_Input'!$AC$59)))))))))</f>
        <v>0</v>
      </c>
      <c r="EI27" s="25">
        <f>IF('01_Input'!$C$59="Non",0,MIN('01_Input'!$I$59,MAX('01_Input'!$H$59,IF('01_Input'!$G$59="Résiduel vs Gestion",0,IF('01_Input'!$G$59="Taux Classe sélectionnée",Distrib_Global_Classe_Selectionnee*EI$20,IF('01_Input'!$G$59="Frais KYC (paliers de 100M€)",MAX(0,Nb_Investisseurs-Nb_KYC_Gratuites_Par_Tranche*(FLOOR(EI$20/Taille_Tranche_KYC,1)+1))*Cout_Par_KYC_Supplementaire,(IF('01_Input'!$L$59="Forfait",IF(EI$20&gt;='01_Input'!$J$59,'01_Input'!$M$59,0),IF('01_Input'!$L$59="Palier",IF(AND(EI$20&gt;='01_Input'!$J$59,EI$20&lt;'01_Input'!$K$59),'01_Input'!$M$59,0),MAX(MIN(EI$20,'01_Input'!$K$59)-'01_Input'!$J$59,0)*'01_Input'!$M$59))+IF('01_Input'!$P$59="Forfait",IF(EI$20&gt;='01_Input'!$N$59,'01_Input'!$Q$59,0),IF('01_Input'!$P$59="Palier",IF(AND(EI$20&gt;='01_Input'!$N$59,EI$20&lt;'01_Input'!$O$59),'01_Input'!$Q$59,0),MAX(MIN(EI$20,'01_Input'!$O$59)-'01_Input'!$N$59,0)*'01_Input'!$Q$59))+IF('01_Input'!$T$59="Forfait",IF(EI$20&gt;='01_Input'!$R$59,'01_Input'!$U$59,0),IF('01_Input'!$T$59="Palier",IF(AND(EI$20&gt;='01_Input'!$R$59,EI$20&lt;'01_Input'!$S$59),'01_Input'!$U$59,0),MAX(MIN(EI$20,'01_Input'!$S$59)-'01_Input'!$R$59,0)*'01_Input'!$U$59))+IF('01_Input'!$X$59="Forfait",IF(EI$20&gt;='01_Input'!$V$59,'01_Input'!$Y$59,0),IF('01_Input'!$X$59="Palier",IF(AND(EI$20&gt;='01_Input'!$V$59,EI$20&lt;'01_Input'!$W$59),'01_Input'!$Y$59,0),MAX(MIN(EI$20,'01_Input'!$W$59)-'01_Input'!$V$59,0)*'01_Input'!$Y$59))+IF('01_Input'!$AB$59="Forfait",IF(EI$20&gt;='01_Input'!$Z$59,'01_Input'!$AC$59,0),IF('01_Input'!$AB$59="Palier",IF(AND(EI$20&gt;='01_Input'!$Z$59,EI$20&lt;'01_Input'!$AA$59),'01_Input'!$AC$59,0),MAX(MIN(EI$20,'01_Input'!$AA$59)-'01_Input'!$Z$59,0)*'01_Input'!$AC$59)))))))))</f>
        <v>0</v>
      </c>
      <c r="EJ27" s="25">
        <f>IF('01_Input'!$C$59="Non",0,MIN('01_Input'!$I$59,MAX('01_Input'!$H$59,IF('01_Input'!$G$59="Résiduel vs Gestion",0,IF('01_Input'!$G$59="Taux Classe sélectionnée",Distrib_Global_Classe_Selectionnee*EJ$20,IF('01_Input'!$G$59="Frais KYC (paliers de 100M€)",MAX(0,Nb_Investisseurs-Nb_KYC_Gratuites_Par_Tranche*(FLOOR(EJ$20/Taille_Tranche_KYC,1)+1))*Cout_Par_KYC_Supplementaire,(IF('01_Input'!$L$59="Forfait",IF(EJ$20&gt;='01_Input'!$J$59,'01_Input'!$M$59,0),IF('01_Input'!$L$59="Palier",IF(AND(EJ$20&gt;='01_Input'!$J$59,EJ$20&lt;'01_Input'!$K$59),'01_Input'!$M$59,0),MAX(MIN(EJ$20,'01_Input'!$K$59)-'01_Input'!$J$59,0)*'01_Input'!$M$59))+IF('01_Input'!$P$59="Forfait",IF(EJ$20&gt;='01_Input'!$N$59,'01_Input'!$Q$59,0),IF('01_Input'!$P$59="Palier",IF(AND(EJ$20&gt;='01_Input'!$N$59,EJ$20&lt;'01_Input'!$O$59),'01_Input'!$Q$59,0),MAX(MIN(EJ$20,'01_Input'!$O$59)-'01_Input'!$N$59,0)*'01_Input'!$Q$59))+IF('01_Input'!$T$59="Forfait",IF(EJ$20&gt;='01_Input'!$R$59,'01_Input'!$U$59,0),IF('01_Input'!$T$59="Palier",IF(AND(EJ$20&gt;='01_Input'!$R$59,EJ$20&lt;'01_Input'!$S$59),'01_Input'!$U$59,0),MAX(MIN(EJ$20,'01_Input'!$S$59)-'01_Input'!$R$59,0)*'01_Input'!$U$59))+IF('01_Input'!$X$59="Forfait",IF(EJ$20&gt;='01_Input'!$V$59,'01_Input'!$Y$59,0),IF('01_Input'!$X$59="Palier",IF(AND(EJ$20&gt;='01_Input'!$V$59,EJ$20&lt;'01_Input'!$W$59),'01_Input'!$Y$59,0),MAX(MIN(EJ$20,'01_Input'!$W$59)-'01_Input'!$V$59,0)*'01_Input'!$Y$59))+IF('01_Input'!$AB$59="Forfait",IF(EJ$20&gt;='01_Input'!$Z$59,'01_Input'!$AC$59,0),IF('01_Input'!$AB$59="Palier",IF(AND(EJ$20&gt;='01_Input'!$Z$59,EJ$20&lt;'01_Input'!$AA$59),'01_Input'!$AC$59,0),MAX(MIN(EJ$20,'01_Input'!$AA$59)-'01_Input'!$Z$59,0)*'01_Input'!$AC$59)))))))))</f>
        <v>0</v>
      </c>
      <c r="EK27" s="25">
        <f>IF('01_Input'!$C$59="Non",0,MIN('01_Input'!$I$59,MAX('01_Input'!$H$59,IF('01_Input'!$G$59="Résiduel vs Gestion",0,IF('01_Input'!$G$59="Taux Classe sélectionnée",Distrib_Global_Classe_Selectionnee*EK$20,IF('01_Input'!$G$59="Frais KYC (paliers de 100M€)",MAX(0,Nb_Investisseurs-Nb_KYC_Gratuites_Par_Tranche*(FLOOR(EK$20/Taille_Tranche_KYC,1)+1))*Cout_Par_KYC_Supplementaire,(IF('01_Input'!$L$59="Forfait",IF(EK$20&gt;='01_Input'!$J$59,'01_Input'!$M$59,0),IF('01_Input'!$L$59="Palier",IF(AND(EK$20&gt;='01_Input'!$J$59,EK$20&lt;'01_Input'!$K$59),'01_Input'!$M$59,0),MAX(MIN(EK$20,'01_Input'!$K$59)-'01_Input'!$J$59,0)*'01_Input'!$M$59))+IF('01_Input'!$P$59="Forfait",IF(EK$20&gt;='01_Input'!$N$59,'01_Input'!$Q$59,0),IF('01_Input'!$P$59="Palier",IF(AND(EK$20&gt;='01_Input'!$N$59,EK$20&lt;'01_Input'!$O$59),'01_Input'!$Q$59,0),MAX(MIN(EK$20,'01_Input'!$O$59)-'01_Input'!$N$59,0)*'01_Input'!$Q$59))+IF('01_Input'!$T$59="Forfait",IF(EK$20&gt;='01_Input'!$R$59,'01_Input'!$U$59,0),IF('01_Input'!$T$59="Palier",IF(AND(EK$20&gt;='01_Input'!$R$59,EK$20&lt;'01_Input'!$S$59),'01_Input'!$U$59,0),MAX(MIN(EK$20,'01_Input'!$S$59)-'01_Input'!$R$59,0)*'01_Input'!$U$59))+IF('01_Input'!$X$59="Forfait",IF(EK$20&gt;='01_Input'!$V$59,'01_Input'!$Y$59,0),IF('01_Input'!$X$59="Palier",IF(AND(EK$20&gt;='01_Input'!$V$59,EK$20&lt;'01_Input'!$W$59),'01_Input'!$Y$59,0),MAX(MIN(EK$20,'01_Input'!$W$59)-'01_Input'!$V$59,0)*'01_Input'!$Y$59))+IF('01_Input'!$AB$59="Forfait",IF(EK$20&gt;='01_Input'!$Z$59,'01_Input'!$AC$59,0),IF('01_Input'!$AB$59="Palier",IF(AND(EK$20&gt;='01_Input'!$Z$59,EK$20&lt;'01_Input'!$AA$59),'01_Input'!$AC$59,0),MAX(MIN(EK$20,'01_Input'!$AA$59)-'01_Input'!$Z$59,0)*'01_Input'!$AC$59)))))))))</f>
        <v>0</v>
      </c>
      <c r="EL27" s="25">
        <f>IF('01_Input'!$C$59="Non",0,MIN('01_Input'!$I$59,MAX('01_Input'!$H$59,IF('01_Input'!$G$59="Résiduel vs Gestion",0,IF('01_Input'!$G$59="Taux Classe sélectionnée",Distrib_Global_Classe_Selectionnee*EL$20,IF('01_Input'!$G$59="Frais KYC (paliers de 100M€)",MAX(0,Nb_Investisseurs-Nb_KYC_Gratuites_Par_Tranche*(FLOOR(EL$20/Taille_Tranche_KYC,1)+1))*Cout_Par_KYC_Supplementaire,(IF('01_Input'!$L$59="Forfait",IF(EL$20&gt;='01_Input'!$J$59,'01_Input'!$M$59,0),IF('01_Input'!$L$59="Palier",IF(AND(EL$20&gt;='01_Input'!$J$59,EL$20&lt;'01_Input'!$K$59),'01_Input'!$M$59,0),MAX(MIN(EL$20,'01_Input'!$K$59)-'01_Input'!$J$59,0)*'01_Input'!$M$59))+IF('01_Input'!$P$59="Forfait",IF(EL$20&gt;='01_Input'!$N$59,'01_Input'!$Q$59,0),IF('01_Input'!$P$59="Palier",IF(AND(EL$20&gt;='01_Input'!$N$59,EL$20&lt;'01_Input'!$O$59),'01_Input'!$Q$59,0),MAX(MIN(EL$20,'01_Input'!$O$59)-'01_Input'!$N$59,0)*'01_Input'!$Q$59))+IF('01_Input'!$T$59="Forfait",IF(EL$20&gt;='01_Input'!$R$59,'01_Input'!$U$59,0),IF('01_Input'!$T$59="Palier",IF(AND(EL$20&gt;='01_Input'!$R$59,EL$20&lt;'01_Input'!$S$59),'01_Input'!$U$59,0),MAX(MIN(EL$20,'01_Input'!$S$59)-'01_Input'!$R$59,0)*'01_Input'!$U$59))+IF('01_Input'!$X$59="Forfait",IF(EL$20&gt;='01_Input'!$V$59,'01_Input'!$Y$59,0),IF('01_Input'!$X$59="Palier",IF(AND(EL$20&gt;='01_Input'!$V$59,EL$20&lt;'01_Input'!$W$59),'01_Input'!$Y$59,0),MAX(MIN(EL$20,'01_Input'!$W$59)-'01_Input'!$V$59,0)*'01_Input'!$Y$59))+IF('01_Input'!$AB$59="Forfait",IF(EL$20&gt;='01_Input'!$Z$59,'01_Input'!$AC$59,0),IF('01_Input'!$AB$59="Palier",IF(AND(EL$20&gt;='01_Input'!$Z$59,EL$20&lt;'01_Input'!$AA$59),'01_Input'!$AC$59,0),MAX(MIN(EL$20,'01_Input'!$AA$59)-'01_Input'!$Z$59,0)*'01_Input'!$AC$59)))))))))</f>
        <v>0</v>
      </c>
      <c r="EM27" s="25">
        <f>IF('01_Input'!$C$59="Non",0,MIN('01_Input'!$I$59,MAX('01_Input'!$H$59,IF('01_Input'!$G$59="Résiduel vs Gestion",0,IF('01_Input'!$G$59="Taux Classe sélectionnée",Distrib_Global_Classe_Selectionnee*EM$20,IF('01_Input'!$G$59="Frais KYC (paliers de 100M€)",MAX(0,Nb_Investisseurs-Nb_KYC_Gratuites_Par_Tranche*(FLOOR(EM$20/Taille_Tranche_KYC,1)+1))*Cout_Par_KYC_Supplementaire,(IF('01_Input'!$L$59="Forfait",IF(EM$20&gt;='01_Input'!$J$59,'01_Input'!$M$59,0),IF('01_Input'!$L$59="Palier",IF(AND(EM$20&gt;='01_Input'!$J$59,EM$20&lt;'01_Input'!$K$59),'01_Input'!$M$59,0),MAX(MIN(EM$20,'01_Input'!$K$59)-'01_Input'!$J$59,0)*'01_Input'!$M$59))+IF('01_Input'!$P$59="Forfait",IF(EM$20&gt;='01_Input'!$N$59,'01_Input'!$Q$59,0),IF('01_Input'!$P$59="Palier",IF(AND(EM$20&gt;='01_Input'!$N$59,EM$20&lt;'01_Input'!$O$59),'01_Input'!$Q$59,0),MAX(MIN(EM$20,'01_Input'!$O$59)-'01_Input'!$N$59,0)*'01_Input'!$Q$59))+IF('01_Input'!$T$59="Forfait",IF(EM$20&gt;='01_Input'!$R$59,'01_Input'!$U$59,0),IF('01_Input'!$T$59="Palier",IF(AND(EM$20&gt;='01_Input'!$R$59,EM$20&lt;'01_Input'!$S$59),'01_Input'!$U$59,0),MAX(MIN(EM$20,'01_Input'!$S$59)-'01_Input'!$R$59,0)*'01_Input'!$U$59))+IF('01_Input'!$X$59="Forfait",IF(EM$20&gt;='01_Input'!$V$59,'01_Input'!$Y$59,0),IF('01_Input'!$X$59="Palier",IF(AND(EM$20&gt;='01_Input'!$V$59,EM$20&lt;'01_Input'!$W$59),'01_Input'!$Y$59,0),MAX(MIN(EM$20,'01_Input'!$W$59)-'01_Input'!$V$59,0)*'01_Input'!$Y$59))+IF('01_Input'!$AB$59="Forfait",IF(EM$20&gt;='01_Input'!$Z$59,'01_Input'!$AC$59,0),IF('01_Input'!$AB$59="Palier",IF(AND(EM$20&gt;='01_Input'!$Z$59,EM$20&lt;'01_Input'!$AA$59),'01_Input'!$AC$59,0),MAX(MIN(EM$20,'01_Input'!$AA$59)-'01_Input'!$Z$59,0)*'01_Input'!$AC$59)))))))))</f>
        <v>0</v>
      </c>
      <c r="EN27" s="25">
        <f>IF('01_Input'!$C$59="Non",0,MIN('01_Input'!$I$59,MAX('01_Input'!$H$59,IF('01_Input'!$G$59="Résiduel vs Gestion",0,IF('01_Input'!$G$59="Taux Classe sélectionnée",Distrib_Global_Classe_Selectionnee*EN$20,IF('01_Input'!$G$59="Frais KYC (paliers de 100M€)",MAX(0,Nb_Investisseurs-Nb_KYC_Gratuites_Par_Tranche*(FLOOR(EN$20/Taille_Tranche_KYC,1)+1))*Cout_Par_KYC_Supplementaire,(IF('01_Input'!$L$59="Forfait",IF(EN$20&gt;='01_Input'!$J$59,'01_Input'!$M$59,0),IF('01_Input'!$L$59="Palier",IF(AND(EN$20&gt;='01_Input'!$J$59,EN$20&lt;'01_Input'!$K$59),'01_Input'!$M$59,0),MAX(MIN(EN$20,'01_Input'!$K$59)-'01_Input'!$J$59,0)*'01_Input'!$M$59))+IF('01_Input'!$P$59="Forfait",IF(EN$20&gt;='01_Input'!$N$59,'01_Input'!$Q$59,0),IF('01_Input'!$P$59="Palier",IF(AND(EN$20&gt;='01_Input'!$N$59,EN$20&lt;'01_Input'!$O$59),'01_Input'!$Q$59,0),MAX(MIN(EN$20,'01_Input'!$O$59)-'01_Input'!$N$59,0)*'01_Input'!$Q$59))+IF('01_Input'!$T$59="Forfait",IF(EN$20&gt;='01_Input'!$R$59,'01_Input'!$U$59,0),IF('01_Input'!$T$59="Palier",IF(AND(EN$20&gt;='01_Input'!$R$59,EN$20&lt;'01_Input'!$S$59),'01_Input'!$U$59,0),MAX(MIN(EN$20,'01_Input'!$S$59)-'01_Input'!$R$59,0)*'01_Input'!$U$59))+IF('01_Input'!$X$59="Forfait",IF(EN$20&gt;='01_Input'!$V$59,'01_Input'!$Y$59,0),IF('01_Input'!$X$59="Palier",IF(AND(EN$20&gt;='01_Input'!$V$59,EN$20&lt;'01_Input'!$W$59),'01_Input'!$Y$59,0),MAX(MIN(EN$20,'01_Input'!$W$59)-'01_Input'!$V$59,0)*'01_Input'!$Y$59))+IF('01_Input'!$AB$59="Forfait",IF(EN$20&gt;='01_Input'!$Z$59,'01_Input'!$AC$59,0),IF('01_Input'!$AB$59="Palier",IF(AND(EN$20&gt;='01_Input'!$Z$59,EN$20&lt;'01_Input'!$AA$59),'01_Input'!$AC$59,0),MAX(MIN(EN$20,'01_Input'!$AA$59)-'01_Input'!$Z$59,0)*'01_Input'!$AC$59)))))))))</f>
        <v>0</v>
      </c>
      <c r="EO27" s="25">
        <f>IF('01_Input'!$C$59="Non",0,MIN('01_Input'!$I$59,MAX('01_Input'!$H$59,IF('01_Input'!$G$59="Résiduel vs Gestion",0,IF('01_Input'!$G$59="Taux Classe sélectionnée",Distrib_Global_Classe_Selectionnee*EO$20,IF('01_Input'!$G$59="Frais KYC (paliers de 100M€)",MAX(0,Nb_Investisseurs-Nb_KYC_Gratuites_Par_Tranche*(FLOOR(EO$20/Taille_Tranche_KYC,1)+1))*Cout_Par_KYC_Supplementaire,(IF('01_Input'!$L$59="Forfait",IF(EO$20&gt;='01_Input'!$J$59,'01_Input'!$M$59,0),IF('01_Input'!$L$59="Palier",IF(AND(EO$20&gt;='01_Input'!$J$59,EO$20&lt;'01_Input'!$K$59),'01_Input'!$M$59,0),MAX(MIN(EO$20,'01_Input'!$K$59)-'01_Input'!$J$59,0)*'01_Input'!$M$59))+IF('01_Input'!$P$59="Forfait",IF(EO$20&gt;='01_Input'!$N$59,'01_Input'!$Q$59,0),IF('01_Input'!$P$59="Palier",IF(AND(EO$20&gt;='01_Input'!$N$59,EO$20&lt;'01_Input'!$O$59),'01_Input'!$Q$59,0),MAX(MIN(EO$20,'01_Input'!$O$59)-'01_Input'!$N$59,0)*'01_Input'!$Q$59))+IF('01_Input'!$T$59="Forfait",IF(EO$20&gt;='01_Input'!$R$59,'01_Input'!$U$59,0),IF('01_Input'!$T$59="Palier",IF(AND(EO$20&gt;='01_Input'!$R$59,EO$20&lt;'01_Input'!$S$59),'01_Input'!$U$59,0),MAX(MIN(EO$20,'01_Input'!$S$59)-'01_Input'!$R$59,0)*'01_Input'!$U$59))+IF('01_Input'!$X$59="Forfait",IF(EO$20&gt;='01_Input'!$V$59,'01_Input'!$Y$59,0),IF('01_Input'!$X$59="Palier",IF(AND(EO$20&gt;='01_Input'!$V$59,EO$20&lt;'01_Input'!$W$59),'01_Input'!$Y$59,0),MAX(MIN(EO$20,'01_Input'!$W$59)-'01_Input'!$V$59,0)*'01_Input'!$Y$59))+IF('01_Input'!$AB$59="Forfait",IF(EO$20&gt;='01_Input'!$Z$59,'01_Input'!$AC$59,0),IF('01_Input'!$AB$59="Palier",IF(AND(EO$20&gt;='01_Input'!$Z$59,EO$20&lt;'01_Input'!$AA$59),'01_Input'!$AC$59,0),MAX(MIN(EO$20,'01_Input'!$AA$59)-'01_Input'!$Z$59,0)*'01_Input'!$AC$59)))))))))</f>
        <v>0</v>
      </c>
      <c r="EP27" s="25">
        <f>IF('01_Input'!$C$59="Non",0,MIN('01_Input'!$I$59,MAX('01_Input'!$H$59,IF('01_Input'!$G$59="Résiduel vs Gestion",0,IF('01_Input'!$G$59="Taux Classe sélectionnée",Distrib_Global_Classe_Selectionnee*EP$20,IF('01_Input'!$G$59="Frais KYC (paliers de 100M€)",MAX(0,Nb_Investisseurs-Nb_KYC_Gratuites_Par_Tranche*(FLOOR(EP$20/Taille_Tranche_KYC,1)+1))*Cout_Par_KYC_Supplementaire,(IF('01_Input'!$L$59="Forfait",IF(EP$20&gt;='01_Input'!$J$59,'01_Input'!$M$59,0),IF('01_Input'!$L$59="Palier",IF(AND(EP$20&gt;='01_Input'!$J$59,EP$20&lt;'01_Input'!$K$59),'01_Input'!$M$59,0),MAX(MIN(EP$20,'01_Input'!$K$59)-'01_Input'!$J$59,0)*'01_Input'!$M$59))+IF('01_Input'!$P$59="Forfait",IF(EP$20&gt;='01_Input'!$N$59,'01_Input'!$Q$59,0),IF('01_Input'!$P$59="Palier",IF(AND(EP$20&gt;='01_Input'!$N$59,EP$20&lt;'01_Input'!$O$59),'01_Input'!$Q$59,0),MAX(MIN(EP$20,'01_Input'!$O$59)-'01_Input'!$N$59,0)*'01_Input'!$Q$59))+IF('01_Input'!$T$59="Forfait",IF(EP$20&gt;='01_Input'!$R$59,'01_Input'!$U$59,0),IF('01_Input'!$T$59="Palier",IF(AND(EP$20&gt;='01_Input'!$R$59,EP$20&lt;'01_Input'!$S$59),'01_Input'!$U$59,0),MAX(MIN(EP$20,'01_Input'!$S$59)-'01_Input'!$R$59,0)*'01_Input'!$U$59))+IF('01_Input'!$X$59="Forfait",IF(EP$20&gt;='01_Input'!$V$59,'01_Input'!$Y$59,0),IF('01_Input'!$X$59="Palier",IF(AND(EP$20&gt;='01_Input'!$V$59,EP$20&lt;'01_Input'!$W$59),'01_Input'!$Y$59,0),MAX(MIN(EP$20,'01_Input'!$W$59)-'01_Input'!$V$59,0)*'01_Input'!$Y$59))+IF('01_Input'!$AB$59="Forfait",IF(EP$20&gt;='01_Input'!$Z$59,'01_Input'!$AC$59,0),IF('01_Input'!$AB$59="Palier",IF(AND(EP$20&gt;='01_Input'!$Z$59,EP$20&lt;'01_Input'!$AA$59),'01_Input'!$AC$59,0),MAX(MIN(EP$20,'01_Input'!$AA$59)-'01_Input'!$Z$59,0)*'01_Input'!$AC$59)))))))))</f>
        <v>0</v>
      </c>
      <c r="EQ27" s="25">
        <f>IF('01_Input'!$C$59="Non",0,MIN('01_Input'!$I$59,MAX('01_Input'!$H$59,IF('01_Input'!$G$59="Résiduel vs Gestion",0,IF('01_Input'!$G$59="Taux Classe sélectionnée",Distrib_Global_Classe_Selectionnee*EQ$20,IF('01_Input'!$G$59="Frais KYC (paliers de 100M€)",MAX(0,Nb_Investisseurs-Nb_KYC_Gratuites_Par_Tranche*(FLOOR(EQ$20/Taille_Tranche_KYC,1)+1))*Cout_Par_KYC_Supplementaire,(IF('01_Input'!$L$59="Forfait",IF(EQ$20&gt;='01_Input'!$J$59,'01_Input'!$M$59,0),IF('01_Input'!$L$59="Palier",IF(AND(EQ$20&gt;='01_Input'!$J$59,EQ$20&lt;'01_Input'!$K$59),'01_Input'!$M$59,0),MAX(MIN(EQ$20,'01_Input'!$K$59)-'01_Input'!$J$59,0)*'01_Input'!$M$59))+IF('01_Input'!$P$59="Forfait",IF(EQ$20&gt;='01_Input'!$N$59,'01_Input'!$Q$59,0),IF('01_Input'!$P$59="Palier",IF(AND(EQ$20&gt;='01_Input'!$N$59,EQ$20&lt;'01_Input'!$O$59),'01_Input'!$Q$59,0),MAX(MIN(EQ$20,'01_Input'!$O$59)-'01_Input'!$N$59,0)*'01_Input'!$Q$59))+IF('01_Input'!$T$59="Forfait",IF(EQ$20&gt;='01_Input'!$R$59,'01_Input'!$U$59,0),IF('01_Input'!$T$59="Palier",IF(AND(EQ$20&gt;='01_Input'!$R$59,EQ$20&lt;'01_Input'!$S$59),'01_Input'!$U$59,0),MAX(MIN(EQ$20,'01_Input'!$S$59)-'01_Input'!$R$59,0)*'01_Input'!$U$59))+IF('01_Input'!$X$59="Forfait",IF(EQ$20&gt;='01_Input'!$V$59,'01_Input'!$Y$59,0),IF('01_Input'!$X$59="Palier",IF(AND(EQ$20&gt;='01_Input'!$V$59,EQ$20&lt;'01_Input'!$W$59),'01_Input'!$Y$59,0),MAX(MIN(EQ$20,'01_Input'!$W$59)-'01_Input'!$V$59,0)*'01_Input'!$Y$59))+IF('01_Input'!$AB$59="Forfait",IF(EQ$20&gt;='01_Input'!$Z$59,'01_Input'!$AC$59,0),IF('01_Input'!$AB$59="Palier",IF(AND(EQ$20&gt;='01_Input'!$Z$59,EQ$20&lt;'01_Input'!$AA$59),'01_Input'!$AC$59,0),MAX(MIN(EQ$20,'01_Input'!$AA$59)-'01_Input'!$Z$59,0)*'01_Input'!$AC$59)))))))))</f>
        <v>0</v>
      </c>
      <c r="ER27" s="25">
        <f>IF('01_Input'!$C$59="Non",0,MIN('01_Input'!$I$59,MAX('01_Input'!$H$59,IF('01_Input'!$G$59="Résiduel vs Gestion",0,IF('01_Input'!$G$59="Taux Classe sélectionnée",Distrib_Global_Classe_Selectionnee*ER$20,IF('01_Input'!$G$59="Frais KYC (paliers de 100M€)",MAX(0,Nb_Investisseurs-Nb_KYC_Gratuites_Par_Tranche*(FLOOR(ER$20/Taille_Tranche_KYC,1)+1))*Cout_Par_KYC_Supplementaire,(IF('01_Input'!$L$59="Forfait",IF(ER$20&gt;='01_Input'!$J$59,'01_Input'!$M$59,0),IF('01_Input'!$L$59="Palier",IF(AND(ER$20&gt;='01_Input'!$J$59,ER$20&lt;'01_Input'!$K$59),'01_Input'!$M$59,0),MAX(MIN(ER$20,'01_Input'!$K$59)-'01_Input'!$J$59,0)*'01_Input'!$M$59))+IF('01_Input'!$P$59="Forfait",IF(ER$20&gt;='01_Input'!$N$59,'01_Input'!$Q$59,0),IF('01_Input'!$P$59="Palier",IF(AND(ER$20&gt;='01_Input'!$N$59,ER$20&lt;'01_Input'!$O$59),'01_Input'!$Q$59,0),MAX(MIN(ER$20,'01_Input'!$O$59)-'01_Input'!$N$59,0)*'01_Input'!$Q$59))+IF('01_Input'!$T$59="Forfait",IF(ER$20&gt;='01_Input'!$R$59,'01_Input'!$U$59,0),IF('01_Input'!$T$59="Palier",IF(AND(ER$20&gt;='01_Input'!$R$59,ER$20&lt;'01_Input'!$S$59),'01_Input'!$U$59,0),MAX(MIN(ER$20,'01_Input'!$S$59)-'01_Input'!$R$59,0)*'01_Input'!$U$59))+IF('01_Input'!$X$59="Forfait",IF(ER$20&gt;='01_Input'!$V$59,'01_Input'!$Y$59,0),IF('01_Input'!$X$59="Palier",IF(AND(ER$20&gt;='01_Input'!$V$59,ER$20&lt;'01_Input'!$W$59),'01_Input'!$Y$59,0),MAX(MIN(ER$20,'01_Input'!$W$59)-'01_Input'!$V$59,0)*'01_Input'!$Y$59))+IF('01_Input'!$AB$59="Forfait",IF(ER$20&gt;='01_Input'!$Z$59,'01_Input'!$AC$59,0),IF('01_Input'!$AB$59="Palier",IF(AND(ER$20&gt;='01_Input'!$Z$59,ER$20&lt;'01_Input'!$AA$59),'01_Input'!$AC$59,0),MAX(MIN(ER$20,'01_Input'!$AA$59)-'01_Input'!$Z$59,0)*'01_Input'!$AC$59)))))))))</f>
        <v>0</v>
      </c>
      <c r="ES27" s="25">
        <f>IF('01_Input'!$C$59="Non",0,MIN('01_Input'!$I$59,MAX('01_Input'!$H$59,IF('01_Input'!$G$59="Résiduel vs Gestion",0,IF('01_Input'!$G$59="Taux Classe sélectionnée",Distrib_Global_Classe_Selectionnee*ES$20,IF('01_Input'!$G$59="Frais KYC (paliers de 100M€)",MAX(0,Nb_Investisseurs-Nb_KYC_Gratuites_Par_Tranche*(FLOOR(ES$20/Taille_Tranche_KYC,1)+1))*Cout_Par_KYC_Supplementaire,(IF('01_Input'!$L$59="Forfait",IF(ES$20&gt;='01_Input'!$J$59,'01_Input'!$M$59,0),IF('01_Input'!$L$59="Palier",IF(AND(ES$20&gt;='01_Input'!$J$59,ES$20&lt;'01_Input'!$K$59),'01_Input'!$M$59,0),MAX(MIN(ES$20,'01_Input'!$K$59)-'01_Input'!$J$59,0)*'01_Input'!$M$59))+IF('01_Input'!$P$59="Forfait",IF(ES$20&gt;='01_Input'!$N$59,'01_Input'!$Q$59,0),IF('01_Input'!$P$59="Palier",IF(AND(ES$20&gt;='01_Input'!$N$59,ES$20&lt;'01_Input'!$O$59),'01_Input'!$Q$59,0),MAX(MIN(ES$20,'01_Input'!$O$59)-'01_Input'!$N$59,0)*'01_Input'!$Q$59))+IF('01_Input'!$T$59="Forfait",IF(ES$20&gt;='01_Input'!$R$59,'01_Input'!$U$59,0),IF('01_Input'!$T$59="Palier",IF(AND(ES$20&gt;='01_Input'!$R$59,ES$20&lt;'01_Input'!$S$59),'01_Input'!$U$59,0),MAX(MIN(ES$20,'01_Input'!$S$59)-'01_Input'!$R$59,0)*'01_Input'!$U$59))+IF('01_Input'!$X$59="Forfait",IF(ES$20&gt;='01_Input'!$V$59,'01_Input'!$Y$59,0),IF('01_Input'!$X$59="Palier",IF(AND(ES$20&gt;='01_Input'!$V$59,ES$20&lt;'01_Input'!$W$59),'01_Input'!$Y$59,0),MAX(MIN(ES$20,'01_Input'!$W$59)-'01_Input'!$V$59,0)*'01_Input'!$Y$59))+IF('01_Input'!$AB$59="Forfait",IF(ES$20&gt;='01_Input'!$Z$59,'01_Input'!$AC$59,0),IF('01_Input'!$AB$59="Palier",IF(AND(ES$20&gt;='01_Input'!$Z$59,ES$20&lt;'01_Input'!$AA$59),'01_Input'!$AC$59,0),MAX(MIN(ES$20,'01_Input'!$AA$59)-'01_Input'!$Z$59,0)*'01_Input'!$AC$59)))))))))</f>
        <v>0</v>
      </c>
      <c r="ET27" s="25">
        <f>IF('01_Input'!$C$59="Non",0,MIN('01_Input'!$I$59,MAX('01_Input'!$H$59,IF('01_Input'!$G$59="Résiduel vs Gestion",0,IF('01_Input'!$G$59="Taux Classe sélectionnée",Distrib_Global_Classe_Selectionnee*ET$20,IF('01_Input'!$G$59="Frais KYC (paliers de 100M€)",MAX(0,Nb_Investisseurs-Nb_KYC_Gratuites_Par_Tranche*(FLOOR(ET$20/Taille_Tranche_KYC,1)+1))*Cout_Par_KYC_Supplementaire,(IF('01_Input'!$L$59="Forfait",IF(ET$20&gt;='01_Input'!$J$59,'01_Input'!$M$59,0),IF('01_Input'!$L$59="Palier",IF(AND(ET$20&gt;='01_Input'!$J$59,ET$20&lt;'01_Input'!$K$59),'01_Input'!$M$59,0),MAX(MIN(ET$20,'01_Input'!$K$59)-'01_Input'!$J$59,0)*'01_Input'!$M$59))+IF('01_Input'!$P$59="Forfait",IF(ET$20&gt;='01_Input'!$N$59,'01_Input'!$Q$59,0),IF('01_Input'!$P$59="Palier",IF(AND(ET$20&gt;='01_Input'!$N$59,ET$20&lt;'01_Input'!$O$59),'01_Input'!$Q$59,0),MAX(MIN(ET$20,'01_Input'!$O$59)-'01_Input'!$N$59,0)*'01_Input'!$Q$59))+IF('01_Input'!$T$59="Forfait",IF(ET$20&gt;='01_Input'!$R$59,'01_Input'!$U$59,0),IF('01_Input'!$T$59="Palier",IF(AND(ET$20&gt;='01_Input'!$R$59,ET$20&lt;'01_Input'!$S$59),'01_Input'!$U$59,0),MAX(MIN(ET$20,'01_Input'!$S$59)-'01_Input'!$R$59,0)*'01_Input'!$U$59))+IF('01_Input'!$X$59="Forfait",IF(ET$20&gt;='01_Input'!$V$59,'01_Input'!$Y$59,0),IF('01_Input'!$X$59="Palier",IF(AND(ET$20&gt;='01_Input'!$V$59,ET$20&lt;'01_Input'!$W$59),'01_Input'!$Y$59,0),MAX(MIN(ET$20,'01_Input'!$W$59)-'01_Input'!$V$59,0)*'01_Input'!$Y$59))+IF('01_Input'!$AB$59="Forfait",IF(ET$20&gt;='01_Input'!$Z$59,'01_Input'!$AC$59,0),IF('01_Input'!$AB$59="Palier",IF(AND(ET$20&gt;='01_Input'!$Z$59,ET$20&lt;'01_Input'!$AA$59),'01_Input'!$AC$59,0),MAX(MIN(ET$20,'01_Input'!$AA$59)-'01_Input'!$Z$59,0)*'01_Input'!$AC$59)))))))))</f>
        <v>0</v>
      </c>
      <c r="EU27" s="25">
        <f>IF('01_Input'!$C$59="Non",0,MIN('01_Input'!$I$59,MAX('01_Input'!$H$59,IF('01_Input'!$G$59="Résiduel vs Gestion",0,IF('01_Input'!$G$59="Taux Classe sélectionnée",Distrib_Global_Classe_Selectionnee*EU$20,IF('01_Input'!$G$59="Frais KYC (paliers de 100M€)",MAX(0,Nb_Investisseurs-Nb_KYC_Gratuites_Par_Tranche*(FLOOR(EU$20/Taille_Tranche_KYC,1)+1))*Cout_Par_KYC_Supplementaire,(IF('01_Input'!$L$59="Forfait",IF(EU$20&gt;='01_Input'!$J$59,'01_Input'!$M$59,0),IF('01_Input'!$L$59="Palier",IF(AND(EU$20&gt;='01_Input'!$J$59,EU$20&lt;'01_Input'!$K$59),'01_Input'!$M$59,0),MAX(MIN(EU$20,'01_Input'!$K$59)-'01_Input'!$J$59,0)*'01_Input'!$M$59))+IF('01_Input'!$P$59="Forfait",IF(EU$20&gt;='01_Input'!$N$59,'01_Input'!$Q$59,0),IF('01_Input'!$P$59="Palier",IF(AND(EU$20&gt;='01_Input'!$N$59,EU$20&lt;'01_Input'!$O$59),'01_Input'!$Q$59,0),MAX(MIN(EU$20,'01_Input'!$O$59)-'01_Input'!$N$59,0)*'01_Input'!$Q$59))+IF('01_Input'!$T$59="Forfait",IF(EU$20&gt;='01_Input'!$R$59,'01_Input'!$U$59,0),IF('01_Input'!$T$59="Palier",IF(AND(EU$20&gt;='01_Input'!$R$59,EU$20&lt;'01_Input'!$S$59),'01_Input'!$U$59,0),MAX(MIN(EU$20,'01_Input'!$S$59)-'01_Input'!$R$59,0)*'01_Input'!$U$59))+IF('01_Input'!$X$59="Forfait",IF(EU$20&gt;='01_Input'!$V$59,'01_Input'!$Y$59,0),IF('01_Input'!$X$59="Palier",IF(AND(EU$20&gt;='01_Input'!$V$59,EU$20&lt;'01_Input'!$W$59),'01_Input'!$Y$59,0),MAX(MIN(EU$20,'01_Input'!$W$59)-'01_Input'!$V$59,0)*'01_Input'!$Y$59))+IF('01_Input'!$AB$59="Forfait",IF(EU$20&gt;='01_Input'!$Z$59,'01_Input'!$AC$59,0),IF('01_Input'!$AB$59="Palier",IF(AND(EU$20&gt;='01_Input'!$Z$59,EU$20&lt;'01_Input'!$AA$59),'01_Input'!$AC$59,0),MAX(MIN(EU$20,'01_Input'!$AA$59)-'01_Input'!$Z$59,0)*'01_Input'!$AC$59)))))))))</f>
        <v>0</v>
      </c>
      <c r="EV27" s="25">
        <f>IF('01_Input'!$C$59="Non",0,MIN('01_Input'!$I$59,MAX('01_Input'!$H$59,IF('01_Input'!$G$59="Résiduel vs Gestion",0,IF('01_Input'!$G$59="Taux Classe sélectionnée",Distrib_Global_Classe_Selectionnee*EV$20,IF('01_Input'!$G$59="Frais KYC (paliers de 100M€)",MAX(0,Nb_Investisseurs-Nb_KYC_Gratuites_Par_Tranche*(FLOOR(EV$20/Taille_Tranche_KYC,1)+1))*Cout_Par_KYC_Supplementaire,(IF('01_Input'!$L$59="Forfait",IF(EV$20&gt;='01_Input'!$J$59,'01_Input'!$M$59,0),IF('01_Input'!$L$59="Palier",IF(AND(EV$20&gt;='01_Input'!$J$59,EV$20&lt;'01_Input'!$K$59),'01_Input'!$M$59,0),MAX(MIN(EV$20,'01_Input'!$K$59)-'01_Input'!$J$59,0)*'01_Input'!$M$59))+IF('01_Input'!$P$59="Forfait",IF(EV$20&gt;='01_Input'!$N$59,'01_Input'!$Q$59,0),IF('01_Input'!$P$59="Palier",IF(AND(EV$20&gt;='01_Input'!$N$59,EV$20&lt;'01_Input'!$O$59),'01_Input'!$Q$59,0),MAX(MIN(EV$20,'01_Input'!$O$59)-'01_Input'!$N$59,0)*'01_Input'!$Q$59))+IF('01_Input'!$T$59="Forfait",IF(EV$20&gt;='01_Input'!$R$59,'01_Input'!$U$59,0),IF('01_Input'!$T$59="Palier",IF(AND(EV$20&gt;='01_Input'!$R$59,EV$20&lt;'01_Input'!$S$59),'01_Input'!$U$59,0),MAX(MIN(EV$20,'01_Input'!$S$59)-'01_Input'!$R$59,0)*'01_Input'!$U$59))+IF('01_Input'!$X$59="Forfait",IF(EV$20&gt;='01_Input'!$V$59,'01_Input'!$Y$59,0),IF('01_Input'!$X$59="Palier",IF(AND(EV$20&gt;='01_Input'!$V$59,EV$20&lt;'01_Input'!$W$59),'01_Input'!$Y$59,0),MAX(MIN(EV$20,'01_Input'!$W$59)-'01_Input'!$V$59,0)*'01_Input'!$Y$59))+IF('01_Input'!$AB$59="Forfait",IF(EV$20&gt;='01_Input'!$Z$59,'01_Input'!$AC$59,0),IF('01_Input'!$AB$59="Palier",IF(AND(EV$20&gt;='01_Input'!$Z$59,EV$20&lt;'01_Input'!$AA$59),'01_Input'!$AC$59,0),MAX(MIN(EV$20,'01_Input'!$AA$59)-'01_Input'!$Z$59,0)*'01_Input'!$AC$59)))))))))</f>
        <v>0</v>
      </c>
      <c r="EW27" s="25">
        <f>IF('01_Input'!$C$59="Non",0,MIN('01_Input'!$I$59,MAX('01_Input'!$H$59,IF('01_Input'!$G$59="Résiduel vs Gestion",0,IF('01_Input'!$G$59="Taux Classe sélectionnée",Distrib_Global_Classe_Selectionnee*EW$20,IF('01_Input'!$G$59="Frais KYC (paliers de 100M€)",MAX(0,Nb_Investisseurs-Nb_KYC_Gratuites_Par_Tranche*(FLOOR(EW$20/Taille_Tranche_KYC,1)+1))*Cout_Par_KYC_Supplementaire,(IF('01_Input'!$L$59="Forfait",IF(EW$20&gt;='01_Input'!$J$59,'01_Input'!$M$59,0),IF('01_Input'!$L$59="Palier",IF(AND(EW$20&gt;='01_Input'!$J$59,EW$20&lt;'01_Input'!$K$59),'01_Input'!$M$59,0),MAX(MIN(EW$20,'01_Input'!$K$59)-'01_Input'!$J$59,0)*'01_Input'!$M$59))+IF('01_Input'!$P$59="Forfait",IF(EW$20&gt;='01_Input'!$N$59,'01_Input'!$Q$59,0),IF('01_Input'!$P$59="Palier",IF(AND(EW$20&gt;='01_Input'!$N$59,EW$20&lt;'01_Input'!$O$59),'01_Input'!$Q$59,0),MAX(MIN(EW$20,'01_Input'!$O$59)-'01_Input'!$N$59,0)*'01_Input'!$Q$59))+IF('01_Input'!$T$59="Forfait",IF(EW$20&gt;='01_Input'!$R$59,'01_Input'!$U$59,0),IF('01_Input'!$T$59="Palier",IF(AND(EW$20&gt;='01_Input'!$R$59,EW$20&lt;'01_Input'!$S$59),'01_Input'!$U$59,0),MAX(MIN(EW$20,'01_Input'!$S$59)-'01_Input'!$R$59,0)*'01_Input'!$U$59))+IF('01_Input'!$X$59="Forfait",IF(EW$20&gt;='01_Input'!$V$59,'01_Input'!$Y$59,0),IF('01_Input'!$X$59="Palier",IF(AND(EW$20&gt;='01_Input'!$V$59,EW$20&lt;'01_Input'!$W$59),'01_Input'!$Y$59,0),MAX(MIN(EW$20,'01_Input'!$W$59)-'01_Input'!$V$59,0)*'01_Input'!$Y$59))+IF('01_Input'!$AB$59="Forfait",IF(EW$20&gt;='01_Input'!$Z$59,'01_Input'!$AC$59,0),IF('01_Input'!$AB$59="Palier",IF(AND(EW$20&gt;='01_Input'!$Z$59,EW$20&lt;'01_Input'!$AA$59),'01_Input'!$AC$59,0),MAX(MIN(EW$20,'01_Input'!$AA$59)-'01_Input'!$Z$59,0)*'01_Input'!$AC$59)))))))))</f>
        <v>0</v>
      </c>
      <c r="EX27" s="25">
        <f>IF('01_Input'!$C$59="Non",0,MIN('01_Input'!$I$59,MAX('01_Input'!$H$59,IF('01_Input'!$G$59="Résiduel vs Gestion",0,IF('01_Input'!$G$59="Taux Classe sélectionnée",Distrib_Global_Classe_Selectionnee*EX$20,IF('01_Input'!$G$59="Frais KYC (paliers de 100M€)",MAX(0,Nb_Investisseurs-Nb_KYC_Gratuites_Par_Tranche*(FLOOR(EX$20/Taille_Tranche_KYC,1)+1))*Cout_Par_KYC_Supplementaire,(IF('01_Input'!$L$59="Forfait",IF(EX$20&gt;='01_Input'!$J$59,'01_Input'!$M$59,0),IF('01_Input'!$L$59="Palier",IF(AND(EX$20&gt;='01_Input'!$J$59,EX$20&lt;'01_Input'!$K$59),'01_Input'!$M$59,0),MAX(MIN(EX$20,'01_Input'!$K$59)-'01_Input'!$J$59,0)*'01_Input'!$M$59))+IF('01_Input'!$P$59="Forfait",IF(EX$20&gt;='01_Input'!$N$59,'01_Input'!$Q$59,0),IF('01_Input'!$P$59="Palier",IF(AND(EX$20&gt;='01_Input'!$N$59,EX$20&lt;'01_Input'!$O$59),'01_Input'!$Q$59,0),MAX(MIN(EX$20,'01_Input'!$O$59)-'01_Input'!$N$59,0)*'01_Input'!$Q$59))+IF('01_Input'!$T$59="Forfait",IF(EX$20&gt;='01_Input'!$R$59,'01_Input'!$U$59,0),IF('01_Input'!$T$59="Palier",IF(AND(EX$20&gt;='01_Input'!$R$59,EX$20&lt;'01_Input'!$S$59),'01_Input'!$U$59,0),MAX(MIN(EX$20,'01_Input'!$S$59)-'01_Input'!$R$59,0)*'01_Input'!$U$59))+IF('01_Input'!$X$59="Forfait",IF(EX$20&gt;='01_Input'!$V$59,'01_Input'!$Y$59,0),IF('01_Input'!$X$59="Palier",IF(AND(EX$20&gt;='01_Input'!$V$59,EX$20&lt;'01_Input'!$W$59),'01_Input'!$Y$59,0),MAX(MIN(EX$20,'01_Input'!$W$59)-'01_Input'!$V$59,0)*'01_Input'!$Y$59))+IF('01_Input'!$AB$59="Forfait",IF(EX$20&gt;='01_Input'!$Z$59,'01_Input'!$AC$59,0),IF('01_Input'!$AB$59="Palier",IF(AND(EX$20&gt;='01_Input'!$Z$59,EX$20&lt;'01_Input'!$AA$59),'01_Input'!$AC$59,0),MAX(MIN(EX$20,'01_Input'!$AA$59)-'01_Input'!$Z$59,0)*'01_Input'!$AC$59)))))))))</f>
        <v>0</v>
      </c>
    </row>
    <row r="28" ht="15.75" customHeight="1">
      <c r="B28" s="68" t="str">
        <f>IF('01_Input'!D60="","(inactif)",'01_Input'!D60)</f>
        <v>Reporting — Rapport Annuel (CIC)</v>
      </c>
      <c r="C28" s="68" t="str">
        <f>IF('01_Input'!E60="","",'01_Input'!E60)</f>
        <v>CIC Administration de Fonds</v>
      </c>
      <c r="D28" s="86" t="str">
        <f>'01_Input'!C60</f>
        <v>Oui</v>
      </c>
      <c r="E28" s="83">
        <f>IF('01_Input'!$C$60="Non",0,MIN('01_Input'!$I$60,MAX('01_Input'!$H$60,IF('01_Input'!$G$60="Résiduel vs Gestion",0,IF('01_Input'!$G$60="Taux Classe sélectionnée",Distrib_Global_Classe_Selectionnee*E$20,IF('01_Input'!$G$60="Frais KYC (paliers de 100M€)",MAX(0,Nb_Investisseurs-Nb_KYC_Gratuites_Par_Tranche*(FLOOR(E$20/Taille_Tranche_KYC,1)+1))*Cout_Par_KYC_Supplementaire,(IF('01_Input'!$L$60="Forfait",IF(E$20&gt;='01_Input'!$J$60,'01_Input'!$M$60,0),IF('01_Input'!$L$60="Palier",IF(AND(E$20&gt;='01_Input'!$J$60,E$20&lt;'01_Input'!$K$60),'01_Input'!$M$60,0),MAX(MIN(E$20,'01_Input'!$K$60)-'01_Input'!$J$60,0)*'01_Input'!$M$60))+IF('01_Input'!$P$60="Forfait",IF(E$20&gt;='01_Input'!$N$60,'01_Input'!$Q$60,0),IF('01_Input'!$P$60="Palier",IF(AND(E$20&gt;='01_Input'!$N$60,E$20&lt;'01_Input'!$O$60),'01_Input'!$Q$60,0),MAX(MIN(E$20,'01_Input'!$O$60)-'01_Input'!$N$60,0)*'01_Input'!$Q$60))+IF('01_Input'!$T$60="Forfait",IF(E$20&gt;='01_Input'!$R$60,'01_Input'!$U$60,0),IF('01_Input'!$T$60="Palier",IF(AND(E$20&gt;='01_Input'!$R$60,E$20&lt;'01_Input'!$S$60),'01_Input'!$U$60,0),MAX(MIN(E$20,'01_Input'!$S$60)-'01_Input'!$R$60,0)*'01_Input'!$U$60))+IF('01_Input'!$X$60="Forfait",IF(E$20&gt;='01_Input'!$V$60,'01_Input'!$Y$60,0),IF('01_Input'!$X$60="Palier",IF(AND(E$20&gt;='01_Input'!$V$60,E$20&lt;'01_Input'!$W$60),'01_Input'!$Y$60,0),MAX(MIN(E$20,'01_Input'!$W$60)-'01_Input'!$V$60,0)*'01_Input'!$Y$60))+IF('01_Input'!$AB$60="Forfait",IF(E$20&gt;='01_Input'!$Z$60,'01_Input'!$AC$60,0),IF('01_Input'!$AB$60="Palier",IF(AND(E$20&gt;='01_Input'!$Z$60,E$20&lt;'01_Input'!$AA$60),'01_Input'!$AC$60,0),MAX(MIN(E$20,'01_Input'!$AA$60)-'01_Input'!$Z$60,0)*'01_Input'!$AC$60)))))))))</f>
        <v>800</v>
      </c>
      <c r="F28" s="83">
        <f>IF('01_Input'!$C$60="Non",0,MIN('01_Input'!$I$60,MAX('01_Input'!$H$60,IF('01_Input'!$G$60="Résiduel vs Gestion",0,IF('01_Input'!$G$60="Taux Classe sélectionnée",Distrib_Global_Classe_Selectionnee*F$20,IF('01_Input'!$G$60="Frais KYC (paliers de 100M€)",MAX(0,Nb_Investisseurs-Nb_KYC_Gratuites_Par_Tranche*(FLOOR(F$20/Taille_Tranche_KYC,1)+1))*Cout_Par_KYC_Supplementaire,(IF('01_Input'!$L$60="Forfait",IF(F$20&gt;='01_Input'!$J$60,'01_Input'!$M$60,0),IF('01_Input'!$L$60="Palier",IF(AND(F$20&gt;='01_Input'!$J$60,F$20&lt;'01_Input'!$K$60),'01_Input'!$M$60,0),MAX(MIN(F$20,'01_Input'!$K$60)-'01_Input'!$J$60,0)*'01_Input'!$M$60))+IF('01_Input'!$P$60="Forfait",IF(F$20&gt;='01_Input'!$N$60,'01_Input'!$Q$60,0),IF('01_Input'!$P$60="Palier",IF(AND(F$20&gt;='01_Input'!$N$60,F$20&lt;'01_Input'!$O$60),'01_Input'!$Q$60,0),MAX(MIN(F$20,'01_Input'!$O$60)-'01_Input'!$N$60,0)*'01_Input'!$Q$60))+IF('01_Input'!$T$60="Forfait",IF(F$20&gt;='01_Input'!$R$60,'01_Input'!$U$60,0),IF('01_Input'!$T$60="Palier",IF(AND(F$20&gt;='01_Input'!$R$60,F$20&lt;'01_Input'!$S$60),'01_Input'!$U$60,0),MAX(MIN(F$20,'01_Input'!$S$60)-'01_Input'!$R$60,0)*'01_Input'!$U$60))+IF('01_Input'!$X$60="Forfait",IF(F$20&gt;='01_Input'!$V$60,'01_Input'!$Y$60,0),IF('01_Input'!$X$60="Palier",IF(AND(F$20&gt;='01_Input'!$V$60,F$20&lt;'01_Input'!$W$60),'01_Input'!$Y$60,0),MAX(MIN(F$20,'01_Input'!$W$60)-'01_Input'!$V$60,0)*'01_Input'!$Y$60))+IF('01_Input'!$AB$60="Forfait",IF(F$20&gt;='01_Input'!$Z$60,'01_Input'!$AC$60,0),IF('01_Input'!$AB$60="Palier",IF(AND(F$20&gt;='01_Input'!$Z$60,F$20&lt;'01_Input'!$AA$60),'01_Input'!$AC$60,0),MAX(MIN(F$20,'01_Input'!$AA$60)-'01_Input'!$Z$60,0)*'01_Input'!$AC$60)))))))))</f>
        <v>800</v>
      </c>
      <c r="G28" s="83">
        <f>IF('01_Input'!$C$60="Non",0,MIN('01_Input'!$I$60,MAX('01_Input'!$H$60,IF('01_Input'!$G$60="Résiduel vs Gestion",0,IF('01_Input'!$G$60="Taux Classe sélectionnée",Distrib_Global_Classe_Selectionnee*G$20,IF('01_Input'!$G$60="Frais KYC (paliers de 100M€)",MAX(0,Nb_Investisseurs-Nb_KYC_Gratuites_Par_Tranche*(FLOOR(G$20/Taille_Tranche_KYC,1)+1))*Cout_Par_KYC_Supplementaire,(IF('01_Input'!$L$60="Forfait",IF(G$20&gt;='01_Input'!$J$60,'01_Input'!$M$60,0),IF('01_Input'!$L$60="Palier",IF(AND(G$20&gt;='01_Input'!$J$60,G$20&lt;'01_Input'!$K$60),'01_Input'!$M$60,0),MAX(MIN(G$20,'01_Input'!$K$60)-'01_Input'!$J$60,0)*'01_Input'!$M$60))+IF('01_Input'!$P$60="Forfait",IF(G$20&gt;='01_Input'!$N$60,'01_Input'!$Q$60,0),IF('01_Input'!$P$60="Palier",IF(AND(G$20&gt;='01_Input'!$N$60,G$20&lt;'01_Input'!$O$60),'01_Input'!$Q$60,0),MAX(MIN(G$20,'01_Input'!$O$60)-'01_Input'!$N$60,0)*'01_Input'!$Q$60))+IF('01_Input'!$T$60="Forfait",IF(G$20&gt;='01_Input'!$R$60,'01_Input'!$U$60,0),IF('01_Input'!$T$60="Palier",IF(AND(G$20&gt;='01_Input'!$R$60,G$20&lt;'01_Input'!$S$60),'01_Input'!$U$60,0),MAX(MIN(G$20,'01_Input'!$S$60)-'01_Input'!$R$60,0)*'01_Input'!$U$60))+IF('01_Input'!$X$60="Forfait",IF(G$20&gt;='01_Input'!$V$60,'01_Input'!$Y$60,0),IF('01_Input'!$X$60="Palier",IF(AND(G$20&gt;='01_Input'!$V$60,G$20&lt;'01_Input'!$W$60),'01_Input'!$Y$60,0),MAX(MIN(G$20,'01_Input'!$W$60)-'01_Input'!$V$60,0)*'01_Input'!$Y$60))+IF('01_Input'!$AB$60="Forfait",IF(G$20&gt;='01_Input'!$Z$60,'01_Input'!$AC$60,0),IF('01_Input'!$AB$60="Palier",IF(AND(G$20&gt;='01_Input'!$Z$60,G$20&lt;'01_Input'!$AA$60),'01_Input'!$AC$60,0),MAX(MIN(G$20,'01_Input'!$AA$60)-'01_Input'!$Z$60,0)*'01_Input'!$AC$60)))))))))</f>
        <v>800</v>
      </c>
      <c r="H28" s="83">
        <f>IF('01_Input'!$C$60="Non",0,MIN('01_Input'!$I$60,MAX('01_Input'!$H$60,IF('01_Input'!$G$60="Résiduel vs Gestion",0,IF('01_Input'!$G$60="Taux Classe sélectionnée",Distrib_Global_Classe_Selectionnee*H$20,IF('01_Input'!$G$60="Frais KYC (paliers de 100M€)",MAX(0,Nb_Investisseurs-Nb_KYC_Gratuites_Par_Tranche*(FLOOR(H$20/Taille_Tranche_KYC,1)+1))*Cout_Par_KYC_Supplementaire,(IF('01_Input'!$L$60="Forfait",IF(H$20&gt;='01_Input'!$J$60,'01_Input'!$M$60,0),IF('01_Input'!$L$60="Palier",IF(AND(H$20&gt;='01_Input'!$J$60,H$20&lt;'01_Input'!$K$60),'01_Input'!$M$60,0),MAX(MIN(H$20,'01_Input'!$K$60)-'01_Input'!$J$60,0)*'01_Input'!$M$60))+IF('01_Input'!$P$60="Forfait",IF(H$20&gt;='01_Input'!$N$60,'01_Input'!$Q$60,0),IF('01_Input'!$P$60="Palier",IF(AND(H$20&gt;='01_Input'!$N$60,H$20&lt;'01_Input'!$O$60),'01_Input'!$Q$60,0),MAX(MIN(H$20,'01_Input'!$O$60)-'01_Input'!$N$60,0)*'01_Input'!$Q$60))+IF('01_Input'!$T$60="Forfait",IF(H$20&gt;='01_Input'!$R$60,'01_Input'!$U$60,0),IF('01_Input'!$T$60="Palier",IF(AND(H$20&gt;='01_Input'!$R$60,H$20&lt;'01_Input'!$S$60),'01_Input'!$U$60,0),MAX(MIN(H$20,'01_Input'!$S$60)-'01_Input'!$R$60,0)*'01_Input'!$U$60))+IF('01_Input'!$X$60="Forfait",IF(H$20&gt;='01_Input'!$V$60,'01_Input'!$Y$60,0),IF('01_Input'!$X$60="Palier",IF(AND(H$20&gt;='01_Input'!$V$60,H$20&lt;'01_Input'!$W$60),'01_Input'!$Y$60,0),MAX(MIN(H$20,'01_Input'!$W$60)-'01_Input'!$V$60,0)*'01_Input'!$Y$60))+IF('01_Input'!$AB$60="Forfait",IF(H$20&gt;='01_Input'!$Z$60,'01_Input'!$AC$60,0),IF('01_Input'!$AB$60="Palier",IF(AND(H$20&gt;='01_Input'!$Z$60,H$20&lt;'01_Input'!$AA$60),'01_Input'!$AC$60,0),MAX(MIN(H$20,'01_Input'!$AA$60)-'01_Input'!$Z$60,0)*'01_Input'!$AC$60)))))))))</f>
        <v>800</v>
      </c>
      <c r="I28" s="83">
        <f>IF('01_Input'!$C$60="Non",0,MIN('01_Input'!$I$60,MAX('01_Input'!$H$60,IF('01_Input'!$G$60="Résiduel vs Gestion",0,IF('01_Input'!$G$60="Taux Classe sélectionnée",Distrib_Global_Classe_Selectionnee*I$20,IF('01_Input'!$G$60="Frais KYC (paliers de 100M€)",MAX(0,Nb_Investisseurs-Nb_KYC_Gratuites_Par_Tranche*(FLOOR(I$20/Taille_Tranche_KYC,1)+1))*Cout_Par_KYC_Supplementaire,(IF('01_Input'!$L$60="Forfait",IF(I$20&gt;='01_Input'!$J$60,'01_Input'!$M$60,0),IF('01_Input'!$L$60="Palier",IF(AND(I$20&gt;='01_Input'!$J$60,I$20&lt;'01_Input'!$K$60),'01_Input'!$M$60,0),MAX(MIN(I$20,'01_Input'!$K$60)-'01_Input'!$J$60,0)*'01_Input'!$M$60))+IF('01_Input'!$P$60="Forfait",IF(I$20&gt;='01_Input'!$N$60,'01_Input'!$Q$60,0),IF('01_Input'!$P$60="Palier",IF(AND(I$20&gt;='01_Input'!$N$60,I$20&lt;'01_Input'!$O$60),'01_Input'!$Q$60,0),MAX(MIN(I$20,'01_Input'!$O$60)-'01_Input'!$N$60,0)*'01_Input'!$Q$60))+IF('01_Input'!$T$60="Forfait",IF(I$20&gt;='01_Input'!$R$60,'01_Input'!$U$60,0),IF('01_Input'!$T$60="Palier",IF(AND(I$20&gt;='01_Input'!$R$60,I$20&lt;'01_Input'!$S$60),'01_Input'!$U$60,0),MAX(MIN(I$20,'01_Input'!$S$60)-'01_Input'!$R$60,0)*'01_Input'!$U$60))+IF('01_Input'!$X$60="Forfait",IF(I$20&gt;='01_Input'!$V$60,'01_Input'!$Y$60,0),IF('01_Input'!$X$60="Palier",IF(AND(I$20&gt;='01_Input'!$V$60,I$20&lt;'01_Input'!$W$60),'01_Input'!$Y$60,0),MAX(MIN(I$20,'01_Input'!$W$60)-'01_Input'!$V$60,0)*'01_Input'!$Y$60))+IF('01_Input'!$AB$60="Forfait",IF(I$20&gt;='01_Input'!$Z$60,'01_Input'!$AC$60,0),IF('01_Input'!$AB$60="Palier",IF(AND(I$20&gt;='01_Input'!$Z$60,I$20&lt;'01_Input'!$AA$60),'01_Input'!$AC$60,0),MAX(MIN(I$20,'01_Input'!$AA$60)-'01_Input'!$Z$60,0)*'01_Input'!$AC$60)))))))))</f>
        <v>800</v>
      </c>
      <c r="J28" s="83">
        <f>IF('01_Input'!$C$60="Non",0,MIN('01_Input'!$I$60,MAX('01_Input'!$H$60,IF('01_Input'!$G$60="Résiduel vs Gestion",0,IF('01_Input'!$G$60="Taux Classe sélectionnée",Distrib_Global_Classe_Selectionnee*J$20,IF('01_Input'!$G$60="Frais KYC (paliers de 100M€)",MAX(0,Nb_Investisseurs-Nb_KYC_Gratuites_Par_Tranche*(FLOOR(J$20/Taille_Tranche_KYC,1)+1))*Cout_Par_KYC_Supplementaire,(IF('01_Input'!$L$60="Forfait",IF(J$20&gt;='01_Input'!$J$60,'01_Input'!$M$60,0),IF('01_Input'!$L$60="Palier",IF(AND(J$20&gt;='01_Input'!$J$60,J$20&lt;'01_Input'!$K$60),'01_Input'!$M$60,0),MAX(MIN(J$20,'01_Input'!$K$60)-'01_Input'!$J$60,0)*'01_Input'!$M$60))+IF('01_Input'!$P$60="Forfait",IF(J$20&gt;='01_Input'!$N$60,'01_Input'!$Q$60,0),IF('01_Input'!$P$60="Palier",IF(AND(J$20&gt;='01_Input'!$N$60,J$20&lt;'01_Input'!$O$60),'01_Input'!$Q$60,0),MAX(MIN(J$20,'01_Input'!$O$60)-'01_Input'!$N$60,0)*'01_Input'!$Q$60))+IF('01_Input'!$T$60="Forfait",IF(J$20&gt;='01_Input'!$R$60,'01_Input'!$U$60,0),IF('01_Input'!$T$60="Palier",IF(AND(J$20&gt;='01_Input'!$R$60,J$20&lt;'01_Input'!$S$60),'01_Input'!$U$60,0),MAX(MIN(J$20,'01_Input'!$S$60)-'01_Input'!$R$60,0)*'01_Input'!$U$60))+IF('01_Input'!$X$60="Forfait",IF(J$20&gt;='01_Input'!$V$60,'01_Input'!$Y$60,0),IF('01_Input'!$X$60="Palier",IF(AND(J$20&gt;='01_Input'!$V$60,J$20&lt;'01_Input'!$W$60),'01_Input'!$Y$60,0),MAX(MIN(J$20,'01_Input'!$W$60)-'01_Input'!$V$60,0)*'01_Input'!$Y$60))+IF('01_Input'!$AB$60="Forfait",IF(J$20&gt;='01_Input'!$Z$60,'01_Input'!$AC$60,0),IF('01_Input'!$AB$60="Palier",IF(AND(J$20&gt;='01_Input'!$Z$60,J$20&lt;'01_Input'!$AA$60),'01_Input'!$AC$60,0),MAX(MIN(J$20,'01_Input'!$AA$60)-'01_Input'!$Z$60,0)*'01_Input'!$AC$60)))))))))</f>
        <v>800</v>
      </c>
      <c r="K28" s="83">
        <f>IF('01_Input'!$C$60="Non",0,MIN('01_Input'!$I$60,MAX('01_Input'!$H$60,IF('01_Input'!$G$60="Résiduel vs Gestion",0,IF('01_Input'!$G$60="Taux Classe sélectionnée",Distrib_Global_Classe_Selectionnee*K$20,IF('01_Input'!$G$60="Frais KYC (paliers de 100M€)",MAX(0,Nb_Investisseurs-Nb_KYC_Gratuites_Par_Tranche*(FLOOR(K$20/Taille_Tranche_KYC,1)+1))*Cout_Par_KYC_Supplementaire,(IF('01_Input'!$L$60="Forfait",IF(K$20&gt;='01_Input'!$J$60,'01_Input'!$M$60,0),IF('01_Input'!$L$60="Palier",IF(AND(K$20&gt;='01_Input'!$J$60,K$20&lt;'01_Input'!$K$60),'01_Input'!$M$60,0),MAX(MIN(K$20,'01_Input'!$K$60)-'01_Input'!$J$60,0)*'01_Input'!$M$60))+IF('01_Input'!$P$60="Forfait",IF(K$20&gt;='01_Input'!$N$60,'01_Input'!$Q$60,0),IF('01_Input'!$P$60="Palier",IF(AND(K$20&gt;='01_Input'!$N$60,K$20&lt;'01_Input'!$O$60),'01_Input'!$Q$60,0),MAX(MIN(K$20,'01_Input'!$O$60)-'01_Input'!$N$60,0)*'01_Input'!$Q$60))+IF('01_Input'!$T$60="Forfait",IF(K$20&gt;='01_Input'!$R$60,'01_Input'!$U$60,0),IF('01_Input'!$T$60="Palier",IF(AND(K$20&gt;='01_Input'!$R$60,K$20&lt;'01_Input'!$S$60),'01_Input'!$U$60,0),MAX(MIN(K$20,'01_Input'!$S$60)-'01_Input'!$R$60,0)*'01_Input'!$U$60))+IF('01_Input'!$X$60="Forfait",IF(K$20&gt;='01_Input'!$V$60,'01_Input'!$Y$60,0),IF('01_Input'!$X$60="Palier",IF(AND(K$20&gt;='01_Input'!$V$60,K$20&lt;'01_Input'!$W$60),'01_Input'!$Y$60,0),MAX(MIN(K$20,'01_Input'!$W$60)-'01_Input'!$V$60,0)*'01_Input'!$Y$60))+IF('01_Input'!$AB$60="Forfait",IF(K$20&gt;='01_Input'!$Z$60,'01_Input'!$AC$60,0),IF('01_Input'!$AB$60="Palier",IF(AND(K$20&gt;='01_Input'!$Z$60,K$20&lt;'01_Input'!$AA$60),'01_Input'!$AC$60,0),MAX(MIN(K$20,'01_Input'!$AA$60)-'01_Input'!$Z$60,0)*'01_Input'!$AC$60)))))))))</f>
        <v>800</v>
      </c>
      <c r="L28" s="83">
        <f>IF('01_Input'!$C$60="Non",0,MIN('01_Input'!$I$60,MAX('01_Input'!$H$60,IF('01_Input'!$G$60="Résiduel vs Gestion",0,IF('01_Input'!$G$60="Taux Classe sélectionnée",Distrib_Global_Classe_Selectionnee*L$20,IF('01_Input'!$G$60="Frais KYC (paliers de 100M€)",MAX(0,Nb_Investisseurs-Nb_KYC_Gratuites_Par_Tranche*(FLOOR(L$20/Taille_Tranche_KYC,1)+1))*Cout_Par_KYC_Supplementaire,(IF('01_Input'!$L$60="Forfait",IF(L$20&gt;='01_Input'!$J$60,'01_Input'!$M$60,0),IF('01_Input'!$L$60="Palier",IF(AND(L$20&gt;='01_Input'!$J$60,L$20&lt;'01_Input'!$K$60),'01_Input'!$M$60,0),MAX(MIN(L$20,'01_Input'!$K$60)-'01_Input'!$J$60,0)*'01_Input'!$M$60))+IF('01_Input'!$P$60="Forfait",IF(L$20&gt;='01_Input'!$N$60,'01_Input'!$Q$60,0),IF('01_Input'!$P$60="Palier",IF(AND(L$20&gt;='01_Input'!$N$60,L$20&lt;'01_Input'!$O$60),'01_Input'!$Q$60,0),MAX(MIN(L$20,'01_Input'!$O$60)-'01_Input'!$N$60,0)*'01_Input'!$Q$60))+IF('01_Input'!$T$60="Forfait",IF(L$20&gt;='01_Input'!$R$60,'01_Input'!$U$60,0),IF('01_Input'!$T$60="Palier",IF(AND(L$20&gt;='01_Input'!$R$60,L$20&lt;'01_Input'!$S$60),'01_Input'!$U$60,0),MAX(MIN(L$20,'01_Input'!$S$60)-'01_Input'!$R$60,0)*'01_Input'!$U$60))+IF('01_Input'!$X$60="Forfait",IF(L$20&gt;='01_Input'!$V$60,'01_Input'!$Y$60,0),IF('01_Input'!$X$60="Palier",IF(AND(L$20&gt;='01_Input'!$V$60,L$20&lt;'01_Input'!$W$60),'01_Input'!$Y$60,0),MAX(MIN(L$20,'01_Input'!$W$60)-'01_Input'!$V$60,0)*'01_Input'!$Y$60))+IF('01_Input'!$AB$60="Forfait",IF(L$20&gt;='01_Input'!$Z$60,'01_Input'!$AC$60,0),IF('01_Input'!$AB$60="Palier",IF(AND(L$20&gt;='01_Input'!$Z$60,L$20&lt;'01_Input'!$AA$60),'01_Input'!$AC$60,0),MAX(MIN(L$20,'01_Input'!$AA$60)-'01_Input'!$Z$60,0)*'01_Input'!$AC$60)))))))))</f>
        <v>800</v>
      </c>
      <c r="M28" s="83">
        <f>IF('01_Input'!$C$60="Non",0,MIN('01_Input'!$I$60,MAX('01_Input'!$H$60,IF('01_Input'!$G$60="Résiduel vs Gestion",0,IF('01_Input'!$G$60="Taux Classe sélectionnée",Distrib_Global_Classe_Selectionnee*M$20,IF('01_Input'!$G$60="Frais KYC (paliers de 100M€)",MAX(0,Nb_Investisseurs-Nb_KYC_Gratuites_Par_Tranche*(FLOOR(M$20/Taille_Tranche_KYC,1)+1))*Cout_Par_KYC_Supplementaire,(IF('01_Input'!$L$60="Forfait",IF(M$20&gt;='01_Input'!$J$60,'01_Input'!$M$60,0),IF('01_Input'!$L$60="Palier",IF(AND(M$20&gt;='01_Input'!$J$60,M$20&lt;'01_Input'!$K$60),'01_Input'!$M$60,0),MAX(MIN(M$20,'01_Input'!$K$60)-'01_Input'!$J$60,0)*'01_Input'!$M$60))+IF('01_Input'!$P$60="Forfait",IF(M$20&gt;='01_Input'!$N$60,'01_Input'!$Q$60,0),IF('01_Input'!$P$60="Palier",IF(AND(M$20&gt;='01_Input'!$N$60,M$20&lt;'01_Input'!$O$60),'01_Input'!$Q$60,0),MAX(MIN(M$20,'01_Input'!$O$60)-'01_Input'!$N$60,0)*'01_Input'!$Q$60))+IF('01_Input'!$T$60="Forfait",IF(M$20&gt;='01_Input'!$R$60,'01_Input'!$U$60,0),IF('01_Input'!$T$60="Palier",IF(AND(M$20&gt;='01_Input'!$R$60,M$20&lt;'01_Input'!$S$60),'01_Input'!$U$60,0),MAX(MIN(M$20,'01_Input'!$S$60)-'01_Input'!$R$60,0)*'01_Input'!$U$60))+IF('01_Input'!$X$60="Forfait",IF(M$20&gt;='01_Input'!$V$60,'01_Input'!$Y$60,0),IF('01_Input'!$X$60="Palier",IF(AND(M$20&gt;='01_Input'!$V$60,M$20&lt;'01_Input'!$W$60),'01_Input'!$Y$60,0),MAX(MIN(M$20,'01_Input'!$W$60)-'01_Input'!$V$60,0)*'01_Input'!$Y$60))+IF('01_Input'!$AB$60="Forfait",IF(M$20&gt;='01_Input'!$Z$60,'01_Input'!$AC$60,0),IF('01_Input'!$AB$60="Palier",IF(AND(M$20&gt;='01_Input'!$Z$60,M$20&lt;'01_Input'!$AA$60),'01_Input'!$AC$60,0),MAX(MIN(M$20,'01_Input'!$AA$60)-'01_Input'!$Z$60,0)*'01_Input'!$AC$60)))))))))</f>
        <v>800</v>
      </c>
      <c r="N28" s="83">
        <f>IF('01_Input'!$C$60="Non",0,MIN('01_Input'!$I$60,MAX('01_Input'!$H$60,IF('01_Input'!$G$60="Résiduel vs Gestion",0,IF('01_Input'!$G$60="Taux Classe sélectionnée",Distrib_Global_Classe_Selectionnee*N$20,IF('01_Input'!$G$60="Frais KYC (paliers de 100M€)",MAX(0,Nb_Investisseurs-Nb_KYC_Gratuites_Par_Tranche*(FLOOR(N$20/Taille_Tranche_KYC,1)+1))*Cout_Par_KYC_Supplementaire,(IF('01_Input'!$L$60="Forfait",IF(N$20&gt;='01_Input'!$J$60,'01_Input'!$M$60,0),IF('01_Input'!$L$60="Palier",IF(AND(N$20&gt;='01_Input'!$J$60,N$20&lt;'01_Input'!$K$60),'01_Input'!$M$60,0),MAX(MIN(N$20,'01_Input'!$K$60)-'01_Input'!$J$60,0)*'01_Input'!$M$60))+IF('01_Input'!$P$60="Forfait",IF(N$20&gt;='01_Input'!$N$60,'01_Input'!$Q$60,0),IF('01_Input'!$P$60="Palier",IF(AND(N$20&gt;='01_Input'!$N$60,N$20&lt;'01_Input'!$O$60),'01_Input'!$Q$60,0),MAX(MIN(N$20,'01_Input'!$O$60)-'01_Input'!$N$60,0)*'01_Input'!$Q$60))+IF('01_Input'!$T$60="Forfait",IF(N$20&gt;='01_Input'!$R$60,'01_Input'!$U$60,0),IF('01_Input'!$T$60="Palier",IF(AND(N$20&gt;='01_Input'!$R$60,N$20&lt;'01_Input'!$S$60),'01_Input'!$U$60,0),MAX(MIN(N$20,'01_Input'!$S$60)-'01_Input'!$R$60,0)*'01_Input'!$U$60))+IF('01_Input'!$X$60="Forfait",IF(N$20&gt;='01_Input'!$V$60,'01_Input'!$Y$60,0),IF('01_Input'!$X$60="Palier",IF(AND(N$20&gt;='01_Input'!$V$60,N$20&lt;'01_Input'!$W$60),'01_Input'!$Y$60,0),MAX(MIN(N$20,'01_Input'!$W$60)-'01_Input'!$V$60,0)*'01_Input'!$Y$60))+IF('01_Input'!$AB$60="Forfait",IF(N$20&gt;='01_Input'!$Z$60,'01_Input'!$AC$60,0),IF('01_Input'!$AB$60="Palier",IF(AND(N$20&gt;='01_Input'!$Z$60,N$20&lt;'01_Input'!$AA$60),'01_Input'!$AC$60,0),MAX(MIN(N$20,'01_Input'!$AA$60)-'01_Input'!$Z$60,0)*'01_Input'!$AC$60)))))))))</f>
        <v>800</v>
      </c>
      <c r="O28" s="83">
        <f>IF('01_Input'!$C$60="Non",0,MIN('01_Input'!$I$60,MAX('01_Input'!$H$60,IF('01_Input'!$G$60="Résiduel vs Gestion",0,IF('01_Input'!$G$60="Taux Classe sélectionnée",Distrib_Global_Classe_Selectionnee*O$20,IF('01_Input'!$G$60="Frais KYC (paliers de 100M€)",MAX(0,Nb_Investisseurs-Nb_KYC_Gratuites_Par_Tranche*(FLOOR(O$20/Taille_Tranche_KYC,1)+1))*Cout_Par_KYC_Supplementaire,(IF('01_Input'!$L$60="Forfait",IF(O$20&gt;='01_Input'!$J$60,'01_Input'!$M$60,0),IF('01_Input'!$L$60="Palier",IF(AND(O$20&gt;='01_Input'!$J$60,O$20&lt;'01_Input'!$K$60),'01_Input'!$M$60,0),MAX(MIN(O$20,'01_Input'!$K$60)-'01_Input'!$J$60,0)*'01_Input'!$M$60))+IF('01_Input'!$P$60="Forfait",IF(O$20&gt;='01_Input'!$N$60,'01_Input'!$Q$60,0),IF('01_Input'!$P$60="Palier",IF(AND(O$20&gt;='01_Input'!$N$60,O$20&lt;'01_Input'!$O$60),'01_Input'!$Q$60,0),MAX(MIN(O$20,'01_Input'!$O$60)-'01_Input'!$N$60,0)*'01_Input'!$Q$60))+IF('01_Input'!$T$60="Forfait",IF(O$20&gt;='01_Input'!$R$60,'01_Input'!$U$60,0),IF('01_Input'!$T$60="Palier",IF(AND(O$20&gt;='01_Input'!$R$60,O$20&lt;'01_Input'!$S$60),'01_Input'!$U$60,0),MAX(MIN(O$20,'01_Input'!$S$60)-'01_Input'!$R$60,0)*'01_Input'!$U$60))+IF('01_Input'!$X$60="Forfait",IF(O$20&gt;='01_Input'!$V$60,'01_Input'!$Y$60,0),IF('01_Input'!$X$60="Palier",IF(AND(O$20&gt;='01_Input'!$V$60,O$20&lt;'01_Input'!$W$60),'01_Input'!$Y$60,0),MAX(MIN(O$20,'01_Input'!$W$60)-'01_Input'!$V$60,0)*'01_Input'!$Y$60))+IF('01_Input'!$AB$60="Forfait",IF(O$20&gt;='01_Input'!$Z$60,'01_Input'!$AC$60,0),IF('01_Input'!$AB$60="Palier",IF(AND(O$20&gt;='01_Input'!$Z$60,O$20&lt;'01_Input'!$AA$60),'01_Input'!$AC$60,0),MAX(MIN(O$20,'01_Input'!$AA$60)-'01_Input'!$Z$60,0)*'01_Input'!$AC$60)))))))))</f>
        <v>800</v>
      </c>
      <c r="P28" s="83">
        <f>IF('01_Input'!$C$60="Non",0,MIN('01_Input'!$I$60,MAX('01_Input'!$H$60,IF('01_Input'!$G$60="Résiduel vs Gestion",0,IF('01_Input'!$G$60="Taux Classe sélectionnée",Distrib_Global_Classe_Selectionnee*P$20,IF('01_Input'!$G$60="Frais KYC (paliers de 100M€)",MAX(0,Nb_Investisseurs-Nb_KYC_Gratuites_Par_Tranche*(FLOOR(P$20/Taille_Tranche_KYC,1)+1))*Cout_Par_KYC_Supplementaire,(IF('01_Input'!$L$60="Forfait",IF(P$20&gt;='01_Input'!$J$60,'01_Input'!$M$60,0),IF('01_Input'!$L$60="Palier",IF(AND(P$20&gt;='01_Input'!$J$60,P$20&lt;'01_Input'!$K$60),'01_Input'!$M$60,0),MAX(MIN(P$20,'01_Input'!$K$60)-'01_Input'!$J$60,0)*'01_Input'!$M$60))+IF('01_Input'!$P$60="Forfait",IF(P$20&gt;='01_Input'!$N$60,'01_Input'!$Q$60,0),IF('01_Input'!$P$60="Palier",IF(AND(P$20&gt;='01_Input'!$N$60,P$20&lt;'01_Input'!$O$60),'01_Input'!$Q$60,0),MAX(MIN(P$20,'01_Input'!$O$60)-'01_Input'!$N$60,0)*'01_Input'!$Q$60))+IF('01_Input'!$T$60="Forfait",IF(P$20&gt;='01_Input'!$R$60,'01_Input'!$U$60,0),IF('01_Input'!$T$60="Palier",IF(AND(P$20&gt;='01_Input'!$R$60,P$20&lt;'01_Input'!$S$60),'01_Input'!$U$60,0),MAX(MIN(P$20,'01_Input'!$S$60)-'01_Input'!$R$60,0)*'01_Input'!$U$60))+IF('01_Input'!$X$60="Forfait",IF(P$20&gt;='01_Input'!$V$60,'01_Input'!$Y$60,0),IF('01_Input'!$X$60="Palier",IF(AND(P$20&gt;='01_Input'!$V$60,P$20&lt;'01_Input'!$W$60),'01_Input'!$Y$60,0),MAX(MIN(P$20,'01_Input'!$W$60)-'01_Input'!$V$60,0)*'01_Input'!$Y$60))+IF('01_Input'!$AB$60="Forfait",IF(P$20&gt;='01_Input'!$Z$60,'01_Input'!$AC$60,0),IF('01_Input'!$AB$60="Palier",IF(AND(P$20&gt;='01_Input'!$Z$60,P$20&lt;'01_Input'!$AA$60),'01_Input'!$AC$60,0),MAX(MIN(P$20,'01_Input'!$AA$60)-'01_Input'!$Z$60,0)*'01_Input'!$AC$60)))))))))</f>
        <v>800</v>
      </c>
      <c r="Q28" s="83">
        <f>IF('01_Input'!$C$60="Non",0,MIN('01_Input'!$I$60,MAX('01_Input'!$H$60,IF('01_Input'!$G$60="Résiduel vs Gestion",0,IF('01_Input'!$G$60="Taux Classe sélectionnée",Distrib_Global_Classe_Selectionnee*Q$20,IF('01_Input'!$G$60="Frais KYC (paliers de 100M€)",MAX(0,Nb_Investisseurs-Nb_KYC_Gratuites_Par_Tranche*(FLOOR(Q$20/Taille_Tranche_KYC,1)+1))*Cout_Par_KYC_Supplementaire,(IF('01_Input'!$L$60="Forfait",IF(Q$20&gt;='01_Input'!$J$60,'01_Input'!$M$60,0),IF('01_Input'!$L$60="Palier",IF(AND(Q$20&gt;='01_Input'!$J$60,Q$20&lt;'01_Input'!$K$60),'01_Input'!$M$60,0),MAX(MIN(Q$20,'01_Input'!$K$60)-'01_Input'!$J$60,0)*'01_Input'!$M$60))+IF('01_Input'!$P$60="Forfait",IF(Q$20&gt;='01_Input'!$N$60,'01_Input'!$Q$60,0),IF('01_Input'!$P$60="Palier",IF(AND(Q$20&gt;='01_Input'!$N$60,Q$20&lt;'01_Input'!$O$60),'01_Input'!$Q$60,0),MAX(MIN(Q$20,'01_Input'!$O$60)-'01_Input'!$N$60,0)*'01_Input'!$Q$60))+IF('01_Input'!$T$60="Forfait",IF(Q$20&gt;='01_Input'!$R$60,'01_Input'!$U$60,0),IF('01_Input'!$T$60="Palier",IF(AND(Q$20&gt;='01_Input'!$R$60,Q$20&lt;'01_Input'!$S$60),'01_Input'!$U$60,0),MAX(MIN(Q$20,'01_Input'!$S$60)-'01_Input'!$R$60,0)*'01_Input'!$U$60))+IF('01_Input'!$X$60="Forfait",IF(Q$20&gt;='01_Input'!$V$60,'01_Input'!$Y$60,0),IF('01_Input'!$X$60="Palier",IF(AND(Q$20&gt;='01_Input'!$V$60,Q$20&lt;'01_Input'!$W$60),'01_Input'!$Y$60,0),MAX(MIN(Q$20,'01_Input'!$W$60)-'01_Input'!$V$60,0)*'01_Input'!$Y$60))+IF('01_Input'!$AB$60="Forfait",IF(Q$20&gt;='01_Input'!$Z$60,'01_Input'!$AC$60,0),IF('01_Input'!$AB$60="Palier",IF(AND(Q$20&gt;='01_Input'!$Z$60,Q$20&lt;'01_Input'!$AA$60),'01_Input'!$AC$60,0),MAX(MIN(Q$20,'01_Input'!$AA$60)-'01_Input'!$Z$60,0)*'01_Input'!$AC$60)))))))))</f>
        <v>800</v>
      </c>
      <c r="R28" s="83">
        <f>IF('01_Input'!$C$60="Non",0,MIN('01_Input'!$I$60,MAX('01_Input'!$H$60,IF('01_Input'!$G$60="Résiduel vs Gestion",0,IF('01_Input'!$G$60="Taux Classe sélectionnée",Distrib_Global_Classe_Selectionnee*R$20,IF('01_Input'!$G$60="Frais KYC (paliers de 100M€)",MAX(0,Nb_Investisseurs-Nb_KYC_Gratuites_Par_Tranche*(FLOOR(R$20/Taille_Tranche_KYC,1)+1))*Cout_Par_KYC_Supplementaire,(IF('01_Input'!$L$60="Forfait",IF(R$20&gt;='01_Input'!$J$60,'01_Input'!$M$60,0),IF('01_Input'!$L$60="Palier",IF(AND(R$20&gt;='01_Input'!$J$60,R$20&lt;'01_Input'!$K$60),'01_Input'!$M$60,0),MAX(MIN(R$20,'01_Input'!$K$60)-'01_Input'!$J$60,0)*'01_Input'!$M$60))+IF('01_Input'!$P$60="Forfait",IF(R$20&gt;='01_Input'!$N$60,'01_Input'!$Q$60,0),IF('01_Input'!$P$60="Palier",IF(AND(R$20&gt;='01_Input'!$N$60,R$20&lt;'01_Input'!$O$60),'01_Input'!$Q$60,0),MAX(MIN(R$20,'01_Input'!$O$60)-'01_Input'!$N$60,0)*'01_Input'!$Q$60))+IF('01_Input'!$T$60="Forfait",IF(R$20&gt;='01_Input'!$R$60,'01_Input'!$U$60,0),IF('01_Input'!$T$60="Palier",IF(AND(R$20&gt;='01_Input'!$R$60,R$20&lt;'01_Input'!$S$60),'01_Input'!$U$60,0),MAX(MIN(R$20,'01_Input'!$S$60)-'01_Input'!$R$60,0)*'01_Input'!$U$60))+IF('01_Input'!$X$60="Forfait",IF(R$20&gt;='01_Input'!$V$60,'01_Input'!$Y$60,0),IF('01_Input'!$X$60="Palier",IF(AND(R$20&gt;='01_Input'!$V$60,R$20&lt;'01_Input'!$W$60),'01_Input'!$Y$60,0),MAX(MIN(R$20,'01_Input'!$W$60)-'01_Input'!$V$60,0)*'01_Input'!$Y$60))+IF('01_Input'!$AB$60="Forfait",IF(R$20&gt;='01_Input'!$Z$60,'01_Input'!$AC$60,0),IF('01_Input'!$AB$60="Palier",IF(AND(R$20&gt;='01_Input'!$Z$60,R$20&lt;'01_Input'!$AA$60),'01_Input'!$AC$60,0),MAX(MIN(R$20,'01_Input'!$AA$60)-'01_Input'!$Z$60,0)*'01_Input'!$AC$60)))))))))</f>
        <v>800</v>
      </c>
      <c r="S28" s="83">
        <f>IF('01_Input'!$C$60="Non",0,MIN('01_Input'!$I$60,MAX('01_Input'!$H$60,IF('01_Input'!$G$60="Résiduel vs Gestion",0,IF('01_Input'!$G$60="Taux Classe sélectionnée",Distrib_Global_Classe_Selectionnee*S$20,IF('01_Input'!$G$60="Frais KYC (paliers de 100M€)",MAX(0,Nb_Investisseurs-Nb_KYC_Gratuites_Par_Tranche*(FLOOR(S$20/Taille_Tranche_KYC,1)+1))*Cout_Par_KYC_Supplementaire,(IF('01_Input'!$L$60="Forfait",IF(S$20&gt;='01_Input'!$J$60,'01_Input'!$M$60,0),IF('01_Input'!$L$60="Palier",IF(AND(S$20&gt;='01_Input'!$J$60,S$20&lt;'01_Input'!$K$60),'01_Input'!$M$60,0),MAX(MIN(S$20,'01_Input'!$K$60)-'01_Input'!$J$60,0)*'01_Input'!$M$60))+IF('01_Input'!$P$60="Forfait",IF(S$20&gt;='01_Input'!$N$60,'01_Input'!$Q$60,0),IF('01_Input'!$P$60="Palier",IF(AND(S$20&gt;='01_Input'!$N$60,S$20&lt;'01_Input'!$O$60),'01_Input'!$Q$60,0),MAX(MIN(S$20,'01_Input'!$O$60)-'01_Input'!$N$60,0)*'01_Input'!$Q$60))+IF('01_Input'!$T$60="Forfait",IF(S$20&gt;='01_Input'!$R$60,'01_Input'!$U$60,0),IF('01_Input'!$T$60="Palier",IF(AND(S$20&gt;='01_Input'!$R$60,S$20&lt;'01_Input'!$S$60),'01_Input'!$U$60,0),MAX(MIN(S$20,'01_Input'!$S$60)-'01_Input'!$R$60,0)*'01_Input'!$U$60))+IF('01_Input'!$X$60="Forfait",IF(S$20&gt;='01_Input'!$V$60,'01_Input'!$Y$60,0),IF('01_Input'!$X$60="Palier",IF(AND(S$20&gt;='01_Input'!$V$60,S$20&lt;'01_Input'!$W$60),'01_Input'!$Y$60,0),MAX(MIN(S$20,'01_Input'!$W$60)-'01_Input'!$V$60,0)*'01_Input'!$Y$60))+IF('01_Input'!$AB$60="Forfait",IF(S$20&gt;='01_Input'!$Z$60,'01_Input'!$AC$60,0),IF('01_Input'!$AB$60="Palier",IF(AND(S$20&gt;='01_Input'!$Z$60,S$20&lt;'01_Input'!$AA$60),'01_Input'!$AC$60,0),MAX(MIN(S$20,'01_Input'!$AA$60)-'01_Input'!$Z$60,0)*'01_Input'!$AC$60)))))))))</f>
        <v>800</v>
      </c>
      <c r="T28" s="83">
        <f>IF('01_Input'!$C$60="Non",0,MIN('01_Input'!$I$60,MAX('01_Input'!$H$60,IF('01_Input'!$G$60="Résiduel vs Gestion",0,IF('01_Input'!$G$60="Taux Classe sélectionnée",Distrib_Global_Classe_Selectionnee*T$20,IF('01_Input'!$G$60="Frais KYC (paliers de 100M€)",MAX(0,Nb_Investisseurs-Nb_KYC_Gratuites_Par_Tranche*(FLOOR(T$20/Taille_Tranche_KYC,1)+1))*Cout_Par_KYC_Supplementaire,(IF('01_Input'!$L$60="Forfait",IF(T$20&gt;='01_Input'!$J$60,'01_Input'!$M$60,0),IF('01_Input'!$L$60="Palier",IF(AND(T$20&gt;='01_Input'!$J$60,T$20&lt;'01_Input'!$K$60),'01_Input'!$M$60,0),MAX(MIN(T$20,'01_Input'!$K$60)-'01_Input'!$J$60,0)*'01_Input'!$M$60))+IF('01_Input'!$P$60="Forfait",IF(T$20&gt;='01_Input'!$N$60,'01_Input'!$Q$60,0),IF('01_Input'!$P$60="Palier",IF(AND(T$20&gt;='01_Input'!$N$60,T$20&lt;'01_Input'!$O$60),'01_Input'!$Q$60,0),MAX(MIN(T$20,'01_Input'!$O$60)-'01_Input'!$N$60,0)*'01_Input'!$Q$60))+IF('01_Input'!$T$60="Forfait",IF(T$20&gt;='01_Input'!$R$60,'01_Input'!$U$60,0),IF('01_Input'!$T$60="Palier",IF(AND(T$20&gt;='01_Input'!$R$60,T$20&lt;'01_Input'!$S$60),'01_Input'!$U$60,0),MAX(MIN(T$20,'01_Input'!$S$60)-'01_Input'!$R$60,0)*'01_Input'!$U$60))+IF('01_Input'!$X$60="Forfait",IF(T$20&gt;='01_Input'!$V$60,'01_Input'!$Y$60,0),IF('01_Input'!$X$60="Palier",IF(AND(T$20&gt;='01_Input'!$V$60,T$20&lt;'01_Input'!$W$60),'01_Input'!$Y$60,0),MAX(MIN(T$20,'01_Input'!$W$60)-'01_Input'!$V$60,0)*'01_Input'!$Y$60))+IF('01_Input'!$AB$60="Forfait",IF(T$20&gt;='01_Input'!$Z$60,'01_Input'!$AC$60,0),IF('01_Input'!$AB$60="Palier",IF(AND(T$20&gt;='01_Input'!$Z$60,T$20&lt;'01_Input'!$AA$60),'01_Input'!$AC$60,0),MAX(MIN(T$20,'01_Input'!$AA$60)-'01_Input'!$Z$60,0)*'01_Input'!$AC$60)))))))))</f>
        <v>800</v>
      </c>
      <c r="U28" s="83">
        <f>IF('01_Input'!$C$60="Non",0,MIN('01_Input'!$I$60,MAX('01_Input'!$H$60,IF('01_Input'!$G$60="Résiduel vs Gestion",0,IF('01_Input'!$G$60="Taux Classe sélectionnée",Distrib_Global_Classe_Selectionnee*U$20,IF('01_Input'!$G$60="Frais KYC (paliers de 100M€)",MAX(0,Nb_Investisseurs-Nb_KYC_Gratuites_Par_Tranche*(FLOOR(U$20/Taille_Tranche_KYC,1)+1))*Cout_Par_KYC_Supplementaire,(IF('01_Input'!$L$60="Forfait",IF(U$20&gt;='01_Input'!$J$60,'01_Input'!$M$60,0),IF('01_Input'!$L$60="Palier",IF(AND(U$20&gt;='01_Input'!$J$60,U$20&lt;'01_Input'!$K$60),'01_Input'!$M$60,0),MAX(MIN(U$20,'01_Input'!$K$60)-'01_Input'!$J$60,0)*'01_Input'!$M$60))+IF('01_Input'!$P$60="Forfait",IF(U$20&gt;='01_Input'!$N$60,'01_Input'!$Q$60,0),IF('01_Input'!$P$60="Palier",IF(AND(U$20&gt;='01_Input'!$N$60,U$20&lt;'01_Input'!$O$60),'01_Input'!$Q$60,0),MAX(MIN(U$20,'01_Input'!$O$60)-'01_Input'!$N$60,0)*'01_Input'!$Q$60))+IF('01_Input'!$T$60="Forfait",IF(U$20&gt;='01_Input'!$R$60,'01_Input'!$U$60,0),IF('01_Input'!$T$60="Palier",IF(AND(U$20&gt;='01_Input'!$R$60,U$20&lt;'01_Input'!$S$60),'01_Input'!$U$60,0),MAX(MIN(U$20,'01_Input'!$S$60)-'01_Input'!$R$60,0)*'01_Input'!$U$60))+IF('01_Input'!$X$60="Forfait",IF(U$20&gt;='01_Input'!$V$60,'01_Input'!$Y$60,0),IF('01_Input'!$X$60="Palier",IF(AND(U$20&gt;='01_Input'!$V$60,U$20&lt;'01_Input'!$W$60),'01_Input'!$Y$60,0),MAX(MIN(U$20,'01_Input'!$W$60)-'01_Input'!$V$60,0)*'01_Input'!$Y$60))+IF('01_Input'!$AB$60="Forfait",IF(U$20&gt;='01_Input'!$Z$60,'01_Input'!$AC$60,0),IF('01_Input'!$AB$60="Palier",IF(AND(U$20&gt;='01_Input'!$Z$60,U$20&lt;'01_Input'!$AA$60),'01_Input'!$AC$60,0),MAX(MIN(U$20,'01_Input'!$AA$60)-'01_Input'!$Z$60,0)*'01_Input'!$AC$60)))))))))</f>
        <v>800</v>
      </c>
      <c r="V28" s="83">
        <f>IF('01_Input'!$C$60="Non",0,MIN('01_Input'!$I$60,MAX('01_Input'!$H$60,IF('01_Input'!$G$60="Résiduel vs Gestion",0,IF('01_Input'!$G$60="Taux Classe sélectionnée",Distrib_Global_Classe_Selectionnee*V$20,IF('01_Input'!$G$60="Frais KYC (paliers de 100M€)",MAX(0,Nb_Investisseurs-Nb_KYC_Gratuites_Par_Tranche*(FLOOR(V$20/Taille_Tranche_KYC,1)+1))*Cout_Par_KYC_Supplementaire,(IF('01_Input'!$L$60="Forfait",IF(V$20&gt;='01_Input'!$J$60,'01_Input'!$M$60,0),IF('01_Input'!$L$60="Palier",IF(AND(V$20&gt;='01_Input'!$J$60,V$20&lt;'01_Input'!$K$60),'01_Input'!$M$60,0),MAX(MIN(V$20,'01_Input'!$K$60)-'01_Input'!$J$60,0)*'01_Input'!$M$60))+IF('01_Input'!$P$60="Forfait",IF(V$20&gt;='01_Input'!$N$60,'01_Input'!$Q$60,0),IF('01_Input'!$P$60="Palier",IF(AND(V$20&gt;='01_Input'!$N$60,V$20&lt;'01_Input'!$O$60),'01_Input'!$Q$60,0),MAX(MIN(V$20,'01_Input'!$O$60)-'01_Input'!$N$60,0)*'01_Input'!$Q$60))+IF('01_Input'!$T$60="Forfait",IF(V$20&gt;='01_Input'!$R$60,'01_Input'!$U$60,0),IF('01_Input'!$T$60="Palier",IF(AND(V$20&gt;='01_Input'!$R$60,V$20&lt;'01_Input'!$S$60),'01_Input'!$U$60,0),MAX(MIN(V$20,'01_Input'!$S$60)-'01_Input'!$R$60,0)*'01_Input'!$U$60))+IF('01_Input'!$X$60="Forfait",IF(V$20&gt;='01_Input'!$V$60,'01_Input'!$Y$60,0),IF('01_Input'!$X$60="Palier",IF(AND(V$20&gt;='01_Input'!$V$60,V$20&lt;'01_Input'!$W$60),'01_Input'!$Y$60,0),MAX(MIN(V$20,'01_Input'!$W$60)-'01_Input'!$V$60,0)*'01_Input'!$Y$60))+IF('01_Input'!$AB$60="Forfait",IF(V$20&gt;='01_Input'!$Z$60,'01_Input'!$AC$60,0),IF('01_Input'!$AB$60="Palier",IF(AND(V$20&gt;='01_Input'!$Z$60,V$20&lt;'01_Input'!$AA$60),'01_Input'!$AC$60,0),MAX(MIN(V$20,'01_Input'!$AA$60)-'01_Input'!$Z$60,0)*'01_Input'!$AC$60)))))))))</f>
        <v>800</v>
      </c>
      <c r="W28" s="83">
        <f>IF('01_Input'!$C$60="Non",0,MIN('01_Input'!$I$60,MAX('01_Input'!$H$60,IF('01_Input'!$G$60="Résiduel vs Gestion",0,IF('01_Input'!$G$60="Taux Classe sélectionnée",Distrib_Global_Classe_Selectionnee*W$20,IF('01_Input'!$G$60="Frais KYC (paliers de 100M€)",MAX(0,Nb_Investisseurs-Nb_KYC_Gratuites_Par_Tranche*(FLOOR(W$20/Taille_Tranche_KYC,1)+1))*Cout_Par_KYC_Supplementaire,(IF('01_Input'!$L$60="Forfait",IF(W$20&gt;='01_Input'!$J$60,'01_Input'!$M$60,0),IF('01_Input'!$L$60="Palier",IF(AND(W$20&gt;='01_Input'!$J$60,W$20&lt;'01_Input'!$K$60),'01_Input'!$M$60,0),MAX(MIN(W$20,'01_Input'!$K$60)-'01_Input'!$J$60,0)*'01_Input'!$M$60))+IF('01_Input'!$P$60="Forfait",IF(W$20&gt;='01_Input'!$N$60,'01_Input'!$Q$60,0),IF('01_Input'!$P$60="Palier",IF(AND(W$20&gt;='01_Input'!$N$60,W$20&lt;'01_Input'!$O$60),'01_Input'!$Q$60,0),MAX(MIN(W$20,'01_Input'!$O$60)-'01_Input'!$N$60,0)*'01_Input'!$Q$60))+IF('01_Input'!$T$60="Forfait",IF(W$20&gt;='01_Input'!$R$60,'01_Input'!$U$60,0),IF('01_Input'!$T$60="Palier",IF(AND(W$20&gt;='01_Input'!$R$60,W$20&lt;'01_Input'!$S$60),'01_Input'!$U$60,0),MAX(MIN(W$20,'01_Input'!$S$60)-'01_Input'!$R$60,0)*'01_Input'!$U$60))+IF('01_Input'!$X$60="Forfait",IF(W$20&gt;='01_Input'!$V$60,'01_Input'!$Y$60,0),IF('01_Input'!$X$60="Palier",IF(AND(W$20&gt;='01_Input'!$V$60,W$20&lt;'01_Input'!$W$60),'01_Input'!$Y$60,0),MAX(MIN(W$20,'01_Input'!$W$60)-'01_Input'!$V$60,0)*'01_Input'!$Y$60))+IF('01_Input'!$AB$60="Forfait",IF(W$20&gt;='01_Input'!$Z$60,'01_Input'!$AC$60,0),IF('01_Input'!$AB$60="Palier",IF(AND(W$20&gt;='01_Input'!$Z$60,W$20&lt;'01_Input'!$AA$60),'01_Input'!$AC$60,0),MAX(MIN(W$20,'01_Input'!$AA$60)-'01_Input'!$Z$60,0)*'01_Input'!$AC$60)))))))))</f>
        <v>800</v>
      </c>
      <c r="X28" s="83">
        <f>IF('01_Input'!$C$60="Non",0,MIN('01_Input'!$I$60,MAX('01_Input'!$H$60,IF('01_Input'!$G$60="Résiduel vs Gestion",0,IF('01_Input'!$G$60="Taux Classe sélectionnée",Distrib_Global_Classe_Selectionnee*X$20,IF('01_Input'!$G$60="Frais KYC (paliers de 100M€)",MAX(0,Nb_Investisseurs-Nb_KYC_Gratuites_Par_Tranche*(FLOOR(X$20/Taille_Tranche_KYC,1)+1))*Cout_Par_KYC_Supplementaire,(IF('01_Input'!$L$60="Forfait",IF(X$20&gt;='01_Input'!$J$60,'01_Input'!$M$60,0),IF('01_Input'!$L$60="Palier",IF(AND(X$20&gt;='01_Input'!$J$60,X$20&lt;'01_Input'!$K$60),'01_Input'!$M$60,0),MAX(MIN(X$20,'01_Input'!$K$60)-'01_Input'!$J$60,0)*'01_Input'!$M$60))+IF('01_Input'!$P$60="Forfait",IF(X$20&gt;='01_Input'!$N$60,'01_Input'!$Q$60,0),IF('01_Input'!$P$60="Palier",IF(AND(X$20&gt;='01_Input'!$N$60,X$20&lt;'01_Input'!$O$60),'01_Input'!$Q$60,0),MAX(MIN(X$20,'01_Input'!$O$60)-'01_Input'!$N$60,0)*'01_Input'!$Q$60))+IF('01_Input'!$T$60="Forfait",IF(X$20&gt;='01_Input'!$R$60,'01_Input'!$U$60,0),IF('01_Input'!$T$60="Palier",IF(AND(X$20&gt;='01_Input'!$R$60,X$20&lt;'01_Input'!$S$60),'01_Input'!$U$60,0),MAX(MIN(X$20,'01_Input'!$S$60)-'01_Input'!$R$60,0)*'01_Input'!$U$60))+IF('01_Input'!$X$60="Forfait",IF(X$20&gt;='01_Input'!$V$60,'01_Input'!$Y$60,0),IF('01_Input'!$X$60="Palier",IF(AND(X$20&gt;='01_Input'!$V$60,X$20&lt;'01_Input'!$W$60),'01_Input'!$Y$60,0),MAX(MIN(X$20,'01_Input'!$W$60)-'01_Input'!$V$60,0)*'01_Input'!$Y$60))+IF('01_Input'!$AB$60="Forfait",IF(X$20&gt;='01_Input'!$Z$60,'01_Input'!$AC$60,0),IF('01_Input'!$AB$60="Palier",IF(AND(X$20&gt;='01_Input'!$Z$60,X$20&lt;'01_Input'!$AA$60),'01_Input'!$AC$60,0),MAX(MIN(X$20,'01_Input'!$AA$60)-'01_Input'!$Z$60,0)*'01_Input'!$AC$60)))))))))</f>
        <v>800</v>
      </c>
      <c r="Y28" s="83">
        <f>IF('01_Input'!$C$60="Non",0,MIN('01_Input'!$I$60,MAX('01_Input'!$H$60,IF('01_Input'!$G$60="Résiduel vs Gestion",0,IF('01_Input'!$G$60="Taux Classe sélectionnée",Distrib_Global_Classe_Selectionnee*Y$20,IF('01_Input'!$G$60="Frais KYC (paliers de 100M€)",MAX(0,Nb_Investisseurs-Nb_KYC_Gratuites_Par_Tranche*(FLOOR(Y$20/Taille_Tranche_KYC,1)+1))*Cout_Par_KYC_Supplementaire,(IF('01_Input'!$L$60="Forfait",IF(Y$20&gt;='01_Input'!$J$60,'01_Input'!$M$60,0),IF('01_Input'!$L$60="Palier",IF(AND(Y$20&gt;='01_Input'!$J$60,Y$20&lt;'01_Input'!$K$60),'01_Input'!$M$60,0),MAX(MIN(Y$20,'01_Input'!$K$60)-'01_Input'!$J$60,0)*'01_Input'!$M$60))+IF('01_Input'!$P$60="Forfait",IF(Y$20&gt;='01_Input'!$N$60,'01_Input'!$Q$60,0),IF('01_Input'!$P$60="Palier",IF(AND(Y$20&gt;='01_Input'!$N$60,Y$20&lt;'01_Input'!$O$60),'01_Input'!$Q$60,0),MAX(MIN(Y$20,'01_Input'!$O$60)-'01_Input'!$N$60,0)*'01_Input'!$Q$60))+IF('01_Input'!$T$60="Forfait",IF(Y$20&gt;='01_Input'!$R$60,'01_Input'!$U$60,0),IF('01_Input'!$T$60="Palier",IF(AND(Y$20&gt;='01_Input'!$R$60,Y$20&lt;'01_Input'!$S$60),'01_Input'!$U$60,0),MAX(MIN(Y$20,'01_Input'!$S$60)-'01_Input'!$R$60,0)*'01_Input'!$U$60))+IF('01_Input'!$X$60="Forfait",IF(Y$20&gt;='01_Input'!$V$60,'01_Input'!$Y$60,0),IF('01_Input'!$X$60="Palier",IF(AND(Y$20&gt;='01_Input'!$V$60,Y$20&lt;'01_Input'!$W$60),'01_Input'!$Y$60,0),MAX(MIN(Y$20,'01_Input'!$W$60)-'01_Input'!$V$60,0)*'01_Input'!$Y$60))+IF('01_Input'!$AB$60="Forfait",IF(Y$20&gt;='01_Input'!$Z$60,'01_Input'!$AC$60,0),IF('01_Input'!$AB$60="Palier",IF(AND(Y$20&gt;='01_Input'!$Z$60,Y$20&lt;'01_Input'!$AA$60),'01_Input'!$AC$60,0),MAX(MIN(Y$20,'01_Input'!$AA$60)-'01_Input'!$Z$60,0)*'01_Input'!$AC$60)))))))))</f>
        <v>800</v>
      </c>
      <c r="Z28" s="83">
        <f>IF('01_Input'!$C$60="Non",0,MIN('01_Input'!$I$60,MAX('01_Input'!$H$60,IF('01_Input'!$G$60="Résiduel vs Gestion",0,IF('01_Input'!$G$60="Taux Classe sélectionnée",Distrib_Global_Classe_Selectionnee*Z$20,IF('01_Input'!$G$60="Frais KYC (paliers de 100M€)",MAX(0,Nb_Investisseurs-Nb_KYC_Gratuites_Par_Tranche*(FLOOR(Z$20/Taille_Tranche_KYC,1)+1))*Cout_Par_KYC_Supplementaire,(IF('01_Input'!$L$60="Forfait",IF(Z$20&gt;='01_Input'!$J$60,'01_Input'!$M$60,0),IF('01_Input'!$L$60="Palier",IF(AND(Z$20&gt;='01_Input'!$J$60,Z$20&lt;'01_Input'!$K$60),'01_Input'!$M$60,0),MAX(MIN(Z$20,'01_Input'!$K$60)-'01_Input'!$J$60,0)*'01_Input'!$M$60))+IF('01_Input'!$P$60="Forfait",IF(Z$20&gt;='01_Input'!$N$60,'01_Input'!$Q$60,0),IF('01_Input'!$P$60="Palier",IF(AND(Z$20&gt;='01_Input'!$N$60,Z$20&lt;'01_Input'!$O$60),'01_Input'!$Q$60,0),MAX(MIN(Z$20,'01_Input'!$O$60)-'01_Input'!$N$60,0)*'01_Input'!$Q$60))+IF('01_Input'!$T$60="Forfait",IF(Z$20&gt;='01_Input'!$R$60,'01_Input'!$U$60,0),IF('01_Input'!$T$60="Palier",IF(AND(Z$20&gt;='01_Input'!$R$60,Z$20&lt;'01_Input'!$S$60),'01_Input'!$U$60,0),MAX(MIN(Z$20,'01_Input'!$S$60)-'01_Input'!$R$60,0)*'01_Input'!$U$60))+IF('01_Input'!$X$60="Forfait",IF(Z$20&gt;='01_Input'!$V$60,'01_Input'!$Y$60,0),IF('01_Input'!$X$60="Palier",IF(AND(Z$20&gt;='01_Input'!$V$60,Z$20&lt;'01_Input'!$W$60),'01_Input'!$Y$60,0),MAX(MIN(Z$20,'01_Input'!$W$60)-'01_Input'!$V$60,0)*'01_Input'!$Y$60))+IF('01_Input'!$AB$60="Forfait",IF(Z$20&gt;='01_Input'!$Z$60,'01_Input'!$AC$60,0),IF('01_Input'!$AB$60="Palier",IF(AND(Z$20&gt;='01_Input'!$Z$60,Z$20&lt;'01_Input'!$AA$60),'01_Input'!$AC$60,0),MAX(MIN(Z$20,'01_Input'!$AA$60)-'01_Input'!$Z$60,0)*'01_Input'!$AC$60)))))))))</f>
        <v>800</v>
      </c>
      <c r="AA28" s="83">
        <f>IF('01_Input'!$C$60="Non",0,MIN('01_Input'!$I$60,MAX('01_Input'!$H$60,IF('01_Input'!$G$60="Résiduel vs Gestion",0,IF('01_Input'!$G$60="Taux Classe sélectionnée",Distrib_Global_Classe_Selectionnee*AA$20,IF('01_Input'!$G$60="Frais KYC (paliers de 100M€)",MAX(0,Nb_Investisseurs-Nb_KYC_Gratuites_Par_Tranche*(FLOOR(AA$20/Taille_Tranche_KYC,1)+1))*Cout_Par_KYC_Supplementaire,(IF('01_Input'!$L$60="Forfait",IF(AA$20&gt;='01_Input'!$J$60,'01_Input'!$M$60,0),IF('01_Input'!$L$60="Palier",IF(AND(AA$20&gt;='01_Input'!$J$60,AA$20&lt;'01_Input'!$K$60),'01_Input'!$M$60,0),MAX(MIN(AA$20,'01_Input'!$K$60)-'01_Input'!$J$60,0)*'01_Input'!$M$60))+IF('01_Input'!$P$60="Forfait",IF(AA$20&gt;='01_Input'!$N$60,'01_Input'!$Q$60,0),IF('01_Input'!$P$60="Palier",IF(AND(AA$20&gt;='01_Input'!$N$60,AA$20&lt;'01_Input'!$O$60),'01_Input'!$Q$60,0),MAX(MIN(AA$20,'01_Input'!$O$60)-'01_Input'!$N$60,0)*'01_Input'!$Q$60))+IF('01_Input'!$T$60="Forfait",IF(AA$20&gt;='01_Input'!$R$60,'01_Input'!$U$60,0),IF('01_Input'!$T$60="Palier",IF(AND(AA$20&gt;='01_Input'!$R$60,AA$20&lt;'01_Input'!$S$60),'01_Input'!$U$60,0),MAX(MIN(AA$20,'01_Input'!$S$60)-'01_Input'!$R$60,0)*'01_Input'!$U$60))+IF('01_Input'!$X$60="Forfait",IF(AA$20&gt;='01_Input'!$V$60,'01_Input'!$Y$60,0),IF('01_Input'!$X$60="Palier",IF(AND(AA$20&gt;='01_Input'!$V$60,AA$20&lt;'01_Input'!$W$60),'01_Input'!$Y$60,0),MAX(MIN(AA$20,'01_Input'!$W$60)-'01_Input'!$V$60,0)*'01_Input'!$Y$60))+IF('01_Input'!$AB$60="Forfait",IF(AA$20&gt;='01_Input'!$Z$60,'01_Input'!$AC$60,0),IF('01_Input'!$AB$60="Palier",IF(AND(AA$20&gt;='01_Input'!$Z$60,AA$20&lt;'01_Input'!$AA$60),'01_Input'!$AC$60,0),MAX(MIN(AA$20,'01_Input'!$AA$60)-'01_Input'!$Z$60,0)*'01_Input'!$AC$60)))))))))</f>
        <v>800</v>
      </c>
      <c r="AB28" s="83">
        <f>IF('01_Input'!$C$60="Non",0,MIN('01_Input'!$I$60,MAX('01_Input'!$H$60,IF('01_Input'!$G$60="Résiduel vs Gestion",0,IF('01_Input'!$G$60="Taux Classe sélectionnée",Distrib_Global_Classe_Selectionnee*AB$20,IF('01_Input'!$G$60="Frais KYC (paliers de 100M€)",MAX(0,Nb_Investisseurs-Nb_KYC_Gratuites_Par_Tranche*(FLOOR(AB$20/Taille_Tranche_KYC,1)+1))*Cout_Par_KYC_Supplementaire,(IF('01_Input'!$L$60="Forfait",IF(AB$20&gt;='01_Input'!$J$60,'01_Input'!$M$60,0),IF('01_Input'!$L$60="Palier",IF(AND(AB$20&gt;='01_Input'!$J$60,AB$20&lt;'01_Input'!$K$60),'01_Input'!$M$60,0),MAX(MIN(AB$20,'01_Input'!$K$60)-'01_Input'!$J$60,0)*'01_Input'!$M$60))+IF('01_Input'!$P$60="Forfait",IF(AB$20&gt;='01_Input'!$N$60,'01_Input'!$Q$60,0),IF('01_Input'!$P$60="Palier",IF(AND(AB$20&gt;='01_Input'!$N$60,AB$20&lt;'01_Input'!$O$60),'01_Input'!$Q$60,0),MAX(MIN(AB$20,'01_Input'!$O$60)-'01_Input'!$N$60,0)*'01_Input'!$Q$60))+IF('01_Input'!$T$60="Forfait",IF(AB$20&gt;='01_Input'!$R$60,'01_Input'!$U$60,0),IF('01_Input'!$T$60="Palier",IF(AND(AB$20&gt;='01_Input'!$R$60,AB$20&lt;'01_Input'!$S$60),'01_Input'!$U$60,0),MAX(MIN(AB$20,'01_Input'!$S$60)-'01_Input'!$R$60,0)*'01_Input'!$U$60))+IF('01_Input'!$X$60="Forfait",IF(AB$20&gt;='01_Input'!$V$60,'01_Input'!$Y$60,0),IF('01_Input'!$X$60="Palier",IF(AND(AB$20&gt;='01_Input'!$V$60,AB$20&lt;'01_Input'!$W$60),'01_Input'!$Y$60,0),MAX(MIN(AB$20,'01_Input'!$W$60)-'01_Input'!$V$60,0)*'01_Input'!$Y$60))+IF('01_Input'!$AB$60="Forfait",IF(AB$20&gt;='01_Input'!$Z$60,'01_Input'!$AC$60,0),IF('01_Input'!$AB$60="Palier",IF(AND(AB$20&gt;='01_Input'!$Z$60,AB$20&lt;'01_Input'!$AA$60),'01_Input'!$AC$60,0),MAX(MIN(AB$20,'01_Input'!$AA$60)-'01_Input'!$Z$60,0)*'01_Input'!$AC$60)))))))))</f>
        <v>800</v>
      </c>
      <c r="AC28" s="83">
        <f>IF('01_Input'!$C$60="Non",0,MIN('01_Input'!$I$60,MAX('01_Input'!$H$60,IF('01_Input'!$G$60="Résiduel vs Gestion",0,IF('01_Input'!$G$60="Taux Classe sélectionnée",Distrib_Global_Classe_Selectionnee*AC$20,IF('01_Input'!$G$60="Frais KYC (paliers de 100M€)",MAX(0,Nb_Investisseurs-Nb_KYC_Gratuites_Par_Tranche*(FLOOR(AC$20/Taille_Tranche_KYC,1)+1))*Cout_Par_KYC_Supplementaire,(IF('01_Input'!$L$60="Forfait",IF(AC$20&gt;='01_Input'!$J$60,'01_Input'!$M$60,0),IF('01_Input'!$L$60="Palier",IF(AND(AC$20&gt;='01_Input'!$J$60,AC$20&lt;'01_Input'!$K$60),'01_Input'!$M$60,0),MAX(MIN(AC$20,'01_Input'!$K$60)-'01_Input'!$J$60,0)*'01_Input'!$M$60))+IF('01_Input'!$P$60="Forfait",IF(AC$20&gt;='01_Input'!$N$60,'01_Input'!$Q$60,0),IF('01_Input'!$P$60="Palier",IF(AND(AC$20&gt;='01_Input'!$N$60,AC$20&lt;'01_Input'!$O$60),'01_Input'!$Q$60,0),MAX(MIN(AC$20,'01_Input'!$O$60)-'01_Input'!$N$60,0)*'01_Input'!$Q$60))+IF('01_Input'!$T$60="Forfait",IF(AC$20&gt;='01_Input'!$R$60,'01_Input'!$U$60,0),IF('01_Input'!$T$60="Palier",IF(AND(AC$20&gt;='01_Input'!$R$60,AC$20&lt;'01_Input'!$S$60),'01_Input'!$U$60,0),MAX(MIN(AC$20,'01_Input'!$S$60)-'01_Input'!$R$60,0)*'01_Input'!$U$60))+IF('01_Input'!$X$60="Forfait",IF(AC$20&gt;='01_Input'!$V$60,'01_Input'!$Y$60,0),IF('01_Input'!$X$60="Palier",IF(AND(AC$20&gt;='01_Input'!$V$60,AC$20&lt;'01_Input'!$W$60),'01_Input'!$Y$60,0),MAX(MIN(AC$20,'01_Input'!$W$60)-'01_Input'!$V$60,0)*'01_Input'!$Y$60))+IF('01_Input'!$AB$60="Forfait",IF(AC$20&gt;='01_Input'!$Z$60,'01_Input'!$AC$60,0),IF('01_Input'!$AB$60="Palier",IF(AND(AC$20&gt;='01_Input'!$Z$60,AC$20&lt;'01_Input'!$AA$60),'01_Input'!$AC$60,0),MAX(MIN(AC$20,'01_Input'!$AA$60)-'01_Input'!$Z$60,0)*'01_Input'!$AC$60)))))))))</f>
        <v>800</v>
      </c>
      <c r="AD28" s="83">
        <f>IF('01_Input'!$C$60="Non",0,MIN('01_Input'!$I$60,MAX('01_Input'!$H$60,IF('01_Input'!$G$60="Résiduel vs Gestion",0,IF('01_Input'!$G$60="Taux Classe sélectionnée",Distrib_Global_Classe_Selectionnee*AD$20,IF('01_Input'!$G$60="Frais KYC (paliers de 100M€)",MAX(0,Nb_Investisseurs-Nb_KYC_Gratuites_Par_Tranche*(FLOOR(AD$20/Taille_Tranche_KYC,1)+1))*Cout_Par_KYC_Supplementaire,(IF('01_Input'!$L$60="Forfait",IF(AD$20&gt;='01_Input'!$J$60,'01_Input'!$M$60,0),IF('01_Input'!$L$60="Palier",IF(AND(AD$20&gt;='01_Input'!$J$60,AD$20&lt;'01_Input'!$K$60),'01_Input'!$M$60,0),MAX(MIN(AD$20,'01_Input'!$K$60)-'01_Input'!$J$60,0)*'01_Input'!$M$60))+IF('01_Input'!$P$60="Forfait",IF(AD$20&gt;='01_Input'!$N$60,'01_Input'!$Q$60,0),IF('01_Input'!$P$60="Palier",IF(AND(AD$20&gt;='01_Input'!$N$60,AD$20&lt;'01_Input'!$O$60),'01_Input'!$Q$60,0),MAX(MIN(AD$20,'01_Input'!$O$60)-'01_Input'!$N$60,0)*'01_Input'!$Q$60))+IF('01_Input'!$T$60="Forfait",IF(AD$20&gt;='01_Input'!$R$60,'01_Input'!$U$60,0),IF('01_Input'!$T$60="Palier",IF(AND(AD$20&gt;='01_Input'!$R$60,AD$20&lt;'01_Input'!$S$60),'01_Input'!$U$60,0),MAX(MIN(AD$20,'01_Input'!$S$60)-'01_Input'!$R$60,0)*'01_Input'!$U$60))+IF('01_Input'!$X$60="Forfait",IF(AD$20&gt;='01_Input'!$V$60,'01_Input'!$Y$60,0),IF('01_Input'!$X$60="Palier",IF(AND(AD$20&gt;='01_Input'!$V$60,AD$20&lt;'01_Input'!$W$60),'01_Input'!$Y$60,0),MAX(MIN(AD$20,'01_Input'!$W$60)-'01_Input'!$V$60,0)*'01_Input'!$Y$60))+IF('01_Input'!$AB$60="Forfait",IF(AD$20&gt;='01_Input'!$Z$60,'01_Input'!$AC$60,0),IF('01_Input'!$AB$60="Palier",IF(AND(AD$20&gt;='01_Input'!$Z$60,AD$20&lt;'01_Input'!$AA$60),'01_Input'!$AC$60,0),MAX(MIN(AD$20,'01_Input'!$AA$60)-'01_Input'!$Z$60,0)*'01_Input'!$AC$60)))))))))</f>
        <v>800</v>
      </c>
      <c r="AE28" s="83">
        <f>IF('01_Input'!$C$60="Non",0,MIN('01_Input'!$I$60,MAX('01_Input'!$H$60,IF('01_Input'!$G$60="Résiduel vs Gestion",0,IF('01_Input'!$G$60="Taux Classe sélectionnée",Distrib_Global_Classe_Selectionnee*AE$20,IF('01_Input'!$G$60="Frais KYC (paliers de 100M€)",MAX(0,Nb_Investisseurs-Nb_KYC_Gratuites_Par_Tranche*(FLOOR(AE$20/Taille_Tranche_KYC,1)+1))*Cout_Par_KYC_Supplementaire,(IF('01_Input'!$L$60="Forfait",IF(AE$20&gt;='01_Input'!$J$60,'01_Input'!$M$60,0),IF('01_Input'!$L$60="Palier",IF(AND(AE$20&gt;='01_Input'!$J$60,AE$20&lt;'01_Input'!$K$60),'01_Input'!$M$60,0),MAX(MIN(AE$20,'01_Input'!$K$60)-'01_Input'!$J$60,0)*'01_Input'!$M$60))+IF('01_Input'!$P$60="Forfait",IF(AE$20&gt;='01_Input'!$N$60,'01_Input'!$Q$60,0),IF('01_Input'!$P$60="Palier",IF(AND(AE$20&gt;='01_Input'!$N$60,AE$20&lt;'01_Input'!$O$60),'01_Input'!$Q$60,0),MAX(MIN(AE$20,'01_Input'!$O$60)-'01_Input'!$N$60,0)*'01_Input'!$Q$60))+IF('01_Input'!$T$60="Forfait",IF(AE$20&gt;='01_Input'!$R$60,'01_Input'!$U$60,0),IF('01_Input'!$T$60="Palier",IF(AND(AE$20&gt;='01_Input'!$R$60,AE$20&lt;'01_Input'!$S$60),'01_Input'!$U$60,0),MAX(MIN(AE$20,'01_Input'!$S$60)-'01_Input'!$R$60,0)*'01_Input'!$U$60))+IF('01_Input'!$X$60="Forfait",IF(AE$20&gt;='01_Input'!$V$60,'01_Input'!$Y$60,0),IF('01_Input'!$X$60="Palier",IF(AND(AE$20&gt;='01_Input'!$V$60,AE$20&lt;'01_Input'!$W$60),'01_Input'!$Y$60,0),MAX(MIN(AE$20,'01_Input'!$W$60)-'01_Input'!$V$60,0)*'01_Input'!$Y$60))+IF('01_Input'!$AB$60="Forfait",IF(AE$20&gt;='01_Input'!$Z$60,'01_Input'!$AC$60,0),IF('01_Input'!$AB$60="Palier",IF(AND(AE$20&gt;='01_Input'!$Z$60,AE$20&lt;'01_Input'!$AA$60),'01_Input'!$AC$60,0),MAX(MIN(AE$20,'01_Input'!$AA$60)-'01_Input'!$Z$60,0)*'01_Input'!$AC$60)))))))))</f>
        <v>800</v>
      </c>
      <c r="AF28" s="83">
        <f>IF('01_Input'!$C$60="Non",0,MIN('01_Input'!$I$60,MAX('01_Input'!$H$60,IF('01_Input'!$G$60="Résiduel vs Gestion",0,IF('01_Input'!$G$60="Taux Classe sélectionnée",Distrib_Global_Classe_Selectionnee*AF$20,IF('01_Input'!$G$60="Frais KYC (paliers de 100M€)",MAX(0,Nb_Investisseurs-Nb_KYC_Gratuites_Par_Tranche*(FLOOR(AF$20/Taille_Tranche_KYC,1)+1))*Cout_Par_KYC_Supplementaire,(IF('01_Input'!$L$60="Forfait",IF(AF$20&gt;='01_Input'!$J$60,'01_Input'!$M$60,0),IF('01_Input'!$L$60="Palier",IF(AND(AF$20&gt;='01_Input'!$J$60,AF$20&lt;'01_Input'!$K$60),'01_Input'!$M$60,0),MAX(MIN(AF$20,'01_Input'!$K$60)-'01_Input'!$J$60,0)*'01_Input'!$M$60))+IF('01_Input'!$P$60="Forfait",IF(AF$20&gt;='01_Input'!$N$60,'01_Input'!$Q$60,0),IF('01_Input'!$P$60="Palier",IF(AND(AF$20&gt;='01_Input'!$N$60,AF$20&lt;'01_Input'!$O$60),'01_Input'!$Q$60,0),MAX(MIN(AF$20,'01_Input'!$O$60)-'01_Input'!$N$60,0)*'01_Input'!$Q$60))+IF('01_Input'!$T$60="Forfait",IF(AF$20&gt;='01_Input'!$R$60,'01_Input'!$U$60,0),IF('01_Input'!$T$60="Palier",IF(AND(AF$20&gt;='01_Input'!$R$60,AF$20&lt;'01_Input'!$S$60),'01_Input'!$U$60,0),MAX(MIN(AF$20,'01_Input'!$S$60)-'01_Input'!$R$60,0)*'01_Input'!$U$60))+IF('01_Input'!$X$60="Forfait",IF(AF$20&gt;='01_Input'!$V$60,'01_Input'!$Y$60,0),IF('01_Input'!$X$60="Palier",IF(AND(AF$20&gt;='01_Input'!$V$60,AF$20&lt;'01_Input'!$W$60),'01_Input'!$Y$60,0),MAX(MIN(AF$20,'01_Input'!$W$60)-'01_Input'!$V$60,0)*'01_Input'!$Y$60))+IF('01_Input'!$AB$60="Forfait",IF(AF$20&gt;='01_Input'!$Z$60,'01_Input'!$AC$60,0),IF('01_Input'!$AB$60="Palier",IF(AND(AF$20&gt;='01_Input'!$Z$60,AF$20&lt;'01_Input'!$AA$60),'01_Input'!$AC$60,0),MAX(MIN(AF$20,'01_Input'!$AA$60)-'01_Input'!$Z$60,0)*'01_Input'!$AC$60)))))))))</f>
        <v>800</v>
      </c>
      <c r="AG28" s="83">
        <f>IF('01_Input'!$C$60="Non",0,MIN('01_Input'!$I$60,MAX('01_Input'!$H$60,IF('01_Input'!$G$60="Résiduel vs Gestion",0,IF('01_Input'!$G$60="Taux Classe sélectionnée",Distrib_Global_Classe_Selectionnee*AG$20,IF('01_Input'!$G$60="Frais KYC (paliers de 100M€)",MAX(0,Nb_Investisseurs-Nb_KYC_Gratuites_Par_Tranche*(FLOOR(AG$20/Taille_Tranche_KYC,1)+1))*Cout_Par_KYC_Supplementaire,(IF('01_Input'!$L$60="Forfait",IF(AG$20&gt;='01_Input'!$J$60,'01_Input'!$M$60,0),IF('01_Input'!$L$60="Palier",IF(AND(AG$20&gt;='01_Input'!$J$60,AG$20&lt;'01_Input'!$K$60),'01_Input'!$M$60,0),MAX(MIN(AG$20,'01_Input'!$K$60)-'01_Input'!$J$60,0)*'01_Input'!$M$60))+IF('01_Input'!$P$60="Forfait",IF(AG$20&gt;='01_Input'!$N$60,'01_Input'!$Q$60,0),IF('01_Input'!$P$60="Palier",IF(AND(AG$20&gt;='01_Input'!$N$60,AG$20&lt;'01_Input'!$O$60),'01_Input'!$Q$60,0),MAX(MIN(AG$20,'01_Input'!$O$60)-'01_Input'!$N$60,0)*'01_Input'!$Q$60))+IF('01_Input'!$T$60="Forfait",IF(AG$20&gt;='01_Input'!$R$60,'01_Input'!$U$60,0),IF('01_Input'!$T$60="Palier",IF(AND(AG$20&gt;='01_Input'!$R$60,AG$20&lt;'01_Input'!$S$60),'01_Input'!$U$60,0),MAX(MIN(AG$20,'01_Input'!$S$60)-'01_Input'!$R$60,0)*'01_Input'!$U$60))+IF('01_Input'!$X$60="Forfait",IF(AG$20&gt;='01_Input'!$V$60,'01_Input'!$Y$60,0),IF('01_Input'!$X$60="Palier",IF(AND(AG$20&gt;='01_Input'!$V$60,AG$20&lt;'01_Input'!$W$60),'01_Input'!$Y$60,0),MAX(MIN(AG$20,'01_Input'!$W$60)-'01_Input'!$V$60,0)*'01_Input'!$Y$60))+IF('01_Input'!$AB$60="Forfait",IF(AG$20&gt;='01_Input'!$Z$60,'01_Input'!$AC$60,0),IF('01_Input'!$AB$60="Palier",IF(AND(AG$20&gt;='01_Input'!$Z$60,AG$20&lt;'01_Input'!$AA$60),'01_Input'!$AC$60,0),MAX(MIN(AG$20,'01_Input'!$AA$60)-'01_Input'!$Z$60,0)*'01_Input'!$AC$60)))))))))</f>
        <v>800</v>
      </c>
      <c r="AH28" s="83">
        <f>IF('01_Input'!$C$60="Non",0,MIN('01_Input'!$I$60,MAX('01_Input'!$H$60,IF('01_Input'!$G$60="Résiduel vs Gestion",0,IF('01_Input'!$G$60="Taux Classe sélectionnée",Distrib_Global_Classe_Selectionnee*AH$20,IF('01_Input'!$G$60="Frais KYC (paliers de 100M€)",MAX(0,Nb_Investisseurs-Nb_KYC_Gratuites_Par_Tranche*(FLOOR(AH$20/Taille_Tranche_KYC,1)+1))*Cout_Par_KYC_Supplementaire,(IF('01_Input'!$L$60="Forfait",IF(AH$20&gt;='01_Input'!$J$60,'01_Input'!$M$60,0),IF('01_Input'!$L$60="Palier",IF(AND(AH$20&gt;='01_Input'!$J$60,AH$20&lt;'01_Input'!$K$60),'01_Input'!$M$60,0),MAX(MIN(AH$20,'01_Input'!$K$60)-'01_Input'!$J$60,0)*'01_Input'!$M$60))+IF('01_Input'!$P$60="Forfait",IF(AH$20&gt;='01_Input'!$N$60,'01_Input'!$Q$60,0),IF('01_Input'!$P$60="Palier",IF(AND(AH$20&gt;='01_Input'!$N$60,AH$20&lt;'01_Input'!$O$60),'01_Input'!$Q$60,0),MAX(MIN(AH$20,'01_Input'!$O$60)-'01_Input'!$N$60,0)*'01_Input'!$Q$60))+IF('01_Input'!$T$60="Forfait",IF(AH$20&gt;='01_Input'!$R$60,'01_Input'!$U$60,0),IF('01_Input'!$T$60="Palier",IF(AND(AH$20&gt;='01_Input'!$R$60,AH$20&lt;'01_Input'!$S$60),'01_Input'!$U$60,0),MAX(MIN(AH$20,'01_Input'!$S$60)-'01_Input'!$R$60,0)*'01_Input'!$U$60))+IF('01_Input'!$X$60="Forfait",IF(AH$20&gt;='01_Input'!$V$60,'01_Input'!$Y$60,0),IF('01_Input'!$X$60="Palier",IF(AND(AH$20&gt;='01_Input'!$V$60,AH$20&lt;'01_Input'!$W$60),'01_Input'!$Y$60,0),MAX(MIN(AH$20,'01_Input'!$W$60)-'01_Input'!$V$60,0)*'01_Input'!$Y$60))+IF('01_Input'!$AB$60="Forfait",IF(AH$20&gt;='01_Input'!$Z$60,'01_Input'!$AC$60,0),IF('01_Input'!$AB$60="Palier",IF(AND(AH$20&gt;='01_Input'!$Z$60,AH$20&lt;'01_Input'!$AA$60),'01_Input'!$AC$60,0),MAX(MIN(AH$20,'01_Input'!$AA$60)-'01_Input'!$Z$60,0)*'01_Input'!$AC$60)))))))))</f>
        <v>800</v>
      </c>
      <c r="AI28" s="83">
        <f>IF('01_Input'!$C$60="Non",0,MIN('01_Input'!$I$60,MAX('01_Input'!$H$60,IF('01_Input'!$G$60="Résiduel vs Gestion",0,IF('01_Input'!$G$60="Taux Classe sélectionnée",Distrib_Global_Classe_Selectionnee*AI$20,IF('01_Input'!$G$60="Frais KYC (paliers de 100M€)",MAX(0,Nb_Investisseurs-Nb_KYC_Gratuites_Par_Tranche*(FLOOR(AI$20/Taille_Tranche_KYC,1)+1))*Cout_Par_KYC_Supplementaire,(IF('01_Input'!$L$60="Forfait",IF(AI$20&gt;='01_Input'!$J$60,'01_Input'!$M$60,0),IF('01_Input'!$L$60="Palier",IF(AND(AI$20&gt;='01_Input'!$J$60,AI$20&lt;'01_Input'!$K$60),'01_Input'!$M$60,0),MAX(MIN(AI$20,'01_Input'!$K$60)-'01_Input'!$J$60,0)*'01_Input'!$M$60))+IF('01_Input'!$P$60="Forfait",IF(AI$20&gt;='01_Input'!$N$60,'01_Input'!$Q$60,0),IF('01_Input'!$P$60="Palier",IF(AND(AI$20&gt;='01_Input'!$N$60,AI$20&lt;'01_Input'!$O$60),'01_Input'!$Q$60,0),MAX(MIN(AI$20,'01_Input'!$O$60)-'01_Input'!$N$60,0)*'01_Input'!$Q$60))+IF('01_Input'!$T$60="Forfait",IF(AI$20&gt;='01_Input'!$R$60,'01_Input'!$U$60,0),IF('01_Input'!$T$60="Palier",IF(AND(AI$20&gt;='01_Input'!$R$60,AI$20&lt;'01_Input'!$S$60),'01_Input'!$U$60,0),MAX(MIN(AI$20,'01_Input'!$S$60)-'01_Input'!$R$60,0)*'01_Input'!$U$60))+IF('01_Input'!$X$60="Forfait",IF(AI$20&gt;='01_Input'!$V$60,'01_Input'!$Y$60,0),IF('01_Input'!$X$60="Palier",IF(AND(AI$20&gt;='01_Input'!$V$60,AI$20&lt;'01_Input'!$W$60),'01_Input'!$Y$60,0),MAX(MIN(AI$20,'01_Input'!$W$60)-'01_Input'!$V$60,0)*'01_Input'!$Y$60))+IF('01_Input'!$AB$60="Forfait",IF(AI$20&gt;='01_Input'!$Z$60,'01_Input'!$AC$60,0),IF('01_Input'!$AB$60="Palier",IF(AND(AI$20&gt;='01_Input'!$Z$60,AI$20&lt;'01_Input'!$AA$60),'01_Input'!$AC$60,0),MAX(MIN(AI$20,'01_Input'!$AA$60)-'01_Input'!$Z$60,0)*'01_Input'!$AC$60)))))))))</f>
        <v>800</v>
      </c>
      <c r="AJ28" s="83">
        <f>IF('01_Input'!$C$60="Non",0,MIN('01_Input'!$I$60,MAX('01_Input'!$H$60,IF('01_Input'!$G$60="Résiduel vs Gestion",0,IF('01_Input'!$G$60="Taux Classe sélectionnée",Distrib_Global_Classe_Selectionnee*AJ$20,IF('01_Input'!$G$60="Frais KYC (paliers de 100M€)",MAX(0,Nb_Investisseurs-Nb_KYC_Gratuites_Par_Tranche*(FLOOR(AJ$20/Taille_Tranche_KYC,1)+1))*Cout_Par_KYC_Supplementaire,(IF('01_Input'!$L$60="Forfait",IF(AJ$20&gt;='01_Input'!$J$60,'01_Input'!$M$60,0),IF('01_Input'!$L$60="Palier",IF(AND(AJ$20&gt;='01_Input'!$J$60,AJ$20&lt;'01_Input'!$K$60),'01_Input'!$M$60,0),MAX(MIN(AJ$20,'01_Input'!$K$60)-'01_Input'!$J$60,0)*'01_Input'!$M$60))+IF('01_Input'!$P$60="Forfait",IF(AJ$20&gt;='01_Input'!$N$60,'01_Input'!$Q$60,0),IF('01_Input'!$P$60="Palier",IF(AND(AJ$20&gt;='01_Input'!$N$60,AJ$20&lt;'01_Input'!$O$60),'01_Input'!$Q$60,0),MAX(MIN(AJ$20,'01_Input'!$O$60)-'01_Input'!$N$60,0)*'01_Input'!$Q$60))+IF('01_Input'!$T$60="Forfait",IF(AJ$20&gt;='01_Input'!$R$60,'01_Input'!$U$60,0),IF('01_Input'!$T$60="Palier",IF(AND(AJ$20&gt;='01_Input'!$R$60,AJ$20&lt;'01_Input'!$S$60),'01_Input'!$U$60,0),MAX(MIN(AJ$20,'01_Input'!$S$60)-'01_Input'!$R$60,0)*'01_Input'!$U$60))+IF('01_Input'!$X$60="Forfait",IF(AJ$20&gt;='01_Input'!$V$60,'01_Input'!$Y$60,0),IF('01_Input'!$X$60="Palier",IF(AND(AJ$20&gt;='01_Input'!$V$60,AJ$20&lt;'01_Input'!$W$60),'01_Input'!$Y$60,0),MAX(MIN(AJ$20,'01_Input'!$W$60)-'01_Input'!$V$60,0)*'01_Input'!$Y$60))+IF('01_Input'!$AB$60="Forfait",IF(AJ$20&gt;='01_Input'!$Z$60,'01_Input'!$AC$60,0),IF('01_Input'!$AB$60="Palier",IF(AND(AJ$20&gt;='01_Input'!$Z$60,AJ$20&lt;'01_Input'!$AA$60),'01_Input'!$AC$60,0),MAX(MIN(AJ$20,'01_Input'!$AA$60)-'01_Input'!$Z$60,0)*'01_Input'!$AC$60)))))))))</f>
        <v>800</v>
      </c>
      <c r="AK28" s="83">
        <f>IF('01_Input'!$C$60="Non",0,MIN('01_Input'!$I$60,MAX('01_Input'!$H$60,IF('01_Input'!$G$60="Résiduel vs Gestion",0,IF('01_Input'!$G$60="Taux Classe sélectionnée",Distrib_Global_Classe_Selectionnee*AK$20,IF('01_Input'!$G$60="Frais KYC (paliers de 100M€)",MAX(0,Nb_Investisseurs-Nb_KYC_Gratuites_Par_Tranche*(FLOOR(AK$20/Taille_Tranche_KYC,1)+1))*Cout_Par_KYC_Supplementaire,(IF('01_Input'!$L$60="Forfait",IF(AK$20&gt;='01_Input'!$J$60,'01_Input'!$M$60,0),IF('01_Input'!$L$60="Palier",IF(AND(AK$20&gt;='01_Input'!$J$60,AK$20&lt;'01_Input'!$K$60),'01_Input'!$M$60,0),MAX(MIN(AK$20,'01_Input'!$K$60)-'01_Input'!$J$60,0)*'01_Input'!$M$60))+IF('01_Input'!$P$60="Forfait",IF(AK$20&gt;='01_Input'!$N$60,'01_Input'!$Q$60,0),IF('01_Input'!$P$60="Palier",IF(AND(AK$20&gt;='01_Input'!$N$60,AK$20&lt;'01_Input'!$O$60),'01_Input'!$Q$60,0),MAX(MIN(AK$20,'01_Input'!$O$60)-'01_Input'!$N$60,0)*'01_Input'!$Q$60))+IF('01_Input'!$T$60="Forfait",IF(AK$20&gt;='01_Input'!$R$60,'01_Input'!$U$60,0),IF('01_Input'!$T$60="Palier",IF(AND(AK$20&gt;='01_Input'!$R$60,AK$20&lt;'01_Input'!$S$60),'01_Input'!$U$60,0),MAX(MIN(AK$20,'01_Input'!$S$60)-'01_Input'!$R$60,0)*'01_Input'!$U$60))+IF('01_Input'!$X$60="Forfait",IF(AK$20&gt;='01_Input'!$V$60,'01_Input'!$Y$60,0),IF('01_Input'!$X$60="Palier",IF(AND(AK$20&gt;='01_Input'!$V$60,AK$20&lt;'01_Input'!$W$60),'01_Input'!$Y$60,0),MAX(MIN(AK$20,'01_Input'!$W$60)-'01_Input'!$V$60,0)*'01_Input'!$Y$60))+IF('01_Input'!$AB$60="Forfait",IF(AK$20&gt;='01_Input'!$Z$60,'01_Input'!$AC$60,0),IF('01_Input'!$AB$60="Palier",IF(AND(AK$20&gt;='01_Input'!$Z$60,AK$20&lt;'01_Input'!$AA$60),'01_Input'!$AC$60,0),MAX(MIN(AK$20,'01_Input'!$AA$60)-'01_Input'!$Z$60,0)*'01_Input'!$AC$60)))))))))</f>
        <v>800</v>
      </c>
      <c r="AL28" s="83">
        <f>IF('01_Input'!$C$60="Non",0,MIN('01_Input'!$I$60,MAX('01_Input'!$H$60,IF('01_Input'!$G$60="Résiduel vs Gestion",0,IF('01_Input'!$G$60="Taux Classe sélectionnée",Distrib_Global_Classe_Selectionnee*AL$20,IF('01_Input'!$G$60="Frais KYC (paliers de 100M€)",MAX(0,Nb_Investisseurs-Nb_KYC_Gratuites_Par_Tranche*(FLOOR(AL$20/Taille_Tranche_KYC,1)+1))*Cout_Par_KYC_Supplementaire,(IF('01_Input'!$L$60="Forfait",IF(AL$20&gt;='01_Input'!$J$60,'01_Input'!$M$60,0),IF('01_Input'!$L$60="Palier",IF(AND(AL$20&gt;='01_Input'!$J$60,AL$20&lt;'01_Input'!$K$60),'01_Input'!$M$60,0),MAX(MIN(AL$20,'01_Input'!$K$60)-'01_Input'!$J$60,0)*'01_Input'!$M$60))+IF('01_Input'!$P$60="Forfait",IF(AL$20&gt;='01_Input'!$N$60,'01_Input'!$Q$60,0),IF('01_Input'!$P$60="Palier",IF(AND(AL$20&gt;='01_Input'!$N$60,AL$20&lt;'01_Input'!$O$60),'01_Input'!$Q$60,0),MAX(MIN(AL$20,'01_Input'!$O$60)-'01_Input'!$N$60,0)*'01_Input'!$Q$60))+IF('01_Input'!$T$60="Forfait",IF(AL$20&gt;='01_Input'!$R$60,'01_Input'!$U$60,0),IF('01_Input'!$T$60="Palier",IF(AND(AL$20&gt;='01_Input'!$R$60,AL$20&lt;'01_Input'!$S$60),'01_Input'!$U$60,0),MAX(MIN(AL$20,'01_Input'!$S$60)-'01_Input'!$R$60,0)*'01_Input'!$U$60))+IF('01_Input'!$X$60="Forfait",IF(AL$20&gt;='01_Input'!$V$60,'01_Input'!$Y$60,0),IF('01_Input'!$X$60="Palier",IF(AND(AL$20&gt;='01_Input'!$V$60,AL$20&lt;'01_Input'!$W$60),'01_Input'!$Y$60,0),MAX(MIN(AL$20,'01_Input'!$W$60)-'01_Input'!$V$60,0)*'01_Input'!$Y$60))+IF('01_Input'!$AB$60="Forfait",IF(AL$20&gt;='01_Input'!$Z$60,'01_Input'!$AC$60,0),IF('01_Input'!$AB$60="Palier",IF(AND(AL$20&gt;='01_Input'!$Z$60,AL$20&lt;'01_Input'!$AA$60),'01_Input'!$AC$60,0),MAX(MIN(AL$20,'01_Input'!$AA$60)-'01_Input'!$Z$60,0)*'01_Input'!$AC$60)))))))))</f>
        <v>800</v>
      </c>
      <c r="AM28" s="83">
        <f>IF('01_Input'!$C$60="Non",0,MIN('01_Input'!$I$60,MAX('01_Input'!$H$60,IF('01_Input'!$G$60="Résiduel vs Gestion",0,IF('01_Input'!$G$60="Taux Classe sélectionnée",Distrib_Global_Classe_Selectionnee*AM$20,IF('01_Input'!$G$60="Frais KYC (paliers de 100M€)",MAX(0,Nb_Investisseurs-Nb_KYC_Gratuites_Par_Tranche*(FLOOR(AM$20/Taille_Tranche_KYC,1)+1))*Cout_Par_KYC_Supplementaire,(IF('01_Input'!$L$60="Forfait",IF(AM$20&gt;='01_Input'!$J$60,'01_Input'!$M$60,0),IF('01_Input'!$L$60="Palier",IF(AND(AM$20&gt;='01_Input'!$J$60,AM$20&lt;'01_Input'!$K$60),'01_Input'!$M$60,0),MAX(MIN(AM$20,'01_Input'!$K$60)-'01_Input'!$J$60,0)*'01_Input'!$M$60))+IF('01_Input'!$P$60="Forfait",IF(AM$20&gt;='01_Input'!$N$60,'01_Input'!$Q$60,0),IF('01_Input'!$P$60="Palier",IF(AND(AM$20&gt;='01_Input'!$N$60,AM$20&lt;'01_Input'!$O$60),'01_Input'!$Q$60,0),MAX(MIN(AM$20,'01_Input'!$O$60)-'01_Input'!$N$60,0)*'01_Input'!$Q$60))+IF('01_Input'!$T$60="Forfait",IF(AM$20&gt;='01_Input'!$R$60,'01_Input'!$U$60,0),IF('01_Input'!$T$60="Palier",IF(AND(AM$20&gt;='01_Input'!$R$60,AM$20&lt;'01_Input'!$S$60),'01_Input'!$U$60,0),MAX(MIN(AM$20,'01_Input'!$S$60)-'01_Input'!$R$60,0)*'01_Input'!$U$60))+IF('01_Input'!$X$60="Forfait",IF(AM$20&gt;='01_Input'!$V$60,'01_Input'!$Y$60,0),IF('01_Input'!$X$60="Palier",IF(AND(AM$20&gt;='01_Input'!$V$60,AM$20&lt;'01_Input'!$W$60),'01_Input'!$Y$60,0),MAX(MIN(AM$20,'01_Input'!$W$60)-'01_Input'!$V$60,0)*'01_Input'!$Y$60))+IF('01_Input'!$AB$60="Forfait",IF(AM$20&gt;='01_Input'!$Z$60,'01_Input'!$AC$60,0),IF('01_Input'!$AB$60="Palier",IF(AND(AM$20&gt;='01_Input'!$Z$60,AM$20&lt;'01_Input'!$AA$60),'01_Input'!$AC$60,0),MAX(MIN(AM$20,'01_Input'!$AA$60)-'01_Input'!$Z$60,0)*'01_Input'!$AC$60)))))))))</f>
        <v>800</v>
      </c>
      <c r="AN28" s="83">
        <f>IF('01_Input'!$C$60="Non",0,MIN('01_Input'!$I$60,MAX('01_Input'!$H$60,IF('01_Input'!$G$60="Résiduel vs Gestion",0,IF('01_Input'!$G$60="Taux Classe sélectionnée",Distrib_Global_Classe_Selectionnee*AN$20,IF('01_Input'!$G$60="Frais KYC (paliers de 100M€)",MAX(0,Nb_Investisseurs-Nb_KYC_Gratuites_Par_Tranche*(FLOOR(AN$20/Taille_Tranche_KYC,1)+1))*Cout_Par_KYC_Supplementaire,(IF('01_Input'!$L$60="Forfait",IF(AN$20&gt;='01_Input'!$J$60,'01_Input'!$M$60,0),IF('01_Input'!$L$60="Palier",IF(AND(AN$20&gt;='01_Input'!$J$60,AN$20&lt;'01_Input'!$K$60),'01_Input'!$M$60,0),MAX(MIN(AN$20,'01_Input'!$K$60)-'01_Input'!$J$60,0)*'01_Input'!$M$60))+IF('01_Input'!$P$60="Forfait",IF(AN$20&gt;='01_Input'!$N$60,'01_Input'!$Q$60,0),IF('01_Input'!$P$60="Palier",IF(AND(AN$20&gt;='01_Input'!$N$60,AN$20&lt;'01_Input'!$O$60),'01_Input'!$Q$60,0),MAX(MIN(AN$20,'01_Input'!$O$60)-'01_Input'!$N$60,0)*'01_Input'!$Q$60))+IF('01_Input'!$T$60="Forfait",IF(AN$20&gt;='01_Input'!$R$60,'01_Input'!$U$60,0),IF('01_Input'!$T$60="Palier",IF(AND(AN$20&gt;='01_Input'!$R$60,AN$20&lt;'01_Input'!$S$60),'01_Input'!$U$60,0),MAX(MIN(AN$20,'01_Input'!$S$60)-'01_Input'!$R$60,0)*'01_Input'!$U$60))+IF('01_Input'!$X$60="Forfait",IF(AN$20&gt;='01_Input'!$V$60,'01_Input'!$Y$60,0),IF('01_Input'!$X$60="Palier",IF(AND(AN$20&gt;='01_Input'!$V$60,AN$20&lt;'01_Input'!$W$60),'01_Input'!$Y$60,0),MAX(MIN(AN$20,'01_Input'!$W$60)-'01_Input'!$V$60,0)*'01_Input'!$Y$60))+IF('01_Input'!$AB$60="Forfait",IF(AN$20&gt;='01_Input'!$Z$60,'01_Input'!$AC$60,0),IF('01_Input'!$AB$60="Palier",IF(AND(AN$20&gt;='01_Input'!$Z$60,AN$20&lt;'01_Input'!$AA$60),'01_Input'!$AC$60,0),MAX(MIN(AN$20,'01_Input'!$AA$60)-'01_Input'!$Z$60,0)*'01_Input'!$AC$60)))))))))</f>
        <v>800</v>
      </c>
      <c r="AO28" s="83">
        <f>IF('01_Input'!$C$60="Non",0,MIN('01_Input'!$I$60,MAX('01_Input'!$H$60,IF('01_Input'!$G$60="Résiduel vs Gestion",0,IF('01_Input'!$G$60="Taux Classe sélectionnée",Distrib_Global_Classe_Selectionnee*AO$20,IF('01_Input'!$G$60="Frais KYC (paliers de 100M€)",MAX(0,Nb_Investisseurs-Nb_KYC_Gratuites_Par_Tranche*(FLOOR(AO$20/Taille_Tranche_KYC,1)+1))*Cout_Par_KYC_Supplementaire,(IF('01_Input'!$L$60="Forfait",IF(AO$20&gt;='01_Input'!$J$60,'01_Input'!$M$60,0),IF('01_Input'!$L$60="Palier",IF(AND(AO$20&gt;='01_Input'!$J$60,AO$20&lt;'01_Input'!$K$60),'01_Input'!$M$60,0),MAX(MIN(AO$20,'01_Input'!$K$60)-'01_Input'!$J$60,0)*'01_Input'!$M$60))+IF('01_Input'!$P$60="Forfait",IF(AO$20&gt;='01_Input'!$N$60,'01_Input'!$Q$60,0),IF('01_Input'!$P$60="Palier",IF(AND(AO$20&gt;='01_Input'!$N$60,AO$20&lt;'01_Input'!$O$60),'01_Input'!$Q$60,0),MAX(MIN(AO$20,'01_Input'!$O$60)-'01_Input'!$N$60,0)*'01_Input'!$Q$60))+IF('01_Input'!$T$60="Forfait",IF(AO$20&gt;='01_Input'!$R$60,'01_Input'!$U$60,0),IF('01_Input'!$T$60="Palier",IF(AND(AO$20&gt;='01_Input'!$R$60,AO$20&lt;'01_Input'!$S$60),'01_Input'!$U$60,0),MAX(MIN(AO$20,'01_Input'!$S$60)-'01_Input'!$R$60,0)*'01_Input'!$U$60))+IF('01_Input'!$X$60="Forfait",IF(AO$20&gt;='01_Input'!$V$60,'01_Input'!$Y$60,0),IF('01_Input'!$X$60="Palier",IF(AND(AO$20&gt;='01_Input'!$V$60,AO$20&lt;'01_Input'!$W$60),'01_Input'!$Y$60,0),MAX(MIN(AO$20,'01_Input'!$W$60)-'01_Input'!$V$60,0)*'01_Input'!$Y$60))+IF('01_Input'!$AB$60="Forfait",IF(AO$20&gt;='01_Input'!$Z$60,'01_Input'!$AC$60,0),IF('01_Input'!$AB$60="Palier",IF(AND(AO$20&gt;='01_Input'!$Z$60,AO$20&lt;'01_Input'!$AA$60),'01_Input'!$AC$60,0),MAX(MIN(AO$20,'01_Input'!$AA$60)-'01_Input'!$Z$60,0)*'01_Input'!$AC$60)))))))))</f>
        <v>800</v>
      </c>
      <c r="AP28" s="83">
        <f>IF('01_Input'!$C$60="Non",0,MIN('01_Input'!$I$60,MAX('01_Input'!$H$60,IF('01_Input'!$G$60="Résiduel vs Gestion",0,IF('01_Input'!$G$60="Taux Classe sélectionnée",Distrib_Global_Classe_Selectionnee*AP$20,IF('01_Input'!$G$60="Frais KYC (paliers de 100M€)",MAX(0,Nb_Investisseurs-Nb_KYC_Gratuites_Par_Tranche*(FLOOR(AP$20/Taille_Tranche_KYC,1)+1))*Cout_Par_KYC_Supplementaire,(IF('01_Input'!$L$60="Forfait",IF(AP$20&gt;='01_Input'!$J$60,'01_Input'!$M$60,0),IF('01_Input'!$L$60="Palier",IF(AND(AP$20&gt;='01_Input'!$J$60,AP$20&lt;'01_Input'!$K$60),'01_Input'!$M$60,0),MAX(MIN(AP$20,'01_Input'!$K$60)-'01_Input'!$J$60,0)*'01_Input'!$M$60))+IF('01_Input'!$P$60="Forfait",IF(AP$20&gt;='01_Input'!$N$60,'01_Input'!$Q$60,0),IF('01_Input'!$P$60="Palier",IF(AND(AP$20&gt;='01_Input'!$N$60,AP$20&lt;'01_Input'!$O$60),'01_Input'!$Q$60,0),MAX(MIN(AP$20,'01_Input'!$O$60)-'01_Input'!$N$60,0)*'01_Input'!$Q$60))+IF('01_Input'!$T$60="Forfait",IF(AP$20&gt;='01_Input'!$R$60,'01_Input'!$U$60,0),IF('01_Input'!$T$60="Palier",IF(AND(AP$20&gt;='01_Input'!$R$60,AP$20&lt;'01_Input'!$S$60),'01_Input'!$U$60,0),MAX(MIN(AP$20,'01_Input'!$S$60)-'01_Input'!$R$60,0)*'01_Input'!$U$60))+IF('01_Input'!$X$60="Forfait",IF(AP$20&gt;='01_Input'!$V$60,'01_Input'!$Y$60,0),IF('01_Input'!$X$60="Palier",IF(AND(AP$20&gt;='01_Input'!$V$60,AP$20&lt;'01_Input'!$W$60),'01_Input'!$Y$60,0),MAX(MIN(AP$20,'01_Input'!$W$60)-'01_Input'!$V$60,0)*'01_Input'!$Y$60))+IF('01_Input'!$AB$60="Forfait",IF(AP$20&gt;='01_Input'!$Z$60,'01_Input'!$AC$60,0),IF('01_Input'!$AB$60="Palier",IF(AND(AP$20&gt;='01_Input'!$Z$60,AP$20&lt;'01_Input'!$AA$60),'01_Input'!$AC$60,0),MAX(MIN(AP$20,'01_Input'!$AA$60)-'01_Input'!$Z$60,0)*'01_Input'!$AC$60)))))))))</f>
        <v>800</v>
      </c>
      <c r="AQ28" s="83">
        <f>IF('01_Input'!$C$60="Non",0,MIN('01_Input'!$I$60,MAX('01_Input'!$H$60,IF('01_Input'!$G$60="Résiduel vs Gestion",0,IF('01_Input'!$G$60="Taux Classe sélectionnée",Distrib_Global_Classe_Selectionnee*AQ$20,IF('01_Input'!$G$60="Frais KYC (paliers de 100M€)",MAX(0,Nb_Investisseurs-Nb_KYC_Gratuites_Par_Tranche*(FLOOR(AQ$20/Taille_Tranche_KYC,1)+1))*Cout_Par_KYC_Supplementaire,(IF('01_Input'!$L$60="Forfait",IF(AQ$20&gt;='01_Input'!$J$60,'01_Input'!$M$60,0),IF('01_Input'!$L$60="Palier",IF(AND(AQ$20&gt;='01_Input'!$J$60,AQ$20&lt;'01_Input'!$K$60),'01_Input'!$M$60,0),MAX(MIN(AQ$20,'01_Input'!$K$60)-'01_Input'!$J$60,0)*'01_Input'!$M$60))+IF('01_Input'!$P$60="Forfait",IF(AQ$20&gt;='01_Input'!$N$60,'01_Input'!$Q$60,0),IF('01_Input'!$P$60="Palier",IF(AND(AQ$20&gt;='01_Input'!$N$60,AQ$20&lt;'01_Input'!$O$60),'01_Input'!$Q$60,0),MAX(MIN(AQ$20,'01_Input'!$O$60)-'01_Input'!$N$60,0)*'01_Input'!$Q$60))+IF('01_Input'!$T$60="Forfait",IF(AQ$20&gt;='01_Input'!$R$60,'01_Input'!$U$60,0),IF('01_Input'!$T$60="Palier",IF(AND(AQ$20&gt;='01_Input'!$R$60,AQ$20&lt;'01_Input'!$S$60),'01_Input'!$U$60,0),MAX(MIN(AQ$20,'01_Input'!$S$60)-'01_Input'!$R$60,0)*'01_Input'!$U$60))+IF('01_Input'!$X$60="Forfait",IF(AQ$20&gt;='01_Input'!$V$60,'01_Input'!$Y$60,0),IF('01_Input'!$X$60="Palier",IF(AND(AQ$20&gt;='01_Input'!$V$60,AQ$20&lt;'01_Input'!$W$60),'01_Input'!$Y$60,0),MAX(MIN(AQ$20,'01_Input'!$W$60)-'01_Input'!$V$60,0)*'01_Input'!$Y$60))+IF('01_Input'!$AB$60="Forfait",IF(AQ$20&gt;='01_Input'!$Z$60,'01_Input'!$AC$60,0),IF('01_Input'!$AB$60="Palier",IF(AND(AQ$20&gt;='01_Input'!$Z$60,AQ$20&lt;'01_Input'!$AA$60),'01_Input'!$AC$60,0),MAX(MIN(AQ$20,'01_Input'!$AA$60)-'01_Input'!$Z$60,0)*'01_Input'!$AC$60)))))))))</f>
        <v>800</v>
      </c>
      <c r="AR28" s="83">
        <f>IF('01_Input'!$C$60="Non",0,MIN('01_Input'!$I$60,MAX('01_Input'!$H$60,IF('01_Input'!$G$60="Résiduel vs Gestion",0,IF('01_Input'!$G$60="Taux Classe sélectionnée",Distrib_Global_Classe_Selectionnee*AR$20,IF('01_Input'!$G$60="Frais KYC (paliers de 100M€)",MAX(0,Nb_Investisseurs-Nb_KYC_Gratuites_Par_Tranche*(FLOOR(AR$20/Taille_Tranche_KYC,1)+1))*Cout_Par_KYC_Supplementaire,(IF('01_Input'!$L$60="Forfait",IF(AR$20&gt;='01_Input'!$J$60,'01_Input'!$M$60,0),IF('01_Input'!$L$60="Palier",IF(AND(AR$20&gt;='01_Input'!$J$60,AR$20&lt;'01_Input'!$K$60),'01_Input'!$M$60,0),MAX(MIN(AR$20,'01_Input'!$K$60)-'01_Input'!$J$60,0)*'01_Input'!$M$60))+IF('01_Input'!$P$60="Forfait",IF(AR$20&gt;='01_Input'!$N$60,'01_Input'!$Q$60,0),IF('01_Input'!$P$60="Palier",IF(AND(AR$20&gt;='01_Input'!$N$60,AR$20&lt;'01_Input'!$O$60),'01_Input'!$Q$60,0),MAX(MIN(AR$20,'01_Input'!$O$60)-'01_Input'!$N$60,0)*'01_Input'!$Q$60))+IF('01_Input'!$T$60="Forfait",IF(AR$20&gt;='01_Input'!$R$60,'01_Input'!$U$60,0),IF('01_Input'!$T$60="Palier",IF(AND(AR$20&gt;='01_Input'!$R$60,AR$20&lt;'01_Input'!$S$60),'01_Input'!$U$60,0),MAX(MIN(AR$20,'01_Input'!$S$60)-'01_Input'!$R$60,0)*'01_Input'!$U$60))+IF('01_Input'!$X$60="Forfait",IF(AR$20&gt;='01_Input'!$V$60,'01_Input'!$Y$60,0),IF('01_Input'!$X$60="Palier",IF(AND(AR$20&gt;='01_Input'!$V$60,AR$20&lt;'01_Input'!$W$60),'01_Input'!$Y$60,0),MAX(MIN(AR$20,'01_Input'!$W$60)-'01_Input'!$V$60,0)*'01_Input'!$Y$60))+IF('01_Input'!$AB$60="Forfait",IF(AR$20&gt;='01_Input'!$Z$60,'01_Input'!$AC$60,0),IF('01_Input'!$AB$60="Palier",IF(AND(AR$20&gt;='01_Input'!$Z$60,AR$20&lt;'01_Input'!$AA$60),'01_Input'!$AC$60,0),MAX(MIN(AR$20,'01_Input'!$AA$60)-'01_Input'!$Z$60,0)*'01_Input'!$AC$60)))))))))</f>
        <v>800</v>
      </c>
      <c r="AS28" s="83">
        <f>IF('01_Input'!$C$60="Non",0,MIN('01_Input'!$I$60,MAX('01_Input'!$H$60,IF('01_Input'!$G$60="Résiduel vs Gestion",0,IF('01_Input'!$G$60="Taux Classe sélectionnée",Distrib_Global_Classe_Selectionnee*AS$20,IF('01_Input'!$G$60="Frais KYC (paliers de 100M€)",MAX(0,Nb_Investisseurs-Nb_KYC_Gratuites_Par_Tranche*(FLOOR(AS$20/Taille_Tranche_KYC,1)+1))*Cout_Par_KYC_Supplementaire,(IF('01_Input'!$L$60="Forfait",IF(AS$20&gt;='01_Input'!$J$60,'01_Input'!$M$60,0),IF('01_Input'!$L$60="Palier",IF(AND(AS$20&gt;='01_Input'!$J$60,AS$20&lt;'01_Input'!$K$60),'01_Input'!$M$60,0),MAX(MIN(AS$20,'01_Input'!$K$60)-'01_Input'!$J$60,0)*'01_Input'!$M$60))+IF('01_Input'!$P$60="Forfait",IF(AS$20&gt;='01_Input'!$N$60,'01_Input'!$Q$60,0),IF('01_Input'!$P$60="Palier",IF(AND(AS$20&gt;='01_Input'!$N$60,AS$20&lt;'01_Input'!$O$60),'01_Input'!$Q$60,0),MAX(MIN(AS$20,'01_Input'!$O$60)-'01_Input'!$N$60,0)*'01_Input'!$Q$60))+IF('01_Input'!$T$60="Forfait",IF(AS$20&gt;='01_Input'!$R$60,'01_Input'!$U$60,0),IF('01_Input'!$T$60="Palier",IF(AND(AS$20&gt;='01_Input'!$R$60,AS$20&lt;'01_Input'!$S$60),'01_Input'!$U$60,0),MAX(MIN(AS$20,'01_Input'!$S$60)-'01_Input'!$R$60,0)*'01_Input'!$U$60))+IF('01_Input'!$X$60="Forfait",IF(AS$20&gt;='01_Input'!$V$60,'01_Input'!$Y$60,0),IF('01_Input'!$X$60="Palier",IF(AND(AS$20&gt;='01_Input'!$V$60,AS$20&lt;'01_Input'!$W$60),'01_Input'!$Y$60,0),MAX(MIN(AS$20,'01_Input'!$W$60)-'01_Input'!$V$60,0)*'01_Input'!$Y$60))+IF('01_Input'!$AB$60="Forfait",IF(AS$20&gt;='01_Input'!$Z$60,'01_Input'!$AC$60,0),IF('01_Input'!$AB$60="Palier",IF(AND(AS$20&gt;='01_Input'!$Z$60,AS$20&lt;'01_Input'!$AA$60),'01_Input'!$AC$60,0),MAX(MIN(AS$20,'01_Input'!$AA$60)-'01_Input'!$Z$60,0)*'01_Input'!$AC$60)))))))))</f>
        <v>800</v>
      </c>
      <c r="AT28" s="83">
        <f>IF('01_Input'!$C$60="Non",0,MIN('01_Input'!$I$60,MAX('01_Input'!$H$60,IF('01_Input'!$G$60="Résiduel vs Gestion",0,IF('01_Input'!$G$60="Taux Classe sélectionnée",Distrib_Global_Classe_Selectionnee*AT$20,IF('01_Input'!$G$60="Frais KYC (paliers de 100M€)",MAX(0,Nb_Investisseurs-Nb_KYC_Gratuites_Par_Tranche*(FLOOR(AT$20/Taille_Tranche_KYC,1)+1))*Cout_Par_KYC_Supplementaire,(IF('01_Input'!$L$60="Forfait",IF(AT$20&gt;='01_Input'!$J$60,'01_Input'!$M$60,0),IF('01_Input'!$L$60="Palier",IF(AND(AT$20&gt;='01_Input'!$J$60,AT$20&lt;'01_Input'!$K$60),'01_Input'!$M$60,0),MAX(MIN(AT$20,'01_Input'!$K$60)-'01_Input'!$J$60,0)*'01_Input'!$M$60))+IF('01_Input'!$P$60="Forfait",IF(AT$20&gt;='01_Input'!$N$60,'01_Input'!$Q$60,0),IF('01_Input'!$P$60="Palier",IF(AND(AT$20&gt;='01_Input'!$N$60,AT$20&lt;'01_Input'!$O$60),'01_Input'!$Q$60,0),MAX(MIN(AT$20,'01_Input'!$O$60)-'01_Input'!$N$60,0)*'01_Input'!$Q$60))+IF('01_Input'!$T$60="Forfait",IF(AT$20&gt;='01_Input'!$R$60,'01_Input'!$U$60,0),IF('01_Input'!$T$60="Palier",IF(AND(AT$20&gt;='01_Input'!$R$60,AT$20&lt;'01_Input'!$S$60),'01_Input'!$U$60,0),MAX(MIN(AT$20,'01_Input'!$S$60)-'01_Input'!$R$60,0)*'01_Input'!$U$60))+IF('01_Input'!$X$60="Forfait",IF(AT$20&gt;='01_Input'!$V$60,'01_Input'!$Y$60,0),IF('01_Input'!$X$60="Palier",IF(AND(AT$20&gt;='01_Input'!$V$60,AT$20&lt;'01_Input'!$W$60),'01_Input'!$Y$60,0),MAX(MIN(AT$20,'01_Input'!$W$60)-'01_Input'!$V$60,0)*'01_Input'!$Y$60))+IF('01_Input'!$AB$60="Forfait",IF(AT$20&gt;='01_Input'!$Z$60,'01_Input'!$AC$60,0),IF('01_Input'!$AB$60="Palier",IF(AND(AT$20&gt;='01_Input'!$Z$60,AT$20&lt;'01_Input'!$AA$60),'01_Input'!$AC$60,0),MAX(MIN(AT$20,'01_Input'!$AA$60)-'01_Input'!$Z$60,0)*'01_Input'!$AC$60)))))))))</f>
        <v>800</v>
      </c>
      <c r="AU28" s="83">
        <f>IF('01_Input'!$C$60="Non",0,MIN('01_Input'!$I$60,MAX('01_Input'!$H$60,IF('01_Input'!$G$60="Résiduel vs Gestion",0,IF('01_Input'!$G$60="Taux Classe sélectionnée",Distrib_Global_Classe_Selectionnee*AU$20,IF('01_Input'!$G$60="Frais KYC (paliers de 100M€)",MAX(0,Nb_Investisseurs-Nb_KYC_Gratuites_Par_Tranche*(FLOOR(AU$20/Taille_Tranche_KYC,1)+1))*Cout_Par_KYC_Supplementaire,(IF('01_Input'!$L$60="Forfait",IF(AU$20&gt;='01_Input'!$J$60,'01_Input'!$M$60,0),IF('01_Input'!$L$60="Palier",IF(AND(AU$20&gt;='01_Input'!$J$60,AU$20&lt;'01_Input'!$K$60),'01_Input'!$M$60,0),MAX(MIN(AU$20,'01_Input'!$K$60)-'01_Input'!$J$60,0)*'01_Input'!$M$60))+IF('01_Input'!$P$60="Forfait",IF(AU$20&gt;='01_Input'!$N$60,'01_Input'!$Q$60,0),IF('01_Input'!$P$60="Palier",IF(AND(AU$20&gt;='01_Input'!$N$60,AU$20&lt;'01_Input'!$O$60),'01_Input'!$Q$60,0),MAX(MIN(AU$20,'01_Input'!$O$60)-'01_Input'!$N$60,0)*'01_Input'!$Q$60))+IF('01_Input'!$T$60="Forfait",IF(AU$20&gt;='01_Input'!$R$60,'01_Input'!$U$60,0),IF('01_Input'!$T$60="Palier",IF(AND(AU$20&gt;='01_Input'!$R$60,AU$20&lt;'01_Input'!$S$60),'01_Input'!$U$60,0),MAX(MIN(AU$20,'01_Input'!$S$60)-'01_Input'!$R$60,0)*'01_Input'!$U$60))+IF('01_Input'!$X$60="Forfait",IF(AU$20&gt;='01_Input'!$V$60,'01_Input'!$Y$60,0),IF('01_Input'!$X$60="Palier",IF(AND(AU$20&gt;='01_Input'!$V$60,AU$20&lt;'01_Input'!$W$60),'01_Input'!$Y$60,0),MAX(MIN(AU$20,'01_Input'!$W$60)-'01_Input'!$V$60,0)*'01_Input'!$Y$60))+IF('01_Input'!$AB$60="Forfait",IF(AU$20&gt;='01_Input'!$Z$60,'01_Input'!$AC$60,0),IF('01_Input'!$AB$60="Palier",IF(AND(AU$20&gt;='01_Input'!$Z$60,AU$20&lt;'01_Input'!$AA$60),'01_Input'!$AC$60,0),MAX(MIN(AU$20,'01_Input'!$AA$60)-'01_Input'!$Z$60,0)*'01_Input'!$AC$60)))))))))</f>
        <v>800</v>
      </c>
      <c r="AV28" s="83">
        <f>IF('01_Input'!$C$60="Non",0,MIN('01_Input'!$I$60,MAX('01_Input'!$H$60,IF('01_Input'!$G$60="Résiduel vs Gestion",0,IF('01_Input'!$G$60="Taux Classe sélectionnée",Distrib_Global_Classe_Selectionnee*AV$20,IF('01_Input'!$G$60="Frais KYC (paliers de 100M€)",MAX(0,Nb_Investisseurs-Nb_KYC_Gratuites_Par_Tranche*(FLOOR(AV$20/Taille_Tranche_KYC,1)+1))*Cout_Par_KYC_Supplementaire,(IF('01_Input'!$L$60="Forfait",IF(AV$20&gt;='01_Input'!$J$60,'01_Input'!$M$60,0),IF('01_Input'!$L$60="Palier",IF(AND(AV$20&gt;='01_Input'!$J$60,AV$20&lt;'01_Input'!$K$60),'01_Input'!$M$60,0),MAX(MIN(AV$20,'01_Input'!$K$60)-'01_Input'!$J$60,0)*'01_Input'!$M$60))+IF('01_Input'!$P$60="Forfait",IF(AV$20&gt;='01_Input'!$N$60,'01_Input'!$Q$60,0),IF('01_Input'!$P$60="Palier",IF(AND(AV$20&gt;='01_Input'!$N$60,AV$20&lt;'01_Input'!$O$60),'01_Input'!$Q$60,0),MAX(MIN(AV$20,'01_Input'!$O$60)-'01_Input'!$N$60,0)*'01_Input'!$Q$60))+IF('01_Input'!$T$60="Forfait",IF(AV$20&gt;='01_Input'!$R$60,'01_Input'!$U$60,0),IF('01_Input'!$T$60="Palier",IF(AND(AV$20&gt;='01_Input'!$R$60,AV$20&lt;'01_Input'!$S$60),'01_Input'!$U$60,0),MAX(MIN(AV$20,'01_Input'!$S$60)-'01_Input'!$R$60,0)*'01_Input'!$U$60))+IF('01_Input'!$X$60="Forfait",IF(AV$20&gt;='01_Input'!$V$60,'01_Input'!$Y$60,0),IF('01_Input'!$X$60="Palier",IF(AND(AV$20&gt;='01_Input'!$V$60,AV$20&lt;'01_Input'!$W$60),'01_Input'!$Y$60,0),MAX(MIN(AV$20,'01_Input'!$W$60)-'01_Input'!$V$60,0)*'01_Input'!$Y$60))+IF('01_Input'!$AB$60="Forfait",IF(AV$20&gt;='01_Input'!$Z$60,'01_Input'!$AC$60,0),IF('01_Input'!$AB$60="Palier",IF(AND(AV$20&gt;='01_Input'!$Z$60,AV$20&lt;'01_Input'!$AA$60),'01_Input'!$AC$60,0),MAX(MIN(AV$20,'01_Input'!$AA$60)-'01_Input'!$Z$60,0)*'01_Input'!$AC$60)))))))))</f>
        <v>800</v>
      </c>
      <c r="AW28" s="83">
        <f>IF('01_Input'!$C$60="Non",0,MIN('01_Input'!$I$60,MAX('01_Input'!$H$60,IF('01_Input'!$G$60="Résiduel vs Gestion",0,IF('01_Input'!$G$60="Taux Classe sélectionnée",Distrib_Global_Classe_Selectionnee*AW$20,IF('01_Input'!$G$60="Frais KYC (paliers de 100M€)",MAX(0,Nb_Investisseurs-Nb_KYC_Gratuites_Par_Tranche*(FLOOR(AW$20/Taille_Tranche_KYC,1)+1))*Cout_Par_KYC_Supplementaire,(IF('01_Input'!$L$60="Forfait",IF(AW$20&gt;='01_Input'!$J$60,'01_Input'!$M$60,0),IF('01_Input'!$L$60="Palier",IF(AND(AW$20&gt;='01_Input'!$J$60,AW$20&lt;'01_Input'!$K$60),'01_Input'!$M$60,0),MAX(MIN(AW$20,'01_Input'!$K$60)-'01_Input'!$J$60,0)*'01_Input'!$M$60))+IF('01_Input'!$P$60="Forfait",IF(AW$20&gt;='01_Input'!$N$60,'01_Input'!$Q$60,0),IF('01_Input'!$P$60="Palier",IF(AND(AW$20&gt;='01_Input'!$N$60,AW$20&lt;'01_Input'!$O$60),'01_Input'!$Q$60,0),MAX(MIN(AW$20,'01_Input'!$O$60)-'01_Input'!$N$60,0)*'01_Input'!$Q$60))+IF('01_Input'!$T$60="Forfait",IF(AW$20&gt;='01_Input'!$R$60,'01_Input'!$U$60,0),IF('01_Input'!$T$60="Palier",IF(AND(AW$20&gt;='01_Input'!$R$60,AW$20&lt;'01_Input'!$S$60),'01_Input'!$U$60,0),MAX(MIN(AW$20,'01_Input'!$S$60)-'01_Input'!$R$60,0)*'01_Input'!$U$60))+IF('01_Input'!$X$60="Forfait",IF(AW$20&gt;='01_Input'!$V$60,'01_Input'!$Y$60,0),IF('01_Input'!$X$60="Palier",IF(AND(AW$20&gt;='01_Input'!$V$60,AW$20&lt;'01_Input'!$W$60),'01_Input'!$Y$60,0),MAX(MIN(AW$20,'01_Input'!$W$60)-'01_Input'!$V$60,0)*'01_Input'!$Y$60))+IF('01_Input'!$AB$60="Forfait",IF(AW$20&gt;='01_Input'!$Z$60,'01_Input'!$AC$60,0),IF('01_Input'!$AB$60="Palier",IF(AND(AW$20&gt;='01_Input'!$Z$60,AW$20&lt;'01_Input'!$AA$60),'01_Input'!$AC$60,0),MAX(MIN(AW$20,'01_Input'!$AA$60)-'01_Input'!$Z$60,0)*'01_Input'!$AC$60)))))))))</f>
        <v>800</v>
      </c>
      <c r="AX28" s="83">
        <f>IF('01_Input'!$C$60="Non",0,MIN('01_Input'!$I$60,MAX('01_Input'!$H$60,IF('01_Input'!$G$60="Résiduel vs Gestion",0,IF('01_Input'!$G$60="Taux Classe sélectionnée",Distrib_Global_Classe_Selectionnee*AX$20,IF('01_Input'!$G$60="Frais KYC (paliers de 100M€)",MAX(0,Nb_Investisseurs-Nb_KYC_Gratuites_Par_Tranche*(FLOOR(AX$20/Taille_Tranche_KYC,1)+1))*Cout_Par_KYC_Supplementaire,(IF('01_Input'!$L$60="Forfait",IF(AX$20&gt;='01_Input'!$J$60,'01_Input'!$M$60,0),IF('01_Input'!$L$60="Palier",IF(AND(AX$20&gt;='01_Input'!$J$60,AX$20&lt;'01_Input'!$K$60),'01_Input'!$M$60,0),MAX(MIN(AX$20,'01_Input'!$K$60)-'01_Input'!$J$60,0)*'01_Input'!$M$60))+IF('01_Input'!$P$60="Forfait",IF(AX$20&gt;='01_Input'!$N$60,'01_Input'!$Q$60,0),IF('01_Input'!$P$60="Palier",IF(AND(AX$20&gt;='01_Input'!$N$60,AX$20&lt;'01_Input'!$O$60),'01_Input'!$Q$60,0),MAX(MIN(AX$20,'01_Input'!$O$60)-'01_Input'!$N$60,0)*'01_Input'!$Q$60))+IF('01_Input'!$T$60="Forfait",IF(AX$20&gt;='01_Input'!$R$60,'01_Input'!$U$60,0),IF('01_Input'!$T$60="Palier",IF(AND(AX$20&gt;='01_Input'!$R$60,AX$20&lt;'01_Input'!$S$60),'01_Input'!$U$60,0),MAX(MIN(AX$20,'01_Input'!$S$60)-'01_Input'!$R$60,0)*'01_Input'!$U$60))+IF('01_Input'!$X$60="Forfait",IF(AX$20&gt;='01_Input'!$V$60,'01_Input'!$Y$60,0),IF('01_Input'!$X$60="Palier",IF(AND(AX$20&gt;='01_Input'!$V$60,AX$20&lt;'01_Input'!$W$60),'01_Input'!$Y$60,0),MAX(MIN(AX$20,'01_Input'!$W$60)-'01_Input'!$V$60,0)*'01_Input'!$Y$60))+IF('01_Input'!$AB$60="Forfait",IF(AX$20&gt;='01_Input'!$Z$60,'01_Input'!$AC$60,0),IF('01_Input'!$AB$60="Palier",IF(AND(AX$20&gt;='01_Input'!$Z$60,AX$20&lt;'01_Input'!$AA$60),'01_Input'!$AC$60,0),MAX(MIN(AX$20,'01_Input'!$AA$60)-'01_Input'!$Z$60,0)*'01_Input'!$AC$60)))))))))</f>
        <v>800</v>
      </c>
      <c r="AY28" s="83">
        <f>IF('01_Input'!$C$60="Non",0,MIN('01_Input'!$I$60,MAX('01_Input'!$H$60,IF('01_Input'!$G$60="Résiduel vs Gestion",0,IF('01_Input'!$G$60="Taux Classe sélectionnée",Distrib_Global_Classe_Selectionnee*AY$20,IF('01_Input'!$G$60="Frais KYC (paliers de 100M€)",MAX(0,Nb_Investisseurs-Nb_KYC_Gratuites_Par_Tranche*(FLOOR(AY$20/Taille_Tranche_KYC,1)+1))*Cout_Par_KYC_Supplementaire,(IF('01_Input'!$L$60="Forfait",IF(AY$20&gt;='01_Input'!$J$60,'01_Input'!$M$60,0),IF('01_Input'!$L$60="Palier",IF(AND(AY$20&gt;='01_Input'!$J$60,AY$20&lt;'01_Input'!$K$60),'01_Input'!$M$60,0),MAX(MIN(AY$20,'01_Input'!$K$60)-'01_Input'!$J$60,0)*'01_Input'!$M$60))+IF('01_Input'!$P$60="Forfait",IF(AY$20&gt;='01_Input'!$N$60,'01_Input'!$Q$60,0),IF('01_Input'!$P$60="Palier",IF(AND(AY$20&gt;='01_Input'!$N$60,AY$20&lt;'01_Input'!$O$60),'01_Input'!$Q$60,0),MAX(MIN(AY$20,'01_Input'!$O$60)-'01_Input'!$N$60,0)*'01_Input'!$Q$60))+IF('01_Input'!$T$60="Forfait",IF(AY$20&gt;='01_Input'!$R$60,'01_Input'!$U$60,0),IF('01_Input'!$T$60="Palier",IF(AND(AY$20&gt;='01_Input'!$R$60,AY$20&lt;'01_Input'!$S$60),'01_Input'!$U$60,0),MAX(MIN(AY$20,'01_Input'!$S$60)-'01_Input'!$R$60,0)*'01_Input'!$U$60))+IF('01_Input'!$X$60="Forfait",IF(AY$20&gt;='01_Input'!$V$60,'01_Input'!$Y$60,0),IF('01_Input'!$X$60="Palier",IF(AND(AY$20&gt;='01_Input'!$V$60,AY$20&lt;'01_Input'!$W$60),'01_Input'!$Y$60,0),MAX(MIN(AY$20,'01_Input'!$W$60)-'01_Input'!$V$60,0)*'01_Input'!$Y$60))+IF('01_Input'!$AB$60="Forfait",IF(AY$20&gt;='01_Input'!$Z$60,'01_Input'!$AC$60,0),IF('01_Input'!$AB$60="Palier",IF(AND(AY$20&gt;='01_Input'!$Z$60,AY$20&lt;'01_Input'!$AA$60),'01_Input'!$AC$60,0),MAX(MIN(AY$20,'01_Input'!$AA$60)-'01_Input'!$Z$60,0)*'01_Input'!$AC$60)))))))))</f>
        <v>800</v>
      </c>
      <c r="AZ28" s="83">
        <f>IF('01_Input'!$C$60="Non",0,MIN('01_Input'!$I$60,MAX('01_Input'!$H$60,IF('01_Input'!$G$60="Résiduel vs Gestion",0,IF('01_Input'!$G$60="Taux Classe sélectionnée",Distrib_Global_Classe_Selectionnee*AZ$20,IF('01_Input'!$G$60="Frais KYC (paliers de 100M€)",MAX(0,Nb_Investisseurs-Nb_KYC_Gratuites_Par_Tranche*(FLOOR(AZ$20/Taille_Tranche_KYC,1)+1))*Cout_Par_KYC_Supplementaire,(IF('01_Input'!$L$60="Forfait",IF(AZ$20&gt;='01_Input'!$J$60,'01_Input'!$M$60,0),IF('01_Input'!$L$60="Palier",IF(AND(AZ$20&gt;='01_Input'!$J$60,AZ$20&lt;'01_Input'!$K$60),'01_Input'!$M$60,0),MAX(MIN(AZ$20,'01_Input'!$K$60)-'01_Input'!$J$60,0)*'01_Input'!$M$60))+IF('01_Input'!$P$60="Forfait",IF(AZ$20&gt;='01_Input'!$N$60,'01_Input'!$Q$60,0),IF('01_Input'!$P$60="Palier",IF(AND(AZ$20&gt;='01_Input'!$N$60,AZ$20&lt;'01_Input'!$O$60),'01_Input'!$Q$60,0),MAX(MIN(AZ$20,'01_Input'!$O$60)-'01_Input'!$N$60,0)*'01_Input'!$Q$60))+IF('01_Input'!$T$60="Forfait",IF(AZ$20&gt;='01_Input'!$R$60,'01_Input'!$U$60,0),IF('01_Input'!$T$60="Palier",IF(AND(AZ$20&gt;='01_Input'!$R$60,AZ$20&lt;'01_Input'!$S$60),'01_Input'!$U$60,0),MAX(MIN(AZ$20,'01_Input'!$S$60)-'01_Input'!$R$60,0)*'01_Input'!$U$60))+IF('01_Input'!$X$60="Forfait",IF(AZ$20&gt;='01_Input'!$V$60,'01_Input'!$Y$60,0),IF('01_Input'!$X$60="Palier",IF(AND(AZ$20&gt;='01_Input'!$V$60,AZ$20&lt;'01_Input'!$W$60),'01_Input'!$Y$60,0),MAX(MIN(AZ$20,'01_Input'!$W$60)-'01_Input'!$V$60,0)*'01_Input'!$Y$60))+IF('01_Input'!$AB$60="Forfait",IF(AZ$20&gt;='01_Input'!$Z$60,'01_Input'!$AC$60,0),IF('01_Input'!$AB$60="Palier",IF(AND(AZ$20&gt;='01_Input'!$Z$60,AZ$20&lt;'01_Input'!$AA$60),'01_Input'!$AC$60,0),MAX(MIN(AZ$20,'01_Input'!$AA$60)-'01_Input'!$Z$60,0)*'01_Input'!$AC$60)))))))))</f>
        <v>800</v>
      </c>
      <c r="BA28" s="83">
        <f>IF('01_Input'!$C$60="Non",0,MIN('01_Input'!$I$60,MAX('01_Input'!$H$60,IF('01_Input'!$G$60="Résiduel vs Gestion",0,IF('01_Input'!$G$60="Taux Classe sélectionnée",Distrib_Global_Classe_Selectionnee*BA$20,IF('01_Input'!$G$60="Frais KYC (paliers de 100M€)",MAX(0,Nb_Investisseurs-Nb_KYC_Gratuites_Par_Tranche*(FLOOR(BA$20/Taille_Tranche_KYC,1)+1))*Cout_Par_KYC_Supplementaire,(IF('01_Input'!$L$60="Forfait",IF(BA$20&gt;='01_Input'!$J$60,'01_Input'!$M$60,0),IF('01_Input'!$L$60="Palier",IF(AND(BA$20&gt;='01_Input'!$J$60,BA$20&lt;'01_Input'!$K$60),'01_Input'!$M$60,0),MAX(MIN(BA$20,'01_Input'!$K$60)-'01_Input'!$J$60,0)*'01_Input'!$M$60))+IF('01_Input'!$P$60="Forfait",IF(BA$20&gt;='01_Input'!$N$60,'01_Input'!$Q$60,0),IF('01_Input'!$P$60="Palier",IF(AND(BA$20&gt;='01_Input'!$N$60,BA$20&lt;'01_Input'!$O$60),'01_Input'!$Q$60,0),MAX(MIN(BA$20,'01_Input'!$O$60)-'01_Input'!$N$60,0)*'01_Input'!$Q$60))+IF('01_Input'!$T$60="Forfait",IF(BA$20&gt;='01_Input'!$R$60,'01_Input'!$U$60,0),IF('01_Input'!$T$60="Palier",IF(AND(BA$20&gt;='01_Input'!$R$60,BA$20&lt;'01_Input'!$S$60),'01_Input'!$U$60,0),MAX(MIN(BA$20,'01_Input'!$S$60)-'01_Input'!$R$60,0)*'01_Input'!$U$60))+IF('01_Input'!$X$60="Forfait",IF(BA$20&gt;='01_Input'!$V$60,'01_Input'!$Y$60,0),IF('01_Input'!$X$60="Palier",IF(AND(BA$20&gt;='01_Input'!$V$60,BA$20&lt;'01_Input'!$W$60),'01_Input'!$Y$60,0),MAX(MIN(BA$20,'01_Input'!$W$60)-'01_Input'!$V$60,0)*'01_Input'!$Y$60))+IF('01_Input'!$AB$60="Forfait",IF(BA$20&gt;='01_Input'!$Z$60,'01_Input'!$AC$60,0),IF('01_Input'!$AB$60="Palier",IF(AND(BA$20&gt;='01_Input'!$Z$60,BA$20&lt;'01_Input'!$AA$60),'01_Input'!$AC$60,0),MAX(MIN(BA$20,'01_Input'!$AA$60)-'01_Input'!$Z$60,0)*'01_Input'!$AC$60)))))))))</f>
        <v>800</v>
      </c>
      <c r="BB28" s="83">
        <f>IF('01_Input'!$C$60="Non",0,MIN('01_Input'!$I$60,MAX('01_Input'!$H$60,IF('01_Input'!$G$60="Résiduel vs Gestion",0,IF('01_Input'!$G$60="Taux Classe sélectionnée",Distrib_Global_Classe_Selectionnee*BB$20,IF('01_Input'!$G$60="Frais KYC (paliers de 100M€)",MAX(0,Nb_Investisseurs-Nb_KYC_Gratuites_Par_Tranche*(FLOOR(BB$20/Taille_Tranche_KYC,1)+1))*Cout_Par_KYC_Supplementaire,(IF('01_Input'!$L$60="Forfait",IF(BB$20&gt;='01_Input'!$J$60,'01_Input'!$M$60,0),IF('01_Input'!$L$60="Palier",IF(AND(BB$20&gt;='01_Input'!$J$60,BB$20&lt;'01_Input'!$K$60),'01_Input'!$M$60,0),MAX(MIN(BB$20,'01_Input'!$K$60)-'01_Input'!$J$60,0)*'01_Input'!$M$60))+IF('01_Input'!$P$60="Forfait",IF(BB$20&gt;='01_Input'!$N$60,'01_Input'!$Q$60,0),IF('01_Input'!$P$60="Palier",IF(AND(BB$20&gt;='01_Input'!$N$60,BB$20&lt;'01_Input'!$O$60),'01_Input'!$Q$60,0),MAX(MIN(BB$20,'01_Input'!$O$60)-'01_Input'!$N$60,0)*'01_Input'!$Q$60))+IF('01_Input'!$T$60="Forfait",IF(BB$20&gt;='01_Input'!$R$60,'01_Input'!$U$60,0),IF('01_Input'!$T$60="Palier",IF(AND(BB$20&gt;='01_Input'!$R$60,BB$20&lt;'01_Input'!$S$60),'01_Input'!$U$60,0),MAX(MIN(BB$20,'01_Input'!$S$60)-'01_Input'!$R$60,0)*'01_Input'!$U$60))+IF('01_Input'!$X$60="Forfait",IF(BB$20&gt;='01_Input'!$V$60,'01_Input'!$Y$60,0),IF('01_Input'!$X$60="Palier",IF(AND(BB$20&gt;='01_Input'!$V$60,BB$20&lt;'01_Input'!$W$60),'01_Input'!$Y$60,0),MAX(MIN(BB$20,'01_Input'!$W$60)-'01_Input'!$V$60,0)*'01_Input'!$Y$60))+IF('01_Input'!$AB$60="Forfait",IF(BB$20&gt;='01_Input'!$Z$60,'01_Input'!$AC$60,0),IF('01_Input'!$AB$60="Palier",IF(AND(BB$20&gt;='01_Input'!$Z$60,BB$20&lt;'01_Input'!$AA$60),'01_Input'!$AC$60,0),MAX(MIN(BB$20,'01_Input'!$AA$60)-'01_Input'!$Z$60,0)*'01_Input'!$AC$60)))))))))</f>
        <v>800</v>
      </c>
      <c r="BC28" s="83">
        <f>IF('01_Input'!$C$60="Non",0,MIN('01_Input'!$I$60,MAX('01_Input'!$H$60,IF('01_Input'!$G$60="Résiduel vs Gestion",0,IF('01_Input'!$G$60="Taux Classe sélectionnée",Distrib_Global_Classe_Selectionnee*BC$20,IF('01_Input'!$G$60="Frais KYC (paliers de 100M€)",MAX(0,Nb_Investisseurs-Nb_KYC_Gratuites_Par_Tranche*(FLOOR(BC$20/Taille_Tranche_KYC,1)+1))*Cout_Par_KYC_Supplementaire,(IF('01_Input'!$L$60="Forfait",IF(BC$20&gt;='01_Input'!$J$60,'01_Input'!$M$60,0),IF('01_Input'!$L$60="Palier",IF(AND(BC$20&gt;='01_Input'!$J$60,BC$20&lt;'01_Input'!$K$60),'01_Input'!$M$60,0),MAX(MIN(BC$20,'01_Input'!$K$60)-'01_Input'!$J$60,0)*'01_Input'!$M$60))+IF('01_Input'!$P$60="Forfait",IF(BC$20&gt;='01_Input'!$N$60,'01_Input'!$Q$60,0),IF('01_Input'!$P$60="Palier",IF(AND(BC$20&gt;='01_Input'!$N$60,BC$20&lt;'01_Input'!$O$60),'01_Input'!$Q$60,0),MAX(MIN(BC$20,'01_Input'!$O$60)-'01_Input'!$N$60,0)*'01_Input'!$Q$60))+IF('01_Input'!$T$60="Forfait",IF(BC$20&gt;='01_Input'!$R$60,'01_Input'!$U$60,0),IF('01_Input'!$T$60="Palier",IF(AND(BC$20&gt;='01_Input'!$R$60,BC$20&lt;'01_Input'!$S$60),'01_Input'!$U$60,0),MAX(MIN(BC$20,'01_Input'!$S$60)-'01_Input'!$R$60,0)*'01_Input'!$U$60))+IF('01_Input'!$X$60="Forfait",IF(BC$20&gt;='01_Input'!$V$60,'01_Input'!$Y$60,0),IF('01_Input'!$X$60="Palier",IF(AND(BC$20&gt;='01_Input'!$V$60,BC$20&lt;'01_Input'!$W$60),'01_Input'!$Y$60,0),MAX(MIN(BC$20,'01_Input'!$W$60)-'01_Input'!$V$60,0)*'01_Input'!$Y$60))+IF('01_Input'!$AB$60="Forfait",IF(BC$20&gt;='01_Input'!$Z$60,'01_Input'!$AC$60,0),IF('01_Input'!$AB$60="Palier",IF(AND(BC$20&gt;='01_Input'!$Z$60,BC$20&lt;'01_Input'!$AA$60),'01_Input'!$AC$60,0),MAX(MIN(BC$20,'01_Input'!$AA$60)-'01_Input'!$Z$60,0)*'01_Input'!$AC$60)))))))))</f>
        <v>800</v>
      </c>
      <c r="BD28" s="83">
        <f>IF('01_Input'!$C$60="Non",0,MIN('01_Input'!$I$60,MAX('01_Input'!$H$60,IF('01_Input'!$G$60="Résiduel vs Gestion",0,IF('01_Input'!$G$60="Taux Classe sélectionnée",Distrib_Global_Classe_Selectionnee*BD$20,IF('01_Input'!$G$60="Frais KYC (paliers de 100M€)",MAX(0,Nb_Investisseurs-Nb_KYC_Gratuites_Par_Tranche*(FLOOR(BD$20/Taille_Tranche_KYC,1)+1))*Cout_Par_KYC_Supplementaire,(IF('01_Input'!$L$60="Forfait",IF(BD$20&gt;='01_Input'!$J$60,'01_Input'!$M$60,0),IF('01_Input'!$L$60="Palier",IF(AND(BD$20&gt;='01_Input'!$J$60,BD$20&lt;'01_Input'!$K$60),'01_Input'!$M$60,0),MAX(MIN(BD$20,'01_Input'!$K$60)-'01_Input'!$J$60,0)*'01_Input'!$M$60))+IF('01_Input'!$P$60="Forfait",IF(BD$20&gt;='01_Input'!$N$60,'01_Input'!$Q$60,0),IF('01_Input'!$P$60="Palier",IF(AND(BD$20&gt;='01_Input'!$N$60,BD$20&lt;'01_Input'!$O$60),'01_Input'!$Q$60,0),MAX(MIN(BD$20,'01_Input'!$O$60)-'01_Input'!$N$60,0)*'01_Input'!$Q$60))+IF('01_Input'!$T$60="Forfait",IF(BD$20&gt;='01_Input'!$R$60,'01_Input'!$U$60,0),IF('01_Input'!$T$60="Palier",IF(AND(BD$20&gt;='01_Input'!$R$60,BD$20&lt;'01_Input'!$S$60),'01_Input'!$U$60,0),MAX(MIN(BD$20,'01_Input'!$S$60)-'01_Input'!$R$60,0)*'01_Input'!$U$60))+IF('01_Input'!$X$60="Forfait",IF(BD$20&gt;='01_Input'!$V$60,'01_Input'!$Y$60,0),IF('01_Input'!$X$60="Palier",IF(AND(BD$20&gt;='01_Input'!$V$60,BD$20&lt;'01_Input'!$W$60),'01_Input'!$Y$60,0),MAX(MIN(BD$20,'01_Input'!$W$60)-'01_Input'!$V$60,0)*'01_Input'!$Y$60))+IF('01_Input'!$AB$60="Forfait",IF(BD$20&gt;='01_Input'!$Z$60,'01_Input'!$AC$60,0),IF('01_Input'!$AB$60="Palier",IF(AND(BD$20&gt;='01_Input'!$Z$60,BD$20&lt;'01_Input'!$AA$60),'01_Input'!$AC$60,0),MAX(MIN(BD$20,'01_Input'!$AA$60)-'01_Input'!$Z$60,0)*'01_Input'!$AC$60)))))))))</f>
        <v>800</v>
      </c>
      <c r="BE28" s="83">
        <f>IF('01_Input'!$C$60="Non",0,MIN('01_Input'!$I$60,MAX('01_Input'!$H$60,IF('01_Input'!$G$60="Résiduel vs Gestion",0,IF('01_Input'!$G$60="Taux Classe sélectionnée",Distrib_Global_Classe_Selectionnee*BE$20,IF('01_Input'!$G$60="Frais KYC (paliers de 100M€)",MAX(0,Nb_Investisseurs-Nb_KYC_Gratuites_Par_Tranche*(FLOOR(BE$20/Taille_Tranche_KYC,1)+1))*Cout_Par_KYC_Supplementaire,(IF('01_Input'!$L$60="Forfait",IF(BE$20&gt;='01_Input'!$J$60,'01_Input'!$M$60,0),IF('01_Input'!$L$60="Palier",IF(AND(BE$20&gt;='01_Input'!$J$60,BE$20&lt;'01_Input'!$K$60),'01_Input'!$M$60,0),MAX(MIN(BE$20,'01_Input'!$K$60)-'01_Input'!$J$60,0)*'01_Input'!$M$60))+IF('01_Input'!$P$60="Forfait",IF(BE$20&gt;='01_Input'!$N$60,'01_Input'!$Q$60,0),IF('01_Input'!$P$60="Palier",IF(AND(BE$20&gt;='01_Input'!$N$60,BE$20&lt;'01_Input'!$O$60),'01_Input'!$Q$60,0),MAX(MIN(BE$20,'01_Input'!$O$60)-'01_Input'!$N$60,0)*'01_Input'!$Q$60))+IF('01_Input'!$T$60="Forfait",IF(BE$20&gt;='01_Input'!$R$60,'01_Input'!$U$60,0),IF('01_Input'!$T$60="Palier",IF(AND(BE$20&gt;='01_Input'!$R$60,BE$20&lt;'01_Input'!$S$60),'01_Input'!$U$60,0),MAX(MIN(BE$20,'01_Input'!$S$60)-'01_Input'!$R$60,0)*'01_Input'!$U$60))+IF('01_Input'!$X$60="Forfait",IF(BE$20&gt;='01_Input'!$V$60,'01_Input'!$Y$60,0),IF('01_Input'!$X$60="Palier",IF(AND(BE$20&gt;='01_Input'!$V$60,BE$20&lt;'01_Input'!$W$60),'01_Input'!$Y$60,0),MAX(MIN(BE$20,'01_Input'!$W$60)-'01_Input'!$V$60,0)*'01_Input'!$Y$60))+IF('01_Input'!$AB$60="Forfait",IF(BE$20&gt;='01_Input'!$Z$60,'01_Input'!$AC$60,0),IF('01_Input'!$AB$60="Palier",IF(AND(BE$20&gt;='01_Input'!$Z$60,BE$20&lt;'01_Input'!$AA$60),'01_Input'!$AC$60,0),MAX(MIN(BE$20,'01_Input'!$AA$60)-'01_Input'!$Z$60,0)*'01_Input'!$AC$60)))))))))</f>
        <v>800</v>
      </c>
      <c r="BF28" s="83">
        <f>IF('01_Input'!$C$60="Non",0,MIN('01_Input'!$I$60,MAX('01_Input'!$H$60,IF('01_Input'!$G$60="Résiduel vs Gestion",0,IF('01_Input'!$G$60="Taux Classe sélectionnée",Distrib_Global_Classe_Selectionnee*BF$20,IF('01_Input'!$G$60="Frais KYC (paliers de 100M€)",MAX(0,Nb_Investisseurs-Nb_KYC_Gratuites_Par_Tranche*(FLOOR(BF$20/Taille_Tranche_KYC,1)+1))*Cout_Par_KYC_Supplementaire,(IF('01_Input'!$L$60="Forfait",IF(BF$20&gt;='01_Input'!$J$60,'01_Input'!$M$60,0),IF('01_Input'!$L$60="Palier",IF(AND(BF$20&gt;='01_Input'!$J$60,BF$20&lt;'01_Input'!$K$60),'01_Input'!$M$60,0),MAX(MIN(BF$20,'01_Input'!$K$60)-'01_Input'!$J$60,0)*'01_Input'!$M$60))+IF('01_Input'!$P$60="Forfait",IF(BF$20&gt;='01_Input'!$N$60,'01_Input'!$Q$60,0),IF('01_Input'!$P$60="Palier",IF(AND(BF$20&gt;='01_Input'!$N$60,BF$20&lt;'01_Input'!$O$60),'01_Input'!$Q$60,0),MAX(MIN(BF$20,'01_Input'!$O$60)-'01_Input'!$N$60,0)*'01_Input'!$Q$60))+IF('01_Input'!$T$60="Forfait",IF(BF$20&gt;='01_Input'!$R$60,'01_Input'!$U$60,0),IF('01_Input'!$T$60="Palier",IF(AND(BF$20&gt;='01_Input'!$R$60,BF$20&lt;'01_Input'!$S$60),'01_Input'!$U$60,0),MAX(MIN(BF$20,'01_Input'!$S$60)-'01_Input'!$R$60,0)*'01_Input'!$U$60))+IF('01_Input'!$X$60="Forfait",IF(BF$20&gt;='01_Input'!$V$60,'01_Input'!$Y$60,0),IF('01_Input'!$X$60="Palier",IF(AND(BF$20&gt;='01_Input'!$V$60,BF$20&lt;'01_Input'!$W$60),'01_Input'!$Y$60,0),MAX(MIN(BF$20,'01_Input'!$W$60)-'01_Input'!$V$60,0)*'01_Input'!$Y$60))+IF('01_Input'!$AB$60="Forfait",IF(BF$20&gt;='01_Input'!$Z$60,'01_Input'!$AC$60,0),IF('01_Input'!$AB$60="Palier",IF(AND(BF$20&gt;='01_Input'!$Z$60,BF$20&lt;'01_Input'!$AA$60),'01_Input'!$AC$60,0),MAX(MIN(BF$20,'01_Input'!$AA$60)-'01_Input'!$Z$60,0)*'01_Input'!$AC$60)))))))))</f>
        <v>800</v>
      </c>
      <c r="BG28" s="83">
        <f>IF('01_Input'!$C$60="Non",0,MIN('01_Input'!$I$60,MAX('01_Input'!$H$60,IF('01_Input'!$G$60="Résiduel vs Gestion",0,IF('01_Input'!$G$60="Taux Classe sélectionnée",Distrib_Global_Classe_Selectionnee*BG$20,IF('01_Input'!$G$60="Frais KYC (paliers de 100M€)",MAX(0,Nb_Investisseurs-Nb_KYC_Gratuites_Par_Tranche*(FLOOR(BG$20/Taille_Tranche_KYC,1)+1))*Cout_Par_KYC_Supplementaire,(IF('01_Input'!$L$60="Forfait",IF(BG$20&gt;='01_Input'!$J$60,'01_Input'!$M$60,0),IF('01_Input'!$L$60="Palier",IF(AND(BG$20&gt;='01_Input'!$J$60,BG$20&lt;'01_Input'!$K$60),'01_Input'!$M$60,0),MAX(MIN(BG$20,'01_Input'!$K$60)-'01_Input'!$J$60,0)*'01_Input'!$M$60))+IF('01_Input'!$P$60="Forfait",IF(BG$20&gt;='01_Input'!$N$60,'01_Input'!$Q$60,0),IF('01_Input'!$P$60="Palier",IF(AND(BG$20&gt;='01_Input'!$N$60,BG$20&lt;'01_Input'!$O$60),'01_Input'!$Q$60,0),MAX(MIN(BG$20,'01_Input'!$O$60)-'01_Input'!$N$60,0)*'01_Input'!$Q$60))+IF('01_Input'!$T$60="Forfait",IF(BG$20&gt;='01_Input'!$R$60,'01_Input'!$U$60,0),IF('01_Input'!$T$60="Palier",IF(AND(BG$20&gt;='01_Input'!$R$60,BG$20&lt;'01_Input'!$S$60),'01_Input'!$U$60,0),MAX(MIN(BG$20,'01_Input'!$S$60)-'01_Input'!$R$60,0)*'01_Input'!$U$60))+IF('01_Input'!$X$60="Forfait",IF(BG$20&gt;='01_Input'!$V$60,'01_Input'!$Y$60,0),IF('01_Input'!$X$60="Palier",IF(AND(BG$20&gt;='01_Input'!$V$60,BG$20&lt;'01_Input'!$W$60),'01_Input'!$Y$60,0),MAX(MIN(BG$20,'01_Input'!$W$60)-'01_Input'!$V$60,0)*'01_Input'!$Y$60))+IF('01_Input'!$AB$60="Forfait",IF(BG$20&gt;='01_Input'!$Z$60,'01_Input'!$AC$60,0),IF('01_Input'!$AB$60="Palier",IF(AND(BG$20&gt;='01_Input'!$Z$60,BG$20&lt;'01_Input'!$AA$60),'01_Input'!$AC$60,0),MAX(MIN(BG$20,'01_Input'!$AA$60)-'01_Input'!$Z$60,0)*'01_Input'!$AC$60)))))))))</f>
        <v>800</v>
      </c>
      <c r="BH28" s="83">
        <f>IF('01_Input'!$C$60="Non",0,MIN('01_Input'!$I$60,MAX('01_Input'!$H$60,IF('01_Input'!$G$60="Résiduel vs Gestion",0,IF('01_Input'!$G$60="Taux Classe sélectionnée",Distrib_Global_Classe_Selectionnee*BH$20,IF('01_Input'!$G$60="Frais KYC (paliers de 100M€)",MAX(0,Nb_Investisseurs-Nb_KYC_Gratuites_Par_Tranche*(FLOOR(BH$20/Taille_Tranche_KYC,1)+1))*Cout_Par_KYC_Supplementaire,(IF('01_Input'!$L$60="Forfait",IF(BH$20&gt;='01_Input'!$J$60,'01_Input'!$M$60,0),IF('01_Input'!$L$60="Palier",IF(AND(BH$20&gt;='01_Input'!$J$60,BH$20&lt;'01_Input'!$K$60),'01_Input'!$M$60,0),MAX(MIN(BH$20,'01_Input'!$K$60)-'01_Input'!$J$60,0)*'01_Input'!$M$60))+IF('01_Input'!$P$60="Forfait",IF(BH$20&gt;='01_Input'!$N$60,'01_Input'!$Q$60,0),IF('01_Input'!$P$60="Palier",IF(AND(BH$20&gt;='01_Input'!$N$60,BH$20&lt;'01_Input'!$O$60),'01_Input'!$Q$60,0),MAX(MIN(BH$20,'01_Input'!$O$60)-'01_Input'!$N$60,0)*'01_Input'!$Q$60))+IF('01_Input'!$T$60="Forfait",IF(BH$20&gt;='01_Input'!$R$60,'01_Input'!$U$60,0),IF('01_Input'!$T$60="Palier",IF(AND(BH$20&gt;='01_Input'!$R$60,BH$20&lt;'01_Input'!$S$60),'01_Input'!$U$60,0),MAX(MIN(BH$20,'01_Input'!$S$60)-'01_Input'!$R$60,0)*'01_Input'!$U$60))+IF('01_Input'!$X$60="Forfait",IF(BH$20&gt;='01_Input'!$V$60,'01_Input'!$Y$60,0),IF('01_Input'!$X$60="Palier",IF(AND(BH$20&gt;='01_Input'!$V$60,BH$20&lt;'01_Input'!$W$60),'01_Input'!$Y$60,0),MAX(MIN(BH$20,'01_Input'!$W$60)-'01_Input'!$V$60,0)*'01_Input'!$Y$60))+IF('01_Input'!$AB$60="Forfait",IF(BH$20&gt;='01_Input'!$Z$60,'01_Input'!$AC$60,0),IF('01_Input'!$AB$60="Palier",IF(AND(BH$20&gt;='01_Input'!$Z$60,BH$20&lt;'01_Input'!$AA$60),'01_Input'!$AC$60,0),MAX(MIN(BH$20,'01_Input'!$AA$60)-'01_Input'!$Z$60,0)*'01_Input'!$AC$60)))))))))</f>
        <v>800</v>
      </c>
      <c r="BI28" s="83">
        <f>IF('01_Input'!$C$60="Non",0,MIN('01_Input'!$I$60,MAX('01_Input'!$H$60,IF('01_Input'!$G$60="Résiduel vs Gestion",0,IF('01_Input'!$G$60="Taux Classe sélectionnée",Distrib_Global_Classe_Selectionnee*BI$20,IF('01_Input'!$G$60="Frais KYC (paliers de 100M€)",MAX(0,Nb_Investisseurs-Nb_KYC_Gratuites_Par_Tranche*(FLOOR(BI$20/Taille_Tranche_KYC,1)+1))*Cout_Par_KYC_Supplementaire,(IF('01_Input'!$L$60="Forfait",IF(BI$20&gt;='01_Input'!$J$60,'01_Input'!$M$60,0),IF('01_Input'!$L$60="Palier",IF(AND(BI$20&gt;='01_Input'!$J$60,BI$20&lt;'01_Input'!$K$60),'01_Input'!$M$60,0),MAX(MIN(BI$20,'01_Input'!$K$60)-'01_Input'!$J$60,0)*'01_Input'!$M$60))+IF('01_Input'!$P$60="Forfait",IF(BI$20&gt;='01_Input'!$N$60,'01_Input'!$Q$60,0),IF('01_Input'!$P$60="Palier",IF(AND(BI$20&gt;='01_Input'!$N$60,BI$20&lt;'01_Input'!$O$60),'01_Input'!$Q$60,0),MAX(MIN(BI$20,'01_Input'!$O$60)-'01_Input'!$N$60,0)*'01_Input'!$Q$60))+IF('01_Input'!$T$60="Forfait",IF(BI$20&gt;='01_Input'!$R$60,'01_Input'!$U$60,0),IF('01_Input'!$T$60="Palier",IF(AND(BI$20&gt;='01_Input'!$R$60,BI$20&lt;'01_Input'!$S$60),'01_Input'!$U$60,0),MAX(MIN(BI$20,'01_Input'!$S$60)-'01_Input'!$R$60,0)*'01_Input'!$U$60))+IF('01_Input'!$X$60="Forfait",IF(BI$20&gt;='01_Input'!$V$60,'01_Input'!$Y$60,0),IF('01_Input'!$X$60="Palier",IF(AND(BI$20&gt;='01_Input'!$V$60,BI$20&lt;'01_Input'!$W$60),'01_Input'!$Y$60,0),MAX(MIN(BI$20,'01_Input'!$W$60)-'01_Input'!$V$60,0)*'01_Input'!$Y$60))+IF('01_Input'!$AB$60="Forfait",IF(BI$20&gt;='01_Input'!$Z$60,'01_Input'!$AC$60,0),IF('01_Input'!$AB$60="Palier",IF(AND(BI$20&gt;='01_Input'!$Z$60,BI$20&lt;'01_Input'!$AA$60),'01_Input'!$AC$60,0),MAX(MIN(BI$20,'01_Input'!$AA$60)-'01_Input'!$Z$60,0)*'01_Input'!$AC$60)))))))))</f>
        <v>800</v>
      </c>
      <c r="BJ28" s="83">
        <f>IF('01_Input'!$C$60="Non",0,MIN('01_Input'!$I$60,MAX('01_Input'!$H$60,IF('01_Input'!$G$60="Résiduel vs Gestion",0,IF('01_Input'!$G$60="Taux Classe sélectionnée",Distrib_Global_Classe_Selectionnee*BJ$20,IF('01_Input'!$G$60="Frais KYC (paliers de 100M€)",MAX(0,Nb_Investisseurs-Nb_KYC_Gratuites_Par_Tranche*(FLOOR(BJ$20/Taille_Tranche_KYC,1)+1))*Cout_Par_KYC_Supplementaire,(IF('01_Input'!$L$60="Forfait",IF(BJ$20&gt;='01_Input'!$J$60,'01_Input'!$M$60,0),IF('01_Input'!$L$60="Palier",IF(AND(BJ$20&gt;='01_Input'!$J$60,BJ$20&lt;'01_Input'!$K$60),'01_Input'!$M$60,0),MAX(MIN(BJ$20,'01_Input'!$K$60)-'01_Input'!$J$60,0)*'01_Input'!$M$60))+IF('01_Input'!$P$60="Forfait",IF(BJ$20&gt;='01_Input'!$N$60,'01_Input'!$Q$60,0),IF('01_Input'!$P$60="Palier",IF(AND(BJ$20&gt;='01_Input'!$N$60,BJ$20&lt;'01_Input'!$O$60),'01_Input'!$Q$60,0),MAX(MIN(BJ$20,'01_Input'!$O$60)-'01_Input'!$N$60,0)*'01_Input'!$Q$60))+IF('01_Input'!$T$60="Forfait",IF(BJ$20&gt;='01_Input'!$R$60,'01_Input'!$U$60,0),IF('01_Input'!$T$60="Palier",IF(AND(BJ$20&gt;='01_Input'!$R$60,BJ$20&lt;'01_Input'!$S$60),'01_Input'!$U$60,0),MAX(MIN(BJ$20,'01_Input'!$S$60)-'01_Input'!$R$60,0)*'01_Input'!$U$60))+IF('01_Input'!$X$60="Forfait",IF(BJ$20&gt;='01_Input'!$V$60,'01_Input'!$Y$60,0),IF('01_Input'!$X$60="Palier",IF(AND(BJ$20&gt;='01_Input'!$V$60,BJ$20&lt;'01_Input'!$W$60),'01_Input'!$Y$60,0),MAX(MIN(BJ$20,'01_Input'!$W$60)-'01_Input'!$V$60,0)*'01_Input'!$Y$60))+IF('01_Input'!$AB$60="Forfait",IF(BJ$20&gt;='01_Input'!$Z$60,'01_Input'!$AC$60,0),IF('01_Input'!$AB$60="Palier",IF(AND(BJ$20&gt;='01_Input'!$Z$60,BJ$20&lt;'01_Input'!$AA$60),'01_Input'!$AC$60,0),MAX(MIN(BJ$20,'01_Input'!$AA$60)-'01_Input'!$Z$60,0)*'01_Input'!$AC$60)))))))))</f>
        <v>800</v>
      </c>
      <c r="BK28" s="83">
        <f>IF('01_Input'!$C$60="Non",0,MIN('01_Input'!$I$60,MAX('01_Input'!$H$60,IF('01_Input'!$G$60="Résiduel vs Gestion",0,IF('01_Input'!$G$60="Taux Classe sélectionnée",Distrib_Global_Classe_Selectionnee*BK$20,IF('01_Input'!$G$60="Frais KYC (paliers de 100M€)",MAX(0,Nb_Investisseurs-Nb_KYC_Gratuites_Par_Tranche*(FLOOR(BK$20/Taille_Tranche_KYC,1)+1))*Cout_Par_KYC_Supplementaire,(IF('01_Input'!$L$60="Forfait",IF(BK$20&gt;='01_Input'!$J$60,'01_Input'!$M$60,0),IF('01_Input'!$L$60="Palier",IF(AND(BK$20&gt;='01_Input'!$J$60,BK$20&lt;'01_Input'!$K$60),'01_Input'!$M$60,0),MAX(MIN(BK$20,'01_Input'!$K$60)-'01_Input'!$J$60,0)*'01_Input'!$M$60))+IF('01_Input'!$P$60="Forfait",IF(BK$20&gt;='01_Input'!$N$60,'01_Input'!$Q$60,0),IF('01_Input'!$P$60="Palier",IF(AND(BK$20&gt;='01_Input'!$N$60,BK$20&lt;'01_Input'!$O$60),'01_Input'!$Q$60,0),MAX(MIN(BK$20,'01_Input'!$O$60)-'01_Input'!$N$60,0)*'01_Input'!$Q$60))+IF('01_Input'!$T$60="Forfait",IF(BK$20&gt;='01_Input'!$R$60,'01_Input'!$U$60,0),IF('01_Input'!$T$60="Palier",IF(AND(BK$20&gt;='01_Input'!$R$60,BK$20&lt;'01_Input'!$S$60),'01_Input'!$U$60,0),MAX(MIN(BK$20,'01_Input'!$S$60)-'01_Input'!$R$60,0)*'01_Input'!$U$60))+IF('01_Input'!$X$60="Forfait",IF(BK$20&gt;='01_Input'!$V$60,'01_Input'!$Y$60,0),IF('01_Input'!$X$60="Palier",IF(AND(BK$20&gt;='01_Input'!$V$60,BK$20&lt;'01_Input'!$W$60),'01_Input'!$Y$60,0),MAX(MIN(BK$20,'01_Input'!$W$60)-'01_Input'!$V$60,0)*'01_Input'!$Y$60))+IF('01_Input'!$AB$60="Forfait",IF(BK$20&gt;='01_Input'!$Z$60,'01_Input'!$AC$60,0),IF('01_Input'!$AB$60="Palier",IF(AND(BK$20&gt;='01_Input'!$Z$60,BK$20&lt;'01_Input'!$AA$60),'01_Input'!$AC$60,0),MAX(MIN(BK$20,'01_Input'!$AA$60)-'01_Input'!$Z$60,0)*'01_Input'!$AC$60)))))))))</f>
        <v>800</v>
      </c>
      <c r="BL28" s="83">
        <f>IF('01_Input'!$C$60="Non",0,MIN('01_Input'!$I$60,MAX('01_Input'!$H$60,IF('01_Input'!$G$60="Résiduel vs Gestion",0,IF('01_Input'!$G$60="Taux Classe sélectionnée",Distrib_Global_Classe_Selectionnee*BL$20,IF('01_Input'!$G$60="Frais KYC (paliers de 100M€)",MAX(0,Nb_Investisseurs-Nb_KYC_Gratuites_Par_Tranche*(FLOOR(BL$20/Taille_Tranche_KYC,1)+1))*Cout_Par_KYC_Supplementaire,(IF('01_Input'!$L$60="Forfait",IF(BL$20&gt;='01_Input'!$J$60,'01_Input'!$M$60,0),IF('01_Input'!$L$60="Palier",IF(AND(BL$20&gt;='01_Input'!$J$60,BL$20&lt;'01_Input'!$K$60),'01_Input'!$M$60,0),MAX(MIN(BL$20,'01_Input'!$K$60)-'01_Input'!$J$60,0)*'01_Input'!$M$60))+IF('01_Input'!$P$60="Forfait",IF(BL$20&gt;='01_Input'!$N$60,'01_Input'!$Q$60,0),IF('01_Input'!$P$60="Palier",IF(AND(BL$20&gt;='01_Input'!$N$60,BL$20&lt;'01_Input'!$O$60),'01_Input'!$Q$60,0),MAX(MIN(BL$20,'01_Input'!$O$60)-'01_Input'!$N$60,0)*'01_Input'!$Q$60))+IF('01_Input'!$T$60="Forfait",IF(BL$20&gt;='01_Input'!$R$60,'01_Input'!$U$60,0),IF('01_Input'!$T$60="Palier",IF(AND(BL$20&gt;='01_Input'!$R$60,BL$20&lt;'01_Input'!$S$60),'01_Input'!$U$60,0),MAX(MIN(BL$20,'01_Input'!$S$60)-'01_Input'!$R$60,0)*'01_Input'!$U$60))+IF('01_Input'!$X$60="Forfait",IF(BL$20&gt;='01_Input'!$V$60,'01_Input'!$Y$60,0),IF('01_Input'!$X$60="Palier",IF(AND(BL$20&gt;='01_Input'!$V$60,BL$20&lt;'01_Input'!$W$60),'01_Input'!$Y$60,0),MAX(MIN(BL$20,'01_Input'!$W$60)-'01_Input'!$V$60,0)*'01_Input'!$Y$60))+IF('01_Input'!$AB$60="Forfait",IF(BL$20&gt;='01_Input'!$Z$60,'01_Input'!$AC$60,0),IF('01_Input'!$AB$60="Palier",IF(AND(BL$20&gt;='01_Input'!$Z$60,BL$20&lt;'01_Input'!$AA$60),'01_Input'!$AC$60,0),MAX(MIN(BL$20,'01_Input'!$AA$60)-'01_Input'!$Z$60,0)*'01_Input'!$AC$60)))))))))</f>
        <v>800</v>
      </c>
      <c r="BM28" s="83">
        <f>IF('01_Input'!$C$60="Non",0,MIN('01_Input'!$I$60,MAX('01_Input'!$H$60,IF('01_Input'!$G$60="Résiduel vs Gestion",0,IF('01_Input'!$G$60="Taux Classe sélectionnée",Distrib_Global_Classe_Selectionnee*BM$20,IF('01_Input'!$G$60="Frais KYC (paliers de 100M€)",MAX(0,Nb_Investisseurs-Nb_KYC_Gratuites_Par_Tranche*(FLOOR(BM$20/Taille_Tranche_KYC,1)+1))*Cout_Par_KYC_Supplementaire,(IF('01_Input'!$L$60="Forfait",IF(BM$20&gt;='01_Input'!$J$60,'01_Input'!$M$60,0),IF('01_Input'!$L$60="Palier",IF(AND(BM$20&gt;='01_Input'!$J$60,BM$20&lt;'01_Input'!$K$60),'01_Input'!$M$60,0),MAX(MIN(BM$20,'01_Input'!$K$60)-'01_Input'!$J$60,0)*'01_Input'!$M$60))+IF('01_Input'!$P$60="Forfait",IF(BM$20&gt;='01_Input'!$N$60,'01_Input'!$Q$60,0),IF('01_Input'!$P$60="Palier",IF(AND(BM$20&gt;='01_Input'!$N$60,BM$20&lt;'01_Input'!$O$60),'01_Input'!$Q$60,0),MAX(MIN(BM$20,'01_Input'!$O$60)-'01_Input'!$N$60,0)*'01_Input'!$Q$60))+IF('01_Input'!$T$60="Forfait",IF(BM$20&gt;='01_Input'!$R$60,'01_Input'!$U$60,0),IF('01_Input'!$T$60="Palier",IF(AND(BM$20&gt;='01_Input'!$R$60,BM$20&lt;'01_Input'!$S$60),'01_Input'!$U$60,0),MAX(MIN(BM$20,'01_Input'!$S$60)-'01_Input'!$R$60,0)*'01_Input'!$U$60))+IF('01_Input'!$X$60="Forfait",IF(BM$20&gt;='01_Input'!$V$60,'01_Input'!$Y$60,0),IF('01_Input'!$X$60="Palier",IF(AND(BM$20&gt;='01_Input'!$V$60,BM$20&lt;'01_Input'!$W$60),'01_Input'!$Y$60,0),MAX(MIN(BM$20,'01_Input'!$W$60)-'01_Input'!$V$60,0)*'01_Input'!$Y$60))+IF('01_Input'!$AB$60="Forfait",IF(BM$20&gt;='01_Input'!$Z$60,'01_Input'!$AC$60,0),IF('01_Input'!$AB$60="Palier",IF(AND(BM$20&gt;='01_Input'!$Z$60,BM$20&lt;'01_Input'!$AA$60),'01_Input'!$AC$60,0),MAX(MIN(BM$20,'01_Input'!$AA$60)-'01_Input'!$Z$60,0)*'01_Input'!$AC$60)))))))))</f>
        <v>800</v>
      </c>
      <c r="BN28" s="83">
        <f>IF('01_Input'!$C$60="Non",0,MIN('01_Input'!$I$60,MAX('01_Input'!$H$60,IF('01_Input'!$G$60="Résiduel vs Gestion",0,IF('01_Input'!$G$60="Taux Classe sélectionnée",Distrib_Global_Classe_Selectionnee*BN$20,IF('01_Input'!$G$60="Frais KYC (paliers de 100M€)",MAX(0,Nb_Investisseurs-Nb_KYC_Gratuites_Par_Tranche*(FLOOR(BN$20/Taille_Tranche_KYC,1)+1))*Cout_Par_KYC_Supplementaire,(IF('01_Input'!$L$60="Forfait",IF(BN$20&gt;='01_Input'!$J$60,'01_Input'!$M$60,0),IF('01_Input'!$L$60="Palier",IF(AND(BN$20&gt;='01_Input'!$J$60,BN$20&lt;'01_Input'!$K$60),'01_Input'!$M$60,0),MAX(MIN(BN$20,'01_Input'!$K$60)-'01_Input'!$J$60,0)*'01_Input'!$M$60))+IF('01_Input'!$P$60="Forfait",IF(BN$20&gt;='01_Input'!$N$60,'01_Input'!$Q$60,0),IF('01_Input'!$P$60="Palier",IF(AND(BN$20&gt;='01_Input'!$N$60,BN$20&lt;'01_Input'!$O$60),'01_Input'!$Q$60,0),MAX(MIN(BN$20,'01_Input'!$O$60)-'01_Input'!$N$60,0)*'01_Input'!$Q$60))+IF('01_Input'!$T$60="Forfait",IF(BN$20&gt;='01_Input'!$R$60,'01_Input'!$U$60,0),IF('01_Input'!$T$60="Palier",IF(AND(BN$20&gt;='01_Input'!$R$60,BN$20&lt;'01_Input'!$S$60),'01_Input'!$U$60,0),MAX(MIN(BN$20,'01_Input'!$S$60)-'01_Input'!$R$60,0)*'01_Input'!$U$60))+IF('01_Input'!$X$60="Forfait",IF(BN$20&gt;='01_Input'!$V$60,'01_Input'!$Y$60,0),IF('01_Input'!$X$60="Palier",IF(AND(BN$20&gt;='01_Input'!$V$60,BN$20&lt;'01_Input'!$W$60),'01_Input'!$Y$60,0),MAX(MIN(BN$20,'01_Input'!$W$60)-'01_Input'!$V$60,0)*'01_Input'!$Y$60))+IF('01_Input'!$AB$60="Forfait",IF(BN$20&gt;='01_Input'!$Z$60,'01_Input'!$AC$60,0),IF('01_Input'!$AB$60="Palier",IF(AND(BN$20&gt;='01_Input'!$Z$60,BN$20&lt;'01_Input'!$AA$60),'01_Input'!$AC$60,0),MAX(MIN(BN$20,'01_Input'!$AA$60)-'01_Input'!$Z$60,0)*'01_Input'!$AC$60)))))))))</f>
        <v>800</v>
      </c>
      <c r="BO28" s="83">
        <f>IF('01_Input'!$C$60="Non",0,MIN('01_Input'!$I$60,MAX('01_Input'!$H$60,IF('01_Input'!$G$60="Résiduel vs Gestion",0,IF('01_Input'!$G$60="Taux Classe sélectionnée",Distrib_Global_Classe_Selectionnee*BO$20,IF('01_Input'!$G$60="Frais KYC (paliers de 100M€)",MAX(0,Nb_Investisseurs-Nb_KYC_Gratuites_Par_Tranche*(FLOOR(BO$20/Taille_Tranche_KYC,1)+1))*Cout_Par_KYC_Supplementaire,(IF('01_Input'!$L$60="Forfait",IF(BO$20&gt;='01_Input'!$J$60,'01_Input'!$M$60,0),IF('01_Input'!$L$60="Palier",IF(AND(BO$20&gt;='01_Input'!$J$60,BO$20&lt;'01_Input'!$K$60),'01_Input'!$M$60,0),MAX(MIN(BO$20,'01_Input'!$K$60)-'01_Input'!$J$60,0)*'01_Input'!$M$60))+IF('01_Input'!$P$60="Forfait",IF(BO$20&gt;='01_Input'!$N$60,'01_Input'!$Q$60,0),IF('01_Input'!$P$60="Palier",IF(AND(BO$20&gt;='01_Input'!$N$60,BO$20&lt;'01_Input'!$O$60),'01_Input'!$Q$60,0),MAX(MIN(BO$20,'01_Input'!$O$60)-'01_Input'!$N$60,0)*'01_Input'!$Q$60))+IF('01_Input'!$T$60="Forfait",IF(BO$20&gt;='01_Input'!$R$60,'01_Input'!$U$60,0),IF('01_Input'!$T$60="Palier",IF(AND(BO$20&gt;='01_Input'!$R$60,BO$20&lt;'01_Input'!$S$60),'01_Input'!$U$60,0),MAX(MIN(BO$20,'01_Input'!$S$60)-'01_Input'!$R$60,0)*'01_Input'!$U$60))+IF('01_Input'!$X$60="Forfait",IF(BO$20&gt;='01_Input'!$V$60,'01_Input'!$Y$60,0),IF('01_Input'!$X$60="Palier",IF(AND(BO$20&gt;='01_Input'!$V$60,BO$20&lt;'01_Input'!$W$60),'01_Input'!$Y$60,0),MAX(MIN(BO$20,'01_Input'!$W$60)-'01_Input'!$V$60,0)*'01_Input'!$Y$60))+IF('01_Input'!$AB$60="Forfait",IF(BO$20&gt;='01_Input'!$Z$60,'01_Input'!$AC$60,0),IF('01_Input'!$AB$60="Palier",IF(AND(BO$20&gt;='01_Input'!$Z$60,BO$20&lt;'01_Input'!$AA$60),'01_Input'!$AC$60,0),MAX(MIN(BO$20,'01_Input'!$AA$60)-'01_Input'!$Z$60,0)*'01_Input'!$AC$60)))))))))</f>
        <v>800</v>
      </c>
      <c r="BP28" s="83">
        <f>IF('01_Input'!$C$60="Non",0,MIN('01_Input'!$I$60,MAX('01_Input'!$H$60,IF('01_Input'!$G$60="Résiduel vs Gestion",0,IF('01_Input'!$G$60="Taux Classe sélectionnée",Distrib_Global_Classe_Selectionnee*BP$20,IF('01_Input'!$G$60="Frais KYC (paliers de 100M€)",MAX(0,Nb_Investisseurs-Nb_KYC_Gratuites_Par_Tranche*(FLOOR(BP$20/Taille_Tranche_KYC,1)+1))*Cout_Par_KYC_Supplementaire,(IF('01_Input'!$L$60="Forfait",IF(BP$20&gt;='01_Input'!$J$60,'01_Input'!$M$60,0),IF('01_Input'!$L$60="Palier",IF(AND(BP$20&gt;='01_Input'!$J$60,BP$20&lt;'01_Input'!$K$60),'01_Input'!$M$60,0),MAX(MIN(BP$20,'01_Input'!$K$60)-'01_Input'!$J$60,0)*'01_Input'!$M$60))+IF('01_Input'!$P$60="Forfait",IF(BP$20&gt;='01_Input'!$N$60,'01_Input'!$Q$60,0),IF('01_Input'!$P$60="Palier",IF(AND(BP$20&gt;='01_Input'!$N$60,BP$20&lt;'01_Input'!$O$60),'01_Input'!$Q$60,0),MAX(MIN(BP$20,'01_Input'!$O$60)-'01_Input'!$N$60,0)*'01_Input'!$Q$60))+IF('01_Input'!$T$60="Forfait",IF(BP$20&gt;='01_Input'!$R$60,'01_Input'!$U$60,0),IF('01_Input'!$T$60="Palier",IF(AND(BP$20&gt;='01_Input'!$R$60,BP$20&lt;'01_Input'!$S$60),'01_Input'!$U$60,0),MAX(MIN(BP$20,'01_Input'!$S$60)-'01_Input'!$R$60,0)*'01_Input'!$U$60))+IF('01_Input'!$X$60="Forfait",IF(BP$20&gt;='01_Input'!$V$60,'01_Input'!$Y$60,0),IF('01_Input'!$X$60="Palier",IF(AND(BP$20&gt;='01_Input'!$V$60,BP$20&lt;'01_Input'!$W$60),'01_Input'!$Y$60,0),MAX(MIN(BP$20,'01_Input'!$W$60)-'01_Input'!$V$60,0)*'01_Input'!$Y$60))+IF('01_Input'!$AB$60="Forfait",IF(BP$20&gt;='01_Input'!$Z$60,'01_Input'!$AC$60,0),IF('01_Input'!$AB$60="Palier",IF(AND(BP$20&gt;='01_Input'!$Z$60,BP$20&lt;'01_Input'!$AA$60),'01_Input'!$AC$60,0),MAX(MIN(BP$20,'01_Input'!$AA$60)-'01_Input'!$Z$60,0)*'01_Input'!$AC$60)))))))))</f>
        <v>800</v>
      </c>
      <c r="BQ28" s="83">
        <f>IF('01_Input'!$C$60="Non",0,MIN('01_Input'!$I$60,MAX('01_Input'!$H$60,IF('01_Input'!$G$60="Résiduel vs Gestion",0,IF('01_Input'!$G$60="Taux Classe sélectionnée",Distrib_Global_Classe_Selectionnee*BQ$20,IF('01_Input'!$G$60="Frais KYC (paliers de 100M€)",MAX(0,Nb_Investisseurs-Nb_KYC_Gratuites_Par_Tranche*(FLOOR(BQ$20/Taille_Tranche_KYC,1)+1))*Cout_Par_KYC_Supplementaire,(IF('01_Input'!$L$60="Forfait",IF(BQ$20&gt;='01_Input'!$J$60,'01_Input'!$M$60,0),IF('01_Input'!$L$60="Palier",IF(AND(BQ$20&gt;='01_Input'!$J$60,BQ$20&lt;'01_Input'!$K$60),'01_Input'!$M$60,0),MAX(MIN(BQ$20,'01_Input'!$K$60)-'01_Input'!$J$60,0)*'01_Input'!$M$60))+IF('01_Input'!$P$60="Forfait",IF(BQ$20&gt;='01_Input'!$N$60,'01_Input'!$Q$60,0),IF('01_Input'!$P$60="Palier",IF(AND(BQ$20&gt;='01_Input'!$N$60,BQ$20&lt;'01_Input'!$O$60),'01_Input'!$Q$60,0),MAX(MIN(BQ$20,'01_Input'!$O$60)-'01_Input'!$N$60,0)*'01_Input'!$Q$60))+IF('01_Input'!$T$60="Forfait",IF(BQ$20&gt;='01_Input'!$R$60,'01_Input'!$U$60,0),IF('01_Input'!$T$60="Palier",IF(AND(BQ$20&gt;='01_Input'!$R$60,BQ$20&lt;'01_Input'!$S$60),'01_Input'!$U$60,0),MAX(MIN(BQ$20,'01_Input'!$S$60)-'01_Input'!$R$60,0)*'01_Input'!$U$60))+IF('01_Input'!$X$60="Forfait",IF(BQ$20&gt;='01_Input'!$V$60,'01_Input'!$Y$60,0),IF('01_Input'!$X$60="Palier",IF(AND(BQ$20&gt;='01_Input'!$V$60,BQ$20&lt;'01_Input'!$W$60),'01_Input'!$Y$60,0),MAX(MIN(BQ$20,'01_Input'!$W$60)-'01_Input'!$V$60,0)*'01_Input'!$Y$60))+IF('01_Input'!$AB$60="Forfait",IF(BQ$20&gt;='01_Input'!$Z$60,'01_Input'!$AC$60,0),IF('01_Input'!$AB$60="Palier",IF(AND(BQ$20&gt;='01_Input'!$Z$60,BQ$20&lt;'01_Input'!$AA$60),'01_Input'!$AC$60,0),MAX(MIN(BQ$20,'01_Input'!$AA$60)-'01_Input'!$Z$60,0)*'01_Input'!$AC$60)))))))))</f>
        <v>800</v>
      </c>
      <c r="BR28" s="83">
        <f>IF('01_Input'!$C$60="Non",0,MIN('01_Input'!$I$60,MAX('01_Input'!$H$60,IF('01_Input'!$G$60="Résiduel vs Gestion",0,IF('01_Input'!$G$60="Taux Classe sélectionnée",Distrib_Global_Classe_Selectionnee*BR$20,IF('01_Input'!$G$60="Frais KYC (paliers de 100M€)",MAX(0,Nb_Investisseurs-Nb_KYC_Gratuites_Par_Tranche*(FLOOR(BR$20/Taille_Tranche_KYC,1)+1))*Cout_Par_KYC_Supplementaire,(IF('01_Input'!$L$60="Forfait",IF(BR$20&gt;='01_Input'!$J$60,'01_Input'!$M$60,0),IF('01_Input'!$L$60="Palier",IF(AND(BR$20&gt;='01_Input'!$J$60,BR$20&lt;'01_Input'!$K$60),'01_Input'!$M$60,0),MAX(MIN(BR$20,'01_Input'!$K$60)-'01_Input'!$J$60,0)*'01_Input'!$M$60))+IF('01_Input'!$P$60="Forfait",IF(BR$20&gt;='01_Input'!$N$60,'01_Input'!$Q$60,0),IF('01_Input'!$P$60="Palier",IF(AND(BR$20&gt;='01_Input'!$N$60,BR$20&lt;'01_Input'!$O$60),'01_Input'!$Q$60,0),MAX(MIN(BR$20,'01_Input'!$O$60)-'01_Input'!$N$60,0)*'01_Input'!$Q$60))+IF('01_Input'!$T$60="Forfait",IF(BR$20&gt;='01_Input'!$R$60,'01_Input'!$U$60,0),IF('01_Input'!$T$60="Palier",IF(AND(BR$20&gt;='01_Input'!$R$60,BR$20&lt;'01_Input'!$S$60),'01_Input'!$U$60,0),MAX(MIN(BR$20,'01_Input'!$S$60)-'01_Input'!$R$60,0)*'01_Input'!$U$60))+IF('01_Input'!$X$60="Forfait",IF(BR$20&gt;='01_Input'!$V$60,'01_Input'!$Y$60,0),IF('01_Input'!$X$60="Palier",IF(AND(BR$20&gt;='01_Input'!$V$60,BR$20&lt;'01_Input'!$W$60),'01_Input'!$Y$60,0),MAX(MIN(BR$20,'01_Input'!$W$60)-'01_Input'!$V$60,0)*'01_Input'!$Y$60))+IF('01_Input'!$AB$60="Forfait",IF(BR$20&gt;='01_Input'!$Z$60,'01_Input'!$AC$60,0),IF('01_Input'!$AB$60="Palier",IF(AND(BR$20&gt;='01_Input'!$Z$60,BR$20&lt;'01_Input'!$AA$60),'01_Input'!$AC$60,0),MAX(MIN(BR$20,'01_Input'!$AA$60)-'01_Input'!$Z$60,0)*'01_Input'!$AC$60)))))))))</f>
        <v>800</v>
      </c>
      <c r="BS28" s="83">
        <f>IF('01_Input'!$C$60="Non",0,MIN('01_Input'!$I$60,MAX('01_Input'!$H$60,IF('01_Input'!$G$60="Résiduel vs Gestion",0,IF('01_Input'!$G$60="Taux Classe sélectionnée",Distrib_Global_Classe_Selectionnee*BS$20,IF('01_Input'!$G$60="Frais KYC (paliers de 100M€)",MAX(0,Nb_Investisseurs-Nb_KYC_Gratuites_Par_Tranche*(FLOOR(BS$20/Taille_Tranche_KYC,1)+1))*Cout_Par_KYC_Supplementaire,(IF('01_Input'!$L$60="Forfait",IF(BS$20&gt;='01_Input'!$J$60,'01_Input'!$M$60,0),IF('01_Input'!$L$60="Palier",IF(AND(BS$20&gt;='01_Input'!$J$60,BS$20&lt;'01_Input'!$K$60),'01_Input'!$M$60,0),MAX(MIN(BS$20,'01_Input'!$K$60)-'01_Input'!$J$60,0)*'01_Input'!$M$60))+IF('01_Input'!$P$60="Forfait",IF(BS$20&gt;='01_Input'!$N$60,'01_Input'!$Q$60,0),IF('01_Input'!$P$60="Palier",IF(AND(BS$20&gt;='01_Input'!$N$60,BS$20&lt;'01_Input'!$O$60),'01_Input'!$Q$60,0),MAX(MIN(BS$20,'01_Input'!$O$60)-'01_Input'!$N$60,0)*'01_Input'!$Q$60))+IF('01_Input'!$T$60="Forfait",IF(BS$20&gt;='01_Input'!$R$60,'01_Input'!$U$60,0),IF('01_Input'!$T$60="Palier",IF(AND(BS$20&gt;='01_Input'!$R$60,BS$20&lt;'01_Input'!$S$60),'01_Input'!$U$60,0),MAX(MIN(BS$20,'01_Input'!$S$60)-'01_Input'!$R$60,0)*'01_Input'!$U$60))+IF('01_Input'!$X$60="Forfait",IF(BS$20&gt;='01_Input'!$V$60,'01_Input'!$Y$60,0),IF('01_Input'!$X$60="Palier",IF(AND(BS$20&gt;='01_Input'!$V$60,BS$20&lt;'01_Input'!$W$60),'01_Input'!$Y$60,0),MAX(MIN(BS$20,'01_Input'!$W$60)-'01_Input'!$V$60,0)*'01_Input'!$Y$60))+IF('01_Input'!$AB$60="Forfait",IF(BS$20&gt;='01_Input'!$Z$60,'01_Input'!$AC$60,0),IF('01_Input'!$AB$60="Palier",IF(AND(BS$20&gt;='01_Input'!$Z$60,BS$20&lt;'01_Input'!$AA$60),'01_Input'!$AC$60,0),MAX(MIN(BS$20,'01_Input'!$AA$60)-'01_Input'!$Z$60,0)*'01_Input'!$AC$60)))))))))</f>
        <v>800</v>
      </c>
      <c r="BT28" s="83">
        <f>IF('01_Input'!$C$60="Non",0,MIN('01_Input'!$I$60,MAX('01_Input'!$H$60,IF('01_Input'!$G$60="Résiduel vs Gestion",0,IF('01_Input'!$G$60="Taux Classe sélectionnée",Distrib_Global_Classe_Selectionnee*BT$20,IF('01_Input'!$G$60="Frais KYC (paliers de 100M€)",MAX(0,Nb_Investisseurs-Nb_KYC_Gratuites_Par_Tranche*(FLOOR(BT$20/Taille_Tranche_KYC,1)+1))*Cout_Par_KYC_Supplementaire,(IF('01_Input'!$L$60="Forfait",IF(BT$20&gt;='01_Input'!$J$60,'01_Input'!$M$60,0),IF('01_Input'!$L$60="Palier",IF(AND(BT$20&gt;='01_Input'!$J$60,BT$20&lt;'01_Input'!$K$60),'01_Input'!$M$60,0),MAX(MIN(BT$20,'01_Input'!$K$60)-'01_Input'!$J$60,0)*'01_Input'!$M$60))+IF('01_Input'!$P$60="Forfait",IF(BT$20&gt;='01_Input'!$N$60,'01_Input'!$Q$60,0),IF('01_Input'!$P$60="Palier",IF(AND(BT$20&gt;='01_Input'!$N$60,BT$20&lt;'01_Input'!$O$60),'01_Input'!$Q$60,0),MAX(MIN(BT$20,'01_Input'!$O$60)-'01_Input'!$N$60,0)*'01_Input'!$Q$60))+IF('01_Input'!$T$60="Forfait",IF(BT$20&gt;='01_Input'!$R$60,'01_Input'!$U$60,0),IF('01_Input'!$T$60="Palier",IF(AND(BT$20&gt;='01_Input'!$R$60,BT$20&lt;'01_Input'!$S$60),'01_Input'!$U$60,0),MAX(MIN(BT$20,'01_Input'!$S$60)-'01_Input'!$R$60,0)*'01_Input'!$U$60))+IF('01_Input'!$X$60="Forfait",IF(BT$20&gt;='01_Input'!$V$60,'01_Input'!$Y$60,0),IF('01_Input'!$X$60="Palier",IF(AND(BT$20&gt;='01_Input'!$V$60,BT$20&lt;'01_Input'!$W$60),'01_Input'!$Y$60,0),MAX(MIN(BT$20,'01_Input'!$W$60)-'01_Input'!$V$60,0)*'01_Input'!$Y$60))+IF('01_Input'!$AB$60="Forfait",IF(BT$20&gt;='01_Input'!$Z$60,'01_Input'!$AC$60,0),IF('01_Input'!$AB$60="Palier",IF(AND(BT$20&gt;='01_Input'!$Z$60,BT$20&lt;'01_Input'!$AA$60),'01_Input'!$AC$60,0),MAX(MIN(BT$20,'01_Input'!$AA$60)-'01_Input'!$Z$60,0)*'01_Input'!$AC$60)))))))))</f>
        <v>800</v>
      </c>
      <c r="BU28" s="83">
        <f>IF('01_Input'!$C$60="Non",0,MIN('01_Input'!$I$60,MAX('01_Input'!$H$60,IF('01_Input'!$G$60="Résiduel vs Gestion",0,IF('01_Input'!$G$60="Taux Classe sélectionnée",Distrib_Global_Classe_Selectionnee*BU$20,IF('01_Input'!$G$60="Frais KYC (paliers de 100M€)",MAX(0,Nb_Investisseurs-Nb_KYC_Gratuites_Par_Tranche*(FLOOR(BU$20/Taille_Tranche_KYC,1)+1))*Cout_Par_KYC_Supplementaire,(IF('01_Input'!$L$60="Forfait",IF(BU$20&gt;='01_Input'!$J$60,'01_Input'!$M$60,0),IF('01_Input'!$L$60="Palier",IF(AND(BU$20&gt;='01_Input'!$J$60,BU$20&lt;'01_Input'!$K$60),'01_Input'!$M$60,0),MAX(MIN(BU$20,'01_Input'!$K$60)-'01_Input'!$J$60,0)*'01_Input'!$M$60))+IF('01_Input'!$P$60="Forfait",IF(BU$20&gt;='01_Input'!$N$60,'01_Input'!$Q$60,0),IF('01_Input'!$P$60="Palier",IF(AND(BU$20&gt;='01_Input'!$N$60,BU$20&lt;'01_Input'!$O$60),'01_Input'!$Q$60,0),MAX(MIN(BU$20,'01_Input'!$O$60)-'01_Input'!$N$60,0)*'01_Input'!$Q$60))+IF('01_Input'!$T$60="Forfait",IF(BU$20&gt;='01_Input'!$R$60,'01_Input'!$U$60,0),IF('01_Input'!$T$60="Palier",IF(AND(BU$20&gt;='01_Input'!$R$60,BU$20&lt;'01_Input'!$S$60),'01_Input'!$U$60,0),MAX(MIN(BU$20,'01_Input'!$S$60)-'01_Input'!$R$60,0)*'01_Input'!$U$60))+IF('01_Input'!$X$60="Forfait",IF(BU$20&gt;='01_Input'!$V$60,'01_Input'!$Y$60,0),IF('01_Input'!$X$60="Palier",IF(AND(BU$20&gt;='01_Input'!$V$60,BU$20&lt;'01_Input'!$W$60),'01_Input'!$Y$60,0),MAX(MIN(BU$20,'01_Input'!$W$60)-'01_Input'!$V$60,0)*'01_Input'!$Y$60))+IF('01_Input'!$AB$60="Forfait",IF(BU$20&gt;='01_Input'!$Z$60,'01_Input'!$AC$60,0),IF('01_Input'!$AB$60="Palier",IF(AND(BU$20&gt;='01_Input'!$Z$60,BU$20&lt;'01_Input'!$AA$60),'01_Input'!$AC$60,0),MAX(MIN(BU$20,'01_Input'!$AA$60)-'01_Input'!$Z$60,0)*'01_Input'!$AC$60)))))))))</f>
        <v>800</v>
      </c>
      <c r="BV28" s="83">
        <f>IF('01_Input'!$C$60="Non",0,MIN('01_Input'!$I$60,MAX('01_Input'!$H$60,IF('01_Input'!$G$60="Résiduel vs Gestion",0,IF('01_Input'!$G$60="Taux Classe sélectionnée",Distrib_Global_Classe_Selectionnee*BV$20,IF('01_Input'!$G$60="Frais KYC (paliers de 100M€)",MAX(0,Nb_Investisseurs-Nb_KYC_Gratuites_Par_Tranche*(FLOOR(BV$20/Taille_Tranche_KYC,1)+1))*Cout_Par_KYC_Supplementaire,(IF('01_Input'!$L$60="Forfait",IF(BV$20&gt;='01_Input'!$J$60,'01_Input'!$M$60,0),IF('01_Input'!$L$60="Palier",IF(AND(BV$20&gt;='01_Input'!$J$60,BV$20&lt;'01_Input'!$K$60),'01_Input'!$M$60,0),MAX(MIN(BV$20,'01_Input'!$K$60)-'01_Input'!$J$60,0)*'01_Input'!$M$60))+IF('01_Input'!$P$60="Forfait",IF(BV$20&gt;='01_Input'!$N$60,'01_Input'!$Q$60,0),IF('01_Input'!$P$60="Palier",IF(AND(BV$20&gt;='01_Input'!$N$60,BV$20&lt;'01_Input'!$O$60),'01_Input'!$Q$60,0),MAX(MIN(BV$20,'01_Input'!$O$60)-'01_Input'!$N$60,0)*'01_Input'!$Q$60))+IF('01_Input'!$T$60="Forfait",IF(BV$20&gt;='01_Input'!$R$60,'01_Input'!$U$60,0),IF('01_Input'!$T$60="Palier",IF(AND(BV$20&gt;='01_Input'!$R$60,BV$20&lt;'01_Input'!$S$60),'01_Input'!$U$60,0),MAX(MIN(BV$20,'01_Input'!$S$60)-'01_Input'!$R$60,0)*'01_Input'!$U$60))+IF('01_Input'!$X$60="Forfait",IF(BV$20&gt;='01_Input'!$V$60,'01_Input'!$Y$60,0),IF('01_Input'!$X$60="Palier",IF(AND(BV$20&gt;='01_Input'!$V$60,BV$20&lt;'01_Input'!$W$60),'01_Input'!$Y$60,0),MAX(MIN(BV$20,'01_Input'!$W$60)-'01_Input'!$V$60,0)*'01_Input'!$Y$60))+IF('01_Input'!$AB$60="Forfait",IF(BV$20&gt;='01_Input'!$Z$60,'01_Input'!$AC$60,0),IF('01_Input'!$AB$60="Palier",IF(AND(BV$20&gt;='01_Input'!$Z$60,BV$20&lt;'01_Input'!$AA$60),'01_Input'!$AC$60,0),MAX(MIN(BV$20,'01_Input'!$AA$60)-'01_Input'!$Z$60,0)*'01_Input'!$AC$60)))))))))</f>
        <v>800</v>
      </c>
      <c r="BW28" s="83">
        <f>IF('01_Input'!$C$60="Non",0,MIN('01_Input'!$I$60,MAX('01_Input'!$H$60,IF('01_Input'!$G$60="Résiduel vs Gestion",0,IF('01_Input'!$G$60="Taux Classe sélectionnée",Distrib_Global_Classe_Selectionnee*BW$20,IF('01_Input'!$G$60="Frais KYC (paliers de 100M€)",MAX(0,Nb_Investisseurs-Nb_KYC_Gratuites_Par_Tranche*(FLOOR(BW$20/Taille_Tranche_KYC,1)+1))*Cout_Par_KYC_Supplementaire,(IF('01_Input'!$L$60="Forfait",IF(BW$20&gt;='01_Input'!$J$60,'01_Input'!$M$60,0),IF('01_Input'!$L$60="Palier",IF(AND(BW$20&gt;='01_Input'!$J$60,BW$20&lt;'01_Input'!$K$60),'01_Input'!$M$60,0),MAX(MIN(BW$20,'01_Input'!$K$60)-'01_Input'!$J$60,0)*'01_Input'!$M$60))+IF('01_Input'!$P$60="Forfait",IF(BW$20&gt;='01_Input'!$N$60,'01_Input'!$Q$60,0),IF('01_Input'!$P$60="Palier",IF(AND(BW$20&gt;='01_Input'!$N$60,BW$20&lt;'01_Input'!$O$60),'01_Input'!$Q$60,0),MAX(MIN(BW$20,'01_Input'!$O$60)-'01_Input'!$N$60,0)*'01_Input'!$Q$60))+IF('01_Input'!$T$60="Forfait",IF(BW$20&gt;='01_Input'!$R$60,'01_Input'!$U$60,0),IF('01_Input'!$T$60="Palier",IF(AND(BW$20&gt;='01_Input'!$R$60,BW$20&lt;'01_Input'!$S$60),'01_Input'!$U$60,0),MAX(MIN(BW$20,'01_Input'!$S$60)-'01_Input'!$R$60,0)*'01_Input'!$U$60))+IF('01_Input'!$X$60="Forfait",IF(BW$20&gt;='01_Input'!$V$60,'01_Input'!$Y$60,0),IF('01_Input'!$X$60="Palier",IF(AND(BW$20&gt;='01_Input'!$V$60,BW$20&lt;'01_Input'!$W$60),'01_Input'!$Y$60,0),MAX(MIN(BW$20,'01_Input'!$W$60)-'01_Input'!$V$60,0)*'01_Input'!$Y$60))+IF('01_Input'!$AB$60="Forfait",IF(BW$20&gt;='01_Input'!$Z$60,'01_Input'!$AC$60,0),IF('01_Input'!$AB$60="Palier",IF(AND(BW$20&gt;='01_Input'!$Z$60,BW$20&lt;'01_Input'!$AA$60),'01_Input'!$AC$60,0),MAX(MIN(BW$20,'01_Input'!$AA$60)-'01_Input'!$Z$60,0)*'01_Input'!$AC$60)))))))))</f>
        <v>800</v>
      </c>
      <c r="BX28" s="83">
        <f>IF('01_Input'!$C$60="Non",0,MIN('01_Input'!$I$60,MAX('01_Input'!$H$60,IF('01_Input'!$G$60="Résiduel vs Gestion",0,IF('01_Input'!$G$60="Taux Classe sélectionnée",Distrib_Global_Classe_Selectionnee*BX$20,IF('01_Input'!$G$60="Frais KYC (paliers de 100M€)",MAX(0,Nb_Investisseurs-Nb_KYC_Gratuites_Par_Tranche*(FLOOR(BX$20/Taille_Tranche_KYC,1)+1))*Cout_Par_KYC_Supplementaire,(IF('01_Input'!$L$60="Forfait",IF(BX$20&gt;='01_Input'!$J$60,'01_Input'!$M$60,0),IF('01_Input'!$L$60="Palier",IF(AND(BX$20&gt;='01_Input'!$J$60,BX$20&lt;'01_Input'!$K$60),'01_Input'!$M$60,0),MAX(MIN(BX$20,'01_Input'!$K$60)-'01_Input'!$J$60,0)*'01_Input'!$M$60))+IF('01_Input'!$P$60="Forfait",IF(BX$20&gt;='01_Input'!$N$60,'01_Input'!$Q$60,0),IF('01_Input'!$P$60="Palier",IF(AND(BX$20&gt;='01_Input'!$N$60,BX$20&lt;'01_Input'!$O$60),'01_Input'!$Q$60,0),MAX(MIN(BX$20,'01_Input'!$O$60)-'01_Input'!$N$60,0)*'01_Input'!$Q$60))+IF('01_Input'!$T$60="Forfait",IF(BX$20&gt;='01_Input'!$R$60,'01_Input'!$U$60,0),IF('01_Input'!$T$60="Palier",IF(AND(BX$20&gt;='01_Input'!$R$60,BX$20&lt;'01_Input'!$S$60),'01_Input'!$U$60,0),MAX(MIN(BX$20,'01_Input'!$S$60)-'01_Input'!$R$60,0)*'01_Input'!$U$60))+IF('01_Input'!$X$60="Forfait",IF(BX$20&gt;='01_Input'!$V$60,'01_Input'!$Y$60,0),IF('01_Input'!$X$60="Palier",IF(AND(BX$20&gt;='01_Input'!$V$60,BX$20&lt;'01_Input'!$W$60),'01_Input'!$Y$60,0),MAX(MIN(BX$20,'01_Input'!$W$60)-'01_Input'!$V$60,0)*'01_Input'!$Y$60))+IF('01_Input'!$AB$60="Forfait",IF(BX$20&gt;='01_Input'!$Z$60,'01_Input'!$AC$60,0),IF('01_Input'!$AB$60="Palier",IF(AND(BX$20&gt;='01_Input'!$Z$60,BX$20&lt;'01_Input'!$AA$60),'01_Input'!$AC$60,0),MAX(MIN(BX$20,'01_Input'!$AA$60)-'01_Input'!$Z$60,0)*'01_Input'!$AC$60)))))))))</f>
        <v>800</v>
      </c>
      <c r="BY28" s="83">
        <f>IF('01_Input'!$C$60="Non",0,MIN('01_Input'!$I$60,MAX('01_Input'!$H$60,IF('01_Input'!$G$60="Résiduel vs Gestion",0,IF('01_Input'!$G$60="Taux Classe sélectionnée",Distrib_Global_Classe_Selectionnee*BY$20,IF('01_Input'!$G$60="Frais KYC (paliers de 100M€)",MAX(0,Nb_Investisseurs-Nb_KYC_Gratuites_Par_Tranche*(FLOOR(BY$20/Taille_Tranche_KYC,1)+1))*Cout_Par_KYC_Supplementaire,(IF('01_Input'!$L$60="Forfait",IF(BY$20&gt;='01_Input'!$J$60,'01_Input'!$M$60,0),IF('01_Input'!$L$60="Palier",IF(AND(BY$20&gt;='01_Input'!$J$60,BY$20&lt;'01_Input'!$K$60),'01_Input'!$M$60,0),MAX(MIN(BY$20,'01_Input'!$K$60)-'01_Input'!$J$60,0)*'01_Input'!$M$60))+IF('01_Input'!$P$60="Forfait",IF(BY$20&gt;='01_Input'!$N$60,'01_Input'!$Q$60,0),IF('01_Input'!$P$60="Palier",IF(AND(BY$20&gt;='01_Input'!$N$60,BY$20&lt;'01_Input'!$O$60),'01_Input'!$Q$60,0),MAX(MIN(BY$20,'01_Input'!$O$60)-'01_Input'!$N$60,0)*'01_Input'!$Q$60))+IF('01_Input'!$T$60="Forfait",IF(BY$20&gt;='01_Input'!$R$60,'01_Input'!$U$60,0),IF('01_Input'!$T$60="Palier",IF(AND(BY$20&gt;='01_Input'!$R$60,BY$20&lt;'01_Input'!$S$60),'01_Input'!$U$60,0),MAX(MIN(BY$20,'01_Input'!$S$60)-'01_Input'!$R$60,0)*'01_Input'!$U$60))+IF('01_Input'!$X$60="Forfait",IF(BY$20&gt;='01_Input'!$V$60,'01_Input'!$Y$60,0),IF('01_Input'!$X$60="Palier",IF(AND(BY$20&gt;='01_Input'!$V$60,BY$20&lt;'01_Input'!$W$60),'01_Input'!$Y$60,0),MAX(MIN(BY$20,'01_Input'!$W$60)-'01_Input'!$V$60,0)*'01_Input'!$Y$60))+IF('01_Input'!$AB$60="Forfait",IF(BY$20&gt;='01_Input'!$Z$60,'01_Input'!$AC$60,0),IF('01_Input'!$AB$60="Palier",IF(AND(BY$20&gt;='01_Input'!$Z$60,BY$20&lt;'01_Input'!$AA$60),'01_Input'!$AC$60,0),MAX(MIN(BY$20,'01_Input'!$AA$60)-'01_Input'!$Z$60,0)*'01_Input'!$AC$60)))))))))</f>
        <v>800</v>
      </c>
      <c r="BZ28" s="83">
        <f>IF('01_Input'!$C$60="Non",0,MIN('01_Input'!$I$60,MAX('01_Input'!$H$60,IF('01_Input'!$G$60="Résiduel vs Gestion",0,IF('01_Input'!$G$60="Taux Classe sélectionnée",Distrib_Global_Classe_Selectionnee*BZ$20,IF('01_Input'!$G$60="Frais KYC (paliers de 100M€)",MAX(0,Nb_Investisseurs-Nb_KYC_Gratuites_Par_Tranche*(FLOOR(BZ$20/Taille_Tranche_KYC,1)+1))*Cout_Par_KYC_Supplementaire,(IF('01_Input'!$L$60="Forfait",IF(BZ$20&gt;='01_Input'!$J$60,'01_Input'!$M$60,0),IF('01_Input'!$L$60="Palier",IF(AND(BZ$20&gt;='01_Input'!$J$60,BZ$20&lt;'01_Input'!$K$60),'01_Input'!$M$60,0),MAX(MIN(BZ$20,'01_Input'!$K$60)-'01_Input'!$J$60,0)*'01_Input'!$M$60))+IF('01_Input'!$P$60="Forfait",IF(BZ$20&gt;='01_Input'!$N$60,'01_Input'!$Q$60,0),IF('01_Input'!$P$60="Palier",IF(AND(BZ$20&gt;='01_Input'!$N$60,BZ$20&lt;'01_Input'!$O$60),'01_Input'!$Q$60,0),MAX(MIN(BZ$20,'01_Input'!$O$60)-'01_Input'!$N$60,0)*'01_Input'!$Q$60))+IF('01_Input'!$T$60="Forfait",IF(BZ$20&gt;='01_Input'!$R$60,'01_Input'!$U$60,0),IF('01_Input'!$T$60="Palier",IF(AND(BZ$20&gt;='01_Input'!$R$60,BZ$20&lt;'01_Input'!$S$60),'01_Input'!$U$60,0),MAX(MIN(BZ$20,'01_Input'!$S$60)-'01_Input'!$R$60,0)*'01_Input'!$U$60))+IF('01_Input'!$X$60="Forfait",IF(BZ$20&gt;='01_Input'!$V$60,'01_Input'!$Y$60,0),IF('01_Input'!$X$60="Palier",IF(AND(BZ$20&gt;='01_Input'!$V$60,BZ$20&lt;'01_Input'!$W$60),'01_Input'!$Y$60,0),MAX(MIN(BZ$20,'01_Input'!$W$60)-'01_Input'!$V$60,0)*'01_Input'!$Y$60))+IF('01_Input'!$AB$60="Forfait",IF(BZ$20&gt;='01_Input'!$Z$60,'01_Input'!$AC$60,0),IF('01_Input'!$AB$60="Palier",IF(AND(BZ$20&gt;='01_Input'!$Z$60,BZ$20&lt;'01_Input'!$AA$60),'01_Input'!$AC$60,0),MAX(MIN(BZ$20,'01_Input'!$AA$60)-'01_Input'!$Z$60,0)*'01_Input'!$AC$60)))))))))</f>
        <v>800</v>
      </c>
      <c r="CA28" s="83">
        <f>IF('01_Input'!$C$60="Non",0,MIN('01_Input'!$I$60,MAX('01_Input'!$H$60,IF('01_Input'!$G$60="Résiduel vs Gestion",0,IF('01_Input'!$G$60="Taux Classe sélectionnée",Distrib_Global_Classe_Selectionnee*CA$20,IF('01_Input'!$G$60="Frais KYC (paliers de 100M€)",MAX(0,Nb_Investisseurs-Nb_KYC_Gratuites_Par_Tranche*(FLOOR(CA$20/Taille_Tranche_KYC,1)+1))*Cout_Par_KYC_Supplementaire,(IF('01_Input'!$L$60="Forfait",IF(CA$20&gt;='01_Input'!$J$60,'01_Input'!$M$60,0),IF('01_Input'!$L$60="Palier",IF(AND(CA$20&gt;='01_Input'!$J$60,CA$20&lt;'01_Input'!$K$60),'01_Input'!$M$60,0),MAX(MIN(CA$20,'01_Input'!$K$60)-'01_Input'!$J$60,0)*'01_Input'!$M$60))+IF('01_Input'!$P$60="Forfait",IF(CA$20&gt;='01_Input'!$N$60,'01_Input'!$Q$60,0),IF('01_Input'!$P$60="Palier",IF(AND(CA$20&gt;='01_Input'!$N$60,CA$20&lt;'01_Input'!$O$60),'01_Input'!$Q$60,0),MAX(MIN(CA$20,'01_Input'!$O$60)-'01_Input'!$N$60,0)*'01_Input'!$Q$60))+IF('01_Input'!$T$60="Forfait",IF(CA$20&gt;='01_Input'!$R$60,'01_Input'!$U$60,0),IF('01_Input'!$T$60="Palier",IF(AND(CA$20&gt;='01_Input'!$R$60,CA$20&lt;'01_Input'!$S$60),'01_Input'!$U$60,0),MAX(MIN(CA$20,'01_Input'!$S$60)-'01_Input'!$R$60,0)*'01_Input'!$U$60))+IF('01_Input'!$X$60="Forfait",IF(CA$20&gt;='01_Input'!$V$60,'01_Input'!$Y$60,0),IF('01_Input'!$X$60="Palier",IF(AND(CA$20&gt;='01_Input'!$V$60,CA$20&lt;'01_Input'!$W$60),'01_Input'!$Y$60,0),MAX(MIN(CA$20,'01_Input'!$W$60)-'01_Input'!$V$60,0)*'01_Input'!$Y$60))+IF('01_Input'!$AB$60="Forfait",IF(CA$20&gt;='01_Input'!$Z$60,'01_Input'!$AC$60,0),IF('01_Input'!$AB$60="Palier",IF(AND(CA$20&gt;='01_Input'!$Z$60,CA$20&lt;'01_Input'!$AA$60),'01_Input'!$AC$60,0),MAX(MIN(CA$20,'01_Input'!$AA$60)-'01_Input'!$Z$60,0)*'01_Input'!$AC$60)))))))))</f>
        <v>800</v>
      </c>
      <c r="CB28" s="83">
        <f>IF('01_Input'!$C$60="Non",0,MIN('01_Input'!$I$60,MAX('01_Input'!$H$60,IF('01_Input'!$G$60="Résiduel vs Gestion",0,IF('01_Input'!$G$60="Taux Classe sélectionnée",Distrib_Global_Classe_Selectionnee*CB$20,IF('01_Input'!$G$60="Frais KYC (paliers de 100M€)",MAX(0,Nb_Investisseurs-Nb_KYC_Gratuites_Par_Tranche*(FLOOR(CB$20/Taille_Tranche_KYC,1)+1))*Cout_Par_KYC_Supplementaire,(IF('01_Input'!$L$60="Forfait",IF(CB$20&gt;='01_Input'!$J$60,'01_Input'!$M$60,0),IF('01_Input'!$L$60="Palier",IF(AND(CB$20&gt;='01_Input'!$J$60,CB$20&lt;'01_Input'!$K$60),'01_Input'!$M$60,0),MAX(MIN(CB$20,'01_Input'!$K$60)-'01_Input'!$J$60,0)*'01_Input'!$M$60))+IF('01_Input'!$P$60="Forfait",IF(CB$20&gt;='01_Input'!$N$60,'01_Input'!$Q$60,0),IF('01_Input'!$P$60="Palier",IF(AND(CB$20&gt;='01_Input'!$N$60,CB$20&lt;'01_Input'!$O$60),'01_Input'!$Q$60,0),MAX(MIN(CB$20,'01_Input'!$O$60)-'01_Input'!$N$60,0)*'01_Input'!$Q$60))+IF('01_Input'!$T$60="Forfait",IF(CB$20&gt;='01_Input'!$R$60,'01_Input'!$U$60,0),IF('01_Input'!$T$60="Palier",IF(AND(CB$20&gt;='01_Input'!$R$60,CB$20&lt;'01_Input'!$S$60),'01_Input'!$U$60,0),MAX(MIN(CB$20,'01_Input'!$S$60)-'01_Input'!$R$60,0)*'01_Input'!$U$60))+IF('01_Input'!$X$60="Forfait",IF(CB$20&gt;='01_Input'!$V$60,'01_Input'!$Y$60,0),IF('01_Input'!$X$60="Palier",IF(AND(CB$20&gt;='01_Input'!$V$60,CB$20&lt;'01_Input'!$W$60),'01_Input'!$Y$60,0),MAX(MIN(CB$20,'01_Input'!$W$60)-'01_Input'!$V$60,0)*'01_Input'!$Y$60))+IF('01_Input'!$AB$60="Forfait",IF(CB$20&gt;='01_Input'!$Z$60,'01_Input'!$AC$60,0),IF('01_Input'!$AB$60="Palier",IF(AND(CB$20&gt;='01_Input'!$Z$60,CB$20&lt;'01_Input'!$AA$60),'01_Input'!$AC$60,0),MAX(MIN(CB$20,'01_Input'!$AA$60)-'01_Input'!$Z$60,0)*'01_Input'!$AC$60)))))))))</f>
        <v>800</v>
      </c>
      <c r="CC28" s="83">
        <f>IF('01_Input'!$C$60="Non",0,MIN('01_Input'!$I$60,MAX('01_Input'!$H$60,IF('01_Input'!$G$60="Résiduel vs Gestion",0,IF('01_Input'!$G$60="Taux Classe sélectionnée",Distrib_Global_Classe_Selectionnee*CC$20,IF('01_Input'!$G$60="Frais KYC (paliers de 100M€)",MAX(0,Nb_Investisseurs-Nb_KYC_Gratuites_Par_Tranche*(FLOOR(CC$20/Taille_Tranche_KYC,1)+1))*Cout_Par_KYC_Supplementaire,(IF('01_Input'!$L$60="Forfait",IF(CC$20&gt;='01_Input'!$J$60,'01_Input'!$M$60,0),IF('01_Input'!$L$60="Palier",IF(AND(CC$20&gt;='01_Input'!$J$60,CC$20&lt;'01_Input'!$K$60),'01_Input'!$M$60,0),MAX(MIN(CC$20,'01_Input'!$K$60)-'01_Input'!$J$60,0)*'01_Input'!$M$60))+IF('01_Input'!$P$60="Forfait",IF(CC$20&gt;='01_Input'!$N$60,'01_Input'!$Q$60,0),IF('01_Input'!$P$60="Palier",IF(AND(CC$20&gt;='01_Input'!$N$60,CC$20&lt;'01_Input'!$O$60),'01_Input'!$Q$60,0),MAX(MIN(CC$20,'01_Input'!$O$60)-'01_Input'!$N$60,0)*'01_Input'!$Q$60))+IF('01_Input'!$T$60="Forfait",IF(CC$20&gt;='01_Input'!$R$60,'01_Input'!$U$60,0),IF('01_Input'!$T$60="Palier",IF(AND(CC$20&gt;='01_Input'!$R$60,CC$20&lt;'01_Input'!$S$60),'01_Input'!$U$60,0),MAX(MIN(CC$20,'01_Input'!$S$60)-'01_Input'!$R$60,0)*'01_Input'!$U$60))+IF('01_Input'!$X$60="Forfait",IF(CC$20&gt;='01_Input'!$V$60,'01_Input'!$Y$60,0),IF('01_Input'!$X$60="Palier",IF(AND(CC$20&gt;='01_Input'!$V$60,CC$20&lt;'01_Input'!$W$60),'01_Input'!$Y$60,0),MAX(MIN(CC$20,'01_Input'!$W$60)-'01_Input'!$V$60,0)*'01_Input'!$Y$60))+IF('01_Input'!$AB$60="Forfait",IF(CC$20&gt;='01_Input'!$Z$60,'01_Input'!$AC$60,0),IF('01_Input'!$AB$60="Palier",IF(AND(CC$20&gt;='01_Input'!$Z$60,CC$20&lt;'01_Input'!$AA$60),'01_Input'!$AC$60,0),MAX(MIN(CC$20,'01_Input'!$AA$60)-'01_Input'!$Z$60,0)*'01_Input'!$AC$60)))))))))</f>
        <v>800</v>
      </c>
      <c r="CD28" s="83">
        <f>IF('01_Input'!$C$60="Non",0,MIN('01_Input'!$I$60,MAX('01_Input'!$H$60,IF('01_Input'!$G$60="Résiduel vs Gestion",0,IF('01_Input'!$G$60="Taux Classe sélectionnée",Distrib_Global_Classe_Selectionnee*CD$20,IF('01_Input'!$G$60="Frais KYC (paliers de 100M€)",MAX(0,Nb_Investisseurs-Nb_KYC_Gratuites_Par_Tranche*(FLOOR(CD$20/Taille_Tranche_KYC,1)+1))*Cout_Par_KYC_Supplementaire,(IF('01_Input'!$L$60="Forfait",IF(CD$20&gt;='01_Input'!$J$60,'01_Input'!$M$60,0),IF('01_Input'!$L$60="Palier",IF(AND(CD$20&gt;='01_Input'!$J$60,CD$20&lt;'01_Input'!$K$60),'01_Input'!$M$60,0),MAX(MIN(CD$20,'01_Input'!$K$60)-'01_Input'!$J$60,0)*'01_Input'!$M$60))+IF('01_Input'!$P$60="Forfait",IF(CD$20&gt;='01_Input'!$N$60,'01_Input'!$Q$60,0),IF('01_Input'!$P$60="Palier",IF(AND(CD$20&gt;='01_Input'!$N$60,CD$20&lt;'01_Input'!$O$60),'01_Input'!$Q$60,0),MAX(MIN(CD$20,'01_Input'!$O$60)-'01_Input'!$N$60,0)*'01_Input'!$Q$60))+IF('01_Input'!$T$60="Forfait",IF(CD$20&gt;='01_Input'!$R$60,'01_Input'!$U$60,0),IF('01_Input'!$T$60="Palier",IF(AND(CD$20&gt;='01_Input'!$R$60,CD$20&lt;'01_Input'!$S$60),'01_Input'!$U$60,0),MAX(MIN(CD$20,'01_Input'!$S$60)-'01_Input'!$R$60,0)*'01_Input'!$U$60))+IF('01_Input'!$X$60="Forfait",IF(CD$20&gt;='01_Input'!$V$60,'01_Input'!$Y$60,0),IF('01_Input'!$X$60="Palier",IF(AND(CD$20&gt;='01_Input'!$V$60,CD$20&lt;'01_Input'!$W$60),'01_Input'!$Y$60,0),MAX(MIN(CD$20,'01_Input'!$W$60)-'01_Input'!$V$60,0)*'01_Input'!$Y$60))+IF('01_Input'!$AB$60="Forfait",IF(CD$20&gt;='01_Input'!$Z$60,'01_Input'!$AC$60,0),IF('01_Input'!$AB$60="Palier",IF(AND(CD$20&gt;='01_Input'!$Z$60,CD$20&lt;'01_Input'!$AA$60),'01_Input'!$AC$60,0),MAX(MIN(CD$20,'01_Input'!$AA$60)-'01_Input'!$Z$60,0)*'01_Input'!$AC$60)))))))))</f>
        <v>800</v>
      </c>
      <c r="CE28" s="83">
        <f>IF('01_Input'!$C$60="Non",0,MIN('01_Input'!$I$60,MAX('01_Input'!$H$60,IF('01_Input'!$G$60="Résiduel vs Gestion",0,IF('01_Input'!$G$60="Taux Classe sélectionnée",Distrib_Global_Classe_Selectionnee*CE$20,IF('01_Input'!$G$60="Frais KYC (paliers de 100M€)",MAX(0,Nb_Investisseurs-Nb_KYC_Gratuites_Par_Tranche*(FLOOR(CE$20/Taille_Tranche_KYC,1)+1))*Cout_Par_KYC_Supplementaire,(IF('01_Input'!$L$60="Forfait",IF(CE$20&gt;='01_Input'!$J$60,'01_Input'!$M$60,0),IF('01_Input'!$L$60="Palier",IF(AND(CE$20&gt;='01_Input'!$J$60,CE$20&lt;'01_Input'!$K$60),'01_Input'!$M$60,0),MAX(MIN(CE$20,'01_Input'!$K$60)-'01_Input'!$J$60,0)*'01_Input'!$M$60))+IF('01_Input'!$P$60="Forfait",IF(CE$20&gt;='01_Input'!$N$60,'01_Input'!$Q$60,0),IF('01_Input'!$P$60="Palier",IF(AND(CE$20&gt;='01_Input'!$N$60,CE$20&lt;'01_Input'!$O$60),'01_Input'!$Q$60,0),MAX(MIN(CE$20,'01_Input'!$O$60)-'01_Input'!$N$60,0)*'01_Input'!$Q$60))+IF('01_Input'!$T$60="Forfait",IF(CE$20&gt;='01_Input'!$R$60,'01_Input'!$U$60,0),IF('01_Input'!$T$60="Palier",IF(AND(CE$20&gt;='01_Input'!$R$60,CE$20&lt;'01_Input'!$S$60),'01_Input'!$U$60,0),MAX(MIN(CE$20,'01_Input'!$S$60)-'01_Input'!$R$60,0)*'01_Input'!$U$60))+IF('01_Input'!$X$60="Forfait",IF(CE$20&gt;='01_Input'!$V$60,'01_Input'!$Y$60,0),IF('01_Input'!$X$60="Palier",IF(AND(CE$20&gt;='01_Input'!$V$60,CE$20&lt;'01_Input'!$W$60),'01_Input'!$Y$60,0),MAX(MIN(CE$20,'01_Input'!$W$60)-'01_Input'!$V$60,0)*'01_Input'!$Y$60))+IF('01_Input'!$AB$60="Forfait",IF(CE$20&gt;='01_Input'!$Z$60,'01_Input'!$AC$60,0),IF('01_Input'!$AB$60="Palier",IF(AND(CE$20&gt;='01_Input'!$Z$60,CE$20&lt;'01_Input'!$AA$60),'01_Input'!$AC$60,0),MAX(MIN(CE$20,'01_Input'!$AA$60)-'01_Input'!$Z$60,0)*'01_Input'!$AC$60)))))))))</f>
        <v>800</v>
      </c>
      <c r="CF28" s="83">
        <f>IF('01_Input'!$C$60="Non",0,MIN('01_Input'!$I$60,MAX('01_Input'!$H$60,IF('01_Input'!$G$60="Résiduel vs Gestion",0,IF('01_Input'!$G$60="Taux Classe sélectionnée",Distrib_Global_Classe_Selectionnee*CF$20,IF('01_Input'!$G$60="Frais KYC (paliers de 100M€)",MAX(0,Nb_Investisseurs-Nb_KYC_Gratuites_Par_Tranche*(FLOOR(CF$20/Taille_Tranche_KYC,1)+1))*Cout_Par_KYC_Supplementaire,(IF('01_Input'!$L$60="Forfait",IF(CF$20&gt;='01_Input'!$J$60,'01_Input'!$M$60,0),IF('01_Input'!$L$60="Palier",IF(AND(CF$20&gt;='01_Input'!$J$60,CF$20&lt;'01_Input'!$K$60),'01_Input'!$M$60,0),MAX(MIN(CF$20,'01_Input'!$K$60)-'01_Input'!$J$60,0)*'01_Input'!$M$60))+IF('01_Input'!$P$60="Forfait",IF(CF$20&gt;='01_Input'!$N$60,'01_Input'!$Q$60,0),IF('01_Input'!$P$60="Palier",IF(AND(CF$20&gt;='01_Input'!$N$60,CF$20&lt;'01_Input'!$O$60),'01_Input'!$Q$60,0),MAX(MIN(CF$20,'01_Input'!$O$60)-'01_Input'!$N$60,0)*'01_Input'!$Q$60))+IF('01_Input'!$T$60="Forfait",IF(CF$20&gt;='01_Input'!$R$60,'01_Input'!$U$60,0),IF('01_Input'!$T$60="Palier",IF(AND(CF$20&gt;='01_Input'!$R$60,CF$20&lt;'01_Input'!$S$60),'01_Input'!$U$60,0),MAX(MIN(CF$20,'01_Input'!$S$60)-'01_Input'!$R$60,0)*'01_Input'!$U$60))+IF('01_Input'!$X$60="Forfait",IF(CF$20&gt;='01_Input'!$V$60,'01_Input'!$Y$60,0),IF('01_Input'!$X$60="Palier",IF(AND(CF$20&gt;='01_Input'!$V$60,CF$20&lt;'01_Input'!$W$60),'01_Input'!$Y$60,0),MAX(MIN(CF$20,'01_Input'!$W$60)-'01_Input'!$V$60,0)*'01_Input'!$Y$60))+IF('01_Input'!$AB$60="Forfait",IF(CF$20&gt;='01_Input'!$Z$60,'01_Input'!$AC$60,0),IF('01_Input'!$AB$60="Palier",IF(AND(CF$20&gt;='01_Input'!$Z$60,CF$20&lt;'01_Input'!$AA$60),'01_Input'!$AC$60,0),MAX(MIN(CF$20,'01_Input'!$AA$60)-'01_Input'!$Z$60,0)*'01_Input'!$AC$60)))))))))</f>
        <v>800</v>
      </c>
      <c r="CG28" s="83">
        <f>IF('01_Input'!$C$60="Non",0,MIN('01_Input'!$I$60,MAX('01_Input'!$H$60,IF('01_Input'!$G$60="Résiduel vs Gestion",0,IF('01_Input'!$G$60="Taux Classe sélectionnée",Distrib_Global_Classe_Selectionnee*CG$20,IF('01_Input'!$G$60="Frais KYC (paliers de 100M€)",MAX(0,Nb_Investisseurs-Nb_KYC_Gratuites_Par_Tranche*(FLOOR(CG$20/Taille_Tranche_KYC,1)+1))*Cout_Par_KYC_Supplementaire,(IF('01_Input'!$L$60="Forfait",IF(CG$20&gt;='01_Input'!$J$60,'01_Input'!$M$60,0),IF('01_Input'!$L$60="Palier",IF(AND(CG$20&gt;='01_Input'!$J$60,CG$20&lt;'01_Input'!$K$60),'01_Input'!$M$60,0),MAX(MIN(CG$20,'01_Input'!$K$60)-'01_Input'!$J$60,0)*'01_Input'!$M$60))+IF('01_Input'!$P$60="Forfait",IF(CG$20&gt;='01_Input'!$N$60,'01_Input'!$Q$60,0),IF('01_Input'!$P$60="Palier",IF(AND(CG$20&gt;='01_Input'!$N$60,CG$20&lt;'01_Input'!$O$60),'01_Input'!$Q$60,0),MAX(MIN(CG$20,'01_Input'!$O$60)-'01_Input'!$N$60,0)*'01_Input'!$Q$60))+IF('01_Input'!$T$60="Forfait",IF(CG$20&gt;='01_Input'!$R$60,'01_Input'!$U$60,0),IF('01_Input'!$T$60="Palier",IF(AND(CG$20&gt;='01_Input'!$R$60,CG$20&lt;'01_Input'!$S$60),'01_Input'!$U$60,0),MAX(MIN(CG$20,'01_Input'!$S$60)-'01_Input'!$R$60,0)*'01_Input'!$U$60))+IF('01_Input'!$X$60="Forfait",IF(CG$20&gt;='01_Input'!$V$60,'01_Input'!$Y$60,0),IF('01_Input'!$X$60="Palier",IF(AND(CG$20&gt;='01_Input'!$V$60,CG$20&lt;'01_Input'!$W$60),'01_Input'!$Y$60,0),MAX(MIN(CG$20,'01_Input'!$W$60)-'01_Input'!$V$60,0)*'01_Input'!$Y$60))+IF('01_Input'!$AB$60="Forfait",IF(CG$20&gt;='01_Input'!$Z$60,'01_Input'!$AC$60,0),IF('01_Input'!$AB$60="Palier",IF(AND(CG$20&gt;='01_Input'!$Z$60,CG$20&lt;'01_Input'!$AA$60),'01_Input'!$AC$60,0),MAX(MIN(CG$20,'01_Input'!$AA$60)-'01_Input'!$Z$60,0)*'01_Input'!$AC$60)))))))))</f>
        <v>800</v>
      </c>
      <c r="CH28" s="83">
        <f>IF('01_Input'!$C$60="Non",0,MIN('01_Input'!$I$60,MAX('01_Input'!$H$60,IF('01_Input'!$G$60="Résiduel vs Gestion",0,IF('01_Input'!$G$60="Taux Classe sélectionnée",Distrib_Global_Classe_Selectionnee*CH$20,IF('01_Input'!$G$60="Frais KYC (paliers de 100M€)",MAX(0,Nb_Investisseurs-Nb_KYC_Gratuites_Par_Tranche*(FLOOR(CH$20/Taille_Tranche_KYC,1)+1))*Cout_Par_KYC_Supplementaire,(IF('01_Input'!$L$60="Forfait",IF(CH$20&gt;='01_Input'!$J$60,'01_Input'!$M$60,0),IF('01_Input'!$L$60="Palier",IF(AND(CH$20&gt;='01_Input'!$J$60,CH$20&lt;'01_Input'!$K$60),'01_Input'!$M$60,0),MAX(MIN(CH$20,'01_Input'!$K$60)-'01_Input'!$J$60,0)*'01_Input'!$M$60))+IF('01_Input'!$P$60="Forfait",IF(CH$20&gt;='01_Input'!$N$60,'01_Input'!$Q$60,0),IF('01_Input'!$P$60="Palier",IF(AND(CH$20&gt;='01_Input'!$N$60,CH$20&lt;'01_Input'!$O$60),'01_Input'!$Q$60,0),MAX(MIN(CH$20,'01_Input'!$O$60)-'01_Input'!$N$60,0)*'01_Input'!$Q$60))+IF('01_Input'!$T$60="Forfait",IF(CH$20&gt;='01_Input'!$R$60,'01_Input'!$U$60,0),IF('01_Input'!$T$60="Palier",IF(AND(CH$20&gt;='01_Input'!$R$60,CH$20&lt;'01_Input'!$S$60),'01_Input'!$U$60,0),MAX(MIN(CH$20,'01_Input'!$S$60)-'01_Input'!$R$60,0)*'01_Input'!$U$60))+IF('01_Input'!$X$60="Forfait",IF(CH$20&gt;='01_Input'!$V$60,'01_Input'!$Y$60,0),IF('01_Input'!$X$60="Palier",IF(AND(CH$20&gt;='01_Input'!$V$60,CH$20&lt;'01_Input'!$W$60),'01_Input'!$Y$60,0),MAX(MIN(CH$20,'01_Input'!$W$60)-'01_Input'!$V$60,0)*'01_Input'!$Y$60))+IF('01_Input'!$AB$60="Forfait",IF(CH$20&gt;='01_Input'!$Z$60,'01_Input'!$AC$60,0),IF('01_Input'!$AB$60="Palier",IF(AND(CH$20&gt;='01_Input'!$Z$60,CH$20&lt;'01_Input'!$AA$60),'01_Input'!$AC$60,0),MAX(MIN(CH$20,'01_Input'!$AA$60)-'01_Input'!$Z$60,0)*'01_Input'!$AC$60)))))))))</f>
        <v>800</v>
      </c>
      <c r="CI28" s="83">
        <f>IF('01_Input'!$C$60="Non",0,MIN('01_Input'!$I$60,MAX('01_Input'!$H$60,IF('01_Input'!$G$60="Résiduel vs Gestion",0,IF('01_Input'!$G$60="Taux Classe sélectionnée",Distrib_Global_Classe_Selectionnee*CI$20,IF('01_Input'!$G$60="Frais KYC (paliers de 100M€)",MAX(0,Nb_Investisseurs-Nb_KYC_Gratuites_Par_Tranche*(FLOOR(CI$20/Taille_Tranche_KYC,1)+1))*Cout_Par_KYC_Supplementaire,(IF('01_Input'!$L$60="Forfait",IF(CI$20&gt;='01_Input'!$J$60,'01_Input'!$M$60,0),IF('01_Input'!$L$60="Palier",IF(AND(CI$20&gt;='01_Input'!$J$60,CI$20&lt;'01_Input'!$K$60),'01_Input'!$M$60,0),MAX(MIN(CI$20,'01_Input'!$K$60)-'01_Input'!$J$60,0)*'01_Input'!$M$60))+IF('01_Input'!$P$60="Forfait",IF(CI$20&gt;='01_Input'!$N$60,'01_Input'!$Q$60,0),IF('01_Input'!$P$60="Palier",IF(AND(CI$20&gt;='01_Input'!$N$60,CI$20&lt;'01_Input'!$O$60),'01_Input'!$Q$60,0),MAX(MIN(CI$20,'01_Input'!$O$60)-'01_Input'!$N$60,0)*'01_Input'!$Q$60))+IF('01_Input'!$T$60="Forfait",IF(CI$20&gt;='01_Input'!$R$60,'01_Input'!$U$60,0),IF('01_Input'!$T$60="Palier",IF(AND(CI$20&gt;='01_Input'!$R$60,CI$20&lt;'01_Input'!$S$60),'01_Input'!$U$60,0),MAX(MIN(CI$20,'01_Input'!$S$60)-'01_Input'!$R$60,0)*'01_Input'!$U$60))+IF('01_Input'!$X$60="Forfait",IF(CI$20&gt;='01_Input'!$V$60,'01_Input'!$Y$60,0),IF('01_Input'!$X$60="Palier",IF(AND(CI$20&gt;='01_Input'!$V$60,CI$20&lt;'01_Input'!$W$60),'01_Input'!$Y$60,0),MAX(MIN(CI$20,'01_Input'!$W$60)-'01_Input'!$V$60,0)*'01_Input'!$Y$60))+IF('01_Input'!$AB$60="Forfait",IF(CI$20&gt;='01_Input'!$Z$60,'01_Input'!$AC$60,0),IF('01_Input'!$AB$60="Palier",IF(AND(CI$20&gt;='01_Input'!$Z$60,CI$20&lt;'01_Input'!$AA$60),'01_Input'!$AC$60,0),MAX(MIN(CI$20,'01_Input'!$AA$60)-'01_Input'!$Z$60,0)*'01_Input'!$AC$60)))))))))</f>
        <v>800</v>
      </c>
      <c r="CJ28" s="83">
        <f>IF('01_Input'!$C$60="Non",0,MIN('01_Input'!$I$60,MAX('01_Input'!$H$60,IF('01_Input'!$G$60="Résiduel vs Gestion",0,IF('01_Input'!$G$60="Taux Classe sélectionnée",Distrib_Global_Classe_Selectionnee*CJ$20,IF('01_Input'!$G$60="Frais KYC (paliers de 100M€)",MAX(0,Nb_Investisseurs-Nb_KYC_Gratuites_Par_Tranche*(FLOOR(CJ$20/Taille_Tranche_KYC,1)+1))*Cout_Par_KYC_Supplementaire,(IF('01_Input'!$L$60="Forfait",IF(CJ$20&gt;='01_Input'!$J$60,'01_Input'!$M$60,0),IF('01_Input'!$L$60="Palier",IF(AND(CJ$20&gt;='01_Input'!$J$60,CJ$20&lt;'01_Input'!$K$60),'01_Input'!$M$60,0),MAX(MIN(CJ$20,'01_Input'!$K$60)-'01_Input'!$J$60,0)*'01_Input'!$M$60))+IF('01_Input'!$P$60="Forfait",IF(CJ$20&gt;='01_Input'!$N$60,'01_Input'!$Q$60,0),IF('01_Input'!$P$60="Palier",IF(AND(CJ$20&gt;='01_Input'!$N$60,CJ$20&lt;'01_Input'!$O$60),'01_Input'!$Q$60,0),MAX(MIN(CJ$20,'01_Input'!$O$60)-'01_Input'!$N$60,0)*'01_Input'!$Q$60))+IF('01_Input'!$T$60="Forfait",IF(CJ$20&gt;='01_Input'!$R$60,'01_Input'!$U$60,0),IF('01_Input'!$T$60="Palier",IF(AND(CJ$20&gt;='01_Input'!$R$60,CJ$20&lt;'01_Input'!$S$60),'01_Input'!$U$60,0),MAX(MIN(CJ$20,'01_Input'!$S$60)-'01_Input'!$R$60,0)*'01_Input'!$U$60))+IF('01_Input'!$X$60="Forfait",IF(CJ$20&gt;='01_Input'!$V$60,'01_Input'!$Y$60,0),IF('01_Input'!$X$60="Palier",IF(AND(CJ$20&gt;='01_Input'!$V$60,CJ$20&lt;'01_Input'!$W$60),'01_Input'!$Y$60,0),MAX(MIN(CJ$20,'01_Input'!$W$60)-'01_Input'!$V$60,0)*'01_Input'!$Y$60))+IF('01_Input'!$AB$60="Forfait",IF(CJ$20&gt;='01_Input'!$Z$60,'01_Input'!$AC$60,0),IF('01_Input'!$AB$60="Palier",IF(AND(CJ$20&gt;='01_Input'!$Z$60,CJ$20&lt;'01_Input'!$AA$60),'01_Input'!$AC$60,0),MAX(MIN(CJ$20,'01_Input'!$AA$60)-'01_Input'!$Z$60,0)*'01_Input'!$AC$60)))))))))</f>
        <v>800</v>
      </c>
      <c r="CK28" s="83">
        <f>IF('01_Input'!$C$60="Non",0,MIN('01_Input'!$I$60,MAX('01_Input'!$H$60,IF('01_Input'!$G$60="Résiduel vs Gestion",0,IF('01_Input'!$G$60="Taux Classe sélectionnée",Distrib_Global_Classe_Selectionnee*CK$20,IF('01_Input'!$G$60="Frais KYC (paliers de 100M€)",MAX(0,Nb_Investisseurs-Nb_KYC_Gratuites_Par_Tranche*(FLOOR(CK$20/Taille_Tranche_KYC,1)+1))*Cout_Par_KYC_Supplementaire,(IF('01_Input'!$L$60="Forfait",IF(CK$20&gt;='01_Input'!$J$60,'01_Input'!$M$60,0),IF('01_Input'!$L$60="Palier",IF(AND(CK$20&gt;='01_Input'!$J$60,CK$20&lt;'01_Input'!$K$60),'01_Input'!$M$60,0),MAX(MIN(CK$20,'01_Input'!$K$60)-'01_Input'!$J$60,0)*'01_Input'!$M$60))+IF('01_Input'!$P$60="Forfait",IF(CK$20&gt;='01_Input'!$N$60,'01_Input'!$Q$60,0),IF('01_Input'!$P$60="Palier",IF(AND(CK$20&gt;='01_Input'!$N$60,CK$20&lt;'01_Input'!$O$60),'01_Input'!$Q$60,0),MAX(MIN(CK$20,'01_Input'!$O$60)-'01_Input'!$N$60,0)*'01_Input'!$Q$60))+IF('01_Input'!$T$60="Forfait",IF(CK$20&gt;='01_Input'!$R$60,'01_Input'!$U$60,0),IF('01_Input'!$T$60="Palier",IF(AND(CK$20&gt;='01_Input'!$R$60,CK$20&lt;'01_Input'!$S$60),'01_Input'!$U$60,0),MAX(MIN(CK$20,'01_Input'!$S$60)-'01_Input'!$R$60,0)*'01_Input'!$U$60))+IF('01_Input'!$X$60="Forfait",IF(CK$20&gt;='01_Input'!$V$60,'01_Input'!$Y$60,0),IF('01_Input'!$X$60="Palier",IF(AND(CK$20&gt;='01_Input'!$V$60,CK$20&lt;'01_Input'!$W$60),'01_Input'!$Y$60,0),MAX(MIN(CK$20,'01_Input'!$W$60)-'01_Input'!$V$60,0)*'01_Input'!$Y$60))+IF('01_Input'!$AB$60="Forfait",IF(CK$20&gt;='01_Input'!$Z$60,'01_Input'!$AC$60,0),IF('01_Input'!$AB$60="Palier",IF(AND(CK$20&gt;='01_Input'!$Z$60,CK$20&lt;'01_Input'!$AA$60),'01_Input'!$AC$60,0),MAX(MIN(CK$20,'01_Input'!$AA$60)-'01_Input'!$Z$60,0)*'01_Input'!$AC$60)))))))))</f>
        <v>800</v>
      </c>
      <c r="CL28" s="83">
        <f>IF('01_Input'!$C$60="Non",0,MIN('01_Input'!$I$60,MAX('01_Input'!$H$60,IF('01_Input'!$G$60="Résiduel vs Gestion",0,IF('01_Input'!$G$60="Taux Classe sélectionnée",Distrib_Global_Classe_Selectionnee*CL$20,IF('01_Input'!$G$60="Frais KYC (paliers de 100M€)",MAX(0,Nb_Investisseurs-Nb_KYC_Gratuites_Par_Tranche*(FLOOR(CL$20/Taille_Tranche_KYC,1)+1))*Cout_Par_KYC_Supplementaire,(IF('01_Input'!$L$60="Forfait",IF(CL$20&gt;='01_Input'!$J$60,'01_Input'!$M$60,0),IF('01_Input'!$L$60="Palier",IF(AND(CL$20&gt;='01_Input'!$J$60,CL$20&lt;'01_Input'!$K$60),'01_Input'!$M$60,0),MAX(MIN(CL$20,'01_Input'!$K$60)-'01_Input'!$J$60,0)*'01_Input'!$M$60))+IF('01_Input'!$P$60="Forfait",IF(CL$20&gt;='01_Input'!$N$60,'01_Input'!$Q$60,0),IF('01_Input'!$P$60="Palier",IF(AND(CL$20&gt;='01_Input'!$N$60,CL$20&lt;'01_Input'!$O$60),'01_Input'!$Q$60,0),MAX(MIN(CL$20,'01_Input'!$O$60)-'01_Input'!$N$60,0)*'01_Input'!$Q$60))+IF('01_Input'!$T$60="Forfait",IF(CL$20&gt;='01_Input'!$R$60,'01_Input'!$U$60,0),IF('01_Input'!$T$60="Palier",IF(AND(CL$20&gt;='01_Input'!$R$60,CL$20&lt;'01_Input'!$S$60),'01_Input'!$U$60,0),MAX(MIN(CL$20,'01_Input'!$S$60)-'01_Input'!$R$60,0)*'01_Input'!$U$60))+IF('01_Input'!$X$60="Forfait",IF(CL$20&gt;='01_Input'!$V$60,'01_Input'!$Y$60,0),IF('01_Input'!$X$60="Palier",IF(AND(CL$20&gt;='01_Input'!$V$60,CL$20&lt;'01_Input'!$W$60),'01_Input'!$Y$60,0),MAX(MIN(CL$20,'01_Input'!$W$60)-'01_Input'!$V$60,0)*'01_Input'!$Y$60))+IF('01_Input'!$AB$60="Forfait",IF(CL$20&gt;='01_Input'!$Z$60,'01_Input'!$AC$60,0),IF('01_Input'!$AB$60="Palier",IF(AND(CL$20&gt;='01_Input'!$Z$60,CL$20&lt;'01_Input'!$AA$60),'01_Input'!$AC$60,0),MAX(MIN(CL$20,'01_Input'!$AA$60)-'01_Input'!$Z$60,0)*'01_Input'!$AC$60)))))))))</f>
        <v>800</v>
      </c>
      <c r="CM28" s="83">
        <f>IF('01_Input'!$C$60="Non",0,MIN('01_Input'!$I$60,MAX('01_Input'!$H$60,IF('01_Input'!$G$60="Résiduel vs Gestion",0,IF('01_Input'!$G$60="Taux Classe sélectionnée",Distrib_Global_Classe_Selectionnee*CM$20,IF('01_Input'!$G$60="Frais KYC (paliers de 100M€)",MAX(0,Nb_Investisseurs-Nb_KYC_Gratuites_Par_Tranche*(FLOOR(CM$20/Taille_Tranche_KYC,1)+1))*Cout_Par_KYC_Supplementaire,(IF('01_Input'!$L$60="Forfait",IF(CM$20&gt;='01_Input'!$J$60,'01_Input'!$M$60,0),IF('01_Input'!$L$60="Palier",IF(AND(CM$20&gt;='01_Input'!$J$60,CM$20&lt;'01_Input'!$K$60),'01_Input'!$M$60,0),MAX(MIN(CM$20,'01_Input'!$K$60)-'01_Input'!$J$60,0)*'01_Input'!$M$60))+IF('01_Input'!$P$60="Forfait",IF(CM$20&gt;='01_Input'!$N$60,'01_Input'!$Q$60,0),IF('01_Input'!$P$60="Palier",IF(AND(CM$20&gt;='01_Input'!$N$60,CM$20&lt;'01_Input'!$O$60),'01_Input'!$Q$60,0),MAX(MIN(CM$20,'01_Input'!$O$60)-'01_Input'!$N$60,0)*'01_Input'!$Q$60))+IF('01_Input'!$T$60="Forfait",IF(CM$20&gt;='01_Input'!$R$60,'01_Input'!$U$60,0),IF('01_Input'!$T$60="Palier",IF(AND(CM$20&gt;='01_Input'!$R$60,CM$20&lt;'01_Input'!$S$60),'01_Input'!$U$60,0),MAX(MIN(CM$20,'01_Input'!$S$60)-'01_Input'!$R$60,0)*'01_Input'!$U$60))+IF('01_Input'!$X$60="Forfait",IF(CM$20&gt;='01_Input'!$V$60,'01_Input'!$Y$60,0),IF('01_Input'!$X$60="Palier",IF(AND(CM$20&gt;='01_Input'!$V$60,CM$20&lt;'01_Input'!$W$60),'01_Input'!$Y$60,0),MAX(MIN(CM$20,'01_Input'!$W$60)-'01_Input'!$V$60,0)*'01_Input'!$Y$60))+IF('01_Input'!$AB$60="Forfait",IF(CM$20&gt;='01_Input'!$Z$60,'01_Input'!$AC$60,0),IF('01_Input'!$AB$60="Palier",IF(AND(CM$20&gt;='01_Input'!$Z$60,CM$20&lt;'01_Input'!$AA$60),'01_Input'!$AC$60,0),MAX(MIN(CM$20,'01_Input'!$AA$60)-'01_Input'!$Z$60,0)*'01_Input'!$AC$60)))))))))</f>
        <v>800</v>
      </c>
      <c r="CN28" s="83">
        <f>IF('01_Input'!$C$60="Non",0,MIN('01_Input'!$I$60,MAX('01_Input'!$H$60,IF('01_Input'!$G$60="Résiduel vs Gestion",0,IF('01_Input'!$G$60="Taux Classe sélectionnée",Distrib_Global_Classe_Selectionnee*CN$20,IF('01_Input'!$G$60="Frais KYC (paliers de 100M€)",MAX(0,Nb_Investisseurs-Nb_KYC_Gratuites_Par_Tranche*(FLOOR(CN$20/Taille_Tranche_KYC,1)+1))*Cout_Par_KYC_Supplementaire,(IF('01_Input'!$L$60="Forfait",IF(CN$20&gt;='01_Input'!$J$60,'01_Input'!$M$60,0),IF('01_Input'!$L$60="Palier",IF(AND(CN$20&gt;='01_Input'!$J$60,CN$20&lt;'01_Input'!$K$60),'01_Input'!$M$60,0),MAX(MIN(CN$20,'01_Input'!$K$60)-'01_Input'!$J$60,0)*'01_Input'!$M$60))+IF('01_Input'!$P$60="Forfait",IF(CN$20&gt;='01_Input'!$N$60,'01_Input'!$Q$60,0),IF('01_Input'!$P$60="Palier",IF(AND(CN$20&gt;='01_Input'!$N$60,CN$20&lt;'01_Input'!$O$60),'01_Input'!$Q$60,0),MAX(MIN(CN$20,'01_Input'!$O$60)-'01_Input'!$N$60,0)*'01_Input'!$Q$60))+IF('01_Input'!$T$60="Forfait",IF(CN$20&gt;='01_Input'!$R$60,'01_Input'!$U$60,0),IF('01_Input'!$T$60="Palier",IF(AND(CN$20&gt;='01_Input'!$R$60,CN$20&lt;'01_Input'!$S$60),'01_Input'!$U$60,0),MAX(MIN(CN$20,'01_Input'!$S$60)-'01_Input'!$R$60,0)*'01_Input'!$U$60))+IF('01_Input'!$X$60="Forfait",IF(CN$20&gt;='01_Input'!$V$60,'01_Input'!$Y$60,0),IF('01_Input'!$X$60="Palier",IF(AND(CN$20&gt;='01_Input'!$V$60,CN$20&lt;'01_Input'!$W$60),'01_Input'!$Y$60,0),MAX(MIN(CN$20,'01_Input'!$W$60)-'01_Input'!$V$60,0)*'01_Input'!$Y$60))+IF('01_Input'!$AB$60="Forfait",IF(CN$20&gt;='01_Input'!$Z$60,'01_Input'!$AC$60,0),IF('01_Input'!$AB$60="Palier",IF(AND(CN$20&gt;='01_Input'!$Z$60,CN$20&lt;'01_Input'!$AA$60),'01_Input'!$AC$60,0),MAX(MIN(CN$20,'01_Input'!$AA$60)-'01_Input'!$Z$60,0)*'01_Input'!$AC$60)))))))))</f>
        <v>800</v>
      </c>
      <c r="CO28" s="83">
        <f>IF('01_Input'!$C$60="Non",0,MIN('01_Input'!$I$60,MAX('01_Input'!$H$60,IF('01_Input'!$G$60="Résiduel vs Gestion",0,IF('01_Input'!$G$60="Taux Classe sélectionnée",Distrib_Global_Classe_Selectionnee*CO$20,IF('01_Input'!$G$60="Frais KYC (paliers de 100M€)",MAX(0,Nb_Investisseurs-Nb_KYC_Gratuites_Par_Tranche*(FLOOR(CO$20/Taille_Tranche_KYC,1)+1))*Cout_Par_KYC_Supplementaire,(IF('01_Input'!$L$60="Forfait",IF(CO$20&gt;='01_Input'!$J$60,'01_Input'!$M$60,0),IF('01_Input'!$L$60="Palier",IF(AND(CO$20&gt;='01_Input'!$J$60,CO$20&lt;'01_Input'!$K$60),'01_Input'!$M$60,0),MAX(MIN(CO$20,'01_Input'!$K$60)-'01_Input'!$J$60,0)*'01_Input'!$M$60))+IF('01_Input'!$P$60="Forfait",IF(CO$20&gt;='01_Input'!$N$60,'01_Input'!$Q$60,0),IF('01_Input'!$P$60="Palier",IF(AND(CO$20&gt;='01_Input'!$N$60,CO$20&lt;'01_Input'!$O$60),'01_Input'!$Q$60,0),MAX(MIN(CO$20,'01_Input'!$O$60)-'01_Input'!$N$60,0)*'01_Input'!$Q$60))+IF('01_Input'!$T$60="Forfait",IF(CO$20&gt;='01_Input'!$R$60,'01_Input'!$U$60,0),IF('01_Input'!$T$60="Palier",IF(AND(CO$20&gt;='01_Input'!$R$60,CO$20&lt;'01_Input'!$S$60),'01_Input'!$U$60,0),MAX(MIN(CO$20,'01_Input'!$S$60)-'01_Input'!$R$60,0)*'01_Input'!$U$60))+IF('01_Input'!$X$60="Forfait",IF(CO$20&gt;='01_Input'!$V$60,'01_Input'!$Y$60,0),IF('01_Input'!$X$60="Palier",IF(AND(CO$20&gt;='01_Input'!$V$60,CO$20&lt;'01_Input'!$W$60),'01_Input'!$Y$60,0),MAX(MIN(CO$20,'01_Input'!$W$60)-'01_Input'!$V$60,0)*'01_Input'!$Y$60))+IF('01_Input'!$AB$60="Forfait",IF(CO$20&gt;='01_Input'!$Z$60,'01_Input'!$AC$60,0),IF('01_Input'!$AB$60="Palier",IF(AND(CO$20&gt;='01_Input'!$Z$60,CO$20&lt;'01_Input'!$AA$60),'01_Input'!$AC$60,0),MAX(MIN(CO$20,'01_Input'!$AA$60)-'01_Input'!$Z$60,0)*'01_Input'!$AC$60)))))))))</f>
        <v>800</v>
      </c>
      <c r="CP28" s="83">
        <f>IF('01_Input'!$C$60="Non",0,MIN('01_Input'!$I$60,MAX('01_Input'!$H$60,IF('01_Input'!$G$60="Résiduel vs Gestion",0,IF('01_Input'!$G$60="Taux Classe sélectionnée",Distrib_Global_Classe_Selectionnee*CP$20,IF('01_Input'!$G$60="Frais KYC (paliers de 100M€)",MAX(0,Nb_Investisseurs-Nb_KYC_Gratuites_Par_Tranche*(FLOOR(CP$20/Taille_Tranche_KYC,1)+1))*Cout_Par_KYC_Supplementaire,(IF('01_Input'!$L$60="Forfait",IF(CP$20&gt;='01_Input'!$J$60,'01_Input'!$M$60,0),IF('01_Input'!$L$60="Palier",IF(AND(CP$20&gt;='01_Input'!$J$60,CP$20&lt;'01_Input'!$K$60),'01_Input'!$M$60,0),MAX(MIN(CP$20,'01_Input'!$K$60)-'01_Input'!$J$60,0)*'01_Input'!$M$60))+IF('01_Input'!$P$60="Forfait",IF(CP$20&gt;='01_Input'!$N$60,'01_Input'!$Q$60,0),IF('01_Input'!$P$60="Palier",IF(AND(CP$20&gt;='01_Input'!$N$60,CP$20&lt;'01_Input'!$O$60),'01_Input'!$Q$60,0),MAX(MIN(CP$20,'01_Input'!$O$60)-'01_Input'!$N$60,0)*'01_Input'!$Q$60))+IF('01_Input'!$T$60="Forfait",IF(CP$20&gt;='01_Input'!$R$60,'01_Input'!$U$60,0),IF('01_Input'!$T$60="Palier",IF(AND(CP$20&gt;='01_Input'!$R$60,CP$20&lt;'01_Input'!$S$60),'01_Input'!$U$60,0),MAX(MIN(CP$20,'01_Input'!$S$60)-'01_Input'!$R$60,0)*'01_Input'!$U$60))+IF('01_Input'!$X$60="Forfait",IF(CP$20&gt;='01_Input'!$V$60,'01_Input'!$Y$60,0),IF('01_Input'!$X$60="Palier",IF(AND(CP$20&gt;='01_Input'!$V$60,CP$20&lt;'01_Input'!$W$60),'01_Input'!$Y$60,0),MAX(MIN(CP$20,'01_Input'!$W$60)-'01_Input'!$V$60,0)*'01_Input'!$Y$60))+IF('01_Input'!$AB$60="Forfait",IF(CP$20&gt;='01_Input'!$Z$60,'01_Input'!$AC$60,0),IF('01_Input'!$AB$60="Palier",IF(AND(CP$20&gt;='01_Input'!$Z$60,CP$20&lt;'01_Input'!$AA$60),'01_Input'!$AC$60,0),MAX(MIN(CP$20,'01_Input'!$AA$60)-'01_Input'!$Z$60,0)*'01_Input'!$AC$60)))))))))</f>
        <v>800</v>
      </c>
      <c r="CQ28" s="83">
        <f>IF('01_Input'!$C$60="Non",0,MIN('01_Input'!$I$60,MAX('01_Input'!$H$60,IF('01_Input'!$G$60="Résiduel vs Gestion",0,IF('01_Input'!$G$60="Taux Classe sélectionnée",Distrib_Global_Classe_Selectionnee*CQ$20,IF('01_Input'!$G$60="Frais KYC (paliers de 100M€)",MAX(0,Nb_Investisseurs-Nb_KYC_Gratuites_Par_Tranche*(FLOOR(CQ$20/Taille_Tranche_KYC,1)+1))*Cout_Par_KYC_Supplementaire,(IF('01_Input'!$L$60="Forfait",IF(CQ$20&gt;='01_Input'!$J$60,'01_Input'!$M$60,0),IF('01_Input'!$L$60="Palier",IF(AND(CQ$20&gt;='01_Input'!$J$60,CQ$20&lt;'01_Input'!$K$60),'01_Input'!$M$60,0),MAX(MIN(CQ$20,'01_Input'!$K$60)-'01_Input'!$J$60,0)*'01_Input'!$M$60))+IF('01_Input'!$P$60="Forfait",IF(CQ$20&gt;='01_Input'!$N$60,'01_Input'!$Q$60,0),IF('01_Input'!$P$60="Palier",IF(AND(CQ$20&gt;='01_Input'!$N$60,CQ$20&lt;'01_Input'!$O$60),'01_Input'!$Q$60,0),MAX(MIN(CQ$20,'01_Input'!$O$60)-'01_Input'!$N$60,0)*'01_Input'!$Q$60))+IF('01_Input'!$T$60="Forfait",IF(CQ$20&gt;='01_Input'!$R$60,'01_Input'!$U$60,0),IF('01_Input'!$T$60="Palier",IF(AND(CQ$20&gt;='01_Input'!$R$60,CQ$20&lt;'01_Input'!$S$60),'01_Input'!$U$60,0),MAX(MIN(CQ$20,'01_Input'!$S$60)-'01_Input'!$R$60,0)*'01_Input'!$U$60))+IF('01_Input'!$X$60="Forfait",IF(CQ$20&gt;='01_Input'!$V$60,'01_Input'!$Y$60,0),IF('01_Input'!$X$60="Palier",IF(AND(CQ$20&gt;='01_Input'!$V$60,CQ$20&lt;'01_Input'!$W$60),'01_Input'!$Y$60,0),MAX(MIN(CQ$20,'01_Input'!$W$60)-'01_Input'!$V$60,0)*'01_Input'!$Y$60))+IF('01_Input'!$AB$60="Forfait",IF(CQ$20&gt;='01_Input'!$Z$60,'01_Input'!$AC$60,0),IF('01_Input'!$AB$60="Palier",IF(AND(CQ$20&gt;='01_Input'!$Z$60,CQ$20&lt;'01_Input'!$AA$60),'01_Input'!$AC$60,0),MAX(MIN(CQ$20,'01_Input'!$AA$60)-'01_Input'!$Z$60,0)*'01_Input'!$AC$60)))))))))</f>
        <v>800</v>
      </c>
      <c r="CR28" s="83">
        <f>IF('01_Input'!$C$60="Non",0,MIN('01_Input'!$I$60,MAX('01_Input'!$H$60,IF('01_Input'!$G$60="Résiduel vs Gestion",0,IF('01_Input'!$G$60="Taux Classe sélectionnée",Distrib_Global_Classe_Selectionnee*CR$20,IF('01_Input'!$G$60="Frais KYC (paliers de 100M€)",MAX(0,Nb_Investisseurs-Nb_KYC_Gratuites_Par_Tranche*(FLOOR(CR$20/Taille_Tranche_KYC,1)+1))*Cout_Par_KYC_Supplementaire,(IF('01_Input'!$L$60="Forfait",IF(CR$20&gt;='01_Input'!$J$60,'01_Input'!$M$60,0),IF('01_Input'!$L$60="Palier",IF(AND(CR$20&gt;='01_Input'!$J$60,CR$20&lt;'01_Input'!$K$60),'01_Input'!$M$60,0),MAX(MIN(CR$20,'01_Input'!$K$60)-'01_Input'!$J$60,0)*'01_Input'!$M$60))+IF('01_Input'!$P$60="Forfait",IF(CR$20&gt;='01_Input'!$N$60,'01_Input'!$Q$60,0),IF('01_Input'!$P$60="Palier",IF(AND(CR$20&gt;='01_Input'!$N$60,CR$20&lt;'01_Input'!$O$60),'01_Input'!$Q$60,0),MAX(MIN(CR$20,'01_Input'!$O$60)-'01_Input'!$N$60,0)*'01_Input'!$Q$60))+IF('01_Input'!$T$60="Forfait",IF(CR$20&gt;='01_Input'!$R$60,'01_Input'!$U$60,0),IF('01_Input'!$T$60="Palier",IF(AND(CR$20&gt;='01_Input'!$R$60,CR$20&lt;'01_Input'!$S$60),'01_Input'!$U$60,0),MAX(MIN(CR$20,'01_Input'!$S$60)-'01_Input'!$R$60,0)*'01_Input'!$U$60))+IF('01_Input'!$X$60="Forfait",IF(CR$20&gt;='01_Input'!$V$60,'01_Input'!$Y$60,0),IF('01_Input'!$X$60="Palier",IF(AND(CR$20&gt;='01_Input'!$V$60,CR$20&lt;'01_Input'!$W$60),'01_Input'!$Y$60,0),MAX(MIN(CR$20,'01_Input'!$W$60)-'01_Input'!$V$60,0)*'01_Input'!$Y$60))+IF('01_Input'!$AB$60="Forfait",IF(CR$20&gt;='01_Input'!$Z$60,'01_Input'!$AC$60,0),IF('01_Input'!$AB$60="Palier",IF(AND(CR$20&gt;='01_Input'!$Z$60,CR$20&lt;'01_Input'!$AA$60),'01_Input'!$AC$60,0),MAX(MIN(CR$20,'01_Input'!$AA$60)-'01_Input'!$Z$60,0)*'01_Input'!$AC$60)))))))))</f>
        <v>800</v>
      </c>
      <c r="CS28" s="83">
        <f>IF('01_Input'!$C$60="Non",0,MIN('01_Input'!$I$60,MAX('01_Input'!$H$60,IF('01_Input'!$G$60="Résiduel vs Gestion",0,IF('01_Input'!$G$60="Taux Classe sélectionnée",Distrib_Global_Classe_Selectionnee*CS$20,IF('01_Input'!$G$60="Frais KYC (paliers de 100M€)",MAX(0,Nb_Investisseurs-Nb_KYC_Gratuites_Par_Tranche*(FLOOR(CS$20/Taille_Tranche_KYC,1)+1))*Cout_Par_KYC_Supplementaire,(IF('01_Input'!$L$60="Forfait",IF(CS$20&gt;='01_Input'!$J$60,'01_Input'!$M$60,0),IF('01_Input'!$L$60="Palier",IF(AND(CS$20&gt;='01_Input'!$J$60,CS$20&lt;'01_Input'!$K$60),'01_Input'!$M$60,0),MAX(MIN(CS$20,'01_Input'!$K$60)-'01_Input'!$J$60,0)*'01_Input'!$M$60))+IF('01_Input'!$P$60="Forfait",IF(CS$20&gt;='01_Input'!$N$60,'01_Input'!$Q$60,0),IF('01_Input'!$P$60="Palier",IF(AND(CS$20&gt;='01_Input'!$N$60,CS$20&lt;'01_Input'!$O$60),'01_Input'!$Q$60,0),MAX(MIN(CS$20,'01_Input'!$O$60)-'01_Input'!$N$60,0)*'01_Input'!$Q$60))+IF('01_Input'!$T$60="Forfait",IF(CS$20&gt;='01_Input'!$R$60,'01_Input'!$U$60,0),IF('01_Input'!$T$60="Palier",IF(AND(CS$20&gt;='01_Input'!$R$60,CS$20&lt;'01_Input'!$S$60),'01_Input'!$U$60,0),MAX(MIN(CS$20,'01_Input'!$S$60)-'01_Input'!$R$60,0)*'01_Input'!$U$60))+IF('01_Input'!$X$60="Forfait",IF(CS$20&gt;='01_Input'!$V$60,'01_Input'!$Y$60,0),IF('01_Input'!$X$60="Palier",IF(AND(CS$20&gt;='01_Input'!$V$60,CS$20&lt;'01_Input'!$W$60),'01_Input'!$Y$60,0),MAX(MIN(CS$20,'01_Input'!$W$60)-'01_Input'!$V$60,0)*'01_Input'!$Y$60))+IF('01_Input'!$AB$60="Forfait",IF(CS$20&gt;='01_Input'!$Z$60,'01_Input'!$AC$60,0),IF('01_Input'!$AB$60="Palier",IF(AND(CS$20&gt;='01_Input'!$Z$60,CS$20&lt;'01_Input'!$AA$60),'01_Input'!$AC$60,0),MAX(MIN(CS$20,'01_Input'!$AA$60)-'01_Input'!$Z$60,0)*'01_Input'!$AC$60)))))))))</f>
        <v>800</v>
      </c>
      <c r="CT28" s="83">
        <f>IF('01_Input'!$C$60="Non",0,MIN('01_Input'!$I$60,MAX('01_Input'!$H$60,IF('01_Input'!$G$60="Résiduel vs Gestion",0,IF('01_Input'!$G$60="Taux Classe sélectionnée",Distrib_Global_Classe_Selectionnee*CT$20,IF('01_Input'!$G$60="Frais KYC (paliers de 100M€)",MAX(0,Nb_Investisseurs-Nb_KYC_Gratuites_Par_Tranche*(FLOOR(CT$20/Taille_Tranche_KYC,1)+1))*Cout_Par_KYC_Supplementaire,(IF('01_Input'!$L$60="Forfait",IF(CT$20&gt;='01_Input'!$J$60,'01_Input'!$M$60,0),IF('01_Input'!$L$60="Palier",IF(AND(CT$20&gt;='01_Input'!$J$60,CT$20&lt;'01_Input'!$K$60),'01_Input'!$M$60,0),MAX(MIN(CT$20,'01_Input'!$K$60)-'01_Input'!$J$60,0)*'01_Input'!$M$60))+IF('01_Input'!$P$60="Forfait",IF(CT$20&gt;='01_Input'!$N$60,'01_Input'!$Q$60,0),IF('01_Input'!$P$60="Palier",IF(AND(CT$20&gt;='01_Input'!$N$60,CT$20&lt;'01_Input'!$O$60),'01_Input'!$Q$60,0),MAX(MIN(CT$20,'01_Input'!$O$60)-'01_Input'!$N$60,0)*'01_Input'!$Q$60))+IF('01_Input'!$T$60="Forfait",IF(CT$20&gt;='01_Input'!$R$60,'01_Input'!$U$60,0),IF('01_Input'!$T$60="Palier",IF(AND(CT$20&gt;='01_Input'!$R$60,CT$20&lt;'01_Input'!$S$60),'01_Input'!$U$60,0),MAX(MIN(CT$20,'01_Input'!$S$60)-'01_Input'!$R$60,0)*'01_Input'!$U$60))+IF('01_Input'!$X$60="Forfait",IF(CT$20&gt;='01_Input'!$V$60,'01_Input'!$Y$60,0),IF('01_Input'!$X$60="Palier",IF(AND(CT$20&gt;='01_Input'!$V$60,CT$20&lt;'01_Input'!$W$60),'01_Input'!$Y$60,0),MAX(MIN(CT$20,'01_Input'!$W$60)-'01_Input'!$V$60,0)*'01_Input'!$Y$60))+IF('01_Input'!$AB$60="Forfait",IF(CT$20&gt;='01_Input'!$Z$60,'01_Input'!$AC$60,0),IF('01_Input'!$AB$60="Palier",IF(AND(CT$20&gt;='01_Input'!$Z$60,CT$20&lt;'01_Input'!$AA$60),'01_Input'!$AC$60,0),MAX(MIN(CT$20,'01_Input'!$AA$60)-'01_Input'!$Z$60,0)*'01_Input'!$AC$60)))))))))</f>
        <v>800</v>
      </c>
      <c r="CU28" s="83">
        <f>IF('01_Input'!$C$60="Non",0,MIN('01_Input'!$I$60,MAX('01_Input'!$H$60,IF('01_Input'!$G$60="Résiduel vs Gestion",0,IF('01_Input'!$G$60="Taux Classe sélectionnée",Distrib_Global_Classe_Selectionnee*CU$20,IF('01_Input'!$G$60="Frais KYC (paliers de 100M€)",MAX(0,Nb_Investisseurs-Nb_KYC_Gratuites_Par_Tranche*(FLOOR(CU$20/Taille_Tranche_KYC,1)+1))*Cout_Par_KYC_Supplementaire,(IF('01_Input'!$L$60="Forfait",IF(CU$20&gt;='01_Input'!$J$60,'01_Input'!$M$60,0),IF('01_Input'!$L$60="Palier",IF(AND(CU$20&gt;='01_Input'!$J$60,CU$20&lt;'01_Input'!$K$60),'01_Input'!$M$60,0),MAX(MIN(CU$20,'01_Input'!$K$60)-'01_Input'!$J$60,0)*'01_Input'!$M$60))+IF('01_Input'!$P$60="Forfait",IF(CU$20&gt;='01_Input'!$N$60,'01_Input'!$Q$60,0),IF('01_Input'!$P$60="Palier",IF(AND(CU$20&gt;='01_Input'!$N$60,CU$20&lt;'01_Input'!$O$60),'01_Input'!$Q$60,0),MAX(MIN(CU$20,'01_Input'!$O$60)-'01_Input'!$N$60,0)*'01_Input'!$Q$60))+IF('01_Input'!$T$60="Forfait",IF(CU$20&gt;='01_Input'!$R$60,'01_Input'!$U$60,0),IF('01_Input'!$T$60="Palier",IF(AND(CU$20&gt;='01_Input'!$R$60,CU$20&lt;'01_Input'!$S$60),'01_Input'!$U$60,0),MAX(MIN(CU$20,'01_Input'!$S$60)-'01_Input'!$R$60,0)*'01_Input'!$U$60))+IF('01_Input'!$X$60="Forfait",IF(CU$20&gt;='01_Input'!$V$60,'01_Input'!$Y$60,0),IF('01_Input'!$X$60="Palier",IF(AND(CU$20&gt;='01_Input'!$V$60,CU$20&lt;'01_Input'!$W$60),'01_Input'!$Y$60,0),MAX(MIN(CU$20,'01_Input'!$W$60)-'01_Input'!$V$60,0)*'01_Input'!$Y$60))+IF('01_Input'!$AB$60="Forfait",IF(CU$20&gt;='01_Input'!$Z$60,'01_Input'!$AC$60,0),IF('01_Input'!$AB$60="Palier",IF(AND(CU$20&gt;='01_Input'!$Z$60,CU$20&lt;'01_Input'!$AA$60),'01_Input'!$AC$60,0),MAX(MIN(CU$20,'01_Input'!$AA$60)-'01_Input'!$Z$60,0)*'01_Input'!$AC$60)))))))))</f>
        <v>800</v>
      </c>
      <c r="CV28" s="83">
        <f>IF('01_Input'!$C$60="Non",0,MIN('01_Input'!$I$60,MAX('01_Input'!$H$60,IF('01_Input'!$G$60="Résiduel vs Gestion",0,IF('01_Input'!$G$60="Taux Classe sélectionnée",Distrib_Global_Classe_Selectionnee*CV$20,IF('01_Input'!$G$60="Frais KYC (paliers de 100M€)",MAX(0,Nb_Investisseurs-Nb_KYC_Gratuites_Par_Tranche*(FLOOR(CV$20/Taille_Tranche_KYC,1)+1))*Cout_Par_KYC_Supplementaire,(IF('01_Input'!$L$60="Forfait",IF(CV$20&gt;='01_Input'!$J$60,'01_Input'!$M$60,0),IF('01_Input'!$L$60="Palier",IF(AND(CV$20&gt;='01_Input'!$J$60,CV$20&lt;'01_Input'!$K$60),'01_Input'!$M$60,0),MAX(MIN(CV$20,'01_Input'!$K$60)-'01_Input'!$J$60,0)*'01_Input'!$M$60))+IF('01_Input'!$P$60="Forfait",IF(CV$20&gt;='01_Input'!$N$60,'01_Input'!$Q$60,0),IF('01_Input'!$P$60="Palier",IF(AND(CV$20&gt;='01_Input'!$N$60,CV$20&lt;'01_Input'!$O$60),'01_Input'!$Q$60,0),MAX(MIN(CV$20,'01_Input'!$O$60)-'01_Input'!$N$60,0)*'01_Input'!$Q$60))+IF('01_Input'!$T$60="Forfait",IF(CV$20&gt;='01_Input'!$R$60,'01_Input'!$U$60,0),IF('01_Input'!$T$60="Palier",IF(AND(CV$20&gt;='01_Input'!$R$60,CV$20&lt;'01_Input'!$S$60),'01_Input'!$U$60,0),MAX(MIN(CV$20,'01_Input'!$S$60)-'01_Input'!$R$60,0)*'01_Input'!$U$60))+IF('01_Input'!$X$60="Forfait",IF(CV$20&gt;='01_Input'!$V$60,'01_Input'!$Y$60,0),IF('01_Input'!$X$60="Palier",IF(AND(CV$20&gt;='01_Input'!$V$60,CV$20&lt;'01_Input'!$W$60),'01_Input'!$Y$60,0),MAX(MIN(CV$20,'01_Input'!$W$60)-'01_Input'!$V$60,0)*'01_Input'!$Y$60))+IF('01_Input'!$AB$60="Forfait",IF(CV$20&gt;='01_Input'!$Z$60,'01_Input'!$AC$60,0),IF('01_Input'!$AB$60="Palier",IF(AND(CV$20&gt;='01_Input'!$Z$60,CV$20&lt;'01_Input'!$AA$60),'01_Input'!$AC$60,0),MAX(MIN(CV$20,'01_Input'!$AA$60)-'01_Input'!$Z$60,0)*'01_Input'!$AC$60)))))))))</f>
        <v>800</v>
      </c>
      <c r="CW28" s="83">
        <f>IF('01_Input'!$C$60="Non",0,MIN('01_Input'!$I$60,MAX('01_Input'!$H$60,IF('01_Input'!$G$60="Résiduel vs Gestion",0,IF('01_Input'!$G$60="Taux Classe sélectionnée",Distrib_Global_Classe_Selectionnee*CW$20,IF('01_Input'!$G$60="Frais KYC (paliers de 100M€)",MAX(0,Nb_Investisseurs-Nb_KYC_Gratuites_Par_Tranche*(FLOOR(CW$20/Taille_Tranche_KYC,1)+1))*Cout_Par_KYC_Supplementaire,(IF('01_Input'!$L$60="Forfait",IF(CW$20&gt;='01_Input'!$J$60,'01_Input'!$M$60,0),IF('01_Input'!$L$60="Palier",IF(AND(CW$20&gt;='01_Input'!$J$60,CW$20&lt;'01_Input'!$K$60),'01_Input'!$M$60,0),MAX(MIN(CW$20,'01_Input'!$K$60)-'01_Input'!$J$60,0)*'01_Input'!$M$60))+IF('01_Input'!$P$60="Forfait",IF(CW$20&gt;='01_Input'!$N$60,'01_Input'!$Q$60,0),IF('01_Input'!$P$60="Palier",IF(AND(CW$20&gt;='01_Input'!$N$60,CW$20&lt;'01_Input'!$O$60),'01_Input'!$Q$60,0),MAX(MIN(CW$20,'01_Input'!$O$60)-'01_Input'!$N$60,0)*'01_Input'!$Q$60))+IF('01_Input'!$T$60="Forfait",IF(CW$20&gt;='01_Input'!$R$60,'01_Input'!$U$60,0),IF('01_Input'!$T$60="Palier",IF(AND(CW$20&gt;='01_Input'!$R$60,CW$20&lt;'01_Input'!$S$60),'01_Input'!$U$60,0),MAX(MIN(CW$20,'01_Input'!$S$60)-'01_Input'!$R$60,0)*'01_Input'!$U$60))+IF('01_Input'!$X$60="Forfait",IF(CW$20&gt;='01_Input'!$V$60,'01_Input'!$Y$60,0),IF('01_Input'!$X$60="Palier",IF(AND(CW$20&gt;='01_Input'!$V$60,CW$20&lt;'01_Input'!$W$60),'01_Input'!$Y$60,0),MAX(MIN(CW$20,'01_Input'!$W$60)-'01_Input'!$V$60,0)*'01_Input'!$Y$60))+IF('01_Input'!$AB$60="Forfait",IF(CW$20&gt;='01_Input'!$Z$60,'01_Input'!$AC$60,0),IF('01_Input'!$AB$60="Palier",IF(AND(CW$20&gt;='01_Input'!$Z$60,CW$20&lt;'01_Input'!$AA$60),'01_Input'!$AC$60,0),MAX(MIN(CW$20,'01_Input'!$AA$60)-'01_Input'!$Z$60,0)*'01_Input'!$AC$60)))))))))</f>
        <v>800</v>
      </c>
      <c r="CX28" s="83">
        <f>IF('01_Input'!$C$60="Non",0,MIN('01_Input'!$I$60,MAX('01_Input'!$H$60,IF('01_Input'!$G$60="Résiduel vs Gestion",0,IF('01_Input'!$G$60="Taux Classe sélectionnée",Distrib_Global_Classe_Selectionnee*CX$20,IF('01_Input'!$G$60="Frais KYC (paliers de 100M€)",MAX(0,Nb_Investisseurs-Nb_KYC_Gratuites_Par_Tranche*(FLOOR(CX$20/Taille_Tranche_KYC,1)+1))*Cout_Par_KYC_Supplementaire,(IF('01_Input'!$L$60="Forfait",IF(CX$20&gt;='01_Input'!$J$60,'01_Input'!$M$60,0),IF('01_Input'!$L$60="Palier",IF(AND(CX$20&gt;='01_Input'!$J$60,CX$20&lt;'01_Input'!$K$60),'01_Input'!$M$60,0),MAX(MIN(CX$20,'01_Input'!$K$60)-'01_Input'!$J$60,0)*'01_Input'!$M$60))+IF('01_Input'!$P$60="Forfait",IF(CX$20&gt;='01_Input'!$N$60,'01_Input'!$Q$60,0),IF('01_Input'!$P$60="Palier",IF(AND(CX$20&gt;='01_Input'!$N$60,CX$20&lt;'01_Input'!$O$60),'01_Input'!$Q$60,0),MAX(MIN(CX$20,'01_Input'!$O$60)-'01_Input'!$N$60,0)*'01_Input'!$Q$60))+IF('01_Input'!$T$60="Forfait",IF(CX$20&gt;='01_Input'!$R$60,'01_Input'!$U$60,0),IF('01_Input'!$T$60="Palier",IF(AND(CX$20&gt;='01_Input'!$R$60,CX$20&lt;'01_Input'!$S$60),'01_Input'!$U$60,0),MAX(MIN(CX$20,'01_Input'!$S$60)-'01_Input'!$R$60,0)*'01_Input'!$U$60))+IF('01_Input'!$X$60="Forfait",IF(CX$20&gt;='01_Input'!$V$60,'01_Input'!$Y$60,0),IF('01_Input'!$X$60="Palier",IF(AND(CX$20&gt;='01_Input'!$V$60,CX$20&lt;'01_Input'!$W$60),'01_Input'!$Y$60,0),MAX(MIN(CX$20,'01_Input'!$W$60)-'01_Input'!$V$60,0)*'01_Input'!$Y$60))+IF('01_Input'!$AB$60="Forfait",IF(CX$20&gt;='01_Input'!$Z$60,'01_Input'!$AC$60,0),IF('01_Input'!$AB$60="Palier",IF(AND(CX$20&gt;='01_Input'!$Z$60,CX$20&lt;'01_Input'!$AA$60),'01_Input'!$AC$60,0),MAX(MIN(CX$20,'01_Input'!$AA$60)-'01_Input'!$Z$60,0)*'01_Input'!$AC$60)))))))))</f>
        <v>800</v>
      </c>
      <c r="CY28" s="83">
        <f>IF('01_Input'!$C$60="Non",0,MIN('01_Input'!$I$60,MAX('01_Input'!$H$60,IF('01_Input'!$G$60="Résiduel vs Gestion",0,IF('01_Input'!$G$60="Taux Classe sélectionnée",Distrib_Global_Classe_Selectionnee*CY$20,IF('01_Input'!$G$60="Frais KYC (paliers de 100M€)",MAX(0,Nb_Investisseurs-Nb_KYC_Gratuites_Par_Tranche*(FLOOR(CY$20/Taille_Tranche_KYC,1)+1))*Cout_Par_KYC_Supplementaire,(IF('01_Input'!$L$60="Forfait",IF(CY$20&gt;='01_Input'!$J$60,'01_Input'!$M$60,0),IF('01_Input'!$L$60="Palier",IF(AND(CY$20&gt;='01_Input'!$J$60,CY$20&lt;'01_Input'!$K$60),'01_Input'!$M$60,0),MAX(MIN(CY$20,'01_Input'!$K$60)-'01_Input'!$J$60,0)*'01_Input'!$M$60))+IF('01_Input'!$P$60="Forfait",IF(CY$20&gt;='01_Input'!$N$60,'01_Input'!$Q$60,0),IF('01_Input'!$P$60="Palier",IF(AND(CY$20&gt;='01_Input'!$N$60,CY$20&lt;'01_Input'!$O$60),'01_Input'!$Q$60,0),MAX(MIN(CY$20,'01_Input'!$O$60)-'01_Input'!$N$60,0)*'01_Input'!$Q$60))+IF('01_Input'!$T$60="Forfait",IF(CY$20&gt;='01_Input'!$R$60,'01_Input'!$U$60,0),IF('01_Input'!$T$60="Palier",IF(AND(CY$20&gt;='01_Input'!$R$60,CY$20&lt;'01_Input'!$S$60),'01_Input'!$U$60,0),MAX(MIN(CY$20,'01_Input'!$S$60)-'01_Input'!$R$60,0)*'01_Input'!$U$60))+IF('01_Input'!$X$60="Forfait",IF(CY$20&gt;='01_Input'!$V$60,'01_Input'!$Y$60,0),IF('01_Input'!$X$60="Palier",IF(AND(CY$20&gt;='01_Input'!$V$60,CY$20&lt;'01_Input'!$W$60),'01_Input'!$Y$60,0),MAX(MIN(CY$20,'01_Input'!$W$60)-'01_Input'!$V$60,0)*'01_Input'!$Y$60))+IF('01_Input'!$AB$60="Forfait",IF(CY$20&gt;='01_Input'!$Z$60,'01_Input'!$AC$60,0),IF('01_Input'!$AB$60="Palier",IF(AND(CY$20&gt;='01_Input'!$Z$60,CY$20&lt;'01_Input'!$AA$60),'01_Input'!$AC$60,0),MAX(MIN(CY$20,'01_Input'!$AA$60)-'01_Input'!$Z$60,0)*'01_Input'!$AC$60)))))))))</f>
        <v>800</v>
      </c>
      <c r="CZ28" s="83">
        <f>IF('01_Input'!$C$60="Non",0,MIN('01_Input'!$I$60,MAX('01_Input'!$H$60,IF('01_Input'!$G$60="Résiduel vs Gestion",0,IF('01_Input'!$G$60="Taux Classe sélectionnée",Distrib_Global_Classe_Selectionnee*CZ$20,IF('01_Input'!$G$60="Frais KYC (paliers de 100M€)",MAX(0,Nb_Investisseurs-Nb_KYC_Gratuites_Par_Tranche*(FLOOR(CZ$20/Taille_Tranche_KYC,1)+1))*Cout_Par_KYC_Supplementaire,(IF('01_Input'!$L$60="Forfait",IF(CZ$20&gt;='01_Input'!$J$60,'01_Input'!$M$60,0),IF('01_Input'!$L$60="Palier",IF(AND(CZ$20&gt;='01_Input'!$J$60,CZ$20&lt;'01_Input'!$K$60),'01_Input'!$M$60,0),MAX(MIN(CZ$20,'01_Input'!$K$60)-'01_Input'!$J$60,0)*'01_Input'!$M$60))+IF('01_Input'!$P$60="Forfait",IF(CZ$20&gt;='01_Input'!$N$60,'01_Input'!$Q$60,0),IF('01_Input'!$P$60="Palier",IF(AND(CZ$20&gt;='01_Input'!$N$60,CZ$20&lt;'01_Input'!$O$60),'01_Input'!$Q$60,0),MAX(MIN(CZ$20,'01_Input'!$O$60)-'01_Input'!$N$60,0)*'01_Input'!$Q$60))+IF('01_Input'!$T$60="Forfait",IF(CZ$20&gt;='01_Input'!$R$60,'01_Input'!$U$60,0),IF('01_Input'!$T$60="Palier",IF(AND(CZ$20&gt;='01_Input'!$R$60,CZ$20&lt;'01_Input'!$S$60),'01_Input'!$U$60,0),MAX(MIN(CZ$20,'01_Input'!$S$60)-'01_Input'!$R$60,0)*'01_Input'!$U$60))+IF('01_Input'!$X$60="Forfait",IF(CZ$20&gt;='01_Input'!$V$60,'01_Input'!$Y$60,0),IF('01_Input'!$X$60="Palier",IF(AND(CZ$20&gt;='01_Input'!$V$60,CZ$20&lt;'01_Input'!$W$60),'01_Input'!$Y$60,0),MAX(MIN(CZ$20,'01_Input'!$W$60)-'01_Input'!$V$60,0)*'01_Input'!$Y$60))+IF('01_Input'!$AB$60="Forfait",IF(CZ$20&gt;='01_Input'!$Z$60,'01_Input'!$AC$60,0),IF('01_Input'!$AB$60="Palier",IF(AND(CZ$20&gt;='01_Input'!$Z$60,CZ$20&lt;'01_Input'!$AA$60),'01_Input'!$AC$60,0),MAX(MIN(CZ$20,'01_Input'!$AA$60)-'01_Input'!$Z$60,0)*'01_Input'!$AC$60)))))))))</f>
        <v>800</v>
      </c>
      <c r="DA28" s="83">
        <f>IF('01_Input'!$C$60="Non",0,MIN('01_Input'!$I$60,MAX('01_Input'!$H$60,IF('01_Input'!$G$60="Résiduel vs Gestion",0,IF('01_Input'!$G$60="Taux Classe sélectionnée",Distrib_Global_Classe_Selectionnee*DA$20,IF('01_Input'!$G$60="Frais KYC (paliers de 100M€)",MAX(0,Nb_Investisseurs-Nb_KYC_Gratuites_Par_Tranche*(FLOOR(DA$20/Taille_Tranche_KYC,1)+1))*Cout_Par_KYC_Supplementaire,(IF('01_Input'!$L$60="Forfait",IF(DA$20&gt;='01_Input'!$J$60,'01_Input'!$M$60,0),IF('01_Input'!$L$60="Palier",IF(AND(DA$20&gt;='01_Input'!$J$60,DA$20&lt;'01_Input'!$K$60),'01_Input'!$M$60,0),MAX(MIN(DA$20,'01_Input'!$K$60)-'01_Input'!$J$60,0)*'01_Input'!$M$60))+IF('01_Input'!$P$60="Forfait",IF(DA$20&gt;='01_Input'!$N$60,'01_Input'!$Q$60,0),IF('01_Input'!$P$60="Palier",IF(AND(DA$20&gt;='01_Input'!$N$60,DA$20&lt;'01_Input'!$O$60),'01_Input'!$Q$60,0),MAX(MIN(DA$20,'01_Input'!$O$60)-'01_Input'!$N$60,0)*'01_Input'!$Q$60))+IF('01_Input'!$T$60="Forfait",IF(DA$20&gt;='01_Input'!$R$60,'01_Input'!$U$60,0),IF('01_Input'!$T$60="Palier",IF(AND(DA$20&gt;='01_Input'!$R$60,DA$20&lt;'01_Input'!$S$60),'01_Input'!$U$60,0),MAX(MIN(DA$20,'01_Input'!$S$60)-'01_Input'!$R$60,0)*'01_Input'!$U$60))+IF('01_Input'!$X$60="Forfait",IF(DA$20&gt;='01_Input'!$V$60,'01_Input'!$Y$60,0),IF('01_Input'!$X$60="Palier",IF(AND(DA$20&gt;='01_Input'!$V$60,DA$20&lt;'01_Input'!$W$60),'01_Input'!$Y$60,0),MAX(MIN(DA$20,'01_Input'!$W$60)-'01_Input'!$V$60,0)*'01_Input'!$Y$60))+IF('01_Input'!$AB$60="Forfait",IF(DA$20&gt;='01_Input'!$Z$60,'01_Input'!$AC$60,0),IF('01_Input'!$AB$60="Palier",IF(AND(DA$20&gt;='01_Input'!$Z$60,DA$20&lt;'01_Input'!$AA$60),'01_Input'!$AC$60,0),MAX(MIN(DA$20,'01_Input'!$AA$60)-'01_Input'!$Z$60,0)*'01_Input'!$AC$60)))))))))</f>
        <v>800</v>
      </c>
      <c r="DB28" s="83">
        <f>IF('01_Input'!$C$60="Non",0,MIN('01_Input'!$I$60,MAX('01_Input'!$H$60,IF('01_Input'!$G$60="Résiduel vs Gestion",0,IF('01_Input'!$G$60="Taux Classe sélectionnée",Distrib_Global_Classe_Selectionnee*DB$20,IF('01_Input'!$G$60="Frais KYC (paliers de 100M€)",MAX(0,Nb_Investisseurs-Nb_KYC_Gratuites_Par_Tranche*(FLOOR(DB$20/Taille_Tranche_KYC,1)+1))*Cout_Par_KYC_Supplementaire,(IF('01_Input'!$L$60="Forfait",IF(DB$20&gt;='01_Input'!$J$60,'01_Input'!$M$60,0),IF('01_Input'!$L$60="Palier",IF(AND(DB$20&gt;='01_Input'!$J$60,DB$20&lt;'01_Input'!$K$60),'01_Input'!$M$60,0),MAX(MIN(DB$20,'01_Input'!$K$60)-'01_Input'!$J$60,0)*'01_Input'!$M$60))+IF('01_Input'!$P$60="Forfait",IF(DB$20&gt;='01_Input'!$N$60,'01_Input'!$Q$60,0),IF('01_Input'!$P$60="Palier",IF(AND(DB$20&gt;='01_Input'!$N$60,DB$20&lt;'01_Input'!$O$60),'01_Input'!$Q$60,0),MAX(MIN(DB$20,'01_Input'!$O$60)-'01_Input'!$N$60,0)*'01_Input'!$Q$60))+IF('01_Input'!$T$60="Forfait",IF(DB$20&gt;='01_Input'!$R$60,'01_Input'!$U$60,0),IF('01_Input'!$T$60="Palier",IF(AND(DB$20&gt;='01_Input'!$R$60,DB$20&lt;'01_Input'!$S$60),'01_Input'!$U$60,0),MAX(MIN(DB$20,'01_Input'!$S$60)-'01_Input'!$R$60,0)*'01_Input'!$U$60))+IF('01_Input'!$X$60="Forfait",IF(DB$20&gt;='01_Input'!$V$60,'01_Input'!$Y$60,0),IF('01_Input'!$X$60="Palier",IF(AND(DB$20&gt;='01_Input'!$V$60,DB$20&lt;'01_Input'!$W$60),'01_Input'!$Y$60,0),MAX(MIN(DB$20,'01_Input'!$W$60)-'01_Input'!$V$60,0)*'01_Input'!$Y$60))+IF('01_Input'!$AB$60="Forfait",IF(DB$20&gt;='01_Input'!$Z$60,'01_Input'!$AC$60,0),IF('01_Input'!$AB$60="Palier",IF(AND(DB$20&gt;='01_Input'!$Z$60,DB$20&lt;'01_Input'!$AA$60),'01_Input'!$AC$60,0),MAX(MIN(DB$20,'01_Input'!$AA$60)-'01_Input'!$Z$60,0)*'01_Input'!$AC$60)))))))))</f>
        <v>800</v>
      </c>
      <c r="DC28" s="83">
        <f>IF('01_Input'!$C$60="Non",0,MIN('01_Input'!$I$60,MAX('01_Input'!$H$60,IF('01_Input'!$G$60="Résiduel vs Gestion",0,IF('01_Input'!$G$60="Taux Classe sélectionnée",Distrib_Global_Classe_Selectionnee*DC$20,IF('01_Input'!$G$60="Frais KYC (paliers de 100M€)",MAX(0,Nb_Investisseurs-Nb_KYC_Gratuites_Par_Tranche*(FLOOR(DC$20/Taille_Tranche_KYC,1)+1))*Cout_Par_KYC_Supplementaire,(IF('01_Input'!$L$60="Forfait",IF(DC$20&gt;='01_Input'!$J$60,'01_Input'!$M$60,0),IF('01_Input'!$L$60="Palier",IF(AND(DC$20&gt;='01_Input'!$J$60,DC$20&lt;'01_Input'!$K$60),'01_Input'!$M$60,0),MAX(MIN(DC$20,'01_Input'!$K$60)-'01_Input'!$J$60,0)*'01_Input'!$M$60))+IF('01_Input'!$P$60="Forfait",IF(DC$20&gt;='01_Input'!$N$60,'01_Input'!$Q$60,0),IF('01_Input'!$P$60="Palier",IF(AND(DC$20&gt;='01_Input'!$N$60,DC$20&lt;'01_Input'!$O$60),'01_Input'!$Q$60,0),MAX(MIN(DC$20,'01_Input'!$O$60)-'01_Input'!$N$60,0)*'01_Input'!$Q$60))+IF('01_Input'!$T$60="Forfait",IF(DC$20&gt;='01_Input'!$R$60,'01_Input'!$U$60,0),IF('01_Input'!$T$60="Palier",IF(AND(DC$20&gt;='01_Input'!$R$60,DC$20&lt;'01_Input'!$S$60),'01_Input'!$U$60,0),MAX(MIN(DC$20,'01_Input'!$S$60)-'01_Input'!$R$60,0)*'01_Input'!$U$60))+IF('01_Input'!$X$60="Forfait",IF(DC$20&gt;='01_Input'!$V$60,'01_Input'!$Y$60,0),IF('01_Input'!$X$60="Palier",IF(AND(DC$20&gt;='01_Input'!$V$60,DC$20&lt;'01_Input'!$W$60),'01_Input'!$Y$60,0),MAX(MIN(DC$20,'01_Input'!$W$60)-'01_Input'!$V$60,0)*'01_Input'!$Y$60))+IF('01_Input'!$AB$60="Forfait",IF(DC$20&gt;='01_Input'!$Z$60,'01_Input'!$AC$60,0),IF('01_Input'!$AB$60="Palier",IF(AND(DC$20&gt;='01_Input'!$Z$60,DC$20&lt;'01_Input'!$AA$60),'01_Input'!$AC$60,0),MAX(MIN(DC$20,'01_Input'!$AA$60)-'01_Input'!$Z$60,0)*'01_Input'!$AC$60)))))))))</f>
        <v>800</v>
      </c>
      <c r="DD28" s="83">
        <f>IF('01_Input'!$C$60="Non",0,MIN('01_Input'!$I$60,MAX('01_Input'!$H$60,IF('01_Input'!$G$60="Résiduel vs Gestion",0,IF('01_Input'!$G$60="Taux Classe sélectionnée",Distrib_Global_Classe_Selectionnee*DD$20,IF('01_Input'!$G$60="Frais KYC (paliers de 100M€)",MAX(0,Nb_Investisseurs-Nb_KYC_Gratuites_Par_Tranche*(FLOOR(DD$20/Taille_Tranche_KYC,1)+1))*Cout_Par_KYC_Supplementaire,(IF('01_Input'!$L$60="Forfait",IF(DD$20&gt;='01_Input'!$J$60,'01_Input'!$M$60,0),IF('01_Input'!$L$60="Palier",IF(AND(DD$20&gt;='01_Input'!$J$60,DD$20&lt;'01_Input'!$K$60),'01_Input'!$M$60,0),MAX(MIN(DD$20,'01_Input'!$K$60)-'01_Input'!$J$60,0)*'01_Input'!$M$60))+IF('01_Input'!$P$60="Forfait",IF(DD$20&gt;='01_Input'!$N$60,'01_Input'!$Q$60,0),IF('01_Input'!$P$60="Palier",IF(AND(DD$20&gt;='01_Input'!$N$60,DD$20&lt;'01_Input'!$O$60),'01_Input'!$Q$60,0),MAX(MIN(DD$20,'01_Input'!$O$60)-'01_Input'!$N$60,0)*'01_Input'!$Q$60))+IF('01_Input'!$T$60="Forfait",IF(DD$20&gt;='01_Input'!$R$60,'01_Input'!$U$60,0),IF('01_Input'!$T$60="Palier",IF(AND(DD$20&gt;='01_Input'!$R$60,DD$20&lt;'01_Input'!$S$60),'01_Input'!$U$60,0),MAX(MIN(DD$20,'01_Input'!$S$60)-'01_Input'!$R$60,0)*'01_Input'!$U$60))+IF('01_Input'!$X$60="Forfait",IF(DD$20&gt;='01_Input'!$V$60,'01_Input'!$Y$60,0),IF('01_Input'!$X$60="Palier",IF(AND(DD$20&gt;='01_Input'!$V$60,DD$20&lt;'01_Input'!$W$60),'01_Input'!$Y$60,0),MAX(MIN(DD$20,'01_Input'!$W$60)-'01_Input'!$V$60,0)*'01_Input'!$Y$60))+IF('01_Input'!$AB$60="Forfait",IF(DD$20&gt;='01_Input'!$Z$60,'01_Input'!$AC$60,0),IF('01_Input'!$AB$60="Palier",IF(AND(DD$20&gt;='01_Input'!$Z$60,DD$20&lt;'01_Input'!$AA$60),'01_Input'!$AC$60,0),MAX(MIN(DD$20,'01_Input'!$AA$60)-'01_Input'!$Z$60,0)*'01_Input'!$AC$60)))))))))</f>
        <v>800</v>
      </c>
      <c r="DE28" s="83">
        <f>IF('01_Input'!$C$60="Non",0,MIN('01_Input'!$I$60,MAX('01_Input'!$H$60,IF('01_Input'!$G$60="Résiduel vs Gestion",0,IF('01_Input'!$G$60="Taux Classe sélectionnée",Distrib_Global_Classe_Selectionnee*DE$20,IF('01_Input'!$G$60="Frais KYC (paliers de 100M€)",MAX(0,Nb_Investisseurs-Nb_KYC_Gratuites_Par_Tranche*(FLOOR(DE$20/Taille_Tranche_KYC,1)+1))*Cout_Par_KYC_Supplementaire,(IF('01_Input'!$L$60="Forfait",IF(DE$20&gt;='01_Input'!$J$60,'01_Input'!$M$60,0),IF('01_Input'!$L$60="Palier",IF(AND(DE$20&gt;='01_Input'!$J$60,DE$20&lt;'01_Input'!$K$60),'01_Input'!$M$60,0),MAX(MIN(DE$20,'01_Input'!$K$60)-'01_Input'!$J$60,0)*'01_Input'!$M$60))+IF('01_Input'!$P$60="Forfait",IF(DE$20&gt;='01_Input'!$N$60,'01_Input'!$Q$60,0),IF('01_Input'!$P$60="Palier",IF(AND(DE$20&gt;='01_Input'!$N$60,DE$20&lt;'01_Input'!$O$60),'01_Input'!$Q$60,0),MAX(MIN(DE$20,'01_Input'!$O$60)-'01_Input'!$N$60,0)*'01_Input'!$Q$60))+IF('01_Input'!$T$60="Forfait",IF(DE$20&gt;='01_Input'!$R$60,'01_Input'!$U$60,0),IF('01_Input'!$T$60="Palier",IF(AND(DE$20&gt;='01_Input'!$R$60,DE$20&lt;'01_Input'!$S$60),'01_Input'!$U$60,0),MAX(MIN(DE$20,'01_Input'!$S$60)-'01_Input'!$R$60,0)*'01_Input'!$U$60))+IF('01_Input'!$X$60="Forfait",IF(DE$20&gt;='01_Input'!$V$60,'01_Input'!$Y$60,0),IF('01_Input'!$X$60="Palier",IF(AND(DE$20&gt;='01_Input'!$V$60,DE$20&lt;'01_Input'!$W$60),'01_Input'!$Y$60,0),MAX(MIN(DE$20,'01_Input'!$W$60)-'01_Input'!$V$60,0)*'01_Input'!$Y$60))+IF('01_Input'!$AB$60="Forfait",IF(DE$20&gt;='01_Input'!$Z$60,'01_Input'!$AC$60,0),IF('01_Input'!$AB$60="Palier",IF(AND(DE$20&gt;='01_Input'!$Z$60,DE$20&lt;'01_Input'!$AA$60),'01_Input'!$AC$60,0),MAX(MIN(DE$20,'01_Input'!$AA$60)-'01_Input'!$Z$60,0)*'01_Input'!$AC$60)))))))))</f>
        <v>800</v>
      </c>
      <c r="DF28" s="83">
        <f>IF('01_Input'!$C$60="Non",0,MIN('01_Input'!$I$60,MAX('01_Input'!$H$60,IF('01_Input'!$G$60="Résiduel vs Gestion",0,IF('01_Input'!$G$60="Taux Classe sélectionnée",Distrib_Global_Classe_Selectionnee*DF$20,IF('01_Input'!$G$60="Frais KYC (paliers de 100M€)",MAX(0,Nb_Investisseurs-Nb_KYC_Gratuites_Par_Tranche*(FLOOR(DF$20/Taille_Tranche_KYC,1)+1))*Cout_Par_KYC_Supplementaire,(IF('01_Input'!$L$60="Forfait",IF(DF$20&gt;='01_Input'!$J$60,'01_Input'!$M$60,0),IF('01_Input'!$L$60="Palier",IF(AND(DF$20&gt;='01_Input'!$J$60,DF$20&lt;'01_Input'!$K$60),'01_Input'!$M$60,0),MAX(MIN(DF$20,'01_Input'!$K$60)-'01_Input'!$J$60,0)*'01_Input'!$M$60))+IF('01_Input'!$P$60="Forfait",IF(DF$20&gt;='01_Input'!$N$60,'01_Input'!$Q$60,0),IF('01_Input'!$P$60="Palier",IF(AND(DF$20&gt;='01_Input'!$N$60,DF$20&lt;'01_Input'!$O$60),'01_Input'!$Q$60,0),MAX(MIN(DF$20,'01_Input'!$O$60)-'01_Input'!$N$60,0)*'01_Input'!$Q$60))+IF('01_Input'!$T$60="Forfait",IF(DF$20&gt;='01_Input'!$R$60,'01_Input'!$U$60,0),IF('01_Input'!$T$60="Palier",IF(AND(DF$20&gt;='01_Input'!$R$60,DF$20&lt;'01_Input'!$S$60),'01_Input'!$U$60,0),MAX(MIN(DF$20,'01_Input'!$S$60)-'01_Input'!$R$60,0)*'01_Input'!$U$60))+IF('01_Input'!$X$60="Forfait",IF(DF$20&gt;='01_Input'!$V$60,'01_Input'!$Y$60,0),IF('01_Input'!$X$60="Palier",IF(AND(DF$20&gt;='01_Input'!$V$60,DF$20&lt;'01_Input'!$W$60),'01_Input'!$Y$60,0),MAX(MIN(DF$20,'01_Input'!$W$60)-'01_Input'!$V$60,0)*'01_Input'!$Y$60))+IF('01_Input'!$AB$60="Forfait",IF(DF$20&gt;='01_Input'!$Z$60,'01_Input'!$AC$60,0),IF('01_Input'!$AB$60="Palier",IF(AND(DF$20&gt;='01_Input'!$Z$60,DF$20&lt;'01_Input'!$AA$60),'01_Input'!$AC$60,0),MAX(MIN(DF$20,'01_Input'!$AA$60)-'01_Input'!$Z$60,0)*'01_Input'!$AC$60)))))))))</f>
        <v>800</v>
      </c>
      <c r="DG28" s="83">
        <f>IF('01_Input'!$C$60="Non",0,MIN('01_Input'!$I$60,MAX('01_Input'!$H$60,IF('01_Input'!$G$60="Résiduel vs Gestion",0,IF('01_Input'!$G$60="Taux Classe sélectionnée",Distrib_Global_Classe_Selectionnee*DG$20,IF('01_Input'!$G$60="Frais KYC (paliers de 100M€)",MAX(0,Nb_Investisseurs-Nb_KYC_Gratuites_Par_Tranche*(FLOOR(DG$20/Taille_Tranche_KYC,1)+1))*Cout_Par_KYC_Supplementaire,(IF('01_Input'!$L$60="Forfait",IF(DG$20&gt;='01_Input'!$J$60,'01_Input'!$M$60,0),IF('01_Input'!$L$60="Palier",IF(AND(DG$20&gt;='01_Input'!$J$60,DG$20&lt;'01_Input'!$K$60),'01_Input'!$M$60,0),MAX(MIN(DG$20,'01_Input'!$K$60)-'01_Input'!$J$60,0)*'01_Input'!$M$60))+IF('01_Input'!$P$60="Forfait",IF(DG$20&gt;='01_Input'!$N$60,'01_Input'!$Q$60,0),IF('01_Input'!$P$60="Palier",IF(AND(DG$20&gt;='01_Input'!$N$60,DG$20&lt;'01_Input'!$O$60),'01_Input'!$Q$60,0),MAX(MIN(DG$20,'01_Input'!$O$60)-'01_Input'!$N$60,0)*'01_Input'!$Q$60))+IF('01_Input'!$T$60="Forfait",IF(DG$20&gt;='01_Input'!$R$60,'01_Input'!$U$60,0),IF('01_Input'!$T$60="Palier",IF(AND(DG$20&gt;='01_Input'!$R$60,DG$20&lt;'01_Input'!$S$60),'01_Input'!$U$60,0),MAX(MIN(DG$20,'01_Input'!$S$60)-'01_Input'!$R$60,0)*'01_Input'!$U$60))+IF('01_Input'!$X$60="Forfait",IF(DG$20&gt;='01_Input'!$V$60,'01_Input'!$Y$60,0),IF('01_Input'!$X$60="Palier",IF(AND(DG$20&gt;='01_Input'!$V$60,DG$20&lt;'01_Input'!$W$60),'01_Input'!$Y$60,0),MAX(MIN(DG$20,'01_Input'!$W$60)-'01_Input'!$V$60,0)*'01_Input'!$Y$60))+IF('01_Input'!$AB$60="Forfait",IF(DG$20&gt;='01_Input'!$Z$60,'01_Input'!$AC$60,0),IF('01_Input'!$AB$60="Palier",IF(AND(DG$20&gt;='01_Input'!$Z$60,DG$20&lt;'01_Input'!$AA$60),'01_Input'!$AC$60,0),MAX(MIN(DG$20,'01_Input'!$AA$60)-'01_Input'!$Z$60,0)*'01_Input'!$AC$60)))))))))</f>
        <v>800</v>
      </c>
      <c r="DH28" s="83">
        <f>IF('01_Input'!$C$60="Non",0,MIN('01_Input'!$I$60,MAX('01_Input'!$H$60,IF('01_Input'!$G$60="Résiduel vs Gestion",0,IF('01_Input'!$G$60="Taux Classe sélectionnée",Distrib_Global_Classe_Selectionnee*DH$20,IF('01_Input'!$G$60="Frais KYC (paliers de 100M€)",MAX(0,Nb_Investisseurs-Nb_KYC_Gratuites_Par_Tranche*(FLOOR(DH$20/Taille_Tranche_KYC,1)+1))*Cout_Par_KYC_Supplementaire,(IF('01_Input'!$L$60="Forfait",IF(DH$20&gt;='01_Input'!$J$60,'01_Input'!$M$60,0),IF('01_Input'!$L$60="Palier",IF(AND(DH$20&gt;='01_Input'!$J$60,DH$20&lt;'01_Input'!$K$60),'01_Input'!$M$60,0),MAX(MIN(DH$20,'01_Input'!$K$60)-'01_Input'!$J$60,0)*'01_Input'!$M$60))+IF('01_Input'!$P$60="Forfait",IF(DH$20&gt;='01_Input'!$N$60,'01_Input'!$Q$60,0),IF('01_Input'!$P$60="Palier",IF(AND(DH$20&gt;='01_Input'!$N$60,DH$20&lt;'01_Input'!$O$60),'01_Input'!$Q$60,0),MAX(MIN(DH$20,'01_Input'!$O$60)-'01_Input'!$N$60,0)*'01_Input'!$Q$60))+IF('01_Input'!$T$60="Forfait",IF(DH$20&gt;='01_Input'!$R$60,'01_Input'!$U$60,0),IF('01_Input'!$T$60="Palier",IF(AND(DH$20&gt;='01_Input'!$R$60,DH$20&lt;'01_Input'!$S$60),'01_Input'!$U$60,0),MAX(MIN(DH$20,'01_Input'!$S$60)-'01_Input'!$R$60,0)*'01_Input'!$U$60))+IF('01_Input'!$X$60="Forfait",IF(DH$20&gt;='01_Input'!$V$60,'01_Input'!$Y$60,0),IF('01_Input'!$X$60="Palier",IF(AND(DH$20&gt;='01_Input'!$V$60,DH$20&lt;'01_Input'!$W$60),'01_Input'!$Y$60,0),MAX(MIN(DH$20,'01_Input'!$W$60)-'01_Input'!$V$60,0)*'01_Input'!$Y$60))+IF('01_Input'!$AB$60="Forfait",IF(DH$20&gt;='01_Input'!$Z$60,'01_Input'!$AC$60,0),IF('01_Input'!$AB$60="Palier",IF(AND(DH$20&gt;='01_Input'!$Z$60,DH$20&lt;'01_Input'!$AA$60),'01_Input'!$AC$60,0),MAX(MIN(DH$20,'01_Input'!$AA$60)-'01_Input'!$Z$60,0)*'01_Input'!$AC$60)))))))))</f>
        <v>800</v>
      </c>
      <c r="DI28" s="83">
        <f>IF('01_Input'!$C$60="Non",0,MIN('01_Input'!$I$60,MAX('01_Input'!$H$60,IF('01_Input'!$G$60="Résiduel vs Gestion",0,IF('01_Input'!$G$60="Taux Classe sélectionnée",Distrib_Global_Classe_Selectionnee*DI$20,IF('01_Input'!$G$60="Frais KYC (paliers de 100M€)",MAX(0,Nb_Investisseurs-Nb_KYC_Gratuites_Par_Tranche*(FLOOR(DI$20/Taille_Tranche_KYC,1)+1))*Cout_Par_KYC_Supplementaire,(IF('01_Input'!$L$60="Forfait",IF(DI$20&gt;='01_Input'!$J$60,'01_Input'!$M$60,0),IF('01_Input'!$L$60="Palier",IF(AND(DI$20&gt;='01_Input'!$J$60,DI$20&lt;'01_Input'!$K$60),'01_Input'!$M$60,0),MAX(MIN(DI$20,'01_Input'!$K$60)-'01_Input'!$J$60,0)*'01_Input'!$M$60))+IF('01_Input'!$P$60="Forfait",IF(DI$20&gt;='01_Input'!$N$60,'01_Input'!$Q$60,0),IF('01_Input'!$P$60="Palier",IF(AND(DI$20&gt;='01_Input'!$N$60,DI$20&lt;'01_Input'!$O$60),'01_Input'!$Q$60,0),MAX(MIN(DI$20,'01_Input'!$O$60)-'01_Input'!$N$60,0)*'01_Input'!$Q$60))+IF('01_Input'!$T$60="Forfait",IF(DI$20&gt;='01_Input'!$R$60,'01_Input'!$U$60,0),IF('01_Input'!$T$60="Palier",IF(AND(DI$20&gt;='01_Input'!$R$60,DI$20&lt;'01_Input'!$S$60),'01_Input'!$U$60,0),MAX(MIN(DI$20,'01_Input'!$S$60)-'01_Input'!$R$60,0)*'01_Input'!$U$60))+IF('01_Input'!$X$60="Forfait",IF(DI$20&gt;='01_Input'!$V$60,'01_Input'!$Y$60,0),IF('01_Input'!$X$60="Palier",IF(AND(DI$20&gt;='01_Input'!$V$60,DI$20&lt;'01_Input'!$W$60),'01_Input'!$Y$60,0),MAX(MIN(DI$20,'01_Input'!$W$60)-'01_Input'!$V$60,0)*'01_Input'!$Y$60))+IF('01_Input'!$AB$60="Forfait",IF(DI$20&gt;='01_Input'!$Z$60,'01_Input'!$AC$60,0),IF('01_Input'!$AB$60="Palier",IF(AND(DI$20&gt;='01_Input'!$Z$60,DI$20&lt;'01_Input'!$AA$60),'01_Input'!$AC$60,0),MAX(MIN(DI$20,'01_Input'!$AA$60)-'01_Input'!$Z$60,0)*'01_Input'!$AC$60)))))))))</f>
        <v>800</v>
      </c>
      <c r="DJ28" s="83">
        <f>IF('01_Input'!$C$60="Non",0,MIN('01_Input'!$I$60,MAX('01_Input'!$H$60,IF('01_Input'!$G$60="Résiduel vs Gestion",0,IF('01_Input'!$G$60="Taux Classe sélectionnée",Distrib_Global_Classe_Selectionnee*DJ$20,IF('01_Input'!$G$60="Frais KYC (paliers de 100M€)",MAX(0,Nb_Investisseurs-Nb_KYC_Gratuites_Par_Tranche*(FLOOR(DJ$20/Taille_Tranche_KYC,1)+1))*Cout_Par_KYC_Supplementaire,(IF('01_Input'!$L$60="Forfait",IF(DJ$20&gt;='01_Input'!$J$60,'01_Input'!$M$60,0),IF('01_Input'!$L$60="Palier",IF(AND(DJ$20&gt;='01_Input'!$J$60,DJ$20&lt;'01_Input'!$K$60),'01_Input'!$M$60,0),MAX(MIN(DJ$20,'01_Input'!$K$60)-'01_Input'!$J$60,0)*'01_Input'!$M$60))+IF('01_Input'!$P$60="Forfait",IF(DJ$20&gt;='01_Input'!$N$60,'01_Input'!$Q$60,0),IF('01_Input'!$P$60="Palier",IF(AND(DJ$20&gt;='01_Input'!$N$60,DJ$20&lt;'01_Input'!$O$60),'01_Input'!$Q$60,0),MAX(MIN(DJ$20,'01_Input'!$O$60)-'01_Input'!$N$60,0)*'01_Input'!$Q$60))+IF('01_Input'!$T$60="Forfait",IF(DJ$20&gt;='01_Input'!$R$60,'01_Input'!$U$60,0),IF('01_Input'!$T$60="Palier",IF(AND(DJ$20&gt;='01_Input'!$R$60,DJ$20&lt;'01_Input'!$S$60),'01_Input'!$U$60,0),MAX(MIN(DJ$20,'01_Input'!$S$60)-'01_Input'!$R$60,0)*'01_Input'!$U$60))+IF('01_Input'!$X$60="Forfait",IF(DJ$20&gt;='01_Input'!$V$60,'01_Input'!$Y$60,0),IF('01_Input'!$X$60="Palier",IF(AND(DJ$20&gt;='01_Input'!$V$60,DJ$20&lt;'01_Input'!$W$60),'01_Input'!$Y$60,0),MAX(MIN(DJ$20,'01_Input'!$W$60)-'01_Input'!$V$60,0)*'01_Input'!$Y$60))+IF('01_Input'!$AB$60="Forfait",IF(DJ$20&gt;='01_Input'!$Z$60,'01_Input'!$AC$60,0),IF('01_Input'!$AB$60="Palier",IF(AND(DJ$20&gt;='01_Input'!$Z$60,DJ$20&lt;'01_Input'!$AA$60),'01_Input'!$AC$60,0),MAX(MIN(DJ$20,'01_Input'!$AA$60)-'01_Input'!$Z$60,0)*'01_Input'!$AC$60)))))))))</f>
        <v>800</v>
      </c>
      <c r="DK28" s="83">
        <f>IF('01_Input'!$C$60="Non",0,MIN('01_Input'!$I$60,MAX('01_Input'!$H$60,IF('01_Input'!$G$60="Résiduel vs Gestion",0,IF('01_Input'!$G$60="Taux Classe sélectionnée",Distrib_Global_Classe_Selectionnee*DK$20,IF('01_Input'!$G$60="Frais KYC (paliers de 100M€)",MAX(0,Nb_Investisseurs-Nb_KYC_Gratuites_Par_Tranche*(FLOOR(DK$20/Taille_Tranche_KYC,1)+1))*Cout_Par_KYC_Supplementaire,(IF('01_Input'!$L$60="Forfait",IF(DK$20&gt;='01_Input'!$J$60,'01_Input'!$M$60,0),IF('01_Input'!$L$60="Palier",IF(AND(DK$20&gt;='01_Input'!$J$60,DK$20&lt;'01_Input'!$K$60),'01_Input'!$M$60,0),MAX(MIN(DK$20,'01_Input'!$K$60)-'01_Input'!$J$60,0)*'01_Input'!$M$60))+IF('01_Input'!$P$60="Forfait",IF(DK$20&gt;='01_Input'!$N$60,'01_Input'!$Q$60,0),IF('01_Input'!$P$60="Palier",IF(AND(DK$20&gt;='01_Input'!$N$60,DK$20&lt;'01_Input'!$O$60),'01_Input'!$Q$60,0),MAX(MIN(DK$20,'01_Input'!$O$60)-'01_Input'!$N$60,0)*'01_Input'!$Q$60))+IF('01_Input'!$T$60="Forfait",IF(DK$20&gt;='01_Input'!$R$60,'01_Input'!$U$60,0),IF('01_Input'!$T$60="Palier",IF(AND(DK$20&gt;='01_Input'!$R$60,DK$20&lt;'01_Input'!$S$60),'01_Input'!$U$60,0),MAX(MIN(DK$20,'01_Input'!$S$60)-'01_Input'!$R$60,0)*'01_Input'!$U$60))+IF('01_Input'!$X$60="Forfait",IF(DK$20&gt;='01_Input'!$V$60,'01_Input'!$Y$60,0),IF('01_Input'!$X$60="Palier",IF(AND(DK$20&gt;='01_Input'!$V$60,DK$20&lt;'01_Input'!$W$60),'01_Input'!$Y$60,0),MAX(MIN(DK$20,'01_Input'!$W$60)-'01_Input'!$V$60,0)*'01_Input'!$Y$60))+IF('01_Input'!$AB$60="Forfait",IF(DK$20&gt;='01_Input'!$Z$60,'01_Input'!$AC$60,0),IF('01_Input'!$AB$60="Palier",IF(AND(DK$20&gt;='01_Input'!$Z$60,DK$20&lt;'01_Input'!$AA$60),'01_Input'!$AC$60,0),MAX(MIN(DK$20,'01_Input'!$AA$60)-'01_Input'!$Z$60,0)*'01_Input'!$AC$60)))))))))</f>
        <v>800</v>
      </c>
      <c r="DL28" s="83">
        <f>IF('01_Input'!$C$60="Non",0,MIN('01_Input'!$I$60,MAX('01_Input'!$H$60,IF('01_Input'!$G$60="Résiduel vs Gestion",0,IF('01_Input'!$G$60="Taux Classe sélectionnée",Distrib_Global_Classe_Selectionnee*DL$20,IF('01_Input'!$G$60="Frais KYC (paliers de 100M€)",MAX(0,Nb_Investisseurs-Nb_KYC_Gratuites_Par_Tranche*(FLOOR(DL$20/Taille_Tranche_KYC,1)+1))*Cout_Par_KYC_Supplementaire,(IF('01_Input'!$L$60="Forfait",IF(DL$20&gt;='01_Input'!$J$60,'01_Input'!$M$60,0),IF('01_Input'!$L$60="Palier",IF(AND(DL$20&gt;='01_Input'!$J$60,DL$20&lt;'01_Input'!$K$60),'01_Input'!$M$60,0),MAX(MIN(DL$20,'01_Input'!$K$60)-'01_Input'!$J$60,0)*'01_Input'!$M$60))+IF('01_Input'!$P$60="Forfait",IF(DL$20&gt;='01_Input'!$N$60,'01_Input'!$Q$60,0),IF('01_Input'!$P$60="Palier",IF(AND(DL$20&gt;='01_Input'!$N$60,DL$20&lt;'01_Input'!$O$60),'01_Input'!$Q$60,0),MAX(MIN(DL$20,'01_Input'!$O$60)-'01_Input'!$N$60,0)*'01_Input'!$Q$60))+IF('01_Input'!$T$60="Forfait",IF(DL$20&gt;='01_Input'!$R$60,'01_Input'!$U$60,0),IF('01_Input'!$T$60="Palier",IF(AND(DL$20&gt;='01_Input'!$R$60,DL$20&lt;'01_Input'!$S$60),'01_Input'!$U$60,0),MAX(MIN(DL$20,'01_Input'!$S$60)-'01_Input'!$R$60,0)*'01_Input'!$U$60))+IF('01_Input'!$X$60="Forfait",IF(DL$20&gt;='01_Input'!$V$60,'01_Input'!$Y$60,0),IF('01_Input'!$X$60="Palier",IF(AND(DL$20&gt;='01_Input'!$V$60,DL$20&lt;'01_Input'!$W$60),'01_Input'!$Y$60,0),MAX(MIN(DL$20,'01_Input'!$W$60)-'01_Input'!$V$60,0)*'01_Input'!$Y$60))+IF('01_Input'!$AB$60="Forfait",IF(DL$20&gt;='01_Input'!$Z$60,'01_Input'!$AC$60,0),IF('01_Input'!$AB$60="Palier",IF(AND(DL$20&gt;='01_Input'!$Z$60,DL$20&lt;'01_Input'!$AA$60),'01_Input'!$AC$60,0),MAX(MIN(DL$20,'01_Input'!$AA$60)-'01_Input'!$Z$60,0)*'01_Input'!$AC$60)))))))))</f>
        <v>800</v>
      </c>
      <c r="DM28" s="83">
        <f>IF('01_Input'!$C$60="Non",0,MIN('01_Input'!$I$60,MAX('01_Input'!$H$60,IF('01_Input'!$G$60="Résiduel vs Gestion",0,IF('01_Input'!$G$60="Taux Classe sélectionnée",Distrib_Global_Classe_Selectionnee*DM$20,IF('01_Input'!$G$60="Frais KYC (paliers de 100M€)",MAX(0,Nb_Investisseurs-Nb_KYC_Gratuites_Par_Tranche*(FLOOR(DM$20/Taille_Tranche_KYC,1)+1))*Cout_Par_KYC_Supplementaire,(IF('01_Input'!$L$60="Forfait",IF(DM$20&gt;='01_Input'!$J$60,'01_Input'!$M$60,0),IF('01_Input'!$L$60="Palier",IF(AND(DM$20&gt;='01_Input'!$J$60,DM$20&lt;'01_Input'!$K$60),'01_Input'!$M$60,0),MAX(MIN(DM$20,'01_Input'!$K$60)-'01_Input'!$J$60,0)*'01_Input'!$M$60))+IF('01_Input'!$P$60="Forfait",IF(DM$20&gt;='01_Input'!$N$60,'01_Input'!$Q$60,0),IF('01_Input'!$P$60="Palier",IF(AND(DM$20&gt;='01_Input'!$N$60,DM$20&lt;'01_Input'!$O$60),'01_Input'!$Q$60,0),MAX(MIN(DM$20,'01_Input'!$O$60)-'01_Input'!$N$60,0)*'01_Input'!$Q$60))+IF('01_Input'!$T$60="Forfait",IF(DM$20&gt;='01_Input'!$R$60,'01_Input'!$U$60,0),IF('01_Input'!$T$60="Palier",IF(AND(DM$20&gt;='01_Input'!$R$60,DM$20&lt;'01_Input'!$S$60),'01_Input'!$U$60,0),MAX(MIN(DM$20,'01_Input'!$S$60)-'01_Input'!$R$60,0)*'01_Input'!$U$60))+IF('01_Input'!$X$60="Forfait",IF(DM$20&gt;='01_Input'!$V$60,'01_Input'!$Y$60,0),IF('01_Input'!$X$60="Palier",IF(AND(DM$20&gt;='01_Input'!$V$60,DM$20&lt;'01_Input'!$W$60),'01_Input'!$Y$60,0),MAX(MIN(DM$20,'01_Input'!$W$60)-'01_Input'!$V$60,0)*'01_Input'!$Y$60))+IF('01_Input'!$AB$60="Forfait",IF(DM$20&gt;='01_Input'!$Z$60,'01_Input'!$AC$60,0),IF('01_Input'!$AB$60="Palier",IF(AND(DM$20&gt;='01_Input'!$Z$60,DM$20&lt;'01_Input'!$AA$60),'01_Input'!$AC$60,0),MAX(MIN(DM$20,'01_Input'!$AA$60)-'01_Input'!$Z$60,0)*'01_Input'!$AC$60)))))))))</f>
        <v>800</v>
      </c>
      <c r="DN28" s="83">
        <f>IF('01_Input'!$C$60="Non",0,MIN('01_Input'!$I$60,MAX('01_Input'!$H$60,IF('01_Input'!$G$60="Résiduel vs Gestion",0,IF('01_Input'!$G$60="Taux Classe sélectionnée",Distrib_Global_Classe_Selectionnee*DN$20,IF('01_Input'!$G$60="Frais KYC (paliers de 100M€)",MAX(0,Nb_Investisseurs-Nb_KYC_Gratuites_Par_Tranche*(FLOOR(DN$20/Taille_Tranche_KYC,1)+1))*Cout_Par_KYC_Supplementaire,(IF('01_Input'!$L$60="Forfait",IF(DN$20&gt;='01_Input'!$J$60,'01_Input'!$M$60,0),IF('01_Input'!$L$60="Palier",IF(AND(DN$20&gt;='01_Input'!$J$60,DN$20&lt;'01_Input'!$K$60),'01_Input'!$M$60,0),MAX(MIN(DN$20,'01_Input'!$K$60)-'01_Input'!$J$60,0)*'01_Input'!$M$60))+IF('01_Input'!$P$60="Forfait",IF(DN$20&gt;='01_Input'!$N$60,'01_Input'!$Q$60,0),IF('01_Input'!$P$60="Palier",IF(AND(DN$20&gt;='01_Input'!$N$60,DN$20&lt;'01_Input'!$O$60),'01_Input'!$Q$60,0),MAX(MIN(DN$20,'01_Input'!$O$60)-'01_Input'!$N$60,0)*'01_Input'!$Q$60))+IF('01_Input'!$T$60="Forfait",IF(DN$20&gt;='01_Input'!$R$60,'01_Input'!$U$60,0),IF('01_Input'!$T$60="Palier",IF(AND(DN$20&gt;='01_Input'!$R$60,DN$20&lt;'01_Input'!$S$60),'01_Input'!$U$60,0),MAX(MIN(DN$20,'01_Input'!$S$60)-'01_Input'!$R$60,0)*'01_Input'!$U$60))+IF('01_Input'!$X$60="Forfait",IF(DN$20&gt;='01_Input'!$V$60,'01_Input'!$Y$60,0),IF('01_Input'!$X$60="Palier",IF(AND(DN$20&gt;='01_Input'!$V$60,DN$20&lt;'01_Input'!$W$60),'01_Input'!$Y$60,0),MAX(MIN(DN$20,'01_Input'!$W$60)-'01_Input'!$V$60,0)*'01_Input'!$Y$60))+IF('01_Input'!$AB$60="Forfait",IF(DN$20&gt;='01_Input'!$Z$60,'01_Input'!$AC$60,0),IF('01_Input'!$AB$60="Palier",IF(AND(DN$20&gt;='01_Input'!$Z$60,DN$20&lt;'01_Input'!$AA$60),'01_Input'!$AC$60,0),MAX(MIN(DN$20,'01_Input'!$AA$60)-'01_Input'!$Z$60,0)*'01_Input'!$AC$60)))))))))</f>
        <v>800</v>
      </c>
      <c r="DO28" s="83">
        <f>IF('01_Input'!$C$60="Non",0,MIN('01_Input'!$I$60,MAX('01_Input'!$H$60,IF('01_Input'!$G$60="Résiduel vs Gestion",0,IF('01_Input'!$G$60="Taux Classe sélectionnée",Distrib_Global_Classe_Selectionnee*DO$20,IF('01_Input'!$G$60="Frais KYC (paliers de 100M€)",MAX(0,Nb_Investisseurs-Nb_KYC_Gratuites_Par_Tranche*(FLOOR(DO$20/Taille_Tranche_KYC,1)+1))*Cout_Par_KYC_Supplementaire,(IF('01_Input'!$L$60="Forfait",IF(DO$20&gt;='01_Input'!$J$60,'01_Input'!$M$60,0),IF('01_Input'!$L$60="Palier",IF(AND(DO$20&gt;='01_Input'!$J$60,DO$20&lt;'01_Input'!$K$60),'01_Input'!$M$60,0),MAX(MIN(DO$20,'01_Input'!$K$60)-'01_Input'!$J$60,0)*'01_Input'!$M$60))+IF('01_Input'!$P$60="Forfait",IF(DO$20&gt;='01_Input'!$N$60,'01_Input'!$Q$60,0),IF('01_Input'!$P$60="Palier",IF(AND(DO$20&gt;='01_Input'!$N$60,DO$20&lt;'01_Input'!$O$60),'01_Input'!$Q$60,0),MAX(MIN(DO$20,'01_Input'!$O$60)-'01_Input'!$N$60,0)*'01_Input'!$Q$60))+IF('01_Input'!$T$60="Forfait",IF(DO$20&gt;='01_Input'!$R$60,'01_Input'!$U$60,0),IF('01_Input'!$T$60="Palier",IF(AND(DO$20&gt;='01_Input'!$R$60,DO$20&lt;'01_Input'!$S$60),'01_Input'!$U$60,0),MAX(MIN(DO$20,'01_Input'!$S$60)-'01_Input'!$R$60,0)*'01_Input'!$U$60))+IF('01_Input'!$X$60="Forfait",IF(DO$20&gt;='01_Input'!$V$60,'01_Input'!$Y$60,0),IF('01_Input'!$X$60="Palier",IF(AND(DO$20&gt;='01_Input'!$V$60,DO$20&lt;'01_Input'!$W$60),'01_Input'!$Y$60,0),MAX(MIN(DO$20,'01_Input'!$W$60)-'01_Input'!$V$60,0)*'01_Input'!$Y$60))+IF('01_Input'!$AB$60="Forfait",IF(DO$20&gt;='01_Input'!$Z$60,'01_Input'!$AC$60,0),IF('01_Input'!$AB$60="Palier",IF(AND(DO$20&gt;='01_Input'!$Z$60,DO$20&lt;'01_Input'!$AA$60),'01_Input'!$AC$60,0),MAX(MIN(DO$20,'01_Input'!$AA$60)-'01_Input'!$Z$60,0)*'01_Input'!$AC$60)))))))))</f>
        <v>800</v>
      </c>
      <c r="DP28" s="83">
        <f>IF('01_Input'!$C$60="Non",0,MIN('01_Input'!$I$60,MAX('01_Input'!$H$60,IF('01_Input'!$G$60="Résiduel vs Gestion",0,IF('01_Input'!$G$60="Taux Classe sélectionnée",Distrib_Global_Classe_Selectionnee*DP$20,IF('01_Input'!$G$60="Frais KYC (paliers de 100M€)",MAX(0,Nb_Investisseurs-Nb_KYC_Gratuites_Par_Tranche*(FLOOR(DP$20/Taille_Tranche_KYC,1)+1))*Cout_Par_KYC_Supplementaire,(IF('01_Input'!$L$60="Forfait",IF(DP$20&gt;='01_Input'!$J$60,'01_Input'!$M$60,0),IF('01_Input'!$L$60="Palier",IF(AND(DP$20&gt;='01_Input'!$J$60,DP$20&lt;'01_Input'!$K$60),'01_Input'!$M$60,0),MAX(MIN(DP$20,'01_Input'!$K$60)-'01_Input'!$J$60,0)*'01_Input'!$M$60))+IF('01_Input'!$P$60="Forfait",IF(DP$20&gt;='01_Input'!$N$60,'01_Input'!$Q$60,0),IF('01_Input'!$P$60="Palier",IF(AND(DP$20&gt;='01_Input'!$N$60,DP$20&lt;'01_Input'!$O$60),'01_Input'!$Q$60,0),MAX(MIN(DP$20,'01_Input'!$O$60)-'01_Input'!$N$60,0)*'01_Input'!$Q$60))+IF('01_Input'!$T$60="Forfait",IF(DP$20&gt;='01_Input'!$R$60,'01_Input'!$U$60,0),IF('01_Input'!$T$60="Palier",IF(AND(DP$20&gt;='01_Input'!$R$60,DP$20&lt;'01_Input'!$S$60),'01_Input'!$U$60,0),MAX(MIN(DP$20,'01_Input'!$S$60)-'01_Input'!$R$60,0)*'01_Input'!$U$60))+IF('01_Input'!$X$60="Forfait",IF(DP$20&gt;='01_Input'!$V$60,'01_Input'!$Y$60,0),IF('01_Input'!$X$60="Palier",IF(AND(DP$20&gt;='01_Input'!$V$60,DP$20&lt;'01_Input'!$W$60),'01_Input'!$Y$60,0),MAX(MIN(DP$20,'01_Input'!$W$60)-'01_Input'!$V$60,0)*'01_Input'!$Y$60))+IF('01_Input'!$AB$60="Forfait",IF(DP$20&gt;='01_Input'!$Z$60,'01_Input'!$AC$60,0),IF('01_Input'!$AB$60="Palier",IF(AND(DP$20&gt;='01_Input'!$Z$60,DP$20&lt;'01_Input'!$AA$60),'01_Input'!$AC$60,0),MAX(MIN(DP$20,'01_Input'!$AA$60)-'01_Input'!$Z$60,0)*'01_Input'!$AC$60)))))))))</f>
        <v>800</v>
      </c>
      <c r="DQ28" s="83">
        <f>IF('01_Input'!$C$60="Non",0,MIN('01_Input'!$I$60,MAX('01_Input'!$H$60,IF('01_Input'!$G$60="Résiduel vs Gestion",0,IF('01_Input'!$G$60="Taux Classe sélectionnée",Distrib_Global_Classe_Selectionnee*DQ$20,IF('01_Input'!$G$60="Frais KYC (paliers de 100M€)",MAX(0,Nb_Investisseurs-Nb_KYC_Gratuites_Par_Tranche*(FLOOR(DQ$20/Taille_Tranche_KYC,1)+1))*Cout_Par_KYC_Supplementaire,(IF('01_Input'!$L$60="Forfait",IF(DQ$20&gt;='01_Input'!$J$60,'01_Input'!$M$60,0),IF('01_Input'!$L$60="Palier",IF(AND(DQ$20&gt;='01_Input'!$J$60,DQ$20&lt;'01_Input'!$K$60),'01_Input'!$M$60,0),MAX(MIN(DQ$20,'01_Input'!$K$60)-'01_Input'!$J$60,0)*'01_Input'!$M$60))+IF('01_Input'!$P$60="Forfait",IF(DQ$20&gt;='01_Input'!$N$60,'01_Input'!$Q$60,0),IF('01_Input'!$P$60="Palier",IF(AND(DQ$20&gt;='01_Input'!$N$60,DQ$20&lt;'01_Input'!$O$60),'01_Input'!$Q$60,0),MAX(MIN(DQ$20,'01_Input'!$O$60)-'01_Input'!$N$60,0)*'01_Input'!$Q$60))+IF('01_Input'!$T$60="Forfait",IF(DQ$20&gt;='01_Input'!$R$60,'01_Input'!$U$60,0),IF('01_Input'!$T$60="Palier",IF(AND(DQ$20&gt;='01_Input'!$R$60,DQ$20&lt;'01_Input'!$S$60),'01_Input'!$U$60,0),MAX(MIN(DQ$20,'01_Input'!$S$60)-'01_Input'!$R$60,0)*'01_Input'!$U$60))+IF('01_Input'!$X$60="Forfait",IF(DQ$20&gt;='01_Input'!$V$60,'01_Input'!$Y$60,0),IF('01_Input'!$X$60="Palier",IF(AND(DQ$20&gt;='01_Input'!$V$60,DQ$20&lt;'01_Input'!$W$60),'01_Input'!$Y$60,0),MAX(MIN(DQ$20,'01_Input'!$W$60)-'01_Input'!$V$60,0)*'01_Input'!$Y$60))+IF('01_Input'!$AB$60="Forfait",IF(DQ$20&gt;='01_Input'!$Z$60,'01_Input'!$AC$60,0),IF('01_Input'!$AB$60="Palier",IF(AND(DQ$20&gt;='01_Input'!$Z$60,DQ$20&lt;'01_Input'!$AA$60),'01_Input'!$AC$60,0),MAX(MIN(DQ$20,'01_Input'!$AA$60)-'01_Input'!$Z$60,0)*'01_Input'!$AC$60)))))))))</f>
        <v>800</v>
      </c>
      <c r="DR28" s="83">
        <f>IF('01_Input'!$C$60="Non",0,MIN('01_Input'!$I$60,MAX('01_Input'!$H$60,IF('01_Input'!$G$60="Résiduel vs Gestion",0,IF('01_Input'!$G$60="Taux Classe sélectionnée",Distrib_Global_Classe_Selectionnee*DR$20,IF('01_Input'!$G$60="Frais KYC (paliers de 100M€)",MAX(0,Nb_Investisseurs-Nb_KYC_Gratuites_Par_Tranche*(FLOOR(DR$20/Taille_Tranche_KYC,1)+1))*Cout_Par_KYC_Supplementaire,(IF('01_Input'!$L$60="Forfait",IF(DR$20&gt;='01_Input'!$J$60,'01_Input'!$M$60,0),IF('01_Input'!$L$60="Palier",IF(AND(DR$20&gt;='01_Input'!$J$60,DR$20&lt;'01_Input'!$K$60),'01_Input'!$M$60,0),MAX(MIN(DR$20,'01_Input'!$K$60)-'01_Input'!$J$60,0)*'01_Input'!$M$60))+IF('01_Input'!$P$60="Forfait",IF(DR$20&gt;='01_Input'!$N$60,'01_Input'!$Q$60,0),IF('01_Input'!$P$60="Palier",IF(AND(DR$20&gt;='01_Input'!$N$60,DR$20&lt;'01_Input'!$O$60),'01_Input'!$Q$60,0),MAX(MIN(DR$20,'01_Input'!$O$60)-'01_Input'!$N$60,0)*'01_Input'!$Q$60))+IF('01_Input'!$T$60="Forfait",IF(DR$20&gt;='01_Input'!$R$60,'01_Input'!$U$60,0),IF('01_Input'!$T$60="Palier",IF(AND(DR$20&gt;='01_Input'!$R$60,DR$20&lt;'01_Input'!$S$60),'01_Input'!$U$60,0),MAX(MIN(DR$20,'01_Input'!$S$60)-'01_Input'!$R$60,0)*'01_Input'!$U$60))+IF('01_Input'!$X$60="Forfait",IF(DR$20&gt;='01_Input'!$V$60,'01_Input'!$Y$60,0),IF('01_Input'!$X$60="Palier",IF(AND(DR$20&gt;='01_Input'!$V$60,DR$20&lt;'01_Input'!$W$60),'01_Input'!$Y$60,0),MAX(MIN(DR$20,'01_Input'!$W$60)-'01_Input'!$V$60,0)*'01_Input'!$Y$60))+IF('01_Input'!$AB$60="Forfait",IF(DR$20&gt;='01_Input'!$Z$60,'01_Input'!$AC$60,0),IF('01_Input'!$AB$60="Palier",IF(AND(DR$20&gt;='01_Input'!$Z$60,DR$20&lt;'01_Input'!$AA$60),'01_Input'!$AC$60,0),MAX(MIN(DR$20,'01_Input'!$AA$60)-'01_Input'!$Z$60,0)*'01_Input'!$AC$60)))))))))</f>
        <v>800</v>
      </c>
      <c r="DS28" s="83">
        <f>IF('01_Input'!$C$60="Non",0,MIN('01_Input'!$I$60,MAX('01_Input'!$H$60,IF('01_Input'!$G$60="Résiduel vs Gestion",0,IF('01_Input'!$G$60="Taux Classe sélectionnée",Distrib_Global_Classe_Selectionnee*DS$20,IF('01_Input'!$G$60="Frais KYC (paliers de 100M€)",MAX(0,Nb_Investisseurs-Nb_KYC_Gratuites_Par_Tranche*(FLOOR(DS$20/Taille_Tranche_KYC,1)+1))*Cout_Par_KYC_Supplementaire,(IF('01_Input'!$L$60="Forfait",IF(DS$20&gt;='01_Input'!$J$60,'01_Input'!$M$60,0),IF('01_Input'!$L$60="Palier",IF(AND(DS$20&gt;='01_Input'!$J$60,DS$20&lt;'01_Input'!$K$60),'01_Input'!$M$60,0),MAX(MIN(DS$20,'01_Input'!$K$60)-'01_Input'!$J$60,0)*'01_Input'!$M$60))+IF('01_Input'!$P$60="Forfait",IF(DS$20&gt;='01_Input'!$N$60,'01_Input'!$Q$60,0),IF('01_Input'!$P$60="Palier",IF(AND(DS$20&gt;='01_Input'!$N$60,DS$20&lt;'01_Input'!$O$60),'01_Input'!$Q$60,0),MAX(MIN(DS$20,'01_Input'!$O$60)-'01_Input'!$N$60,0)*'01_Input'!$Q$60))+IF('01_Input'!$T$60="Forfait",IF(DS$20&gt;='01_Input'!$R$60,'01_Input'!$U$60,0),IF('01_Input'!$T$60="Palier",IF(AND(DS$20&gt;='01_Input'!$R$60,DS$20&lt;'01_Input'!$S$60),'01_Input'!$U$60,0),MAX(MIN(DS$20,'01_Input'!$S$60)-'01_Input'!$R$60,0)*'01_Input'!$U$60))+IF('01_Input'!$X$60="Forfait",IF(DS$20&gt;='01_Input'!$V$60,'01_Input'!$Y$60,0),IF('01_Input'!$X$60="Palier",IF(AND(DS$20&gt;='01_Input'!$V$60,DS$20&lt;'01_Input'!$W$60),'01_Input'!$Y$60,0),MAX(MIN(DS$20,'01_Input'!$W$60)-'01_Input'!$V$60,0)*'01_Input'!$Y$60))+IF('01_Input'!$AB$60="Forfait",IF(DS$20&gt;='01_Input'!$Z$60,'01_Input'!$AC$60,0),IF('01_Input'!$AB$60="Palier",IF(AND(DS$20&gt;='01_Input'!$Z$60,DS$20&lt;'01_Input'!$AA$60),'01_Input'!$AC$60,0),MAX(MIN(DS$20,'01_Input'!$AA$60)-'01_Input'!$Z$60,0)*'01_Input'!$AC$60)))))))))</f>
        <v>800</v>
      </c>
      <c r="DT28" s="83">
        <f>IF('01_Input'!$C$60="Non",0,MIN('01_Input'!$I$60,MAX('01_Input'!$H$60,IF('01_Input'!$G$60="Résiduel vs Gestion",0,IF('01_Input'!$G$60="Taux Classe sélectionnée",Distrib_Global_Classe_Selectionnee*DT$20,IF('01_Input'!$G$60="Frais KYC (paliers de 100M€)",MAX(0,Nb_Investisseurs-Nb_KYC_Gratuites_Par_Tranche*(FLOOR(DT$20/Taille_Tranche_KYC,1)+1))*Cout_Par_KYC_Supplementaire,(IF('01_Input'!$L$60="Forfait",IF(DT$20&gt;='01_Input'!$J$60,'01_Input'!$M$60,0),IF('01_Input'!$L$60="Palier",IF(AND(DT$20&gt;='01_Input'!$J$60,DT$20&lt;'01_Input'!$K$60),'01_Input'!$M$60,0),MAX(MIN(DT$20,'01_Input'!$K$60)-'01_Input'!$J$60,0)*'01_Input'!$M$60))+IF('01_Input'!$P$60="Forfait",IF(DT$20&gt;='01_Input'!$N$60,'01_Input'!$Q$60,0),IF('01_Input'!$P$60="Palier",IF(AND(DT$20&gt;='01_Input'!$N$60,DT$20&lt;'01_Input'!$O$60),'01_Input'!$Q$60,0),MAX(MIN(DT$20,'01_Input'!$O$60)-'01_Input'!$N$60,0)*'01_Input'!$Q$60))+IF('01_Input'!$T$60="Forfait",IF(DT$20&gt;='01_Input'!$R$60,'01_Input'!$U$60,0),IF('01_Input'!$T$60="Palier",IF(AND(DT$20&gt;='01_Input'!$R$60,DT$20&lt;'01_Input'!$S$60),'01_Input'!$U$60,0),MAX(MIN(DT$20,'01_Input'!$S$60)-'01_Input'!$R$60,0)*'01_Input'!$U$60))+IF('01_Input'!$X$60="Forfait",IF(DT$20&gt;='01_Input'!$V$60,'01_Input'!$Y$60,0),IF('01_Input'!$X$60="Palier",IF(AND(DT$20&gt;='01_Input'!$V$60,DT$20&lt;'01_Input'!$W$60),'01_Input'!$Y$60,0),MAX(MIN(DT$20,'01_Input'!$W$60)-'01_Input'!$V$60,0)*'01_Input'!$Y$60))+IF('01_Input'!$AB$60="Forfait",IF(DT$20&gt;='01_Input'!$Z$60,'01_Input'!$AC$60,0),IF('01_Input'!$AB$60="Palier",IF(AND(DT$20&gt;='01_Input'!$Z$60,DT$20&lt;'01_Input'!$AA$60),'01_Input'!$AC$60,0),MAX(MIN(DT$20,'01_Input'!$AA$60)-'01_Input'!$Z$60,0)*'01_Input'!$AC$60)))))))))</f>
        <v>800</v>
      </c>
      <c r="DU28" s="83">
        <f>IF('01_Input'!$C$60="Non",0,MIN('01_Input'!$I$60,MAX('01_Input'!$H$60,IF('01_Input'!$G$60="Résiduel vs Gestion",0,IF('01_Input'!$G$60="Taux Classe sélectionnée",Distrib_Global_Classe_Selectionnee*DU$20,IF('01_Input'!$G$60="Frais KYC (paliers de 100M€)",MAX(0,Nb_Investisseurs-Nb_KYC_Gratuites_Par_Tranche*(FLOOR(DU$20/Taille_Tranche_KYC,1)+1))*Cout_Par_KYC_Supplementaire,(IF('01_Input'!$L$60="Forfait",IF(DU$20&gt;='01_Input'!$J$60,'01_Input'!$M$60,0),IF('01_Input'!$L$60="Palier",IF(AND(DU$20&gt;='01_Input'!$J$60,DU$20&lt;'01_Input'!$K$60),'01_Input'!$M$60,0),MAX(MIN(DU$20,'01_Input'!$K$60)-'01_Input'!$J$60,0)*'01_Input'!$M$60))+IF('01_Input'!$P$60="Forfait",IF(DU$20&gt;='01_Input'!$N$60,'01_Input'!$Q$60,0),IF('01_Input'!$P$60="Palier",IF(AND(DU$20&gt;='01_Input'!$N$60,DU$20&lt;'01_Input'!$O$60),'01_Input'!$Q$60,0),MAX(MIN(DU$20,'01_Input'!$O$60)-'01_Input'!$N$60,0)*'01_Input'!$Q$60))+IF('01_Input'!$T$60="Forfait",IF(DU$20&gt;='01_Input'!$R$60,'01_Input'!$U$60,0),IF('01_Input'!$T$60="Palier",IF(AND(DU$20&gt;='01_Input'!$R$60,DU$20&lt;'01_Input'!$S$60),'01_Input'!$U$60,0),MAX(MIN(DU$20,'01_Input'!$S$60)-'01_Input'!$R$60,0)*'01_Input'!$U$60))+IF('01_Input'!$X$60="Forfait",IF(DU$20&gt;='01_Input'!$V$60,'01_Input'!$Y$60,0),IF('01_Input'!$X$60="Palier",IF(AND(DU$20&gt;='01_Input'!$V$60,DU$20&lt;'01_Input'!$W$60),'01_Input'!$Y$60,0),MAX(MIN(DU$20,'01_Input'!$W$60)-'01_Input'!$V$60,0)*'01_Input'!$Y$60))+IF('01_Input'!$AB$60="Forfait",IF(DU$20&gt;='01_Input'!$Z$60,'01_Input'!$AC$60,0),IF('01_Input'!$AB$60="Palier",IF(AND(DU$20&gt;='01_Input'!$Z$60,DU$20&lt;'01_Input'!$AA$60),'01_Input'!$AC$60,0),MAX(MIN(DU$20,'01_Input'!$AA$60)-'01_Input'!$Z$60,0)*'01_Input'!$AC$60)))))))))</f>
        <v>800</v>
      </c>
      <c r="DV28" s="83">
        <f>IF('01_Input'!$C$60="Non",0,MIN('01_Input'!$I$60,MAX('01_Input'!$H$60,IF('01_Input'!$G$60="Résiduel vs Gestion",0,IF('01_Input'!$G$60="Taux Classe sélectionnée",Distrib_Global_Classe_Selectionnee*DV$20,IF('01_Input'!$G$60="Frais KYC (paliers de 100M€)",MAX(0,Nb_Investisseurs-Nb_KYC_Gratuites_Par_Tranche*(FLOOR(DV$20/Taille_Tranche_KYC,1)+1))*Cout_Par_KYC_Supplementaire,(IF('01_Input'!$L$60="Forfait",IF(DV$20&gt;='01_Input'!$J$60,'01_Input'!$M$60,0),IF('01_Input'!$L$60="Palier",IF(AND(DV$20&gt;='01_Input'!$J$60,DV$20&lt;'01_Input'!$K$60),'01_Input'!$M$60,0),MAX(MIN(DV$20,'01_Input'!$K$60)-'01_Input'!$J$60,0)*'01_Input'!$M$60))+IF('01_Input'!$P$60="Forfait",IF(DV$20&gt;='01_Input'!$N$60,'01_Input'!$Q$60,0),IF('01_Input'!$P$60="Palier",IF(AND(DV$20&gt;='01_Input'!$N$60,DV$20&lt;'01_Input'!$O$60),'01_Input'!$Q$60,0),MAX(MIN(DV$20,'01_Input'!$O$60)-'01_Input'!$N$60,0)*'01_Input'!$Q$60))+IF('01_Input'!$T$60="Forfait",IF(DV$20&gt;='01_Input'!$R$60,'01_Input'!$U$60,0),IF('01_Input'!$T$60="Palier",IF(AND(DV$20&gt;='01_Input'!$R$60,DV$20&lt;'01_Input'!$S$60),'01_Input'!$U$60,0),MAX(MIN(DV$20,'01_Input'!$S$60)-'01_Input'!$R$60,0)*'01_Input'!$U$60))+IF('01_Input'!$X$60="Forfait",IF(DV$20&gt;='01_Input'!$V$60,'01_Input'!$Y$60,0),IF('01_Input'!$X$60="Palier",IF(AND(DV$20&gt;='01_Input'!$V$60,DV$20&lt;'01_Input'!$W$60),'01_Input'!$Y$60,0),MAX(MIN(DV$20,'01_Input'!$W$60)-'01_Input'!$V$60,0)*'01_Input'!$Y$60))+IF('01_Input'!$AB$60="Forfait",IF(DV$20&gt;='01_Input'!$Z$60,'01_Input'!$AC$60,0),IF('01_Input'!$AB$60="Palier",IF(AND(DV$20&gt;='01_Input'!$Z$60,DV$20&lt;'01_Input'!$AA$60),'01_Input'!$AC$60,0),MAX(MIN(DV$20,'01_Input'!$AA$60)-'01_Input'!$Z$60,0)*'01_Input'!$AC$60)))))))))</f>
        <v>800</v>
      </c>
      <c r="DW28" s="83">
        <f>IF('01_Input'!$C$60="Non",0,MIN('01_Input'!$I$60,MAX('01_Input'!$H$60,IF('01_Input'!$G$60="Résiduel vs Gestion",0,IF('01_Input'!$G$60="Taux Classe sélectionnée",Distrib_Global_Classe_Selectionnee*DW$20,IF('01_Input'!$G$60="Frais KYC (paliers de 100M€)",MAX(0,Nb_Investisseurs-Nb_KYC_Gratuites_Par_Tranche*(FLOOR(DW$20/Taille_Tranche_KYC,1)+1))*Cout_Par_KYC_Supplementaire,(IF('01_Input'!$L$60="Forfait",IF(DW$20&gt;='01_Input'!$J$60,'01_Input'!$M$60,0),IF('01_Input'!$L$60="Palier",IF(AND(DW$20&gt;='01_Input'!$J$60,DW$20&lt;'01_Input'!$K$60),'01_Input'!$M$60,0),MAX(MIN(DW$20,'01_Input'!$K$60)-'01_Input'!$J$60,0)*'01_Input'!$M$60))+IF('01_Input'!$P$60="Forfait",IF(DW$20&gt;='01_Input'!$N$60,'01_Input'!$Q$60,0),IF('01_Input'!$P$60="Palier",IF(AND(DW$20&gt;='01_Input'!$N$60,DW$20&lt;'01_Input'!$O$60),'01_Input'!$Q$60,0),MAX(MIN(DW$20,'01_Input'!$O$60)-'01_Input'!$N$60,0)*'01_Input'!$Q$60))+IF('01_Input'!$T$60="Forfait",IF(DW$20&gt;='01_Input'!$R$60,'01_Input'!$U$60,0),IF('01_Input'!$T$60="Palier",IF(AND(DW$20&gt;='01_Input'!$R$60,DW$20&lt;'01_Input'!$S$60),'01_Input'!$U$60,0),MAX(MIN(DW$20,'01_Input'!$S$60)-'01_Input'!$R$60,0)*'01_Input'!$U$60))+IF('01_Input'!$X$60="Forfait",IF(DW$20&gt;='01_Input'!$V$60,'01_Input'!$Y$60,0),IF('01_Input'!$X$60="Palier",IF(AND(DW$20&gt;='01_Input'!$V$60,DW$20&lt;'01_Input'!$W$60),'01_Input'!$Y$60,0),MAX(MIN(DW$20,'01_Input'!$W$60)-'01_Input'!$V$60,0)*'01_Input'!$Y$60))+IF('01_Input'!$AB$60="Forfait",IF(DW$20&gt;='01_Input'!$Z$60,'01_Input'!$AC$60,0),IF('01_Input'!$AB$60="Palier",IF(AND(DW$20&gt;='01_Input'!$Z$60,DW$20&lt;'01_Input'!$AA$60),'01_Input'!$AC$60,0),MAX(MIN(DW$20,'01_Input'!$AA$60)-'01_Input'!$Z$60,0)*'01_Input'!$AC$60)))))))))</f>
        <v>800</v>
      </c>
      <c r="DX28" s="83">
        <f>IF('01_Input'!$C$60="Non",0,MIN('01_Input'!$I$60,MAX('01_Input'!$H$60,IF('01_Input'!$G$60="Résiduel vs Gestion",0,IF('01_Input'!$G$60="Taux Classe sélectionnée",Distrib_Global_Classe_Selectionnee*DX$20,IF('01_Input'!$G$60="Frais KYC (paliers de 100M€)",MAX(0,Nb_Investisseurs-Nb_KYC_Gratuites_Par_Tranche*(FLOOR(DX$20/Taille_Tranche_KYC,1)+1))*Cout_Par_KYC_Supplementaire,(IF('01_Input'!$L$60="Forfait",IF(DX$20&gt;='01_Input'!$J$60,'01_Input'!$M$60,0),IF('01_Input'!$L$60="Palier",IF(AND(DX$20&gt;='01_Input'!$J$60,DX$20&lt;'01_Input'!$K$60),'01_Input'!$M$60,0),MAX(MIN(DX$20,'01_Input'!$K$60)-'01_Input'!$J$60,0)*'01_Input'!$M$60))+IF('01_Input'!$P$60="Forfait",IF(DX$20&gt;='01_Input'!$N$60,'01_Input'!$Q$60,0),IF('01_Input'!$P$60="Palier",IF(AND(DX$20&gt;='01_Input'!$N$60,DX$20&lt;'01_Input'!$O$60),'01_Input'!$Q$60,0),MAX(MIN(DX$20,'01_Input'!$O$60)-'01_Input'!$N$60,0)*'01_Input'!$Q$60))+IF('01_Input'!$T$60="Forfait",IF(DX$20&gt;='01_Input'!$R$60,'01_Input'!$U$60,0),IF('01_Input'!$T$60="Palier",IF(AND(DX$20&gt;='01_Input'!$R$60,DX$20&lt;'01_Input'!$S$60),'01_Input'!$U$60,0),MAX(MIN(DX$20,'01_Input'!$S$60)-'01_Input'!$R$60,0)*'01_Input'!$U$60))+IF('01_Input'!$X$60="Forfait",IF(DX$20&gt;='01_Input'!$V$60,'01_Input'!$Y$60,0),IF('01_Input'!$X$60="Palier",IF(AND(DX$20&gt;='01_Input'!$V$60,DX$20&lt;'01_Input'!$W$60),'01_Input'!$Y$60,0),MAX(MIN(DX$20,'01_Input'!$W$60)-'01_Input'!$V$60,0)*'01_Input'!$Y$60))+IF('01_Input'!$AB$60="Forfait",IF(DX$20&gt;='01_Input'!$Z$60,'01_Input'!$AC$60,0),IF('01_Input'!$AB$60="Palier",IF(AND(DX$20&gt;='01_Input'!$Z$60,DX$20&lt;'01_Input'!$AA$60),'01_Input'!$AC$60,0),MAX(MIN(DX$20,'01_Input'!$AA$60)-'01_Input'!$Z$60,0)*'01_Input'!$AC$60)))))))))</f>
        <v>800</v>
      </c>
      <c r="DY28" s="83">
        <f>IF('01_Input'!$C$60="Non",0,MIN('01_Input'!$I$60,MAX('01_Input'!$H$60,IF('01_Input'!$G$60="Résiduel vs Gestion",0,IF('01_Input'!$G$60="Taux Classe sélectionnée",Distrib_Global_Classe_Selectionnee*DY$20,IF('01_Input'!$G$60="Frais KYC (paliers de 100M€)",MAX(0,Nb_Investisseurs-Nb_KYC_Gratuites_Par_Tranche*(FLOOR(DY$20/Taille_Tranche_KYC,1)+1))*Cout_Par_KYC_Supplementaire,(IF('01_Input'!$L$60="Forfait",IF(DY$20&gt;='01_Input'!$J$60,'01_Input'!$M$60,0),IF('01_Input'!$L$60="Palier",IF(AND(DY$20&gt;='01_Input'!$J$60,DY$20&lt;'01_Input'!$K$60),'01_Input'!$M$60,0),MAX(MIN(DY$20,'01_Input'!$K$60)-'01_Input'!$J$60,0)*'01_Input'!$M$60))+IF('01_Input'!$P$60="Forfait",IF(DY$20&gt;='01_Input'!$N$60,'01_Input'!$Q$60,0),IF('01_Input'!$P$60="Palier",IF(AND(DY$20&gt;='01_Input'!$N$60,DY$20&lt;'01_Input'!$O$60),'01_Input'!$Q$60,0),MAX(MIN(DY$20,'01_Input'!$O$60)-'01_Input'!$N$60,0)*'01_Input'!$Q$60))+IF('01_Input'!$T$60="Forfait",IF(DY$20&gt;='01_Input'!$R$60,'01_Input'!$U$60,0),IF('01_Input'!$T$60="Palier",IF(AND(DY$20&gt;='01_Input'!$R$60,DY$20&lt;'01_Input'!$S$60),'01_Input'!$U$60,0),MAX(MIN(DY$20,'01_Input'!$S$60)-'01_Input'!$R$60,0)*'01_Input'!$U$60))+IF('01_Input'!$X$60="Forfait",IF(DY$20&gt;='01_Input'!$V$60,'01_Input'!$Y$60,0),IF('01_Input'!$X$60="Palier",IF(AND(DY$20&gt;='01_Input'!$V$60,DY$20&lt;'01_Input'!$W$60),'01_Input'!$Y$60,0),MAX(MIN(DY$20,'01_Input'!$W$60)-'01_Input'!$V$60,0)*'01_Input'!$Y$60))+IF('01_Input'!$AB$60="Forfait",IF(DY$20&gt;='01_Input'!$Z$60,'01_Input'!$AC$60,0),IF('01_Input'!$AB$60="Palier",IF(AND(DY$20&gt;='01_Input'!$Z$60,DY$20&lt;'01_Input'!$AA$60),'01_Input'!$AC$60,0),MAX(MIN(DY$20,'01_Input'!$AA$60)-'01_Input'!$Z$60,0)*'01_Input'!$AC$60)))))))))</f>
        <v>800</v>
      </c>
      <c r="DZ28" s="83">
        <f>IF('01_Input'!$C$60="Non",0,MIN('01_Input'!$I$60,MAX('01_Input'!$H$60,IF('01_Input'!$G$60="Résiduel vs Gestion",0,IF('01_Input'!$G$60="Taux Classe sélectionnée",Distrib_Global_Classe_Selectionnee*DZ$20,IF('01_Input'!$G$60="Frais KYC (paliers de 100M€)",MAX(0,Nb_Investisseurs-Nb_KYC_Gratuites_Par_Tranche*(FLOOR(DZ$20/Taille_Tranche_KYC,1)+1))*Cout_Par_KYC_Supplementaire,(IF('01_Input'!$L$60="Forfait",IF(DZ$20&gt;='01_Input'!$J$60,'01_Input'!$M$60,0),IF('01_Input'!$L$60="Palier",IF(AND(DZ$20&gt;='01_Input'!$J$60,DZ$20&lt;'01_Input'!$K$60),'01_Input'!$M$60,0),MAX(MIN(DZ$20,'01_Input'!$K$60)-'01_Input'!$J$60,0)*'01_Input'!$M$60))+IF('01_Input'!$P$60="Forfait",IF(DZ$20&gt;='01_Input'!$N$60,'01_Input'!$Q$60,0),IF('01_Input'!$P$60="Palier",IF(AND(DZ$20&gt;='01_Input'!$N$60,DZ$20&lt;'01_Input'!$O$60),'01_Input'!$Q$60,0),MAX(MIN(DZ$20,'01_Input'!$O$60)-'01_Input'!$N$60,0)*'01_Input'!$Q$60))+IF('01_Input'!$T$60="Forfait",IF(DZ$20&gt;='01_Input'!$R$60,'01_Input'!$U$60,0),IF('01_Input'!$T$60="Palier",IF(AND(DZ$20&gt;='01_Input'!$R$60,DZ$20&lt;'01_Input'!$S$60),'01_Input'!$U$60,0),MAX(MIN(DZ$20,'01_Input'!$S$60)-'01_Input'!$R$60,0)*'01_Input'!$U$60))+IF('01_Input'!$X$60="Forfait",IF(DZ$20&gt;='01_Input'!$V$60,'01_Input'!$Y$60,0),IF('01_Input'!$X$60="Palier",IF(AND(DZ$20&gt;='01_Input'!$V$60,DZ$20&lt;'01_Input'!$W$60),'01_Input'!$Y$60,0),MAX(MIN(DZ$20,'01_Input'!$W$60)-'01_Input'!$V$60,0)*'01_Input'!$Y$60))+IF('01_Input'!$AB$60="Forfait",IF(DZ$20&gt;='01_Input'!$Z$60,'01_Input'!$AC$60,0),IF('01_Input'!$AB$60="Palier",IF(AND(DZ$20&gt;='01_Input'!$Z$60,DZ$20&lt;'01_Input'!$AA$60),'01_Input'!$AC$60,0),MAX(MIN(DZ$20,'01_Input'!$AA$60)-'01_Input'!$Z$60,0)*'01_Input'!$AC$60)))))))))</f>
        <v>800</v>
      </c>
      <c r="EA28" s="83">
        <f>IF('01_Input'!$C$60="Non",0,MIN('01_Input'!$I$60,MAX('01_Input'!$H$60,IF('01_Input'!$G$60="Résiduel vs Gestion",0,IF('01_Input'!$G$60="Taux Classe sélectionnée",Distrib_Global_Classe_Selectionnee*EA$20,IF('01_Input'!$G$60="Frais KYC (paliers de 100M€)",MAX(0,Nb_Investisseurs-Nb_KYC_Gratuites_Par_Tranche*(FLOOR(EA$20/Taille_Tranche_KYC,1)+1))*Cout_Par_KYC_Supplementaire,(IF('01_Input'!$L$60="Forfait",IF(EA$20&gt;='01_Input'!$J$60,'01_Input'!$M$60,0),IF('01_Input'!$L$60="Palier",IF(AND(EA$20&gt;='01_Input'!$J$60,EA$20&lt;'01_Input'!$K$60),'01_Input'!$M$60,0),MAX(MIN(EA$20,'01_Input'!$K$60)-'01_Input'!$J$60,0)*'01_Input'!$M$60))+IF('01_Input'!$P$60="Forfait",IF(EA$20&gt;='01_Input'!$N$60,'01_Input'!$Q$60,0),IF('01_Input'!$P$60="Palier",IF(AND(EA$20&gt;='01_Input'!$N$60,EA$20&lt;'01_Input'!$O$60),'01_Input'!$Q$60,0),MAX(MIN(EA$20,'01_Input'!$O$60)-'01_Input'!$N$60,0)*'01_Input'!$Q$60))+IF('01_Input'!$T$60="Forfait",IF(EA$20&gt;='01_Input'!$R$60,'01_Input'!$U$60,0),IF('01_Input'!$T$60="Palier",IF(AND(EA$20&gt;='01_Input'!$R$60,EA$20&lt;'01_Input'!$S$60),'01_Input'!$U$60,0),MAX(MIN(EA$20,'01_Input'!$S$60)-'01_Input'!$R$60,0)*'01_Input'!$U$60))+IF('01_Input'!$X$60="Forfait",IF(EA$20&gt;='01_Input'!$V$60,'01_Input'!$Y$60,0),IF('01_Input'!$X$60="Palier",IF(AND(EA$20&gt;='01_Input'!$V$60,EA$20&lt;'01_Input'!$W$60),'01_Input'!$Y$60,0),MAX(MIN(EA$20,'01_Input'!$W$60)-'01_Input'!$V$60,0)*'01_Input'!$Y$60))+IF('01_Input'!$AB$60="Forfait",IF(EA$20&gt;='01_Input'!$Z$60,'01_Input'!$AC$60,0),IF('01_Input'!$AB$60="Palier",IF(AND(EA$20&gt;='01_Input'!$Z$60,EA$20&lt;'01_Input'!$AA$60),'01_Input'!$AC$60,0),MAX(MIN(EA$20,'01_Input'!$AA$60)-'01_Input'!$Z$60,0)*'01_Input'!$AC$60)))))))))</f>
        <v>800</v>
      </c>
      <c r="EB28" s="83">
        <f>IF('01_Input'!$C$60="Non",0,MIN('01_Input'!$I$60,MAX('01_Input'!$H$60,IF('01_Input'!$G$60="Résiduel vs Gestion",0,IF('01_Input'!$G$60="Taux Classe sélectionnée",Distrib_Global_Classe_Selectionnee*EB$20,IF('01_Input'!$G$60="Frais KYC (paliers de 100M€)",MAX(0,Nb_Investisseurs-Nb_KYC_Gratuites_Par_Tranche*(FLOOR(EB$20/Taille_Tranche_KYC,1)+1))*Cout_Par_KYC_Supplementaire,(IF('01_Input'!$L$60="Forfait",IF(EB$20&gt;='01_Input'!$J$60,'01_Input'!$M$60,0),IF('01_Input'!$L$60="Palier",IF(AND(EB$20&gt;='01_Input'!$J$60,EB$20&lt;'01_Input'!$K$60),'01_Input'!$M$60,0),MAX(MIN(EB$20,'01_Input'!$K$60)-'01_Input'!$J$60,0)*'01_Input'!$M$60))+IF('01_Input'!$P$60="Forfait",IF(EB$20&gt;='01_Input'!$N$60,'01_Input'!$Q$60,0),IF('01_Input'!$P$60="Palier",IF(AND(EB$20&gt;='01_Input'!$N$60,EB$20&lt;'01_Input'!$O$60),'01_Input'!$Q$60,0),MAX(MIN(EB$20,'01_Input'!$O$60)-'01_Input'!$N$60,0)*'01_Input'!$Q$60))+IF('01_Input'!$T$60="Forfait",IF(EB$20&gt;='01_Input'!$R$60,'01_Input'!$U$60,0),IF('01_Input'!$T$60="Palier",IF(AND(EB$20&gt;='01_Input'!$R$60,EB$20&lt;'01_Input'!$S$60),'01_Input'!$U$60,0),MAX(MIN(EB$20,'01_Input'!$S$60)-'01_Input'!$R$60,0)*'01_Input'!$U$60))+IF('01_Input'!$X$60="Forfait",IF(EB$20&gt;='01_Input'!$V$60,'01_Input'!$Y$60,0),IF('01_Input'!$X$60="Palier",IF(AND(EB$20&gt;='01_Input'!$V$60,EB$20&lt;'01_Input'!$W$60),'01_Input'!$Y$60,0),MAX(MIN(EB$20,'01_Input'!$W$60)-'01_Input'!$V$60,0)*'01_Input'!$Y$60))+IF('01_Input'!$AB$60="Forfait",IF(EB$20&gt;='01_Input'!$Z$60,'01_Input'!$AC$60,0),IF('01_Input'!$AB$60="Palier",IF(AND(EB$20&gt;='01_Input'!$Z$60,EB$20&lt;'01_Input'!$AA$60),'01_Input'!$AC$60,0),MAX(MIN(EB$20,'01_Input'!$AA$60)-'01_Input'!$Z$60,0)*'01_Input'!$AC$60)))))))))</f>
        <v>800</v>
      </c>
      <c r="EC28" s="83">
        <f>IF('01_Input'!$C$60="Non",0,MIN('01_Input'!$I$60,MAX('01_Input'!$H$60,IF('01_Input'!$G$60="Résiduel vs Gestion",0,IF('01_Input'!$G$60="Taux Classe sélectionnée",Distrib_Global_Classe_Selectionnee*EC$20,IF('01_Input'!$G$60="Frais KYC (paliers de 100M€)",MAX(0,Nb_Investisseurs-Nb_KYC_Gratuites_Par_Tranche*(FLOOR(EC$20/Taille_Tranche_KYC,1)+1))*Cout_Par_KYC_Supplementaire,(IF('01_Input'!$L$60="Forfait",IF(EC$20&gt;='01_Input'!$J$60,'01_Input'!$M$60,0),IF('01_Input'!$L$60="Palier",IF(AND(EC$20&gt;='01_Input'!$J$60,EC$20&lt;'01_Input'!$K$60),'01_Input'!$M$60,0),MAX(MIN(EC$20,'01_Input'!$K$60)-'01_Input'!$J$60,0)*'01_Input'!$M$60))+IF('01_Input'!$P$60="Forfait",IF(EC$20&gt;='01_Input'!$N$60,'01_Input'!$Q$60,0),IF('01_Input'!$P$60="Palier",IF(AND(EC$20&gt;='01_Input'!$N$60,EC$20&lt;'01_Input'!$O$60),'01_Input'!$Q$60,0),MAX(MIN(EC$20,'01_Input'!$O$60)-'01_Input'!$N$60,0)*'01_Input'!$Q$60))+IF('01_Input'!$T$60="Forfait",IF(EC$20&gt;='01_Input'!$R$60,'01_Input'!$U$60,0),IF('01_Input'!$T$60="Palier",IF(AND(EC$20&gt;='01_Input'!$R$60,EC$20&lt;'01_Input'!$S$60),'01_Input'!$U$60,0),MAX(MIN(EC$20,'01_Input'!$S$60)-'01_Input'!$R$60,0)*'01_Input'!$U$60))+IF('01_Input'!$X$60="Forfait",IF(EC$20&gt;='01_Input'!$V$60,'01_Input'!$Y$60,0),IF('01_Input'!$X$60="Palier",IF(AND(EC$20&gt;='01_Input'!$V$60,EC$20&lt;'01_Input'!$W$60),'01_Input'!$Y$60,0),MAX(MIN(EC$20,'01_Input'!$W$60)-'01_Input'!$V$60,0)*'01_Input'!$Y$60))+IF('01_Input'!$AB$60="Forfait",IF(EC$20&gt;='01_Input'!$Z$60,'01_Input'!$AC$60,0),IF('01_Input'!$AB$60="Palier",IF(AND(EC$20&gt;='01_Input'!$Z$60,EC$20&lt;'01_Input'!$AA$60),'01_Input'!$AC$60,0),MAX(MIN(EC$20,'01_Input'!$AA$60)-'01_Input'!$Z$60,0)*'01_Input'!$AC$60)))))))))</f>
        <v>800</v>
      </c>
      <c r="ED28" s="83">
        <f>IF('01_Input'!$C$60="Non",0,MIN('01_Input'!$I$60,MAX('01_Input'!$H$60,IF('01_Input'!$G$60="Résiduel vs Gestion",0,IF('01_Input'!$G$60="Taux Classe sélectionnée",Distrib_Global_Classe_Selectionnee*ED$20,IF('01_Input'!$G$60="Frais KYC (paliers de 100M€)",MAX(0,Nb_Investisseurs-Nb_KYC_Gratuites_Par_Tranche*(FLOOR(ED$20/Taille_Tranche_KYC,1)+1))*Cout_Par_KYC_Supplementaire,(IF('01_Input'!$L$60="Forfait",IF(ED$20&gt;='01_Input'!$J$60,'01_Input'!$M$60,0),IF('01_Input'!$L$60="Palier",IF(AND(ED$20&gt;='01_Input'!$J$60,ED$20&lt;'01_Input'!$K$60),'01_Input'!$M$60,0),MAX(MIN(ED$20,'01_Input'!$K$60)-'01_Input'!$J$60,0)*'01_Input'!$M$60))+IF('01_Input'!$P$60="Forfait",IF(ED$20&gt;='01_Input'!$N$60,'01_Input'!$Q$60,0),IF('01_Input'!$P$60="Palier",IF(AND(ED$20&gt;='01_Input'!$N$60,ED$20&lt;'01_Input'!$O$60),'01_Input'!$Q$60,0),MAX(MIN(ED$20,'01_Input'!$O$60)-'01_Input'!$N$60,0)*'01_Input'!$Q$60))+IF('01_Input'!$T$60="Forfait",IF(ED$20&gt;='01_Input'!$R$60,'01_Input'!$U$60,0),IF('01_Input'!$T$60="Palier",IF(AND(ED$20&gt;='01_Input'!$R$60,ED$20&lt;'01_Input'!$S$60),'01_Input'!$U$60,0),MAX(MIN(ED$20,'01_Input'!$S$60)-'01_Input'!$R$60,0)*'01_Input'!$U$60))+IF('01_Input'!$X$60="Forfait",IF(ED$20&gt;='01_Input'!$V$60,'01_Input'!$Y$60,0),IF('01_Input'!$X$60="Palier",IF(AND(ED$20&gt;='01_Input'!$V$60,ED$20&lt;'01_Input'!$W$60),'01_Input'!$Y$60,0),MAX(MIN(ED$20,'01_Input'!$W$60)-'01_Input'!$V$60,0)*'01_Input'!$Y$60))+IF('01_Input'!$AB$60="Forfait",IF(ED$20&gt;='01_Input'!$Z$60,'01_Input'!$AC$60,0),IF('01_Input'!$AB$60="Palier",IF(AND(ED$20&gt;='01_Input'!$Z$60,ED$20&lt;'01_Input'!$AA$60),'01_Input'!$AC$60,0),MAX(MIN(ED$20,'01_Input'!$AA$60)-'01_Input'!$Z$60,0)*'01_Input'!$AC$60)))))))))</f>
        <v>800</v>
      </c>
      <c r="EE28" s="83">
        <f>IF('01_Input'!$C$60="Non",0,MIN('01_Input'!$I$60,MAX('01_Input'!$H$60,IF('01_Input'!$G$60="Résiduel vs Gestion",0,IF('01_Input'!$G$60="Taux Classe sélectionnée",Distrib_Global_Classe_Selectionnee*EE$20,IF('01_Input'!$G$60="Frais KYC (paliers de 100M€)",MAX(0,Nb_Investisseurs-Nb_KYC_Gratuites_Par_Tranche*(FLOOR(EE$20/Taille_Tranche_KYC,1)+1))*Cout_Par_KYC_Supplementaire,(IF('01_Input'!$L$60="Forfait",IF(EE$20&gt;='01_Input'!$J$60,'01_Input'!$M$60,0),IF('01_Input'!$L$60="Palier",IF(AND(EE$20&gt;='01_Input'!$J$60,EE$20&lt;'01_Input'!$K$60),'01_Input'!$M$60,0),MAX(MIN(EE$20,'01_Input'!$K$60)-'01_Input'!$J$60,0)*'01_Input'!$M$60))+IF('01_Input'!$P$60="Forfait",IF(EE$20&gt;='01_Input'!$N$60,'01_Input'!$Q$60,0),IF('01_Input'!$P$60="Palier",IF(AND(EE$20&gt;='01_Input'!$N$60,EE$20&lt;'01_Input'!$O$60),'01_Input'!$Q$60,0),MAX(MIN(EE$20,'01_Input'!$O$60)-'01_Input'!$N$60,0)*'01_Input'!$Q$60))+IF('01_Input'!$T$60="Forfait",IF(EE$20&gt;='01_Input'!$R$60,'01_Input'!$U$60,0),IF('01_Input'!$T$60="Palier",IF(AND(EE$20&gt;='01_Input'!$R$60,EE$20&lt;'01_Input'!$S$60),'01_Input'!$U$60,0),MAX(MIN(EE$20,'01_Input'!$S$60)-'01_Input'!$R$60,0)*'01_Input'!$U$60))+IF('01_Input'!$X$60="Forfait",IF(EE$20&gt;='01_Input'!$V$60,'01_Input'!$Y$60,0),IF('01_Input'!$X$60="Palier",IF(AND(EE$20&gt;='01_Input'!$V$60,EE$20&lt;'01_Input'!$W$60),'01_Input'!$Y$60,0),MAX(MIN(EE$20,'01_Input'!$W$60)-'01_Input'!$V$60,0)*'01_Input'!$Y$60))+IF('01_Input'!$AB$60="Forfait",IF(EE$20&gt;='01_Input'!$Z$60,'01_Input'!$AC$60,0),IF('01_Input'!$AB$60="Palier",IF(AND(EE$20&gt;='01_Input'!$Z$60,EE$20&lt;'01_Input'!$AA$60),'01_Input'!$AC$60,0),MAX(MIN(EE$20,'01_Input'!$AA$60)-'01_Input'!$Z$60,0)*'01_Input'!$AC$60)))))))))</f>
        <v>800</v>
      </c>
      <c r="EF28" s="83">
        <f>IF('01_Input'!$C$60="Non",0,MIN('01_Input'!$I$60,MAX('01_Input'!$H$60,IF('01_Input'!$G$60="Résiduel vs Gestion",0,IF('01_Input'!$G$60="Taux Classe sélectionnée",Distrib_Global_Classe_Selectionnee*EF$20,IF('01_Input'!$G$60="Frais KYC (paliers de 100M€)",MAX(0,Nb_Investisseurs-Nb_KYC_Gratuites_Par_Tranche*(FLOOR(EF$20/Taille_Tranche_KYC,1)+1))*Cout_Par_KYC_Supplementaire,(IF('01_Input'!$L$60="Forfait",IF(EF$20&gt;='01_Input'!$J$60,'01_Input'!$M$60,0),IF('01_Input'!$L$60="Palier",IF(AND(EF$20&gt;='01_Input'!$J$60,EF$20&lt;'01_Input'!$K$60),'01_Input'!$M$60,0),MAX(MIN(EF$20,'01_Input'!$K$60)-'01_Input'!$J$60,0)*'01_Input'!$M$60))+IF('01_Input'!$P$60="Forfait",IF(EF$20&gt;='01_Input'!$N$60,'01_Input'!$Q$60,0),IF('01_Input'!$P$60="Palier",IF(AND(EF$20&gt;='01_Input'!$N$60,EF$20&lt;'01_Input'!$O$60),'01_Input'!$Q$60,0),MAX(MIN(EF$20,'01_Input'!$O$60)-'01_Input'!$N$60,0)*'01_Input'!$Q$60))+IF('01_Input'!$T$60="Forfait",IF(EF$20&gt;='01_Input'!$R$60,'01_Input'!$U$60,0),IF('01_Input'!$T$60="Palier",IF(AND(EF$20&gt;='01_Input'!$R$60,EF$20&lt;'01_Input'!$S$60),'01_Input'!$U$60,0),MAX(MIN(EF$20,'01_Input'!$S$60)-'01_Input'!$R$60,0)*'01_Input'!$U$60))+IF('01_Input'!$X$60="Forfait",IF(EF$20&gt;='01_Input'!$V$60,'01_Input'!$Y$60,0),IF('01_Input'!$X$60="Palier",IF(AND(EF$20&gt;='01_Input'!$V$60,EF$20&lt;'01_Input'!$W$60),'01_Input'!$Y$60,0),MAX(MIN(EF$20,'01_Input'!$W$60)-'01_Input'!$V$60,0)*'01_Input'!$Y$60))+IF('01_Input'!$AB$60="Forfait",IF(EF$20&gt;='01_Input'!$Z$60,'01_Input'!$AC$60,0),IF('01_Input'!$AB$60="Palier",IF(AND(EF$20&gt;='01_Input'!$Z$60,EF$20&lt;'01_Input'!$AA$60),'01_Input'!$AC$60,0),MAX(MIN(EF$20,'01_Input'!$AA$60)-'01_Input'!$Z$60,0)*'01_Input'!$AC$60)))))))))</f>
        <v>800</v>
      </c>
      <c r="EG28" s="83">
        <f>IF('01_Input'!$C$60="Non",0,MIN('01_Input'!$I$60,MAX('01_Input'!$H$60,IF('01_Input'!$G$60="Résiduel vs Gestion",0,IF('01_Input'!$G$60="Taux Classe sélectionnée",Distrib_Global_Classe_Selectionnee*EG$20,IF('01_Input'!$G$60="Frais KYC (paliers de 100M€)",MAX(0,Nb_Investisseurs-Nb_KYC_Gratuites_Par_Tranche*(FLOOR(EG$20/Taille_Tranche_KYC,1)+1))*Cout_Par_KYC_Supplementaire,(IF('01_Input'!$L$60="Forfait",IF(EG$20&gt;='01_Input'!$J$60,'01_Input'!$M$60,0),IF('01_Input'!$L$60="Palier",IF(AND(EG$20&gt;='01_Input'!$J$60,EG$20&lt;'01_Input'!$K$60),'01_Input'!$M$60,0),MAX(MIN(EG$20,'01_Input'!$K$60)-'01_Input'!$J$60,0)*'01_Input'!$M$60))+IF('01_Input'!$P$60="Forfait",IF(EG$20&gt;='01_Input'!$N$60,'01_Input'!$Q$60,0),IF('01_Input'!$P$60="Palier",IF(AND(EG$20&gt;='01_Input'!$N$60,EG$20&lt;'01_Input'!$O$60),'01_Input'!$Q$60,0),MAX(MIN(EG$20,'01_Input'!$O$60)-'01_Input'!$N$60,0)*'01_Input'!$Q$60))+IF('01_Input'!$T$60="Forfait",IF(EG$20&gt;='01_Input'!$R$60,'01_Input'!$U$60,0),IF('01_Input'!$T$60="Palier",IF(AND(EG$20&gt;='01_Input'!$R$60,EG$20&lt;'01_Input'!$S$60),'01_Input'!$U$60,0),MAX(MIN(EG$20,'01_Input'!$S$60)-'01_Input'!$R$60,0)*'01_Input'!$U$60))+IF('01_Input'!$X$60="Forfait",IF(EG$20&gt;='01_Input'!$V$60,'01_Input'!$Y$60,0),IF('01_Input'!$X$60="Palier",IF(AND(EG$20&gt;='01_Input'!$V$60,EG$20&lt;'01_Input'!$W$60),'01_Input'!$Y$60,0),MAX(MIN(EG$20,'01_Input'!$W$60)-'01_Input'!$V$60,0)*'01_Input'!$Y$60))+IF('01_Input'!$AB$60="Forfait",IF(EG$20&gt;='01_Input'!$Z$60,'01_Input'!$AC$60,0),IF('01_Input'!$AB$60="Palier",IF(AND(EG$20&gt;='01_Input'!$Z$60,EG$20&lt;'01_Input'!$AA$60),'01_Input'!$AC$60,0),MAX(MIN(EG$20,'01_Input'!$AA$60)-'01_Input'!$Z$60,0)*'01_Input'!$AC$60)))))))))</f>
        <v>800</v>
      </c>
      <c r="EH28" s="83">
        <f>IF('01_Input'!$C$60="Non",0,MIN('01_Input'!$I$60,MAX('01_Input'!$H$60,IF('01_Input'!$G$60="Résiduel vs Gestion",0,IF('01_Input'!$G$60="Taux Classe sélectionnée",Distrib_Global_Classe_Selectionnee*EH$20,IF('01_Input'!$G$60="Frais KYC (paliers de 100M€)",MAX(0,Nb_Investisseurs-Nb_KYC_Gratuites_Par_Tranche*(FLOOR(EH$20/Taille_Tranche_KYC,1)+1))*Cout_Par_KYC_Supplementaire,(IF('01_Input'!$L$60="Forfait",IF(EH$20&gt;='01_Input'!$J$60,'01_Input'!$M$60,0),IF('01_Input'!$L$60="Palier",IF(AND(EH$20&gt;='01_Input'!$J$60,EH$20&lt;'01_Input'!$K$60),'01_Input'!$M$60,0),MAX(MIN(EH$20,'01_Input'!$K$60)-'01_Input'!$J$60,0)*'01_Input'!$M$60))+IF('01_Input'!$P$60="Forfait",IF(EH$20&gt;='01_Input'!$N$60,'01_Input'!$Q$60,0),IF('01_Input'!$P$60="Palier",IF(AND(EH$20&gt;='01_Input'!$N$60,EH$20&lt;'01_Input'!$O$60),'01_Input'!$Q$60,0),MAX(MIN(EH$20,'01_Input'!$O$60)-'01_Input'!$N$60,0)*'01_Input'!$Q$60))+IF('01_Input'!$T$60="Forfait",IF(EH$20&gt;='01_Input'!$R$60,'01_Input'!$U$60,0),IF('01_Input'!$T$60="Palier",IF(AND(EH$20&gt;='01_Input'!$R$60,EH$20&lt;'01_Input'!$S$60),'01_Input'!$U$60,0),MAX(MIN(EH$20,'01_Input'!$S$60)-'01_Input'!$R$60,0)*'01_Input'!$U$60))+IF('01_Input'!$X$60="Forfait",IF(EH$20&gt;='01_Input'!$V$60,'01_Input'!$Y$60,0),IF('01_Input'!$X$60="Palier",IF(AND(EH$20&gt;='01_Input'!$V$60,EH$20&lt;'01_Input'!$W$60),'01_Input'!$Y$60,0),MAX(MIN(EH$20,'01_Input'!$W$60)-'01_Input'!$V$60,0)*'01_Input'!$Y$60))+IF('01_Input'!$AB$60="Forfait",IF(EH$20&gt;='01_Input'!$Z$60,'01_Input'!$AC$60,0),IF('01_Input'!$AB$60="Palier",IF(AND(EH$20&gt;='01_Input'!$Z$60,EH$20&lt;'01_Input'!$AA$60),'01_Input'!$AC$60,0),MAX(MIN(EH$20,'01_Input'!$AA$60)-'01_Input'!$Z$60,0)*'01_Input'!$AC$60)))))))))</f>
        <v>800</v>
      </c>
      <c r="EI28" s="83">
        <f>IF('01_Input'!$C$60="Non",0,MIN('01_Input'!$I$60,MAX('01_Input'!$H$60,IF('01_Input'!$G$60="Résiduel vs Gestion",0,IF('01_Input'!$G$60="Taux Classe sélectionnée",Distrib_Global_Classe_Selectionnee*EI$20,IF('01_Input'!$G$60="Frais KYC (paliers de 100M€)",MAX(0,Nb_Investisseurs-Nb_KYC_Gratuites_Par_Tranche*(FLOOR(EI$20/Taille_Tranche_KYC,1)+1))*Cout_Par_KYC_Supplementaire,(IF('01_Input'!$L$60="Forfait",IF(EI$20&gt;='01_Input'!$J$60,'01_Input'!$M$60,0),IF('01_Input'!$L$60="Palier",IF(AND(EI$20&gt;='01_Input'!$J$60,EI$20&lt;'01_Input'!$K$60),'01_Input'!$M$60,0),MAX(MIN(EI$20,'01_Input'!$K$60)-'01_Input'!$J$60,0)*'01_Input'!$M$60))+IF('01_Input'!$P$60="Forfait",IF(EI$20&gt;='01_Input'!$N$60,'01_Input'!$Q$60,0),IF('01_Input'!$P$60="Palier",IF(AND(EI$20&gt;='01_Input'!$N$60,EI$20&lt;'01_Input'!$O$60),'01_Input'!$Q$60,0),MAX(MIN(EI$20,'01_Input'!$O$60)-'01_Input'!$N$60,0)*'01_Input'!$Q$60))+IF('01_Input'!$T$60="Forfait",IF(EI$20&gt;='01_Input'!$R$60,'01_Input'!$U$60,0),IF('01_Input'!$T$60="Palier",IF(AND(EI$20&gt;='01_Input'!$R$60,EI$20&lt;'01_Input'!$S$60),'01_Input'!$U$60,0),MAX(MIN(EI$20,'01_Input'!$S$60)-'01_Input'!$R$60,0)*'01_Input'!$U$60))+IF('01_Input'!$X$60="Forfait",IF(EI$20&gt;='01_Input'!$V$60,'01_Input'!$Y$60,0),IF('01_Input'!$X$60="Palier",IF(AND(EI$20&gt;='01_Input'!$V$60,EI$20&lt;'01_Input'!$W$60),'01_Input'!$Y$60,0),MAX(MIN(EI$20,'01_Input'!$W$60)-'01_Input'!$V$60,0)*'01_Input'!$Y$60))+IF('01_Input'!$AB$60="Forfait",IF(EI$20&gt;='01_Input'!$Z$60,'01_Input'!$AC$60,0),IF('01_Input'!$AB$60="Palier",IF(AND(EI$20&gt;='01_Input'!$Z$60,EI$20&lt;'01_Input'!$AA$60),'01_Input'!$AC$60,0),MAX(MIN(EI$20,'01_Input'!$AA$60)-'01_Input'!$Z$60,0)*'01_Input'!$AC$60)))))))))</f>
        <v>800</v>
      </c>
      <c r="EJ28" s="83">
        <f>IF('01_Input'!$C$60="Non",0,MIN('01_Input'!$I$60,MAX('01_Input'!$H$60,IF('01_Input'!$G$60="Résiduel vs Gestion",0,IF('01_Input'!$G$60="Taux Classe sélectionnée",Distrib_Global_Classe_Selectionnee*EJ$20,IF('01_Input'!$G$60="Frais KYC (paliers de 100M€)",MAX(0,Nb_Investisseurs-Nb_KYC_Gratuites_Par_Tranche*(FLOOR(EJ$20/Taille_Tranche_KYC,1)+1))*Cout_Par_KYC_Supplementaire,(IF('01_Input'!$L$60="Forfait",IF(EJ$20&gt;='01_Input'!$J$60,'01_Input'!$M$60,0),IF('01_Input'!$L$60="Palier",IF(AND(EJ$20&gt;='01_Input'!$J$60,EJ$20&lt;'01_Input'!$K$60),'01_Input'!$M$60,0),MAX(MIN(EJ$20,'01_Input'!$K$60)-'01_Input'!$J$60,0)*'01_Input'!$M$60))+IF('01_Input'!$P$60="Forfait",IF(EJ$20&gt;='01_Input'!$N$60,'01_Input'!$Q$60,0),IF('01_Input'!$P$60="Palier",IF(AND(EJ$20&gt;='01_Input'!$N$60,EJ$20&lt;'01_Input'!$O$60),'01_Input'!$Q$60,0),MAX(MIN(EJ$20,'01_Input'!$O$60)-'01_Input'!$N$60,0)*'01_Input'!$Q$60))+IF('01_Input'!$T$60="Forfait",IF(EJ$20&gt;='01_Input'!$R$60,'01_Input'!$U$60,0),IF('01_Input'!$T$60="Palier",IF(AND(EJ$20&gt;='01_Input'!$R$60,EJ$20&lt;'01_Input'!$S$60),'01_Input'!$U$60,0),MAX(MIN(EJ$20,'01_Input'!$S$60)-'01_Input'!$R$60,0)*'01_Input'!$U$60))+IF('01_Input'!$X$60="Forfait",IF(EJ$20&gt;='01_Input'!$V$60,'01_Input'!$Y$60,0),IF('01_Input'!$X$60="Palier",IF(AND(EJ$20&gt;='01_Input'!$V$60,EJ$20&lt;'01_Input'!$W$60),'01_Input'!$Y$60,0),MAX(MIN(EJ$20,'01_Input'!$W$60)-'01_Input'!$V$60,0)*'01_Input'!$Y$60))+IF('01_Input'!$AB$60="Forfait",IF(EJ$20&gt;='01_Input'!$Z$60,'01_Input'!$AC$60,0),IF('01_Input'!$AB$60="Palier",IF(AND(EJ$20&gt;='01_Input'!$Z$60,EJ$20&lt;'01_Input'!$AA$60),'01_Input'!$AC$60,0),MAX(MIN(EJ$20,'01_Input'!$AA$60)-'01_Input'!$Z$60,0)*'01_Input'!$AC$60)))))))))</f>
        <v>800</v>
      </c>
      <c r="EK28" s="83">
        <f>IF('01_Input'!$C$60="Non",0,MIN('01_Input'!$I$60,MAX('01_Input'!$H$60,IF('01_Input'!$G$60="Résiduel vs Gestion",0,IF('01_Input'!$G$60="Taux Classe sélectionnée",Distrib_Global_Classe_Selectionnee*EK$20,IF('01_Input'!$G$60="Frais KYC (paliers de 100M€)",MAX(0,Nb_Investisseurs-Nb_KYC_Gratuites_Par_Tranche*(FLOOR(EK$20/Taille_Tranche_KYC,1)+1))*Cout_Par_KYC_Supplementaire,(IF('01_Input'!$L$60="Forfait",IF(EK$20&gt;='01_Input'!$J$60,'01_Input'!$M$60,0),IF('01_Input'!$L$60="Palier",IF(AND(EK$20&gt;='01_Input'!$J$60,EK$20&lt;'01_Input'!$K$60),'01_Input'!$M$60,0),MAX(MIN(EK$20,'01_Input'!$K$60)-'01_Input'!$J$60,0)*'01_Input'!$M$60))+IF('01_Input'!$P$60="Forfait",IF(EK$20&gt;='01_Input'!$N$60,'01_Input'!$Q$60,0),IF('01_Input'!$P$60="Palier",IF(AND(EK$20&gt;='01_Input'!$N$60,EK$20&lt;'01_Input'!$O$60),'01_Input'!$Q$60,0),MAX(MIN(EK$20,'01_Input'!$O$60)-'01_Input'!$N$60,0)*'01_Input'!$Q$60))+IF('01_Input'!$T$60="Forfait",IF(EK$20&gt;='01_Input'!$R$60,'01_Input'!$U$60,0),IF('01_Input'!$T$60="Palier",IF(AND(EK$20&gt;='01_Input'!$R$60,EK$20&lt;'01_Input'!$S$60),'01_Input'!$U$60,0),MAX(MIN(EK$20,'01_Input'!$S$60)-'01_Input'!$R$60,0)*'01_Input'!$U$60))+IF('01_Input'!$X$60="Forfait",IF(EK$20&gt;='01_Input'!$V$60,'01_Input'!$Y$60,0),IF('01_Input'!$X$60="Palier",IF(AND(EK$20&gt;='01_Input'!$V$60,EK$20&lt;'01_Input'!$W$60),'01_Input'!$Y$60,0),MAX(MIN(EK$20,'01_Input'!$W$60)-'01_Input'!$V$60,0)*'01_Input'!$Y$60))+IF('01_Input'!$AB$60="Forfait",IF(EK$20&gt;='01_Input'!$Z$60,'01_Input'!$AC$60,0),IF('01_Input'!$AB$60="Palier",IF(AND(EK$20&gt;='01_Input'!$Z$60,EK$20&lt;'01_Input'!$AA$60),'01_Input'!$AC$60,0),MAX(MIN(EK$20,'01_Input'!$AA$60)-'01_Input'!$Z$60,0)*'01_Input'!$AC$60)))))))))</f>
        <v>800</v>
      </c>
      <c r="EL28" s="83">
        <f>IF('01_Input'!$C$60="Non",0,MIN('01_Input'!$I$60,MAX('01_Input'!$H$60,IF('01_Input'!$G$60="Résiduel vs Gestion",0,IF('01_Input'!$G$60="Taux Classe sélectionnée",Distrib_Global_Classe_Selectionnee*EL$20,IF('01_Input'!$G$60="Frais KYC (paliers de 100M€)",MAX(0,Nb_Investisseurs-Nb_KYC_Gratuites_Par_Tranche*(FLOOR(EL$20/Taille_Tranche_KYC,1)+1))*Cout_Par_KYC_Supplementaire,(IF('01_Input'!$L$60="Forfait",IF(EL$20&gt;='01_Input'!$J$60,'01_Input'!$M$60,0),IF('01_Input'!$L$60="Palier",IF(AND(EL$20&gt;='01_Input'!$J$60,EL$20&lt;'01_Input'!$K$60),'01_Input'!$M$60,0),MAX(MIN(EL$20,'01_Input'!$K$60)-'01_Input'!$J$60,0)*'01_Input'!$M$60))+IF('01_Input'!$P$60="Forfait",IF(EL$20&gt;='01_Input'!$N$60,'01_Input'!$Q$60,0),IF('01_Input'!$P$60="Palier",IF(AND(EL$20&gt;='01_Input'!$N$60,EL$20&lt;'01_Input'!$O$60),'01_Input'!$Q$60,0),MAX(MIN(EL$20,'01_Input'!$O$60)-'01_Input'!$N$60,0)*'01_Input'!$Q$60))+IF('01_Input'!$T$60="Forfait",IF(EL$20&gt;='01_Input'!$R$60,'01_Input'!$U$60,0),IF('01_Input'!$T$60="Palier",IF(AND(EL$20&gt;='01_Input'!$R$60,EL$20&lt;'01_Input'!$S$60),'01_Input'!$U$60,0),MAX(MIN(EL$20,'01_Input'!$S$60)-'01_Input'!$R$60,0)*'01_Input'!$U$60))+IF('01_Input'!$X$60="Forfait",IF(EL$20&gt;='01_Input'!$V$60,'01_Input'!$Y$60,0),IF('01_Input'!$X$60="Palier",IF(AND(EL$20&gt;='01_Input'!$V$60,EL$20&lt;'01_Input'!$W$60),'01_Input'!$Y$60,0),MAX(MIN(EL$20,'01_Input'!$W$60)-'01_Input'!$V$60,0)*'01_Input'!$Y$60))+IF('01_Input'!$AB$60="Forfait",IF(EL$20&gt;='01_Input'!$Z$60,'01_Input'!$AC$60,0),IF('01_Input'!$AB$60="Palier",IF(AND(EL$20&gt;='01_Input'!$Z$60,EL$20&lt;'01_Input'!$AA$60),'01_Input'!$AC$60,0),MAX(MIN(EL$20,'01_Input'!$AA$60)-'01_Input'!$Z$60,0)*'01_Input'!$AC$60)))))))))</f>
        <v>800</v>
      </c>
      <c r="EM28" s="83">
        <f>IF('01_Input'!$C$60="Non",0,MIN('01_Input'!$I$60,MAX('01_Input'!$H$60,IF('01_Input'!$G$60="Résiduel vs Gestion",0,IF('01_Input'!$G$60="Taux Classe sélectionnée",Distrib_Global_Classe_Selectionnee*EM$20,IF('01_Input'!$G$60="Frais KYC (paliers de 100M€)",MAX(0,Nb_Investisseurs-Nb_KYC_Gratuites_Par_Tranche*(FLOOR(EM$20/Taille_Tranche_KYC,1)+1))*Cout_Par_KYC_Supplementaire,(IF('01_Input'!$L$60="Forfait",IF(EM$20&gt;='01_Input'!$J$60,'01_Input'!$M$60,0),IF('01_Input'!$L$60="Palier",IF(AND(EM$20&gt;='01_Input'!$J$60,EM$20&lt;'01_Input'!$K$60),'01_Input'!$M$60,0),MAX(MIN(EM$20,'01_Input'!$K$60)-'01_Input'!$J$60,0)*'01_Input'!$M$60))+IF('01_Input'!$P$60="Forfait",IF(EM$20&gt;='01_Input'!$N$60,'01_Input'!$Q$60,0),IF('01_Input'!$P$60="Palier",IF(AND(EM$20&gt;='01_Input'!$N$60,EM$20&lt;'01_Input'!$O$60),'01_Input'!$Q$60,0),MAX(MIN(EM$20,'01_Input'!$O$60)-'01_Input'!$N$60,0)*'01_Input'!$Q$60))+IF('01_Input'!$T$60="Forfait",IF(EM$20&gt;='01_Input'!$R$60,'01_Input'!$U$60,0),IF('01_Input'!$T$60="Palier",IF(AND(EM$20&gt;='01_Input'!$R$60,EM$20&lt;'01_Input'!$S$60),'01_Input'!$U$60,0),MAX(MIN(EM$20,'01_Input'!$S$60)-'01_Input'!$R$60,0)*'01_Input'!$U$60))+IF('01_Input'!$X$60="Forfait",IF(EM$20&gt;='01_Input'!$V$60,'01_Input'!$Y$60,0),IF('01_Input'!$X$60="Palier",IF(AND(EM$20&gt;='01_Input'!$V$60,EM$20&lt;'01_Input'!$W$60),'01_Input'!$Y$60,0),MAX(MIN(EM$20,'01_Input'!$W$60)-'01_Input'!$V$60,0)*'01_Input'!$Y$60))+IF('01_Input'!$AB$60="Forfait",IF(EM$20&gt;='01_Input'!$Z$60,'01_Input'!$AC$60,0),IF('01_Input'!$AB$60="Palier",IF(AND(EM$20&gt;='01_Input'!$Z$60,EM$20&lt;'01_Input'!$AA$60),'01_Input'!$AC$60,0),MAX(MIN(EM$20,'01_Input'!$AA$60)-'01_Input'!$Z$60,0)*'01_Input'!$AC$60)))))))))</f>
        <v>800</v>
      </c>
      <c r="EN28" s="83">
        <f>IF('01_Input'!$C$60="Non",0,MIN('01_Input'!$I$60,MAX('01_Input'!$H$60,IF('01_Input'!$G$60="Résiduel vs Gestion",0,IF('01_Input'!$G$60="Taux Classe sélectionnée",Distrib_Global_Classe_Selectionnee*EN$20,IF('01_Input'!$G$60="Frais KYC (paliers de 100M€)",MAX(0,Nb_Investisseurs-Nb_KYC_Gratuites_Par_Tranche*(FLOOR(EN$20/Taille_Tranche_KYC,1)+1))*Cout_Par_KYC_Supplementaire,(IF('01_Input'!$L$60="Forfait",IF(EN$20&gt;='01_Input'!$J$60,'01_Input'!$M$60,0),IF('01_Input'!$L$60="Palier",IF(AND(EN$20&gt;='01_Input'!$J$60,EN$20&lt;'01_Input'!$K$60),'01_Input'!$M$60,0),MAX(MIN(EN$20,'01_Input'!$K$60)-'01_Input'!$J$60,0)*'01_Input'!$M$60))+IF('01_Input'!$P$60="Forfait",IF(EN$20&gt;='01_Input'!$N$60,'01_Input'!$Q$60,0),IF('01_Input'!$P$60="Palier",IF(AND(EN$20&gt;='01_Input'!$N$60,EN$20&lt;'01_Input'!$O$60),'01_Input'!$Q$60,0),MAX(MIN(EN$20,'01_Input'!$O$60)-'01_Input'!$N$60,0)*'01_Input'!$Q$60))+IF('01_Input'!$T$60="Forfait",IF(EN$20&gt;='01_Input'!$R$60,'01_Input'!$U$60,0),IF('01_Input'!$T$60="Palier",IF(AND(EN$20&gt;='01_Input'!$R$60,EN$20&lt;'01_Input'!$S$60),'01_Input'!$U$60,0),MAX(MIN(EN$20,'01_Input'!$S$60)-'01_Input'!$R$60,0)*'01_Input'!$U$60))+IF('01_Input'!$X$60="Forfait",IF(EN$20&gt;='01_Input'!$V$60,'01_Input'!$Y$60,0),IF('01_Input'!$X$60="Palier",IF(AND(EN$20&gt;='01_Input'!$V$60,EN$20&lt;'01_Input'!$W$60),'01_Input'!$Y$60,0),MAX(MIN(EN$20,'01_Input'!$W$60)-'01_Input'!$V$60,0)*'01_Input'!$Y$60))+IF('01_Input'!$AB$60="Forfait",IF(EN$20&gt;='01_Input'!$Z$60,'01_Input'!$AC$60,0),IF('01_Input'!$AB$60="Palier",IF(AND(EN$20&gt;='01_Input'!$Z$60,EN$20&lt;'01_Input'!$AA$60),'01_Input'!$AC$60,0),MAX(MIN(EN$20,'01_Input'!$AA$60)-'01_Input'!$Z$60,0)*'01_Input'!$AC$60)))))))))</f>
        <v>800</v>
      </c>
      <c r="EO28" s="83">
        <f>IF('01_Input'!$C$60="Non",0,MIN('01_Input'!$I$60,MAX('01_Input'!$H$60,IF('01_Input'!$G$60="Résiduel vs Gestion",0,IF('01_Input'!$G$60="Taux Classe sélectionnée",Distrib_Global_Classe_Selectionnee*EO$20,IF('01_Input'!$G$60="Frais KYC (paliers de 100M€)",MAX(0,Nb_Investisseurs-Nb_KYC_Gratuites_Par_Tranche*(FLOOR(EO$20/Taille_Tranche_KYC,1)+1))*Cout_Par_KYC_Supplementaire,(IF('01_Input'!$L$60="Forfait",IF(EO$20&gt;='01_Input'!$J$60,'01_Input'!$M$60,0),IF('01_Input'!$L$60="Palier",IF(AND(EO$20&gt;='01_Input'!$J$60,EO$20&lt;'01_Input'!$K$60),'01_Input'!$M$60,0),MAX(MIN(EO$20,'01_Input'!$K$60)-'01_Input'!$J$60,0)*'01_Input'!$M$60))+IF('01_Input'!$P$60="Forfait",IF(EO$20&gt;='01_Input'!$N$60,'01_Input'!$Q$60,0),IF('01_Input'!$P$60="Palier",IF(AND(EO$20&gt;='01_Input'!$N$60,EO$20&lt;'01_Input'!$O$60),'01_Input'!$Q$60,0),MAX(MIN(EO$20,'01_Input'!$O$60)-'01_Input'!$N$60,0)*'01_Input'!$Q$60))+IF('01_Input'!$T$60="Forfait",IF(EO$20&gt;='01_Input'!$R$60,'01_Input'!$U$60,0),IF('01_Input'!$T$60="Palier",IF(AND(EO$20&gt;='01_Input'!$R$60,EO$20&lt;'01_Input'!$S$60),'01_Input'!$U$60,0),MAX(MIN(EO$20,'01_Input'!$S$60)-'01_Input'!$R$60,0)*'01_Input'!$U$60))+IF('01_Input'!$X$60="Forfait",IF(EO$20&gt;='01_Input'!$V$60,'01_Input'!$Y$60,0),IF('01_Input'!$X$60="Palier",IF(AND(EO$20&gt;='01_Input'!$V$60,EO$20&lt;'01_Input'!$W$60),'01_Input'!$Y$60,0),MAX(MIN(EO$20,'01_Input'!$W$60)-'01_Input'!$V$60,0)*'01_Input'!$Y$60))+IF('01_Input'!$AB$60="Forfait",IF(EO$20&gt;='01_Input'!$Z$60,'01_Input'!$AC$60,0),IF('01_Input'!$AB$60="Palier",IF(AND(EO$20&gt;='01_Input'!$Z$60,EO$20&lt;'01_Input'!$AA$60),'01_Input'!$AC$60,0),MAX(MIN(EO$20,'01_Input'!$AA$60)-'01_Input'!$Z$60,0)*'01_Input'!$AC$60)))))))))</f>
        <v>800</v>
      </c>
      <c r="EP28" s="83">
        <f>IF('01_Input'!$C$60="Non",0,MIN('01_Input'!$I$60,MAX('01_Input'!$H$60,IF('01_Input'!$G$60="Résiduel vs Gestion",0,IF('01_Input'!$G$60="Taux Classe sélectionnée",Distrib_Global_Classe_Selectionnee*EP$20,IF('01_Input'!$G$60="Frais KYC (paliers de 100M€)",MAX(0,Nb_Investisseurs-Nb_KYC_Gratuites_Par_Tranche*(FLOOR(EP$20/Taille_Tranche_KYC,1)+1))*Cout_Par_KYC_Supplementaire,(IF('01_Input'!$L$60="Forfait",IF(EP$20&gt;='01_Input'!$J$60,'01_Input'!$M$60,0),IF('01_Input'!$L$60="Palier",IF(AND(EP$20&gt;='01_Input'!$J$60,EP$20&lt;'01_Input'!$K$60),'01_Input'!$M$60,0),MAX(MIN(EP$20,'01_Input'!$K$60)-'01_Input'!$J$60,0)*'01_Input'!$M$60))+IF('01_Input'!$P$60="Forfait",IF(EP$20&gt;='01_Input'!$N$60,'01_Input'!$Q$60,0),IF('01_Input'!$P$60="Palier",IF(AND(EP$20&gt;='01_Input'!$N$60,EP$20&lt;'01_Input'!$O$60),'01_Input'!$Q$60,0),MAX(MIN(EP$20,'01_Input'!$O$60)-'01_Input'!$N$60,0)*'01_Input'!$Q$60))+IF('01_Input'!$T$60="Forfait",IF(EP$20&gt;='01_Input'!$R$60,'01_Input'!$U$60,0),IF('01_Input'!$T$60="Palier",IF(AND(EP$20&gt;='01_Input'!$R$60,EP$20&lt;'01_Input'!$S$60),'01_Input'!$U$60,0),MAX(MIN(EP$20,'01_Input'!$S$60)-'01_Input'!$R$60,0)*'01_Input'!$U$60))+IF('01_Input'!$X$60="Forfait",IF(EP$20&gt;='01_Input'!$V$60,'01_Input'!$Y$60,0),IF('01_Input'!$X$60="Palier",IF(AND(EP$20&gt;='01_Input'!$V$60,EP$20&lt;'01_Input'!$W$60),'01_Input'!$Y$60,0),MAX(MIN(EP$20,'01_Input'!$W$60)-'01_Input'!$V$60,0)*'01_Input'!$Y$60))+IF('01_Input'!$AB$60="Forfait",IF(EP$20&gt;='01_Input'!$Z$60,'01_Input'!$AC$60,0),IF('01_Input'!$AB$60="Palier",IF(AND(EP$20&gt;='01_Input'!$Z$60,EP$20&lt;'01_Input'!$AA$60),'01_Input'!$AC$60,0),MAX(MIN(EP$20,'01_Input'!$AA$60)-'01_Input'!$Z$60,0)*'01_Input'!$AC$60)))))))))</f>
        <v>800</v>
      </c>
      <c r="EQ28" s="83">
        <f>IF('01_Input'!$C$60="Non",0,MIN('01_Input'!$I$60,MAX('01_Input'!$H$60,IF('01_Input'!$G$60="Résiduel vs Gestion",0,IF('01_Input'!$G$60="Taux Classe sélectionnée",Distrib_Global_Classe_Selectionnee*EQ$20,IF('01_Input'!$G$60="Frais KYC (paliers de 100M€)",MAX(0,Nb_Investisseurs-Nb_KYC_Gratuites_Par_Tranche*(FLOOR(EQ$20/Taille_Tranche_KYC,1)+1))*Cout_Par_KYC_Supplementaire,(IF('01_Input'!$L$60="Forfait",IF(EQ$20&gt;='01_Input'!$J$60,'01_Input'!$M$60,0),IF('01_Input'!$L$60="Palier",IF(AND(EQ$20&gt;='01_Input'!$J$60,EQ$20&lt;'01_Input'!$K$60),'01_Input'!$M$60,0),MAX(MIN(EQ$20,'01_Input'!$K$60)-'01_Input'!$J$60,0)*'01_Input'!$M$60))+IF('01_Input'!$P$60="Forfait",IF(EQ$20&gt;='01_Input'!$N$60,'01_Input'!$Q$60,0),IF('01_Input'!$P$60="Palier",IF(AND(EQ$20&gt;='01_Input'!$N$60,EQ$20&lt;'01_Input'!$O$60),'01_Input'!$Q$60,0),MAX(MIN(EQ$20,'01_Input'!$O$60)-'01_Input'!$N$60,0)*'01_Input'!$Q$60))+IF('01_Input'!$T$60="Forfait",IF(EQ$20&gt;='01_Input'!$R$60,'01_Input'!$U$60,0),IF('01_Input'!$T$60="Palier",IF(AND(EQ$20&gt;='01_Input'!$R$60,EQ$20&lt;'01_Input'!$S$60),'01_Input'!$U$60,0),MAX(MIN(EQ$20,'01_Input'!$S$60)-'01_Input'!$R$60,0)*'01_Input'!$U$60))+IF('01_Input'!$X$60="Forfait",IF(EQ$20&gt;='01_Input'!$V$60,'01_Input'!$Y$60,0),IF('01_Input'!$X$60="Palier",IF(AND(EQ$20&gt;='01_Input'!$V$60,EQ$20&lt;'01_Input'!$W$60),'01_Input'!$Y$60,0),MAX(MIN(EQ$20,'01_Input'!$W$60)-'01_Input'!$V$60,0)*'01_Input'!$Y$60))+IF('01_Input'!$AB$60="Forfait",IF(EQ$20&gt;='01_Input'!$Z$60,'01_Input'!$AC$60,0),IF('01_Input'!$AB$60="Palier",IF(AND(EQ$20&gt;='01_Input'!$Z$60,EQ$20&lt;'01_Input'!$AA$60),'01_Input'!$AC$60,0),MAX(MIN(EQ$20,'01_Input'!$AA$60)-'01_Input'!$Z$60,0)*'01_Input'!$AC$60)))))))))</f>
        <v>800</v>
      </c>
      <c r="ER28" s="83">
        <f>IF('01_Input'!$C$60="Non",0,MIN('01_Input'!$I$60,MAX('01_Input'!$H$60,IF('01_Input'!$G$60="Résiduel vs Gestion",0,IF('01_Input'!$G$60="Taux Classe sélectionnée",Distrib_Global_Classe_Selectionnee*ER$20,IF('01_Input'!$G$60="Frais KYC (paliers de 100M€)",MAX(0,Nb_Investisseurs-Nb_KYC_Gratuites_Par_Tranche*(FLOOR(ER$20/Taille_Tranche_KYC,1)+1))*Cout_Par_KYC_Supplementaire,(IF('01_Input'!$L$60="Forfait",IF(ER$20&gt;='01_Input'!$J$60,'01_Input'!$M$60,0),IF('01_Input'!$L$60="Palier",IF(AND(ER$20&gt;='01_Input'!$J$60,ER$20&lt;'01_Input'!$K$60),'01_Input'!$M$60,0),MAX(MIN(ER$20,'01_Input'!$K$60)-'01_Input'!$J$60,0)*'01_Input'!$M$60))+IF('01_Input'!$P$60="Forfait",IF(ER$20&gt;='01_Input'!$N$60,'01_Input'!$Q$60,0),IF('01_Input'!$P$60="Palier",IF(AND(ER$20&gt;='01_Input'!$N$60,ER$20&lt;'01_Input'!$O$60),'01_Input'!$Q$60,0),MAX(MIN(ER$20,'01_Input'!$O$60)-'01_Input'!$N$60,0)*'01_Input'!$Q$60))+IF('01_Input'!$T$60="Forfait",IF(ER$20&gt;='01_Input'!$R$60,'01_Input'!$U$60,0),IF('01_Input'!$T$60="Palier",IF(AND(ER$20&gt;='01_Input'!$R$60,ER$20&lt;'01_Input'!$S$60),'01_Input'!$U$60,0),MAX(MIN(ER$20,'01_Input'!$S$60)-'01_Input'!$R$60,0)*'01_Input'!$U$60))+IF('01_Input'!$X$60="Forfait",IF(ER$20&gt;='01_Input'!$V$60,'01_Input'!$Y$60,0),IF('01_Input'!$X$60="Palier",IF(AND(ER$20&gt;='01_Input'!$V$60,ER$20&lt;'01_Input'!$W$60),'01_Input'!$Y$60,0),MAX(MIN(ER$20,'01_Input'!$W$60)-'01_Input'!$V$60,0)*'01_Input'!$Y$60))+IF('01_Input'!$AB$60="Forfait",IF(ER$20&gt;='01_Input'!$Z$60,'01_Input'!$AC$60,0),IF('01_Input'!$AB$60="Palier",IF(AND(ER$20&gt;='01_Input'!$Z$60,ER$20&lt;'01_Input'!$AA$60),'01_Input'!$AC$60,0),MAX(MIN(ER$20,'01_Input'!$AA$60)-'01_Input'!$Z$60,0)*'01_Input'!$AC$60)))))))))</f>
        <v>800</v>
      </c>
      <c r="ES28" s="83">
        <f>IF('01_Input'!$C$60="Non",0,MIN('01_Input'!$I$60,MAX('01_Input'!$H$60,IF('01_Input'!$G$60="Résiduel vs Gestion",0,IF('01_Input'!$G$60="Taux Classe sélectionnée",Distrib_Global_Classe_Selectionnee*ES$20,IF('01_Input'!$G$60="Frais KYC (paliers de 100M€)",MAX(0,Nb_Investisseurs-Nb_KYC_Gratuites_Par_Tranche*(FLOOR(ES$20/Taille_Tranche_KYC,1)+1))*Cout_Par_KYC_Supplementaire,(IF('01_Input'!$L$60="Forfait",IF(ES$20&gt;='01_Input'!$J$60,'01_Input'!$M$60,0),IF('01_Input'!$L$60="Palier",IF(AND(ES$20&gt;='01_Input'!$J$60,ES$20&lt;'01_Input'!$K$60),'01_Input'!$M$60,0),MAX(MIN(ES$20,'01_Input'!$K$60)-'01_Input'!$J$60,0)*'01_Input'!$M$60))+IF('01_Input'!$P$60="Forfait",IF(ES$20&gt;='01_Input'!$N$60,'01_Input'!$Q$60,0),IF('01_Input'!$P$60="Palier",IF(AND(ES$20&gt;='01_Input'!$N$60,ES$20&lt;'01_Input'!$O$60),'01_Input'!$Q$60,0),MAX(MIN(ES$20,'01_Input'!$O$60)-'01_Input'!$N$60,0)*'01_Input'!$Q$60))+IF('01_Input'!$T$60="Forfait",IF(ES$20&gt;='01_Input'!$R$60,'01_Input'!$U$60,0),IF('01_Input'!$T$60="Palier",IF(AND(ES$20&gt;='01_Input'!$R$60,ES$20&lt;'01_Input'!$S$60),'01_Input'!$U$60,0),MAX(MIN(ES$20,'01_Input'!$S$60)-'01_Input'!$R$60,0)*'01_Input'!$U$60))+IF('01_Input'!$X$60="Forfait",IF(ES$20&gt;='01_Input'!$V$60,'01_Input'!$Y$60,0),IF('01_Input'!$X$60="Palier",IF(AND(ES$20&gt;='01_Input'!$V$60,ES$20&lt;'01_Input'!$W$60),'01_Input'!$Y$60,0),MAX(MIN(ES$20,'01_Input'!$W$60)-'01_Input'!$V$60,0)*'01_Input'!$Y$60))+IF('01_Input'!$AB$60="Forfait",IF(ES$20&gt;='01_Input'!$Z$60,'01_Input'!$AC$60,0),IF('01_Input'!$AB$60="Palier",IF(AND(ES$20&gt;='01_Input'!$Z$60,ES$20&lt;'01_Input'!$AA$60),'01_Input'!$AC$60,0),MAX(MIN(ES$20,'01_Input'!$AA$60)-'01_Input'!$Z$60,0)*'01_Input'!$AC$60)))))))))</f>
        <v>800</v>
      </c>
      <c r="ET28" s="83">
        <f>IF('01_Input'!$C$60="Non",0,MIN('01_Input'!$I$60,MAX('01_Input'!$H$60,IF('01_Input'!$G$60="Résiduel vs Gestion",0,IF('01_Input'!$G$60="Taux Classe sélectionnée",Distrib_Global_Classe_Selectionnee*ET$20,IF('01_Input'!$G$60="Frais KYC (paliers de 100M€)",MAX(0,Nb_Investisseurs-Nb_KYC_Gratuites_Par_Tranche*(FLOOR(ET$20/Taille_Tranche_KYC,1)+1))*Cout_Par_KYC_Supplementaire,(IF('01_Input'!$L$60="Forfait",IF(ET$20&gt;='01_Input'!$J$60,'01_Input'!$M$60,0),IF('01_Input'!$L$60="Palier",IF(AND(ET$20&gt;='01_Input'!$J$60,ET$20&lt;'01_Input'!$K$60),'01_Input'!$M$60,0),MAX(MIN(ET$20,'01_Input'!$K$60)-'01_Input'!$J$60,0)*'01_Input'!$M$60))+IF('01_Input'!$P$60="Forfait",IF(ET$20&gt;='01_Input'!$N$60,'01_Input'!$Q$60,0),IF('01_Input'!$P$60="Palier",IF(AND(ET$20&gt;='01_Input'!$N$60,ET$20&lt;'01_Input'!$O$60),'01_Input'!$Q$60,0),MAX(MIN(ET$20,'01_Input'!$O$60)-'01_Input'!$N$60,0)*'01_Input'!$Q$60))+IF('01_Input'!$T$60="Forfait",IF(ET$20&gt;='01_Input'!$R$60,'01_Input'!$U$60,0),IF('01_Input'!$T$60="Palier",IF(AND(ET$20&gt;='01_Input'!$R$60,ET$20&lt;'01_Input'!$S$60),'01_Input'!$U$60,0),MAX(MIN(ET$20,'01_Input'!$S$60)-'01_Input'!$R$60,0)*'01_Input'!$U$60))+IF('01_Input'!$X$60="Forfait",IF(ET$20&gt;='01_Input'!$V$60,'01_Input'!$Y$60,0),IF('01_Input'!$X$60="Palier",IF(AND(ET$20&gt;='01_Input'!$V$60,ET$20&lt;'01_Input'!$W$60),'01_Input'!$Y$60,0),MAX(MIN(ET$20,'01_Input'!$W$60)-'01_Input'!$V$60,0)*'01_Input'!$Y$60))+IF('01_Input'!$AB$60="Forfait",IF(ET$20&gt;='01_Input'!$Z$60,'01_Input'!$AC$60,0),IF('01_Input'!$AB$60="Palier",IF(AND(ET$20&gt;='01_Input'!$Z$60,ET$20&lt;'01_Input'!$AA$60),'01_Input'!$AC$60,0),MAX(MIN(ET$20,'01_Input'!$AA$60)-'01_Input'!$Z$60,0)*'01_Input'!$AC$60)))))))))</f>
        <v>800</v>
      </c>
      <c r="EU28" s="83">
        <f>IF('01_Input'!$C$60="Non",0,MIN('01_Input'!$I$60,MAX('01_Input'!$H$60,IF('01_Input'!$G$60="Résiduel vs Gestion",0,IF('01_Input'!$G$60="Taux Classe sélectionnée",Distrib_Global_Classe_Selectionnee*EU$20,IF('01_Input'!$G$60="Frais KYC (paliers de 100M€)",MAX(0,Nb_Investisseurs-Nb_KYC_Gratuites_Par_Tranche*(FLOOR(EU$20/Taille_Tranche_KYC,1)+1))*Cout_Par_KYC_Supplementaire,(IF('01_Input'!$L$60="Forfait",IF(EU$20&gt;='01_Input'!$J$60,'01_Input'!$M$60,0),IF('01_Input'!$L$60="Palier",IF(AND(EU$20&gt;='01_Input'!$J$60,EU$20&lt;'01_Input'!$K$60),'01_Input'!$M$60,0),MAX(MIN(EU$20,'01_Input'!$K$60)-'01_Input'!$J$60,0)*'01_Input'!$M$60))+IF('01_Input'!$P$60="Forfait",IF(EU$20&gt;='01_Input'!$N$60,'01_Input'!$Q$60,0),IF('01_Input'!$P$60="Palier",IF(AND(EU$20&gt;='01_Input'!$N$60,EU$20&lt;'01_Input'!$O$60),'01_Input'!$Q$60,0),MAX(MIN(EU$20,'01_Input'!$O$60)-'01_Input'!$N$60,0)*'01_Input'!$Q$60))+IF('01_Input'!$T$60="Forfait",IF(EU$20&gt;='01_Input'!$R$60,'01_Input'!$U$60,0),IF('01_Input'!$T$60="Palier",IF(AND(EU$20&gt;='01_Input'!$R$60,EU$20&lt;'01_Input'!$S$60),'01_Input'!$U$60,0),MAX(MIN(EU$20,'01_Input'!$S$60)-'01_Input'!$R$60,0)*'01_Input'!$U$60))+IF('01_Input'!$X$60="Forfait",IF(EU$20&gt;='01_Input'!$V$60,'01_Input'!$Y$60,0),IF('01_Input'!$X$60="Palier",IF(AND(EU$20&gt;='01_Input'!$V$60,EU$20&lt;'01_Input'!$W$60),'01_Input'!$Y$60,0),MAX(MIN(EU$20,'01_Input'!$W$60)-'01_Input'!$V$60,0)*'01_Input'!$Y$60))+IF('01_Input'!$AB$60="Forfait",IF(EU$20&gt;='01_Input'!$Z$60,'01_Input'!$AC$60,0),IF('01_Input'!$AB$60="Palier",IF(AND(EU$20&gt;='01_Input'!$Z$60,EU$20&lt;'01_Input'!$AA$60),'01_Input'!$AC$60,0),MAX(MIN(EU$20,'01_Input'!$AA$60)-'01_Input'!$Z$60,0)*'01_Input'!$AC$60)))))))))</f>
        <v>800</v>
      </c>
      <c r="EV28" s="83">
        <f>IF('01_Input'!$C$60="Non",0,MIN('01_Input'!$I$60,MAX('01_Input'!$H$60,IF('01_Input'!$G$60="Résiduel vs Gestion",0,IF('01_Input'!$G$60="Taux Classe sélectionnée",Distrib_Global_Classe_Selectionnee*EV$20,IF('01_Input'!$G$60="Frais KYC (paliers de 100M€)",MAX(0,Nb_Investisseurs-Nb_KYC_Gratuites_Par_Tranche*(FLOOR(EV$20/Taille_Tranche_KYC,1)+1))*Cout_Par_KYC_Supplementaire,(IF('01_Input'!$L$60="Forfait",IF(EV$20&gt;='01_Input'!$J$60,'01_Input'!$M$60,0),IF('01_Input'!$L$60="Palier",IF(AND(EV$20&gt;='01_Input'!$J$60,EV$20&lt;'01_Input'!$K$60),'01_Input'!$M$60,0),MAX(MIN(EV$20,'01_Input'!$K$60)-'01_Input'!$J$60,0)*'01_Input'!$M$60))+IF('01_Input'!$P$60="Forfait",IF(EV$20&gt;='01_Input'!$N$60,'01_Input'!$Q$60,0),IF('01_Input'!$P$60="Palier",IF(AND(EV$20&gt;='01_Input'!$N$60,EV$20&lt;'01_Input'!$O$60),'01_Input'!$Q$60,0),MAX(MIN(EV$20,'01_Input'!$O$60)-'01_Input'!$N$60,0)*'01_Input'!$Q$60))+IF('01_Input'!$T$60="Forfait",IF(EV$20&gt;='01_Input'!$R$60,'01_Input'!$U$60,0),IF('01_Input'!$T$60="Palier",IF(AND(EV$20&gt;='01_Input'!$R$60,EV$20&lt;'01_Input'!$S$60),'01_Input'!$U$60,0),MAX(MIN(EV$20,'01_Input'!$S$60)-'01_Input'!$R$60,0)*'01_Input'!$U$60))+IF('01_Input'!$X$60="Forfait",IF(EV$20&gt;='01_Input'!$V$60,'01_Input'!$Y$60,0),IF('01_Input'!$X$60="Palier",IF(AND(EV$20&gt;='01_Input'!$V$60,EV$20&lt;'01_Input'!$W$60),'01_Input'!$Y$60,0),MAX(MIN(EV$20,'01_Input'!$W$60)-'01_Input'!$V$60,0)*'01_Input'!$Y$60))+IF('01_Input'!$AB$60="Forfait",IF(EV$20&gt;='01_Input'!$Z$60,'01_Input'!$AC$60,0),IF('01_Input'!$AB$60="Palier",IF(AND(EV$20&gt;='01_Input'!$Z$60,EV$20&lt;'01_Input'!$AA$60),'01_Input'!$AC$60,0),MAX(MIN(EV$20,'01_Input'!$AA$60)-'01_Input'!$Z$60,0)*'01_Input'!$AC$60)))))))))</f>
        <v>800</v>
      </c>
      <c r="EW28" s="83">
        <f>IF('01_Input'!$C$60="Non",0,MIN('01_Input'!$I$60,MAX('01_Input'!$H$60,IF('01_Input'!$G$60="Résiduel vs Gestion",0,IF('01_Input'!$G$60="Taux Classe sélectionnée",Distrib_Global_Classe_Selectionnee*EW$20,IF('01_Input'!$G$60="Frais KYC (paliers de 100M€)",MAX(0,Nb_Investisseurs-Nb_KYC_Gratuites_Par_Tranche*(FLOOR(EW$20/Taille_Tranche_KYC,1)+1))*Cout_Par_KYC_Supplementaire,(IF('01_Input'!$L$60="Forfait",IF(EW$20&gt;='01_Input'!$J$60,'01_Input'!$M$60,0),IF('01_Input'!$L$60="Palier",IF(AND(EW$20&gt;='01_Input'!$J$60,EW$20&lt;'01_Input'!$K$60),'01_Input'!$M$60,0),MAX(MIN(EW$20,'01_Input'!$K$60)-'01_Input'!$J$60,0)*'01_Input'!$M$60))+IF('01_Input'!$P$60="Forfait",IF(EW$20&gt;='01_Input'!$N$60,'01_Input'!$Q$60,0),IF('01_Input'!$P$60="Palier",IF(AND(EW$20&gt;='01_Input'!$N$60,EW$20&lt;'01_Input'!$O$60),'01_Input'!$Q$60,0),MAX(MIN(EW$20,'01_Input'!$O$60)-'01_Input'!$N$60,0)*'01_Input'!$Q$60))+IF('01_Input'!$T$60="Forfait",IF(EW$20&gt;='01_Input'!$R$60,'01_Input'!$U$60,0),IF('01_Input'!$T$60="Palier",IF(AND(EW$20&gt;='01_Input'!$R$60,EW$20&lt;'01_Input'!$S$60),'01_Input'!$U$60,0),MAX(MIN(EW$20,'01_Input'!$S$60)-'01_Input'!$R$60,0)*'01_Input'!$U$60))+IF('01_Input'!$X$60="Forfait",IF(EW$20&gt;='01_Input'!$V$60,'01_Input'!$Y$60,0),IF('01_Input'!$X$60="Palier",IF(AND(EW$20&gt;='01_Input'!$V$60,EW$20&lt;'01_Input'!$W$60),'01_Input'!$Y$60,0),MAX(MIN(EW$20,'01_Input'!$W$60)-'01_Input'!$V$60,0)*'01_Input'!$Y$60))+IF('01_Input'!$AB$60="Forfait",IF(EW$20&gt;='01_Input'!$Z$60,'01_Input'!$AC$60,0),IF('01_Input'!$AB$60="Palier",IF(AND(EW$20&gt;='01_Input'!$Z$60,EW$20&lt;'01_Input'!$AA$60),'01_Input'!$AC$60,0),MAX(MIN(EW$20,'01_Input'!$AA$60)-'01_Input'!$Z$60,0)*'01_Input'!$AC$60)))))))))</f>
        <v>800</v>
      </c>
      <c r="EX28" s="83">
        <f>IF('01_Input'!$C$60="Non",0,MIN('01_Input'!$I$60,MAX('01_Input'!$H$60,IF('01_Input'!$G$60="Résiduel vs Gestion",0,IF('01_Input'!$G$60="Taux Classe sélectionnée",Distrib_Global_Classe_Selectionnee*EX$20,IF('01_Input'!$G$60="Frais KYC (paliers de 100M€)",MAX(0,Nb_Investisseurs-Nb_KYC_Gratuites_Par_Tranche*(FLOOR(EX$20/Taille_Tranche_KYC,1)+1))*Cout_Par_KYC_Supplementaire,(IF('01_Input'!$L$60="Forfait",IF(EX$20&gt;='01_Input'!$J$60,'01_Input'!$M$60,0),IF('01_Input'!$L$60="Palier",IF(AND(EX$20&gt;='01_Input'!$J$60,EX$20&lt;'01_Input'!$K$60),'01_Input'!$M$60,0),MAX(MIN(EX$20,'01_Input'!$K$60)-'01_Input'!$J$60,0)*'01_Input'!$M$60))+IF('01_Input'!$P$60="Forfait",IF(EX$20&gt;='01_Input'!$N$60,'01_Input'!$Q$60,0),IF('01_Input'!$P$60="Palier",IF(AND(EX$20&gt;='01_Input'!$N$60,EX$20&lt;'01_Input'!$O$60),'01_Input'!$Q$60,0),MAX(MIN(EX$20,'01_Input'!$O$60)-'01_Input'!$N$60,0)*'01_Input'!$Q$60))+IF('01_Input'!$T$60="Forfait",IF(EX$20&gt;='01_Input'!$R$60,'01_Input'!$U$60,0),IF('01_Input'!$T$60="Palier",IF(AND(EX$20&gt;='01_Input'!$R$60,EX$20&lt;'01_Input'!$S$60),'01_Input'!$U$60,0),MAX(MIN(EX$20,'01_Input'!$S$60)-'01_Input'!$R$60,0)*'01_Input'!$U$60))+IF('01_Input'!$X$60="Forfait",IF(EX$20&gt;='01_Input'!$V$60,'01_Input'!$Y$60,0),IF('01_Input'!$X$60="Palier",IF(AND(EX$20&gt;='01_Input'!$V$60,EX$20&lt;'01_Input'!$W$60),'01_Input'!$Y$60,0),MAX(MIN(EX$20,'01_Input'!$W$60)-'01_Input'!$V$60,0)*'01_Input'!$Y$60))+IF('01_Input'!$AB$60="Forfait",IF(EX$20&gt;='01_Input'!$Z$60,'01_Input'!$AC$60,0),IF('01_Input'!$AB$60="Palier",IF(AND(EX$20&gt;='01_Input'!$Z$60,EX$20&lt;'01_Input'!$AA$60),'01_Input'!$AC$60,0),MAX(MIN(EX$20,'01_Input'!$AA$60)-'01_Input'!$Z$60,0)*'01_Input'!$AC$60)))))))))</f>
        <v>800</v>
      </c>
    </row>
    <row r="29" ht="15.75" customHeight="1">
      <c r="B29" s="40" t="str">
        <f>IF('01_Input'!D61="","(inactif)",'01_Input'!D61)</f>
        <v>Valorisation (CIC)</v>
      </c>
      <c r="C29" s="40" t="str">
        <f>IF('01_Input'!E61="","",'01_Input'!E61)</f>
        <v>Valorisateur (CIC / SOC Asset Servicing)</v>
      </c>
      <c r="D29" s="51" t="str">
        <f>'01_Input'!C61</f>
        <v>Oui</v>
      </c>
      <c r="E29" s="25">
        <f>IF('01_Input'!$C$61="Non",0,MIN('01_Input'!$I$61,MAX('01_Input'!$H$61,IF('01_Input'!$G$61="Résiduel vs Gestion",0,IF('01_Input'!$G$61="Taux Classe sélectionnée",Distrib_Global_Classe_Selectionnee*E$20,IF('01_Input'!$G$61="Frais KYC (paliers de 100M€)",MAX(0,Nb_Investisseurs-Nb_KYC_Gratuites_Par_Tranche*(FLOOR(E$20/Taille_Tranche_KYC,1)+1))*Cout_Par_KYC_Supplementaire,(IF('01_Input'!$L$61="Forfait",IF(E$20&gt;='01_Input'!$J$61,'01_Input'!$M$61,0),IF('01_Input'!$L$61="Palier",IF(AND(E$20&gt;='01_Input'!$J$61,E$20&lt;'01_Input'!$K$61),'01_Input'!$M$61,0),MAX(MIN(E$20,'01_Input'!$K$61)-'01_Input'!$J$61,0)*'01_Input'!$M$61))+IF('01_Input'!$P$61="Forfait",IF(E$20&gt;='01_Input'!$N$61,'01_Input'!$Q$61,0),IF('01_Input'!$P$61="Palier",IF(AND(E$20&gt;='01_Input'!$N$61,E$20&lt;'01_Input'!$O$61),'01_Input'!$Q$61,0),MAX(MIN(E$20,'01_Input'!$O$61)-'01_Input'!$N$61,0)*'01_Input'!$Q$61))+IF('01_Input'!$T$61="Forfait",IF(E$20&gt;='01_Input'!$R$61,'01_Input'!$U$61,0),IF('01_Input'!$T$61="Palier",IF(AND(E$20&gt;='01_Input'!$R$61,E$20&lt;'01_Input'!$S$61),'01_Input'!$U$61,0),MAX(MIN(E$20,'01_Input'!$S$61)-'01_Input'!$R$61,0)*'01_Input'!$U$61))+IF('01_Input'!$X$61="Forfait",IF(E$20&gt;='01_Input'!$V$61,'01_Input'!$Y$61,0),IF('01_Input'!$X$61="Palier",IF(AND(E$20&gt;='01_Input'!$V$61,E$20&lt;'01_Input'!$W$61),'01_Input'!$Y$61,0),MAX(MIN(E$20,'01_Input'!$W$61)-'01_Input'!$V$61,0)*'01_Input'!$Y$61))+IF('01_Input'!$AB$61="Forfait",IF(E$20&gt;='01_Input'!$Z$61,'01_Input'!$AC$61,0),IF('01_Input'!$AB$61="Palier",IF(AND(E$20&gt;='01_Input'!$Z$61,E$20&lt;'01_Input'!$AA$61),'01_Input'!$AC$61,0),MAX(MIN(E$20,'01_Input'!$AA$61)-'01_Input'!$Z$61,0)*'01_Input'!$AC$61)))))))))</f>
        <v>12000</v>
      </c>
      <c r="F29" s="25">
        <f>IF('01_Input'!$C$61="Non",0,MIN('01_Input'!$I$61,MAX('01_Input'!$H$61,IF('01_Input'!$G$61="Résiduel vs Gestion",0,IF('01_Input'!$G$61="Taux Classe sélectionnée",Distrib_Global_Classe_Selectionnee*F$20,IF('01_Input'!$G$61="Frais KYC (paliers de 100M€)",MAX(0,Nb_Investisseurs-Nb_KYC_Gratuites_Par_Tranche*(FLOOR(F$20/Taille_Tranche_KYC,1)+1))*Cout_Par_KYC_Supplementaire,(IF('01_Input'!$L$61="Forfait",IF(F$20&gt;='01_Input'!$J$61,'01_Input'!$M$61,0),IF('01_Input'!$L$61="Palier",IF(AND(F$20&gt;='01_Input'!$J$61,F$20&lt;'01_Input'!$K$61),'01_Input'!$M$61,0),MAX(MIN(F$20,'01_Input'!$K$61)-'01_Input'!$J$61,0)*'01_Input'!$M$61))+IF('01_Input'!$P$61="Forfait",IF(F$20&gt;='01_Input'!$N$61,'01_Input'!$Q$61,0),IF('01_Input'!$P$61="Palier",IF(AND(F$20&gt;='01_Input'!$N$61,F$20&lt;'01_Input'!$O$61),'01_Input'!$Q$61,0),MAX(MIN(F$20,'01_Input'!$O$61)-'01_Input'!$N$61,0)*'01_Input'!$Q$61))+IF('01_Input'!$T$61="Forfait",IF(F$20&gt;='01_Input'!$R$61,'01_Input'!$U$61,0),IF('01_Input'!$T$61="Palier",IF(AND(F$20&gt;='01_Input'!$R$61,F$20&lt;'01_Input'!$S$61),'01_Input'!$U$61,0),MAX(MIN(F$20,'01_Input'!$S$61)-'01_Input'!$R$61,0)*'01_Input'!$U$61))+IF('01_Input'!$X$61="Forfait",IF(F$20&gt;='01_Input'!$V$61,'01_Input'!$Y$61,0),IF('01_Input'!$X$61="Palier",IF(AND(F$20&gt;='01_Input'!$V$61,F$20&lt;'01_Input'!$W$61),'01_Input'!$Y$61,0),MAX(MIN(F$20,'01_Input'!$W$61)-'01_Input'!$V$61,0)*'01_Input'!$Y$61))+IF('01_Input'!$AB$61="Forfait",IF(F$20&gt;='01_Input'!$Z$61,'01_Input'!$AC$61,0),IF('01_Input'!$AB$61="Palier",IF(AND(F$20&gt;='01_Input'!$Z$61,F$20&lt;'01_Input'!$AA$61),'01_Input'!$AC$61,0),MAX(MIN(F$20,'01_Input'!$AA$61)-'01_Input'!$Z$61,0)*'01_Input'!$AC$61)))))))))</f>
        <v>12000</v>
      </c>
      <c r="G29" s="25">
        <f>IF('01_Input'!$C$61="Non",0,MIN('01_Input'!$I$61,MAX('01_Input'!$H$61,IF('01_Input'!$G$61="Résiduel vs Gestion",0,IF('01_Input'!$G$61="Taux Classe sélectionnée",Distrib_Global_Classe_Selectionnee*G$20,IF('01_Input'!$G$61="Frais KYC (paliers de 100M€)",MAX(0,Nb_Investisseurs-Nb_KYC_Gratuites_Par_Tranche*(FLOOR(G$20/Taille_Tranche_KYC,1)+1))*Cout_Par_KYC_Supplementaire,(IF('01_Input'!$L$61="Forfait",IF(G$20&gt;='01_Input'!$J$61,'01_Input'!$M$61,0),IF('01_Input'!$L$61="Palier",IF(AND(G$20&gt;='01_Input'!$J$61,G$20&lt;'01_Input'!$K$61),'01_Input'!$M$61,0),MAX(MIN(G$20,'01_Input'!$K$61)-'01_Input'!$J$61,0)*'01_Input'!$M$61))+IF('01_Input'!$P$61="Forfait",IF(G$20&gt;='01_Input'!$N$61,'01_Input'!$Q$61,0),IF('01_Input'!$P$61="Palier",IF(AND(G$20&gt;='01_Input'!$N$61,G$20&lt;'01_Input'!$O$61),'01_Input'!$Q$61,0),MAX(MIN(G$20,'01_Input'!$O$61)-'01_Input'!$N$61,0)*'01_Input'!$Q$61))+IF('01_Input'!$T$61="Forfait",IF(G$20&gt;='01_Input'!$R$61,'01_Input'!$U$61,0),IF('01_Input'!$T$61="Palier",IF(AND(G$20&gt;='01_Input'!$R$61,G$20&lt;'01_Input'!$S$61),'01_Input'!$U$61,0),MAX(MIN(G$20,'01_Input'!$S$61)-'01_Input'!$R$61,0)*'01_Input'!$U$61))+IF('01_Input'!$X$61="Forfait",IF(G$20&gt;='01_Input'!$V$61,'01_Input'!$Y$61,0),IF('01_Input'!$X$61="Palier",IF(AND(G$20&gt;='01_Input'!$V$61,G$20&lt;'01_Input'!$W$61),'01_Input'!$Y$61,0),MAX(MIN(G$20,'01_Input'!$W$61)-'01_Input'!$V$61,0)*'01_Input'!$Y$61))+IF('01_Input'!$AB$61="Forfait",IF(G$20&gt;='01_Input'!$Z$61,'01_Input'!$AC$61,0),IF('01_Input'!$AB$61="Palier",IF(AND(G$20&gt;='01_Input'!$Z$61,G$20&lt;'01_Input'!$AA$61),'01_Input'!$AC$61,0),MAX(MIN(G$20,'01_Input'!$AA$61)-'01_Input'!$Z$61,0)*'01_Input'!$AC$61)))))))))</f>
        <v>12000</v>
      </c>
      <c r="H29" s="25">
        <f>IF('01_Input'!$C$61="Non",0,MIN('01_Input'!$I$61,MAX('01_Input'!$H$61,IF('01_Input'!$G$61="Résiduel vs Gestion",0,IF('01_Input'!$G$61="Taux Classe sélectionnée",Distrib_Global_Classe_Selectionnee*H$20,IF('01_Input'!$G$61="Frais KYC (paliers de 100M€)",MAX(0,Nb_Investisseurs-Nb_KYC_Gratuites_Par_Tranche*(FLOOR(H$20/Taille_Tranche_KYC,1)+1))*Cout_Par_KYC_Supplementaire,(IF('01_Input'!$L$61="Forfait",IF(H$20&gt;='01_Input'!$J$61,'01_Input'!$M$61,0),IF('01_Input'!$L$61="Palier",IF(AND(H$20&gt;='01_Input'!$J$61,H$20&lt;'01_Input'!$K$61),'01_Input'!$M$61,0),MAX(MIN(H$20,'01_Input'!$K$61)-'01_Input'!$J$61,0)*'01_Input'!$M$61))+IF('01_Input'!$P$61="Forfait",IF(H$20&gt;='01_Input'!$N$61,'01_Input'!$Q$61,0),IF('01_Input'!$P$61="Palier",IF(AND(H$20&gt;='01_Input'!$N$61,H$20&lt;'01_Input'!$O$61),'01_Input'!$Q$61,0),MAX(MIN(H$20,'01_Input'!$O$61)-'01_Input'!$N$61,0)*'01_Input'!$Q$61))+IF('01_Input'!$T$61="Forfait",IF(H$20&gt;='01_Input'!$R$61,'01_Input'!$U$61,0),IF('01_Input'!$T$61="Palier",IF(AND(H$20&gt;='01_Input'!$R$61,H$20&lt;'01_Input'!$S$61),'01_Input'!$U$61,0),MAX(MIN(H$20,'01_Input'!$S$61)-'01_Input'!$R$61,0)*'01_Input'!$U$61))+IF('01_Input'!$X$61="Forfait",IF(H$20&gt;='01_Input'!$V$61,'01_Input'!$Y$61,0),IF('01_Input'!$X$61="Palier",IF(AND(H$20&gt;='01_Input'!$V$61,H$20&lt;'01_Input'!$W$61),'01_Input'!$Y$61,0),MAX(MIN(H$20,'01_Input'!$W$61)-'01_Input'!$V$61,0)*'01_Input'!$Y$61))+IF('01_Input'!$AB$61="Forfait",IF(H$20&gt;='01_Input'!$Z$61,'01_Input'!$AC$61,0),IF('01_Input'!$AB$61="Palier",IF(AND(H$20&gt;='01_Input'!$Z$61,H$20&lt;'01_Input'!$AA$61),'01_Input'!$AC$61,0),MAX(MIN(H$20,'01_Input'!$AA$61)-'01_Input'!$Z$61,0)*'01_Input'!$AC$61)))))))))</f>
        <v>12000</v>
      </c>
      <c r="I29" s="25">
        <f>IF('01_Input'!$C$61="Non",0,MIN('01_Input'!$I$61,MAX('01_Input'!$H$61,IF('01_Input'!$G$61="Résiduel vs Gestion",0,IF('01_Input'!$G$61="Taux Classe sélectionnée",Distrib_Global_Classe_Selectionnee*I$20,IF('01_Input'!$G$61="Frais KYC (paliers de 100M€)",MAX(0,Nb_Investisseurs-Nb_KYC_Gratuites_Par_Tranche*(FLOOR(I$20/Taille_Tranche_KYC,1)+1))*Cout_Par_KYC_Supplementaire,(IF('01_Input'!$L$61="Forfait",IF(I$20&gt;='01_Input'!$J$61,'01_Input'!$M$61,0),IF('01_Input'!$L$61="Palier",IF(AND(I$20&gt;='01_Input'!$J$61,I$20&lt;'01_Input'!$K$61),'01_Input'!$M$61,0),MAX(MIN(I$20,'01_Input'!$K$61)-'01_Input'!$J$61,0)*'01_Input'!$M$61))+IF('01_Input'!$P$61="Forfait",IF(I$20&gt;='01_Input'!$N$61,'01_Input'!$Q$61,0),IF('01_Input'!$P$61="Palier",IF(AND(I$20&gt;='01_Input'!$N$61,I$20&lt;'01_Input'!$O$61),'01_Input'!$Q$61,0),MAX(MIN(I$20,'01_Input'!$O$61)-'01_Input'!$N$61,0)*'01_Input'!$Q$61))+IF('01_Input'!$T$61="Forfait",IF(I$20&gt;='01_Input'!$R$61,'01_Input'!$U$61,0),IF('01_Input'!$T$61="Palier",IF(AND(I$20&gt;='01_Input'!$R$61,I$20&lt;'01_Input'!$S$61),'01_Input'!$U$61,0),MAX(MIN(I$20,'01_Input'!$S$61)-'01_Input'!$R$61,0)*'01_Input'!$U$61))+IF('01_Input'!$X$61="Forfait",IF(I$20&gt;='01_Input'!$V$61,'01_Input'!$Y$61,0),IF('01_Input'!$X$61="Palier",IF(AND(I$20&gt;='01_Input'!$V$61,I$20&lt;'01_Input'!$W$61),'01_Input'!$Y$61,0),MAX(MIN(I$20,'01_Input'!$W$61)-'01_Input'!$V$61,0)*'01_Input'!$Y$61))+IF('01_Input'!$AB$61="Forfait",IF(I$20&gt;='01_Input'!$Z$61,'01_Input'!$AC$61,0),IF('01_Input'!$AB$61="Palier",IF(AND(I$20&gt;='01_Input'!$Z$61,I$20&lt;'01_Input'!$AA$61),'01_Input'!$AC$61,0),MAX(MIN(I$20,'01_Input'!$AA$61)-'01_Input'!$Z$61,0)*'01_Input'!$AC$61)))))))))</f>
        <v>12000</v>
      </c>
      <c r="J29" s="25">
        <f>IF('01_Input'!$C$61="Non",0,MIN('01_Input'!$I$61,MAX('01_Input'!$H$61,IF('01_Input'!$G$61="Résiduel vs Gestion",0,IF('01_Input'!$G$61="Taux Classe sélectionnée",Distrib_Global_Classe_Selectionnee*J$20,IF('01_Input'!$G$61="Frais KYC (paliers de 100M€)",MAX(0,Nb_Investisseurs-Nb_KYC_Gratuites_Par_Tranche*(FLOOR(J$20/Taille_Tranche_KYC,1)+1))*Cout_Par_KYC_Supplementaire,(IF('01_Input'!$L$61="Forfait",IF(J$20&gt;='01_Input'!$J$61,'01_Input'!$M$61,0),IF('01_Input'!$L$61="Palier",IF(AND(J$20&gt;='01_Input'!$J$61,J$20&lt;'01_Input'!$K$61),'01_Input'!$M$61,0),MAX(MIN(J$20,'01_Input'!$K$61)-'01_Input'!$J$61,0)*'01_Input'!$M$61))+IF('01_Input'!$P$61="Forfait",IF(J$20&gt;='01_Input'!$N$61,'01_Input'!$Q$61,0),IF('01_Input'!$P$61="Palier",IF(AND(J$20&gt;='01_Input'!$N$61,J$20&lt;'01_Input'!$O$61),'01_Input'!$Q$61,0),MAX(MIN(J$20,'01_Input'!$O$61)-'01_Input'!$N$61,0)*'01_Input'!$Q$61))+IF('01_Input'!$T$61="Forfait",IF(J$20&gt;='01_Input'!$R$61,'01_Input'!$U$61,0),IF('01_Input'!$T$61="Palier",IF(AND(J$20&gt;='01_Input'!$R$61,J$20&lt;'01_Input'!$S$61),'01_Input'!$U$61,0),MAX(MIN(J$20,'01_Input'!$S$61)-'01_Input'!$R$61,0)*'01_Input'!$U$61))+IF('01_Input'!$X$61="Forfait",IF(J$20&gt;='01_Input'!$V$61,'01_Input'!$Y$61,0),IF('01_Input'!$X$61="Palier",IF(AND(J$20&gt;='01_Input'!$V$61,J$20&lt;'01_Input'!$W$61),'01_Input'!$Y$61,0),MAX(MIN(J$20,'01_Input'!$W$61)-'01_Input'!$V$61,0)*'01_Input'!$Y$61))+IF('01_Input'!$AB$61="Forfait",IF(J$20&gt;='01_Input'!$Z$61,'01_Input'!$AC$61,0),IF('01_Input'!$AB$61="Palier",IF(AND(J$20&gt;='01_Input'!$Z$61,J$20&lt;'01_Input'!$AA$61),'01_Input'!$AC$61,0),MAX(MIN(J$20,'01_Input'!$AA$61)-'01_Input'!$Z$61,0)*'01_Input'!$AC$61)))))))))</f>
        <v>12000</v>
      </c>
      <c r="K29" s="25">
        <f>IF('01_Input'!$C$61="Non",0,MIN('01_Input'!$I$61,MAX('01_Input'!$H$61,IF('01_Input'!$G$61="Résiduel vs Gestion",0,IF('01_Input'!$G$61="Taux Classe sélectionnée",Distrib_Global_Classe_Selectionnee*K$20,IF('01_Input'!$G$61="Frais KYC (paliers de 100M€)",MAX(0,Nb_Investisseurs-Nb_KYC_Gratuites_Par_Tranche*(FLOOR(K$20/Taille_Tranche_KYC,1)+1))*Cout_Par_KYC_Supplementaire,(IF('01_Input'!$L$61="Forfait",IF(K$20&gt;='01_Input'!$J$61,'01_Input'!$M$61,0),IF('01_Input'!$L$61="Palier",IF(AND(K$20&gt;='01_Input'!$J$61,K$20&lt;'01_Input'!$K$61),'01_Input'!$M$61,0),MAX(MIN(K$20,'01_Input'!$K$61)-'01_Input'!$J$61,0)*'01_Input'!$M$61))+IF('01_Input'!$P$61="Forfait",IF(K$20&gt;='01_Input'!$N$61,'01_Input'!$Q$61,0),IF('01_Input'!$P$61="Palier",IF(AND(K$20&gt;='01_Input'!$N$61,K$20&lt;'01_Input'!$O$61),'01_Input'!$Q$61,0),MAX(MIN(K$20,'01_Input'!$O$61)-'01_Input'!$N$61,0)*'01_Input'!$Q$61))+IF('01_Input'!$T$61="Forfait",IF(K$20&gt;='01_Input'!$R$61,'01_Input'!$U$61,0),IF('01_Input'!$T$61="Palier",IF(AND(K$20&gt;='01_Input'!$R$61,K$20&lt;'01_Input'!$S$61),'01_Input'!$U$61,0),MAX(MIN(K$20,'01_Input'!$S$61)-'01_Input'!$R$61,0)*'01_Input'!$U$61))+IF('01_Input'!$X$61="Forfait",IF(K$20&gt;='01_Input'!$V$61,'01_Input'!$Y$61,0),IF('01_Input'!$X$61="Palier",IF(AND(K$20&gt;='01_Input'!$V$61,K$20&lt;'01_Input'!$W$61),'01_Input'!$Y$61,0),MAX(MIN(K$20,'01_Input'!$W$61)-'01_Input'!$V$61,0)*'01_Input'!$Y$61))+IF('01_Input'!$AB$61="Forfait",IF(K$20&gt;='01_Input'!$Z$61,'01_Input'!$AC$61,0),IF('01_Input'!$AB$61="Palier",IF(AND(K$20&gt;='01_Input'!$Z$61,K$20&lt;'01_Input'!$AA$61),'01_Input'!$AC$61,0),MAX(MIN(K$20,'01_Input'!$AA$61)-'01_Input'!$Z$61,0)*'01_Input'!$AC$61)))))))))</f>
        <v>12000</v>
      </c>
      <c r="L29" s="25">
        <f>IF('01_Input'!$C$61="Non",0,MIN('01_Input'!$I$61,MAX('01_Input'!$H$61,IF('01_Input'!$G$61="Résiduel vs Gestion",0,IF('01_Input'!$G$61="Taux Classe sélectionnée",Distrib_Global_Classe_Selectionnee*L$20,IF('01_Input'!$G$61="Frais KYC (paliers de 100M€)",MAX(0,Nb_Investisseurs-Nb_KYC_Gratuites_Par_Tranche*(FLOOR(L$20/Taille_Tranche_KYC,1)+1))*Cout_Par_KYC_Supplementaire,(IF('01_Input'!$L$61="Forfait",IF(L$20&gt;='01_Input'!$J$61,'01_Input'!$M$61,0),IF('01_Input'!$L$61="Palier",IF(AND(L$20&gt;='01_Input'!$J$61,L$20&lt;'01_Input'!$K$61),'01_Input'!$M$61,0),MAX(MIN(L$20,'01_Input'!$K$61)-'01_Input'!$J$61,0)*'01_Input'!$M$61))+IF('01_Input'!$P$61="Forfait",IF(L$20&gt;='01_Input'!$N$61,'01_Input'!$Q$61,0),IF('01_Input'!$P$61="Palier",IF(AND(L$20&gt;='01_Input'!$N$61,L$20&lt;'01_Input'!$O$61),'01_Input'!$Q$61,0),MAX(MIN(L$20,'01_Input'!$O$61)-'01_Input'!$N$61,0)*'01_Input'!$Q$61))+IF('01_Input'!$T$61="Forfait",IF(L$20&gt;='01_Input'!$R$61,'01_Input'!$U$61,0),IF('01_Input'!$T$61="Palier",IF(AND(L$20&gt;='01_Input'!$R$61,L$20&lt;'01_Input'!$S$61),'01_Input'!$U$61,0),MAX(MIN(L$20,'01_Input'!$S$61)-'01_Input'!$R$61,0)*'01_Input'!$U$61))+IF('01_Input'!$X$61="Forfait",IF(L$20&gt;='01_Input'!$V$61,'01_Input'!$Y$61,0),IF('01_Input'!$X$61="Palier",IF(AND(L$20&gt;='01_Input'!$V$61,L$20&lt;'01_Input'!$W$61),'01_Input'!$Y$61,0),MAX(MIN(L$20,'01_Input'!$W$61)-'01_Input'!$V$61,0)*'01_Input'!$Y$61))+IF('01_Input'!$AB$61="Forfait",IF(L$20&gt;='01_Input'!$Z$61,'01_Input'!$AC$61,0),IF('01_Input'!$AB$61="Palier",IF(AND(L$20&gt;='01_Input'!$Z$61,L$20&lt;'01_Input'!$AA$61),'01_Input'!$AC$61,0),MAX(MIN(L$20,'01_Input'!$AA$61)-'01_Input'!$Z$61,0)*'01_Input'!$AC$61)))))))))</f>
        <v>14000</v>
      </c>
      <c r="M29" s="25">
        <f>IF('01_Input'!$C$61="Non",0,MIN('01_Input'!$I$61,MAX('01_Input'!$H$61,IF('01_Input'!$G$61="Résiduel vs Gestion",0,IF('01_Input'!$G$61="Taux Classe sélectionnée",Distrib_Global_Classe_Selectionnee*M$20,IF('01_Input'!$G$61="Frais KYC (paliers de 100M€)",MAX(0,Nb_Investisseurs-Nb_KYC_Gratuites_Par_Tranche*(FLOOR(M$20/Taille_Tranche_KYC,1)+1))*Cout_Par_KYC_Supplementaire,(IF('01_Input'!$L$61="Forfait",IF(M$20&gt;='01_Input'!$J$61,'01_Input'!$M$61,0),IF('01_Input'!$L$61="Palier",IF(AND(M$20&gt;='01_Input'!$J$61,M$20&lt;'01_Input'!$K$61),'01_Input'!$M$61,0),MAX(MIN(M$20,'01_Input'!$K$61)-'01_Input'!$J$61,0)*'01_Input'!$M$61))+IF('01_Input'!$P$61="Forfait",IF(M$20&gt;='01_Input'!$N$61,'01_Input'!$Q$61,0),IF('01_Input'!$P$61="Palier",IF(AND(M$20&gt;='01_Input'!$N$61,M$20&lt;'01_Input'!$O$61),'01_Input'!$Q$61,0),MAX(MIN(M$20,'01_Input'!$O$61)-'01_Input'!$N$61,0)*'01_Input'!$Q$61))+IF('01_Input'!$T$61="Forfait",IF(M$20&gt;='01_Input'!$R$61,'01_Input'!$U$61,0),IF('01_Input'!$T$61="Palier",IF(AND(M$20&gt;='01_Input'!$R$61,M$20&lt;'01_Input'!$S$61),'01_Input'!$U$61,0),MAX(MIN(M$20,'01_Input'!$S$61)-'01_Input'!$R$61,0)*'01_Input'!$U$61))+IF('01_Input'!$X$61="Forfait",IF(M$20&gt;='01_Input'!$V$61,'01_Input'!$Y$61,0),IF('01_Input'!$X$61="Palier",IF(AND(M$20&gt;='01_Input'!$V$61,M$20&lt;'01_Input'!$W$61),'01_Input'!$Y$61,0),MAX(MIN(M$20,'01_Input'!$W$61)-'01_Input'!$V$61,0)*'01_Input'!$Y$61))+IF('01_Input'!$AB$61="Forfait",IF(M$20&gt;='01_Input'!$Z$61,'01_Input'!$AC$61,0),IF('01_Input'!$AB$61="Palier",IF(AND(M$20&gt;='01_Input'!$Z$61,M$20&lt;'01_Input'!$AA$61),'01_Input'!$AC$61,0),MAX(MIN(M$20,'01_Input'!$AA$61)-'01_Input'!$Z$61,0)*'01_Input'!$AC$61)))))))))</f>
        <v>14000</v>
      </c>
      <c r="N29" s="25">
        <f>IF('01_Input'!$C$61="Non",0,MIN('01_Input'!$I$61,MAX('01_Input'!$H$61,IF('01_Input'!$G$61="Résiduel vs Gestion",0,IF('01_Input'!$G$61="Taux Classe sélectionnée",Distrib_Global_Classe_Selectionnee*N$20,IF('01_Input'!$G$61="Frais KYC (paliers de 100M€)",MAX(0,Nb_Investisseurs-Nb_KYC_Gratuites_Par_Tranche*(FLOOR(N$20/Taille_Tranche_KYC,1)+1))*Cout_Par_KYC_Supplementaire,(IF('01_Input'!$L$61="Forfait",IF(N$20&gt;='01_Input'!$J$61,'01_Input'!$M$61,0),IF('01_Input'!$L$61="Palier",IF(AND(N$20&gt;='01_Input'!$J$61,N$20&lt;'01_Input'!$K$61),'01_Input'!$M$61,0),MAX(MIN(N$20,'01_Input'!$K$61)-'01_Input'!$J$61,0)*'01_Input'!$M$61))+IF('01_Input'!$P$61="Forfait",IF(N$20&gt;='01_Input'!$N$61,'01_Input'!$Q$61,0),IF('01_Input'!$P$61="Palier",IF(AND(N$20&gt;='01_Input'!$N$61,N$20&lt;'01_Input'!$O$61),'01_Input'!$Q$61,0),MAX(MIN(N$20,'01_Input'!$O$61)-'01_Input'!$N$61,0)*'01_Input'!$Q$61))+IF('01_Input'!$T$61="Forfait",IF(N$20&gt;='01_Input'!$R$61,'01_Input'!$U$61,0),IF('01_Input'!$T$61="Palier",IF(AND(N$20&gt;='01_Input'!$R$61,N$20&lt;'01_Input'!$S$61),'01_Input'!$U$61,0),MAX(MIN(N$20,'01_Input'!$S$61)-'01_Input'!$R$61,0)*'01_Input'!$U$61))+IF('01_Input'!$X$61="Forfait",IF(N$20&gt;='01_Input'!$V$61,'01_Input'!$Y$61,0),IF('01_Input'!$X$61="Palier",IF(AND(N$20&gt;='01_Input'!$V$61,N$20&lt;'01_Input'!$W$61),'01_Input'!$Y$61,0),MAX(MIN(N$20,'01_Input'!$W$61)-'01_Input'!$V$61,0)*'01_Input'!$Y$61))+IF('01_Input'!$AB$61="Forfait",IF(N$20&gt;='01_Input'!$Z$61,'01_Input'!$AC$61,0),IF('01_Input'!$AB$61="Palier",IF(AND(N$20&gt;='01_Input'!$Z$61,N$20&lt;'01_Input'!$AA$61),'01_Input'!$AC$61,0),MAX(MIN(N$20,'01_Input'!$AA$61)-'01_Input'!$Z$61,0)*'01_Input'!$AC$61)))))))))</f>
        <v>14000</v>
      </c>
      <c r="O29" s="25">
        <f>IF('01_Input'!$C$61="Non",0,MIN('01_Input'!$I$61,MAX('01_Input'!$H$61,IF('01_Input'!$G$61="Résiduel vs Gestion",0,IF('01_Input'!$G$61="Taux Classe sélectionnée",Distrib_Global_Classe_Selectionnee*O$20,IF('01_Input'!$G$61="Frais KYC (paliers de 100M€)",MAX(0,Nb_Investisseurs-Nb_KYC_Gratuites_Par_Tranche*(FLOOR(O$20/Taille_Tranche_KYC,1)+1))*Cout_Par_KYC_Supplementaire,(IF('01_Input'!$L$61="Forfait",IF(O$20&gt;='01_Input'!$J$61,'01_Input'!$M$61,0),IF('01_Input'!$L$61="Palier",IF(AND(O$20&gt;='01_Input'!$J$61,O$20&lt;'01_Input'!$K$61),'01_Input'!$M$61,0),MAX(MIN(O$20,'01_Input'!$K$61)-'01_Input'!$J$61,0)*'01_Input'!$M$61))+IF('01_Input'!$P$61="Forfait",IF(O$20&gt;='01_Input'!$N$61,'01_Input'!$Q$61,0),IF('01_Input'!$P$61="Palier",IF(AND(O$20&gt;='01_Input'!$N$61,O$20&lt;'01_Input'!$O$61),'01_Input'!$Q$61,0),MAX(MIN(O$20,'01_Input'!$O$61)-'01_Input'!$N$61,0)*'01_Input'!$Q$61))+IF('01_Input'!$T$61="Forfait",IF(O$20&gt;='01_Input'!$R$61,'01_Input'!$U$61,0),IF('01_Input'!$T$61="Palier",IF(AND(O$20&gt;='01_Input'!$R$61,O$20&lt;'01_Input'!$S$61),'01_Input'!$U$61,0),MAX(MIN(O$20,'01_Input'!$S$61)-'01_Input'!$R$61,0)*'01_Input'!$U$61))+IF('01_Input'!$X$61="Forfait",IF(O$20&gt;='01_Input'!$V$61,'01_Input'!$Y$61,0),IF('01_Input'!$X$61="Palier",IF(AND(O$20&gt;='01_Input'!$V$61,O$20&lt;'01_Input'!$W$61),'01_Input'!$Y$61,0),MAX(MIN(O$20,'01_Input'!$W$61)-'01_Input'!$V$61,0)*'01_Input'!$Y$61))+IF('01_Input'!$AB$61="Forfait",IF(O$20&gt;='01_Input'!$Z$61,'01_Input'!$AC$61,0),IF('01_Input'!$AB$61="Palier",IF(AND(O$20&gt;='01_Input'!$Z$61,O$20&lt;'01_Input'!$AA$61),'01_Input'!$AC$61,0),MAX(MIN(O$20,'01_Input'!$AA$61)-'01_Input'!$Z$61,0)*'01_Input'!$AC$61)))))))))</f>
        <v>0</v>
      </c>
      <c r="P29" s="25">
        <f>IF('01_Input'!$C$61="Non",0,MIN('01_Input'!$I$61,MAX('01_Input'!$H$61,IF('01_Input'!$G$61="Résiduel vs Gestion",0,IF('01_Input'!$G$61="Taux Classe sélectionnée",Distrib_Global_Classe_Selectionnee*P$20,IF('01_Input'!$G$61="Frais KYC (paliers de 100M€)",MAX(0,Nb_Investisseurs-Nb_KYC_Gratuites_Par_Tranche*(FLOOR(P$20/Taille_Tranche_KYC,1)+1))*Cout_Par_KYC_Supplementaire,(IF('01_Input'!$L$61="Forfait",IF(P$20&gt;='01_Input'!$J$61,'01_Input'!$M$61,0),IF('01_Input'!$L$61="Palier",IF(AND(P$20&gt;='01_Input'!$J$61,P$20&lt;'01_Input'!$K$61),'01_Input'!$M$61,0),MAX(MIN(P$20,'01_Input'!$K$61)-'01_Input'!$J$61,0)*'01_Input'!$M$61))+IF('01_Input'!$P$61="Forfait",IF(P$20&gt;='01_Input'!$N$61,'01_Input'!$Q$61,0),IF('01_Input'!$P$61="Palier",IF(AND(P$20&gt;='01_Input'!$N$61,P$20&lt;'01_Input'!$O$61),'01_Input'!$Q$61,0),MAX(MIN(P$20,'01_Input'!$O$61)-'01_Input'!$N$61,0)*'01_Input'!$Q$61))+IF('01_Input'!$T$61="Forfait",IF(P$20&gt;='01_Input'!$R$61,'01_Input'!$U$61,0),IF('01_Input'!$T$61="Palier",IF(AND(P$20&gt;='01_Input'!$R$61,P$20&lt;'01_Input'!$S$61),'01_Input'!$U$61,0),MAX(MIN(P$20,'01_Input'!$S$61)-'01_Input'!$R$61,0)*'01_Input'!$U$61))+IF('01_Input'!$X$61="Forfait",IF(P$20&gt;='01_Input'!$V$61,'01_Input'!$Y$61,0),IF('01_Input'!$X$61="Palier",IF(AND(P$20&gt;='01_Input'!$V$61,P$20&lt;'01_Input'!$W$61),'01_Input'!$Y$61,0),MAX(MIN(P$20,'01_Input'!$W$61)-'01_Input'!$V$61,0)*'01_Input'!$Y$61))+IF('01_Input'!$AB$61="Forfait",IF(P$20&gt;='01_Input'!$Z$61,'01_Input'!$AC$61,0),IF('01_Input'!$AB$61="Palier",IF(AND(P$20&gt;='01_Input'!$Z$61,P$20&lt;'01_Input'!$AA$61),'01_Input'!$AC$61,0),MAX(MIN(P$20,'01_Input'!$AA$61)-'01_Input'!$Z$61,0)*'01_Input'!$AC$61)))))))))</f>
        <v>0</v>
      </c>
      <c r="Q29" s="25">
        <f>IF('01_Input'!$C$61="Non",0,MIN('01_Input'!$I$61,MAX('01_Input'!$H$61,IF('01_Input'!$G$61="Résiduel vs Gestion",0,IF('01_Input'!$G$61="Taux Classe sélectionnée",Distrib_Global_Classe_Selectionnee*Q$20,IF('01_Input'!$G$61="Frais KYC (paliers de 100M€)",MAX(0,Nb_Investisseurs-Nb_KYC_Gratuites_Par_Tranche*(FLOOR(Q$20/Taille_Tranche_KYC,1)+1))*Cout_Par_KYC_Supplementaire,(IF('01_Input'!$L$61="Forfait",IF(Q$20&gt;='01_Input'!$J$61,'01_Input'!$M$61,0),IF('01_Input'!$L$61="Palier",IF(AND(Q$20&gt;='01_Input'!$J$61,Q$20&lt;'01_Input'!$K$61),'01_Input'!$M$61,0),MAX(MIN(Q$20,'01_Input'!$K$61)-'01_Input'!$J$61,0)*'01_Input'!$M$61))+IF('01_Input'!$P$61="Forfait",IF(Q$20&gt;='01_Input'!$N$61,'01_Input'!$Q$61,0),IF('01_Input'!$P$61="Palier",IF(AND(Q$20&gt;='01_Input'!$N$61,Q$20&lt;'01_Input'!$O$61),'01_Input'!$Q$61,0),MAX(MIN(Q$20,'01_Input'!$O$61)-'01_Input'!$N$61,0)*'01_Input'!$Q$61))+IF('01_Input'!$T$61="Forfait",IF(Q$20&gt;='01_Input'!$R$61,'01_Input'!$U$61,0),IF('01_Input'!$T$61="Palier",IF(AND(Q$20&gt;='01_Input'!$R$61,Q$20&lt;'01_Input'!$S$61),'01_Input'!$U$61,0),MAX(MIN(Q$20,'01_Input'!$S$61)-'01_Input'!$R$61,0)*'01_Input'!$U$61))+IF('01_Input'!$X$61="Forfait",IF(Q$20&gt;='01_Input'!$V$61,'01_Input'!$Y$61,0),IF('01_Input'!$X$61="Palier",IF(AND(Q$20&gt;='01_Input'!$V$61,Q$20&lt;'01_Input'!$W$61),'01_Input'!$Y$61,0),MAX(MIN(Q$20,'01_Input'!$W$61)-'01_Input'!$V$61,0)*'01_Input'!$Y$61))+IF('01_Input'!$AB$61="Forfait",IF(Q$20&gt;='01_Input'!$Z$61,'01_Input'!$AC$61,0),IF('01_Input'!$AB$61="Palier",IF(AND(Q$20&gt;='01_Input'!$Z$61,Q$20&lt;'01_Input'!$AA$61),'01_Input'!$AC$61,0),MAX(MIN(Q$20,'01_Input'!$AA$61)-'01_Input'!$Z$61,0)*'01_Input'!$AC$61)))))))))</f>
        <v>0</v>
      </c>
      <c r="R29" s="25">
        <f>IF('01_Input'!$C$61="Non",0,MIN('01_Input'!$I$61,MAX('01_Input'!$H$61,IF('01_Input'!$G$61="Résiduel vs Gestion",0,IF('01_Input'!$G$61="Taux Classe sélectionnée",Distrib_Global_Classe_Selectionnee*R$20,IF('01_Input'!$G$61="Frais KYC (paliers de 100M€)",MAX(0,Nb_Investisseurs-Nb_KYC_Gratuites_Par_Tranche*(FLOOR(R$20/Taille_Tranche_KYC,1)+1))*Cout_Par_KYC_Supplementaire,(IF('01_Input'!$L$61="Forfait",IF(R$20&gt;='01_Input'!$J$61,'01_Input'!$M$61,0),IF('01_Input'!$L$61="Palier",IF(AND(R$20&gt;='01_Input'!$J$61,R$20&lt;'01_Input'!$K$61),'01_Input'!$M$61,0),MAX(MIN(R$20,'01_Input'!$K$61)-'01_Input'!$J$61,0)*'01_Input'!$M$61))+IF('01_Input'!$P$61="Forfait",IF(R$20&gt;='01_Input'!$N$61,'01_Input'!$Q$61,0),IF('01_Input'!$P$61="Palier",IF(AND(R$20&gt;='01_Input'!$N$61,R$20&lt;'01_Input'!$O$61),'01_Input'!$Q$61,0),MAX(MIN(R$20,'01_Input'!$O$61)-'01_Input'!$N$61,0)*'01_Input'!$Q$61))+IF('01_Input'!$T$61="Forfait",IF(R$20&gt;='01_Input'!$R$61,'01_Input'!$U$61,0),IF('01_Input'!$T$61="Palier",IF(AND(R$20&gt;='01_Input'!$R$61,R$20&lt;'01_Input'!$S$61),'01_Input'!$U$61,0),MAX(MIN(R$20,'01_Input'!$S$61)-'01_Input'!$R$61,0)*'01_Input'!$U$61))+IF('01_Input'!$X$61="Forfait",IF(R$20&gt;='01_Input'!$V$61,'01_Input'!$Y$61,0),IF('01_Input'!$X$61="Palier",IF(AND(R$20&gt;='01_Input'!$V$61,R$20&lt;'01_Input'!$W$61),'01_Input'!$Y$61,0),MAX(MIN(R$20,'01_Input'!$W$61)-'01_Input'!$V$61,0)*'01_Input'!$Y$61))+IF('01_Input'!$AB$61="Forfait",IF(R$20&gt;='01_Input'!$Z$61,'01_Input'!$AC$61,0),IF('01_Input'!$AB$61="Palier",IF(AND(R$20&gt;='01_Input'!$Z$61,R$20&lt;'01_Input'!$AA$61),'01_Input'!$AC$61,0),MAX(MIN(R$20,'01_Input'!$AA$61)-'01_Input'!$Z$61,0)*'01_Input'!$AC$61)))))))))</f>
        <v>0</v>
      </c>
      <c r="S29" s="25">
        <f>IF('01_Input'!$C$61="Non",0,MIN('01_Input'!$I$61,MAX('01_Input'!$H$61,IF('01_Input'!$G$61="Résiduel vs Gestion",0,IF('01_Input'!$G$61="Taux Classe sélectionnée",Distrib_Global_Classe_Selectionnee*S$20,IF('01_Input'!$G$61="Frais KYC (paliers de 100M€)",MAX(0,Nb_Investisseurs-Nb_KYC_Gratuites_Par_Tranche*(FLOOR(S$20/Taille_Tranche_KYC,1)+1))*Cout_Par_KYC_Supplementaire,(IF('01_Input'!$L$61="Forfait",IF(S$20&gt;='01_Input'!$J$61,'01_Input'!$M$61,0),IF('01_Input'!$L$61="Palier",IF(AND(S$20&gt;='01_Input'!$J$61,S$20&lt;'01_Input'!$K$61),'01_Input'!$M$61,0),MAX(MIN(S$20,'01_Input'!$K$61)-'01_Input'!$J$61,0)*'01_Input'!$M$61))+IF('01_Input'!$P$61="Forfait",IF(S$20&gt;='01_Input'!$N$61,'01_Input'!$Q$61,0),IF('01_Input'!$P$61="Palier",IF(AND(S$20&gt;='01_Input'!$N$61,S$20&lt;'01_Input'!$O$61),'01_Input'!$Q$61,0),MAX(MIN(S$20,'01_Input'!$O$61)-'01_Input'!$N$61,0)*'01_Input'!$Q$61))+IF('01_Input'!$T$61="Forfait",IF(S$20&gt;='01_Input'!$R$61,'01_Input'!$U$61,0),IF('01_Input'!$T$61="Palier",IF(AND(S$20&gt;='01_Input'!$R$61,S$20&lt;'01_Input'!$S$61),'01_Input'!$U$61,0),MAX(MIN(S$20,'01_Input'!$S$61)-'01_Input'!$R$61,0)*'01_Input'!$U$61))+IF('01_Input'!$X$61="Forfait",IF(S$20&gt;='01_Input'!$V$61,'01_Input'!$Y$61,0),IF('01_Input'!$X$61="Palier",IF(AND(S$20&gt;='01_Input'!$V$61,S$20&lt;'01_Input'!$W$61),'01_Input'!$Y$61,0),MAX(MIN(S$20,'01_Input'!$W$61)-'01_Input'!$V$61,0)*'01_Input'!$Y$61))+IF('01_Input'!$AB$61="Forfait",IF(S$20&gt;='01_Input'!$Z$61,'01_Input'!$AC$61,0),IF('01_Input'!$AB$61="Palier",IF(AND(S$20&gt;='01_Input'!$Z$61,S$20&lt;'01_Input'!$AA$61),'01_Input'!$AC$61,0),MAX(MIN(S$20,'01_Input'!$AA$61)-'01_Input'!$Z$61,0)*'01_Input'!$AC$61)))))))))</f>
        <v>0</v>
      </c>
      <c r="T29" s="25">
        <f>IF('01_Input'!$C$61="Non",0,MIN('01_Input'!$I$61,MAX('01_Input'!$H$61,IF('01_Input'!$G$61="Résiduel vs Gestion",0,IF('01_Input'!$G$61="Taux Classe sélectionnée",Distrib_Global_Classe_Selectionnee*T$20,IF('01_Input'!$G$61="Frais KYC (paliers de 100M€)",MAX(0,Nb_Investisseurs-Nb_KYC_Gratuites_Par_Tranche*(FLOOR(T$20/Taille_Tranche_KYC,1)+1))*Cout_Par_KYC_Supplementaire,(IF('01_Input'!$L$61="Forfait",IF(T$20&gt;='01_Input'!$J$61,'01_Input'!$M$61,0),IF('01_Input'!$L$61="Palier",IF(AND(T$20&gt;='01_Input'!$J$61,T$20&lt;'01_Input'!$K$61),'01_Input'!$M$61,0),MAX(MIN(T$20,'01_Input'!$K$61)-'01_Input'!$J$61,0)*'01_Input'!$M$61))+IF('01_Input'!$P$61="Forfait",IF(T$20&gt;='01_Input'!$N$61,'01_Input'!$Q$61,0),IF('01_Input'!$P$61="Palier",IF(AND(T$20&gt;='01_Input'!$N$61,T$20&lt;'01_Input'!$O$61),'01_Input'!$Q$61,0),MAX(MIN(T$20,'01_Input'!$O$61)-'01_Input'!$N$61,0)*'01_Input'!$Q$61))+IF('01_Input'!$T$61="Forfait",IF(T$20&gt;='01_Input'!$R$61,'01_Input'!$U$61,0),IF('01_Input'!$T$61="Palier",IF(AND(T$20&gt;='01_Input'!$R$61,T$20&lt;'01_Input'!$S$61),'01_Input'!$U$61,0),MAX(MIN(T$20,'01_Input'!$S$61)-'01_Input'!$R$61,0)*'01_Input'!$U$61))+IF('01_Input'!$X$61="Forfait",IF(T$20&gt;='01_Input'!$V$61,'01_Input'!$Y$61,0),IF('01_Input'!$X$61="Palier",IF(AND(T$20&gt;='01_Input'!$V$61,T$20&lt;'01_Input'!$W$61),'01_Input'!$Y$61,0),MAX(MIN(T$20,'01_Input'!$W$61)-'01_Input'!$V$61,0)*'01_Input'!$Y$61))+IF('01_Input'!$AB$61="Forfait",IF(T$20&gt;='01_Input'!$Z$61,'01_Input'!$AC$61,0),IF('01_Input'!$AB$61="Palier",IF(AND(T$20&gt;='01_Input'!$Z$61,T$20&lt;'01_Input'!$AA$61),'01_Input'!$AC$61,0),MAX(MIN(T$20,'01_Input'!$AA$61)-'01_Input'!$Z$61,0)*'01_Input'!$AC$61)))))))))</f>
        <v>0</v>
      </c>
      <c r="U29" s="25">
        <f>IF('01_Input'!$C$61="Non",0,MIN('01_Input'!$I$61,MAX('01_Input'!$H$61,IF('01_Input'!$G$61="Résiduel vs Gestion",0,IF('01_Input'!$G$61="Taux Classe sélectionnée",Distrib_Global_Classe_Selectionnee*U$20,IF('01_Input'!$G$61="Frais KYC (paliers de 100M€)",MAX(0,Nb_Investisseurs-Nb_KYC_Gratuites_Par_Tranche*(FLOOR(U$20/Taille_Tranche_KYC,1)+1))*Cout_Par_KYC_Supplementaire,(IF('01_Input'!$L$61="Forfait",IF(U$20&gt;='01_Input'!$J$61,'01_Input'!$M$61,0),IF('01_Input'!$L$61="Palier",IF(AND(U$20&gt;='01_Input'!$J$61,U$20&lt;'01_Input'!$K$61),'01_Input'!$M$61,0),MAX(MIN(U$20,'01_Input'!$K$61)-'01_Input'!$J$61,0)*'01_Input'!$M$61))+IF('01_Input'!$P$61="Forfait",IF(U$20&gt;='01_Input'!$N$61,'01_Input'!$Q$61,0),IF('01_Input'!$P$61="Palier",IF(AND(U$20&gt;='01_Input'!$N$61,U$20&lt;'01_Input'!$O$61),'01_Input'!$Q$61,0),MAX(MIN(U$20,'01_Input'!$O$61)-'01_Input'!$N$61,0)*'01_Input'!$Q$61))+IF('01_Input'!$T$61="Forfait",IF(U$20&gt;='01_Input'!$R$61,'01_Input'!$U$61,0),IF('01_Input'!$T$61="Palier",IF(AND(U$20&gt;='01_Input'!$R$61,U$20&lt;'01_Input'!$S$61),'01_Input'!$U$61,0),MAX(MIN(U$20,'01_Input'!$S$61)-'01_Input'!$R$61,0)*'01_Input'!$U$61))+IF('01_Input'!$X$61="Forfait",IF(U$20&gt;='01_Input'!$V$61,'01_Input'!$Y$61,0),IF('01_Input'!$X$61="Palier",IF(AND(U$20&gt;='01_Input'!$V$61,U$20&lt;'01_Input'!$W$61),'01_Input'!$Y$61,0),MAX(MIN(U$20,'01_Input'!$W$61)-'01_Input'!$V$61,0)*'01_Input'!$Y$61))+IF('01_Input'!$AB$61="Forfait",IF(U$20&gt;='01_Input'!$Z$61,'01_Input'!$AC$61,0),IF('01_Input'!$AB$61="Palier",IF(AND(U$20&gt;='01_Input'!$Z$61,U$20&lt;'01_Input'!$AA$61),'01_Input'!$AC$61,0),MAX(MIN(U$20,'01_Input'!$AA$61)-'01_Input'!$Z$61,0)*'01_Input'!$AC$61)))))))))</f>
        <v>0</v>
      </c>
      <c r="V29" s="25">
        <f>IF('01_Input'!$C$61="Non",0,MIN('01_Input'!$I$61,MAX('01_Input'!$H$61,IF('01_Input'!$G$61="Résiduel vs Gestion",0,IF('01_Input'!$G$61="Taux Classe sélectionnée",Distrib_Global_Classe_Selectionnee*V$20,IF('01_Input'!$G$61="Frais KYC (paliers de 100M€)",MAX(0,Nb_Investisseurs-Nb_KYC_Gratuites_Par_Tranche*(FLOOR(V$20/Taille_Tranche_KYC,1)+1))*Cout_Par_KYC_Supplementaire,(IF('01_Input'!$L$61="Forfait",IF(V$20&gt;='01_Input'!$J$61,'01_Input'!$M$61,0),IF('01_Input'!$L$61="Palier",IF(AND(V$20&gt;='01_Input'!$J$61,V$20&lt;'01_Input'!$K$61),'01_Input'!$M$61,0),MAX(MIN(V$20,'01_Input'!$K$61)-'01_Input'!$J$61,0)*'01_Input'!$M$61))+IF('01_Input'!$P$61="Forfait",IF(V$20&gt;='01_Input'!$N$61,'01_Input'!$Q$61,0),IF('01_Input'!$P$61="Palier",IF(AND(V$20&gt;='01_Input'!$N$61,V$20&lt;'01_Input'!$O$61),'01_Input'!$Q$61,0),MAX(MIN(V$20,'01_Input'!$O$61)-'01_Input'!$N$61,0)*'01_Input'!$Q$61))+IF('01_Input'!$T$61="Forfait",IF(V$20&gt;='01_Input'!$R$61,'01_Input'!$U$61,0),IF('01_Input'!$T$61="Palier",IF(AND(V$20&gt;='01_Input'!$R$61,V$20&lt;'01_Input'!$S$61),'01_Input'!$U$61,0),MAX(MIN(V$20,'01_Input'!$S$61)-'01_Input'!$R$61,0)*'01_Input'!$U$61))+IF('01_Input'!$X$61="Forfait",IF(V$20&gt;='01_Input'!$V$61,'01_Input'!$Y$61,0),IF('01_Input'!$X$61="Palier",IF(AND(V$20&gt;='01_Input'!$V$61,V$20&lt;'01_Input'!$W$61),'01_Input'!$Y$61,0),MAX(MIN(V$20,'01_Input'!$W$61)-'01_Input'!$V$61,0)*'01_Input'!$Y$61))+IF('01_Input'!$AB$61="Forfait",IF(V$20&gt;='01_Input'!$Z$61,'01_Input'!$AC$61,0),IF('01_Input'!$AB$61="Palier",IF(AND(V$20&gt;='01_Input'!$Z$61,V$20&lt;'01_Input'!$AA$61),'01_Input'!$AC$61,0),MAX(MIN(V$20,'01_Input'!$AA$61)-'01_Input'!$Z$61,0)*'01_Input'!$AC$61)))))))))</f>
        <v>0</v>
      </c>
      <c r="W29" s="25">
        <f>IF('01_Input'!$C$61="Non",0,MIN('01_Input'!$I$61,MAX('01_Input'!$H$61,IF('01_Input'!$G$61="Résiduel vs Gestion",0,IF('01_Input'!$G$61="Taux Classe sélectionnée",Distrib_Global_Classe_Selectionnee*W$20,IF('01_Input'!$G$61="Frais KYC (paliers de 100M€)",MAX(0,Nb_Investisseurs-Nb_KYC_Gratuites_Par_Tranche*(FLOOR(W$20/Taille_Tranche_KYC,1)+1))*Cout_Par_KYC_Supplementaire,(IF('01_Input'!$L$61="Forfait",IF(W$20&gt;='01_Input'!$J$61,'01_Input'!$M$61,0),IF('01_Input'!$L$61="Palier",IF(AND(W$20&gt;='01_Input'!$J$61,W$20&lt;'01_Input'!$K$61),'01_Input'!$M$61,0),MAX(MIN(W$20,'01_Input'!$K$61)-'01_Input'!$J$61,0)*'01_Input'!$M$61))+IF('01_Input'!$P$61="Forfait",IF(W$20&gt;='01_Input'!$N$61,'01_Input'!$Q$61,0),IF('01_Input'!$P$61="Palier",IF(AND(W$20&gt;='01_Input'!$N$61,W$20&lt;'01_Input'!$O$61),'01_Input'!$Q$61,0),MAX(MIN(W$20,'01_Input'!$O$61)-'01_Input'!$N$61,0)*'01_Input'!$Q$61))+IF('01_Input'!$T$61="Forfait",IF(W$20&gt;='01_Input'!$R$61,'01_Input'!$U$61,0),IF('01_Input'!$T$61="Palier",IF(AND(W$20&gt;='01_Input'!$R$61,W$20&lt;'01_Input'!$S$61),'01_Input'!$U$61,0),MAX(MIN(W$20,'01_Input'!$S$61)-'01_Input'!$R$61,0)*'01_Input'!$U$61))+IF('01_Input'!$X$61="Forfait",IF(W$20&gt;='01_Input'!$V$61,'01_Input'!$Y$61,0),IF('01_Input'!$X$61="Palier",IF(AND(W$20&gt;='01_Input'!$V$61,W$20&lt;'01_Input'!$W$61),'01_Input'!$Y$61,0),MAX(MIN(W$20,'01_Input'!$W$61)-'01_Input'!$V$61,0)*'01_Input'!$Y$61))+IF('01_Input'!$AB$61="Forfait",IF(W$20&gt;='01_Input'!$Z$61,'01_Input'!$AC$61,0),IF('01_Input'!$AB$61="Palier",IF(AND(W$20&gt;='01_Input'!$Z$61,W$20&lt;'01_Input'!$AA$61),'01_Input'!$AC$61,0),MAX(MIN(W$20,'01_Input'!$AA$61)-'01_Input'!$Z$61,0)*'01_Input'!$AC$61)))))))))</f>
        <v>0</v>
      </c>
      <c r="X29" s="25">
        <f>IF('01_Input'!$C$61="Non",0,MIN('01_Input'!$I$61,MAX('01_Input'!$H$61,IF('01_Input'!$G$61="Résiduel vs Gestion",0,IF('01_Input'!$G$61="Taux Classe sélectionnée",Distrib_Global_Classe_Selectionnee*X$20,IF('01_Input'!$G$61="Frais KYC (paliers de 100M€)",MAX(0,Nb_Investisseurs-Nb_KYC_Gratuites_Par_Tranche*(FLOOR(X$20/Taille_Tranche_KYC,1)+1))*Cout_Par_KYC_Supplementaire,(IF('01_Input'!$L$61="Forfait",IF(X$20&gt;='01_Input'!$J$61,'01_Input'!$M$61,0),IF('01_Input'!$L$61="Palier",IF(AND(X$20&gt;='01_Input'!$J$61,X$20&lt;'01_Input'!$K$61),'01_Input'!$M$61,0),MAX(MIN(X$20,'01_Input'!$K$61)-'01_Input'!$J$61,0)*'01_Input'!$M$61))+IF('01_Input'!$P$61="Forfait",IF(X$20&gt;='01_Input'!$N$61,'01_Input'!$Q$61,0),IF('01_Input'!$P$61="Palier",IF(AND(X$20&gt;='01_Input'!$N$61,X$20&lt;'01_Input'!$O$61),'01_Input'!$Q$61,0),MAX(MIN(X$20,'01_Input'!$O$61)-'01_Input'!$N$61,0)*'01_Input'!$Q$61))+IF('01_Input'!$T$61="Forfait",IF(X$20&gt;='01_Input'!$R$61,'01_Input'!$U$61,0),IF('01_Input'!$T$61="Palier",IF(AND(X$20&gt;='01_Input'!$R$61,X$20&lt;'01_Input'!$S$61),'01_Input'!$U$61,0),MAX(MIN(X$20,'01_Input'!$S$61)-'01_Input'!$R$61,0)*'01_Input'!$U$61))+IF('01_Input'!$X$61="Forfait",IF(X$20&gt;='01_Input'!$V$61,'01_Input'!$Y$61,0),IF('01_Input'!$X$61="Palier",IF(AND(X$20&gt;='01_Input'!$V$61,X$20&lt;'01_Input'!$W$61),'01_Input'!$Y$61,0),MAX(MIN(X$20,'01_Input'!$W$61)-'01_Input'!$V$61,0)*'01_Input'!$Y$61))+IF('01_Input'!$AB$61="Forfait",IF(X$20&gt;='01_Input'!$Z$61,'01_Input'!$AC$61,0),IF('01_Input'!$AB$61="Palier",IF(AND(X$20&gt;='01_Input'!$Z$61,X$20&lt;'01_Input'!$AA$61),'01_Input'!$AC$61,0),MAX(MIN(X$20,'01_Input'!$AA$61)-'01_Input'!$Z$61,0)*'01_Input'!$AC$61)))))))))</f>
        <v>0</v>
      </c>
      <c r="Y29" s="25">
        <f>IF('01_Input'!$C$61="Non",0,MIN('01_Input'!$I$61,MAX('01_Input'!$H$61,IF('01_Input'!$G$61="Résiduel vs Gestion",0,IF('01_Input'!$G$61="Taux Classe sélectionnée",Distrib_Global_Classe_Selectionnee*Y$20,IF('01_Input'!$G$61="Frais KYC (paliers de 100M€)",MAX(0,Nb_Investisseurs-Nb_KYC_Gratuites_Par_Tranche*(FLOOR(Y$20/Taille_Tranche_KYC,1)+1))*Cout_Par_KYC_Supplementaire,(IF('01_Input'!$L$61="Forfait",IF(Y$20&gt;='01_Input'!$J$61,'01_Input'!$M$61,0),IF('01_Input'!$L$61="Palier",IF(AND(Y$20&gt;='01_Input'!$J$61,Y$20&lt;'01_Input'!$K$61),'01_Input'!$M$61,0),MAX(MIN(Y$20,'01_Input'!$K$61)-'01_Input'!$J$61,0)*'01_Input'!$M$61))+IF('01_Input'!$P$61="Forfait",IF(Y$20&gt;='01_Input'!$N$61,'01_Input'!$Q$61,0),IF('01_Input'!$P$61="Palier",IF(AND(Y$20&gt;='01_Input'!$N$61,Y$20&lt;'01_Input'!$O$61),'01_Input'!$Q$61,0),MAX(MIN(Y$20,'01_Input'!$O$61)-'01_Input'!$N$61,0)*'01_Input'!$Q$61))+IF('01_Input'!$T$61="Forfait",IF(Y$20&gt;='01_Input'!$R$61,'01_Input'!$U$61,0),IF('01_Input'!$T$61="Palier",IF(AND(Y$20&gt;='01_Input'!$R$61,Y$20&lt;'01_Input'!$S$61),'01_Input'!$U$61,0),MAX(MIN(Y$20,'01_Input'!$S$61)-'01_Input'!$R$61,0)*'01_Input'!$U$61))+IF('01_Input'!$X$61="Forfait",IF(Y$20&gt;='01_Input'!$V$61,'01_Input'!$Y$61,0),IF('01_Input'!$X$61="Palier",IF(AND(Y$20&gt;='01_Input'!$V$61,Y$20&lt;'01_Input'!$W$61),'01_Input'!$Y$61,0),MAX(MIN(Y$20,'01_Input'!$W$61)-'01_Input'!$V$61,0)*'01_Input'!$Y$61))+IF('01_Input'!$AB$61="Forfait",IF(Y$20&gt;='01_Input'!$Z$61,'01_Input'!$AC$61,0),IF('01_Input'!$AB$61="Palier",IF(AND(Y$20&gt;='01_Input'!$Z$61,Y$20&lt;'01_Input'!$AA$61),'01_Input'!$AC$61,0),MAX(MIN(Y$20,'01_Input'!$AA$61)-'01_Input'!$Z$61,0)*'01_Input'!$AC$61)))))))))</f>
        <v>0</v>
      </c>
      <c r="Z29" s="25">
        <f>IF('01_Input'!$C$61="Non",0,MIN('01_Input'!$I$61,MAX('01_Input'!$H$61,IF('01_Input'!$G$61="Résiduel vs Gestion",0,IF('01_Input'!$G$61="Taux Classe sélectionnée",Distrib_Global_Classe_Selectionnee*Z$20,IF('01_Input'!$G$61="Frais KYC (paliers de 100M€)",MAX(0,Nb_Investisseurs-Nb_KYC_Gratuites_Par_Tranche*(FLOOR(Z$20/Taille_Tranche_KYC,1)+1))*Cout_Par_KYC_Supplementaire,(IF('01_Input'!$L$61="Forfait",IF(Z$20&gt;='01_Input'!$J$61,'01_Input'!$M$61,0),IF('01_Input'!$L$61="Palier",IF(AND(Z$20&gt;='01_Input'!$J$61,Z$20&lt;'01_Input'!$K$61),'01_Input'!$M$61,0),MAX(MIN(Z$20,'01_Input'!$K$61)-'01_Input'!$J$61,0)*'01_Input'!$M$61))+IF('01_Input'!$P$61="Forfait",IF(Z$20&gt;='01_Input'!$N$61,'01_Input'!$Q$61,0),IF('01_Input'!$P$61="Palier",IF(AND(Z$20&gt;='01_Input'!$N$61,Z$20&lt;'01_Input'!$O$61),'01_Input'!$Q$61,0),MAX(MIN(Z$20,'01_Input'!$O$61)-'01_Input'!$N$61,0)*'01_Input'!$Q$61))+IF('01_Input'!$T$61="Forfait",IF(Z$20&gt;='01_Input'!$R$61,'01_Input'!$U$61,0),IF('01_Input'!$T$61="Palier",IF(AND(Z$20&gt;='01_Input'!$R$61,Z$20&lt;'01_Input'!$S$61),'01_Input'!$U$61,0),MAX(MIN(Z$20,'01_Input'!$S$61)-'01_Input'!$R$61,0)*'01_Input'!$U$61))+IF('01_Input'!$X$61="Forfait",IF(Z$20&gt;='01_Input'!$V$61,'01_Input'!$Y$61,0),IF('01_Input'!$X$61="Palier",IF(AND(Z$20&gt;='01_Input'!$V$61,Z$20&lt;'01_Input'!$W$61),'01_Input'!$Y$61,0),MAX(MIN(Z$20,'01_Input'!$W$61)-'01_Input'!$V$61,0)*'01_Input'!$Y$61))+IF('01_Input'!$AB$61="Forfait",IF(Z$20&gt;='01_Input'!$Z$61,'01_Input'!$AC$61,0),IF('01_Input'!$AB$61="Palier",IF(AND(Z$20&gt;='01_Input'!$Z$61,Z$20&lt;'01_Input'!$AA$61),'01_Input'!$AC$61,0),MAX(MIN(Z$20,'01_Input'!$AA$61)-'01_Input'!$Z$61,0)*'01_Input'!$AC$61)))))))))</f>
        <v>0</v>
      </c>
      <c r="AA29" s="25">
        <f>IF('01_Input'!$C$61="Non",0,MIN('01_Input'!$I$61,MAX('01_Input'!$H$61,IF('01_Input'!$G$61="Résiduel vs Gestion",0,IF('01_Input'!$G$61="Taux Classe sélectionnée",Distrib_Global_Classe_Selectionnee*AA$20,IF('01_Input'!$G$61="Frais KYC (paliers de 100M€)",MAX(0,Nb_Investisseurs-Nb_KYC_Gratuites_Par_Tranche*(FLOOR(AA$20/Taille_Tranche_KYC,1)+1))*Cout_Par_KYC_Supplementaire,(IF('01_Input'!$L$61="Forfait",IF(AA$20&gt;='01_Input'!$J$61,'01_Input'!$M$61,0),IF('01_Input'!$L$61="Palier",IF(AND(AA$20&gt;='01_Input'!$J$61,AA$20&lt;'01_Input'!$K$61),'01_Input'!$M$61,0),MAX(MIN(AA$20,'01_Input'!$K$61)-'01_Input'!$J$61,0)*'01_Input'!$M$61))+IF('01_Input'!$P$61="Forfait",IF(AA$20&gt;='01_Input'!$N$61,'01_Input'!$Q$61,0),IF('01_Input'!$P$61="Palier",IF(AND(AA$20&gt;='01_Input'!$N$61,AA$20&lt;'01_Input'!$O$61),'01_Input'!$Q$61,0),MAX(MIN(AA$20,'01_Input'!$O$61)-'01_Input'!$N$61,0)*'01_Input'!$Q$61))+IF('01_Input'!$T$61="Forfait",IF(AA$20&gt;='01_Input'!$R$61,'01_Input'!$U$61,0),IF('01_Input'!$T$61="Palier",IF(AND(AA$20&gt;='01_Input'!$R$61,AA$20&lt;'01_Input'!$S$61),'01_Input'!$U$61,0),MAX(MIN(AA$20,'01_Input'!$S$61)-'01_Input'!$R$61,0)*'01_Input'!$U$61))+IF('01_Input'!$X$61="Forfait",IF(AA$20&gt;='01_Input'!$V$61,'01_Input'!$Y$61,0),IF('01_Input'!$X$61="Palier",IF(AND(AA$20&gt;='01_Input'!$V$61,AA$20&lt;'01_Input'!$W$61),'01_Input'!$Y$61,0),MAX(MIN(AA$20,'01_Input'!$W$61)-'01_Input'!$V$61,0)*'01_Input'!$Y$61))+IF('01_Input'!$AB$61="Forfait",IF(AA$20&gt;='01_Input'!$Z$61,'01_Input'!$AC$61,0),IF('01_Input'!$AB$61="Palier",IF(AND(AA$20&gt;='01_Input'!$Z$61,AA$20&lt;'01_Input'!$AA$61),'01_Input'!$AC$61,0),MAX(MIN(AA$20,'01_Input'!$AA$61)-'01_Input'!$Z$61,0)*'01_Input'!$AC$61)))))))))</f>
        <v>0</v>
      </c>
      <c r="AB29" s="25">
        <f>IF('01_Input'!$C$61="Non",0,MIN('01_Input'!$I$61,MAX('01_Input'!$H$61,IF('01_Input'!$G$61="Résiduel vs Gestion",0,IF('01_Input'!$G$61="Taux Classe sélectionnée",Distrib_Global_Classe_Selectionnee*AB$20,IF('01_Input'!$G$61="Frais KYC (paliers de 100M€)",MAX(0,Nb_Investisseurs-Nb_KYC_Gratuites_Par_Tranche*(FLOOR(AB$20/Taille_Tranche_KYC,1)+1))*Cout_Par_KYC_Supplementaire,(IF('01_Input'!$L$61="Forfait",IF(AB$20&gt;='01_Input'!$J$61,'01_Input'!$M$61,0),IF('01_Input'!$L$61="Palier",IF(AND(AB$20&gt;='01_Input'!$J$61,AB$20&lt;'01_Input'!$K$61),'01_Input'!$M$61,0),MAX(MIN(AB$20,'01_Input'!$K$61)-'01_Input'!$J$61,0)*'01_Input'!$M$61))+IF('01_Input'!$P$61="Forfait",IF(AB$20&gt;='01_Input'!$N$61,'01_Input'!$Q$61,0),IF('01_Input'!$P$61="Palier",IF(AND(AB$20&gt;='01_Input'!$N$61,AB$20&lt;'01_Input'!$O$61),'01_Input'!$Q$61,0),MAX(MIN(AB$20,'01_Input'!$O$61)-'01_Input'!$N$61,0)*'01_Input'!$Q$61))+IF('01_Input'!$T$61="Forfait",IF(AB$20&gt;='01_Input'!$R$61,'01_Input'!$U$61,0),IF('01_Input'!$T$61="Palier",IF(AND(AB$20&gt;='01_Input'!$R$61,AB$20&lt;'01_Input'!$S$61),'01_Input'!$U$61,0),MAX(MIN(AB$20,'01_Input'!$S$61)-'01_Input'!$R$61,0)*'01_Input'!$U$61))+IF('01_Input'!$X$61="Forfait",IF(AB$20&gt;='01_Input'!$V$61,'01_Input'!$Y$61,0),IF('01_Input'!$X$61="Palier",IF(AND(AB$20&gt;='01_Input'!$V$61,AB$20&lt;'01_Input'!$W$61),'01_Input'!$Y$61,0),MAX(MIN(AB$20,'01_Input'!$W$61)-'01_Input'!$V$61,0)*'01_Input'!$Y$61))+IF('01_Input'!$AB$61="Forfait",IF(AB$20&gt;='01_Input'!$Z$61,'01_Input'!$AC$61,0),IF('01_Input'!$AB$61="Palier",IF(AND(AB$20&gt;='01_Input'!$Z$61,AB$20&lt;'01_Input'!$AA$61),'01_Input'!$AC$61,0),MAX(MIN(AB$20,'01_Input'!$AA$61)-'01_Input'!$Z$61,0)*'01_Input'!$AC$61)))))))))</f>
        <v>0</v>
      </c>
      <c r="AC29" s="25">
        <f>IF('01_Input'!$C$61="Non",0,MIN('01_Input'!$I$61,MAX('01_Input'!$H$61,IF('01_Input'!$G$61="Résiduel vs Gestion",0,IF('01_Input'!$G$61="Taux Classe sélectionnée",Distrib_Global_Classe_Selectionnee*AC$20,IF('01_Input'!$G$61="Frais KYC (paliers de 100M€)",MAX(0,Nb_Investisseurs-Nb_KYC_Gratuites_Par_Tranche*(FLOOR(AC$20/Taille_Tranche_KYC,1)+1))*Cout_Par_KYC_Supplementaire,(IF('01_Input'!$L$61="Forfait",IF(AC$20&gt;='01_Input'!$J$61,'01_Input'!$M$61,0),IF('01_Input'!$L$61="Palier",IF(AND(AC$20&gt;='01_Input'!$J$61,AC$20&lt;'01_Input'!$K$61),'01_Input'!$M$61,0),MAX(MIN(AC$20,'01_Input'!$K$61)-'01_Input'!$J$61,0)*'01_Input'!$M$61))+IF('01_Input'!$P$61="Forfait",IF(AC$20&gt;='01_Input'!$N$61,'01_Input'!$Q$61,0),IF('01_Input'!$P$61="Palier",IF(AND(AC$20&gt;='01_Input'!$N$61,AC$20&lt;'01_Input'!$O$61),'01_Input'!$Q$61,0),MAX(MIN(AC$20,'01_Input'!$O$61)-'01_Input'!$N$61,0)*'01_Input'!$Q$61))+IF('01_Input'!$T$61="Forfait",IF(AC$20&gt;='01_Input'!$R$61,'01_Input'!$U$61,0),IF('01_Input'!$T$61="Palier",IF(AND(AC$20&gt;='01_Input'!$R$61,AC$20&lt;'01_Input'!$S$61),'01_Input'!$U$61,0),MAX(MIN(AC$20,'01_Input'!$S$61)-'01_Input'!$R$61,0)*'01_Input'!$U$61))+IF('01_Input'!$X$61="Forfait",IF(AC$20&gt;='01_Input'!$V$61,'01_Input'!$Y$61,0),IF('01_Input'!$X$61="Palier",IF(AND(AC$20&gt;='01_Input'!$V$61,AC$20&lt;'01_Input'!$W$61),'01_Input'!$Y$61,0),MAX(MIN(AC$20,'01_Input'!$W$61)-'01_Input'!$V$61,0)*'01_Input'!$Y$61))+IF('01_Input'!$AB$61="Forfait",IF(AC$20&gt;='01_Input'!$Z$61,'01_Input'!$AC$61,0),IF('01_Input'!$AB$61="Palier",IF(AND(AC$20&gt;='01_Input'!$Z$61,AC$20&lt;'01_Input'!$AA$61),'01_Input'!$AC$61,0),MAX(MIN(AC$20,'01_Input'!$AA$61)-'01_Input'!$Z$61,0)*'01_Input'!$AC$61)))))))))</f>
        <v>0</v>
      </c>
      <c r="AD29" s="25">
        <f>IF('01_Input'!$C$61="Non",0,MIN('01_Input'!$I$61,MAX('01_Input'!$H$61,IF('01_Input'!$G$61="Résiduel vs Gestion",0,IF('01_Input'!$G$61="Taux Classe sélectionnée",Distrib_Global_Classe_Selectionnee*AD$20,IF('01_Input'!$G$61="Frais KYC (paliers de 100M€)",MAX(0,Nb_Investisseurs-Nb_KYC_Gratuites_Par_Tranche*(FLOOR(AD$20/Taille_Tranche_KYC,1)+1))*Cout_Par_KYC_Supplementaire,(IF('01_Input'!$L$61="Forfait",IF(AD$20&gt;='01_Input'!$J$61,'01_Input'!$M$61,0),IF('01_Input'!$L$61="Palier",IF(AND(AD$20&gt;='01_Input'!$J$61,AD$20&lt;'01_Input'!$K$61),'01_Input'!$M$61,0),MAX(MIN(AD$20,'01_Input'!$K$61)-'01_Input'!$J$61,0)*'01_Input'!$M$61))+IF('01_Input'!$P$61="Forfait",IF(AD$20&gt;='01_Input'!$N$61,'01_Input'!$Q$61,0),IF('01_Input'!$P$61="Palier",IF(AND(AD$20&gt;='01_Input'!$N$61,AD$20&lt;'01_Input'!$O$61),'01_Input'!$Q$61,0),MAX(MIN(AD$20,'01_Input'!$O$61)-'01_Input'!$N$61,0)*'01_Input'!$Q$61))+IF('01_Input'!$T$61="Forfait",IF(AD$20&gt;='01_Input'!$R$61,'01_Input'!$U$61,0),IF('01_Input'!$T$61="Palier",IF(AND(AD$20&gt;='01_Input'!$R$61,AD$20&lt;'01_Input'!$S$61),'01_Input'!$U$61,0),MAX(MIN(AD$20,'01_Input'!$S$61)-'01_Input'!$R$61,0)*'01_Input'!$U$61))+IF('01_Input'!$X$61="Forfait",IF(AD$20&gt;='01_Input'!$V$61,'01_Input'!$Y$61,0),IF('01_Input'!$X$61="Palier",IF(AND(AD$20&gt;='01_Input'!$V$61,AD$20&lt;'01_Input'!$W$61),'01_Input'!$Y$61,0),MAX(MIN(AD$20,'01_Input'!$W$61)-'01_Input'!$V$61,0)*'01_Input'!$Y$61))+IF('01_Input'!$AB$61="Forfait",IF(AD$20&gt;='01_Input'!$Z$61,'01_Input'!$AC$61,0),IF('01_Input'!$AB$61="Palier",IF(AND(AD$20&gt;='01_Input'!$Z$61,AD$20&lt;'01_Input'!$AA$61),'01_Input'!$AC$61,0),MAX(MIN(AD$20,'01_Input'!$AA$61)-'01_Input'!$Z$61,0)*'01_Input'!$AC$61)))))))))</f>
        <v>0</v>
      </c>
      <c r="AE29" s="25">
        <f>IF('01_Input'!$C$61="Non",0,MIN('01_Input'!$I$61,MAX('01_Input'!$H$61,IF('01_Input'!$G$61="Résiduel vs Gestion",0,IF('01_Input'!$G$61="Taux Classe sélectionnée",Distrib_Global_Classe_Selectionnee*AE$20,IF('01_Input'!$G$61="Frais KYC (paliers de 100M€)",MAX(0,Nb_Investisseurs-Nb_KYC_Gratuites_Par_Tranche*(FLOOR(AE$20/Taille_Tranche_KYC,1)+1))*Cout_Par_KYC_Supplementaire,(IF('01_Input'!$L$61="Forfait",IF(AE$20&gt;='01_Input'!$J$61,'01_Input'!$M$61,0),IF('01_Input'!$L$61="Palier",IF(AND(AE$20&gt;='01_Input'!$J$61,AE$20&lt;'01_Input'!$K$61),'01_Input'!$M$61,0),MAX(MIN(AE$20,'01_Input'!$K$61)-'01_Input'!$J$61,0)*'01_Input'!$M$61))+IF('01_Input'!$P$61="Forfait",IF(AE$20&gt;='01_Input'!$N$61,'01_Input'!$Q$61,0),IF('01_Input'!$P$61="Palier",IF(AND(AE$20&gt;='01_Input'!$N$61,AE$20&lt;'01_Input'!$O$61),'01_Input'!$Q$61,0),MAX(MIN(AE$20,'01_Input'!$O$61)-'01_Input'!$N$61,0)*'01_Input'!$Q$61))+IF('01_Input'!$T$61="Forfait",IF(AE$20&gt;='01_Input'!$R$61,'01_Input'!$U$61,0),IF('01_Input'!$T$61="Palier",IF(AND(AE$20&gt;='01_Input'!$R$61,AE$20&lt;'01_Input'!$S$61),'01_Input'!$U$61,0),MAX(MIN(AE$20,'01_Input'!$S$61)-'01_Input'!$R$61,0)*'01_Input'!$U$61))+IF('01_Input'!$X$61="Forfait",IF(AE$20&gt;='01_Input'!$V$61,'01_Input'!$Y$61,0),IF('01_Input'!$X$61="Palier",IF(AND(AE$20&gt;='01_Input'!$V$61,AE$20&lt;'01_Input'!$W$61),'01_Input'!$Y$61,0),MAX(MIN(AE$20,'01_Input'!$W$61)-'01_Input'!$V$61,0)*'01_Input'!$Y$61))+IF('01_Input'!$AB$61="Forfait",IF(AE$20&gt;='01_Input'!$Z$61,'01_Input'!$AC$61,0),IF('01_Input'!$AB$61="Palier",IF(AND(AE$20&gt;='01_Input'!$Z$61,AE$20&lt;'01_Input'!$AA$61),'01_Input'!$AC$61,0),MAX(MIN(AE$20,'01_Input'!$AA$61)-'01_Input'!$Z$61,0)*'01_Input'!$AC$61)))))))))</f>
        <v>0</v>
      </c>
      <c r="AF29" s="25">
        <f>IF('01_Input'!$C$61="Non",0,MIN('01_Input'!$I$61,MAX('01_Input'!$H$61,IF('01_Input'!$G$61="Résiduel vs Gestion",0,IF('01_Input'!$G$61="Taux Classe sélectionnée",Distrib_Global_Classe_Selectionnee*AF$20,IF('01_Input'!$G$61="Frais KYC (paliers de 100M€)",MAX(0,Nb_Investisseurs-Nb_KYC_Gratuites_Par_Tranche*(FLOOR(AF$20/Taille_Tranche_KYC,1)+1))*Cout_Par_KYC_Supplementaire,(IF('01_Input'!$L$61="Forfait",IF(AF$20&gt;='01_Input'!$J$61,'01_Input'!$M$61,0),IF('01_Input'!$L$61="Palier",IF(AND(AF$20&gt;='01_Input'!$J$61,AF$20&lt;'01_Input'!$K$61),'01_Input'!$M$61,0),MAX(MIN(AF$20,'01_Input'!$K$61)-'01_Input'!$J$61,0)*'01_Input'!$M$61))+IF('01_Input'!$P$61="Forfait",IF(AF$20&gt;='01_Input'!$N$61,'01_Input'!$Q$61,0),IF('01_Input'!$P$61="Palier",IF(AND(AF$20&gt;='01_Input'!$N$61,AF$20&lt;'01_Input'!$O$61),'01_Input'!$Q$61,0),MAX(MIN(AF$20,'01_Input'!$O$61)-'01_Input'!$N$61,0)*'01_Input'!$Q$61))+IF('01_Input'!$T$61="Forfait",IF(AF$20&gt;='01_Input'!$R$61,'01_Input'!$U$61,0),IF('01_Input'!$T$61="Palier",IF(AND(AF$20&gt;='01_Input'!$R$61,AF$20&lt;'01_Input'!$S$61),'01_Input'!$U$61,0),MAX(MIN(AF$20,'01_Input'!$S$61)-'01_Input'!$R$61,0)*'01_Input'!$U$61))+IF('01_Input'!$X$61="Forfait",IF(AF$20&gt;='01_Input'!$V$61,'01_Input'!$Y$61,0),IF('01_Input'!$X$61="Palier",IF(AND(AF$20&gt;='01_Input'!$V$61,AF$20&lt;'01_Input'!$W$61),'01_Input'!$Y$61,0),MAX(MIN(AF$20,'01_Input'!$W$61)-'01_Input'!$V$61,0)*'01_Input'!$Y$61))+IF('01_Input'!$AB$61="Forfait",IF(AF$20&gt;='01_Input'!$Z$61,'01_Input'!$AC$61,0),IF('01_Input'!$AB$61="Palier",IF(AND(AF$20&gt;='01_Input'!$Z$61,AF$20&lt;'01_Input'!$AA$61),'01_Input'!$AC$61,0),MAX(MIN(AF$20,'01_Input'!$AA$61)-'01_Input'!$Z$61,0)*'01_Input'!$AC$61)))))))))</f>
        <v>0</v>
      </c>
      <c r="AG29" s="25">
        <f>IF('01_Input'!$C$61="Non",0,MIN('01_Input'!$I$61,MAX('01_Input'!$H$61,IF('01_Input'!$G$61="Résiduel vs Gestion",0,IF('01_Input'!$G$61="Taux Classe sélectionnée",Distrib_Global_Classe_Selectionnee*AG$20,IF('01_Input'!$G$61="Frais KYC (paliers de 100M€)",MAX(0,Nb_Investisseurs-Nb_KYC_Gratuites_Par_Tranche*(FLOOR(AG$20/Taille_Tranche_KYC,1)+1))*Cout_Par_KYC_Supplementaire,(IF('01_Input'!$L$61="Forfait",IF(AG$20&gt;='01_Input'!$J$61,'01_Input'!$M$61,0),IF('01_Input'!$L$61="Palier",IF(AND(AG$20&gt;='01_Input'!$J$61,AG$20&lt;'01_Input'!$K$61),'01_Input'!$M$61,0),MAX(MIN(AG$20,'01_Input'!$K$61)-'01_Input'!$J$61,0)*'01_Input'!$M$61))+IF('01_Input'!$P$61="Forfait",IF(AG$20&gt;='01_Input'!$N$61,'01_Input'!$Q$61,0),IF('01_Input'!$P$61="Palier",IF(AND(AG$20&gt;='01_Input'!$N$61,AG$20&lt;'01_Input'!$O$61),'01_Input'!$Q$61,0),MAX(MIN(AG$20,'01_Input'!$O$61)-'01_Input'!$N$61,0)*'01_Input'!$Q$61))+IF('01_Input'!$T$61="Forfait",IF(AG$20&gt;='01_Input'!$R$61,'01_Input'!$U$61,0),IF('01_Input'!$T$61="Palier",IF(AND(AG$20&gt;='01_Input'!$R$61,AG$20&lt;'01_Input'!$S$61),'01_Input'!$U$61,0),MAX(MIN(AG$20,'01_Input'!$S$61)-'01_Input'!$R$61,0)*'01_Input'!$U$61))+IF('01_Input'!$X$61="Forfait",IF(AG$20&gt;='01_Input'!$V$61,'01_Input'!$Y$61,0),IF('01_Input'!$X$61="Palier",IF(AND(AG$20&gt;='01_Input'!$V$61,AG$20&lt;'01_Input'!$W$61),'01_Input'!$Y$61,0),MAX(MIN(AG$20,'01_Input'!$W$61)-'01_Input'!$V$61,0)*'01_Input'!$Y$61))+IF('01_Input'!$AB$61="Forfait",IF(AG$20&gt;='01_Input'!$Z$61,'01_Input'!$AC$61,0),IF('01_Input'!$AB$61="Palier",IF(AND(AG$20&gt;='01_Input'!$Z$61,AG$20&lt;'01_Input'!$AA$61),'01_Input'!$AC$61,0),MAX(MIN(AG$20,'01_Input'!$AA$61)-'01_Input'!$Z$61,0)*'01_Input'!$AC$61)))))))))</f>
        <v>0</v>
      </c>
      <c r="AH29" s="25">
        <f>IF('01_Input'!$C$61="Non",0,MIN('01_Input'!$I$61,MAX('01_Input'!$H$61,IF('01_Input'!$G$61="Résiduel vs Gestion",0,IF('01_Input'!$G$61="Taux Classe sélectionnée",Distrib_Global_Classe_Selectionnee*AH$20,IF('01_Input'!$G$61="Frais KYC (paliers de 100M€)",MAX(0,Nb_Investisseurs-Nb_KYC_Gratuites_Par_Tranche*(FLOOR(AH$20/Taille_Tranche_KYC,1)+1))*Cout_Par_KYC_Supplementaire,(IF('01_Input'!$L$61="Forfait",IF(AH$20&gt;='01_Input'!$J$61,'01_Input'!$M$61,0),IF('01_Input'!$L$61="Palier",IF(AND(AH$20&gt;='01_Input'!$J$61,AH$20&lt;'01_Input'!$K$61),'01_Input'!$M$61,0),MAX(MIN(AH$20,'01_Input'!$K$61)-'01_Input'!$J$61,0)*'01_Input'!$M$61))+IF('01_Input'!$P$61="Forfait",IF(AH$20&gt;='01_Input'!$N$61,'01_Input'!$Q$61,0),IF('01_Input'!$P$61="Palier",IF(AND(AH$20&gt;='01_Input'!$N$61,AH$20&lt;'01_Input'!$O$61),'01_Input'!$Q$61,0),MAX(MIN(AH$20,'01_Input'!$O$61)-'01_Input'!$N$61,0)*'01_Input'!$Q$61))+IF('01_Input'!$T$61="Forfait",IF(AH$20&gt;='01_Input'!$R$61,'01_Input'!$U$61,0),IF('01_Input'!$T$61="Palier",IF(AND(AH$20&gt;='01_Input'!$R$61,AH$20&lt;'01_Input'!$S$61),'01_Input'!$U$61,0),MAX(MIN(AH$20,'01_Input'!$S$61)-'01_Input'!$R$61,0)*'01_Input'!$U$61))+IF('01_Input'!$X$61="Forfait",IF(AH$20&gt;='01_Input'!$V$61,'01_Input'!$Y$61,0),IF('01_Input'!$X$61="Palier",IF(AND(AH$20&gt;='01_Input'!$V$61,AH$20&lt;'01_Input'!$W$61),'01_Input'!$Y$61,0),MAX(MIN(AH$20,'01_Input'!$W$61)-'01_Input'!$V$61,0)*'01_Input'!$Y$61))+IF('01_Input'!$AB$61="Forfait",IF(AH$20&gt;='01_Input'!$Z$61,'01_Input'!$AC$61,0),IF('01_Input'!$AB$61="Palier",IF(AND(AH$20&gt;='01_Input'!$Z$61,AH$20&lt;'01_Input'!$AA$61),'01_Input'!$AC$61,0),MAX(MIN(AH$20,'01_Input'!$AA$61)-'01_Input'!$Z$61,0)*'01_Input'!$AC$61)))))))))</f>
        <v>0</v>
      </c>
      <c r="AI29" s="25">
        <f>IF('01_Input'!$C$61="Non",0,MIN('01_Input'!$I$61,MAX('01_Input'!$H$61,IF('01_Input'!$G$61="Résiduel vs Gestion",0,IF('01_Input'!$G$61="Taux Classe sélectionnée",Distrib_Global_Classe_Selectionnee*AI$20,IF('01_Input'!$G$61="Frais KYC (paliers de 100M€)",MAX(0,Nb_Investisseurs-Nb_KYC_Gratuites_Par_Tranche*(FLOOR(AI$20/Taille_Tranche_KYC,1)+1))*Cout_Par_KYC_Supplementaire,(IF('01_Input'!$L$61="Forfait",IF(AI$20&gt;='01_Input'!$J$61,'01_Input'!$M$61,0),IF('01_Input'!$L$61="Palier",IF(AND(AI$20&gt;='01_Input'!$J$61,AI$20&lt;'01_Input'!$K$61),'01_Input'!$M$61,0),MAX(MIN(AI$20,'01_Input'!$K$61)-'01_Input'!$J$61,0)*'01_Input'!$M$61))+IF('01_Input'!$P$61="Forfait",IF(AI$20&gt;='01_Input'!$N$61,'01_Input'!$Q$61,0),IF('01_Input'!$P$61="Palier",IF(AND(AI$20&gt;='01_Input'!$N$61,AI$20&lt;'01_Input'!$O$61),'01_Input'!$Q$61,0),MAX(MIN(AI$20,'01_Input'!$O$61)-'01_Input'!$N$61,0)*'01_Input'!$Q$61))+IF('01_Input'!$T$61="Forfait",IF(AI$20&gt;='01_Input'!$R$61,'01_Input'!$U$61,0),IF('01_Input'!$T$61="Palier",IF(AND(AI$20&gt;='01_Input'!$R$61,AI$20&lt;'01_Input'!$S$61),'01_Input'!$U$61,0),MAX(MIN(AI$20,'01_Input'!$S$61)-'01_Input'!$R$61,0)*'01_Input'!$U$61))+IF('01_Input'!$X$61="Forfait",IF(AI$20&gt;='01_Input'!$V$61,'01_Input'!$Y$61,0),IF('01_Input'!$X$61="Palier",IF(AND(AI$20&gt;='01_Input'!$V$61,AI$20&lt;'01_Input'!$W$61),'01_Input'!$Y$61,0),MAX(MIN(AI$20,'01_Input'!$W$61)-'01_Input'!$V$61,0)*'01_Input'!$Y$61))+IF('01_Input'!$AB$61="Forfait",IF(AI$20&gt;='01_Input'!$Z$61,'01_Input'!$AC$61,0),IF('01_Input'!$AB$61="Palier",IF(AND(AI$20&gt;='01_Input'!$Z$61,AI$20&lt;'01_Input'!$AA$61),'01_Input'!$AC$61,0),MAX(MIN(AI$20,'01_Input'!$AA$61)-'01_Input'!$Z$61,0)*'01_Input'!$AC$61)))))))))</f>
        <v>0</v>
      </c>
      <c r="AJ29" s="25">
        <f>IF('01_Input'!$C$61="Non",0,MIN('01_Input'!$I$61,MAX('01_Input'!$H$61,IF('01_Input'!$G$61="Résiduel vs Gestion",0,IF('01_Input'!$G$61="Taux Classe sélectionnée",Distrib_Global_Classe_Selectionnee*AJ$20,IF('01_Input'!$G$61="Frais KYC (paliers de 100M€)",MAX(0,Nb_Investisseurs-Nb_KYC_Gratuites_Par_Tranche*(FLOOR(AJ$20/Taille_Tranche_KYC,1)+1))*Cout_Par_KYC_Supplementaire,(IF('01_Input'!$L$61="Forfait",IF(AJ$20&gt;='01_Input'!$J$61,'01_Input'!$M$61,0),IF('01_Input'!$L$61="Palier",IF(AND(AJ$20&gt;='01_Input'!$J$61,AJ$20&lt;'01_Input'!$K$61),'01_Input'!$M$61,0),MAX(MIN(AJ$20,'01_Input'!$K$61)-'01_Input'!$J$61,0)*'01_Input'!$M$61))+IF('01_Input'!$P$61="Forfait",IF(AJ$20&gt;='01_Input'!$N$61,'01_Input'!$Q$61,0),IF('01_Input'!$P$61="Palier",IF(AND(AJ$20&gt;='01_Input'!$N$61,AJ$20&lt;'01_Input'!$O$61),'01_Input'!$Q$61,0),MAX(MIN(AJ$20,'01_Input'!$O$61)-'01_Input'!$N$61,0)*'01_Input'!$Q$61))+IF('01_Input'!$T$61="Forfait",IF(AJ$20&gt;='01_Input'!$R$61,'01_Input'!$U$61,0),IF('01_Input'!$T$61="Palier",IF(AND(AJ$20&gt;='01_Input'!$R$61,AJ$20&lt;'01_Input'!$S$61),'01_Input'!$U$61,0),MAX(MIN(AJ$20,'01_Input'!$S$61)-'01_Input'!$R$61,0)*'01_Input'!$U$61))+IF('01_Input'!$X$61="Forfait",IF(AJ$20&gt;='01_Input'!$V$61,'01_Input'!$Y$61,0),IF('01_Input'!$X$61="Palier",IF(AND(AJ$20&gt;='01_Input'!$V$61,AJ$20&lt;'01_Input'!$W$61),'01_Input'!$Y$61,0),MAX(MIN(AJ$20,'01_Input'!$W$61)-'01_Input'!$V$61,0)*'01_Input'!$Y$61))+IF('01_Input'!$AB$61="Forfait",IF(AJ$20&gt;='01_Input'!$Z$61,'01_Input'!$AC$61,0),IF('01_Input'!$AB$61="Palier",IF(AND(AJ$20&gt;='01_Input'!$Z$61,AJ$20&lt;'01_Input'!$AA$61),'01_Input'!$AC$61,0),MAX(MIN(AJ$20,'01_Input'!$AA$61)-'01_Input'!$Z$61,0)*'01_Input'!$AC$61)))))))))</f>
        <v>0</v>
      </c>
      <c r="AK29" s="25">
        <f>IF('01_Input'!$C$61="Non",0,MIN('01_Input'!$I$61,MAX('01_Input'!$H$61,IF('01_Input'!$G$61="Résiduel vs Gestion",0,IF('01_Input'!$G$61="Taux Classe sélectionnée",Distrib_Global_Classe_Selectionnee*AK$20,IF('01_Input'!$G$61="Frais KYC (paliers de 100M€)",MAX(0,Nb_Investisseurs-Nb_KYC_Gratuites_Par_Tranche*(FLOOR(AK$20/Taille_Tranche_KYC,1)+1))*Cout_Par_KYC_Supplementaire,(IF('01_Input'!$L$61="Forfait",IF(AK$20&gt;='01_Input'!$J$61,'01_Input'!$M$61,0),IF('01_Input'!$L$61="Palier",IF(AND(AK$20&gt;='01_Input'!$J$61,AK$20&lt;'01_Input'!$K$61),'01_Input'!$M$61,0),MAX(MIN(AK$20,'01_Input'!$K$61)-'01_Input'!$J$61,0)*'01_Input'!$M$61))+IF('01_Input'!$P$61="Forfait",IF(AK$20&gt;='01_Input'!$N$61,'01_Input'!$Q$61,0),IF('01_Input'!$P$61="Palier",IF(AND(AK$20&gt;='01_Input'!$N$61,AK$20&lt;'01_Input'!$O$61),'01_Input'!$Q$61,0),MAX(MIN(AK$20,'01_Input'!$O$61)-'01_Input'!$N$61,0)*'01_Input'!$Q$61))+IF('01_Input'!$T$61="Forfait",IF(AK$20&gt;='01_Input'!$R$61,'01_Input'!$U$61,0),IF('01_Input'!$T$61="Palier",IF(AND(AK$20&gt;='01_Input'!$R$61,AK$20&lt;'01_Input'!$S$61),'01_Input'!$U$61,0),MAX(MIN(AK$20,'01_Input'!$S$61)-'01_Input'!$R$61,0)*'01_Input'!$U$61))+IF('01_Input'!$X$61="Forfait",IF(AK$20&gt;='01_Input'!$V$61,'01_Input'!$Y$61,0),IF('01_Input'!$X$61="Palier",IF(AND(AK$20&gt;='01_Input'!$V$61,AK$20&lt;'01_Input'!$W$61),'01_Input'!$Y$61,0),MAX(MIN(AK$20,'01_Input'!$W$61)-'01_Input'!$V$61,0)*'01_Input'!$Y$61))+IF('01_Input'!$AB$61="Forfait",IF(AK$20&gt;='01_Input'!$Z$61,'01_Input'!$AC$61,0),IF('01_Input'!$AB$61="Palier",IF(AND(AK$20&gt;='01_Input'!$Z$61,AK$20&lt;'01_Input'!$AA$61),'01_Input'!$AC$61,0),MAX(MIN(AK$20,'01_Input'!$AA$61)-'01_Input'!$Z$61,0)*'01_Input'!$AC$61)))))))))</f>
        <v>0</v>
      </c>
      <c r="AL29" s="25">
        <f>IF('01_Input'!$C$61="Non",0,MIN('01_Input'!$I$61,MAX('01_Input'!$H$61,IF('01_Input'!$G$61="Résiduel vs Gestion",0,IF('01_Input'!$G$61="Taux Classe sélectionnée",Distrib_Global_Classe_Selectionnee*AL$20,IF('01_Input'!$G$61="Frais KYC (paliers de 100M€)",MAX(0,Nb_Investisseurs-Nb_KYC_Gratuites_Par_Tranche*(FLOOR(AL$20/Taille_Tranche_KYC,1)+1))*Cout_Par_KYC_Supplementaire,(IF('01_Input'!$L$61="Forfait",IF(AL$20&gt;='01_Input'!$J$61,'01_Input'!$M$61,0),IF('01_Input'!$L$61="Palier",IF(AND(AL$20&gt;='01_Input'!$J$61,AL$20&lt;'01_Input'!$K$61),'01_Input'!$M$61,0),MAX(MIN(AL$20,'01_Input'!$K$61)-'01_Input'!$J$61,0)*'01_Input'!$M$61))+IF('01_Input'!$P$61="Forfait",IF(AL$20&gt;='01_Input'!$N$61,'01_Input'!$Q$61,0),IF('01_Input'!$P$61="Palier",IF(AND(AL$20&gt;='01_Input'!$N$61,AL$20&lt;'01_Input'!$O$61),'01_Input'!$Q$61,0),MAX(MIN(AL$20,'01_Input'!$O$61)-'01_Input'!$N$61,0)*'01_Input'!$Q$61))+IF('01_Input'!$T$61="Forfait",IF(AL$20&gt;='01_Input'!$R$61,'01_Input'!$U$61,0),IF('01_Input'!$T$61="Palier",IF(AND(AL$20&gt;='01_Input'!$R$61,AL$20&lt;'01_Input'!$S$61),'01_Input'!$U$61,0),MAX(MIN(AL$20,'01_Input'!$S$61)-'01_Input'!$R$61,0)*'01_Input'!$U$61))+IF('01_Input'!$X$61="Forfait",IF(AL$20&gt;='01_Input'!$V$61,'01_Input'!$Y$61,0),IF('01_Input'!$X$61="Palier",IF(AND(AL$20&gt;='01_Input'!$V$61,AL$20&lt;'01_Input'!$W$61),'01_Input'!$Y$61,0),MAX(MIN(AL$20,'01_Input'!$W$61)-'01_Input'!$V$61,0)*'01_Input'!$Y$61))+IF('01_Input'!$AB$61="Forfait",IF(AL$20&gt;='01_Input'!$Z$61,'01_Input'!$AC$61,0),IF('01_Input'!$AB$61="Palier",IF(AND(AL$20&gt;='01_Input'!$Z$61,AL$20&lt;'01_Input'!$AA$61),'01_Input'!$AC$61,0),MAX(MIN(AL$20,'01_Input'!$AA$61)-'01_Input'!$Z$61,0)*'01_Input'!$AC$61)))))))))</f>
        <v>0</v>
      </c>
      <c r="AM29" s="25">
        <f>IF('01_Input'!$C$61="Non",0,MIN('01_Input'!$I$61,MAX('01_Input'!$H$61,IF('01_Input'!$G$61="Résiduel vs Gestion",0,IF('01_Input'!$G$61="Taux Classe sélectionnée",Distrib_Global_Classe_Selectionnee*AM$20,IF('01_Input'!$G$61="Frais KYC (paliers de 100M€)",MAX(0,Nb_Investisseurs-Nb_KYC_Gratuites_Par_Tranche*(FLOOR(AM$20/Taille_Tranche_KYC,1)+1))*Cout_Par_KYC_Supplementaire,(IF('01_Input'!$L$61="Forfait",IF(AM$20&gt;='01_Input'!$J$61,'01_Input'!$M$61,0),IF('01_Input'!$L$61="Palier",IF(AND(AM$20&gt;='01_Input'!$J$61,AM$20&lt;'01_Input'!$K$61),'01_Input'!$M$61,0),MAX(MIN(AM$20,'01_Input'!$K$61)-'01_Input'!$J$61,0)*'01_Input'!$M$61))+IF('01_Input'!$P$61="Forfait",IF(AM$20&gt;='01_Input'!$N$61,'01_Input'!$Q$61,0),IF('01_Input'!$P$61="Palier",IF(AND(AM$20&gt;='01_Input'!$N$61,AM$20&lt;'01_Input'!$O$61),'01_Input'!$Q$61,0),MAX(MIN(AM$20,'01_Input'!$O$61)-'01_Input'!$N$61,0)*'01_Input'!$Q$61))+IF('01_Input'!$T$61="Forfait",IF(AM$20&gt;='01_Input'!$R$61,'01_Input'!$U$61,0),IF('01_Input'!$T$61="Palier",IF(AND(AM$20&gt;='01_Input'!$R$61,AM$20&lt;'01_Input'!$S$61),'01_Input'!$U$61,0),MAX(MIN(AM$20,'01_Input'!$S$61)-'01_Input'!$R$61,0)*'01_Input'!$U$61))+IF('01_Input'!$X$61="Forfait",IF(AM$20&gt;='01_Input'!$V$61,'01_Input'!$Y$61,0),IF('01_Input'!$X$61="Palier",IF(AND(AM$20&gt;='01_Input'!$V$61,AM$20&lt;'01_Input'!$W$61),'01_Input'!$Y$61,0),MAX(MIN(AM$20,'01_Input'!$W$61)-'01_Input'!$V$61,0)*'01_Input'!$Y$61))+IF('01_Input'!$AB$61="Forfait",IF(AM$20&gt;='01_Input'!$Z$61,'01_Input'!$AC$61,0),IF('01_Input'!$AB$61="Palier",IF(AND(AM$20&gt;='01_Input'!$Z$61,AM$20&lt;'01_Input'!$AA$61),'01_Input'!$AC$61,0),MAX(MIN(AM$20,'01_Input'!$AA$61)-'01_Input'!$Z$61,0)*'01_Input'!$AC$61)))))))))</f>
        <v>0</v>
      </c>
      <c r="AN29" s="25">
        <f>IF('01_Input'!$C$61="Non",0,MIN('01_Input'!$I$61,MAX('01_Input'!$H$61,IF('01_Input'!$G$61="Résiduel vs Gestion",0,IF('01_Input'!$G$61="Taux Classe sélectionnée",Distrib_Global_Classe_Selectionnee*AN$20,IF('01_Input'!$G$61="Frais KYC (paliers de 100M€)",MAX(0,Nb_Investisseurs-Nb_KYC_Gratuites_Par_Tranche*(FLOOR(AN$20/Taille_Tranche_KYC,1)+1))*Cout_Par_KYC_Supplementaire,(IF('01_Input'!$L$61="Forfait",IF(AN$20&gt;='01_Input'!$J$61,'01_Input'!$M$61,0),IF('01_Input'!$L$61="Palier",IF(AND(AN$20&gt;='01_Input'!$J$61,AN$20&lt;'01_Input'!$K$61),'01_Input'!$M$61,0),MAX(MIN(AN$20,'01_Input'!$K$61)-'01_Input'!$J$61,0)*'01_Input'!$M$61))+IF('01_Input'!$P$61="Forfait",IF(AN$20&gt;='01_Input'!$N$61,'01_Input'!$Q$61,0),IF('01_Input'!$P$61="Palier",IF(AND(AN$20&gt;='01_Input'!$N$61,AN$20&lt;'01_Input'!$O$61),'01_Input'!$Q$61,0),MAX(MIN(AN$20,'01_Input'!$O$61)-'01_Input'!$N$61,0)*'01_Input'!$Q$61))+IF('01_Input'!$T$61="Forfait",IF(AN$20&gt;='01_Input'!$R$61,'01_Input'!$U$61,0),IF('01_Input'!$T$61="Palier",IF(AND(AN$20&gt;='01_Input'!$R$61,AN$20&lt;'01_Input'!$S$61),'01_Input'!$U$61,0),MAX(MIN(AN$20,'01_Input'!$S$61)-'01_Input'!$R$61,0)*'01_Input'!$U$61))+IF('01_Input'!$X$61="Forfait",IF(AN$20&gt;='01_Input'!$V$61,'01_Input'!$Y$61,0),IF('01_Input'!$X$61="Palier",IF(AND(AN$20&gt;='01_Input'!$V$61,AN$20&lt;'01_Input'!$W$61),'01_Input'!$Y$61,0),MAX(MIN(AN$20,'01_Input'!$W$61)-'01_Input'!$V$61,0)*'01_Input'!$Y$61))+IF('01_Input'!$AB$61="Forfait",IF(AN$20&gt;='01_Input'!$Z$61,'01_Input'!$AC$61,0),IF('01_Input'!$AB$61="Palier",IF(AND(AN$20&gt;='01_Input'!$Z$61,AN$20&lt;'01_Input'!$AA$61),'01_Input'!$AC$61,0),MAX(MIN(AN$20,'01_Input'!$AA$61)-'01_Input'!$Z$61,0)*'01_Input'!$AC$61)))))))))</f>
        <v>0</v>
      </c>
      <c r="AO29" s="25">
        <f>IF('01_Input'!$C$61="Non",0,MIN('01_Input'!$I$61,MAX('01_Input'!$H$61,IF('01_Input'!$G$61="Résiduel vs Gestion",0,IF('01_Input'!$G$61="Taux Classe sélectionnée",Distrib_Global_Classe_Selectionnee*AO$20,IF('01_Input'!$G$61="Frais KYC (paliers de 100M€)",MAX(0,Nb_Investisseurs-Nb_KYC_Gratuites_Par_Tranche*(FLOOR(AO$20/Taille_Tranche_KYC,1)+1))*Cout_Par_KYC_Supplementaire,(IF('01_Input'!$L$61="Forfait",IF(AO$20&gt;='01_Input'!$J$61,'01_Input'!$M$61,0),IF('01_Input'!$L$61="Palier",IF(AND(AO$20&gt;='01_Input'!$J$61,AO$20&lt;'01_Input'!$K$61),'01_Input'!$M$61,0),MAX(MIN(AO$20,'01_Input'!$K$61)-'01_Input'!$J$61,0)*'01_Input'!$M$61))+IF('01_Input'!$P$61="Forfait",IF(AO$20&gt;='01_Input'!$N$61,'01_Input'!$Q$61,0),IF('01_Input'!$P$61="Palier",IF(AND(AO$20&gt;='01_Input'!$N$61,AO$20&lt;'01_Input'!$O$61),'01_Input'!$Q$61,0),MAX(MIN(AO$20,'01_Input'!$O$61)-'01_Input'!$N$61,0)*'01_Input'!$Q$61))+IF('01_Input'!$T$61="Forfait",IF(AO$20&gt;='01_Input'!$R$61,'01_Input'!$U$61,0),IF('01_Input'!$T$61="Palier",IF(AND(AO$20&gt;='01_Input'!$R$61,AO$20&lt;'01_Input'!$S$61),'01_Input'!$U$61,0),MAX(MIN(AO$20,'01_Input'!$S$61)-'01_Input'!$R$61,0)*'01_Input'!$U$61))+IF('01_Input'!$X$61="Forfait",IF(AO$20&gt;='01_Input'!$V$61,'01_Input'!$Y$61,0),IF('01_Input'!$X$61="Palier",IF(AND(AO$20&gt;='01_Input'!$V$61,AO$20&lt;'01_Input'!$W$61),'01_Input'!$Y$61,0),MAX(MIN(AO$20,'01_Input'!$W$61)-'01_Input'!$V$61,0)*'01_Input'!$Y$61))+IF('01_Input'!$AB$61="Forfait",IF(AO$20&gt;='01_Input'!$Z$61,'01_Input'!$AC$61,0),IF('01_Input'!$AB$61="Palier",IF(AND(AO$20&gt;='01_Input'!$Z$61,AO$20&lt;'01_Input'!$AA$61),'01_Input'!$AC$61,0),MAX(MIN(AO$20,'01_Input'!$AA$61)-'01_Input'!$Z$61,0)*'01_Input'!$AC$61)))))))))</f>
        <v>0</v>
      </c>
      <c r="AP29" s="25">
        <f>IF('01_Input'!$C$61="Non",0,MIN('01_Input'!$I$61,MAX('01_Input'!$H$61,IF('01_Input'!$G$61="Résiduel vs Gestion",0,IF('01_Input'!$G$61="Taux Classe sélectionnée",Distrib_Global_Classe_Selectionnee*AP$20,IF('01_Input'!$G$61="Frais KYC (paliers de 100M€)",MAX(0,Nb_Investisseurs-Nb_KYC_Gratuites_Par_Tranche*(FLOOR(AP$20/Taille_Tranche_KYC,1)+1))*Cout_Par_KYC_Supplementaire,(IF('01_Input'!$L$61="Forfait",IF(AP$20&gt;='01_Input'!$J$61,'01_Input'!$M$61,0),IF('01_Input'!$L$61="Palier",IF(AND(AP$20&gt;='01_Input'!$J$61,AP$20&lt;'01_Input'!$K$61),'01_Input'!$M$61,0),MAX(MIN(AP$20,'01_Input'!$K$61)-'01_Input'!$J$61,0)*'01_Input'!$M$61))+IF('01_Input'!$P$61="Forfait",IF(AP$20&gt;='01_Input'!$N$61,'01_Input'!$Q$61,0),IF('01_Input'!$P$61="Palier",IF(AND(AP$20&gt;='01_Input'!$N$61,AP$20&lt;'01_Input'!$O$61),'01_Input'!$Q$61,0),MAX(MIN(AP$20,'01_Input'!$O$61)-'01_Input'!$N$61,0)*'01_Input'!$Q$61))+IF('01_Input'!$T$61="Forfait",IF(AP$20&gt;='01_Input'!$R$61,'01_Input'!$U$61,0),IF('01_Input'!$T$61="Palier",IF(AND(AP$20&gt;='01_Input'!$R$61,AP$20&lt;'01_Input'!$S$61),'01_Input'!$U$61,0),MAX(MIN(AP$20,'01_Input'!$S$61)-'01_Input'!$R$61,0)*'01_Input'!$U$61))+IF('01_Input'!$X$61="Forfait",IF(AP$20&gt;='01_Input'!$V$61,'01_Input'!$Y$61,0),IF('01_Input'!$X$61="Palier",IF(AND(AP$20&gt;='01_Input'!$V$61,AP$20&lt;'01_Input'!$W$61),'01_Input'!$Y$61,0),MAX(MIN(AP$20,'01_Input'!$W$61)-'01_Input'!$V$61,0)*'01_Input'!$Y$61))+IF('01_Input'!$AB$61="Forfait",IF(AP$20&gt;='01_Input'!$Z$61,'01_Input'!$AC$61,0),IF('01_Input'!$AB$61="Palier",IF(AND(AP$20&gt;='01_Input'!$Z$61,AP$20&lt;'01_Input'!$AA$61),'01_Input'!$AC$61,0),MAX(MIN(AP$20,'01_Input'!$AA$61)-'01_Input'!$Z$61,0)*'01_Input'!$AC$61)))))))))</f>
        <v>0</v>
      </c>
      <c r="AQ29" s="25">
        <f>IF('01_Input'!$C$61="Non",0,MIN('01_Input'!$I$61,MAX('01_Input'!$H$61,IF('01_Input'!$G$61="Résiduel vs Gestion",0,IF('01_Input'!$G$61="Taux Classe sélectionnée",Distrib_Global_Classe_Selectionnee*AQ$20,IF('01_Input'!$G$61="Frais KYC (paliers de 100M€)",MAX(0,Nb_Investisseurs-Nb_KYC_Gratuites_Par_Tranche*(FLOOR(AQ$20/Taille_Tranche_KYC,1)+1))*Cout_Par_KYC_Supplementaire,(IF('01_Input'!$L$61="Forfait",IF(AQ$20&gt;='01_Input'!$J$61,'01_Input'!$M$61,0),IF('01_Input'!$L$61="Palier",IF(AND(AQ$20&gt;='01_Input'!$J$61,AQ$20&lt;'01_Input'!$K$61),'01_Input'!$M$61,0),MAX(MIN(AQ$20,'01_Input'!$K$61)-'01_Input'!$J$61,0)*'01_Input'!$M$61))+IF('01_Input'!$P$61="Forfait",IF(AQ$20&gt;='01_Input'!$N$61,'01_Input'!$Q$61,0),IF('01_Input'!$P$61="Palier",IF(AND(AQ$20&gt;='01_Input'!$N$61,AQ$20&lt;'01_Input'!$O$61),'01_Input'!$Q$61,0),MAX(MIN(AQ$20,'01_Input'!$O$61)-'01_Input'!$N$61,0)*'01_Input'!$Q$61))+IF('01_Input'!$T$61="Forfait",IF(AQ$20&gt;='01_Input'!$R$61,'01_Input'!$U$61,0),IF('01_Input'!$T$61="Palier",IF(AND(AQ$20&gt;='01_Input'!$R$61,AQ$20&lt;'01_Input'!$S$61),'01_Input'!$U$61,0),MAX(MIN(AQ$20,'01_Input'!$S$61)-'01_Input'!$R$61,0)*'01_Input'!$U$61))+IF('01_Input'!$X$61="Forfait",IF(AQ$20&gt;='01_Input'!$V$61,'01_Input'!$Y$61,0),IF('01_Input'!$X$61="Palier",IF(AND(AQ$20&gt;='01_Input'!$V$61,AQ$20&lt;'01_Input'!$W$61),'01_Input'!$Y$61,0),MAX(MIN(AQ$20,'01_Input'!$W$61)-'01_Input'!$V$61,0)*'01_Input'!$Y$61))+IF('01_Input'!$AB$61="Forfait",IF(AQ$20&gt;='01_Input'!$Z$61,'01_Input'!$AC$61,0),IF('01_Input'!$AB$61="Palier",IF(AND(AQ$20&gt;='01_Input'!$Z$61,AQ$20&lt;'01_Input'!$AA$61),'01_Input'!$AC$61,0),MAX(MIN(AQ$20,'01_Input'!$AA$61)-'01_Input'!$Z$61,0)*'01_Input'!$AC$61)))))))))</f>
        <v>0</v>
      </c>
      <c r="AR29" s="25">
        <f>IF('01_Input'!$C$61="Non",0,MIN('01_Input'!$I$61,MAX('01_Input'!$H$61,IF('01_Input'!$G$61="Résiduel vs Gestion",0,IF('01_Input'!$G$61="Taux Classe sélectionnée",Distrib_Global_Classe_Selectionnee*AR$20,IF('01_Input'!$G$61="Frais KYC (paliers de 100M€)",MAX(0,Nb_Investisseurs-Nb_KYC_Gratuites_Par_Tranche*(FLOOR(AR$20/Taille_Tranche_KYC,1)+1))*Cout_Par_KYC_Supplementaire,(IF('01_Input'!$L$61="Forfait",IF(AR$20&gt;='01_Input'!$J$61,'01_Input'!$M$61,0),IF('01_Input'!$L$61="Palier",IF(AND(AR$20&gt;='01_Input'!$J$61,AR$20&lt;'01_Input'!$K$61),'01_Input'!$M$61,0),MAX(MIN(AR$20,'01_Input'!$K$61)-'01_Input'!$J$61,0)*'01_Input'!$M$61))+IF('01_Input'!$P$61="Forfait",IF(AR$20&gt;='01_Input'!$N$61,'01_Input'!$Q$61,0),IF('01_Input'!$P$61="Palier",IF(AND(AR$20&gt;='01_Input'!$N$61,AR$20&lt;'01_Input'!$O$61),'01_Input'!$Q$61,0),MAX(MIN(AR$20,'01_Input'!$O$61)-'01_Input'!$N$61,0)*'01_Input'!$Q$61))+IF('01_Input'!$T$61="Forfait",IF(AR$20&gt;='01_Input'!$R$61,'01_Input'!$U$61,0),IF('01_Input'!$T$61="Palier",IF(AND(AR$20&gt;='01_Input'!$R$61,AR$20&lt;'01_Input'!$S$61),'01_Input'!$U$61,0),MAX(MIN(AR$20,'01_Input'!$S$61)-'01_Input'!$R$61,0)*'01_Input'!$U$61))+IF('01_Input'!$X$61="Forfait",IF(AR$20&gt;='01_Input'!$V$61,'01_Input'!$Y$61,0),IF('01_Input'!$X$61="Palier",IF(AND(AR$20&gt;='01_Input'!$V$61,AR$20&lt;'01_Input'!$W$61),'01_Input'!$Y$61,0),MAX(MIN(AR$20,'01_Input'!$W$61)-'01_Input'!$V$61,0)*'01_Input'!$Y$61))+IF('01_Input'!$AB$61="Forfait",IF(AR$20&gt;='01_Input'!$Z$61,'01_Input'!$AC$61,0),IF('01_Input'!$AB$61="Palier",IF(AND(AR$20&gt;='01_Input'!$Z$61,AR$20&lt;'01_Input'!$AA$61),'01_Input'!$AC$61,0),MAX(MIN(AR$20,'01_Input'!$AA$61)-'01_Input'!$Z$61,0)*'01_Input'!$AC$61)))))))))</f>
        <v>0</v>
      </c>
      <c r="AS29" s="25">
        <f>IF('01_Input'!$C$61="Non",0,MIN('01_Input'!$I$61,MAX('01_Input'!$H$61,IF('01_Input'!$G$61="Résiduel vs Gestion",0,IF('01_Input'!$G$61="Taux Classe sélectionnée",Distrib_Global_Classe_Selectionnee*AS$20,IF('01_Input'!$G$61="Frais KYC (paliers de 100M€)",MAX(0,Nb_Investisseurs-Nb_KYC_Gratuites_Par_Tranche*(FLOOR(AS$20/Taille_Tranche_KYC,1)+1))*Cout_Par_KYC_Supplementaire,(IF('01_Input'!$L$61="Forfait",IF(AS$20&gt;='01_Input'!$J$61,'01_Input'!$M$61,0),IF('01_Input'!$L$61="Palier",IF(AND(AS$20&gt;='01_Input'!$J$61,AS$20&lt;'01_Input'!$K$61),'01_Input'!$M$61,0),MAX(MIN(AS$20,'01_Input'!$K$61)-'01_Input'!$J$61,0)*'01_Input'!$M$61))+IF('01_Input'!$P$61="Forfait",IF(AS$20&gt;='01_Input'!$N$61,'01_Input'!$Q$61,0),IF('01_Input'!$P$61="Palier",IF(AND(AS$20&gt;='01_Input'!$N$61,AS$20&lt;'01_Input'!$O$61),'01_Input'!$Q$61,0),MAX(MIN(AS$20,'01_Input'!$O$61)-'01_Input'!$N$61,0)*'01_Input'!$Q$61))+IF('01_Input'!$T$61="Forfait",IF(AS$20&gt;='01_Input'!$R$61,'01_Input'!$U$61,0),IF('01_Input'!$T$61="Palier",IF(AND(AS$20&gt;='01_Input'!$R$61,AS$20&lt;'01_Input'!$S$61),'01_Input'!$U$61,0),MAX(MIN(AS$20,'01_Input'!$S$61)-'01_Input'!$R$61,0)*'01_Input'!$U$61))+IF('01_Input'!$X$61="Forfait",IF(AS$20&gt;='01_Input'!$V$61,'01_Input'!$Y$61,0),IF('01_Input'!$X$61="Palier",IF(AND(AS$20&gt;='01_Input'!$V$61,AS$20&lt;'01_Input'!$W$61),'01_Input'!$Y$61,0),MAX(MIN(AS$20,'01_Input'!$W$61)-'01_Input'!$V$61,0)*'01_Input'!$Y$61))+IF('01_Input'!$AB$61="Forfait",IF(AS$20&gt;='01_Input'!$Z$61,'01_Input'!$AC$61,0),IF('01_Input'!$AB$61="Palier",IF(AND(AS$20&gt;='01_Input'!$Z$61,AS$20&lt;'01_Input'!$AA$61),'01_Input'!$AC$61,0),MAX(MIN(AS$20,'01_Input'!$AA$61)-'01_Input'!$Z$61,0)*'01_Input'!$AC$61)))))))))</f>
        <v>0</v>
      </c>
      <c r="AT29" s="25">
        <f>IF('01_Input'!$C$61="Non",0,MIN('01_Input'!$I$61,MAX('01_Input'!$H$61,IF('01_Input'!$G$61="Résiduel vs Gestion",0,IF('01_Input'!$G$61="Taux Classe sélectionnée",Distrib_Global_Classe_Selectionnee*AT$20,IF('01_Input'!$G$61="Frais KYC (paliers de 100M€)",MAX(0,Nb_Investisseurs-Nb_KYC_Gratuites_Par_Tranche*(FLOOR(AT$20/Taille_Tranche_KYC,1)+1))*Cout_Par_KYC_Supplementaire,(IF('01_Input'!$L$61="Forfait",IF(AT$20&gt;='01_Input'!$J$61,'01_Input'!$M$61,0),IF('01_Input'!$L$61="Palier",IF(AND(AT$20&gt;='01_Input'!$J$61,AT$20&lt;'01_Input'!$K$61),'01_Input'!$M$61,0),MAX(MIN(AT$20,'01_Input'!$K$61)-'01_Input'!$J$61,0)*'01_Input'!$M$61))+IF('01_Input'!$P$61="Forfait",IF(AT$20&gt;='01_Input'!$N$61,'01_Input'!$Q$61,0),IF('01_Input'!$P$61="Palier",IF(AND(AT$20&gt;='01_Input'!$N$61,AT$20&lt;'01_Input'!$O$61),'01_Input'!$Q$61,0),MAX(MIN(AT$20,'01_Input'!$O$61)-'01_Input'!$N$61,0)*'01_Input'!$Q$61))+IF('01_Input'!$T$61="Forfait",IF(AT$20&gt;='01_Input'!$R$61,'01_Input'!$U$61,0),IF('01_Input'!$T$61="Palier",IF(AND(AT$20&gt;='01_Input'!$R$61,AT$20&lt;'01_Input'!$S$61),'01_Input'!$U$61,0),MAX(MIN(AT$20,'01_Input'!$S$61)-'01_Input'!$R$61,0)*'01_Input'!$U$61))+IF('01_Input'!$X$61="Forfait",IF(AT$20&gt;='01_Input'!$V$61,'01_Input'!$Y$61,0),IF('01_Input'!$X$61="Palier",IF(AND(AT$20&gt;='01_Input'!$V$61,AT$20&lt;'01_Input'!$W$61),'01_Input'!$Y$61,0),MAX(MIN(AT$20,'01_Input'!$W$61)-'01_Input'!$V$61,0)*'01_Input'!$Y$61))+IF('01_Input'!$AB$61="Forfait",IF(AT$20&gt;='01_Input'!$Z$61,'01_Input'!$AC$61,0),IF('01_Input'!$AB$61="Palier",IF(AND(AT$20&gt;='01_Input'!$Z$61,AT$20&lt;'01_Input'!$AA$61),'01_Input'!$AC$61,0),MAX(MIN(AT$20,'01_Input'!$AA$61)-'01_Input'!$Z$61,0)*'01_Input'!$AC$61)))))))))</f>
        <v>0</v>
      </c>
      <c r="AU29" s="25">
        <f>IF('01_Input'!$C$61="Non",0,MIN('01_Input'!$I$61,MAX('01_Input'!$H$61,IF('01_Input'!$G$61="Résiduel vs Gestion",0,IF('01_Input'!$G$61="Taux Classe sélectionnée",Distrib_Global_Classe_Selectionnee*AU$20,IF('01_Input'!$G$61="Frais KYC (paliers de 100M€)",MAX(0,Nb_Investisseurs-Nb_KYC_Gratuites_Par_Tranche*(FLOOR(AU$20/Taille_Tranche_KYC,1)+1))*Cout_Par_KYC_Supplementaire,(IF('01_Input'!$L$61="Forfait",IF(AU$20&gt;='01_Input'!$J$61,'01_Input'!$M$61,0),IF('01_Input'!$L$61="Palier",IF(AND(AU$20&gt;='01_Input'!$J$61,AU$20&lt;'01_Input'!$K$61),'01_Input'!$M$61,0),MAX(MIN(AU$20,'01_Input'!$K$61)-'01_Input'!$J$61,0)*'01_Input'!$M$61))+IF('01_Input'!$P$61="Forfait",IF(AU$20&gt;='01_Input'!$N$61,'01_Input'!$Q$61,0),IF('01_Input'!$P$61="Palier",IF(AND(AU$20&gt;='01_Input'!$N$61,AU$20&lt;'01_Input'!$O$61),'01_Input'!$Q$61,0),MAX(MIN(AU$20,'01_Input'!$O$61)-'01_Input'!$N$61,0)*'01_Input'!$Q$61))+IF('01_Input'!$T$61="Forfait",IF(AU$20&gt;='01_Input'!$R$61,'01_Input'!$U$61,0),IF('01_Input'!$T$61="Palier",IF(AND(AU$20&gt;='01_Input'!$R$61,AU$20&lt;'01_Input'!$S$61),'01_Input'!$U$61,0),MAX(MIN(AU$20,'01_Input'!$S$61)-'01_Input'!$R$61,0)*'01_Input'!$U$61))+IF('01_Input'!$X$61="Forfait",IF(AU$20&gt;='01_Input'!$V$61,'01_Input'!$Y$61,0),IF('01_Input'!$X$61="Palier",IF(AND(AU$20&gt;='01_Input'!$V$61,AU$20&lt;'01_Input'!$W$61),'01_Input'!$Y$61,0),MAX(MIN(AU$20,'01_Input'!$W$61)-'01_Input'!$V$61,0)*'01_Input'!$Y$61))+IF('01_Input'!$AB$61="Forfait",IF(AU$20&gt;='01_Input'!$Z$61,'01_Input'!$AC$61,0),IF('01_Input'!$AB$61="Palier",IF(AND(AU$20&gt;='01_Input'!$Z$61,AU$20&lt;'01_Input'!$AA$61),'01_Input'!$AC$61,0),MAX(MIN(AU$20,'01_Input'!$AA$61)-'01_Input'!$Z$61,0)*'01_Input'!$AC$61)))))))))</f>
        <v>0</v>
      </c>
      <c r="AV29" s="25">
        <f>IF('01_Input'!$C$61="Non",0,MIN('01_Input'!$I$61,MAX('01_Input'!$H$61,IF('01_Input'!$G$61="Résiduel vs Gestion",0,IF('01_Input'!$G$61="Taux Classe sélectionnée",Distrib_Global_Classe_Selectionnee*AV$20,IF('01_Input'!$G$61="Frais KYC (paliers de 100M€)",MAX(0,Nb_Investisseurs-Nb_KYC_Gratuites_Par_Tranche*(FLOOR(AV$20/Taille_Tranche_KYC,1)+1))*Cout_Par_KYC_Supplementaire,(IF('01_Input'!$L$61="Forfait",IF(AV$20&gt;='01_Input'!$J$61,'01_Input'!$M$61,0),IF('01_Input'!$L$61="Palier",IF(AND(AV$20&gt;='01_Input'!$J$61,AV$20&lt;'01_Input'!$K$61),'01_Input'!$M$61,0),MAX(MIN(AV$20,'01_Input'!$K$61)-'01_Input'!$J$61,0)*'01_Input'!$M$61))+IF('01_Input'!$P$61="Forfait",IF(AV$20&gt;='01_Input'!$N$61,'01_Input'!$Q$61,0),IF('01_Input'!$P$61="Palier",IF(AND(AV$20&gt;='01_Input'!$N$61,AV$20&lt;'01_Input'!$O$61),'01_Input'!$Q$61,0),MAX(MIN(AV$20,'01_Input'!$O$61)-'01_Input'!$N$61,0)*'01_Input'!$Q$61))+IF('01_Input'!$T$61="Forfait",IF(AV$20&gt;='01_Input'!$R$61,'01_Input'!$U$61,0),IF('01_Input'!$T$61="Palier",IF(AND(AV$20&gt;='01_Input'!$R$61,AV$20&lt;'01_Input'!$S$61),'01_Input'!$U$61,0),MAX(MIN(AV$20,'01_Input'!$S$61)-'01_Input'!$R$61,0)*'01_Input'!$U$61))+IF('01_Input'!$X$61="Forfait",IF(AV$20&gt;='01_Input'!$V$61,'01_Input'!$Y$61,0),IF('01_Input'!$X$61="Palier",IF(AND(AV$20&gt;='01_Input'!$V$61,AV$20&lt;'01_Input'!$W$61),'01_Input'!$Y$61,0),MAX(MIN(AV$20,'01_Input'!$W$61)-'01_Input'!$V$61,0)*'01_Input'!$Y$61))+IF('01_Input'!$AB$61="Forfait",IF(AV$20&gt;='01_Input'!$Z$61,'01_Input'!$AC$61,0),IF('01_Input'!$AB$61="Palier",IF(AND(AV$20&gt;='01_Input'!$Z$61,AV$20&lt;'01_Input'!$AA$61),'01_Input'!$AC$61,0),MAX(MIN(AV$20,'01_Input'!$AA$61)-'01_Input'!$Z$61,0)*'01_Input'!$AC$61)))))))))</f>
        <v>0</v>
      </c>
      <c r="AW29" s="25">
        <f>IF('01_Input'!$C$61="Non",0,MIN('01_Input'!$I$61,MAX('01_Input'!$H$61,IF('01_Input'!$G$61="Résiduel vs Gestion",0,IF('01_Input'!$G$61="Taux Classe sélectionnée",Distrib_Global_Classe_Selectionnee*AW$20,IF('01_Input'!$G$61="Frais KYC (paliers de 100M€)",MAX(0,Nb_Investisseurs-Nb_KYC_Gratuites_Par_Tranche*(FLOOR(AW$20/Taille_Tranche_KYC,1)+1))*Cout_Par_KYC_Supplementaire,(IF('01_Input'!$L$61="Forfait",IF(AW$20&gt;='01_Input'!$J$61,'01_Input'!$M$61,0),IF('01_Input'!$L$61="Palier",IF(AND(AW$20&gt;='01_Input'!$J$61,AW$20&lt;'01_Input'!$K$61),'01_Input'!$M$61,0),MAX(MIN(AW$20,'01_Input'!$K$61)-'01_Input'!$J$61,0)*'01_Input'!$M$61))+IF('01_Input'!$P$61="Forfait",IF(AW$20&gt;='01_Input'!$N$61,'01_Input'!$Q$61,0),IF('01_Input'!$P$61="Palier",IF(AND(AW$20&gt;='01_Input'!$N$61,AW$20&lt;'01_Input'!$O$61),'01_Input'!$Q$61,0),MAX(MIN(AW$20,'01_Input'!$O$61)-'01_Input'!$N$61,0)*'01_Input'!$Q$61))+IF('01_Input'!$T$61="Forfait",IF(AW$20&gt;='01_Input'!$R$61,'01_Input'!$U$61,0),IF('01_Input'!$T$61="Palier",IF(AND(AW$20&gt;='01_Input'!$R$61,AW$20&lt;'01_Input'!$S$61),'01_Input'!$U$61,0),MAX(MIN(AW$20,'01_Input'!$S$61)-'01_Input'!$R$61,0)*'01_Input'!$U$61))+IF('01_Input'!$X$61="Forfait",IF(AW$20&gt;='01_Input'!$V$61,'01_Input'!$Y$61,0),IF('01_Input'!$X$61="Palier",IF(AND(AW$20&gt;='01_Input'!$V$61,AW$20&lt;'01_Input'!$W$61),'01_Input'!$Y$61,0),MAX(MIN(AW$20,'01_Input'!$W$61)-'01_Input'!$V$61,0)*'01_Input'!$Y$61))+IF('01_Input'!$AB$61="Forfait",IF(AW$20&gt;='01_Input'!$Z$61,'01_Input'!$AC$61,0),IF('01_Input'!$AB$61="Palier",IF(AND(AW$20&gt;='01_Input'!$Z$61,AW$20&lt;'01_Input'!$AA$61),'01_Input'!$AC$61,0),MAX(MIN(AW$20,'01_Input'!$AA$61)-'01_Input'!$Z$61,0)*'01_Input'!$AC$61)))))))))</f>
        <v>0</v>
      </c>
      <c r="AX29" s="25">
        <f>IF('01_Input'!$C$61="Non",0,MIN('01_Input'!$I$61,MAX('01_Input'!$H$61,IF('01_Input'!$G$61="Résiduel vs Gestion",0,IF('01_Input'!$G$61="Taux Classe sélectionnée",Distrib_Global_Classe_Selectionnee*AX$20,IF('01_Input'!$G$61="Frais KYC (paliers de 100M€)",MAX(0,Nb_Investisseurs-Nb_KYC_Gratuites_Par_Tranche*(FLOOR(AX$20/Taille_Tranche_KYC,1)+1))*Cout_Par_KYC_Supplementaire,(IF('01_Input'!$L$61="Forfait",IF(AX$20&gt;='01_Input'!$J$61,'01_Input'!$M$61,0),IF('01_Input'!$L$61="Palier",IF(AND(AX$20&gt;='01_Input'!$J$61,AX$20&lt;'01_Input'!$K$61),'01_Input'!$M$61,0),MAX(MIN(AX$20,'01_Input'!$K$61)-'01_Input'!$J$61,0)*'01_Input'!$M$61))+IF('01_Input'!$P$61="Forfait",IF(AX$20&gt;='01_Input'!$N$61,'01_Input'!$Q$61,0),IF('01_Input'!$P$61="Palier",IF(AND(AX$20&gt;='01_Input'!$N$61,AX$20&lt;'01_Input'!$O$61),'01_Input'!$Q$61,0),MAX(MIN(AX$20,'01_Input'!$O$61)-'01_Input'!$N$61,0)*'01_Input'!$Q$61))+IF('01_Input'!$T$61="Forfait",IF(AX$20&gt;='01_Input'!$R$61,'01_Input'!$U$61,0),IF('01_Input'!$T$61="Palier",IF(AND(AX$20&gt;='01_Input'!$R$61,AX$20&lt;'01_Input'!$S$61),'01_Input'!$U$61,0),MAX(MIN(AX$20,'01_Input'!$S$61)-'01_Input'!$R$61,0)*'01_Input'!$U$61))+IF('01_Input'!$X$61="Forfait",IF(AX$20&gt;='01_Input'!$V$61,'01_Input'!$Y$61,0),IF('01_Input'!$X$61="Palier",IF(AND(AX$20&gt;='01_Input'!$V$61,AX$20&lt;'01_Input'!$W$61),'01_Input'!$Y$61,0),MAX(MIN(AX$20,'01_Input'!$W$61)-'01_Input'!$V$61,0)*'01_Input'!$Y$61))+IF('01_Input'!$AB$61="Forfait",IF(AX$20&gt;='01_Input'!$Z$61,'01_Input'!$AC$61,0),IF('01_Input'!$AB$61="Palier",IF(AND(AX$20&gt;='01_Input'!$Z$61,AX$20&lt;'01_Input'!$AA$61),'01_Input'!$AC$61,0),MAX(MIN(AX$20,'01_Input'!$AA$61)-'01_Input'!$Z$61,0)*'01_Input'!$AC$61)))))))))</f>
        <v>0</v>
      </c>
      <c r="AY29" s="25">
        <f>IF('01_Input'!$C$61="Non",0,MIN('01_Input'!$I$61,MAX('01_Input'!$H$61,IF('01_Input'!$G$61="Résiduel vs Gestion",0,IF('01_Input'!$G$61="Taux Classe sélectionnée",Distrib_Global_Classe_Selectionnee*AY$20,IF('01_Input'!$G$61="Frais KYC (paliers de 100M€)",MAX(0,Nb_Investisseurs-Nb_KYC_Gratuites_Par_Tranche*(FLOOR(AY$20/Taille_Tranche_KYC,1)+1))*Cout_Par_KYC_Supplementaire,(IF('01_Input'!$L$61="Forfait",IF(AY$20&gt;='01_Input'!$J$61,'01_Input'!$M$61,0),IF('01_Input'!$L$61="Palier",IF(AND(AY$20&gt;='01_Input'!$J$61,AY$20&lt;'01_Input'!$K$61),'01_Input'!$M$61,0),MAX(MIN(AY$20,'01_Input'!$K$61)-'01_Input'!$J$61,0)*'01_Input'!$M$61))+IF('01_Input'!$P$61="Forfait",IF(AY$20&gt;='01_Input'!$N$61,'01_Input'!$Q$61,0),IF('01_Input'!$P$61="Palier",IF(AND(AY$20&gt;='01_Input'!$N$61,AY$20&lt;'01_Input'!$O$61),'01_Input'!$Q$61,0),MAX(MIN(AY$20,'01_Input'!$O$61)-'01_Input'!$N$61,0)*'01_Input'!$Q$61))+IF('01_Input'!$T$61="Forfait",IF(AY$20&gt;='01_Input'!$R$61,'01_Input'!$U$61,0),IF('01_Input'!$T$61="Palier",IF(AND(AY$20&gt;='01_Input'!$R$61,AY$20&lt;'01_Input'!$S$61),'01_Input'!$U$61,0),MAX(MIN(AY$20,'01_Input'!$S$61)-'01_Input'!$R$61,0)*'01_Input'!$U$61))+IF('01_Input'!$X$61="Forfait",IF(AY$20&gt;='01_Input'!$V$61,'01_Input'!$Y$61,0),IF('01_Input'!$X$61="Palier",IF(AND(AY$20&gt;='01_Input'!$V$61,AY$20&lt;'01_Input'!$W$61),'01_Input'!$Y$61,0),MAX(MIN(AY$20,'01_Input'!$W$61)-'01_Input'!$V$61,0)*'01_Input'!$Y$61))+IF('01_Input'!$AB$61="Forfait",IF(AY$20&gt;='01_Input'!$Z$61,'01_Input'!$AC$61,0),IF('01_Input'!$AB$61="Palier",IF(AND(AY$20&gt;='01_Input'!$Z$61,AY$20&lt;'01_Input'!$AA$61),'01_Input'!$AC$61,0),MAX(MIN(AY$20,'01_Input'!$AA$61)-'01_Input'!$Z$61,0)*'01_Input'!$AC$61)))))))))</f>
        <v>0</v>
      </c>
      <c r="AZ29" s="25">
        <f>IF('01_Input'!$C$61="Non",0,MIN('01_Input'!$I$61,MAX('01_Input'!$H$61,IF('01_Input'!$G$61="Résiduel vs Gestion",0,IF('01_Input'!$G$61="Taux Classe sélectionnée",Distrib_Global_Classe_Selectionnee*AZ$20,IF('01_Input'!$G$61="Frais KYC (paliers de 100M€)",MAX(0,Nb_Investisseurs-Nb_KYC_Gratuites_Par_Tranche*(FLOOR(AZ$20/Taille_Tranche_KYC,1)+1))*Cout_Par_KYC_Supplementaire,(IF('01_Input'!$L$61="Forfait",IF(AZ$20&gt;='01_Input'!$J$61,'01_Input'!$M$61,0),IF('01_Input'!$L$61="Palier",IF(AND(AZ$20&gt;='01_Input'!$J$61,AZ$20&lt;'01_Input'!$K$61),'01_Input'!$M$61,0),MAX(MIN(AZ$20,'01_Input'!$K$61)-'01_Input'!$J$61,0)*'01_Input'!$M$61))+IF('01_Input'!$P$61="Forfait",IF(AZ$20&gt;='01_Input'!$N$61,'01_Input'!$Q$61,0),IF('01_Input'!$P$61="Palier",IF(AND(AZ$20&gt;='01_Input'!$N$61,AZ$20&lt;'01_Input'!$O$61),'01_Input'!$Q$61,0),MAX(MIN(AZ$20,'01_Input'!$O$61)-'01_Input'!$N$61,0)*'01_Input'!$Q$61))+IF('01_Input'!$T$61="Forfait",IF(AZ$20&gt;='01_Input'!$R$61,'01_Input'!$U$61,0),IF('01_Input'!$T$61="Palier",IF(AND(AZ$20&gt;='01_Input'!$R$61,AZ$20&lt;'01_Input'!$S$61),'01_Input'!$U$61,0),MAX(MIN(AZ$20,'01_Input'!$S$61)-'01_Input'!$R$61,0)*'01_Input'!$U$61))+IF('01_Input'!$X$61="Forfait",IF(AZ$20&gt;='01_Input'!$V$61,'01_Input'!$Y$61,0),IF('01_Input'!$X$61="Palier",IF(AND(AZ$20&gt;='01_Input'!$V$61,AZ$20&lt;'01_Input'!$W$61),'01_Input'!$Y$61,0),MAX(MIN(AZ$20,'01_Input'!$W$61)-'01_Input'!$V$61,0)*'01_Input'!$Y$61))+IF('01_Input'!$AB$61="Forfait",IF(AZ$20&gt;='01_Input'!$Z$61,'01_Input'!$AC$61,0),IF('01_Input'!$AB$61="Palier",IF(AND(AZ$20&gt;='01_Input'!$Z$61,AZ$20&lt;'01_Input'!$AA$61),'01_Input'!$AC$61,0),MAX(MIN(AZ$20,'01_Input'!$AA$61)-'01_Input'!$Z$61,0)*'01_Input'!$AC$61)))))))))</f>
        <v>0</v>
      </c>
      <c r="BA29" s="25">
        <f>IF('01_Input'!$C$61="Non",0,MIN('01_Input'!$I$61,MAX('01_Input'!$H$61,IF('01_Input'!$G$61="Résiduel vs Gestion",0,IF('01_Input'!$G$61="Taux Classe sélectionnée",Distrib_Global_Classe_Selectionnee*BA$20,IF('01_Input'!$G$61="Frais KYC (paliers de 100M€)",MAX(0,Nb_Investisseurs-Nb_KYC_Gratuites_Par_Tranche*(FLOOR(BA$20/Taille_Tranche_KYC,1)+1))*Cout_Par_KYC_Supplementaire,(IF('01_Input'!$L$61="Forfait",IF(BA$20&gt;='01_Input'!$J$61,'01_Input'!$M$61,0),IF('01_Input'!$L$61="Palier",IF(AND(BA$20&gt;='01_Input'!$J$61,BA$20&lt;'01_Input'!$K$61),'01_Input'!$M$61,0),MAX(MIN(BA$20,'01_Input'!$K$61)-'01_Input'!$J$61,0)*'01_Input'!$M$61))+IF('01_Input'!$P$61="Forfait",IF(BA$20&gt;='01_Input'!$N$61,'01_Input'!$Q$61,0),IF('01_Input'!$P$61="Palier",IF(AND(BA$20&gt;='01_Input'!$N$61,BA$20&lt;'01_Input'!$O$61),'01_Input'!$Q$61,0),MAX(MIN(BA$20,'01_Input'!$O$61)-'01_Input'!$N$61,0)*'01_Input'!$Q$61))+IF('01_Input'!$T$61="Forfait",IF(BA$20&gt;='01_Input'!$R$61,'01_Input'!$U$61,0),IF('01_Input'!$T$61="Palier",IF(AND(BA$20&gt;='01_Input'!$R$61,BA$20&lt;'01_Input'!$S$61),'01_Input'!$U$61,0),MAX(MIN(BA$20,'01_Input'!$S$61)-'01_Input'!$R$61,0)*'01_Input'!$U$61))+IF('01_Input'!$X$61="Forfait",IF(BA$20&gt;='01_Input'!$V$61,'01_Input'!$Y$61,0),IF('01_Input'!$X$61="Palier",IF(AND(BA$20&gt;='01_Input'!$V$61,BA$20&lt;'01_Input'!$W$61),'01_Input'!$Y$61,0),MAX(MIN(BA$20,'01_Input'!$W$61)-'01_Input'!$V$61,0)*'01_Input'!$Y$61))+IF('01_Input'!$AB$61="Forfait",IF(BA$20&gt;='01_Input'!$Z$61,'01_Input'!$AC$61,0),IF('01_Input'!$AB$61="Palier",IF(AND(BA$20&gt;='01_Input'!$Z$61,BA$20&lt;'01_Input'!$AA$61),'01_Input'!$AC$61,0),MAX(MIN(BA$20,'01_Input'!$AA$61)-'01_Input'!$Z$61,0)*'01_Input'!$AC$61)))))))))</f>
        <v>0</v>
      </c>
      <c r="BB29" s="25">
        <f>IF('01_Input'!$C$61="Non",0,MIN('01_Input'!$I$61,MAX('01_Input'!$H$61,IF('01_Input'!$G$61="Résiduel vs Gestion",0,IF('01_Input'!$G$61="Taux Classe sélectionnée",Distrib_Global_Classe_Selectionnee*BB$20,IF('01_Input'!$G$61="Frais KYC (paliers de 100M€)",MAX(0,Nb_Investisseurs-Nb_KYC_Gratuites_Par_Tranche*(FLOOR(BB$20/Taille_Tranche_KYC,1)+1))*Cout_Par_KYC_Supplementaire,(IF('01_Input'!$L$61="Forfait",IF(BB$20&gt;='01_Input'!$J$61,'01_Input'!$M$61,0),IF('01_Input'!$L$61="Palier",IF(AND(BB$20&gt;='01_Input'!$J$61,BB$20&lt;'01_Input'!$K$61),'01_Input'!$M$61,0),MAX(MIN(BB$20,'01_Input'!$K$61)-'01_Input'!$J$61,0)*'01_Input'!$M$61))+IF('01_Input'!$P$61="Forfait",IF(BB$20&gt;='01_Input'!$N$61,'01_Input'!$Q$61,0),IF('01_Input'!$P$61="Palier",IF(AND(BB$20&gt;='01_Input'!$N$61,BB$20&lt;'01_Input'!$O$61),'01_Input'!$Q$61,0),MAX(MIN(BB$20,'01_Input'!$O$61)-'01_Input'!$N$61,0)*'01_Input'!$Q$61))+IF('01_Input'!$T$61="Forfait",IF(BB$20&gt;='01_Input'!$R$61,'01_Input'!$U$61,0),IF('01_Input'!$T$61="Palier",IF(AND(BB$20&gt;='01_Input'!$R$61,BB$20&lt;'01_Input'!$S$61),'01_Input'!$U$61,0),MAX(MIN(BB$20,'01_Input'!$S$61)-'01_Input'!$R$61,0)*'01_Input'!$U$61))+IF('01_Input'!$X$61="Forfait",IF(BB$20&gt;='01_Input'!$V$61,'01_Input'!$Y$61,0),IF('01_Input'!$X$61="Palier",IF(AND(BB$20&gt;='01_Input'!$V$61,BB$20&lt;'01_Input'!$W$61),'01_Input'!$Y$61,0),MAX(MIN(BB$20,'01_Input'!$W$61)-'01_Input'!$V$61,0)*'01_Input'!$Y$61))+IF('01_Input'!$AB$61="Forfait",IF(BB$20&gt;='01_Input'!$Z$61,'01_Input'!$AC$61,0),IF('01_Input'!$AB$61="Palier",IF(AND(BB$20&gt;='01_Input'!$Z$61,BB$20&lt;'01_Input'!$AA$61),'01_Input'!$AC$61,0),MAX(MIN(BB$20,'01_Input'!$AA$61)-'01_Input'!$Z$61,0)*'01_Input'!$AC$61)))))))))</f>
        <v>0</v>
      </c>
      <c r="BC29" s="25">
        <f>IF('01_Input'!$C$61="Non",0,MIN('01_Input'!$I$61,MAX('01_Input'!$H$61,IF('01_Input'!$G$61="Résiduel vs Gestion",0,IF('01_Input'!$G$61="Taux Classe sélectionnée",Distrib_Global_Classe_Selectionnee*BC$20,IF('01_Input'!$G$61="Frais KYC (paliers de 100M€)",MAX(0,Nb_Investisseurs-Nb_KYC_Gratuites_Par_Tranche*(FLOOR(BC$20/Taille_Tranche_KYC,1)+1))*Cout_Par_KYC_Supplementaire,(IF('01_Input'!$L$61="Forfait",IF(BC$20&gt;='01_Input'!$J$61,'01_Input'!$M$61,0),IF('01_Input'!$L$61="Palier",IF(AND(BC$20&gt;='01_Input'!$J$61,BC$20&lt;'01_Input'!$K$61),'01_Input'!$M$61,0),MAX(MIN(BC$20,'01_Input'!$K$61)-'01_Input'!$J$61,0)*'01_Input'!$M$61))+IF('01_Input'!$P$61="Forfait",IF(BC$20&gt;='01_Input'!$N$61,'01_Input'!$Q$61,0),IF('01_Input'!$P$61="Palier",IF(AND(BC$20&gt;='01_Input'!$N$61,BC$20&lt;'01_Input'!$O$61),'01_Input'!$Q$61,0),MAX(MIN(BC$20,'01_Input'!$O$61)-'01_Input'!$N$61,0)*'01_Input'!$Q$61))+IF('01_Input'!$T$61="Forfait",IF(BC$20&gt;='01_Input'!$R$61,'01_Input'!$U$61,0),IF('01_Input'!$T$61="Palier",IF(AND(BC$20&gt;='01_Input'!$R$61,BC$20&lt;'01_Input'!$S$61),'01_Input'!$U$61,0),MAX(MIN(BC$20,'01_Input'!$S$61)-'01_Input'!$R$61,0)*'01_Input'!$U$61))+IF('01_Input'!$X$61="Forfait",IF(BC$20&gt;='01_Input'!$V$61,'01_Input'!$Y$61,0),IF('01_Input'!$X$61="Palier",IF(AND(BC$20&gt;='01_Input'!$V$61,BC$20&lt;'01_Input'!$W$61),'01_Input'!$Y$61,0),MAX(MIN(BC$20,'01_Input'!$W$61)-'01_Input'!$V$61,0)*'01_Input'!$Y$61))+IF('01_Input'!$AB$61="Forfait",IF(BC$20&gt;='01_Input'!$Z$61,'01_Input'!$AC$61,0),IF('01_Input'!$AB$61="Palier",IF(AND(BC$20&gt;='01_Input'!$Z$61,BC$20&lt;'01_Input'!$AA$61),'01_Input'!$AC$61,0),MAX(MIN(BC$20,'01_Input'!$AA$61)-'01_Input'!$Z$61,0)*'01_Input'!$AC$61)))))))))</f>
        <v>0</v>
      </c>
      <c r="BD29" s="25">
        <f>IF('01_Input'!$C$61="Non",0,MIN('01_Input'!$I$61,MAX('01_Input'!$H$61,IF('01_Input'!$G$61="Résiduel vs Gestion",0,IF('01_Input'!$G$61="Taux Classe sélectionnée",Distrib_Global_Classe_Selectionnee*BD$20,IF('01_Input'!$G$61="Frais KYC (paliers de 100M€)",MAX(0,Nb_Investisseurs-Nb_KYC_Gratuites_Par_Tranche*(FLOOR(BD$20/Taille_Tranche_KYC,1)+1))*Cout_Par_KYC_Supplementaire,(IF('01_Input'!$L$61="Forfait",IF(BD$20&gt;='01_Input'!$J$61,'01_Input'!$M$61,0),IF('01_Input'!$L$61="Palier",IF(AND(BD$20&gt;='01_Input'!$J$61,BD$20&lt;'01_Input'!$K$61),'01_Input'!$M$61,0),MAX(MIN(BD$20,'01_Input'!$K$61)-'01_Input'!$J$61,0)*'01_Input'!$M$61))+IF('01_Input'!$P$61="Forfait",IF(BD$20&gt;='01_Input'!$N$61,'01_Input'!$Q$61,0),IF('01_Input'!$P$61="Palier",IF(AND(BD$20&gt;='01_Input'!$N$61,BD$20&lt;'01_Input'!$O$61),'01_Input'!$Q$61,0),MAX(MIN(BD$20,'01_Input'!$O$61)-'01_Input'!$N$61,0)*'01_Input'!$Q$61))+IF('01_Input'!$T$61="Forfait",IF(BD$20&gt;='01_Input'!$R$61,'01_Input'!$U$61,0),IF('01_Input'!$T$61="Palier",IF(AND(BD$20&gt;='01_Input'!$R$61,BD$20&lt;'01_Input'!$S$61),'01_Input'!$U$61,0),MAX(MIN(BD$20,'01_Input'!$S$61)-'01_Input'!$R$61,0)*'01_Input'!$U$61))+IF('01_Input'!$X$61="Forfait",IF(BD$20&gt;='01_Input'!$V$61,'01_Input'!$Y$61,0),IF('01_Input'!$X$61="Palier",IF(AND(BD$20&gt;='01_Input'!$V$61,BD$20&lt;'01_Input'!$W$61),'01_Input'!$Y$61,0),MAX(MIN(BD$20,'01_Input'!$W$61)-'01_Input'!$V$61,0)*'01_Input'!$Y$61))+IF('01_Input'!$AB$61="Forfait",IF(BD$20&gt;='01_Input'!$Z$61,'01_Input'!$AC$61,0),IF('01_Input'!$AB$61="Palier",IF(AND(BD$20&gt;='01_Input'!$Z$61,BD$20&lt;'01_Input'!$AA$61),'01_Input'!$AC$61,0),MAX(MIN(BD$20,'01_Input'!$AA$61)-'01_Input'!$Z$61,0)*'01_Input'!$AC$61)))))))))</f>
        <v>0</v>
      </c>
      <c r="BE29" s="25">
        <f>IF('01_Input'!$C$61="Non",0,MIN('01_Input'!$I$61,MAX('01_Input'!$H$61,IF('01_Input'!$G$61="Résiduel vs Gestion",0,IF('01_Input'!$G$61="Taux Classe sélectionnée",Distrib_Global_Classe_Selectionnee*BE$20,IF('01_Input'!$G$61="Frais KYC (paliers de 100M€)",MAX(0,Nb_Investisseurs-Nb_KYC_Gratuites_Par_Tranche*(FLOOR(BE$20/Taille_Tranche_KYC,1)+1))*Cout_Par_KYC_Supplementaire,(IF('01_Input'!$L$61="Forfait",IF(BE$20&gt;='01_Input'!$J$61,'01_Input'!$M$61,0),IF('01_Input'!$L$61="Palier",IF(AND(BE$20&gt;='01_Input'!$J$61,BE$20&lt;'01_Input'!$K$61),'01_Input'!$M$61,0),MAX(MIN(BE$20,'01_Input'!$K$61)-'01_Input'!$J$61,0)*'01_Input'!$M$61))+IF('01_Input'!$P$61="Forfait",IF(BE$20&gt;='01_Input'!$N$61,'01_Input'!$Q$61,0),IF('01_Input'!$P$61="Palier",IF(AND(BE$20&gt;='01_Input'!$N$61,BE$20&lt;'01_Input'!$O$61),'01_Input'!$Q$61,0),MAX(MIN(BE$20,'01_Input'!$O$61)-'01_Input'!$N$61,0)*'01_Input'!$Q$61))+IF('01_Input'!$T$61="Forfait",IF(BE$20&gt;='01_Input'!$R$61,'01_Input'!$U$61,0),IF('01_Input'!$T$61="Palier",IF(AND(BE$20&gt;='01_Input'!$R$61,BE$20&lt;'01_Input'!$S$61),'01_Input'!$U$61,0),MAX(MIN(BE$20,'01_Input'!$S$61)-'01_Input'!$R$61,0)*'01_Input'!$U$61))+IF('01_Input'!$X$61="Forfait",IF(BE$20&gt;='01_Input'!$V$61,'01_Input'!$Y$61,0),IF('01_Input'!$X$61="Palier",IF(AND(BE$20&gt;='01_Input'!$V$61,BE$20&lt;'01_Input'!$W$61),'01_Input'!$Y$61,0),MAX(MIN(BE$20,'01_Input'!$W$61)-'01_Input'!$V$61,0)*'01_Input'!$Y$61))+IF('01_Input'!$AB$61="Forfait",IF(BE$20&gt;='01_Input'!$Z$61,'01_Input'!$AC$61,0),IF('01_Input'!$AB$61="Palier",IF(AND(BE$20&gt;='01_Input'!$Z$61,BE$20&lt;'01_Input'!$AA$61),'01_Input'!$AC$61,0),MAX(MIN(BE$20,'01_Input'!$AA$61)-'01_Input'!$Z$61,0)*'01_Input'!$AC$61)))))))))</f>
        <v>0</v>
      </c>
      <c r="BF29" s="25">
        <f>IF('01_Input'!$C$61="Non",0,MIN('01_Input'!$I$61,MAX('01_Input'!$H$61,IF('01_Input'!$G$61="Résiduel vs Gestion",0,IF('01_Input'!$G$61="Taux Classe sélectionnée",Distrib_Global_Classe_Selectionnee*BF$20,IF('01_Input'!$G$61="Frais KYC (paliers de 100M€)",MAX(0,Nb_Investisseurs-Nb_KYC_Gratuites_Par_Tranche*(FLOOR(BF$20/Taille_Tranche_KYC,1)+1))*Cout_Par_KYC_Supplementaire,(IF('01_Input'!$L$61="Forfait",IF(BF$20&gt;='01_Input'!$J$61,'01_Input'!$M$61,0),IF('01_Input'!$L$61="Palier",IF(AND(BF$20&gt;='01_Input'!$J$61,BF$20&lt;'01_Input'!$K$61),'01_Input'!$M$61,0),MAX(MIN(BF$20,'01_Input'!$K$61)-'01_Input'!$J$61,0)*'01_Input'!$M$61))+IF('01_Input'!$P$61="Forfait",IF(BF$20&gt;='01_Input'!$N$61,'01_Input'!$Q$61,0),IF('01_Input'!$P$61="Palier",IF(AND(BF$20&gt;='01_Input'!$N$61,BF$20&lt;'01_Input'!$O$61),'01_Input'!$Q$61,0),MAX(MIN(BF$20,'01_Input'!$O$61)-'01_Input'!$N$61,0)*'01_Input'!$Q$61))+IF('01_Input'!$T$61="Forfait",IF(BF$20&gt;='01_Input'!$R$61,'01_Input'!$U$61,0),IF('01_Input'!$T$61="Palier",IF(AND(BF$20&gt;='01_Input'!$R$61,BF$20&lt;'01_Input'!$S$61),'01_Input'!$U$61,0),MAX(MIN(BF$20,'01_Input'!$S$61)-'01_Input'!$R$61,0)*'01_Input'!$U$61))+IF('01_Input'!$X$61="Forfait",IF(BF$20&gt;='01_Input'!$V$61,'01_Input'!$Y$61,0),IF('01_Input'!$X$61="Palier",IF(AND(BF$20&gt;='01_Input'!$V$61,BF$20&lt;'01_Input'!$W$61),'01_Input'!$Y$61,0),MAX(MIN(BF$20,'01_Input'!$W$61)-'01_Input'!$V$61,0)*'01_Input'!$Y$61))+IF('01_Input'!$AB$61="Forfait",IF(BF$20&gt;='01_Input'!$Z$61,'01_Input'!$AC$61,0),IF('01_Input'!$AB$61="Palier",IF(AND(BF$20&gt;='01_Input'!$Z$61,BF$20&lt;'01_Input'!$AA$61),'01_Input'!$AC$61,0),MAX(MIN(BF$20,'01_Input'!$AA$61)-'01_Input'!$Z$61,0)*'01_Input'!$AC$61)))))))))</f>
        <v>0</v>
      </c>
      <c r="BG29" s="25">
        <f>IF('01_Input'!$C$61="Non",0,MIN('01_Input'!$I$61,MAX('01_Input'!$H$61,IF('01_Input'!$G$61="Résiduel vs Gestion",0,IF('01_Input'!$G$61="Taux Classe sélectionnée",Distrib_Global_Classe_Selectionnee*BG$20,IF('01_Input'!$G$61="Frais KYC (paliers de 100M€)",MAX(0,Nb_Investisseurs-Nb_KYC_Gratuites_Par_Tranche*(FLOOR(BG$20/Taille_Tranche_KYC,1)+1))*Cout_Par_KYC_Supplementaire,(IF('01_Input'!$L$61="Forfait",IF(BG$20&gt;='01_Input'!$J$61,'01_Input'!$M$61,0),IF('01_Input'!$L$61="Palier",IF(AND(BG$20&gt;='01_Input'!$J$61,BG$20&lt;'01_Input'!$K$61),'01_Input'!$M$61,0),MAX(MIN(BG$20,'01_Input'!$K$61)-'01_Input'!$J$61,0)*'01_Input'!$M$61))+IF('01_Input'!$P$61="Forfait",IF(BG$20&gt;='01_Input'!$N$61,'01_Input'!$Q$61,0),IF('01_Input'!$P$61="Palier",IF(AND(BG$20&gt;='01_Input'!$N$61,BG$20&lt;'01_Input'!$O$61),'01_Input'!$Q$61,0),MAX(MIN(BG$20,'01_Input'!$O$61)-'01_Input'!$N$61,0)*'01_Input'!$Q$61))+IF('01_Input'!$T$61="Forfait",IF(BG$20&gt;='01_Input'!$R$61,'01_Input'!$U$61,0),IF('01_Input'!$T$61="Palier",IF(AND(BG$20&gt;='01_Input'!$R$61,BG$20&lt;'01_Input'!$S$61),'01_Input'!$U$61,0),MAX(MIN(BG$20,'01_Input'!$S$61)-'01_Input'!$R$61,0)*'01_Input'!$U$61))+IF('01_Input'!$X$61="Forfait",IF(BG$20&gt;='01_Input'!$V$61,'01_Input'!$Y$61,0),IF('01_Input'!$X$61="Palier",IF(AND(BG$20&gt;='01_Input'!$V$61,BG$20&lt;'01_Input'!$W$61),'01_Input'!$Y$61,0),MAX(MIN(BG$20,'01_Input'!$W$61)-'01_Input'!$V$61,0)*'01_Input'!$Y$61))+IF('01_Input'!$AB$61="Forfait",IF(BG$20&gt;='01_Input'!$Z$61,'01_Input'!$AC$61,0),IF('01_Input'!$AB$61="Palier",IF(AND(BG$20&gt;='01_Input'!$Z$61,BG$20&lt;'01_Input'!$AA$61),'01_Input'!$AC$61,0),MAX(MIN(BG$20,'01_Input'!$AA$61)-'01_Input'!$Z$61,0)*'01_Input'!$AC$61)))))))))</f>
        <v>0</v>
      </c>
      <c r="BH29" s="25">
        <f>IF('01_Input'!$C$61="Non",0,MIN('01_Input'!$I$61,MAX('01_Input'!$H$61,IF('01_Input'!$G$61="Résiduel vs Gestion",0,IF('01_Input'!$G$61="Taux Classe sélectionnée",Distrib_Global_Classe_Selectionnee*BH$20,IF('01_Input'!$G$61="Frais KYC (paliers de 100M€)",MAX(0,Nb_Investisseurs-Nb_KYC_Gratuites_Par_Tranche*(FLOOR(BH$20/Taille_Tranche_KYC,1)+1))*Cout_Par_KYC_Supplementaire,(IF('01_Input'!$L$61="Forfait",IF(BH$20&gt;='01_Input'!$J$61,'01_Input'!$M$61,0),IF('01_Input'!$L$61="Palier",IF(AND(BH$20&gt;='01_Input'!$J$61,BH$20&lt;'01_Input'!$K$61),'01_Input'!$M$61,0),MAX(MIN(BH$20,'01_Input'!$K$61)-'01_Input'!$J$61,0)*'01_Input'!$M$61))+IF('01_Input'!$P$61="Forfait",IF(BH$20&gt;='01_Input'!$N$61,'01_Input'!$Q$61,0),IF('01_Input'!$P$61="Palier",IF(AND(BH$20&gt;='01_Input'!$N$61,BH$20&lt;'01_Input'!$O$61),'01_Input'!$Q$61,0),MAX(MIN(BH$20,'01_Input'!$O$61)-'01_Input'!$N$61,0)*'01_Input'!$Q$61))+IF('01_Input'!$T$61="Forfait",IF(BH$20&gt;='01_Input'!$R$61,'01_Input'!$U$61,0),IF('01_Input'!$T$61="Palier",IF(AND(BH$20&gt;='01_Input'!$R$61,BH$20&lt;'01_Input'!$S$61),'01_Input'!$U$61,0),MAX(MIN(BH$20,'01_Input'!$S$61)-'01_Input'!$R$61,0)*'01_Input'!$U$61))+IF('01_Input'!$X$61="Forfait",IF(BH$20&gt;='01_Input'!$V$61,'01_Input'!$Y$61,0),IF('01_Input'!$X$61="Palier",IF(AND(BH$20&gt;='01_Input'!$V$61,BH$20&lt;'01_Input'!$W$61),'01_Input'!$Y$61,0),MAX(MIN(BH$20,'01_Input'!$W$61)-'01_Input'!$V$61,0)*'01_Input'!$Y$61))+IF('01_Input'!$AB$61="Forfait",IF(BH$20&gt;='01_Input'!$Z$61,'01_Input'!$AC$61,0),IF('01_Input'!$AB$61="Palier",IF(AND(BH$20&gt;='01_Input'!$Z$61,BH$20&lt;'01_Input'!$AA$61),'01_Input'!$AC$61,0),MAX(MIN(BH$20,'01_Input'!$AA$61)-'01_Input'!$Z$61,0)*'01_Input'!$AC$61)))))))))</f>
        <v>0</v>
      </c>
      <c r="BI29" s="25">
        <f>IF('01_Input'!$C$61="Non",0,MIN('01_Input'!$I$61,MAX('01_Input'!$H$61,IF('01_Input'!$G$61="Résiduel vs Gestion",0,IF('01_Input'!$G$61="Taux Classe sélectionnée",Distrib_Global_Classe_Selectionnee*BI$20,IF('01_Input'!$G$61="Frais KYC (paliers de 100M€)",MAX(0,Nb_Investisseurs-Nb_KYC_Gratuites_Par_Tranche*(FLOOR(BI$20/Taille_Tranche_KYC,1)+1))*Cout_Par_KYC_Supplementaire,(IF('01_Input'!$L$61="Forfait",IF(BI$20&gt;='01_Input'!$J$61,'01_Input'!$M$61,0),IF('01_Input'!$L$61="Palier",IF(AND(BI$20&gt;='01_Input'!$J$61,BI$20&lt;'01_Input'!$K$61),'01_Input'!$M$61,0),MAX(MIN(BI$20,'01_Input'!$K$61)-'01_Input'!$J$61,0)*'01_Input'!$M$61))+IF('01_Input'!$P$61="Forfait",IF(BI$20&gt;='01_Input'!$N$61,'01_Input'!$Q$61,0),IF('01_Input'!$P$61="Palier",IF(AND(BI$20&gt;='01_Input'!$N$61,BI$20&lt;'01_Input'!$O$61),'01_Input'!$Q$61,0),MAX(MIN(BI$20,'01_Input'!$O$61)-'01_Input'!$N$61,0)*'01_Input'!$Q$61))+IF('01_Input'!$T$61="Forfait",IF(BI$20&gt;='01_Input'!$R$61,'01_Input'!$U$61,0),IF('01_Input'!$T$61="Palier",IF(AND(BI$20&gt;='01_Input'!$R$61,BI$20&lt;'01_Input'!$S$61),'01_Input'!$U$61,0),MAX(MIN(BI$20,'01_Input'!$S$61)-'01_Input'!$R$61,0)*'01_Input'!$U$61))+IF('01_Input'!$X$61="Forfait",IF(BI$20&gt;='01_Input'!$V$61,'01_Input'!$Y$61,0),IF('01_Input'!$X$61="Palier",IF(AND(BI$20&gt;='01_Input'!$V$61,BI$20&lt;'01_Input'!$W$61),'01_Input'!$Y$61,0),MAX(MIN(BI$20,'01_Input'!$W$61)-'01_Input'!$V$61,0)*'01_Input'!$Y$61))+IF('01_Input'!$AB$61="Forfait",IF(BI$20&gt;='01_Input'!$Z$61,'01_Input'!$AC$61,0),IF('01_Input'!$AB$61="Palier",IF(AND(BI$20&gt;='01_Input'!$Z$61,BI$20&lt;'01_Input'!$AA$61),'01_Input'!$AC$61,0),MAX(MIN(BI$20,'01_Input'!$AA$61)-'01_Input'!$Z$61,0)*'01_Input'!$AC$61)))))))))</f>
        <v>0</v>
      </c>
      <c r="BJ29" s="25">
        <f>IF('01_Input'!$C$61="Non",0,MIN('01_Input'!$I$61,MAX('01_Input'!$H$61,IF('01_Input'!$G$61="Résiduel vs Gestion",0,IF('01_Input'!$G$61="Taux Classe sélectionnée",Distrib_Global_Classe_Selectionnee*BJ$20,IF('01_Input'!$G$61="Frais KYC (paliers de 100M€)",MAX(0,Nb_Investisseurs-Nb_KYC_Gratuites_Par_Tranche*(FLOOR(BJ$20/Taille_Tranche_KYC,1)+1))*Cout_Par_KYC_Supplementaire,(IF('01_Input'!$L$61="Forfait",IF(BJ$20&gt;='01_Input'!$J$61,'01_Input'!$M$61,0),IF('01_Input'!$L$61="Palier",IF(AND(BJ$20&gt;='01_Input'!$J$61,BJ$20&lt;'01_Input'!$K$61),'01_Input'!$M$61,0),MAX(MIN(BJ$20,'01_Input'!$K$61)-'01_Input'!$J$61,0)*'01_Input'!$M$61))+IF('01_Input'!$P$61="Forfait",IF(BJ$20&gt;='01_Input'!$N$61,'01_Input'!$Q$61,0),IF('01_Input'!$P$61="Palier",IF(AND(BJ$20&gt;='01_Input'!$N$61,BJ$20&lt;'01_Input'!$O$61),'01_Input'!$Q$61,0),MAX(MIN(BJ$20,'01_Input'!$O$61)-'01_Input'!$N$61,0)*'01_Input'!$Q$61))+IF('01_Input'!$T$61="Forfait",IF(BJ$20&gt;='01_Input'!$R$61,'01_Input'!$U$61,0),IF('01_Input'!$T$61="Palier",IF(AND(BJ$20&gt;='01_Input'!$R$61,BJ$20&lt;'01_Input'!$S$61),'01_Input'!$U$61,0),MAX(MIN(BJ$20,'01_Input'!$S$61)-'01_Input'!$R$61,0)*'01_Input'!$U$61))+IF('01_Input'!$X$61="Forfait",IF(BJ$20&gt;='01_Input'!$V$61,'01_Input'!$Y$61,0),IF('01_Input'!$X$61="Palier",IF(AND(BJ$20&gt;='01_Input'!$V$61,BJ$20&lt;'01_Input'!$W$61),'01_Input'!$Y$61,0),MAX(MIN(BJ$20,'01_Input'!$W$61)-'01_Input'!$V$61,0)*'01_Input'!$Y$61))+IF('01_Input'!$AB$61="Forfait",IF(BJ$20&gt;='01_Input'!$Z$61,'01_Input'!$AC$61,0),IF('01_Input'!$AB$61="Palier",IF(AND(BJ$20&gt;='01_Input'!$Z$61,BJ$20&lt;'01_Input'!$AA$61),'01_Input'!$AC$61,0),MAX(MIN(BJ$20,'01_Input'!$AA$61)-'01_Input'!$Z$61,0)*'01_Input'!$AC$61)))))))))</f>
        <v>0</v>
      </c>
      <c r="BK29" s="25">
        <f>IF('01_Input'!$C$61="Non",0,MIN('01_Input'!$I$61,MAX('01_Input'!$H$61,IF('01_Input'!$G$61="Résiduel vs Gestion",0,IF('01_Input'!$G$61="Taux Classe sélectionnée",Distrib_Global_Classe_Selectionnee*BK$20,IF('01_Input'!$G$61="Frais KYC (paliers de 100M€)",MAX(0,Nb_Investisseurs-Nb_KYC_Gratuites_Par_Tranche*(FLOOR(BK$20/Taille_Tranche_KYC,1)+1))*Cout_Par_KYC_Supplementaire,(IF('01_Input'!$L$61="Forfait",IF(BK$20&gt;='01_Input'!$J$61,'01_Input'!$M$61,0),IF('01_Input'!$L$61="Palier",IF(AND(BK$20&gt;='01_Input'!$J$61,BK$20&lt;'01_Input'!$K$61),'01_Input'!$M$61,0),MAX(MIN(BK$20,'01_Input'!$K$61)-'01_Input'!$J$61,0)*'01_Input'!$M$61))+IF('01_Input'!$P$61="Forfait",IF(BK$20&gt;='01_Input'!$N$61,'01_Input'!$Q$61,0),IF('01_Input'!$P$61="Palier",IF(AND(BK$20&gt;='01_Input'!$N$61,BK$20&lt;'01_Input'!$O$61),'01_Input'!$Q$61,0),MAX(MIN(BK$20,'01_Input'!$O$61)-'01_Input'!$N$61,0)*'01_Input'!$Q$61))+IF('01_Input'!$T$61="Forfait",IF(BK$20&gt;='01_Input'!$R$61,'01_Input'!$U$61,0),IF('01_Input'!$T$61="Palier",IF(AND(BK$20&gt;='01_Input'!$R$61,BK$20&lt;'01_Input'!$S$61),'01_Input'!$U$61,0),MAX(MIN(BK$20,'01_Input'!$S$61)-'01_Input'!$R$61,0)*'01_Input'!$U$61))+IF('01_Input'!$X$61="Forfait",IF(BK$20&gt;='01_Input'!$V$61,'01_Input'!$Y$61,0),IF('01_Input'!$X$61="Palier",IF(AND(BK$20&gt;='01_Input'!$V$61,BK$20&lt;'01_Input'!$W$61),'01_Input'!$Y$61,0),MAX(MIN(BK$20,'01_Input'!$W$61)-'01_Input'!$V$61,0)*'01_Input'!$Y$61))+IF('01_Input'!$AB$61="Forfait",IF(BK$20&gt;='01_Input'!$Z$61,'01_Input'!$AC$61,0),IF('01_Input'!$AB$61="Palier",IF(AND(BK$20&gt;='01_Input'!$Z$61,BK$20&lt;'01_Input'!$AA$61),'01_Input'!$AC$61,0),MAX(MIN(BK$20,'01_Input'!$AA$61)-'01_Input'!$Z$61,0)*'01_Input'!$AC$61)))))))))</f>
        <v>0</v>
      </c>
      <c r="BL29" s="25">
        <f>IF('01_Input'!$C$61="Non",0,MIN('01_Input'!$I$61,MAX('01_Input'!$H$61,IF('01_Input'!$G$61="Résiduel vs Gestion",0,IF('01_Input'!$G$61="Taux Classe sélectionnée",Distrib_Global_Classe_Selectionnee*BL$20,IF('01_Input'!$G$61="Frais KYC (paliers de 100M€)",MAX(0,Nb_Investisseurs-Nb_KYC_Gratuites_Par_Tranche*(FLOOR(BL$20/Taille_Tranche_KYC,1)+1))*Cout_Par_KYC_Supplementaire,(IF('01_Input'!$L$61="Forfait",IF(BL$20&gt;='01_Input'!$J$61,'01_Input'!$M$61,0),IF('01_Input'!$L$61="Palier",IF(AND(BL$20&gt;='01_Input'!$J$61,BL$20&lt;'01_Input'!$K$61),'01_Input'!$M$61,0),MAX(MIN(BL$20,'01_Input'!$K$61)-'01_Input'!$J$61,0)*'01_Input'!$M$61))+IF('01_Input'!$P$61="Forfait",IF(BL$20&gt;='01_Input'!$N$61,'01_Input'!$Q$61,0),IF('01_Input'!$P$61="Palier",IF(AND(BL$20&gt;='01_Input'!$N$61,BL$20&lt;'01_Input'!$O$61),'01_Input'!$Q$61,0),MAX(MIN(BL$20,'01_Input'!$O$61)-'01_Input'!$N$61,0)*'01_Input'!$Q$61))+IF('01_Input'!$T$61="Forfait",IF(BL$20&gt;='01_Input'!$R$61,'01_Input'!$U$61,0),IF('01_Input'!$T$61="Palier",IF(AND(BL$20&gt;='01_Input'!$R$61,BL$20&lt;'01_Input'!$S$61),'01_Input'!$U$61,0),MAX(MIN(BL$20,'01_Input'!$S$61)-'01_Input'!$R$61,0)*'01_Input'!$U$61))+IF('01_Input'!$X$61="Forfait",IF(BL$20&gt;='01_Input'!$V$61,'01_Input'!$Y$61,0),IF('01_Input'!$X$61="Palier",IF(AND(BL$20&gt;='01_Input'!$V$61,BL$20&lt;'01_Input'!$W$61),'01_Input'!$Y$61,0),MAX(MIN(BL$20,'01_Input'!$W$61)-'01_Input'!$V$61,0)*'01_Input'!$Y$61))+IF('01_Input'!$AB$61="Forfait",IF(BL$20&gt;='01_Input'!$Z$61,'01_Input'!$AC$61,0),IF('01_Input'!$AB$61="Palier",IF(AND(BL$20&gt;='01_Input'!$Z$61,BL$20&lt;'01_Input'!$AA$61),'01_Input'!$AC$61,0),MAX(MIN(BL$20,'01_Input'!$AA$61)-'01_Input'!$Z$61,0)*'01_Input'!$AC$61)))))))))</f>
        <v>0</v>
      </c>
      <c r="BM29" s="25">
        <f>IF('01_Input'!$C$61="Non",0,MIN('01_Input'!$I$61,MAX('01_Input'!$H$61,IF('01_Input'!$G$61="Résiduel vs Gestion",0,IF('01_Input'!$G$61="Taux Classe sélectionnée",Distrib_Global_Classe_Selectionnee*BM$20,IF('01_Input'!$G$61="Frais KYC (paliers de 100M€)",MAX(0,Nb_Investisseurs-Nb_KYC_Gratuites_Par_Tranche*(FLOOR(BM$20/Taille_Tranche_KYC,1)+1))*Cout_Par_KYC_Supplementaire,(IF('01_Input'!$L$61="Forfait",IF(BM$20&gt;='01_Input'!$J$61,'01_Input'!$M$61,0),IF('01_Input'!$L$61="Palier",IF(AND(BM$20&gt;='01_Input'!$J$61,BM$20&lt;'01_Input'!$K$61),'01_Input'!$M$61,0),MAX(MIN(BM$20,'01_Input'!$K$61)-'01_Input'!$J$61,0)*'01_Input'!$M$61))+IF('01_Input'!$P$61="Forfait",IF(BM$20&gt;='01_Input'!$N$61,'01_Input'!$Q$61,0),IF('01_Input'!$P$61="Palier",IF(AND(BM$20&gt;='01_Input'!$N$61,BM$20&lt;'01_Input'!$O$61),'01_Input'!$Q$61,0),MAX(MIN(BM$20,'01_Input'!$O$61)-'01_Input'!$N$61,0)*'01_Input'!$Q$61))+IF('01_Input'!$T$61="Forfait",IF(BM$20&gt;='01_Input'!$R$61,'01_Input'!$U$61,0),IF('01_Input'!$T$61="Palier",IF(AND(BM$20&gt;='01_Input'!$R$61,BM$20&lt;'01_Input'!$S$61),'01_Input'!$U$61,0),MAX(MIN(BM$20,'01_Input'!$S$61)-'01_Input'!$R$61,0)*'01_Input'!$U$61))+IF('01_Input'!$X$61="Forfait",IF(BM$20&gt;='01_Input'!$V$61,'01_Input'!$Y$61,0),IF('01_Input'!$X$61="Palier",IF(AND(BM$20&gt;='01_Input'!$V$61,BM$20&lt;'01_Input'!$W$61),'01_Input'!$Y$61,0),MAX(MIN(BM$20,'01_Input'!$W$61)-'01_Input'!$V$61,0)*'01_Input'!$Y$61))+IF('01_Input'!$AB$61="Forfait",IF(BM$20&gt;='01_Input'!$Z$61,'01_Input'!$AC$61,0),IF('01_Input'!$AB$61="Palier",IF(AND(BM$20&gt;='01_Input'!$Z$61,BM$20&lt;'01_Input'!$AA$61),'01_Input'!$AC$61,0),MAX(MIN(BM$20,'01_Input'!$AA$61)-'01_Input'!$Z$61,0)*'01_Input'!$AC$61)))))))))</f>
        <v>0</v>
      </c>
      <c r="BN29" s="25">
        <f>IF('01_Input'!$C$61="Non",0,MIN('01_Input'!$I$61,MAX('01_Input'!$H$61,IF('01_Input'!$G$61="Résiduel vs Gestion",0,IF('01_Input'!$G$61="Taux Classe sélectionnée",Distrib_Global_Classe_Selectionnee*BN$20,IF('01_Input'!$G$61="Frais KYC (paliers de 100M€)",MAX(0,Nb_Investisseurs-Nb_KYC_Gratuites_Par_Tranche*(FLOOR(BN$20/Taille_Tranche_KYC,1)+1))*Cout_Par_KYC_Supplementaire,(IF('01_Input'!$L$61="Forfait",IF(BN$20&gt;='01_Input'!$J$61,'01_Input'!$M$61,0),IF('01_Input'!$L$61="Palier",IF(AND(BN$20&gt;='01_Input'!$J$61,BN$20&lt;'01_Input'!$K$61),'01_Input'!$M$61,0),MAX(MIN(BN$20,'01_Input'!$K$61)-'01_Input'!$J$61,0)*'01_Input'!$M$61))+IF('01_Input'!$P$61="Forfait",IF(BN$20&gt;='01_Input'!$N$61,'01_Input'!$Q$61,0),IF('01_Input'!$P$61="Palier",IF(AND(BN$20&gt;='01_Input'!$N$61,BN$20&lt;'01_Input'!$O$61),'01_Input'!$Q$61,0),MAX(MIN(BN$20,'01_Input'!$O$61)-'01_Input'!$N$61,0)*'01_Input'!$Q$61))+IF('01_Input'!$T$61="Forfait",IF(BN$20&gt;='01_Input'!$R$61,'01_Input'!$U$61,0),IF('01_Input'!$T$61="Palier",IF(AND(BN$20&gt;='01_Input'!$R$61,BN$20&lt;'01_Input'!$S$61),'01_Input'!$U$61,0),MAX(MIN(BN$20,'01_Input'!$S$61)-'01_Input'!$R$61,0)*'01_Input'!$U$61))+IF('01_Input'!$X$61="Forfait",IF(BN$20&gt;='01_Input'!$V$61,'01_Input'!$Y$61,0),IF('01_Input'!$X$61="Palier",IF(AND(BN$20&gt;='01_Input'!$V$61,BN$20&lt;'01_Input'!$W$61),'01_Input'!$Y$61,0),MAX(MIN(BN$20,'01_Input'!$W$61)-'01_Input'!$V$61,0)*'01_Input'!$Y$61))+IF('01_Input'!$AB$61="Forfait",IF(BN$20&gt;='01_Input'!$Z$61,'01_Input'!$AC$61,0),IF('01_Input'!$AB$61="Palier",IF(AND(BN$20&gt;='01_Input'!$Z$61,BN$20&lt;'01_Input'!$AA$61),'01_Input'!$AC$61,0),MAX(MIN(BN$20,'01_Input'!$AA$61)-'01_Input'!$Z$61,0)*'01_Input'!$AC$61)))))))))</f>
        <v>0</v>
      </c>
      <c r="BO29" s="25">
        <f>IF('01_Input'!$C$61="Non",0,MIN('01_Input'!$I$61,MAX('01_Input'!$H$61,IF('01_Input'!$G$61="Résiduel vs Gestion",0,IF('01_Input'!$G$61="Taux Classe sélectionnée",Distrib_Global_Classe_Selectionnee*BO$20,IF('01_Input'!$G$61="Frais KYC (paliers de 100M€)",MAX(0,Nb_Investisseurs-Nb_KYC_Gratuites_Par_Tranche*(FLOOR(BO$20/Taille_Tranche_KYC,1)+1))*Cout_Par_KYC_Supplementaire,(IF('01_Input'!$L$61="Forfait",IF(BO$20&gt;='01_Input'!$J$61,'01_Input'!$M$61,0),IF('01_Input'!$L$61="Palier",IF(AND(BO$20&gt;='01_Input'!$J$61,BO$20&lt;'01_Input'!$K$61),'01_Input'!$M$61,0),MAX(MIN(BO$20,'01_Input'!$K$61)-'01_Input'!$J$61,0)*'01_Input'!$M$61))+IF('01_Input'!$P$61="Forfait",IF(BO$20&gt;='01_Input'!$N$61,'01_Input'!$Q$61,0),IF('01_Input'!$P$61="Palier",IF(AND(BO$20&gt;='01_Input'!$N$61,BO$20&lt;'01_Input'!$O$61),'01_Input'!$Q$61,0),MAX(MIN(BO$20,'01_Input'!$O$61)-'01_Input'!$N$61,0)*'01_Input'!$Q$61))+IF('01_Input'!$T$61="Forfait",IF(BO$20&gt;='01_Input'!$R$61,'01_Input'!$U$61,0),IF('01_Input'!$T$61="Palier",IF(AND(BO$20&gt;='01_Input'!$R$61,BO$20&lt;'01_Input'!$S$61),'01_Input'!$U$61,0),MAX(MIN(BO$20,'01_Input'!$S$61)-'01_Input'!$R$61,0)*'01_Input'!$U$61))+IF('01_Input'!$X$61="Forfait",IF(BO$20&gt;='01_Input'!$V$61,'01_Input'!$Y$61,0),IF('01_Input'!$X$61="Palier",IF(AND(BO$20&gt;='01_Input'!$V$61,BO$20&lt;'01_Input'!$W$61),'01_Input'!$Y$61,0),MAX(MIN(BO$20,'01_Input'!$W$61)-'01_Input'!$V$61,0)*'01_Input'!$Y$61))+IF('01_Input'!$AB$61="Forfait",IF(BO$20&gt;='01_Input'!$Z$61,'01_Input'!$AC$61,0),IF('01_Input'!$AB$61="Palier",IF(AND(BO$20&gt;='01_Input'!$Z$61,BO$20&lt;'01_Input'!$AA$61),'01_Input'!$AC$61,0),MAX(MIN(BO$20,'01_Input'!$AA$61)-'01_Input'!$Z$61,0)*'01_Input'!$AC$61)))))))))</f>
        <v>0</v>
      </c>
      <c r="BP29" s="25">
        <f>IF('01_Input'!$C$61="Non",0,MIN('01_Input'!$I$61,MAX('01_Input'!$H$61,IF('01_Input'!$G$61="Résiduel vs Gestion",0,IF('01_Input'!$G$61="Taux Classe sélectionnée",Distrib_Global_Classe_Selectionnee*BP$20,IF('01_Input'!$G$61="Frais KYC (paliers de 100M€)",MAX(0,Nb_Investisseurs-Nb_KYC_Gratuites_Par_Tranche*(FLOOR(BP$20/Taille_Tranche_KYC,1)+1))*Cout_Par_KYC_Supplementaire,(IF('01_Input'!$L$61="Forfait",IF(BP$20&gt;='01_Input'!$J$61,'01_Input'!$M$61,0),IF('01_Input'!$L$61="Palier",IF(AND(BP$20&gt;='01_Input'!$J$61,BP$20&lt;'01_Input'!$K$61),'01_Input'!$M$61,0),MAX(MIN(BP$20,'01_Input'!$K$61)-'01_Input'!$J$61,0)*'01_Input'!$M$61))+IF('01_Input'!$P$61="Forfait",IF(BP$20&gt;='01_Input'!$N$61,'01_Input'!$Q$61,0),IF('01_Input'!$P$61="Palier",IF(AND(BP$20&gt;='01_Input'!$N$61,BP$20&lt;'01_Input'!$O$61),'01_Input'!$Q$61,0),MAX(MIN(BP$20,'01_Input'!$O$61)-'01_Input'!$N$61,0)*'01_Input'!$Q$61))+IF('01_Input'!$T$61="Forfait",IF(BP$20&gt;='01_Input'!$R$61,'01_Input'!$U$61,0),IF('01_Input'!$T$61="Palier",IF(AND(BP$20&gt;='01_Input'!$R$61,BP$20&lt;'01_Input'!$S$61),'01_Input'!$U$61,0),MAX(MIN(BP$20,'01_Input'!$S$61)-'01_Input'!$R$61,0)*'01_Input'!$U$61))+IF('01_Input'!$X$61="Forfait",IF(BP$20&gt;='01_Input'!$V$61,'01_Input'!$Y$61,0),IF('01_Input'!$X$61="Palier",IF(AND(BP$20&gt;='01_Input'!$V$61,BP$20&lt;'01_Input'!$W$61),'01_Input'!$Y$61,0),MAX(MIN(BP$20,'01_Input'!$W$61)-'01_Input'!$V$61,0)*'01_Input'!$Y$61))+IF('01_Input'!$AB$61="Forfait",IF(BP$20&gt;='01_Input'!$Z$61,'01_Input'!$AC$61,0),IF('01_Input'!$AB$61="Palier",IF(AND(BP$20&gt;='01_Input'!$Z$61,BP$20&lt;'01_Input'!$AA$61),'01_Input'!$AC$61,0),MAX(MIN(BP$20,'01_Input'!$AA$61)-'01_Input'!$Z$61,0)*'01_Input'!$AC$61)))))))))</f>
        <v>0</v>
      </c>
      <c r="BQ29" s="25">
        <f>IF('01_Input'!$C$61="Non",0,MIN('01_Input'!$I$61,MAX('01_Input'!$H$61,IF('01_Input'!$G$61="Résiduel vs Gestion",0,IF('01_Input'!$G$61="Taux Classe sélectionnée",Distrib_Global_Classe_Selectionnee*BQ$20,IF('01_Input'!$G$61="Frais KYC (paliers de 100M€)",MAX(0,Nb_Investisseurs-Nb_KYC_Gratuites_Par_Tranche*(FLOOR(BQ$20/Taille_Tranche_KYC,1)+1))*Cout_Par_KYC_Supplementaire,(IF('01_Input'!$L$61="Forfait",IF(BQ$20&gt;='01_Input'!$J$61,'01_Input'!$M$61,0),IF('01_Input'!$L$61="Palier",IF(AND(BQ$20&gt;='01_Input'!$J$61,BQ$20&lt;'01_Input'!$K$61),'01_Input'!$M$61,0),MAX(MIN(BQ$20,'01_Input'!$K$61)-'01_Input'!$J$61,0)*'01_Input'!$M$61))+IF('01_Input'!$P$61="Forfait",IF(BQ$20&gt;='01_Input'!$N$61,'01_Input'!$Q$61,0),IF('01_Input'!$P$61="Palier",IF(AND(BQ$20&gt;='01_Input'!$N$61,BQ$20&lt;'01_Input'!$O$61),'01_Input'!$Q$61,0),MAX(MIN(BQ$20,'01_Input'!$O$61)-'01_Input'!$N$61,0)*'01_Input'!$Q$61))+IF('01_Input'!$T$61="Forfait",IF(BQ$20&gt;='01_Input'!$R$61,'01_Input'!$U$61,0),IF('01_Input'!$T$61="Palier",IF(AND(BQ$20&gt;='01_Input'!$R$61,BQ$20&lt;'01_Input'!$S$61),'01_Input'!$U$61,0),MAX(MIN(BQ$20,'01_Input'!$S$61)-'01_Input'!$R$61,0)*'01_Input'!$U$61))+IF('01_Input'!$X$61="Forfait",IF(BQ$20&gt;='01_Input'!$V$61,'01_Input'!$Y$61,0),IF('01_Input'!$X$61="Palier",IF(AND(BQ$20&gt;='01_Input'!$V$61,BQ$20&lt;'01_Input'!$W$61),'01_Input'!$Y$61,0),MAX(MIN(BQ$20,'01_Input'!$W$61)-'01_Input'!$V$61,0)*'01_Input'!$Y$61))+IF('01_Input'!$AB$61="Forfait",IF(BQ$20&gt;='01_Input'!$Z$61,'01_Input'!$AC$61,0),IF('01_Input'!$AB$61="Palier",IF(AND(BQ$20&gt;='01_Input'!$Z$61,BQ$20&lt;'01_Input'!$AA$61),'01_Input'!$AC$61,0),MAX(MIN(BQ$20,'01_Input'!$AA$61)-'01_Input'!$Z$61,0)*'01_Input'!$AC$61)))))))))</f>
        <v>0</v>
      </c>
      <c r="BR29" s="25">
        <f>IF('01_Input'!$C$61="Non",0,MIN('01_Input'!$I$61,MAX('01_Input'!$H$61,IF('01_Input'!$G$61="Résiduel vs Gestion",0,IF('01_Input'!$G$61="Taux Classe sélectionnée",Distrib_Global_Classe_Selectionnee*BR$20,IF('01_Input'!$G$61="Frais KYC (paliers de 100M€)",MAX(0,Nb_Investisseurs-Nb_KYC_Gratuites_Par_Tranche*(FLOOR(BR$20/Taille_Tranche_KYC,1)+1))*Cout_Par_KYC_Supplementaire,(IF('01_Input'!$L$61="Forfait",IF(BR$20&gt;='01_Input'!$J$61,'01_Input'!$M$61,0),IF('01_Input'!$L$61="Palier",IF(AND(BR$20&gt;='01_Input'!$J$61,BR$20&lt;'01_Input'!$K$61),'01_Input'!$M$61,0),MAX(MIN(BR$20,'01_Input'!$K$61)-'01_Input'!$J$61,0)*'01_Input'!$M$61))+IF('01_Input'!$P$61="Forfait",IF(BR$20&gt;='01_Input'!$N$61,'01_Input'!$Q$61,0),IF('01_Input'!$P$61="Palier",IF(AND(BR$20&gt;='01_Input'!$N$61,BR$20&lt;'01_Input'!$O$61),'01_Input'!$Q$61,0),MAX(MIN(BR$20,'01_Input'!$O$61)-'01_Input'!$N$61,0)*'01_Input'!$Q$61))+IF('01_Input'!$T$61="Forfait",IF(BR$20&gt;='01_Input'!$R$61,'01_Input'!$U$61,0),IF('01_Input'!$T$61="Palier",IF(AND(BR$20&gt;='01_Input'!$R$61,BR$20&lt;'01_Input'!$S$61),'01_Input'!$U$61,0),MAX(MIN(BR$20,'01_Input'!$S$61)-'01_Input'!$R$61,0)*'01_Input'!$U$61))+IF('01_Input'!$X$61="Forfait",IF(BR$20&gt;='01_Input'!$V$61,'01_Input'!$Y$61,0),IF('01_Input'!$X$61="Palier",IF(AND(BR$20&gt;='01_Input'!$V$61,BR$20&lt;'01_Input'!$W$61),'01_Input'!$Y$61,0),MAX(MIN(BR$20,'01_Input'!$W$61)-'01_Input'!$V$61,0)*'01_Input'!$Y$61))+IF('01_Input'!$AB$61="Forfait",IF(BR$20&gt;='01_Input'!$Z$61,'01_Input'!$AC$61,0),IF('01_Input'!$AB$61="Palier",IF(AND(BR$20&gt;='01_Input'!$Z$61,BR$20&lt;'01_Input'!$AA$61),'01_Input'!$AC$61,0),MAX(MIN(BR$20,'01_Input'!$AA$61)-'01_Input'!$Z$61,0)*'01_Input'!$AC$61)))))))))</f>
        <v>0</v>
      </c>
      <c r="BS29" s="25">
        <f>IF('01_Input'!$C$61="Non",0,MIN('01_Input'!$I$61,MAX('01_Input'!$H$61,IF('01_Input'!$G$61="Résiduel vs Gestion",0,IF('01_Input'!$G$61="Taux Classe sélectionnée",Distrib_Global_Classe_Selectionnee*BS$20,IF('01_Input'!$G$61="Frais KYC (paliers de 100M€)",MAX(0,Nb_Investisseurs-Nb_KYC_Gratuites_Par_Tranche*(FLOOR(BS$20/Taille_Tranche_KYC,1)+1))*Cout_Par_KYC_Supplementaire,(IF('01_Input'!$L$61="Forfait",IF(BS$20&gt;='01_Input'!$J$61,'01_Input'!$M$61,0),IF('01_Input'!$L$61="Palier",IF(AND(BS$20&gt;='01_Input'!$J$61,BS$20&lt;'01_Input'!$K$61),'01_Input'!$M$61,0),MAX(MIN(BS$20,'01_Input'!$K$61)-'01_Input'!$J$61,0)*'01_Input'!$M$61))+IF('01_Input'!$P$61="Forfait",IF(BS$20&gt;='01_Input'!$N$61,'01_Input'!$Q$61,0),IF('01_Input'!$P$61="Palier",IF(AND(BS$20&gt;='01_Input'!$N$61,BS$20&lt;'01_Input'!$O$61),'01_Input'!$Q$61,0),MAX(MIN(BS$20,'01_Input'!$O$61)-'01_Input'!$N$61,0)*'01_Input'!$Q$61))+IF('01_Input'!$T$61="Forfait",IF(BS$20&gt;='01_Input'!$R$61,'01_Input'!$U$61,0),IF('01_Input'!$T$61="Palier",IF(AND(BS$20&gt;='01_Input'!$R$61,BS$20&lt;'01_Input'!$S$61),'01_Input'!$U$61,0),MAX(MIN(BS$20,'01_Input'!$S$61)-'01_Input'!$R$61,0)*'01_Input'!$U$61))+IF('01_Input'!$X$61="Forfait",IF(BS$20&gt;='01_Input'!$V$61,'01_Input'!$Y$61,0),IF('01_Input'!$X$61="Palier",IF(AND(BS$20&gt;='01_Input'!$V$61,BS$20&lt;'01_Input'!$W$61),'01_Input'!$Y$61,0),MAX(MIN(BS$20,'01_Input'!$W$61)-'01_Input'!$V$61,0)*'01_Input'!$Y$61))+IF('01_Input'!$AB$61="Forfait",IF(BS$20&gt;='01_Input'!$Z$61,'01_Input'!$AC$61,0),IF('01_Input'!$AB$61="Palier",IF(AND(BS$20&gt;='01_Input'!$Z$61,BS$20&lt;'01_Input'!$AA$61),'01_Input'!$AC$61,0),MAX(MIN(BS$20,'01_Input'!$AA$61)-'01_Input'!$Z$61,0)*'01_Input'!$AC$61)))))))))</f>
        <v>0</v>
      </c>
      <c r="BT29" s="25">
        <f>IF('01_Input'!$C$61="Non",0,MIN('01_Input'!$I$61,MAX('01_Input'!$H$61,IF('01_Input'!$G$61="Résiduel vs Gestion",0,IF('01_Input'!$G$61="Taux Classe sélectionnée",Distrib_Global_Classe_Selectionnee*BT$20,IF('01_Input'!$G$61="Frais KYC (paliers de 100M€)",MAX(0,Nb_Investisseurs-Nb_KYC_Gratuites_Par_Tranche*(FLOOR(BT$20/Taille_Tranche_KYC,1)+1))*Cout_Par_KYC_Supplementaire,(IF('01_Input'!$L$61="Forfait",IF(BT$20&gt;='01_Input'!$J$61,'01_Input'!$M$61,0),IF('01_Input'!$L$61="Palier",IF(AND(BT$20&gt;='01_Input'!$J$61,BT$20&lt;'01_Input'!$K$61),'01_Input'!$M$61,0),MAX(MIN(BT$20,'01_Input'!$K$61)-'01_Input'!$J$61,0)*'01_Input'!$M$61))+IF('01_Input'!$P$61="Forfait",IF(BT$20&gt;='01_Input'!$N$61,'01_Input'!$Q$61,0),IF('01_Input'!$P$61="Palier",IF(AND(BT$20&gt;='01_Input'!$N$61,BT$20&lt;'01_Input'!$O$61),'01_Input'!$Q$61,0),MAX(MIN(BT$20,'01_Input'!$O$61)-'01_Input'!$N$61,0)*'01_Input'!$Q$61))+IF('01_Input'!$T$61="Forfait",IF(BT$20&gt;='01_Input'!$R$61,'01_Input'!$U$61,0),IF('01_Input'!$T$61="Palier",IF(AND(BT$20&gt;='01_Input'!$R$61,BT$20&lt;'01_Input'!$S$61),'01_Input'!$U$61,0),MAX(MIN(BT$20,'01_Input'!$S$61)-'01_Input'!$R$61,0)*'01_Input'!$U$61))+IF('01_Input'!$X$61="Forfait",IF(BT$20&gt;='01_Input'!$V$61,'01_Input'!$Y$61,0),IF('01_Input'!$X$61="Palier",IF(AND(BT$20&gt;='01_Input'!$V$61,BT$20&lt;'01_Input'!$W$61),'01_Input'!$Y$61,0),MAX(MIN(BT$20,'01_Input'!$W$61)-'01_Input'!$V$61,0)*'01_Input'!$Y$61))+IF('01_Input'!$AB$61="Forfait",IF(BT$20&gt;='01_Input'!$Z$61,'01_Input'!$AC$61,0),IF('01_Input'!$AB$61="Palier",IF(AND(BT$20&gt;='01_Input'!$Z$61,BT$20&lt;'01_Input'!$AA$61),'01_Input'!$AC$61,0),MAX(MIN(BT$20,'01_Input'!$AA$61)-'01_Input'!$Z$61,0)*'01_Input'!$AC$61)))))))))</f>
        <v>0</v>
      </c>
      <c r="BU29" s="25">
        <f>IF('01_Input'!$C$61="Non",0,MIN('01_Input'!$I$61,MAX('01_Input'!$H$61,IF('01_Input'!$G$61="Résiduel vs Gestion",0,IF('01_Input'!$G$61="Taux Classe sélectionnée",Distrib_Global_Classe_Selectionnee*BU$20,IF('01_Input'!$G$61="Frais KYC (paliers de 100M€)",MAX(0,Nb_Investisseurs-Nb_KYC_Gratuites_Par_Tranche*(FLOOR(BU$20/Taille_Tranche_KYC,1)+1))*Cout_Par_KYC_Supplementaire,(IF('01_Input'!$L$61="Forfait",IF(BU$20&gt;='01_Input'!$J$61,'01_Input'!$M$61,0),IF('01_Input'!$L$61="Palier",IF(AND(BU$20&gt;='01_Input'!$J$61,BU$20&lt;'01_Input'!$K$61),'01_Input'!$M$61,0),MAX(MIN(BU$20,'01_Input'!$K$61)-'01_Input'!$J$61,0)*'01_Input'!$M$61))+IF('01_Input'!$P$61="Forfait",IF(BU$20&gt;='01_Input'!$N$61,'01_Input'!$Q$61,0),IF('01_Input'!$P$61="Palier",IF(AND(BU$20&gt;='01_Input'!$N$61,BU$20&lt;'01_Input'!$O$61),'01_Input'!$Q$61,0),MAX(MIN(BU$20,'01_Input'!$O$61)-'01_Input'!$N$61,0)*'01_Input'!$Q$61))+IF('01_Input'!$T$61="Forfait",IF(BU$20&gt;='01_Input'!$R$61,'01_Input'!$U$61,0),IF('01_Input'!$T$61="Palier",IF(AND(BU$20&gt;='01_Input'!$R$61,BU$20&lt;'01_Input'!$S$61),'01_Input'!$U$61,0),MAX(MIN(BU$20,'01_Input'!$S$61)-'01_Input'!$R$61,0)*'01_Input'!$U$61))+IF('01_Input'!$X$61="Forfait",IF(BU$20&gt;='01_Input'!$V$61,'01_Input'!$Y$61,0),IF('01_Input'!$X$61="Palier",IF(AND(BU$20&gt;='01_Input'!$V$61,BU$20&lt;'01_Input'!$W$61),'01_Input'!$Y$61,0),MAX(MIN(BU$20,'01_Input'!$W$61)-'01_Input'!$V$61,0)*'01_Input'!$Y$61))+IF('01_Input'!$AB$61="Forfait",IF(BU$20&gt;='01_Input'!$Z$61,'01_Input'!$AC$61,0),IF('01_Input'!$AB$61="Palier",IF(AND(BU$20&gt;='01_Input'!$Z$61,BU$20&lt;'01_Input'!$AA$61),'01_Input'!$AC$61,0),MAX(MIN(BU$20,'01_Input'!$AA$61)-'01_Input'!$Z$61,0)*'01_Input'!$AC$61)))))))))</f>
        <v>0</v>
      </c>
      <c r="BV29" s="25">
        <f>IF('01_Input'!$C$61="Non",0,MIN('01_Input'!$I$61,MAX('01_Input'!$H$61,IF('01_Input'!$G$61="Résiduel vs Gestion",0,IF('01_Input'!$G$61="Taux Classe sélectionnée",Distrib_Global_Classe_Selectionnee*BV$20,IF('01_Input'!$G$61="Frais KYC (paliers de 100M€)",MAX(0,Nb_Investisseurs-Nb_KYC_Gratuites_Par_Tranche*(FLOOR(BV$20/Taille_Tranche_KYC,1)+1))*Cout_Par_KYC_Supplementaire,(IF('01_Input'!$L$61="Forfait",IF(BV$20&gt;='01_Input'!$J$61,'01_Input'!$M$61,0),IF('01_Input'!$L$61="Palier",IF(AND(BV$20&gt;='01_Input'!$J$61,BV$20&lt;'01_Input'!$K$61),'01_Input'!$M$61,0),MAX(MIN(BV$20,'01_Input'!$K$61)-'01_Input'!$J$61,0)*'01_Input'!$M$61))+IF('01_Input'!$P$61="Forfait",IF(BV$20&gt;='01_Input'!$N$61,'01_Input'!$Q$61,0),IF('01_Input'!$P$61="Palier",IF(AND(BV$20&gt;='01_Input'!$N$61,BV$20&lt;'01_Input'!$O$61),'01_Input'!$Q$61,0),MAX(MIN(BV$20,'01_Input'!$O$61)-'01_Input'!$N$61,0)*'01_Input'!$Q$61))+IF('01_Input'!$T$61="Forfait",IF(BV$20&gt;='01_Input'!$R$61,'01_Input'!$U$61,0),IF('01_Input'!$T$61="Palier",IF(AND(BV$20&gt;='01_Input'!$R$61,BV$20&lt;'01_Input'!$S$61),'01_Input'!$U$61,0),MAX(MIN(BV$20,'01_Input'!$S$61)-'01_Input'!$R$61,0)*'01_Input'!$U$61))+IF('01_Input'!$X$61="Forfait",IF(BV$20&gt;='01_Input'!$V$61,'01_Input'!$Y$61,0),IF('01_Input'!$X$61="Palier",IF(AND(BV$20&gt;='01_Input'!$V$61,BV$20&lt;'01_Input'!$W$61),'01_Input'!$Y$61,0),MAX(MIN(BV$20,'01_Input'!$W$61)-'01_Input'!$V$61,0)*'01_Input'!$Y$61))+IF('01_Input'!$AB$61="Forfait",IF(BV$20&gt;='01_Input'!$Z$61,'01_Input'!$AC$61,0),IF('01_Input'!$AB$61="Palier",IF(AND(BV$20&gt;='01_Input'!$Z$61,BV$20&lt;'01_Input'!$AA$61),'01_Input'!$AC$61,0),MAX(MIN(BV$20,'01_Input'!$AA$61)-'01_Input'!$Z$61,0)*'01_Input'!$AC$61)))))))))</f>
        <v>0</v>
      </c>
      <c r="BW29" s="25">
        <f>IF('01_Input'!$C$61="Non",0,MIN('01_Input'!$I$61,MAX('01_Input'!$H$61,IF('01_Input'!$G$61="Résiduel vs Gestion",0,IF('01_Input'!$G$61="Taux Classe sélectionnée",Distrib_Global_Classe_Selectionnee*BW$20,IF('01_Input'!$G$61="Frais KYC (paliers de 100M€)",MAX(0,Nb_Investisseurs-Nb_KYC_Gratuites_Par_Tranche*(FLOOR(BW$20/Taille_Tranche_KYC,1)+1))*Cout_Par_KYC_Supplementaire,(IF('01_Input'!$L$61="Forfait",IF(BW$20&gt;='01_Input'!$J$61,'01_Input'!$M$61,0),IF('01_Input'!$L$61="Palier",IF(AND(BW$20&gt;='01_Input'!$J$61,BW$20&lt;'01_Input'!$K$61),'01_Input'!$M$61,0),MAX(MIN(BW$20,'01_Input'!$K$61)-'01_Input'!$J$61,0)*'01_Input'!$M$61))+IF('01_Input'!$P$61="Forfait",IF(BW$20&gt;='01_Input'!$N$61,'01_Input'!$Q$61,0),IF('01_Input'!$P$61="Palier",IF(AND(BW$20&gt;='01_Input'!$N$61,BW$20&lt;'01_Input'!$O$61),'01_Input'!$Q$61,0),MAX(MIN(BW$20,'01_Input'!$O$61)-'01_Input'!$N$61,0)*'01_Input'!$Q$61))+IF('01_Input'!$T$61="Forfait",IF(BW$20&gt;='01_Input'!$R$61,'01_Input'!$U$61,0),IF('01_Input'!$T$61="Palier",IF(AND(BW$20&gt;='01_Input'!$R$61,BW$20&lt;'01_Input'!$S$61),'01_Input'!$U$61,0),MAX(MIN(BW$20,'01_Input'!$S$61)-'01_Input'!$R$61,0)*'01_Input'!$U$61))+IF('01_Input'!$X$61="Forfait",IF(BW$20&gt;='01_Input'!$V$61,'01_Input'!$Y$61,0),IF('01_Input'!$X$61="Palier",IF(AND(BW$20&gt;='01_Input'!$V$61,BW$20&lt;'01_Input'!$W$61),'01_Input'!$Y$61,0),MAX(MIN(BW$20,'01_Input'!$W$61)-'01_Input'!$V$61,0)*'01_Input'!$Y$61))+IF('01_Input'!$AB$61="Forfait",IF(BW$20&gt;='01_Input'!$Z$61,'01_Input'!$AC$61,0),IF('01_Input'!$AB$61="Palier",IF(AND(BW$20&gt;='01_Input'!$Z$61,BW$20&lt;'01_Input'!$AA$61),'01_Input'!$AC$61,0),MAX(MIN(BW$20,'01_Input'!$AA$61)-'01_Input'!$Z$61,0)*'01_Input'!$AC$61)))))))))</f>
        <v>0</v>
      </c>
      <c r="BX29" s="25">
        <f>IF('01_Input'!$C$61="Non",0,MIN('01_Input'!$I$61,MAX('01_Input'!$H$61,IF('01_Input'!$G$61="Résiduel vs Gestion",0,IF('01_Input'!$G$61="Taux Classe sélectionnée",Distrib_Global_Classe_Selectionnee*BX$20,IF('01_Input'!$G$61="Frais KYC (paliers de 100M€)",MAX(0,Nb_Investisseurs-Nb_KYC_Gratuites_Par_Tranche*(FLOOR(BX$20/Taille_Tranche_KYC,1)+1))*Cout_Par_KYC_Supplementaire,(IF('01_Input'!$L$61="Forfait",IF(BX$20&gt;='01_Input'!$J$61,'01_Input'!$M$61,0),IF('01_Input'!$L$61="Palier",IF(AND(BX$20&gt;='01_Input'!$J$61,BX$20&lt;'01_Input'!$K$61),'01_Input'!$M$61,0),MAX(MIN(BX$20,'01_Input'!$K$61)-'01_Input'!$J$61,0)*'01_Input'!$M$61))+IF('01_Input'!$P$61="Forfait",IF(BX$20&gt;='01_Input'!$N$61,'01_Input'!$Q$61,0),IF('01_Input'!$P$61="Palier",IF(AND(BX$20&gt;='01_Input'!$N$61,BX$20&lt;'01_Input'!$O$61),'01_Input'!$Q$61,0),MAX(MIN(BX$20,'01_Input'!$O$61)-'01_Input'!$N$61,0)*'01_Input'!$Q$61))+IF('01_Input'!$T$61="Forfait",IF(BX$20&gt;='01_Input'!$R$61,'01_Input'!$U$61,0),IF('01_Input'!$T$61="Palier",IF(AND(BX$20&gt;='01_Input'!$R$61,BX$20&lt;'01_Input'!$S$61),'01_Input'!$U$61,0),MAX(MIN(BX$20,'01_Input'!$S$61)-'01_Input'!$R$61,0)*'01_Input'!$U$61))+IF('01_Input'!$X$61="Forfait",IF(BX$20&gt;='01_Input'!$V$61,'01_Input'!$Y$61,0),IF('01_Input'!$X$61="Palier",IF(AND(BX$20&gt;='01_Input'!$V$61,BX$20&lt;'01_Input'!$W$61),'01_Input'!$Y$61,0),MAX(MIN(BX$20,'01_Input'!$W$61)-'01_Input'!$V$61,0)*'01_Input'!$Y$61))+IF('01_Input'!$AB$61="Forfait",IF(BX$20&gt;='01_Input'!$Z$61,'01_Input'!$AC$61,0),IF('01_Input'!$AB$61="Palier",IF(AND(BX$20&gt;='01_Input'!$Z$61,BX$20&lt;'01_Input'!$AA$61),'01_Input'!$AC$61,0),MAX(MIN(BX$20,'01_Input'!$AA$61)-'01_Input'!$Z$61,0)*'01_Input'!$AC$61)))))))))</f>
        <v>0</v>
      </c>
      <c r="BY29" s="25">
        <f>IF('01_Input'!$C$61="Non",0,MIN('01_Input'!$I$61,MAX('01_Input'!$H$61,IF('01_Input'!$G$61="Résiduel vs Gestion",0,IF('01_Input'!$G$61="Taux Classe sélectionnée",Distrib_Global_Classe_Selectionnee*BY$20,IF('01_Input'!$G$61="Frais KYC (paliers de 100M€)",MAX(0,Nb_Investisseurs-Nb_KYC_Gratuites_Par_Tranche*(FLOOR(BY$20/Taille_Tranche_KYC,1)+1))*Cout_Par_KYC_Supplementaire,(IF('01_Input'!$L$61="Forfait",IF(BY$20&gt;='01_Input'!$J$61,'01_Input'!$M$61,0),IF('01_Input'!$L$61="Palier",IF(AND(BY$20&gt;='01_Input'!$J$61,BY$20&lt;'01_Input'!$K$61),'01_Input'!$M$61,0),MAX(MIN(BY$20,'01_Input'!$K$61)-'01_Input'!$J$61,0)*'01_Input'!$M$61))+IF('01_Input'!$P$61="Forfait",IF(BY$20&gt;='01_Input'!$N$61,'01_Input'!$Q$61,0),IF('01_Input'!$P$61="Palier",IF(AND(BY$20&gt;='01_Input'!$N$61,BY$20&lt;'01_Input'!$O$61),'01_Input'!$Q$61,0),MAX(MIN(BY$20,'01_Input'!$O$61)-'01_Input'!$N$61,0)*'01_Input'!$Q$61))+IF('01_Input'!$T$61="Forfait",IF(BY$20&gt;='01_Input'!$R$61,'01_Input'!$U$61,0),IF('01_Input'!$T$61="Palier",IF(AND(BY$20&gt;='01_Input'!$R$61,BY$20&lt;'01_Input'!$S$61),'01_Input'!$U$61,0),MAX(MIN(BY$20,'01_Input'!$S$61)-'01_Input'!$R$61,0)*'01_Input'!$U$61))+IF('01_Input'!$X$61="Forfait",IF(BY$20&gt;='01_Input'!$V$61,'01_Input'!$Y$61,0),IF('01_Input'!$X$61="Palier",IF(AND(BY$20&gt;='01_Input'!$V$61,BY$20&lt;'01_Input'!$W$61),'01_Input'!$Y$61,0),MAX(MIN(BY$20,'01_Input'!$W$61)-'01_Input'!$V$61,0)*'01_Input'!$Y$61))+IF('01_Input'!$AB$61="Forfait",IF(BY$20&gt;='01_Input'!$Z$61,'01_Input'!$AC$61,0),IF('01_Input'!$AB$61="Palier",IF(AND(BY$20&gt;='01_Input'!$Z$61,BY$20&lt;'01_Input'!$AA$61),'01_Input'!$AC$61,0),MAX(MIN(BY$20,'01_Input'!$AA$61)-'01_Input'!$Z$61,0)*'01_Input'!$AC$61)))))))))</f>
        <v>0</v>
      </c>
      <c r="BZ29" s="25">
        <f>IF('01_Input'!$C$61="Non",0,MIN('01_Input'!$I$61,MAX('01_Input'!$H$61,IF('01_Input'!$G$61="Résiduel vs Gestion",0,IF('01_Input'!$G$61="Taux Classe sélectionnée",Distrib_Global_Classe_Selectionnee*BZ$20,IF('01_Input'!$G$61="Frais KYC (paliers de 100M€)",MAX(0,Nb_Investisseurs-Nb_KYC_Gratuites_Par_Tranche*(FLOOR(BZ$20/Taille_Tranche_KYC,1)+1))*Cout_Par_KYC_Supplementaire,(IF('01_Input'!$L$61="Forfait",IF(BZ$20&gt;='01_Input'!$J$61,'01_Input'!$M$61,0),IF('01_Input'!$L$61="Palier",IF(AND(BZ$20&gt;='01_Input'!$J$61,BZ$20&lt;'01_Input'!$K$61),'01_Input'!$M$61,0),MAX(MIN(BZ$20,'01_Input'!$K$61)-'01_Input'!$J$61,0)*'01_Input'!$M$61))+IF('01_Input'!$P$61="Forfait",IF(BZ$20&gt;='01_Input'!$N$61,'01_Input'!$Q$61,0),IF('01_Input'!$P$61="Palier",IF(AND(BZ$20&gt;='01_Input'!$N$61,BZ$20&lt;'01_Input'!$O$61),'01_Input'!$Q$61,0),MAX(MIN(BZ$20,'01_Input'!$O$61)-'01_Input'!$N$61,0)*'01_Input'!$Q$61))+IF('01_Input'!$T$61="Forfait",IF(BZ$20&gt;='01_Input'!$R$61,'01_Input'!$U$61,0),IF('01_Input'!$T$61="Palier",IF(AND(BZ$20&gt;='01_Input'!$R$61,BZ$20&lt;'01_Input'!$S$61),'01_Input'!$U$61,0),MAX(MIN(BZ$20,'01_Input'!$S$61)-'01_Input'!$R$61,0)*'01_Input'!$U$61))+IF('01_Input'!$X$61="Forfait",IF(BZ$20&gt;='01_Input'!$V$61,'01_Input'!$Y$61,0),IF('01_Input'!$X$61="Palier",IF(AND(BZ$20&gt;='01_Input'!$V$61,BZ$20&lt;'01_Input'!$W$61),'01_Input'!$Y$61,0),MAX(MIN(BZ$20,'01_Input'!$W$61)-'01_Input'!$V$61,0)*'01_Input'!$Y$61))+IF('01_Input'!$AB$61="Forfait",IF(BZ$20&gt;='01_Input'!$Z$61,'01_Input'!$AC$61,0),IF('01_Input'!$AB$61="Palier",IF(AND(BZ$20&gt;='01_Input'!$Z$61,BZ$20&lt;'01_Input'!$AA$61),'01_Input'!$AC$61,0),MAX(MIN(BZ$20,'01_Input'!$AA$61)-'01_Input'!$Z$61,0)*'01_Input'!$AC$61)))))))))</f>
        <v>0</v>
      </c>
      <c r="CA29" s="25">
        <f>IF('01_Input'!$C$61="Non",0,MIN('01_Input'!$I$61,MAX('01_Input'!$H$61,IF('01_Input'!$G$61="Résiduel vs Gestion",0,IF('01_Input'!$G$61="Taux Classe sélectionnée",Distrib_Global_Classe_Selectionnee*CA$20,IF('01_Input'!$G$61="Frais KYC (paliers de 100M€)",MAX(0,Nb_Investisseurs-Nb_KYC_Gratuites_Par_Tranche*(FLOOR(CA$20/Taille_Tranche_KYC,1)+1))*Cout_Par_KYC_Supplementaire,(IF('01_Input'!$L$61="Forfait",IF(CA$20&gt;='01_Input'!$J$61,'01_Input'!$M$61,0),IF('01_Input'!$L$61="Palier",IF(AND(CA$20&gt;='01_Input'!$J$61,CA$20&lt;'01_Input'!$K$61),'01_Input'!$M$61,0),MAX(MIN(CA$20,'01_Input'!$K$61)-'01_Input'!$J$61,0)*'01_Input'!$M$61))+IF('01_Input'!$P$61="Forfait",IF(CA$20&gt;='01_Input'!$N$61,'01_Input'!$Q$61,0),IF('01_Input'!$P$61="Palier",IF(AND(CA$20&gt;='01_Input'!$N$61,CA$20&lt;'01_Input'!$O$61),'01_Input'!$Q$61,0),MAX(MIN(CA$20,'01_Input'!$O$61)-'01_Input'!$N$61,0)*'01_Input'!$Q$61))+IF('01_Input'!$T$61="Forfait",IF(CA$20&gt;='01_Input'!$R$61,'01_Input'!$U$61,0),IF('01_Input'!$T$61="Palier",IF(AND(CA$20&gt;='01_Input'!$R$61,CA$20&lt;'01_Input'!$S$61),'01_Input'!$U$61,0),MAX(MIN(CA$20,'01_Input'!$S$61)-'01_Input'!$R$61,0)*'01_Input'!$U$61))+IF('01_Input'!$X$61="Forfait",IF(CA$20&gt;='01_Input'!$V$61,'01_Input'!$Y$61,0),IF('01_Input'!$X$61="Palier",IF(AND(CA$20&gt;='01_Input'!$V$61,CA$20&lt;'01_Input'!$W$61),'01_Input'!$Y$61,0),MAX(MIN(CA$20,'01_Input'!$W$61)-'01_Input'!$V$61,0)*'01_Input'!$Y$61))+IF('01_Input'!$AB$61="Forfait",IF(CA$20&gt;='01_Input'!$Z$61,'01_Input'!$AC$61,0),IF('01_Input'!$AB$61="Palier",IF(AND(CA$20&gt;='01_Input'!$Z$61,CA$20&lt;'01_Input'!$AA$61),'01_Input'!$AC$61,0),MAX(MIN(CA$20,'01_Input'!$AA$61)-'01_Input'!$Z$61,0)*'01_Input'!$AC$61)))))))))</f>
        <v>0</v>
      </c>
      <c r="CB29" s="25">
        <f>IF('01_Input'!$C$61="Non",0,MIN('01_Input'!$I$61,MAX('01_Input'!$H$61,IF('01_Input'!$G$61="Résiduel vs Gestion",0,IF('01_Input'!$G$61="Taux Classe sélectionnée",Distrib_Global_Classe_Selectionnee*CB$20,IF('01_Input'!$G$61="Frais KYC (paliers de 100M€)",MAX(0,Nb_Investisseurs-Nb_KYC_Gratuites_Par_Tranche*(FLOOR(CB$20/Taille_Tranche_KYC,1)+1))*Cout_Par_KYC_Supplementaire,(IF('01_Input'!$L$61="Forfait",IF(CB$20&gt;='01_Input'!$J$61,'01_Input'!$M$61,0),IF('01_Input'!$L$61="Palier",IF(AND(CB$20&gt;='01_Input'!$J$61,CB$20&lt;'01_Input'!$K$61),'01_Input'!$M$61,0),MAX(MIN(CB$20,'01_Input'!$K$61)-'01_Input'!$J$61,0)*'01_Input'!$M$61))+IF('01_Input'!$P$61="Forfait",IF(CB$20&gt;='01_Input'!$N$61,'01_Input'!$Q$61,0),IF('01_Input'!$P$61="Palier",IF(AND(CB$20&gt;='01_Input'!$N$61,CB$20&lt;'01_Input'!$O$61),'01_Input'!$Q$61,0),MAX(MIN(CB$20,'01_Input'!$O$61)-'01_Input'!$N$61,0)*'01_Input'!$Q$61))+IF('01_Input'!$T$61="Forfait",IF(CB$20&gt;='01_Input'!$R$61,'01_Input'!$U$61,0),IF('01_Input'!$T$61="Palier",IF(AND(CB$20&gt;='01_Input'!$R$61,CB$20&lt;'01_Input'!$S$61),'01_Input'!$U$61,0),MAX(MIN(CB$20,'01_Input'!$S$61)-'01_Input'!$R$61,0)*'01_Input'!$U$61))+IF('01_Input'!$X$61="Forfait",IF(CB$20&gt;='01_Input'!$V$61,'01_Input'!$Y$61,0),IF('01_Input'!$X$61="Palier",IF(AND(CB$20&gt;='01_Input'!$V$61,CB$20&lt;'01_Input'!$W$61),'01_Input'!$Y$61,0),MAX(MIN(CB$20,'01_Input'!$W$61)-'01_Input'!$V$61,0)*'01_Input'!$Y$61))+IF('01_Input'!$AB$61="Forfait",IF(CB$20&gt;='01_Input'!$Z$61,'01_Input'!$AC$61,0),IF('01_Input'!$AB$61="Palier",IF(AND(CB$20&gt;='01_Input'!$Z$61,CB$20&lt;'01_Input'!$AA$61),'01_Input'!$AC$61,0),MAX(MIN(CB$20,'01_Input'!$AA$61)-'01_Input'!$Z$61,0)*'01_Input'!$AC$61)))))))))</f>
        <v>0</v>
      </c>
      <c r="CC29" s="25">
        <f>IF('01_Input'!$C$61="Non",0,MIN('01_Input'!$I$61,MAX('01_Input'!$H$61,IF('01_Input'!$G$61="Résiduel vs Gestion",0,IF('01_Input'!$G$61="Taux Classe sélectionnée",Distrib_Global_Classe_Selectionnee*CC$20,IF('01_Input'!$G$61="Frais KYC (paliers de 100M€)",MAX(0,Nb_Investisseurs-Nb_KYC_Gratuites_Par_Tranche*(FLOOR(CC$20/Taille_Tranche_KYC,1)+1))*Cout_Par_KYC_Supplementaire,(IF('01_Input'!$L$61="Forfait",IF(CC$20&gt;='01_Input'!$J$61,'01_Input'!$M$61,0),IF('01_Input'!$L$61="Palier",IF(AND(CC$20&gt;='01_Input'!$J$61,CC$20&lt;'01_Input'!$K$61),'01_Input'!$M$61,0),MAX(MIN(CC$20,'01_Input'!$K$61)-'01_Input'!$J$61,0)*'01_Input'!$M$61))+IF('01_Input'!$P$61="Forfait",IF(CC$20&gt;='01_Input'!$N$61,'01_Input'!$Q$61,0),IF('01_Input'!$P$61="Palier",IF(AND(CC$20&gt;='01_Input'!$N$61,CC$20&lt;'01_Input'!$O$61),'01_Input'!$Q$61,0),MAX(MIN(CC$20,'01_Input'!$O$61)-'01_Input'!$N$61,0)*'01_Input'!$Q$61))+IF('01_Input'!$T$61="Forfait",IF(CC$20&gt;='01_Input'!$R$61,'01_Input'!$U$61,0),IF('01_Input'!$T$61="Palier",IF(AND(CC$20&gt;='01_Input'!$R$61,CC$20&lt;'01_Input'!$S$61),'01_Input'!$U$61,0),MAX(MIN(CC$20,'01_Input'!$S$61)-'01_Input'!$R$61,0)*'01_Input'!$U$61))+IF('01_Input'!$X$61="Forfait",IF(CC$20&gt;='01_Input'!$V$61,'01_Input'!$Y$61,0),IF('01_Input'!$X$61="Palier",IF(AND(CC$20&gt;='01_Input'!$V$61,CC$20&lt;'01_Input'!$W$61),'01_Input'!$Y$61,0),MAX(MIN(CC$20,'01_Input'!$W$61)-'01_Input'!$V$61,0)*'01_Input'!$Y$61))+IF('01_Input'!$AB$61="Forfait",IF(CC$20&gt;='01_Input'!$Z$61,'01_Input'!$AC$61,0),IF('01_Input'!$AB$61="Palier",IF(AND(CC$20&gt;='01_Input'!$Z$61,CC$20&lt;'01_Input'!$AA$61),'01_Input'!$AC$61,0),MAX(MIN(CC$20,'01_Input'!$AA$61)-'01_Input'!$Z$61,0)*'01_Input'!$AC$61)))))))))</f>
        <v>0</v>
      </c>
      <c r="CD29" s="25">
        <f>IF('01_Input'!$C$61="Non",0,MIN('01_Input'!$I$61,MAX('01_Input'!$H$61,IF('01_Input'!$G$61="Résiduel vs Gestion",0,IF('01_Input'!$G$61="Taux Classe sélectionnée",Distrib_Global_Classe_Selectionnee*CD$20,IF('01_Input'!$G$61="Frais KYC (paliers de 100M€)",MAX(0,Nb_Investisseurs-Nb_KYC_Gratuites_Par_Tranche*(FLOOR(CD$20/Taille_Tranche_KYC,1)+1))*Cout_Par_KYC_Supplementaire,(IF('01_Input'!$L$61="Forfait",IF(CD$20&gt;='01_Input'!$J$61,'01_Input'!$M$61,0),IF('01_Input'!$L$61="Palier",IF(AND(CD$20&gt;='01_Input'!$J$61,CD$20&lt;'01_Input'!$K$61),'01_Input'!$M$61,0),MAX(MIN(CD$20,'01_Input'!$K$61)-'01_Input'!$J$61,0)*'01_Input'!$M$61))+IF('01_Input'!$P$61="Forfait",IF(CD$20&gt;='01_Input'!$N$61,'01_Input'!$Q$61,0),IF('01_Input'!$P$61="Palier",IF(AND(CD$20&gt;='01_Input'!$N$61,CD$20&lt;'01_Input'!$O$61),'01_Input'!$Q$61,0),MAX(MIN(CD$20,'01_Input'!$O$61)-'01_Input'!$N$61,0)*'01_Input'!$Q$61))+IF('01_Input'!$T$61="Forfait",IF(CD$20&gt;='01_Input'!$R$61,'01_Input'!$U$61,0),IF('01_Input'!$T$61="Palier",IF(AND(CD$20&gt;='01_Input'!$R$61,CD$20&lt;'01_Input'!$S$61),'01_Input'!$U$61,0),MAX(MIN(CD$20,'01_Input'!$S$61)-'01_Input'!$R$61,0)*'01_Input'!$U$61))+IF('01_Input'!$X$61="Forfait",IF(CD$20&gt;='01_Input'!$V$61,'01_Input'!$Y$61,0),IF('01_Input'!$X$61="Palier",IF(AND(CD$20&gt;='01_Input'!$V$61,CD$20&lt;'01_Input'!$W$61),'01_Input'!$Y$61,0),MAX(MIN(CD$20,'01_Input'!$W$61)-'01_Input'!$V$61,0)*'01_Input'!$Y$61))+IF('01_Input'!$AB$61="Forfait",IF(CD$20&gt;='01_Input'!$Z$61,'01_Input'!$AC$61,0),IF('01_Input'!$AB$61="Palier",IF(AND(CD$20&gt;='01_Input'!$Z$61,CD$20&lt;'01_Input'!$AA$61),'01_Input'!$AC$61,0),MAX(MIN(CD$20,'01_Input'!$AA$61)-'01_Input'!$Z$61,0)*'01_Input'!$AC$61)))))))))</f>
        <v>0</v>
      </c>
      <c r="CE29" s="25">
        <f>IF('01_Input'!$C$61="Non",0,MIN('01_Input'!$I$61,MAX('01_Input'!$H$61,IF('01_Input'!$G$61="Résiduel vs Gestion",0,IF('01_Input'!$G$61="Taux Classe sélectionnée",Distrib_Global_Classe_Selectionnee*CE$20,IF('01_Input'!$G$61="Frais KYC (paliers de 100M€)",MAX(0,Nb_Investisseurs-Nb_KYC_Gratuites_Par_Tranche*(FLOOR(CE$20/Taille_Tranche_KYC,1)+1))*Cout_Par_KYC_Supplementaire,(IF('01_Input'!$L$61="Forfait",IF(CE$20&gt;='01_Input'!$J$61,'01_Input'!$M$61,0),IF('01_Input'!$L$61="Palier",IF(AND(CE$20&gt;='01_Input'!$J$61,CE$20&lt;'01_Input'!$K$61),'01_Input'!$M$61,0),MAX(MIN(CE$20,'01_Input'!$K$61)-'01_Input'!$J$61,0)*'01_Input'!$M$61))+IF('01_Input'!$P$61="Forfait",IF(CE$20&gt;='01_Input'!$N$61,'01_Input'!$Q$61,0),IF('01_Input'!$P$61="Palier",IF(AND(CE$20&gt;='01_Input'!$N$61,CE$20&lt;'01_Input'!$O$61),'01_Input'!$Q$61,0),MAX(MIN(CE$20,'01_Input'!$O$61)-'01_Input'!$N$61,0)*'01_Input'!$Q$61))+IF('01_Input'!$T$61="Forfait",IF(CE$20&gt;='01_Input'!$R$61,'01_Input'!$U$61,0),IF('01_Input'!$T$61="Palier",IF(AND(CE$20&gt;='01_Input'!$R$61,CE$20&lt;'01_Input'!$S$61),'01_Input'!$U$61,0),MAX(MIN(CE$20,'01_Input'!$S$61)-'01_Input'!$R$61,0)*'01_Input'!$U$61))+IF('01_Input'!$X$61="Forfait",IF(CE$20&gt;='01_Input'!$V$61,'01_Input'!$Y$61,0),IF('01_Input'!$X$61="Palier",IF(AND(CE$20&gt;='01_Input'!$V$61,CE$20&lt;'01_Input'!$W$61),'01_Input'!$Y$61,0),MAX(MIN(CE$20,'01_Input'!$W$61)-'01_Input'!$V$61,0)*'01_Input'!$Y$61))+IF('01_Input'!$AB$61="Forfait",IF(CE$20&gt;='01_Input'!$Z$61,'01_Input'!$AC$61,0),IF('01_Input'!$AB$61="Palier",IF(AND(CE$20&gt;='01_Input'!$Z$61,CE$20&lt;'01_Input'!$AA$61),'01_Input'!$AC$61,0),MAX(MIN(CE$20,'01_Input'!$AA$61)-'01_Input'!$Z$61,0)*'01_Input'!$AC$61)))))))))</f>
        <v>0</v>
      </c>
      <c r="CF29" s="25">
        <f>IF('01_Input'!$C$61="Non",0,MIN('01_Input'!$I$61,MAX('01_Input'!$H$61,IF('01_Input'!$G$61="Résiduel vs Gestion",0,IF('01_Input'!$G$61="Taux Classe sélectionnée",Distrib_Global_Classe_Selectionnee*CF$20,IF('01_Input'!$G$61="Frais KYC (paliers de 100M€)",MAX(0,Nb_Investisseurs-Nb_KYC_Gratuites_Par_Tranche*(FLOOR(CF$20/Taille_Tranche_KYC,1)+1))*Cout_Par_KYC_Supplementaire,(IF('01_Input'!$L$61="Forfait",IF(CF$20&gt;='01_Input'!$J$61,'01_Input'!$M$61,0),IF('01_Input'!$L$61="Palier",IF(AND(CF$20&gt;='01_Input'!$J$61,CF$20&lt;'01_Input'!$K$61),'01_Input'!$M$61,0),MAX(MIN(CF$20,'01_Input'!$K$61)-'01_Input'!$J$61,0)*'01_Input'!$M$61))+IF('01_Input'!$P$61="Forfait",IF(CF$20&gt;='01_Input'!$N$61,'01_Input'!$Q$61,0),IF('01_Input'!$P$61="Palier",IF(AND(CF$20&gt;='01_Input'!$N$61,CF$20&lt;'01_Input'!$O$61),'01_Input'!$Q$61,0),MAX(MIN(CF$20,'01_Input'!$O$61)-'01_Input'!$N$61,0)*'01_Input'!$Q$61))+IF('01_Input'!$T$61="Forfait",IF(CF$20&gt;='01_Input'!$R$61,'01_Input'!$U$61,0),IF('01_Input'!$T$61="Palier",IF(AND(CF$20&gt;='01_Input'!$R$61,CF$20&lt;'01_Input'!$S$61),'01_Input'!$U$61,0),MAX(MIN(CF$20,'01_Input'!$S$61)-'01_Input'!$R$61,0)*'01_Input'!$U$61))+IF('01_Input'!$X$61="Forfait",IF(CF$20&gt;='01_Input'!$V$61,'01_Input'!$Y$61,0),IF('01_Input'!$X$61="Palier",IF(AND(CF$20&gt;='01_Input'!$V$61,CF$20&lt;'01_Input'!$W$61),'01_Input'!$Y$61,0),MAX(MIN(CF$20,'01_Input'!$W$61)-'01_Input'!$V$61,0)*'01_Input'!$Y$61))+IF('01_Input'!$AB$61="Forfait",IF(CF$20&gt;='01_Input'!$Z$61,'01_Input'!$AC$61,0),IF('01_Input'!$AB$61="Palier",IF(AND(CF$20&gt;='01_Input'!$Z$61,CF$20&lt;'01_Input'!$AA$61),'01_Input'!$AC$61,0),MAX(MIN(CF$20,'01_Input'!$AA$61)-'01_Input'!$Z$61,0)*'01_Input'!$AC$61)))))))))</f>
        <v>0</v>
      </c>
      <c r="CG29" s="25">
        <f>IF('01_Input'!$C$61="Non",0,MIN('01_Input'!$I$61,MAX('01_Input'!$H$61,IF('01_Input'!$G$61="Résiduel vs Gestion",0,IF('01_Input'!$G$61="Taux Classe sélectionnée",Distrib_Global_Classe_Selectionnee*CG$20,IF('01_Input'!$G$61="Frais KYC (paliers de 100M€)",MAX(0,Nb_Investisseurs-Nb_KYC_Gratuites_Par_Tranche*(FLOOR(CG$20/Taille_Tranche_KYC,1)+1))*Cout_Par_KYC_Supplementaire,(IF('01_Input'!$L$61="Forfait",IF(CG$20&gt;='01_Input'!$J$61,'01_Input'!$M$61,0),IF('01_Input'!$L$61="Palier",IF(AND(CG$20&gt;='01_Input'!$J$61,CG$20&lt;'01_Input'!$K$61),'01_Input'!$M$61,0),MAX(MIN(CG$20,'01_Input'!$K$61)-'01_Input'!$J$61,0)*'01_Input'!$M$61))+IF('01_Input'!$P$61="Forfait",IF(CG$20&gt;='01_Input'!$N$61,'01_Input'!$Q$61,0),IF('01_Input'!$P$61="Palier",IF(AND(CG$20&gt;='01_Input'!$N$61,CG$20&lt;'01_Input'!$O$61),'01_Input'!$Q$61,0),MAX(MIN(CG$20,'01_Input'!$O$61)-'01_Input'!$N$61,0)*'01_Input'!$Q$61))+IF('01_Input'!$T$61="Forfait",IF(CG$20&gt;='01_Input'!$R$61,'01_Input'!$U$61,0),IF('01_Input'!$T$61="Palier",IF(AND(CG$20&gt;='01_Input'!$R$61,CG$20&lt;'01_Input'!$S$61),'01_Input'!$U$61,0),MAX(MIN(CG$20,'01_Input'!$S$61)-'01_Input'!$R$61,0)*'01_Input'!$U$61))+IF('01_Input'!$X$61="Forfait",IF(CG$20&gt;='01_Input'!$V$61,'01_Input'!$Y$61,0),IF('01_Input'!$X$61="Palier",IF(AND(CG$20&gt;='01_Input'!$V$61,CG$20&lt;'01_Input'!$W$61),'01_Input'!$Y$61,0),MAX(MIN(CG$20,'01_Input'!$W$61)-'01_Input'!$V$61,0)*'01_Input'!$Y$61))+IF('01_Input'!$AB$61="Forfait",IF(CG$20&gt;='01_Input'!$Z$61,'01_Input'!$AC$61,0),IF('01_Input'!$AB$61="Palier",IF(AND(CG$20&gt;='01_Input'!$Z$61,CG$20&lt;'01_Input'!$AA$61),'01_Input'!$AC$61,0),MAX(MIN(CG$20,'01_Input'!$AA$61)-'01_Input'!$Z$61,0)*'01_Input'!$AC$61)))))))))</f>
        <v>0</v>
      </c>
      <c r="CH29" s="25">
        <f>IF('01_Input'!$C$61="Non",0,MIN('01_Input'!$I$61,MAX('01_Input'!$H$61,IF('01_Input'!$G$61="Résiduel vs Gestion",0,IF('01_Input'!$G$61="Taux Classe sélectionnée",Distrib_Global_Classe_Selectionnee*CH$20,IF('01_Input'!$G$61="Frais KYC (paliers de 100M€)",MAX(0,Nb_Investisseurs-Nb_KYC_Gratuites_Par_Tranche*(FLOOR(CH$20/Taille_Tranche_KYC,1)+1))*Cout_Par_KYC_Supplementaire,(IF('01_Input'!$L$61="Forfait",IF(CH$20&gt;='01_Input'!$J$61,'01_Input'!$M$61,0),IF('01_Input'!$L$61="Palier",IF(AND(CH$20&gt;='01_Input'!$J$61,CH$20&lt;'01_Input'!$K$61),'01_Input'!$M$61,0),MAX(MIN(CH$20,'01_Input'!$K$61)-'01_Input'!$J$61,0)*'01_Input'!$M$61))+IF('01_Input'!$P$61="Forfait",IF(CH$20&gt;='01_Input'!$N$61,'01_Input'!$Q$61,0),IF('01_Input'!$P$61="Palier",IF(AND(CH$20&gt;='01_Input'!$N$61,CH$20&lt;'01_Input'!$O$61),'01_Input'!$Q$61,0),MAX(MIN(CH$20,'01_Input'!$O$61)-'01_Input'!$N$61,0)*'01_Input'!$Q$61))+IF('01_Input'!$T$61="Forfait",IF(CH$20&gt;='01_Input'!$R$61,'01_Input'!$U$61,0),IF('01_Input'!$T$61="Palier",IF(AND(CH$20&gt;='01_Input'!$R$61,CH$20&lt;'01_Input'!$S$61),'01_Input'!$U$61,0),MAX(MIN(CH$20,'01_Input'!$S$61)-'01_Input'!$R$61,0)*'01_Input'!$U$61))+IF('01_Input'!$X$61="Forfait",IF(CH$20&gt;='01_Input'!$V$61,'01_Input'!$Y$61,0),IF('01_Input'!$X$61="Palier",IF(AND(CH$20&gt;='01_Input'!$V$61,CH$20&lt;'01_Input'!$W$61),'01_Input'!$Y$61,0),MAX(MIN(CH$20,'01_Input'!$W$61)-'01_Input'!$V$61,0)*'01_Input'!$Y$61))+IF('01_Input'!$AB$61="Forfait",IF(CH$20&gt;='01_Input'!$Z$61,'01_Input'!$AC$61,0),IF('01_Input'!$AB$61="Palier",IF(AND(CH$20&gt;='01_Input'!$Z$61,CH$20&lt;'01_Input'!$AA$61),'01_Input'!$AC$61,0),MAX(MIN(CH$20,'01_Input'!$AA$61)-'01_Input'!$Z$61,0)*'01_Input'!$AC$61)))))))))</f>
        <v>0</v>
      </c>
      <c r="CI29" s="25">
        <f>IF('01_Input'!$C$61="Non",0,MIN('01_Input'!$I$61,MAX('01_Input'!$H$61,IF('01_Input'!$G$61="Résiduel vs Gestion",0,IF('01_Input'!$G$61="Taux Classe sélectionnée",Distrib_Global_Classe_Selectionnee*CI$20,IF('01_Input'!$G$61="Frais KYC (paliers de 100M€)",MAX(0,Nb_Investisseurs-Nb_KYC_Gratuites_Par_Tranche*(FLOOR(CI$20/Taille_Tranche_KYC,1)+1))*Cout_Par_KYC_Supplementaire,(IF('01_Input'!$L$61="Forfait",IF(CI$20&gt;='01_Input'!$J$61,'01_Input'!$M$61,0),IF('01_Input'!$L$61="Palier",IF(AND(CI$20&gt;='01_Input'!$J$61,CI$20&lt;'01_Input'!$K$61),'01_Input'!$M$61,0),MAX(MIN(CI$20,'01_Input'!$K$61)-'01_Input'!$J$61,0)*'01_Input'!$M$61))+IF('01_Input'!$P$61="Forfait",IF(CI$20&gt;='01_Input'!$N$61,'01_Input'!$Q$61,0),IF('01_Input'!$P$61="Palier",IF(AND(CI$20&gt;='01_Input'!$N$61,CI$20&lt;'01_Input'!$O$61),'01_Input'!$Q$61,0),MAX(MIN(CI$20,'01_Input'!$O$61)-'01_Input'!$N$61,0)*'01_Input'!$Q$61))+IF('01_Input'!$T$61="Forfait",IF(CI$20&gt;='01_Input'!$R$61,'01_Input'!$U$61,0),IF('01_Input'!$T$61="Palier",IF(AND(CI$20&gt;='01_Input'!$R$61,CI$20&lt;'01_Input'!$S$61),'01_Input'!$U$61,0),MAX(MIN(CI$20,'01_Input'!$S$61)-'01_Input'!$R$61,0)*'01_Input'!$U$61))+IF('01_Input'!$X$61="Forfait",IF(CI$20&gt;='01_Input'!$V$61,'01_Input'!$Y$61,0),IF('01_Input'!$X$61="Palier",IF(AND(CI$20&gt;='01_Input'!$V$61,CI$20&lt;'01_Input'!$W$61),'01_Input'!$Y$61,0),MAX(MIN(CI$20,'01_Input'!$W$61)-'01_Input'!$V$61,0)*'01_Input'!$Y$61))+IF('01_Input'!$AB$61="Forfait",IF(CI$20&gt;='01_Input'!$Z$61,'01_Input'!$AC$61,0),IF('01_Input'!$AB$61="Palier",IF(AND(CI$20&gt;='01_Input'!$Z$61,CI$20&lt;'01_Input'!$AA$61),'01_Input'!$AC$61,0),MAX(MIN(CI$20,'01_Input'!$AA$61)-'01_Input'!$Z$61,0)*'01_Input'!$AC$61)))))))))</f>
        <v>0</v>
      </c>
      <c r="CJ29" s="25">
        <f>IF('01_Input'!$C$61="Non",0,MIN('01_Input'!$I$61,MAX('01_Input'!$H$61,IF('01_Input'!$G$61="Résiduel vs Gestion",0,IF('01_Input'!$G$61="Taux Classe sélectionnée",Distrib_Global_Classe_Selectionnee*CJ$20,IF('01_Input'!$G$61="Frais KYC (paliers de 100M€)",MAX(0,Nb_Investisseurs-Nb_KYC_Gratuites_Par_Tranche*(FLOOR(CJ$20/Taille_Tranche_KYC,1)+1))*Cout_Par_KYC_Supplementaire,(IF('01_Input'!$L$61="Forfait",IF(CJ$20&gt;='01_Input'!$J$61,'01_Input'!$M$61,0),IF('01_Input'!$L$61="Palier",IF(AND(CJ$20&gt;='01_Input'!$J$61,CJ$20&lt;'01_Input'!$K$61),'01_Input'!$M$61,0),MAX(MIN(CJ$20,'01_Input'!$K$61)-'01_Input'!$J$61,0)*'01_Input'!$M$61))+IF('01_Input'!$P$61="Forfait",IF(CJ$20&gt;='01_Input'!$N$61,'01_Input'!$Q$61,0),IF('01_Input'!$P$61="Palier",IF(AND(CJ$20&gt;='01_Input'!$N$61,CJ$20&lt;'01_Input'!$O$61),'01_Input'!$Q$61,0),MAX(MIN(CJ$20,'01_Input'!$O$61)-'01_Input'!$N$61,0)*'01_Input'!$Q$61))+IF('01_Input'!$T$61="Forfait",IF(CJ$20&gt;='01_Input'!$R$61,'01_Input'!$U$61,0),IF('01_Input'!$T$61="Palier",IF(AND(CJ$20&gt;='01_Input'!$R$61,CJ$20&lt;'01_Input'!$S$61),'01_Input'!$U$61,0),MAX(MIN(CJ$20,'01_Input'!$S$61)-'01_Input'!$R$61,0)*'01_Input'!$U$61))+IF('01_Input'!$X$61="Forfait",IF(CJ$20&gt;='01_Input'!$V$61,'01_Input'!$Y$61,0),IF('01_Input'!$X$61="Palier",IF(AND(CJ$20&gt;='01_Input'!$V$61,CJ$20&lt;'01_Input'!$W$61),'01_Input'!$Y$61,0),MAX(MIN(CJ$20,'01_Input'!$W$61)-'01_Input'!$V$61,0)*'01_Input'!$Y$61))+IF('01_Input'!$AB$61="Forfait",IF(CJ$20&gt;='01_Input'!$Z$61,'01_Input'!$AC$61,0),IF('01_Input'!$AB$61="Palier",IF(AND(CJ$20&gt;='01_Input'!$Z$61,CJ$20&lt;'01_Input'!$AA$61),'01_Input'!$AC$61,0),MAX(MIN(CJ$20,'01_Input'!$AA$61)-'01_Input'!$Z$61,0)*'01_Input'!$AC$61)))))))))</f>
        <v>0</v>
      </c>
      <c r="CK29" s="25">
        <f>IF('01_Input'!$C$61="Non",0,MIN('01_Input'!$I$61,MAX('01_Input'!$H$61,IF('01_Input'!$G$61="Résiduel vs Gestion",0,IF('01_Input'!$G$61="Taux Classe sélectionnée",Distrib_Global_Classe_Selectionnee*CK$20,IF('01_Input'!$G$61="Frais KYC (paliers de 100M€)",MAX(0,Nb_Investisseurs-Nb_KYC_Gratuites_Par_Tranche*(FLOOR(CK$20/Taille_Tranche_KYC,1)+1))*Cout_Par_KYC_Supplementaire,(IF('01_Input'!$L$61="Forfait",IF(CK$20&gt;='01_Input'!$J$61,'01_Input'!$M$61,0),IF('01_Input'!$L$61="Palier",IF(AND(CK$20&gt;='01_Input'!$J$61,CK$20&lt;'01_Input'!$K$61),'01_Input'!$M$61,0),MAX(MIN(CK$20,'01_Input'!$K$61)-'01_Input'!$J$61,0)*'01_Input'!$M$61))+IF('01_Input'!$P$61="Forfait",IF(CK$20&gt;='01_Input'!$N$61,'01_Input'!$Q$61,0),IF('01_Input'!$P$61="Palier",IF(AND(CK$20&gt;='01_Input'!$N$61,CK$20&lt;'01_Input'!$O$61),'01_Input'!$Q$61,0),MAX(MIN(CK$20,'01_Input'!$O$61)-'01_Input'!$N$61,0)*'01_Input'!$Q$61))+IF('01_Input'!$T$61="Forfait",IF(CK$20&gt;='01_Input'!$R$61,'01_Input'!$U$61,0),IF('01_Input'!$T$61="Palier",IF(AND(CK$20&gt;='01_Input'!$R$61,CK$20&lt;'01_Input'!$S$61),'01_Input'!$U$61,0),MAX(MIN(CK$20,'01_Input'!$S$61)-'01_Input'!$R$61,0)*'01_Input'!$U$61))+IF('01_Input'!$X$61="Forfait",IF(CK$20&gt;='01_Input'!$V$61,'01_Input'!$Y$61,0),IF('01_Input'!$X$61="Palier",IF(AND(CK$20&gt;='01_Input'!$V$61,CK$20&lt;'01_Input'!$W$61),'01_Input'!$Y$61,0),MAX(MIN(CK$20,'01_Input'!$W$61)-'01_Input'!$V$61,0)*'01_Input'!$Y$61))+IF('01_Input'!$AB$61="Forfait",IF(CK$20&gt;='01_Input'!$Z$61,'01_Input'!$AC$61,0),IF('01_Input'!$AB$61="Palier",IF(AND(CK$20&gt;='01_Input'!$Z$61,CK$20&lt;'01_Input'!$AA$61),'01_Input'!$AC$61,0),MAX(MIN(CK$20,'01_Input'!$AA$61)-'01_Input'!$Z$61,0)*'01_Input'!$AC$61)))))))))</f>
        <v>0</v>
      </c>
      <c r="CL29" s="25">
        <f>IF('01_Input'!$C$61="Non",0,MIN('01_Input'!$I$61,MAX('01_Input'!$H$61,IF('01_Input'!$G$61="Résiduel vs Gestion",0,IF('01_Input'!$G$61="Taux Classe sélectionnée",Distrib_Global_Classe_Selectionnee*CL$20,IF('01_Input'!$G$61="Frais KYC (paliers de 100M€)",MAX(0,Nb_Investisseurs-Nb_KYC_Gratuites_Par_Tranche*(FLOOR(CL$20/Taille_Tranche_KYC,1)+1))*Cout_Par_KYC_Supplementaire,(IF('01_Input'!$L$61="Forfait",IF(CL$20&gt;='01_Input'!$J$61,'01_Input'!$M$61,0),IF('01_Input'!$L$61="Palier",IF(AND(CL$20&gt;='01_Input'!$J$61,CL$20&lt;'01_Input'!$K$61),'01_Input'!$M$61,0),MAX(MIN(CL$20,'01_Input'!$K$61)-'01_Input'!$J$61,0)*'01_Input'!$M$61))+IF('01_Input'!$P$61="Forfait",IF(CL$20&gt;='01_Input'!$N$61,'01_Input'!$Q$61,0),IF('01_Input'!$P$61="Palier",IF(AND(CL$20&gt;='01_Input'!$N$61,CL$20&lt;'01_Input'!$O$61),'01_Input'!$Q$61,0),MAX(MIN(CL$20,'01_Input'!$O$61)-'01_Input'!$N$61,0)*'01_Input'!$Q$61))+IF('01_Input'!$T$61="Forfait",IF(CL$20&gt;='01_Input'!$R$61,'01_Input'!$U$61,0),IF('01_Input'!$T$61="Palier",IF(AND(CL$20&gt;='01_Input'!$R$61,CL$20&lt;'01_Input'!$S$61),'01_Input'!$U$61,0),MAX(MIN(CL$20,'01_Input'!$S$61)-'01_Input'!$R$61,0)*'01_Input'!$U$61))+IF('01_Input'!$X$61="Forfait",IF(CL$20&gt;='01_Input'!$V$61,'01_Input'!$Y$61,0),IF('01_Input'!$X$61="Palier",IF(AND(CL$20&gt;='01_Input'!$V$61,CL$20&lt;'01_Input'!$W$61),'01_Input'!$Y$61,0),MAX(MIN(CL$20,'01_Input'!$W$61)-'01_Input'!$V$61,0)*'01_Input'!$Y$61))+IF('01_Input'!$AB$61="Forfait",IF(CL$20&gt;='01_Input'!$Z$61,'01_Input'!$AC$61,0),IF('01_Input'!$AB$61="Palier",IF(AND(CL$20&gt;='01_Input'!$Z$61,CL$20&lt;'01_Input'!$AA$61),'01_Input'!$AC$61,0),MAX(MIN(CL$20,'01_Input'!$AA$61)-'01_Input'!$Z$61,0)*'01_Input'!$AC$61)))))))))</f>
        <v>0</v>
      </c>
      <c r="CM29" s="25">
        <f>IF('01_Input'!$C$61="Non",0,MIN('01_Input'!$I$61,MAX('01_Input'!$H$61,IF('01_Input'!$G$61="Résiduel vs Gestion",0,IF('01_Input'!$G$61="Taux Classe sélectionnée",Distrib_Global_Classe_Selectionnee*CM$20,IF('01_Input'!$G$61="Frais KYC (paliers de 100M€)",MAX(0,Nb_Investisseurs-Nb_KYC_Gratuites_Par_Tranche*(FLOOR(CM$20/Taille_Tranche_KYC,1)+1))*Cout_Par_KYC_Supplementaire,(IF('01_Input'!$L$61="Forfait",IF(CM$20&gt;='01_Input'!$J$61,'01_Input'!$M$61,0),IF('01_Input'!$L$61="Palier",IF(AND(CM$20&gt;='01_Input'!$J$61,CM$20&lt;'01_Input'!$K$61),'01_Input'!$M$61,0),MAX(MIN(CM$20,'01_Input'!$K$61)-'01_Input'!$J$61,0)*'01_Input'!$M$61))+IF('01_Input'!$P$61="Forfait",IF(CM$20&gt;='01_Input'!$N$61,'01_Input'!$Q$61,0),IF('01_Input'!$P$61="Palier",IF(AND(CM$20&gt;='01_Input'!$N$61,CM$20&lt;'01_Input'!$O$61),'01_Input'!$Q$61,0),MAX(MIN(CM$20,'01_Input'!$O$61)-'01_Input'!$N$61,0)*'01_Input'!$Q$61))+IF('01_Input'!$T$61="Forfait",IF(CM$20&gt;='01_Input'!$R$61,'01_Input'!$U$61,0),IF('01_Input'!$T$61="Palier",IF(AND(CM$20&gt;='01_Input'!$R$61,CM$20&lt;'01_Input'!$S$61),'01_Input'!$U$61,0),MAX(MIN(CM$20,'01_Input'!$S$61)-'01_Input'!$R$61,0)*'01_Input'!$U$61))+IF('01_Input'!$X$61="Forfait",IF(CM$20&gt;='01_Input'!$V$61,'01_Input'!$Y$61,0),IF('01_Input'!$X$61="Palier",IF(AND(CM$20&gt;='01_Input'!$V$61,CM$20&lt;'01_Input'!$W$61),'01_Input'!$Y$61,0),MAX(MIN(CM$20,'01_Input'!$W$61)-'01_Input'!$V$61,0)*'01_Input'!$Y$61))+IF('01_Input'!$AB$61="Forfait",IF(CM$20&gt;='01_Input'!$Z$61,'01_Input'!$AC$61,0),IF('01_Input'!$AB$61="Palier",IF(AND(CM$20&gt;='01_Input'!$Z$61,CM$20&lt;'01_Input'!$AA$61),'01_Input'!$AC$61,0),MAX(MIN(CM$20,'01_Input'!$AA$61)-'01_Input'!$Z$61,0)*'01_Input'!$AC$61)))))))))</f>
        <v>0</v>
      </c>
      <c r="CN29" s="25">
        <f>IF('01_Input'!$C$61="Non",0,MIN('01_Input'!$I$61,MAX('01_Input'!$H$61,IF('01_Input'!$G$61="Résiduel vs Gestion",0,IF('01_Input'!$G$61="Taux Classe sélectionnée",Distrib_Global_Classe_Selectionnee*CN$20,IF('01_Input'!$G$61="Frais KYC (paliers de 100M€)",MAX(0,Nb_Investisseurs-Nb_KYC_Gratuites_Par_Tranche*(FLOOR(CN$20/Taille_Tranche_KYC,1)+1))*Cout_Par_KYC_Supplementaire,(IF('01_Input'!$L$61="Forfait",IF(CN$20&gt;='01_Input'!$J$61,'01_Input'!$M$61,0),IF('01_Input'!$L$61="Palier",IF(AND(CN$20&gt;='01_Input'!$J$61,CN$20&lt;'01_Input'!$K$61),'01_Input'!$M$61,0),MAX(MIN(CN$20,'01_Input'!$K$61)-'01_Input'!$J$61,0)*'01_Input'!$M$61))+IF('01_Input'!$P$61="Forfait",IF(CN$20&gt;='01_Input'!$N$61,'01_Input'!$Q$61,0),IF('01_Input'!$P$61="Palier",IF(AND(CN$20&gt;='01_Input'!$N$61,CN$20&lt;'01_Input'!$O$61),'01_Input'!$Q$61,0),MAX(MIN(CN$20,'01_Input'!$O$61)-'01_Input'!$N$61,0)*'01_Input'!$Q$61))+IF('01_Input'!$T$61="Forfait",IF(CN$20&gt;='01_Input'!$R$61,'01_Input'!$U$61,0),IF('01_Input'!$T$61="Palier",IF(AND(CN$20&gt;='01_Input'!$R$61,CN$20&lt;'01_Input'!$S$61),'01_Input'!$U$61,0),MAX(MIN(CN$20,'01_Input'!$S$61)-'01_Input'!$R$61,0)*'01_Input'!$U$61))+IF('01_Input'!$X$61="Forfait",IF(CN$20&gt;='01_Input'!$V$61,'01_Input'!$Y$61,0),IF('01_Input'!$X$61="Palier",IF(AND(CN$20&gt;='01_Input'!$V$61,CN$20&lt;'01_Input'!$W$61),'01_Input'!$Y$61,0),MAX(MIN(CN$20,'01_Input'!$W$61)-'01_Input'!$V$61,0)*'01_Input'!$Y$61))+IF('01_Input'!$AB$61="Forfait",IF(CN$20&gt;='01_Input'!$Z$61,'01_Input'!$AC$61,0),IF('01_Input'!$AB$61="Palier",IF(AND(CN$20&gt;='01_Input'!$Z$61,CN$20&lt;'01_Input'!$AA$61),'01_Input'!$AC$61,0),MAX(MIN(CN$20,'01_Input'!$AA$61)-'01_Input'!$Z$61,0)*'01_Input'!$AC$61)))))))))</f>
        <v>0</v>
      </c>
      <c r="CO29" s="25">
        <f>IF('01_Input'!$C$61="Non",0,MIN('01_Input'!$I$61,MAX('01_Input'!$H$61,IF('01_Input'!$G$61="Résiduel vs Gestion",0,IF('01_Input'!$G$61="Taux Classe sélectionnée",Distrib_Global_Classe_Selectionnee*CO$20,IF('01_Input'!$G$61="Frais KYC (paliers de 100M€)",MAX(0,Nb_Investisseurs-Nb_KYC_Gratuites_Par_Tranche*(FLOOR(CO$20/Taille_Tranche_KYC,1)+1))*Cout_Par_KYC_Supplementaire,(IF('01_Input'!$L$61="Forfait",IF(CO$20&gt;='01_Input'!$J$61,'01_Input'!$M$61,0),IF('01_Input'!$L$61="Palier",IF(AND(CO$20&gt;='01_Input'!$J$61,CO$20&lt;'01_Input'!$K$61),'01_Input'!$M$61,0),MAX(MIN(CO$20,'01_Input'!$K$61)-'01_Input'!$J$61,0)*'01_Input'!$M$61))+IF('01_Input'!$P$61="Forfait",IF(CO$20&gt;='01_Input'!$N$61,'01_Input'!$Q$61,0),IF('01_Input'!$P$61="Palier",IF(AND(CO$20&gt;='01_Input'!$N$61,CO$20&lt;'01_Input'!$O$61),'01_Input'!$Q$61,0),MAX(MIN(CO$20,'01_Input'!$O$61)-'01_Input'!$N$61,0)*'01_Input'!$Q$61))+IF('01_Input'!$T$61="Forfait",IF(CO$20&gt;='01_Input'!$R$61,'01_Input'!$U$61,0),IF('01_Input'!$T$61="Palier",IF(AND(CO$20&gt;='01_Input'!$R$61,CO$20&lt;'01_Input'!$S$61),'01_Input'!$U$61,0),MAX(MIN(CO$20,'01_Input'!$S$61)-'01_Input'!$R$61,0)*'01_Input'!$U$61))+IF('01_Input'!$X$61="Forfait",IF(CO$20&gt;='01_Input'!$V$61,'01_Input'!$Y$61,0),IF('01_Input'!$X$61="Palier",IF(AND(CO$20&gt;='01_Input'!$V$61,CO$20&lt;'01_Input'!$W$61),'01_Input'!$Y$61,0),MAX(MIN(CO$20,'01_Input'!$W$61)-'01_Input'!$V$61,0)*'01_Input'!$Y$61))+IF('01_Input'!$AB$61="Forfait",IF(CO$20&gt;='01_Input'!$Z$61,'01_Input'!$AC$61,0),IF('01_Input'!$AB$61="Palier",IF(AND(CO$20&gt;='01_Input'!$Z$61,CO$20&lt;'01_Input'!$AA$61),'01_Input'!$AC$61,0),MAX(MIN(CO$20,'01_Input'!$AA$61)-'01_Input'!$Z$61,0)*'01_Input'!$AC$61)))))))))</f>
        <v>0</v>
      </c>
      <c r="CP29" s="25">
        <f>IF('01_Input'!$C$61="Non",0,MIN('01_Input'!$I$61,MAX('01_Input'!$H$61,IF('01_Input'!$G$61="Résiduel vs Gestion",0,IF('01_Input'!$G$61="Taux Classe sélectionnée",Distrib_Global_Classe_Selectionnee*CP$20,IF('01_Input'!$G$61="Frais KYC (paliers de 100M€)",MAX(0,Nb_Investisseurs-Nb_KYC_Gratuites_Par_Tranche*(FLOOR(CP$20/Taille_Tranche_KYC,1)+1))*Cout_Par_KYC_Supplementaire,(IF('01_Input'!$L$61="Forfait",IF(CP$20&gt;='01_Input'!$J$61,'01_Input'!$M$61,0),IF('01_Input'!$L$61="Palier",IF(AND(CP$20&gt;='01_Input'!$J$61,CP$20&lt;'01_Input'!$K$61),'01_Input'!$M$61,0),MAX(MIN(CP$20,'01_Input'!$K$61)-'01_Input'!$J$61,0)*'01_Input'!$M$61))+IF('01_Input'!$P$61="Forfait",IF(CP$20&gt;='01_Input'!$N$61,'01_Input'!$Q$61,0),IF('01_Input'!$P$61="Palier",IF(AND(CP$20&gt;='01_Input'!$N$61,CP$20&lt;'01_Input'!$O$61),'01_Input'!$Q$61,0),MAX(MIN(CP$20,'01_Input'!$O$61)-'01_Input'!$N$61,0)*'01_Input'!$Q$61))+IF('01_Input'!$T$61="Forfait",IF(CP$20&gt;='01_Input'!$R$61,'01_Input'!$U$61,0),IF('01_Input'!$T$61="Palier",IF(AND(CP$20&gt;='01_Input'!$R$61,CP$20&lt;'01_Input'!$S$61),'01_Input'!$U$61,0),MAX(MIN(CP$20,'01_Input'!$S$61)-'01_Input'!$R$61,0)*'01_Input'!$U$61))+IF('01_Input'!$X$61="Forfait",IF(CP$20&gt;='01_Input'!$V$61,'01_Input'!$Y$61,0),IF('01_Input'!$X$61="Palier",IF(AND(CP$20&gt;='01_Input'!$V$61,CP$20&lt;'01_Input'!$W$61),'01_Input'!$Y$61,0),MAX(MIN(CP$20,'01_Input'!$W$61)-'01_Input'!$V$61,0)*'01_Input'!$Y$61))+IF('01_Input'!$AB$61="Forfait",IF(CP$20&gt;='01_Input'!$Z$61,'01_Input'!$AC$61,0),IF('01_Input'!$AB$61="Palier",IF(AND(CP$20&gt;='01_Input'!$Z$61,CP$20&lt;'01_Input'!$AA$61),'01_Input'!$AC$61,0),MAX(MIN(CP$20,'01_Input'!$AA$61)-'01_Input'!$Z$61,0)*'01_Input'!$AC$61)))))))))</f>
        <v>0</v>
      </c>
      <c r="CQ29" s="25">
        <f>IF('01_Input'!$C$61="Non",0,MIN('01_Input'!$I$61,MAX('01_Input'!$H$61,IF('01_Input'!$G$61="Résiduel vs Gestion",0,IF('01_Input'!$G$61="Taux Classe sélectionnée",Distrib_Global_Classe_Selectionnee*CQ$20,IF('01_Input'!$G$61="Frais KYC (paliers de 100M€)",MAX(0,Nb_Investisseurs-Nb_KYC_Gratuites_Par_Tranche*(FLOOR(CQ$20/Taille_Tranche_KYC,1)+1))*Cout_Par_KYC_Supplementaire,(IF('01_Input'!$L$61="Forfait",IF(CQ$20&gt;='01_Input'!$J$61,'01_Input'!$M$61,0),IF('01_Input'!$L$61="Palier",IF(AND(CQ$20&gt;='01_Input'!$J$61,CQ$20&lt;'01_Input'!$K$61),'01_Input'!$M$61,0),MAX(MIN(CQ$20,'01_Input'!$K$61)-'01_Input'!$J$61,0)*'01_Input'!$M$61))+IF('01_Input'!$P$61="Forfait",IF(CQ$20&gt;='01_Input'!$N$61,'01_Input'!$Q$61,0),IF('01_Input'!$P$61="Palier",IF(AND(CQ$20&gt;='01_Input'!$N$61,CQ$20&lt;'01_Input'!$O$61),'01_Input'!$Q$61,0),MAX(MIN(CQ$20,'01_Input'!$O$61)-'01_Input'!$N$61,0)*'01_Input'!$Q$61))+IF('01_Input'!$T$61="Forfait",IF(CQ$20&gt;='01_Input'!$R$61,'01_Input'!$U$61,0),IF('01_Input'!$T$61="Palier",IF(AND(CQ$20&gt;='01_Input'!$R$61,CQ$20&lt;'01_Input'!$S$61),'01_Input'!$U$61,0),MAX(MIN(CQ$20,'01_Input'!$S$61)-'01_Input'!$R$61,0)*'01_Input'!$U$61))+IF('01_Input'!$X$61="Forfait",IF(CQ$20&gt;='01_Input'!$V$61,'01_Input'!$Y$61,0),IF('01_Input'!$X$61="Palier",IF(AND(CQ$20&gt;='01_Input'!$V$61,CQ$20&lt;'01_Input'!$W$61),'01_Input'!$Y$61,0),MAX(MIN(CQ$20,'01_Input'!$W$61)-'01_Input'!$V$61,0)*'01_Input'!$Y$61))+IF('01_Input'!$AB$61="Forfait",IF(CQ$20&gt;='01_Input'!$Z$61,'01_Input'!$AC$61,0),IF('01_Input'!$AB$61="Palier",IF(AND(CQ$20&gt;='01_Input'!$Z$61,CQ$20&lt;'01_Input'!$AA$61),'01_Input'!$AC$61,0),MAX(MIN(CQ$20,'01_Input'!$AA$61)-'01_Input'!$Z$61,0)*'01_Input'!$AC$61)))))))))</f>
        <v>0</v>
      </c>
      <c r="CR29" s="25">
        <f>IF('01_Input'!$C$61="Non",0,MIN('01_Input'!$I$61,MAX('01_Input'!$H$61,IF('01_Input'!$G$61="Résiduel vs Gestion",0,IF('01_Input'!$G$61="Taux Classe sélectionnée",Distrib_Global_Classe_Selectionnee*CR$20,IF('01_Input'!$G$61="Frais KYC (paliers de 100M€)",MAX(0,Nb_Investisseurs-Nb_KYC_Gratuites_Par_Tranche*(FLOOR(CR$20/Taille_Tranche_KYC,1)+1))*Cout_Par_KYC_Supplementaire,(IF('01_Input'!$L$61="Forfait",IF(CR$20&gt;='01_Input'!$J$61,'01_Input'!$M$61,0),IF('01_Input'!$L$61="Palier",IF(AND(CR$20&gt;='01_Input'!$J$61,CR$20&lt;'01_Input'!$K$61),'01_Input'!$M$61,0),MAX(MIN(CR$20,'01_Input'!$K$61)-'01_Input'!$J$61,0)*'01_Input'!$M$61))+IF('01_Input'!$P$61="Forfait",IF(CR$20&gt;='01_Input'!$N$61,'01_Input'!$Q$61,0),IF('01_Input'!$P$61="Palier",IF(AND(CR$20&gt;='01_Input'!$N$61,CR$20&lt;'01_Input'!$O$61),'01_Input'!$Q$61,0),MAX(MIN(CR$20,'01_Input'!$O$61)-'01_Input'!$N$61,0)*'01_Input'!$Q$61))+IF('01_Input'!$T$61="Forfait",IF(CR$20&gt;='01_Input'!$R$61,'01_Input'!$U$61,0),IF('01_Input'!$T$61="Palier",IF(AND(CR$20&gt;='01_Input'!$R$61,CR$20&lt;'01_Input'!$S$61),'01_Input'!$U$61,0),MAX(MIN(CR$20,'01_Input'!$S$61)-'01_Input'!$R$61,0)*'01_Input'!$U$61))+IF('01_Input'!$X$61="Forfait",IF(CR$20&gt;='01_Input'!$V$61,'01_Input'!$Y$61,0),IF('01_Input'!$X$61="Palier",IF(AND(CR$20&gt;='01_Input'!$V$61,CR$20&lt;'01_Input'!$W$61),'01_Input'!$Y$61,0),MAX(MIN(CR$20,'01_Input'!$W$61)-'01_Input'!$V$61,0)*'01_Input'!$Y$61))+IF('01_Input'!$AB$61="Forfait",IF(CR$20&gt;='01_Input'!$Z$61,'01_Input'!$AC$61,0),IF('01_Input'!$AB$61="Palier",IF(AND(CR$20&gt;='01_Input'!$Z$61,CR$20&lt;'01_Input'!$AA$61),'01_Input'!$AC$61,0),MAX(MIN(CR$20,'01_Input'!$AA$61)-'01_Input'!$Z$61,0)*'01_Input'!$AC$61)))))))))</f>
        <v>0</v>
      </c>
      <c r="CS29" s="25">
        <f>IF('01_Input'!$C$61="Non",0,MIN('01_Input'!$I$61,MAX('01_Input'!$H$61,IF('01_Input'!$G$61="Résiduel vs Gestion",0,IF('01_Input'!$G$61="Taux Classe sélectionnée",Distrib_Global_Classe_Selectionnee*CS$20,IF('01_Input'!$G$61="Frais KYC (paliers de 100M€)",MAX(0,Nb_Investisseurs-Nb_KYC_Gratuites_Par_Tranche*(FLOOR(CS$20/Taille_Tranche_KYC,1)+1))*Cout_Par_KYC_Supplementaire,(IF('01_Input'!$L$61="Forfait",IF(CS$20&gt;='01_Input'!$J$61,'01_Input'!$M$61,0),IF('01_Input'!$L$61="Palier",IF(AND(CS$20&gt;='01_Input'!$J$61,CS$20&lt;'01_Input'!$K$61),'01_Input'!$M$61,0),MAX(MIN(CS$20,'01_Input'!$K$61)-'01_Input'!$J$61,0)*'01_Input'!$M$61))+IF('01_Input'!$P$61="Forfait",IF(CS$20&gt;='01_Input'!$N$61,'01_Input'!$Q$61,0),IF('01_Input'!$P$61="Palier",IF(AND(CS$20&gt;='01_Input'!$N$61,CS$20&lt;'01_Input'!$O$61),'01_Input'!$Q$61,0),MAX(MIN(CS$20,'01_Input'!$O$61)-'01_Input'!$N$61,0)*'01_Input'!$Q$61))+IF('01_Input'!$T$61="Forfait",IF(CS$20&gt;='01_Input'!$R$61,'01_Input'!$U$61,0),IF('01_Input'!$T$61="Palier",IF(AND(CS$20&gt;='01_Input'!$R$61,CS$20&lt;'01_Input'!$S$61),'01_Input'!$U$61,0),MAX(MIN(CS$20,'01_Input'!$S$61)-'01_Input'!$R$61,0)*'01_Input'!$U$61))+IF('01_Input'!$X$61="Forfait",IF(CS$20&gt;='01_Input'!$V$61,'01_Input'!$Y$61,0),IF('01_Input'!$X$61="Palier",IF(AND(CS$20&gt;='01_Input'!$V$61,CS$20&lt;'01_Input'!$W$61),'01_Input'!$Y$61,0),MAX(MIN(CS$20,'01_Input'!$W$61)-'01_Input'!$V$61,0)*'01_Input'!$Y$61))+IF('01_Input'!$AB$61="Forfait",IF(CS$20&gt;='01_Input'!$Z$61,'01_Input'!$AC$61,0),IF('01_Input'!$AB$61="Palier",IF(AND(CS$20&gt;='01_Input'!$Z$61,CS$20&lt;'01_Input'!$AA$61),'01_Input'!$AC$61,0),MAX(MIN(CS$20,'01_Input'!$AA$61)-'01_Input'!$Z$61,0)*'01_Input'!$AC$61)))))))))</f>
        <v>0</v>
      </c>
      <c r="CT29" s="25">
        <f>IF('01_Input'!$C$61="Non",0,MIN('01_Input'!$I$61,MAX('01_Input'!$H$61,IF('01_Input'!$G$61="Résiduel vs Gestion",0,IF('01_Input'!$G$61="Taux Classe sélectionnée",Distrib_Global_Classe_Selectionnee*CT$20,IF('01_Input'!$G$61="Frais KYC (paliers de 100M€)",MAX(0,Nb_Investisseurs-Nb_KYC_Gratuites_Par_Tranche*(FLOOR(CT$20/Taille_Tranche_KYC,1)+1))*Cout_Par_KYC_Supplementaire,(IF('01_Input'!$L$61="Forfait",IF(CT$20&gt;='01_Input'!$J$61,'01_Input'!$M$61,0),IF('01_Input'!$L$61="Palier",IF(AND(CT$20&gt;='01_Input'!$J$61,CT$20&lt;'01_Input'!$K$61),'01_Input'!$M$61,0),MAX(MIN(CT$20,'01_Input'!$K$61)-'01_Input'!$J$61,0)*'01_Input'!$M$61))+IF('01_Input'!$P$61="Forfait",IF(CT$20&gt;='01_Input'!$N$61,'01_Input'!$Q$61,0),IF('01_Input'!$P$61="Palier",IF(AND(CT$20&gt;='01_Input'!$N$61,CT$20&lt;'01_Input'!$O$61),'01_Input'!$Q$61,0),MAX(MIN(CT$20,'01_Input'!$O$61)-'01_Input'!$N$61,0)*'01_Input'!$Q$61))+IF('01_Input'!$T$61="Forfait",IF(CT$20&gt;='01_Input'!$R$61,'01_Input'!$U$61,0),IF('01_Input'!$T$61="Palier",IF(AND(CT$20&gt;='01_Input'!$R$61,CT$20&lt;'01_Input'!$S$61),'01_Input'!$U$61,0),MAX(MIN(CT$20,'01_Input'!$S$61)-'01_Input'!$R$61,0)*'01_Input'!$U$61))+IF('01_Input'!$X$61="Forfait",IF(CT$20&gt;='01_Input'!$V$61,'01_Input'!$Y$61,0),IF('01_Input'!$X$61="Palier",IF(AND(CT$20&gt;='01_Input'!$V$61,CT$20&lt;'01_Input'!$W$61),'01_Input'!$Y$61,0),MAX(MIN(CT$20,'01_Input'!$W$61)-'01_Input'!$V$61,0)*'01_Input'!$Y$61))+IF('01_Input'!$AB$61="Forfait",IF(CT$20&gt;='01_Input'!$Z$61,'01_Input'!$AC$61,0),IF('01_Input'!$AB$61="Palier",IF(AND(CT$20&gt;='01_Input'!$Z$61,CT$20&lt;'01_Input'!$AA$61),'01_Input'!$AC$61,0),MAX(MIN(CT$20,'01_Input'!$AA$61)-'01_Input'!$Z$61,0)*'01_Input'!$AC$61)))))))))</f>
        <v>0</v>
      </c>
      <c r="CU29" s="25">
        <f>IF('01_Input'!$C$61="Non",0,MIN('01_Input'!$I$61,MAX('01_Input'!$H$61,IF('01_Input'!$G$61="Résiduel vs Gestion",0,IF('01_Input'!$G$61="Taux Classe sélectionnée",Distrib_Global_Classe_Selectionnee*CU$20,IF('01_Input'!$G$61="Frais KYC (paliers de 100M€)",MAX(0,Nb_Investisseurs-Nb_KYC_Gratuites_Par_Tranche*(FLOOR(CU$20/Taille_Tranche_KYC,1)+1))*Cout_Par_KYC_Supplementaire,(IF('01_Input'!$L$61="Forfait",IF(CU$20&gt;='01_Input'!$J$61,'01_Input'!$M$61,0),IF('01_Input'!$L$61="Palier",IF(AND(CU$20&gt;='01_Input'!$J$61,CU$20&lt;'01_Input'!$K$61),'01_Input'!$M$61,0),MAX(MIN(CU$20,'01_Input'!$K$61)-'01_Input'!$J$61,0)*'01_Input'!$M$61))+IF('01_Input'!$P$61="Forfait",IF(CU$20&gt;='01_Input'!$N$61,'01_Input'!$Q$61,0),IF('01_Input'!$P$61="Palier",IF(AND(CU$20&gt;='01_Input'!$N$61,CU$20&lt;'01_Input'!$O$61),'01_Input'!$Q$61,0),MAX(MIN(CU$20,'01_Input'!$O$61)-'01_Input'!$N$61,0)*'01_Input'!$Q$61))+IF('01_Input'!$T$61="Forfait",IF(CU$20&gt;='01_Input'!$R$61,'01_Input'!$U$61,0),IF('01_Input'!$T$61="Palier",IF(AND(CU$20&gt;='01_Input'!$R$61,CU$20&lt;'01_Input'!$S$61),'01_Input'!$U$61,0),MAX(MIN(CU$20,'01_Input'!$S$61)-'01_Input'!$R$61,0)*'01_Input'!$U$61))+IF('01_Input'!$X$61="Forfait",IF(CU$20&gt;='01_Input'!$V$61,'01_Input'!$Y$61,0),IF('01_Input'!$X$61="Palier",IF(AND(CU$20&gt;='01_Input'!$V$61,CU$20&lt;'01_Input'!$W$61),'01_Input'!$Y$61,0),MAX(MIN(CU$20,'01_Input'!$W$61)-'01_Input'!$V$61,0)*'01_Input'!$Y$61))+IF('01_Input'!$AB$61="Forfait",IF(CU$20&gt;='01_Input'!$Z$61,'01_Input'!$AC$61,0),IF('01_Input'!$AB$61="Palier",IF(AND(CU$20&gt;='01_Input'!$Z$61,CU$20&lt;'01_Input'!$AA$61),'01_Input'!$AC$61,0),MAX(MIN(CU$20,'01_Input'!$AA$61)-'01_Input'!$Z$61,0)*'01_Input'!$AC$61)))))))))</f>
        <v>0</v>
      </c>
      <c r="CV29" s="25">
        <f>IF('01_Input'!$C$61="Non",0,MIN('01_Input'!$I$61,MAX('01_Input'!$H$61,IF('01_Input'!$G$61="Résiduel vs Gestion",0,IF('01_Input'!$G$61="Taux Classe sélectionnée",Distrib_Global_Classe_Selectionnee*CV$20,IF('01_Input'!$G$61="Frais KYC (paliers de 100M€)",MAX(0,Nb_Investisseurs-Nb_KYC_Gratuites_Par_Tranche*(FLOOR(CV$20/Taille_Tranche_KYC,1)+1))*Cout_Par_KYC_Supplementaire,(IF('01_Input'!$L$61="Forfait",IF(CV$20&gt;='01_Input'!$J$61,'01_Input'!$M$61,0),IF('01_Input'!$L$61="Palier",IF(AND(CV$20&gt;='01_Input'!$J$61,CV$20&lt;'01_Input'!$K$61),'01_Input'!$M$61,0),MAX(MIN(CV$20,'01_Input'!$K$61)-'01_Input'!$J$61,0)*'01_Input'!$M$61))+IF('01_Input'!$P$61="Forfait",IF(CV$20&gt;='01_Input'!$N$61,'01_Input'!$Q$61,0),IF('01_Input'!$P$61="Palier",IF(AND(CV$20&gt;='01_Input'!$N$61,CV$20&lt;'01_Input'!$O$61),'01_Input'!$Q$61,0),MAX(MIN(CV$20,'01_Input'!$O$61)-'01_Input'!$N$61,0)*'01_Input'!$Q$61))+IF('01_Input'!$T$61="Forfait",IF(CV$20&gt;='01_Input'!$R$61,'01_Input'!$U$61,0),IF('01_Input'!$T$61="Palier",IF(AND(CV$20&gt;='01_Input'!$R$61,CV$20&lt;'01_Input'!$S$61),'01_Input'!$U$61,0),MAX(MIN(CV$20,'01_Input'!$S$61)-'01_Input'!$R$61,0)*'01_Input'!$U$61))+IF('01_Input'!$X$61="Forfait",IF(CV$20&gt;='01_Input'!$V$61,'01_Input'!$Y$61,0),IF('01_Input'!$X$61="Palier",IF(AND(CV$20&gt;='01_Input'!$V$61,CV$20&lt;'01_Input'!$W$61),'01_Input'!$Y$61,0),MAX(MIN(CV$20,'01_Input'!$W$61)-'01_Input'!$V$61,0)*'01_Input'!$Y$61))+IF('01_Input'!$AB$61="Forfait",IF(CV$20&gt;='01_Input'!$Z$61,'01_Input'!$AC$61,0),IF('01_Input'!$AB$61="Palier",IF(AND(CV$20&gt;='01_Input'!$Z$61,CV$20&lt;'01_Input'!$AA$61),'01_Input'!$AC$61,0),MAX(MIN(CV$20,'01_Input'!$AA$61)-'01_Input'!$Z$61,0)*'01_Input'!$AC$61)))))))))</f>
        <v>0</v>
      </c>
      <c r="CW29" s="25">
        <f>IF('01_Input'!$C$61="Non",0,MIN('01_Input'!$I$61,MAX('01_Input'!$H$61,IF('01_Input'!$G$61="Résiduel vs Gestion",0,IF('01_Input'!$G$61="Taux Classe sélectionnée",Distrib_Global_Classe_Selectionnee*CW$20,IF('01_Input'!$G$61="Frais KYC (paliers de 100M€)",MAX(0,Nb_Investisseurs-Nb_KYC_Gratuites_Par_Tranche*(FLOOR(CW$20/Taille_Tranche_KYC,1)+1))*Cout_Par_KYC_Supplementaire,(IF('01_Input'!$L$61="Forfait",IF(CW$20&gt;='01_Input'!$J$61,'01_Input'!$M$61,0),IF('01_Input'!$L$61="Palier",IF(AND(CW$20&gt;='01_Input'!$J$61,CW$20&lt;'01_Input'!$K$61),'01_Input'!$M$61,0),MAX(MIN(CW$20,'01_Input'!$K$61)-'01_Input'!$J$61,0)*'01_Input'!$M$61))+IF('01_Input'!$P$61="Forfait",IF(CW$20&gt;='01_Input'!$N$61,'01_Input'!$Q$61,0),IF('01_Input'!$P$61="Palier",IF(AND(CW$20&gt;='01_Input'!$N$61,CW$20&lt;'01_Input'!$O$61),'01_Input'!$Q$61,0),MAX(MIN(CW$20,'01_Input'!$O$61)-'01_Input'!$N$61,0)*'01_Input'!$Q$61))+IF('01_Input'!$T$61="Forfait",IF(CW$20&gt;='01_Input'!$R$61,'01_Input'!$U$61,0),IF('01_Input'!$T$61="Palier",IF(AND(CW$20&gt;='01_Input'!$R$61,CW$20&lt;'01_Input'!$S$61),'01_Input'!$U$61,0),MAX(MIN(CW$20,'01_Input'!$S$61)-'01_Input'!$R$61,0)*'01_Input'!$U$61))+IF('01_Input'!$X$61="Forfait",IF(CW$20&gt;='01_Input'!$V$61,'01_Input'!$Y$61,0),IF('01_Input'!$X$61="Palier",IF(AND(CW$20&gt;='01_Input'!$V$61,CW$20&lt;'01_Input'!$W$61),'01_Input'!$Y$61,0),MAX(MIN(CW$20,'01_Input'!$W$61)-'01_Input'!$V$61,0)*'01_Input'!$Y$61))+IF('01_Input'!$AB$61="Forfait",IF(CW$20&gt;='01_Input'!$Z$61,'01_Input'!$AC$61,0),IF('01_Input'!$AB$61="Palier",IF(AND(CW$20&gt;='01_Input'!$Z$61,CW$20&lt;'01_Input'!$AA$61),'01_Input'!$AC$61,0),MAX(MIN(CW$20,'01_Input'!$AA$61)-'01_Input'!$Z$61,0)*'01_Input'!$AC$61)))))))))</f>
        <v>0</v>
      </c>
      <c r="CX29" s="25">
        <f>IF('01_Input'!$C$61="Non",0,MIN('01_Input'!$I$61,MAX('01_Input'!$H$61,IF('01_Input'!$G$61="Résiduel vs Gestion",0,IF('01_Input'!$G$61="Taux Classe sélectionnée",Distrib_Global_Classe_Selectionnee*CX$20,IF('01_Input'!$G$61="Frais KYC (paliers de 100M€)",MAX(0,Nb_Investisseurs-Nb_KYC_Gratuites_Par_Tranche*(FLOOR(CX$20/Taille_Tranche_KYC,1)+1))*Cout_Par_KYC_Supplementaire,(IF('01_Input'!$L$61="Forfait",IF(CX$20&gt;='01_Input'!$J$61,'01_Input'!$M$61,0),IF('01_Input'!$L$61="Palier",IF(AND(CX$20&gt;='01_Input'!$J$61,CX$20&lt;'01_Input'!$K$61),'01_Input'!$M$61,0),MAX(MIN(CX$20,'01_Input'!$K$61)-'01_Input'!$J$61,0)*'01_Input'!$M$61))+IF('01_Input'!$P$61="Forfait",IF(CX$20&gt;='01_Input'!$N$61,'01_Input'!$Q$61,0),IF('01_Input'!$P$61="Palier",IF(AND(CX$20&gt;='01_Input'!$N$61,CX$20&lt;'01_Input'!$O$61),'01_Input'!$Q$61,0),MAX(MIN(CX$20,'01_Input'!$O$61)-'01_Input'!$N$61,0)*'01_Input'!$Q$61))+IF('01_Input'!$T$61="Forfait",IF(CX$20&gt;='01_Input'!$R$61,'01_Input'!$U$61,0),IF('01_Input'!$T$61="Palier",IF(AND(CX$20&gt;='01_Input'!$R$61,CX$20&lt;'01_Input'!$S$61),'01_Input'!$U$61,0),MAX(MIN(CX$20,'01_Input'!$S$61)-'01_Input'!$R$61,0)*'01_Input'!$U$61))+IF('01_Input'!$X$61="Forfait",IF(CX$20&gt;='01_Input'!$V$61,'01_Input'!$Y$61,0),IF('01_Input'!$X$61="Palier",IF(AND(CX$20&gt;='01_Input'!$V$61,CX$20&lt;'01_Input'!$W$61),'01_Input'!$Y$61,0),MAX(MIN(CX$20,'01_Input'!$W$61)-'01_Input'!$V$61,0)*'01_Input'!$Y$61))+IF('01_Input'!$AB$61="Forfait",IF(CX$20&gt;='01_Input'!$Z$61,'01_Input'!$AC$61,0),IF('01_Input'!$AB$61="Palier",IF(AND(CX$20&gt;='01_Input'!$Z$61,CX$20&lt;'01_Input'!$AA$61),'01_Input'!$AC$61,0),MAX(MIN(CX$20,'01_Input'!$AA$61)-'01_Input'!$Z$61,0)*'01_Input'!$AC$61)))))))))</f>
        <v>0</v>
      </c>
      <c r="CY29" s="25">
        <f>IF('01_Input'!$C$61="Non",0,MIN('01_Input'!$I$61,MAX('01_Input'!$H$61,IF('01_Input'!$G$61="Résiduel vs Gestion",0,IF('01_Input'!$G$61="Taux Classe sélectionnée",Distrib_Global_Classe_Selectionnee*CY$20,IF('01_Input'!$G$61="Frais KYC (paliers de 100M€)",MAX(0,Nb_Investisseurs-Nb_KYC_Gratuites_Par_Tranche*(FLOOR(CY$20/Taille_Tranche_KYC,1)+1))*Cout_Par_KYC_Supplementaire,(IF('01_Input'!$L$61="Forfait",IF(CY$20&gt;='01_Input'!$J$61,'01_Input'!$M$61,0),IF('01_Input'!$L$61="Palier",IF(AND(CY$20&gt;='01_Input'!$J$61,CY$20&lt;'01_Input'!$K$61),'01_Input'!$M$61,0),MAX(MIN(CY$20,'01_Input'!$K$61)-'01_Input'!$J$61,0)*'01_Input'!$M$61))+IF('01_Input'!$P$61="Forfait",IF(CY$20&gt;='01_Input'!$N$61,'01_Input'!$Q$61,0),IF('01_Input'!$P$61="Palier",IF(AND(CY$20&gt;='01_Input'!$N$61,CY$20&lt;'01_Input'!$O$61),'01_Input'!$Q$61,0),MAX(MIN(CY$20,'01_Input'!$O$61)-'01_Input'!$N$61,0)*'01_Input'!$Q$61))+IF('01_Input'!$T$61="Forfait",IF(CY$20&gt;='01_Input'!$R$61,'01_Input'!$U$61,0),IF('01_Input'!$T$61="Palier",IF(AND(CY$20&gt;='01_Input'!$R$61,CY$20&lt;'01_Input'!$S$61),'01_Input'!$U$61,0),MAX(MIN(CY$20,'01_Input'!$S$61)-'01_Input'!$R$61,0)*'01_Input'!$U$61))+IF('01_Input'!$X$61="Forfait",IF(CY$20&gt;='01_Input'!$V$61,'01_Input'!$Y$61,0),IF('01_Input'!$X$61="Palier",IF(AND(CY$20&gt;='01_Input'!$V$61,CY$20&lt;'01_Input'!$W$61),'01_Input'!$Y$61,0),MAX(MIN(CY$20,'01_Input'!$W$61)-'01_Input'!$V$61,0)*'01_Input'!$Y$61))+IF('01_Input'!$AB$61="Forfait",IF(CY$20&gt;='01_Input'!$Z$61,'01_Input'!$AC$61,0),IF('01_Input'!$AB$61="Palier",IF(AND(CY$20&gt;='01_Input'!$Z$61,CY$20&lt;'01_Input'!$AA$61),'01_Input'!$AC$61,0),MAX(MIN(CY$20,'01_Input'!$AA$61)-'01_Input'!$Z$61,0)*'01_Input'!$AC$61)))))))))</f>
        <v>0</v>
      </c>
      <c r="CZ29" s="25">
        <f>IF('01_Input'!$C$61="Non",0,MIN('01_Input'!$I$61,MAX('01_Input'!$H$61,IF('01_Input'!$G$61="Résiduel vs Gestion",0,IF('01_Input'!$G$61="Taux Classe sélectionnée",Distrib_Global_Classe_Selectionnee*CZ$20,IF('01_Input'!$G$61="Frais KYC (paliers de 100M€)",MAX(0,Nb_Investisseurs-Nb_KYC_Gratuites_Par_Tranche*(FLOOR(CZ$20/Taille_Tranche_KYC,1)+1))*Cout_Par_KYC_Supplementaire,(IF('01_Input'!$L$61="Forfait",IF(CZ$20&gt;='01_Input'!$J$61,'01_Input'!$M$61,0),IF('01_Input'!$L$61="Palier",IF(AND(CZ$20&gt;='01_Input'!$J$61,CZ$20&lt;'01_Input'!$K$61),'01_Input'!$M$61,0),MAX(MIN(CZ$20,'01_Input'!$K$61)-'01_Input'!$J$61,0)*'01_Input'!$M$61))+IF('01_Input'!$P$61="Forfait",IF(CZ$20&gt;='01_Input'!$N$61,'01_Input'!$Q$61,0),IF('01_Input'!$P$61="Palier",IF(AND(CZ$20&gt;='01_Input'!$N$61,CZ$20&lt;'01_Input'!$O$61),'01_Input'!$Q$61,0),MAX(MIN(CZ$20,'01_Input'!$O$61)-'01_Input'!$N$61,0)*'01_Input'!$Q$61))+IF('01_Input'!$T$61="Forfait",IF(CZ$20&gt;='01_Input'!$R$61,'01_Input'!$U$61,0),IF('01_Input'!$T$61="Palier",IF(AND(CZ$20&gt;='01_Input'!$R$61,CZ$20&lt;'01_Input'!$S$61),'01_Input'!$U$61,0),MAX(MIN(CZ$20,'01_Input'!$S$61)-'01_Input'!$R$61,0)*'01_Input'!$U$61))+IF('01_Input'!$X$61="Forfait",IF(CZ$20&gt;='01_Input'!$V$61,'01_Input'!$Y$61,0),IF('01_Input'!$X$61="Palier",IF(AND(CZ$20&gt;='01_Input'!$V$61,CZ$20&lt;'01_Input'!$W$61),'01_Input'!$Y$61,0),MAX(MIN(CZ$20,'01_Input'!$W$61)-'01_Input'!$V$61,0)*'01_Input'!$Y$61))+IF('01_Input'!$AB$61="Forfait",IF(CZ$20&gt;='01_Input'!$Z$61,'01_Input'!$AC$61,0),IF('01_Input'!$AB$61="Palier",IF(AND(CZ$20&gt;='01_Input'!$Z$61,CZ$20&lt;'01_Input'!$AA$61),'01_Input'!$AC$61,0),MAX(MIN(CZ$20,'01_Input'!$AA$61)-'01_Input'!$Z$61,0)*'01_Input'!$AC$61)))))))))</f>
        <v>0</v>
      </c>
      <c r="DA29" s="25">
        <f>IF('01_Input'!$C$61="Non",0,MIN('01_Input'!$I$61,MAX('01_Input'!$H$61,IF('01_Input'!$G$61="Résiduel vs Gestion",0,IF('01_Input'!$G$61="Taux Classe sélectionnée",Distrib_Global_Classe_Selectionnee*DA$20,IF('01_Input'!$G$61="Frais KYC (paliers de 100M€)",MAX(0,Nb_Investisseurs-Nb_KYC_Gratuites_Par_Tranche*(FLOOR(DA$20/Taille_Tranche_KYC,1)+1))*Cout_Par_KYC_Supplementaire,(IF('01_Input'!$L$61="Forfait",IF(DA$20&gt;='01_Input'!$J$61,'01_Input'!$M$61,0),IF('01_Input'!$L$61="Palier",IF(AND(DA$20&gt;='01_Input'!$J$61,DA$20&lt;'01_Input'!$K$61),'01_Input'!$M$61,0),MAX(MIN(DA$20,'01_Input'!$K$61)-'01_Input'!$J$61,0)*'01_Input'!$M$61))+IF('01_Input'!$P$61="Forfait",IF(DA$20&gt;='01_Input'!$N$61,'01_Input'!$Q$61,0),IF('01_Input'!$P$61="Palier",IF(AND(DA$20&gt;='01_Input'!$N$61,DA$20&lt;'01_Input'!$O$61),'01_Input'!$Q$61,0),MAX(MIN(DA$20,'01_Input'!$O$61)-'01_Input'!$N$61,0)*'01_Input'!$Q$61))+IF('01_Input'!$T$61="Forfait",IF(DA$20&gt;='01_Input'!$R$61,'01_Input'!$U$61,0),IF('01_Input'!$T$61="Palier",IF(AND(DA$20&gt;='01_Input'!$R$61,DA$20&lt;'01_Input'!$S$61),'01_Input'!$U$61,0),MAX(MIN(DA$20,'01_Input'!$S$61)-'01_Input'!$R$61,0)*'01_Input'!$U$61))+IF('01_Input'!$X$61="Forfait",IF(DA$20&gt;='01_Input'!$V$61,'01_Input'!$Y$61,0),IF('01_Input'!$X$61="Palier",IF(AND(DA$20&gt;='01_Input'!$V$61,DA$20&lt;'01_Input'!$W$61),'01_Input'!$Y$61,0),MAX(MIN(DA$20,'01_Input'!$W$61)-'01_Input'!$V$61,0)*'01_Input'!$Y$61))+IF('01_Input'!$AB$61="Forfait",IF(DA$20&gt;='01_Input'!$Z$61,'01_Input'!$AC$61,0),IF('01_Input'!$AB$61="Palier",IF(AND(DA$20&gt;='01_Input'!$Z$61,DA$20&lt;'01_Input'!$AA$61),'01_Input'!$AC$61,0),MAX(MIN(DA$20,'01_Input'!$AA$61)-'01_Input'!$Z$61,0)*'01_Input'!$AC$61)))))))))</f>
        <v>0</v>
      </c>
      <c r="DB29" s="25">
        <f>IF('01_Input'!$C$61="Non",0,MIN('01_Input'!$I$61,MAX('01_Input'!$H$61,IF('01_Input'!$G$61="Résiduel vs Gestion",0,IF('01_Input'!$G$61="Taux Classe sélectionnée",Distrib_Global_Classe_Selectionnee*DB$20,IF('01_Input'!$G$61="Frais KYC (paliers de 100M€)",MAX(0,Nb_Investisseurs-Nb_KYC_Gratuites_Par_Tranche*(FLOOR(DB$20/Taille_Tranche_KYC,1)+1))*Cout_Par_KYC_Supplementaire,(IF('01_Input'!$L$61="Forfait",IF(DB$20&gt;='01_Input'!$J$61,'01_Input'!$M$61,0),IF('01_Input'!$L$61="Palier",IF(AND(DB$20&gt;='01_Input'!$J$61,DB$20&lt;'01_Input'!$K$61),'01_Input'!$M$61,0),MAX(MIN(DB$20,'01_Input'!$K$61)-'01_Input'!$J$61,0)*'01_Input'!$M$61))+IF('01_Input'!$P$61="Forfait",IF(DB$20&gt;='01_Input'!$N$61,'01_Input'!$Q$61,0),IF('01_Input'!$P$61="Palier",IF(AND(DB$20&gt;='01_Input'!$N$61,DB$20&lt;'01_Input'!$O$61),'01_Input'!$Q$61,0),MAX(MIN(DB$20,'01_Input'!$O$61)-'01_Input'!$N$61,0)*'01_Input'!$Q$61))+IF('01_Input'!$T$61="Forfait",IF(DB$20&gt;='01_Input'!$R$61,'01_Input'!$U$61,0),IF('01_Input'!$T$61="Palier",IF(AND(DB$20&gt;='01_Input'!$R$61,DB$20&lt;'01_Input'!$S$61),'01_Input'!$U$61,0),MAX(MIN(DB$20,'01_Input'!$S$61)-'01_Input'!$R$61,0)*'01_Input'!$U$61))+IF('01_Input'!$X$61="Forfait",IF(DB$20&gt;='01_Input'!$V$61,'01_Input'!$Y$61,0),IF('01_Input'!$X$61="Palier",IF(AND(DB$20&gt;='01_Input'!$V$61,DB$20&lt;'01_Input'!$W$61),'01_Input'!$Y$61,0),MAX(MIN(DB$20,'01_Input'!$W$61)-'01_Input'!$V$61,0)*'01_Input'!$Y$61))+IF('01_Input'!$AB$61="Forfait",IF(DB$20&gt;='01_Input'!$Z$61,'01_Input'!$AC$61,0),IF('01_Input'!$AB$61="Palier",IF(AND(DB$20&gt;='01_Input'!$Z$61,DB$20&lt;'01_Input'!$AA$61),'01_Input'!$AC$61,0),MAX(MIN(DB$20,'01_Input'!$AA$61)-'01_Input'!$Z$61,0)*'01_Input'!$AC$61)))))))))</f>
        <v>0</v>
      </c>
      <c r="DC29" s="25">
        <f>IF('01_Input'!$C$61="Non",0,MIN('01_Input'!$I$61,MAX('01_Input'!$H$61,IF('01_Input'!$G$61="Résiduel vs Gestion",0,IF('01_Input'!$G$61="Taux Classe sélectionnée",Distrib_Global_Classe_Selectionnee*DC$20,IF('01_Input'!$G$61="Frais KYC (paliers de 100M€)",MAX(0,Nb_Investisseurs-Nb_KYC_Gratuites_Par_Tranche*(FLOOR(DC$20/Taille_Tranche_KYC,1)+1))*Cout_Par_KYC_Supplementaire,(IF('01_Input'!$L$61="Forfait",IF(DC$20&gt;='01_Input'!$J$61,'01_Input'!$M$61,0),IF('01_Input'!$L$61="Palier",IF(AND(DC$20&gt;='01_Input'!$J$61,DC$20&lt;'01_Input'!$K$61),'01_Input'!$M$61,0),MAX(MIN(DC$20,'01_Input'!$K$61)-'01_Input'!$J$61,0)*'01_Input'!$M$61))+IF('01_Input'!$P$61="Forfait",IF(DC$20&gt;='01_Input'!$N$61,'01_Input'!$Q$61,0),IF('01_Input'!$P$61="Palier",IF(AND(DC$20&gt;='01_Input'!$N$61,DC$20&lt;'01_Input'!$O$61),'01_Input'!$Q$61,0),MAX(MIN(DC$20,'01_Input'!$O$61)-'01_Input'!$N$61,0)*'01_Input'!$Q$61))+IF('01_Input'!$T$61="Forfait",IF(DC$20&gt;='01_Input'!$R$61,'01_Input'!$U$61,0),IF('01_Input'!$T$61="Palier",IF(AND(DC$20&gt;='01_Input'!$R$61,DC$20&lt;'01_Input'!$S$61),'01_Input'!$U$61,0),MAX(MIN(DC$20,'01_Input'!$S$61)-'01_Input'!$R$61,0)*'01_Input'!$U$61))+IF('01_Input'!$X$61="Forfait",IF(DC$20&gt;='01_Input'!$V$61,'01_Input'!$Y$61,0),IF('01_Input'!$X$61="Palier",IF(AND(DC$20&gt;='01_Input'!$V$61,DC$20&lt;'01_Input'!$W$61),'01_Input'!$Y$61,0),MAX(MIN(DC$20,'01_Input'!$W$61)-'01_Input'!$V$61,0)*'01_Input'!$Y$61))+IF('01_Input'!$AB$61="Forfait",IF(DC$20&gt;='01_Input'!$Z$61,'01_Input'!$AC$61,0),IF('01_Input'!$AB$61="Palier",IF(AND(DC$20&gt;='01_Input'!$Z$61,DC$20&lt;'01_Input'!$AA$61),'01_Input'!$AC$61,0),MAX(MIN(DC$20,'01_Input'!$AA$61)-'01_Input'!$Z$61,0)*'01_Input'!$AC$61)))))))))</f>
        <v>0</v>
      </c>
      <c r="DD29" s="25">
        <f>IF('01_Input'!$C$61="Non",0,MIN('01_Input'!$I$61,MAX('01_Input'!$H$61,IF('01_Input'!$G$61="Résiduel vs Gestion",0,IF('01_Input'!$G$61="Taux Classe sélectionnée",Distrib_Global_Classe_Selectionnee*DD$20,IF('01_Input'!$G$61="Frais KYC (paliers de 100M€)",MAX(0,Nb_Investisseurs-Nb_KYC_Gratuites_Par_Tranche*(FLOOR(DD$20/Taille_Tranche_KYC,1)+1))*Cout_Par_KYC_Supplementaire,(IF('01_Input'!$L$61="Forfait",IF(DD$20&gt;='01_Input'!$J$61,'01_Input'!$M$61,0),IF('01_Input'!$L$61="Palier",IF(AND(DD$20&gt;='01_Input'!$J$61,DD$20&lt;'01_Input'!$K$61),'01_Input'!$M$61,0),MAX(MIN(DD$20,'01_Input'!$K$61)-'01_Input'!$J$61,0)*'01_Input'!$M$61))+IF('01_Input'!$P$61="Forfait",IF(DD$20&gt;='01_Input'!$N$61,'01_Input'!$Q$61,0),IF('01_Input'!$P$61="Palier",IF(AND(DD$20&gt;='01_Input'!$N$61,DD$20&lt;'01_Input'!$O$61),'01_Input'!$Q$61,0),MAX(MIN(DD$20,'01_Input'!$O$61)-'01_Input'!$N$61,0)*'01_Input'!$Q$61))+IF('01_Input'!$T$61="Forfait",IF(DD$20&gt;='01_Input'!$R$61,'01_Input'!$U$61,0),IF('01_Input'!$T$61="Palier",IF(AND(DD$20&gt;='01_Input'!$R$61,DD$20&lt;'01_Input'!$S$61),'01_Input'!$U$61,0),MAX(MIN(DD$20,'01_Input'!$S$61)-'01_Input'!$R$61,0)*'01_Input'!$U$61))+IF('01_Input'!$X$61="Forfait",IF(DD$20&gt;='01_Input'!$V$61,'01_Input'!$Y$61,0),IF('01_Input'!$X$61="Palier",IF(AND(DD$20&gt;='01_Input'!$V$61,DD$20&lt;'01_Input'!$W$61),'01_Input'!$Y$61,0),MAX(MIN(DD$20,'01_Input'!$W$61)-'01_Input'!$V$61,0)*'01_Input'!$Y$61))+IF('01_Input'!$AB$61="Forfait",IF(DD$20&gt;='01_Input'!$Z$61,'01_Input'!$AC$61,0),IF('01_Input'!$AB$61="Palier",IF(AND(DD$20&gt;='01_Input'!$Z$61,DD$20&lt;'01_Input'!$AA$61),'01_Input'!$AC$61,0),MAX(MIN(DD$20,'01_Input'!$AA$61)-'01_Input'!$Z$61,0)*'01_Input'!$AC$61)))))))))</f>
        <v>0</v>
      </c>
      <c r="DE29" s="25">
        <f>IF('01_Input'!$C$61="Non",0,MIN('01_Input'!$I$61,MAX('01_Input'!$H$61,IF('01_Input'!$G$61="Résiduel vs Gestion",0,IF('01_Input'!$G$61="Taux Classe sélectionnée",Distrib_Global_Classe_Selectionnee*DE$20,IF('01_Input'!$G$61="Frais KYC (paliers de 100M€)",MAX(0,Nb_Investisseurs-Nb_KYC_Gratuites_Par_Tranche*(FLOOR(DE$20/Taille_Tranche_KYC,1)+1))*Cout_Par_KYC_Supplementaire,(IF('01_Input'!$L$61="Forfait",IF(DE$20&gt;='01_Input'!$J$61,'01_Input'!$M$61,0),IF('01_Input'!$L$61="Palier",IF(AND(DE$20&gt;='01_Input'!$J$61,DE$20&lt;'01_Input'!$K$61),'01_Input'!$M$61,0),MAX(MIN(DE$20,'01_Input'!$K$61)-'01_Input'!$J$61,0)*'01_Input'!$M$61))+IF('01_Input'!$P$61="Forfait",IF(DE$20&gt;='01_Input'!$N$61,'01_Input'!$Q$61,0),IF('01_Input'!$P$61="Palier",IF(AND(DE$20&gt;='01_Input'!$N$61,DE$20&lt;'01_Input'!$O$61),'01_Input'!$Q$61,0),MAX(MIN(DE$20,'01_Input'!$O$61)-'01_Input'!$N$61,0)*'01_Input'!$Q$61))+IF('01_Input'!$T$61="Forfait",IF(DE$20&gt;='01_Input'!$R$61,'01_Input'!$U$61,0),IF('01_Input'!$T$61="Palier",IF(AND(DE$20&gt;='01_Input'!$R$61,DE$20&lt;'01_Input'!$S$61),'01_Input'!$U$61,0),MAX(MIN(DE$20,'01_Input'!$S$61)-'01_Input'!$R$61,0)*'01_Input'!$U$61))+IF('01_Input'!$X$61="Forfait",IF(DE$20&gt;='01_Input'!$V$61,'01_Input'!$Y$61,0),IF('01_Input'!$X$61="Palier",IF(AND(DE$20&gt;='01_Input'!$V$61,DE$20&lt;'01_Input'!$W$61),'01_Input'!$Y$61,0),MAX(MIN(DE$20,'01_Input'!$W$61)-'01_Input'!$V$61,0)*'01_Input'!$Y$61))+IF('01_Input'!$AB$61="Forfait",IF(DE$20&gt;='01_Input'!$Z$61,'01_Input'!$AC$61,0),IF('01_Input'!$AB$61="Palier",IF(AND(DE$20&gt;='01_Input'!$Z$61,DE$20&lt;'01_Input'!$AA$61),'01_Input'!$AC$61,0),MAX(MIN(DE$20,'01_Input'!$AA$61)-'01_Input'!$Z$61,0)*'01_Input'!$AC$61)))))))))</f>
        <v>0</v>
      </c>
      <c r="DF29" s="25">
        <f>IF('01_Input'!$C$61="Non",0,MIN('01_Input'!$I$61,MAX('01_Input'!$H$61,IF('01_Input'!$G$61="Résiduel vs Gestion",0,IF('01_Input'!$G$61="Taux Classe sélectionnée",Distrib_Global_Classe_Selectionnee*DF$20,IF('01_Input'!$G$61="Frais KYC (paliers de 100M€)",MAX(0,Nb_Investisseurs-Nb_KYC_Gratuites_Par_Tranche*(FLOOR(DF$20/Taille_Tranche_KYC,1)+1))*Cout_Par_KYC_Supplementaire,(IF('01_Input'!$L$61="Forfait",IF(DF$20&gt;='01_Input'!$J$61,'01_Input'!$M$61,0),IF('01_Input'!$L$61="Palier",IF(AND(DF$20&gt;='01_Input'!$J$61,DF$20&lt;'01_Input'!$K$61),'01_Input'!$M$61,0),MAX(MIN(DF$20,'01_Input'!$K$61)-'01_Input'!$J$61,0)*'01_Input'!$M$61))+IF('01_Input'!$P$61="Forfait",IF(DF$20&gt;='01_Input'!$N$61,'01_Input'!$Q$61,0),IF('01_Input'!$P$61="Palier",IF(AND(DF$20&gt;='01_Input'!$N$61,DF$20&lt;'01_Input'!$O$61),'01_Input'!$Q$61,0),MAX(MIN(DF$20,'01_Input'!$O$61)-'01_Input'!$N$61,0)*'01_Input'!$Q$61))+IF('01_Input'!$T$61="Forfait",IF(DF$20&gt;='01_Input'!$R$61,'01_Input'!$U$61,0),IF('01_Input'!$T$61="Palier",IF(AND(DF$20&gt;='01_Input'!$R$61,DF$20&lt;'01_Input'!$S$61),'01_Input'!$U$61,0),MAX(MIN(DF$20,'01_Input'!$S$61)-'01_Input'!$R$61,0)*'01_Input'!$U$61))+IF('01_Input'!$X$61="Forfait",IF(DF$20&gt;='01_Input'!$V$61,'01_Input'!$Y$61,0),IF('01_Input'!$X$61="Palier",IF(AND(DF$20&gt;='01_Input'!$V$61,DF$20&lt;'01_Input'!$W$61),'01_Input'!$Y$61,0),MAX(MIN(DF$20,'01_Input'!$W$61)-'01_Input'!$V$61,0)*'01_Input'!$Y$61))+IF('01_Input'!$AB$61="Forfait",IF(DF$20&gt;='01_Input'!$Z$61,'01_Input'!$AC$61,0),IF('01_Input'!$AB$61="Palier",IF(AND(DF$20&gt;='01_Input'!$Z$61,DF$20&lt;'01_Input'!$AA$61),'01_Input'!$AC$61,0),MAX(MIN(DF$20,'01_Input'!$AA$61)-'01_Input'!$Z$61,0)*'01_Input'!$AC$61)))))))))</f>
        <v>0</v>
      </c>
      <c r="DG29" s="25">
        <f>IF('01_Input'!$C$61="Non",0,MIN('01_Input'!$I$61,MAX('01_Input'!$H$61,IF('01_Input'!$G$61="Résiduel vs Gestion",0,IF('01_Input'!$G$61="Taux Classe sélectionnée",Distrib_Global_Classe_Selectionnee*DG$20,IF('01_Input'!$G$61="Frais KYC (paliers de 100M€)",MAX(0,Nb_Investisseurs-Nb_KYC_Gratuites_Par_Tranche*(FLOOR(DG$20/Taille_Tranche_KYC,1)+1))*Cout_Par_KYC_Supplementaire,(IF('01_Input'!$L$61="Forfait",IF(DG$20&gt;='01_Input'!$J$61,'01_Input'!$M$61,0),IF('01_Input'!$L$61="Palier",IF(AND(DG$20&gt;='01_Input'!$J$61,DG$20&lt;'01_Input'!$K$61),'01_Input'!$M$61,0),MAX(MIN(DG$20,'01_Input'!$K$61)-'01_Input'!$J$61,0)*'01_Input'!$M$61))+IF('01_Input'!$P$61="Forfait",IF(DG$20&gt;='01_Input'!$N$61,'01_Input'!$Q$61,0),IF('01_Input'!$P$61="Palier",IF(AND(DG$20&gt;='01_Input'!$N$61,DG$20&lt;'01_Input'!$O$61),'01_Input'!$Q$61,0),MAX(MIN(DG$20,'01_Input'!$O$61)-'01_Input'!$N$61,0)*'01_Input'!$Q$61))+IF('01_Input'!$T$61="Forfait",IF(DG$20&gt;='01_Input'!$R$61,'01_Input'!$U$61,0),IF('01_Input'!$T$61="Palier",IF(AND(DG$20&gt;='01_Input'!$R$61,DG$20&lt;'01_Input'!$S$61),'01_Input'!$U$61,0),MAX(MIN(DG$20,'01_Input'!$S$61)-'01_Input'!$R$61,0)*'01_Input'!$U$61))+IF('01_Input'!$X$61="Forfait",IF(DG$20&gt;='01_Input'!$V$61,'01_Input'!$Y$61,0),IF('01_Input'!$X$61="Palier",IF(AND(DG$20&gt;='01_Input'!$V$61,DG$20&lt;'01_Input'!$W$61),'01_Input'!$Y$61,0),MAX(MIN(DG$20,'01_Input'!$W$61)-'01_Input'!$V$61,0)*'01_Input'!$Y$61))+IF('01_Input'!$AB$61="Forfait",IF(DG$20&gt;='01_Input'!$Z$61,'01_Input'!$AC$61,0),IF('01_Input'!$AB$61="Palier",IF(AND(DG$20&gt;='01_Input'!$Z$61,DG$20&lt;'01_Input'!$AA$61),'01_Input'!$AC$61,0),MAX(MIN(DG$20,'01_Input'!$AA$61)-'01_Input'!$Z$61,0)*'01_Input'!$AC$61)))))))))</f>
        <v>0</v>
      </c>
      <c r="DH29" s="25">
        <f>IF('01_Input'!$C$61="Non",0,MIN('01_Input'!$I$61,MAX('01_Input'!$H$61,IF('01_Input'!$G$61="Résiduel vs Gestion",0,IF('01_Input'!$G$61="Taux Classe sélectionnée",Distrib_Global_Classe_Selectionnee*DH$20,IF('01_Input'!$G$61="Frais KYC (paliers de 100M€)",MAX(0,Nb_Investisseurs-Nb_KYC_Gratuites_Par_Tranche*(FLOOR(DH$20/Taille_Tranche_KYC,1)+1))*Cout_Par_KYC_Supplementaire,(IF('01_Input'!$L$61="Forfait",IF(DH$20&gt;='01_Input'!$J$61,'01_Input'!$M$61,0),IF('01_Input'!$L$61="Palier",IF(AND(DH$20&gt;='01_Input'!$J$61,DH$20&lt;'01_Input'!$K$61),'01_Input'!$M$61,0),MAX(MIN(DH$20,'01_Input'!$K$61)-'01_Input'!$J$61,0)*'01_Input'!$M$61))+IF('01_Input'!$P$61="Forfait",IF(DH$20&gt;='01_Input'!$N$61,'01_Input'!$Q$61,0),IF('01_Input'!$P$61="Palier",IF(AND(DH$20&gt;='01_Input'!$N$61,DH$20&lt;'01_Input'!$O$61),'01_Input'!$Q$61,0),MAX(MIN(DH$20,'01_Input'!$O$61)-'01_Input'!$N$61,0)*'01_Input'!$Q$61))+IF('01_Input'!$T$61="Forfait",IF(DH$20&gt;='01_Input'!$R$61,'01_Input'!$U$61,0),IF('01_Input'!$T$61="Palier",IF(AND(DH$20&gt;='01_Input'!$R$61,DH$20&lt;'01_Input'!$S$61),'01_Input'!$U$61,0),MAX(MIN(DH$20,'01_Input'!$S$61)-'01_Input'!$R$61,0)*'01_Input'!$U$61))+IF('01_Input'!$X$61="Forfait",IF(DH$20&gt;='01_Input'!$V$61,'01_Input'!$Y$61,0),IF('01_Input'!$X$61="Palier",IF(AND(DH$20&gt;='01_Input'!$V$61,DH$20&lt;'01_Input'!$W$61),'01_Input'!$Y$61,0),MAX(MIN(DH$20,'01_Input'!$W$61)-'01_Input'!$V$61,0)*'01_Input'!$Y$61))+IF('01_Input'!$AB$61="Forfait",IF(DH$20&gt;='01_Input'!$Z$61,'01_Input'!$AC$61,0),IF('01_Input'!$AB$61="Palier",IF(AND(DH$20&gt;='01_Input'!$Z$61,DH$20&lt;'01_Input'!$AA$61),'01_Input'!$AC$61,0),MAX(MIN(DH$20,'01_Input'!$AA$61)-'01_Input'!$Z$61,0)*'01_Input'!$AC$61)))))))))</f>
        <v>0</v>
      </c>
      <c r="DI29" s="25">
        <f>IF('01_Input'!$C$61="Non",0,MIN('01_Input'!$I$61,MAX('01_Input'!$H$61,IF('01_Input'!$G$61="Résiduel vs Gestion",0,IF('01_Input'!$G$61="Taux Classe sélectionnée",Distrib_Global_Classe_Selectionnee*DI$20,IF('01_Input'!$G$61="Frais KYC (paliers de 100M€)",MAX(0,Nb_Investisseurs-Nb_KYC_Gratuites_Par_Tranche*(FLOOR(DI$20/Taille_Tranche_KYC,1)+1))*Cout_Par_KYC_Supplementaire,(IF('01_Input'!$L$61="Forfait",IF(DI$20&gt;='01_Input'!$J$61,'01_Input'!$M$61,0),IF('01_Input'!$L$61="Palier",IF(AND(DI$20&gt;='01_Input'!$J$61,DI$20&lt;'01_Input'!$K$61),'01_Input'!$M$61,0),MAX(MIN(DI$20,'01_Input'!$K$61)-'01_Input'!$J$61,0)*'01_Input'!$M$61))+IF('01_Input'!$P$61="Forfait",IF(DI$20&gt;='01_Input'!$N$61,'01_Input'!$Q$61,0),IF('01_Input'!$P$61="Palier",IF(AND(DI$20&gt;='01_Input'!$N$61,DI$20&lt;'01_Input'!$O$61),'01_Input'!$Q$61,0),MAX(MIN(DI$20,'01_Input'!$O$61)-'01_Input'!$N$61,0)*'01_Input'!$Q$61))+IF('01_Input'!$T$61="Forfait",IF(DI$20&gt;='01_Input'!$R$61,'01_Input'!$U$61,0),IF('01_Input'!$T$61="Palier",IF(AND(DI$20&gt;='01_Input'!$R$61,DI$20&lt;'01_Input'!$S$61),'01_Input'!$U$61,0),MAX(MIN(DI$20,'01_Input'!$S$61)-'01_Input'!$R$61,0)*'01_Input'!$U$61))+IF('01_Input'!$X$61="Forfait",IF(DI$20&gt;='01_Input'!$V$61,'01_Input'!$Y$61,0),IF('01_Input'!$X$61="Palier",IF(AND(DI$20&gt;='01_Input'!$V$61,DI$20&lt;'01_Input'!$W$61),'01_Input'!$Y$61,0),MAX(MIN(DI$20,'01_Input'!$W$61)-'01_Input'!$V$61,0)*'01_Input'!$Y$61))+IF('01_Input'!$AB$61="Forfait",IF(DI$20&gt;='01_Input'!$Z$61,'01_Input'!$AC$61,0),IF('01_Input'!$AB$61="Palier",IF(AND(DI$20&gt;='01_Input'!$Z$61,DI$20&lt;'01_Input'!$AA$61),'01_Input'!$AC$61,0),MAX(MIN(DI$20,'01_Input'!$AA$61)-'01_Input'!$Z$61,0)*'01_Input'!$AC$61)))))))))</f>
        <v>0</v>
      </c>
      <c r="DJ29" s="25">
        <f>IF('01_Input'!$C$61="Non",0,MIN('01_Input'!$I$61,MAX('01_Input'!$H$61,IF('01_Input'!$G$61="Résiduel vs Gestion",0,IF('01_Input'!$G$61="Taux Classe sélectionnée",Distrib_Global_Classe_Selectionnee*DJ$20,IF('01_Input'!$G$61="Frais KYC (paliers de 100M€)",MAX(0,Nb_Investisseurs-Nb_KYC_Gratuites_Par_Tranche*(FLOOR(DJ$20/Taille_Tranche_KYC,1)+1))*Cout_Par_KYC_Supplementaire,(IF('01_Input'!$L$61="Forfait",IF(DJ$20&gt;='01_Input'!$J$61,'01_Input'!$M$61,0),IF('01_Input'!$L$61="Palier",IF(AND(DJ$20&gt;='01_Input'!$J$61,DJ$20&lt;'01_Input'!$K$61),'01_Input'!$M$61,0),MAX(MIN(DJ$20,'01_Input'!$K$61)-'01_Input'!$J$61,0)*'01_Input'!$M$61))+IF('01_Input'!$P$61="Forfait",IF(DJ$20&gt;='01_Input'!$N$61,'01_Input'!$Q$61,0),IF('01_Input'!$P$61="Palier",IF(AND(DJ$20&gt;='01_Input'!$N$61,DJ$20&lt;'01_Input'!$O$61),'01_Input'!$Q$61,0),MAX(MIN(DJ$20,'01_Input'!$O$61)-'01_Input'!$N$61,0)*'01_Input'!$Q$61))+IF('01_Input'!$T$61="Forfait",IF(DJ$20&gt;='01_Input'!$R$61,'01_Input'!$U$61,0),IF('01_Input'!$T$61="Palier",IF(AND(DJ$20&gt;='01_Input'!$R$61,DJ$20&lt;'01_Input'!$S$61),'01_Input'!$U$61,0),MAX(MIN(DJ$20,'01_Input'!$S$61)-'01_Input'!$R$61,0)*'01_Input'!$U$61))+IF('01_Input'!$X$61="Forfait",IF(DJ$20&gt;='01_Input'!$V$61,'01_Input'!$Y$61,0),IF('01_Input'!$X$61="Palier",IF(AND(DJ$20&gt;='01_Input'!$V$61,DJ$20&lt;'01_Input'!$W$61),'01_Input'!$Y$61,0),MAX(MIN(DJ$20,'01_Input'!$W$61)-'01_Input'!$V$61,0)*'01_Input'!$Y$61))+IF('01_Input'!$AB$61="Forfait",IF(DJ$20&gt;='01_Input'!$Z$61,'01_Input'!$AC$61,0),IF('01_Input'!$AB$61="Palier",IF(AND(DJ$20&gt;='01_Input'!$Z$61,DJ$20&lt;'01_Input'!$AA$61),'01_Input'!$AC$61,0),MAX(MIN(DJ$20,'01_Input'!$AA$61)-'01_Input'!$Z$61,0)*'01_Input'!$AC$61)))))))))</f>
        <v>0</v>
      </c>
      <c r="DK29" s="25">
        <f>IF('01_Input'!$C$61="Non",0,MIN('01_Input'!$I$61,MAX('01_Input'!$H$61,IF('01_Input'!$G$61="Résiduel vs Gestion",0,IF('01_Input'!$G$61="Taux Classe sélectionnée",Distrib_Global_Classe_Selectionnee*DK$20,IF('01_Input'!$G$61="Frais KYC (paliers de 100M€)",MAX(0,Nb_Investisseurs-Nb_KYC_Gratuites_Par_Tranche*(FLOOR(DK$20/Taille_Tranche_KYC,1)+1))*Cout_Par_KYC_Supplementaire,(IF('01_Input'!$L$61="Forfait",IF(DK$20&gt;='01_Input'!$J$61,'01_Input'!$M$61,0),IF('01_Input'!$L$61="Palier",IF(AND(DK$20&gt;='01_Input'!$J$61,DK$20&lt;'01_Input'!$K$61),'01_Input'!$M$61,0),MAX(MIN(DK$20,'01_Input'!$K$61)-'01_Input'!$J$61,0)*'01_Input'!$M$61))+IF('01_Input'!$P$61="Forfait",IF(DK$20&gt;='01_Input'!$N$61,'01_Input'!$Q$61,0),IF('01_Input'!$P$61="Palier",IF(AND(DK$20&gt;='01_Input'!$N$61,DK$20&lt;'01_Input'!$O$61),'01_Input'!$Q$61,0),MAX(MIN(DK$20,'01_Input'!$O$61)-'01_Input'!$N$61,0)*'01_Input'!$Q$61))+IF('01_Input'!$T$61="Forfait",IF(DK$20&gt;='01_Input'!$R$61,'01_Input'!$U$61,0),IF('01_Input'!$T$61="Palier",IF(AND(DK$20&gt;='01_Input'!$R$61,DK$20&lt;'01_Input'!$S$61),'01_Input'!$U$61,0),MAX(MIN(DK$20,'01_Input'!$S$61)-'01_Input'!$R$61,0)*'01_Input'!$U$61))+IF('01_Input'!$X$61="Forfait",IF(DK$20&gt;='01_Input'!$V$61,'01_Input'!$Y$61,0),IF('01_Input'!$X$61="Palier",IF(AND(DK$20&gt;='01_Input'!$V$61,DK$20&lt;'01_Input'!$W$61),'01_Input'!$Y$61,0),MAX(MIN(DK$20,'01_Input'!$W$61)-'01_Input'!$V$61,0)*'01_Input'!$Y$61))+IF('01_Input'!$AB$61="Forfait",IF(DK$20&gt;='01_Input'!$Z$61,'01_Input'!$AC$61,0),IF('01_Input'!$AB$61="Palier",IF(AND(DK$20&gt;='01_Input'!$Z$61,DK$20&lt;'01_Input'!$AA$61),'01_Input'!$AC$61,0),MAX(MIN(DK$20,'01_Input'!$AA$61)-'01_Input'!$Z$61,0)*'01_Input'!$AC$61)))))))))</f>
        <v>0</v>
      </c>
      <c r="DL29" s="25">
        <f>IF('01_Input'!$C$61="Non",0,MIN('01_Input'!$I$61,MAX('01_Input'!$H$61,IF('01_Input'!$G$61="Résiduel vs Gestion",0,IF('01_Input'!$G$61="Taux Classe sélectionnée",Distrib_Global_Classe_Selectionnee*DL$20,IF('01_Input'!$G$61="Frais KYC (paliers de 100M€)",MAX(0,Nb_Investisseurs-Nb_KYC_Gratuites_Par_Tranche*(FLOOR(DL$20/Taille_Tranche_KYC,1)+1))*Cout_Par_KYC_Supplementaire,(IF('01_Input'!$L$61="Forfait",IF(DL$20&gt;='01_Input'!$J$61,'01_Input'!$M$61,0),IF('01_Input'!$L$61="Palier",IF(AND(DL$20&gt;='01_Input'!$J$61,DL$20&lt;'01_Input'!$K$61),'01_Input'!$M$61,0),MAX(MIN(DL$20,'01_Input'!$K$61)-'01_Input'!$J$61,0)*'01_Input'!$M$61))+IF('01_Input'!$P$61="Forfait",IF(DL$20&gt;='01_Input'!$N$61,'01_Input'!$Q$61,0),IF('01_Input'!$P$61="Palier",IF(AND(DL$20&gt;='01_Input'!$N$61,DL$20&lt;'01_Input'!$O$61),'01_Input'!$Q$61,0),MAX(MIN(DL$20,'01_Input'!$O$61)-'01_Input'!$N$61,0)*'01_Input'!$Q$61))+IF('01_Input'!$T$61="Forfait",IF(DL$20&gt;='01_Input'!$R$61,'01_Input'!$U$61,0),IF('01_Input'!$T$61="Palier",IF(AND(DL$20&gt;='01_Input'!$R$61,DL$20&lt;'01_Input'!$S$61),'01_Input'!$U$61,0),MAX(MIN(DL$20,'01_Input'!$S$61)-'01_Input'!$R$61,0)*'01_Input'!$U$61))+IF('01_Input'!$X$61="Forfait",IF(DL$20&gt;='01_Input'!$V$61,'01_Input'!$Y$61,0),IF('01_Input'!$X$61="Palier",IF(AND(DL$20&gt;='01_Input'!$V$61,DL$20&lt;'01_Input'!$W$61),'01_Input'!$Y$61,0),MAX(MIN(DL$20,'01_Input'!$W$61)-'01_Input'!$V$61,0)*'01_Input'!$Y$61))+IF('01_Input'!$AB$61="Forfait",IF(DL$20&gt;='01_Input'!$Z$61,'01_Input'!$AC$61,0),IF('01_Input'!$AB$61="Palier",IF(AND(DL$20&gt;='01_Input'!$Z$61,DL$20&lt;'01_Input'!$AA$61),'01_Input'!$AC$61,0),MAX(MIN(DL$20,'01_Input'!$AA$61)-'01_Input'!$Z$61,0)*'01_Input'!$AC$61)))))))))</f>
        <v>0</v>
      </c>
      <c r="DM29" s="25">
        <f>IF('01_Input'!$C$61="Non",0,MIN('01_Input'!$I$61,MAX('01_Input'!$H$61,IF('01_Input'!$G$61="Résiduel vs Gestion",0,IF('01_Input'!$G$61="Taux Classe sélectionnée",Distrib_Global_Classe_Selectionnee*DM$20,IF('01_Input'!$G$61="Frais KYC (paliers de 100M€)",MAX(0,Nb_Investisseurs-Nb_KYC_Gratuites_Par_Tranche*(FLOOR(DM$20/Taille_Tranche_KYC,1)+1))*Cout_Par_KYC_Supplementaire,(IF('01_Input'!$L$61="Forfait",IF(DM$20&gt;='01_Input'!$J$61,'01_Input'!$M$61,0),IF('01_Input'!$L$61="Palier",IF(AND(DM$20&gt;='01_Input'!$J$61,DM$20&lt;'01_Input'!$K$61),'01_Input'!$M$61,0),MAX(MIN(DM$20,'01_Input'!$K$61)-'01_Input'!$J$61,0)*'01_Input'!$M$61))+IF('01_Input'!$P$61="Forfait",IF(DM$20&gt;='01_Input'!$N$61,'01_Input'!$Q$61,0),IF('01_Input'!$P$61="Palier",IF(AND(DM$20&gt;='01_Input'!$N$61,DM$20&lt;'01_Input'!$O$61),'01_Input'!$Q$61,0),MAX(MIN(DM$20,'01_Input'!$O$61)-'01_Input'!$N$61,0)*'01_Input'!$Q$61))+IF('01_Input'!$T$61="Forfait",IF(DM$20&gt;='01_Input'!$R$61,'01_Input'!$U$61,0),IF('01_Input'!$T$61="Palier",IF(AND(DM$20&gt;='01_Input'!$R$61,DM$20&lt;'01_Input'!$S$61),'01_Input'!$U$61,0),MAX(MIN(DM$20,'01_Input'!$S$61)-'01_Input'!$R$61,0)*'01_Input'!$U$61))+IF('01_Input'!$X$61="Forfait",IF(DM$20&gt;='01_Input'!$V$61,'01_Input'!$Y$61,0),IF('01_Input'!$X$61="Palier",IF(AND(DM$20&gt;='01_Input'!$V$61,DM$20&lt;'01_Input'!$W$61),'01_Input'!$Y$61,0),MAX(MIN(DM$20,'01_Input'!$W$61)-'01_Input'!$V$61,0)*'01_Input'!$Y$61))+IF('01_Input'!$AB$61="Forfait",IF(DM$20&gt;='01_Input'!$Z$61,'01_Input'!$AC$61,0),IF('01_Input'!$AB$61="Palier",IF(AND(DM$20&gt;='01_Input'!$Z$61,DM$20&lt;'01_Input'!$AA$61),'01_Input'!$AC$61,0),MAX(MIN(DM$20,'01_Input'!$AA$61)-'01_Input'!$Z$61,0)*'01_Input'!$AC$61)))))))))</f>
        <v>0</v>
      </c>
      <c r="DN29" s="25">
        <f>IF('01_Input'!$C$61="Non",0,MIN('01_Input'!$I$61,MAX('01_Input'!$H$61,IF('01_Input'!$G$61="Résiduel vs Gestion",0,IF('01_Input'!$G$61="Taux Classe sélectionnée",Distrib_Global_Classe_Selectionnee*DN$20,IF('01_Input'!$G$61="Frais KYC (paliers de 100M€)",MAX(0,Nb_Investisseurs-Nb_KYC_Gratuites_Par_Tranche*(FLOOR(DN$20/Taille_Tranche_KYC,1)+1))*Cout_Par_KYC_Supplementaire,(IF('01_Input'!$L$61="Forfait",IF(DN$20&gt;='01_Input'!$J$61,'01_Input'!$M$61,0),IF('01_Input'!$L$61="Palier",IF(AND(DN$20&gt;='01_Input'!$J$61,DN$20&lt;'01_Input'!$K$61),'01_Input'!$M$61,0),MAX(MIN(DN$20,'01_Input'!$K$61)-'01_Input'!$J$61,0)*'01_Input'!$M$61))+IF('01_Input'!$P$61="Forfait",IF(DN$20&gt;='01_Input'!$N$61,'01_Input'!$Q$61,0),IF('01_Input'!$P$61="Palier",IF(AND(DN$20&gt;='01_Input'!$N$61,DN$20&lt;'01_Input'!$O$61),'01_Input'!$Q$61,0),MAX(MIN(DN$20,'01_Input'!$O$61)-'01_Input'!$N$61,0)*'01_Input'!$Q$61))+IF('01_Input'!$T$61="Forfait",IF(DN$20&gt;='01_Input'!$R$61,'01_Input'!$U$61,0),IF('01_Input'!$T$61="Palier",IF(AND(DN$20&gt;='01_Input'!$R$61,DN$20&lt;'01_Input'!$S$61),'01_Input'!$U$61,0),MAX(MIN(DN$20,'01_Input'!$S$61)-'01_Input'!$R$61,0)*'01_Input'!$U$61))+IF('01_Input'!$X$61="Forfait",IF(DN$20&gt;='01_Input'!$V$61,'01_Input'!$Y$61,0),IF('01_Input'!$X$61="Palier",IF(AND(DN$20&gt;='01_Input'!$V$61,DN$20&lt;'01_Input'!$W$61),'01_Input'!$Y$61,0),MAX(MIN(DN$20,'01_Input'!$W$61)-'01_Input'!$V$61,0)*'01_Input'!$Y$61))+IF('01_Input'!$AB$61="Forfait",IF(DN$20&gt;='01_Input'!$Z$61,'01_Input'!$AC$61,0),IF('01_Input'!$AB$61="Palier",IF(AND(DN$20&gt;='01_Input'!$Z$61,DN$20&lt;'01_Input'!$AA$61),'01_Input'!$AC$61,0),MAX(MIN(DN$20,'01_Input'!$AA$61)-'01_Input'!$Z$61,0)*'01_Input'!$AC$61)))))))))</f>
        <v>0</v>
      </c>
      <c r="DO29" s="25">
        <f>IF('01_Input'!$C$61="Non",0,MIN('01_Input'!$I$61,MAX('01_Input'!$H$61,IF('01_Input'!$G$61="Résiduel vs Gestion",0,IF('01_Input'!$G$61="Taux Classe sélectionnée",Distrib_Global_Classe_Selectionnee*DO$20,IF('01_Input'!$G$61="Frais KYC (paliers de 100M€)",MAX(0,Nb_Investisseurs-Nb_KYC_Gratuites_Par_Tranche*(FLOOR(DO$20/Taille_Tranche_KYC,1)+1))*Cout_Par_KYC_Supplementaire,(IF('01_Input'!$L$61="Forfait",IF(DO$20&gt;='01_Input'!$J$61,'01_Input'!$M$61,0),IF('01_Input'!$L$61="Palier",IF(AND(DO$20&gt;='01_Input'!$J$61,DO$20&lt;'01_Input'!$K$61),'01_Input'!$M$61,0),MAX(MIN(DO$20,'01_Input'!$K$61)-'01_Input'!$J$61,0)*'01_Input'!$M$61))+IF('01_Input'!$P$61="Forfait",IF(DO$20&gt;='01_Input'!$N$61,'01_Input'!$Q$61,0),IF('01_Input'!$P$61="Palier",IF(AND(DO$20&gt;='01_Input'!$N$61,DO$20&lt;'01_Input'!$O$61),'01_Input'!$Q$61,0),MAX(MIN(DO$20,'01_Input'!$O$61)-'01_Input'!$N$61,0)*'01_Input'!$Q$61))+IF('01_Input'!$T$61="Forfait",IF(DO$20&gt;='01_Input'!$R$61,'01_Input'!$U$61,0),IF('01_Input'!$T$61="Palier",IF(AND(DO$20&gt;='01_Input'!$R$61,DO$20&lt;'01_Input'!$S$61),'01_Input'!$U$61,0),MAX(MIN(DO$20,'01_Input'!$S$61)-'01_Input'!$R$61,0)*'01_Input'!$U$61))+IF('01_Input'!$X$61="Forfait",IF(DO$20&gt;='01_Input'!$V$61,'01_Input'!$Y$61,0),IF('01_Input'!$X$61="Palier",IF(AND(DO$20&gt;='01_Input'!$V$61,DO$20&lt;'01_Input'!$W$61),'01_Input'!$Y$61,0),MAX(MIN(DO$20,'01_Input'!$W$61)-'01_Input'!$V$61,0)*'01_Input'!$Y$61))+IF('01_Input'!$AB$61="Forfait",IF(DO$20&gt;='01_Input'!$Z$61,'01_Input'!$AC$61,0),IF('01_Input'!$AB$61="Palier",IF(AND(DO$20&gt;='01_Input'!$Z$61,DO$20&lt;'01_Input'!$AA$61),'01_Input'!$AC$61,0),MAX(MIN(DO$20,'01_Input'!$AA$61)-'01_Input'!$Z$61,0)*'01_Input'!$AC$61)))))))))</f>
        <v>0</v>
      </c>
      <c r="DP29" s="25">
        <f>IF('01_Input'!$C$61="Non",0,MIN('01_Input'!$I$61,MAX('01_Input'!$H$61,IF('01_Input'!$G$61="Résiduel vs Gestion",0,IF('01_Input'!$G$61="Taux Classe sélectionnée",Distrib_Global_Classe_Selectionnee*DP$20,IF('01_Input'!$G$61="Frais KYC (paliers de 100M€)",MAX(0,Nb_Investisseurs-Nb_KYC_Gratuites_Par_Tranche*(FLOOR(DP$20/Taille_Tranche_KYC,1)+1))*Cout_Par_KYC_Supplementaire,(IF('01_Input'!$L$61="Forfait",IF(DP$20&gt;='01_Input'!$J$61,'01_Input'!$M$61,0),IF('01_Input'!$L$61="Palier",IF(AND(DP$20&gt;='01_Input'!$J$61,DP$20&lt;'01_Input'!$K$61),'01_Input'!$M$61,0),MAX(MIN(DP$20,'01_Input'!$K$61)-'01_Input'!$J$61,0)*'01_Input'!$M$61))+IF('01_Input'!$P$61="Forfait",IF(DP$20&gt;='01_Input'!$N$61,'01_Input'!$Q$61,0),IF('01_Input'!$P$61="Palier",IF(AND(DP$20&gt;='01_Input'!$N$61,DP$20&lt;'01_Input'!$O$61),'01_Input'!$Q$61,0),MAX(MIN(DP$20,'01_Input'!$O$61)-'01_Input'!$N$61,0)*'01_Input'!$Q$61))+IF('01_Input'!$T$61="Forfait",IF(DP$20&gt;='01_Input'!$R$61,'01_Input'!$U$61,0),IF('01_Input'!$T$61="Palier",IF(AND(DP$20&gt;='01_Input'!$R$61,DP$20&lt;'01_Input'!$S$61),'01_Input'!$U$61,0),MAX(MIN(DP$20,'01_Input'!$S$61)-'01_Input'!$R$61,0)*'01_Input'!$U$61))+IF('01_Input'!$X$61="Forfait",IF(DP$20&gt;='01_Input'!$V$61,'01_Input'!$Y$61,0),IF('01_Input'!$X$61="Palier",IF(AND(DP$20&gt;='01_Input'!$V$61,DP$20&lt;'01_Input'!$W$61),'01_Input'!$Y$61,0),MAX(MIN(DP$20,'01_Input'!$W$61)-'01_Input'!$V$61,0)*'01_Input'!$Y$61))+IF('01_Input'!$AB$61="Forfait",IF(DP$20&gt;='01_Input'!$Z$61,'01_Input'!$AC$61,0),IF('01_Input'!$AB$61="Palier",IF(AND(DP$20&gt;='01_Input'!$Z$61,DP$20&lt;'01_Input'!$AA$61),'01_Input'!$AC$61,0),MAX(MIN(DP$20,'01_Input'!$AA$61)-'01_Input'!$Z$61,0)*'01_Input'!$AC$61)))))))))</f>
        <v>0</v>
      </c>
      <c r="DQ29" s="25">
        <f>IF('01_Input'!$C$61="Non",0,MIN('01_Input'!$I$61,MAX('01_Input'!$H$61,IF('01_Input'!$G$61="Résiduel vs Gestion",0,IF('01_Input'!$G$61="Taux Classe sélectionnée",Distrib_Global_Classe_Selectionnee*DQ$20,IF('01_Input'!$G$61="Frais KYC (paliers de 100M€)",MAX(0,Nb_Investisseurs-Nb_KYC_Gratuites_Par_Tranche*(FLOOR(DQ$20/Taille_Tranche_KYC,1)+1))*Cout_Par_KYC_Supplementaire,(IF('01_Input'!$L$61="Forfait",IF(DQ$20&gt;='01_Input'!$J$61,'01_Input'!$M$61,0),IF('01_Input'!$L$61="Palier",IF(AND(DQ$20&gt;='01_Input'!$J$61,DQ$20&lt;'01_Input'!$K$61),'01_Input'!$M$61,0),MAX(MIN(DQ$20,'01_Input'!$K$61)-'01_Input'!$J$61,0)*'01_Input'!$M$61))+IF('01_Input'!$P$61="Forfait",IF(DQ$20&gt;='01_Input'!$N$61,'01_Input'!$Q$61,0),IF('01_Input'!$P$61="Palier",IF(AND(DQ$20&gt;='01_Input'!$N$61,DQ$20&lt;'01_Input'!$O$61),'01_Input'!$Q$61,0),MAX(MIN(DQ$20,'01_Input'!$O$61)-'01_Input'!$N$61,0)*'01_Input'!$Q$61))+IF('01_Input'!$T$61="Forfait",IF(DQ$20&gt;='01_Input'!$R$61,'01_Input'!$U$61,0),IF('01_Input'!$T$61="Palier",IF(AND(DQ$20&gt;='01_Input'!$R$61,DQ$20&lt;'01_Input'!$S$61),'01_Input'!$U$61,0),MAX(MIN(DQ$20,'01_Input'!$S$61)-'01_Input'!$R$61,0)*'01_Input'!$U$61))+IF('01_Input'!$X$61="Forfait",IF(DQ$20&gt;='01_Input'!$V$61,'01_Input'!$Y$61,0),IF('01_Input'!$X$61="Palier",IF(AND(DQ$20&gt;='01_Input'!$V$61,DQ$20&lt;'01_Input'!$W$61),'01_Input'!$Y$61,0),MAX(MIN(DQ$20,'01_Input'!$W$61)-'01_Input'!$V$61,0)*'01_Input'!$Y$61))+IF('01_Input'!$AB$61="Forfait",IF(DQ$20&gt;='01_Input'!$Z$61,'01_Input'!$AC$61,0),IF('01_Input'!$AB$61="Palier",IF(AND(DQ$20&gt;='01_Input'!$Z$61,DQ$20&lt;'01_Input'!$AA$61),'01_Input'!$AC$61,0),MAX(MIN(DQ$20,'01_Input'!$AA$61)-'01_Input'!$Z$61,0)*'01_Input'!$AC$61)))))))))</f>
        <v>0</v>
      </c>
      <c r="DR29" s="25">
        <f>IF('01_Input'!$C$61="Non",0,MIN('01_Input'!$I$61,MAX('01_Input'!$H$61,IF('01_Input'!$G$61="Résiduel vs Gestion",0,IF('01_Input'!$G$61="Taux Classe sélectionnée",Distrib_Global_Classe_Selectionnee*DR$20,IF('01_Input'!$G$61="Frais KYC (paliers de 100M€)",MAX(0,Nb_Investisseurs-Nb_KYC_Gratuites_Par_Tranche*(FLOOR(DR$20/Taille_Tranche_KYC,1)+1))*Cout_Par_KYC_Supplementaire,(IF('01_Input'!$L$61="Forfait",IF(DR$20&gt;='01_Input'!$J$61,'01_Input'!$M$61,0),IF('01_Input'!$L$61="Palier",IF(AND(DR$20&gt;='01_Input'!$J$61,DR$20&lt;'01_Input'!$K$61),'01_Input'!$M$61,0),MAX(MIN(DR$20,'01_Input'!$K$61)-'01_Input'!$J$61,0)*'01_Input'!$M$61))+IF('01_Input'!$P$61="Forfait",IF(DR$20&gt;='01_Input'!$N$61,'01_Input'!$Q$61,0),IF('01_Input'!$P$61="Palier",IF(AND(DR$20&gt;='01_Input'!$N$61,DR$20&lt;'01_Input'!$O$61),'01_Input'!$Q$61,0),MAX(MIN(DR$20,'01_Input'!$O$61)-'01_Input'!$N$61,0)*'01_Input'!$Q$61))+IF('01_Input'!$T$61="Forfait",IF(DR$20&gt;='01_Input'!$R$61,'01_Input'!$U$61,0),IF('01_Input'!$T$61="Palier",IF(AND(DR$20&gt;='01_Input'!$R$61,DR$20&lt;'01_Input'!$S$61),'01_Input'!$U$61,0),MAX(MIN(DR$20,'01_Input'!$S$61)-'01_Input'!$R$61,0)*'01_Input'!$U$61))+IF('01_Input'!$X$61="Forfait",IF(DR$20&gt;='01_Input'!$V$61,'01_Input'!$Y$61,0),IF('01_Input'!$X$61="Palier",IF(AND(DR$20&gt;='01_Input'!$V$61,DR$20&lt;'01_Input'!$W$61),'01_Input'!$Y$61,0),MAX(MIN(DR$20,'01_Input'!$W$61)-'01_Input'!$V$61,0)*'01_Input'!$Y$61))+IF('01_Input'!$AB$61="Forfait",IF(DR$20&gt;='01_Input'!$Z$61,'01_Input'!$AC$61,0),IF('01_Input'!$AB$61="Palier",IF(AND(DR$20&gt;='01_Input'!$Z$61,DR$20&lt;'01_Input'!$AA$61),'01_Input'!$AC$61,0),MAX(MIN(DR$20,'01_Input'!$AA$61)-'01_Input'!$Z$61,0)*'01_Input'!$AC$61)))))))))</f>
        <v>0</v>
      </c>
      <c r="DS29" s="25">
        <f>IF('01_Input'!$C$61="Non",0,MIN('01_Input'!$I$61,MAX('01_Input'!$H$61,IF('01_Input'!$G$61="Résiduel vs Gestion",0,IF('01_Input'!$G$61="Taux Classe sélectionnée",Distrib_Global_Classe_Selectionnee*DS$20,IF('01_Input'!$G$61="Frais KYC (paliers de 100M€)",MAX(0,Nb_Investisseurs-Nb_KYC_Gratuites_Par_Tranche*(FLOOR(DS$20/Taille_Tranche_KYC,1)+1))*Cout_Par_KYC_Supplementaire,(IF('01_Input'!$L$61="Forfait",IF(DS$20&gt;='01_Input'!$J$61,'01_Input'!$M$61,0),IF('01_Input'!$L$61="Palier",IF(AND(DS$20&gt;='01_Input'!$J$61,DS$20&lt;'01_Input'!$K$61),'01_Input'!$M$61,0),MAX(MIN(DS$20,'01_Input'!$K$61)-'01_Input'!$J$61,0)*'01_Input'!$M$61))+IF('01_Input'!$P$61="Forfait",IF(DS$20&gt;='01_Input'!$N$61,'01_Input'!$Q$61,0),IF('01_Input'!$P$61="Palier",IF(AND(DS$20&gt;='01_Input'!$N$61,DS$20&lt;'01_Input'!$O$61),'01_Input'!$Q$61,0),MAX(MIN(DS$20,'01_Input'!$O$61)-'01_Input'!$N$61,0)*'01_Input'!$Q$61))+IF('01_Input'!$T$61="Forfait",IF(DS$20&gt;='01_Input'!$R$61,'01_Input'!$U$61,0),IF('01_Input'!$T$61="Palier",IF(AND(DS$20&gt;='01_Input'!$R$61,DS$20&lt;'01_Input'!$S$61),'01_Input'!$U$61,0),MAX(MIN(DS$20,'01_Input'!$S$61)-'01_Input'!$R$61,0)*'01_Input'!$U$61))+IF('01_Input'!$X$61="Forfait",IF(DS$20&gt;='01_Input'!$V$61,'01_Input'!$Y$61,0),IF('01_Input'!$X$61="Palier",IF(AND(DS$20&gt;='01_Input'!$V$61,DS$20&lt;'01_Input'!$W$61),'01_Input'!$Y$61,0),MAX(MIN(DS$20,'01_Input'!$W$61)-'01_Input'!$V$61,0)*'01_Input'!$Y$61))+IF('01_Input'!$AB$61="Forfait",IF(DS$20&gt;='01_Input'!$Z$61,'01_Input'!$AC$61,0),IF('01_Input'!$AB$61="Palier",IF(AND(DS$20&gt;='01_Input'!$Z$61,DS$20&lt;'01_Input'!$AA$61),'01_Input'!$AC$61,0),MAX(MIN(DS$20,'01_Input'!$AA$61)-'01_Input'!$Z$61,0)*'01_Input'!$AC$61)))))))))</f>
        <v>0</v>
      </c>
      <c r="DT29" s="25">
        <f>IF('01_Input'!$C$61="Non",0,MIN('01_Input'!$I$61,MAX('01_Input'!$H$61,IF('01_Input'!$G$61="Résiduel vs Gestion",0,IF('01_Input'!$G$61="Taux Classe sélectionnée",Distrib_Global_Classe_Selectionnee*DT$20,IF('01_Input'!$G$61="Frais KYC (paliers de 100M€)",MAX(0,Nb_Investisseurs-Nb_KYC_Gratuites_Par_Tranche*(FLOOR(DT$20/Taille_Tranche_KYC,1)+1))*Cout_Par_KYC_Supplementaire,(IF('01_Input'!$L$61="Forfait",IF(DT$20&gt;='01_Input'!$J$61,'01_Input'!$M$61,0),IF('01_Input'!$L$61="Palier",IF(AND(DT$20&gt;='01_Input'!$J$61,DT$20&lt;'01_Input'!$K$61),'01_Input'!$M$61,0),MAX(MIN(DT$20,'01_Input'!$K$61)-'01_Input'!$J$61,0)*'01_Input'!$M$61))+IF('01_Input'!$P$61="Forfait",IF(DT$20&gt;='01_Input'!$N$61,'01_Input'!$Q$61,0),IF('01_Input'!$P$61="Palier",IF(AND(DT$20&gt;='01_Input'!$N$61,DT$20&lt;'01_Input'!$O$61),'01_Input'!$Q$61,0),MAX(MIN(DT$20,'01_Input'!$O$61)-'01_Input'!$N$61,0)*'01_Input'!$Q$61))+IF('01_Input'!$T$61="Forfait",IF(DT$20&gt;='01_Input'!$R$61,'01_Input'!$U$61,0),IF('01_Input'!$T$61="Palier",IF(AND(DT$20&gt;='01_Input'!$R$61,DT$20&lt;'01_Input'!$S$61),'01_Input'!$U$61,0),MAX(MIN(DT$20,'01_Input'!$S$61)-'01_Input'!$R$61,0)*'01_Input'!$U$61))+IF('01_Input'!$X$61="Forfait",IF(DT$20&gt;='01_Input'!$V$61,'01_Input'!$Y$61,0),IF('01_Input'!$X$61="Palier",IF(AND(DT$20&gt;='01_Input'!$V$61,DT$20&lt;'01_Input'!$W$61),'01_Input'!$Y$61,0),MAX(MIN(DT$20,'01_Input'!$W$61)-'01_Input'!$V$61,0)*'01_Input'!$Y$61))+IF('01_Input'!$AB$61="Forfait",IF(DT$20&gt;='01_Input'!$Z$61,'01_Input'!$AC$61,0),IF('01_Input'!$AB$61="Palier",IF(AND(DT$20&gt;='01_Input'!$Z$61,DT$20&lt;'01_Input'!$AA$61),'01_Input'!$AC$61,0),MAX(MIN(DT$20,'01_Input'!$AA$61)-'01_Input'!$Z$61,0)*'01_Input'!$AC$61)))))))))</f>
        <v>0</v>
      </c>
      <c r="DU29" s="25">
        <f>IF('01_Input'!$C$61="Non",0,MIN('01_Input'!$I$61,MAX('01_Input'!$H$61,IF('01_Input'!$G$61="Résiduel vs Gestion",0,IF('01_Input'!$G$61="Taux Classe sélectionnée",Distrib_Global_Classe_Selectionnee*DU$20,IF('01_Input'!$G$61="Frais KYC (paliers de 100M€)",MAX(0,Nb_Investisseurs-Nb_KYC_Gratuites_Par_Tranche*(FLOOR(DU$20/Taille_Tranche_KYC,1)+1))*Cout_Par_KYC_Supplementaire,(IF('01_Input'!$L$61="Forfait",IF(DU$20&gt;='01_Input'!$J$61,'01_Input'!$M$61,0),IF('01_Input'!$L$61="Palier",IF(AND(DU$20&gt;='01_Input'!$J$61,DU$20&lt;'01_Input'!$K$61),'01_Input'!$M$61,0),MAX(MIN(DU$20,'01_Input'!$K$61)-'01_Input'!$J$61,0)*'01_Input'!$M$61))+IF('01_Input'!$P$61="Forfait",IF(DU$20&gt;='01_Input'!$N$61,'01_Input'!$Q$61,0),IF('01_Input'!$P$61="Palier",IF(AND(DU$20&gt;='01_Input'!$N$61,DU$20&lt;'01_Input'!$O$61),'01_Input'!$Q$61,0),MAX(MIN(DU$20,'01_Input'!$O$61)-'01_Input'!$N$61,0)*'01_Input'!$Q$61))+IF('01_Input'!$T$61="Forfait",IF(DU$20&gt;='01_Input'!$R$61,'01_Input'!$U$61,0),IF('01_Input'!$T$61="Palier",IF(AND(DU$20&gt;='01_Input'!$R$61,DU$20&lt;'01_Input'!$S$61),'01_Input'!$U$61,0),MAX(MIN(DU$20,'01_Input'!$S$61)-'01_Input'!$R$61,0)*'01_Input'!$U$61))+IF('01_Input'!$X$61="Forfait",IF(DU$20&gt;='01_Input'!$V$61,'01_Input'!$Y$61,0),IF('01_Input'!$X$61="Palier",IF(AND(DU$20&gt;='01_Input'!$V$61,DU$20&lt;'01_Input'!$W$61),'01_Input'!$Y$61,0),MAX(MIN(DU$20,'01_Input'!$W$61)-'01_Input'!$V$61,0)*'01_Input'!$Y$61))+IF('01_Input'!$AB$61="Forfait",IF(DU$20&gt;='01_Input'!$Z$61,'01_Input'!$AC$61,0),IF('01_Input'!$AB$61="Palier",IF(AND(DU$20&gt;='01_Input'!$Z$61,DU$20&lt;'01_Input'!$AA$61),'01_Input'!$AC$61,0),MAX(MIN(DU$20,'01_Input'!$AA$61)-'01_Input'!$Z$61,0)*'01_Input'!$AC$61)))))))))</f>
        <v>0</v>
      </c>
      <c r="DV29" s="25">
        <f>IF('01_Input'!$C$61="Non",0,MIN('01_Input'!$I$61,MAX('01_Input'!$H$61,IF('01_Input'!$G$61="Résiduel vs Gestion",0,IF('01_Input'!$G$61="Taux Classe sélectionnée",Distrib_Global_Classe_Selectionnee*DV$20,IF('01_Input'!$G$61="Frais KYC (paliers de 100M€)",MAX(0,Nb_Investisseurs-Nb_KYC_Gratuites_Par_Tranche*(FLOOR(DV$20/Taille_Tranche_KYC,1)+1))*Cout_Par_KYC_Supplementaire,(IF('01_Input'!$L$61="Forfait",IF(DV$20&gt;='01_Input'!$J$61,'01_Input'!$M$61,0),IF('01_Input'!$L$61="Palier",IF(AND(DV$20&gt;='01_Input'!$J$61,DV$20&lt;'01_Input'!$K$61),'01_Input'!$M$61,0),MAX(MIN(DV$20,'01_Input'!$K$61)-'01_Input'!$J$61,0)*'01_Input'!$M$61))+IF('01_Input'!$P$61="Forfait",IF(DV$20&gt;='01_Input'!$N$61,'01_Input'!$Q$61,0),IF('01_Input'!$P$61="Palier",IF(AND(DV$20&gt;='01_Input'!$N$61,DV$20&lt;'01_Input'!$O$61),'01_Input'!$Q$61,0),MAX(MIN(DV$20,'01_Input'!$O$61)-'01_Input'!$N$61,0)*'01_Input'!$Q$61))+IF('01_Input'!$T$61="Forfait",IF(DV$20&gt;='01_Input'!$R$61,'01_Input'!$U$61,0),IF('01_Input'!$T$61="Palier",IF(AND(DV$20&gt;='01_Input'!$R$61,DV$20&lt;'01_Input'!$S$61),'01_Input'!$U$61,0),MAX(MIN(DV$20,'01_Input'!$S$61)-'01_Input'!$R$61,0)*'01_Input'!$U$61))+IF('01_Input'!$X$61="Forfait",IF(DV$20&gt;='01_Input'!$V$61,'01_Input'!$Y$61,0),IF('01_Input'!$X$61="Palier",IF(AND(DV$20&gt;='01_Input'!$V$61,DV$20&lt;'01_Input'!$W$61),'01_Input'!$Y$61,0),MAX(MIN(DV$20,'01_Input'!$W$61)-'01_Input'!$V$61,0)*'01_Input'!$Y$61))+IF('01_Input'!$AB$61="Forfait",IF(DV$20&gt;='01_Input'!$Z$61,'01_Input'!$AC$61,0),IF('01_Input'!$AB$61="Palier",IF(AND(DV$20&gt;='01_Input'!$Z$61,DV$20&lt;'01_Input'!$AA$61),'01_Input'!$AC$61,0),MAX(MIN(DV$20,'01_Input'!$AA$61)-'01_Input'!$Z$61,0)*'01_Input'!$AC$61)))))))))</f>
        <v>0</v>
      </c>
      <c r="DW29" s="25">
        <f>IF('01_Input'!$C$61="Non",0,MIN('01_Input'!$I$61,MAX('01_Input'!$H$61,IF('01_Input'!$G$61="Résiduel vs Gestion",0,IF('01_Input'!$G$61="Taux Classe sélectionnée",Distrib_Global_Classe_Selectionnee*DW$20,IF('01_Input'!$G$61="Frais KYC (paliers de 100M€)",MAX(0,Nb_Investisseurs-Nb_KYC_Gratuites_Par_Tranche*(FLOOR(DW$20/Taille_Tranche_KYC,1)+1))*Cout_Par_KYC_Supplementaire,(IF('01_Input'!$L$61="Forfait",IF(DW$20&gt;='01_Input'!$J$61,'01_Input'!$M$61,0),IF('01_Input'!$L$61="Palier",IF(AND(DW$20&gt;='01_Input'!$J$61,DW$20&lt;'01_Input'!$K$61),'01_Input'!$M$61,0),MAX(MIN(DW$20,'01_Input'!$K$61)-'01_Input'!$J$61,0)*'01_Input'!$M$61))+IF('01_Input'!$P$61="Forfait",IF(DW$20&gt;='01_Input'!$N$61,'01_Input'!$Q$61,0),IF('01_Input'!$P$61="Palier",IF(AND(DW$20&gt;='01_Input'!$N$61,DW$20&lt;'01_Input'!$O$61),'01_Input'!$Q$61,0),MAX(MIN(DW$20,'01_Input'!$O$61)-'01_Input'!$N$61,0)*'01_Input'!$Q$61))+IF('01_Input'!$T$61="Forfait",IF(DW$20&gt;='01_Input'!$R$61,'01_Input'!$U$61,0),IF('01_Input'!$T$61="Palier",IF(AND(DW$20&gt;='01_Input'!$R$61,DW$20&lt;'01_Input'!$S$61),'01_Input'!$U$61,0),MAX(MIN(DW$20,'01_Input'!$S$61)-'01_Input'!$R$61,0)*'01_Input'!$U$61))+IF('01_Input'!$X$61="Forfait",IF(DW$20&gt;='01_Input'!$V$61,'01_Input'!$Y$61,0),IF('01_Input'!$X$61="Palier",IF(AND(DW$20&gt;='01_Input'!$V$61,DW$20&lt;'01_Input'!$W$61),'01_Input'!$Y$61,0),MAX(MIN(DW$20,'01_Input'!$W$61)-'01_Input'!$V$61,0)*'01_Input'!$Y$61))+IF('01_Input'!$AB$61="Forfait",IF(DW$20&gt;='01_Input'!$Z$61,'01_Input'!$AC$61,0),IF('01_Input'!$AB$61="Palier",IF(AND(DW$20&gt;='01_Input'!$Z$61,DW$20&lt;'01_Input'!$AA$61),'01_Input'!$AC$61,0),MAX(MIN(DW$20,'01_Input'!$AA$61)-'01_Input'!$Z$61,0)*'01_Input'!$AC$61)))))))))</f>
        <v>0</v>
      </c>
      <c r="DX29" s="25">
        <f>IF('01_Input'!$C$61="Non",0,MIN('01_Input'!$I$61,MAX('01_Input'!$H$61,IF('01_Input'!$G$61="Résiduel vs Gestion",0,IF('01_Input'!$G$61="Taux Classe sélectionnée",Distrib_Global_Classe_Selectionnee*DX$20,IF('01_Input'!$G$61="Frais KYC (paliers de 100M€)",MAX(0,Nb_Investisseurs-Nb_KYC_Gratuites_Par_Tranche*(FLOOR(DX$20/Taille_Tranche_KYC,1)+1))*Cout_Par_KYC_Supplementaire,(IF('01_Input'!$L$61="Forfait",IF(DX$20&gt;='01_Input'!$J$61,'01_Input'!$M$61,0),IF('01_Input'!$L$61="Palier",IF(AND(DX$20&gt;='01_Input'!$J$61,DX$20&lt;'01_Input'!$K$61),'01_Input'!$M$61,0),MAX(MIN(DX$20,'01_Input'!$K$61)-'01_Input'!$J$61,0)*'01_Input'!$M$61))+IF('01_Input'!$P$61="Forfait",IF(DX$20&gt;='01_Input'!$N$61,'01_Input'!$Q$61,0),IF('01_Input'!$P$61="Palier",IF(AND(DX$20&gt;='01_Input'!$N$61,DX$20&lt;'01_Input'!$O$61),'01_Input'!$Q$61,0),MAX(MIN(DX$20,'01_Input'!$O$61)-'01_Input'!$N$61,0)*'01_Input'!$Q$61))+IF('01_Input'!$T$61="Forfait",IF(DX$20&gt;='01_Input'!$R$61,'01_Input'!$U$61,0),IF('01_Input'!$T$61="Palier",IF(AND(DX$20&gt;='01_Input'!$R$61,DX$20&lt;'01_Input'!$S$61),'01_Input'!$U$61,0),MAX(MIN(DX$20,'01_Input'!$S$61)-'01_Input'!$R$61,0)*'01_Input'!$U$61))+IF('01_Input'!$X$61="Forfait",IF(DX$20&gt;='01_Input'!$V$61,'01_Input'!$Y$61,0),IF('01_Input'!$X$61="Palier",IF(AND(DX$20&gt;='01_Input'!$V$61,DX$20&lt;'01_Input'!$W$61),'01_Input'!$Y$61,0),MAX(MIN(DX$20,'01_Input'!$W$61)-'01_Input'!$V$61,0)*'01_Input'!$Y$61))+IF('01_Input'!$AB$61="Forfait",IF(DX$20&gt;='01_Input'!$Z$61,'01_Input'!$AC$61,0),IF('01_Input'!$AB$61="Palier",IF(AND(DX$20&gt;='01_Input'!$Z$61,DX$20&lt;'01_Input'!$AA$61),'01_Input'!$AC$61,0),MAX(MIN(DX$20,'01_Input'!$AA$61)-'01_Input'!$Z$61,0)*'01_Input'!$AC$61)))))))))</f>
        <v>0</v>
      </c>
      <c r="DY29" s="25">
        <f>IF('01_Input'!$C$61="Non",0,MIN('01_Input'!$I$61,MAX('01_Input'!$H$61,IF('01_Input'!$G$61="Résiduel vs Gestion",0,IF('01_Input'!$G$61="Taux Classe sélectionnée",Distrib_Global_Classe_Selectionnee*DY$20,IF('01_Input'!$G$61="Frais KYC (paliers de 100M€)",MAX(0,Nb_Investisseurs-Nb_KYC_Gratuites_Par_Tranche*(FLOOR(DY$20/Taille_Tranche_KYC,1)+1))*Cout_Par_KYC_Supplementaire,(IF('01_Input'!$L$61="Forfait",IF(DY$20&gt;='01_Input'!$J$61,'01_Input'!$M$61,0),IF('01_Input'!$L$61="Palier",IF(AND(DY$20&gt;='01_Input'!$J$61,DY$20&lt;'01_Input'!$K$61),'01_Input'!$M$61,0),MAX(MIN(DY$20,'01_Input'!$K$61)-'01_Input'!$J$61,0)*'01_Input'!$M$61))+IF('01_Input'!$P$61="Forfait",IF(DY$20&gt;='01_Input'!$N$61,'01_Input'!$Q$61,0),IF('01_Input'!$P$61="Palier",IF(AND(DY$20&gt;='01_Input'!$N$61,DY$20&lt;'01_Input'!$O$61),'01_Input'!$Q$61,0),MAX(MIN(DY$20,'01_Input'!$O$61)-'01_Input'!$N$61,0)*'01_Input'!$Q$61))+IF('01_Input'!$T$61="Forfait",IF(DY$20&gt;='01_Input'!$R$61,'01_Input'!$U$61,0),IF('01_Input'!$T$61="Palier",IF(AND(DY$20&gt;='01_Input'!$R$61,DY$20&lt;'01_Input'!$S$61),'01_Input'!$U$61,0),MAX(MIN(DY$20,'01_Input'!$S$61)-'01_Input'!$R$61,0)*'01_Input'!$U$61))+IF('01_Input'!$X$61="Forfait",IF(DY$20&gt;='01_Input'!$V$61,'01_Input'!$Y$61,0),IF('01_Input'!$X$61="Palier",IF(AND(DY$20&gt;='01_Input'!$V$61,DY$20&lt;'01_Input'!$W$61),'01_Input'!$Y$61,0),MAX(MIN(DY$20,'01_Input'!$W$61)-'01_Input'!$V$61,0)*'01_Input'!$Y$61))+IF('01_Input'!$AB$61="Forfait",IF(DY$20&gt;='01_Input'!$Z$61,'01_Input'!$AC$61,0),IF('01_Input'!$AB$61="Palier",IF(AND(DY$20&gt;='01_Input'!$Z$61,DY$20&lt;'01_Input'!$AA$61),'01_Input'!$AC$61,0),MAX(MIN(DY$20,'01_Input'!$AA$61)-'01_Input'!$Z$61,0)*'01_Input'!$AC$61)))))))))</f>
        <v>0</v>
      </c>
      <c r="DZ29" s="25">
        <f>IF('01_Input'!$C$61="Non",0,MIN('01_Input'!$I$61,MAX('01_Input'!$H$61,IF('01_Input'!$G$61="Résiduel vs Gestion",0,IF('01_Input'!$G$61="Taux Classe sélectionnée",Distrib_Global_Classe_Selectionnee*DZ$20,IF('01_Input'!$G$61="Frais KYC (paliers de 100M€)",MAX(0,Nb_Investisseurs-Nb_KYC_Gratuites_Par_Tranche*(FLOOR(DZ$20/Taille_Tranche_KYC,1)+1))*Cout_Par_KYC_Supplementaire,(IF('01_Input'!$L$61="Forfait",IF(DZ$20&gt;='01_Input'!$J$61,'01_Input'!$M$61,0),IF('01_Input'!$L$61="Palier",IF(AND(DZ$20&gt;='01_Input'!$J$61,DZ$20&lt;'01_Input'!$K$61),'01_Input'!$M$61,0),MAX(MIN(DZ$20,'01_Input'!$K$61)-'01_Input'!$J$61,0)*'01_Input'!$M$61))+IF('01_Input'!$P$61="Forfait",IF(DZ$20&gt;='01_Input'!$N$61,'01_Input'!$Q$61,0),IF('01_Input'!$P$61="Palier",IF(AND(DZ$20&gt;='01_Input'!$N$61,DZ$20&lt;'01_Input'!$O$61),'01_Input'!$Q$61,0),MAX(MIN(DZ$20,'01_Input'!$O$61)-'01_Input'!$N$61,0)*'01_Input'!$Q$61))+IF('01_Input'!$T$61="Forfait",IF(DZ$20&gt;='01_Input'!$R$61,'01_Input'!$U$61,0),IF('01_Input'!$T$61="Palier",IF(AND(DZ$20&gt;='01_Input'!$R$61,DZ$20&lt;'01_Input'!$S$61),'01_Input'!$U$61,0),MAX(MIN(DZ$20,'01_Input'!$S$61)-'01_Input'!$R$61,0)*'01_Input'!$U$61))+IF('01_Input'!$X$61="Forfait",IF(DZ$20&gt;='01_Input'!$V$61,'01_Input'!$Y$61,0),IF('01_Input'!$X$61="Palier",IF(AND(DZ$20&gt;='01_Input'!$V$61,DZ$20&lt;'01_Input'!$W$61),'01_Input'!$Y$61,0),MAX(MIN(DZ$20,'01_Input'!$W$61)-'01_Input'!$V$61,0)*'01_Input'!$Y$61))+IF('01_Input'!$AB$61="Forfait",IF(DZ$20&gt;='01_Input'!$Z$61,'01_Input'!$AC$61,0),IF('01_Input'!$AB$61="Palier",IF(AND(DZ$20&gt;='01_Input'!$Z$61,DZ$20&lt;'01_Input'!$AA$61),'01_Input'!$AC$61,0),MAX(MIN(DZ$20,'01_Input'!$AA$61)-'01_Input'!$Z$61,0)*'01_Input'!$AC$61)))))))))</f>
        <v>0</v>
      </c>
      <c r="EA29" s="25">
        <f>IF('01_Input'!$C$61="Non",0,MIN('01_Input'!$I$61,MAX('01_Input'!$H$61,IF('01_Input'!$G$61="Résiduel vs Gestion",0,IF('01_Input'!$G$61="Taux Classe sélectionnée",Distrib_Global_Classe_Selectionnee*EA$20,IF('01_Input'!$G$61="Frais KYC (paliers de 100M€)",MAX(0,Nb_Investisseurs-Nb_KYC_Gratuites_Par_Tranche*(FLOOR(EA$20/Taille_Tranche_KYC,1)+1))*Cout_Par_KYC_Supplementaire,(IF('01_Input'!$L$61="Forfait",IF(EA$20&gt;='01_Input'!$J$61,'01_Input'!$M$61,0),IF('01_Input'!$L$61="Palier",IF(AND(EA$20&gt;='01_Input'!$J$61,EA$20&lt;'01_Input'!$K$61),'01_Input'!$M$61,0),MAX(MIN(EA$20,'01_Input'!$K$61)-'01_Input'!$J$61,0)*'01_Input'!$M$61))+IF('01_Input'!$P$61="Forfait",IF(EA$20&gt;='01_Input'!$N$61,'01_Input'!$Q$61,0),IF('01_Input'!$P$61="Palier",IF(AND(EA$20&gt;='01_Input'!$N$61,EA$20&lt;'01_Input'!$O$61),'01_Input'!$Q$61,0),MAX(MIN(EA$20,'01_Input'!$O$61)-'01_Input'!$N$61,0)*'01_Input'!$Q$61))+IF('01_Input'!$T$61="Forfait",IF(EA$20&gt;='01_Input'!$R$61,'01_Input'!$U$61,0),IF('01_Input'!$T$61="Palier",IF(AND(EA$20&gt;='01_Input'!$R$61,EA$20&lt;'01_Input'!$S$61),'01_Input'!$U$61,0),MAX(MIN(EA$20,'01_Input'!$S$61)-'01_Input'!$R$61,0)*'01_Input'!$U$61))+IF('01_Input'!$X$61="Forfait",IF(EA$20&gt;='01_Input'!$V$61,'01_Input'!$Y$61,0),IF('01_Input'!$X$61="Palier",IF(AND(EA$20&gt;='01_Input'!$V$61,EA$20&lt;'01_Input'!$W$61),'01_Input'!$Y$61,0),MAX(MIN(EA$20,'01_Input'!$W$61)-'01_Input'!$V$61,0)*'01_Input'!$Y$61))+IF('01_Input'!$AB$61="Forfait",IF(EA$20&gt;='01_Input'!$Z$61,'01_Input'!$AC$61,0),IF('01_Input'!$AB$61="Palier",IF(AND(EA$20&gt;='01_Input'!$Z$61,EA$20&lt;'01_Input'!$AA$61),'01_Input'!$AC$61,0),MAX(MIN(EA$20,'01_Input'!$AA$61)-'01_Input'!$Z$61,0)*'01_Input'!$AC$61)))))))))</f>
        <v>0</v>
      </c>
      <c r="EB29" s="25">
        <f>IF('01_Input'!$C$61="Non",0,MIN('01_Input'!$I$61,MAX('01_Input'!$H$61,IF('01_Input'!$G$61="Résiduel vs Gestion",0,IF('01_Input'!$G$61="Taux Classe sélectionnée",Distrib_Global_Classe_Selectionnee*EB$20,IF('01_Input'!$G$61="Frais KYC (paliers de 100M€)",MAX(0,Nb_Investisseurs-Nb_KYC_Gratuites_Par_Tranche*(FLOOR(EB$20/Taille_Tranche_KYC,1)+1))*Cout_Par_KYC_Supplementaire,(IF('01_Input'!$L$61="Forfait",IF(EB$20&gt;='01_Input'!$J$61,'01_Input'!$M$61,0),IF('01_Input'!$L$61="Palier",IF(AND(EB$20&gt;='01_Input'!$J$61,EB$20&lt;'01_Input'!$K$61),'01_Input'!$M$61,0),MAX(MIN(EB$20,'01_Input'!$K$61)-'01_Input'!$J$61,0)*'01_Input'!$M$61))+IF('01_Input'!$P$61="Forfait",IF(EB$20&gt;='01_Input'!$N$61,'01_Input'!$Q$61,0),IF('01_Input'!$P$61="Palier",IF(AND(EB$20&gt;='01_Input'!$N$61,EB$20&lt;'01_Input'!$O$61),'01_Input'!$Q$61,0),MAX(MIN(EB$20,'01_Input'!$O$61)-'01_Input'!$N$61,0)*'01_Input'!$Q$61))+IF('01_Input'!$T$61="Forfait",IF(EB$20&gt;='01_Input'!$R$61,'01_Input'!$U$61,0),IF('01_Input'!$T$61="Palier",IF(AND(EB$20&gt;='01_Input'!$R$61,EB$20&lt;'01_Input'!$S$61),'01_Input'!$U$61,0),MAX(MIN(EB$20,'01_Input'!$S$61)-'01_Input'!$R$61,0)*'01_Input'!$U$61))+IF('01_Input'!$X$61="Forfait",IF(EB$20&gt;='01_Input'!$V$61,'01_Input'!$Y$61,0),IF('01_Input'!$X$61="Palier",IF(AND(EB$20&gt;='01_Input'!$V$61,EB$20&lt;'01_Input'!$W$61),'01_Input'!$Y$61,0),MAX(MIN(EB$20,'01_Input'!$W$61)-'01_Input'!$V$61,0)*'01_Input'!$Y$61))+IF('01_Input'!$AB$61="Forfait",IF(EB$20&gt;='01_Input'!$Z$61,'01_Input'!$AC$61,0),IF('01_Input'!$AB$61="Palier",IF(AND(EB$20&gt;='01_Input'!$Z$61,EB$20&lt;'01_Input'!$AA$61),'01_Input'!$AC$61,0),MAX(MIN(EB$20,'01_Input'!$AA$61)-'01_Input'!$Z$61,0)*'01_Input'!$AC$61)))))))))</f>
        <v>0</v>
      </c>
      <c r="EC29" s="25">
        <f>IF('01_Input'!$C$61="Non",0,MIN('01_Input'!$I$61,MAX('01_Input'!$H$61,IF('01_Input'!$G$61="Résiduel vs Gestion",0,IF('01_Input'!$G$61="Taux Classe sélectionnée",Distrib_Global_Classe_Selectionnee*EC$20,IF('01_Input'!$G$61="Frais KYC (paliers de 100M€)",MAX(0,Nb_Investisseurs-Nb_KYC_Gratuites_Par_Tranche*(FLOOR(EC$20/Taille_Tranche_KYC,1)+1))*Cout_Par_KYC_Supplementaire,(IF('01_Input'!$L$61="Forfait",IF(EC$20&gt;='01_Input'!$J$61,'01_Input'!$M$61,0),IF('01_Input'!$L$61="Palier",IF(AND(EC$20&gt;='01_Input'!$J$61,EC$20&lt;'01_Input'!$K$61),'01_Input'!$M$61,0),MAX(MIN(EC$20,'01_Input'!$K$61)-'01_Input'!$J$61,0)*'01_Input'!$M$61))+IF('01_Input'!$P$61="Forfait",IF(EC$20&gt;='01_Input'!$N$61,'01_Input'!$Q$61,0),IF('01_Input'!$P$61="Palier",IF(AND(EC$20&gt;='01_Input'!$N$61,EC$20&lt;'01_Input'!$O$61),'01_Input'!$Q$61,0),MAX(MIN(EC$20,'01_Input'!$O$61)-'01_Input'!$N$61,0)*'01_Input'!$Q$61))+IF('01_Input'!$T$61="Forfait",IF(EC$20&gt;='01_Input'!$R$61,'01_Input'!$U$61,0),IF('01_Input'!$T$61="Palier",IF(AND(EC$20&gt;='01_Input'!$R$61,EC$20&lt;'01_Input'!$S$61),'01_Input'!$U$61,0),MAX(MIN(EC$20,'01_Input'!$S$61)-'01_Input'!$R$61,0)*'01_Input'!$U$61))+IF('01_Input'!$X$61="Forfait",IF(EC$20&gt;='01_Input'!$V$61,'01_Input'!$Y$61,0),IF('01_Input'!$X$61="Palier",IF(AND(EC$20&gt;='01_Input'!$V$61,EC$20&lt;'01_Input'!$W$61),'01_Input'!$Y$61,0),MAX(MIN(EC$20,'01_Input'!$W$61)-'01_Input'!$V$61,0)*'01_Input'!$Y$61))+IF('01_Input'!$AB$61="Forfait",IF(EC$20&gt;='01_Input'!$Z$61,'01_Input'!$AC$61,0),IF('01_Input'!$AB$61="Palier",IF(AND(EC$20&gt;='01_Input'!$Z$61,EC$20&lt;'01_Input'!$AA$61),'01_Input'!$AC$61,0),MAX(MIN(EC$20,'01_Input'!$AA$61)-'01_Input'!$Z$61,0)*'01_Input'!$AC$61)))))))))</f>
        <v>0</v>
      </c>
      <c r="ED29" s="25">
        <f>IF('01_Input'!$C$61="Non",0,MIN('01_Input'!$I$61,MAX('01_Input'!$H$61,IF('01_Input'!$G$61="Résiduel vs Gestion",0,IF('01_Input'!$G$61="Taux Classe sélectionnée",Distrib_Global_Classe_Selectionnee*ED$20,IF('01_Input'!$G$61="Frais KYC (paliers de 100M€)",MAX(0,Nb_Investisseurs-Nb_KYC_Gratuites_Par_Tranche*(FLOOR(ED$20/Taille_Tranche_KYC,1)+1))*Cout_Par_KYC_Supplementaire,(IF('01_Input'!$L$61="Forfait",IF(ED$20&gt;='01_Input'!$J$61,'01_Input'!$M$61,0),IF('01_Input'!$L$61="Palier",IF(AND(ED$20&gt;='01_Input'!$J$61,ED$20&lt;'01_Input'!$K$61),'01_Input'!$M$61,0),MAX(MIN(ED$20,'01_Input'!$K$61)-'01_Input'!$J$61,0)*'01_Input'!$M$61))+IF('01_Input'!$P$61="Forfait",IF(ED$20&gt;='01_Input'!$N$61,'01_Input'!$Q$61,0),IF('01_Input'!$P$61="Palier",IF(AND(ED$20&gt;='01_Input'!$N$61,ED$20&lt;'01_Input'!$O$61),'01_Input'!$Q$61,0),MAX(MIN(ED$20,'01_Input'!$O$61)-'01_Input'!$N$61,0)*'01_Input'!$Q$61))+IF('01_Input'!$T$61="Forfait",IF(ED$20&gt;='01_Input'!$R$61,'01_Input'!$U$61,0),IF('01_Input'!$T$61="Palier",IF(AND(ED$20&gt;='01_Input'!$R$61,ED$20&lt;'01_Input'!$S$61),'01_Input'!$U$61,0),MAX(MIN(ED$20,'01_Input'!$S$61)-'01_Input'!$R$61,0)*'01_Input'!$U$61))+IF('01_Input'!$X$61="Forfait",IF(ED$20&gt;='01_Input'!$V$61,'01_Input'!$Y$61,0),IF('01_Input'!$X$61="Palier",IF(AND(ED$20&gt;='01_Input'!$V$61,ED$20&lt;'01_Input'!$W$61),'01_Input'!$Y$61,0),MAX(MIN(ED$20,'01_Input'!$W$61)-'01_Input'!$V$61,0)*'01_Input'!$Y$61))+IF('01_Input'!$AB$61="Forfait",IF(ED$20&gt;='01_Input'!$Z$61,'01_Input'!$AC$61,0),IF('01_Input'!$AB$61="Palier",IF(AND(ED$20&gt;='01_Input'!$Z$61,ED$20&lt;'01_Input'!$AA$61),'01_Input'!$AC$61,0),MAX(MIN(ED$20,'01_Input'!$AA$61)-'01_Input'!$Z$61,0)*'01_Input'!$AC$61)))))))))</f>
        <v>0</v>
      </c>
      <c r="EE29" s="25">
        <f>IF('01_Input'!$C$61="Non",0,MIN('01_Input'!$I$61,MAX('01_Input'!$H$61,IF('01_Input'!$G$61="Résiduel vs Gestion",0,IF('01_Input'!$G$61="Taux Classe sélectionnée",Distrib_Global_Classe_Selectionnee*EE$20,IF('01_Input'!$G$61="Frais KYC (paliers de 100M€)",MAX(0,Nb_Investisseurs-Nb_KYC_Gratuites_Par_Tranche*(FLOOR(EE$20/Taille_Tranche_KYC,1)+1))*Cout_Par_KYC_Supplementaire,(IF('01_Input'!$L$61="Forfait",IF(EE$20&gt;='01_Input'!$J$61,'01_Input'!$M$61,0),IF('01_Input'!$L$61="Palier",IF(AND(EE$20&gt;='01_Input'!$J$61,EE$20&lt;'01_Input'!$K$61),'01_Input'!$M$61,0),MAX(MIN(EE$20,'01_Input'!$K$61)-'01_Input'!$J$61,0)*'01_Input'!$M$61))+IF('01_Input'!$P$61="Forfait",IF(EE$20&gt;='01_Input'!$N$61,'01_Input'!$Q$61,0),IF('01_Input'!$P$61="Palier",IF(AND(EE$20&gt;='01_Input'!$N$61,EE$20&lt;'01_Input'!$O$61),'01_Input'!$Q$61,0),MAX(MIN(EE$20,'01_Input'!$O$61)-'01_Input'!$N$61,0)*'01_Input'!$Q$61))+IF('01_Input'!$T$61="Forfait",IF(EE$20&gt;='01_Input'!$R$61,'01_Input'!$U$61,0),IF('01_Input'!$T$61="Palier",IF(AND(EE$20&gt;='01_Input'!$R$61,EE$20&lt;'01_Input'!$S$61),'01_Input'!$U$61,0),MAX(MIN(EE$20,'01_Input'!$S$61)-'01_Input'!$R$61,0)*'01_Input'!$U$61))+IF('01_Input'!$X$61="Forfait",IF(EE$20&gt;='01_Input'!$V$61,'01_Input'!$Y$61,0),IF('01_Input'!$X$61="Palier",IF(AND(EE$20&gt;='01_Input'!$V$61,EE$20&lt;'01_Input'!$W$61),'01_Input'!$Y$61,0),MAX(MIN(EE$20,'01_Input'!$W$61)-'01_Input'!$V$61,0)*'01_Input'!$Y$61))+IF('01_Input'!$AB$61="Forfait",IF(EE$20&gt;='01_Input'!$Z$61,'01_Input'!$AC$61,0),IF('01_Input'!$AB$61="Palier",IF(AND(EE$20&gt;='01_Input'!$Z$61,EE$20&lt;'01_Input'!$AA$61),'01_Input'!$AC$61,0),MAX(MIN(EE$20,'01_Input'!$AA$61)-'01_Input'!$Z$61,0)*'01_Input'!$AC$61)))))))))</f>
        <v>0</v>
      </c>
      <c r="EF29" s="25">
        <f>IF('01_Input'!$C$61="Non",0,MIN('01_Input'!$I$61,MAX('01_Input'!$H$61,IF('01_Input'!$G$61="Résiduel vs Gestion",0,IF('01_Input'!$G$61="Taux Classe sélectionnée",Distrib_Global_Classe_Selectionnee*EF$20,IF('01_Input'!$G$61="Frais KYC (paliers de 100M€)",MAX(0,Nb_Investisseurs-Nb_KYC_Gratuites_Par_Tranche*(FLOOR(EF$20/Taille_Tranche_KYC,1)+1))*Cout_Par_KYC_Supplementaire,(IF('01_Input'!$L$61="Forfait",IF(EF$20&gt;='01_Input'!$J$61,'01_Input'!$M$61,0),IF('01_Input'!$L$61="Palier",IF(AND(EF$20&gt;='01_Input'!$J$61,EF$20&lt;'01_Input'!$K$61),'01_Input'!$M$61,0),MAX(MIN(EF$20,'01_Input'!$K$61)-'01_Input'!$J$61,0)*'01_Input'!$M$61))+IF('01_Input'!$P$61="Forfait",IF(EF$20&gt;='01_Input'!$N$61,'01_Input'!$Q$61,0),IF('01_Input'!$P$61="Palier",IF(AND(EF$20&gt;='01_Input'!$N$61,EF$20&lt;'01_Input'!$O$61),'01_Input'!$Q$61,0),MAX(MIN(EF$20,'01_Input'!$O$61)-'01_Input'!$N$61,0)*'01_Input'!$Q$61))+IF('01_Input'!$T$61="Forfait",IF(EF$20&gt;='01_Input'!$R$61,'01_Input'!$U$61,0),IF('01_Input'!$T$61="Palier",IF(AND(EF$20&gt;='01_Input'!$R$61,EF$20&lt;'01_Input'!$S$61),'01_Input'!$U$61,0),MAX(MIN(EF$20,'01_Input'!$S$61)-'01_Input'!$R$61,0)*'01_Input'!$U$61))+IF('01_Input'!$X$61="Forfait",IF(EF$20&gt;='01_Input'!$V$61,'01_Input'!$Y$61,0),IF('01_Input'!$X$61="Palier",IF(AND(EF$20&gt;='01_Input'!$V$61,EF$20&lt;'01_Input'!$W$61),'01_Input'!$Y$61,0),MAX(MIN(EF$20,'01_Input'!$W$61)-'01_Input'!$V$61,0)*'01_Input'!$Y$61))+IF('01_Input'!$AB$61="Forfait",IF(EF$20&gt;='01_Input'!$Z$61,'01_Input'!$AC$61,0),IF('01_Input'!$AB$61="Palier",IF(AND(EF$20&gt;='01_Input'!$Z$61,EF$20&lt;'01_Input'!$AA$61),'01_Input'!$AC$61,0),MAX(MIN(EF$20,'01_Input'!$AA$61)-'01_Input'!$Z$61,0)*'01_Input'!$AC$61)))))))))</f>
        <v>0</v>
      </c>
      <c r="EG29" s="25">
        <f>IF('01_Input'!$C$61="Non",0,MIN('01_Input'!$I$61,MAX('01_Input'!$H$61,IF('01_Input'!$G$61="Résiduel vs Gestion",0,IF('01_Input'!$G$61="Taux Classe sélectionnée",Distrib_Global_Classe_Selectionnee*EG$20,IF('01_Input'!$G$61="Frais KYC (paliers de 100M€)",MAX(0,Nb_Investisseurs-Nb_KYC_Gratuites_Par_Tranche*(FLOOR(EG$20/Taille_Tranche_KYC,1)+1))*Cout_Par_KYC_Supplementaire,(IF('01_Input'!$L$61="Forfait",IF(EG$20&gt;='01_Input'!$J$61,'01_Input'!$M$61,0),IF('01_Input'!$L$61="Palier",IF(AND(EG$20&gt;='01_Input'!$J$61,EG$20&lt;'01_Input'!$K$61),'01_Input'!$M$61,0),MAX(MIN(EG$20,'01_Input'!$K$61)-'01_Input'!$J$61,0)*'01_Input'!$M$61))+IF('01_Input'!$P$61="Forfait",IF(EG$20&gt;='01_Input'!$N$61,'01_Input'!$Q$61,0),IF('01_Input'!$P$61="Palier",IF(AND(EG$20&gt;='01_Input'!$N$61,EG$20&lt;'01_Input'!$O$61),'01_Input'!$Q$61,0),MAX(MIN(EG$20,'01_Input'!$O$61)-'01_Input'!$N$61,0)*'01_Input'!$Q$61))+IF('01_Input'!$T$61="Forfait",IF(EG$20&gt;='01_Input'!$R$61,'01_Input'!$U$61,0),IF('01_Input'!$T$61="Palier",IF(AND(EG$20&gt;='01_Input'!$R$61,EG$20&lt;'01_Input'!$S$61),'01_Input'!$U$61,0),MAX(MIN(EG$20,'01_Input'!$S$61)-'01_Input'!$R$61,0)*'01_Input'!$U$61))+IF('01_Input'!$X$61="Forfait",IF(EG$20&gt;='01_Input'!$V$61,'01_Input'!$Y$61,0),IF('01_Input'!$X$61="Palier",IF(AND(EG$20&gt;='01_Input'!$V$61,EG$20&lt;'01_Input'!$W$61),'01_Input'!$Y$61,0),MAX(MIN(EG$20,'01_Input'!$W$61)-'01_Input'!$V$61,0)*'01_Input'!$Y$61))+IF('01_Input'!$AB$61="Forfait",IF(EG$20&gt;='01_Input'!$Z$61,'01_Input'!$AC$61,0),IF('01_Input'!$AB$61="Palier",IF(AND(EG$20&gt;='01_Input'!$Z$61,EG$20&lt;'01_Input'!$AA$61),'01_Input'!$AC$61,0),MAX(MIN(EG$20,'01_Input'!$AA$61)-'01_Input'!$Z$61,0)*'01_Input'!$AC$61)))))))))</f>
        <v>0</v>
      </c>
      <c r="EH29" s="25">
        <f>IF('01_Input'!$C$61="Non",0,MIN('01_Input'!$I$61,MAX('01_Input'!$H$61,IF('01_Input'!$G$61="Résiduel vs Gestion",0,IF('01_Input'!$G$61="Taux Classe sélectionnée",Distrib_Global_Classe_Selectionnee*EH$20,IF('01_Input'!$G$61="Frais KYC (paliers de 100M€)",MAX(0,Nb_Investisseurs-Nb_KYC_Gratuites_Par_Tranche*(FLOOR(EH$20/Taille_Tranche_KYC,1)+1))*Cout_Par_KYC_Supplementaire,(IF('01_Input'!$L$61="Forfait",IF(EH$20&gt;='01_Input'!$J$61,'01_Input'!$M$61,0),IF('01_Input'!$L$61="Palier",IF(AND(EH$20&gt;='01_Input'!$J$61,EH$20&lt;'01_Input'!$K$61),'01_Input'!$M$61,0),MAX(MIN(EH$20,'01_Input'!$K$61)-'01_Input'!$J$61,0)*'01_Input'!$M$61))+IF('01_Input'!$P$61="Forfait",IF(EH$20&gt;='01_Input'!$N$61,'01_Input'!$Q$61,0),IF('01_Input'!$P$61="Palier",IF(AND(EH$20&gt;='01_Input'!$N$61,EH$20&lt;'01_Input'!$O$61),'01_Input'!$Q$61,0),MAX(MIN(EH$20,'01_Input'!$O$61)-'01_Input'!$N$61,0)*'01_Input'!$Q$61))+IF('01_Input'!$T$61="Forfait",IF(EH$20&gt;='01_Input'!$R$61,'01_Input'!$U$61,0),IF('01_Input'!$T$61="Palier",IF(AND(EH$20&gt;='01_Input'!$R$61,EH$20&lt;'01_Input'!$S$61),'01_Input'!$U$61,0),MAX(MIN(EH$20,'01_Input'!$S$61)-'01_Input'!$R$61,0)*'01_Input'!$U$61))+IF('01_Input'!$X$61="Forfait",IF(EH$20&gt;='01_Input'!$V$61,'01_Input'!$Y$61,0),IF('01_Input'!$X$61="Palier",IF(AND(EH$20&gt;='01_Input'!$V$61,EH$20&lt;'01_Input'!$W$61),'01_Input'!$Y$61,0),MAX(MIN(EH$20,'01_Input'!$W$61)-'01_Input'!$V$61,0)*'01_Input'!$Y$61))+IF('01_Input'!$AB$61="Forfait",IF(EH$20&gt;='01_Input'!$Z$61,'01_Input'!$AC$61,0),IF('01_Input'!$AB$61="Palier",IF(AND(EH$20&gt;='01_Input'!$Z$61,EH$20&lt;'01_Input'!$AA$61),'01_Input'!$AC$61,0),MAX(MIN(EH$20,'01_Input'!$AA$61)-'01_Input'!$Z$61,0)*'01_Input'!$AC$61)))))))))</f>
        <v>0</v>
      </c>
      <c r="EI29" s="25">
        <f>IF('01_Input'!$C$61="Non",0,MIN('01_Input'!$I$61,MAX('01_Input'!$H$61,IF('01_Input'!$G$61="Résiduel vs Gestion",0,IF('01_Input'!$G$61="Taux Classe sélectionnée",Distrib_Global_Classe_Selectionnee*EI$20,IF('01_Input'!$G$61="Frais KYC (paliers de 100M€)",MAX(0,Nb_Investisseurs-Nb_KYC_Gratuites_Par_Tranche*(FLOOR(EI$20/Taille_Tranche_KYC,1)+1))*Cout_Par_KYC_Supplementaire,(IF('01_Input'!$L$61="Forfait",IF(EI$20&gt;='01_Input'!$J$61,'01_Input'!$M$61,0),IF('01_Input'!$L$61="Palier",IF(AND(EI$20&gt;='01_Input'!$J$61,EI$20&lt;'01_Input'!$K$61),'01_Input'!$M$61,0),MAX(MIN(EI$20,'01_Input'!$K$61)-'01_Input'!$J$61,0)*'01_Input'!$M$61))+IF('01_Input'!$P$61="Forfait",IF(EI$20&gt;='01_Input'!$N$61,'01_Input'!$Q$61,0),IF('01_Input'!$P$61="Palier",IF(AND(EI$20&gt;='01_Input'!$N$61,EI$20&lt;'01_Input'!$O$61),'01_Input'!$Q$61,0),MAX(MIN(EI$20,'01_Input'!$O$61)-'01_Input'!$N$61,0)*'01_Input'!$Q$61))+IF('01_Input'!$T$61="Forfait",IF(EI$20&gt;='01_Input'!$R$61,'01_Input'!$U$61,0),IF('01_Input'!$T$61="Palier",IF(AND(EI$20&gt;='01_Input'!$R$61,EI$20&lt;'01_Input'!$S$61),'01_Input'!$U$61,0),MAX(MIN(EI$20,'01_Input'!$S$61)-'01_Input'!$R$61,0)*'01_Input'!$U$61))+IF('01_Input'!$X$61="Forfait",IF(EI$20&gt;='01_Input'!$V$61,'01_Input'!$Y$61,0),IF('01_Input'!$X$61="Palier",IF(AND(EI$20&gt;='01_Input'!$V$61,EI$20&lt;'01_Input'!$W$61),'01_Input'!$Y$61,0),MAX(MIN(EI$20,'01_Input'!$W$61)-'01_Input'!$V$61,0)*'01_Input'!$Y$61))+IF('01_Input'!$AB$61="Forfait",IF(EI$20&gt;='01_Input'!$Z$61,'01_Input'!$AC$61,0),IF('01_Input'!$AB$61="Palier",IF(AND(EI$20&gt;='01_Input'!$Z$61,EI$20&lt;'01_Input'!$AA$61),'01_Input'!$AC$61,0),MAX(MIN(EI$20,'01_Input'!$AA$61)-'01_Input'!$Z$61,0)*'01_Input'!$AC$61)))))))))</f>
        <v>0</v>
      </c>
      <c r="EJ29" s="25">
        <f>IF('01_Input'!$C$61="Non",0,MIN('01_Input'!$I$61,MAX('01_Input'!$H$61,IF('01_Input'!$G$61="Résiduel vs Gestion",0,IF('01_Input'!$G$61="Taux Classe sélectionnée",Distrib_Global_Classe_Selectionnee*EJ$20,IF('01_Input'!$G$61="Frais KYC (paliers de 100M€)",MAX(0,Nb_Investisseurs-Nb_KYC_Gratuites_Par_Tranche*(FLOOR(EJ$20/Taille_Tranche_KYC,1)+1))*Cout_Par_KYC_Supplementaire,(IF('01_Input'!$L$61="Forfait",IF(EJ$20&gt;='01_Input'!$J$61,'01_Input'!$M$61,0),IF('01_Input'!$L$61="Palier",IF(AND(EJ$20&gt;='01_Input'!$J$61,EJ$20&lt;'01_Input'!$K$61),'01_Input'!$M$61,0),MAX(MIN(EJ$20,'01_Input'!$K$61)-'01_Input'!$J$61,0)*'01_Input'!$M$61))+IF('01_Input'!$P$61="Forfait",IF(EJ$20&gt;='01_Input'!$N$61,'01_Input'!$Q$61,0),IF('01_Input'!$P$61="Palier",IF(AND(EJ$20&gt;='01_Input'!$N$61,EJ$20&lt;'01_Input'!$O$61),'01_Input'!$Q$61,0),MAX(MIN(EJ$20,'01_Input'!$O$61)-'01_Input'!$N$61,0)*'01_Input'!$Q$61))+IF('01_Input'!$T$61="Forfait",IF(EJ$20&gt;='01_Input'!$R$61,'01_Input'!$U$61,0),IF('01_Input'!$T$61="Palier",IF(AND(EJ$20&gt;='01_Input'!$R$61,EJ$20&lt;'01_Input'!$S$61),'01_Input'!$U$61,0),MAX(MIN(EJ$20,'01_Input'!$S$61)-'01_Input'!$R$61,0)*'01_Input'!$U$61))+IF('01_Input'!$X$61="Forfait",IF(EJ$20&gt;='01_Input'!$V$61,'01_Input'!$Y$61,0),IF('01_Input'!$X$61="Palier",IF(AND(EJ$20&gt;='01_Input'!$V$61,EJ$20&lt;'01_Input'!$W$61),'01_Input'!$Y$61,0),MAX(MIN(EJ$20,'01_Input'!$W$61)-'01_Input'!$V$61,0)*'01_Input'!$Y$61))+IF('01_Input'!$AB$61="Forfait",IF(EJ$20&gt;='01_Input'!$Z$61,'01_Input'!$AC$61,0),IF('01_Input'!$AB$61="Palier",IF(AND(EJ$20&gt;='01_Input'!$Z$61,EJ$20&lt;'01_Input'!$AA$61),'01_Input'!$AC$61,0),MAX(MIN(EJ$20,'01_Input'!$AA$61)-'01_Input'!$Z$61,0)*'01_Input'!$AC$61)))))))))</f>
        <v>0</v>
      </c>
      <c r="EK29" s="25">
        <f>IF('01_Input'!$C$61="Non",0,MIN('01_Input'!$I$61,MAX('01_Input'!$H$61,IF('01_Input'!$G$61="Résiduel vs Gestion",0,IF('01_Input'!$G$61="Taux Classe sélectionnée",Distrib_Global_Classe_Selectionnee*EK$20,IF('01_Input'!$G$61="Frais KYC (paliers de 100M€)",MAX(0,Nb_Investisseurs-Nb_KYC_Gratuites_Par_Tranche*(FLOOR(EK$20/Taille_Tranche_KYC,1)+1))*Cout_Par_KYC_Supplementaire,(IF('01_Input'!$L$61="Forfait",IF(EK$20&gt;='01_Input'!$J$61,'01_Input'!$M$61,0),IF('01_Input'!$L$61="Palier",IF(AND(EK$20&gt;='01_Input'!$J$61,EK$20&lt;'01_Input'!$K$61),'01_Input'!$M$61,0),MAX(MIN(EK$20,'01_Input'!$K$61)-'01_Input'!$J$61,0)*'01_Input'!$M$61))+IF('01_Input'!$P$61="Forfait",IF(EK$20&gt;='01_Input'!$N$61,'01_Input'!$Q$61,0),IF('01_Input'!$P$61="Palier",IF(AND(EK$20&gt;='01_Input'!$N$61,EK$20&lt;'01_Input'!$O$61),'01_Input'!$Q$61,0),MAX(MIN(EK$20,'01_Input'!$O$61)-'01_Input'!$N$61,0)*'01_Input'!$Q$61))+IF('01_Input'!$T$61="Forfait",IF(EK$20&gt;='01_Input'!$R$61,'01_Input'!$U$61,0),IF('01_Input'!$T$61="Palier",IF(AND(EK$20&gt;='01_Input'!$R$61,EK$20&lt;'01_Input'!$S$61),'01_Input'!$U$61,0),MAX(MIN(EK$20,'01_Input'!$S$61)-'01_Input'!$R$61,0)*'01_Input'!$U$61))+IF('01_Input'!$X$61="Forfait",IF(EK$20&gt;='01_Input'!$V$61,'01_Input'!$Y$61,0),IF('01_Input'!$X$61="Palier",IF(AND(EK$20&gt;='01_Input'!$V$61,EK$20&lt;'01_Input'!$W$61),'01_Input'!$Y$61,0),MAX(MIN(EK$20,'01_Input'!$W$61)-'01_Input'!$V$61,0)*'01_Input'!$Y$61))+IF('01_Input'!$AB$61="Forfait",IF(EK$20&gt;='01_Input'!$Z$61,'01_Input'!$AC$61,0),IF('01_Input'!$AB$61="Palier",IF(AND(EK$20&gt;='01_Input'!$Z$61,EK$20&lt;'01_Input'!$AA$61),'01_Input'!$AC$61,0),MAX(MIN(EK$20,'01_Input'!$AA$61)-'01_Input'!$Z$61,0)*'01_Input'!$AC$61)))))))))</f>
        <v>0</v>
      </c>
      <c r="EL29" s="25">
        <f>IF('01_Input'!$C$61="Non",0,MIN('01_Input'!$I$61,MAX('01_Input'!$H$61,IF('01_Input'!$G$61="Résiduel vs Gestion",0,IF('01_Input'!$G$61="Taux Classe sélectionnée",Distrib_Global_Classe_Selectionnee*EL$20,IF('01_Input'!$G$61="Frais KYC (paliers de 100M€)",MAX(0,Nb_Investisseurs-Nb_KYC_Gratuites_Par_Tranche*(FLOOR(EL$20/Taille_Tranche_KYC,1)+1))*Cout_Par_KYC_Supplementaire,(IF('01_Input'!$L$61="Forfait",IF(EL$20&gt;='01_Input'!$J$61,'01_Input'!$M$61,0),IF('01_Input'!$L$61="Palier",IF(AND(EL$20&gt;='01_Input'!$J$61,EL$20&lt;'01_Input'!$K$61),'01_Input'!$M$61,0),MAX(MIN(EL$20,'01_Input'!$K$61)-'01_Input'!$J$61,0)*'01_Input'!$M$61))+IF('01_Input'!$P$61="Forfait",IF(EL$20&gt;='01_Input'!$N$61,'01_Input'!$Q$61,0),IF('01_Input'!$P$61="Palier",IF(AND(EL$20&gt;='01_Input'!$N$61,EL$20&lt;'01_Input'!$O$61),'01_Input'!$Q$61,0),MAX(MIN(EL$20,'01_Input'!$O$61)-'01_Input'!$N$61,0)*'01_Input'!$Q$61))+IF('01_Input'!$T$61="Forfait",IF(EL$20&gt;='01_Input'!$R$61,'01_Input'!$U$61,0),IF('01_Input'!$T$61="Palier",IF(AND(EL$20&gt;='01_Input'!$R$61,EL$20&lt;'01_Input'!$S$61),'01_Input'!$U$61,0),MAX(MIN(EL$20,'01_Input'!$S$61)-'01_Input'!$R$61,0)*'01_Input'!$U$61))+IF('01_Input'!$X$61="Forfait",IF(EL$20&gt;='01_Input'!$V$61,'01_Input'!$Y$61,0),IF('01_Input'!$X$61="Palier",IF(AND(EL$20&gt;='01_Input'!$V$61,EL$20&lt;'01_Input'!$W$61),'01_Input'!$Y$61,0),MAX(MIN(EL$20,'01_Input'!$W$61)-'01_Input'!$V$61,0)*'01_Input'!$Y$61))+IF('01_Input'!$AB$61="Forfait",IF(EL$20&gt;='01_Input'!$Z$61,'01_Input'!$AC$61,0),IF('01_Input'!$AB$61="Palier",IF(AND(EL$20&gt;='01_Input'!$Z$61,EL$20&lt;'01_Input'!$AA$61),'01_Input'!$AC$61,0),MAX(MIN(EL$20,'01_Input'!$AA$61)-'01_Input'!$Z$61,0)*'01_Input'!$AC$61)))))))))</f>
        <v>0</v>
      </c>
      <c r="EM29" s="25">
        <f>IF('01_Input'!$C$61="Non",0,MIN('01_Input'!$I$61,MAX('01_Input'!$H$61,IF('01_Input'!$G$61="Résiduel vs Gestion",0,IF('01_Input'!$G$61="Taux Classe sélectionnée",Distrib_Global_Classe_Selectionnee*EM$20,IF('01_Input'!$G$61="Frais KYC (paliers de 100M€)",MAX(0,Nb_Investisseurs-Nb_KYC_Gratuites_Par_Tranche*(FLOOR(EM$20/Taille_Tranche_KYC,1)+1))*Cout_Par_KYC_Supplementaire,(IF('01_Input'!$L$61="Forfait",IF(EM$20&gt;='01_Input'!$J$61,'01_Input'!$M$61,0),IF('01_Input'!$L$61="Palier",IF(AND(EM$20&gt;='01_Input'!$J$61,EM$20&lt;'01_Input'!$K$61),'01_Input'!$M$61,0),MAX(MIN(EM$20,'01_Input'!$K$61)-'01_Input'!$J$61,0)*'01_Input'!$M$61))+IF('01_Input'!$P$61="Forfait",IF(EM$20&gt;='01_Input'!$N$61,'01_Input'!$Q$61,0),IF('01_Input'!$P$61="Palier",IF(AND(EM$20&gt;='01_Input'!$N$61,EM$20&lt;'01_Input'!$O$61),'01_Input'!$Q$61,0),MAX(MIN(EM$20,'01_Input'!$O$61)-'01_Input'!$N$61,0)*'01_Input'!$Q$61))+IF('01_Input'!$T$61="Forfait",IF(EM$20&gt;='01_Input'!$R$61,'01_Input'!$U$61,0),IF('01_Input'!$T$61="Palier",IF(AND(EM$20&gt;='01_Input'!$R$61,EM$20&lt;'01_Input'!$S$61),'01_Input'!$U$61,0),MAX(MIN(EM$20,'01_Input'!$S$61)-'01_Input'!$R$61,0)*'01_Input'!$U$61))+IF('01_Input'!$X$61="Forfait",IF(EM$20&gt;='01_Input'!$V$61,'01_Input'!$Y$61,0),IF('01_Input'!$X$61="Palier",IF(AND(EM$20&gt;='01_Input'!$V$61,EM$20&lt;'01_Input'!$W$61),'01_Input'!$Y$61,0),MAX(MIN(EM$20,'01_Input'!$W$61)-'01_Input'!$V$61,0)*'01_Input'!$Y$61))+IF('01_Input'!$AB$61="Forfait",IF(EM$20&gt;='01_Input'!$Z$61,'01_Input'!$AC$61,0),IF('01_Input'!$AB$61="Palier",IF(AND(EM$20&gt;='01_Input'!$Z$61,EM$20&lt;'01_Input'!$AA$61),'01_Input'!$AC$61,0),MAX(MIN(EM$20,'01_Input'!$AA$61)-'01_Input'!$Z$61,0)*'01_Input'!$AC$61)))))))))</f>
        <v>0</v>
      </c>
      <c r="EN29" s="25">
        <f>IF('01_Input'!$C$61="Non",0,MIN('01_Input'!$I$61,MAX('01_Input'!$H$61,IF('01_Input'!$G$61="Résiduel vs Gestion",0,IF('01_Input'!$G$61="Taux Classe sélectionnée",Distrib_Global_Classe_Selectionnee*EN$20,IF('01_Input'!$G$61="Frais KYC (paliers de 100M€)",MAX(0,Nb_Investisseurs-Nb_KYC_Gratuites_Par_Tranche*(FLOOR(EN$20/Taille_Tranche_KYC,1)+1))*Cout_Par_KYC_Supplementaire,(IF('01_Input'!$L$61="Forfait",IF(EN$20&gt;='01_Input'!$J$61,'01_Input'!$M$61,0),IF('01_Input'!$L$61="Palier",IF(AND(EN$20&gt;='01_Input'!$J$61,EN$20&lt;'01_Input'!$K$61),'01_Input'!$M$61,0),MAX(MIN(EN$20,'01_Input'!$K$61)-'01_Input'!$J$61,0)*'01_Input'!$M$61))+IF('01_Input'!$P$61="Forfait",IF(EN$20&gt;='01_Input'!$N$61,'01_Input'!$Q$61,0),IF('01_Input'!$P$61="Palier",IF(AND(EN$20&gt;='01_Input'!$N$61,EN$20&lt;'01_Input'!$O$61),'01_Input'!$Q$61,0),MAX(MIN(EN$20,'01_Input'!$O$61)-'01_Input'!$N$61,0)*'01_Input'!$Q$61))+IF('01_Input'!$T$61="Forfait",IF(EN$20&gt;='01_Input'!$R$61,'01_Input'!$U$61,0),IF('01_Input'!$T$61="Palier",IF(AND(EN$20&gt;='01_Input'!$R$61,EN$20&lt;'01_Input'!$S$61),'01_Input'!$U$61,0),MAX(MIN(EN$20,'01_Input'!$S$61)-'01_Input'!$R$61,0)*'01_Input'!$U$61))+IF('01_Input'!$X$61="Forfait",IF(EN$20&gt;='01_Input'!$V$61,'01_Input'!$Y$61,0),IF('01_Input'!$X$61="Palier",IF(AND(EN$20&gt;='01_Input'!$V$61,EN$20&lt;'01_Input'!$W$61),'01_Input'!$Y$61,0),MAX(MIN(EN$20,'01_Input'!$W$61)-'01_Input'!$V$61,0)*'01_Input'!$Y$61))+IF('01_Input'!$AB$61="Forfait",IF(EN$20&gt;='01_Input'!$Z$61,'01_Input'!$AC$61,0),IF('01_Input'!$AB$61="Palier",IF(AND(EN$20&gt;='01_Input'!$Z$61,EN$20&lt;'01_Input'!$AA$61),'01_Input'!$AC$61,0),MAX(MIN(EN$20,'01_Input'!$AA$61)-'01_Input'!$Z$61,0)*'01_Input'!$AC$61)))))))))</f>
        <v>0</v>
      </c>
      <c r="EO29" s="25">
        <f>IF('01_Input'!$C$61="Non",0,MIN('01_Input'!$I$61,MAX('01_Input'!$H$61,IF('01_Input'!$G$61="Résiduel vs Gestion",0,IF('01_Input'!$G$61="Taux Classe sélectionnée",Distrib_Global_Classe_Selectionnee*EO$20,IF('01_Input'!$G$61="Frais KYC (paliers de 100M€)",MAX(0,Nb_Investisseurs-Nb_KYC_Gratuites_Par_Tranche*(FLOOR(EO$20/Taille_Tranche_KYC,1)+1))*Cout_Par_KYC_Supplementaire,(IF('01_Input'!$L$61="Forfait",IF(EO$20&gt;='01_Input'!$J$61,'01_Input'!$M$61,0),IF('01_Input'!$L$61="Palier",IF(AND(EO$20&gt;='01_Input'!$J$61,EO$20&lt;'01_Input'!$K$61),'01_Input'!$M$61,0),MAX(MIN(EO$20,'01_Input'!$K$61)-'01_Input'!$J$61,0)*'01_Input'!$M$61))+IF('01_Input'!$P$61="Forfait",IF(EO$20&gt;='01_Input'!$N$61,'01_Input'!$Q$61,0),IF('01_Input'!$P$61="Palier",IF(AND(EO$20&gt;='01_Input'!$N$61,EO$20&lt;'01_Input'!$O$61),'01_Input'!$Q$61,0),MAX(MIN(EO$20,'01_Input'!$O$61)-'01_Input'!$N$61,0)*'01_Input'!$Q$61))+IF('01_Input'!$T$61="Forfait",IF(EO$20&gt;='01_Input'!$R$61,'01_Input'!$U$61,0),IF('01_Input'!$T$61="Palier",IF(AND(EO$20&gt;='01_Input'!$R$61,EO$20&lt;'01_Input'!$S$61),'01_Input'!$U$61,0),MAX(MIN(EO$20,'01_Input'!$S$61)-'01_Input'!$R$61,0)*'01_Input'!$U$61))+IF('01_Input'!$X$61="Forfait",IF(EO$20&gt;='01_Input'!$V$61,'01_Input'!$Y$61,0),IF('01_Input'!$X$61="Palier",IF(AND(EO$20&gt;='01_Input'!$V$61,EO$20&lt;'01_Input'!$W$61),'01_Input'!$Y$61,0),MAX(MIN(EO$20,'01_Input'!$W$61)-'01_Input'!$V$61,0)*'01_Input'!$Y$61))+IF('01_Input'!$AB$61="Forfait",IF(EO$20&gt;='01_Input'!$Z$61,'01_Input'!$AC$61,0),IF('01_Input'!$AB$61="Palier",IF(AND(EO$20&gt;='01_Input'!$Z$61,EO$20&lt;'01_Input'!$AA$61),'01_Input'!$AC$61,0),MAX(MIN(EO$20,'01_Input'!$AA$61)-'01_Input'!$Z$61,0)*'01_Input'!$AC$61)))))))))</f>
        <v>0</v>
      </c>
      <c r="EP29" s="25">
        <f>IF('01_Input'!$C$61="Non",0,MIN('01_Input'!$I$61,MAX('01_Input'!$H$61,IF('01_Input'!$G$61="Résiduel vs Gestion",0,IF('01_Input'!$G$61="Taux Classe sélectionnée",Distrib_Global_Classe_Selectionnee*EP$20,IF('01_Input'!$G$61="Frais KYC (paliers de 100M€)",MAX(0,Nb_Investisseurs-Nb_KYC_Gratuites_Par_Tranche*(FLOOR(EP$20/Taille_Tranche_KYC,1)+1))*Cout_Par_KYC_Supplementaire,(IF('01_Input'!$L$61="Forfait",IF(EP$20&gt;='01_Input'!$J$61,'01_Input'!$M$61,0),IF('01_Input'!$L$61="Palier",IF(AND(EP$20&gt;='01_Input'!$J$61,EP$20&lt;'01_Input'!$K$61),'01_Input'!$M$61,0),MAX(MIN(EP$20,'01_Input'!$K$61)-'01_Input'!$J$61,0)*'01_Input'!$M$61))+IF('01_Input'!$P$61="Forfait",IF(EP$20&gt;='01_Input'!$N$61,'01_Input'!$Q$61,0),IF('01_Input'!$P$61="Palier",IF(AND(EP$20&gt;='01_Input'!$N$61,EP$20&lt;'01_Input'!$O$61),'01_Input'!$Q$61,0),MAX(MIN(EP$20,'01_Input'!$O$61)-'01_Input'!$N$61,0)*'01_Input'!$Q$61))+IF('01_Input'!$T$61="Forfait",IF(EP$20&gt;='01_Input'!$R$61,'01_Input'!$U$61,0),IF('01_Input'!$T$61="Palier",IF(AND(EP$20&gt;='01_Input'!$R$61,EP$20&lt;'01_Input'!$S$61),'01_Input'!$U$61,0),MAX(MIN(EP$20,'01_Input'!$S$61)-'01_Input'!$R$61,0)*'01_Input'!$U$61))+IF('01_Input'!$X$61="Forfait",IF(EP$20&gt;='01_Input'!$V$61,'01_Input'!$Y$61,0),IF('01_Input'!$X$61="Palier",IF(AND(EP$20&gt;='01_Input'!$V$61,EP$20&lt;'01_Input'!$W$61),'01_Input'!$Y$61,0),MAX(MIN(EP$20,'01_Input'!$W$61)-'01_Input'!$V$61,0)*'01_Input'!$Y$61))+IF('01_Input'!$AB$61="Forfait",IF(EP$20&gt;='01_Input'!$Z$61,'01_Input'!$AC$61,0),IF('01_Input'!$AB$61="Palier",IF(AND(EP$20&gt;='01_Input'!$Z$61,EP$20&lt;'01_Input'!$AA$61),'01_Input'!$AC$61,0),MAX(MIN(EP$20,'01_Input'!$AA$61)-'01_Input'!$Z$61,0)*'01_Input'!$AC$61)))))))))</f>
        <v>0</v>
      </c>
      <c r="EQ29" s="25">
        <f>IF('01_Input'!$C$61="Non",0,MIN('01_Input'!$I$61,MAX('01_Input'!$H$61,IF('01_Input'!$G$61="Résiduel vs Gestion",0,IF('01_Input'!$G$61="Taux Classe sélectionnée",Distrib_Global_Classe_Selectionnee*EQ$20,IF('01_Input'!$G$61="Frais KYC (paliers de 100M€)",MAX(0,Nb_Investisseurs-Nb_KYC_Gratuites_Par_Tranche*(FLOOR(EQ$20/Taille_Tranche_KYC,1)+1))*Cout_Par_KYC_Supplementaire,(IF('01_Input'!$L$61="Forfait",IF(EQ$20&gt;='01_Input'!$J$61,'01_Input'!$M$61,0),IF('01_Input'!$L$61="Palier",IF(AND(EQ$20&gt;='01_Input'!$J$61,EQ$20&lt;'01_Input'!$K$61),'01_Input'!$M$61,0),MAX(MIN(EQ$20,'01_Input'!$K$61)-'01_Input'!$J$61,0)*'01_Input'!$M$61))+IF('01_Input'!$P$61="Forfait",IF(EQ$20&gt;='01_Input'!$N$61,'01_Input'!$Q$61,0),IF('01_Input'!$P$61="Palier",IF(AND(EQ$20&gt;='01_Input'!$N$61,EQ$20&lt;'01_Input'!$O$61),'01_Input'!$Q$61,0),MAX(MIN(EQ$20,'01_Input'!$O$61)-'01_Input'!$N$61,0)*'01_Input'!$Q$61))+IF('01_Input'!$T$61="Forfait",IF(EQ$20&gt;='01_Input'!$R$61,'01_Input'!$U$61,0),IF('01_Input'!$T$61="Palier",IF(AND(EQ$20&gt;='01_Input'!$R$61,EQ$20&lt;'01_Input'!$S$61),'01_Input'!$U$61,0),MAX(MIN(EQ$20,'01_Input'!$S$61)-'01_Input'!$R$61,0)*'01_Input'!$U$61))+IF('01_Input'!$X$61="Forfait",IF(EQ$20&gt;='01_Input'!$V$61,'01_Input'!$Y$61,0),IF('01_Input'!$X$61="Palier",IF(AND(EQ$20&gt;='01_Input'!$V$61,EQ$20&lt;'01_Input'!$W$61),'01_Input'!$Y$61,0),MAX(MIN(EQ$20,'01_Input'!$W$61)-'01_Input'!$V$61,0)*'01_Input'!$Y$61))+IF('01_Input'!$AB$61="Forfait",IF(EQ$20&gt;='01_Input'!$Z$61,'01_Input'!$AC$61,0),IF('01_Input'!$AB$61="Palier",IF(AND(EQ$20&gt;='01_Input'!$Z$61,EQ$20&lt;'01_Input'!$AA$61),'01_Input'!$AC$61,0),MAX(MIN(EQ$20,'01_Input'!$AA$61)-'01_Input'!$Z$61,0)*'01_Input'!$AC$61)))))))))</f>
        <v>0</v>
      </c>
      <c r="ER29" s="25">
        <f>IF('01_Input'!$C$61="Non",0,MIN('01_Input'!$I$61,MAX('01_Input'!$H$61,IF('01_Input'!$G$61="Résiduel vs Gestion",0,IF('01_Input'!$G$61="Taux Classe sélectionnée",Distrib_Global_Classe_Selectionnee*ER$20,IF('01_Input'!$G$61="Frais KYC (paliers de 100M€)",MAX(0,Nb_Investisseurs-Nb_KYC_Gratuites_Par_Tranche*(FLOOR(ER$20/Taille_Tranche_KYC,1)+1))*Cout_Par_KYC_Supplementaire,(IF('01_Input'!$L$61="Forfait",IF(ER$20&gt;='01_Input'!$J$61,'01_Input'!$M$61,0),IF('01_Input'!$L$61="Palier",IF(AND(ER$20&gt;='01_Input'!$J$61,ER$20&lt;'01_Input'!$K$61),'01_Input'!$M$61,0),MAX(MIN(ER$20,'01_Input'!$K$61)-'01_Input'!$J$61,0)*'01_Input'!$M$61))+IF('01_Input'!$P$61="Forfait",IF(ER$20&gt;='01_Input'!$N$61,'01_Input'!$Q$61,0),IF('01_Input'!$P$61="Palier",IF(AND(ER$20&gt;='01_Input'!$N$61,ER$20&lt;'01_Input'!$O$61),'01_Input'!$Q$61,0),MAX(MIN(ER$20,'01_Input'!$O$61)-'01_Input'!$N$61,0)*'01_Input'!$Q$61))+IF('01_Input'!$T$61="Forfait",IF(ER$20&gt;='01_Input'!$R$61,'01_Input'!$U$61,0),IF('01_Input'!$T$61="Palier",IF(AND(ER$20&gt;='01_Input'!$R$61,ER$20&lt;'01_Input'!$S$61),'01_Input'!$U$61,0),MAX(MIN(ER$20,'01_Input'!$S$61)-'01_Input'!$R$61,0)*'01_Input'!$U$61))+IF('01_Input'!$X$61="Forfait",IF(ER$20&gt;='01_Input'!$V$61,'01_Input'!$Y$61,0),IF('01_Input'!$X$61="Palier",IF(AND(ER$20&gt;='01_Input'!$V$61,ER$20&lt;'01_Input'!$W$61),'01_Input'!$Y$61,0),MAX(MIN(ER$20,'01_Input'!$W$61)-'01_Input'!$V$61,0)*'01_Input'!$Y$61))+IF('01_Input'!$AB$61="Forfait",IF(ER$20&gt;='01_Input'!$Z$61,'01_Input'!$AC$61,0),IF('01_Input'!$AB$61="Palier",IF(AND(ER$20&gt;='01_Input'!$Z$61,ER$20&lt;'01_Input'!$AA$61),'01_Input'!$AC$61,0),MAX(MIN(ER$20,'01_Input'!$AA$61)-'01_Input'!$Z$61,0)*'01_Input'!$AC$61)))))))))</f>
        <v>0</v>
      </c>
      <c r="ES29" s="25">
        <f>IF('01_Input'!$C$61="Non",0,MIN('01_Input'!$I$61,MAX('01_Input'!$H$61,IF('01_Input'!$G$61="Résiduel vs Gestion",0,IF('01_Input'!$G$61="Taux Classe sélectionnée",Distrib_Global_Classe_Selectionnee*ES$20,IF('01_Input'!$G$61="Frais KYC (paliers de 100M€)",MAX(0,Nb_Investisseurs-Nb_KYC_Gratuites_Par_Tranche*(FLOOR(ES$20/Taille_Tranche_KYC,1)+1))*Cout_Par_KYC_Supplementaire,(IF('01_Input'!$L$61="Forfait",IF(ES$20&gt;='01_Input'!$J$61,'01_Input'!$M$61,0),IF('01_Input'!$L$61="Palier",IF(AND(ES$20&gt;='01_Input'!$J$61,ES$20&lt;'01_Input'!$K$61),'01_Input'!$M$61,0),MAX(MIN(ES$20,'01_Input'!$K$61)-'01_Input'!$J$61,0)*'01_Input'!$M$61))+IF('01_Input'!$P$61="Forfait",IF(ES$20&gt;='01_Input'!$N$61,'01_Input'!$Q$61,0),IF('01_Input'!$P$61="Palier",IF(AND(ES$20&gt;='01_Input'!$N$61,ES$20&lt;'01_Input'!$O$61),'01_Input'!$Q$61,0),MAX(MIN(ES$20,'01_Input'!$O$61)-'01_Input'!$N$61,0)*'01_Input'!$Q$61))+IF('01_Input'!$T$61="Forfait",IF(ES$20&gt;='01_Input'!$R$61,'01_Input'!$U$61,0),IF('01_Input'!$T$61="Palier",IF(AND(ES$20&gt;='01_Input'!$R$61,ES$20&lt;'01_Input'!$S$61),'01_Input'!$U$61,0),MAX(MIN(ES$20,'01_Input'!$S$61)-'01_Input'!$R$61,0)*'01_Input'!$U$61))+IF('01_Input'!$X$61="Forfait",IF(ES$20&gt;='01_Input'!$V$61,'01_Input'!$Y$61,0),IF('01_Input'!$X$61="Palier",IF(AND(ES$20&gt;='01_Input'!$V$61,ES$20&lt;'01_Input'!$W$61),'01_Input'!$Y$61,0),MAX(MIN(ES$20,'01_Input'!$W$61)-'01_Input'!$V$61,0)*'01_Input'!$Y$61))+IF('01_Input'!$AB$61="Forfait",IF(ES$20&gt;='01_Input'!$Z$61,'01_Input'!$AC$61,0),IF('01_Input'!$AB$61="Palier",IF(AND(ES$20&gt;='01_Input'!$Z$61,ES$20&lt;'01_Input'!$AA$61),'01_Input'!$AC$61,0),MAX(MIN(ES$20,'01_Input'!$AA$61)-'01_Input'!$Z$61,0)*'01_Input'!$AC$61)))))))))</f>
        <v>0</v>
      </c>
      <c r="ET29" s="25">
        <f>IF('01_Input'!$C$61="Non",0,MIN('01_Input'!$I$61,MAX('01_Input'!$H$61,IF('01_Input'!$G$61="Résiduel vs Gestion",0,IF('01_Input'!$G$61="Taux Classe sélectionnée",Distrib_Global_Classe_Selectionnee*ET$20,IF('01_Input'!$G$61="Frais KYC (paliers de 100M€)",MAX(0,Nb_Investisseurs-Nb_KYC_Gratuites_Par_Tranche*(FLOOR(ET$20/Taille_Tranche_KYC,1)+1))*Cout_Par_KYC_Supplementaire,(IF('01_Input'!$L$61="Forfait",IF(ET$20&gt;='01_Input'!$J$61,'01_Input'!$M$61,0),IF('01_Input'!$L$61="Palier",IF(AND(ET$20&gt;='01_Input'!$J$61,ET$20&lt;'01_Input'!$K$61),'01_Input'!$M$61,0),MAX(MIN(ET$20,'01_Input'!$K$61)-'01_Input'!$J$61,0)*'01_Input'!$M$61))+IF('01_Input'!$P$61="Forfait",IF(ET$20&gt;='01_Input'!$N$61,'01_Input'!$Q$61,0),IF('01_Input'!$P$61="Palier",IF(AND(ET$20&gt;='01_Input'!$N$61,ET$20&lt;'01_Input'!$O$61),'01_Input'!$Q$61,0),MAX(MIN(ET$20,'01_Input'!$O$61)-'01_Input'!$N$61,0)*'01_Input'!$Q$61))+IF('01_Input'!$T$61="Forfait",IF(ET$20&gt;='01_Input'!$R$61,'01_Input'!$U$61,0),IF('01_Input'!$T$61="Palier",IF(AND(ET$20&gt;='01_Input'!$R$61,ET$20&lt;'01_Input'!$S$61),'01_Input'!$U$61,0),MAX(MIN(ET$20,'01_Input'!$S$61)-'01_Input'!$R$61,0)*'01_Input'!$U$61))+IF('01_Input'!$X$61="Forfait",IF(ET$20&gt;='01_Input'!$V$61,'01_Input'!$Y$61,0),IF('01_Input'!$X$61="Palier",IF(AND(ET$20&gt;='01_Input'!$V$61,ET$20&lt;'01_Input'!$W$61),'01_Input'!$Y$61,0),MAX(MIN(ET$20,'01_Input'!$W$61)-'01_Input'!$V$61,0)*'01_Input'!$Y$61))+IF('01_Input'!$AB$61="Forfait",IF(ET$20&gt;='01_Input'!$Z$61,'01_Input'!$AC$61,0),IF('01_Input'!$AB$61="Palier",IF(AND(ET$20&gt;='01_Input'!$Z$61,ET$20&lt;'01_Input'!$AA$61),'01_Input'!$AC$61,0),MAX(MIN(ET$20,'01_Input'!$AA$61)-'01_Input'!$Z$61,0)*'01_Input'!$AC$61)))))))))</f>
        <v>0</v>
      </c>
      <c r="EU29" s="25">
        <f>IF('01_Input'!$C$61="Non",0,MIN('01_Input'!$I$61,MAX('01_Input'!$H$61,IF('01_Input'!$G$61="Résiduel vs Gestion",0,IF('01_Input'!$G$61="Taux Classe sélectionnée",Distrib_Global_Classe_Selectionnee*EU$20,IF('01_Input'!$G$61="Frais KYC (paliers de 100M€)",MAX(0,Nb_Investisseurs-Nb_KYC_Gratuites_Par_Tranche*(FLOOR(EU$20/Taille_Tranche_KYC,1)+1))*Cout_Par_KYC_Supplementaire,(IF('01_Input'!$L$61="Forfait",IF(EU$20&gt;='01_Input'!$J$61,'01_Input'!$M$61,0),IF('01_Input'!$L$61="Palier",IF(AND(EU$20&gt;='01_Input'!$J$61,EU$20&lt;'01_Input'!$K$61),'01_Input'!$M$61,0),MAX(MIN(EU$20,'01_Input'!$K$61)-'01_Input'!$J$61,0)*'01_Input'!$M$61))+IF('01_Input'!$P$61="Forfait",IF(EU$20&gt;='01_Input'!$N$61,'01_Input'!$Q$61,0),IF('01_Input'!$P$61="Palier",IF(AND(EU$20&gt;='01_Input'!$N$61,EU$20&lt;'01_Input'!$O$61),'01_Input'!$Q$61,0),MAX(MIN(EU$20,'01_Input'!$O$61)-'01_Input'!$N$61,0)*'01_Input'!$Q$61))+IF('01_Input'!$T$61="Forfait",IF(EU$20&gt;='01_Input'!$R$61,'01_Input'!$U$61,0),IF('01_Input'!$T$61="Palier",IF(AND(EU$20&gt;='01_Input'!$R$61,EU$20&lt;'01_Input'!$S$61),'01_Input'!$U$61,0),MAX(MIN(EU$20,'01_Input'!$S$61)-'01_Input'!$R$61,0)*'01_Input'!$U$61))+IF('01_Input'!$X$61="Forfait",IF(EU$20&gt;='01_Input'!$V$61,'01_Input'!$Y$61,0),IF('01_Input'!$X$61="Palier",IF(AND(EU$20&gt;='01_Input'!$V$61,EU$20&lt;'01_Input'!$W$61),'01_Input'!$Y$61,0),MAX(MIN(EU$20,'01_Input'!$W$61)-'01_Input'!$V$61,0)*'01_Input'!$Y$61))+IF('01_Input'!$AB$61="Forfait",IF(EU$20&gt;='01_Input'!$Z$61,'01_Input'!$AC$61,0),IF('01_Input'!$AB$61="Palier",IF(AND(EU$20&gt;='01_Input'!$Z$61,EU$20&lt;'01_Input'!$AA$61),'01_Input'!$AC$61,0),MAX(MIN(EU$20,'01_Input'!$AA$61)-'01_Input'!$Z$61,0)*'01_Input'!$AC$61)))))))))</f>
        <v>0</v>
      </c>
      <c r="EV29" s="25">
        <f>IF('01_Input'!$C$61="Non",0,MIN('01_Input'!$I$61,MAX('01_Input'!$H$61,IF('01_Input'!$G$61="Résiduel vs Gestion",0,IF('01_Input'!$G$61="Taux Classe sélectionnée",Distrib_Global_Classe_Selectionnee*EV$20,IF('01_Input'!$G$61="Frais KYC (paliers de 100M€)",MAX(0,Nb_Investisseurs-Nb_KYC_Gratuites_Par_Tranche*(FLOOR(EV$20/Taille_Tranche_KYC,1)+1))*Cout_Par_KYC_Supplementaire,(IF('01_Input'!$L$61="Forfait",IF(EV$20&gt;='01_Input'!$J$61,'01_Input'!$M$61,0),IF('01_Input'!$L$61="Palier",IF(AND(EV$20&gt;='01_Input'!$J$61,EV$20&lt;'01_Input'!$K$61),'01_Input'!$M$61,0),MAX(MIN(EV$20,'01_Input'!$K$61)-'01_Input'!$J$61,0)*'01_Input'!$M$61))+IF('01_Input'!$P$61="Forfait",IF(EV$20&gt;='01_Input'!$N$61,'01_Input'!$Q$61,0),IF('01_Input'!$P$61="Palier",IF(AND(EV$20&gt;='01_Input'!$N$61,EV$20&lt;'01_Input'!$O$61),'01_Input'!$Q$61,0),MAX(MIN(EV$20,'01_Input'!$O$61)-'01_Input'!$N$61,0)*'01_Input'!$Q$61))+IF('01_Input'!$T$61="Forfait",IF(EV$20&gt;='01_Input'!$R$61,'01_Input'!$U$61,0),IF('01_Input'!$T$61="Palier",IF(AND(EV$20&gt;='01_Input'!$R$61,EV$20&lt;'01_Input'!$S$61),'01_Input'!$U$61,0),MAX(MIN(EV$20,'01_Input'!$S$61)-'01_Input'!$R$61,0)*'01_Input'!$U$61))+IF('01_Input'!$X$61="Forfait",IF(EV$20&gt;='01_Input'!$V$61,'01_Input'!$Y$61,0),IF('01_Input'!$X$61="Palier",IF(AND(EV$20&gt;='01_Input'!$V$61,EV$20&lt;'01_Input'!$W$61),'01_Input'!$Y$61,0),MAX(MIN(EV$20,'01_Input'!$W$61)-'01_Input'!$V$61,0)*'01_Input'!$Y$61))+IF('01_Input'!$AB$61="Forfait",IF(EV$20&gt;='01_Input'!$Z$61,'01_Input'!$AC$61,0),IF('01_Input'!$AB$61="Palier",IF(AND(EV$20&gt;='01_Input'!$Z$61,EV$20&lt;'01_Input'!$AA$61),'01_Input'!$AC$61,0),MAX(MIN(EV$20,'01_Input'!$AA$61)-'01_Input'!$Z$61,0)*'01_Input'!$AC$61)))))))))</f>
        <v>0</v>
      </c>
      <c r="EW29" s="25">
        <f>IF('01_Input'!$C$61="Non",0,MIN('01_Input'!$I$61,MAX('01_Input'!$H$61,IF('01_Input'!$G$61="Résiduel vs Gestion",0,IF('01_Input'!$G$61="Taux Classe sélectionnée",Distrib_Global_Classe_Selectionnee*EW$20,IF('01_Input'!$G$61="Frais KYC (paliers de 100M€)",MAX(0,Nb_Investisseurs-Nb_KYC_Gratuites_Par_Tranche*(FLOOR(EW$20/Taille_Tranche_KYC,1)+1))*Cout_Par_KYC_Supplementaire,(IF('01_Input'!$L$61="Forfait",IF(EW$20&gt;='01_Input'!$J$61,'01_Input'!$M$61,0),IF('01_Input'!$L$61="Palier",IF(AND(EW$20&gt;='01_Input'!$J$61,EW$20&lt;'01_Input'!$K$61),'01_Input'!$M$61,0),MAX(MIN(EW$20,'01_Input'!$K$61)-'01_Input'!$J$61,0)*'01_Input'!$M$61))+IF('01_Input'!$P$61="Forfait",IF(EW$20&gt;='01_Input'!$N$61,'01_Input'!$Q$61,0),IF('01_Input'!$P$61="Palier",IF(AND(EW$20&gt;='01_Input'!$N$61,EW$20&lt;'01_Input'!$O$61),'01_Input'!$Q$61,0),MAX(MIN(EW$20,'01_Input'!$O$61)-'01_Input'!$N$61,0)*'01_Input'!$Q$61))+IF('01_Input'!$T$61="Forfait",IF(EW$20&gt;='01_Input'!$R$61,'01_Input'!$U$61,0),IF('01_Input'!$T$61="Palier",IF(AND(EW$20&gt;='01_Input'!$R$61,EW$20&lt;'01_Input'!$S$61),'01_Input'!$U$61,0),MAX(MIN(EW$20,'01_Input'!$S$61)-'01_Input'!$R$61,0)*'01_Input'!$U$61))+IF('01_Input'!$X$61="Forfait",IF(EW$20&gt;='01_Input'!$V$61,'01_Input'!$Y$61,0),IF('01_Input'!$X$61="Palier",IF(AND(EW$20&gt;='01_Input'!$V$61,EW$20&lt;'01_Input'!$W$61),'01_Input'!$Y$61,0),MAX(MIN(EW$20,'01_Input'!$W$61)-'01_Input'!$V$61,0)*'01_Input'!$Y$61))+IF('01_Input'!$AB$61="Forfait",IF(EW$20&gt;='01_Input'!$Z$61,'01_Input'!$AC$61,0),IF('01_Input'!$AB$61="Palier",IF(AND(EW$20&gt;='01_Input'!$Z$61,EW$20&lt;'01_Input'!$AA$61),'01_Input'!$AC$61,0),MAX(MIN(EW$20,'01_Input'!$AA$61)-'01_Input'!$Z$61,0)*'01_Input'!$AC$61)))))))))</f>
        <v>0</v>
      </c>
      <c r="EX29" s="25">
        <f>IF('01_Input'!$C$61="Non",0,MIN('01_Input'!$I$61,MAX('01_Input'!$H$61,IF('01_Input'!$G$61="Résiduel vs Gestion",0,IF('01_Input'!$G$61="Taux Classe sélectionnée",Distrib_Global_Classe_Selectionnee*EX$20,IF('01_Input'!$G$61="Frais KYC (paliers de 100M€)",MAX(0,Nb_Investisseurs-Nb_KYC_Gratuites_Par_Tranche*(FLOOR(EX$20/Taille_Tranche_KYC,1)+1))*Cout_Par_KYC_Supplementaire,(IF('01_Input'!$L$61="Forfait",IF(EX$20&gt;='01_Input'!$J$61,'01_Input'!$M$61,0),IF('01_Input'!$L$61="Palier",IF(AND(EX$20&gt;='01_Input'!$J$61,EX$20&lt;'01_Input'!$K$61),'01_Input'!$M$61,0),MAX(MIN(EX$20,'01_Input'!$K$61)-'01_Input'!$J$61,0)*'01_Input'!$M$61))+IF('01_Input'!$P$61="Forfait",IF(EX$20&gt;='01_Input'!$N$61,'01_Input'!$Q$61,0),IF('01_Input'!$P$61="Palier",IF(AND(EX$20&gt;='01_Input'!$N$61,EX$20&lt;'01_Input'!$O$61),'01_Input'!$Q$61,0),MAX(MIN(EX$20,'01_Input'!$O$61)-'01_Input'!$N$61,0)*'01_Input'!$Q$61))+IF('01_Input'!$T$61="Forfait",IF(EX$20&gt;='01_Input'!$R$61,'01_Input'!$U$61,0),IF('01_Input'!$T$61="Palier",IF(AND(EX$20&gt;='01_Input'!$R$61,EX$20&lt;'01_Input'!$S$61),'01_Input'!$U$61,0),MAX(MIN(EX$20,'01_Input'!$S$61)-'01_Input'!$R$61,0)*'01_Input'!$U$61))+IF('01_Input'!$X$61="Forfait",IF(EX$20&gt;='01_Input'!$V$61,'01_Input'!$Y$61,0),IF('01_Input'!$X$61="Palier",IF(AND(EX$20&gt;='01_Input'!$V$61,EX$20&lt;'01_Input'!$W$61),'01_Input'!$Y$61,0),MAX(MIN(EX$20,'01_Input'!$W$61)-'01_Input'!$V$61,0)*'01_Input'!$Y$61))+IF('01_Input'!$AB$61="Forfait",IF(EX$20&gt;='01_Input'!$Z$61,'01_Input'!$AC$61,0),IF('01_Input'!$AB$61="Palier",IF(AND(EX$20&gt;='01_Input'!$Z$61,EX$20&lt;'01_Input'!$AA$61),'01_Input'!$AC$61,0),MAX(MIN(EX$20,'01_Input'!$AA$61)-'01_Input'!$Z$61,0)*'01_Input'!$AC$61)))))))))</f>
        <v>0</v>
      </c>
    </row>
    <row r="30" ht="15.75" customHeight="1">
      <c r="B30" s="68" t="str">
        <f>IF('01_Input'!D62="","(inactif)",'01_Input'!D62)</f>
        <v>Reporting AIFM (part refacturée au fonds)</v>
      </c>
      <c r="C30" s="68" t="str">
        <f>IF('01_Input'!E62="","",'01_Input'!E62)</f>
        <v>Prestataire reporting</v>
      </c>
      <c r="D30" s="86" t="str">
        <f>'01_Input'!C62</f>
        <v>Non</v>
      </c>
      <c r="E30" s="83">
        <f>IF('01_Input'!$C$62="Non",0,MIN('01_Input'!$I$62,MAX('01_Input'!$H$62,IF('01_Input'!$G$62="Résiduel vs Gestion",0,IF('01_Input'!$G$62="Taux Classe sélectionnée",Distrib_Global_Classe_Selectionnee*E$20,IF('01_Input'!$G$62="Frais KYC (paliers de 100M€)",MAX(0,Nb_Investisseurs-Nb_KYC_Gratuites_Par_Tranche*(FLOOR(E$20/Taille_Tranche_KYC,1)+1))*Cout_Par_KYC_Supplementaire,(IF('01_Input'!$L$62="Forfait",IF(E$20&gt;='01_Input'!$J$62,'01_Input'!$M$62,0),IF('01_Input'!$L$62="Palier",IF(AND(E$20&gt;='01_Input'!$J$62,E$20&lt;'01_Input'!$K$62),'01_Input'!$M$62,0),MAX(MIN(E$20,'01_Input'!$K$62)-'01_Input'!$J$62,0)*'01_Input'!$M$62))+IF('01_Input'!$P$62="Forfait",IF(E$20&gt;='01_Input'!$N$62,'01_Input'!$Q$62,0),IF('01_Input'!$P$62="Palier",IF(AND(E$20&gt;='01_Input'!$N$62,E$20&lt;'01_Input'!$O$62),'01_Input'!$Q$62,0),MAX(MIN(E$20,'01_Input'!$O$62)-'01_Input'!$N$62,0)*'01_Input'!$Q$62))+IF('01_Input'!$T$62="Forfait",IF(E$20&gt;='01_Input'!$R$62,'01_Input'!$U$62,0),IF('01_Input'!$T$62="Palier",IF(AND(E$20&gt;='01_Input'!$R$62,E$20&lt;'01_Input'!$S$62),'01_Input'!$U$62,0),MAX(MIN(E$20,'01_Input'!$S$62)-'01_Input'!$R$62,0)*'01_Input'!$U$62))+IF('01_Input'!$X$62="Forfait",IF(E$20&gt;='01_Input'!$V$62,'01_Input'!$Y$62,0),IF('01_Input'!$X$62="Palier",IF(AND(E$20&gt;='01_Input'!$V$62,E$20&lt;'01_Input'!$W$62),'01_Input'!$Y$62,0),MAX(MIN(E$20,'01_Input'!$W$62)-'01_Input'!$V$62,0)*'01_Input'!$Y$62))+IF('01_Input'!$AB$62="Forfait",IF(E$20&gt;='01_Input'!$Z$62,'01_Input'!$AC$62,0),IF('01_Input'!$AB$62="Palier",IF(AND(E$20&gt;='01_Input'!$Z$62,E$20&lt;'01_Input'!$AA$62),'01_Input'!$AC$62,0),MAX(MIN(E$20,'01_Input'!$AA$62)-'01_Input'!$Z$62,0)*'01_Input'!$AC$62)))))))))</f>
        <v>0</v>
      </c>
      <c r="F30" s="83">
        <f>IF('01_Input'!$C$62="Non",0,MIN('01_Input'!$I$62,MAX('01_Input'!$H$62,IF('01_Input'!$G$62="Résiduel vs Gestion",0,IF('01_Input'!$G$62="Taux Classe sélectionnée",Distrib_Global_Classe_Selectionnee*F$20,IF('01_Input'!$G$62="Frais KYC (paliers de 100M€)",MAX(0,Nb_Investisseurs-Nb_KYC_Gratuites_Par_Tranche*(FLOOR(F$20/Taille_Tranche_KYC,1)+1))*Cout_Par_KYC_Supplementaire,(IF('01_Input'!$L$62="Forfait",IF(F$20&gt;='01_Input'!$J$62,'01_Input'!$M$62,0),IF('01_Input'!$L$62="Palier",IF(AND(F$20&gt;='01_Input'!$J$62,F$20&lt;'01_Input'!$K$62),'01_Input'!$M$62,0),MAX(MIN(F$20,'01_Input'!$K$62)-'01_Input'!$J$62,0)*'01_Input'!$M$62))+IF('01_Input'!$P$62="Forfait",IF(F$20&gt;='01_Input'!$N$62,'01_Input'!$Q$62,0),IF('01_Input'!$P$62="Palier",IF(AND(F$20&gt;='01_Input'!$N$62,F$20&lt;'01_Input'!$O$62),'01_Input'!$Q$62,0),MAX(MIN(F$20,'01_Input'!$O$62)-'01_Input'!$N$62,0)*'01_Input'!$Q$62))+IF('01_Input'!$T$62="Forfait",IF(F$20&gt;='01_Input'!$R$62,'01_Input'!$U$62,0),IF('01_Input'!$T$62="Palier",IF(AND(F$20&gt;='01_Input'!$R$62,F$20&lt;'01_Input'!$S$62),'01_Input'!$U$62,0),MAX(MIN(F$20,'01_Input'!$S$62)-'01_Input'!$R$62,0)*'01_Input'!$U$62))+IF('01_Input'!$X$62="Forfait",IF(F$20&gt;='01_Input'!$V$62,'01_Input'!$Y$62,0),IF('01_Input'!$X$62="Palier",IF(AND(F$20&gt;='01_Input'!$V$62,F$20&lt;'01_Input'!$W$62),'01_Input'!$Y$62,0),MAX(MIN(F$20,'01_Input'!$W$62)-'01_Input'!$V$62,0)*'01_Input'!$Y$62))+IF('01_Input'!$AB$62="Forfait",IF(F$20&gt;='01_Input'!$Z$62,'01_Input'!$AC$62,0),IF('01_Input'!$AB$62="Palier",IF(AND(F$20&gt;='01_Input'!$Z$62,F$20&lt;'01_Input'!$AA$62),'01_Input'!$AC$62,0),MAX(MIN(F$20,'01_Input'!$AA$62)-'01_Input'!$Z$62,0)*'01_Input'!$AC$62)))))))))</f>
        <v>0</v>
      </c>
      <c r="G30" s="83">
        <f>IF('01_Input'!$C$62="Non",0,MIN('01_Input'!$I$62,MAX('01_Input'!$H$62,IF('01_Input'!$G$62="Résiduel vs Gestion",0,IF('01_Input'!$G$62="Taux Classe sélectionnée",Distrib_Global_Classe_Selectionnee*G$20,IF('01_Input'!$G$62="Frais KYC (paliers de 100M€)",MAX(0,Nb_Investisseurs-Nb_KYC_Gratuites_Par_Tranche*(FLOOR(G$20/Taille_Tranche_KYC,1)+1))*Cout_Par_KYC_Supplementaire,(IF('01_Input'!$L$62="Forfait",IF(G$20&gt;='01_Input'!$J$62,'01_Input'!$M$62,0),IF('01_Input'!$L$62="Palier",IF(AND(G$20&gt;='01_Input'!$J$62,G$20&lt;'01_Input'!$K$62),'01_Input'!$M$62,0),MAX(MIN(G$20,'01_Input'!$K$62)-'01_Input'!$J$62,0)*'01_Input'!$M$62))+IF('01_Input'!$P$62="Forfait",IF(G$20&gt;='01_Input'!$N$62,'01_Input'!$Q$62,0),IF('01_Input'!$P$62="Palier",IF(AND(G$20&gt;='01_Input'!$N$62,G$20&lt;'01_Input'!$O$62),'01_Input'!$Q$62,0),MAX(MIN(G$20,'01_Input'!$O$62)-'01_Input'!$N$62,0)*'01_Input'!$Q$62))+IF('01_Input'!$T$62="Forfait",IF(G$20&gt;='01_Input'!$R$62,'01_Input'!$U$62,0),IF('01_Input'!$T$62="Palier",IF(AND(G$20&gt;='01_Input'!$R$62,G$20&lt;'01_Input'!$S$62),'01_Input'!$U$62,0),MAX(MIN(G$20,'01_Input'!$S$62)-'01_Input'!$R$62,0)*'01_Input'!$U$62))+IF('01_Input'!$X$62="Forfait",IF(G$20&gt;='01_Input'!$V$62,'01_Input'!$Y$62,0),IF('01_Input'!$X$62="Palier",IF(AND(G$20&gt;='01_Input'!$V$62,G$20&lt;'01_Input'!$W$62),'01_Input'!$Y$62,0),MAX(MIN(G$20,'01_Input'!$W$62)-'01_Input'!$V$62,0)*'01_Input'!$Y$62))+IF('01_Input'!$AB$62="Forfait",IF(G$20&gt;='01_Input'!$Z$62,'01_Input'!$AC$62,0),IF('01_Input'!$AB$62="Palier",IF(AND(G$20&gt;='01_Input'!$Z$62,G$20&lt;'01_Input'!$AA$62),'01_Input'!$AC$62,0),MAX(MIN(G$20,'01_Input'!$AA$62)-'01_Input'!$Z$62,0)*'01_Input'!$AC$62)))))))))</f>
        <v>0</v>
      </c>
      <c r="H30" s="83">
        <f>IF('01_Input'!$C$62="Non",0,MIN('01_Input'!$I$62,MAX('01_Input'!$H$62,IF('01_Input'!$G$62="Résiduel vs Gestion",0,IF('01_Input'!$G$62="Taux Classe sélectionnée",Distrib_Global_Classe_Selectionnee*H$20,IF('01_Input'!$G$62="Frais KYC (paliers de 100M€)",MAX(0,Nb_Investisseurs-Nb_KYC_Gratuites_Par_Tranche*(FLOOR(H$20/Taille_Tranche_KYC,1)+1))*Cout_Par_KYC_Supplementaire,(IF('01_Input'!$L$62="Forfait",IF(H$20&gt;='01_Input'!$J$62,'01_Input'!$M$62,0),IF('01_Input'!$L$62="Palier",IF(AND(H$20&gt;='01_Input'!$J$62,H$20&lt;'01_Input'!$K$62),'01_Input'!$M$62,0),MAX(MIN(H$20,'01_Input'!$K$62)-'01_Input'!$J$62,0)*'01_Input'!$M$62))+IF('01_Input'!$P$62="Forfait",IF(H$20&gt;='01_Input'!$N$62,'01_Input'!$Q$62,0),IF('01_Input'!$P$62="Palier",IF(AND(H$20&gt;='01_Input'!$N$62,H$20&lt;'01_Input'!$O$62),'01_Input'!$Q$62,0),MAX(MIN(H$20,'01_Input'!$O$62)-'01_Input'!$N$62,0)*'01_Input'!$Q$62))+IF('01_Input'!$T$62="Forfait",IF(H$20&gt;='01_Input'!$R$62,'01_Input'!$U$62,0),IF('01_Input'!$T$62="Palier",IF(AND(H$20&gt;='01_Input'!$R$62,H$20&lt;'01_Input'!$S$62),'01_Input'!$U$62,0),MAX(MIN(H$20,'01_Input'!$S$62)-'01_Input'!$R$62,0)*'01_Input'!$U$62))+IF('01_Input'!$X$62="Forfait",IF(H$20&gt;='01_Input'!$V$62,'01_Input'!$Y$62,0),IF('01_Input'!$X$62="Palier",IF(AND(H$20&gt;='01_Input'!$V$62,H$20&lt;'01_Input'!$W$62),'01_Input'!$Y$62,0),MAX(MIN(H$20,'01_Input'!$W$62)-'01_Input'!$V$62,0)*'01_Input'!$Y$62))+IF('01_Input'!$AB$62="Forfait",IF(H$20&gt;='01_Input'!$Z$62,'01_Input'!$AC$62,0),IF('01_Input'!$AB$62="Palier",IF(AND(H$20&gt;='01_Input'!$Z$62,H$20&lt;'01_Input'!$AA$62),'01_Input'!$AC$62,0),MAX(MIN(H$20,'01_Input'!$AA$62)-'01_Input'!$Z$62,0)*'01_Input'!$AC$62)))))))))</f>
        <v>0</v>
      </c>
      <c r="I30" s="83">
        <f>IF('01_Input'!$C$62="Non",0,MIN('01_Input'!$I$62,MAX('01_Input'!$H$62,IF('01_Input'!$G$62="Résiduel vs Gestion",0,IF('01_Input'!$G$62="Taux Classe sélectionnée",Distrib_Global_Classe_Selectionnee*I$20,IF('01_Input'!$G$62="Frais KYC (paliers de 100M€)",MAX(0,Nb_Investisseurs-Nb_KYC_Gratuites_Par_Tranche*(FLOOR(I$20/Taille_Tranche_KYC,1)+1))*Cout_Par_KYC_Supplementaire,(IF('01_Input'!$L$62="Forfait",IF(I$20&gt;='01_Input'!$J$62,'01_Input'!$M$62,0),IF('01_Input'!$L$62="Palier",IF(AND(I$20&gt;='01_Input'!$J$62,I$20&lt;'01_Input'!$K$62),'01_Input'!$M$62,0),MAX(MIN(I$20,'01_Input'!$K$62)-'01_Input'!$J$62,0)*'01_Input'!$M$62))+IF('01_Input'!$P$62="Forfait",IF(I$20&gt;='01_Input'!$N$62,'01_Input'!$Q$62,0),IF('01_Input'!$P$62="Palier",IF(AND(I$20&gt;='01_Input'!$N$62,I$20&lt;'01_Input'!$O$62),'01_Input'!$Q$62,0),MAX(MIN(I$20,'01_Input'!$O$62)-'01_Input'!$N$62,0)*'01_Input'!$Q$62))+IF('01_Input'!$T$62="Forfait",IF(I$20&gt;='01_Input'!$R$62,'01_Input'!$U$62,0),IF('01_Input'!$T$62="Palier",IF(AND(I$20&gt;='01_Input'!$R$62,I$20&lt;'01_Input'!$S$62),'01_Input'!$U$62,0),MAX(MIN(I$20,'01_Input'!$S$62)-'01_Input'!$R$62,0)*'01_Input'!$U$62))+IF('01_Input'!$X$62="Forfait",IF(I$20&gt;='01_Input'!$V$62,'01_Input'!$Y$62,0),IF('01_Input'!$X$62="Palier",IF(AND(I$20&gt;='01_Input'!$V$62,I$20&lt;'01_Input'!$W$62),'01_Input'!$Y$62,0),MAX(MIN(I$20,'01_Input'!$W$62)-'01_Input'!$V$62,0)*'01_Input'!$Y$62))+IF('01_Input'!$AB$62="Forfait",IF(I$20&gt;='01_Input'!$Z$62,'01_Input'!$AC$62,0),IF('01_Input'!$AB$62="Palier",IF(AND(I$20&gt;='01_Input'!$Z$62,I$20&lt;'01_Input'!$AA$62),'01_Input'!$AC$62,0),MAX(MIN(I$20,'01_Input'!$AA$62)-'01_Input'!$Z$62,0)*'01_Input'!$AC$62)))))))))</f>
        <v>0</v>
      </c>
      <c r="J30" s="83">
        <f>IF('01_Input'!$C$62="Non",0,MIN('01_Input'!$I$62,MAX('01_Input'!$H$62,IF('01_Input'!$G$62="Résiduel vs Gestion",0,IF('01_Input'!$G$62="Taux Classe sélectionnée",Distrib_Global_Classe_Selectionnee*J$20,IF('01_Input'!$G$62="Frais KYC (paliers de 100M€)",MAX(0,Nb_Investisseurs-Nb_KYC_Gratuites_Par_Tranche*(FLOOR(J$20/Taille_Tranche_KYC,1)+1))*Cout_Par_KYC_Supplementaire,(IF('01_Input'!$L$62="Forfait",IF(J$20&gt;='01_Input'!$J$62,'01_Input'!$M$62,0),IF('01_Input'!$L$62="Palier",IF(AND(J$20&gt;='01_Input'!$J$62,J$20&lt;'01_Input'!$K$62),'01_Input'!$M$62,0),MAX(MIN(J$20,'01_Input'!$K$62)-'01_Input'!$J$62,0)*'01_Input'!$M$62))+IF('01_Input'!$P$62="Forfait",IF(J$20&gt;='01_Input'!$N$62,'01_Input'!$Q$62,0),IF('01_Input'!$P$62="Palier",IF(AND(J$20&gt;='01_Input'!$N$62,J$20&lt;'01_Input'!$O$62),'01_Input'!$Q$62,0),MAX(MIN(J$20,'01_Input'!$O$62)-'01_Input'!$N$62,0)*'01_Input'!$Q$62))+IF('01_Input'!$T$62="Forfait",IF(J$20&gt;='01_Input'!$R$62,'01_Input'!$U$62,0),IF('01_Input'!$T$62="Palier",IF(AND(J$20&gt;='01_Input'!$R$62,J$20&lt;'01_Input'!$S$62),'01_Input'!$U$62,0),MAX(MIN(J$20,'01_Input'!$S$62)-'01_Input'!$R$62,0)*'01_Input'!$U$62))+IF('01_Input'!$X$62="Forfait",IF(J$20&gt;='01_Input'!$V$62,'01_Input'!$Y$62,0),IF('01_Input'!$X$62="Palier",IF(AND(J$20&gt;='01_Input'!$V$62,J$20&lt;'01_Input'!$W$62),'01_Input'!$Y$62,0),MAX(MIN(J$20,'01_Input'!$W$62)-'01_Input'!$V$62,0)*'01_Input'!$Y$62))+IF('01_Input'!$AB$62="Forfait",IF(J$20&gt;='01_Input'!$Z$62,'01_Input'!$AC$62,0),IF('01_Input'!$AB$62="Palier",IF(AND(J$20&gt;='01_Input'!$Z$62,J$20&lt;'01_Input'!$AA$62),'01_Input'!$AC$62,0),MAX(MIN(J$20,'01_Input'!$AA$62)-'01_Input'!$Z$62,0)*'01_Input'!$AC$62)))))))))</f>
        <v>0</v>
      </c>
      <c r="K30" s="83">
        <f>IF('01_Input'!$C$62="Non",0,MIN('01_Input'!$I$62,MAX('01_Input'!$H$62,IF('01_Input'!$G$62="Résiduel vs Gestion",0,IF('01_Input'!$G$62="Taux Classe sélectionnée",Distrib_Global_Classe_Selectionnee*K$20,IF('01_Input'!$G$62="Frais KYC (paliers de 100M€)",MAX(0,Nb_Investisseurs-Nb_KYC_Gratuites_Par_Tranche*(FLOOR(K$20/Taille_Tranche_KYC,1)+1))*Cout_Par_KYC_Supplementaire,(IF('01_Input'!$L$62="Forfait",IF(K$20&gt;='01_Input'!$J$62,'01_Input'!$M$62,0),IF('01_Input'!$L$62="Palier",IF(AND(K$20&gt;='01_Input'!$J$62,K$20&lt;'01_Input'!$K$62),'01_Input'!$M$62,0),MAX(MIN(K$20,'01_Input'!$K$62)-'01_Input'!$J$62,0)*'01_Input'!$M$62))+IF('01_Input'!$P$62="Forfait",IF(K$20&gt;='01_Input'!$N$62,'01_Input'!$Q$62,0),IF('01_Input'!$P$62="Palier",IF(AND(K$20&gt;='01_Input'!$N$62,K$20&lt;'01_Input'!$O$62),'01_Input'!$Q$62,0),MAX(MIN(K$20,'01_Input'!$O$62)-'01_Input'!$N$62,0)*'01_Input'!$Q$62))+IF('01_Input'!$T$62="Forfait",IF(K$20&gt;='01_Input'!$R$62,'01_Input'!$U$62,0),IF('01_Input'!$T$62="Palier",IF(AND(K$20&gt;='01_Input'!$R$62,K$20&lt;'01_Input'!$S$62),'01_Input'!$U$62,0),MAX(MIN(K$20,'01_Input'!$S$62)-'01_Input'!$R$62,0)*'01_Input'!$U$62))+IF('01_Input'!$X$62="Forfait",IF(K$20&gt;='01_Input'!$V$62,'01_Input'!$Y$62,0),IF('01_Input'!$X$62="Palier",IF(AND(K$20&gt;='01_Input'!$V$62,K$20&lt;'01_Input'!$W$62),'01_Input'!$Y$62,0),MAX(MIN(K$20,'01_Input'!$W$62)-'01_Input'!$V$62,0)*'01_Input'!$Y$62))+IF('01_Input'!$AB$62="Forfait",IF(K$20&gt;='01_Input'!$Z$62,'01_Input'!$AC$62,0),IF('01_Input'!$AB$62="Palier",IF(AND(K$20&gt;='01_Input'!$Z$62,K$20&lt;'01_Input'!$AA$62),'01_Input'!$AC$62,0),MAX(MIN(K$20,'01_Input'!$AA$62)-'01_Input'!$Z$62,0)*'01_Input'!$AC$62)))))))))</f>
        <v>0</v>
      </c>
      <c r="L30" s="83">
        <f>IF('01_Input'!$C$62="Non",0,MIN('01_Input'!$I$62,MAX('01_Input'!$H$62,IF('01_Input'!$G$62="Résiduel vs Gestion",0,IF('01_Input'!$G$62="Taux Classe sélectionnée",Distrib_Global_Classe_Selectionnee*L$20,IF('01_Input'!$G$62="Frais KYC (paliers de 100M€)",MAX(0,Nb_Investisseurs-Nb_KYC_Gratuites_Par_Tranche*(FLOOR(L$20/Taille_Tranche_KYC,1)+1))*Cout_Par_KYC_Supplementaire,(IF('01_Input'!$L$62="Forfait",IF(L$20&gt;='01_Input'!$J$62,'01_Input'!$M$62,0),IF('01_Input'!$L$62="Palier",IF(AND(L$20&gt;='01_Input'!$J$62,L$20&lt;'01_Input'!$K$62),'01_Input'!$M$62,0),MAX(MIN(L$20,'01_Input'!$K$62)-'01_Input'!$J$62,0)*'01_Input'!$M$62))+IF('01_Input'!$P$62="Forfait",IF(L$20&gt;='01_Input'!$N$62,'01_Input'!$Q$62,0),IF('01_Input'!$P$62="Palier",IF(AND(L$20&gt;='01_Input'!$N$62,L$20&lt;'01_Input'!$O$62),'01_Input'!$Q$62,0),MAX(MIN(L$20,'01_Input'!$O$62)-'01_Input'!$N$62,0)*'01_Input'!$Q$62))+IF('01_Input'!$T$62="Forfait",IF(L$20&gt;='01_Input'!$R$62,'01_Input'!$U$62,0),IF('01_Input'!$T$62="Palier",IF(AND(L$20&gt;='01_Input'!$R$62,L$20&lt;'01_Input'!$S$62),'01_Input'!$U$62,0),MAX(MIN(L$20,'01_Input'!$S$62)-'01_Input'!$R$62,0)*'01_Input'!$U$62))+IF('01_Input'!$X$62="Forfait",IF(L$20&gt;='01_Input'!$V$62,'01_Input'!$Y$62,0),IF('01_Input'!$X$62="Palier",IF(AND(L$20&gt;='01_Input'!$V$62,L$20&lt;'01_Input'!$W$62),'01_Input'!$Y$62,0),MAX(MIN(L$20,'01_Input'!$W$62)-'01_Input'!$V$62,0)*'01_Input'!$Y$62))+IF('01_Input'!$AB$62="Forfait",IF(L$20&gt;='01_Input'!$Z$62,'01_Input'!$AC$62,0),IF('01_Input'!$AB$62="Palier",IF(AND(L$20&gt;='01_Input'!$Z$62,L$20&lt;'01_Input'!$AA$62),'01_Input'!$AC$62,0),MAX(MIN(L$20,'01_Input'!$AA$62)-'01_Input'!$Z$62,0)*'01_Input'!$AC$62)))))))))</f>
        <v>0</v>
      </c>
      <c r="M30" s="83">
        <f>IF('01_Input'!$C$62="Non",0,MIN('01_Input'!$I$62,MAX('01_Input'!$H$62,IF('01_Input'!$G$62="Résiduel vs Gestion",0,IF('01_Input'!$G$62="Taux Classe sélectionnée",Distrib_Global_Classe_Selectionnee*M$20,IF('01_Input'!$G$62="Frais KYC (paliers de 100M€)",MAX(0,Nb_Investisseurs-Nb_KYC_Gratuites_Par_Tranche*(FLOOR(M$20/Taille_Tranche_KYC,1)+1))*Cout_Par_KYC_Supplementaire,(IF('01_Input'!$L$62="Forfait",IF(M$20&gt;='01_Input'!$J$62,'01_Input'!$M$62,0),IF('01_Input'!$L$62="Palier",IF(AND(M$20&gt;='01_Input'!$J$62,M$20&lt;'01_Input'!$K$62),'01_Input'!$M$62,0),MAX(MIN(M$20,'01_Input'!$K$62)-'01_Input'!$J$62,0)*'01_Input'!$M$62))+IF('01_Input'!$P$62="Forfait",IF(M$20&gt;='01_Input'!$N$62,'01_Input'!$Q$62,0),IF('01_Input'!$P$62="Palier",IF(AND(M$20&gt;='01_Input'!$N$62,M$20&lt;'01_Input'!$O$62),'01_Input'!$Q$62,0),MAX(MIN(M$20,'01_Input'!$O$62)-'01_Input'!$N$62,0)*'01_Input'!$Q$62))+IF('01_Input'!$T$62="Forfait",IF(M$20&gt;='01_Input'!$R$62,'01_Input'!$U$62,0),IF('01_Input'!$T$62="Palier",IF(AND(M$20&gt;='01_Input'!$R$62,M$20&lt;'01_Input'!$S$62),'01_Input'!$U$62,0),MAX(MIN(M$20,'01_Input'!$S$62)-'01_Input'!$R$62,0)*'01_Input'!$U$62))+IF('01_Input'!$X$62="Forfait",IF(M$20&gt;='01_Input'!$V$62,'01_Input'!$Y$62,0),IF('01_Input'!$X$62="Palier",IF(AND(M$20&gt;='01_Input'!$V$62,M$20&lt;'01_Input'!$W$62),'01_Input'!$Y$62,0),MAX(MIN(M$20,'01_Input'!$W$62)-'01_Input'!$V$62,0)*'01_Input'!$Y$62))+IF('01_Input'!$AB$62="Forfait",IF(M$20&gt;='01_Input'!$Z$62,'01_Input'!$AC$62,0),IF('01_Input'!$AB$62="Palier",IF(AND(M$20&gt;='01_Input'!$Z$62,M$20&lt;'01_Input'!$AA$62),'01_Input'!$AC$62,0),MAX(MIN(M$20,'01_Input'!$AA$62)-'01_Input'!$Z$62,0)*'01_Input'!$AC$62)))))))))</f>
        <v>0</v>
      </c>
      <c r="N30" s="83">
        <f>IF('01_Input'!$C$62="Non",0,MIN('01_Input'!$I$62,MAX('01_Input'!$H$62,IF('01_Input'!$G$62="Résiduel vs Gestion",0,IF('01_Input'!$G$62="Taux Classe sélectionnée",Distrib_Global_Classe_Selectionnee*N$20,IF('01_Input'!$G$62="Frais KYC (paliers de 100M€)",MAX(0,Nb_Investisseurs-Nb_KYC_Gratuites_Par_Tranche*(FLOOR(N$20/Taille_Tranche_KYC,1)+1))*Cout_Par_KYC_Supplementaire,(IF('01_Input'!$L$62="Forfait",IF(N$20&gt;='01_Input'!$J$62,'01_Input'!$M$62,0),IF('01_Input'!$L$62="Palier",IF(AND(N$20&gt;='01_Input'!$J$62,N$20&lt;'01_Input'!$K$62),'01_Input'!$M$62,0),MAX(MIN(N$20,'01_Input'!$K$62)-'01_Input'!$J$62,0)*'01_Input'!$M$62))+IF('01_Input'!$P$62="Forfait",IF(N$20&gt;='01_Input'!$N$62,'01_Input'!$Q$62,0),IF('01_Input'!$P$62="Palier",IF(AND(N$20&gt;='01_Input'!$N$62,N$20&lt;'01_Input'!$O$62),'01_Input'!$Q$62,0),MAX(MIN(N$20,'01_Input'!$O$62)-'01_Input'!$N$62,0)*'01_Input'!$Q$62))+IF('01_Input'!$T$62="Forfait",IF(N$20&gt;='01_Input'!$R$62,'01_Input'!$U$62,0),IF('01_Input'!$T$62="Palier",IF(AND(N$20&gt;='01_Input'!$R$62,N$20&lt;'01_Input'!$S$62),'01_Input'!$U$62,0),MAX(MIN(N$20,'01_Input'!$S$62)-'01_Input'!$R$62,0)*'01_Input'!$U$62))+IF('01_Input'!$X$62="Forfait",IF(N$20&gt;='01_Input'!$V$62,'01_Input'!$Y$62,0),IF('01_Input'!$X$62="Palier",IF(AND(N$20&gt;='01_Input'!$V$62,N$20&lt;'01_Input'!$W$62),'01_Input'!$Y$62,0),MAX(MIN(N$20,'01_Input'!$W$62)-'01_Input'!$V$62,0)*'01_Input'!$Y$62))+IF('01_Input'!$AB$62="Forfait",IF(N$20&gt;='01_Input'!$Z$62,'01_Input'!$AC$62,0),IF('01_Input'!$AB$62="Palier",IF(AND(N$20&gt;='01_Input'!$Z$62,N$20&lt;'01_Input'!$AA$62),'01_Input'!$AC$62,0),MAX(MIN(N$20,'01_Input'!$AA$62)-'01_Input'!$Z$62,0)*'01_Input'!$AC$62)))))))))</f>
        <v>0</v>
      </c>
      <c r="O30" s="83">
        <f>IF('01_Input'!$C$62="Non",0,MIN('01_Input'!$I$62,MAX('01_Input'!$H$62,IF('01_Input'!$G$62="Résiduel vs Gestion",0,IF('01_Input'!$G$62="Taux Classe sélectionnée",Distrib_Global_Classe_Selectionnee*O$20,IF('01_Input'!$G$62="Frais KYC (paliers de 100M€)",MAX(0,Nb_Investisseurs-Nb_KYC_Gratuites_Par_Tranche*(FLOOR(O$20/Taille_Tranche_KYC,1)+1))*Cout_Par_KYC_Supplementaire,(IF('01_Input'!$L$62="Forfait",IF(O$20&gt;='01_Input'!$J$62,'01_Input'!$M$62,0),IF('01_Input'!$L$62="Palier",IF(AND(O$20&gt;='01_Input'!$J$62,O$20&lt;'01_Input'!$K$62),'01_Input'!$M$62,0),MAX(MIN(O$20,'01_Input'!$K$62)-'01_Input'!$J$62,0)*'01_Input'!$M$62))+IF('01_Input'!$P$62="Forfait",IF(O$20&gt;='01_Input'!$N$62,'01_Input'!$Q$62,0),IF('01_Input'!$P$62="Palier",IF(AND(O$20&gt;='01_Input'!$N$62,O$20&lt;'01_Input'!$O$62),'01_Input'!$Q$62,0),MAX(MIN(O$20,'01_Input'!$O$62)-'01_Input'!$N$62,0)*'01_Input'!$Q$62))+IF('01_Input'!$T$62="Forfait",IF(O$20&gt;='01_Input'!$R$62,'01_Input'!$U$62,0),IF('01_Input'!$T$62="Palier",IF(AND(O$20&gt;='01_Input'!$R$62,O$20&lt;'01_Input'!$S$62),'01_Input'!$U$62,0),MAX(MIN(O$20,'01_Input'!$S$62)-'01_Input'!$R$62,0)*'01_Input'!$U$62))+IF('01_Input'!$X$62="Forfait",IF(O$20&gt;='01_Input'!$V$62,'01_Input'!$Y$62,0),IF('01_Input'!$X$62="Palier",IF(AND(O$20&gt;='01_Input'!$V$62,O$20&lt;'01_Input'!$W$62),'01_Input'!$Y$62,0),MAX(MIN(O$20,'01_Input'!$W$62)-'01_Input'!$V$62,0)*'01_Input'!$Y$62))+IF('01_Input'!$AB$62="Forfait",IF(O$20&gt;='01_Input'!$Z$62,'01_Input'!$AC$62,0),IF('01_Input'!$AB$62="Palier",IF(AND(O$20&gt;='01_Input'!$Z$62,O$20&lt;'01_Input'!$AA$62),'01_Input'!$AC$62,0),MAX(MIN(O$20,'01_Input'!$AA$62)-'01_Input'!$Z$62,0)*'01_Input'!$AC$62)))))))))</f>
        <v>0</v>
      </c>
      <c r="P30" s="83">
        <f>IF('01_Input'!$C$62="Non",0,MIN('01_Input'!$I$62,MAX('01_Input'!$H$62,IF('01_Input'!$G$62="Résiduel vs Gestion",0,IF('01_Input'!$G$62="Taux Classe sélectionnée",Distrib_Global_Classe_Selectionnee*P$20,IF('01_Input'!$G$62="Frais KYC (paliers de 100M€)",MAX(0,Nb_Investisseurs-Nb_KYC_Gratuites_Par_Tranche*(FLOOR(P$20/Taille_Tranche_KYC,1)+1))*Cout_Par_KYC_Supplementaire,(IF('01_Input'!$L$62="Forfait",IF(P$20&gt;='01_Input'!$J$62,'01_Input'!$M$62,0),IF('01_Input'!$L$62="Palier",IF(AND(P$20&gt;='01_Input'!$J$62,P$20&lt;'01_Input'!$K$62),'01_Input'!$M$62,0),MAX(MIN(P$20,'01_Input'!$K$62)-'01_Input'!$J$62,0)*'01_Input'!$M$62))+IF('01_Input'!$P$62="Forfait",IF(P$20&gt;='01_Input'!$N$62,'01_Input'!$Q$62,0),IF('01_Input'!$P$62="Palier",IF(AND(P$20&gt;='01_Input'!$N$62,P$20&lt;'01_Input'!$O$62),'01_Input'!$Q$62,0),MAX(MIN(P$20,'01_Input'!$O$62)-'01_Input'!$N$62,0)*'01_Input'!$Q$62))+IF('01_Input'!$T$62="Forfait",IF(P$20&gt;='01_Input'!$R$62,'01_Input'!$U$62,0),IF('01_Input'!$T$62="Palier",IF(AND(P$20&gt;='01_Input'!$R$62,P$20&lt;'01_Input'!$S$62),'01_Input'!$U$62,0),MAX(MIN(P$20,'01_Input'!$S$62)-'01_Input'!$R$62,0)*'01_Input'!$U$62))+IF('01_Input'!$X$62="Forfait",IF(P$20&gt;='01_Input'!$V$62,'01_Input'!$Y$62,0),IF('01_Input'!$X$62="Palier",IF(AND(P$20&gt;='01_Input'!$V$62,P$20&lt;'01_Input'!$W$62),'01_Input'!$Y$62,0),MAX(MIN(P$20,'01_Input'!$W$62)-'01_Input'!$V$62,0)*'01_Input'!$Y$62))+IF('01_Input'!$AB$62="Forfait",IF(P$20&gt;='01_Input'!$Z$62,'01_Input'!$AC$62,0),IF('01_Input'!$AB$62="Palier",IF(AND(P$20&gt;='01_Input'!$Z$62,P$20&lt;'01_Input'!$AA$62),'01_Input'!$AC$62,0),MAX(MIN(P$20,'01_Input'!$AA$62)-'01_Input'!$Z$62,0)*'01_Input'!$AC$62)))))))))</f>
        <v>0</v>
      </c>
      <c r="Q30" s="83">
        <f>IF('01_Input'!$C$62="Non",0,MIN('01_Input'!$I$62,MAX('01_Input'!$H$62,IF('01_Input'!$G$62="Résiduel vs Gestion",0,IF('01_Input'!$G$62="Taux Classe sélectionnée",Distrib_Global_Classe_Selectionnee*Q$20,IF('01_Input'!$G$62="Frais KYC (paliers de 100M€)",MAX(0,Nb_Investisseurs-Nb_KYC_Gratuites_Par_Tranche*(FLOOR(Q$20/Taille_Tranche_KYC,1)+1))*Cout_Par_KYC_Supplementaire,(IF('01_Input'!$L$62="Forfait",IF(Q$20&gt;='01_Input'!$J$62,'01_Input'!$M$62,0),IF('01_Input'!$L$62="Palier",IF(AND(Q$20&gt;='01_Input'!$J$62,Q$20&lt;'01_Input'!$K$62),'01_Input'!$M$62,0),MAX(MIN(Q$20,'01_Input'!$K$62)-'01_Input'!$J$62,0)*'01_Input'!$M$62))+IF('01_Input'!$P$62="Forfait",IF(Q$20&gt;='01_Input'!$N$62,'01_Input'!$Q$62,0),IF('01_Input'!$P$62="Palier",IF(AND(Q$20&gt;='01_Input'!$N$62,Q$20&lt;'01_Input'!$O$62),'01_Input'!$Q$62,0),MAX(MIN(Q$20,'01_Input'!$O$62)-'01_Input'!$N$62,0)*'01_Input'!$Q$62))+IF('01_Input'!$T$62="Forfait",IF(Q$20&gt;='01_Input'!$R$62,'01_Input'!$U$62,0),IF('01_Input'!$T$62="Palier",IF(AND(Q$20&gt;='01_Input'!$R$62,Q$20&lt;'01_Input'!$S$62),'01_Input'!$U$62,0),MAX(MIN(Q$20,'01_Input'!$S$62)-'01_Input'!$R$62,0)*'01_Input'!$U$62))+IF('01_Input'!$X$62="Forfait",IF(Q$20&gt;='01_Input'!$V$62,'01_Input'!$Y$62,0),IF('01_Input'!$X$62="Palier",IF(AND(Q$20&gt;='01_Input'!$V$62,Q$20&lt;'01_Input'!$W$62),'01_Input'!$Y$62,0),MAX(MIN(Q$20,'01_Input'!$W$62)-'01_Input'!$V$62,0)*'01_Input'!$Y$62))+IF('01_Input'!$AB$62="Forfait",IF(Q$20&gt;='01_Input'!$Z$62,'01_Input'!$AC$62,0),IF('01_Input'!$AB$62="Palier",IF(AND(Q$20&gt;='01_Input'!$Z$62,Q$20&lt;'01_Input'!$AA$62),'01_Input'!$AC$62,0),MAX(MIN(Q$20,'01_Input'!$AA$62)-'01_Input'!$Z$62,0)*'01_Input'!$AC$62)))))))))</f>
        <v>0</v>
      </c>
      <c r="R30" s="83">
        <f>IF('01_Input'!$C$62="Non",0,MIN('01_Input'!$I$62,MAX('01_Input'!$H$62,IF('01_Input'!$G$62="Résiduel vs Gestion",0,IF('01_Input'!$G$62="Taux Classe sélectionnée",Distrib_Global_Classe_Selectionnee*R$20,IF('01_Input'!$G$62="Frais KYC (paliers de 100M€)",MAX(0,Nb_Investisseurs-Nb_KYC_Gratuites_Par_Tranche*(FLOOR(R$20/Taille_Tranche_KYC,1)+1))*Cout_Par_KYC_Supplementaire,(IF('01_Input'!$L$62="Forfait",IF(R$20&gt;='01_Input'!$J$62,'01_Input'!$M$62,0),IF('01_Input'!$L$62="Palier",IF(AND(R$20&gt;='01_Input'!$J$62,R$20&lt;'01_Input'!$K$62),'01_Input'!$M$62,0),MAX(MIN(R$20,'01_Input'!$K$62)-'01_Input'!$J$62,0)*'01_Input'!$M$62))+IF('01_Input'!$P$62="Forfait",IF(R$20&gt;='01_Input'!$N$62,'01_Input'!$Q$62,0),IF('01_Input'!$P$62="Palier",IF(AND(R$20&gt;='01_Input'!$N$62,R$20&lt;'01_Input'!$O$62),'01_Input'!$Q$62,0),MAX(MIN(R$20,'01_Input'!$O$62)-'01_Input'!$N$62,0)*'01_Input'!$Q$62))+IF('01_Input'!$T$62="Forfait",IF(R$20&gt;='01_Input'!$R$62,'01_Input'!$U$62,0),IF('01_Input'!$T$62="Palier",IF(AND(R$20&gt;='01_Input'!$R$62,R$20&lt;'01_Input'!$S$62),'01_Input'!$U$62,0),MAX(MIN(R$20,'01_Input'!$S$62)-'01_Input'!$R$62,0)*'01_Input'!$U$62))+IF('01_Input'!$X$62="Forfait",IF(R$20&gt;='01_Input'!$V$62,'01_Input'!$Y$62,0),IF('01_Input'!$X$62="Palier",IF(AND(R$20&gt;='01_Input'!$V$62,R$20&lt;'01_Input'!$W$62),'01_Input'!$Y$62,0),MAX(MIN(R$20,'01_Input'!$W$62)-'01_Input'!$V$62,0)*'01_Input'!$Y$62))+IF('01_Input'!$AB$62="Forfait",IF(R$20&gt;='01_Input'!$Z$62,'01_Input'!$AC$62,0),IF('01_Input'!$AB$62="Palier",IF(AND(R$20&gt;='01_Input'!$Z$62,R$20&lt;'01_Input'!$AA$62),'01_Input'!$AC$62,0),MAX(MIN(R$20,'01_Input'!$AA$62)-'01_Input'!$Z$62,0)*'01_Input'!$AC$62)))))))))</f>
        <v>0</v>
      </c>
      <c r="S30" s="83">
        <f>IF('01_Input'!$C$62="Non",0,MIN('01_Input'!$I$62,MAX('01_Input'!$H$62,IF('01_Input'!$G$62="Résiduel vs Gestion",0,IF('01_Input'!$G$62="Taux Classe sélectionnée",Distrib_Global_Classe_Selectionnee*S$20,IF('01_Input'!$G$62="Frais KYC (paliers de 100M€)",MAX(0,Nb_Investisseurs-Nb_KYC_Gratuites_Par_Tranche*(FLOOR(S$20/Taille_Tranche_KYC,1)+1))*Cout_Par_KYC_Supplementaire,(IF('01_Input'!$L$62="Forfait",IF(S$20&gt;='01_Input'!$J$62,'01_Input'!$M$62,0),IF('01_Input'!$L$62="Palier",IF(AND(S$20&gt;='01_Input'!$J$62,S$20&lt;'01_Input'!$K$62),'01_Input'!$M$62,0),MAX(MIN(S$20,'01_Input'!$K$62)-'01_Input'!$J$62,0)*'01_Input'!$M$62))+IF('01_Input'!$P$62="Forfait",IF(S$20&gt;='01_Input'!$N$62,'01_Input'!$Q$62,0),IF('01_Input'!$P$62="Palier",IF(AND(S$20&gt;='01_Input'!$N$62,S$20&lt;'01_Input'!$O$62),'01_Input'!$Q$62,0),MAX(MIN(S$20,'01_Input'!$O$62)-'01_Input'!$N$62,0)*'01_Input'!$Q$62))+IF('01_Input'!$T$62="Forfait",IF(S$20&gt;='01_Input'!$R$62,'01_Input'!$U$62,0),IF('01_Input'!$T$62="Palier",IF(AND(S$20&gt;='01_Input'!$R$62,S$20&lt;'01_Input'!$S$62),'01_Input'!$U$62,0),MAX(MIN(S$20,'01_Input'!$S$62)-'01_Input'!$R$62,0)*'01_Input'!$U$62))+IF('01_Input'!$X$62="Forfait",IF(S$20&gt;='01_Input'!$V$62,'01_Input'!$Y$62,0),IF('01_Input'!$X$62="Palier",IF(AND(S$20&gt;='01_Input'!$V$62,S$20&lt;'01_Input'!$W$62),'01_Input'!$Y$62,0),MAX(MIN(S$20,'01_Input'!$W$62)-'01_Input'!$V$62,0)*'01_Input'!$Y$62))+IF('01_Input'!$AB$62="Forfait",IF(S$20&gt;='01_Input'!$Z$62,'01_Input'!$AC$62,0),IF('01_Input'!$AB$62="Palier",IF(AND(S$20&gt;='01_Input'!$Z$62,S$20&lt;'01_Input'!$AA$62),'01_Input'!$AC$62,0),MAX(MIN(S$20,'01_Input'!$AA$62)-'01_Input'!$Z$62,0)*'01_Input'!$AC$62)))))))))</f>
        <v>0</v>
      </c>
      <c r="T30" s="83">
        <f>IF('01_Input'!$C$62="Non",0,MIN('01_Input'!$I$62,MAX('01_Input'!$H$62,IF('01_Input'!$G$62="Résiduel vs Gestion",0,IF('01_Input'!$G$62="Taux Classe sélectionnée",Distrib_Global_Classe_Selectionnee*T$20,IF('01_Input'!$G$62="Frais KYC (paliers de 100M€)",MAX(0,Nb_Investisseurs-Nb_KYC_Gratuites_Par_Tranche*(FLOOR(T$20/Taille_Tranche_KYC,1)+1))*Cout_Par_KYC_Supplementaire,(IF('01_Input'!$L$62="Forfait",IF(T$20&gt;='01_Input'!$J$62,'01_Input'!$M$62,0),IF('01_Input'!$L$62="Palier",IF(AND(T$20&gt;='01_Input'!$J$62,T$20&lt;'01_Input'!$K$62),'01_Input'!$M$62,0),MAX(MIN(T$20,'01_Input'!$K$62)-'01_Input'!$J$62,0)*'01_Input'!$M$62))+IF('01_Input'!$P$62="Forfait",IF(T$20&gt;='01_Input'!$N$62,'01_Input'!$Q$62,0),IF('01_Input'!$P$62="Palier",IF(AND(T$20&gt;='01_Input'!$N$62,T$20&lt;'01_Input'!$O$62),'01_Input'!$Q$62,0),MAX(MIN(T$20,'01_Input'!$O$62)-'01_Input'!$N$62,0)*'01_Input'!$Q$62))+IF('01_Input'!$T$62="Forfait",IF(T$20&gt;='01_Input'!$R$62,'01_Input'!$U$62,0),IF('01_Input'!$T$62="Palier",IF(AND(T$20&gt;='01_Input'!$R$62,T$20&lt;'01_Input'!$S$62),'01_Input'!$U$62,0),MAX(MIN(T$20,'01_Input'!$S$62)-'01_Input'!$R$62,0)*'01_Input'!$U$62))+IF('01_Input'!$X$62="Forfait",IF(T$20&gt;='01_Input'!$V$62,'01_Input'!$Y$62,0),IF('01_Input'!$X$62="Palier",IF(AND(T$20&gt;='01_Input'!$V$62,T$20&lt;'01_Input'!$W$62),'01_Input'!$Y$62,0),MAX(MIN(T$20,'01_Input'!$W$62)-'01_Input'!$V$62,0)*'01_Input'!$Y$62))+IF('01_Input'!$AB$62="Forfait",IF(T$20&gt;='01_Input'!$Z$62,'01_Input'!$AC$62,0),IF('01_Input'!$AB$62="Palier",IF(AND(T$20&gt;='01_Input'!$Z$62,T$20&lt;'01_Input'!$AA$62),'01_Input'!$AC$62,0),MAX(MIN(T$20,'01_Input'!$AA$62)-'01_Input'!$Z$62,0)*'01_Input'!$AC$62)))))))))</f>
        <v>0</v>
      </c>
      <c r="U30" s="83">
        <f>IF('01_Input'!$C$62="Non",0,MIN('01_Input'!$I$62,MAX('01_Input'!$H$62,IF('01_Input'!$G$62="Résiduel vs Gestion",0,IF('01_Input'!$G$62="Taux Classe sélectionnée",Distrib_Global_Classe_Selectionnee*U$20,IF('01_Input'!$G$62="Frais KYC (paliers de 100M€)",MAX(0,Nb_Investisseurs-Nb_KYC_Gratuites_Par_Tranche*(FLOOR(U$20/Taille_Tranche_KYC,1)+1))*Cout_Par_KYC_Supplementaire,(IF('01_Input'!$L$62="Forfait",IF(U$20&gt;='01_Input'!$J$62,'01_Input'!$M$62,0),IF('01_Input'!$L$62="Palier",IF(AND(U$20&gt;='01_Input'!$J$62,U$20&lt;'01_Input'!$K$62),'01_Input'!$M$62,0),MAX(MIN(U$20,'01_Input'!$K$62)-'01_Input'!$J$62,0)*'01_Input'!$M$62))+IF('01_Input'!$P$62="Forfait",IF(U$20&gt;='01_Input'!$N$62,'01_Input'!$Q$62,0),IF('01_Input'!$P$62="Palier",IF(AND(U$20&gt;='01_Input'!$N$62,U$20&lt;'01_Input'!$O$62),'01_Input'!$Q$62,0),MAX(MIN(U$20,'01_Input'!$O$62)-'01_Input'!$N$62,0)*'01_Input'!$Q$62))+IF('01_Input'!$T$62="Forfait",IF(U$20&gt;='01_Input'!$R$62,'01_Input'!$U$62,0),IF('01_Input'!$T$62="Palier",IF(AND(U$20&gt;='01_Input'!$R$62,U$20&lt;'01_Input'!$S$62),'01_Input'!$U$62,0),MAX(MIN(U$20,'01_Input'!$S$62)-'01_Input'!$R$62,0)*'01_Input'!$U$62))+IF('01_Input'!$X$62="Forfait",IF(U$20&gt;='01_Input'!$V$62,'01_Input'!$Y$62,0),IF('01_Input'!$X$62="Palier",IF(AND(U$20&gt;='01_Input'!$V$62,U$20&lt;'01_Input'!$W$62),'01_Input'!$Y$62,0),MAX(MIN(U$20,'01_Input'!$W$62)-'01_Input'!$V$62,0)*'01_Input'!$Y$62))+IF('01_Input'!$AB$62="Forfait",IF(U$20&gt;='01_Input'!$Z$62,'01_Input'!$AC$62,0),IF('01_Input'!$AB$62="Palier",IF(AND(U$20&gt;='01_Input'!$Z$62,U$20&lt;'01_Input'!$AA$62),'01_Input'!$AC$62,0),MAX(MIN(U$20,'01_Input'!$AA$62)-'01_Input'!$Z$62,0)*'01_Input'!$AC$62)))))))))</f>
        <v>0</v>
      </c>
      <c r="V30" s="83">
        <f>IF('01_Input'!$C$62="Non",0,MIN('01_Input'!$I$62,MAX('01_Input'!$H$62,IF('01_Input'!$G$62="Résiduel vs Gestion",0,IF('01_Input'!$G$62="Taux Classe sélectionnée",Distrib_Global_Classe_Selectionnee*V$20,IF('01_Input'!$G$62="Frais KYC (paliers de 100M€)",MAX(0,Nb_Investisseurs-Nb_KYC_Gratuites_Par_Tranche*(FLOOR(V$20/Taille_Tranche_KYC,1)+1))*Cout_Par_KYC_Supplementaire,(IF('01_Input'!$L$62="Forfait",IF(V$20&gt;='01_Input'!$J$62,'01_Input'!$M$62,0),IF('01_Input'!$L$62="Palier",IF(AND(V$20&gt;='01_Input'!$J$62,V$20&lt;'01_Input'!$K$62),'01_Input'!$M$62,0),MAX(MIN(V$20,'01_Input'!$K$62)-'01_Input'!$J$62,0)*'01_Input'!$M$62))+IF('01_Input'!$P$62="Forfait",IF(V$20&gt;='01_Input'!$N$62,'01_Input'!$Q$62,0),IF('01_Input'!$P$62="Palier",IF(AND(V$20&gt;='01_Input'!$N$62,V$20&lt;'01_Input'!$O$62),'01_Input'!$Q$62,0),MAX(MIN(V$20,'01_Input'!$O$62)-'01_Input'!$N$62,0)*'01_Input'!$Q$62))+IF('01_Input'!$T$62="Forfait",IF(V$20&gt;='01_Input'!$R$62,'01_Input'!$U$62,0),IF('01_Input'!$T$62="Palier",IF(AND(V$20&gt;='01_Input'!$R$62,V$20&lt;'01_Input'!$S$62),'01_Input'!$U$62,0),MAX(MIN(V$20,'01_Input'!$S$62)-'01_Input'!$R$62,0)*'01_Input'!$U$62))+IF('01_Input'!$X$62="Forfait",IF(V$20&gt;='01_Input'!$V$62,'01_Input'!$Y$62,0),IF('01_Input'!$X$62="Palier",IF(AND(V$20&gt;='01_Input'!$V$62,V$20&lt;'01_Input'!$W$62),'01_Input'!$Y$62,0),MAX(MIN(V$20,'01_Input'!$W$62)-'01_Input'!$V$62,0)*'01_Input'!$Y$62))+IF('01_Input'!$AB$62="Forfait",IF(V$20&gt;='01_Input'!$Z$62,'01_Input'!$AC$62,0),IF('01_Input'!$AB$62="Palier",IF(AND(V$20&gt;='01_Input'!$Z$62,V$20&lt;'01_Input'!$AA$62),'01_Input'!$AC$62,0),MAX(MIN(V$20,'01_Input'!$AA$62)-'01_Input'!$Z$62,0)*'01_Input'!$AC$62)))))))))</f>
        <v>0</v>
      </c>
      <c r="W30" s="83">
        <f>IF('01_Input'!$C$62="Non",0,MIN('01_Input'!$I$62,MAX('01_Input'!$H$62,IF('01_Input'!$G$62="Résiduel vs Gestion",0,IF('01_Input'!$G$62="Taux Classe sélectionnée",Distrib_Global_Classe_Selectionnee*W$20,IF('01_Input'!$G$62="Frais KYC (paliers de 100M€)",MAX(0,Nb_Investisseurs-Nb_KYC_Gratuites_Par_Tranche*(FLOOR(W$20/Taille_Tranche_KYC,1)+1))*Cout_Par_KYC_Supplementaire,(IF('01_Input'!$L$62="Forfait",IF(W$20&gt;='01_Input'!$J$62,'01_Input'!$M$62,0),IF('01_Input'!$L$62="Palier",IF(AND(W$20&gt;='01_Input'!$J$62,W$20&lt;'01_Input'!$K$62),'01_Input'!$M$62,0),MAX(MIN(W$20,'01_Input'!$K$62)-'01_Input'!$J$62,0)*'01_Input'!$M$62))+IF('01_Input'!$P$62="Forfait",IF(W$20&gt;='01_Input'!$N$62,'01_Input'!$Q$62,0),IF('01_Input'!$P$62="Palier",IF(AND(W$20&gt;='01_Input'!$N$62,W$20&lt;'01_Input'!$O$62),'01_Input'!$Q$62,0),MAX(MIN(W$20,'01_Input'!$O$62)-'01_Input'!$N$62,0)*'01_Input'!$Q$62))+IF('01_Input'!$T$62="Forfait",IF(W$20&gt;='01_Input'!$R$62,'01_Input'!$U$62,0),IF('01_Input'!$T$62="Palier",IF(AND(W$20&gt;='01_Input'!$R$62,W$20&lt;'01_Input'!$S$62),'01_Input'!$U$62,0),MAX(MIN(W$20,'01_Input'!$S$62)-'01_Input'!$R$62,0)*'01_Input'!$U$62))+IF('01_Input'!$X$62="Forfait",IF(W$20&gt;='01_Input'!$V$62,'01_Input'!$Y$62,0),IF('01_Input'!$X$62="Palier",IF(AND(W$20&gt;='01_Input'!$V$62,W$20&lt;'01_Input'!$W$62),'01_Input'!$Y$62,0),MAX(MIN(W$20,'01_Input'!$W$62)-'01_Input'!$V$62,0)*'01_Input'!$Y$62))+IF('01_Input'!$AB$62="Forfait",IF(W$20&gt;='01_Input'!$Z$62,'01_Input'!$AC$62,0),IF('01_Input'!$AB$62="Palier",IF(AND(W$20&gt;='01_Input'!$Z$62,W$20&lt;'01_Input'!$AA$62),'01_Input'!$AC$62,0),MAX(MIN(W$20,'01_Input'!$AA$62)-'01_Input'!$Z$62,0)*'01_Input'!$AC$62)))))))))</f>
        <v>0</v>
      </c>
      <c r="X30" s="83">
        <f>IF('01_Input'!$C$62="Non",0,MIN('01_Input'!$I$62,MAX('01_Input'!$H$62,IF('01_Input'!$G$62="Résiduel vs Gestion",0,IF('01_Input'!$G$62="Taux Classe sélectionnée",Distrib_Global_Classe_Selectionnee*X$20,IF('01_Input'!$G$62="Frais KYC (paliers de 100M€)",MAX(0,Nb_Investisseurs-Nb_KYC_Gratuites_Par_Tranche*(FLOOR(X$20/Taille_Tranche_KYC,1)+1))*Cout_Par_KYC_Supplementaire,(IF('01_Input'!$L$62="Forfait",IF(X$20&gt;='01_Input'!$J$62,'01_Input'!$M$62,0),IF('01_Input'!$L$62="Palier",IF(AND(X$20&gt;='01_Input'!$J$62,X$20&lt;'01_Input'!$K$62),'01_Input'!$M$62,0),MAX(MIN(X$20,'01_Input'!$K$62)-'01_Input'!$J$62,0)*'01_Input'!$M$62))+IF('01_Input'!$P$62="Forfait",IF(X$20&gt;='01_Input'!$N$62,'01_Input'!$Q$62,0),IF('01_Input'!$P$62="Palier",IF(AND(X$20&gt;='01_Input'!$N$62,X$20&lt;'01_Input'!$O$62),'01_Input'!$Q$62,0),MAX(MIN(X$20,'01_Input'!$O$62)-'01_Input'!$N$62,0)*'01_Input'!$Q$62))+IF('01_Input'!$T$62="Forfait",IF(X$20&gt;='01_Input'!$R$62,'01_Input'!$U$62,0),IF('01_Input'!$T$62="Palier",IF(AND(X$20&gt;='01_Input'!$R$62,X$20&lt;'01_Input'!$S$62),'01_Input'!$U$62,0),MAX(MIN(X$20,'01_Input'!$S$62)-'01_Input'!$R$62,0)*'01_Input'!$U$62))+IF('01_Input'!$X$62="Forfait",IF(X$20&gt;='01_Input'!$V$62,'01_Input'!$Y$62,0),IF('01_Input'!$X$62="Palier",IF(AND(X$20&gt;='01_Input'!$V$62,X$20&lt;'01_Input'!$W$62),'01_Input'!$Y$62,0),MAX(MIN(X$20,'01_Input'!$W$62)-'01_Input'!$V$62,0)*'01_Input'!$Y$62))+IF('01_Input'!$AB$62="Forfait",IF(X$20&gt;='01_Input'!$Z$62,'01_Input'!$AC$62,0),IF('01_Input'!$AB$62="Palier",IF(AND(X$20&gt;='01_Input'!$Z$62,X$20&lt;'01_Input'!$AA$62),'01_Input'!$AC$62,0),MAX(MIN(X$20,'01_Input'!$AA$62)-'01_Input'!$Z$62,0)*'01_Input'!$AC$62)))))))))</f>
        <v>0</v>
      </c>
      <c r="Y30" s="83">
        <f>IF('01_Input'!$C$62="Non",0,MIN('01_Input'!$I$62,MAX('01_Input'!$H$62,IF('01_Input'!$G$62="Résiduel vs Gestion",0,IF('01_Input'!$G$62="Taux Classe sélectionnée",Distrib_Global_Classe_Selectionnee*Y$20,IF('01_Input'!$G$62="Frais KYC (paliers de 100M€)",MAX(0,Nb_Investisseurs-Nb_KYC_Gratuites_Par_Tranche*(FLOOR(Y$20/Taille_Tranche_KYC,1)+1))*Cout_Par_KYC_Supplementaire,(IF('01_Input'!$L$62="Forfait",IF(Y$20&gt;='01_Input'!$J$62,'01_Input'!$M$62,0),IF('01_Input'!$L$62="Palier",IF(AND(Y$20&gt;='01_Input'!$J$62,Y$20&lt;'01_Input'!$K$62),'01_Input'!$M$62,0),MAX(MIN(Y$20,'01_Input'!$K$62)-'01_Input'!$J$62,0)*'01_Input'!$M$62))+IF('01_Input'!$P$62="Forfait",IF(Y$20&gt;='01_Input'!$N$62,'01_Input'!$Q$62,0),IF('01_Input'!$P$62="Palier",IF(AND(Y$20&gt;='01_Input'!$N$62,Y$20&lt;'01_Input'!$O$62),'01_Input'!$Q$62,0),MAX(MIN(Y$20,'01_Input'!$O$62)-'01_Input'!$N$62,0)*'01_Input'!$Q$62))+IF('01_Input'!$T$62="Forfait",IF(Y$20&gt;='01_Input'!$R$62,'01_Input'!$U$62,0),IF('01_Input'!$T$62="Palier",IF(AND(Y$20&gt;='01_Input'!$R$62,Y$20&lt;'01_Input'!$S$62),'01_Input'!$U$62,0),MAX(MIN(Y$20,'01_Input'!$S$62)-'01_Input'!$R$62,0)*'01_Input'!$U$62))+IF('01_Input'!$X$62="Forfait",IF(Y$20&gt;='01_Input'!$V$62,'01_Input'!$Y$62,0),IF('01_Input'!$X$62="Palier",IF(AND(Y$20&gt;='01_Input'!$V$62,Y$20&lt;'01_Input'!$W$62),'01_Input'!$Y$62,0),MAX(MIN(Y$20,'01_Input'!$W$62)-'01_Input'!$V$62,0)*'01_Input'!$Y$62))+IF('01_Input'!$AB$62="Forfait",IF(Y$20&gt;='01_Input'!$Z$62,'01_Input'!$AC$62,0),IF('01_Input'!$AB$62="Palier",IF(AND(Y$20&gt;='01_Input'!$Z$62,Y$20&lt;'01_Input'!$AA$62),'01_Input'!$AC$62,0),MAX(MIN(Y$20,'01_Input'!$AA$62)-'01_Input'!$Z$62,0)*'01_Input'!$AC$62)))))))))</f>
        <v>0</v>
      </c>
      <c r="Z30" s="83">
        <f>IF('01_Input'!$C$62="Non",0,MIN('01_Input'!$I$62,MAX('01_Input'!$H$62,IF('01_Input'!$G$62="Résiduel vs Gestion",0,IF('01_Input'!$G$62="Taux Classe sélectionnée",Distrib_Global_Classe_Selectionnee*Z$20,IF('01_Input'!$G$62="Frais KYC (paliers de 100M€)",MAX(0,Nb_Investisseurs-Nb_KYC_Gratuites_Par_Tranche*(FLOOR(Z$20/Taille_Tranche_KYC,1)+1))*Cout_Par_KYC_Supplementaire,(IF('01_Input'!$L$62="Forfait",IF(Z$20&gt;='01_Input'!$J$62,'01_Input'!$M$62,0),IF('01_Input'!$L$62="Palier",IF(AND(Z$20&gt;='01_Input'!$J$62,Z$20&lt;'01_Input'!$K$62),'01_Input'!$M$62,0),MAX(MIN(Z$20,'01_Input'!$K$62)-'01_Input'!$J$62,0)*'01_Input'!$M$62))+IF('01_Input'!$P$62="Forfait",IF(Z$20&gt;='01_Input'!$N$62,'01_Input'!$Q$62,0),IF('01_Input'!$P$62="Palier",IF(AND(Z$20&gt;='01_Input'!$N$62,Z$20&lt;'01_Input'!$O$62),'01_Input'!$Q$62,0),MAX(MIN(Z$20,'01_Input'!$O$62)-'01_Input'!$N$62,0)*'01_Input'!$Q$62))+IF('01_Input'!$T$62="Forfait",IF(Z$20&gt;='01_Input'!$R$62,'01_Input'!$U$62,0),IF('01_Input'!$T$62="Palier",IF(AND(Z$20&gt;='01_Input'!$R$62,Z$20&lt;'01_Input'!$S$62),'01_Input'!$U$62,0),MAX(MIN(Z$20,'01_Input'!$S$62)-'01_Input'!$R$62,0)*'01_Input'!$U$62))+IF('01_Input'!$X$62="Forfait",IF(Z$20&gt;='01_Input'!$V$62,'01_Input'!$Y$62,0),IF('01_Input'!$X$62="Palier",IF(AND(Z$20&gt;='01_Input'!$V$62,Z$20&lt;'01_Input'!$W$62),'01_Input'!$Y$62,0),MAX(MIN(Z$20,'01_Input'!$W$62)-'01_Input'!$V$62,0)*'01_Input'!$Y$62))+IF('01_Input'!$AB$62="Forfait",IF(Z$20&gt;='01_Input'!$Z$62,'01_Input'!$AC$62,0),IF('01_Input'!$AB$62="Palier",IF(AND(Z$20&gt;='01_Input'!$Z$62,Z$20&lt;'01_Input'!$AA$62),'01_Input'!$AC$62,0),MAX(MIN(Z$20,'01_Input'!$AA$62)-'01_Input'!$Z$62,0)*'01_Input'!$AC$62)))))))))</f>
        <v>0</v>
      </c>
      <c r="AA30" s="83">
        <f>IF('01_Input'!$C$62="Non",0,MIN('01_Input'!$I$62,MAX('01_Input'!$H$62,IF('01_Input'!$G$62="Résiduel vs Gestion",0,IF('01_Input'!$G$62="Taux Classe sélectionnée",Distrib_Global_Classe_Selectionnee*AA$20,IF('01_Input'!$G$62="Frais KYC (paliers de 100M€)",MAX(0,Nb_Investisseurs-Nb_KYC_Gratuites_Par_Tranche*(FLOOR(AA$20/Taille_Tranche_KYC,1)+1))*Cout_Par_KYC_Supplementaire,(IF('01_Input'!$L$62="Forfait",IF(AA$20&gt;='01_Input'!$J$62,'01_Input'!$M$62,0),IF('01_Input'!$L$62="Palier",IF(AND(AA$20&gt;='01_Input'!$J$62,AA$20&lt;'01_Input'!$K$62),'01_Input'!$M$62,0),MAX(MIN(AA$20,'01_Input'!$K$62)-'01_Input'!$J$62,0)*'01_Input'!$M$62))+IF('01_Input'!$P$62="Forfait",IF(AA$20&gt;='01_Input'!$N$62,'01_Input'!$Q$62,0),IF('01_Input'!$P$62="Palier",IF(AND(AA$20&gt;='01_Input'!$N$62,AA$20&lt;'01_Input'!$O$62),'01_Input'!$Q$62,0),MAX(MIN(AA$20,'01_Input'!$O$62)-'01_Input'!$N$62,0)*'01_Input'!$Q$62))+IF('01_Input'!$T$62="Forfait",IF(AA$20&gt;='01_Input'!$R$62,'01_Input'!$U$62,0),IF('01_Input'!$T$62="Palier",IF(AND(AA$20&gt;='01_Input'!$R$62,AA$20&lt;'01_Input'!$S$62),'01_Input'!$U$62,0),MAX(MIN(AA$20,'01_Input'!$S$62)-'01_Input'!$R$62,0)*'01_Input'!$U$62))+IF('01_Input'!$X$62="Forfait",IF(AA$20&gt;='01_Input'!$V$62,'01_Input'!$Y$62,0),IF('01_Input'!$X$62="Palier",IF(AND(AA$20&gt;='01_Input'!$V$62,AA$20&lt;'01_Input'!$W$62),'01_Input'!$Y$62,0),MAX(MIN(AA$20,'01_Input'!$W$62)-'01_Input'!$V$62,0)*'01_Input'!$Y$62))+IF('01_Input'!$AB$62="Forfait",IF(AA$20&gt;='01_Input'!$Z$62,'01_Input'!$AC$62,0),IF('01_Input'!$AB$62="Palier",IF(AND(AA$20&gt;='01_Input'!$Z$62,AA$20&lt;'01_Input'!$AA$62),'01_Input'!$AC$62,0),MAX(MIN(AA$20,'01_Input'!$AA$62)-'01_Input'!$Z$62,0)*'01_Input'!$AC$62)))))))))</f>
        <v>0</v>
      </c>
      <c r="AB30" s="83">
        <f>IF('01_Input'!$C$62="Non",0,MIN('01_Input'!$I$62,MAX('01_Input'!$H$62,IF('01_Input'!$G$62="Résiduel vs Gestion",0,IF('01_Input'!$G$62="Taux Classe sélectionnée",Distrib_Global_Classe_Selectionnee*AB$20,IF('01_Input'!$G$62="Frais KYC (paliers de 100M€)",MAX(0,Nb_Investisseurs-Nb_KYC_Gratuites_Par_Tranche*(FLOOR(AB$20/Taille_Tranche_KYC,1)+1))*Cout_Par_KYC_Supplementaire,(IF('01_Input'!$L$62="Forfait",IF(AB$20&gt;='01_Input'!$J$62,'01_Input'!$M$62,0),IF('01_Input'!$L$62="Palier",IF(AND(AB$20&gt;='01_Input'!$J$62,AB$20&lt;'01_Input'!$K$62),'01_Input'!$M$62,0),MAX(MIN(AB$20,'01_Input'!$K$62)-'01_Input'!$J$62,0)*'01_Input'!$M$62))+IF('01_Input'!$P$62="Forfait",IF(AB$20&gt;='01_Input'!$N$62,'01_Input'!$Q$62,0),IF('01_Input'!$P$62="Palier",IF(AND(AB$20&gt;='01_Input'!$N$62,AB$20&lt;'01_Input'!$O$62),'01_Input'!$Q$62,0),MAX(MIN(AB$20,'01_Input'!$O$62)-'01_Input'!$N$62,0)*'01_Input'!$Q$62))+IF('01_Input'!$T$62="Forfait",IF(AB$20&gt;='01_Input'!$R$62,'01_Input'!$U$62,0),IF('01_Input'!$T$62="Palier",IF(AND(AB$20&gt;='01_Input'!$R$62,AB$20&lt;'01_Input'!$S$62),'01_Input'!$U$62,0),MAX(MIN(AB$20,'01_Input'!$S$62)-'01_Input'!$R$62,0)*'01_Input'!$U$62))+IF('01_Input'!$X$62="Forfait",IF(AB$20&gt;='01_Input'!$V$62,'01_Input'!$Y$62,0),IF('01_Input'!$X$62="Palier",IF(AND(AB$20&gt;='01_Input'!$V$62,AB$20&lt;'01_Input'!$W$62),'01_Input'!$Y$62,0),MAX(MIN(AB$20,'01_Input'!$W$62)-'01_Input'!$V$62,0)*'01_Input'!$Y$62))+IF('01_Input'!$AB$62="Forfait",IF(AB$20&gt;='01_Input'!$Z$62,'01_Input'!$AC$62,0),IF('01_Input'!$AB$62="Palier",IF(AND(AB$20&gt;='01_Input'!$Z$62,AB$20&lt;'01_Input'!$AA$62),'01_Input'!$AC$62,0),MAX(MIN(AB$20,'01_Input'!$AA$62)-'01_Input'!$Z$62,0)*'01_Input'!$AC$62)))))))))</f>
        <v>0</v>
      </c>
      <c r="AC30" s="83">
        <f>IF('01_Input'!$C$62="Non",0,MIN('01_Input'!$I$62,MAX('01_Input'!$H$62,IF('01_Input'!$G$62="Résiduel vs Gestion",0,IF('01_Input'!$G$62="Taux Classe sélectionnée",Distrib_Global_Classe_Selectionnee*AC$20,IF('01_Input'!$G$62="Frais KYC (paliers de 100M€)",MAX(0,Nb_Investisseurs-Nb_KYC_Gratuites_Par_Tranche*(FLOOR(AC$20/Taille_Tranche_KYC,1)+1))*Cout_Par_KYC_Supplementaire,(IF('01_Input'!$L$62="Forfait",IF(AC$20&gt;='01_Input'!$J$62,'01_Input'!$M$62,0),IF('01_Input'!$L$62="Palier",IF(AND(AC$20&gt;='01_Input'!$J$62,AC$20&lt;'01_Input'!$K$62),'01_Input'!$M$62,0),MAX(MIN(AC$20,'01_Input'!$K$62)-'01_Input'!$J$62,0)*'01_Input'!$M$62))+IF('01_Input'!$P$62="Forfait",IF(AC$20&gt;='01_Input'!$N$62,'01_Input'!$Q$62,0),IF('01_Input'!$P$62="Palier",IF(AND(AC$20&gt;='01_Input'!$N$62,AC$20&lt;'01_Input'!$O$62),'01_Input'!$Q$62,0),MAX(MIN(AC$20,'01_Input'!$O$62)-'01_Input'!$N$62,0)*'01_Input'!$Q$62))+IF('01_Input'!$T$62="Forfait",IF(AC$20&gt;='01_Input'!$R$62,'01_Input'!$U$62,0),IF('01_Input'!$T$62="Palier",IF(AND(AC$20&gt;='01_Input'!$R$62,AC$20&lt;'01_Input'!$S$62),'01_Input'!$U$62,0),MAX(MIN(AC$20,'01_Input'!$S$62)-'01_Input'!$R$62,0)*'01_Input'!$U$62))+IF('01_Input'!$X$62="Forfait",IF(AC$20&gt;='01_Input'!$V$62,'01_Input'!$Y$62,0),IF('01_Input'!$X$62="Palier",IF(AND(AC$20&gt;='01_Input'!$V$62,AC$20&lt;'01_Input'!$W$62),'01_Input'!$Y$62,0),MAX(MIN(AC$20,'01_Input'!$W$62)-'01_Input'!$V$62,0)*'01_Input'!$Y$62))+IF('01_Input'!$AB$62="Forfait",IF(AC$20&gt;='01_Input'!$Z$62,'01_Input'!$AC$62,0),IF('01_Input'!$AB$62="Palier",IF(AND(AC$20&gt;='01_Input'!$Z$62,AC$20&lt;'01_Input'!$AA$62),'01_Input'!$AC$62,0),MAX(MIN(AC$20,'01_Input'!$AA$62)-'01_Input'!$Z$62,0)*'01_Input'!$AC$62)))))))))</f>
        <v>0</v>
      </c>
      <c r="AD30" s="83">
        <f>IF('01_Input'!$C$62="Non",0,MIN('01_Input'!$I$62,MAX('01_Input'!$H$62,IF('01_Input'!$G$62="Résiduel vs Gestion",0,IF('01_Input'!$G$62="Taux Classe sélectionnée",Distrib_Global_Classe_Selectionnee*AD$20,IF('01_Input'!$G$62="Frais KYC (paliers de 100M€)",MAX(0,Nb_Investisseurs-Nb_KYC_Gratuites_Par_Tranche*(FLOOR(AD$20/Taille_Tranche_KYC,1)+1))*Cout_Par_KYC_Supplementaire,(IF('01_Input'!$L$62="Forfait",IF(AD$20&gt;='01_Input'!$J$62,'01_Input'!$M$62,0),IF('01_Input'!$L$62="Palier",IF(AND(AD$20&gt;='01_Input'!$J$62,AD$20&lt;'01_Input'!$K$62),'01_Input'!$M$62,0),MAX(MIN(AD$20,'01_Input'!$K$62)-'01_Input'!$J$62,0)*'01_Input'!$M$62))+IF('01_Input'!$P$62="Forfait",IF(AD$20&gt;='01_Input'!$N$62,'01_Input'!$Q$62,0),IF('01_Input'!$P$62="Palier",IF(AND(AD$20&gt;='01_Input'!$N$62,AD$20&lt;'01_Input'!$O$62),'01_Input'!$Q$62,0),MAX(MIN(AD$20,'01_Input'!$O$62)-'01_Input'!$N$62,0)*'01_Input'!$Q$62))+IF('01_Input'!$T$62="Forfait",IF(AD$20&gt;='01_Input'!$R$62,'01_Input'!$U$62,0),IF('01_Input'!$T$62="Palier",IF(AND(AD$20&gt;='01_Input'!$R$62,AD$20&lt;'01_Input'!$S$62),'01_Input'!$U$62,0),MAX(MIN(AD$20,'01_Input'!$S$62)-'01_Input'!$R$62,0)*'01_Input'!$U$62))+IF('01_Input'!$X$62="Forfait",IF(AD$20&gt;='01_Input'!$V$62,'01_Input'!$Y$62,0),IF('01_Input'!$X$62="Palier",IF(AND(AD$20&gt;='01_Input'!$V$62,AD$20&lt;'01_Input'!$W$62),'01_Input'!$Y$62,0),MAX(MIN(AD$20,'01_Input'!$W$62)-'01_Input'!$V$62,0)*'01_Input'!$Y$62))+IF('01_Input'!$AB$62="Forfait",IF(AD$20&gt;='01_Input'!$Z$62,'01_Input'!$AC$62,0),IF('01_Input'!$AB$62="Palier",IF(AND(AD$20&gt;='01_Input'!$Z$62,AD$20&lt;'01_Input'!$AA$62),'01_Input'!$AC$62,0),MAX(MIN(AD$20,'01_Input'!$AA$62)-'01_Input'!$Z$62,0)*'01_Input'!$AC$62)))))))))</f>
        <v>0</v>
      </c>
      <c r="AE30" s="83">
        <f>IF('01_Input'!$C$62="Non",0,MIN('01_Input'!$I$62,MAX('01_Input'!$H$62,IF('01_Input'!$G$62="Résiduel vs Gestion",0,IF('01_Input'!$G$62="Taux Classe sélectionnée",Distrib_Global_Classe_Selectionnee*AE$20,IF('01_Input'!$G$62="Frais KYC (paliers de 100M€)",MAX(0,Nb_Investisseurs-Nb_KYC_Gratuites_Par_Tranche*(FLOOR(AE$20/Taille_Tranche_KYC,1)+1))*Cout_Par_KYC_Supplementaire,(IF('01_Input'!$L$62="Forfait",IF(AE$20&gt;='01_Input'!$J$62,'01_Input'!$M$62,0),IF('01_Input'!$L$62="Palier",IF(AND(AE$20&gt;='01_Input'!$J$62,AE$20&lt;'01_Input'!$K$62),'01_Input'!$M$62,0),MAX(MIN(AE$20,'01_Input'!$K$62)-'01_Input'!$J$62,0)*'01_Input'!$M$62))+IF('01_Input'!$P$62="Forfait",IF(AE$20&gt;='01_Input'!$N$62,'01_Input'!$Q$62,0),IF('01_Input'!$P$62="Palier",IF(AND(AE$20&gt;='01_Input'!$N$62,AE$20&lt;'01_Input'!$O$62),'01_Input'!$Q$62,0),MAX(MIN(AE$20,'01_Input'!$O$62)-'01_Input'!$N$62,0)*'01_Input'!$Q$62))+IF('01_Input'!$T$62="Forfait",IF(AE$20&gt;='01_Input'!$R$62,'01_Input'!$U$62,0),IF('01_Input'!$T$62="Palier",IF(AND(AE$20&gt;='01_Input'!$R$62,AE$20&lt;'01_Input'!$S$62),'01_Input'!$U$62,0),MAX(MIN(AE$20,'01_Input'!$S$62)-'01_Input'!$R$62,0)*'01_Input'!$U$62))+IF('01_Input'!$X$62="Forfait",IF(AE$20&gt;='01_Input'!$V$62,'01_Input'!$Y$62,0),IF('01_Input'!$X$62="Palier",IF(AND(AE$20&gt;='01_Input'!$V$62,AE$20&lt;'01_Input'!$W$62),'01_Input'!$Y$62,0),MAX(MIN(AE$20,'01_Input'!$W$62)-'01_Input'!$V$62,0)*'01_Input'!$Y$62))+IF('01_Input'!$AB$62="Forfait",IF(AE$20&gt;='01_Input'!$Z$62,'01_Input'!$AC$62,0),IF('01_Input'!$AB$62="Palier",IF(AND(AE$20&gt;='01_Input'!$Z$62,AE$20&lt;'01_Input'!$AA$62),'01_Input'!$AC$62,0),MAX(MIN(AE$20,'01_Input'!$AA$62)-'01_Input'!$Z$62,0)*'01_Input'!$AC$62)))))))))</f>
        <v>0</v>
      </c>
      <c r="AF30" s="83">
        <f>IF('01_Input'!$C$62="Non",0,MIN('01_Input'!$I$62,MAX('01_Input'!$H$62,IF('01_Input'!$G$62="Résiduel vs Gestion",0,IF('01_Input'!$G$62="Taux Classe sélectionnée",Distrib_Global_Classe_Selectionnee*AF$20,IF('01_Input'!$G$62="Frais KYC (paliers de 100M€)",MAX(0,Nb_Investisseurs-Nb_KYC_Gratuites_Par_Tranche*(FLOOR(AF$20/Taille_Tranche_KYC,1)+1))*Cout_Par_KYC_Supplementaire,(IF('01_Input'!$L$62="Forfait",IF(AF$20&gt;='01_Input'!$J$62,'01_Input'!$M$62,0),IF('01_Input'!$L$62="Palier",IF(AND(AF$20&gt;='01_Input'!$J$62,AF$20&lt;'01_Input'!$K$62),'01_Input'!$M$62,0),MAX(MIN(AF$20,'01_Input'!$K$62)-'01_Input'!$J$62,0)*'01_Input'!$M$62))+IF('01_Input'!$P$62="Forfait",IF(AF$20&gt;='01_Input'!$N$62,'01_Input'!$Q$62,0),IF('01_Input'!$P$62="Palier",IF(AND(AF$20&gt;='01_Input'!$N$62,AF$20&lt;'01_Input'!$O$62),'01_Input'!$Q$62,0),MAX(MIN(AF$20,'01_Input'!$O$62)-'01_Input'!$N$62,0)*'01_Input'!$Q$62))+IF('01_Input'!$T$62="Forfait",IF(AF$20&gt;='01_Input'!$R$62,'01_Input'!$U$62,0),IF('01_Input'!$T$62="Palier",IF(AND(AF$20&gt;='01_Input'!$R$62,AF$20&lt;'01_Input'!$S$62),'01_Input'!$U$62,0),MAX(MIN(AF$20,'01_Input'!$S$62)-'01_Input'!$R$62,0)*'01_Input'!$U$62))+IF('01_Input'!$X$62="Forfait",IF(AF$20&gt;='01_Input'!$V$62,'01_Input'!$Y$62,0),IF('01_Input'!$X$62="Palier",IF(AND(AF$20&gt;='01_Input'!$V$62,AF$20&lt;'01_Input'!$W$62),'01_Input'!$Y$62,0),MAX(MIN(AF$20,'01_Input'!$W$62)-'01_Input'!$V$62,0)*'01_Input'!$Y$62))+IF('01_Input'!$AB$62="Forfait",IF(AF$20&gt;='01_Input'!$Z$62,'01_Input'!$AC$62,0),IF('01_Input'!$AB$62="Palier",IF(AND(AF$20&gt;='01_Input'!$Z$62,AF$20&lt;'01_Input'!$AA$62),'01_Input'!$AC$62,0),MAX(MIN(AF$20,'01_Input'!$AA$62)-'01_Input'!$Z$62,0)*'01_Input'!$AC$62)))))))))</f>
        <v>0</v>
      </c>
      <c r="AG30" s="83">
        <f>IF('01_Input'!$C$62="Non",0,MIN('01_Input'!$I$62,MAX('01_Input'!$H$62,IF('01_Input'!$G$62="Résiduel vs Gestion",0,IF('01_Input'!$G$62="Taux Classe sélectionnée",Distrib_Global_Classe_Selectionnee*AG$20,IF('01_Input'!$G$62="Frais KYC (paliers de 100M€)",MAX(0,Nb_Investisseurs-Nb_KYC_Gratuites_Par_Tranche*(FLOOR(AG$20/Taille_Tranche_KYC,1)+1))*Cout_Par_KYC_Supplementaire,(IF('01_Input'!$L$62="Forfait",IF(AG$20&gt;='01_Input'!$J$62,'01_Input'!$M$62,0),IF('01_Input'!$L$62="Palier",IF(AND(AG$20&gt;='01_Input'!$J$62,AG$20&lt;'01_Input'!$K$62),'01_Input'!$M$62,0),MAX(MIN(AG$20,'01_Input'!$K$62)-'01_Input'!$J$62,0)*'01_Input'!$M$62))+IF('01_Input'!$P$62="Forfait",IF(AG$20&gt;='01_Input'!$N$62,'01_Input'!$Q$62,0),IF('01_Input'!$P$62="Palier",IF(AND(AG$20&gt;='01_Input'!$N$62,AG$20&lt;'01_Input'!$O$62),'01_Input'!$Q$62,0),MAX(MIN(AG$20,'01_Input'!$O$62)-'01_Input'!$N$62,0)*'01_Input'!$Q$62))+IF('01_Input'!$T$62="Forfait",IF(AG$20&gt;='01_Input'!$R$62,'01_Input'!$U$62,0),IF('01_Input'!$T$62="Palier",IF(AND(AG$20&gt;='01_Input'!$R$62,AG$20&lt;'01_Input'!$S$62),'01_Input'!$U$62,0),MAX(MIN(AG$20,'01_Input'!$S$62)-'01_Input'!$R$62,0)*'01_Input'!$U$62))+IF('01_Input'!$X$62="Forfait",IF(AG$20&gt;='01_Input'!$V$62,'01_Input'!$Y$62,0),IF('01_Input'!$X$62="Palier",IF(AND(AG$20&gt;='01_Input'!$V$62,AG$20&lt;'01_Input'!$W$62),'01_Input'!$Y$62,0),MAX(MIN(AG$20,'01_Input'!$W$62)-'01_Input'!$V$62,0)*'01_Input'!$Y$62))+IF('01_Input'!$AB$62="Forfait",IF(AG$20&gt;='01_Input'!$Z$62,'01_Input'!$AC$62,0),IF('01_Input'!$AB$62="Palier",IF(AND(AG$20&gt;='01_Input'!$Z$62,AG$20&lt;'01_Input'!$AA$62),'01_Input'!$AC$62,0),MAX(MIN(AG$20,'01_Input'!$AA$62)-'01_Input'!$Z$62,0)*'01_Input'!$AC$62)))))))))</f>
        <v>0</v>
      </c>
      <c r="AH30" s="83">
        <f>IF('01_Input'!$C$62="Non",0,MIN('01_Input'!$I$62,MAX('01_Input'!$H$62,IF('01_Input'!$G$62="Résiduel vs Gestion",0,IF('01_Input'!$G$62="Taux Classe sélectionnée",Distrib_Global_Classe_Selectionnee*AH$20,IF('01_Input'!$G$62="Frais KYC (paliers de 100M€)",MAX(0,Nb_Investisseurs-Nb_KYC_Gratuites_Par_Tranche*(FLOOR(AH$20/Taille_Tranche_KYC,1)+1))*Cout_Par_KYC_Supplementaire,(IF('01_Input'!$L$62="Forfait",IF(AH$20&gt;='01_Input'!$J$62,'01_Input'!$M$62,0),IF('01_Input'!$L$62="Palier",IF(AND(AH$20&gt;='01_Input'!$J$62,AH$20&lt;'01_Input'!$K$62),'01_Input'!$M$62,0),MAX(MIN(AH$20,'01_Input'!$K$62)-'01_Input'!$J$62,0)*'01_Input'!$M$62))+IF('01_Input'!$P$62="Forfait",IF(AH$20&gt;='01_Input'!$N$62,'01_Input'!$Q$62,0),IF('01_Input'!$P$62="Palier",IF(AND(AH$20&gt;='01_Input'!$N$62,AH$20&lt;'01_Input'!$O$62),'01_Input'!$Q$62,0),MAX(MIN(AH$20,'01_Input'!$O$62)-'01_Input'!$N$62,0)*'01_Input'!$Q$62))+IF('01_Input'!$T$62="Forfait",IF(AH$20&gt;='01_Input'!$R$62,'01_Input'!$U$62,0),IF('01_Input'!$T$62="Palier",IF(AND(AH$20&gt;='01_Input'!$R$62,AH$20&lt;'01_Input'!$S$62),'01_Input'!$U$62,0),MAX(MIN(AH$20,'01_Input'!$S$62)-'01_Input'!$R$62,0)*'01_Input'!$U$62))+IF('01_Input'!$X$62="Forfait",IF(AH$20&gt;='01_Input'!$V$62,'01_Input'!$Y$62,0),IF('01_Input'!$X$62="Palier",IF(AND(AH$20&gt;='01_Input'!$V$62,AH$20&lt;'01_Input'!$W$62),'01_Input'!$Y$62,0),MAX(MIN(AH$20,'01_Input'!$W$62)-'01_Input'!$V$62,0)*'01_Input'!$Y$62))+IF('01_Input'!$AB$62="Forfait",IF(AH$20&gt;='01_Input'!$Z$62,'01_Input'!$AC$62,0),IF('01_Input'!$AB$62="Palier",IF(AND(AH$20&gt;='01_Input'!$Z$62,AH$20&lt;'01_Input'!$AA$62),'01_Input'!$AC$62,0),MAX(MIN(AH$20,'01_Input'!$AA$62)-'01_Input'!$Z$62,0)*'01_Input'!$AC$62)))))))))</f>
        <v>0</v>
      </c>
      <c r="AI30" s="83">
        <f>IF('01_Input'!$C$62="Non",0,MIN('01_Input'!$I$62,MAX('01_Input'!$H$62,IF('01_Input'!$G$62="Résiduel vs Gestion",0,IF('01_Input'!$G$62="Taux Classe sélectionnée",Distrib_Global_Classe_Selectionnee*AI$20,IF('01_Input'!$G$62="Frais KYC (paliers de 100M€)",MAX(0,Nb_Investisseurs-Nb_KYC_Gratuites_Par_Tranche*(FLOOR(AI$20/Taille_Tranche_KYC,1)+1))*Cout_Par_KYC_Supplementaire,(IF('01_Input'!$L$62="Forfait",IF(AI$20&gt;='01_Input'!$J$62,'01_Input'!$M$62,0),IF('01_Input'!$L$62="Palier",IF(AND(AI$20&gt;='01_Input'!$J$62,AI$20&lt;'01_Input'!$K$62),'01_Input'!$M$62,0),MAX(MIN(AI$20,'01_Input'!$K$62)-'01_Input'!$J$62,0)*'01_Input'!$M$62))+IF('01_Input'!$P$62="Forfait",IF(AI$20&gt;='01_Input'!$N$62,'01_Input'!$Q$62,0),IF('01_Input'!$P$62="Palier",IF(AND(AI$20&gt;='01_Input'!$N$62,AI$20&lt;'01_Input'!$O$62),'01_Input'!$Q$62,0),MAX(MIN(AI$20,'01_Input'!$O$62)-'01_Input'!$N$62,0)*'01_Input'!$Q$62))+IF('01_Input'!$T$62="Forfait",IF(AI$20&gt;='01_Input'!$R$62,'01_Input'!$U$62,0),IF('01_Input'!$T$62="Palier",IF(AND(AI$20&gt;='01_Input'!$R$62,AI$20&lt;'01_Input'!$S$62),'01_Input'!$U$62,0),MAX(MIN(AI$20,'01_Input'!$S$62)-'01_Input'!$R$62,0)*'01_Input'!$U$62))+IF('01_Input'!$X$62="Forfait",IF(AI$20&gt;='01_Input'!$V$62,'01_Input'!$Y$62,0),IF('01_Input'!$X$62="Palier",IF(AND(AI$20&gt;='01_Input'!$V$62,AI$20&lt;'01_Input'!$W$62),'01_Input'!$Y$62,0),MAX(MIN(AI$20,'01_Input'!$W$62)-'01_Input'!$V$62,0)*'01_Input'!$Y$62))+IF('01_Input'!$AB$62="Forfait",IF(AI$20&gt;='01_Input'!$Z$62,'01_Input'!$AC$62,0),IF('01_Input'!$AB$62="Palier",IF(AND(AI$20&gt;='01_Input'!$Z$62,AI$20&lt;'01_Input'!$AA$62),'01_Input'!$AC$62,0),MAX(MIN(AI$20,'01_Input'!$AA$62)-'01_Input'!$Z$62,0)*'01_Input'!$AC$62)))))))))</f>
        <v>0</v>
      </c>
      <c r="AJ30" s="83">
        <f>IF('01_Input'!$C$62="Non",0,MIN('01_Input'!$I$62,MAX('01_Input'!$H$62,IF('01_Input'!$G$62="Résiduel vs Gestion",0,IF('01_Input'!$G$62="Taux Classe sélectionnée",Distrib_Global_Classe_Selectionnee*AJ$20,IF('01_Input'!$G$62="Frais KYC (paliers de 100M€)",MAX(0,Nb_Investisseurs-Nb_KYC_Gratuites_Par_Tranche*(FLOOR(AJ$20/Taille_Tranche_KYC,1)+1))*Cout_Par_KYC_Supplementaire,(IF('01_Input'!$L$62="Forfait",IF(AJ$20&gt;='01_Input'!$J$62,'01_Input'!$M$62,0),IF('01_Input'!$L$62="Palier",IF(AND(AJ$20&gt;='01_Input'!$J$62,AJ$20&lt;'01_Input'!$K$62),'01_Input'!$M$62,0),MAX(MIN(AJ$20,'01_Input'!$K$62)-'01_Input'!$J$62,0)*'01_Input'!$M$62))+IF('01_Input'!$P$62="Forfait",IF(AJ$20&gt;='01_Input'!$N$62,'01_Input'!$Q$62,0),IF('01_Input'!$P$62="Palier",IF(AND(AJ$20&gt;='01_Input'!$N$62,AJ$20&lt;'01_Input'!$O$62),'01_Input'!$Q$62,0),MAX(MIN(AJ$20,'01_Input'!$O$62)-'01_Input'!$N$62,0)*'01_Input'!$Q$62))+IF('01_Input'!$T$62="Forfait",IF(AJ$20&gt;='01_Input'!$R$62,'01_Input'!$U$62,0),IF('01_Input'!$T$62="Palier",IF(AND(AJ$20&gt;='01_Input'!$R$62,AJ$20&lt;'01_Input'!$S$62),'01_Input'!$U$62,0),MAX(MIN(AJ$20,'01_Input'!$S$62)-'01_Input'!$R$62,0)*'01_Input'!$U$62))+IF('01_Input'!$X$62="Forfait",IF(AJ$20&gt;='01_Input'!$V$62,'01_Input'!$Y$62,0),IF('01_Input'!$X$62="Palier",IF(AND(AJ$20&gt;='01_Input'!$V$62,AJ$20&lt;'01_Input'!$W$62),'01_Input'!$Y$62,0),MAX(MIN(AJ$20,'01_Input'!$W$62)-'01_Input'!$V$62,0)*'01_Input'!$Y$62))+IF('01_Input'!$AB$62="Forfait",IF(AJ$20&gt;='01_Input'!$Z$62,'01_Input'!$AC$62,0),IF('01_Input'!$AB$62="Palier",IF(AND(AJ$20&gt;='01_Input'!$Z$62,AJ$20&lt;'01_Input'!$AA$62),'01_Input'!$AC$62,0),MAX(MIN(AJ$20,'01_Input'!$AA$62)-'01_Input'!$Z$62,0)*'01_Input'!$AC$62)))))))))</f>
        <v>0</v>
      </c>
      <c r="AK30" s="83">
        <f>IF('01_Input'!$C$62="Non",0,MIN('01_Input'!$I$62,MAX('01_Input'!$H$62,IF('01_Input'!$G$62="Résiduel vs Gestion",0,IF('01_Input'!$G$62="Taux Classe sélectionnée",Distrib_Global_Classe_Selectionnee*AK$20,IF('01_Input'!$G$62="Frais KYC (paliers de 100M€)",MAX(0,Nb_Investisseurs-Nb_KYC_Gratuites_Par_Tranche*(FLOOR(AK$20/Taille_Tranche_KYC,1)+1))*Cout_Par_KYC_Supplementaire,(IF('01_Input'!$L$62="Forfait",IF(AK$20&gt;='01_Input'!$J$62,'01_Input'!$M$62,0),IF('01_Input'!$L$62="Palier",IF(AND(AK$20&gt;='01_Input'!$J$62,AK$20&lt;'01_Input'!$K$62),'01_Input'!$M$62,0),MAX(MIN(AK$20,'01_Input'!$K$62)-'01_Input'!$J$62,0)*'01_Input'!$M$62))+IF('01_Input'!$P$62="Forfait",IF(AK$20&gt;='01_Input'!$N$62,'01_Input'!$Q$62,0),IF('01_Input'!$P$62="Palier",IF(AND(AK$20&gt;='01_Input'!$N$62,AK$20&lt;'01_Input'!$O$62),'01_Input'!$Q$62,0),MAX(MIN(AK$20,'01_Input'!$O$62)-'01_Input'!$N$62,0)*'01_Input'!$Q$62))+IF('01_Input'!$T$62="Forfait",IF(AK$20&gt;='01_Input'!$R$62,'01_Input'!$U$62,0),IF('01_Input'!$T$62="Palier",IF(AND(AK$20&gt;='01_Input'!$R$62,AK$20&lt;'01_Input'!$S$62),'01_Input'!$U$62,0),MAX(MIN(AK$20,'01_Input'!$S$62)-'01_Input'!$R$62,0)*'01_Input'!$U$62))+IF('01_Input'!$X$62="Forfait",IF(AK$20&gt;='01_Input'!$V$62,'01_Input'!$Y$62,0),IF('01_Input'!$X$62="Palier",IF(AND(AK$20&gt;='01_Input'!$V$62,AK$20&lt;'01_Input'!$W$62),'01_Input'!$Y$62,0),MAX(MIN(AK$20,'01_Input'!$W$62)-'01_Input'!$V$62,0)*'01_Input'!$Y$62))+IF('01_Input'!$AB$62="Forfait",IF(AK$20&gt;='01_Input'!$Z$62,'01_Input'!$AC$62,0),IF('01_Input'!$AB$62="Palier",IF(AND(AK$20&gt;='01_Input'!$Z$62,AK$20&lt;'01_Input'!$AA$62),'01_Input'!$AC$62,0),MAX(MIN(AK$20,'01_Input'!$AA$62)-'01_Input'!$Z$62,0)*'01_Input'!$AC$62)))))))))</f>
        <v>0</v>
      </c>
      <c r="AL30" s="83">
        <f>IF('01_Input'!$C$62="Non",0,MIN('01_Input'!$I$62,MAX('01_Input'!$H$62,IF('01_Input'!$G$62="Résiduel vs Gestion",0,IF('01_Input'!$G$62="Taux Classe sélectionnée",Distrib_Global_Classe_Selectionnee*AL$20,IF('01_Input'!$G$62="Frais KYC (paliers de 100M€)",MAX(0,Nb_Investisseurs-Nb_KYC_Gratuites_Par_Tranche*(FLOOR(AL$20/Taille_Tranche_KYC,1)+1))*Cout_Par_KYC_Supplementaire,(IF('01_Input'!$L$62="Forfait",IF(AL$20&gt;='01_Input'!$J$62,'01_Input'!$M$62,0),IF('01_Input'!$L$62="Palier",IF(AND(AL$20&gt;='01_Input'!$J$62,AL$20&lt;'01_Input'!$K$62),'01_Input'!$M$62,0),MAX(MIN(AL$20,'01_Input'!$K$62)-'01_Input'!$J$62,0)*'01_Input'!$M$62))+IF('01_Input'!$P$62="Forfait",IF(AL$20&gt;='01_Input'!$N$62,'01_Input'!$Q$62,0),IF('01_Input'!$P$62="Palier",IF(AND(AL$20&gt;='01_Input'!$N$62,AL$20&lt;'01_Input'!$O$62),'01_Input'!$Q$62,0),MAX(MIN(AL$20,'01_Input'!$O$62)-'01_Input'!$N$62,0)*'01_Input'!$Q$62))+IF('01_Input'!$T$62="Forfait",IF(AL$20&gt;='01_Input'!$R$62,'01_Input'!$U$62,0),IF('01_Input'!$T$62="Palier",IF(AND(AL$20&gt;='01_Input'!$R$62,AL$20&lt;'01_Input'!$S$62),'01_Input'!$U$62,0),MAX(MIN(AL$20,'01_Input'!$S$62)-'01_Input'!$R$62,0)*'01_Input'!$U$62))+IF('01_Input'!$X$62="Forfait",IF(AL$20&gt;='01_Input'!$V$62,'01_Input'!$Y$62,0),IF('01_Input'!$X$62="Palier",IF(AND(AL$20&gt;='01_Input'!$V$62,AL$20&lt;'01_Input'!$W$62),'01_Input'!$Y$62,0),MAX(MIN(AL$20,'01_Input'!$W$62)-'01_Input'!$V$62,0)*'01_Input'!$Y$62))+IF('01_Input'!$AB$62="Forfait",IF(AL$20&gt;='01_Input'!$Z$62,'01_Input'!$AC$62,0),IF('01_Input'!$AB$62="Palier",IF(AND(AL$20&gt;='01_Input'!$Z$62,AL$20&lt;'01_Input'!$AA$62),'01_Input'!$AC$62,0),MAX(MIN(AL$20,'01_Input'!$AA$62)-'01_Input'!$Z$62,0)*'01_Input'!$AC$62)))))))))</f>
        <v>0</v>
      </c>
      <c r="AM30" s="83">
        <f>IF('01_Input'!$C$62="Non",0,MIN('01_Input'!$I$62,MAX('01_Input'!$H$62,IF('01_Input'!$G$62="Résiduel vs Gestion",0,IF('01_Input'!$G$62="Taux Classe sélectionnée",Distrib_Global_Classe_Selectionnee*AM$20,IF('01_Input'!$G$62="Frais KYC (paliers de 100M€)",MAX(0,Nb_Investisseurs-Nb_KYC_Gratuites_Par_Tranche*(FLOOR(AM$20/Taille_Tranche_KYC,1)+1))*Cout_Par_KYC_Supplementaire,(IF('01_Input'!$L$62="Forfait",IF(AM$20&gt;='01_Input'!$J$62,'01_Input'!$M$62,0),IF('01_Input'!$L$62="Palier",IF(AND(AM$20&gt;='01_Input'!$J$62,AM$20&lt;'01_Input'!$K$62),'01_Input'!$M$62,0),MAX(MIN(AM$20,'01_Input'!$K$62)-'01_Input'!$J$62,0)*'01_Input'!$M$62))+IF('01_Input'!$P$62="Forfait",IF(AM$20&gt;='01_Input'!$N$62,'01_Input'!$Q$62,0),IF('01_Input'!$P$62="Palier",IF(AND(AM$20&gt;='01_Input'!$N$62,AM$20&lt;'01_Input'!$O$62),'01_Input'!$Q$62,0),MAX(MIN(AM$20,'01_Input'!$O$62)-'01_Input'!$N$62,0)*'01_Input'!$Q$62))+IF('01_Input'!$T$62="Forfait",IF(AM$20&gt;='01_Input'!$R$62,'01_Input'!$U$62,0),IF('01_Input'!$T$62="Palier",IF(AND(AM$20&gt;='01_Input'!$R$62,AM$20&lt;'01_Input'!$S$62),'01_Input'!$U$62,0),MAX(MIN(AM$20,'01_Input'!$S$62)-'01_Input'!$R$62,0)*'01_Input'!$U$62))+IF('01_Input'!$X$62="Forfait",IF(AM$20&gt;='01_Input'!$V$62,'01_Input'!$Y$62,0),IF('01_Input'!$X$62="Palier",IF(AND(AM$20&gt;='01_Input'!$V$62,AM$20&lt;'01_Input'!$W$62),'01_Input'!$Y$62,0),MAX(MIN(AM$20,'01_Input'!$W$62)-'01_Input'!$V$62,0)*'01_Input'!$Y$62))+IF('01_Input'!$AB$62="Forfait",IF(AM$20&gt;='01_Input'!$Z$62,'01_Input'!$AC$62,0),IF('01_Input'!$AB$62="Palier",IF(AND(AM$20&gt;='01_Input'!$Z$62,AM$20&lt;'01_Input'!$AA$62),'01_Input'!$AC$62,0),MAX(MIN(AM$20,'01_Input'!$AA$62)-'01_Input'!$Z$62,0)*'01_Input'!$AC$62)))))))))</f>
        <v>0</v>
      </c>
      <c r="AN30" s="83">
        <f>IF('01_Input'!$C$62="Non",0,MIN('01_Input'!$I$62,MAX('01_Input'!$H$62,IF('01_Input'!$G$62="Résiduel vs Gestion",0,IF('01_Input'!$G$62="Taux Classe sélectionnée",Distrib_Global_Classe_Selectionnee*AN$20,IF('01_Input'!$G$62="Frais KYC (paliers de 100M€)",MAX(0,Nb_Investisseurs-Nb_KYC_Gratuites_Par_Tranche*(FLOOR(AN$20/Taille_Tranche_KYC,1)+1))*Cout_Par_KYC_Supplementaire,(IF('01_Input'!$L$62="Forfait",IF(AN$20&gt;='01_Input'!$J$62,'01_Input'!$M$62,0),IF('01_Input'!$L$62="Palier",IF(AND(AN$20&gt;='01_Input'!$J$62,AN$20&lt;'01_Input'!$K$62),'01_Input'!$M$62,0),MAX(MIN(AN$20,'01_Input'!$K$62)-'01_Input'!$J$62,0)*'01_Input'!$M$62))+IF('01_Input'!$P$62="Forfait",IF(AN$20&gt;='01_Input'!$N$62,'01_Input'!$Q$62,0),IF('01_Input'!$P$62="Palier",IF(AND(AN$20&gt;='01_Input'!$N$62,AN$20&lt;'01_Input'!$O$62),'01_Input'!$Q$62,0),MAX(MIN(AN$20,'01_Input'!$O$62)-'01_Input'!$N$62,0)*'01_Input'!$Q$62))+IF('01_Input'!$T$62="Forfait",IF(AN$20&gt;='01_Input'!$R$62,'01_Input'!$U$62,0),IF('01_Input'!$T$62="Palier",IF(AND(AN$20&gt;='01_Input'!$R$62,AN$20&lt;'01_Input'!$S$62),'01_Input'!$U$62,0),MAX(MIN(AN$20,'01_Input'!$S$62)-'01_Input'!$R$62,0)*'01_Input'!$U$62))+IF('01_Input'!$X$62="Forfait",IF(AN$20&gt;='01_Input'!$V$62,'01_Input'!$Y$62,0),IF('01_Input'!$X$62="Palier",IF(AND(AN$20&gt;='01_Input'!$V$62,AN$20&lt;'01_Input'!$W$62),'01_Input'!$Y$62,0),MAX(MIN(AN$20,'01_Input'!$W$62)-'01_Input'!$V$62,0)*'01_Input'!$Y$62))+IF('01_Input'!$AB$62="Forfait",IF(AN$20&gt;='01_Input'!$Z$62,'01_Input'!$AC$62,0),IF('01_Input'!$AB$62="Palier",IF(AND(AN$20&gt;='01_Input'!$Z$62,AN$20&lt;'01_Input'!$AA$62),'01_Input'!$AC$62,0),MAX(MIN(AN$20,'01_Input'!$AA$62)-'01_Input'!$Z$62,0)*'01_Input'!$AC$62)))))))))</f>
        <v>0</v>
      </c>
      <c r="AO30" s="83">
        <f>IF('01_Input'!$C$62="Non",0,MIN('01_Input'!$I$62,MAX('01_Input'!$H$62,IF('01_Input'!$G$62="Résiduel vs Gestion",0,IF('01_Input'!$G$62="Taux Classe sélectionnée",Distrib_Global_Classe_Selectionnee*AO$20,IF('01_Input'!$G$62="Frais KYC (paliers de 100M€)",MAX(0,Nb_Investisseurs-Nb_KYC_Gratuites_Par_Tranche*(FLOOR(AO$20/Taille_Tranche_KYC,1)+1))*Cout_Par_KYC_Supplementaire,(IF('01_Input'!$L$62="Forfait",IF(AO$20&gt;='01_Input'!$J$62,'01_Input'!$M$62,0),IF('01_Input'!$L$62="Palier",IF(AND(AO$20&gt;='01_Input'!$J$62,AO$20&lt;'01_Input'!$K$62),'01_Input'!$M$62,0),MAX(MIN(AO$20,'01_Input'!$K$62)-'01_Input'!$J$62,0)*'01_Input'!$M$62))+IF('01_Input'!$P$62="Forfait",IF(AO$20&gt;='01_Input'!$N$62,'01_Input'!$Q$62,0),IF('01_Input'!$P$62="Palier",IF(AND(AO$20&gt;='01_Input'!$N$62,AO$20&lt;'01_Input'!$O$62),'01_Input'!$Q$62,0),MAX(MIN(AO$20,'01_Input'!$O$62)-'01_Input'!$N$62,0)*'01_Input'!$Q$62))+IF('01_Input'!$T$62="Forfait",IF(AO$20&gt;='01_Input'!$R$62,'01_Input'!$U$62,0),IF('01_Input'!$T$62="Palier",IF(AND(AO$20&gt;='01_Input'!$R$62,AO$20&lt;'01_Input'!$S$62),'01_Input'!$U$62,0),MAX(MIN(AO$20,'01_Input'!$S$62)-'01_Input'!$R$62,0)*'01_Input'!$U$62))+IF('01_Input'!$X$62="Forfait",IF(AO$20&gt;='01_Input'!$V$62,'01_Input'!$Y$62,0),IF('01_Input'!$X$62="Palier",IF(AND(AO$20&gt;='01_Input'!$V$62,AO$20&lt;'01_Input'!$W$62),'01_Input'!$Y$62,0),MAX(MIN(AO$20,'01_Input'!$W$62)-'01_Input'!$V$62,0)*'01_Input'!$Y$62))+IF('01_Input'!$AB$62="Forfait",IF(AO$20&gt;='01_Input'!$Z$62,'01_Input'!$AC$62,0),IF('01_Input'!$AB$62="Palier",IF(AND(AO$20&gt;='01_Input'!$Z$62,AO$20&lt;'01_Input'!$AA$62),'01_Input'!$AC$62,0),MAX(MIN(AO$20,'01_Input'!$AA$62)-'01_Input'!$Z$62,0)*'01_Input'!$AC$62)))))))))</f>
        <v>0</v>
      </c>
      <c r="AP30" s="83">
        <f>IF('01_Input'!$C$62="Non",0,MIN('01_Input'!$I$62,MAX('01_Input'!$H$62,IF('01_Input'!$G$62="Résiduel vs Gestion",0,IF('01_Input'!$G$62="Taux Classe sélectionnée",Distrib_Global_Classe_Selectionnee*AP$20,IF('01_Input'!$G$62="Frais KYC (paliers de 100M€)",MAX(0,Nb_Investisseurs-Nb_KYC_Gratuites_Par_Tranche*(FLOOR(AP$20/Taille_Tranche_KYC,1)+1))*Cout_Par_KYC_Supplementaire,(IF('01_Input'!$L$62="Forfait",IF(AP$20&gt;='01_Input'!$J$62,'01_Input'!$M$62,0),IF('01_Input'!$L$62="Palier",IF(AND(AP$20&gt;='01_Input'!$J$62,AP$20&lt;'01_Input'!$K$62),'01_Input'!$M$62,0),MAX(MIN(AP$20,'01_Input'!$K$62)-'01_Input'!$J$62,0)*'01_Input'!$M$62))+IF('01_Input'!$P$62="Forfait",IF(AP$20&gt;='01_Input'!$N$62,'01_Input'!$Q$62,0),IF('01_Input'!$P$62="Palier",IF(AND(AP$20&gt;='01_Input'!$N$62,AP$20&lt;'01_Input'!$O$62),'01_Input'!$Q$62,0),MAX(MIN(AP$20,'01_Input'!$O$62)-'01_Input'!$N$62,0)*'01_Input'!$Q$62))+IF('01_Input'!$T$62="Forfait",IF(AP$20&gt;='01_Input'!$R$62,'01_Input'!$U$62,0),IF('01_Input'!$T$62="Palier",IF(AND(AP$20&gt;='01_Input'!$R$62,AP$20&lt;'01_Input'!$S$62),'01_Input'!$U$62,0),MAX(MIN(AP$20,'01_Input'!$S$62)-'01_Input'!$R$62,0)*'01_Input'!$U$62))+IF('01_Input'!$X$62="Forfait",IF(AP$20&gt;='01_Input'!$V$62,'01_Input'!$Y$62,0),IF('01_Input'!$X$62="Palier",IF(AND(AP$20&gt;='01_Input'!$V$62,AP$20&lt;'01_Input'!$W$62),'01_Input'!$Y$62,0),MAX(MIN(AP$20,'01_Input'!$W$62)-'01_Input'!$V$62,0)*'01_Input'!$Y$62))+IF('01_Input'!$AB$62="Forfait",IF(AP$20&gt;='01_Input'!$Z$62,'01_Input'!$AC$62,0),IF('01_Input'!$AB$62="Palier",IF(AND(AP$20&gt;='01_Input'!$Z$62,AP$20&lt;'01_Input'!$AA$62),'01_Input'!$AC$62,0),MAX(MIN(AP$20,'01_Input'!$AA$62)-'01_Input'!$Z$62,0)*'01_Input'!$AC$62)))))))))</f>
        <v>0</v>
      </c>
      <c r="AQ30" s="83">
        <f>IF('01_Input'!$C$62="Non",0,MIN('01_Input'!$I$62,MAX('01_Input'!$H$62,IF('01_Input'!$G$62="Résiduel vs Gestion",0,IF('01_Input'!$G$62="Taux Classe sélectionnée",Distrib_Global_Classe_Selectionnee*AQ$20,IF('01_Input'!$G$62="Frais KYC (paliers de 100M€)",MAX(0,Nb_Investisseurs-Nb_KYC_Gratuites_Par_Tranche*(FLOOR(AQ$20/Taille_Tranche_KYC,1)+1))*Cout_Par_KYC_Supplementaire,(IF('01_Input'!$L$62="Forfait",IF(AQ$20&gt;='01_Input'!$J$62,'01_Input'!$M$62,0),IF('01_Input'!$L$62="Palier",IF(AND(AQ$20&gt;='01_Input'!$J$62,AQ$20&lt;'01_Input'!$K$62),'01_Input'!$M$62,0),MAX(MIN(AQ$20,'01_Input'!$K$62)-'01_Input'!$J$62,0)*'01_Input'!$M$62))+IF('01_Input'!$P$62="Forfait",IF(AQ$20&gt;='01_Input'!$N$62,'01_Input'!$Q$62,0),IF('01_Input'!$P$62="Palier",IF(AND(AQ$20&gt;='01_Input'!$N$62,AQ$20&lt;'01_Input'!$O$62),'01_Input'!$Q$62,0),MAX(MIN(AQ$20,'01_Input'!$O$62)-'01_Input'!$N$62,0)*'01_Input'!$Q$62))+IF('01_Input'!$T$62="Forfait",IF(AQ$20&gt;='01_Input'!$R$62,'01_Input'!$U$62,0),IF('01_Input'!$T$62="Palier",IF(AND(AQ$20&gt;='01_Input'!$R$62,AQ$20&lt;'01_Input'!$S$62),'01_Input'!$U$62,0),MAX(MIN(AQ$20,'01_Input'!$S$62)-'01_Input'!$R$62,0)*'01_Input'!$U$62))+IF('01_Input'!$X$62="Forfait",IF(AQ$20&gt;='01_Input'!$V$62,'01_Input'!$Y$62,0),IF('01_Input'!$X$62="Palier",IF(AND(AQ$20&gt;='01_Input'!$V$62,AQ$20&lt;'01_Input'!$W$62),'01_Input'!$Y$62,0),MAX(MIN(AQ$20,'01_Input'!$W$62)-'01_Input'!$V$62,0)*'01_Input'!$Y$62))+IF('01_Input'!$AB$62="Forfait",IF(AQ$20&gt;='01_Input'!$Z$62,'01_Input'!$AC$62,0),IF('01_Input'!$AB$62="Palier",IF(AND(AQ$20&gt;='01_Input'!$Z$62,AQ$20&lt;'01_Input'!$AA$62),'01_Input'!$AC$62,0),MAX(MIN(AQ$20,'01_Input'!$AA$62)-'01_Input'!$Z$62,0)*'01_Input'!$AC$62)))))))))</f>
        <v>0</v>
      </c>
      <c r="AR30" s="83">
        <f>IF('01_Input'!$C$62="Non",0,MIN('01_Input'!$I$62,MAX('01_Input'!$H$62,IF('01_Input'!$G$62="Résiduel vs Gestion",0,IF('01_Input'!$G$62="Taux Classe sélectionnée",Distrib_Global_Classe_Selectionnee*AR$20,IF('01_Input'!$G$62="Frais KYC (paliers de 100M€)",MAX(0,Nb_Investisseurs-Nb_KYC_Gratuites_Par_Tranche*(FLOOR(AR$20/Taille_Tranche_KYC,1)+1))*Cout_Par_KYC_Supplementaire,(IF('01_Input'!$L$62="Forfait",IF(AR$20&gt;='01_Input'!$J$62,'01_Input'!$M$62,0),IF('01_Input'!$L$62="Palier",IF(AND(AR$20&gt;='01_Input'!$J$62,AR$20&lt;'01_Input'!$K$62),'01_Input'!$M$62,0),MAX(MIN(AR$20,'01_Input'!$K$62)-'01_Input'!$J$62,0)*'01_Input'!$M$62))+IF('01_Input'!$P$62="Forfait",IF(AR$20&gt;='01_Input'!$N$62,'01_Input'!$Q$62,0),IF('01_Input'!$P$62="Palier",IF(AND(AR$20&gt;='01_Input'!$N$62,AR$20&lt;'01_Input'!$O$62),'01_Input'!$Q$62,0),MAX(MIN(AR$20,'01_Input'!$O$62)-'01_Input'!$N$62,0)*'01_Input'!$Q$62))+IF('01_Input'!$T$62="Forfait",IF(AR$20&gt;='01_Input'!$R$62,'01_Input'!$U$62,0),IF('01_Input'!$T$62="Palier",IF(AND(AR$20&gt;='01_Input'!$R$62,AR$20&lt;'01_Input'!$S$62),'01_Input'!$U$62,0),MAX(MIN(AR$20,'01_Input'!$S$62)-'01_Input'!$R$62,0)*'01_Input'!$U$62))+IF('01_Input'!$X$62="Forfait",IF(AR$20&gt;='01_Input'!$V$62,'01_Input'!$Y$62,0),IF('01_Input'!$X$62="Palier",IF(AND(AR$20&gt;='01_Input'!$V$62,AR$20&lt;'01_Input'!$W$62),'01_Input'!$Y$62,0),MAX(MIN(AR$20,'01_Input'!$W$62)-'01_Input'!$V$62,0)*'01_Input'!$Y$62))+IF('01_Input'!$AB$62="Forfait",IF(AR$20&gt;='01_Input'!$Z$62,'01_Input'!$AC$62,0),IF('01_Input'!$AB$62="Palier",IF(AND(AR$20&gt;='01_Input'!$Z$62,AR$20&lt;'01_Input'!$AA$62),'01_Input'!$AC$62,0),MAX(MIN(AR$20,'01_Input'!$AA$62)-'01_Input'!$Z$62,0)*'01_Input'!$AC$62)))))))))</f>
        <v>0</v>
      </c>
      <c r="AS30" s="83">
        <f>IF('01_Input'!$C$62="Non",0,MIN('01_Input'!$I$62,MAX('01_Input'!$H$62,IF('01_Input'!$G$62="Résiduel vs Gestion",0,IF('01_Input'!$G$62="Taux Classe sélectionnée",Distrib_Global_Classe_Selectionnee*AS$20,IF('01_Input'!$G$62="Frais KYC (paliers de 100M€)",MAX(0,Nb_Investisseurs-Nb_KYC_Gratuites_Par_Tranche*(FLOOR(AS$20/Taille_Tranche_KYC,1)+1))*Cout_Par_KYC_Supplementaire,(IF('01_Input'!$L$62="Forfait",IF(AS$20&gt;='01_Input'!$J$62,'01_Input'!$M$62,0),IF('01_Input'!$L$62="Palier",IF(AND(AS$20&gt;='01_Input'!$J$62,AS$20&lt;'01_Input'!$K$62),'01_Input'!$M$62,0),MAX(MIN(AS$20,'01_Input'!$K$62)-'01_Input'!$J$62,0)*'01_Input'!$M$62))+IF('01_Input'!$P$62="Forfait",IF(AS$20&gt;='01_Input'!$N$62,'01_Input'!$Q$62,0),IF('01_Input'!$P$62="Palier",IF(AND(AS$20&gt;='01_Input'!$N$62,AS$20&lt;'01_Input'!$O$62),'01_Input'!$Q$62,0),MAX(MIN(AS$20,'01_Input'!$O$62)-'01_Input'!$N$62,0)*'01_Input'!$Q$62))+IF('01_Input'!$T$62="Forfait",IF(AS$20&gt;='01_Input'!$R$62,'01_Input'!$U$62,0),IF('01_Input'!$T$62="Palier",IF(AND(AS$20&gt;='01_Input'!$R$62,AS$20&lt;'01_Input'!$S$62),'01_Input'!$U$62,0),MAX(MIN(AS$20,'01_Input'!$S$62)-'01_Input'!$R$62,0)*'01_Input'!$U$62))+IF('01_Input'!$X$62="Forfait",IF(AS$20&gt;='01_Input'!$V$62,'01_Input'!$Y$62,0),IF('01_Input'!$X$62="Palier",IF(AND(AS$20&gt;='01_Input'!$V$62,AS$20&lt;'01_Input'!$W$62),'01_Input'!$Y$62,0),MAX(MIN(AS$20,'01_Input'!$W$62)-'01_Input'!$V$62,0)*'01_Input'!$Y$62))+IF('01_Input'!$AB$62="Forfait",IF(AS$20&gt;='01_Input'!$Z$62,'01_Input'!$AC$62,0),IF('01_Input'!$AB$62="Palier",IF(AND(AS$20&gt;='01_Input'!$Z$62,AS$20&lt;'01_Input'!$AA$62),'01_Input'!$AC$62,0),MAX(MIN(AS$20,'01_Input'!$AA$62)-'01_Input'!$Z$62,0)*'01_Input'!$AC$62)))))))))</f>
        <v>0</v>
      </c>
      <c r="AT30" s="83">
        <f>IF('01_Input'!$C$62="Non",0,MIN('01_Input'!$I$62,MAX('01_Input'!$H$62,IF('01_Input'!$G$62="Résiduel vs Gestion",0,IF('01_Input'!$G$62="Taux Classe sélectionnée",Distrib_Global_Classe_Selectionnee*AT$20,IF('01_Input'!$G$62="Frais KYC (paliers de 100M€)",MAX(0,Nb_Investisseurs-Nb_KYC_Gratuites_Par_Tranche*(FLOOR(AT$20/Taille_Tranche_KYC,1)+1))*Cout_Par_KYC_Supplementaire,(IF('01_Input'!$L$62="Forfait",IF(AT$20&gt;='01_Input'!$J$62,'01_Input'!$M$62,0),IF('01_Input'!$L$62="Palier",IF(AND(AT$20&gt;='01_Input'!$J$62,AT$20&lt;'01_Input'!$K$62),'01_Input'!$M$62,0),MAX(MIN(AT$20,'01_Input'!$K$62)-'01_Input'!$J$62,0)*'01_Input'!$M$62))+IF('01_Input'!$P$62="Forfait",IF(AT$20&gt;='01_Input'!$N$62,'01_Input'!$Q$62,0),IF('01_Input'!$P$62="Palier",IF(AND(AT$20&gt;='01_Input'!$N$62,AT$20&lt;'01_Input'!$O$62),'01_Input'!$Q$62,0),MAX(MIN(AT$20,'01_Input'!$O$62)-'01_Input'!$N$62,0)*'01_Input'!$Q$62))+IF('01_Input'!$T$62="Forfait",IF(AT$20&gt;='01_Input'!$R$62,'01_Input'!$U$62,0),IF('01_Input'!$T$62="Palier",IF(AND(AT$20&gt;='01_Input'!$R$62,AT$20&lt;'01_Input'!$S$62),'01_Input'!$U$62,0),MAX(MIN(AT$20,'01_Input'!$S$62)-'01_Input'!$R$62,0)*'01_Input'!$U$62))+IF('01_Input'!$X$62="Forfait",IF(AT$20&gt;='01_Input'!$V$62,'01_Input'!$Y$62,0),IF('01_Input'!$X$62="Palier",IF(AND(AT$20&gt;='01_Input'!$V$62,AT$20&lt;'01_Input'!$W$62),'01_Input'!$Y$62,0),MAX(MIN(AT$20,'01_Input'!$W$62)-'01_Input'!$V$62,0)*'01_Input'!$Y$62))+IF('01_Input'!$AB$62="Forfait",IF(AT$20&gt;='01_Input'!$Z$62,'01_Input'!$AC$62,0),IF('01_Input'!$AB$62="Palier",IF(AND(AT$20&gt;='01_Input'!$Z$62,AT$20&lt;'01_Input'!$AA$62),'01_Input'!$AC$62,0),MAX(MIN(AT$20,'01_Input'!$AA$62)-'01_Input'!$Z$62,0)*'01_Input'!$AC$62)))))))))</f>
        <v>0</v>
      </c>
      <c r="AU30" s="83">
        <f>IF('01_Input'!$C$62="Non",0,MIN('01_Input'!$I$62,MAX('01_Input'!$H$62,IF('01_Input'!$G$62="Résiduel vs Gestion",0,IF('01_Input'!$G$62="Taux Classe sélectionnée",Distrib_Global_Classe_Selectionnee*AU$20,IF('01_Input'!$G$62="Frais KYC (paliers de 100M€)",MAX(0,Nb_Investisseurs-Nb_KYC_Gratuites_Par_Tranche*(FLOOR(AU$20/Taille_Tranche_KYC,1)+1))*Cout_Par_KYC_Supplementaire,(IF('01_Input'!$L$62="Forfait",IF(AU$20&gt;='01_Input'!$J$62,'01_Input'!$M$62,0),IF('01_Input'!$L$62="Palier",IF(AND(AU$20&gt;='01_Input'!$J$62,AU$20&lt;'01_Input'!$K$62),'01_Input'!$M$62,0),MAX(MIN(AU$20,'01_Input'!$K$62)-'01_Input'!$J$62,0)*'01_Input'!$M$62))+IF('01_Input'!$P$62="Forfait",IF(AU$20&gt;='01_Input'!$N$62,'01_Input'!$Q$62,0),IF('01_Input'!$P$62="Palier",IF(AND(AU$20&gt;='01_Input'!$N$62,AU$20&lt;'01_Input'!$O$62),'01_Input'!$Q$62,0),MAX(MIN(AU$20,'01_Input'!$O$62)-'01_Input'!$N$62,0)*'01_Input'!$Q$62))+IF('01_Input'!$T$62="Forfait",IF(AU$20&gt;='01_Input'!$R$62,'01_Input'!$U$62,0),IF('01_Input'!$T$62="Palier",IF(AND(AU$20&gt;='01_Input'!$R$62,AU$20&lt;'01_Input'!$S$62),'01_Input'!$U$62,0),MAX(MIN(AU$20,'01_Input'!$S$62)-'01_Input'!$R$62,0)*'01_Input'!$U$62))+IF('01_Input'!$X$62="Forfait",IF(AU$20&gt;='01_Input'!$V$62,'01_Input'!$Y$62,0),IF('01_Input'!$X$62="Palier",IF(AND(AU$20&gt;='01_Input'!$V$62,AU$20&lt;'01_Input'!$W$62),'01_Input'!$Y$62,0),MAX(MIN(AU$20,'01_Input'!$W$62)-'01_Input'!$V$62,0)*'01_Input'!$Y$62))+IF('01_Input'!$AB$62="Forfait",IF(AU$20&gt;='01_Input'!$Z$62,'01_Input'!$AC$62,0),IF('01_Input'!$AB$62="Palier",IF(AND(AU$20&gt;='01_Input'!$Z$62,AU$20&lt;'01_Input'!$AA$62),'01_Input'!$AC$62,0),MAX(MIN(AU$20,'01_Input'!$AA$62)-'01_Input'!$Z$62,0)*'01_Input'!$AC$62)))))))))</f>
        <v>0</v>
      </c>
      <c r="AV30" s="83">
        <f>IF('01_Input'!$C$62="Non",0,MIN('01_Input'!$I$62,MAX('01_Input'!$H$62,IF('01_Input'!$G$62="Résiduel vs Gestion",0,IF('01_Input'!$G$62="Taux Classe sélectionnée",Distrib_Global_Classe_Selectionnee*AV$20,IF('01_Input'!$G$62="Frais KYC (paliers de 100M€)",MAX(0,Nb_Investisseurs-Nb_KYC_Gratuites_Par_Tranche*(FLOOR(AV$20/Taille_Tranche_KYC,1)+1))*Cout_Par_KYC_Supplementaire,(IF('01_Input'!$L$62="Forfait",IF(AV$20&gt;='01_Input'!$J$62,'01_Input'!$M$62,0),IF('01_Input'!$L$62="Palier",IF(AND(AV$20&gt;='01_Input'!$J$62,AV$20&lt;'01_Input'!$K$62),'01_Input'!$M$62,0),MAX(MIN(AV$20,'01_Input'!$K$62)-'01_Input'!$J$62,0)*'01_Input'!$M$62))+IF('01_Input'!$P$62="Forfait",IF(AV$20&gt;='01_Input'!$N$62,'01_Input'!$Q$62,0),IF('01_Input'!$P$62="Palier",IF(AND(AV$20&gt;='01_Input'!$N$62,AV$20&lt;'01_Input'!$O$62),'01_Input'!$Q$62,0),MAX(MIN(AV$20,'01_Input'!$O$62)-'01_Input'!$N$62,0)*'01_Input'!$Q$62))+IF('01_Input'!$T$62="Forfait",IF(AV$20&gt;='01_Input'!$R$62,'01_Input'!$U$62,0),IF('01_Input'!$T$62="Palier",IF(AND(AV$20&gt;='01_Input'!$R$62,AV$20&lt;'01_Input'!$S$62),'01_Input'!$U$62,0),MAX(MIN(AV$20,'01_Input'!$S$62)-'01_Input'!$R$62,0)*'01_Input'!$U$62))+IF('01_Input'!$X$62="Forfait",IF(AV$20&gt;='01_Input'!$V$62,'01_Input'!$Y$62,0),IF('01_Input'!$X$62="Palier",IF(AND(AV$20&gt;='01_Input'!$V$62,AV$20&lt;'01_Input'!$W$62),'01_Input'!$Y$62,0),MAX(MIN(AV$20,'01_Input'!$W$62)-'01_Input'!$V$62,0)*'01_Input'!$Y$62))+IF('01_Input'!$AB$62="Forfait",IF(AV$20&gt;='01_Input'!$Z$62,'01_Input'!$AC$62,0),IF('01_Input'!$AB$62="Palier",IF(AND(AV$20&gt;='01_Input'!$Z$62,AV$20&lt;'01_Input'!$AA$62),'01_Input'!$AC$62,0),MAX(MIN(AV$20,'01_Input'!$AA$62)-'01_Input'!$Z$62,0)*'01_Input'!$AC$62)))))))))</f>
        <v>0</v>
      </c>
      <c r="AW30" s="83">
        <f>IF('01_Input'!$C$62="Non",0,MIN('01_Input'!$I$62,MAX('01_Input'!$H$62,IF('01_Input'!$G$62="Résiduel vs Gestion",0,IF('01_Input'!$G$62="Taux Classe sélectionnée",Distrib_Global_Classe_Selectionnee*AW$20,IF('01_Input'!$G$62="Frais KYC (paliers de 100M€)",MAX(0,Nb_Investisseurs-Nb_KYC_Gratuites_Par_Tranche*(FLOOR(AW$20/Taille_Tranche_KYC,1)+1))*Cout_Par_KYC_Supplementaire,(IF('01_Input'!$L$62="Forfait",IF(AW$20&gt;='01_Input'!$J$62,'01_Input'!$M$62,0),IF('01_Input'!$L$62="Palier",IF(AND(AW$20&gt;='01_Input'!$J$62,AW$20&lt;'01_Input'!$K$62),'01_Input'!$M$62,0),MAX(MIN(AW$20,'01_Input'!$K$62)-'01_Input'!$J$62,0)*'01_Input'!$M$62))+IF('01_Input'!$P$62="Forfait",IF(AW$20&gt;='01_Input'!$N$62,'01_Input'!$Q$62,0),IF('01_Input'!$P$62="Palier",IF(AND(AW$20&gt;='01_Input'!$N$62,AW$20&lt;'01_Input'!$O$62),'01_Input'!$Q$62,0),MAX(MIN(AW$20,'01_Input'!$O$62)-'01_Input'!$N$62,0)*'01_Input'!$Q$62))+IF('01_Input'!$T$62="Forfait",IF(AW$20&gt;='01_Input'!$R$62,'01_Input'!$U$62,0),IF('01_Input'!$T$62="Palier",IF(AND(AW$20&gt;='01_Input'!$R$62,AW$20&lt;'01_Input'!$S$62),'01_Input'!$U$62,0),MAX(MIN(AW$20,'01_Input'!$S$62)-'01_Input'!$R$62,0)*'01_Input'!$U$62))+IF('01_Input'!$X$62="Forfait",IF(AW$20&gt;='01_Input'!$V$62,'01_Input'!$Y$62,0),IF('01_Input'!$X$62="Palier",IF(AND(AW$20&gt;='01_Input'!$V$62,AW$20&lt;'01_Input'!$W$62),'01_Input'!$Y$62,0),MAX(MIN(AW$20,'01_Input'!$W$62)-'01_Input'!$V$62,0)*'01_Input'!$Y$62))+IF('01_Input'!$AB$62="Forfait",IF(AW$20&gt;='01_Input'!$Z$62,'01_Input'!$AC$62,0),IF('01_Input'!$AB$62="Palier",IF(AND(AW$20&gt;='01_Input'!$Z$62,AW$20&lt;'01_Input'!$AA$62),'01_Input'!$AC$62,0),MAX(MIN(AW$20,'01_Input'!$AA$62)-'01_Input'!$Z$62,0)*'01_Input'!$AC$62)))))))))</f>
        <v>0</v>
      </c>
      <c r="AX30" s="83">
        <f>IF('01_Input'!$C$62="Non",0,MIN('01_Input'!$I$62,MAX('01_Input'!$H$62,IF('01_Input'!$G$62="Résiduel vs Gestion",0,IF('01_Input'!$G$62="Taux Classe sélectionnée",Distrib_Global_Classe_Selectionnee*AX$20,IF('01_Input'!$G$62="Frais KYC (paliers de 100M€)",MAX(0,Nb_Investisseurs-Nb_KYC_Gratuites_Par_Tranche*(FLOOR(AX$20/Taille_Tranche_KYC,1)+1))*Cout_Par_KYC_Supplementaire,(IF('01_Input'!$L$62="Forfait",IF(AX$20&gt;='01_Input'!$J$62,'01_Input'!$M$62,0),IF('01_Input'!$L$62="Palier",IF(AND(AX$20&gt;='01_Input'!$J$62,AX$20&lt;'01_Input'!$K$62),'01_Input'!$M$62,0),MAX(MIN(AX$20,'01_Input'!$K$62)-'01_Input'!$J$62,0)*'01_Input'!$M$62))+IF('01_Input'!$P$62="Forfait",IF(AX$20&gt;='01_Input'!$N$62,'01_Input'!$Q$62,0),IF('01_Input'!$P$62="Palier",IF(AND(AX$20&gt;='01_Input'!$N$62,AX$20&lt;'01_Input'!$O$62),'01_Input'!$Q$62,0),MAX(MIN(AX$20,'01_Input'!$O$62)-'01_Input'!$N$62,0)*'01_Input'!$Q$62))+IF('01_Input'!$T$62="Forfait",IF(AX$20&gt;='01_Input'!$R$62,'01_Input'!$U$62,0),IF('01_Input'!$T$62="Palier",IF(AND(AX$20&gt;='01_Input'!$R$62,AX$20&lt;'01_Input'!$S$62),'01_Input'!$U$62,0),MAX(MIN(AX$20,'01_Input'!$S$62)-'01_Input'!$R$62,0)*'01_Input'!$U$62))+IF('01_Input'!$X$62="Forfait",IF(AX$20&gt;='01_Input'!$V$62,'01_Input'!$Y$62,0),IF('01_Input'!$X$62="Palier",IF(AND(AX$20&gt;='01_Input'!$V$62,AX$20&lt;'01_Input'!$W$62),'01_Input'!$Y$62,0),MAX(MIN(AX$20,'01_Input'!$W$62)-'01_Input'!$V$62,0)*'01_Input'!$Y$62))+IF('01_Input'!$AB$62="Forfait",IF(AX$20&gt;='01_Input'!$Z$62,'01_Input'!$AC$62,0),IF('01_Input'!$AB$62="Palier",IF(AND(AX$20&gt;='01_Input'!$Z$62,AX$20&lt;'01_Input'!$AA$62),'01_Input'!$AC$62,0),MAX(MIN(AX$20,'01_Input'!$AA$62)-'01_Input'!$Z$62,0)*'01_Input'!$AC$62)))))))))</f>
        <v>0</v>
      </c>
      <c r="AY30" s="83">
        <f>IF('01_Input'!$C$62="Non",0,MIN('01_Input'!$I$62,MAX('01_Input'!$H$62,IF('01_Input'!$G$62="Résiduel vs Gestion",0,IF('01_Input'!$G$62="Taux Classe sélectionnée",Distrib_Global_Classe_Selectionnee*AY$20,IF('01_Input'!$G$62="Frais KYC (paliers de 100M€)",MAX(0,Nb_Investisseurs-Nb_KYC_Gratuites_Par_Tranche*(FLOOR(AY$20/Taille_Tranche_KYC,1)+1))*Cout_Par_KYC_Supplementaire,(IF('01_Input'!$L$62="Forfait",IF(AY$20&gt;='01_Input'!$J$62,'01_Input'!$M$62,0),IF('01_Input'!$L$62="Palier",IF(AND(AY$20&gt;='01_Input'!$J$62,AY$20&lt;'01_Input'!$K$62),'01_Input'!$M$62,0),MAX(MIN(AY$20,'01_Input'!$K$62)-'01_Input'!$J$62,0)*'01_Input'!$M$62))+IF('01_Input'!$P$62="Forfait",IF(AY$20&gt;='01_Input'!$N$62,'01_Input'!$Q$62,0),IF('01_Input'!$P$62="Palier",IF(AND(AY$20&gt;='01_Input'!$N$62,AY$20&lt;'01_Input'!$O$62),'01_Input'!$Q$62,0),MAX(MIN(AY$20,'01_Input'!$O$62)-'01_Input'!$N$62,0)*'01_Input'!$Q$62))+IF('01_Input'!$T$62="Forfait",IF(AY$20&gt;='01_Input'!$R$62,'01_Input'!$U$62,0),IF('01_Input'!$T$62="Palier",IF(AND(AY$20&gt;='01_Input'!$R$62,AY$20&lt;'01_Input'!$S$62),'01_Input'!$U$62,0),MAX(MIN(AY$20,'01_Input'!$S$62)-'01_Input'!$R$62,0)*'01_Input'!$U$62))+IF('01_Input'!$X$62="Forfait",IF(AY$20&gt;='01_Input'!$V$62,'01_Input'!$Y$62,0),IF('01_Input'!$X$62="Palier",IF(AND(AY$20&gt;='01_Input'!$V$62,AY$20&lt;'01_Input'!$W$62),'01_Input'!$Y$62,0),MAX(MIN(AY$20,'01_Input'!$W$62)-'01_Input'!$V$62,0)*'01_Input'!$Y$62))+IF('01_Input'!$AB$62="Forfait",IF(AY$20&gt;='01_Input'!$Z$62,'01_Input'!$AC$62,0),IF('01_Input'!$AB$62="Palier",IF(AND(AY$20&gt;='01_Input'!$Z$62,AY$20&lt;'01_Input'!$AA$62),'01_Input'!$AC$62,0),MAX(MIN(AY$20,'01_Input'!$AA$62)-'01_Input'!$Z$62,0)*'01_Input'!$AC$62)))))))))</f>
        <v>0</v>
      </c>
      <c r="AZ30" s="83">
        <f>IF('01_Input'!$C$62="Non",0,MIN('01_Input'!$I$62,MAX('01_Input'!$H$62,IF('01_Input'!$G$62="Résiduel vs Gestion",0,IF('01_Input'!$G$62="Taux Classe sélectionnée",Distrib_Global_Classe_Selectionnee*AZ$20,IF('01_Input'!$G$62="Frais KYC (paliers de 100M€)",MAX(0,Nb_Investisseurs-Nb_KYC_Gratuites_Par_Tranche*(FLOOR(AZ$20/Taille_Tranche_KYC,1)+1))*Cout_Par_KYC_Supplementaire,(IF('01_Input'!$L$62="Forfait",IF(AZ$20&gt;='01_Input'!$J$62,'01_Input'!$M$62,0),IF('01_Input'!$L$62="Palier",IF(AND(AZ$20&gt;='01_Input'!$J$62,AZ$20&lt;'01_Input'!$K$62),'01_Input'!$M$62,0),MAX(MIN(AZ$20,'01_Input'!$K$62)-'01_Input'!$J$62,0)*'01_Input'!$M$62))+IF('01_Input'!$P$62="Forfait",IF(AZ$20&gt;='01_Input'!$N$62,'01_Input'!$Q$62,0),IF('01_Input'!$P$62="Palier",IF(AND(AZ$20&gt;='01_Input'!$N$62,AZ$20&lt;'01_Input'!$O$62),'01_Input'!$Q$62,0),MAX(MIN(AZ$20,'01_Input'!$O$62)-'01_Input'!$N$62,0)*'01_Input'!$Q$62))+IF('01_Input'!$T$62="Forfait",IF(AZ$20&gt;='01_Input'!$R$62,'01_Input'!$U$62,0),IF('01_Input'!$T$62="Palier",IF(AND(AZ$20&gt;='01_Input'!$R$62,AZ$20&lt;'01_Input'!$S$62),'01_Input'!$U$62,0),MAX(MIN(AZ$20,'01_Input'!$S$62)-'01_Input'!$R$62,0)*'01_Input'!$U$62))+IF('01_Input'!$X$62="Forfait",IF(AZ$20&gt;='01_Input'!$V$62,'01_Input'!$Y$62,0),IF('01_Input'!$X$62="Palier",IF(AND(AZ$20&gt;='01_Input'!$V$62,AZ$20&lt;'01_Input'!$W$62),'01_Input'!$Y$62,0),MAX(MIN(AZ$20,'01_Input'!$W$62)-'01_Input'!$V$62,0)*'01_Input'!$Y$62))+IF('01_Input'!$AB$62="Forfait",IF(AZ$20&gt;='01_Input'!$Z$62,'01_Input'!$AC$62,0),IF('01_Input'!$AB$62="Palier",IF(AND(AZ$20&gt;='01_Input'!$Z$62,AZ$20&lt;'01_Input'!$AA$62),'01_Input'!$AC$62,0),MAX(MIN(AZ$20,'01_Input'!$AA$62)-'01_Input'!$Z$62,0)*'01_Input'!$AC$62)))))))))</f>
        <v>0</v>
      </c>
      <c r="BA30" s="83">
        <f>IF('01_Input'!$C$62="Non",0,MIN('01_Input'!$I$62,MAX('01_Input'!$H$62,IF('01_Input'!$G$62="Résiduel vs Gestion",0,IF('01_Input'!$G$62="Taux Classe sélectionnée",Distrib_Global_Classe_Selectionnee*BA$20,IF('01_Input'!$G$62="Frais KYC (paliers de 100M€)",MAX(0,Nb_Investisseurs-Nb_KYC_Gratuites_Par_Tranche*(FLOOR(BA$20/Taille_Tranche_KYC,1)+1))*Cout_Par_KYC_Supplementaire,(IF('01_Input'!$L$62="Forfait",IF(BA$20&gt;='01_Input'!$J$62,'01_Input'!$M$62,0),IF('01_Input'!$L$62="Palier",IF(AND(BA$20&gt;='01_Input'!$J$62,BA$20&lt;'01_Input'!$K$62),'01_Input'!$M$62,0),MAX(MIN(BA$20,'01_Input'!$K$62)-'01_Input'!$J$62,0)*'01_Input'!$M$62))+IF('01_Input'!$P$62="Forfait",IF(BA$20&gt;='01_Input'!$N$62,'01_Input'!$Q$62,0),IF('01_Input'!$P$62="Palier",IF(AND(BA$20&gt;='01_Input'!$N$62,BA$20&lt;'01_Input'!$O$62),'01_Input'!$Q$62,0),MAX(MIN(BA$20,'01_Input'!$O$62)-'01_Input'!$N$62,0)*'01_Input'!$Q$62))+IF('01_Input'!$T$62="Forfait",IF(BA$20&gt;='01_Input'!$R$62,'01_Input'!$U$62,0),IF('01_Input'!$T$62="Palier",IF(AND(BA$20&gt;='01_Input'!$R$62,BA$20&lt;'01_Input'!$S$62),'01_Input'!$U$62,0),MAX(MIN(BA$20,'01_Input'!$S$62)-'01_Input'!$R$62,0)*'01_Input'!$U$62))+IF('01_Input'!$X$62="Forfait",IF(BA$20&gt;='01_Input'!$V$62,'01_Input'!$Y$62,0),IF('01_Input'!$X$62="Palier",IF(AND(BA$20&gt;='01_Input'!$V$62,BA$20&lt;'01_Input'!$W$62),'01_Input'!$Y$62,0),MAX(MIN(BA$20,'01_Input'!$W$62)-'01_Input'!$V$62,0)*'01_Input'!$Y$62))+IF('01_Input'!$AB$62="Forfait",IF(BA$20&gt;='01_Input'!$Z$62,'01_Input'!$AC$62,0),IF('01_Input'!$AB$62="Palier",IF(AND(BA$20&gt;='01_Input'!$Z$62,BA$20&lt;'01_Input'!$AA$62),'01_Input'!$AC$62,0),MAX(MIN(BA$20,'01_Input'!$AA$62)-'01_Input'!$Z$62,0)*'01_Input'!$AC$62)))))))))</f>
        <v>0</v>
      </c>
      <c r="BB30" s="83">
        <f>IF('01_Input'!$C$62="Non",0,MIN('01_Input'!$I$62,MAX('01_Input'!$H$62,IF('01_Input'!$G$62="Résiduel vs Gestion",0,IF('01_Input'!$G$62="Taux Classe sélectionnée",Distrib_Global_Classe_Selectionnee*BB$20,IF('01_Input'!$G$62="Frais KYC (paliers de 100M€)",MAX(0,Nb_Investisseurs-Nb_KYC_Gratuites_Par_Tranche*(FLOOR(BB$20/Taille_Tranche_KYC,1)+1))*Cout_Par_KYC_Supplementaire,(IF('01_Input'!$L$62="Forfait",IF(BB$20&gt;='01_Input'!$J$62,'01_Input'!$M$62,0),IF('01_Input'!$L$62="Palier",IF(AND(BB$20&gt;='01_Input'!$J$62,BB$20&lt;'01_Input'!$K$62),'01_Input'!$M$62,0),MAX(MIN(BB$20,'01_Input'!$K$62)-'01_Input'!$J$62,0)*'01_Input'!$M$62))+IF('01_Input'!$P$62="Forfait",IF(BB$20&gt;='01_Input'!$N$62,'01_Input'!$Q$62,0),IF('01_Input'!$P$62="Palier",IF(AND(BB$20&gt;='01_Input'!$N$62,BB$20&lt;'01_Input'!$O$62),'01_Input'!$Q$62,0),MAX(MIN(BB$20,'01_Input'!$O$62)-'01_Input'!$N$62,0)*'01_Input'!$Q$62))+IF('01_Input'!$T$62="Forfait",IF(BB$20&gt;='01_Input'!$R$62,'01_Input'!$U$62,0),IF('01_Input'!$T$62="Palier",IF(AND(BB$20&gt;='01_Input'!$R$62,BB$20&lt;'01_Input'!$S$62),'01_Input'!$U$62,0),MAX(MIN(BB$20,'01_Input'!$S$62)-'01_Input'!$R$62,0)*'01_Input'!$U$62))+IF('01_Input'!$X$62="Forfait",IF(BB$20&gt;='01_Input'!$V$62,'01_Input'!$Y$62,0),IF('01_Input'!$X$62="Palier",IF(AND(BB$20&gt;='01_Input'!$V$62,BB$20&lt;'01_Input'!$W$62),'01_Input'!$Y$62,0),MAX(MIN(BB$20,'01_Input'!$W$62)-'01_Input'!$V$62,0)*'01_Input'!$Y$62))+IF('01_Input'!$AB$62="Forfait",IF(BB$20&gt;='01_Input'!$Z$62,'01_Input'!$AC$62,0),IF('01_Input'!$AB$62="Palier",IF(AND(BB$20&gt;='01_Input'!$Z$62,BB$20&lt;'01_Input'!$AA$62),'01_Input'!$AC$62,0),MAX(MIN(BB$20,'01_Input'!$AA$62)-'01_Input'!$Z$62,0)*'01_Input'!$AC$62)))))))))</f>
        <v>0</v>
      </c>
      <c r="BC30" s="83">
        <f>IF('01_Input'!$C$62="Non",0,MIN('01_Input'!$I$62,MAX('01_Input'!$H$62,IF('01_Input'!$G$62="Résiduel vs Gestion",0,IF('01_Input'!$G$62="Taux Classe sélectionnée",Distrib_Global_Classe_Selectionnee*BC$20,IF('01_Input'!$G$62="Frais KYC (paliers de 100M€)",MAX(0,Nb_Investisseurs-Nb_KYC_Gratuites_Par_Tranche*(FLOOR(BC$20/Taille_Tranche_KYC,1)+1))*Cout_Par_KYC_Supplementaire,(IF('01_Input'!$L$62="Forfait",IF(BC$20&gt;='01_Input'!$J$62,'01_Input'!$M$62,0),IF('01_Input'!$L$62="Palier",IF(AND(BC$20&gt;='01_Input'!$J$62,BC$20&lt;'01_Input'!$K$62),'01_Input'!$M$62,0),MAX(MIN(BC$20,'01_Input'!$K$62)-'01_Input'!$J$62,0)*'01_Input'!$M$62))+IF('01_Input'!$P$62="Forfait",IF(BC$20&gt;='01_Input'!$N$62,'01_Input'!$Q$62,0),IF('01_Input'!$P$62="Palier",IF(AND(BC$20&gt;='01_Input'!$N$62,BC$20&lt;'01_Input'!$O$62),'01_Input'!$Q$62,0),MAX(MIN(BC$20,'01_Input'!$O$62)-'01_Input'!$N$62,0)*'01_Input'!$Q$62))+IF('01_Input'!$T$62="Forfait",IF(BC$20&gt;='01_Input'!$R$62,'01_Input'!$U$62,0),IF('01_Input'!$T$62="Palier",IF(AND(BC$20&gt;='01_Input'!$R$62,BC$20&lt;'01_Input'!$S$62),'01_Input'!$U$62,0),MAX(MIN(BC$20,'01_Input'!$S$62)-'01_Input'!$R$62,0)*'01_Input'!$U$62))+IF('01_Input'!$X$62="Forfait",IF(BC$20&gt;='01_Input'!$V$62,'01_Input'!$Y$62,0),IF('01_Input'!$X$62="Palier",IF(AND(BC$20&gt;='01_Input'!$V$62,BC$20&lt;'01_Input'!$W$62),'01_Input'!$Y$62,0),MAX(MIN(BC$20,'01_Input'!$W$62)-'01_Input'!$V$62,0)*'01_Input'!$Y$62))+IF('01_Input'!$AB$62="Forfait",IF(BC$20&gt;='01_Input'!$Z$62,'01_Input'!$AC$62,0),IF('01_Input'!$AB$62="Palier",IF(AND(BC$20&gt;='01_Input'!$Z$62,BC$20&lt;'01_Input'!$AA$62),'01_Input'!$AC$62,0),MAX(MIN(BC$20,'01_Input'!$AA$62)-'01_Input'!$Z$62,0)*'01_Input'!$AC$62)))))))))</f>
        <v>0</v>
      </c>
      <c r="BD30" s="83">
        <f>IF('01_Input'!$C$62="Non",0,MIN('01_Input'!$I$62,MAX('01_Input'!$H$62,IF('01_Input'!$G$62="Résiduel vs Gestion",0,IF('01_Input'!$G$62="Taux Classe sélectionnée",Distrib_Global_Classe_Selectionnee*BD$20,IF('01_Input'!$G$62="Frais KYC (paliers de 100M€)",MAX(0,Nb_Investisseurs-Nb_KYC_Gratuites_Par_Tranche*(FLOOR(BD$20/Taille_Tranche_KYC,1)+1))*Cout_Par_KYC_Supplementaire,(IF('01_Input'!$L$62="Forfait",IF(BD$20&gt;='01_Input'!$J$62,'01_Input'!$M$62,0),IF('01_Input'!$L$62="Palier",IF(AND(BD$20&gt;='01_Input'!$J$62,BD$20&lt;'01_Input'!$K$62),'01_Input'!$M$62,0),MAX(MIN(BD$20,'01_Input'!$K$62)-'01_Input'!$J$62,0)*'01_Input'!$M$62))+IF('01_Input'!$P$62="Forfait",IF(BD$20&gt;='01_Input'!$N$62,'01_Input'!$Q$62,0),IF('01_Input'!$P$62="Palier",IF(AND(BD$20&gt;='01_Input'!$N$62,BD$20&lt;'01_Input'!$O$62),'01_Input'!$Q$62,0),MAX(MIN(BD$20,'01_Input'!$O$62)-'01_Input'!$N$62,0)*'01_Input'!$Q$62))+IF('01_Input'!$T$62="Forfait",IF(BD$20&gt;='01_Input'!$R$62,'01_Input'!$U$62,0),IF('01_Input'!$T$62="Palier",IF(AND(BD$20&gt;='01_Input'!$R$62,BD$20&lt;'01_Input'!$S$62),'01_Input'!$U$62,0),MAX(MIN(BD$20,'01_Input'!$S$62)-'01_Input'!$R$62,0)*'01_Input'!$U$62))+IF('01_Input'!$X$62="Forfait",IF(BD$20&gt;='01_Input'!$V$62,'01_Input'!$Y$62,0),IF('01_Input'!$X$62="Palier",IF(AND(BD$20&gt;='01_Input'!$V$62,BD$20&lt;'01_Input'!$W$62),'01_Input'!$Y$62,0),MAX(MIN(BD$20,'01_Input'!$W$62)-'01_Input'!$V$62,0)*'01_Input'!$Y$62))+IF('01_Input'!$AB$62="Forfait",IF(BD$20&gt;='01_Input'!$Z$62,'01_Input'!$AC$62,0),IF('01_Input'!$AB$62="Palier",IF(AND(BD$20&gt;='01_Input'!$Z$62,BD$20&lt;'01_Input'!$AA$62),'01_Input'!$AC$62,0),MAX(MIN(BD$20,'01_Input'!$AA$62)-'01_Input'!$Z$62,0)*'01_Input'!$AC$62)))))))))</f>
        <v>0</v>
      </c>
      <c r="BE30" s="83">
        <f>IF('01_Input'!$C$62="Non",0,MIN('01_Input'!$I$62,MAX('01_Input'!$H$62,IF('01_Input'!$G$62="Résiduel vs Gestion",0,IF('01_Input'!$G$62="Taux Classe sélectionnée",Distrib_Global_Classe_Selectionnee*BE$20,IF('01_Input'!$G$62="Frais KYC (paliers de 100M€)",MAX(0,Nb_Investisseurs-Nb_KYC_Gratuites_Par_Tranche*(FLOOR(BE$20/Taille_Tranche_KYC,1)+1))*Cout_Par_KYC_Supplementaire,(IF('01_Input'!$L$62="Forfait",IF(BE$20&gt;='01_Input'!$J$62,'01_Input'!$M$62,0),IF('01_Input'!$L$62="Palier",IF(AND(BE$20&gt;='01_Input'!$J$62,BE$20&lt;'01_Input'!$K$62),'01_Input'!$M$62,0),MAX(MIN(BE$20,'01_Input'!$K$62)-'01_Input'!$J$62,0)*'01_Input'!$M$62))+IF('01_Input'!$P$62="Forfait",IF(BE$20&gt;='01_Input'!$N$62,'01_Input'!$Q$62,0),IF('01_Input'!$P$62="Palier",IF(AND(BE$20&gt;='01_Input'!$N$62,BE$20&lt;'01_Input'!$O$62),'01_Input'!$Q$62,0),MAX(MIN(BE$20,'01_Input'!$O$62)-'01_Input'!$N$62,0)*'01_Input'!$Q$62))+IF('01_Input'!$T$62="Forfait",IF(BE$20&gt;='01_Input'!$R$62,'01_Input'!$U$62,0),IF('01_Input'!$T$62="Palier",IF(AND(BE$20&gt;='01_Input'!$R$62,BE$20&lt;'01_Input'!$S$62),'01_Input'!$U$62,0),MAX(MIN(BE$20,'01_Input'!$S$62)-'01_Input'!$R$62,0)*'01_Input'!$U$62))+IF('01_Input'!$X$62="Forfait",IF(BE$20&gt;='01_Input'!$V$62,'01_Input'!$Y$62,0),IF('01_Input'!$X$62="Palier",IF(AND(BE$20&gt;='01_Input'!$V$62,BE$20&lt;'01_Input'!$W$62),'01_Input'!$Y$62,0),MAX(MIN(BE$20,'01_Input'!$W$62)-'01_Input'!$V$62,0)*'01_Input'!$Y$62))+IF('01_Input'!$AB$62="Forfait",IF(BE$20&gt;='01_Input'!$Z$62,'01_Input'!$AC$62,0),IF('01_Input'!$AB$62="Palier",IF(AND(BE$20&gt;='01_Input'!$Z$62,BE$20&lt;'01_Input'!$AA$62),'01_Input'!$AC$62,0),MAX(MIN(BE$20,'01_Input'!$AA$62)-'01_Input'!$Z$62,0)*'01_Input'!$AC$62)))))))))</f>
        <v>0</v>
      </c>
      <c r="BF30" s="83">
        <f>IF('01_Input'!$C$62="Non",0,MIN('01_Input'!$I$62,MAX('01_Input'!$H$62,IF('01_Input'!$G$62="Résiduel vs Gestion",0,IF('01_Input'!$G$62="Taux Classe sélectionnée",Distrib_Global_Classe_Selectionnee*BF$20,IF('01_Input'!$G$62="Frais KYC (paliers de 100M€)",MAX(0,Nb_Investisseurs-Nb_KYC_Gratuites_Par_Tranche*(FLOOR(BF$20/Taille_Tranche_KYC,1)+1))*Cout_Par_KYC_Supplementaire,(IF('01_Input'!$L$62="Forfait",IF(BF$20&gt;='01_Input'!$J$62,'01_Input'!$M$62,0),IF('01_Input'!$L$62="Palier",IF(AND(BF$20&gt;='01_Input'!$J$62,BF$20&lt;'01_Input'!$K$62),'01_Input'!$M$62,0),MAX(MIN(BF$20,'01_Input'!$K$62)-'01_Input'!$J$62,0)*'01_Input'!$M$62))+IF('01_Input'!$P$62="Forfait",IF(BF$20&gt;='01_Input'!$N$62,'01_Input'!$Q$62,0),IF('01_Input'!$P$62="Palier",IF(AND(BF$20&gt;='01_Input'!$N$62,BF$20&lt;'01_Input'!$O$62),'01_Input'!$Q$62,0),MAX(MIN(BF$20,'01_Input'!$O$62)-'01_Input'!$N$62,0)*'01_Input'!$Q$62))+IF('01_Input'!$T$62="Forfait",IF(BF$20&gt;='01_Input'!$R$62,'01_Input'!$U$62,0),IF('01_Input'!$T$62="Palier",IF(AND(BF$20&gt;='01_Input'!$R$62,BF$20&lt;'01_Input'!$S$62),'01_Input'!$U$62,0),MAX(MIN(BF$20,'01_Input'!$S$62)-'01_Input'!$R$62,0)*'01_Input'!$U$62))+IF('01_Input'!$X$62="Forfait",IF(BF$20&gt;='01_Input'!$V$62,'01_Input'!$Y$62,0),IF('01_Input'!$X$62="Palier",IF(AND(BF$20&gt;='01_Input'!$V$62,BF$20&lt;'01_Input'!$W$62),'01_Input'!$Y$62,0),MAX(MIN(BF$20,'01_Input'!$W$62)-'01_Input'!$V$62,0)*'01_Input'!$Y$62))+IF('01_Input'!$AB$62="Forfait",IF(BF$20&gt;='01_Input'!$Z$62,'01_Input'!$AC$62,0),IF('01_Input'!$AB$62="Palier",IF(AND(BF$20&gt;='01_Input'!$Z$62,BF$20&lt;'01_Input'!$AA$62),'01_Input'!$AC$62,0),MAX(MIN(BF$20,'01_Input'!$AA$62)-'01_Input'!$Z$62,0)*'01_Input'!$AC$62)))))))))</f>
        <v>0</v>
      </c>
      <c r="BG30" s="83">
        <f>IF('01_Input'!$C$62="Non",0,MIN('01_Input'!$I$62,MAX('01_Input'!$H$62,IF('01_Input'!$G$62="Résiduel vs Gestion",0,IF('01_Input'!$G$62="Taux Classe sélectionnée",Distrib_Global_Classe_Selectionnee*BG$20,IF('01_Input'!$G$62="Frais KYC (paliers de 100M€)",MAX(0,Nb_Investisseurs-Nb_KYC_Gratuites_Par_Tranche*(FLOOR(BG$20/Taille_Tranche_KYC,1)+1))*Cout_Par_KYC_Supplementaire,(IF('01_Input'!$L$62="Forfait",IF(BG$20&gt;='01_Input'!$J$62,'01_Input'!$M$62,0),IF('01_Input'!$L$62="Palier",IF(AND(BG$20&gt;='01_Input'!$J$62,BG$20&lt;'01_Input'!$K$62),'01_Input'!$M$62,0),MAX(MIN(BG$20,'01_Input'!$K$62)-'01_Input'!$J$62,0)*'01_Input'!$M$62))+IF('01_Input'!$P$62="Forfait",IF(BG$20&gt;='01_Input'!$N$62,'01_Input'!$Q$62,0),IF('01_Input'!$P$62="Palier",IF(AND(BG$20&gt;='01_Input'!$N$62,BG$20&lt;'01_Input'!$O$62),'01_Input'!$Q$62,0),MAX(MIN(BG$20,'01_Input'!$O$62)-'01_Input'!$N$62,0)*'01_Input'!$Q$62))+IF('01_Input'!$T$62="Forfait",IF(BG$20&gt;='01_Input'!$R$62,'01_Input'!$U$62,0),IF('01_Input'!$T$62="Palier",IF(AND(BG$20&gt;='01_Input'!$R$62,BG$20&lt;'01_Input'!$S$62),'01_Input'!$U$62,0),MAX(MIN(BG$20,'01_Input'!$S$62)-'01_Input'!$R$62,0)*'01_Input'!$U$62))+IF('01_Input'!$X$62="Forfait",IF(BG$20&gt;='01_Input'!$V$62,'01_Input'!$Y$62,0),IF('01_Input'!$X$62="Palier",IF(AND(BG$20&gt;='01_Input'!$V$62,BG$20&lt;'01_Input'!$W$62),'01_Input'!$Y$62,0),MAX(MIN(BG$20,'01_Input'!$W$62)-'01_Input'!$V$62,0)*'01_Input'!$Y$62))+IF('01_Input'!$AB$62="Forfait",IF(BG$20&gt;='01_Input'!$Z$62,'01_Input'!$AC$62,0),IF('01_Input'!$AB$62="Palier",IF(AND(BG$20&gt;='01_Input'!$Z$62,BG$20&lt;'01_Input'!$AA$62),'01_Input'!$AC$62,0),MAX(MIN(BG$20,'01_Input'!$AA$62)-'01_Input'!$Z$62,0)*'01_Input'!$AC$62)))))))))</f>
        <v>0</v>
      </c>
      <c r="BH30" s="83">
        <f>IF('01_Input'!$C$62="Non",0,MIN('01_Input'!$I$62,MAX('01_Input'!$H$62,IF('01_Input'!$G$62="Résiduel vs Gestion",0,IF('01_Input'!$G$62="Taux Classe sélectionnée",Distrib_Global_Classe_Selectionnee*BH$20,IF('01_Input'!$G$62="Frais KYC (paliers de 100M€)",MAX(0,Nb_Investisseurs-Nb_KYC_Gratuites_Par_Tranche*(FLOOR(BH$20/Taille_Tranche_KYC,1)+1))*Cout_Par_KYC_Supplementaire,(IF('01_Input'!$L$62="Forfait",IF(BH$20&gt;='01_Input'!$J$62,'01_Input'!$M$62,0),IF('01_Input'!$L$62="Palier",IF(AND(BH$20&gt;='01_Input'!$J$62,BH$20&lt;'01_Input'!$K$62),'01_Input'!$M$62,0),MAX(MIN(BH$20,'01_Input'!$K$62)-'01_Input'!$J$62,0)*'01_Input'!$M$62))+IF('01_Input'!$P$62="Forfait",IF(BH$20&gt;='01_Input'!$N$62,'01_Input'!$Q$62,0),IF('01_Input'!$P$62="Palier",IF(AND(BH$20&gt;='01_Input'!$N$62,BH$20&lt;'01_Input'!$O$62),'01_Input'!$Q$62,0),MAX(MIN(BH$20,'01_Input'!$O$62)-'01_Input'!$N$62,0)*'01_Input'!$Q$62))+IF('01_Input'!$T$62="Forfait",IF(BH$20&gt;='01_Input'!$R$62,'01_Input'!$U$62,0),IF('01_Input'!$T$62="Palier",IF(AND(BH$20&gt;='01_Input'!$R$62,BH$20&lt;'01_Input'!$S$62),'01_Input'!$U$62,0),MAX(MIN(BH$20,'01_Input'!$S$62)-'01_Input'!$R$62,0)*'01_Input'!$U$62))+IF('01_Input'!$X$62="Forfait",IF(BH$20&gt;='01_Input'!$V$62,'01_Input'!$Y$62,0),IF('01_Input'!$X$62="Palier",IF(AND(BH$20&gt;='01_Input'!$V$62,BH$20&lt;'01_Input'!$W$62),'01_Input'!$Y$62,0),MAX(MIN(BH$20,'01_Input'!$W$62)-'01_Input'!$V$62,0)*'01_Input'!$Y$62))+IF('01_Input'!$AB$62="Forfait",IF(BH$20&gt;='01_Input'!$Z$62,'01_Input'!$AC$62,0),IF('01_Input'!$AB$62="Palier",IF(AND(BH$20&gt;='01_Input'!$Z$62,BH$20&lt;'01_Input'!$AA$62),'01_Input'!$AC$62,0),MAX(MIN(BH$20,'01_Input'!$AA$62)-'01_Input'!$Z$62,0)*'01_Input'!$AC$62)))))))))</f>
        <v>0</v>
      </c>
      <c r="BI30" s="83">
        <f>IF('01_Input'!$C$62="Non",0,MIN('01_Input'!$I$62,MAX('01_Input'!$H$62,IF('01_Input'!$G$62="Résiduel vs Gestion",0,IF('01_Input'!$G$62="Taux Classe sélectionnée",Distrib_Global_Classe_Selectionnee*BI$20,IF('01_Input'!$G$62="Frais KYC (paliers de 100M€)",MAX(0,Nb_Investisseurs-Nb_KYC_Gratuites_Par_Tranche*(FLOOR(BI$20/Taille_Tranche_KYC,1)+1))*Cout_Par_KYC_Supplementaire,(IF('01_Input'!$L$62="Forfait",IF(BI$20&gt;='01_Input'!$J$62,'01_Input'!$M$62,0),IF('01_Input'!$L$62="Palier",IF(AND(BI$20&gt;='01_Input'!$J$62,BI$20&lt;'01_Input'!$K$62),'01_Input'!$M$62,0),MAX(MIN(BI$20,'01_Input'!$K$62)-'01_Input'!$J$62,0)*'01_Input'!$M$62))+IF('01_Input'!$P$62="Forfait",IF(BI$20&gt;='01_Input'!$N$62,'01_Input'!$Q$62,0),IF('01_Input'!$P$62="Palier",IF(AND(BI$20&gt;='01_Input'!$N$62,BI$20&lt;'01_Input'!$O$62),'01_Input'!$Q$62,0),MAX(MIN(BI$20,'01_Input'!$O$62)-'01_Input'!$N$62,0)*'01_Input'!$Q$62))+IF('01_Input'!$T$62="Forfait",IF(BI$20&gt;='01_Input'!$R$62,'01_Input'!$U$62,0),IF('01_Input'!$T$62="Palier",IF(AND(BI$20&gt;='01_Input'!$R$62,BI$20&lt;'01_Input'!$S$62),'01_Input'!$U$62,0),MAX(MIN(BI$20,'01_Input'!$S$62)-'01_Input'!$R$62,0)*'01_Input'!$U$62))+IF('01_Input'!$X$62="Forfait",IF(BI$20&gt;='01_Input'!$V$62,'01_Input'!$Y$62,0),IF('01_Input'!$X$62="Palier",IF(AND(BI$20&gt;='01_Input'!$V$62,BI$20&lt;'01_Input'!$W$62),'01_Input'!$Y$62,0),MAX(MIN(BI$20,'01_Input'!$W$62)-'01_Input'!$V$62,0)*'01_Input'!$Y$62))+IF('01_Input'!$AB$62="Forfait",IF(BI$20&gt;='01_Input'!$Z$62,'01_Input'!$AC$62,0),IF('01_Input'!$AB$62="Palier",IF(AND(BI$20&gt;='01_Input'!$Z$62,BI$20&lt;'01_Input'!$AA$62),'01_Input'!$AC$62,0),MAX(MIN(BI$20,'01_Input'!$AA$62)-'01_Input'!$Z$62,0)*'01_Input'!$AC$62)))))))))</f>
        <v>0</v>
      </c>
      <c r="BJ30" s="83">
        <f>IF('01_Input'!$C$62="Non",0,MIN('01_Input'!$I$62,MAX('01_Input'!$H$62,IF('01_Input'!$G$62="Résiduel vs Gestion",0,IF('01_Input'!$G$62="Taux Classe sélectionnée",Distrib_Global_Classe_Selectionnee*BJ$20,IF('01_Input'!$G$62="Frais KYC (paliers de 100M€)",MAX(0,Nb_Investisseurs-Nb_KYC_Gratuites_Par_Tranche*(FLOOR(BJ$20/Taille_Tranche_KYC,1)+1))*Cout_Par_KYC_Supplementaire,(IF('01_Input'!$L$62="Forfait",IF(BJ$20&gt;='01_Input'!$J$62,'01_Input'!$M$62,0),IF('01_Input'!$L$62="Palier",IF(AND(BJ$20&gt;='01_Input'!$J$62,BJ$20&lt;'01_Input'!$K$62),'01_Input'!$M$62,0),MAX(MIN(BJ$20,'01_Input'!$K$62)-'01_Input'!$J$62,0)*'01_Input'!$M$62))+IF('01_Input'!$P$62="Forfait",IF(BJ$20&gt;='01_Input'!$N$62,'01_Input'!$Q$62,0),IF('01_Input'!$P$62="Palier",IF(AND(BJ$20&gt;='01_Input'!$N$62,BJ$20&lt;'01_Input'!$O$62),'01_Input'!$Q$62,0),MAX(MIN(BJ$20,'01_Input'!$O$62)-'01_Input'!$N$62,0)*'01_Input'!$Q$62))+IF('01_Input'!$T$62="Forfait",IF(BJ$20&gt;='01_Input'!$R$62,'01_Input'!$U$62,0),IF('01_Input'!$T$62="Palier",IF(AND(BJ$20&gt;='01_Input'!$R$62,BJ$20&lt;'01_Input'!$S$62),'01_Input'!$U$62,0),MAX(MIN(BJ$20,'01_Input'!$S$62)-'01_Input'!$R$62,0)*'01_Input'!$U$62))+IF('01_Input'!$X$62="Forfait",IF(BJ$20&gt;='01_Input'!$V$62,'01_Input'!$Y$62,0),IF('01_Input'!$X$62="Palier",IF(AND(BJ$20&gt;='01_Input'!$V$62,BJ$20&lt;'01_Input'!$W$62),'01_Input'!$Y$62,0),MAX(MIN(BJ$20,'01_Input'!$W$62)-'01_Input'!$V$62,0)*'01_Input'!$Y$62))+IF('01_Input'!$AB$62="Forfait",IF(BJ$20&gt;='01_Input'!$Z$62,'01_Input'!$AC$62,0),IF('01_Input'!$AB$62="Palier",IF(AND(BJ$20&gt;='01_Input'!$Z$62,BJ$20&lt;'01_Input'!$AA$62),'01_Input'!$AC$62,0),MAX(MIN(BJ$20,'01_Input'!$AA$62)-'01_Input'!$Z$62,0)*'01_Input'!$AC$62)))))))))</f>
        <v>0</v>
      </c>
      <c r="BK30" s="83">
        <f>IF('01_Input'!$C$62="Non",0,MIN('01_Input'!$I$62,MAX('01_Input'!$H$62,IF('01_Input'!$G$62="Résiduel vs Gestion",0,IF('01_Input'!$G$62="Taux Classe sélectionnée",Distrib_Global_Classe_Selectionnee*BK$20,IF('01_Input'!$G$62="Frais KYC (paliers de 100M€)",MAX(0,Nb_Investisseurs-Nb_KYC_Gratuites_Par_Tranche*(FLOOR(BK$20/Taille_Tranche_KYC,1)+1))*Cout_Par_KYC_Supplementaire,(IF('01_Input'!$L$62="Forfait",IF(BK$20&gt;='01_Input'!$J$62,'01_Input'!$M$62,0),IF('01_Input'!$L$62="Palier",IF(AND(BK$20&gt;='01_Input'!$J$62,BK$20&lt;'01_Input'!$K$62),'01_Input'!$M$62,0),MAX(MIN(BK$20,'01_Input'!$K$62)-'01_Input'!$J$62,0)*'01_Input'!$M$62))+IF('01_Input'!$P$62="Forfait",IF(BK$20&gt;='01_Input'!$N$62,'01_Input'!$Q$62,0),IF('01_Input'!$P$62="Palier",IF(AND(BK$20&gt;='01_Input'!$N$62,BK$20&lt;'01_Input'!$O$62),'01_Input'!$Q$62,0),MAX(MIN(BK$20,'01_Input'!$O$62)-'01_Input'!$N$62,0)*'01_Input'!$Q$62))+IF('01_Input'!$T$62="Forfait",IF(BK$20&gt;='01_Input'!$R$62,'01_Input'!$U$62,0),IF('01_Input'!$T$62="Palier",IF(AND(BK$20&gt;='01_Input'!$R$62,BK$20&lt;'01_Input'!$S$62),'01_Input'!$U$62,0),MAX(MIN(BK$20,'01_Input'!$S$62)-'01_Input'!$R$62,0)*'01_Input'!$U$62))+IF('01_Input'!$X$62="Forfait",IF(BK$20&gt;='01_Input'!$V$62,'01_Input'!$Y$62,0),IF('01_Input'!$X$62="Palier",IF(AND(BK$20&gt;='01_Input'!$V$62,BK$20&lt;'01_Input'!$W$62),'01_Input'!$Y$62,0),MAX(MIN(BK$20,'01_Input'!$W$62)-'01_Input'!$V$62,0)*'01_Input'!$Y$62))+IF('01_Input'!$AB$62="Forfait",IF(BK$20&gt;='01_Input'!$Z$62,'01_Input'!$AC$62,0),IF('01_Input'!$AB$62="Palier",IF(AND(BK$20&gt;='01_Input'!$Z$62,BK$20&lt;'01_Input'!$AA$62),'01_Input'!$AC$62,0),MAX(MIN(BK$20,'01_Input'!$AA$62)-'01_Input'!$Z$62,0)*'01_Input'!$AC$62)))))))))</f>
        <v>0</v>
      </c>
      <c r="BL30" s="83">
        <f>IF('01_Input'!$C$62="Non",0,MIN('01_Input'!$I$62,MAX('01_Input'!$H$62,IF('01_Input'!$G$62="Résiduel vs Gestion",0,IF('01_Input'!$G$62="Taux Classe sélectionnée",Distrib_Global_Classe_Selectionnee*BL$20,IF('01_Input'!$G$62="Frais KYC (paliers de 100M€)",MAX(0,Nb_Investisseurs-Nb_KYC_Gratuites_Par_Tranche*(FLOOR(BL$20/Taille_Tranche_KYC,1)+1))*Cout_Par_KYC_Supplementaire,(IF('01_Input'!$L$62="Forfait",IF(BL$20&gt;='01_Input'!$J$62,'01_Input'!$M$62,0),IF('01_Input'!$L$62="Palier",IF(AND(BL$20&gt;='01_Input'!$J$62,BL$20&lt;'01_Input'!$K$62),'01_Input'!$M$62,0),MAX(MIN(BL$20,'01_Input'!$K$62)-'01_Input'!$J$62,0)*'01_Input'!$M$62))+IF('01_Input'!$P$62="Forfait",IF(BL$20&gt;='01_Input'!$N$62,'01_Input'!$Q$62,0),IF('01_Input'!$P$62="Palier",IF(AND(BL$20&gt;='01_Input'!$N$62,BL$20&lt;'01_Input'!$O$62),'01_Input'!$Q$62,0),MAX(MIN(BL$20,'01_Input'!$O$62)-'01_Input'!$N$62,0)*'01_Input'!$Q$62))+IF('01_Input'!$T$62="Forfait",IF(BL$20&gt;='01_Input'!$R$62,'01_Input'!$U$62,0),IF('01_Input'!$T$62="Palier",IF(AND(BL$20&gt;='01_Input'!$R$62,BL$20&lt;'01_Input'!$S$62),'01_Input'!$U$62,0),MAX(MIN(BL$20,'01_Input'!$S$62)-'01_Input'!$R$62,0)*'01_Input'!$U$62))+IF('01_Input'!$X$62="Forfait",IF(BL$20&gt;='01_Input'!$V$62,'01_Input'!$Y$62,0),IF('01_Input'!$X$62="Palier",IF(AND(BL$20&gt;='01_Input'!$V$62,BL$20&lt;'01_Input'!$W$62),'01_Input'!$Y$62,0),MAX(MIN(BL$20,'01_Input'!$W$62)-'01_Input'!$V$62,0)*'01_Input'!$Y$62))+IF('01_Input'!$AB$62="Forfait",IF(BL$20&gt;='01_Input'!$Z$62,'01_Input'!$AC$62,0),IF('01_Input'!$AB$62="Palier",IF(AND(BL$20&gt;='01_Input'!$Z$62,BL$20&lt;'01_Input'!$AA$62),'01_Input'!$AC$62,0),MAX(MIN(BL$20,'01_Input'!$AA$62)-'01_Input'!$Z$62,0)*'01_Input'!$AC$62)))))))))</f>
        <v>0</v>
      </c>
      <c r="BM30" s="83">
        <f>IF('01_Input'!$C$62="Non",0,MIN('01_Input'!$I$62,MAX('01_Input'!$H$62,IF('01_Input'!$G$62="Résiduel vs Gestion",0,IF('01_Input'!$G$62="Taux Classe sélectionnée",Distrib_Global_Classe_Selectionnee*BM$20,IF('01_Input'!$G$62="Frais KYC (paliers de 100M€)",MAX(0,Nb_Investisseurs-Nb_KYC_Gratuites_Par_Tranche*(FLOOR(BM$20/Taille_Tranche_KYC,1)+1))*Cout_Par_KYC_Supplementaire,(IF('01_Input'!$L$62="Forfait",IF(BM$20&gt;='01_Input'!$J$62,'01_Input'!$M$62,0),IF('01_Input'!$L$62="Palier",IF(AND(BM$20&gt;='01_Input'!$J$62,BM$20&lt;'01_Input'!$K$62),'01_Input'!$M$62,0),MAX(MIN(BM$20,'01_Input'!$K$62)-'01_Input'!$J$62,0)*'01_Input'!$M$62))+IF('01_Input'!$P$62="Forfait",IF(BM$20&gt;='01_Input'!$N$62,'01_Input'!$Q$62,0),IF('01_Input'!$P$62="Palier",IF(AND(BM$20&gt;='01_Input'!$N$62,BM$20&lt;'01_Input'!$O$62),'01_Input'!$Q$62,0),MAX(MIN(BM$20,'01_Input'!$O$62)-'01_Input'!$N$62,0)*'01_Input'!$Q$62))+IF('01_Input'!$T$62="Forfait",IF(BM$20&gt;='01_Input'!$R$62,'01_Input'!$U$62,0),IF('01_Input'!$T$62="Palier",IF(AND(BM$20&gt;='01_Input'!$R$62,BM$20&lt;'01_Input'!$S$62),'01_Input'!$U$62,0),MAX(MIN(BM$20,'01_Input'!$S$62)-'01_Input'!$R$62,0)*'01_Input'!$U$62))+IF('01_Input'!$X$62="Forfait",IF(BM$20&gt;='01_Input'!$V$62,'01_Input'!$Y$62,0),IF('01_Input'!$X$62="Palier",IF(AND(BM$20&gt;='01_Input'!$V$62,BM$20&lt;'01_Input'!$W$62),'01_Input'!$Y$62,0),MAX(MIN(BM$20,'01_Input'!$W$62)-'01_Input'!$V$62,0)*'01_Input'!$Y$62))+IF('01_Input'!$AB$62="Forfait",IF(BM$20&gt;='01_Input'!$Z$62,'01_Input'!$AC$62,0),IF('01_Input'!$AB$62="Palier",IF(AND(BM$20&gt;='01_Input'!$Z$62,BM$20&lt;'01_Input'!$AA$62),'01_Input'!$AC$62,0),MAX(MIN(BM$20,'01_Input'!$AA$62)-'01_Input'!$Z$62,0)*'01_Input'!$AC$62)))))))))</f>
        <v>0</v>
      </c>
      <c r="BN30" s="83">
        <f>IF('01_Input'!$C$62="Non",0,MIN('01_Input'!$I$62,MAX('01_Input'!$H$62,IF('01_Input'!$G$62="Résiduel vs Gestion",0,IF('01_Input'!$G$62="Taux Classe sélectionnée",Distrib_Global_Classe_Selectionnee*BN$20,IF('01_Input'!$G$62="Frais KYC (paliers de 100M€)",MAX(0,Nb_Investisseurs-Nb_KYC_Gratuites_Par_Tranche*(FLOOR(BN$20/Taille_Tranche_KYC,1)+1))*Cout_Par_KYC_Supplementaire,(IF('01_Input'!$L$62="Forfait",IF(BN$20&gt;='01_Input'!$J$62,'01_Input'!$M$62,0),IF('01_Input'!$L$62="Palier",IF(AND(BN$20&gt;='01_Input'!$J$62,BN$20&lt;'01_Input'!$K$62),'01_Input'!$M$62,0),MAX(MIN(BN$20,'01_Input'!$K$62)-'01_Input'!$J$62,0)*'01_Input'!$M$62))+IF('01_Input'!$P$62="Forfait",IF(BN$20&gt;='01_Input'!$N$62,'01_Input'!$Q$62,0),IF('01_Input'!$P$62="Palier",IF(AND(BN$20&gt;='01_Input'!$N$62,BN$20&lt;'01_Input'!$O$62),'01_Input'!$Q$62,0),MAX(MIN(BN$20,'01_Input'!$O$62)-'01_Input'!$N$62,0)*'01_Input'!$Q$62))+IF('01_Input'!$T$62="Forfait",IF(BN$20&gt;='01_Input'!$R$62,'01_Input'!$U$62,0),IF('01_Input'!$T$62="Palier",IF(AND(BN$20&gt;='01_Input'!$R$62,BN$20&lt;'01_Input'!$S$62),'01_Input'!$U$62,0),MAX(MIN(BN$20,'01_Input'!$S$62)-'01_Input'!$R$62,0)*'01_Input'!$U$62))+IF('01_Input'!$X$62="Forfait",IF(BN$20&gt;='01_Input'!$V$62,'01_Input'!$Y$62,0),IF('01_Input'!$X$62="Palier",IF(AND(BN$20&gt;='01_Input'!$V$62,BN$20&lt;'01_Input'!$W$62),'01_Input'!$Y$62,0),MAX(MIN(BN$20,'01_Input'!$W$62)-'01_Input'!$V$62,0)*'01_Input'!$Y$62))+IF('01_Input'!$AB$62="Forfait",IF(BN$20&gt;='01_Input'!$Z$62,'01_Input'!$AC$62,0),IF('01_Input'!$AB$62="Palier",IF(AND(BN$20&gt;='01_Input'!$Z$62,BN$20&lt;'01_Input'!$AA$62),'01_Input'!$AC$62,0),MAX(MIN(BN$20,'01_Input'!$AA$62)-'01_Input'!$Z$62,0)*'01_Input'!$AC$62)))))))))</f>
        <v>0</v>
      </c>
      <c r="BO30" s="83">
        <f>IF('01_Input'!$C$62="Non",0,MIN('01_Input'!$I$62,MAX('01_Input'!$H$62,IF('01_Input'!$G$62="Résiduel vs Gestion",0,IF('01_Input'!$G$62="Taux Classe sélectionnée",Distrib_Global_Classe_Selectionnee*BO$20,IF('01_Input'!$G$62="Frais KYC (paliers de 100M€)",MAX(0,Nb_Investisseurs-Nb_KYC_Gratuites_Par_Tranche*(FLOOR(BO$20/Taille_Tranche_KYC,1)+1))*Cout_Par_KYC_Supplementaire,(IF('01_Input'!$L$62="Forfait",IF(BO$20&gt;='01_Input'!$J$62,'01_Input'!$M$62,0),IF('01_Input'!$L$62="Palier",IF(AND(BO$20&gt;='01_Input'!$J$62,BO$20&lt;'01_Input'!$K$62),'01_Input'!$M$62,0),MAX(MIN(BO$20,'01_Input'!$K$62)-'01_Input'!$J$62,0)*'01_Input'!$M$62))+IF('01_Input'!$P$62="Forfait",IF(BO$20&gt;='01_Input'!$N$62,'01_Input'!$Q$62,0),IF('01_Input'!$P$62="Palier",IF(AND(BO$20&gt;='01_Input'!$N$62,BO$20&lt;'01_Input'!$O$62),'01_Input'!$Q$62,0),MAX(MIN(BO$20,'01_Input'!$O$62)-'01_Input'!$N$62,0)*'01_Input'!$Q$62))+IF('01_Input'!$T$62="Forfait",IF(BO$20&gt;='01_Input'!$R$62,'01_Input'!$U$62,0),IF('01_Input'!$T$62="Palier",IF(AND(BO$20&gt;='01_Input'!$R$62,BO$20&lt;'01_Input'!$S$62),'01_Input'!$U$62,0),MAX(MIN(BO$20,'01_Input'!$S$62)-'01_Input'!$R$62,0)*'01_Input'!$U$62))+IF('01_Input'!$X$62="Forfait",IF(BO$20&gt;='01_Input'!$V$62,'01_Input'!$Y$62,0),IF('01_Input'!$X$62="Palier",IF(AND(BO$20&gt;='01_Input'!$V$62,BO$20&lt;'01_Input'!$W$62),'01_Input'!$Y$62,0),MAX(MIN(BO$20,'01_Input'!$W$62)-'01_Input'!$V$62,0)*'01_Input'!$Y$62))+IF('01_Input'!$AB$62="Forfait",IF(BO$20&gt;='01_Input'!$Z$62,'01_Input'!$AC$62,0),IF('01_Input'!$AB$62="Palier",IF(AND(BO$20&gt;='01_Input'!$Z$62,BO$20&lt;'01_Input'!$AA$62),'01_Input'!$AC$62,0),MAX(MIN(BO$20,'01_Input'!$AA$62)-'01_Input'!$Z$62,0)*'01_Input'!$AC$62)))))))))</f>
        <v>0</v>
      </c>
      <c r="BP30" s="83">
        <f>IF('01_Input'!$C$62="Non",0,MIN('01_Input'!$I$62,MAX('01_Input'!$H$62,IF('01_Input'!$G$62="Résiduel vs Gestion",0,IF('01_Input'!$G$62="Taux Classe sélectionnée",Distrib_Global_Classe_Selectionnee*BP$20,IF('01_Input'!$G$62="Frais KYC (paliers de 100M€)",MAX(0,Nb_Investisseurs-Nb_KYC_Gratuites_Par_Tranche*(FLOOR(BP$20/Taille_Tranche_KYC,1)+1))*Cout_Par_KYC_Supplementaire,(IF('01_Input'!$L$62="Forfait",IF(BP$20&gt;='01_Input'!$J$62,'01_Input'!$M$62,0),IF('01_Input'!$L$62="Palier",IF(AND(BP$20&gt;='01_Input'!$J$62,BP$20&lt;'01_Input'!$K$62),'01_Input'!$M$62,0),MAX(MIN(BP$20,'01_Input'!$K$62)-'01_Input'!$J$62,0)*'01_Input'!$M$62))+IF('01_Input'!$P$62="Forfait",IF(BP$20&gt;='01_Input'!$N$62,'01_Input'!$Q$62,0),IF('01_Input'!$P$62="Palier",IF(AND(BP$20&gt;='01_Input'!$N$62,BP$20&lt;'01_Input'!$O$62),'01_Input'!$Q$62,0),MAX(MIN(BP$20,'01_Input'!$O$62)-'01_Input'!$N$62,0)*'01_Input'!$Q$62))+IF('01_Input'!$T$62="Forfait",IF(BP$20&gt;='01_Input'!$R$62,'01_Input'!$U$62,0),IF('01_Input'!$T$62="Palier",IF(AND(BP$20&gt;='01_Input'!$R$62,BP$20&lt;'01_Input'!$S$62),'01_Input'!$U$62,0),MAX(MIN(BP$20,'01_Input'!$S$62)-'01_Input'!$R$62,0)*'01_Input'!$U$62))+IF('01_Input'!$X$62="Forfait",IF(BP$20&gt;='01_Input'!$V$62,'01_Input'!$Y$62,0),IF('01_Input'!$X$62="Palier",IF(AND(BP$20&gt;='01_Input'!$V$62,BP$20&lt;'01_Input'!$W$62),'01_Input'!$Y$62,0),MAX(MIN(BP$20,'01_Input'!$W$62)-'01_Input'!$V$62,0)*'01_Input'!$Y$62))+IF('01_Input'!$AB$62="Forfait",IF(BP$20&gt;='01_Input'!$Z$62,'01_Input'!$AC$62,0),IF('01_Input'!$AB$62="Palier",IF(AND(BP$20&gt;='01_Input'!$Z$62,BP$20&lt;'01_Input'!$AA$62),'01_Input'!$AC$62,0),MAX(MIN(BP$20,'01_Input'!$AA$62)-'01_Input'!$Z$62,0)*'01_Input'!$AC$62)))))))))</f>
        <v>0</v>
      </c>
      <c r="BQ30" s="83">
        <f>IF('01_Input'!$C$62="Non",0,MIN('01_Input'!$I$62,MAX('01_Input'!$H$62,IF('01_Input'!$G$62="Résiduel vs Gestion",0,IF('01_Input'!$G$62="Taux Classe sélectionnée",Distrib_Global_Classe_Selectionnee*BQ$20,IF('01_Input'!$G$62="Frais KYC (paliers de 100M€)",MAX(0,Nb_Investisseurs-Nb_KYC_Gratuites_Par_Tranche*(FLOOR(BQ$20/Taille_Tranche_KYC,1)+1))*Cout_Par_KYC_Supplementaire,(IF('01_Input'!$L$62="Forfait",IF(BQ$20&gt;='01_Input'!$J$62,'01_Input'!$M$62,0),IF('01_Input'!$L$62="Palier",IF(AND(BQ$20&gt;='01_Input'!$J$62,BQ$20&lt;'01_Input'!$K$62),'01_Input'!$M$62,0),MAX(MIN(BQ$20,'01_Input'!$K$62)-'01_Input'!$J$62,0)*'01_Input'!$M$62))+IF('01_Input'!$P$62="Forfait",IF(BQ$20&gt;='01_Input'!$N$62,'01_Input'!$Q$62,0),IF('01_Input'!$P$62="Palier",IF(AND(BQ$20&gt;='01_Input'!$N$62,BQ$20&lt;'01_Input'!$O$62),'01_Input'!$Q$62,0),MAX(MIN(BQ$20,'01_Input'!$O$62)-'01_Input'!$N$62,0)*'01_Input'!$Q$62))+IF('01_Input'!$T$62="Forfait",IF(BQ$20&gt;='01_Input'!$R$62,'01_Input'!$U$62,0),IF('01_Input'!$T$62="Palier",IF(AND(BQ$20&gt;='01_Input'!$R$62,BQ$20&lt;'01_Input'!$S$62),'01_Input'!$U$62,0),MAX(MIN(BQ$20,'01_Input'!$S$62)-'01_Input'!$R$62,0)*'01_Input'!$U$62))+IF('01_Input'!$X$62="Forfait",IF(BQ$20&gt;='01_Input'!$V$62,'01_Input'!$Y$62,0),IF('01_Input'!$X$62="Palier",IF(AND(BQ$20&gt;='01_Input'!$V$62,BQ$20&lt;'01_Input'!$W$62),'01_Input'!$Y$62,0),MAX(MIN(BQ$20,'01_Input'!$W$62)-'01_Input'!$V$62,0)*'01_Input'!$Y$62))+IF('01_Input'!$AB$62="Forfait",IF(BQ$20&gt;='01_Input'!$Z$62,'01_Input'!$AC$62,0),IF('01_Input'!$AB$62="Palier",IF(AND(BQ$20&gt;='01_Input'!$Z$62,BQ$20&lt;'01_Input'!$AA$62),'01_Input'!$AC$62,0),MAX(MIN(BQ$20,'01_Input'!$AA$62)-'01_Input'!$Z$62,0)*'01_Input'!$AC$62)))))))))</f>
        <v>0</v>
      </c>
      <c r="BR30" s="83">
        <f>IF('01_Input'!$C$62="Non",0,MIN('01_Input'!$I$62,MAX('01_Input'!$H$62,IF('01_Input'!$G$62="Résiduel vs Gestion",0,IF('01_Input'!$G$62="Taux Classe sélectionnée",Distrib_Global_Classe_Selectionnee*BR$20,IF('01_Input'!$G$62="Frais KYC (paliers de 100M€)",MAX(0,Nb_Investisseurs-Nb_KYC_Gratuites_Par_Tranche*(FLOOR(BR$20/Taille_Tranche_KYC,1)+1))*Cout_Par_KYC_Supplementaire,(IF('01_Input'!$L$62="Forfait",IF(BR$20&gt;='01_Input'!$J$62,'01_Input'!$M$62,0),IF('01_Input'!$L$62="Palier",IF(AND(BR$20&gt;='01_Input'!$J$62,BR$20&lt;'01_Input'!$K$62),'01_Input'!$M$62,0),MAX(MIN(BR$20,'01_Input'!$K$62)-'01_Input'!$J$62,0)*'01_Input'!$M$62))+IF('01_Input'!$P$62="Forfait",IF(BR$20&gt;='01_Input'!$N$62,'01_Input'!$Q$62,0),IF('01_Input'!$P$62="Palier",IF(AND(BR$20&gt;='01_Input'!$N$62,BR$20&lt;'01_Input'!$O$62),'01_Input'!$Q$62,0),MAX(MIN(BR$20,'01_Input'!$O$62)-'01_Input'!$N$62,0)*'01_Input'!$Q$62))+IF('01_Input'!$T$62="Forfait",IF(BR$20&gt;='01_Input'!$R$62,'01_Input'!$U$62,0),IF('01_Input'!$T$62="Palier",IF(AND(BR$20&gt;='01_Input'!$R$62,BR$20&lt;'01_Input'!$S$62),'01_Input'!$U$62,0),MAX(MIN(BR$20,'01_Input'!$S$62)-'01_Input'!$R$62,0)*'01_Input'!$U$62))+IF('01_Input'!$X$62="Forfait",IF(BR$20&gt;='01_Input'!$V$62,'01_Input'!$Y$62,0),IF('01_Input'!$X$62="Palier",IF(AND(BR$20&gt;='01_Input'!$V$62,BR$20&lt;'01_Input'!$W$62),'01_Input'!$Y$62,0),MAX(MIN(BR$20,'01_Input'!$W$62)-'01_Input'!$V$62,0)*'01_Input'!$Y$62))+IF('01_Input'!$AB$62="Forfait",IF(BR$20&gt;='01_Input'!$Z$62,'01_Input'!$AC$62,0),IF('01_Input'!$AB$62="Palier",IF(AND(BR$20&gt;='01_Input'!$Z$62,BR$20&lt;'01_Input'!$AA$62),'01_Input'!$AC$62,0),MAX(MIN(BR$20,'01_Input'!$AA$62)-'01_Input'!$Z$62,0)*'01_Input'!$AC$62)))))))))</f>
        <v>0</v>
      </c>
      <c r="BS30" s="83">
        <f>IF('01_Input'!$C$62="Non",0,MIN('01_Input'!$I$62,MAX('01_Input'!$H$62,IF('01_Input'!$G$62="Résiduel vs Gestion",0,IF('01_Input'!$G$62="Taux Classe sélectionnée",Distrib_Global_Classe_Selectionnee*BS$20,IF('01_Input'!$G$62="Frais KYC (paliers de 100M€)",MAX(0,Nb_Investisseurs-Nb_KYC_Gratuites_Par_Tranche*(FLOOR(BS$20/Taille_Tranche_KYC,1)+1))*Cout_Par_KYC_Supplementaire,(IF('01_Input'!$L$62="Forfait",IF(BS$20&gt;='01_Input'!$J$62,'01_Input'!$M$62,0),IF('01_Input'!$L$62="Palier",IF(AND(BS$20&gt;='01_Input'!$J$62,BS$20&lt;'01_Input'!$K$62),'01_Input'!$M$62,0),MAX(MIN(BS$20,'01_Input'!$K$62)-'01_Input'!$J$62,0)*'01_Input'!$M$62))+IF('01_Input'!$P$62="Forfait",IF(BS$20&gt;='01_Input'!$N$62,'01_Input'!$Q$62,0),IF('01_Input'!$P$62="Palier",IF(AND(BS$20&gt;='01_Input'!$N$62,BS$20&lt;'01_Input'!$O$62),'01_Input'!$Q$62,0),MAX(MIN(BS$20,'01_Input'!$O$62)-'01_Input'!$N$62,0)*'01_Input'!$Q$62))+IF('01_Input'!$T$62="Forfait",IF(BS$20&gt;='01_Input'!$R$62,'01_Input'!$U$62,0),IF('01_Input'!$T$62="Palier",IF(AND(BS$20&gt;='01_Input'!$R$62,BS$20&lt;'01_Input'!$S$62),'01_Input'!$U$62,0),MAX(MIN(BS$20,'01_Input'!$S$62)-'01_Input'!$R$62,0)*'01_Input'!$U$62))+IF('01_Input'!$X$62="Forfait",IF(BS$20&gt;='01_Input'!$V$62,'01_Input'!$Y$62,0),IF('01_Input'!$X$62="Palier",IF(AND(BS$20&gt;='01_Input'!$V$62,BS$20&lt;'01_Input'!$W$62),'01_Input'!$Y$62,0),MAX(MIN(BS$20,'01_Input'!$W$62)-'01_Input'!$V$62,0)*'01_Input'!$Y$62))+IF('01_Input'!$AB$62="Forfait",IF(BS$20&gt;='01_Input'!$Z$62,'01_Input'!$AC$62,0),IF('01_Input'!$AB$62="Palier",IF(AND(BS$20&gt;='01_Input'!$Z$62,BS$20&lt;'01_Input'!$AA$62),'01_Input'!$AC$62,0),MAX(MIN(BS$20,'01_Input'!$AA$62)-'01_Input'!$Z$62,0)*'01_Input'!$AC$62)))))))))</f>
        <v>0</v>
      </c>
      <c r="BT30" s="83">
        <f>IF('01_Input'!$C$62="Non",0,MIN('01_Input'!$I$62,MAX('01_Input'!$H$62,IF('01_Input'!$G$62="Résiduel vs Gestion",0,IF('01_Input'!$G$62="Taux Classe sélectionnée",Distrib_Global_Classe_Selectionnee*BT$20,IF('01_Input'!$G$62="Frais KYC (paliers de 100M€)",MAX(0,Nb_Investisseurs-Nb_KYC_Gratuites_Par_Tranche*(FLOOR(BT$20/Taille_Tranche_KYC,1)+1))*Cout_Par_KYC_Supplementaire,(IF('01_Input'!$L$62="Forfait",IF(BT$20&gt;='01_Input'!$J$62,'01_Input'!$M$62,0),IF('01_Input'!$L$62="Palier",IF(AND(BT$20&gt;='01_Input'!$J$62,BT$20&lt;'01_Input'!$K$62),'01_Input'!$M$62,0),MAX(MIN(BT$20,'01_Input'!$K$62)-'01_Input'!$J$62,0)*'01_Input'!$M$62))+IF('01_Input'!$P$62="Forfait",IF(BT$20&gt;='01_Input'!$N$62,'01_Input'!$Q$62,0),IF('01_Input'!$P$62="Palier",IF(AND(BT$20&gt;='01_Input'!$N$62,BT$20&lt;'01_Input'!$O$62),'01_Input'!$Q$62,0),MAX(MIN(BT$20,'01_Input'!$O$62)-'01_Input'!$N$62,0)*'01_Input'!$Q$62))+IF('01_Input'!$T$62="Forfait",IF(BT$20&gt;='01_Input'!$R$62,'01_Input'!$U$62,0),IF('01_Input'!$T$62="Palier",IF(AND(BT$20&gt;='01_Input'!$R$62,BT$20&lt;'01_Input'!$S$62),'01_Input'!$U$62,0),MAX(MIN(BT$20,'01_Input'!$S$62)-'01_Input'!$R$62,0)*'01_Input'!$U$62))+IF('01_Input'!$X$62="Forfait",IF(BT$20&gt;='01_Input'!$V$62,'01_Input'!$Y$62,0),IF('01_Input'!$X$62="Palier",IF(AND(BT$20&gt;='01_Input'!$V$62,BT$20&lt;'01_Input'!$W$62),'01_Input'!$Y$62,0),MAX(MIN(BT$20,'01_Input'!$W$62)-'01_Input'!$V$62,0)*'01_Input'!$Y$62))+IF('01_Input'!$AB$62="Forfait",IF(BT$20&gt;='01_Input'!$Z$62,'01_Input'!$AC$62,0),IF('01_Input'!$AB$62="Palier",IF(AND(BT$20&gt;='01_Input'!$Z$62,BT$20&lt;'01_Input'!$AA$62),'01_Input'!$AC$62,0),MAX(MIN(BT$20,'01_Input'!$AA$62)-'01_Input'!$Z$62,0)*'01_Input'!$AC$62)))))))))</f>
        <v>0</v>
      </c>
      <c r="BU30" s="83">
        <f>IF('01_Input'!$C$62="Non",0,MIN('01_Input'!$I$62,MAX('01_Input'!$H$62,IF('01_Input'!$G$62="Résiduel vs Gestion",0,IF('01_Input'!$G$62="Taux Classe sélectionnée",Distrib_Global_Classe_Selectionnee*BU$20,IF('01_Input'!$G$62="Frais KYC (paliers de 100M€)",MAX(0,Nb_Investisseurs-Nb_KYC_Gratuites_Par_Tranche*(FLOOR(BU$20/Taille_Tranche_KYC,1)+1))*Cout_Par_KYC_Supplementaire,(IF('01_Input'!$L$62="Forfait",IF(BU$20&gt;='01_Input'!$J$62,'01_Input'!$M$62,0),IF('01_Input'!$L$62="Palier",IF(AND(BU$20&gt;='01_Input'!$J$62,BU$20&lt;'01_Input'!$K$62),'01_Input'!$M$62,0),MAX(MIN(BU$20,'01_Input'!$K$62)-'01_Input'!$J$62,0)*'01_Input'!$M$62))+IF('01_Input'!$P$62="Forfait",IF(BU$20&gt;='01_Input'!$N$62,'01_Input'!$Q$62,0),IF('01_Input'!$P$62="Palier",IF(AND(BU$20&gt;='01_Input'!$N$62,BU$20&lt;'01_Input'!$O$62),'01_Input'!$Q$62,0),MAX(MIN(BU$20,'01_Input'!$O$62)-'01_Input'!$N$62,0)*'01_Input'!$Q$62))+IF('01_Input'!$T$62="Forfait",IF(BU$20&gt;='01_Input'!$R$62,'01_Input'!$U$62,0),IF('01_Input'!$T$62="Palier",IF(AND(BU$20&gt;='01_Input'!$R$62,BU$20&lt;'01_Input'!$S$62),'01_Input'!$U$62,0),MAX(MIN(BU$20,'01_Input'!$S$62)-'01_Input'!$R$62,0)*'01_Input'!$U$62))+IF('01_Input'!$X$62="Forfait",IF(BU$20&gt;='01_Input'!$V$62,'01_Input'!$Y$62,0),IF('01_Input'!$X$62="Palier",IF(AND(BU$20&gt;='01_Input'!$V$62,BU$20&lt;'01_Input'!$W$62),'01_Input'!$Y$62,0),MAX(MIN(BU$20,'01_Input'!$W$62)-'01_Input'!$V$62,0)*'01_Input'!$Y$62))+IF('01_Input'!$AB$62="Forfait",IF(BU$20&gt;='01_Input'!$Z$62,'01_Input'!$AC$62,0),IF('01_Input'!$AB$62="Palier",IF(AND(BU$20&gt;='01_Input'!$Z$62,BU$20&lt;'01_Input'!$AA$62),'01_Input'!$AC$62,0),MAX(MIN(BU$20,'01_Input'!$AA$62)-'01_Input'!$Z$62,0)*'01_Input'!$AC$62)))))))))</f>
        <v>0</v>
      </c>
      <c r="BV30" s="83">
        <f>IF('01_Input'!$C$62="Non",0,MIN('01_Input'!$I$62,MAX('01_Input'!$H$62,IF('01_Input'!$G$62="Résiduel vs Gestion",0,IF('01_Input'!$G$62="Taux Classe sélectionnée",Distrib_Global_Classe_Selectionnee*BV$20,IF('01_Input'!$G$62="Frais KYC (paliers de 100M€)",MAX(0,Nb_Investisseurs-Nb_KYC_Gratuites_Par_Tranche*(FLOOR(BV$20/Taille_Tranche_KYC,1)+1))*Cout_Par_KYC_Supplementaire,(IF('01_Input'!$L$62="Forfait",IF(BV$20&gt;='01_Input'!$J$62,'01_Input'!$M$62,0),IF('01_Input'!$L$62="Palier",IF(AND(BV$20&gt;='01_Input'!$J$62,BV$20&lt;'01_Input'!$K$62),'01_Input'!$M$62,0),MAX(MIN(BV$20,'01_Input'!$K$62)-'01_Input'!$J$62,0)*'01_Input'!$M$62))+IF('01_Input'!$P$62="Forfait",IF(BV$20&gt;='01_Input'!$N$62,'01_Input'!$Q$62,0),IF('01_Input'!$P$62="Palier",IF(AND(BV$20&gt;='01_Input'!$N$62,BV$20&lt;'01_Input'!$O$62),'01_Input'!$Q$62,0),MAX(MIN(BV$20,'01_Input'!$O$62)-'01_Input'!$N$62,0)*'01_Input'!$Q$62))+IF('01_Input'!$T$62="Forfait",IF(BV$20&gt;='01_Input'!$R$62,'01_Input'!$U$62,0),IF('01_Input'!$T$62="Palier",IF(AND(BV$20&gt;='01_Input'!$R$62,BV$20&lt;'01_Input'!$S$62),'01_Input'!$U$62,0),MAX(MIN(BV$20,'01_Input'!$S$62)-'01_Input'!$R$62,0)*'01_Input'!$U$62))+IF('01_Input'!$X$62="Forfait",IF(BV$20&gt;='01_Input'!$V$62,'01_Input'!$Y$62,0),IF('01_Input'!$X$62="Palier",IF(AND(BV$20&gt;='01_Input'!$V$62,BV$20&lt;'01_Input'!$W$62),'01_Input'!$Y$62,0),MAX(MIN(BV$20,'01_Input'!$W$62)-'01_Input'!$V$62,0)*'01_Input'!$Y$62))+IF('01_Input'!$AB$62="Forfait",IF(BV$20&gt;='01_Input'!$Z$62,'01_Input'!$AC$62,0),IF('01_Input'!$AB$62="Palier",IF(AND(BV$20&gt;='01_Input'!$Z$62,BV$20&lt;'01_Input'!$AA$62),'01_Input'!$AC$62,0),MAX(MIN(BV$20,'01_Input'!$AA$62)-'01_Input'!$Z$62,0)*'01_Input'!$AC$62)))))))))</f>
        <v>0</v>
      </c>
      <c r="BW30" s="83">
        <f>IF('01_Input'!$C$62="Non",0,MIN('01_Input'!$I$62,MAX('01_Input'!$H$62,IF('01_Input'!$G$62="Résiduel vs Gestion",0,IF('01_Input'!$G$62="Taux Classe sélectionnée",Distrib_Global_Classe_Selectionnee*BW$20,IF('01_Input'!$G$62="Frais KYC (paliers de 100M€)",MAX(0,Nb_Investisseurs-Nb_KYC_Gratuites_Par_Tranche*(FLOOR(BW$20/Taille_Tranche_KYC,1)+1))*Cout_Par_KYC_Supplementaire,(IF('01_Input'!$L$62="Forfait",IF(BW$20&gt;='01_Input'!$J$62,'01_Input'!$M$62,0),IF('01_Input'!$L$62="Palier",IF(AND(BW$20&gt;='01_Input'!$J$62,BW$20&lt;'01_Input'!$K$62),'01_Input'!$M$62,0),MAX(MIN(BW$20,'01_Input'!$K$62)-'01_Input'!$J$62,0)*'01_Input'!$M$62))+IF('01_Input'!$P$62="Forfait",IF(BW$20&gt;='01_Input'!$N$62,'01_Input'!$Q$62,0),IF('01_Input'!$P$62="Palier",IF(AND(BW$20&gt;='01_Input'!$N$62,BW$20&lt;'01_Input'!$O$62),'01_Input'!$Q$62,0),MAX(MIN(BW$20,'01_Input'!$O$62)-'01_Input'!$N$62,0)*'01_Input'!$Q$62))+IF('01_Input'!$T$62="Forfait",IF(BW$20&gt;='01_Input'!$R$62,'01_Input'!$U$62,0),IF('01_Input'!$T$62="Palier",IF(AND(BW$20&gt;='01_Input'!$R$62,BW$20&lt;'01_Input'!$S$62),'01_Input'!$U$62,0),MAX(MIN(BW$20,'01_Input'!$S$62)-'01_Input'!$R$62,0)*'01_Input'!$U$62))+IF('01_Input'!$X$62="Forfait",IF(BW$20&gt;='01_Input'!$V$62,'01_Input'!$Y$62,0),IF('01_Input'!$X$62="Palier",IF(AND(BW$20&gt;='01_Input'!$V$62,BW$20&lt;'01_Input'!$W$62),'01_Input'!$Y$62,0),MAX(MIN(BW$20,'01_Input'!$W$62)-'01_Input'!$V$62,0)*'01_Input'!$Y$62))+IF('01_Input'!$AB$62="Forfait",IF(BW$20&gt;='01_Input'!$Z$62,'01_Input'!$AC$62,0),IF('01_Input'!$AB$62="Palier",IF(AND(BW$20&gt;='01_Input'!$Z$62,BW$20&lt;'01_Input'!$AA$62),'01_Input'!$AC$62,0),MAX(MIN(BW$20,'01_Input'!$AA$62)-'01_Input'!$Z$62,0)*'01_Input'!$AC$62)))))))))</f>
        <v>0</v>
      </c>
      <c r="BX30" s="83">
        <f>IF('01_Input'!$C$62="Non",0,MIN('01_Input'!$I$62,MAX('01_Input'!$H$62,IF('01_Input'!$G$62="Résiduel vs Gestion",0,IF('01_Input'!$G$62="Taux Classe sélectionnée",Distrib_Global_Classe_Selectionnee*BX$20,IF('01_Input'!$G$62="Frais KYC (paliers de 100M€)",MAX(0,Nb_Investisseurs-Nb_KYC_Gratuites_Par_Tranche*(FLOOR(BX$20/Taille_Tranche_KYC,1)+1))*Cout_Par_KYC_Supplementaire,(IF('01_Input'!$L$62="Forfait",IF(BX$20&gt;='01_Input'!$J$62,'01_Input'!$M$62,0),IF('01_Input'!$L$62="Palier",IF(AND(BX$20&gt;='01_Input'!$J$62,BX$20&lt;'01_Input'!$K$62),'01_Input'!$M$62,0),MAX(MIN(BX$20,'01_Input'!$K$62)-'01_Input'!$J$62,0)*'01_Input'!$M$62))+IF('01_Input'!$P$62="Forfait",IF(BX$20&gt;='01_Input'!$N$62,'01_Input'!$Q$62,0),IF('01_Input'!$P$62="Palier",IF(AND(BX$20&gt;='01_Input'!$N$62,BX$20&lt;'01_Input'!$O$62),'01_Input'!$Q$62,0),MAX(MIN(BX$20,'01_Input'!$O$62)-'01_Input'!$N$62,0)*'01_Input'!$Q$62))+IF('01_Input'!$T$62="Forfait",IF(BX$20&gt;='01_Input'!$R$62,'01_Input'!$U$62,0),IF('01_Input'!$T$62="Palier",IF(AND(BX$20&gt;='01_Input'!$R$62,BX$20&lt;'01_Input'!$S$62),'01_Input'!$U$62,0),MAX(MIN(BX$20,'01_Input'!$S$62)-'01_Input'!$R$62,0)*'01_Input'!$U$62))+IF('01_Input'!$X$62="Forfait",IF(BX$20&gt;='01_Input'!$V$62,'01_Input'!$Y$62,0),IF('01_Input'!$X$62="Palier",IF(AND(BX$20&gt;='01_Input'!$V$62,BX$20&lt;'01_Input'!$W$62),'01_Input'!$Y$62,0),MAX(MIN(BX$20,'01_Input'!$W$62)-'01_Input'!$V$62,0)*'01_Input'!$Y$62))+IF('01_Input'!$AB$62="Forfait",IF(BX$20&gt;='01_Input'!$Z$62,'01_Input'!$AC$62,0),IF('01_Input'!$AB$62="Palier",IF(AND(BX$20&gt;='01_Input'!$Z$62,BX$20&lt;'01_Input'!$AA$62),'01_Input'!$AC$62,0),MAX(MIN(BX$20,'01_Input'!$AA$62)-'01_Input'!$Z$62,0)*'01_Input'!$AC$62)))))))))</f>
        <v>0</v>
      </c>
      <c r="BY30" s="83">
        <f>IF('01_Input'!$C$62="Non",0,MIN('01_Input'!$I$62,MAX('01_Input'!$H$62,IF('01_Input'!$G$62="Résiduel vs Gestion",0,IF('01_Input'!$G$62="Taux Classe sélectionnée",Distrib_Global_Classe_Selectionnee*BY$20,IF('01_Input'!$G$62="Frais KYC (paliers de 100M€)",MAX(0,Nb_Investisseurs-Nb_KYC_Gratuites_Par_Tranche*(FLOOR(BY$20/Taille_Tranche_KYC,1)+1))*Cout_Par_KYC_Supplementaire,(IF('01_Input'!$L$62="Forfait",IF(BY$20&gt;='01_Input'!$J$62,'01_Input'!$M$62,0),IF('01_Input'!$L$62="Palier",IF(AND(BY$20&gt;='01_Input'!$J$62,BY$20&lt;'01_Input'!$K$62),'01_Input'!$M$62,0),MAX(MIN(BY$20,'01_Input'!$K$62)-'01_Input'!$J$62,0)*'01_Input'!$M$62))+IF('01_Input'!$P$62="Forfait",IF(BY$20&gt;='01_Input'!$N$62,'01_Input'!$Q$62,0),IF('01_Input'!$P$62="Palier",IF(AND(BY$20&gt;='01_Input'!$N$62,BY$20&lt;'01_Input'!$O$62),'01_Input'!$Q$62,0),MAX(MIN(BY$20,'01_Input'!$O$62)-'01_Input'!$N$62,0)*'01_Input'!$Q$62))+IF('01_Input'!$T$62="Forfait",IF(BY$20&gt;='01_Input'!$R$62,'01_Input'!$U$62,0),IF('01_Input'!$T$62="Palier",IF(AND(BY$20&gt;='01_Input'!$R$62,BY$20&lt;'01_Input'!$S$62),'01_Input'!$U$62,0),MAX(MIN(BY$20,'01_Input'!$S$62)-'01_Input'!$R$62,0)*'01_Input'!$U$62))+IF('01_Input'!$X$62="Forfait",IF(BY$20&gt;='01_Input'!$V$62,'01_Input'!$Y$62,0),IF('01_Input'!$X$62="Palier",IF(AND(BY$20&gt;='01_Input'!$V$62,BY$20&lt;'01_Input'!$W$62),'01_Input'!$Y$62,0),MAX(MIN(BY$20,'01_Input'!$W$62)-'01_Input'!$V$62,0)*'01_Input'!$Y$62))+IF('01_Input'!$AB$62="Forfait",IF(BY$20&gt;='01_Input'!$Z$62,'01_Input'!$AC$62,0),IF('01_Input'!$AB$62="Palier",IF(AND(BY$20&gt;='01_Input'!$Z$62,BY$20&lt;'01_Input'!$AA$62),'01_Input'!$AC$62,0),MAX(MIN(BY$20,'01_Input'!$AA$62)-'01_Input'!$Z$62,0)*'01_Input'!$AC$62)))))))))</f>
        <v>0</v>
      </c>
      <c r="BZ30" s="83">
        <f>IF('01_Input'!$C$62="Non",0,MIN('01_Input'!$I$62,MAX('01_Input'!$H$62,IF('01_Input'!$G$62="Résiduel vs Gestion",0,IF('01_Input'!$G$62="Taux Classe sélectionnée",Distrib_Global_Classe_Selectionnee*BZ$20,IF('01_Input'!$G$62="Frais KYC (paliers de 100M€)",MAX(0,Nb_Investisseurs-Nb_KYC_Gratuites_Par_Tranche*(FLOOR(BZ$20/Taille_Tranche_KYC,1)+1))*Cout_Par_KYC_Supplementaire,(IF('01_Input'!$L$62="Forfait",IF(BZ$20&gt;='01_Input'!$J$62,'01_Input'!$M$62,0),IF('01_Input'!$L$62="Palier",IF(AND(BZ$20&gt;='01_Input'!$J$62,BZ$20&lt;'01_Input'!$K$62),'01_Input'!$M$62,0),MAX(MIN(BZ$20,'01_Input'!$K$62)-'01_Input'!$J$62,0)*'01_Input'!$M$62))+IF('01_Input'!$P$62="Forfait",IF(BZ$20&gt;='01_Input'!$N$62,'01_Input'!$Q$62,0),IF('01_Input'!$P$62="Palier",IF(AND(BZ$20&gt;='01_Input'!$N$62,BZ$20&lt;'01_Input'!$O$62),'01_Input'!$Q$62,0),MAX(MIN(BZ$20,'01_Input'!$O$62)-'01_Input'!$N$62,0)*'01_Input'!$Q$62))+IF('01_Input'!$T$62="Forfait",IF(BZ$20&gt;='01_Input'!$R$62,'01_Input'!$U$62,0),IF('01_Input'!$T$62="Palier",IF(AND(BZ$20&gt;='01_Input'!$R$62,BZ$20&lt;'01_Input'!$S$62),'01_Input'!$U$62,0),MAX(MIN(BZ$20,'01_Input'!$S$62)-'01_Input'!$R$62,0)*'01_Input'!$U$62))+IF('01_Input'!$X$62="Forfait",IF(BZ$20&gt;='01_Input'!$V$62,'01_Input'!$Y$62,0),IF('01_Input'!$X$62="Palier",IF(AND(BZ$20&gt;='01_Input'!$V$62,BZ$20&lt;'01_Input'!$W$62),'01_Input'!$Y$62,0),MAX(MIN(BZ$20,'01_Input'!$W$62)-'01_Input'!$V$62,0)*'01_Input'!$Y$62))+IF('01_Input'!$AB$62="Forfait",IF(BZ$20&gt;='01_Input'!$Z$62,'01_Input'!$AC$62,0),IF('01_Input'!$AB$62="Palier",IF(AND(BZ$20&gt;='01_Input'!$Z$62,BZ$20&lt;'01_Input'!$AA$62),'01_Input'!$AC$62,0),MAX(MIN(BZ$20,'01_Input'!$AA$62)-'01_Input'!$Z$62,0)*'01_Input'!$AC$62)))))))))</f>
        <v>0</v>
      </c>
      <c r="CA30" s="83">
        <f>IF('01_Input'!$C$62="Non",0,MIN('01_Input'!$I$62,MAX('01_Input'!$H$62,IF('01_Input'!$G$62="Résiduel vs Gestion",0,IF('01_Input'!$G$62="Taux Classe sélectionnée",Distrib_Global_Classe_Selectionnee*CA$20,IF('01_Input'!$G$62="Frais KYC (paliers de 100M€)",MAX(0,Nb_Investisseurs-Nb_KYC_Gratuites_Par_Tranche*(FLOOR(CA$20/Taille_Tranche_KYC,1)+1))*Cout_Par_KYC_Supplementaire,(IF('01_Input'!$L$62="Forfait",IF(CA$20&gt;='01_Input'!$J$62,'01_Input'!$M$62,0),IF('01_Input'!$L$62="Palier",IF(AND(CA$20&gt;='01_Input'!$J$62,CA$20&lt;'01_Input'!$K$62),'01_Input'!$M$62,0),MAX(MIN(CA$20,'01_Input'!$K$62)-'01_Input'!$J$62,0)*'01_Input'!$M$62))+IF('01_Input'!$P$62="Forfait",IF(CA$20&gt;='01_Input'!$N$62,'01_Input'!$Q$62,0),IF('01_Input'!$P$62="Palier",IF(AND(CA$20&gt;='01_Input'!$N$62,CA$20&lt;'01_Input'!$O$62),'01_Input'!$Q$62,0),MAX(MIN(CA$20,'01_Input'!$O$62)-'01_Input'!$N$62,0)*'01_Input'!$Q$62))+IF('01_Input'!$T$62="Forfait",IF(CA$20&gt;='01_Input'!$R$62,'01_Input'!$U$62,0),IF('01_Input'!$T$62="Palier",IF(AND(CA$20&gt;='01_Input'!$R$62,CA$20&lt;'01_Input'!$S$62),'01_Input'!$U$62,0),MAX(MIN(CA$20,'01_Input'!$S$62)-'01_Input'!$R$62,0)*'01_Input'!$U$62))+IF('01_Input'!$X$62="Forfait",IF(CA$20&gt;='01_Input'!$V$62,'01_Input'!$Y$62,0),IF('01_Input'!$X$62="Palier",IF(AND(CA$20&gt;='01_Input'!$V$62,CA$20&lt;'01_Input'!$W$62),'01_Input'!$Y$62,0),MAX(MIN(CA$20,'01_Input'!$W$62)-'01_Input'!$V$62,0)*'01_Input'!$Y$62))+IF('01_Input'!$AB$62="Forfait",IF(CA$20&gt;='01_Input'!$Z$62,'01_Input'!$AC$62,0),IF('01_Input'!$AB$62="Palier",IF(AND(CA$20&gt;='01_Input'!$Z$62,CA$20&lt;'01_Input'!$AA$62),'01_Input'!$AC$62,0),MAX(MIN(CA$20,'01_Input'!$AA$62)-'01_Input'!$Z$62,0)*'01_Input'!$AC$62)))))))))</f>
        <v>0</v>
      </c>
      <c r="CB30" s="83">
        <f>IF('01_Input'!$C$62="Non",0,MIN('01_Input'!$I$62,MAX('01_Input'!$H$62,IF('01_Input'!$G$62="Résiduel vs Gestion",0,IF('01_Input'!$G$62="Taux Classe sélectionnée",Distrib_Global_Classe_Selectionnee*CB$20,IF('01_Input'!$G$62="Frais KYC (paliers de 100M€)",MAX(0,Nb_Investisseurs-Nb_KYC_Gratuites_Par_Tranche*(FLOOR(CB$20/Taille_Tranche_KYC,1)+1))*Cout_Par_KYC_Supplementaire,(IF('01_Input'!$L$62="Forfait",IF(CB$20&gt;='01_Input'!$J$62,'01_Input'!$M$62,0),IF('01_Input'!$L$62="Palier",IF(AND(CB$20&gt;='01_Input'!$J$62,CB$20&lt;'01_Input'!$K$62),'01_Input'!$M$62,0),MAX(MIN(CB$20,'01_Input'!$K$62)-'01_Input'!$J$62,0)*'01_Input'!$M$62))+IF('01_Input'!$P$62="Forfait",IF(CB$20&gt;='01_Input'!$N$62,'01_Input'!$Q$62,0),IF('01_Input'!$P$62="Palier",IF(AND(CB$20&gt;='01_Input'!$N$62,CB$20&lt;'01_Input'!$O$62),'01_Input'!$Q$62,0),MAX(MIN(CB$20,'01_Input'!$O$62)-'01_Input'!$N$62,0)*'01_Input'!$Q$62))+IF('01_Input'!$T$62="Forfait",IF(CB$20&gt;='01_Input'!$R$62,'01_Input'!$U$62,0),IF('01_Input'!$T$62="Palier",IF(AND(CB$20&gt;='01_Input'!$R$62,CB$20&lt;'01_Input'!$S$62),'01_Input'!$U$62,0),MAX(MIN(CB$20,'01_Input'!$S$62)-'01_Input'!$R$62,0)*'01_Input'!$U$62))+IF('01_Input'!$X$62="Forfait",IF(CB$20&gt;='01_Input'!$V$62,'01_Input'!$Y$62,0),IF('01_Input'!$X$62="Palier",IF(AND(CB$20&gt;='01_Input'!$V$62,CB$20&lt;'01_Input'!$W$62),'01_Input'!$Y$62,0),MAX(MIN(CB$20,'01_Input'!$W$62)-'01_Input'!$V$62,0)*'01_Input'!$Y$62))+IF('01_Input'!$AB$62="Forfait",IF(CB$20&gt;='01_Input'!$Z$62,'01_Input'!$AC$62,0),IF('01_Input'!$AB$62="Palier",IF(AND(CB$20&gt;='01_Input'!$Z$62,CB$20&lt;'01_Input'!$AA$62),'01_Input'!$AC$62,0),MAX(MIN(CB$20,'01_Input'!$AA$62)-'01_Input'!$Z$62,0)*'01_Input'!$AC$62)))))))))</f>
        <v>0</v>
      </c>
      <c r="CC30" s="83">
        <f>IF('01_Input'!$C$62="Non",0,MIN('01_Input'!$I$62,MAX('01_Input'!$H$62,IF('01_Input'!$G$62="Résiduel vs Gestion",0,IF('01_Input'!$G$62="Taux Classe sélectionnée",Distrib_Global_Classe_Selectionnee*CC$20,IF('01_Input'!$G$62="Frais KYC (paliers de 100M€)",MAX(0,Nb_Investisseurs-Nb_KYC_Gratuites_Par_Tranche*(FLOOR(CC$20/Taille_Tranche_KYC,1)+1))*Cout_Par_KYC_Supplementaire,(IF('01_Input'!$L$62="Forfait",IF(CC$20&gt;='01_Input'!$J$62,'01_Input'!$M$62,0),IF('01_Input'!$L$62="Palier",IF(AND(CC$20&gt;='01_Input'!$J$62,CC$20&lt;'01_Input'!$K$62),'01_Input'!$M$62,0),MAX(MIN(CC$20,'01_Input'!$K$62)-'01_Input'!$J$62,0)*'01_Input'!$M$62))+IF('01_Input'!$P$62="Forfait",IF(CC$20&gt;='01_Input'!$N$62,'01_Input'!$Q$62,0),IF('01_Input'!$P$62="Palier",IF(AND(CC$20&gt;='01_Input'!$N$62,CC$20&lt;'01_Input'!$O$62),'01_Input'!$Q$62,0),MAX(MIN(CC$20,'01_Input'!$O$62)-'01_Input'!$N$62,0)*'01_Input'!$Q$62))+IF('01_Input'!$T$62="Forfait",IF(CC$20&gt;='01_Input'!$R$62,'01_Input'!$U$62,0),IF('01_Input'!$T$62="Palier",IF(AND(CC$20&gt;='01_Input'!$R$62,CC$20&lt;'01_Input'!$S$62),'01_Input'!$U$62,0),MAX(MIN(CC$20,'01_Input'!$S$62)-'01_Input'!$R$62,0)*'01_Input'!$U$62))+IF('01_Input'!$X$62="Forfait",IF(CC$20&gt;='01_Input'!$V$62,'01_Input'!$Y$62,0),IF('01_Input'!$X$62="Palier",IF(AND(CC$20&gt;='01_Input'!$V$62,CC$20&lt;'01_Input'!$W$62),'01_Input'!$Y$62,0),MAX(MIN(CC$20,'01_Input'!$W$62)-'01_Input'!$V$62,0)*'01_Input'!$Y$62))+IF('01_Input'!$AB$62="Forfait",IF(CC$20&gt;='01_Input'!$Z$62,'01_Input'!$AC$62,0),IF('01_Input'!$AB$62="Palier",IF(AND(CC$20&gt;='01_Input'!$Z$62,CC$20&lt;'01_Input'!$AA$62),'01_Input'!$AC$62,0),MAX(MIN(CC$20,'01_Input'!$AA$62)-'01_Input'!$Z$62,0)*'01_Input'!$AC$62)))))))))</f>
        <v>0</v>
      </c>
      <c r="CD30" s="83">
        <f>IF('01_Input'!$C$62="Non",0,MIN('01_Input'!$I$62,MAX('01_Input'!$H$62,IF('01_Input'!$G$62="Résiduel vs Gestion",0,IF('01_Input'!$G$62="Taux Classe sélectionnée",Distrib_Global_Classe_Selectionnee*CD$20,IF('01_Input'!$G$62="Frais KYC (paliers de 100M€)",MAX(0,Nb_Investisseurs-Nb_KYC_Gratuites_Par_Tranche*(FLOOR(CD$20/Taille_Tranche_KYC,1)+1))*Cout_Par_KYC_Supplementaire,(IF('01_Input'!$L$62="Forfait",IF(CD$20&gt;='01_Input'!$J$62,'01_Input'!$M$62,0),IF('01_Input'!$L$62="Palier",IF(AND(CD$20&gt;='01_Input'!$J$62,CD$20&lt;'01_Input'!$K$62),'01_Input'!$M$62,0),MAX(MIN(CD$20,'01_Input'!$K$62)-'01_Input'!$J$62,0)*'01_Input'!$M$62))+IF('01_Input'!$P$62="Forfait",IF(CD$20&gt;='01_Input'!$N$62,'01_Input'!$Q$62,0),IF('01_Input'!$P$62="Palier",IF(AND(CD$20&gt;='01_Input'!$N$62,CD$20&lt;'01_Input'!$O$62),'01_Input'!$Q$62,0),MAX(MIN(CD$20,'01_Input'!$O$62)-'01_Input'!$N$62,0)*'01_Input'!$Q$62))+IF('01_Input'!$T$62="Forfait",IF(CD$20&gt;='01_Input'!$R$62,'01_Input'!$U$62,0),IF('01_Input'!$T$62="Palier",IF(AND(CD$20&gt;='01_Input'!$R$62,CD$20&lt;'01_Input'!$S$62),'01_Input'!$U$62,0),MAX(MIN(CD$20,'01_Input'!$S$62)-'01_Input'!$R$62,0)*'01_Input'!$U$62))+IF('01_Input'!$X$62="Forfait",IF(CD$20&gt;='01_Input'!$V$62,'01_Input'!$Y$62,0),IF('01_Input'!$X$62="Palier",IF(AND(CD$20&gt;='01_Input'!$V$62,CD$20&lt;'01_Input'!$W$62),'01_Input'!$Y$62,0),MAX(MIN(CD$20,'01_Input'!$W$62)-'01_Input'!$V$62,0)*'01_Input'!$Y$62))+IF('01_Input'!$AB$62="Forfait",IF(CD$20&gt;='01_Input'!$Z$62,'01_Input'!$AC$62,0),IF('01_Input'!$AB$62="Palier",IF(AND(CD$20&gt;='01_Input'!$Z$62,CD$20&lt;'01_Input'!$AA$62),'01_Input'!$AC$62,0),MAX(MIN(CD$20,'01_Input'!$AA$62)-'01_Input'!$Z$62,0)*'01_Input'!$AC$62)))))))))</f>
        <v>0</v>
      </c>
      <c r="CE30" s="83">
        <f>IF('01_Input'!$C$62="Non",0,MIN('01_Input'!$I$62,MAX('01_Input'!$H$62,IF('01_Input'!$G$62="Résiduel vs Gestion",0,IF('01_Input'!$G$62="Taux Classe sélectionnée",Distrib_Global_Classe_Selectionnee*CE$20,IF('01_Input'!$G$62="Frais KYC (paliers de 100M€)",MAX(0,Nb_Investisseurs-Nb_KYC_Gratuites_Par_Tranche*(FLOOR(CE$20/Taille_Tranche_KYC,1)+1))*Cout_Par_KYC_Supplementaire,(IF('01_Input'!$L$62="Forfait",IF(CE$20&gt;='01_Input'!$J$62,'01_Input'!$M$62,0),IF('01_Input'!$L$62="Palier",IF(AND(CE$20&gt;='01_Input'!$J$62,CE$20&lt;'01_Input'!$K$62),'01_Input'!$M$62,0),MAX(MIN(CE$20,'01_Input'!$K$62)-'01_Input'!$J$62,0)*'01_Input'!$M$62))+IF('01_Input'!$P$62="Forfait",IF(CE$20&gt;='01_Input'!$N$62,'01_Input'!$Q$62,0),IF('01_Input'!$P$62="Palier",IF(AND(CE$20&gt;='01_Input'!$N$62,CE$20&lt;'01_Input'!$O$62),'01_Input'!$Q$62,0),MAX(MIN(CE$20,'01_Input'!$O$62)-'01_Input'!$N$62,0)*'01_Input'!$Q$62))+IF('01_Input'!$T$62="Forfait",IF(CE$20&gt;='01_Input'!$R$62,'01_Input'!$U$62,0),IF('01_Input'!$T$62="Palier",IF(AND(CE$20&gt;='01_Input'!$R$62,CE$20&lt;'01_Input'!$S$62),'01_Input'!$U$62,0),MAX(MIN(CE$20,'01_Input'!$S$62)-'01_Input'!$R$62,0)*'01_Input'!$U$62))+IF('01_Input'!$X$62="Forfait",IF(CE$20&gt;='01_Input'!$V$62,'01_Input'!$Y$62,0),IF('01_Input'!$X$62="Palier",IF(AND(CE$20&gt;='01_Input'!$V$62,CE$20&lt;'01_Input'!$W$62),'01_Input'!$Y$62,0),MAX(MIN(CE$20,'01_Input'!$W$62)-'01_Input'!$V$62,0)*'01_Input'!$Y$62))+IF('01_Input'!$AB$62="Forfait",IF(CE$20&gt;='01_Input'!$Z$62,'01_Input'!$AC$62,0),IF('01_Input'!$AB$62="Palier",IF(AND(CE$20&gt;='01_Input'!$Z$62,CE$20&lt;'01_Input'!$AA$62),'01_Input'!$AC$62,0),MAX(MIN(CE$20,'01_Input'!$AA$62)-'01_Input'!$Z$62,0)*'01_Input'!$AC$62)))))))))</f>
        <v>0</v>
      </c>
      <c r="CF30" s="83">
        <f>IF('01_Input'!$C$62="Non",0,MIN('01_Input'!$I$62,MAX('01_Input'!$H$62,IF('01_Input'!$G$62="Résiduel vs Gestion",0,IF('01_Input'!$G$62="Taux Classe sélectionnée",Distrib_Global_Classe_Selectionnee*CF$20,IF('01_Input'!$G$62="Frais KYC (paliers de 100M€)",MAX(0,Nb_Investisseurs-Nb_KYC_Gratuites_Par_Tranche*(FLOOR(CF$20/Taille_Tranche_KYC,1)+1))*Cout_Par_KYC_Supplementaire,(IF('01_Input'!$L$62="Forfait",IF(CF$20&gt;='01_Input'!$J$62,'01_Input'!$M$62,0),IF('01_Input'!$L$62="Palier",IF(AND(CF$20&gt;='01_Input'!$J$62,CF$20&lt;'01_Input'!$K$62),'01_Input'!$M$62,0),MAX(MIN(CF$20,'01_Input'!$K$62)-'01_Input'!$J$62,0)*'01_Input'!$M$62))+IF('01_Input'!$P$62="Forfait",IF(CF$20&gt;='01_Input'!$N$62,'01_Input'!$Q$62,0),IF('01_Input'!$P$62="Palier",IF(AND(CF$20&gt;='01_Input'!$N$62,CF$20&lt;'01_Input'!$O$62),'01_Input'!$Q$62,0),MAX(MIN(CF$20,'01_Input'!$O$62)-'01_Input'!$N$62,0)*'01_Input'!$Q$62))+IF('01_Input'!$T$62="Forfait",IF(CF$20&gt;='01_Input'!$R$62,'01_Input'!$U$62,0),IF('01_Input'!$T$62="Palier",IF(AND(CF$20&gt;='01_Input'!$R$62,CF$20&lt;'01_Input'!$S$62),'01_Input'!$U$62,0),MAX(MIN(CF$20,'01_Input'!$S$62)-'01_Input'!$R$62,0)*'01_Input'!$U$62))+IF('01_Input'!$X$62="Forfait",IF(CF$20&gt;='01_Input'!$V$62,'01_Input'!$Y$62,0),IF('01_Input'!$X$62="Palier",IF(AND(CF$20&gt;='01_Input'!$V$62,CF$20&lt;'01_Input'!$W$62),'01_Input'!$Y$62,0),MAX(MIN(CF$20,'01_Input'!$W$62)-'01_Input'!$V$62,0)*'01_Input'!$Y$62))+IF('01_Input'!$AB$62="Forfait",IF(CF$20&gt;='01_Input'!$Z$62,'01_Input'!$AC$62,0),IF('01_Input'!$AB$62="Palier",IF(AND(CF$20&gt;='01_Input'!$Z$62,CF$20&lt;'01_Input'!$AA$62),'01_Input'!$AC$62,0),MAX(MIN(CF$20,'01_Input'!$AA$62)-'01_Input'!$Z$62,0)*'01_Input'!$AC$62)))))))))</f>
        <v>0</v>
      </c>
      <c r="CG30" s="83">
        <f>IF('01_Input'!$C$62="Non",0,MIN('01_Input'!$I$62,MAX('01_Input'!$H$62,IF('01_Input'!$G$62="Résiduel vs Gestion",0,IF('01_Input'!$G$62="Taux Classe sélectionnée",Distrib_Global_Classe_Selectionnee*CG$20,IF('01_Input'!$G$62="Frais KYC (paliers de 100M€)",MAX(0,Nb_Investisseurs-Nb_KYC_Gratuites_Par_Tranche*(FLOOR(CG$20/Taille_Tranche_KYC,1)+1))*Cout_Par_KYC_Supplementaire,(IF('01_Input'!$L$62="Forfait",IF(CG$20&gt;='01_Input'!$J$62,'01_Input'!$M$62,0),IF('01_Input'!$L$62="Palier",IF(AND(CG$20&gt;='01_Input'!$J$62,CG$20&lt;'01_Input'!$K$62),'01_Input'!$M$62,0),MAX(MIN(CG$20,'01_Input'!$K$62)-'01_Input'!$J$62,0)*'01_Input'!$M$62))+IF('01_Input'!$P$62="Forfait",IF(CG$20&gt;='01_Input'!$N$62,'01_Input'!$Q$62,0),IF('01_Input'!$P$62="Palier",IF(AND(CG$20&gt;='01_Input'!$N$62,CG$20&lt;'01_Input'!$O$62),'01_Input'!$Q$62,0),MAX(MIN(CG$20,'01_Input'!$O$62)-'01_Input'!$N$62,0)*'01_Input'!$Q$62))+IF('01_Input'!$T$62="Forfait",IF(CG$20&gt;='01_Input'!$R$62,'01_Input'!$U$62,0),IF('01_Input'!$T$62="Palier",IF(AND(CG$20&gt;='01_Input'!$R$62,CG$20&lt;'01_Input'!$S$62),'01_Input'!$U$62,0),MAX(MIN(CG$20,'01_Input'!$S$62)-'01_Input'!$R$62,0)*'01_Input'!$U$62))+IF('01_Input'!$X$62="Forfait",IF(CG$20&gt;='01_Input'!$V$62,'01_Input'!$Y$62,0),IF('01_Input'!$X$62="Palier",IF(AND(CG$20&gt;='01_Input'!$V$62,CG$20&lt;'01_Input'!$W$62),'01_Input'!$Y$62,0),MAX(MIN(CG$20,'01_Input'!$W$62)-'01_Input'!$V$62,0)*'01_Input'!$Y$62))+IF('01_Input'!$AB$62="Forfait",IF(CG$20&gt;='01_Input'!$Z$62,'01_Input'!$AC$62,0),IF('01_Input'!$AB$62="Palier",IF(AND(CG$20&gt;='01_Input'!$Z$62,CG$20&lt;'01_Input'!$AA$62),'01_Input'!$AC$62,0),MAX(MIN(CG$20,'01_Input'!$AA$62)-'01_Input'!$Z$62,0)*'01_Input'!$AC$62)))))))))</f>
        <v>0</v>
      </c>
      <c r="CH30" s="83">
        <f>IF('01_Input'!$C$62="Non",0,MIN('01_Input'!$I$62,MAX('01_Input'!$H$62,IF('01_Input'!$G$62="Résiduel vs Gestion",0,IF('01_Input'!$G$62="Taux Classe sélectionnée",Distrib_Global_Classe_Selectionnee*CH$20,IF('01_Input'!$G$62="Frais KYC (paliers de 100M€)",MAX(0,Nb_Investisseurs-Nb_KYC_Gratuites_Par_Tranche*(FLOOR(CH$20/Taille_Tranche_KYC,1)+1))*Cout_Par_KYC_Supplementaire,(IF('01_Input'!$L$62="Forfait",IF(CH$20&gt;='01_Input'!$J$62,'01_Input'!$M$62,0),IF('01_Input'!$L$62="Palier",IF(AND(CH$20&gt;='01_Input'!$J$62,CH$20&lt;'01_Input'!$K$62),'01_Input'!$M$62,0),MAX(MIN(CH$20,'01_Input'!$K$62)-'01_Input'!$J$62,0)*'01_Input'!$M$62))+IF('01_Input'!$P$62="Forfait",IF(CH$20&gt;='01_Input'!$N$62,'01_Input'!$Q$62,0),IF('01_Input'!$P$62="Palier",IF(AND(CH$20&gt;='01_Input'!$N$62,CH$20&lt;'01_Input'!$O$62),'01_Input'!$Q$62,0),MAX(MIN(CH$20,'01_Input'!$O$62)-'01_Input'!$N$62,0)*'01_Input'!$Q$62))+IF('01_Input'!$T$62="Forfait",IF(CH$20&gt;='01_Input'!$R$62,'01_Input'!$U$62,0),IF('01_Input'!$T$62="Palier",IF(AND(CH$20&gt;='01_Input'!$R$62,CH$20&lt;'01_Input'!$S$62),'01_Input'!$U$62,0),MAX(MIN(CH$20,'01_Input'!$S$62)-'01_Input'!$R$62,0)*'01_Input'!$U$62))+IF('01_Input'!$X$62="Forfait",IF(CH$20&gt;='01_Input'!$V$62,'01_Input'!$Y$62,0),IF('01_Input'!$X$62="Palier",IF(AND(CH$20&gt;='01_Input'!$V$62,CH$20&lt;'01_Input'!$W$62),'01_Input'!$Y$62,0),MAX(MIN(CH$20,'01_Input'!$W$62)-'01_Input'!$V$62,0)*'01_Input'!$Y$62))+IF('01_Input'!$AB$62="Forfait",IF(CH$20&gt;='01_Input'!$Z$62,'01_Input'!$AC$62,0),IF('01_Input'!$AB$62="Palier",IF(AND(CH$20&gt;='01_Input'!$Z$62,CH$20&lt;'01_Input'!$AA$62),'01_Input'!$AC$62,0),MAX(MIN(CH$20,'01_Input'!$AA$62)-'01_Input'!$Z$62,0)*'01_Input'!$AC$62)))))))))</f>
        <v>0</v>
      </c>
      <c r="CI30" s="83">
        <f>IF('01_Input'!$C$62="Non",0,MIN('01_Input'!$I$62,MAX('01_Input'!$H$62,IF('01_Input'!$G$62="Résiduel vs Gestion",0,IF('01_Input'!$G$62="Taux Classe sélectionnée",Distrib_Global_Classe_Selectionnee*CI$20,IF('01_Input'!$G$62="Frais KYC (paliers de 100M€)",MAX(0,Nb_Investisseurs-Nb_KYC_Gratuites_Par_Tranche*(FLOOR(CI$20/Taille_Tranche_KYC,1)+1))*Cout_Par_KYC_Supplementaire,(IF('01_Input'!$L$62="Forfait",IF(CI$20&gt;='01_Input'!$J$62,'01_Input'!$M$62,0),IF('01_Input'!$L$62="Palier",IF(AND(CI$20&gt;='01_Input'!$J$62,CI$20&lt;'01_Input'!$K$62),'01_Input'!$M$62,0),MAX(MIN(CI$20,'01_Input'!$K$62)-'01_Input'!$J$62,0)*'01_Input'!$M$62))+IF('01_Input'!$P$62="Forfait",IF(CI$20&gt;='01_Input'!$N$62,'01_Input'!$Q$62,0),IF('01_Input'!$P$62="Palier",IF(AND(CI$20&gt;='01_Input'!$N$62,CI$20&lt;'01_Input'!$O$62),'01_Input'!$Q$62,0),MAX(MIN(CI$20,'01_Input'!$O$62)-'01_Input'!$N$62,0)*'01_Input'!$Q$62))+IF('01_Input'!$T$62="Forfait",IF(CI$20&gt;='01_Input'!$R$62,'01_Input'!$U$62,0),IF('01_Input'!$T$62="Palier",IF(AND(CI$20&gt;='01_Input'!$R$62,CI$20&lt;'01_Input'!$S$62),'01_Input'!$U$62,0),MAX(MIN(CI$20,'01_Input'!$S$62)-'01_Input'!$R$62,0)*'01_Input'!$U$62))+IF('01_Input'!$X$62="Forfait",IF(CI$20&gt;='01_Input'!$V$62,'01_Input'!$Y$62,0),IF('01_Input'!$X$62="Palier",IF(AND(CI$20&gt;='01_Input'!$V$62,CI$20&lt;'01_Input'!$W$62),'01_Input'!$Y$62,0),MAX(MIN(CI$20,'01_Input'!$W$62)-'01_Input'!$V$62,0)*'01_Input'!$Y$62))+IF('01_Input'!$AB$62="Forfait",IF(CI$20&gt;='01_Input'!$Z$62,'01_Input'!$AC$62,0),IF('01_Input'!$AB$62="Palier",IF(AND(CI$20&gt;='01_Input'!$Z$62,CI$20&lt;'01_Input'!$AA$62),'01_Input'!$AC$62,0),MAX(MIN(CI$20,'01_Input'!$AA$62)-'01_Input'!$Z$62,0)*'01_Input'!$AC$62)))))))))</f>
        <v>0</v>
      </c>
      <c r="CJ30" s="83">
        <f>IF('01_Input'!$C$62="Non",0,MIN('01_Input'!$I$62,MAX('01_Input'!$H$62,IF('01_Input'!$G$62="Résiduel vs Gestion",0,IF('01_Input'!$G$62="Taux Classe sélectionnée",Distrib_Global_Classe_Selectionnee*CJ$20,IF('01_Input'!$G$62="Frais KYC (paliers de 100M€)",MAX(0,Nb_Investisseurs-Nb_KYC_Gratuites_Par_Tranche*(FLOOR(CJ$20/Taille_Tranche_KYC,1)+1))*Cout_Par_KYC_Supplementaire,(IF('01_Input'!$L$62="Forfait",IF(CJ$20&gt;='01_Input'!$J$62,'01_Input'!$M$62,0),IF('01_Input'!$L$62="Palier",IF(AND(CJ$20&gt;='01_Input'!$J$62,CJ$20&lt;'01_Input'!$K$62),'01_Input'!$M$62,0),MAX(MIN(CJ$20,'01_Input'!$K$62)-'01_Input'!$J$62,0)*'01_Input'!$M$62))+IF('01_Input'!$P$62="Forfait",IF(CJ$20&gt;='01_Input'!$N$62,'01_Input'!$Q$62,0),IF('01_Input'!$P$62="Palier",IF(AND(CJ$20&gt;='01_Input'!$N$62,CJ$20&lt;'01_Input'!$O$62),'01_Input'!$Q$62,0),MAX(MIN(CJ$20,'01_Input'!$O$62)-'01_Input'!$N$62,0)*'01_Input'!$Q$62))+IF('01_Input'!$T$62="Forfait",IF(CJ$20&gt;='01_Input'!$R$62,'01_Input'!$U$62,0),IF('01_Input'!$T$62="Palier",IF(AND(CJ$20&gt;='01_Input'!$R$62,CJ$20&lt;'01_Input'!$S$62),'01_Input'!$U$62,0),MAX(MIN(CJ$20,'01_Input'!$S$62)-'01_Input'!$R$62,0)*'01_Input'!$U$62))+IF('01_Input'!$X$62="Forfait",IF(CJ$20&gt;='01_Input'!$V$62,'01_Input'!$Y$62,0),IF('01_Input'!$X$62="Palier",IF(AND(CJ$20&gt;='01_Input'!$V$62,CJ$20&lt;'01_Input'!$W$62),'01_Input'!$Y$62,0),MAX(MIN(CJ$20,'01_Input'!$W$62)-'01_Input'!$V$62,0)*'01_Input'!$Y$62))+IF('01_Input'!$AB$62="Forfait",IF(CJ$20&gt;='01_Input'!$Z$62,'01_Input'!$AC$62,0),IF('01_Input'!$AB$62="Palier",IF(AND(CJ$20&gt;='01_Input'!$Z$62,CJ$20&lt;'01_Input'!$AA$62),'01_Input'!$AC$62,0),MAX(MIN(CJ$20,'01_Input'!$AA$62)-'01_Input'!$Z$62,0)*'01_Input'!$AC$62)))))))))</f>
        <v>0</v>
      </c>
      <c r="CK30" s="83">
        <f>IF('01_Input'!$C$62="Non",0,MIN('01_Input'!$I$62,MAX('01_Input'!$H$62,IF('01_Input'!$G$62="Résiduel vs Gestion",0,IF('01_Input'!$G$62="Taux Classe sélectionnée",Distrib_Global_Classe_Selectionnee*CK$20,IF('01_Input'!$G$62="Frais KYC (paliers de 100M€)",MAX(0,Nb_Investisseurs-Nb_KYC_Gratuites_Par_Tranche*(FLOOR(CK$20/Taille_Tranche_KYC,1)+1))*Cout_Par_KYC_Supplementaire,(IF('01_Input'!$L$62="Forfait",IF(CK$20&gt;='01_Input'!$J$62,'01_Input'!$M$62,0),IF('01_Input'!$L$62="Palier",IF(AND(CK$20&gt;='01_Input'!$J$62,CK$20&lt;'01_Input'!$K$62),'01_Input'!$M$62,0),MAX(MIN(CK$20,'01_Input'!$K$62)-'01_Input'!$J$62,0)*'01_Input'!$M$62))+IF('01_Input'!$P$62="Forfait",IF(CK$20&gt;='01_Input'!$N$62,'01_Input'!$Q$62,0),IF('01_Input'!$P$62="Palier",IF(AND(CK$20&gt;='01_Input'!$N$62,CK$20&lt;'01_Input'!$O$62),'01_Input'!$Q$62,0),MAX(MIN(CK$20,'01_Input'!$O$62)-'01_Input'!$N$62,0)*'01_Input'!$Q$62))+IF('01_Input'!$T$62="Forfait",IF(CK$20&gt;='01_Input'!$R$62,'01_Input'!$U$62,0),IF('01_Input'!$T$62="Palier",IF(AND(CK$20&gt;='01_Input'!$R$62,CK$20&lt;'01_Input'!$S$62),'01_Input'!$U$62,0),MAX(MIN(CK$20,'01_Input'!$S$62)-'01_Input'!$R$62,0)*'01_Input'!$U$62))+IF('01_Input'!$X$62="Forfait",IF(CK$20&gt;='01_Input'!$V$62,'01_Input'!$Y$62,0),IF('01_Input'!$X$62="Palier",IF(AND(CK$20&gt;='01_Input'!$V$62,CK$20&lt;'01_Input'!$W$62),'01_Input'!$Y$62,0),MAX(MIN(CK$20,'01_Input'!$W$62)-'01_Input'!$V$62,0)*'01_Input'!$Y$62))+IF('01_Input'!$AB$62="Forfait",IF(CK$20&gt;='01_Input'!$Z$62,'01_Input'!$AC$62,0),IF('01_Input'!$AB$62="Palier",IF(AND(CK$20&gt;='01_Input'!$Z$62,CK$20&lt;'01_Input'!$AA$62),'01_Input'!$AC$62,0),MAX(MIN(CK$20,'01_Input'!$AA$62)-'01_Input'!$Z$62,0)*'01_Input'!$AC$62)))))))))</f>
        <v>0</v>
      </c>
      <c r="CL30" s="83">
        <f>IF('01_Input'!$C$62="Non",0,MIN('01_Input'!$I$62,MAX('01_Input'!$H$62,IF('01_Input'!$G$62="Résiduel vs Gestion",0,IF('01_Input'!$G$62="Taux Classe sélectionnée",Distrib_Global_Classe_Selectionnee*CL$20,IF('01_Input'!$G$62="Frais KYC (paliers de 100M€)",MAX(0,Nb_Investisseurs-Nb_KYC_Gratuites_Par_Tranche*(FLOOR(CL$20/Taille_Tranche_KYC,1)+1))*Cout_Par_KYC_Supplementaire,(IF('01_Input'!$L$62="Forfait",IF(CL$20&gt;='01_Input'!$J$62,'01_Input'!$M$62,0),IF('01_Input'!$L$62="Palier",IF(AND(CL$20&gt;='01_Input'!$J$62,CL$20&lt;'01_Input'!$K$62),'01_Input'!$M$62,0),MAX(MIN(CL$20,'01_Input'!$K$62)-'01_Input'!$J$62,0)*'01_Input'!$M$62))+IF('01_Input'!$P$62="Forfait",IF(CL$20&gt;='01_Input'!$N$62,'01_Input'!$Q$62,0),IF('01_Input'!$P$62="Palier",IF(AND(CL$20&gt;='01_Input'!$N$62,CL$20&lt;'01_Input'!$O$62),'01_Input'!$Q$62,0),MAX(MIN(CL$20,'01_Input'!$O$62)-'01_Input'!$N$62,0)*'01_Input'!$Q$62))+IF('01_Input'!$T$62="Forfait",IF(CL$20&gt;='01_Input'!$R$62,'01_Input'!$U$62,0),IF('01_Input'!$T$62="Palier",IF(AND(CL$20&gt;='01_Input'!$R$62,CL$20&lt;'01_Input'!$S$62),'01_Input'!$U$62,0),MAX(MIN(CL$20,'01_Input'!$S$62)-'01_Input'!$R$62,0)*'01_Input'!$U$62))+IF('01_Input'!$X$62="Forfait",IF(CL$20&gt;='01_Input'!$V$62,'01_Input'!$Y$62,0),IF('01_Input'!$X$62="Palier",IF(AND(CL$20&gt;='01_Input'!$V$62,CL$20&lt;'01_Input'!$W$62),'01_Input'!$Y$62,0),MAX(MIN(CL$20,'01_Input'!$W$62)-'01_Input'!$V$62,0)*'01_Input'!$Y$62))+IF('01_Input'!$AB$62="Forfait",IF(CL$20&gt;='01_Input'!$Z$62,'01_Input'!$AC$62,0),IF('01_Input'!$AB$62="Palier",IF(AND(CL$20&gt;='01_Input'!$Z$62,CL$20&lt;'01_Input'!$AA$62),'01_Input'!$AC$62,0),MAX(MIN(CL$20,'01_Input'!$AA$62)-'01_Input'!$Z$62,0)*'01_Input'!$AC$62)))))))))</f>
        <v>0</v>
      </c>
      <c r="CM30" s="83">
        <f>IF('01_Input'!$C$62="Non",0,MIN('01_Input'!$I$62,MAX('01_Input'!$H$62,IF('01_Input'!$G$62="Résiduel vs Gestion",0,IF('01_Input'!$G$62="Taux Classe sélectionnée",Distrib_Global_Classe_Selectionnee*CM$20,IF('01_Input'!$G$62="Frais KYC (paliers de 100M€)",MAX(0,Nb_Investisseurs-Nb_KYC_Gratuites_Par_Tranche*(FLOOR(CM$20/Taille_Tranche_KYC,1)+1))*Cout_Par_KYC_Supplementaire,(IF('01_Input'!$L$62="Forfait",IF(CM$20&gt;='01_Input'!$J$62,'01_Input'!$M$62,0),IF('01_Input'!$L$62="Palier",IF(AND(CM$20&gt;='01_Input'!$J$62,CM$20&lt;'01_Input'!$K$62),'01_Input'!$M$62,0),MAX(MIN(CM$20,'01_Input'!$K$62)-'01_Input'!$J$62,0)*'01_Input'!$M$62))+IF('01_Input'!$P$62="Forfait",IF(CM$20&gt;='01_Input'!$N$62,'01_Input'!$Q$62,0),IF('01_Input'!$P$62="Palier",IF(AND(CM$20&gt;='01_Input'!$N$62,CM$20&lt;'01_Input'!$O$62),'01_Input'!$Q$62,0),MAX(MIN(CM$20,'01_Input'!$O$62)-'01_Input'!$N$62,0)*'01_Input'!$Q$62))+IF('01_Input'!$T$62="Forfait",IF(CM$20&gt;='01_Input'!$R$62,'01_Input'!$U$62,0),IF('01_Input'!$T$62="Palier",IF(AND(CM$20&gt;='01_Input'!$R$62,CM$20&lt;'01_Input'!$S$62),'01_Input'!$U$62,0),MAX(MIN(CM$20,'01_Input'!$S$62)-'01_Input'!$R$62,0)*'01_Input'!$U$62))+IF('01_Input'!$X$62="Forfait",IF(CM$20&gt;='01_Input'!$V$62,'01_Input'!$Y$62,0),IF('01_Input'!$X$62="Palier",IF(AND(CM$20&gt;='01_Input'!$V$62,CM$20&lt;'01_Input'!$W$62),'01_Input'!$Y$62,0),MAX(MIN(CM$20,'01_Input'!$W$62)-'01_Input'!$V$62,0)*'01_Input'!$Y$62))+IF('01_Input'!$AB$62="Forfait",IF(CM$20&gt;='01_Input'!$Z$62,'01_Input'!$AC$62,0),IF('01_Input'!$AB$62="Palier",IF(AND(CM$20&gt;='01_Input'!$Z$62,CM$20&lt;'01_Input'!$AA$62),'01_Input'!$AC$62,0),MAX(MIN(CM$20,'01_Input'!$AA$62)-'01_Input'!$Z$62,0)*'01_Input'!$AC$62)))))))))</f>
        <v>0</v>
      </c>
      <c r="CN30" s="83">
        <f>IF('01_Input'!$C$62="Non",0,MIN('01_Input'!$I$62,MAX('01_Input'!$H$62,IF('01_Input'!$G$62="Résiduel vs Gestion",0,IF('01_Input'!$G$62="Taux Classe sélectionnée",Distrib_Global_Classe_Selectionnee*CN$20,IF('01_Input'!$G$62="Frais KYC (paliers de 100M€)",MAX(0,Nb_Investisseurs-Nb_KYC_Gratuites_Par_Tranche*(FLOOR(CN$20/Taille_Tranche_KYC,1)+1))*Cout_Par_KYC_Supplementaire,(IF('01_Input'!$L$62="Forfait",IF(CN$20&gt;='01_Input'!$J$62,'01_Input'!$M$62,0),IF('01_Input'!$L$62="Palier",IF(AND(CN$20&gt;='01_Input'!$J$62,CN$20&lt;'01_Input'!$K$62),'01_Input'!$M$62,0),MAX(MIN(CN$20,'01_Input'!$K$62)-'01_Input'!$J$62,0)*'01_Input'!$M$62))+IF('01_Input'!$P$62="Forfait",IF(CN$20&gt;='01_Input'!$N$62,'01_Input'!$Q$62,0),IF('01_Input'!$P$62="Palier",IF(AND(CN$20&gt;='01_Input'!$N$62,CN$20&lt;'01_Input'!$O$62),'01_Input'!$Q$62,0),MAX(MIN(CN$20,'01_Input'!$O$62)-'01_Input'!$N$62,0)*'01_Input'!$Q$62))+IF('01_Input'!$T$62="Forfait",IF(CN$20&gt;='01_Input'!$R$62,'01_Input'!$U$62,0),IF('01_Input'!$T$62="Palier",IF(AND(CN$20&gt;='01_Input'!$R$62,CN$20&lt;'01_Input'!$S$62),'01_Input'!$U$62,0),MAX(MIN(CN$20,'01_Input'!$S$62)-'01_Input'!$R$62,0)*'01_Input'!$U$62))+IF('01_Input'!$X$62="Forfait",IF(CN$20&gt;='01_Input'!$V$62,'01_Input'!$Y$62,0),IF('01_Input'!$X$62="Palier",IF(AND(CN$20&gt;='01_Input'!$V$62,CN$20&lt;'01_Input'!$W$62),'01_Input'!$Y$62,0),MAX(MIN(CN$20,'01_Input'!$W$62)-'01_Input'!$V$62,0)*'01_Input'!$Y$62))+IF('01_Input'!$AB$62="Forfait",IF(CN$20&gt;='01_Input'!$Z$62,'01_Input'!$AC$62,0),IF('01_Input'!$AB$62="Palier",IF(AND(CN$20&gt;='01_Input'!$Z$62,CN$20&lt;'01_Input'!$AA$62),'01_Input'!$AC$62,0),MAX(MIN(CN$20,'01_Input'!$AA$62)-'01_Input'!$Z$62,0)*'01_Input'!$AC$62)))))))))</f>
        <v>0</v>
      </c>
      <c r="CO30" s="83">
        <f>IF('01_Input'!$C$62="Non",0,MIN('01_Input'!$I$62,MAX('01_Input'!$H$62,IF('01_Input'!$G$62="Résiduel vs Gestion",0,IF('01_Input'!$G$62="Taux Classe sélectionnée",Distrib_Global_Classe_Selectionnee*CO$20,IF('01_Input'!$G$62="Frais KYC (paliers de 100M€)",MAX(0,Nb_Investisseurs-Nb_KYC_Gratuites_Par_Tranche*(FLOOR(CO$20/Taille_Tranche_KYC,1)+1))*Cout_Par_KYC_Supplementaire,(IF('01_Input'!$L$62="Forfait",IF(CO$20&gt;='01_Input'!$J$62,'01_Input'!$M$62,0),IF('01_Input'!$L$62="Palier",IF(AND(CO$20&gt;='01_Input'!$J$62,CO$20&lt;'01_Input'!$K$62),'01_Input'!$M$62,0),MAX(MIN(CO$20,'01_Input'!$K$62)-'01_Input'!$J$62,0)*'01_Input'!$M$62))+IF('01_Input'!$P$62="Forfait",IF(CO$20&gt;='01_Input'!$N$62,'01_Input'!$Q$62,0),IF('01_Input'!$P$62="Palier",IF(AND(CO$20&gt;='01_Input'!$N$62,CO$20&lt;'01_Input'!$O$62),'01_Input'!$Q$62,0),MAX(MIN(CO$20,'01_Input'!$O$62)-'01_Input'!$N$62,0)*'01_Input'!$Q$62))+IF('01_Input'!$T$62="Forfait",IF(CO$20&gt;='01_Input'!$R$62,'01_Input'!$U$62,0),IF('01_Input'!$T$62="Palier",IF(AND(CO$20&gt;='01_Input'!$R$62,CO$20&lt;'01_Input'!$S$62),'01_Input'!$U$62,0),MAX(MIN(CO$20,'01_Input'!$S$62)-'01_Input'!$R$62,0)*'01_Input'!$U$62))+IF('01_Input'!$X$62="Forfait",IF(CO$20&gt;='01_Input'!$V$62,'01_Input'!$Y$62,0),IF('01_Input'!$X$62="Palier",IF(AND(CO$20&gt;='01_Input'!$V$62,CO$20&lt;'01_Input'!$W$62),'01_Input'!$Y$62,0),MAX(MIN(CO$20,'01_Input'!$W$62)-'01_Input'!$V$62,0)*'01_Input'!$Y$62))+IF('01_Input'!$AB$62="Forfait",IF(CO$20&gt;='01_Input'!$Z$62,'01_Input'!$AC$62,0),IF('01_Input'!$AB$62="Palier",IF(AND(CO$20&gt;='01_Input'!$Z$62,CO$20&lt;'01_Input'!$AA$62),'01_Input'!$AC$62,0),MAX(MIN(CO$20,'01_Input'!$AA$62)-'01_Input'!$Z$62,0)*'01_Input'!$AC$62)))))))))</f>
        <v>0</v>
      </c>
      <c r="CP30" s="83">
        <f>IF('01_Input'!$C$62="Non",0,MIN('01_Input'!$I$62,MAX('01_Input'!$H$62,IF('01_Input'!$G$62="Résiduel vs Gestion",0,IF('01_Input'!$G$62="Taux Classe sélectionnée",Distrib_Global_Classe_Selectionnee*CP$20,IF('01_Input'!$G$62="Frais KYC (paliers de 100M€)",MAX(0,Nb_Investisseurs-Nb_KYC_Gratuites_Par_Tranche*(FLOOR(CP$20/Taille_Tranche_KYC,1)+1))*Cout_Par_KYC_Supplementaire,(IF('01_Input'!$L$62="Forfait",IF(CP$20&gt;='01_Input'!$J$62,'01_Input'!$M$62,0),IF('01_Input'!$L$62="Palier",IF(AND(CP$20&gt;='01_Input'!$J$62,CP$20&lt;'01_Input'!$K$62),'01_Input'!$M$62,0),MAX(MIN(CP$20,'01_Input'!$K$62)-'01_Input'!$J$62,0)*'01_Input'!$M$62))+IF('01_Input'!$P$62="Forfait",IF(CP$20&gt;='01_Input'!$N$62,'01_Input'!$Q$62,0),IF('01_Input'!$P$62="Palier",IF(AND(CP$20&gt;='01_Input'!$N$62,CP$20&lt;'01_Input'!$O$62),'01_Input'!$Q$62,0),MAX(MIN(CP$20,'01_Input'!$O$62)-'01_Input'!$N$62,0)*'01_Input'!$Q$62))+IF('01_Input'!$T$62="Forfait",IF(CP$20&gt;='01_Input'!$R$62,'01_Input'!$U$62,0),IF('01_Input'!$T$62="Palier",IF(AND(CP$20&gt;='01_Input'!$R$62,CP$20&lt;'01_Input'!$S$62),'01_Input'!$U$62,0),MAX(MIN(CP$20,'01_Input'!$S$62)-'01_Input'!$R$62,0)*'01_Input'!$U$62))+IF('01_Input'!$X$62="Forfait",IF(CP$20&gt;='01_Input'!$V$62,'01_Input'!$Y$62,0),IF('01_Input'!$X$62="Palier",IF(AND(CP$20&gt;='01_Input'!$V$62,CP$20&lt;'01_Input'!$W$62),'01_Input'!$Y$62,0),MAX(MIN(CP$20,'01_Input'!$W$62)-'01_Input'!$V$62,0)*'01_Input'!$Y$62))+IF('01_Input'!$AB$62="Forfait",IF(CP$20&gt;='01_Input'!$Z$62,'01_Input'!$AC$62,0),IF('01_Input'!$AB$62="Palier",IF(AND(CP$20&gt;='01_Input'!$Z$62,CP$20&lt;'01_Input'!$AA$62),'01_Input'!$AC$62,0),MAX(MIN(CP$20,'01_Input'!$AA$62)-'01_Input'!$Z$62,0)*'01_Input'!$AC$62)))))))))</f>
        <v>0</v>
      </c>
      <c r="CQ30" s="83">
        <f>IF('01_Input'!$C$62="Non",0,MIN('01_Input'!$I$62,MAX('01_Input'!$H$62,IF('01_Input'!$G$62="Résiduel vs Gestion",0,IF('01_Input'!$G$62="Taux Classe sélectionnée",Distrib_Global_Classe_Selectionnee*CQ$20,IF('01_Input'!$G$62="Frais KYC (paliers de 100M€)",MAX(0,Nb_Investisseurs-Nb_KYC_Gratuites_Par_Tranche*(FLOOR(CQ$20/Taille_Tranche_KYC,1)+1))*Cout_Par_KYC_Supplementaire,(IF('01_Input'!$L$62="Forfait",IF(CQ$20&gt;='01_Input'!$J$62,'01_Input'!$M$62,0),IF('01_Input'!$L$62="Palier",IF(AND(CQ$20&gt;='01_Input'!$J$62,CQ$20&lt;'01_Input'!$K$62),'01_Input'!$M$62,0),MAX(MIN(CQ$20,'01_Input'!$K$62)-'01_Input'!$J$62,0)*'01_Input'!$M$62))+IF('01_Input'!$P$62="Forfait",IF(CQ$20&gt;='01_Input'!$N$62,'01_Input'!$Q$62,0),IF('01_Input'!$P$62="Palier",IF(AND(CQ$20&gt;='01_Input'!$N$62,CQ$20&lt;'01_Input'!$O$62),'01_Input'!$Q$62,0),MAX(MIN(CQ$20,'01_Input'!$O$62)-'01_Input'!$N$62,0)*'01_Input'!$Q$62))+IF('01_Input'!$T$62="Forfait",IF(CQ$20&gt;='01_Input'!$R$62,'01_Input'!$U$62,0),IF('01_Input'!$T$62="Palier",IF(AND(CQ$20&gt;='01_Input'!$R$62,CQ$20&lt;'01_Input'!$S$62),'01_Input'!$U$62,0),MAX(MIN(CQ$20,'01_Input'!$S$62)-'01_Input'!$R$62,0)*'01_Input'!$U$62))+IF('01_Input'!$X$62="Forfait",IF(CQ$20&gt;='01_Input'!$V$62,'01_Input'!$Y$62,0),IF('01_Input'!$X$62="Palier",IF(AND(CQ$20&gt;='01_Input'!$V$62,CQ$20&lt;'01_Input'!$W$62),'01_Input'!$Y$62,0),MAX(MIN(CQ$20,'01_Input'!$W$62)-'01_Input'!$V$62,0)*'01_Input'!$Y$62))+IF('01_Input'!$AB$62="Forfait",IF(CQ$20&gt;='01_Input'!$Z$62,'01_Input'!$AC$62,0),IF('01_Input'!$AB$62="Palier",IF(AND(CQ$20&gt;='01_Input'!$Z$62,CQ$20&lt;'01_Input'!$AA$62),'01_Input'!$AC$62,0),MAX(MIN(CQ$20,'01_Input'!$AA$62)-'01_Input'!$Z$62,0)*'01_Input'!$AC$62)))))))))</f>
        <v>0</v>
      </c>
      <c r="CR30" s="83">
        <f>IF('01_Input'!$C$62="Non",0,MIN('01_Input'!$I$62,MAX('01_Input'!$H$62,IF('01_Input'!$G$62="Résiduel vs Gestion",0,IF('01_Input'!$G$62="Taux Classe sélectionnée",Distrib_Global_Classe_Selectionnee*CR$20,IF('01_Input'!$G$62="Frais KYC (paliers de 100M€)",MAX(0,Nb_Investisseurs-Nb_KYC_Gratuites_Par_Tranche*(FLOOR(CR$20/Taille_Tranche_KYC,1)+1))*Cout_Par_KYC_Supplementaire,(IF('01_Input'!$L$62="Forfait",IF(CR$20&gt;='01_Input'!$J$62,'01_Input'!$M$62,0),IF('01_Input'!$L$62="Palier",IF(AND(CR$20&gt;='01_Input'!$J$62,CR$20&lt;'01_Input'!$K$62),'01_Input'!$M$62,0),MAX(MIN(CR$20,'01_Input'!$K$62)-'01_Input'!$J$62,0)*'01_Input'!$M$62))+IF('01_Input'!$P$62="Forfait",IF(CR$20&gt;='01_Input'!$N$62,'01_Input'!$Q$62,0),IF('01_Input'!$P$62="Palier",IF(AND(CR$20&gt;='01_Input'!$N$62,CR$20&lt;'01_Input'!$O$62),'01_Input'!$Q$62,0),MAX(MIN(CR$20,'01_Input'!$O$62)-'01_Input'!$N$62,0)*'01_Input'!$Q$62))+IF('01_Input'!$T$62="Forfait",IF(CR$20&gt;='01_Input'!$R$62,'01_Input'!$U$62,0),IF('01_Input'!$T$62="Palier",IF(AND(CR$20&gt;='01_Input'!$R$62,CR$20&lt;'01_Input'!$S$62),'01_Input'!$U$62,0),MAX(MIN(CR$20,'01_Input'!$S$62)-'01_Input'!$R$62,0)*'01_Input'!$U$62))+IF('01_Input'!$X$62="Forfait",IF(CR$20&gt;='01_Input'!$V$62,'01_Input'!$Y$62,0),IF('01_Input'!$X$62="Palier",IF(AND(CR$20&gt;='01_Input'!$V$62,CR$20&lt;'01_Input'!$W$62),'01_Input'!$Y$62,0),MAX(MIN(CR$20,'01_Input'!$W$62)-'01_Input'!$V$62,0)*'01_Input'!$Y$62))+IF('01_Input'!$AB$62="Forfait",IF(CR$20&gt;='01_Input'!$Z$62,'01_Input'!$AC$62,0),IF('01_Input'!$AB$62="Palier",IF(AND(CR$20&gt;='01_Input'!$Z$62,CR$20&lt;'01_Input'!$AA$62),'01_Input'!$AC$62,0),MAX(MIN(CR$20,'01_Input'!$AA$62)-'01_Input'!$Z$62,0)*'01_Input'!$AC$62)))))))))</f>
        <v>0</v>
      </c>
      <c r="CS30" s="83">
        <f>IF('01_Input'!$C$62="Non",0,MIN('01_Input'!$I$62,MAX('01_Input'!$H$62,IF('01_Input'!$G$62="Résiduel vs Gestion",0,IF('01_Input'!$G$62="Taux Classe sélectionnée",Distrib_Global_Classe_Selectionnee*CS$20,IF('01_Input'!$G$62="Frais KYC (paliers de 100M€)",MAX(0,Nb_Investisseurs-Nb_KYC_Gratuites_Par_Tranche*(FLOOR(CS$20/Taille_Tranche_KYC,1)+1))*Cout_Par_KYC_Supplementaire,(IF('01_Input'!$L$62="Forfait",IF(CS$20&gt;='01_Input'!$J$62,'01_Input'!$M$62,0),IF('01_Input'!$L$62="Palier",IF(AND(CS$20&gt;='01_Input'!$J$62,CS$20&lt;'01_Input'!$K$62),'01_Input'!$M$62,0),MAX(MIN(CS$20,'01_Input'!$K$62)-'01_Input'!$J$62,0)*'01_Input'!$M$62))+IF('01_Input'!$P$62="Forfait",IF(CS$20&gt;='01_Input'!$N$62,'01_Input'!$Q$62,0),IF('01_Input'!$P$62="Palier",IF(AND(CS$20&gt;='01_Input'!$N$62,CS$20&lt;'01_Input'!$O$62),'01_Input'!$Q$62,0),MAX(MIN(CS$20,'01_Input'!$O$62)-'01_Input'!$N$62,0)*'01_Input'!$Q$62))+IF('01_Input'!$T$62="Forfait",IF(CS$20&gt;='01_Input'!$R$62,'01_Input'!$U$62,0),IF('01_Input'!$T$62="Palier",IF(AND(CS$20&gt;='01_Input'!$R$62,CS$20&lt;'01_Input'!$S$62),'01_Input'!$U$62,0),MAX(MIN(CS$20,'01_Input'!$S$62)-'01_Input'!$R$62,0)*'01_Input'!$U$62))+IF('01_Input'!$X$62="Forfait",IF(CS$20&gt;='01_Input'!$V$62,'01_Input'!$Y$62,0),IF('01_Input'!$X$62="Palier",IF(AND(CS$20&gt;='01_Input'!$V$62,CS$20&lt;'01_Input'!$W$62),'01_Input'!$Y$62,0),MAX(MIN(CS$20,'01_Input'!$W$62)-'01_Input'!$V$62,0)*'01_Input'!$Y$62))+IF('01_Input'!$AB$62="Forfait",IF(CS$20&gt;='01_Input'!$Z$62,'01_Input'!$AC$62,0),IF('01_Input'!$AB$62="Palier",IF(AND(CS$20&gt;='01_Input'!$Z$62,CS$20&lt;'01_Input'!$AA$62),'01_Input'!$AC$62,0),MAX(MIN(CS$20,'01_Input'!$AA$62)-'01_Input'!$Z$62,0)*'01_Input'!$AC$62)))))))))</f>
        <v>0</v>
      </c>
      <c r="CT30" s="83">
        <f>IF('01_Input'!$C$62="Non",0,MIN('01_Input'!$I$62,MAX('01_Input'!$H$62,IF('01_Input'!$G$62="Résiduel vs Gestion",0,IF('01_Input'!$G$62="Taux Classe sélectionnée",Distrib_Global_Classe_Selectionnee*CT$20,IF('01_Input'!$G$62="Frais KYC (paliers de 100M€)",MAX(0,Nb_Investisseurs-Nb_KYC_Gratuites_Par_Tranche*(FLOOR(CT$20/Taille_Tranche_KYC,1)+1))*Cout_Par_KYC_Supplementaire,(IF('01_Input'!$L$62="Forfait",IF(CT$20&gt;='01_Input'!$J$62,'01_Input'!$M$62,0),IF('01_Input'!$L$62="Palier",IF(AND(CT$20&gt;='01_Input'!$J$62,CT$20&lt;'01_Input'!$K$62),'01_Input'!$M$62,0),MAX(MIN(CT$20,'01_Input'!$K$62)-'01_Input'!$J$62,0)*'01_Input'!$M$62))+IF('01_Input'!$P$62="Forfait",IF(CT$20&gt;='01_Input'!$N$62,'01_Input'!$Q$62,0),IF('01_Input'!$P$62="Palier",IF(AND(CT$20&gt;='01_Input'!$N$62,CT$20&lt;'01_Input'!$O$62),'01_Input'!$Q$62,0),MAX(MIN(CT$20,'01_Input'!$O$62)-'01_Input'!$N$62,0)*'01_Input'!$Q$62))+IF('01_Input'!$T$62="Forfait",IF(CT$20&gt;='01_Input'!$R$62,'01_Input'!$U$62,0),IF('01_Input'!$T$62="Palier",IF(AND(CT$20&gt;='01_Input'!$R$62,CT$20&lt;'01_Input'!$S$62),'01_Input'!$U$62,0),MAX(MIN(CT$20,'01_Input'!$S$62)-'01_Input'!$R$62,0)*'01_Input'!$U$62))+IF('01_Input'!$X$62="Forfait",IF(CT$20&gt;='01_Input'!$V$62,'01_Input'!$Y$62,0),IF('01_Input'!$X$62="Palier",IF(AND(CT$20&gt;='01_Input'!$V$62,CT$20&lt;'01_Input'!$W$62),'01_Input'!$Y$62,0),MAX(MIN(CT$20,'01_Input'!$W$62)-'01_Input'!$V$62,0)*'01_Input'!$Y$62))+IF('01_Input'!$AB$62="Forfait",IF(CT$20&gt;='01_Input'!$Z$62,'01_Input'!$AC$62,0),IF('01_Input'!$AB$62="Palier",IF(AND(CT$20&gt;='01_Input'!$Z$62,CT$20&lt;'01_Input'!$AA$62),'01_Input'!$AC$62,0),MAX(MIN(CT$20,'01_Input'!$AA$62)-'01_Input'!$Z$62,0)*'01_Input'!$AC$62)))))))))</f>
        <v>0</v>
      </c>
      <c r="CU30" s="83">
        <f>IF('01_Input'!$C$62="Non",0,MIN('01_Input'!$I$62,MAX('01_Input'!$H$62,IF('01_Input'!$G$62="Résiduel vs Gestion",0,IF('01_Input'!$G$62="Taux Classe sélectionnée",Distrib_Global_Classe_Selectionnee*CU$20,IF('01_Input'!$G$62="Frais KYC (paliers de 100M€)",MAX(0,Nb_Investisseurs-Nb_KYC_Gratuites_Par_Tranche*(FLOOR(CU$20/Taille_Tranche_KYC,1)+1))*Cout_Par_KYC_Supplementaire,(IF('01_Input'!$L$62="Forfait",IF(CU$20&gt;='01_Input'!$J$62,'01_Input'!$M$62,0),IF('01_Input'!$L$62="Palier",IF(AND(CU$20&gt;='01_Input'!$J$62,CU$20&lt;'01_Input'!$K$62),'01_Input'!$M$62,0),MAX(MIN(CU$20,'01_Input'!$K$62)-'01_Input'!$J$62,0)*'01_Input'!$M$62))+IF('01_Input'!$P$62="Forfait",IF(CU$20&gt;='01_Input'!$N$62,'01_Input'!$Q$62,0),IF('01_Input'!$P$62="Palier",IF(AND(CU$20&gt;='01_Input'!$N$62,CU$20&lt;'01_Input'!$O$62),'01_Input'!$Q$62,0),MAX(MIN(CU$20,'01_Input'!$O$62)-'01_Input'!$N$62,0)*'01_Input'!$Q$62))+IF('01_Input'!$T$62="Forfait",IF(CU$20&gt;='01_Input'!$R$62,'01_Input'!$U$62,0),IF('01_Input'!$T$62="Palier",IF(AND(CU$20&gt;='01_Input'!$R$62,CU$20&lt;'01_Input'!$S$62),'01_Input'!$U$62,0),MAX(MIN(CU$20,'01_Input'!$S$62)-'01_Input'!$R$62,0)*'01_Input'!$U$62))+IF('01_Input'!$X$62="Forfait",IF(CU$20&gt;='01_Input'!$V$62,'01_Input'!$Y$62,0),IF('01_Input'!$X$62="Palier",IF(AND(CU$20&gt;='01_Input'!$V$62,CU$20&lt;'01_Input'!$W$62),'01_Input'!$Y$62,0),MAX(MIN(CU$20,'01_Input'!$W$62)-'01_Input'!$V$62,0)*'01_Input'!$Y$62))+IF('01_Input'!$AB$62="Forfait",IF(CU$20&gt;='01_Input'!$Z$62,'01_Input'!$AC$62,0),IF('01_Input'!$AB$62="Palier",IF(AND(CU$20&gt;='01_Input'!$Z$62,CU$20&lt;'01_Input'!$AA$62),'01_Input'!$AC$62,0),MAX(MIN(CU$20,'01_Input'!$AA$62)-'01_Input'!$Z$62,0)*'01_Input'!$AC$62)))))))))</f>
        <v>0</v>
      </c>
      <c r="CV30" s="83">
        <f>IF('01_Input'!$C$62="Non",0,MIN('01_Input'!$I$62,MAX('01_Input'!$H$62,IF('01_Input'!$G$62="Résiduel vs Gestion",0,IF('01_Input'!$G$62="Taux Classe sélectionnée",Distrib_Global_Classe_Selectionnee*CV$20,IF('01_Input'!$G$62="Frais KYC (paliers de 100M€)",MAX(0,Nb_Investisseurs-Nb_KYC_Gratuites_Par_Tranche*(FLOOR(CV$20/Taille_Tranche_KYC,1)+1))*Cout_Par_KYC_Supplementaire,(IF('01_Input'!$L$62="Forfait",IF(CV$20&gt;='01_Input'!$J$62,'01_Input'!$M$62,0),IF('01_Input'!$L$62="Palier",IF(AND(CV$20&gt;='01_Input'!$J$62,CV$20&lt;'01_Input'!$K$62),'01_Input'!$M$62,0),MAX(MIN(CV$20,'01_Input'!$K$62)-'01_Input'!$J$62,0)*'01_Input'!$M$62))+IF('01_Input'!$P$62="Forfait",IF(CV$20&gt;='01_Input'!$N$62,'01_Input'!$Q$62,0),IF('01_Input'!$P$62="Palier",IF(AND(CV$20&gt;='01_Input'!$N$62,CV$20&lt;'01_Input'!$O$62),'01_Input'!$Q$62,0),MAX(MIN(CV$20,'01_Input'!$O$62)-'01_Input'!$N$62,0)*'01_Input'!$Q$62))+IF('01_Input'!$T$62="Forfait",IF(CV$20&gt;='01_Input'!$R$62,'01_Input'!$U$62,0),IF('01_Input'!$T$62="Palier",IF(AND(CV$20&gt;='01_Input'!$R$62,CV$20&lt;'01_Input'!$S$62),'01_Input'!$U$62,0),MAX(MIN(CV$20,'01_Input'!$S$62)-'01_Input'!$R$62,0)*'01_Input'!$U$62))+IF('01_Input'!$X$62="Forfait",IF(CV$20&gt;='01_Input'!$V$62,'01_Input'!$Y$62,0),IF('01_Input'!$X$62="Palier",IF(AND(CV$20&gt;='01_Input'!$V$62,CV$20&lt;'01_Input'!$W$62),'01_Input'!$Y$62,0),MAX(MIN(CV$20,'01_Input'!$W$62)-'01_Input'!$V$62,0)*'01_Input'!$Y$62))+IF('01_Input'!$AB$62="Forfait",IF(CV$20&gt;='01_Input'!$Z$62,'01_Input'!$AC$62,0),IF('01_Input'!$AB$62="Palier",IF(AND(CV$20&gt;='01_Input'!$Z$62,CV$20&lt;'01_Input'!$AA$62),'01_Input'!$AC$62,0),MAX(MIN(CV$20,'01_Input'!$AA$62)-'01_Input'!$Z$62,0)*'01_Input'!$AC$62)))))))))</f>
        <v>0</v>
      </c>
      <c r="CW30" s="83">
        <f>IF('01_Input'!$C$62="Non",0,MIN('01_Input'!$I$62,MAX('01_Input'!$H$62,IF('01_Input'!$G$62="Résiduel vs Gestion",0,IF('01_Input'!$G$62="Taux Classe sélectionnée",Distrib_Global_Classe_Selectionnee*CW$20,IF('01_Input'!$G$62="Frais KYC (paliers de 100M€)",MAX(0,Nb_Investisseurs-Nb_KYC_Gratuites_Par_Tranche*(FLOOR(CW$20/Taille_Tranche_KYC,1)+1))*Cout_Par_KYC_Supplementaire,(IF('01_Input'!$L$62="Forfait",IF(CW$20&gt;='01_Input'!$J$62,'01_Input'!$M$62,0),IF('01_Input'!$L$62="Palier",IF(AND(CW$20&gt;='01_Input'!$J$62,CW$20&lt;'01_Input'!$K$62),'01_Input'!$M$62,0),MAX(MIN(CW$20,'01_Input'!$K$62)-'01_Input'!$J$62,0)*'01_Input'!$M$62))+IF('01_Input'!$P$62="Forfait",IF(CW$20&gt;='01_Input'!$N$62,'01_Input'!$Q$62,0),IF('01_Input'!$P$62="Palier",IF(AND(CW$20&gt;='01_Input'!$N$62,CW$20&lt;'01_Input'!$O$62),'01_Input'!$Q$62,0),MAX(MIN(CW$20,'01_Input'!$O$62)-'01_Input'!$N$62,0)*'01_Input'!$Q$62))+IF('01_Input'!$T$62="Forfait",IF(CW$20&gt;='01_Input'!$R$62,'01_Input'!$U$62,0),IF('01_Input'!$T$62="Palier",IF(AND(CW$20&gt;='01_Input'!$R$62,CW$20&lt;'01_Input'!$S$62),'01_Input'!$U$62,0),MAX(MIN(CW$20,'01_Input'!$S$62)-'01_Input'!$R$62,0)*'01_Input'!$U$62))+IF('01_Input'!$X$62="Forfait",IF(CW$20&gt;='01_Input'!$V$62,'01_Input'!$Y$62,0),IF('01_Input'!$X$62="Palier",IF(AND(CW$20&gt;='01_Input'!$V$62,CW$20&lt;'01_Input'!$W$62),'01_Input'!$Y$62,0),MAX(MIN(CW$20,'01_Input'!$W$62)-'01_Input'!$V$62,0)*'01_Input'!$Y$62))+IF('01_Input'!$AB$62="Forfait",IF(CW$20&gt;='01_Input'!$Z$62,'01_Input'!$AC$62,0),IF('01_Input'!$AB$62="Palier",IF(AND(CW$20&gt;='01_Input'!$Z$62,CW$20&lt;'01_Input'!$AA$62),'01_Input'!$AC$62,0),MAX(MIN(CW$20,'01_Input'!$AA$62)-'01_Input'!$Z$62,0)*'01_Input'!$AC$62)))))))))</f>
        <v>0</v>
      </c>
      <c r="CX30" s="83">
        <f>IF('01_Input'!$C$62="Non",0,MIN('01_Input'!$I$62,MAX('01_Input'!$H$62,IF('01_Input'!$G$62="Résiduel vs Gestion",0,IF('01_Input'!$G$62="Taux Classe sélectionnée",Distrib_Global_Classe_Selectionnee*CX$20,IF('01_Input'!$G$62="Frais KYC (paliers de 100M€)",MAX(0,Nb_Investisseurs-Nb_KYC_Gratuites_Par_Tranche*(FLOOR(CX$20/Taille_Tranche_KYC,1)+1))*Cout_Par_KYC_Supplementaire,(IF('01_Input'!$L$62="Forfait",IF(CX$20&gt;='01_Input'!$J$62,'01_Input'!$M$62,0),IF('01_Input'!$L$62="Palier",IF(AND(CX$20&gt;='01_Input'!$J$62,CX$20&lt;'01_Input'!$K$62),'01_Input'!$M$62,0),MAX(MIN(CX$20,'01_Input'!$K$62)-'01_Input'!$J$62,0)*'01_Input'!$M$62))+IF('01_Input'!$P$62="Forfait",IF(CX$20&gt;='01_Input'!$N$62,'01_Input'!$Q$62,0),IF('01_Input'!$P$62="Palier",IF(AND(CX$20&gt;='01_Input'!$N$62,CX$20&lt;'01_Input'!$O$62),'01_Input'!$Q$62,0),MAX(MIN(CX$20,'01_Input'!$O$62)-'01_Input'!$N$62,0)*'01_Input'!$Q$62))+IF('01_Input'!$T$62="Forfait",IF(CX$20&gt;='01_Input'!$R$62,'01_Input'!$U$62,0),IF('01_Input'!$T$62="Palier",IF(AND(CX$20&gt;='01_Input'!$R$62,CX$20&lt;'01_Input'!$S$62),'01_Input'!$U$62,0),MAX(MIN(CX$20,'01_Input'!$S$62)-'01_Input'!$R$62,0)*'01_Input'!$U$62))+IF('01_Input'!$X$62="Forfait",IF(CX$20&gt;='01_Input'!$V$62,'01_Input'!$Y$62,0),IF('01_Input'!$X$62="Palier",IF(AND(CX$20&gt;='01_Input'!$V$62,CX$20&lt;'01_Input'!$W$62),'01_Input'!$Y$62,0),MAX(MIN(CX$20,'01_Input'!$W$62)-'01_Input'!$V$62,0)*'01_Input'!$Y$62))+IF('01_Input'!$AB$62="Forfait",IF(CX$20&gt;='01_Input'!$Z$62,'01_Input'!$AC$62,0),IF('01_Input'!$AB$62="Palier",IF(AND(CX$20&gt;='01_Input'!$Z$62,CX$20&lt;'01_Input'!$AA$62),'01_Input'!$AC$62,0),MAX(MIN(CX$20,'01_Input'!$AA$62)-'01_Input'!$Z$62,0)*'01_Input'!$AC$62)))))))))</f>
        <v>0</v>
      </c>
      <c r="CY30" s="83">
        <f>IF('01_Input'!$C$62="Non",0,MIN('01_Input'!$I$62,MAX('01_Input'!$H$62,IF('01_Input'!$G$62="Résiduel vs Gestion",0,IF('01_Input'!$G$62="Taux Classe sélectionnée",Distrib_Global_Classe_Selectionnee*CY$20,IF('01_Input'!$G$62="Frais KYC (paliers de 100M€)",MAX(0,Nb_Investisseurs-Nb_KYC_Gratuites_Par_Tranche*(FLOOR(CY$20/Taille_Tranche_KYC,1)+1))*Cout_Par_KYC_Supplementaire,(IF('01_Input'!$L$62="Forfait",IF(CY$20&gt;='01_Input'!$J$62,'01_Input'!$M$62,0),IF('01_Input'!$L$62="Palier",IF(AND(CY$20&gt;='01_Input'!$J$62,CY$20&lt;'01_Input'!$K$62),'01_Input'!$M$62,0),MAX(MIN(CY$20,'01_Input'!$K$62)-'01_Input'!$J$62,0)*'01_Input'!$M$62))+IF('01_Input'!$P$62="Forfait",IF(CY$20&gt;='01_Input'!$N$62,'01_Input'!$Q$62,0),IF('01_Input'!$P$62="Palier",IF(AND(CY$20&gt;='01_Input'!$N$62,CY$20&lt;'01_Input'!$O$62),'01_Input'!$Q$62,0),MAX(MIN(CY$20,'01_Input'!$O$62)-'01_Input'!$N$62,0)*'01_Input'!$Q$62))+IF('01_Input'!$T$62="Forfait",IF(CY$20&gt;='01_Input'!$R$62,'01_Input'!$U$62,0),IF('01_Input'!$T$62="Palier",IF(AND(CY$20&gt;='01_Input'!$R$62,CY$20&lt;'01_Input'!$S$62),'01_Input'!$U$62,0),MAX(MIN(CY$20,'01_Input'!$S$62)-'01_Input'!$R$62,0)*'01_Input'!$U$62))+IF('01_Input'!$X$62="Forfait",IF(CY$20&gt;='01_Input'!$V$62,'01_Input'!$Y$62,0),IF('01_Input'!$X$62="Palier",IF(AND(CY$20&gt;='01_Input'!$V$62,CY$20&lt;'01_Input'!$W$62),'01_Input'!$Y$62,0),MAX(MIN(CY$20,'01_Input'!$W$62)-'01_Input'!$V$62,0)*'01_Input'!$Y$62))+IF('01_Input'!$AB$62="Forfait",IF(CY$20&gt;='01_Input'!$Z$62,'01_Input'!$AC$62,0),IF('01_Input'!$AB$62="Palier",IF(AND(CY$20&gt;='01_Input'!$Z$62,CY$20&lt;'01_Input'!$AA$62),'01_Input'!$AC$62,0),MAX(MIN(CY$20,'01_Input'!$AA$62)-'01_Input'!$Z$62,0)*'01_Input'!$AC$62)))))))))</f>
        <v>0</v>
      </c>
      <c r="CZ30" s="83">
        <f>IF('01_Input'!$C$62="Non",0,MIN('01_Input'!$I$62,MAX('01_Input'!$H$62,IF('01_Input'!$G$62="Résiduel vs Gestion",0,IF('01_Input'!$G$62="Taux Classe sélectionnée",Distrib_Global_Classe_Selectionnee*CZ$20,IF('01_Input'!$G$62="Frais KYC (paliers de 100M€)",MAX(0,Nb_Investisseurs-Nb_KYC_Gratuites_Par_Tranche*(FLOOR(CZ$20/Taille_Tranche_KYC,1)+1))*Cout_Par_KYC_Supplementaire,(IF('01_Input'!$L$62="Forfait",IF(CZ$20&gt;='01_Input'!$J$62,'01_Input'!$M$62,0),IF('01_Input'!$L$62="Palier",IF(AND(CZ$20&gt;='01_Input'!$J$62,CZ$20&lt;'01_Input'!$K$62),'01_Input'!$M$62,0),MAX(MIN(CZ$20,'01_Input'!$K$62)-'01_Input'!$J$62,0)*'01_Input'!$M$62))+IF('01_Input'!$P$62="Forfait",IF(CZ$20&gt;='01_Input'!$N$62,'01_Input'!$Q$62,0),IF('01_Input'!$P$62="Palier",IF(AND(CZ$20&gt;='01_Input'!$N$62,CZ$20&lt;'01_Input'!$O$62),'01_Input'!$Q$62,0),MAX(MIN(CZ$20,'01_Input'!$O$62)-'01_Input'!$N$62,0)*'01_Input'!$Q$62))+IF('01_Input'!$T$62="Forfait",IF(CZ$20&gt;='01_Input'!$R$62,'01_Input'!$U$62,0),IF('01_Input'!$T$62="Palier",IF(AND(CZ$20&gt;='01_Input'!$R$62,CZ$20&lt;'01_Input'!$S$62),'01_Input'!$U$62,0),MAX(MIN(CZ$20,'01_Input'!$S$62)-'01_Input'!$R$62,0)*'01_Input'!$U$62))+IF('01_Input'!$X$62="Forfait",IF(CZ$20&gt;='01_Input'!$V$62,'01_Input'!$Y$62,0),IF('01_Input'!$X$62="Palier",IF(AND(CZ$20&gt;='01_Input'!$V$62,CZ$20&lt;'01_Input'!$W$62),'01_Input'!$Y$62,0),MAX(MIN(CZ$20,'01_Input'!$W$62)-'01_Input'!$V$62,0)*'01_Input'!$Y$62))+IF('01_Input'!$AB$62="Forfait",IF(CZ$20&gt;='01_Input'!$Z$62,'01_Input'!$AC$62,0),IF('01_Input'!$AB$62="Palier",IF(AND(CZ$20&gt;='01_Input'!$Z$62,CZ$20&lt;'01_Input'!$AA$62),'01_Input'!$AC$62,0),MAX(MIN(CZ$20,'01_Input'!$AA$62)-'01_Input'!$Z$62,0)*'01_Input'!$AC$62)))))))))</f>
        <v>0</v>
      </c>
      <c r="DA30" s="83">
        <f>IF('01_Input'!$C$62="Non",0,MIN('01_Input'!$I$62,MAX('01_Input'!$H$62,IF('01_Input'!$G$62="Résiduel vs Gestion",0,IF('01_Input'!$G$62="Taux Classe sélectionnée",Distrib_Global_Classe_Selectionnee*DA$20,IF('01_Input'!$G$62="Frais KYC (paliers de 100M€)",MAX(0,Nb_Investisseurs-Nb_KYC_Gratuites_Par_Tranche*(FLOOR(DA$20/Taille_Tranche_KYC,1)+1))*Cout_Par_KYC_Supplementaire,(IF('01_Input'!$L$62="Forfait",IF(DA$20&gt;='01_Input'!$J$62,'01_Input'!$M$62,0),IF('01_Input'!$L$62="Palier",IF(AND(DA$20&gt;='01_Input'!$J$62,DA$20&lt;'01_Input'!$K$62),'01_Input'!$M$62,0),MAX(MIN(DA$20,'01_Input'!$K$62)-'01_Input'!$J$62,0)*'01_Input'!$M$62))+IF('01_Input'!$P$62="Forfait",IF(DA$20&gt;='01_Input'!$N$62,'01_Input'!$Q$62,0),IF('01_Input'!$P$62="Palier",IF(AND(DA$20&gt;='01_Input'!$N$62,DA$20&lt;'01_Input'!$O$62),'01_Input'!$Q$62,0),MAX(MIN(DA$20,'01_Input'!$O$62)-'01_Input'!$N$62,0)*'01_Input'!$Q$62))+IF('01_Input'!$T$62="Forfait",IF(DA$20&gt;='01_Input'!$R$62,'01_Input'!$U$62,0),IF('01_Input'!$T$62="Palier",IF(AND(DA$20&gt;='01_Input'!$R$62,DA$20&lt;'01_Input'!$S$62),'01_Input'!$U$62,0),MAX(MIN(DA$20,'01_Input'!$S$62)-'01_Input'!$R$62,0)*'01_Input'!$U$62))+IF('01_Input'!$X$62="Forfait",IF(DA$20&gt;='01_Input'!$V$62,'01_Input'!$Y$62,0),IF('01_Input'!$X$62="Palier",IF(AND(DA$20&gt;='01_Input'!$V$62,DA$20&lt;'01_Input'!$W$62),'01_Input'!$Y$62,0),MAX(MIN(DA$20,'01_Input'!$W$62)-'01_Input'!$V$62,0)*'01_Input'!$Y$62))+IF('01_Input'!$AB$62="Forfait",IF(DA$20&gt;='01_Input'!$Z$62,'01_Input'!$AC$62,0),IF('01_Input'!$AB$62="Palier",IF(AND(DA$20&gt;='01_Input'!$Z$62,DA$20&lt;'01_Input'!$AA$62),'01_Input'!$AC$62,0),MAX(MIN(DA$20,'01_Input'!$AA$62)-'01_Input'!$Z$62,0)*'01_Input'!$AC$62)))))))))</f>
        <v>0</v>
      </c>
      <c r="DB30" s="83">
        <f>IF('01_Input'!$C$62="Non",0,MIN('01_Input'!$I$62,MAX('01_Input'!$H$62,IF('01_Input'!$G$62="Résiduel vs Gestion",0,IF('01_Input'!$G$62="Taux Classe sélectionnée",Distrib_Global_Classe_Selectionnee*DB$20,IF('01_Input'!$G$62="Frais KYC (paliers de 100M€)",MAX(0,Nb_Investisseurs-Nb_KYC_Gratuites_Par_Tranche*(FLOOR(DB$20/Taille_Tranche_KYC,1)+1))*Cout_Par_KYC_Supplementaire,(IF('01_Input'!$L$62="Forfait",IF(DB$20&gt;='01_Input'!$J$62,'01_Input'!$M$62,0),IF('01_Input'!$L$62="Palier",IF(AND(DB$20&gt;='01_Input'!$J$62,DB$20&lt;'01_Input'!$K$62),'01_Input'!$M$62,0),MAX(MIN(DB$20,'01_Input'!$K$62)-'01_Input'!$J$62,0)*'01_Input'!$M$62))+IF('01_Input'!$P$62="Forfait",IF(DB$20&gt;='01_Input'!$N$62,'01_Input'!$Q$62,0),IF('01_Input'!$P$62="Palier",IF(AND(DB$20&gt;='01_Input'!$N$62,DB$20&lt;'01_Input'!$O$62),'01_Input'!$Q$62,0),MAX(MIN(DB$20,'01_Input'!$O$62)-'01_Input'!$N$62,0)*'01_Input'!$Q$62))+IF('01_Input'!$T$62="Forfait",IF(DB$20&gt;='01_Input'!$R$62,'01_Input'!$U$62,0),IF('01_Input'!$T$62="Palier",IF(AND(DB$20&gt;='01_Input'!$R$62,DB$20&lt;'01_Input'!$S$62),'01_Input'!$U$62,0),MAX(MIN(DB$20,'01_Input'!$S$62)-'01_Input'!$R$62,0)*'01_Input'!$U$62))+IF('01_Input'!$X$62="Forfait",IF(DB$20&gt;='01_Input'!$V$62,'01_Input'!$Y$62,0),IF('01_Input'!$X$62="Palier",IF(AND(DB$20&gt;='01_Input'!$V$62,DB$20&lt;'01_Input'!$W$62),'01_Input'!$Y$62,0),MAX(MIN(DB$20,'01_Input'!$W$62)-'01_Input'!$V$62,0)*'01_Input'!$Y$62))+IF('01_Input'!$AB$62="Forfait",IF(DB$20&gt;='01_Input'!$Z$62,'01_Input'!$AC$62,0),IF('01_Input'!$AB$62="Palier",IF(AND(DB$20&gt;='01_Input'!$Z$62,DB$20&lt;'01_Input'!$AA$62),'01_Input'!$AC$62,0),MAX(MIN(DB$20,'01_Input'!$AA$62)-'01_Input'!$Z$62,0)*'01_Input'!$AC$62)))))))))</f>
        <v>0</v>
      </c>
      <c r="DC30" s="83">
        <f>IF('01_Input'!$C$62="Non",0,MIN('01_Input'!$I$62,MAX('01_Input'!$H$62,IF('01_Input'!$G$62="Résiduel vs Gestion",0,IF('01_Input'!$G$62="Taux Classe sélectionnée",Distrib_Global_Classe_Selectionnee*DC$20,IF('01_Input'!$G$62="Frais KYC (paliers de 100M€)",MAX(0,Nb_Investisseurs-Nb_KYC_Gratuites_Par_Tranche*(FLOOR(DC$20/Taille_Tranche_KYC,1)+1))*Cout_Par_KYC_Supplementaire,(IF('01_Input'!$L$62="Forfait",IF(DC$20&gt;='01_Input'!$J$62,'01_Input'!$M$62,0),IF('01_Input'!$L$62="Palier",IF(AND(DC$20&gt;='01_Input'!$J$62,DC$20&lt;'01_Input'!$K$62),'01_Input'!$M$62,0),MAX(MIN(DC$20,'01_Input'!$K$62)-'01_Input'!$J$62,0)*'01_Input'!$M$62))+IF('01_Input'!$P$62="Forfait",IF(DC$20&gt;='01_Input'!$N$62,'01_Input'!$Q$62,0),IF('01_Input'!$P$62="Palier",IF(AND(DC$20&gt;='01_Input'!$N$62,DC$20&lt;'01_Input'!$O$62),'01_Input'!$Q$62,0),MAX(MIN(DC$20,'01_Input'!$O$62)-'01_Input'!$N$62,0)*'01_Input'!$Q$62))+IF('01_Input'!$T$62="Forfait",IF(DC$20&gt;='01_Input'!$R$62,'01_Input'!$U$62,0),IF('01_Input'!$T$62="Palier",IF(AND(DC$20&gt;='01_Input'!$R$62,DC$20&lt;'01_Input'!$S$62),'01_Input'!$U$62,0),MAX(MIN(DC$20,'01_Input'!$S$62)-'01_Input'!$R$62,0)*'01_Input'!$U$62))+IF('01_Input'!$X$62="Forfait",IF(DC$20&gt;='01_Input'!$V$62,'01_Input'!$Y$62,0),IF('01_Input'!$X$62="Palier",IF(AND(DC$20&gt;='01_Input'!$V$62,DC$20&lt;'01_Input'!$W$62),'01_Input'!$Y$62,0),MAX(MIN(DC$20,'01_Input'!$W$62)-'01_Input'!$V$62,0)*'01_Input'!$Y$62))+IF('01_Input'!$AB$62="Forfait",IF(DC$20&gt;='01_Input'!$Z$62,'01_Input'!$AC$62,0),IF('01_Input'!$AB$62="Palier",IF(AND(DC$20&gt;='01_Input'!$Z$62,DC$20&lt;'01_Input'!$AA$62),'01_Input'!$AC$62,0),MAX(MIN(DC$20,'01_Input'!$AA$62)-'01_Input'!$Z$62,0)*'01_Input'!$AC$62)))))))))</f>
        <v>0</v>
      </c>
      <c r="DD30" s="83">
        <f>IF('01_Input'!$C$62="Non",0,MIN('01_Input'!$I$62,MAX('01_Input'!$H$62,IF('01_Input'!$G$62="Résiduel vs Gestion",0,IF('01_Input'!$G$62="Taux Classe sélectionnée",Distrib_Global_Classe_Selectionnee*DD$20,IF('01_Input'!$G$62="Frais KYC (paliers de 100M€)",MAX(0,Nb_Investisseurs-Nb_KYC_Gratuites_Par_Tranche*(FLOOR(DD$20/Taille_Tranche_KYC,1)+1))*Cout_Par_KYC_Supplementaire,(IF('01_Input'!$L$62="Forfait",IF(DD$20&gt;='01_Input'!$J$62,'01_Input'!$M$62,0),IF('01_Input'!$L$62="Palier",IF(AND(DD$20&gt;='01_Input'!$J$62,DD$20&lt;'01_Input'!$K$62),'01_Input'!$M$62,0),MAX(MIN(DD$20,'01_Input'!$K$62)-'01_Input'!$J$62,0)*'01_Input'!$M$62))+IF('01_Input'!$P$62="Forfait",IF(DD$20&gt;='01_Input'!$N$62,'01_Input'!$Q$62,0),IF('01_Input'!$P$62="Palier",IF(AND(DD$20&gt;='01_Input'!$N$62,DD$20&lt;'01_Input'!$O$62),'01_Input'!$Q$62,0),MAX(MIN(DD$20,'01_Input'!$O$62)-'01_Input'!$N$62,0)*'01_Input'!$Q$62))+IF('01_Input'!$T$62="Forfait",IF(DD$20&gt;='01_Input'!$R$62,'01_Input'!$U$62,0),IF('01_Input'!$T$62="Palier",IF(AND(DD$20&gt;='01_Input'!$R$62,DD$20&lt;'01_Input'!$S$62),'01_Input'!$U$62,0),MAX(MIN(DD$20,'01_Input'!$S$62)-'01_Input'!$R$62,0)*'01_Input'!$U$62))+IF('01_Input'!$X$62="Forfait",IF(DD$20&gt;='01_Input'!$V$62,'01_Input'!$Y$62,0),IF('01_Input'!$X$62="Palier",IF(AND(DD$20&gt;='01_Input'!$V$62,DD$20&lt;'01_Input'!$W$62),'01_Input'!$Y$62,0),MAX(MIN(DD$20,'01_Input'!$W$62)-'01_Input'!$V$62,0)*'01_Input'!$Y$62))+IF('01_Input'!$AB$62="Forfait",IF(DD$20&gt;='01_Input'!$Z$62,'01_Input'!$AC$62,0),IF('01_Input'!$AB$62="Palier",IF(AND(DD$20&gt;='01_Input'!$Z$62,DD$20&lt;'01_Input'!$AA$62),'01_Input'!$AC$62,0),MAX(MIN(DD$20,'01_Input'!$AA$62)-'01_Input'!$Z$62,0)*'01_Input'!$AC$62)))))))))</f>
        <v>0</v>
      </c>
      <c r="DE30" s="83">
        <f>IF('01_Input'!$C$62="Non",0,MIN('01_Input'!$I$62,MAX('01_Input'!$H$62,IF('01_Input'!$G$62="Résiduel vs Gestion",0,IF('01_Input'!$G$62="Taux Classe sélectionnée",Distrib_Global_Classe_Selectionnee*DE$20,IF('01_Input'!$G$62="Frais KYC (paliers de 100M€)",MAX(0,Nb_Investisseurs-Nb_KYC_Gratuites_Par_Tranche*(FLOOR(DE$20/Taille_Tranche_KYC,1)+1))*Cout_Par_KYC_Supplementaire,(IF('01_Input'!$L$62="Forfait",IF(DE$20&gt;='01_Input'!$J$62,'01_Input'!$M$62,0),IF('01_Input'!$L$62="Palier",IF(AND(DE$20&gt;='01_Input'!$J$62,DE$20&lt;'01_Input'!$K$62),'01_Input'!$M$62,0),MAX(MIN(DE$20,'01_Input'!$K$62)-'01_Input'!$J$62,0)*'01_Input'!$M$62))+IF('01_Input'!$P$62="Forfait",IF(DE$20&gt;='01_Input'!$N$62,'01_Input'!$Q$62,0),IF('01_Input'!$P$62="Palier",IF(AND(DE$20&gt;='01_Input'!$N$62,DE$20&lt;'01_Input'!$O$62),'01_Input'!$Q$62,0),MAX(MIN(DE$20,'01_Input'!$O$62)-'01_Input'!$N$62,0)*'01_Input'!$Q$62))+IF('01_Input'!$T$62="Forfait",IF(DE$20&gt;='01_Input'!$R$62,'01_Input'!$U$62,0),IF('01_Input'!$T$62="Palier",IF(AND(DE$20&gt;='01_Input'!$R$62,DE$20&lt;'01_Input'!$S$62),'01_Input'!$U$62,0),MAX(MIN(DE$20,'01_Input'!$S$62)-'01_Input'!$R$62,0)*'01_Input'!$U$62))+IF('01_Input'!$X$62="Forfait",IF(DE$20&gt;='01_Input'!$V$62,'01_Input'!$Y$62,0),IF('01_Input'!$X$62="Palier",IF(AND(DE$20&gt;='01_Input'!$V$62,DE$20&lt;'01_Input'!$W$62),'01_Input'!$Y$62,0),MAX(MIN(DE$20,'01_Input'!$W$62)-'01_Input'!$V$62,0)*'01_Input'!$Y$62))+IF('01_Input'!$AB$62="Forfait",IF(DE$20&gt;='01_Input'!$Z$62,'01_Input'!$AC$62,0),IF('01_Input'!$AB$62="Palier",IF(AND(DE$20&gt;='01_Input'!$Z$62,DE$20&lt;'01_Input'!$AA$62),'01_Input'!$AC$62,0),MAX(MIN(DE$20,'01_Input'!$AA$62)-'01_Input'!$Z$62,0)*'01_Input'!$AC$62)))))))))</f>
        <v>0</v>
      </c>
      <c r="DF30" s="83">
        <f>IF('01_Input'!$C$62="Non",0,MIN('01_Input'!$I$62,MAX('01_Input'!$H$62,IF('01_Input'!$G$62="Résiduel vs Gestion",0,IF('01_Input'!$G$62="Taux Classe sélectionnée",Distrib_Global_Classe_Selectionnee*DF$20,IF('01_Input'!$G$62="Frais KYC (paliers de 100M€)",MAX(0,Nb_Investisseurs-Nb_KYC_Gratuites_Par_Tranche*(FLOOR(DF$20/Taille_Tranche_KYC,1)+1))*Cout_Par_KYC_Supplementaire,(IF('01_Input'!$L$62="Forfait",IF(DF$20&gt;='01_Input'!$J$62,'01_Input'!$M$62,0),IF('01_Input'!$L$62="Palier",IF(AND(DF$20&gt;='01_Input'!$J$62,DF$20&lt;'01_Input'!$K$62),'01_Input'!$M$62,0),MAX(MIN(DF$20,'01_Input'!$K$62)-'01_Input'!$J$62,0)*'01_Input'!$M$62))+IF('01_Input'!$P$62="Forfait",IF(DF$20&gt;='01_Input'!$N$62,'01_Input'!$Q$62,0),IF('01_Input'!$P$62="Palier",IF(AND(DF$20&gt;='01_Input'!$N$62,DF$20&lt;'01_Input'!$O$62),'01_Input'!$Q$62,0),MAX(MIN(DF$20,'01_Input'!$O$62)-'01_Input'!$N$62,0)*'01_Input'!$Q$62))+IF('01_Input'!$T$62="Forfait",IF(DF$20&gt;='01_Input'!$R$62,'01_Input'!$U$62,0),IF('01_Input'!$T$62="Palier",IF(AND(DF$20&gt;='01_Input'!$R$62,DF$20&lt;'01_Input'!$S$62),'01_Input'!$U$62,0),MAX(MIN(DF$20,'01_Input'!$S$62)-'01_Input'!$R$62,0)*'01_Input'!$U$62))+IF('01_Input'!$X$62="Forfait",IF(DF$20&gt;='01_Input'!$V$62,'01_Input'!$Y$62,0),IF('01_Input'!$X$62="Palier",IF(AND(DF$20&gt;='01_Input'!$V$62,DF$20&lt;'01_Input'!$W$62),'01_Input'!$Y$62,0),MAX(MIN(DF$20,'01_Input'!$W$62)-'01_Input'!$V$62,0)*'01_Input'!$Y$62))+IF('01_Input'!$AB$62="Forfait",IF(DF$20&gt;='01_Input'!$Z$62,'01_Input'!$AC$62,0),IF('01_Input'!$AB$62="Palier",IF(AND(DF$20&gt;='01_Input'!$Z$62,DF$20&lt;'01_Input'!$AA$62),'01_Input'!$AC$62,0),MAX(MIN(DF$20,'01_Input'!$AA$62)-'01_Input'!$Z$62,0)*'01_Input'!$AC$62)))))))))</f>
        <v>0</v>
      </c>
      <c r="DG30" s="83">
        <f>IF('01_Input'!$C$62="Non",0,MIN('01_Input'!$I$62,MAX('01_Input'!$H$62,IF('01_Input'!$G$62="Résiduel vs Gestion",0,IF('01_Input'!$G$62="Taux Classe sélectionnée",Distrib_Global_Classe_Selectionnee*DG$20,IF('01_Input'!$G$62="Frais KYC (paliers de 100M€)",MAX(0,Nb_Investisseurs-Nb_KYC_Gratuites_Par_Tranche*(FLOOR(DG$20/Taille_Tranche_KYC,1)+1))*Cout_Par_KYC_Supplementaire,(IF('01_Input'!$L$62="Forfait",IF(DG$20&gt;='01_Input'!$J$62,'01_Input'!$M$62,0),IF('01_Input'!$L$62="Palier",IF(AND(DG$20&gt;='01_Input'!$J$62,DG$20&lt;'01_Input'!$K$62),'01_Input'!$M$62,0),MAX(MIN(DG$20,'01_Input'!$K$62)-'01_Input'!$J$62,0)*'01_Input'!$M$62))+IF('01_Input'!$P$62="Forfait",IF(DG$20&gt;='01_Input'!$N$62,'01_Input'!$Q$62,0),IF('01_Input'!$P$62="Palier",IF(AND(DG$20&gt;='01_Input'!$N$62,DG$20&lt;'01_Input'!$O$62),'01_Input'!$Q$62,0),MAX(MIN(DG$20,'01_Input'!$O$62)-'01_Input'!$N$62,0)*'01_Input'!$Q$62))+IF('01_Input'!$T$62="Forfait",IF(DG$20&gt;='01_Input'!$R$62,'01_Input'!$U$62,0),IF('01_Input'!$T$62="Palier",IF(AND(DG$20&gt;='01_Input'!$R$62,DG$20&lt;'01_Input'!$S$62),'01_Input'!$U$62,0),MAX(MIN(DG$20,'01_Input'!$S$62)-'01_Input'!$R$62,0)*'01_Input'!$U$62))+IF('01_Input'!$X$62="Forfait",IF(DG$20&gt;='01_Input'!$V$62,'01_Input'!$Y$62,0),IF('01_Input'!$X$62="Palier",IF(AND(DG$20&gt;='01_Input'!$V$62,DG$20&lt;'01_Input'!$W$62),'01_Input'!$Y$62,0),MAX(MIN(DG$20,'01_Input'!$W$62)-'01_Input'!$V$62,0)*'01_Input'!$Y$62))+IF('01_Input'!$AB$62="Forfait",IF(DG$20&gt;='01_Input'!$Z$62,'01_Input'!$AC$62,0),IF('01_Input'!$AB$62="Palier",IF(AND(DG$20&gt;='01_Input'!$Z$62,DG$20&lt;'01_Input'!$AA$62),'01_Input'!$AC$62,0),MAX(MIN(DG$20,'01_Input'!$AA$62)-'01_Input'!$Z$62,0)*'01_Input'!$AC$62)))))))))</f>
        <v>0</v>
      </c>
      <c r="DH30" s="83">
        <f>IF('01_Input'!$C$62="Non",0,MIN('01_Input'!$I$62,MAX('01_Input'!$H$62,IF('01_Input'!$G$62="Résiduel vs Gestion",0,IF('01_Input'!$G$62="Taux Classe sélectionnée",Distrib_Global_Classe_Selectionnee*DH$20,IF('01_Input'!$G$62="Frais KYC (paliers de 100M€)",MAX(0,Nb_Investisseurs-Nb_KYC_Gratuites_Par_Tranche*(FLOOR(DH$20/Taille_Tranche_KYC,1)+1))*Cout_Par_KYC_Supplementaire,(IF('01_Input'!$L$62="Forfait",IF(DH$20&gt;='01_Input'!$J$62,'01_Input'!$M$62,0),IF('01_Input'!$L$62="Palier",IF(AND(DH$20&gt;='01_Input'!$J$62,DH$20&lt;'01_Input'!$K$62),'01_Input'!$M$62,0),MAX(MIN(DH$20,'01_Input'!$K$62)-'01_Input'!$J$62,0)*'01_Input'!$M$62))+IF('01_Input'!$P$62="Forfait",IF(DH$20&gt;='01_Input'!$N$62,'01_Input'!$Q$62,0),IF('01_Input'!$P$62="Palier",IF(AND(DH$20&gt;='01_Input'!$N$62,DH$20&lt;'01_Input'!$O$62),'01_Input'!$Q$62,0),MAX(MIN(DH$20,'01_Input'!$O$62)-'01_Input'!$N$62,0)*'01_Input'!$Q$62))+IF('01_Input'!$T$62="Forfait",IF(DH$20&gt;='01_Input'!$R$62,'01_Input'!$U$62,0),IF('01_Input'!$T$62="Palier",IF(AND(DH$20&gt;='01_Input'!$R$62,DH$20&lt;'01_Input'!$S$62),'01_Input'!$U$62,0),MAX(MIN(DH$20,'01_Input'!$S$62)-'01_Input'!$R$62,0)*'01_Input'!$U$62))+IF('01_Input'!$X$62="Forfait",IF(DH$20&gt;='01_Input'!$V$62,'01_Input'!$Y$62,0),IF('01_Input'!$X$62="Palier",IF(AND(DH$20&gt;='01_Input'!$V$62,DH$20&lt;'01_Input'!$W$62),'01_Input'!$Y$62,0),MAX(MIN(DH$20,'01_Input'!$W$62)-'01_Input'!$V$62,0)*'01_Input'!$Y$62))+IF('01_Input'!$AB$62="Forfait",IF(DH$20&gt;='01_Input'!$Z$62,'01_Input'!$AC$62,0),IF('01_Input'!$AB$62="Palier",IF(AND(DH$20&gt;='01_Input'!$Z$62,DH$20&lt;'01_Input'!$AA$62),'01_Input'!$AC$62,0),MAX(MIN(DH$20,'01_Input'!$AA$62)-'01_Input'!$Z$62,0)*'01_Input'!$AC$62)))))))))</f>
        <v>0</v>
      </c>
      <c r="DI30" s="83">
        <f>IF('01_Input'!$C$62="Non",0,MIN('01_Input'!$I$62,MAX('01_Input'!$H$62,IF('01_Input'!$G$62="Résiduel vs Gestion",0,IF('01_Input'!$G$62="Taux Classe sélectionnée",Distrib_Global_Classe_Selectionnee*DI$20,IF('01_Input'!$G$62="Frais KYC (paliers de 100M€)",MAX(0,Nb_Investisseurs-Nb_KYC_Gratuites_Par_Tranche*(FLOOR(DI$20/Taille_Tranche_KYC,1)+1))*Cout_Par_KYC_Supplementaire,(IF('01_Input'!$L$62="Forfait",IF(DI$20&gt;='01_Input'!$J$62,'01_Input'!$M$62,0),IF('01_Input'!$L$62="Palier",IF(AND(DI$20&gt;='01_Input'!$J$62,DI$20&lt;'01_Input'!$K$62),'01_Input'!$M$62,0),MAX(MIN(DI$20,'01_Input'!$K$62)-'01_Input'!$J$62,0)*'01_Input'!$M$62))+IF('01_Input'!$P$62="Forfait",IF(DI$20&gt;='01_Input'!$N$62,'01_Input'!$Q$62,0),IF('01_Input'!$P$62="Palier",IF(AND(DI$20&gt;='01_Input'!$N$62,DI$20&lt;'01_Input'!$O$62),'01_Input'!$Q$62,0),MAX(MIN(DI$20,'01_Input'!$O$62)-'01_Input'!$N$62,0)*'01_Input'!$Q$62))+IF('01_Input'!$T$62="Forfait",IF(DI$20&gt;='01_Input'!$R$62,'01_Input'!$U$62,0),IF('01_Input'!$T$62="Palier",IF(AND(DI$20&gt;='01_Input'!$R$62,DI$20&lt;'01_Input'!$S$62),'01_Input'!$U$62,0),MAX(MIN(DI$20,'01_Input'!$S$62)-'01_Input'!$R$62,0)*'01_Input'!$U$62))+IF('01_Input'!$X$62="Forfait",IF(DI$20&gt;='01_Input'!$V$62,'01_Input'!$Y$62,0),IF('01_Input'!$X$62="Palier",IF(AND(DI$20&gt;='01_Input'!$V$62,DI$20&lt;'01_Input'!$W$62),'01_Input'!$Y$62,0),MAX(MIN(DI$20,'01_Input'!$W$62)-'01_Input'!$V$62,0)*'01_Input'!$Y$62))+IF('01_Input'!$AB$62="Forfait",IF(DI$20&gt;='01_Input'!$Z$62,'01_Input'!$AC$62,0),IF('01_Input'!$AB$62="Palier",IF(AND(DI$20&gt;='01_Input'!$Z$62,DI$20&lt;'01_Input'!$AA$62),'01_Input'!$AC$62,0),MAX(MIN(DI$20,'01_Input'!$AA$62)-'01_Input'!$Z$62,0)*'01_Input'!$AC$62)))))))))</f>
        <v>0</v>
      </c>
      <c r="DJ30" s="83">
        <f>IF('01_Input'!$C$62="Non",0,MIN('01_Input'!$I$62,MAX('01_Input'!$H$62,IF('01_Input'!$G$62="Résiduel vs Gestion",0,IF('01_Input'!$G$62="Taux Classe sélectionnée",Distrib_Global_Classe_Selectionnee*DJ$20,IF('01_Input'!$G$62="Frais KYC (paliers de 100M€)",MAX(0,Nb_Investisseurs-Nb_KYC_Gratuites_Par_Tranche*(FLOOR(DJ$20/Taille_Tranche_KYC,1)+1))*Cout_Par_KYC_Supplementaire,(IF('01_Input'!$L$62="Forfait",IF(DJ$20&gt;='01_Input'!$J$62,'01_Input'!$M$62,0),IF('01_Input'!$L$62="Palier",IF(AND(DJ$20&gt;='01_Input'!$J$62,DJ$20&lt;'01_Input'!$K$62),'01_Input'!$M$62,0),MAX(MIN(DJ$20,'01_Input'!$K$62)-'01_Input'!$J$62,0)*'01_Input'!$M$62))+IF('01_Input'!$P$62="Forfait",IF(DJ$20&gt;='01_Input'!$N$62,'01_Input'!$Q$62,0),IF('01_Input'!$P$62="Palier",IF(AND(DJ$20&gt;='01_Input'!$N$62,DJ$20&lt;'01_Input'!$O$62),'01_Input'!$Q$62,0),MAX(MIN(DJ$20,'01_Input'!$O$62)-'01_Input'!$N$62,0)*'01_Input'!$Q$62))+IF('01_Input'!$T$62="Forfait",IF(DJ$20&gt;='01_Input'!$R$62,'01_Input'!$U$62,0),IF('01_Input'!$T$62="Palier",IF(AND(DJ$20&gt;='01_Input'!$R$62,DJ$20&lt;'01_Input'!$S$62),'01_Input'!$U$62,0),MAX(MIN(DJ$20,'01_Input'!$S$62)-'01_Input'!$R$62,0)*'01_Input'!$U$62))+IF('01_Input'!$X$62="Forfait",IF(DJ$20&gt;='01_Input'!$V$62,'01_Input'!$Y$62,0),IF('01_Input'!$X$62="Palier",IF(AND(DJ$20&gt;='01_Input'!$V$62,DJ$20&lt;'01_Input'!$W$62),'01_Input'!$Y$62,0),MAX(MIN(DJ$20,'01_Input'!$W$62)-'01_Input'!$V$62,0)*'01_Input'!$Y$62))+IF('01_Input'!$AB$62="Forfait",IF(DJ$20&gt;='01_Input'!$Z$62,'01_Input'!$AC$62,0),IF('01_Input'!$AB$62="Palier",IF(AND(DJ$20&gt;='01_Input'!$Z$62,DJ$20&lt;'01_Input'!$AA$62),'01_Input'!$AC$62,0),MAX(MIN(DJ$20,'01_Input'!$AA$62)-'01_Input'!$Z$62,0)*'01_Input'!$AC$62)))))))))</f>
        <v>0</v>
      </c>
      <c r="DK30" s="83">
        <f>IF('01_Input'!$C$62="Non",0,MIN('01_Input'!$I$62,MAX('01_Input'!$H$62,IF('01_Input'!$G$62="Résiduel vs Gestion",0,IF('01_Input'!$G$62="Taux Classe sélectionnée",Distrib_Global_Classe_Selectionnee*DK$20,IF('01_Input'!$G$62="Frais KYC (paliers de 100M€)",MAX(0,Nb_Investisseurs-Nb_KYC_Gratuites_Par_Tranche*(FLOOR(DK$20/Taille_Tranche_KYC,1)+1))*Cout_Par_KYC_Supplementaire,(IF('01_Input'!$L$62="Forfait",IF(DK$20&gt;='01_Input'!$J$62,'01_Input'!$M$62,0),IF('01_Input'!$L$62="Palier",IF(AND(DK$20&gt;='01_Input'!$J$62,DK$20&lt;'01_Input'!$K$62),'01_Input'!$M$62,0),MAX(MIN(DK$20,'01_Input'!$K$62)-'01_Input'!$J$62,0)*'01_Input'!$M$62))+IF('01_Input'!$P$62="Forfait",IF(DK$20&gt;='01_Input'!$N$62,'01_Input'!$Q$62,0),IF('01_Input'!$P$62="Palier",IF(AND(DK$20&gt;='01_Input'!$N$62,DK$20&lt;'01_Input'!$O$62),'01_Input'!$Q$62,0),MAX(MIN(DK$20,'01_Input'!$O$62)-'01_Input'!$N$62,0)*'01_Input'!$Q$62))+IF('01_Input'!$T$62="Forfait",IF(DK$20&gt;='01_Input'!$R$62,'01_Input'!$U$62,0),IF('01_Input'!$T$62="Palier",IF(AND(DK$20&gt;='01_Input'!$R$62,DK$20&lt;'01_Input'!$S$62),'01_Input'!$U$62,0),MAX(MIN(DK$20,'01_Input'!$S$62)-'01_Input'!$R$62,0)*'01_Input'!$U$62))+IF('01_Input'!$X$62="Forfait",IF(DK$20&gt;='01_Input'!$V$62,'01_Input'!$Y$62,0),IF('01_Input'!$X$62="Palier",IF(AND(DK$20&gt;='01_Input'!$V$62,DK$20&lt;'01_Input'!$W$62),'01_Input'!$Y$62,0),MAX(MIN(DK$20,'01_Input'!$W$62)-'01_Input'!$V$62,0)*'01_Input'!$Y$62))+IF('01_Input'!$AB$62="Forfait",IF(DK$20&gt;='01_Input'!$Z$62,'01_Input'!$AC$62,0),IF('01_Input'!$AB$62="Palier",IF(AND(DK$20&gt;='01_Input'!$Z$62,DK$20&lt;'01_Input'!$AA$62),'01_Input'!$AC$62,0),MAX(MIN(DK$20,'01_Input'!$AA$62)-'01_Input'!$Z$62,0)*'01_Input'!$AC$62)))))))))</f>
        <v>0</v>
      </c>
      <c r="DL30" s="83">
        <f>IF('01_Input'!$C$62="Non",0,MIN('01_Input'!$I$62,MAX('01_Input'!$H$62,IF('01_Input'!$G$62="Résiduel vs Gestion",0,IF('01_Input'!$G$62="Taux Classe sélectionnée",Distrib_Global_Classe_Selectionnee*DL$20,IF('01_Input'!$G$62="Frais KYC (paliers de 100M€)",MAX(0,Nb_Investisseurs-Nb_KYC_Gratuites_Par_Tranche*(FLOOR(DL$20/Taille_Tranche_KYC,1)+1))*Cout_Par_KYC_Supplementaire,(IF('01_Input'!$L$62="Forfait",IF(DL$20&gt;='01_Input'!$J$62,'01_Input'!$M$62,0),IF('01_Input'!$L$62="Palier",IF(AND(DL$20&gt;='01_Input'!$J$62,DL$20&lt;'01_Input'!$K$62),'01_Input'!$M$62,0),MAX(MIN(DL$20,'01_Input'!$K$62)-'01_Input'!$J$62,0)*'01_Input'!$M$62))+IF('01_Input'!$P$62="Forfait",IF(DL$20&gt;='01_Input'!$N$62,'01_Input'!$Q$62,0),IF('01_Input'!$P$62="Palier",IF(AND(DL$20&gt;='01_Input'!$N$62,DL$20&lt;'01_Input'!$O$62),'01_Input'!$Q$62,0),MAX(MIN(DL$20,'01_Input'!$O$62)-'01_Input'!$N$62,0)*'01_Input'!$Q$62))+IF('01_Input'!$T$62="Forfait",IF(DL$20&gt;='01_Input'!$R$62,'01_Input'!$U$62,0),IF('01_Input'!$T$62="Palier",IF(AND(DL$20&gt;='01_Input'!$R$62,DL$20&lt;'01_Input'!$S$62),'01_Input'!$U$62,0),MAX(MIN(DL$20,'01_Input'!$S$62)-'01_Input'!$R$62,0)*'01_Input'!$U$62))+IF('01_Input'!$X$62="Forfait",IF(DL$20&gt;='01_Input'!$V$62,'01_Input'!$Y$62,0),IF('01_Input'!$X$62="Palier",IF(AND(DL$20&gt;='01_Input'!$V$62,DL$20&lt;'01_Input'!$W$62),'01_Input'!$Y$62,0),MAX(MIN(DL$20,'01_Input'!$W$62)-'01_Input'!$V$62,0)*'01_Input'!$Y$62))+IF('01_Input'!$AB$62="Forfait",IF(DL$20&gt;='01_Input'!$Z$62,'01_Input'!$AC$62,0),IF('01_Input'!$AB$62="Palier",IF(AND(DL$20&gt;='01_Input'!$Z$62,DL$20&lt;'01_Input'!$AA$62),'01_Input'!$AC$62,0),MAX(MIN(DL$20,'01_Input'!$AA$62)-'01_Input'!$Z$62,0)*'01_Input'!$AC$62)))))))))</f>
        <v>0</v>
      </c>
      <c r="DM30" s="83">
        <f>IF('01_Input'!$C$62="Non",0,MIN('01_Input'!$I$62,MAX('01_Input'!$H$62,IF('01_Input'!$G$62="Résiduel vs Gestion",0,IF('01_Input'!$G$62="Taux Classe sélectionnée",Distrib_Global_Classe_Selectionnee*DM$20,IF('01_Input'!$G$62="Frais KYC (paliers de 100M€)",MAX(0,Nb_Investisseurs-Nb_KYC_Gratuites_Par_Tranche*(FLOOR(DM$20/Taille_Tranche_KYC,1)+1))*Cout_Par_KYC_Supplementaire,(IF('01_Input'!$L$62="Forfait",IF(DM$20&gt;='01_Input'!$J$62,'01_Input'!$M$62,0),IF('01_Input'!$L$62="Palier",IF(AND(DM$20&gt;='01_Input'!$J$62,DM$20&lt;'01_Input'!$K$62),'01_Input'!$M$62,0),MAX(MIN(DM$20,'01_Input'!$K$62)-'01_Input'!$J$62,0)*'01_Input'!$M$62))+IF('01_Input'!$P$62="Forfait",IF(DM$20&gt;='01_Input'!$N$62,'01_Input'!$Q$62,0),IF('01_Input'!$P$62="Palier",IF(AND(DM$20&gt;='01_Input'!$N$62,DM$20&lt;'01_Input'!$O$62),'01_Input'!$Q$62,0),MAX(MIN(DM$20,'01_Input'!$O$62)-'01_Input'!$N$62,0)*'01_Input'!$Q$62))+IF('01_Input'!$T$62="Forfait",IF(DM$20&gt;='01_Input'!$R$62,'01_Input'!$U$62,0),IF('01_Input'!$T$62="Palier",IF(AND(DM$20&gt;='01_Input'!$R$62,DM$20&lt;'01_Input'!$S$62),'01_Input'!$U$62,0),MAX(MIN(DM$20,'01_Input'!$S$62)-'01_Input'!$R$62,0)*'01_Input'!$U$62))+IF('01_Input'!$X$62="Forfait",IF(DM$20&gt;='01_Input'!$V$62,'01_Input'!$Y$62,0),IF('01_Input'!$X$62="Palier",IF(AND(DM$20&gt;='01_Input'!$V$62,DM$20&lt;'01_Input'!$W$62),'01_Input'!$Y$62,0),MAX(MIN(DM$20,'01_Input'!$W$62)-'01_Input'!$V$62,0)*'01_Input'!$Y$62))+IF('01_Input'!$AB$62="Forfait",IF(DM$20&gt;='01_Input'!$Z$62,'01_Input'!$AC$62,0),IF('01_Input'!$AB$62="Palier",IF(AND(DM$20&gt;='01_Input'!$Z$62,DM$20&lt;'01_Input'!$AA$62),'01_Input'!$AC$62,0),MAX(MIN(DM$20,'01_Input'!$AA$62)-'01_Input'!$Z$62,0)*'01_Input'!$AC$62)))))))))</f>
        <v>0</v>
      </c>
      <c r="DN30" s="83">
        <f>IF('01_Input'!$C$62="Non",0,MIN('01_Input'!$I$62,MAX('01_Input'!$H$62,IF('01_Input'!$G$62="Résiduel vs Gestion",0,IF('01_Input'!$G$62="Taux Classe sélectionnée",Distrib_Global_Classe_Selectionnee*DN$20,IF('01_Input'!$G$62="Frais KYC (paliers de 100M€)",MAX(0,Nb_Investisseurs-Nb_KYC_Gratuites_Par_Tranche*(FLOOR(DN$20/Taille_Tranche_KYC,1)+1))*Cout_Par_KYC_Supplementaire,(IF('01_Input'!$L$62="Forfait",IF(DN$20&gt;='01_Input'!$J$62,'01_Input'!$M$62,0),IF('01_Input'!$L$62="Palier",IF(AND(DN$20&gt;='01_Input'!$J$62,DN$20&lt;'01_Input'!$K$62),'01_Input'!$M$62,0),MAX(MIN(DN$20,'01_Input'!$K$62)-'01_Input'!$J$62,0)*'01_Input'!$M$62))+IF('01_Input'!$P$62="Forfait",IF(DN$20&gt;='01_Input'!$N$62,'01_Input'!$Q$62,0),IF('01_Input'!$P$62="Palier",IF(AND(DN$20&gt;='01_Input'!$N$62,DN$20&lt;'01_Input'!$O$62),'01_Input'!$Q$62,0),MAX(MIN(DN$20,'01_Input'!$O$62)-'01_Input'!$N$62,0)*'01_Input'!$Q$62))+IF('01_Input'!$T$62="Forfait",IF(DN$20&gt;='01_Input'!$R$62,'01_Input'!$U$62,0),IF('01_Input'!$T$62="Palier",IF(AND(DN$20&gt;='01_Input'!$R$62,DN$20&lt;'01_Input'!$S$62),'01_Input'!$U$62,0),MAX(MIN(DN$20,'01_Input'!$S$62)-'01_Input'!$R$62,0)*'01_Input'!$U$62))+IF('01_Input'!$X$62="Forfait",IF(DN$20&gt;='01_Input'!$V$62,'01_Input'!$Y$62,0),IF('01_Input'!$X$62="Palier",IF(AND(DN$20&gt;='01_Input'!$V$62,DN$20&lt;'01_Input'!$W$62),'01_Input'!$Y$62,0),MAX(MIN(DN$20,'01_Input'!$W$62)-'01_Input'!$V$62,0)*'01_Input'!$Y$62))+IF('01_Input'!$AB$62="Forfait",IF(DN$20&gt;='01_Input'!$Z$62,'01_Input'!$AC$62,0),IF('01_Input'!$AB$62="Palier",IF(AND(DN$20&gt;='01_Input'!$Z$62,DN$20&lt;'01_Input'!$AA$62),'01_Input'!$AC$62,0),MAX(MIN(DN$20,'01_Input'!$AA$62)-'01_Input'!$Z$62,0)*'01_Input'!$AC$62)))))))))</f>
        <v>0</v>
      </c>
      <c r="DO30" s="83">
        <f>IF('01_Input'!$C$62="Non",0,MIN('01_Input'!$I$62,MAX('01_Input'!$H$62,IF('01_Input'!$G$62="Résiduel vs Gestion",0,IF('01_Input'!$G$62="Taux Classe sélectionnée",Distrib_Global_Classe_Selectionnee*DO$20,IF('01_Input'!$G$62="Frais KYC (paliers de 100M€)",MAX(0,Nb_Investisseurs-Nb_KYC_Gratuites_Par_Tranche*(FLOOR(DO$20/Taille_Tranche_KYC,1)+1))*Cout_Par_KYC_Supplementaire,(IF('01_Input'!$L$62="Forfait",IF(DO$20&gt;='01_Input'!$J$62,'01_Input'!$M$62,0),IF('01_Input'!$L$62="Palier",IF(AND(DO$20&gt;='01_Input'!$J$62,DO$20&lt;'01_Input'!$K$62),'01_Input'!$M$62,0),MAX(MIN(DO$20,'01_Input'!$K$62)-'01_Input'!$J$62,0)*'01_Input'!$M$62))+IF('01_Input'!$P$62="Forfait",IF(DO$20&gt;='01_Input'!$N$62,'01_Input'!$Q$62,0),IF('01_Input'!$P$62="Palier",IF(AND(DO$20&gt;='01_Input'!$N$62,DO$20&lt;'01_Input'!$O$62),'01_Input'!$Q$62,0),MAX(MIN(DO$20,'01_Input'!$O$62)-'01_Input'!$N$62,0)*'01_Input'!$Q$62))+IF('01_Input'!$T$62="Forfait",IF(DO$20&gt;='01_Input'!$R$62,'01_Input'!$U$62,0),IF('01_Input'!$T$62="Palier",IF(AND(DO$20&gt;='01_Input'!$R$62,DO$20&lt;'01_Input'!$S$62),'01_Input'!$U$62,0),MAX(MIN(DO$20,'01_Input'!$S$62)-'01_Input'!$R$62,0)*'01_Input'!$U$62))+IF('01_Input'!$X$62="Forfait",IF(DO$20&gt;='01_Input'!$V$62,'01_Input'!$Y$62,0),IF('01_Input'!$X$62="Palier",IF(AND(DO$20&gt;='01_Input'!$V$62,DO$20&lt;'01_Input'!$W$62),'01_Input'!$Y$62,0),MAX(MIN(DO$20,'01_Input'!$W$62)-'01_Input'!$V$62,0)*'01_Input'!$Y$62))+IF('01_Input'!$AB$62="Forfait",IF(DO$20&gt;='01_Input'!$Z$62,'01_Input'!$AC$62,0),IF('01_Input'!$AB$62="Palier",IF(AND(DO$20&gt;='01_Input'!$Z$62,DO$20&lt;'01_Input'!$AA$62),'01_Input'!$AC$62,0),MAX(MIN(DO$20,'01_Input'!$AA$62)-'01_Input'!$Z$62,0)*'01_Input'!$AC$62)))))))))</f>
        <v>0</v>
      </c>
      <c r="DP30" s="83">
        <f>IF('01_Input'!$C$62="Non",0,MIN('01_Input'!$I$62,MAX('01_Input'!$H$62,IF('01_Input'!$G$62="Résiduel vs Gestion",0,IF('01_Input'!$G$62="Taux Classe sélectionnée",Distrib_Global_Classe_Selectionnee*DP$20,IF('01_Input'!$G$62="Frais KYC (paliers de 100M€)",MAX(0,Nb_Investisseurs-Nb_KYC_Gratuites_Par_Tranche*(FLOOR(DP$20/Taille_Tranche_KYC,1)+1))*Cout_Par_KYC_Supplementaire,(IF('01_Input'!$L$62="Forfait",IF(DP$20&gt;='01_Input'!$J$62,'01_Input'!$M$62,0),IF('01_Input'!$L$62="Palier",IF(AND(DP$20&gt;='01_Input'!$J$62,DP$20&lt;'01_Input'!$K$62),'01_Input'!$M$62,0),MAX(MIN(DP$20,'01_Input'!$K$62)-'01_Input'!$J$62,0)*'01_Input'!$M$62))+IF('01_Input'!$P$62="Forfait",IF(DP$20&gt;='01_Input'!$N$62,'01_Input'!$Q$62,0),IF('01_Input'!$P$62="Palier",IF(AND(DP$20&gt;='01_Input'!$N$62,DP$20&lt;'01_Input'!$O$62),'01_Input'!$Q$62,0),MAX(MIN(DP$20,'01_Input'!$O$62)-'01_Input'!$N$62,0)*'01_Input'!$Q$62))+IF('01_Input'!$T$62="Forfait",IF(DP$20&gt;='01_Input'!$R$62,'01_Input'!$U$62,0),IF('01_Input'!$T$62="Palier",IF(AND(DP$20&gt;='01_Input'!$R$62,DP$20&lt;'01_Input'!$S$62),'01_Input'!$U$62,0),MAX(MIN(DP$20,'01_Input'!$S$62)-'01_Input'!$R$62,0)*'01_Input'!$U$62))+IF('01_Input'!$X$62="Forfait",IF(DP$20&gt;='01_Input'!$V$62,'01_Input'!$Y$62,0),IF('01_Input'!$X$62="Palier",IF(AND(DP$20&gt;='01_Input'!$V$62,DP$20&lt;'01_Input'!$W$62),'01_Input'!$Y$62,0),MAX(MIN(DP$20,'01_Input'!$W$62)-'01_Input'!$V$62,0)*'01_Input'!$Y$62))+IF('01_Input'!$AB$62="Forfait",IF(DP$20&gt;='01_Input'!$Z$62,'01_Input'!$AC$62,0),IF('01_Input'!$AB$62="Palier",IF(AND(DP$20&gt;='01_Input'!$Z$62,DP$20&lt;'01_Input'!$AA$62),'01_Input'!$AC$62,0),MAX(MIN(DP$20,'01_Input'!$AA$62)-'01_Input'!$Z$62,0)*'01_Input'!$AC$62)))))))))</f>
        <v>0</v>
      </c>
      <c r="DQ30" s="83">
        <f>IF('01_Input'!$C$62="Non",0,MIN('01_Input'!$I$62,MAX('01_Input'!$H$62,IF('01_Input'!$G$62="Résiduel vs Gestion",0,IF('01_Input'!$G$62="Taux Classe sélectionnée",Distrib_Global_Classe_Selectionnee*DQ$20,IF('01_Input'!$G$62="Frais KYC (paliers de 100M€)",MAX(0,Nb_Investisseurs-Nb_KYC_Gratuites_Par_Tranche*(FLOOR(DQ$20/Taille_Tranche_KYC,1)+1))*Cout_Par_KYC_Supplementaire,(IF('01_Input'!$L$62="Forfait",IF(DQ$20&gt;='01_Input'!$J$62,'01_Input'!$M$62,0),IF('01_Input'!$L$62="Palier",IF(AND(DQ$20&gt;='01_Input'!$J$62,DQ$20&lt;'01_Input'!$K$62),'01_Input'!$M$62,0),MAX(MIN(DQ$20,'01_Input'!$K$62)-'01_Input'!$J$62,0)*'01_Input'!$M$62))+IF('01_Input'!$P$62="Forfait",IF(DQ$20&gt;='01_Input'!$N$62,'01_Input'!$Q$62,0),IF('01_Input'!$P$62="Palier",IF(AND(DQ$20&gt;='01_Input'!$N$62,DQ$20&lt;'01_Input'!$O$62),'01_Input'!$Q$62,0),MAX(MIN(DQ$20,'01_Input'!$O$62)-'01_Input'!$N$62,0)*'01_Input'!$Q$62))+IF('01_Input'!$T$62="Forfait",IF(DQ$20&gt;='01_Input'!$R$62,'01_Input'!$U$62,0),IF('01_Input'!$T$62="Palier",IF(AND(DQ$20&gt;='01_Input'!$R$62,DQ$20&lt;'01_Input'!$S$62),'01_Input'!$U$62,0),MAX(MIN(DQ$20,'01_Input'!$S$62)-'01_Input'!$R$62,0)*'01_Input'!$U$62))+IF('01_Input'!$X$62="Forfait",IF(DQ$20&gt;='01_Input'!$V$62,'01_Input'!$Y$62,0),IF('01_Input'!$X$62="Palier",IF(AND(DQ$20&gt;='01_Input'!$V$62,DQ$20&lt;'01_Input'!$W$62),'01_Input'!$Y$62,0),MAX(MIN(DQ$20,'01_Input'!$W$62)-'01_Input'!$V$62,0)*'01_Input'!$Y$62))+IF('01_Input'!$AB$62="Forfait",IF(DQ$20&gt;='01_Input'!$Z$62,'01_Input'!$AC$62,0),IF('01_Input'!$AB$62="Palier",IF(AND(DQ$20&gt;='01_Input'!$Z$62,DQ$20&lt;'01_Input'!$AA$62),'01_Input'!$AC$62,0),MAX(MIN(DQ$20,'01_Input'!$AA$62)-'01_Input'!$Z$62,0)*'01_Input'!$AC$62)))))))))</f>
        <v>0</v>
      </c>
      <c r="DR30" s="83">
        <f>IF('01_Input'!$C$62="Non",0,MIN('01_Input'!$I$62,MAX('01_Input'!$H$62,IF('01_Input'!$G$62="Résiduel vs Gestion",0,IF('01_Input'!$G$62="Taux Classe sélectionnée",Distrib_Global_Classe_Selectionnee*DR$20,IF('01_Input'!$G$62="Frais KYC (paliers de 100M€)",MAX(0,Nb_Investisseurs-Nb_KYC_Gratuites_Par_Tranche*(FLOOR(DR$20/Taille_Tranche_KYC,1)+1))*Cout_Par_KYC_Supplementaire,(IF('01_Input'!$L$62="Forfait",IF(DR$20&gt;='01_Input'!$J$62,'01_Input'!$M$62,0),IF('01_Input'!$L$62="Palier",IF(AND(DR$20&gt;='01_Input'!$J$62,DR$20&lt;'01_Input'!$K$62),'01_Input'!$M$62,0),MAX(MIN(DR$20,'01_Input'!$K$62)-'01_Input'!$J$62,0)*'01_Input'!$M$62))+IF('01_Input'!$P$62="Forfait",IF(DR$20&gt;='01_Input'!$N$62,'01_Input'!$Q$62,0),IF('01_Input'!$P$62="Palier",IF(AND(DR$20&gt;='01_Input'!$N$62,DR$20&lt;'01_Input'!$O$62),'01_Input'!$Q$62,0),MAX(MIN(DR$20,'01_Input'!$O$62)-'01_Input'!$N$62,0)*'01_Input'!$Q$62))+IF('01_Input'!$T$62="Forfait",IF(DR$20&gt;='01_Input'!$R$62,'01_Input'!$U$62,0),IF('01_Input'!$T$62="Palier",IF(AND(DR$20&gt;='01_Input'!$R$62,DR$20&lt;'01_Input'!$S$62),'01_Input'!$U$62,0),MAX(MIN(DR$20,'01_Input'!$S$62)-'01_Input'!$R$62,0)*'01_Input'!$U$62))+IF('01_Input'!$X$62="Forfait",IF(DR$20&gt;='01_Input'!$V$62,'01_Input'!$Y$62,0),IF('01_Input'!$X$62="Palier",IF(AND(DR$20&gt;='01_Input'!$V$62,DR$20&lt;'01_Input'!$W$62),'01_Input'!$Y$62,0),MAX(MIN(DR$20,'01_Input'!$W$62)-'01_Input'!$V$62,0)*'01_Input'!$Y$62))+IF('01_Input'!$AB$62="Forfait",IF(DR$20&gt;='01_Input'!$Z$62,'01_Input'!$AC$62,0),IF('01_Input'!$AB$62="Palier",IF(AND(DR$20&gt;='01_Input'!$Z$62,DR$20&lt;'01_Input'!$AA$62),'01_Input'!$AC$62,0),MAX(MIN(DR$20,'01_Input'!$AA$62)-'01_Input'!$Z$62,0)*'01_Input'!$AC$62)))))))))</f>
        <v>0</v>
      </c>
      <c r="DS30" s="83">
        <f>IF('01_Input'!$C$62="Non",0,MIN('01_Input'!$I$62,MAX('01_Input'!$H$62,IF('01_Input'!$G$62="Résiduel vs Gestion",0,IF('01_Input'!$G$62="Taux Classe sélectionnée",Distrib_Global_Classe_Selectionnee*DS$20,IF('01_Input'!$G$62="Frais KYC (paliers de 100M€)",MAX(0,Nb_Investisseurs-Nb_KYC_Gratuites_Par_Tranche*(FLOOR(DS$20/Taille_Tranche_KYC,1)+1))*Cout_Par_KYC_Supplementaire,(IF('01_Input'!$L$62="Forfait",IF(DS$20&gt;='01_Input'!$J$62,'01_Input'!$M$62,0),IF('01_Input'!$L$62="Palier",IF(AND(DS$20&gt;='01_Input'!$J$62,DS$20&lt;'01_Input'!$K$62),'01_Input'!$M$62,0),MAX(MIN(DS$20,'01_Input'!$K$62)-'01_Input'!$J$62,0)*'01_Input'!$M$62))+IF('01_Input'!$P$62="Forfait",IF(DS$20&gt;='01_Input'!$N$62,'01_Input'!$Q$62,0),IF('01_Input'!$P$62="Palier",IF(AND(DS$20&gt;='01_Input'!$N$62,DS$20&lt;'01_Input'!$O$62),'01_Input'!$Q$62,0),MAX(MIN(DS$20,'01_Input'!$O$62)-'01_Input'!$N$62,0)*'01_Input'!$Q$62))+IF('01_Input'!$T$62="Forfait",IF(DS$20&gt;='01_Input'!$R$62,'01_Input'!$U$62,0),IF('01_Input'!$T$62="Palier",IF(AND(DS$20&gt;='01_Input'!$R$62,DS$20&lt;'01_Input'!$S$62),'01_Input'!$U$62,0),MAX(MIN(DS$20,'01_Input'!$S$62)-'01_Input'!$R$62,0)*'01_Input'!$U$62))+IF('01_Input'!$X$62="Forfait",IF(DS$20&gt;='01_Input'!$V$62,'01_Input'!$Y$62,0),IF('01_Input'!$X$62="Palier",IF(AND(DS$20&gt;='01_Input'!$V$62,DS$20&lt;'01_Input'!$W$62),'01_Input'!$Y$62,0),MAX(MIN(DS$20,'01_Input'!$W$62)-'01_Input'!$V$62,0)*'01_Input'!$Y$62))+IF('01_Input'!$AB$62="Forfait",IF(DS$20&gt;='01_Input'!$Z$62,'01_Input'!$AC$62,0),IF('01_Input'!$AB$62="Palier",IF(AND(DS$20&gt;='01_Input'!$Z$62,DS$20&lt;'01_Input'!$AA$62),'01_Input'!$AC$62,0),MAX(MIN(DS$20,'01_Input'!$AA$62)-'01_Input'!$Z$62,0)*'01_Input'!$AC$62)))))))))</f>
        <v>0</v>
      </c>
      <c r="DT30" s="83">
        <f>IF('01_Input'!$C$62="Non",0,MIN('01_Input'!$I$62,MAX('01_Input'!$H$62,IF('01_Input'!$G$62="Résiduel vs Gestion",0,IF('01_Input'!$G$62="Taux Classe sélectionnée",Distrib_Global_Classe_Selectionnee*DT$20,IF('01_Input'!$G$62="Frais KYC (paliers de 100M€)",MAX(0,Nb_Investisseurs-Nb_KYC_Gratuites_Par_Tranche*(FLOOR(DT$20/Taille_Tranche_KYC,1)+1))*Cout_Par_KYC_Supplementaire,(IF('01_Input'!$L$62="Forfait",IF(DT$20&gt;='01_Input'!$J$62,'01_Input'!$M$62,0),IF('01_Input'!$L$62="Palier",IF(AND(DT$20&gt;='01_Input'!$J$62,DT$20&lt;'01_Input'!$K$62),'01_Input'!$M$62,0),MAX(MIN(DT$20,'01_Input'!$K$62)-'01_Input'!$J$62,0)*'01_Input'!$M$62))+IF('01_Input'!$P$62="Forfait",IF(DT$20&gt;='01_Input'!$N$62,'01_Input'!$Q$62,0),IF('01_Input'!$P$62="Palier",IF(AND(DT$20&gt;='01_Input'!$N$62,DT$20&lt;'01_Input'!$O$62),'01_Input'!$Q$62,0),MAX(MIN(DT$20,'01_Input'!$O$62)-'01_Input'!$N$62,0)*'01_Input'!$Q$62))+IF('01_Input'!$T$62="Forfait",IF(DT$20&gt;='01_Input'!$R$62,'01_Input'!$U$62,0),IF('01_Input'!$T$62="Palier",IF(AND(DT$20&gt;='01_Input'!$R$62,DT$20&lt;'01_Input'!$S$62),'01_Input'!$U$62,0),MAX(MIN(DT$20,'01_Input'!$S$62)-'01_Input'!$R$62,0)*'01_Input'!$U$62))+IF('01_Input'!$X$62="Forfait",IF(DT$20&gt;='01_Input'!$V$62,'01_Input'!$Y$62,0),IF('01_Input'!$X$62="Palier",IF(AND(DT$20&gt;='01_Input'!$V$62,DT$20&lt;'01_Input'!$W$62),'01_Input'!$Y$62,0),MAX(MIN(DT$20,'01_Input'!$W$62)-'01_Input'!$V$62,0)*'01_Input'!$Y$62))+IF('01_Input'!$AB$62="Forfait",IF(DT$20&gt;='01_Input'!$Z$62,'01_Input'!$AC$62,0),IF('01_Input'!$AB$62="Palier",IF(AND(DT$20&gt;='01_Input'!$Z$62,DT$20&lt;'01_Input'!$AA$62),'01_Input'!$AC$62,0),MAX(MIN(DT$20,'01_Input'!$AA$62)-'01_Input'!$Z$62,0)*'01_Input'!$AC$62)))))))))</f>
        <v>0</v>
      </c>
      <c r="DU30" s="83">
        <f>IF('01_Input'!$C$62="Non",0,MIN('01_Input'!$I$62,MAX('01_Input'!$H$62,IF('01_Input'!$G$62="Résiduel vs Gestion",0,IF('01_Input'!$G$62="Taux Classe sélectionnée",Distrib_Global_Classe_Selectionnee*DU$20,IF('01_Input'!$G$62="Frais KYC (paliers de 100M€)",MAX(0,Nb_Investisseurs-Nb_KYC_Gratuites_Par_Tranche*(FLOOR(DU$20/Taille_Tranche_KYC,1)+1))*Cout_Par_KYC_Supplementaire,(IF('01_Input'!$L$62="Forfait",IF(DU$20&gt;='01_Input'!$J$62,'01_Input'!$M$62,0),IF('01_Input'!$L$62="Palier",IF(AND(DU$20&gt;='01_Input'!$J$62,DU$20&lt;'01_Input'!$K$62),'01_Input'!$M$62,0),MAX(MIN(DU$20,'01_Input'!$K$62)-'01_Input'!$J$62,0)*'01_Input'!$M$62))+IF('01_Input'!$P$62="Forfait",IF(DU$20&gt;='01_Input'!$N$62,'01_Input'!$Q$62,0),IF('01_Input'!$P$62="Palier",IF(AND(DU$20&gt;='01_Input'!$N$62,DU$20&lt;'01_Input'!$O$62),'01_Input'!$Q$62,0),MAX(MIN(DU$20,'01_Input'!$O$62)-'01_Input'!$N$62,0)*'01_Input'!$Q$62))+IF('01_Input'!$T$62="Forfait",IF(DU$20&gt;='01_Input'!$R$62,'01_Input'!$U$62,0),IF('01_Input'!$T$62="Palier",IF(AND(DU$20&gt;='01_Input'!$R$62,DU$20&lt;'01_Input'!$S$62),'01_Input'!$U$62,0),MAX(MIN(DU$20,'01_Input'!$S$62)-'01_Input'!$R$62,0)*'01_Input'!$U$62))+IF('01_Input'!$X$62="Forfait",IF(DU$20&gt;='01_Input'!$V$62,'01_Input'!$Y$62,0),IF('01_Input'!$X$62="Palier",IF(AND(DU$20&gt;='01_Input'!$V$62,DU$20&lt;'01_Input'!$W$62),'01_Input'!$Y$62,0),MAX(MIN(DU$20,'01_Input'!$W$62)-'01_Input'!$V$62,0)*'01_Input'!$Y$62))+IF('01_Input'!$AB$62="Forfait",IF(DU$20&gt;='01_Input'!$Z$62,'01_Input'!$AC$62,0),IF('01_Input'!$AB$62="Palier",IF(AND(DU$20&gt;='01_Input'!$Z$62,DU$20&lt;'01_Input'!$AA$62),'01_Input'!$AC$62,0),MAX(MIN(DU$20,'01_Input'!$AA$62)-'01_Input'!$Z$62,0)*'01_Input'!$AC$62)))))))))</f>
        <v>0</v>
      </c>
      <c r="DV30" s="83">
        <f>IF('01_Input'!$C$62="Non",0,MIN('01_Input'!$I$62,MAX('01_Input'!$H$62,IF('01_Input'!$G$62="Résiduel vs Gestion",0,IF('01_Input'!$G$62="Taux Classe sélectionnée",Distrib_Global_Classe_Selectionnee*DV$20,IF('01_Input'!$G$62="Frais KYC (paliers de 100M€)",MAX(0,Nb_Investisseurs-Nb_KYC_Gratuites_Par_Tranche*(FLOOR(DV$20/Taille_Tranche_KYC,1)+1))*Cout_Par_KYC_Supplementaire,(IF('01_Input'!$L$62="Forfait",IF(DV$20&gt;='01_Input'!$J$62,'01_Input'!$M$62,0),IF('01_Input'!$L$62="Palier",IF(AND(DV$20&gt;='01_Input'!$J$62,DV$20&lt;'01_Input'!$K$62),'01_Input'!$M$62,0),MAX(MIN(DV$20,'01_Input'!$K$62)-'01_Input'!$J$62,0)*'01_Input'!$M$62))+IF('01_Input'!$P$62="Forfait",IF(DV$20&gt;='01_Input'!$N$62,'01_Input'!$Q$62,0),IF('01_Input'!$P$62="Palier",IF(AND(DV$20&gt;='01_Input'!$N$62,DV$20&lt;'01_Input'!$O$62),'01_Input'!$Q$62,0),MAX(MIN(DV$20,'01_Input'!$O$62)-'01_Input'!$N$62,0)*'01_Input'!$Q$62))+IF('01_Input'!$T$62="Forfait",IF(DV$20&gt;='01_Input'!$R$62,'01_Input'!$U$62,0),IF('01_Input'!$T$62="Palier",IF(AND(DV$20&gt;='01_Input'!$R$62,DV$20&lt;'01_Input'!$S$62),'01_Input'!$U$62,0),MAX(MIN(DV$20,'01_Input'!$S$62)-'01_Input'!$R$62,0)*'01_Input'!$U$62))+IF('01_Input'!$X$62="Forfait",IF(DV$20&gt;='01_Input'!$V$62,'01_Input'!$Y$62,0),IF('01_Input'!$X$62="Palier",IF(AND(DV$20&gt;='01_Input'!$V$62,DV$20&lt;'01_Input'!$W$62),'01_Input'!$Y$62,0),MAX(MIN(DV$20,'01_Input'!$W$62)-'01_Input'!$V$62,0)*'01_Input'!$Y$62))+IF('01_Input'!$AB$62="Forfait",IF(DV$20&gt;='01_Input'!$Z$62,'01_Input'!$AC$62,0),IF('01_Input'!$AB$62="Palier",IF(AND(DV$20&gt;='01_Input'!$Z$62,DV$20&lt;'01_Input'!$AA$62),'01_Input'!$AC$62,0),MAX(MIN(DV$20,'01_Input'!$AA$62)-'01_Input'!$Z$62,0)*'01_Input'!$AC$62)))))))))</f>
        <v>0</v>
      </c>
      <c r="DW30" s="83">
        <f>IF('01_Input'!$C$62="Non",0,MIN('01_Input'!$I$62,MAX('01_Input'!$H$62,IF('01_Input'!$G$62="Résiduel vs Gestion",0,IF('01_Input'!$G$62="Taux Classe sélectionnée",Distrib_Global_Classe_Selectionnee*DW$20,IF('01_Input'!$G$62="Frais KYC (paliers de 100M€)",MAX(0,Nb_Investisseurs-Nb_KYC_Gratuites_Par_Tranche*(FLOOR(DW$20/Taille_Tranche_KYC,1)+1))*Cout_Par_KYC_Supplementaire,(IF('01_Input'!$L$62="Forfait",IF(DW$20&gt;='01_Input'!$J$62,'01_Input'!$M$62,0),IF('01_Input'!$L$62="Palier",IF(AND(DW$20&gt;='01_Input'!$J$62,DW$20&lt;'01_Input'!$K$62),'01_Input'!$M$62,0),MAX(MIN(DW$20,'01_Input'!$K$62)-'01_Input'!$J$62,0)*'01_Input'!$M$62))+IF('01_Input'!$P$62="Forfait",IF(DW$20&gt;='01_Input'!$N$62,'01_Input'!$Q$62,0),IF('01_Input'!$P$62="Palier",IF(AND(DW$20&gt;='01_Input'!$N$62,DW$20&lt;'01_Input'!$O$62),'01_Input'!$Q$62,0),MAX(MIN(DW$20,'01_Input'!$O$62)-'01_Input'!$N$62,0)*'01_Input'!$Q$62))+IF('01_Input'!$T$62="Forfait",IF(DW$20&gt;='01_Input'!$R$62,'01_Input'!$U$62,0),IF('01_Input'!$T$62="Palier",IF(AND(DW$20&gt;='01_Input'!$R$62,DW$20&lt;'01_Input'!$S$62),'01_Input'!$U$62,0),MAX(MIN(DW$20,'01_Input'!$S$62)-'01_Input'!$R$62,0)*'01_Input'!$U$62))+IF('01_Input'!$X$62="Forfait",IF(DW$20&gt;='01_Input'!$V$62,'01_Input'!$Y$62,0),IF('01_Input'!$X$62="Palier",IF(AND(DW$20&gt;='01_Input'!$V$62,DW$20&lt;'01_Input'!$W$62),'01_Input'!$Y$62,0),MAX(MIN(DW$20,'01_Input'!$W$62)-'01_Input'!$V$62,0)*'01_Input'!$Y$62))+IF('01_Input'!$AB$62="Forfait",IF(DW$20&gt;='01_Input'!$Z$62,'01_Input'!$AC$62,0),IF('01_Input'!$AB$62="Palier",IF(AND(DW$20&gt;='01_Input'!$Z$62,DW$20&lt;'01_Input'!$AA$62),'01_Input'!$AC$62,0),MAX(MIN(DW$20,'01_Input'!$AA$62)-'01_Input'!$Z$62,0)*'01_Input'!$AC$62)))))))))</f>
        <v>0</v>
      </c>
      <c r="DX30" s="83">
        <f>IF('01_Input'!$C$62="Non",0,MIN('01_Input'!$I$62,MAX('01_Input'!$H$62,IF('01_Input'!$G$62="Résiduel vs Gestion",0,IF('01_Input'!$G$62="Taux Classe sélectionnée",Distrib_Global_Classe_Selectionnee*DX$20,IF('01_Input'!$G$62="Frais KYC (paliers de 100M€)",MAX(0,Nb_Investisseurs-Nb_KYC_Gratuites_Par_Tranche*(FLOOR(DX$20/Taille_Tranche_KYC,1)+1))*Cout_Par_KYC_Supplementaire,(IF('01_Input'!$L$62="Forfait",IF(DX$20&gt;='01_Input'!$J$62,'01_Input'!$M$62,0),IF('01_Input'!$L$62="Palier",IF(AND(DX$20&gt;='01_Input'!$J$62,DX$20&lt;'01_Input'!$K$62),'01_Input'!$M$62,0),MAX(MIN(DX$20,'01_Input'!$K$62)-'01_Input'!$J$62,0)*'01_Input'!$M$62))+IF('01_Input'!$P$62="Forfait",IF(DX$20&gt;='01_Input'!$N$62,'01_Input'!$Q$62,0),IF('01_Input'!$P$62="Palier",IF(AND(DX$20&gt;='01_Input'!$N$62,DX$20&lt;'01_Input'!$O$62),'01_Input'!$Q$62,0),MAX(MIN(DX$20,'01_Input'!$O$62)-'01_Input'!$N$62,0)*'01_Input'!$Q$62))+IF('01_Input'!$T$62="Forfait",IF(DX$20&gt;='01_Input'!$R$62,'01_Input'!$U$62,0),IF('01_Input'!$T$62="Palier",IF(AND(DX$20&gt;='01_Input'!$R$62,DX$20&lt;'01_Input'!$S$62),'01_Input'!$U$62,0),MAX(MIN(DX$20,'01_Input'!$S$62)-'01_Input'!$R$62,0)*'01_Input'!$U$62))+IF('01_Input'!$X$62="Forfait",IF(DX$20&gt;='01_Input'!$V$62,'01_Input'!$Y$62,0),IF('01_Input'!$X$62="Palier",IF(AND(DX$20&gt;='01_Input'!$V$62,DX$20&lt;'01_Input'!$W$62),'01_Input'!$Y$62,0),MAX(MIN(DX$20,'01_Input'!$W$62)-'01_Input'!$V$62,0)*'01_Input'!$Y$62))+IF('01_Input'!$AB$62="Forfait",IF(DX$20&gt;='01_Input'!$Z$62,'01_Input'!$AC$62,0),IF('01_Input'!$AB$62="Palier",IF(AND(DX$20&gt;='01_Input'!$Z$62,DX$20&lt;'01_Input'!$AA$62),'01_Input'!$AC$62,0),MAX(MIN(DX$20,'01_Input'!$AA$62)-'01_Input'!$Z$62,0)*'01_Input'!$AC$62)))))))))</f>
        <v>0</v>
      </c>
      <c r="DY30" s="83">
        <f>IF('01_Input'!$C$62="Non",0,MIN('01_Input'!$I$62,MAX('01_Input'!$H$62,IF('01_Input'!$G$62="Résiduel vs Gestion",0,IF('01_Input'!$G$62="Taux Classe sélectionnée",Distrib_Global_Classe_Selectionnee*DY$20,IF('01_Input'!$G$62="Frais KYC (paliers de 100M€)",MAX(0,Nb_Investisseurs-Nb_KYC_Gratuites_Par_Tranche*(FLOOR(DY$20/Taille_Tranche_KYC,1)+1))*Cout_Par_KYC_Supplementaire,(IF('01_Input'!$L$62="Forfait",IF(DY$20&gt;='01_Input'!$J$62,'01_Input'!$M$62,0),IF('01_Input'!$L$62="Palier",IF(AND(DY$20&gt;='01_Input'!$J$62,DY$20&lt;'01_Input'!$K$62),'01_Input'!$M$62,0),MAX(MIN(DY$20,'01_Input'!$K$62)-'01_Input'!$J$62,0)*'01_Input'!$M$62))+IF('01_Input'!$P$62="Forfait",IF(DY$20&gt;='01_Input'!$N$62,'01_Input'!$Q$62,0),IF('01_Input'!$P$62="Palier",IF(AND(DY$20&gt;='01_Input'!$N$62,DY$20&lt;'01_Input'!$O$62),'01_Input'!$Q$62,0),MAX(MIN(DY$20,'01_Input'!$O$62)-'01_Input'!$N$62,0)*'01_Input'!$Q$62))+IF('01_Input'!$T$62="Forfait",IF(DY$20&gt;='01_Input'!$R$62,'01_Input'!$U$62,0),IF('01_Input'!$T$62="Palier",IF(AND(DY$20&gt;='01_Input'!$R$62,DY$20&lt;'01_Input'!$S$62),'01_Input'!$U$62,0),MAX(MIN(DY$20,'01_Input'!$S$62)-'01_Input'!$R$62,0)*'01_Input'!$U$62))+IF('01_Input'!$X$62="Forfait",IF(DY$20&gt;='01_Input'!$V$62,'01_Input'!$Y$62,0),IF('01_Input'!$X$62="Palier",IF(AND(DY$20&gt;='01_Input'!$V$62,DY$20&lt;'01_Input'!$W$62),'01_Input'!$Y$62,0),MAX(MIN(DY$20,'01_Input'!$W$62)-'01_Input'!$V$62,0)*'01_Input'!$Y$62))+IF('01_Input'!$AB$62="Forfait",IF(DY$20&gt;='01_Input'!$Z$62,'01_Input'!$AC$62,0),IF('01_Input'!$AB$62="Palier",IF(AND(DY$20&gt;='01_Input'!$Z$62,DY$20&lt;'01_Input'!$AA$62),'01_Input'!$AC$62,0),MAX(MIN(DY$20,'01_Input'!$AA$62)-'01_Input'!$Z$62,0)*'01_Input'!$AC$62)))))))))</f>
        <v>0</v>
      </c>
      <c r="DZ30" s="83">
        <f>IF('01_Input'!$C$62="Non",0,MIN('01_Input'!$I$62,MAX('01_Input'!$H$62,IF('01_Input'!$G$62="Résiduel vs Gestion",0,IF('01_Input'!$G$62="Taux Classe sélectionnée",Distrib_Global_Classe_Selectionnee*DZ$20,IF('01_Input'!$G$62="Frais KYC (paliers de 100M€)",MAX(0,Nb_Investisseurs-Nb_KYC_Gratuites_Par_Tranche*(FLOOR(DZ$20/Taille_Tranche_KYC,1)+1))*Cout_Par_KYC_Supplementaire,(IF('01_Input'!$L$62="Forfait",IF(DZ$20&gt;='01_Input'!$J$62,'01_Input'!$M$62,0),IF('01_Input'!$L$62="Palier",IF(AND(DZ$20&gt;='01_Input'!$J$62,DZ$20&lt;'01_Input'!$K$62),'01_Input'!$M$62,0),MAX(MIN(DZ$20,'01_Input'!$K$62)-'01_Input'!$J$62,0)*'01_Input'!$M$62))+IF('01_Input'!$P$62="Forfait",IF(DZ$20&gt;='01_Input'!$N$62,'01_Input'!$Q$62,0),IF('01_Input'!$P$62="Palier",IF(AND(DZ$20&gt;='01_Input'!$N$62,DZ$20&lt;'01_Input'!$O$62),'01_Input'!$Q$62,0),MAX(MIN(DZ$20,'01_Input'!$O$62)-'01_Input'!$N$62,0)*'01_Input'!$Q$62))+IF('01_Input'!$T$62="Forfait",IF(DZ$20&gt;='01_Input'!$R$62,'01_Input'!$U$62,0),IF('01_Input'!$T$62="Palier",IF(AND(DZ$20&gt;='01_Input'!$R$62,DZ$20&lt;'01_Input'!$S$62),'01_Input'!$U$62,0),MAX(MIN(DZ$20,'01_Input'!$S$62)-'01_Input'!$R$62,0)*'01_Input'!$U$62))+IF('01_Input'!$X$62="Forfait",IF(DZ$20&gt;='01_Input'!$V$62,'01_Input'!$Y$62,0),IF('01_Input'!$X$62="Palier",IF(AND(DZ$20&gt;='01_Input'!$V$62,DZ$20&lt;'01_Input'!$W$62),'01_Input'!$Y$62,0),MAX(MIN(DZ$20,'01_Input'!$W$62)-'01_Input'!$V$62,0)*'01_Input'!$Y$62))+IF('01_Input'!$AB$62="Forfait",IF(DZ$20&gt;='01_Input'!$Z$62,'01_Input'!$AC$62,0),IF('01_Input'!$AB$62="Palier",IF(AND(DZ$20&gt;='01_Input'!$Z$62,DZ$20&lt;'01_Input'!$AA$62),'01_Input'!$AC$62,0),MAX(MIN(DZ$20,'01_Input'!$AA$62)-'01_Input'!$Z$62,0)*'01_Input'!$AC$62)))))))))</f>
        <v>0</v>
      </c>
      <c r="EA30" s="83">
        <f>IF('01_Input'!$C$62="Non",0,MIN('01_Input'!$I$62,MAX('01_Input'!$H$62,IF('01_Input'!$G$62="Résiduel vs Gestion",0,IF('01_Input'!$G$62="Taux Classe sélectionnée",Distrib_Global_Classe_Selectionnee*EA$20,IF('01_Input'!$G$62="Frais KYC (paliers de 100M€)",MAX(0,Nb_Investisseurs-Nb_KYC_Gratuites_Par_Tranche*(FLOOR(EA$20/Taille_Tranche_KYC,1)+1))*Cout_Par_KYC_Supplementaire,(IF('01_Input'!$L$62="Forfait",IF(EA$20&gt;='01_Input'!$J$62,'01_Input'!$M$62,0),IF('01_Input'!$L$62="Palier",IF(AND(EA$20&gt;='01_Input'!$J$62,EA$20&lt;'01_Input'!$K$62),'01_Input'!$M$62,0),MAX(MIN(EA$20,'01_Input'!$K$62)-'01_Input'!$J$62,0)*'01_Input'!$M$62))+IF('01_Input'!$P$62="Forfait",IF(EA$20&gt;='01_Input'!$N$62,'01_Input'!$Q$62,0),IF('01_Input'!$P$62="Palier",IF(AND(EA$20&gt;='01_Input'!$N$62,EA$20&lt;'01_Input'!$O$62),'01_Input'!$Q$62,0),MAX(MIN(EA$20,'01_Input'!$O$62)-'01_Input'!$N$62,0)*'01_Input'!$Q$62))+IF('01_Input'!$T$62="Forfait",IF(EA$20&gt;='01_Input'!$R$62,'01_Input'!$U$62,0),IF('01_Input'!$T$62="Palier",IF(AND(EA$20&gt;='01_Input'!$R$62,EA$20&lt;'01_Input'!$S$62),'01_Input'!$U$62,0),MAX(MIN(EA$20,'01_Input'!$S$62)-'01_Input'!$R$62,0)*'01_Input'!$U$62))+IF('01_Input'!$X$62="Forfait",IF(EA$20&gt;='01_Input'!$V$62,'01_Input'!$Y$62,0),IF('01_Input'!$X$62="Palier",IF(AND(EA$20&gt;='01_Input'!$V$62,EA$20&lt;'01_Input'!$W$62),'01_Input'!$Y$62,0),MAX(MIN(EA$20,'01_Input'!$W$62)-'01_Input'!$V$62,0)*'01_Input'!$Y$62))+IF('01_Input'!$AB$62="Forfait",IF(EA$20&gt;='01_Input'!$Z$62,'01_Input'!$AC$62,0),IF('01_Input'!$AB$62="Palier",IF(AND(EA$20&gt;='01_Input'!$Z$62,EA$20&lt;'01_Input'!$AA$62),'01_Input'!$AC$62,0),MAX(MIN(EA$20,'01_Input'!$AA$62)-'01_Input'!$Z$62,0)*'01_Input'!$AC$62)))))))))</f>
        <v>0</v>
      </c>
      <c r="EB30" s="83">
        <f>IF('01_Input'!$C$62="Non",0,MIN('01_Input'!$I$62,MAX('01_Input'!$H$62,IF('01_Input'!$G$62="Résiduel vs Gestion",0,IF('01_Input'!$G$62="Taux Classe sélectionnée",Distrib_Global_Classe_Selectionnee*EB$20,IF('01_Input'!$G$62="Frais KYC (paliers de 100M€)",MAX(0,Nb_Investisseurs-Nb_KYC_Gratuites_Par_Tranche*(FLOOR(EB$20/Taille_Tranche_KYC,1)+1))*Cout_Par_KYC_Supplementaire,(IF('01_Input'!$L$62="Forfait",IF(EB$20&gt;='01_Input'!$J$62,'01_Input'!$M$62,0),IF('01_Input'!$L$62="Palier",IF(AND(EB$20&gt;='01_Input'!$J$62,EB$20&lt;'01_Input'!$K$62),'01_Input'!$M$62,0),MAX(MIN(EB$20,'01_Input'!$K$62)-'01_Input'!$J$62,0)*'01_Input'!$M$62))+IF('01_Input'!$P$62="Forfait",IF(EB$20&gt;='01_Input'!$N$62,'01_Input'!$Q$62,0),IF('01_Input'!$P$62="Palier",IF(AND(EB$20&gt;='01_Input'!$N$62,EB$20&lt;'01_Input'!$O$62),'01_Input'!$Q$62,0),MAX(MIN(EB$20,'01_Input'!$O$62)-'01_Input'!$N$62,0)*'01_Input'!$Q$62))+IF('01_Input'!$T$62="Forfait",IF(EB$20&gt;='01_Input'!$R$62,'01_Input'!$U$62,0),IF('01_Input'!$T$62="Palier",IF(AND(EB$20&gt;='01_Input'!$R$62,EB$20&lt;'01_Input'!$S$62),'01_Input'!$U$62,0),MAX(MIN(EB$20,'01_Input'!$S$62)-'01_Input'!$R$62,0)*'01_Input'!$U$62))+IF('01_Input'!$X$62="Forfait",IF(EB$20&gt;='01_Input'!$V$62,'01_Input'!$Y$62,0),IF('01_Input'!$X$62="Palier",IF(AND(EB$20&gt;='01_Input'!$V$62,EB$20&lt;'01_Input'!$W$62),'01_Input'!$Y$62,0),MAX(MIN(EB$20,'01_Input'!$W$62)-'01_Input'!$V$62,0)*'01_Input'!$Y$62))+IF('01_Input'!$AB$62="Forfait",IF(EB$20&gt;='01_Input'!$Z$62,'01_Input'!$AC$62,0),IF('01_Input'!$AB$62="Palier",IF(AND(EB$20&gt;='01_Input'!$Z$62,EB$20&lt;'01_Input'!$AA$62),'01_Input'!$AC$62,0),MAX(MIN(EB$20,'01_Input'!$AA$62)-'01_Input'!$Z$62,0)*'01_Input'!$AC$62)))))))))</f>
        <v>0</v>
      </c>
      <c r="EC30" s="83">
        <f>IF('01_Input'!$C$62="Non",0,MIN('01_Input'!$I$62,MAX('01_Input'!$H$62,IF('01_Input'!$G$62="Résiduel vs Gestion",0,IF('01_Input'!$G$62="Taux Classe sélectionnée",Distrib_Global_Classe_Selectionnee*EC$20,IF('01_Input'!$G$62="Frais KYC (paliers de 100M€)",MAX(0,Nb_Investisseurs-Nb_KYC_Gratuites_Par_Tranche*(FLOOR(EC$20/Taille_Tranche_KYC,1)+1))*Cout_Par_KYC_Supplementaire,(IF('01_Input'!$L$62="Forfait",IF(EC$20&gt;='01_Input'!$J$62,'01_Input'!$M$62,0),IF('01_Input'!$L$62="Palier",IF(AND(EC$20&gt;='01_Input'!$J$62,EC$20&lt;'01_Input'!$K$62),'01_Input'!$M$62,0),MAX(MIN(EC$20,'01_Input'!$K$62)-'01_Input'!$J$62,0)*'01_Input'!$M$62))+IF('01_Input'!$P$62="Forfait",IF(EC$20&gt;='01_Input'!$N$62,'01_Input'!$Q$62,0),IF('01_Input'!$P$62="Palier",IF(AND(EC$20&gt;='01_Input'!$N$62,EC$20&lt;'01_Input'!$O$62),'01_Input'!$Q$62,0),MAX(MIN(EC$20,'01_Input'!$O$62)-'01_Input'!$N$62,0)*'01_Input'!$Q$62))+IF('01_Input'!$T$62="Forfait",IF(EC$20&gt;='01_Input'!$R$62,'01_Input'!$U$62,0),IF('01_Input'!$T$62="Palier",IF(AND(EC$20&gt;='01_Input'!$R$62,EC$20&lt;'01_Input'!$S$62),'01_Input'!$U$62,0),MAX(MIN(EC$20,'01_Input'!$S$62)-'01_Input'!$R$62,0)*'01_Input'!$U$62))+IF('01_Input'!$X$62="Forfait",IF(EC$20&gt;='01_Input'!$V$62,'01_Input'!$Y$62,0),IF('01_Input'!$X$62="Palier",IF(AND(EC$20&gt;='01_Input'!$V$62,EC$20&lt;'01_Input'!$W$62),'01_Input'!$Y$62,0),MAX(MIN(EC$20,'01_Input'!$W$62)-'01_Input'!$V$62,0)*'01_Input'!$Y$62))+IF('01_Input'!$AB$62="Forfait",IF(EC$20&gt;='01_Input'!$Z$62,'01_Input'!$AC$62,0),IF('01_Input'!$AB$62="Palier",IF(AND(EC$20&gt;='01_Input'!$Z$62,EC$20&lt;'01_Input'!$AA$62),'01_Input'!$AC$62,0),MAX(MIN(EC$20,'01_Input'!$AA$62)-'01_Input'!$Z$62,0)*'01_Input'!$AC$62)))))))))</f>
        <v>0</v>
      </c>
      <c r="ED30" s="83">
        <f>IF('01_Input'!$C$62="Non",0,MIN('01_Input'!$I$62,MAX('01_Input'!$H$62,IF('01_Input'!$G$62="Résiduel vs Gestion",0,IF('01_Input'!$G$62="Taux Classe sélectionnée",Distrib_Global_Classe_Selectionnee*ED$20,IF('01_Input'!$G$62="Frais KYC (paliers de 100M€)",MAX(0,Nb_Investisseurs-Nb_KYC_Gratuites_Par_Tranche*(FLOOR(ED$20/Taille_Tranche_KYC,1)+1))*Cout_Par_KYC_Supplementaire,(IF('01_Input'!$L$62="Forfait",IF(ED$20&gt;='01_Input'!$J$62,'01_Input'!$M$62,0),IF('01_Input'!$L$62="Palier",IF(AND(ED$20&gt;='01_Input'!$J$62,ED$20&lt;'01_Input'!$K$62),'01_Input'!$M$62,0),MAX(MIN(ED$20,'01_Input'!$K$62)-'01_Input'!$J$62,0)*'01_Input'!$M$62))+IF('01_Input'!$P$62="Forfait",IF(ED$20&gt;='01_Input'!$N$62,'01_Input'!$Q$62,0),IF('01_Input'!$P$62="Palier",IF(AND(ED$20&gt;='01_Input'!$N$62,ED$20&lt;'01_Input'!$O$62),'01_Input'!$Q$62,0),MAX(MIN(ED$20,'01_Input'!$O$62)-'01_Input'!$N$62,0)*'01_Input'!$Q$62))+IF('01_Input'!$T$62="Forfait",IF(ED$20&gt;='01_Input'!$R$62,'01_Input'!$U$62,0),IF('01_Input'!$T$62="Palier",IF(AND(ED$20&gt;='01_Input'!$R$62,ED$20&lt;'01_Input'!$S$62),'01_Input'!$U$62,0),MAX(MIN(ED$20,'01_Input'!$S$62)-'01_Input'!$R$62,0)*'01_Input'!$U$62))+IF('01_Input'!$X$62="Forfait",IF(ED$20&gt;='01_Input'!$V$62,'01_Input'!$Y$62,0),IF('01_Input'!$X$62="Palier",IF(AND(ED$20&gt;='01_Input'!$V$62,ED$20&lt;'01_Input'!$W$62),'01_Input'!$Y$62,0),MAX(MIN(ED$20,'01_Input'!$W$62)-'01_Input'!$V$62,0)*'01_Input'!$Y$62))+IF('01_Input'!$AB$62="Forfait",IF(ED$20&gt;='01_Input'!$Z$62,'01_Input'!$AC$62,0),IF('01_Input'!$AB$62="Palier",IF(AND(ED$20&gt;='01_Input'!$Z$62,ED$20&lt;'01_Input'!$AA$62),'01_Input'!$AC$62,0),MAX(MIN(ED$20,'01_Input'!$AA$62)-'01_Input'!$Z$62,0)*'01_Input'!$AC$62)))))))))</f>
        <v>0</v>
      </c>
      <c r="EE30" s="83">
        <f>IF('01_Input'!$C$62="Non",0,MIN('01_Input'!$I$62,MAX('01_Input'!$H$62,IF('01_Input'!$G$62="Résiduel vs Gestion",0,IF('01_Input'!$G$62="Taux Classe sélectionnée",Distrib_Global_Classe_Selectionnee*EE$20,IF('01_Input'!$G$62="Frais KYC (paliers de 100M€)",MAX(0,Nb_Investisseurs-Nb_KYC_Gratuites_Par_Tranche*(FLOOR(EE$20/Taille_Tranche_KYC,1)+1))*Cout_Par_KYC_Supplementaire,(IF('01_Input'!$L$62="Forfait",IF(EE$20&gt;='01_Input'!$J$62,'01_Input'!$M$62,0),IF('01_Input'!$L$62="Palier",IF(AND(EE$20&gt;='01_Input'!$J$62,EE$20&lt;'01_Input'!$K$62),'01_Input'!$M$62,0),MAX(MIN(EE$20,'01_Input'!$K$62)-'01_Input'!$J$62,0)*'01_Input'!$M$62))+IF('01_Input'!$P$62="Forfait",IF(EE$20&gt;='01_Input'!$N$62,'01_Input'!$Q$62,0),IF('01_Input'!$P$62="Palier",IF(AND(EE$20&gt;='01_Input'!$N$62,EE$20&lt;'01_Input'!$O$62),'01_Input'!$Q$62,0),MAX(MIN(EE$20,'01_Input'!$O$62)-'01_Input'!$N$62,0)*'01_Input'!$Q$62))+IF('01_Input'!$T$62="Forfait",IF(EE$20&gt;='01_Input'!$R$62,'01_Input'!$U$62,0),IF('01_Input'!$T$62="Palier",IF(AND(EE$20&gt;='01_Input'!$R$62,EE$20&lt;'01_Input'!$S$62),'01_Input'!$U$62,0),MAX(MIN(EE$20,'01_Input'!$S$62)-'01_Input'!$R$62,0)*'01_Input'!$U$62))+IF('01_Input'!$X$62="Forfait",IF(EE$20&gt;='01_Input'!$V$62,'01_Input'!$Y$62,0),IF('01_Input'!$X$62="Palier",IF(AND(EE$20&gt;='01_Input'!$V$62,EE$20&lt;'01_Input'!$W$62),'01_Input'!$Y$62,0),MAX(MIN(EE$20,'01_Input'!$W$62)-'01_Input'!$V$62,0)*'01_Input'!$Y$62))+IF('01_Input'!$AB$62="Forfait",IF(EE$20&gt;='01_Input'!$Z$62,'01_Input'!$AC$62,0),IF('01_Input'!$AB$62="Palier",IF(AND(EE$20&gt;='01_Input'!$Z$62,EE$20&lt;'01_Input'!$AA$62),'01_Input'!$AC$62,0),MAX(MIN(EE$20,'01_Input'!$AA$62)-'01_Input'!$Z$62,0)*'01_Input'!$AC$62)))))))))</f>
        <v>0</v>
      </c>
      <c r="EF30" s="83">
        <f>IF('01_Input'!$C$62="Non",0,MIN('01_Input'!$I$62,MAX('01_Input'!$H$62,IF('01_Input'!$G$62="Résiduel vs Gestion",0,IF('01_Input'!$G$62="Taux Classe sélectionnée",Distrib_Global_Classe_Selectionnee*EF$20,IF('01_Input'!$G$62="Frais KYC (paliers de 100M€)",MAX(0,Nb_Investisseurs-Nb_KYC_Gratuites_Par_Tranche*(FLOOR(EF$20/Taille_Tranche_KYC,1)+1))*Cout_Par_KYC_Supplementaire,(IF('01_Input'!$L$62="Forfait",IF(EF$20&gt;='01_Input'!$J$62,'01_Input'!$M$62,0),IF('01_Input'!$L$62="Palier",IF(AND(EF$20&gt;='01_Input'!$J$62,EF$20&lt;'01_Input'!$K$62),'01_Input'!$M$62,0),MAX(MIN(EF$20,'01_Input'!$K$62)-'01_Input'!$J$62,0)*'01_Input'!$M$62))+IF('01_Input'!$P$62="Forfait",IF(EF$20&gt;='01_Input'!$N$62,'01_Input'!$Q$62,0),IF('01_Input'!$P$62="Palier",IF(AND(EF$20&gt;='01_Input'!$N$62,EF$20&lt;'01_Input'!$O$62),'01_Input'!$Q$62,0),MAX(MIN(EF$20,'01_Input'!$O$62)-'01_Input'!$N$62,0)*'01_Input'!$Q$62))+IF('01_Input'!$T$62="Forfait",IF(EF$20&gt;='01_Input'!$R$62,'01_Input'!$U$62,0),IF('01_Input'!$T$62="Palier",IF(AND(EF$20&gt;='01_Input'!$R$62,EF$20&lt;'01_Input'!$S$62),'01_Input'!$U$62,0),MAX(MIN(EF$20,'01_Input'!$S$62)-'01_Input'!$R$62,0)*'01_Input'!$U$62))+IF('01_Input'!$X$62="Forfait",IF(EF$20&gt;='01_Input'!$V$62,'01_Input'!$Y$62,0),IF('01_Input'!$X$62="Palier",IF(AND(EF$20&gt;='01_Input'!$V$62,EF$20&lt;'01_Input'!$W$62),'01_Input'!$Y$62,0),MAX(MIN(EF$20,'01_Input'!$W$62)-'01_Input'!$V$62,0)*'01_Input'!$Y$62))+IF('01_Input'!$AB$62="Forfait",IF(EF$20&gt;='01_Input'!$Z$62,'01_Input'!$AC$62,0),IF('01_Input'!$AB$62="Palier",IF(AND(EF$20&gt;='01_Input'!$Z$62,EF$20&lt;'01_Input'!$AA$62),'01_Input'!$AC$62,0),MAX(MIN(EF$20,'01_Input'!$AA$62)-'01_Input'!$Z$62,0)*'01_Input'!$AC$62)))))))))</f>
        <v>0</v>
      </c>
      <c r="EG30" s="83">
        <f>IF('01_Input'!$C$62="Non",0,MIN('01_Input'!$I$62,MAX('01_Input'!$H$62,IF('01_Input'!$G$62="Résiduel vs Gestion",0,IF('01_Input'!$G$62="Taux Classe sélectionnée",Distrib_Global_Classe_Selectionnee*EG$20,IF('01_Input'!$G$62="Frais KYC (paliers de 100M€)",MAX(0,Nb_Investisseurs-Nb_KYC_Gratuites_Par_Tranche*(FLOOR(EG$20/Taille_Tranche_KYC,1)+1))*Cout_Par_KYC_Supplementaire,(IF('01_Input'!$L$62="Forfait",IF(EG$20&gt;='01_Input'!$J$62,'01_Input'!$M$62,0),IF('01_Input'!$L$62="Palier",IF(AND(EG$20&gt;='01_Input'!$J$62,EG$20&lt;'01_Input'!$K$62),'01_Input'!$M$62,0),MAX(MIN(EG$20,'01_Input'!$K$62)-'01_Input'!$J$62,0)*'01_Input'!$M$62))+IF('01_Input'!$P$62="Forfait",IF(EG$20&gt;='01_Input'!$N$62,'01_Input'!$Q$62,0),IF('01_Input'!$P$62="Palier",IF(AND(EG$20&gt;='01_Input'!$N$62,EG$20&lt;'01_Input'!$O$62),'01_Input'!$Q$62,0),MAX(MIN(EG$20,'01_Input'!$O$62)-'01_Input'!$N$62,0)*'01_Input'!$Q$62))+IF('01_Input'!$T$62="Forfait",IF(EG$20&gt;='01_Input'!$R$62,'01_Input'!$U$62,0),IF('01_Input'!$T$62="Palier",IF(AND(EG$20&gt;='01_Input'!$R$62,EG$20&lt;'01_Input'!$S$62),'01_Input'!$U$62,0),MAX(MIN(EG$20,'01_Input'!$S$62)-'01_Input'!$R$62,0)*'01_Input'!$U$62))+IF('01_Input'!$X$62="Forfait",IF(EG$20&gt;='01_Input'!$V$62,'01_Input'!$Y$62,0),IF('01_Input'!$X$62="Palier",IF(AND(EG$20&gt;='01_Input'!$V$62,EG$20&lt;'01_Input'!$W$62),'01_Input'!$Y$62,0),MAX(MIN(EG$20,'01_Input'!$W$62)-'01_Input'!$V$62,0)*'01_Input'!$Y$62))+IF('01_Input'!$AB$62="Forfait",IF(EG$20&gt;='01_Input'!$Z$62,'01_Input'!$AC$62,0),IF('01_Input'!$AB$62="Palier",IF(AND(EG$20&gt;='01_Input'!$Z$62,EG$20&lt;'01_Input'!$AA$62),'01_Input'!$AC$62,0),MAX(MIN(EG$20,'01_Input'!$AA$62)-'01_Input'!$Z$62,0)*'01_Input'!$AC$62)))))))))</f>
        <v>0</v>
      </c>
      <c r="EH30" s="83">
        <f>IF('01_Input'!$C$62="Non",0,MIN('01_Input'!$I$62,MAX('01_Input'!$H$62,IF('01_Input'!$G$62="Résiduel vs Gestion",0,IF('01_Input'!$G$62="Taux Classe sélectionnée",Distrib_Global_Classe_Selectionnee*EH$20,IF('01_Input'!$G$62="Frais KYC (paliers de 100M€)",MAX(0,Nb_Investisseurs-Nb_KYC_Gratuites_Par_Tranche*(FLOOR(EH$20/Taille_Tranche_KYC,1)+1))*Cout_Par_KYC_Supplementaire,(IF('01_Input'!$L$62="Forfait",IF(EH$20&gt;='01_Input'!$J$62,'01_Input'!$M$62,0),IF('01_Input'!$L$62="Palier",IF(AND(EH$20&gt;='01_Input'!$J$62,EH$20&lt;'01_Input'!$K$62),'01_Input'!$M$62,0),MAX(MIN(EH$20,'01_Input'!$K$62)-'01_Input'!$J$62,0)*'01_Input'!$M$62))+IF('01_Input'!$P$62="Forfait",IF(EH$20&gt;='01_Input'!$N$62,'01_Input'!$Q$62,0),IF('01_Input'!$P$62="Palier",IF(AND(EH$20&gt;='01_Input'!$N$62,EH$20&lt;'01_Input'!$O$62),'01_Input'!$Q$62,0),MAX(MIN(EH$20,'01_Input'!$O$62)-'01_Input'!$N$62,0)*'01_Input'!$Q$62))+IF('01_Input'!$T$62="Forfait",IF(EH$20&gt;='01_Input'!$R$62,'01_Input'!$U$62,0),IF('01_Input'!$T$62="Palier",IF(AND(EH$20&gt;='01_Input'!$R$62,EH$20&lt;'01_Input'!$S$62),'01_Input'!$U$62,0),MAX(MIN(EH$20,'01_Input'!$S$62)-'01_Input'!$R$62,0)*'01_Input'!$U$62))+IF('01_Input'!$X$62="Forfait",IF(EH$20&gt;='01_Input'!$V$62,'01_Input'!$Y$62,0),IF('01_Input'!$X$62="Palier",IF(AND(EH$20&gt;='01_Input'!$V$62,EH$20&lt;'01_Input'!$W$62),'01_Input'!$Y$62,0),MAX(MIN(EH$20,'01_Input'!$W$62)-'01_Input'!$V$62,0)*'01_Input'!$Y$62))+IF('01_Input'!$AB$62="Forfait",IF(EH$20&gt;='01_Input'!$Z$62,'01_Input'!$AC$62,0),IF('01_Input'!$AB$62="Palier",IF(AND(EH$20&gt;='01_Input'!$Z$62,EH$20&lt;'01_Input'!$AA$62),'01_Input'!$AC$62,0),MAX(MIN(EH$20,'01_Input'!$AA$62)-'01_Input'!$Z$62,0)*'01_Input'!$AC$62)))))))))</f>
        <v>0</v>
      </c>
      <c r="EI30" s="83">
        <f>IF('01_Input'!$C$62="Non",0,MIN('01_Input'!$I$62,MAX('01_Input'!$H$62,IF('01_Input'!$G$62="Résiduel vs Gestion",0,IF('01_Input'!$G$62="Taux Classe sélectionnée",Distrib_Global_Classe_Selectionnee*EI$20,IF('01_Input'!$G$62="Frais KYC (paliers de 100M€)",MAX(0,Nb_Investisseurs-Nb_KYC_Gratuites_Par_Tranche*(FLOOR(EI$20/Taille_Tranche_KYC,1)+1))*Cout_Par_KYC_Supplementaire,(IF('01_Input'!$L$62="Forfait",IF(EI$20&gt;='01_Input'!$J$62,'01_Input'!$M$62,0),IF('01_Input'!$L$62="Palier",IF(AND(EI$20&gt;='01_Input'!$J$62,EI$20&lt;'01_Input'!$K$62),'01_Input'!$M$62,0),MAX(MIN(EI$20,'01_Input'!$K$62)-'01_Input'!$J$62,0)*'01_Input'!$M$62))+IF('01_Input'!$P$62="Forfait",IF(EI$20&gt;='01_Input'!$N$62,'01_Input'!$Q$62,0),IF('01_Input'!$P$62="Palier",IF(AND(EI$20&gt;='01_Input'!$N$62,EI$20&lt;'01_Input'!$O$62),'01_Input'!$Q$62,0),MAX(MIN(EI$20,'01_Input'!$O$62)-'01_Input'!$N$62,0)*'01_Input'!$Q$62))+IF('01_Input'!$T$62="Forfait",IF(EI$20&gt;='01_Input'!$R$62,'01_Input'!$U$62,0),IF('01_Input'!$T$62="Palier",IF(AND(EI$20&gt;='01_Input'!$R$62,EI$20&lt;'01_Input'!$S$62),'01_Input'!$U$62,0),MAX(MIN(EI$20,'01_Input'!$S$62)-'01_Input'!$R$62,0)*'01_Input'!$U$62))+IF('01_Input'!$X$62="Forfait",IF(EI$20&gt;='01_Input'!$V$62,'01_Input'!$Y$62,0),IF('01_Input'!$X$62="Palier",IF(AND(EI$20&gt;='01_Input'!$V$62,EI$20&lt;'01_Input'!$W$62),'01_Input'!$Y$62,0),MAX(MIN(EI$20,'01_Input'!$W$62)-'01_Input'!$V$62,0)*'01_Input'!$Y$62))+IF('01_Input'!$AB$62="Forfait",IF(EI$20&gt;='01_Input'!$Z$62,'01_Input'!$AC$62,0),IF('01_Input'!$AB$62="Palier",IF(AND(EI$20&gt;='01_Input'!$Z$62,EI$20&lt;'01_Input'!$AA$62),'01_Input'!$AC$62,0),MAX(MIN(EI$20,'01_Input'!$AA$62)-'01_Input'!$Z$62,0)*'01_Input'!$AC$62)))))))))</f>
        <v>0</v>
      </c>
      <c r="EJ30" s="83">
        <f>IF('01_Input'!$C$62="Non",0,MIN('01_Input'!$I$62,MAX('01_Input'!$H$62,IF('01_Input'!$G$62="Résiduel vs Gestion",0,IF('01_Input'!$G$62="Taux Classe sélectionnée",Distrib_Global_Classe_Selectionnee*EJ$20,IF('01_Input'!$G$62="Frais KYC (paliers de 100M€)",MAX(0,Nb_Investisseurs-Nb_KYC_Gratuites_Par_Tranche*(FLOOR(EJ$20/Taille_Tranche_KYC,1)+1))*Cout_Par_KYC_Supplementaire,(IF('01_Input'!$L$62="Forfait",IF(EJ$20&gt;='01_Input'!$J$62,'01_Input'!$M$62,0),IF('01_Input'!$L$62="Palier",IF(AND(EJ$20&gt;='01_Input'!$J$62,EJ$20&lt;'01_Input'!$K$62),'01_Input'!$M$62,0),MAX(MIN(EJ$20,'01_Input'!$K$62)-'01_Input'!$J$62,0)*'01_Input'!$M$62))+IF('01_Input'!$P$62="Forfait",IF(EJ$20&gt;='01_Input'!$N$62,'01_Input'!$Q$62,0),IF('01_Input'!$P$62="Palier",IF(AND(EJ$20&gt;='01_Input'!$N$62,EJ$20&lt;'01_Input'!$O$62),'01_Input'!$Q$62,0),MAX(MIN(EJ$20,'01_Input'!$O$62)-'01_Input'!$N$62,0)*'01_Input'!$Q$62))+IF('01_Input'!$T$62="Forfait",IF(EJ$20&gt;='01_Input'!$R$62,'01_Input'!$U$62,0),IF('01_Input'!$T$62="Palier",IF(AND(EJ$20&gt;='01_Input'!$R$62,EJ$20&lt;'01_Input'!$S$62),'01_Input'!$U$62,0),MAX(MIN(EJ$20,'01_Input'!$S$62)-'01_Input'!$R$62,0)*'01_Input'!$U$62))+IF('01_Input'!$X$62="Forfait",IF(EJ$20&gt;='01_Input'!$V$62,'01_Input'!$Y$62,0),IF('01_Input'!$X$62="Palier",IF(AND(EJ$20&gt;='01_Input'!$V$62,EJ$20&lt;'01_Input'!$W$62),'01_Input'!$Y$62,0),MAX(MIN(EJ$20,'01_Input'!$W$62)-'01_Input'!$V$62,0)*'01_Input'!$Y$62))+IF('01_Input'!$AB$62="Forfait",IF(EJ$20&gt;='01_Input'!$Z$62,'01_Input'!$AC$62,0),IF('01_Input'!$AB$62="Palier",IF(AND(EJ$20&gt;='01_Input'!$Z$62,EJ$20&lt;'01_Input'!$AA$62),'01_Input'!$AC$62,0),MAX(MIN(EJ$20,'01_Input'!$AA$62)-'01_Input'!$Z$62,0)*'01_Input'!$AC$62)))))))))</f>
        <v>0</v>
      </c>
      <c r="EK30" s="83">
        <f>IF('01_Input'!$C$62="Non",0,MIN('01_Input'!$I$62,MAX('01_Input'!$H$62,IF('01_Input'!$G$62="Résiduel vs Gestion",0,IF('01_Input'!$G$62="Taux Classe sélectionnée",Distrib_Global_Classe_Selectionnee*EK$20,IF('01_Input'!$G$62="Frais KYC (paliers de 100M€)",MAX(0,Nb_Investisseurs-Nb_KYC_Gratuites_Par_Tranche*(FLOOR(EK$20/Taille_Tranche_KYC,1)+1))*Cout_Par_KYC_Supplementaire,(IF('01_Input'!$L$62="Forfait",IF(EK$20&gt;='01_Input'!$J$62,'01_Input'!$M$62,0),IF('01_Input'!$L$62="Palier",IF(AND(EK$20&gt;='01_Input'!$J$62,EK$20&lt;'01_Input'!$K$62),'01_Input'!$M$62,0),MAX(MIN(EK$20,'01_Input'!$K$62)-'01_Input'!$J$62,0)*'01_Input'!$M$62))+IF('01_Input'!$P$62="Forfait",IF(EK$20&gt;='01_Input'!$N$62,'01_Input'!$Q$62,0),IF('01_Input'!$P$62="Palier",IF(AND(EK$20&gt;='01_Input'!$N$62,EK$20&lt;'01_Input'!$O$62),'01_Input'!$Q$62,0),MAX(MIN(EK$20,'01_Input'!$O$62)-'01_Input'!$N$62,0)*'01_Input'!$Q$62))+IF('01_Input'!$T$62="Forfait",IF(EK$20&gt;='01_Input'!$R$62,'01_Input'!$U$62,0),IF('01_Input'!$T$62="Palier",IF(AND(EK$20&gt;='01_Input'!$R$62,EK$20&lt;'01_Input'!$S$62),'01_Input'!$U$62,0),MAX(MIN(EK$20,'01_Input'!$S$62)-'01_Input'!$R$62,0)*'01_Input'!$U$62))+IF('01_Input'!$X$62="Forfait",IF(EK$20&gt;='01_Input'!$V$62,'01_Input'!$Y$62,0),IF('01_Input'!$X$62="Palier",IF(AND(EK$20&gt;='01_Input'!$V$62,EK$20&lt;'01_Input'!$W$62),'01_Input'!$Y$62,0),MAX(MIN(EK$20,'01_Input'!$W$62)-'01_Input'!$V$62,0)*'01_Input'!$Y$62))+IF('01_Input'!$AB$62="Forfait",IF(EK$20&gt;='01_Input'!$Z$62,'01_Input'!$AC$62,0),IF('01_Input'!$AB$62="Palier",IF(AND(EK$20&gt;='01_Input'!$Z$62,EK$20&lt;'01_Input'!$AA$62),'01_Input'!$AC$62,0),MAX(MIN(EK$20,'01_Input'!$AA$62)-'01_Input'!$Z$62,0)*'01_Input'!$AC$62)))))))))</f>
        <v>0</v>
      </c>
      <c r="EL30" s="83">
        <f>IF('01_Input'!$C$62="Non",0,MIN('01_Input'!$I$62,MAX('01_Input'!$H$62,IF('01_Input'!$G$62="Résiduel vs Gestion",0,IF('01_Input'!$G$62="Taux Classe sélectionnée",Distrib_Global_Classe_Selectionnee*EL$20,IF('01_Input'!$G$62="Frais KYC (paliers de 100M€)",MAX(0,Nb_Investisseurs-Nb_KYC_Gratuites_Par_Tranche*(FLOOR(EL$20/Taille_Tranche_KYC,1)+1))*Cout_Par_KYC_Supplementaire,(IF('01_Input'!$L$62="Forfait",IF(EL$20&gt;='01_Input'!$J$62,'01_Input'!$M$62,0),IF('01_Input'!$L$62="Palier",IF(AND(EL$20&gt;='01_Input'!$J$62,EL$20&lt;'01_Input'!$K$62),'01_Input'!$M$62,0),MAX(MIN(EL$20,'01_Input'!$K$62)-'01_Input'!$J$62,0)*'01_Input'!$M$62))+IF('01_Input'!$P$62="Forfait",IF(EL$20&gt;='01_Input'!$N$62,'01_Input'!$Q$62,0),IF('01_Input'!$P$62="Palier",IF(AND(EL$20&gt;='01_Input'!$N$62,EL$20&lt;'01_Input'!$O$62),'01_Input'!$Q$62,0),MAX(MIN(EL$20,'01_Input'!$O$62)-'01_Input'!$N$62,0)*'01_Input'!$Q$62))+IF('01_Input'!$T$62="Forfait",IF(EL$20&gt;='01_Input'!$R$62,'01_Input'!$U$62,0),IF('01_Input'!$T$62="Palier",IF(AND(EL$20&gt;='01_Input'!$R$62,EL$20&lt;'01_Input'!$S$62),'01_Input'!$U$62,0),MAX(MIN(EL$20,'01_Input'!$S$62)-'01_Input'!$R$62,0)*'01_Input'!$U$62))+IF('01_Input'!$X$62="Forfait",IF(EL$20&gt;='01_Input'!$V$62,'01_Input'!$Y$62,0),IF('01_Input'!$X$62="Palier",IF(AND(EL$20&gt;='01_Input'!$V$62,EL$20&lt;'01_Input'!$W$62),'01_Input'!$Y$62,0),MAX(MIN(EL$20,'01_Input'!$W$62)-'01_Input'!$V$62,0)*'01_Input'!$Y$62))+IF('01_Input'!$AB$62="Forfait",IF(EL$20&gt;='01_Input'!$Z$62,'01_Input'!$AC$62,0),IF('01_Input'!$AB$62="Palier",IF(AND(EL$20&gt;='01_Input'!$Z$62,EL$20&lt;'01_Input'!$AA$62),'01_Input'!$AC$62,0),MAX(MIN(EL$20,'01_Input'!$AA$62)-'01_Input'!$Z$62,0)*'01_Input'!$AC$62)))))))))</f>
        <v>0</v>
      </c>
      <c r="EM30" s="83">
        <f>IF('01_Input'!$C$62="Non",0,MIN('01_Input'!$I$62,MAX('01_Input'!$H$62,IF('01_Input'!$G$62="Résiduel vs Gestion",0,IF('01_Input'!$G$62="Taux Classe sélectionnée",Distrib_Global_Classe_Selectionnee*EM$20,IF('01_Input'!$G$62="Frais KYC (paliers de 100M€)",MAX(0,Nb_Investisseurs-Nb_KYC_Gratuites_Par_Tranche*(FLOOR(EM$20/Taille_Tranche_KYC,1)+1))*Cout_Par_KYC_Supplementaire,(IF('01_Input'!$L$62="Forfait",IF(EM$20&gt;='01_Input'!$J$62,'01_Input'!$M$62,0),IF('01_Input'!$L$62="Palier",IF(AND(EM$20&gt;='01_Input'!$J$62,EM$20&lt;'01_Input'!$K$62),'01_Input'!$M$62,0),MAX(MIN(EM$20,'01_Input'!$K$62)-'01_Input'!$J$62,0)*'01_Input'!$M$62))+IF('01_Input'!$P$62="Forfait",IF(EM$20&gt;='01_Input'!$N$62,'01_Input'!$Q$62,0),IF('01_Input'!$P$62="Palier",IF(AND(EM$20&gt;='01_Input'!$N$62,EM$20&lt;'01_Input'!$O$62),'01_Input'!$Q$62,0),MAX(MIN(EM$20,'01_Input'!$O$62)-'01_Input'!$N$62,0)*'01_Input'!$Q$62))+IF('01_Input'!$T$62="Forfait",IF(EM$20&gt;='01_Input'!$R$62,'01_Input'!$U$62,0),IF('01_Input'!$T$62="Palier",IF(AND(EM$20&gt;='01_Input'!$R$62,EM$20&lt;'01_Input'!$S$62),'01_Input'!$U$62,0),MAX(MIN(EM$20,'01_Input'!$S$62)-'01_Input'!$R$62,0)*'01_Input'!$U$62))+IF('01_Input'!$X$62="Forfait",IF(EM$20&gt;='01_Input'!$V$62,'01_Input'!$Y$62,0),IF('01_Input'!$X$62="Palier",IF(AND(EM$20&gt;='01_Input'!$V$62,EM$20&lt;'01_Input'!$W$62),'01_Input'!$Y$62,0),MAX(MIN(EM$20,'01_Input'!$W$62)-'01_Input'!$V$62,0)*'01_Input'!$Y$62))+IF('01_Input'!$AB$62="Forfait",IF(EM$20&gt;='01_Input'!$Z$62,'01_Input'!$AC$62,0),IF('01_Input'!$AB$62="Palier",IF(AND(EM$20&gt;='01_Input'!$Z$62,EM$20&lt;'01_Input'!$AA$62),'01_Input'!$AC$62,0),MAX(MIN(EM$20,'01_Input'!$AA$62)-'01_Input'!$Z$62,0)*'01_Input'!$AC$62)))))))))</f>
        <v>0</v>
      </c>
      <c r="EN30" s="83">
        <f>IF('01_Input'!$C$62="Non",0,MIN('01_Input'!$I$62,MAX('01_Input'!$H$62,IF('01_Input'!$G$62="Résiduel vs Gestion",0,IF('01_Input'!$G$62="Taux Classe sélectionnée",Distrib_Global_Classe_Selectionnee*EN$20,IF('01_Input'!$G$62="Frais KYC (paliers de 100M€)",MAX(0,Nb_Investisseurs-Nb_KYC_Gratuites_Par_Tranche*(FLOOR(EN$20/Taille_Tranche_KYC,1)+1))*Cout_Par_KYC_Supplementaire,(IF('01_Input'!$L$62="Forfait",IF(EN$20&gt;='01_Input'!$J$62,'01_Input'!$M$62,0),IF('01_Input'!$L$62="Palier",IF(AND(EN$20&gt;='01_Input'!$J$62,EN$20&lt;'01_Input'!$K$62),'01_Input'!$M$62,0),MAX(MIN(EN$20,'01_Input'!$K$62)-'01_Input'!$J$62,0)*'01_Input'!$M$62))+IF('01_Input'!$P$62="Forfait",IF(EN$20&gt;='01_Input'!$N$62,'01_Input'!$Q$62,0),IF('01_Input'!$P$62="Palier",IF(AND(EN$20&gt;='01_Input'!$N$62,EN$20&lt;'01_Input'!$O$62),'01_Input'!$Q$62,0),MAX(MIN(EN$20,'01_Input'!$O$62)-'01_Input'!$N$62,0)*'01_Input'!$Q$62))+IF('01_Input'!$T$62="Forfait",IF(EN$20&gt;='01_Input'!$R$62,'01_Input'!$U$62,0),IF('01_Input'!$T$62="Palier",IF(AND(EN$20&gt;='01_Input'!$R$62,EN$20&lt;'01_Input'!$S$62),'01_Input'!$U$62,0),MAX(MIN(EN$20,'01_Input'!$S$62)-'01_Input'!$R$62,0)*'01_Input'!$U$62))+IF('01_Input'!$X$62="Forfait",IF(EN$20&gt;='01_Input'!$V$62,'01_Input'!$Y$62,0),IF('01_Input'!$X$62="Palier",IF(AND(EN$20&gt;='01_Input'!$V$62,EN$20&lt;'01_Input'!$W$62),'01_Input'!$Y$62,0),MAX(MIN(EN$20,'01_Input'!$W$62)-'01_Input'!$V$62,0)*'01_Input'!$Y$62))+IF('01_Input'!$AB$62="Forfait",IF(EN$20&gt;='01_Input'!$Z$62,'01_Input'!$AC$62,0),IF('01_Input'!$AB$62="Palier",IF(AND(EN$20&gt;='01_Input'!$Z$62,EN$20&lt;'01_Input'!$AA$62),'01_Input'!$AC$62,0),MAX(MIN(EN$20,'01_Input'!$AA$62)-'01_Input'!$Z$62,0)*'01_Input'!$AC$62)))))))))</f>
        <v>0</v>
      </c>
      <c r="EO30" s="83">
        <f>IF('01_Input'!$C$62="Non",0,MIN('01_Input'!$I$62,MAX('01_Input'!$H$62,IF('01_Input'!$G$62="Résiduel vs Gestion",0,IF('01_Input'!$G$62="Taux Classe sélectionnée",Distrib_Global_Classe_Selectionnee*EO$20,IF('01_Input'!$G$62="Frais KYC (paliers de 100M€)",MAX(0,Nb_Investisseurs-Nb_KYC_Gratuites_Par_Tranche*(FLOOR(EO$20/Taille_Tranche_KYC,1)+1))*Cout_Par_KYC_Supplementaire,(IF('01_Input'!$L$62="Forfait",IF(EO$20&gt;='01_Input'!$J$62,'01_Input'!$M$62,0),IF('01_Input'!$L$62="Palier",IF(AND(EO$20&gt;='01_Input'!$J$62,EO$20&lt;'01_Input'!$K$62),'01_Input'!$M$62,0),MAX(MIN(EO$20,'01_Input'!$K$62)-'01_Input'!$J$62,0)*'01_Input'!$M$62))+IF('01_Input'!$P$62="Forfait",IF(EO$20&gt;='01_Input'!$N$62,'01_Input'!$Q$62,0),IF('01_Input'!$P$62="Palier",IF(AND(EO$20&gt;='01_Input'!$N$62,EO$20&lt;'01_Input'!$O$62),'01_Input'!$Q$62,0),MAX(MIN(EO$20,'01_Input'!$O$62)-'01_Input'!$N$62,0)*'01_Input'!$Q$62))+IF('01_Input'!$T$62="Forfait",IF(EO$20&gt;='01_Input'!$R$62,'01_Input'!$U$62,0),IF('01_Input'!$T$62="Palier",IF(AND(EO$20&gt;='01_Input'!$R$62,EO$20&lt;'01_Input'!$S$62),'01_Input'!$U$62,0),MAX(MIN(EO$20,'01_Input'!$S$62)-'01_Input'!$R$62,0)*'01_Input'!$U$62))+IF('01_Input'!$X$62="Forfait",IF(EO$20&gt;='01_Input'!$V$62,'01_Input'!$Y$62,0),IF('01_Input'!$X$62="Palier",IF(AND(EO$20&gt;='01_Input'!$V$62,EO$20&lt;'01_Input'!$W$62),'01_Input'!$Y$62,0),MAX(MIN(EO$20,'01_Input'!$W$62)-'01_Input'!$V$62,0)*'01_Input'!$Y$62))+IF('01_Input'!$AB$62="Forfait",IF(EO$20&gt;='01_Input'!$Z$62,'01_Input'!$AC$62,0),IF('01_Input'!$AB$62="Palier",IF(AND(EO$20&gt;='01_Input'!$Z$62,EO$20&lt;'01_Input'!$AA$62),'01_Input'!$AC$62,0),MAX(MIN(EO$20,'01_Input'!$AA$62)-'01_Input'!$Z$62,0)*'01_Input'!$AC$62)))))))))</f>
        <v>0</v>
      </c>
      <c r="EP30" s="83">
        <f>IF('01_Input'!$C$62="Non",0,MIN('01_Input'!$I$62,MAX('01_Input'!$H$62,IF('01_Input'!$G$62="Résiduel vs Gestion",0,IF('01_Input'!$G$62="Taux Classe sélectionnée",Distrib_Global_Classe_Selectionnee*EP$20,IF('01_Input'!$G$62="Frais KYC (paliers de 100M€)",MAX(0,Nb_Investisseurs-Nb_KYC_Gratuites_Par_Tranche*(FLOOR(EP$20/Taille_Tranche_KYC,1)+1))*Cout_Par_KYC_Supplementaire,(IF('01_Input'!$L$62="Forfait",IF(EP$20&gt;='01_Input'!$J$62,'01_Input'!$M$62,0),IF('01_Input'!$L$62="Palier",IF(AND(EP$20&gt;='01_Input'!$J$62,EP$20&lt;'01_Input'!$K$62),'01_Input'!$M$62,0),MAX(MIN(EP$20,'01_Input'!$K$62)-'01_Input'!$J$62,0)*'01_Input'!$M$62))+IF('01_Input'!$P$62="Forfait",IF(EP$20&gt;='01_Input'!$N$62,'01_Input'!$Q$62,0),IF('01_Input'!$P$62="Palier",IF(AND(EP$20&gt;='01_Input'!$N$62,EP$20&lt;'01_Input'!$O$62),'01_Input'!$Q$62,0),MAX(MIN(EP$20,'01_Input'!$O$62)-'01_Input'!$N$62,0)*'01_Input'!$Q$62))+IF('01_Input'!$T$62="Forfait",IF(EP$20&gt;='01_Input'!$R$62,'01_Input'!$U$62,0),IF('01_Input'!$T$62="Palier",IF(AND(EP$20&gt;='01_Input'!$R$62,EP$20&lt;'01_Input'!$S$62),'01_Input'!$U$62,0),MAX(MIN(EP$20,'01_Input'!$S$62)-'01_Input'!$R$62,0)*'01_Input'!$U$62))+IF('01_Input'!$X$62="Forfait",IF(EP$20&gt;='01_Input'!$V$62,'01_Input'!$Y$62,0),IF('01_Input'!$X$62="Palier",IF(AND(EP$20&gt;='01_Input'!$V$62,EP$20&lt;'01_Input'!$W$62),'01_Input'!$Y$62,0),MAX(MIN(EP$20,'01_Input'!$W$62)-'01_Input'!$V$62,0)*'01_Input'!$Y$62))+IF('01_Input'!$AB$62="Forfait",IF(EP$20&gt;='01_Input'!$Z$62,'01_Input'!$AC$62,0),IF('01_Input'!$AB$62="Palier",IF(AND(EP$20&gt;='01_Input'!$Z$62,EP$20&lt;'01_Input'!$AA$62),'01_Input'!$AC$62,0),MAX(MIN(EP$20,'01_Input'!$AA$62)-'01_Input'!$Z$62,0)*'01_Input'!$AC$62)))))))))</f>
        <v>0</v>
      </c>
      <c r="EQ30" s="83">
        <f>IF('01_Input'!$C$62="Non",0,MIN('01_Input'!$I$62,MAX('01_Input'!$H$62,IF('01_Input'!$G$62="Résiduel vs Gestion",0,IF('01_Input'!$G$62="Taux Classe sélectionnée",Distrib_Global_Classe_Selectionnee*EQ$20,IF('01_Input'!$G$62="Frais KYC (paliers de 100M€)",MAX(0,Nb_Investisseurs-Nb_KYC_Gratuites_Par_Tranche*(FLOOR(EQ$20/Taille_Tranche_KYC,1)+1))*Cout_Par_KYC_Supplementaire,(IF('01_Input'!$L$62="Forfait",IF(EQ$20&gt;='01_Input'!$J$62,'01_Input'!$M$62,0),IF('01_Input'!$L$62="Palier",IF(AND(EQ$20&gt;='01_Input'!$J$62,EQ$20&lt;'01_Input'!$K$62),'01_Input'!$M$62,0),MAX(MIN(EQ$20,'01_Input'!$K$62)-'01_Input'!$J$62,0)*'01_Input'!$M$62))+IF('01_Input'!$P$62="Forfait",IF(EQ$20&gt;='01_Input'!$N$62,'01_Input'!$Q$62,0),IF('01_Input'!$P$62="Palier",IF(AND(EQ$20&gt;='01_Input'!$N$62,EQ$20&lt;'01_Input'!$O$62),'01_Input'!$Q$62,0),MAX(MIN(EQ$20,'01_Input'!$O$62)-'01_Input'!$N$62,0)*'01_Input'!$Q$62))+IF('01_Input'!$T$62="Forfait",IF(EQ$20&gt;='01_Input'!$R$62,'01_Input'!$U$62,0),IF('01_Input'!$T$62="Palier",IF(AND(EQ$20&gt;='01_Input'!$R$62,EQ$20&lt;'01_Input'!$S$62),'01_Input'!$U$62,0),MAX(MIN(EQ$20,'01_Input'!$S$62)-'01_Input'!$R$62,0)*'01_Input'!$U$62))+IF('01_Input'!$X$62="Forfait",IF(EQ$20&gt;='01_Input'!$V$62,'01_Input'!$Y$62,0),IF('01_Input'!$X$62="Palier",IF(AND(EQ$20&gt;='01_Input'!$V$62,EQ$20&lt;'01_Input'!$W$62),'01_Input'!$Y$62,0),MAX(MIN(EQ$20,'01_Input'!$W$62)-'01_Input'!$V$62,0)*'01_Input'!$Y$62))+IF('01_Input'!$AB$62="Forfait",IF(EQ$20&gt;='01_Input'!$Z$62,'01_Input'!$AC$62,0),IF('01_Input'!$AB$62="Palier",IF(AND(EQ$20&gt;='01_Input'!$Z$62,EQ$20&lt;'01_Input'!$AA$62),'01_Input'!$AC$62,0),MAX(MIN(EQ$20,'01_Input'!$AA$62)-'01_Input'!$Z$62,0)*'01_Input'!$AC$62)))))))))</f>
        <v>0</v>
      </c>
      <c r="ER30" s="83">
        <f>IF('01_Input'!$C$62="Non",0,MIN('01_Input'!$I$62,MAX('01_Input'!$H$62,IF('01_Input'!$G$62="Résiduel vs Gestion",0,IF('01_Input'!$G$62="Taux Classe sélectionnée",Distrib_Global_Classe_Selectionnee*ER$20,IF('01_Input'!$G$62="Frais KYC (paliers de 100M€)",MAX(0,Nb_Investisseurs-Nb_KYC_Gratuites_Par_Tranche*(FLOOR(ER$20/Taille_Tranche_KYC,1)+1))*Cout_Par_KYC_Supplementaire,(IF('01_Input'!$L$62="Forfait",IF(ER$20&gt;='01_Input'!$J$62,'01_Input'!$M$62,0),IF('01_Input'!$L$62="Palier",IF(AND(ER$20&gt;='01_Input'!$J$62,ER$20&lt;'01_Input'!$K$62),'01_Input'!$M$62,0),MAX(MIN(ER$20,'01_Input'!$K$62)-'01_Input'!$J$62,0)*'01_Input'!$M$62))+IF('01_Input'!$P$62="Forfait",IF(ER$20&gt;='01_Input'!$N$62,'01_Input'!$Q$62,0),IF('01_Input'!$P$62="Palier",IF(AND(ER$20&gt;='01_Input'!$N$62,ER$20&lt;'01_Input'!$O$62),'01_Input'!$Q$62,0),MAX(MIN(ER$20,'01_Input'!$O$62)-'01_Input'!$N$62,0)*'01_Input'!$Q$62))+IF('01_Input'!$T$62="Forfait",IF(ER$20&gt;='01_Input'!$R$62,'01_Input'!$U$62,0),IF('01_Input'!$T$62="Palier",IF(AND(ER$20&gt;='01_Input'!$R$62,ER$20&lt;'01_Input'!$S$62),'01_Input'!$U$62,0),MAX(MIN(ER$20,'01_Input'!$S$62)-'01_Input'!$R$62,0)*'01_Input'!$U$62))+IF('01_Input'!$X$62="Forfait",IF(ER$20&gt;='01_Input'!$V$62,'01_Input'!$Y$62,0),IF('01_Input'!$X$62="Palier",IF(AND(ER$20&gt;='01_Input'!$V$62,ER$20&lt;'01_Input'!$W$62),'01_Input'!$Y$62,0),MAX(MIN(ER$20,'01_Input'!$W$62)-'01_Input'!$V$62,0)*'01_Input'!$Y$62))+IF('01_Input'!$AB$62="Forfait",IF(ER$20&gt;='01_Input'!$Z$62,'01_Input'!$AC$62,0),IF('01_Input'!$AB$62="Palier",IF(AND(ER$20&gt;='01_Input'!$Z$62,ER$20&lt;'01_Input'!$AA$62),'01_Input'!$AC$62,0),MAX(MIN(ER$20,'01_Input'!$AA$62)-'01_Input'!$Z$62,0)*'01_Input'!$AC$62)))))))))</f>
        <v>0</v>
      </c>
      <c r="ES30" s="83">
        <f>IF('01_Input'!$C$62="Non",0,MIN('01_Input'!$I$62,MAX('01_Input'!$H$62,IF('01_Input'!$G$62="Résiduel vs Gestion",0,IF('01_Input'!$G$62="Taux Classe sélectionnée",Distrib_Global_Classe_Selectionnee*ES$20,IF('01_Input'!$G$62="Frais KYC (paliers de 100M€)",MAX(0,Nb_Investisseurs-Nb_KYC_Gratuites_Par_Tranche*(FLOOR(ES$20/Taille_Tranche_KYC,1)+1))*Cout_Par_KYC_Supplementaire,(IF('01_Input'!$L$62="Forfait",IF(ES$20&gt;='01_Input'!$J$62,'01_Input'!$M$62,0),IF('01_Input'!$L$62="Palier",IF(AND(ES$20&gt;='01_Input'!$J$62,ES$20&lt;'01_Input'!$K$62),'01_Input'!$M$62,0),MAX(MIN(ES$20,'01_Input'!$K$62)-'01_Input'!$J$62,0)*'01_Input'!$M$62))+IF('01_Input'!$P$62="Forfait",IF(ES$20&gt;='01_Input'!$N$62,'01_Input'!$Q$62,0),IF('01_Input'!$P$62="Palier",IF(AND(ES$20&gt;='01_Input'!$N$62,ES$20&lt;'01_Input'!$O$62),'01_Input'!$Q$62,0),MAX(MIN(ES$20,'01_Input'!$O$62)-'01_Input'!$N$62,0)*'01_Input'!$Q$62))+IF('01_Input'!$T$62="Forfait",IF(ES$20&gt;='01_Input'!$R$62,'01_Input'!$U$62,0),IF('01_Input'!$T$62="Palier",IF(AND(ES$20&gt;='01_Input'!$R$62,ES$20&lt;'01_Input'!$S$62),'01_Input'!$U$62,0),MAX(MIN(ES$20,'01_Input'!$S$62)-'01_Input'!$R$62,0)*'01_Input'!$U$62))+IF('01_Input'!$X$62="Forfait",IF(ES$20&gt;='01_Input'!$V$62,'01_Input'!$Y$62,0),IF('01_Input'!$X$62="Palier",IF(AND(ES$20&gt;='01_Input'!$V$62,ES$20&lt;'01_Input'!$W$62),'01_Input'!$Y$62,0),MAX(MIN(ES$20,'01_Input'!$W$62)-'01_Input'!$V$62,0)*'01_Input'!$Y$62))+IF('01_Input'!$AB$62="Forfait",IF(ES$20&gt;='01_Input'!$Z$62,'01_Input'!$AC$62,0),IF('01_Input'!$AB$62="Palier",IF(AND(ES$20&gt;='01_Input'!$Z$62,ES$20&lt;'01_Input'!$AA$62),'01_Input'!$AC$62,0),MAX(MIN(ES$20,'01_Input'!$AA$62)-'01_Input'!$Z$62,0)*'01_Input'!$AC$62)))))))))</f>
        <v>0</v>
      </c>
      <c r="ET30" s="83">
        <f>IF('01_Input'!$C$62="Non",0,MIN('01_Input'!$I$62,MAX('01_Input'!$H$62,IF('01_Input'!$G$62="Résiduel vs Gestion",0,IF('01_Input'!$G$62="Taux Classe sélectionnée",Distrib_Global_Classe_Selectionnee*ET$20,IF('01_Input'!$G$62="Frais KYC (paliers de 100M€)",MAX(0,Nb_Investisseurs-Nb_KYC_Gratuites_Par_Tranche*(FLOOR(ET$20/Taille_Tranche_KYC,1)+1))*Cout_Par_KYC_Supplementaire,(IF('01_Input'!$L$62="Forfait",IF(ET$20&gt;='01_Input'!$J$62,'01_Input'!$M$62,0),IF('01_Input'!$L$62="Palier",IF(AND(ET$20&gt;='01_Input'!$J$62,ET$20&lt;'01_Input'!$K$62),'01_Input'!$M$62,0),MAX(MIN(ET$20,'01_Input'!$K$62)-'01_Input'!$J$62,0)*'01_Input'!$M$62))+IF('01_Input'!$P$62="Forfait",IF(ET$20&gt;='01_Input'!$N$62,'01_Input'!$Q$62,0),IF('01_Input'!$P$62="Palier",IF(AND(ET$20&gt;='01_Input'!$N$62,ET$20&lt;'01_Input'!$O$62),'01_Input'!$Q$62,0),MAX(MIN(ET$20,'01_Input'!$O$62)-'01_Input'!$N$62,0)*'01_Input'!$Q$62))+IF('01_Input'!$T$62="Forfait",IF(ET$20&gt;='01_Input'!$R$62,'01_Input'!$U$62,0),IF('01_Input'!$T$62="Palier",IF(AND(ET$20&gt;='01_Input'!$R$62,ET$20&lt;'01_Input'!$S$62),'01_Input'!$U$62,0),MAX(MIN(ET$20,'01_Input'!$S$62)-'01_Input'!$R$62,0)*'01_Input'!$U$62))+IF('01_Input'!$X$62="Forfait",IF(ET$20&gt;='01_Input'!$V$62,'01_Input'!$Y$62,0),IF('01_Input'!$X$62="Palier",IF(AND(ET$20&gt;='01_Input'!$V$62,ET$20&lt;'01_Input'!$W$62),'01_Input'!$Y$62,0),MAX(MIN(ET$20,'01_Input'!$W$62)-'01_Input'!$V$62,0)*'01_Input'!$Y$62))+IF('01_Input'!$AB$62="Forfait",IF(ET$20&gt;='01_Input'!$Z$62,'01_Input'!$AC$62,0),IF('01_Input'!$AB$62="Palier",IF(AND(ET$20&gt;='01_Input'!$Z$62,ET$20&lt;'01_Input'!$AA$62),'01_Input'!$AC$62,0),MAX(MIN(ET$20,'01_Input'!$AA$62)-'01_Input'!$Z$62,0)*'01_Input'!$AC$62)))))))))</f>
        <v>0</v>
      </c>
      <c r="EU30" s="83">
        <f>IF('01_Input'!$C$62="Non",0,MIN('01_Input'!$I$62,MAX('01_Input'!$H$62,IF('01_Input'!$G$62="Résiduel vs Gestion",0,IF('01_Input'!$G$62="Taux Classe sélectionnée",Distrib_Global_Classe_Selectionnee*EU$20,IF('01_Input'!$G$62="Frais KYC (paliers de 100M€)",MAX(0,Nb_Investisseurs-Nb_KYC_Gratuites_Par_Tranche*(FLOOR(EU$20/Taille_Tranche_KYC,1)+1))*Cout_Par_KYC_Supplementaire,(IF('01_Input'!$L$62="Forfait",IF(EU$20&gt;='01_Input'!$J$62,'01_Input'!$M$62,0),IF('01_Input'!$L$62="Palier",IF(AND(EU$20&gt;='01_Input'!$J$62,EU$20&lt;'01_Input'!$K$62),'01_Input'!$M$62,0),MAX(MIN(EU$20,'01_Input'!$K$62)-'01_Input'!$J$62,0)*'01_Input'!$M$62))+IF('01_Input'!$P$62="Forfait",IF(EU$20&gt;='01_Input'!$N$62,'01_Input'!$Q$62,0),IF('01_Input'!$P$62="Palier",IF(AND(EU$20&gt;='01_Input'!$N$62,EU$20&lt;'01_Input'!$O$62),'01_Input'!$Q$62,0),MAX(MIN(EU$20,'01_Input'!$O$62)-'01_Input'!$N$62,0)*'01_Input'!$Q$62))+IF('01_Input'!$T$62="Forfait",IF(EU$20&gt;='01_Input'!$R$62,'01_Input'!$U$62,0),IF('01_Input'!$T$62="Palier",IF(AND(EU$20&gt;='01_Input'!$R$62,EU$20&lt;'01_Input'!$S$62),'01_Input'!$U$62,0),MAX(MIN(EU$20,'01_Input'!$S$62)-'01_Input'!$R$62,0)*'01_Input'!$U$62))+IF('01_Input'!$X$62="Forfait",IF(EU$20&gt;='01_Input'!$V$62,'01_Input'!$Y$62,0),IF('01_Input'!$X$62="Palier",IF(AND(EU$20&gt;='01_Input'!$V$62,EU$20&lt;'01_Input'!$W$62),'01_Input'!$Y$62,0),MAX(MIN(EU$20,'01_Input'!$W$62)-'01_Input'!$V$62,0)*'01_Input'!$Y$62))+IF('01_Input'!$AB$62="Forfait",IF(EU$20&gt;='01_Input'!$Z$62,'01_Input'!$AC$62,0),IF('01_Input'!$AB$62="Palier",IF(AND(EU$20&gt;='01_Input'!$Z$62,EU$20&lt;'01_Input'!$AA$62),'01_Input'!$AC$62,0),MAX(MIN(EU$20,'01_Input'!$AA$62)-'01_Input'!$Z$62,0)*'01_Input'!$AC$62)))))))))</f>
        <v>0</v>
      </c>
      <c r="EV30" s="83">
        <f>IF('01_Input'!$C$62="Non",0,MIN('01_Input'!$I$62,MAX('01_Input'!$H$62,IF('01_Input'!$G$62="Résiduel vs Gestion",0,IF('01_Input'!$G$62="Taux Classe sélectionnée",Distrib_Global_Classe_Selectionnee*EV$20,IF('01_Input'!$G$62="Frais KYC (paliers de 100M€)",MAX(0,Nb_Investisseurs-Nb_KYC_Gratuites_Par_Tranche*(FLOOR(EV$20/Taille_Tranche_KYC,1)+1))*Cout_Par_KYC_Supplementaire,(IF('01_Input'!$L$62="Forfait",IF(EV$20&gt;='01_Input'!$J$62,'01_Input'!$M$62,0),IF('01_Input'!$L$62="Palier",IF(AND(EV$20&gt;='01_Input'!$J$62,EV$20&lt;'01_Input'!$K$62),'01_Input'!$M$62,0),MAX(MIN(EV$20,'01_Input'!$K$62)-'01_Input'!$J$62,0)*'01_Input'!$M$62))+IF('01_Input'!$P$62="Forfait",IF(EV$20&gt;='01_Input'!$N$62,'01_Input'!$Q$62,0),IF('01_Input'!$P$62="Palier",IF(AND(EV$20&gt;='01_Input'!$N$62,EV$20&lt;'01_Input'!$O$62),'01_Input'!$Q$62,0),MAX(MIN(EV$20,'01_Input'!$O$62)-'01_Input'!$N$62,0)*'01_Input'!$Q$62))+IF('01_Input'!$T$62="Forfait",IF(EV$20&gt;='01_Input'!$R$62,'01_Input'!$U$62,0),IF('01_Input'!$T$62="Palier",IF(AND(EV$20&gt;='01_Input'!$R$62,EV$20&lt;'01_Input'!$S$62),'01_Input'!$U$62,0),MAX(MIN(EV$20,'01_Input'!$S$62)-'01_Input'!$R$62,0)*'01_Input'!$U$62))+IF('01_Input'!$X$62="Forfait",IF(EV$20&gt;='01_Input'!$V$62,'01_Input'!$Y$62,0),IF('01_Input'!$X$62="Palier",IF(AND(EV$20&gt;='01_Input'!$V$62,EV$20&lt;'01_Input'!$W$62),'01_Input'!$Y$62,0),MAX(MIN(EV$20,'01_Input'!$W$62)-'01_Input'!$V$62,0)*'01_Input'!$Y$62))+IF('01_Input'!$AB$62="Forfait",IF(EV$20&gt;='01_Input'!$Z$62,'01_Input'!$AC$62,0),IF('01_Input'!$AB$62="Palier",IF(AND(EV$20&gt;='01_Input'!$Z$62,EV$20&lt;'01_Input'!$AA$62),'01_Input'!$AC$62,0),MAX(MIN(EV$20,'01_Input'!$AA$62)-'01_Input'!$Z$62,0)*'01_Input'!$AC$62)))))))))</f>
        <v>0</v>
      </c>
      <c r="EW30" s="83">
        <f>IF('01_Input'!$C$62="Non",0,MIN('01_Input'!$I$62,MAX('01_Input'!$H$62,IF('01_Input'!$G$62="Résiduel vs Gestion",0,IF('01_Input'!$G$62="Taux Classe sélectionnée",Distrib_Global_Classe_Selectionnee*EW$20,IF('01_Input'!$G$62="Frais KYC (paliers de 100M€)",MAX(0,Nb_Investisseurs-Nb_KYC_Gratuites_Par_Tranche*(FLOOR(EW$20/Taille_Tranche_KYC,1)+1))*Cout_Par_KYC_Supplementaire,(IF('01_Input'!$L$62="Forfait",IF(EW$20&gt;='01_Input'!$J$62,'01_Input'!$M$62,0),IF('01_Input'!$L$62="Palier",IF(AND(EW$20&gt;='01_Input'!$J$62,EW$20&lt;'01_Input'!$K$62),'01_Input'!$M$62,0),MAX(MIN(EW$20,'01_Input'!$K$62)-'01_Input'!$J$62,0)*'01_Input'!$M$62))+IF('01_Input'!$P$62="Forfait",IF(EW$20&gt;='01_Input'!$N$62,'01_Input'!$Q$62,0),IF('01_Input'!$P$62="Palier",IF(AND(EW$20&gt;='01_Input'!$N$62,EW$20&lt;'01_Input'!$O$62),'01_Input'!$Q$62,0),MAX(MIN(EW$20,'01_Input'!$O$62)-'01_Input'!$N$62,0)*'01_Input'!$Q$62))+IF('01_Input'!$T$62="Forfait",IF(EW$20&gt;='01_Input'!$R$62,'01_Input'!$U$62,0),IF('01_Input'!$T$62="Palier",IF(AND(EW$20&gt;='01_Input'!$R$62,EW$20&lt;'01_Input'!$S$62),'01_Input'!$U$62,0),MAX(MIN(EW$20,'01_Input'!$S$62)-'01_Input'!$R$62,0)*'01_Input'!$U$62))+IF('01_Input'!$X$62="Forfait",IF(EW$20&gt;='01_Input'!$V$62,'01_Input'!$Y$62,0),IF('01_Input'!$X$62="Palier",IF(AND(EW$20&gt;='01_Input'!$V$62,EW$20&lt;'01_Input'!$W$62),'01_Input'!$Y$62,0),MAX(MIN(EW$20,'01_Input'!$W$62)-'01_Input'!$V$62,0)*'01_Input'!$Y$62))+IF('01_Input'!$AB$62="Forfait",IF(EW$20&gt;='01_Input'!$Z$62,'01_Input'!$AC$62,0),IF('01_Input'!$AB$62="Palier",IF(AND(EW$20&gt;='01_Input'!$Z$62,EW$20&lt;'01_Input'!$AA$62),'01_Input'!$AC$62,0),MAX(MIN(EW$20,'01_Input'!$AA$62)-'01_Input'!$Z$62,0)*'01_Input'!$AC$62)))))))))</f>
        <v>0</v>
      </c>
      <c r="EX30" s="83">
        <f>IF('01_Input'!$C$62="Non",0,MIN('01_Input'!$I$62,MAX('01_Input'!$H$62,IF('01_Input'!$G$62="Résiduel vs Gestion",0,IF('01_Input'!$G$62="Taux Classe sélectionnée",Distrib_Global_Classe_Selectionnee*EX$20,IF('01_Input'!$G$62="Frais KYC (paliers de 100M€)",MAX(0,Nb_Investisseurs-Nb_KYC_Gratuites_Par_Tranche*(FLOOR(EX$20/Taille_Tranche_KYC,1)+1))*Cout_Par_KYC_Supplementaire,(IF('01_Input'!$L$62="Forfait",IF(EX$20&gt;='01_Input'!$J$62,'01_Input'!$M$62,0),IF('01_Input'!$L$62="Palier",IF(AND(EX$20&gt;='01_Input'!$J$62,EX$20&lt;'01_Input'!$K$62),'01_Input'!$M$62,0),MAX(MIN(EX$20,'01_Input'!$K$62)-'01_Input'!$J$62,0)*'01_Input'!$M$62))+IF('01_Input'!$P$62="Forfait",IF(EX$20&gt;='01_Input'!$N$62,'01_Input'!$Q$62,0),IF('01_Input'!$P$62="Palier",IF(AND(EX$20&gt;='01_Input'!$N$62,EX$20&lt;'01_Input'!$O$62),'01_Input'!$Q$62,0),MAX(MIN(EX$20,'01_Input'!$O$62)-'01_Input'!$N$62,0)*'01_Input'!$Q$62))+IF('01_Input'!$T$62="Forfait",IF(EX$20&gt;='01_Input'!$R$62,'01_Input'!$U$62,0),IF('01_Input'!$T$62="Palier",IF(AND(EX$20&gt;='01_Input'!$R$62,EX$20&lt;'01_Input'!$S$62),'01_Input'!$U$62,0),MAX(MIN(EX$20,'01_Input'!$S$62)-'01_Input'!$R$62,0)*'01_Input'!$U$62))+IF('01_Input'!$X$62="Forfait",IF(EX$20&gt;='01_Input'!$V$62,'01_Input'!$Y$62,0),IF('01_Input'!$X$62="Palier",IF(AND(EX$20&gt;='01_Input'!$V$62,EX$20&lt;'01_Input'!$W$62),'01_Input'!$Y$62,0),MAX(MIN(EX$20,'01_Input'!$W$62)-'01_Input'!$V$62,0)*'01_Input'!$Y$62))+IF('01_Input'!$AB$62="Forfait",IF(EX$20&gt;='01_Input'!$Z$62,'01_Input'!$AC$62,0),IF('01_Input'!$AB$62="Palier",IF(AND(EX$20&gt;='01_Input'!$Z$62,EX$20&lt;'01_Input'!$AA$62),'01_Input'!$AC$62,0),MAX(MIN(EX$20,'01_Input'!$AA$62)-'01_Input'!$Z$62,0)*'01_Input'!$AC$62)))))))))</f>
        <v>0</v>
      </c>
    </row>
    <row r="31" ht="15.75" customHeight="1">
      <c r="B31" s="40" t="str">
        <f>IF('01_Input'!D63="","(inactif)",'01_Input'!D63)</f>
        <v>Tenue du Passif</v>
      </c>
      <c r="C31" s="40" t="str">
        <f>IF('01_Input'!E63="","",'01_Input'!E63)</f>
        <v>Teneur de registre / Transfer Agent</v>
      </c>
      <c r="D31" s="51" t="str">
        <f>'01_Input'!C63</f>
        <v>Oui</v>
      </c>
      <c r="E31" s="25">
        <f>IF('01_Input'!$C$63="Non",0,MIN('01_Input'!$I$63,MAX('01_Input'!$H$63,IF('01_Input'!$G$63="Résiduel vs Gestion",0,IF('01_Input'!$G$63="Taux Classe sélectionnée",Distrib_Global_Classe_Selectionnee*E$20,IF('01_Input'!$G$63="Frais KYC (paliers de 100M€)",MAX(0,Nb_Investisseurs-Nb_KYC_Gratuites_Par_Tranche*(FLOOR(E$20/Taille_Tranche_KYC,1)+1))*Cout_Par_KYC_Supplementaire,(IF('01_Input'!$L$63="Forfait",IF(E$20&gt;='01_Input'!$J$63,'01_Input'!$M$63,0),IF('01_Input'!$L$63="Palier",IF(AND(E$20&gt;='01_Input'!$J$63,E$20&lt;'01_Input'!$K$63),'01_Input'!$M$63,0),MAX(MIN(E$20,'01_Input'!$K$63)-'01_Input'!$J$63,0)*'01_Input'!$M$63))+IF('01_Input'!$P$63="Forfait",IF(E$20&gt;='01_Input'!$N$63,'01_Input'!$Q$63,0),IF('01_Input'!$P$63="Palier",IF(AND(E$20&gt;='01_Input'!$N$63,E$20&lt;'01_Input'!$O$63),'01_Input'!$Q$63,0),MAX(MIN(E$20,'01_Input'!$O$63)-'01_Input'!$N$63,0)*'01_Input'!$Q$63))+IF('01_Input'!$T$63="Forfait",IF(E$20&gt;='01_Input'!$R$63,'01_Input'!$U$63,0),IF('01_Input'!$T$63="Palier",IF(AND(E$20&gt;='01_Input'!$R$63,E$20&lt;'01_Input'!$S$63),'01_Input'!$U$63,0),MAX(MIN(E$20,'01_Input'!$S$63)-'01_Input'!$R$63,0)*'01_Input'!$U$63))+IF('01_Input'!$X$63="Forfait",IF(E$20&gt;='01_Input'!$V$63,'01_Input'!$Y$63,0),IF('01_Input'!$X$63="Palier",IF(AND(E$20&gt;='01_Input'!$V$63,E$20&lt;'01_Input'!$W$63),'01_Input'!$Y$63,0),MAX(MIN(E$20,'01_Input'!$W$63)-'01_Input'!$V$63,0)*'01_Input'!$Y$63))+IF('01_Input'!$AB$63="Forfait",IF(E$20&gt;='01_Input'!$Z$63,'01_Input'!$AC$63,0),IF('01_Input'!$AB$63="Palier",IF(AND(E$20&gt;='01_Input'!$Z$63,E$20&lt;'01_Input'!$AA$63),'01_Input'!$AC$63,0),MAX(MIN(E$20,'01_Input'!$AA$63)-'01_Input'!$Z$63,0)*'01_Input'!$AC$63)))))))))</f>
        <v>1900</v>
      </c>
      <c r="F31" s="25">
        <f>IF('01_Input'!$C$63="Non",0,MIN('01_Input'!$I$63,MAX('01_Input'!$H$63,IF('01_Input'!$G$63="Résiduel vs Gestion",0,IF('01_Input'!$G$63="Taux Classe sélectionnée",Distrib_Global_Classe_Selectionnee*F$20,IF('01_Input'!$G$63="Frais KYC (paliers de 100M€)",MAX(0,Nb_Investisseurs-Nb_KYC_Gratuites_Par_Tranche*(FLOOR(F$20/Taille_Tranche_KYC,1)+1))*Cout_Par_KYC_Supplementaire,(IF('01_Input'!$L$63="Forfait",IF(F$20&gt;='01_Input'!$J$63,'01_Input'!$M$63,0),IF('01_Input'!$L$63="Palier",IF(AND(F$20&gt;='01_Input'!$J$63,F$20&lt;'01_Input'!$K$63),'01_Input'!$M$63,0),MAX(MIN(F$20,'01_Input'!$K$63)-'01_Input'!$J$63,0)*'01_Input'!$M$63))+IF('01_Input'!$P$63="Forfait",IF(F$20&gt;='01_Input'!$N$63,'01_Input'!$Q$63,0),IF('01_Input'!$P$63="Palier",IF(AND(F$20&gt;='01_Input'!$N$63,F$20&lt;'01_Input'!$O$63),'01_Input'!$Q$63,0),MAX(MIN(F$20,'01_Input'!$O$63)-'01_Input'!$N$63,0)*'01_Input'!$Q$63))+IF('01_Input'!$T$63="Forfait",IF(F$20&gt;='01_Input'!$R$63,'01_Input'!$U$63,0),IF('01_Input'!$T$63="Palier",IF(AND(F$20&gt;='01_Input'!$R$63,F$20&lt;'01_Input'!$S$63),'01_Input'!$U$63,0),MAX(MIN(F$20,'01_Input'!$S$63)-'01_Input'!$R$63,0)*'01_Input'!$U$63))+IF('01_Input'!$X$63="Forfait",IF(F$20&gt;='01_Input'!$V$63,'01_Input'!$Y$63,0),IF('01_Input'!$X$63="Palier",IF(AND(F$20&gt;='01_Input'!$V$63,F$20&lt;'01_Input'!$W$63),'01_Input'!$Y$63,0),MAX(MIN(F$20,'01_Input'!$W$63)-'01_Input'!$V$63,0)*'01_Input'!$Y$63))+IF('01_Input'!$AB$63="Forfait",IF(F$20&gt;='01_Input'!$Z$63,'01_Input'!$AC$63,0),IF('01_Input'!$AB$63="Palier",IF(AND(F$20&gt;='01_Input'!$Z$63,F$20&lt;'01_Input'!$AA$63),'01_Input'!$AC$63,0),MAX(MIN(F$20,'01_Input'!$AA$63)-'01_Input'!$Z$63,0)*'01_Input'!$AC$63)))))))))</f>
        <v>1900</v>
      </c>
      <c r="G31" s="25">
        <f>IF('01_Input'!$C$63="Non",0,MIN('01_Input'!$I$63,MAX('01_Input'!$H$63,IF('01_Input'!$G$63="Résiduel vs Gestion",0,IF('01_Input'!$G$63="Taux Classe sélectionnée",Distrib_Global_Classe_Selectionnee*G$20,IF('01_Input'!$G$63="Frais KYC (paliers de 100M€)",MAX(0,Nb_Investisseurs-Nb_KYC_Gratuites_Par_Tranche*(FLOOR(G$20/Taille_Tranche_KYC,1)+1))*Cout_Par_KYC_Supplementaire,(IF('01_Input'!$L$63="Forfait",IF(G$20&gt;='01_Input'!$J$63,'01_Input'!$M$63,0),IF('01_Input'!$L$63="Palier",IF(AND(G$20&gt;='01_Input'!$J$63,G$20&lt;'01_Input'!$K$63),'01_Input'!$M$63,0),MAX(MIN(G$20,'01_Input'!$K$63)-'01_Input'!$J$63,0)*'01_Input'!$M$63))+IF('01_Input'!$P$63="Forfait",IF(G$20&gt;='01_Input'!$N$63,'01_Input'!$Q$63,0),IF('01_Input'!$P$63="Palier",IF(AND(G$20&gt;='01_Input'!$N$63,G$20&lt;'01_Input'!$O$63),'01_Input'!$Q$63,0),MAX(MIN(G$20,'01_Input'!$O$63)-'01_Input'!$N$63,0)*'01_Input'!$Q$63))+IF('01_Input'!$T$63="Forfait",IF(G$20&gt;='01_Input'!$R$63,'01_Input'!$U$63,0),IF('01_Input'!$T$63="Palier",IF(AND(G$20&gt;='01_Input'!$R$63,G$20&lt;'01_Input'!$S$63),'01_Input'!$U$63,0),MAX(MIN(G$20,'01_Input'!$S$63)-'01_Input'!$R$63,0)*'01_Input'!$U$63))+IF('01_Input'!$X$63="Forfait",IF(G$20&gt;='01_Input'!$V$63,'01_Input'!$Y$63,0),IF('01_Input'!$X$63="Palier",IF(AND(G$20&gt;='01_Input'!$V$63,G$20&lt;'01_Input'!$W$63),'01_Input'!$Y$63,0),MAX(MIN(G$20,'01_Input'!$W$63)-'01_Input'!$V$63,0)*'01_Input'!$Y$63))+IF('01_Input'!$AB$63="Forfait",IF(G$20&gt;='01_Input'!$Z$63,'01_Input'!$AC$63,0),IF('01_Input'!$AB$63="Palier",IF(AND(G$20&gt;='01_Input'!$Z$63,G$20&lt;'01_Input'!$AA$63),'01_Input'!$AC$63,0),MAX(MIN(G$20,'01_Input'!$AA$63)-'01_Input'!$Z$63,0)*'01_Input'!$AC$63)))))))))</f>
        <v>1900</v>
      </c>
      <c r="H31" s="25">
        <f>IF('01_Input'!$C$63="Non",0,MIN('01_Input'!$I$63,MAX('01_Input'!$H$63,IF('01_Input'!$G$63="Résiduel vs Gestion",0,IF('01_Input'!$G$63="Taux Classe sélectionnée",Distrib_Global_Classe_Selectionnee*H$20,IF('01_Input'!$G$63="Frais KYC (paliers de 100M€)",MAX(0,Nb_Investisseurs-Nb_KYC_Gratuites_Par_Tranche*(FLOOR(H$20/Taille_Tranche_KYC,1)+1))*Cout_Par_KYC_Supplementaire,(IF('01_Input'!$L$63="Forfait",IF(H$20&gt;='01_Input'!$J$63,'01_Input'!$M$63,0),IF('01_Input'!$L$63="Palier",IF(AND(H$20&gt;='01_Input'!$J$63,H$20&lt;'01_Input'!$K$63),'01_Input'!$M$63,0),MAX(MIN(H$20,'01_Input'!$K$63)-'01_Input'!$J$63,0)*'01_Input'!$M$63))+IF('01_Input'!$P$63="Forfait",IF(H$20&gt;='01_Input'!$N$63,'01_Input'!$Q$63,0),IF('01_Input'!$P$63="Palier",IF(AND(H$20&gt;='01_Input'!$N$63,H$20&lt;'01_Input'!$O$63),'01_Input'!$Q$63,0),MAX(MIN(H$20,'01_Input'!$O$63)-'01_Input'!$N$63,0)*'01_Input'!$Q$63))+IF('01_Input'!$T$63="Forfait",IF(H$20&gt;='01_Input'!$R$63,'01_Input'!$U$63,0),IF('01_Input'!$T$63="Palier",IF(AND(H$20&gt;='01_Input'!$R$63,H$20&lt;'01_Input'!$S$63),'01_Input'!$U$63,0),MAX(MIN(H$20,'01_Input'!$S$63)-'01_Input'!$R$63,0)*'01_Input'!$U$63))+IF('01_Input'!$X$63="Forfait",IF(H$20&gt;='01_Input'!$V$63,'01_Input'!$Y$63,0),IF('01_Input'!$X$63="Palier",IF(AND(H$20&gt;='01_Input'!$V$63,H$20&lt;'01_Input'!$W$63),'01_Input'!$Y$63,0),MAX(MIN(H$20,'01_Input'!$W$63)-'01_Input'!$V$63,0)*'01_Input'!$Y$63))+IF('01_Input'!$AB$63="Forfait",IF(H$20&gt;='01_Input'!$Z$63,'01_Input'!$AC$63,0),IF('01_Input'!$AB$63="Palier",IF(AND(H$20&gt;='01_Input'!$Z$63,H$20&lt;'01_Input'!$AA$63),'01_Input'!$AC$63,0),MAX(MIN(H$20,'01_Input'!$AA$63)-'01_Input'!$Z$63,0)*'01_Input'!$AC$63)))))))))</f>
        <v>1900</v>
      </c>
      <c r="I31" s="25">
        <f>IF('01_Input'!$C$63="Non",0,MIN('01_Input'!$I$63,MAX('01_Input'!$H$63,IF('01_Input'!$G$63="Résiduel vs Gestion",0,IF('01_Input'!$G$63="Taux Classe sélectionnée",Distrib_Global_Classe_Selectionnee*I$20,IF('01_Input'!$G$63="Frais KYC (paliers de 100M€)",MAX(0,Nb_Investisseurs-Nb_KYC_Gratuites_Par_Tranche*(FLOOR(I$20/Taille_Tranche_KYC,1)+1))*Cout_Par_KYC_Supplementaire,(IF('01_Input'!$L$63="Forfait",IF(I$20&gt;='01_Input'!$J$63,'01_Input'!$M$63,0),IF('01_Input'!$L$63="Palier",IF(AND(I$20&gt;='01_Input'!$J$63,I$20&lt;'01_Input'!$K$63),'01_Input'!$M$63,0),MAX(MIN(I$20,'01_Input'!$K$63)-'01_Input'!$J$63,0)*'01_Input'!$M$63))+IF('01_Input'!$P$63="Forfait",IF(I$20&gt;='01_Input'!$N$63,'01_Input'!$Q$63,0),IF('01_Input'!$P$63="Palier",IF(AND(I$20&gt;='01_Input'!$N$63,I$20&lt;'01_Input'!$O$63),'01_Input'!$Q$63,0),MAX(MIN(I$20,'01_Input'!$O$63)-'01_Input'!$N$63,0)*'01_Input'!$Q$63))+IF('01_Input'!$T$63="Forfait",IF(I$20&gt;='01_Input'!$R$63,'01_Input'!$U$63,0),IF('01_Input'!$T$63="Palier",IF(AND(I$20&gt;='01_Input'!$R$63,I$20&lt;'01_Input'!$S$63),'01_Input'!$U$63,0),MAX(MIN(I$20,'01_Input'!$S$63)-'01_Input'!$R$63,0)*'01_Input'!$U$63))+IF('01_Input'!$X$63="Forfait",IF(I$20&gt;='01_Input'!$V$63,'01_Input'!$Y$63,0),IF('01_Input'!$X$63="Palier",IF(AND(I$20&gt;='01_Input'!$V$63,I$20&lt;'01_Input'!$W$63),'01_Input'!$Y$63,0),MAX(MIN(I$20,'01_Input'!$W$63)-'01_Input'!$V$63,0)*'01_Input'!$Y$63))+IF('01_Input'!$AB$63="Forfait",IF(I$20&gt;='01_Input'!$Z$63,'01_Input'!$AC$63,0),IF('01_Input'!$AB$63="Palier",IF(AND(I$20&gt;='01_Input'!$Z$63,I$20&lt;'01_Input'!$AA$63),'01_Input'!$AC$63,0),MAX(MIN(I$20,'01_Input'!$AA$63)-'01_Input'!$Z$63,0)*'01_Input'!$AC$63)))))))))</f>
        <v>1900</v>
      </c>
      <c r="J31" s="25">
        <f>IF('01_Input'!$C$63="Non",0,MIN('01_Input'!$I$63,MAX('01_Input'!$H$63,IF('01_Input'!$G$63="Résiduel vs Gestion",0,IF('01_Input'!$G$63="Taux Classe sélectionnée",Distrib_Global_Classe_Selectionnee*J$20,IF('01_Input'!$G$63="Frais KYC (paliers de 100M€)",MAX(0,Nb_Investisseurs-Nb_KYC_Gratuites_Par_Tranche*(FLOOR(J$20/Taille_Tranche_KYC,1)+1))*Cout_Par_KYC_Supplementaire,(IF('01_Input'!$L$63="Forfait",IF(J$20&gt;='01_Input'!$J$63,'01_Input'!$M$63,0),IF('01_Input'!$L$63="Palier",IF(AND(J$20&gt;='01_Input'!$J$63,J$20&lt;'01_Input'!$K$63),'01_Input'!$M$63,0),MAX(MIN(J$20,'01_Input'!$K$63)-'01_Input'!$J$63,0)*'01_Input'!$M$63))+IF('01_Input'!$P$63="Forfait",IF(J$20&gt;='01_Input'!$N$63,'01_Input'!$Q$63,0),IF('01_Input'!$P$63="Palier",IF(AND(J$20&gt;='01_Input'!$N$63,J$20&lt;'01_Input'!$O$63),'01_Input'!$Q$63,0),MAX(MIN(J$20,'01_Input'!$O$63)-'01_Input'!$N$63,0)*'01_Input'!$Q$63))+IF('01_Input'!$T$63="Forfait",IF(J$20&gt;='01_Input'!$R$63,'01_Input'!$U$63,0),IF('01_Input'!$T$63="Palier",IF(AND(J$20&gt;='01_Input'!$R$63,J$20&lt;'01_Input'!$S$63),'01_Input'!$U$63,0),MAX(MIN(J$20,'01_Input'!$S$63)-'01_Input'!$R$63,0)*'01_Input'!$U$63))+IF('01_Input'!$X$63="Forfait",IF(J$20&gt;='01_Input'!$V$63,'01_Input'!$Y$63,0),IF('01_Input'!$X$63="Palier",IF(AND(J$20&gt;='01_Input'!$V$63,J$20&lt;'01_Input'!$W$63),'01_Input'!$Y$63,0),MAX(MIN(J$20,'01_Input'!$W$63)-'01_Input'!$V$63,0)*'01_Input'!$Y$63))+IF('01_Input'!$AB$63="Forfait",IF(J$20&gt;='01_Input'!$Z$63,'01_Input'!$AC$63,0),IF('01_Input'!$AB$63="Palier",IF(AND(J$20&gt;='01_Input'!$Z$63,J$20&lt;'01_Input'!$AA$63),'01_Input'!$AC$63,0),MAX(MIN(J$20,'01_Input'!$AA$63)-'01_Input'!$Z$63,0)*'01_Input'!$AC$63)))))))))</f>
        <v>1900</v>
      </c>
      <c r="K31" s="25">
        <f>IF('01_Input'!$C$63="Non",0,MIN('01_Input'!$I$63,MAX('01_Input'!$H$63,IF('01_Input'!$G$63="Résiduel vs Gestion",0,IF('01_Input'!$G$63="Taux Classe sélectionnée",Distrib_Global_Classe_Selectionnee*K$20,IF('01_Input'!$G$63="Frais KYC (paliers de 100M€)",MAX(0,Nb_Investisseurs-Nb_KYC_Gratuites_Par_Tranche*(FLOOR(K$20/Taille_Tranche_KYC,1)+1))*Cout_Par_KYC_Supplementaire,(IF('01_Input'!$L$63="Forfait",IF(K$20&gt;='01_Input'!$J$63,'01_Input'!$M$63,0),IF('01_Input'!$L$63="Palier",IF(AND(K$20&gt;='01_Input'!$J$63,K$20&lt;'01_Input'!$K$63),'01_Input'!$M$63,0),MAX(MIN(K$20,'01_Input'!$K$63)-'01_Input'!$J$63,0)*'01_Input'!$M$63))+IF('01_Input'!$P$63="Forfait",IF(K$20&gt;='01_Input'!$N$63,'01_Input'!$Q$63,0),IF('01_Input'!$P$63="Palier",IF(AND(K$20&gt;='01_Input'!$N$63,K$20&lt;'01_Input'!$O$63),'01_Input'!$Q$63,0),MAX(MIN(K$20,'01_Input'!$O$63)-'01_Input'!$N$63,0)*'01_Input'!$Q$63))+IF('01_Input'!$T$63="Forfait",IF(K$20&gt;='01_Input'!$R$63,'01_Input'!$U$63,0),IF('01_Input'!$T$63="Palier",IF(AND(K$20&gt;='01_Input'!$R$63,K$20&lt;'01_Input'!$S$63),'01_Input'!$U$63,0),MAX(MIN(K$20,'01_Input'!$S$63)-'01_Input'!$R$63,0)*'01_Input'!$U$63))+IF('01_Input'!$X$63="Forfait",IF(K$20&gt;='01_Input'!$V$63,'01_Input'!$Y$63,0),IF('01_Input'!$X$63="Palier",IF(AND(K$20&gt;='01_Input'!$V$63,K$20&lt;'01_Input'!$W$63),'01_Input'!$Y$63,0),MAX(MIN(K$20,'01_Input'!$W$63)-'01_Input'!$V$63,0)*'01_Input'!$Y$63))+IF('01_Input'!$AB$63="Forfait",IF(K$20&gt;='01_Input'!$Z$63,'01_Input'!$AC$63,0),IF('01_Input'!$AB$63="Palier",IF(AND(K$20&gt;='01_Input'!$Z$63,K$20&lt;'01_Input'!$AA$63),'01_Input'!$AC$63,0),MAX(MIN(K$20,'01_Input'!$AA$63)-'01_Input'!$Z$63,0)*'01_Input'!$AC$63)))))))))</f>
        <v>1900</v>
      </c>
      <c r="L31" s="25">
        <f>IF('01_Input'!$C$63="Non",0,MIN('01_Input'!$I$63,MAX('01_Input'!$H$63,IF('01_Input'!$G$63="Résiduel vs Gestion",0,IF('01_Input'!$G$63="Taux Classe sélectionnée",Distrib_Global_Classe_Selectionnee*L$20,IF('01_Input'!$G$63="Frais KYC (paliers de 100M€)",MAX(0,Nb_Investisseurs-Nb_KYC_Gratuites_Par_Tranche*(FLOOR(L$20/Taille_Tranche_KYC,1)+1))*Cout_Par_KYC_Supplementaire,(IF('01_Input'!$L$63="Forfait",IF(L$20&gt;='01_Input'!$J$63,'01_Input'!$M$63,0),IF('01_Input'!$L$63="Palier",IF(AND(L$20&gt;='01_Input'!$J$63,L$20&lt;'01_Input'!$K$63),'01_Input'!$M$63,0),MAX(MIN(L$20,'01_Input'!$K$63)-'01_Input'!$J$63,0)*'01_Input'!$M$63))+IF('01_Input'!$P$63="Forfait",IF(L$20&gt;='01_Input'!$N$63,'01_Input'!$Q$63,0),IF('01_Input'!$P$63="Palier",IF(AND(L$20&gt;='01_Input'!$N$63,L$20&lt;'01_Input'!$O$63),'01_Input'!$Q$63,0),MAX(MIN(L$20,'01_Input'!$O$63)-'01_Input'!$N$63,0)*'01_Input'!$Q$63))+IF('01_Input'!$T$63="Forfait",IF(L$20&gt;='01_Input'!$R$63,'01_Input'!$U$63,0),IF('01_Input'!$T$63="Palier",IF(AND(L$20&gt;='01_Input'!$R$63,L$20&lt;'01_Input'!$S$63),'01_Input'!$U$63,0),MAX(MIN(L$20,'01_Input'!$S$63)-'01_Input'!$R$63,0)*'01_Input'!$U$63))+IF('01_Input'!$X$63="Forfait",IF(L$20&gt;='01_Input'!$V$63,'01_Input'!$Y$63,0),IF('01_Input'!$X$63="Palier",IF(AND(L$20&gt;='01_Input'!$V$63,L$20&lt;'01_Input'!$W$63),'01_Input'!$Y$63,0),MAX(MIN(L$20,'01_Input'!$W$63)-'01_Input'!$V$63,0)*'01_Input'!$Y$63))+IF('01_Input'!$AB$63="Forfait",IF(L$20&gt;='01_Input'!$Z$63,'01_Input'!$AC$63,0),IF('01_Input'!$AB$63="Palier",IF(AND(L$20&gt;='01_Input'!$Z$63,L$20&lt;'01_Input'!$AA$63),'01_Input'!$AC$63,0),MAX(MIN(L$20,'01_Input'!$AA$63)-'01_Input'!$Z$63,0)*'01_Input'!$AC$63)))))))))</f>
        <v>1900</v>
      </c>
      <c r="M31" s="25">
        <f>IF('01_Input'!$C$63="Non",0,MIN('01_Input'!$I$63,MAX('01_Input'!$H$63,IF('01_Input'!$G$63="Résiduel vs Gestion",0,IF('01_Input'!$G$63="Taux Classe sélectionnée",Distrib_Global_Classe_Selectionnee*M$20,IF('01_Input'!$G$63="Frais KYC (paliers de 100M€)",MAX(0,Nb_Investisseurs-Nb_KYC_Gratuites_Par_Tranche*(FLOOR(M$20/Taille_Tranche_KYC,1)+1))*Cout_Par_KYC_Supplementaire,(IF('01_Input'!$L$63="Forfait",IF(M$20&gt;='01_Input'!$J$63,'01_Input'!$M$63,0),IF('01_Input'!$L$63="Palier",IF(AND(M$20&gt;='01_Input'!$J$63,M$20&lt;'01_Input'!$K$63),'01_Input'!$M$63,0),MAX(MIN(M$20,'01_Input'!$K$63)-'01_Input'!$J$63,0)*'01_Input'!$M$63))+IF('01_Input'!$P$63="Forfait",IF(M$20&gt;='01_Input'!$N$63,'01_Input'!$Q$63,0),IF('01_Input'!$P$63="Palier",IF(AND(M$20&gt;='01_Input'!$N$63,M$20&lt;'01_Input'!$O$63),'01_Input'!$Q$63,0),MAX(MIN(M$20,'01_Input'!$O$63)-'01_Input'!$N$63,0)*'01_Input'!$Q$63))+IF('01_Input'!$T$63="Forfait",IF(M$20&gt;='01_Input'!$R$63,'01_Input'!$U$63,0),IF('01_Input'!$T$63="Palier",IF(AND(M$20&gt;='01_Input'!$R$63,M$20&lt;'01_Input'!$S$63),'01_Input'!$U$63,0),MAX(MIN(M$20,'01_Input'!$S$63)-'01_Input'!$R$63,0)*'01_Input'!$U$63))+IF('01_Input'!$X$63="Forfait",IF(M$20&gt;='01_Input'!$V$63,'01_Input'!$Y$63,0),IF('01_Input'!$X$63="Palier",IF(AND(M$20&gt;='01_Input'!$V$63,M$20&lt;'01_Input'!$W$63),'01_Input'!$Y$63,0),MAX(MIN(M$20,'01_Input'!$W$63)-'01_Input'!$V$63,0)*'01_Input'!$Y$63))+IF('01_Input'!$AB$63="Forfait",IF(M$20&gt;='01_Input'!$Z$63,'01_Input'!$AC$63,0),IF('01_Input'!$AB$63="Palier",IF(AND(M$20&gt;='01_Input'!$Z$63,M$20&lt;'01_Input'!$AA$63),'01_Input'!$AC$63,0),MAX(MIN(M$20,'01_Input'!$AA$63)-'01_Input'!$Z$63,0)*'01_Input'!$AC$63)))))))))</f>
        <v>1900</v>
      </c>
      <c r="N31" s="25">
        <f>IF('01_Input'!$C$63="Non",0,MIN('01_Input'!$I$63,MAX('01_Input'!$H$63,IF('01_Input'!$G$63="Résiduel vs Gestion",0,IF('01_Input'!$G$63="Taux Classe sélectionnée",Distrib_Global_Classe_Selectionnee*N$20,IF('01_Input'!$G$63="Frais KYC (paliers de 100M€)",MAX(0,Nb_Investisseurs-Nb_KYC_Gratuites_Par_Tranche*(FLOOR(N$20/Taille_Tranche_KYC,1)+1))*Cout_Par_KYC_Supplementaire,(IF('01_Input'!$L$63="Forfait",IF(N$20&gt;='01_Input'!$J$63,'01_Input'!$M$63,0),IF('01_Input'!$L$63="Palier",IF(AND(N$20&gt;='01_Input'!$J$63,N$20&lt;'01_Input'!$K$63),'01_Input'!$M$63,0),MAX(MIN(N$20,'01_Input'!$K$63)-'01_Input'!$J$63,0)*'01_Input'!$M$63))+IF('01_Input'!$P$63="Forfait",IF(N$20&gt;='01_Input'!$N$63,'01_Input'!$Q$63,0),IF('01_Input'!$P$63="Palier",IF(AND(N$20&gt;='01_Input'!$N$63,N$20&lt;'01_Input'!$O$63),'01_Input'!$Q$63,0),MAX(MIN(N$20,'01_Input'!$O$63)-'01_Input'!$N$63,0)*'01_Input'!$Q$63))+IF('01_Input'!$T$63="Forfait",IF(N$20&gt;='01_Input'!$R$63,'01_Input'!$U$63,0),IF('01_Input'!$T$63="Palier",IF(AND(N$20&gt;='01_Input'!$R$63,N$20&lt;'01_Input'!$S$63),'01_Input'!$U$63,0),MAX(MIN(N$20,'01_Input'!$S$63)-'01_Input'!$R$63,0)*'01_Input'!$U$63))+IF('01_Input'!$X$63="Forfait",IF(N$20&gt;='01_Input'!$V$63,'01_Input'!$Y$63,0),IF('01_Input'!$X$63="Palier",IF(AND(N$20&gt;='01_Input'!$V$63,N$20&lt;'01_Input'!$W$63),'01_Input'!$Y$63,0),MAX(MIN(N$20,'01_Input'!$W$63)-'01_Input'!$V$63,0)*'01_Input'!$Y$63))+IF('01_Input'!$AB$63="Forfait",IF(N$20&gt;='01_Input'!$Z$63,'01_Input'!$AC$63,0),IF('01_Input'!$AB$63="Palier",IF(AND(N$20&gt;='01_Input'!$Z$63,N$20&lt;'01_Input'!$AA$63),'01_Input'!$AC$63,0),MAX(MIN(N$20,'01_Input'!$AA$63)-'01_Input'!$Z$63,0)*'01_Input'!$AC$63)))))))))</f>
        <v>1900</v>
      </c>
      <c r="O31" s="25">
        <f>IF('01_Input'!$C$63="Non",0,MIN('01_Input'!$I$63,MAX('01_Input'!$H$63,IF('01_Input'!$G$63="Résiduel vs Gestion",0,IF('01_Input'!$G$63="Taux Classe sélectionnée",Distrib_Global_Classe_Selectionnee*O$20,IF('01_Input'!$G$63="Frais KYC (paliers de 100M€)",MAX(0,Nb_Investisseurs-Nb_KYC_Gratuites_Par_Tranche*(FLOOR(O$20/Taille_Tranche_KYC,1)+1))*Cout_Par_KYC_Supplementaire,(IF('01_Input'!$L$63="Forfait",IF(O$20&gt;='01_Input'!$J$63,'01_Input'!$M$63,0),IF('01_Input'!$L$63="Palier",IF(AND(O$20&gt;='01_Input'!$J$63,O$20&lt;'01_Input'!$K$63),'01_Input'!$M$63,0),MAX(MIN(O$20,'01_Input'!$K$63)-'01_Input'!$J$63,0)*'01_Input'!$M$63))+IF('01_Input'!$P$63="Forfait",IF(O$20&gt;='01_Input'!$N$63,'01_Input'!$Q$63,0),IF('01_Input'!$P$63="Palier",IF(AND(O$20&gt;='01_Input'!$N$63,O$20&lt;'01_Input'!$O$63),'01_Input'!$Q$63,0),MAX(MIN(O$20,'01_Input'!$O$63)-'01_Input'!$N$63,0)*'01_Input'!$Q$63))+IF('01_Input'!$T$63="Forfait",IF(O$20&gt;='01_Input'!$R$63,'01_Input'!$U$63,0),IF('01_Input'!$T$63="Palier",IF(AND(O$20&gt;='01_Input'!$R$63,O$20&lt;'01_Input'!$S$63),'01_Input'!$U$63,0),MAX(MIN(O$20,'01_Input'!$S$63)-'01_Input'!$R$63,0)*'01_Input'!$U$63))+IF('01_Input'!$X$63="Forfait",IF(O$20&gt;='01_Input'!$V$63,'01_Input'!$Y$63,0),IF('01_Input'!$X$63="Palier",IF(AND(O$20&gt;='01_Input'!$V$63,O$20&lt;'01_Input'!$W$63),'01_Input'!$Y$63,0),MAX(MIN(O$20,'01_Input'!$W$63)-'01_Input'!$V$63,0)*'01_Input'!$Y$63))+IF('01_Input'!$AB$63="Forfait",IF(O$20&gt;='01_Input'!$Z$63,'01_Input'!$AC$63,0),IF('01_Input'!$AB$63="Palier",IF(AND(O$20&gt;='01_Input'!$Z$63,O$20&lt;'01_Input'!$AA$63),'01_Input'!$AC$63,0),MAX(MIN(O$20,'01_Input'!$AA$63)-'01_Input'!$Z$63,0)*'01_Input'!$AC$63)))))))))</f>
        <v>1900</v>
      </c>
      <c r="P31" s="25">
        <f>IF('01_Input'!$C$63="Non",0,MIN('01_Input'!$I$63,MAX('01_Input'!$H$63,IF('01_Input'!$G$63="Résiduel vs Gestion",0,IF('01_Input'!$G$63="Taux Classe sélectionnée",Distrib_Global_Classe_Selectionnee*P$20,IF('01_Input'!$G$63="Frais KYC (paliers de 100M€)",MAX(0,Nb_Investisseurs-Nb_KYC_Gratuites_Par_Tranche*(FLOOR(P$20/Taille_Tranche_KYC,1)+1))*Cout_Par_KYC_Supplementaire,(IF('01_Input'!$L$63="Forfait",IF(P$20&gt;='01_Input'!$J$63,'01_Input'!$M$63,0),IF('01_Input'!$L$63="Palier",IF(AND(P$20&gt;='01_Input'!$J$63,P$20&lt;'01_Input'!$K$63),'01_Input'!$M$63,0),MAX(MIN(P$20,'01_Input'!$K$63)-'01_Input'!$J$63,0)*'01_Input'!$M$63))+IF('01_Input'!$P$63="Forfait",IF(P$20&gt;='01_Input'!$N$63,'01_Input'!$Q$63,0),IF('01_Input'!$P$63="Palier",IF(AND(P$20&gt;='01_Input'!$N$63,P$20&lt;'01_Input'!$O$63),'01_Input'!$Q$63,0),MAX(MIN(P$20,'01_Input'!$O$63)-'01_Input'!$N$63,0)*'01_Input'!$Q$63))+IF('01_Input'!$T$63="Forfait",IF(P$20&gt;='01_Input'!$R$63,'01_Input'!$U$63,0),IF('01_Input'!$T$63="Palier",IF(AND(P$20&gt;='01_Input'!$R$63,P$20&lt;'01_Input'!$S$63),'01_Input'!$U$63,0),MAX(MIN(P$20,'01_Input'!$S$63)-'01_Input'!$R$63,0)*'01_Input'!$U$63))+IF('01_Input'!$X$63="Forfait",IF(P$20&gt;='01_Input'!$V$63,'01_Input'!$Y$63,0),IF('01_Input'!$X$63="Palier",IF(AND(P$20&gt;='01_Input'!$V$63,P$20&lt;'01_Input'!$W$63),'01_Input'!$Y$63,0),MAX(MIN(P$20,'01_Input'!$W$63)-'01_Input'!$V$63,0)*'01_Input'!$Y$63))+IF('01_Input'!$AB$63="Forfait",IF(P$20&gt;='01_Input'!$Z$63,'01_Input'!$AC$63,0),IF('01_Input'!$AB$63="Palier",IF(AND(P$20&gt;='01_Input'!$Z$63,P$20&lt;'01_Input'!$AA$63),'01_Input'!$AC$63,0),MAX(MIN(P$20,'01_Input'!$AA$63)-'01_Input'!$Z$63,0)*'01_Input'!$AC$63)))))))))</f>
        <v>1900</v>
      </c>
      <c r="Q31" s="25">
        <f>IF('01_Input'!$C$63="Non",0,MIN('01_Input'!$I$63,MAX('01_Input'!$H$63,IF('01_Input'!$G$63="Résiduel vs Gestion",0,IF('01_Input'!$G$63="Taux Classe sélectionnée",Distrib_Global_Classe_Selectionnee*Q$20,IF('01_Input'!$G$63="Frais KYC (paliers de 100M€)",MAX(0,Nb_Investisseurs-Nb_KYC_Gratuites_Par_Tranche*(FLOOR(Q$20/Taille_Tranche_KYC,1)+1))*Cout_Par_KYC_Supplementaire,(IF('01_Input'!$L$63="Forfait",IF(Q$20&gt;='01_Input'!$J$63,'01_Input'!$M$63,0),IF('01_Input'!$L$63="Palier",IF(AND(Q$20&gt;='01_Input'!$J$63,Q$20&lt;'01_Input'!$K$63),'01_Input'!$M$63,0),MAX(MIN(Q$20,'01_Input'!$K$63)-'01_Input'!$J$63,0)*'01_Input'!$M$63))+IF('01_Input'!$P$63="Forfait",IF(Q$20&gt;='01_Input'!$N$63,'01_Input'!$Q$63,0),IF('01_Input'!$P$63="Palier",IF(AND(Q$20&gt;='01_Input'!$N$63,Q$20&lt;'01_Input'!$O$63),'01_Input'!$Q$63,0),MAX(MIN(Q$20,'01_Input'!$O$63)-'01_Input'!$N$63,0)*'01_Input'!$Q$63))+IF('01_Input'!$T$63="Forfait",IF(Q$20&gt;='01_Input'!$R$63,'01_Input'!$U$63,0),IF('01_Input'!$T$63="Palier",IF(AND(Q$20&gt;='01_Input'!$R$63,Q$20&lt;'01_Input'!$S$63),'01_Input'!$U$63,0),MAX(MIN(Q$20,'01_Input'!$S$63)-'01_Input'!$R$63,0)*'01_Input'!$U$63))+IF('01_Input'!$X$63="Forfait",IF(Q$20&gt;='01_Input'!$V$63,'01_Input'!$Y$63,0),IF('01_Input'!$X$63="Palier",IF(AND(Q$20&gt;='01_Input'!$V$63,Q$20&lt;'01_Input'!$W$63),'01_Input'!$Y$63,0),MAX(MIN(Q$20,'01_Input'!$W$63)-'01_Input'!$V$63,0)*'01_Input'!$Y$63))+IF('01_Input'!$AB$63="Forfait",IF(Q$20&gt;='01_Input'!$Z$63,'01_Input'!$AC$63,0),IF('01_Input'!$AB$63="Palier",IF(AND(Q$20&gt;='01_Input'!$Z$63,Q$20&lt;'01_Input'!$AA$63),'01_Input'!$AC$63,0),MAX(MIN(Q$20,'01_Input'!$AA$63)-'01_Input'!$Z$63,0)*'01_Input'!$AC$63)))))))))</f>
        <v>1900</v>
      </c>
      <c r="R31" s="25">
        <f>IF('01_Input'!$C$63="Non",0,MIN('01_Input'!$I$63,MAX('01_Input'!$H$63,IF('01_Input'!$G$63="Résiduel vs Gestion",0,IF('01_Input'!$G$63="Taux Classe sélectionnée",Distrib_Global_Classe_Selectionnee*R$20,IF('01_Input'!$G$63="Frais KYC (paliers de 100M€)",MAX(0,Nb_Investisseurs-Nb_KYC_Gratuites_Par_Tranche*(FLOOR(R$20/Taille_Tranche_KYC,1)+1))*Cout_Par_KYC_Supplementaire,(IF('01_Input'!$L$63="Forfait",IF(R$20&gt;='01_Input'!$J$63,'01_Input'!$M$63,0),IF('01_Input'!$L$63="Palier",IF(AND(R$20&gt;='01_Input'!$J$63,R$20&lt;'01_Input'!$K$63),'01_Input'!$M$63,0),MAX(MIN(R$20,'01_Input'!$K$63)-'01_Input'!$J$63,0)*'01_Input'!$M$63))+IF('01_Input'!$P$63="Forfait",IF(R$20&gt;='01_Input'!$N$63,'01_Input'!$Q$63,0),IF('01_Input'!$P$63="Palier",IF(AND(R$20&gt;='01_Input'!$N$63,R$20&lt;'01_Input'!$O$63),'01_Input'!$Q$63,0),MAX(MIN(R$20,'01_Input'!$O$63)-'01_Input'!$N$63,0)*'01_Input'!$Q$63))+IF('01_Input'!$T$63="Forfait",IF(R$20&gt;='01_Input'!$R$63,'01_Input'!$U$63,0),IF('01_Input'!$T$63="Palier",IF(AND(R$20&gt;='01_Input'!$R$63,R$20&lt;'01_Input'!$S$63),'01_Input'!$U$63,0),MAX(MIN(R$20,'01_Input'!$S$63)-'01_Input'!$R$63,0)*'01_Input'!$U$63))+IF('01_Input'!$X$63="Forfait",IF(R$20&gt;='01_Input'!$V$63,'01_Input'!$Y$63,0),IF('01_Input'!$X$63="Palier",IF(AND(R$20&gt;='01_Input'!$V$63,R$20&lt;'01_Input'!$W$63),'01_Input'!$Y$63,0),MAX(MIN(R$20,'01_Input'!$W$63)-'01_Input'!$V$63,0)*'01_Input'!$Y$63))+IF('01_Input'!$AB$63="Forfait",IF(R$20&gt;='01_Input'!$Z$63,'01_Input'!$AC$63,0),IF('01_Input'!$AB$63="Palier",IF(AND(R$20&gt;='01_Input'!$Z$63,R$20&lt;'01_Input'!$AA$63),'01_Input'!$AC$63,0),MAX(MIN(R$20,'01_Input'!$AA$63)-'01_Input'!$Z$63,0)*'01_Input'!$AC$63)))))))))</f>
        <v>1900</v>
      </c>
      <c r="S31" s="25">
        <f>IF('01_Input'!$C$63="Non",0,MIN('01_Input'!$I$63,MAX('01_Input'!$H$63,IF('01_Input'!$G$63="Résiduel vs Gestion",0,IF('01_Input'!$G$63="Taux Classe sélectionnée",Distrib_Global_Classe_Selectionnee*S$20,IF('01_Input'!$G$63="Frais KYC (paliers de 100M€)",MAX(0,Nb_Investisseurs-Nb_KYC_Gratuites_Par_Tranche*(FLOOR(S$20/Taille_Tranche_KYC,1)+1))*Cout_Par_KYC_Supplementaire,(IF('01_Input'!$L$63="Forfait",IF(S$20&gt;='01_Input'!$J$63,'01_Input'!$M$63,0),IF('01_Input'!$L$63="Palier",IF(AND(S$20&gt;='01_Input'!$J$63,S$20&lt;'01_Input'!$K$63),'01_Input'!$M$63,0),MAX(MIN(S$20,'01_Input'!$K$63)-'01_Input'!$J$63,0)*'01_Input'!$M$63))+IF('01_Input'!$P$63="Forfait",IF(S$20&gt;='01_Input'!$N$63,'01_Input'!$Q$63,0),IF('01_Input'!$P$63="Palier",IF(AND(S$20&gt;='01_Input'!$N$63,S$20&lt;'01_Input'!$O$63),'01_Input'!$Q$63,0),MAX(MIN(S$20,'01_Input'!$O$63)-'01_Input'!$N$63,0)*'01_Input'!$Q$63))+IF('01_Input'!$T$63="Forfait",IF(S$20&gt;='01_Input'!$R$63,'01_Input'!$U$63,0),IF('01_Input'!$T$63="Palier",IF(AND(S$20&gt;='01_Input'!$R$63,S$20&lt;'01_Input'!$S$63),'01_Input'!$U$63,0),MAX(MIN(S$20,'01_Input'!$S$63)-'01_Input'!$R$63,0)*'01_Input'!$U$63))+IF('01_Input'!$X$63="Forfait",IF(S$20&gt;='01_Input'!$V$63,'01_Input'!$Y$63,0),IF('01_Input'!$X$63="Palier",IF(AND(S$20&gt;='01_Input'!$V$63,S$20&lt;'01_Input'!$W$63),'01_Input'!$Y$63,0),MAX(MIN(S$20,'01_Input'!$W$63)-'01_Input'!$V$63,0)*'01_Input'!$Y$63))+IF('01_Input'!$AB$63="Forfait",IF(S$20&gt;='01_Input'!$Z$63,'01_Input'!$AC$63,0),IF('01_Input'!$AB$63="Palier",IF(AND(S$20&gt;='01_Input'!$Z$63,S$20&lt;'01_Input'!$AA$63),'01_Input'!$AC$63,0),MAX(MIN(S$20,'01_Input'!$AA$63)-'01_Input'!$Z$63,0)*'01_Input'!$AC$63)))))))))</f>
        <v>1900</v>
      </c>
      <c r="T31" s="25">
        <f>IF('01_Input'!$C$63="Non",0,MIN('01_Input'!$I$63,MAX('01_Input'!$H$63,IF('01_Input'!$G$63="Résiduel vs Gestion",0,IF('01_Input'!$G$63="Taux Classe sélectionnée",Distrib_Global_Classe_Selectionnee*T$20,IF('01_Input'!$G$63="Frais KYC (paliers de 100M€)",MAX(0,Nb_Investisseurs-Nb_KYC_Gratuites_Par_Tranche*(FLOOR(T$20/Taille_Tranche_KYC,1)+1))*Cout_Par_KYC_Supplementaire,(IF('01_Input'!$L$63="Forfait",IF(T$20&gt;='01_Input'!$J$63,'01_Input'!$M$63,0),IF('01_Input'!$L$63="Palier",IF(AND(T$20&gt;='01_Input'!$J$63,T$20&lt;'01_Input'!$K$63),'01_Input'!$M$63,0),MAX(MIN(T$20,'01_Input'!$K$63)-'01_Input'!$J$63,0)*'01_Input'!$M$63))+IF('01_Input'!$P$63="Forfait",IF(T$20&gt;='01_Input'!$N$63,'01_Input'!$Q$63,0),IF('01_Input'!$P$63="Palier",IF(AND(T$20&gt;='01_Input'!$N$63,T$20&lt;'01_Input'!$O$63),'01_Input'!$Q$63,0),MAX(MIN(T$20,'01_Input'!$O$63)-'01_Input'!$N$63,0)*'01_Input'!$Q$63))+IF('01_Input'!$T$63="Forfait",IF(T$20&gt;='01_Input'!$R$63,'01_Input'!$U$63,0),IF('01_Input'!$T$63="Palier",IF(AND(T$20&gt;='01_Input'!$R$63,T$20&lt;'01_Input'!$S$63),'01_Input'!$U$63,0),MAX(MIN(T$20,'01_Input'!$S$63)-'01_Input'!$R$63,0)*'01_Input'!$U$63))+IF('01_Input'!$X$63="Forfait",IF(T$20&gt;='01_Input'!$V$63,'01_Input'!$Y$63,0),IF('01_Input'!$X$63="Palier",IF(AND(T$20&gt;='01_Input'!$V$63,T$20&lt;'01_Input'!$W$63),'01_Input'!$Y$63,0),MAX(MIN(T$20,'01_Input'!$W$63)-'01_Input'!$V$63,0)*'01_Input'!$Y$63))+IF('01_Input'!$AB$63="Forfait",IF(T$20&gt;='01_Input'!$Z$63,'01_Input'!$AC$63,0),IF('01_Input'!$AB$63="Palier",IF(AND(T$20&gt;='01_Input'!$Z$63,T$20&lt;'01_Input'!$AA$63),'01_Input'!$AC$63,0),MAX(MIN(T$20,'01_Input'!$AA$63)-'01_Input'!$Z$63,0)*'01_Input'!$AC$63)))))))))</f>
        <v>1900</v>
      </c>
      <c r="U31" s="25">
        <f>IF('01_Input'!$C$63="Non",0,MIN('01_Input'!$I$63,MAX('01_Input'!$H$63,IF('01_Input'!$G$63="Résiduel vs Gestion",0,IF('01_Input'!$G$63="Taux Classe sélectionnée",Distrib_Global_Classe_Selectionnee*U$20,IF('01_Input'!$G$63="Frais KYC (paliers de 100M€)",MAX(0,Nb_Investisseurs-Nb_KYC_Gratuites_Par_Tranche*(FLOOR(U$20/Taille_Tranche_KYC,1)+1))*Cout_Par_KYC_Supplementaire,(IF('01_Input'!$L$63="Forfait",IF(U$20&gt;='01_Input'!$J$63,'01_Input'!$M$63,0),IF('01_Input'!$L$63="Palier",IF(AND(U$20&gt;='01_Input'!$J$63,U$20&lt;'01_Input'!$K$63),'01_Input'!$M$63,0),MAX(MIN(U$20,'01_Input'!$K$63)-'01_Input'!$J$63,0)*'01_Input'!$M$63))+IF('01_Input'!$P$63="Forfait",IF(U$20&gt;='01_Input'!$N$63,'01_Input'!$Q$63,0),IF('01_Input'!$P$63="Palier",IF(AND(U$20&gt;='01_Input'!$N$63,U$20&lt;'01_Input'!$O$63),'01_Input'!$Q$63,0),MAX(MIN(U$20,'01_Input'!$O$63)-'01_Input'!$N$63,0)*'01_Input'!$Q$63))+IF('01_Input'!$T$63="Forfait",IF(U$20&gt;='01_Input'!$R$63,'01_Input'!$U$63,0),IF('01_Input'!$T$63="Palier",IF(AND(U$20&gt;='01_Input'!$R$63,U$20&lt;'01_Input'!$S$63),'01_Input'!$U$63,0),MAX(MIN(U$20,'01_Input'!$S$63)-'01_Input'!$R$63,0)*'01_Input'!$U$63))+IF('01_Input'!$X$63="Forfait",IF(U$20&gt;='01_Input'!$V$63,'01_Input'!$Y$63,0),IF('01_Input'!$X$63="Palier",IF(AND(U$20&gt;='01_Input'!$V$63,U$20&lt;'01_Input'!$W$63),'01_Input'!$Y$63,0),MAX(MIN(U$20,'01_Input'!$W$63)-'01_Input'!$V$63,0)*'01_Input'!$Y$63))+IF('01_Input'!$AB$63="Forfait",IF(U$20&gt;='01_Input'!$Z$63,'01_Input'!$AC$63,0),IF('01_Input'!$AB$63="Palier",IF(AND(U$20&gt;='01_Input'!$Z$63,U$20&lt;'01_Input'!$AA$63),'01_Input'!$AC$63,0),MAX(MIN(U$20,'01_Input'!$AA$63)-'01_Input'!$Z$63,0)*'01_Input'!$AC$63)))))))))</f>
        <v>1900</v>
      </c>
      <c r="V31" s="25">
        <f>IF('01_Input'!$C$63="Non",0,MIN('01_Input'!$I$63,MAX('01_Input'!$H$63,IF('01_Input'!$G$63="Résiduel vs Gestion",0,IF('01_Input'!$G$63="Taux Classe sélectionnée",Distrib_Global_Classe_Selectionnee*V$20,IF('01_Input'!$G$63="Frais KYC (paliers de 100M€)",MAX(0,Nb_Investisseurs-Nb_KYC_Gratuites_Par_Tranche*(FLOOR(V$20/Taille_Tranche_KYC,1)+1))*Cout_Par_KYC_Supplementaire,(IF('01_Input'!$L$63="Forfait",IF(V$20&gt;='01_Input'!$J$63,'01_Input'!$M$63,0),IF('01_Input'!$L$63="Palier",IF(AND(V$20&gt;='01_Input'!$J$63,V$20&lt;'01_Input'!$K$63),'01_Input'!$M$63,0),MAX(MIN(V$20,'01_Input'!$K$63)-'01_Input'!$J$63,0)*'01_Input'!$M$63))+IF('01_Input'!$P$63="Forfait",IF(V$20&gt;='01_Input'!$N$63,'01_Input'!$Q$63,0),IF('01_Input'!$P$63="Palier",IF(AND(V$20&gt;='01_Input'!$N$63,V$20&lt;'01_Input'!$O$63),'01_Input'!$Q$63,0),MAX(MIN(V$20,'01_Input'!$O$63)-'01_Input'!$N$63,0)*'01_Input'!$Q$63))+IF('01_Input'!$T$63="Forfait",IF(V$20&gt;='01_Input'!$R$63,'01_Input'!$U$63,0),IF('01_Input'!$T$63="Palier",IF(AND(V$20&gt;='01_Input'!$R$63,V$20&lt;'01_Input'!$S$63),'01_Input'!$U$63,0),MAX(MIN(V$20,'01_Input'!$S$63)-'01_Input'!$R$63,0)*'01_Input'!$U$63))+IF('01_Input'!$X$63="Forfait",IF(V$20&gt;='01_Input'!$V$63,'01_Input'!$Y$63,0),IF('01_Input'!$X$63="Palier",IF(AND(V$20&gt;='01_Input'!$V$63,V$20&lt;'01_Input'!$W$63),'01_Input'!$Y$63,0),MAX(MIN(V$20,'01_Input'!$W$63)-'01_Input'!$V$63,0)*'01_Input'!$Y$63))+IF('01_Input'!$AB$63="Forfait",IF(V$20&gt;='01_Input'!$Z$63,'01_Input'!$AC$63,0),IF('01_Input'!$AB$63="Palier",IF(AND(V$20&gt;='01_Input'!$Z$63,V$20&lt;'01_Input'!$AA$63),'01_Input'!$AC$63,0),MAX(MIN(V$20,'01_Input'!$AA$63)-'01_Input'!$Z$63,0)*'01_Input'!$AC$63)))))))))</f>
        <v>1900</v>
      </c>
      <c r="W31" s="25">
        <f>IF('01_Input'!$C$63="Non",0,MIN('01_Input'!$I$63,MAX('01_Input'!$H$63,IF('01_Input'!$G$63="Résiduel vs Gestion",0,IF('01_Input'!$G$63="Taux Classe sélectionnée",Distrib_Global_Classe_Selectionnee*W$20,IF('01_Input'!$G$63="Frais KYC (paliers de 100M€)",MAX(0,Nb_Investisseurs-Nb_KYC_Gratuites_Par_Tranche*(FLOOR(W$20/Taille_Tranche_KYC,1)+1))*Cout_Par_KYC_Supplementaire,(IF('01_Input'!$L$63="Forfait",IF(W$20&gt;='01_Input'!$J$63,'01_Input'!$M$63,0),IF('01_Input'!$L$63="Palier",IF(AND(W$20&gt;='01_Input'!$J$63,W$20&lt;'01_Input'!$K$63),'01_Input'!$M$63,0),MAX(MIN(W$20,'01_Input'!$K$63)-'01_Input'!$J$63,0)*'01_Input'!$M$63))+IF('01_Input'!$P$63="Forfait",IF(W$20&gt;='01_Input'!$N$63,'01_Input'!$Q$63,0),IF('01_Input'!$P$63="Palier",IF(AND(W$20&gt;='01_Input'!$N$63,W$20&lt;'01_Input'!$O$63),'01_Input'!$Q$63,0),MAX(MIN(W$20,'01_Input'!$O$63)-'01_Input'!$N$63,0)*'01_Input'!$Q$63))+IF('01_Input'!$T$63="Forfait",IF(W$20&gt;='01_Input'!$R$63,'01_Input'!$U$63,0),IF('01_Input'!$T$63="Palier",IF(AND(W$20&gt;='01_Input'!$R$63,W$20&lt;'01_Input'!$S$63),'01_Input'!$U$63,0),MAX(MIN(W$20,'01_Input'!$S$63)-'01_Input'!$R$63,0)*'01_Input'!$U$63))+IF('01_Input'!$X$63="Forfait",IF(W$20&gt;='01_Input'!$V$63,'01_Input'!$Y$63,0),IF('01_Input'!$X$63="Palier",IF(AND(W$20&gt;='01_Input'!$V$63,W$20&lt;'01_Input'!$W$63),'01_Input'!$Y$63,0),MAX(MIN(W$20,'01_Input'!$W$63)-'01_Input'!$V$63,0)*'01_Input'!$Y$63))+IF('01_Input'!$AB$63="Forfait",IF(W$20&gt;='01_Input'!$Z$63,'01_Input'!$AC$63,0),IF('01_Input'!$AB$63="Palier",IF(AND(W$20&gt;='01_Input'!$Z$63,W$20&lt;'01_Input'!$AA$63),'01_Input'!$AC$63,0),MAX(MIN(W$20,'01_Input'!$AA$63)-'01_Input'!$Z$63,0)*'01_Input'!$AC$63)))))))))</f>
        <v>1900</v>
      </c>
      <c r="X31" s="25">
        <f>IF('01_Input'!$C$63="Non",0,MIN('01_Input'!$I$63,MAX('01_Input'!$H$63,IF('01_Input'!$G$63="Résiduel vs Gestion",0,IF('01_Input'!$G$63="Taux Classe sélectionnée",Distrib_Global_Classe_Selectionnee*X$20,IF('01_Input'!$G$63="Frais KYC (paliers de 100M€)",MAX(0,Nb_Investisseurs-Nb_KYC_Gratuites_Par_Tranche*(FLOOR(X$20/Taille_Tranche_KYC,1)+1))*Cout_Par_KYC_Supplementaire,(IF('01_Input'!$L$63="Forfait",IF(X$20&gt;='01_Input'!$J$63,'01_Input'!$M$63,0),IF('01_Input'!$L$63="Palier",IF(AND(X$20&gt;='01_Input'!$J$63,X$20&lt;'01_Input'!$K$63),'01_Input'!$M$63,0),MAX(MIN(X$20,'01_Input'!$K$63)-'01_Input'!$J$63,0)*'01_Input'!$M$63))+IF('01_Input'!$P$63="Forfait",IF(X$20&gt;='01_Input'!$N$63,'01_Input'!$Q$63,0),IF('01_Input'!$P$63="Palier",IF(AND(X$20&gt;='01_Input'!$N$63,X$20&lt;'01_Input'!$O$63),'01_Input'!$Q$63,0),MAX(MIN(X$20,'01_Input'!$O$63)-'01_Input'!$N$63,0)*'01_Input'!$Q$63))+IF('01_Input'!$T$63="Forfait",IF(X$20&gt;='01_Input'!$R$63,'01_Input'!$U$63,0),IF('01_Input'!$T$63="Palier",IF(AND(X$20&gt;='01_Input'!$R$63,X$20&lt;'01_Input'!$S$63),'01_Input'!$U$63,0),MAX(MIN(X$20,'01_Input'!$S$63)-'01_Input'!$R$63,0)*'01_Input'!$U$63))+IF('01_Input'!$X$63="Forfait",IF(X$20&gt;='01_Input'!$V$63,'01_Input'!$Y$63,0),IF('01_Input'!$X$63="Palier",IF(AND(X$20&gt;='01_Input'!$V$63,X$20&lt;'01_Input'!$W$63),'01_Input'!$Y$63,0),MAX(MIN(X$20,'01_Input'!$W$63)-'01_Input'!$V$63,0)*'01_Input'!$Y$63))+IF('01_Input'!$AB$63="Forfait",IF(X$20&gt;='01_Input'!$Z$63,'01_Input'!$AC$63,0),IF('01_Input'!$AB$63="Palier",IF(AND(X$20&gt;='01_Input'!$Z$63,X$20&lt;'01_Input'!$AA$63),'01_Input'!$AC$63,0),MAX(MIN(X$20,'01_Input'!$AA$63)-'01_Input'!$Z$63,0)*'01_Input'!$AC$63)))))))))</f>
        <v>1900</v>
      </c>
      <c r="Y31" s="25">
        <f>IF('01_Input'!$C$63="Non",0,MIN('01_Input'!$I$63,MAX('01_Input'!$H$63,IF('01_Input'!$G$63="Résiduel vs Gestion",0,IF('01_Input'!$G$63="Taux Classe sélectionnée",Distrib_Global_Classe_Selectionnee*Y$20,IF('01_Input'!$G$63="Frais KYC (paliers de 100M€)",MAX(0,Nb_Investisseurs-Nb_KYC_Gratuites_Par_Tranche*(FLOOR(Y$20/Taille_Tranche_KYC,1)+1))*Cout_Par_KYC_Supplementaire,(IF('01_Input'!$L$63="Forfait",IF(Y$20&gt;='01_Input'!$J$63,'01_Input'!$M$63,0),IF('01_Input'!$L$63="Palier",IF(AND(Y$20&gt;='01_Input'!$J$63,Y$20&lt;'01_Input'!$K$63),'01_Input'!$M$63,0),MAX(MIN(Y$20,'01_Input'!$K$63)-'01_Input'!$J$63,0)*'01_Input'!$M$63))+IF('01_Input'!$P$63="Forfait",IF(Y$20&gt;='01_Input'!$N$63,'01_Input'!$Q$63,0),IF('01_Input'!$P$63="Palier",IF(AND(Y$20&gt;='01_Input'!$N$63,Y$20&lt;'01_Input'!$O$63),'01_Input'!$Q$63,0),MAX(MIN(Y$20,'01_Input'!$O$63)-'01_Input'!$N$63,0)*'01_Input'!$Q$63))+IF('01_Input'!$T$63="Forfait",IF(Y$20&gt;='01_Input'!$R$63,'01_Input'!$U$63,0),IF('01_Input'!$T$63="Palier",IF(AND(Y$20&gt;='01_Input'!$R$63,Y$20&lt;'01_Input'!$S$63),'01_Input'!$U$63,0),MAX(MIN(Y$20,'01_Input'!$S$63)-'01_Input'!$R$63,0)*'01_Input'!$U$63))+IF('01_Input'!$X$63="Forfait",IF(Y$20&gt;='01_Input'!$V$63,'01_Input'!$Y$63,0),IF('01_Input'!$X$63="Palier",IF(AND(Y$20&gt;='01_Input'!$V$63,Y$20&lt;'01_Input'!$W$63),'01_Input'!$Y$63,0),MAX(MIN(Y$20,'01_Input'!$W$63)-'01_Input'!$V$63,0)*'01_Input'!$Y$63))+IF('01_Input'!$AB$63="Forfait",IF(Y$20&gt;='01_Input'!$Z$63,'01_Input'!$AC$63,0),IF('01_Input'!$AB$63="Palier",IF(AND(Y$20&gt;='01_Input'!$Z$63,Y$20&lt;'01_Input'!$AA$63),'01_Input'!$AC$63,0),MAX(MIN(Y$20,'01_Input'!$AA$63)-'01_Input'!$Z$63,0)*'01_Input'!$AC$63)))))))))</f>
        <v>1900</v>
      </c>
      <c r="Z31" s="25">
        <f>IF('01_Input'!$C$63="Non",0,MIN('01_Input'!$I$63,MAX('01_Input'!$H$63,IF('01_Input'!$G$63="Résiduel vs Gestion",0,IF('01_Input'!$G$63="Taux Classe sélectionnée",Distrib_Global_Classe_Selectionnee*Z$20,IF('01_Input'!$G$63="Frais KYC (paliers de 100M€)",MAX(0,Nb_Investisseurs-Nb_KYC_Gratuites_Par_Tranche*(FLOOR(Z$20/Taille_Tranche_KYC,1)+1))*Cout_Par_KYC_Supplementaire,(IF('01_Input'!$L$63="Forfait",IF(Z$20&gt;='01_Input'!$J$63,'01_Input'!$M$63,0),IF('01_Input'!$L$63="Palier",IF(AND(Z$20&gt;='01_Input'!$J$63,Z$20&lt;'01_Input'!$K$63),'01_Input'!$M$63,0),MAX(MIN(Z$20,'01_Input'!$K$63)-'01_Input'!$J$63,0)*'01_Input'!$M$63))+IF('01_Input'!$P$63="Forfait",IF(Z$20&gt;='01_Input'!$N$63,'01_Input'!$Q$63,0),IF('01_Input'!$P$63="Palier",IF(AND(Z$20&gt;='01_Input'!$N$63,Z$20&lt;'01_Input'!$O$63),'01_Input'!$Q$63,0),MAX(MIN(Z$20,'01_Input'!$O$63)-'01_Input'!$N$63,0)*'01_Input'!$Q$63))+IF('01_Input'!$T$63="Forfait",IF(Z$20&gt;='01_Input'!$R$63,'01_Input'!$U$63,0),IF('01_Input'!$T$63="Palier",IF(AND(Z$20&gt;='01_Input'!$R$63,Z$20&lt;'01_Input'!$S$63),'01_Input'!$U$63,0),MAX(MIN(Z$20,'01_Input'!$S$63)-'01_Input'!$R$63,0)*'01_Input'!$U$63))+IF('01_Input'!$X$63="Forfait",IF(Z$20&gt;='01_Input'!$V$63,'01_Input'!$Y$63,0),IF('01_Input'!$X$63="Palier",IF(AND(Z$20&gt;='01_Input'!$V$63,Z$20&lt;'01_Input'!$W$63),'01_Input'!$Y$63,0),MAX(MIN(Z$20,'01_Input'!$W$63)-'01_Input'!$V$63,0)*'01_Input'!$Y$63))+IF('01_Input'!$AB$63="Forfait",IF(Z$20&gt;='01_Input'!$Z$63,'01_Input'!$AC$63,0),IF('01_Input'!$AB$63="Palier",IF(AND(Z$20&gt;='01_Input'!$Z$63,Z$20&lt;'01_Input'!$AA$63),'01_Input'!$AC$63,0),MAX(MIN(Z$20,'01_Input'!$AA$63)-'01_Input'!$Z$63,0)*'01_Input'!$AC$63)))))))))</f>
        <v>1900</v>
      </c>
      <c r="AA31" s="25">
        <f>IF('01_Input'!$C$63="Non",0,MIN('01_Input'!$I$63,MAX('01_Input'!$H$63,IF('01_Input'!$G$63="Résiduel vs Gestion",0,IF('01_Input'!$G$63="Taux Classe sélectionnée",Distrib_Global_Classe_Selectionnee*AA$20,IF('01_Input'!$G$63="Frais KYC (paliers de 100M€)",MAX(0,Nb_Investisseurs-Nb_KYC_Gratuites_Par_Tranche*(FLOOR(AA$20/Taille_Tranche_KYC,1)+1))*Cout_Par_KYC_Supplementaire,(IF('01_Input'!$L$63="Forfait",IF(AA$20&gt;='01_Input'!$J$63,'01_Input'!$M$63,0),IF('01_Input'!$L$63="Palier",IF(AND(AA$20&gt;='01_Input'!$J$63,AA$20&lt;'01_Input'!$K$63),'01_Input'!$M$63,0),MAX(MIN(AA$20,'01_Input'!$K$63)-'01_Input'!$J$63,0)*'01_Input'!$M$63))+IF('01_Input'!$P$63="Forfait",IF(AA$20&gt;='01_Input'!$N$63,'01_Input'!$Q$63,0),IF('01_Input'!$P$63="Palier",IF(AND(AA$20&gt;='01_Input'!$N$63,AA$20&lt;'01_Input'!$O$63),'01_Input'!$Q$63,0),MAX(MIN(AA$20,'01_Input'!$O$63)-'01_Input'!$N$63,0)*'01_Input'!$Q$63))+IF('01_Input'!$T$63="Forfait",IF(AA$20&gt;='01_Input'!$R$63,'01_Input'!$U$63,0),IF('01_Input'!$T$63="Palier",IF(AND(AA$20&gt;='01_Input'!$R$63,AA$20&lt;'01_Input'!$S$63),'01_Input'!$U$63,0),MAX(MIN(AA$20,'01_Input'!$S$63)-'01_Input'!$R$63,0)*'01_Input'!$U$63))+IF('01_Input'!$X$63="Forfait",IF(AA$20&gt;='01_Input'!$V$63,'01_Input'!$Y$63,0),IF('01_Input'!$X$63="Palier",IF(AND(AA$20&gt;='01_Input'!$V$63,AA$20&lt;'01_Input'!$W$63),'01_Input'!$Y$63,0),MAX(MIN(AA$20,'01_Input'!$W$63)-'01_Input'!$V$63,0)*'01_Input'!$Y$63))+IF('01_Input'!$AB$63="Forfait",IF(AA$20&gt;='01_Input'!$Z$63,'01_Input'!$AC$63,0),IF('01_Input'!$AB$63="Palier",IF(AND(AA$20&gt;='01_Input'!$Z$63,AA$20&lt;'01_Input'!$AA$63),'01_Input'!$AC$63,0),MAX(MIN(AA$20,'01_Input'!$AA$63)-'01_Input'!$Z$63,0)*'01_Input'!$AC$63)))))))))</f>
        <v>1900</v>
      </c>
      <c r="AB31" s="25">
        <f>IF('01_Input'!$C$63="Non",0,MIN('01_Input'!$I$63,MAX('01_Input'!$H$63,IF('01_Input'!$G$63="Résiduel vs Gestion",0,IF('01_Input'!$G$63="Taux Classe sélectionnée",Distrib_Global_Classe_Selectionnee*AB$20,IF('01_Input'!$G$63="Frais KYC (paliers de 100M€)",MAX(0,Nb_Investisseurs-Nb_KYC_Gratuites_Par_Tranche*(FLOOR(AB$20/Taille_Tranche_KYC,1)+1))*Cout_Par_KYC_Supplementaire,(IF('01_Input'!$L$63="Forfait",IF(AB$20&gt;='01_Input'!$J$63,'01_Input'!$M$63,0),IF('01_Input'!$L$63="Palier",IF(AND(AB$20&gt;='01_Input'!$J$63,AB$20&lt;'01_Input'!$K$63),'01_Input'!$M$63,0),MAX(MIN(AB$20,'01_Input'!$K$63)-'01_Input'!$J$63,0)*'01_Input'!$M$63))+IF('01_Input'!$P$63="Forfait",IF(AB$20&gt;='01_Input'!$N$63,'01_Input'!$Q$63,0),IF('01_Input'!$P$63="Palier",IF(AND(AB$20&gt;='01_Input'!$N$63,AB$20&lt;'01_Input'!$O$63),'01_Input'!$Q$63,0),MAX(MIN(AB$20,'01_Input'!$O$63)-'01_Input'!$N$63,0)*'01_Input'!$Q$63))+IF('01_Input'!$T$63="Forfait",IF(AB$20&gt;='01_Input'!$R$63,'01_Input'!$U$63,0),IF('01_Input'!$T$63="Palier",IF(AND(AB$20&gt;='01_Input'!$R$63,AB$20&lt;'01_Input'!$S$63),'01_Input'!$U$63,0),MAX(MIN(AB$20,'01_Input'!$S$63)-'01_Input'!$R$63,0)*'01_Input'!$U$63))+IF('01_Input'!$X$63="Forfait",IF(AB$20&gt;='01_Input'!$V$63,'01_Input'!$Y$63,0),IF('01_Input'!$X$63="Palier",IF(AND(AB$20&gt;='01_Input'!$V$63,AB$20&lt;'01_Input'!$W$63),'01_Input'!$Y$63,0),MAX(MIN(AB$20,'01_Input'!$W$63)-'01_Input'!$V$63,0)*'01_Input'!$Y$63))+IF('01_Input'!$AB$63="Forfait",IF(AB$20&gt;='01_Input'!$Z$63,'01_Input'!$AC$63,0),IF('01_Input'!$AB$63="Palier",IF(AND(AB$20&gt;='01_Input'!$Z$63,AB$20&lt;'01_Input'!$AA$63),'01_Input'!$AC$63,0),MAX(MIN(AB$20,'01_Input'!$AA$63)-'01_Input'!$Z$63,0)*'01_Input'!$AC$63)))))))))</f>
        <v>1900</v>
      </c>
      <c r="AC31" s="25">
        <f>IF('01_Input'!$C$63="Non",0,MIN('01_Input'!$I$63,MAX('01_Input'!$H$63,IF('01_Input'!$G$63="Résiduel vs Gestion",0,IF('01_Input'!$G$63="Taux Classe sélectionnée",Distrib_Global_Classe_Selectionnee*AC$20,IF('01_Input'!$G$63="Frais KYC (paliers de 100M€)",MAX(0,Nb_Investisseurs-Nb_KYC_Gratuites_Par_Tranche*(FLOOR(AC$20/Taille_Tranche_KYC,1)+1))*Cout_Par_KYC_Supplementaire,(IF('01_Input'!$L$63="Forfait",IF(AC$20&gt;='01_Input'!$J$63,'01_Input'!$M$63,0),IF('01_Input'!$L$63="Palier",IF(AND(AC$20&gt;='01_Input'!$J$63,AC$20&lt;'01_Input'!$K$63),'01_Input'!$M$63,0),MAX(MIN(AC$20,'01_Input'!$K$63)-'01_Input'!$J$63,0)*'01_Input'!$M$63))+IF('01_Input'!$P$63="Forfait",IF(AC$20&gt;='01_Input'!$N$63,'01_Input'!$Q$63,0),IF('01_Input'!$P$63="Palier",IF(AND(AC$20&gt;='01_Input'!$N$63,AC$20&lt;'01_Input'!$O$63),'01_Input'!$Q$63,0),MAX(MIN(AC$20,'01_Input'!$O$63)-'01_Input'!$N$63,0)*'01_Input'!$Q$63))+IF('01_Input'!$T$63="Forfait",IF(AC$20&gt;='01_Input'!$R$63,'01_Input'!$U$63,0),IF('01_Input'!$T$63="Palier",IF(AND(AC$20&gt;='01_Input'!$R$63,AC$20&lt;'01_Input'!$S$63),'01_Input'!$U$63,0),MAX(MIN(AC$20,'01_Input'!$S$63)-'01_Input'!$R$63,0)*'01_Input'!$U$63))+IF('01_Input'!$X$63="Forfait",IF(AC$20&gt;='01_Input'!$V$63,'01_Input'!$Y$63,0),IF('01_Input'!$X$63="Palier",IF(AND(AC$20&gt;='01_Input'!$V$63,AC$20&lt;'01_Input'!$W$63),'01_Input'!$Y$63,0),MAX(MIN(AC$20,'01_Input'!$W$63)-'01_Input'!$V$63,0)*'01_Input'!$Y$63))+IF('01_Input'!$AB$63="Forfait",IF(AC$20&gt;='01_Input'!$Z$63,'01_Input'!$AC$63,0),IF('01_Input'!$AB$63="Palier",IF(AND(AC$20&gt;='01_Input'!$Z$63,AC$20&lt;'01_Input'!$AA$63),'01_Input'!$AC$63,0),MAX(MIN(AC$20,'01_Input'!$AA$63)-'01_Input'!$Z$63,0)*'01_Input'!$AC$63)))))))))</f>
        <v>1900</v>
      </c>
      <c r="AD31" s="25">
        <f>IF('01_Input'!$C$63="Non",0,MIN('01_Input'!$I$63,MAX('01_Input'!$H$63,IF('01_Input'!$G$63="Résiduel vs Gestion",0,IF('01_Input'!$G$63="Taux Classe sélectionnée",Distrib_Global_Classe_Selectionnee*AD$20,IF('01_Input'!$G$63="Frais KYC (paliers de 100M€)",MAX(0,Nb_Investisseurs-Nb_KYC_Gratuites_Par_Tranche*(FLOOR(AD$20/Taille_Tranche_KYC,1)+1))*Cout_Par_KYC_Supplementaire,(IF('01_Input'!$L$63="Forfait",IF(AD$20&gt;='01_Input'!$J$63,'01_Input'!$M$63,0),IF('01_Input'!$L$63="Palier",IF(AND(AD$20&gt;='01_Input'!$J$63,AD$20&lt;'01_Input'!$K$63),'01_Input'!$M$63,0),MAX(MIN(AD$20,'01_Input'!$K$63)-'01_Input'!$J$63,0)*'01_Input'!$M$63))+IF('01_Input'!$P$63="Forfait",IF(AD$20&gt;='01_Input'!$N$63,'01_Input'!$Q$63,0),IF('01_Input'!$P$63="Palier",IF(AND(AD$20&gt;='01_Input'!$N$63,AD$20&lt;'01_Input'!$O$63),'01_Input'!$Q$63,0),MAX(MIN(AD$20,'01_Input'!$O$63)-'01_Input'!$N$63,0)*'01_Input'!$Q$63))+IF('01_Input'!$T$63="Forfait",IF(AD$20&gt;='01_Input'!$R$63,'01_Input'!$U$63,0),IF('01_Input'!$T$63="Palier",IF(AND(AD$20&gt;='01_Input'!$R$63,AD$20&lt;'01_Input'!$S$63),'01_Input'!$U$63,0),MAX(MIN(AD$20,'01_Input'!$S$63)-'01_Input'!$R$63,0)*'01_Input'!$U$63))+IF('01_Input'!$X$63="Forfait",IF(AD$20&gt;='01_Input'!$V$63,'01_Input'!$Y$63,0),IF('01_Input'!$X$63="Palier",IF(AND(AD$20&gt;='01_Input'!$V$63,AD$20&lt;'01_Input'!$W$63),'01_Input'!$Y$63,0),MAX(MIN(AD$20,'01_Input'!$W$63)-'01_Input'!$V$63,0)*'01_Input'!$Y$63))+IF('01_Input'!$AB$63="Forfait",IF(AD$20&gt;='01_Input'!$Z$63,'01_Input'!$AC$63,0),IF('01_Input'!$AB$63="Palier",IF(AND(AD$20&gt;='01_Input'!$Z$63,AD$20&lt;'01_Input'!$AA$63),'01_Input'!$AC$63,0),MAX(MIN(AD$20,'01_Input'!$AA$63)-'01_Input'!$Z$63,0)*'01_Input'!$AC$63)))))))))</f>
        <v>1900</v>
      </c>
      <c r="AE31" s="25">
        <f>IF('01_Input'!$C$63="Non",0,MIN('01_Input'!$I$63,MAX('01_Input'!$H$63,IF('01_Input'!$G$63="Résiduel vs Gestion",0,IF('01_Input'!$G$63="Taux Classe sélectionnée",Distrib_Global_Classe_Selectionnee*AE$20,IF('01_Input'!$G$63="Frais KYC (paliers de 100M€)",MAX(0,Nb_Investisseurs-Nb_KYC_Gratuites_Par_Tranche*(FLOOR(AE$20/Taille_Tranche_KYC,1)+1))*Cout_Par_KYC_Supplementaire,(IF('01_Input'!$L$63="Forfait",IF(AE$20&gt;='01_Input'!$J$63,'01_Input'!$M$63,0),IF('01_Input'!$L$63="Palier",IF(AND(AE$20&gt;='01_Input'!$J$63,AE$20&lt;'01_Input'!$K$63),'01_Input'!$M$63,0),MAX(MIN(AE$20,'01_Input'!$K$63)-'01_Input'!$J$63,0)*'01_Input'!$M$63))+IF('01_Input'!$P$63="Forfait",IF(AE$20&gt;='01_Input'!$N$63,'01_Input'!$Q$63,0),IF('01_Input'!$P$63="Palier",IF(AND(AE$20&gt;='01_Input'!$N$63,AE$20&lt;'01_Input'!$O$63),'01_Input'!$Q$63,0),MAX(MIN(AE$20,'01_Input'!$O$63)-'01_Input'!$N$63,0)*'01_Input'!$Q$63))+IF('01_Input'!$T$63="Forfait",IF(AE$20&gt;='01_Input'!$R$63,'01_Input'!$U$63,0),IF('01_Input'!$T$63="Palier",IF(AND(AE$20&gt;='01_Input'!$R$63,AE$20&lt;'01_Input'!$S$63),'01_Input'!$U$63,0),MAX(MIN(AE$20,'01_Input'!$S$63)-'01_Input'!$R$63,0)*'01_Input'!$U$63))+IF('01_Input'!$X$63="Forfait",IF(AE$20&gt;='01_Input'!$V$63,'01_Input'!$Y$63,0),IF('01_Input'!$X$63="Palier",IF(AND(AE$20&gt;='01_Input'!$V$63,AE$20&lt;'01_Input'!$W$63),'01_Input'!$Y$63,0),MAX(MIN(AE$20,'01_Input'!$W$63)-'01_Input'!$V$63,0)*'01_Input'!$Y$63))+IF('01_Input'!$AB$63="Forfait",IF(AE$20&gt;='01_Input'!$Z$63,'01_Input'!$AC$63,0),IF('01_Input'!$AB$63="Palier",IF(AND(AE$20&gt;='01_Input'!$Z$63,AE$20&lt;'01_Input'!$AA$63),'01_Input'!$AC$63,0),MAX(MIN(AE$20,'01_Input'!$AA$63)-'01_Input'!$Z$63,0)*'01_Input'!$AC$63)))))))))</f>
        <v>1900</v>
      </c>
      <c r="AF31" s="25">
        <f>IF('01_Input'!$C$63="Non",0,MIN('01_Input'!$I$63,MAX('01_Input'!$H$63,IF('01_Input'!$G$63="Résiduel vs Gestion",0,IF('01_Input'!$G$63="Taux Classe sélectionnée",Distrib_Global_Classe_Selectionnee*AF$20,IF('01_Input'!$G$63="Frais KYC (paliers de 100M€)",MAX(0,Nb_Investisseurs-Nb_KYC_Gratuites_Par_Tranche*(FLOOR(AF$20/Taille_Tranche_KYC,1)+1))*Cout_Par_KYC_Supplementaire,(IF('01_Input'!$L$63="Forfait",IF(AF$20&gt;='01_Input'!$J$63,'01_Input'!$M$63,0),IF('01_Input'!$L$63="Palier",IF(AND(AF$20&gt;='01_Input'!$J$63,AF$20&lt;'01_Input'!$K$63),'01_Input'!$M$63,0),MAX(MIN(AF$20,'01_Input'!$K$63)-'01_Input'!$J$63,0)*'01_Input'!$M$63))+IF('01_Input'!$P$63="Forfait",IF(AF$20&gt;='01_Input'!$N$63,'01_Input'!$Q$63,0),IF('01_Input'!$P$63="Palier",IF(AND(AF$20&gt;='01_Input'!$N$63,AF$20&lt;'01_Input'!$O$63),'01_Input'!$Q$63,0),MAX(MIN(AF$20,'01_Input'!$O$63)-'01_Input'!$N$63,0)*'01_Input'!$Q$63))+IF('01_Input'!$T$63="Forfait",IF(AF$20&gt;='01_Input'!$R$63,'01_Input'!$U$63,0),IF('01_Input'!$T$63="Palier",IF(AND(AF$20&gt;='01_Input'!$R$63,AF$20&lt;'01_Input'!$S$63),'01_Input'!$U$63,0),MAX(MIN(AF$20,'01_Input'!$S$63)-'01_Input'!$R$63,0)*'01_Input'!$U$63))+IF('01_Input'!$X$63="Forfait",IF(AF$20&gt;='01_Input'!$V$63,'01_Input'!$Y$63,0),IF('01_Input'!$X$63="Palier",IF(AND(AF$20&gt;='01_Input'!$V$63,AF$20&lt;'01_Input'!$W$63),'01_Input'!$Y$63,0),MAX(MIN(AF$20,'01_Input'!$W$63)-'01_Input'!$V$63,0)*'01_Input'!$Y$63))+IF('01_Input'!$AB$63="Forfait",IF(AF$20&gt;='01_Input'!$Z$63,'01_Input'!$AC$63,0),IF('01_Input'!$AB$63="Palier",IF(AND(AF$20&gt;='01_Input'!$Z$63,AF$20&lt;'01_Input'!$AA$63),'01_Input'!$AC$63,0),MAX(MIN(AF$20,'01_Input'!$AA$63)-'01_Input'!$Z$63,0)*'01_Input'!$AC$63)))))))))</f>
        <v>1900</v>
      </c>
      <c r="AG31" s="25">
        <f>IF('01_Input'!$C$63="Non",0,MIN('01_Input'!$I$63,MAX('01_Input'!$H$63,IF('01_Input'!$G$63="Résiduel vs Gestion",0,IF('01_Input'!$G$63="Taux Classe sélectionnée",Distrib_Global_Classe_Selectionnee*AG$20,IF('01_Input'!$G$63="Frais KYC (paliers de 100M€)",MAX(0,Nb_Investisseurs-Nb_KYC_Gratuites_Par_Tranche*(FLOOR(AG$20/Taille_Tranche_KYC,1)+1))*Cout_Par_KYC_Supplementaire,(IF('01_Input'!$L$63="Forfait",IF(AG$20&gt;='01_Input'!$J$63,'01_Input'!$M$63,0),IF('01_Input'!$L$63="Palier",IF(AND(AG$20&gt;='01_Input'!$J$63,AG$20&lt;'01_Input'!$K$63),'01_Input'!$M$63,0),MAX(MIN(AG$20,'01_Input'!$K$63)-'01_Input'!$J$63,0)*'01_Input'!$M$63))+IF('01_Input'!$P$63="Forfait",IF(AG$20&gt;='01_Input'!$N$63,'01_Input'!$Q$63,0),IF('01_Input'!$P$63="Palier",IF(AND(AG$20&gt;='01_Input'!$N$63,AG$20&lt;'01_Input'!$O$63),'01_Input'!$Q$63,0),MAX(MIN(AG$20,'01_Input'!$O$63)-'01_Input'!$N$63,0)*'01_Input'!$Q$63))+IF('01_Input'!$T$63="Forfait",IF(AG$20&gt;='01_Input'!$R$63,'01_Input'!$U$63,0),IF('01_Input'!$T$63="Palier",IF(AND(AG$20&gt;='01_Input'!$R$63,AG$20&lt;'01_Input'!$S$63),'01_Input'!$U$63,0),MAX(MIN(AG$20,'01_Input'!$S$63)-'01_Input'!$R$63,0)*'01_Input'!$U$63))+IF('01_Input'!$X$63="Forfait",IF(AG$20&gt;='01_Input'!$V$63,'01_Input'!$Y$63,0),IF('01_Input'!$X$63="Palier",IF(AND(AG$20&gt;='01_Input'!$V$63,AG$20&lt;'01_Input'!$W$63),'01_Input'!$Y$63,0),MAX(MIN(AG$20,'01_Input'!$W$63)-'01_Input'!$V$63,0)*'01_Input'!$Y$63))+IF('01_Input'!$AB$63="Forfait",IF(AG$20&gt;='01_Input'!$Z$63,'01_Input'!$AC$63,0),IF('01_Input'!$AB$63="Palier",IF(AND(AG$20&gt;='01_Input'!$Z$63,AG$20&lt;'01_Input'!$AA$63),'01_Input'!$AC$63,0),MAX(MIN(AG$20,'01_Input'!$AA$63)-'01_Input'!$Z$63,0)*'01_Input'!$AC$63)))))))))</f>
        <v>1900</v>
      </c>
      <c r="AH31" s="25">
        <f>IF('01_Input'!$C$63="Non",0,MIN('01_Input'!$I$63,MAX('01_Input'!$H$63,IF('01_Input'!$G$63="Résiduel vs Gestion",0,IF('01_Input'!$G$63="Taux Classe sélectionnée",Distrib_Global_Classe_Selectionnee*AH$20,IF('01_Input'!$G$63="Frais KYC (paliers de 100M€)",MAX(0,Nb_Investisseurs-Nb_KYC_Gratuites_Par_Tranche*(FLOOR(AH$20/Taille_Tranche_KYC,1)+1))*Cout_Par_KYC_Supplementaire,(IF('01_Input'!$L$63="Forfait",IF(AH$20&gt;='01_Input'!$J$63,'01_Input'!$M$63,0),IF('01_Input'!$L$63="Palier",IF(AND(AH$20&gt;='01_Input'!$J$63,AH$20&lt;'01_Input'!$K$63),'01_Input'!$M$63,0),MAX(MIN(AH$20,'01_Input'!$K$63)-'01_Input'!$J$63,0)*'01_Input'!$M$63))+IF('01_Input'!$P$63="Forfait",IF(AH$20&gt;='01_Input'!$N$63,'01_Input'!$Q$63,0),IF('01_Input'!$P$63="Palier",IF(AND(AH$20&gt;='01_Input'!$N$63,AH$20&lt;'01_Input'!$O$63),'01_Input'!$Q$63,0),MAX(MIN(AH$20,'01_Input'!$O$63)-'01_Input'!$N$63,0)*'01_Input'!$Q$63))+IF('01_Input'!$T$63="Forfait",IF(AH$20&gt;='01_Input'!$R$63,'01_Input'!$U$63,0),IF('01_Input'!$T$63="Palier",IF(AND(AH$20&gt;='01_Input'!$R$63,AH$20&lt;'01_Input'!$S$63),'01_Input'!$U$63,0),MAX(MIN(AH$20,'01_Input'!$S$63)-'01_Input'!$R$63,0)*'01_Input'!$U$63))+IF('01_Input'!$X$63="Forfait",IF(AH$20&gt;='01_Input'!$V$63,'01_Input'!$Y$63,0),IF('01_Input'!$X$63="Palier",IF(AND(AH$20&gt;='01_Input'!$V$63,AH$20&lt;'01_Input'!$W$63),'01_Input'!$Y$63,0),MAX(MIN(AH$20,'01_Input'!$W$63)-'01_Input'!$V$63,0)*'01_Input'!$Y$63))+IF('01_Input'!$AB$63="Forfait",IF(AH$20&gt;='01_Input'!$Z$63,'01_Input'!$AC$63,0),IF('01_Input'!$AB$63="Palier",IF(AND(AH$20&gt;='01_Input'!$Z$63,AH$20&lt;'01_Input'!$AA$63),'01_Input'!$AC$63,0),MAX(MIN(AH$20,'01_Input'!$AA$63)-'01_Input'!$Z$63,0)*'01_Input'!$AC$63)))))))))</f>
        <v>1900</v>
      </c>
      <c r="AI31" s="25">
        <f>IF('01_Input'!$C$63="Non",0,MIN('01_Input'!$I$63,MAX('01_Input'!$H$63,IF('01_Input'!$G$63="Résiduel vs Gestion",0,IF('01_Input'!$G$63="Taux Classe sélectionnée",Distrib_Global_Classe_Selectionnee*AI$20,IF('01_Input'!$G$63="Frais KYC (paliers de 100M€)",MAX(0,Nb_Investisseurs-Nb_KYC_Gratuites_Par_Tranche*(FLOOR(AI$20/Taille_Tranche_KYC,1)+1))*Cout_Par_KYC_Supplementaire,(IF('01_Input'!$L$63="Forfait",IF(AI$20&gt;='01_Input'!$J$63,'01_Input'!$M$63,0),IF('01_Input'!$L$63="Palier",IF(AND(AI$20&gt;='01_Input'!$J$63,AI$20&lt;'01_Input'!$K$63),'01_Input'!$M$63,0),MAX(MIN(AI$20,'01_Input'!$K$63)-'01_Input'!$J$63,0)*'01_Input'!$M$63))+IF('01_Input'!$P$63="Forfait",IF(AI$20&gt;='01_Input'!$N$63,'01_Input'!$Q$63,0),IF('01_Input'!$P$63="Palier",IF(AND(AI$20&gt;='01_Input'!$N$63,AI$20&lt;'01_Input'!$O$63),'01_Input'!$Q$63,0),MAX(MIN(AI$20,'01_Input'!$O$63)-'01_Input'!$N$63,0)*'01_Input'!$Q$63))+IF('01_Input'!$T$63="Forfait",IF(AI$20&gt;='01_Input'!$R$63,'01_Input'!$U$63,0),IF('01_Input'!$T$63="Palier",IF(AND(AI$20&gt;='01_Input'!$R$63,AI$20&lt;'01_Input'!$S$63),'01_Input'!$U$63,0),MAX(MIN(AI$20,'01_Input'!$S$63)-'01_Input'!$R$63,0)*'01_Input'!$U$63))+IF('01_Input'!$X$63="Forfait",IF(AI$20&gt;='01_Input'!$V$63,'01_Input'!$Y$63,0),IF('01_Input'!$X$63="Palier",IF(AND(AI$20&gt;='01_Input'!$V$63,AI$20&lt;'01_Input'!$W$63),'01_Input'!$Y$63,0),MAX(MIN(AI$20,'01_Input'!$W$63)-'01_Input'!$V$63,0)*'01_Input'!$Y$63))+IF('01_Input'!$AB$63="Forfait",IF(AI$20&gt;='01_Input'!$Z$63,'01_Input'!$AC$63,0),IF('01_Input'!$AB$63="Palier",IF(AND(AI$20&gt;='01_Input'!$Z$63,AI$20&lt;'01_Input'!$AA$63),'01_Input'!$AC$63,0),MAX(MIN(AI$20,'01_Input'!$AA$63)-'01_Input'!$Z$63,0)*'01_Input'!$AC$63)))))))))</f>
        <v>1900</v>
      </c>
      <c r="AJ31" s="25">
        <f>IF('01_Input'!$C$63="Non",0,MIN('01_Input'!$I$63,MAX('01_Input'!$H$63,IF('01_Input'!$G$63="Résiduel vs Gestion",0,IF('01_Input'!$G$63="Taux Classe sélectionnée",Distrib_Global_Classe_Selectionnee*AJ$20,IF('01_Input'!$G$63="Frais KYC (paliers de 100M€)",MAX(0,Nb_Investisseurs-Nb_KYC_Gratuites_Par_Tranche*(FLOOR(AJ$20/Taille_Tranche_KYC,1)+1))*Cout_Par_KYC_Supplementaire,(IF('01_Input'!$L$63="Forfait",IF(AJ$20&gt;='01_Input'!$J$63,'01_Input'!$M$63,0),IF('01_Input'!$L$63="Palier",IF(AND(AJ$20&gt;='01_Input'!$J$63,AJ$20&lt;'01_Input'!$K$63),'01_Input'!$M$63,0),MAX(MIN(AJ$20,'01_Input'!$K$63)-'01_Input'!$J$63,0)*'01_Input'!$M$63))+IF('01_Input'!$P$63="Forfait",IF(AJ$20&gt;='01_Input'!$N$63,'01_Input'!$Q$63,0),IF('01_Input'!$P$63="Palier",IF(AND(AJ$20&gt;='01_Input'!$N$63,AJ$20&lt;'01_Input'!$O$63),'01_Input'!$Q$63,0),MAX(MIN(AJ$20,'01_Input'!$O$63)-'01_Input'!$N$63,0)*'01_Input'!$Q$63))+IF('01_Input'!$T$63="Forfait",IF(AJ$20&gt;='01_Input'!$R$63,'01_Input'!$U$63,0),IF('01_Input'!$T$63="Palier",IF(AND(AJ$20&gt;='01_Input'!$R$63,AJ$20&lt;'01_Input'!$S$63),'01_Input'!$U$63,0),MAX(MIN(AJ$20,'01_Input'!$S$63)-'01_Input'!$R$63,0)*'01_Input'!$U$63))+IF('01_Input'!$X$63="Forfait",IF(AJ$20&gt;='01_Input'!$V$63,'01_Input'!$Y$63,0),IF('01_Input'!$X$63="Palier",IF(AND(AJ$20&gt;='01_Input'!$V$63,AJ$20&lt;'01_Input'!$W$63),'01_Input'!$Y$63,0),MAX(MIN(AJ$20,'01_Input'!$W$63)-'01_Input'!$V$63,0)*'01_Input'!$Y$63))+IF('01_Input'!$AB$63="Forfait",IF(AJ$20&gt;='01_Input'!$Z$63,'01_Input'!$AC$63,0),IF('01_Input'!$AB$63="Palier",IF(AND(AJ$20&gt;='01_Input'!$Z$63,AJ$20&lt;'01_Input'!$AA$63),'01_Input'!$AC$63,0),MAX(MIN(AJ$20,'01_Input'!$AA$63)-'01_Input'!$Z$63,0)*'01_Input'!$AC$63)))))))))</f>
        <v>1900</v>
      </c>
      <c r="AK31" s="25">
        <f>IF('01_Input'!$C$63="Non",0,MIN('01_Input'!$I$63,MAX('01_Input'!$H$63,IF('01_Input'!$G$63="Résiduel vs Gestion",0,IF('01_Input'!$G$63="Taux Classe sélectionnée",Distrib_Global_Classe_Selectionnee*AK$20,IF('01_Input'!$G$63="Frais KYC (paliers de 100M€)",MAX(0,Nb_Investisseurs-Nb_KYC_Gratuites_Par_Tranche*(FLOOR(AK$20/Taille_Tranche_KYC,1)+1))*Cout_Par_KYC_Supplementaire,(IF('01_Input'!$L$63="Forfait",IF(AK$20&gt;='01_Input'!$J$63,'01_Input'!$M$63,0),IF('01_Input'!$L$63="Palier",IF(AND(AK$20&gt;='01_Input'!$J$63,AK$20&lt;'01_Input'!$K$63),'01_Input'!$M$63,0),MAX(MIN(AK$20,'01_Input'!$K$63)-'01_Input'!$J$63,0)*'01_Input'!$M$63))+IF('01_Input'!$P$63="Forfait",IF(AK$20&gt;='01_Input'!$N$63,'01_Input'!$Q$63,0),IF('01_Input'!$P$63="Palier",IF(AND(AK$20&gt;='01_Input'!$N$63,AK$20&lt;'01_Input'!$O$63),'01_Input'!$Q$63,0),MAX(MIN(AK$20,'01_Input'!$O$63)-'01_Input'!$N$63,0)*'01_Input'!$Q$63))+IF('01_Input'!$T$63="Forfait",IF(AK$20&gt;='01_Input'!$R$63,'01_Input'!$U$63,0),IF('01_Input'!$T$63="Palier",IF(AND(AK$20&gt;='01_Input'!$R$63,AK$20&lt;'01_Input'!$S$63),'01_Input'!$U$63,0),MAX(MIN(AK$20,'01_Input'!$S$63)-'01_Input'!$R$63,0)*'01_Input'!$U$63))+IF('01_Input'!$X$63="Forfait",IF(AK$20&gt;='01_Input'!$V$63,'01_Input'!$Y$63,0),IF('01_Input'!$X$63="Palier",IF(AND(AK$20&gt;='01_Input'!$V$63,AK$20&lt;'01_Input'!$W$63),'01_Input'!$Y$63,0),MAX(MIN(AK$20,'01_Input'!$W$63)-'01_Input'!$V$63,0)*'01_Input'!$Y$63))+IF('01_Input'!$AB$63="Forfait",IF(AK$20&gt;='01_Input'!$Z$63,'01_Input'!$AC$63,0),IF('01_Input'!$AB$63="Palier",IF(AND(AK$20&gt;='01_Input'!$Z$63,AK$20&lt;'01_Input'!$AA$63),'01_Input'!$AC$63,0),MAX(MIN(AK$20,'01_Input'!$AA$63)-'01_Input'!$Z$63,0)*'01_Input'!$AC$63)))))))))</f>
        <v>1900</v>
      </c>
      <c r="AL31" s="25">
        <f>IF('01_Input'!$C$63="Non",0,MIN('01_Input'!$I$63,MAX('01_Input'!$H$63,IF('01_Input'!$G$63="Résiduel vs Gestion",0,IF('01_Input'!$G$63="Taux Classe sélectionnée",Distrib_Global_Classe_Selectionnee*AL$20,IF('01_Input'!$G$63="Frais KYC (paliers de 100M€)",MAX(0,Nb_Investisseurs-Nb_KYC_Gratuites_Par_Tranche*(FLOOR(AL$20/Taille_Tranche_KYC,1)+1))*Cout_Par_KYC_Supplementaire,(IF('01_Input'!$L$63="Forfait",IF(AL$20&gt;='01_Input'!$J$63,'01_Input'!$M$63,0),IF('01_Input'!$L$63="Palier",IF(AND(AL$20&gt;='01_Input'!$J$63,AL$20&lt;'01_Input'!$K$63),'01_Input'!$M$63,0),MAX(MIN(AL$20,'01_Input'!$K$63)-'01_Input'!$J$63,0)*'01_Input'!$M$63))+IF('01_Input'!$P$63="Forfait",IF(AL$20&gt;='01_Input'!$N$63,'01_Input'!$Q$63,0),IF('01_Input'!$P$63="Palier",IF(AND(AL$20&gt;='01_Input'!$N$63,AL$20&lt;'01_Input'!$O$63),'01_Input'!$Q$63,0),MAX(MIN(AL$20,'01_Input'!$O$63)-'01_Input'!$N$63,0)*'01_Input'!$Q$63))+IF('01_Input'!$T$63="Forfait",IF(AL$20&gt;='01_Input'!$R$63,'01_Input'!$U$63,0),IF('01_Input'!$T$63="Palier",IF(AND(AL$20&gt;='01_Input'!$R$63,AL$20&lt;'01_Input'!$S$63),'01_Input'!$U$63,0),MAX(MIN(AL$20,'01_Input'!$S$63)-'01_Input'!$R$63,0)*'01_Input'!$U$63))+IF('01_Input'!$X$63="Forfait",IF(AL$20&gt;='01_Input'!$V$63,'01_Input'!$Y$63,0),IF('01_Input'!$X$63="Palier",IF(AND(AL$20&gt;='01_Input'!$V$63,AL$20&lt;'01_Input'!$W$63),'01_Input'!$Y$63,0),MAX(MIN(AL$20,'01_Input'!$W$63)-'01_Input'!$V$63,0)*'01_Input'!$Y$63))+IF('01_Input'!$AB$63="Forfait",IF(AL$20&gt;='01_Input'!$Z$63,'01_Input'!$AC$63,0),IF('01_Input'!$AB$63="Palier",IF(AND(AL$20&gt;='01_Input'!$Z$63,AL$20&lt;'01_Input'!$AA$63),'01_Input'!$AC$63,0),MAX(MIN(AL$20,'01_Input'!$AA$63)-'01_Input'!$Z$63,0)*'01_Input'!$AC$63)))))))))</f>
        <v>1900</v>
      </c>
      <c r="AM31" s="25">
        <f>IF('01_Input'!$C$63="Non",0,MIN('01_Input'!$I$63,MAX('01_Input'!$H$63,IF('01_Input'!$G$63="Résiduel vs Gestion",0,IF('01_Input'!$G$63="Taux Classe sélectionnée",Distrib_Global_Classe_Selectionnee*AM$20,IF('01_Input'!$G$63="Frais KYC (paliers de 100M€)",MAX(0,Nb_Investisseurs-Nb_KYC_Gratuites_Par_Tranche*(FLOOR(AM$20/Taille_Tranche_KYC,1)+1))*Cout_Par_KYC_Supplementaire,(IF('01_Input'!$L$63="Forfait",IF(AM$20&gt;='01_Input'!$J$63,'01_Input'!$M$63,0),IF('01_Input'!$L$63="Palier",IF(AND(AM$20&gt;='01_Input'!$J$63,AM$20&lt;'01_Input'!$K$63),'01_Input'!$M$63,0),MAX(MIN(AM$20,'01_Input'!$K$63)-'01_Input'!$J$63,0)*'01_Input'!$M$63))+IF('01_Input'!$P$63="Forfait",IF(AM$20&gt;='01_Input'!$N$63,'01_Input'!$Q$63,0),IF('01_Input'!$P$63="Palier",IF(AND(AM$20&gt;='01_Input'!$N$63,AM$20&lt;'01_Input'!$O$63),'01_Input'!$Q$63,0),MAX(MIN(AM$20,'01_Input'!$O$63)-'01_Input'!$N$63,0)*'01_Input'!$Q$63))+IF('01_Input'!$T$63="Forfait",IF(AM$20&gt;='01_Input'!$R$63,'01_Input'!$U$63,0),IF('01_Input'!$T$63="Palier",IF(AND(AM$20&gt;='01_Input'!$R$63,AM$20&lt;'01_Input'!$S$63),'01_Input'!$U$63,0),MAX(MIN(AM$20,'01_Input'!$S$63)-'01_Input'!$R$63,0)*'01_Input'!$U$63))+IF('01_Input'!$X$63="Forfait",IF(AM$20&gt;='01_Input'!$V$63,'01_Input'!$Y$63,0),IF('01_Input'!$X$63="Palier",IF(AND(AM$20&gt;='01_Input'!$V$63,AM$20&lt;'01_Input'!$W$63),'01_Input'!$Y$63,0),MAX(MIN(AM$20,'01_Input'!$W$63)-'01_Input'!$V$63,0)*'01_Input'!$Y$63))+IF('01_Input'!$AB$63="Forfait",IF(AM$20&gt;='01_Input'!$Z$63,'01_Input'!$AC$63,0),IF('01_Input'!$AB$63="Palier",IF(AND(AM$20&gt;='01_Input'!$Z$63,AM$20&lt;'01_Input'!$AA$63),'01_Input'!$AC$63,0),MAX(MIN(AM$20,'01_Input'!$AA$63)-'01_Input'!$Z$63,0)*'01_Input'!$AC$63)))))))))</f>
        <v>1900</v>
      </c>
      <c r="AN31" s="25">
        <f>IF('01_Input'!$C$63="Non",0,MIN('01_Input'!$I$63,MAX('01_Input'!$H$63,IF('01_Input'!$G$63="Résiduel vs Gestion",0,IF('01_Input'!$G$63="Taux Classe sélectionnée",Distrib_Global_Classe_Selectionnee*AN$20,IF('01_Input'!$G$63="Frais KYC (paliers de 100M€)",MAX(0,Nb_Investisseurs-Nb_KYC_Gratuites_Par_Tranche*(FLOOR(AN$20/Taille_Tranche_KYC,1)+1))*Cout_Par_KYC_Supplementaire,(IF('01_Input'!$L$63="Forfait",IF(AN$20&gt;='01_Input'!$J$63,'01_Input'!$M$63,0),IF('01_Input'!$L$63="Palier",IF(AND(AN$20&gt;='01_Input'!$J$63,AN$20&lt;'01_Input'!$K$63),'01_Input'!$M$63,0),MAX(MIN(AN$20,'01_Input'!$K$63)-'01_Input'!$J$63,0)*'01_Input'!$M$63))+IF('01_Input'!$P$63="Forfait",IF(AN$20&gt;='01_Input'!$N$63,'01_Input'!$Q$63,0),IF('01_Input'!$P$63="Palier",IF(AND(AN$20&gt;='01_Input'!$N$63,AN$20&lt;'01_Input'!$O$63),'01_Input'!$Q$63,0),MAX(MIN(AN$20,'01_Input'!$O$63)-'01_Input'!$N$63,0)*'01_Input'!$Q$63))+IF('01_Input'!$T$63="Forfait",IF(AN$20&gt;='01_Input'!$R$63,'01_Input'!$U$63,0),IF('01_Input'!$T$63="Palier",IF(AND(AN$20&gt;='01_Input'!$R$63,AN$20&lt;'01_Input'!$S$63),'01_Input'!$U$63,0),MAX(MIN(AN$20,'01_Input'!$S$63)-'01_Input'!$R$63,0)*'01_Input'!$U$63))+IF('01_Input'!$X$63="Forfait",IF(AN$20&gt;='01_Input'!$V$63,'01_Input'!$Y$63,0),IF('01_Input'!$X$63="Palier",IF(AND(AN$20&gt;='01_Input'!$V$63,AN$20&lt;'01_Input'!$W$63),'01_Input'!$Y$63,0),MAX(MIN(AN$20,'01_Input'!$W$63)-'01_Input'!$V$63,0)*'01_Input'!$Y$63))+IF('01_Input'!$AB$63="Forfait",IF(AN$20&gt;='01_Input'!$Z$63,'01_Input'!$AC$63,0),IF('01_Input'!$AB$63="Palier",IF(AND(AN$20&gt;='01_Input'!$Z$63,AN$20&lt;'01_Input'!$AA$63),'01_Input'!$AC$63,0),MAX(MIN(AN$20,'01_Input'!$AA$63)-'01_Input'!$Z$63,0)*'01_Input'!$AC$63)))))))))</f>
        <v>1900</v>
      </c>
      <c r="AO31" s="25">
        <f>IF('01_Input'!$C$63="Non",0,MIN('01_Input'!$I$63,MAX('01_Input'!$H$63,IF('01_Input'!$G$63="Résiduel vs Gestion",0,IF('01_Input'!$G$63="Taux Classe sélectionnée",Distrib_Global_Classe_Selectionnee*AO$20,IF('01_Input'!$G$63="Frais KYC (paliers de 100M€)",MAX(0,Nb_Investisseurs-Nb_KYC_Gratuites_Par_Tranche*(FLOOR(AO$20/Taille_Tranche_KYC,1)+1))*Cout_Par_KYC_Supplementaire,(IF('01_Input'!$L$63="Forfait",IF(AO$20&gt;='01_Input'!$J$63,'01_Input'!$M$63,0),IF('01_Input'!$L$63="Palier",IF(AND(AO$20&gt;='01_Input'!$J$63,AO$20&lt;'01_Input'!$K$63),'01_Input'!$M$63,0),MAX(MIN(AO$20,'01_Input'!$K$63)-'01_Input'!$J$63,0)*'01_Input'!$M$63))+IF('01_Input'!$P$63="Forfait",IF(AO$20&gt;='01_Input'!$N$63,'01_Input'!$Q$63,0),IF('01_Input'!$P$63="Palier",IF(AND(AO$20&gt;='01_Input'!$N$63,AO$20&lt;'01_Input'!$O$63),'01_Input'!$Q$63,0),MAX(MIN(AO$20,'01_Input'!$O$63)-'01_Input'!$N$63,0)*'01_Input'!$Q$63))+IF('01_Input'!$T$63="Forfait",IF(AO$20&gt;='01_Input'!$R$63,'01_Input'!$U$63,0),IF('01_Input'!$T$63="Palier",IF(AND(AO$20&gt;='01_Input'!$R$63,AO$20&lt;'01_Input'!$S$63),'01_Input'!$U$63,0),MAX(MIN(AO$20,'01_Input'!$S$63)-'01_Input'!$R$63,0)*'01_Input'!$U$63))+IF('01_Input'!$X$63="Forfait",IF(AO$20&gt;='01_Input'!$V$63,'01_Input'!$Y$63,0),IF('01_Input'!$X$63="Palier",IF(AND(AO$20&gt;='01_Input'!$V$63,AO$20&lt;'01_Input'!$W$63),'01_Input'!$Y$63,0),MAX(MIN(AO$20,'01_Input'!$W$63)-'01_Input'!$V$63,0)*'01_Input'!$Y$63))+IF('01_Input'!$AB$63="Forfait",IF(AO$20&gt;='01_Input'!$Z$63,'01_Input'!$AC$63,0),IF('01_Input'!$AB$63="Palier",IF(AND(AO$20&gt;='01_Input'!$Z$63,AO$20&lt;'01_Input'!$AA$63),'01_Input'!$AC$63,0),MAX(MIN(AO$20,'01_Input'!$AA$63)-'01_Input'!$Z$63,0)*'01_Input'!$AC$63)))))))))</f>
        <v>1900</v>
      </c>
      <c r="AP31" s="25">
        <f>IF('01_Input'!$C$63="Non",0,MIN('01_Input'!$I$63,MAX('01_Input'!$H$63,IF('01_Input'!$G$63="Résiduel vs Gestion",0,IF('01_Input'!$G$63="Taux Classe sélectionnée",Distrib_Global_Classe_Selectionnee*AP$20,IF('01_Input'!$G$63="Frais KYC (paliers de 100M€)",MAX(0,Nb_Investisseurs-Nb_KYC_Gratuites_Par_Tranche*(FLOOR(AP$20/Taille_Tranche_KYC,1)+1))*Cout_Par_KYC_Supplementaire,(IF('01_Input'!$L$63="Forfait",IF(AP$20&gt;='01_Input'!$J$63,'01_Input'!$M$63,0),IF('01_Input'!$L$63="Palier",IF(AND(AP$20&gt;='01_Input'!$J$63,AP$20&lt;'01_Input'!$K$63),'01_Input'!$M$63,0),MAX(MIN(AP$20,'01_Input'!$K$63)-'01_Input'!$J$63,0)*'01_Input'!$M$63))+IF('01_Input'!$P$63="Forfait",IF(AP$20&gt;='01_Input'!$N$63,'01_Input'!$Q$63,0),IF('01_Input'!$P$63="Palier",IF(AND(AP$20&gt;='01_Input'!$N$63,AP$20&lt;'01_Input'!$O$63),'01_Input'!$Q$63,0),MAX(MIN(AP$20,'01_Input'!$O$63)-'01_Input'!$N$63,0)*'01_Input'!$Q$63))+IF('01_Input'!$T$63="Forfait",IF(AP$20&gt;='01_Input'!$R$63,'01_Input'!$U$63,0),IF('01_Input'!$T$63="Palier",IF(AND(AP$20&gt;='01_Input'!$R$63,AP$20&lt;'01_Input'!$S$63),'01_Input'!$U$63,0),MAX(MIN(AP$20,'01_Input'!$S$63)-'01_Input'!$R$63,0)*'01_Input'!$U$63))+IF('01_Input'!$X$63="Forfait",IF(AP$20&gt;='01_Input'!$V$63,'01_Input'!$Y$63,0),IF('01_Input'!$X$63="Palier",IF(AND(AP$20&gt;='01_Input'!$V$63,AP$20&lt;'01_Input'!$W$63),'01_Input'!$Y$63,0),MAX(MIN(AP$20,'01_Input'!$W$63)-'01_Input'!$V$63,0)*'01_Input'!$Y$63))+IF('01_Input'!$AB$63="Forfait",IF(AP$20&gt;='01_Input'!$Z$63,'01_Input'!$AC$63,0),IF('01_Input'!$AB$63="Palier",IF(AND(AP$20&gt;='01_Input'!$Z$63,AP$20&lt;'01_Input'!$AA$63),'01_Input'!$AC$63,0),MAX(MIN(AP$20,'01_Input'!$AA$63)-'01_Input'!$Z$63,0)*'01_Input'!$AC$63)))))))))</f>
        <v>1900</v>
      </c>
      <c r="AQ31" s="25">
        <f>IF('01_Input'!$C$63="Non",0,MIN('01_Input'!$I$63,MAX('01_Input'!$H$63,IF('01_Input'!$G$63="Résiduel vs Gestion",0,IF('01_Input'!$G$63="Taux Classe sélectionnée",Distrib_Global_Classe_Selectionnee*AQ$20,IF('01_Input'!$G$63="Frais KYC (paliers de 100M€)",MAX(0,Nb_Investisseurs-Nb_KYC_Gratuites_Par_Tranche*(FLOOR(AQ$20/Taille_Tranche_KYC,1)+1))*Cout_Par_KYC_Supplementaire,(IF('01_Input'!$L$63="Forfait",IF(AQ$20&gt;='01_Input'!$J$63,'01_Input'!$M$63,0),IF('01_Input'!$L$63="Palier",IF(AND(AQ$20&gt;='01_Input'!$J$63,AQ$20&lt;'01_Input'!$K$63),'01_Input'!$M$63,0),MAX(MIN(AQ$20,'01_Input'!$K$63)-'01_Input'!$J$63,0)*'01_Input'!$M$63))+IF('01_Input'!$P$63="Forfait",IF(AQ$20&gt;='01_Input'!$N$63,'01_Input'!$Q$63,0),IF('01_Input'!$P$63="Palier",IF(AND(AQ$20&gt;='01_Input'!$N$63,AQ$20&lt;'01_Input'!$O$63),'01_Input'!$Q$63,0),MAX(MIN(AQ$20,'01_Input'!$O$63)-'01_Input'!$N$63,0)*'01_Input'!$Q$63))+IF('01_Input'!$T$63="Forfait",IF(AQ$20&gt;='01_Input'!$R$63,'01_Input'!$U$63,0),IF('01_Input'!$T$63="Palier",IF(AND(AQ$20&gt;='01_Input'!$R$63,AQ$20&lt;'01_Input'!$S$63),'01_Input'!$U$63,0),MAX(MIN(AQ$20,'01_Input'!$S$63)-'01_Input'!$R$63,0)*'01_Input'!$U$63))+IF('01_Input'!$X$63="Forfait",IF(AQ$20&gt;='01_Input'!$V$63,'01_Input'!$Y$63,0),IF('01_Input'!$X$63="Palier",IF(AND(AQ$20&gt;='01_Input'!$V$63,AQ$20&lt;'01_Input'!$W$63),'01_Input'!$Y$63,0),MAX(MIN(AQ$20,'01_Input'!$W$63)-'01_Input'!$V$63,0)*'01_Input'!$Y$63))+IF('01_Input'!$AB$63="Forfait",IF(AQ$20&gt;='01_Input'!$Z$63,'01_Input'!$AC$63,0),IF('01_Input'!$AB$63="Palier",IF(AND(AQ$20&gt;='01_Input'!$Z$63,AQ$20&lt;'01_Input'!$AA$63),'01_Input'!$AC$63,0),MAX(MIN(AQ$20,'01_Input'!$AA$63)-'01_Input'!$Z$63,0)*'01_Input'!$AC$63)))))))))</f>
        <v>1900</v>
      </c>
      <c r="AR31" s="25">
        <f>IF('01_Input'!$C$63="Non",0,MIN('01_Input'!$I$63,MAX('01_Input'!$H$63,IF('01_Input'!$G$63="Résiduel vs Gestion",0,IF('01_Input'!$G$63="Taux Classe sélectionnée",Distrib_Global_Classe_Selectionnee*AR$20,IF('01_Input'!$G$63="Frais KYC (paliers de 100M€)",MAX(0,Nb_Investisseurs-Nb_KYC_Gratuites_Par_Tranche*(FLOOR(AR$20/Taille_Tranche_KYC,1)+1))*Cout_Par_KYC_Supplementaire,(IF('01_Input'!$L$63="Forfait",IF(AR$20&gt;='01_Input'!$J$63,'01_Input'!$M$63,0),IF('01_Input'!$L$63="Palier",IF(AND(AR$20&gt;='01_Input'!$J$63,AR$20&lt;'01_Input'!$K$63),'01_Input'!$M$63,0),MAX(MIN(AR$20,'01_Input'!$K$63)-'01_Input'!$J$63,0)*'01_Input'!$M$63))+IF('01_Input'!$P$63="Forfait",IF(AR$20&gt;='01_Input'!$N$63,'01_Input'!$Q$63,0),IF('01_Input'!$P$63="Palier",IF(AND(AR$20&gt;='01_Input'!$N$63,AR$20&lt;'01_Input'!$O$63),'01_Input'!$Q$63,0),MAX(MIN(AR$20,'01_Input'!$O$63)-'01_Input'!$N$63,0)*'01_Input'!$Q$63))+IF('01_Input'!$T$63="Forfait",IF(AR$20&gt;='01_Input'!$R$63,'01_Input'!$U$63,0),IF('01_Input'!$T$63="Palier",IF(AND(AR$20&gt;='01_Input'!$R$63,AR$20&lt;'01_Input'!$S$63),'01_Input'!$U$63,0),MAX(MIN(AR$20,'01_Input'!$S$63)-'01_Input'!$R$63,0)*'01_Input'!$U$63))+IF('01_Input'!$X$63="Forfait",IF(AR$20&gt;='01_Input'!$V$63,'01_Input'!$Y$63,0),IF('01_Input'!$X$63="Palier",IF(AND(AR$20&gt;='01_Input'!$V$63,AR$20&lt;'01_Input'!$W$63),'01_Input'!$Y$63,0),MAX(MIN(AR$20,'01_Input'!$W$63)-'01_Input'!$V$63,0)*'01_Input'!$Y$63))+IF('01_Input'!$AB$63="Forfait",IF(AR$20&gt;='01_Input'!$Z$63,'01_Input'!$AC$63,0),IF('01_Input'!$AB$63="Palier",IF(AND(AR$20&gt;='01_Input'!$Z$63,AR$20&lt;'01_Input'!$AA$63),'01_Input'!$AC$63,0),MAX(MIN(AR$20,'01_Input'!$AA$63)-'01_Input'!$Z$63,0)*'01_Input'!$AC$63)))))))))</f>
        <v>1900</v>
      </c>
      <c r="AS31" s="25">
        <f>IF('01_Input'!$C$63="Non",0,MIN('01_Input'!$I$63,MAX('01_Input'!$H$63,IF('01_Input'!$G$63="Résiduel vs Gestion",0,IF('01_Input'!$G$63="Taux Classe sélectionnée",Distrib_Global_Classe_Selectionnee*AS$20,IF('01_Input'!$G$63="Frais KYC (paliers de 100M€)",MAX(0,Nb_Investisseurs-Nb_KYC_Gratuites_Par_Tranche*(FLOOR(AS$20/Taille_Tranche_KYC,1)+1))*Cout_Par_KYC_Supplementaire,(IF('01_Input'!$L$63="Forfait",IF(AS$20&gt;='01_Input'!$J$63,'01_Input'!$M$63,0),IF('01_Input'!$L$63="Palier",IF(AND(AS$20&gt;='01_Input'!$J$63,AS$20&lt;'01_Input'!$K$63),'01_Input'!$M$63,0),MAX(MIN(AS$20,'01_Input'!$K$63)-'01_Input'!$J$63,0)*'01_Input'!$M$63))+IF('01_Input'!$P$63="Forfait",IF(AS$20&gt;='01_Input'!$N$63,'01_Input'!$Q$63,0),IF('01_Input'!$P$63="Palier",IF(AND(AS$20&gt;='01_Input'!$N$63,AS$20&lt;'01_Input'!$O$63),'01_Input'!$Q$63,0),MAX(MIN(AS$20,'01_Input'!$O$63)-'01_Input'!$N$63,0)*'01_Input'!$Q$63))+IF('01_Input'!$T$63="Forfait",IF(AS$20&gt;='01_Input'!$R$63,'01_Input'!$U$63,0),IF('01_Input'!$T$63="Palier",IF(AND(AS$20&gt;='01_Input'!$R$63,AS$20&lt;'01_Input'!$S$63),'01_Input'!$U$63,0),MAX(MIN(AS$20,'01_Input'!$S$63)-'01_Input'!$R$63,0)*'01_Input'!$U$63))+IF('01_Input'!$X$63="Forfait",IF(AS$20&gt;='01_Input'!$V$63,'01_Input'!$Y$63,0),IF('01_Input'!$X$63="Palier",IF(AND(AS$20&gt;='01_Input'!$V$63,AS$20&lt;'01_Input'!$W$63),'01_Input'!$Y$63,0),MAX(MIN(AS$20,'01_Input'!$W$63)-'01_Input'!$V$63,0)*'01_Input'!$Y$63))+IF('01_Input'!$AB$63="Forfait",IF(AS$20&gt;='01_Input'!$Z$63,'01_Input'!$AC$63,0),IF('01_Input'!$AB$63="Palier",IF(AND(AS$20&gt;='01_Input'!$Z$63,AS$20&lt;'01_Input'!$AA$63),'01_Input'!$AC$63,0),MAX(MIN(AS$20,'01_Input'!$AA$63)-'01_Input'!$Z$63,0)*'01_Input'!$AC$63)))))))))</f>
        <v>1900</v>
      </c>
      <c r="AT31" s="25">
        <f>IF('01_Input'!$C$63="Non",0,MIN('01_Input'!$I$63,MAX('01_Input'!$H$63,IF('01_Input'!$G$63="Résiduel vs Gestion",0,IF('01_Input'!$G$63="Taux Classe sélectionnée",Distrib_Global_Classe_Selectionnee*AT$20,IF('01_Input'!$G$63="Frais KYC (paliers de 100M€)",MAX(0,Nb_Investisseurs-Nb_KYC_Gratuites_Par_Tranche*(FLOOR(AT$20/Taille_Tranche_KYC,1)+1))*Cout_Par_KYC_Supplementaire,(IF('01_Input'!$L$63="Forfait",IF(AT$20&gt;='01_Input'!$J$63,'01_Input'!$M$63,0),IF('01_Input'!$L$63="Palier",IF(AND(AT$20&gt;='01_Input'!$J$63,AT$20&lt;'01_Input'!$K$63),'01_Input'!$M$63,0),MAX(MIN(AT$20,'01_Input'!$K$63)-'01_Input'!$J$63,0)*'01_Input'!$M$63))+IF('01_Input'!$P$63="Forfait",IF(AT$20&gt;='01_Input'!$N$63,'01_Input'!$Q$63,0),IF('01_Input'!$P$63="Palier",IF(AND(AT$20&gt;='01_Input'!$N$63,AT$20&lt;'01_Input'!$O$63),'01_Input'!$Q$63,0),MAX(MIN(AT$20,'01_Input'!$O$63)-'01_Input'!$N$63,0)*'01_Input'!$Q$63))+IF('01_Input'!$T$63="Forfait",IF(AT$20&gt;='01_Input'!$R$63,'01_Input'!$U$63,0),IF('01_Input'!$T$63="Palier",IF(AND(AT$20&gt;='01_Input'!$R$63,AT$20&lt;'01_Input'!$S$63),'01_Input'!$U$63,0),MAX(MIN(AT$20,'01_Input'!$S$63)-'01_Input'!$R$63,0)*'01_Input'!$U$63))+IF('01_Input'!$X$63="Forfait",IF(AT$20&gt;='01_Input'!$V$63,'01_Input'!$Y$63,0),IF('01_Input'!$X$63="Palier",IF(AND(AT$20&gt;='01_Input'!$V$63,AT$20&lt;'01_Input'!$W$63),'01_Input'!$Y$63,0),MAX(MIN(AT$20,'01_Input'!$W$63)-'01_Input'!$V$63,0)*'01_Input'!$Y$63))+IF('01_Input'!$AB$63="Forfait",IF(AT$20&gt;='01_Input'!$Z$63,'01_Input'!$AC$63,0),IF('01_Input'!$AB$63="Palier",IF(AND(AT$20&gt;='01_Input'!$Z$63,AT$20&lt;'01_Input'!$AA$63),'01_Input'!$AC$63,0),MAX(MIN(AT$20,'01_Input'!$AA$63)-'01_Input'!$Z$63,0)*'01_Input'!$AC$63)))))))))</f>
        <v>1900</v>
      </c>
      <c r="AU31" s="25">
        <f>IF('01_Input'!$C$63="Non",0,MIN('01_Input'!$I$63,MAX('01_Input'!$H$63,IF('01_Input'!$G$63="Résiduel vs Gestion",0,IF('01_Input'!$G$63="Taux Classe sélectionnée",Distrib_Global_Classe_Selectionnee*AU$20,IF('01_Input'!$G$63="Frais KYC (paliers de 100M€)",MAX(0,Nb_Investisseurs-Nb_KYC_Gratuites_Par_Tranche*(FLOOR(AU$20/Taille_Tranche_KYC,1)+1))*Cout_Par_KYC_Supplementaire,(IF('01_Input'!$L$63="Forfait",IF(AU$20&gt;='01_Input'!$J$63,'01_Input'!$M$63,0),IF('01_Input'!$L$63="Palier",IF(AND(AU$20&gt;='01_Input'!$J$63,AU$20&lt;'01_Input'!$K$63),'01_Input'!$M$63,0),MAX(MIN(AU$20,'01_Input'!$K$63)-'01_Input'!$J$63,0)*'01_Input'!$M$63))+IF('01_Input'!$P$63="Forfait",IF(AU$20&gt;='01_Input'!$N$63,'01_Input'!$Q$63,0),IF('01_Input'!$P$63="Palier",IF(AND(AU$20&gt;='01_Input'!$N$63,AU$20&lt;'01_Input'!$O$63),'01_Input'!$Q$63,0),MAX(MIN(AU$20,'01_Input'!$O$63)-'01_Input'!$N$63,0)*'01_Input'!$Q$63))+IF('01_Input'!$T$63="Forfait",IF(AU$20&gt;='01_Input'!$R$63,'01_Input'!$U$63,0),IF('01_Input'!$T$63="Palier",IF(AND(AU$20&gt;='01_Input'!$R$63,AU$20&lt;'01_Input'!$S$63),'01_Input'!$U$63,0),MAX(MIN(AU$20,'01_Input'!$S$63)-'01_Input'!$R$63,0)*'01_Input'!$U$63))+IF('01_Input'!$X$63="Forfait",IF(AU$20&gt;='01_Input'!$V$63,'01_Input'!$Y$63,0),IF('01_Input'!$X$63="Palier",IF(AND(AU$20&gt;='01_Input'!$V$63,AU$20&lt;'01_Input'!$W$63),'01_Input'!$Y$63,0),MAX(MIN(AU$20,'01_Input'!$W$63)-'01_Input'!$V$63,0)*'01_Input'!$Y$63))+IF('01_Input'!$AB$63="Forfait",IF(AU$20&gt;='01_Input'!$Z$63,'01_Input'!$AC$63,0),IF('01_Input'!$AB$63="Palier",IF(AND(AU$20&gt;='01_Input'!$Z$63,AU$20&lt;'01_Input'!$AA$63),'01_Input'!$AC$63,0),MAX(MIN(AU$20,'01_Input'!$AA$63)-'01_Input'!$Z$63,0)*'01_Input'!$AC$63)))))))))</f>
        <v>1900</v>
      </c>
      <c r="AV31" s="25">
        <f>IF('01_Input'!$C$63="Non",0,MIN('01_Input'!$I$63,MAX('01_Input'!$H$63,IF('01_Input'!$G$63="Résiduel vs Gestion",0,IF('01_Input'!$G$63="Taux Classe sélectionnée",Distrib_Global_Classe_Selectionnee*AV$20,IF('01_Input'!$G$63="Frais KYC (paliers de 100M€)",MAX(0,Nb_Investisseurs-Nb_KYC_Gratuites_Par_Tranche*(FLOOR(AV$20/Taille_Tranche_KYC,1)+1))*Cout_Par_KYC_Supplementaire,(IF('01_Input'!$L$63="Forfait",IF(AV$20&gt;='01_Input'!$J$63,'01_Input'!$M$63,0),IF('01_Input'!$L$63="Palier",IF(AND(AV$20&gt;='01_Input'!$J$63,AV$20&lt;'01_Input'!$K$63),'01_Input'!$M$63,0),MAX(MIN(AV$20,'01_Input'!$K$63)-'01_Input'!$J$63,0)*'01_Input'!$M$63))+IF('01_Input'!$P$63="Forfait",IF(AV$20&gt;='01_Input'!$N$63,'01_Input'!$Q$63,0),IF('01_Input'!$P$63="Palier",IF(AND(AV$20&gt;='01_Input'!$N$63,AV$20&lt;'01_Input'!$O$63),'01_Input'!$Q$63,0),MAX(MIN(AV$20,'01_Input'!$O$63)-'01_Input'!$N$63,0)*'01_Input'!$Q$63))+IF('01_Input'!$T$63="Forfait",IF(AV$20&gt;='01_Input'!$R$63,'01_Input'!$U$63,0),IF('01_Input'!$T$63="Palier",IF(AND(AV$20&gt;='01_Input'!$R$63,AV$20&lt;'01_Input'!$S$63),'01_Input'!$U$63,0),MAX(MIN(AV$20,'01_Input'!$S$63)-'01_Input'!$R$63,0)*'01_Input'!$U$63))+IF('01_Input'!$X$63="Forfait",IF(AV$20&gt;='01_Input'!$V$63,'01_Input'!$Y$63,0),IF('01_Input'!$X$63="Palier",IF(AND(AV$20&gt;='01_Input'!$V$63,AV$20&lt;'01_Input'!$W$63),'01_Input'!$Y$63,0),MAX(MIN(AV$20,'01_Input'!$W$63)-'01_Input'!$V$63,0)*'01_Input'!$Y$63))+IF('01_Input'!$AB$63="Forfait",IF(AV$20&gt;='01_Input'!$Z$63,'01_Input'!$AC$63,0),IF('01_Input'!$AB$63="Palier",IF(AND(AV$20&gt;='01_Input'!$Z$63,AV$20&lt;'01_Input'!$AA$63),'01_Input'!$AC$63,0),MAX(MIN(AV$20,'01_Input'!$AA$63)-'01_Input'!$Z$63,0)*'01_Input'!$AC$63)))))))))</f>
        <v>1900</v>
      </c>
      <c r="AW31" s="25">
        <f>IF('01_Input'!$C$63="Non",0,MIN('01_Input'!$I$63,MAX('01_Input'!$H$63,IF('01_Input'!$G$63="Résiduel vs Gestion",0,IF('01_Input'!$G$63="Taux Classe sélectionnée",Distrib_Global_Classe_Selectionnee*AW$20,IF('01_Input'!$G$63="Frais KYC (paliers de 100M€)",MAX(0,Nb_Investisseurs-Nb_KYC_Gratuites_Par_Tranche*(FLOOR(AW$20/Taille_Tranche_KYC,1)+1))*Cout_Par_KYC_Supplementaire,(IF('01_Input'!$L$63="Forfait",IF(AW$20&gt;='01_Input'!$J$63,'01_Input'!$M$63,0),IF('01_Input'!$L$63="Palier",IF(AND(AW$20&gt;='01_Input'!$J$63,AW$20&lt;'01_Input'!$K$63),'01_Input'!$M$63,0),MAX(MIN(AW$20,'01_Input'!$K$63)-'01_Input'!$J$63,0)*'01_Input'!$M$63))+IF('01_Input'!$P$63="Forfait",IF(AW$20&gt;='01_Input'!$N$63,'01_Input'!$Q$63,0),IF('01_Input'!$P$63="Palier",IF(AND(AW$20&gt;='01_Input'!$N$63,AW$20&lt;'01_Input'!$O$63),'01_Input'!$Q$63,0),MAX(MIN(AW$20,'01_Input'!$O$63)-'01_Input'!$N$63,0)*'01_Input'!$Q$63))+IF('01_Input'!$T$63="Forfait",IF(AW$20&gt;='01_Input'!$R$63,'01_Input'!$U$63,0),IF('01_Input'!$T$63="Palier",IF(AND(AW$20&gt;='01_Input'!$R$63,AW$20&lt;'01_Input'!$S$63),'01_Input'!$U$63,0),MAX(MIN(AW$20,'01_Input'!$S$63)-'01_Input'!$R$63,0)*'01_Input'!$U$63))+IF('01_Input'!$X$63="Forfait",IF(AW$20&gt;='01_Input'!$V$63,'01_Input'!$Y$63,0),IF('01_Input'!$X$63="Palier",IF(AND(AW$20&gt;='01_Input'!$V$63,AW$20&lt;'01_Input'!$W$63),'01_Input'!$Y$63,0),MAX(MIN(AW$20,'01_Input'!$W$63)-'01_Input'!$V$63,0)*'01_Input'!$Y$63))+IF('01_Input'!$AB$63="Forfait",IF(AW$20&gt;='01_Input'!$Z$63,'01_Input'!$AC$63,0),IF('01_Input'!$AB$63="Palier",IF(AND(AW$20&gt;='01_Input'!$Z$63,AW$20&lt;'01_Input'!$AA$63),'01_Input'!$AC$63,0),MAX(MIN(AW$20,'01_Input'!$AA$63)-'01_Input'!$Z$63,0)*'01_Input'!$AC$63)))))))))</f>
        <v>1900</v>
      </c>
      <c r="AX31" s="25">
        <f>IF('01_Input'!$C$63="Non",0,MIN('01_Input'!$I$63,MAX('01_Input'!$H$63,IF('01_Input'!$G$63="Résiduel vs Gestion",0,IF('01_Input'!$G$63="Taux Classe sélectionnée",Distrib_Global_Classe_Selectionnee*AX$20,IF('01_Input'!$G$63="Frais KYC (paliers de 100M€)",MAX(0,Nb_Investisseurs-Nb_KYC_Gratuites_Par_Tranche*(FLOOR(AX$20/Taille_Tranche_KYC,1)+1))*Cout_Par_KYC_Supplementaire,(IF('01_Input'!$L$63="Forfait",IF(AX$20&gt;='01_Input'!$J$63,'01_Input'!$M$63,0),IF('01_Input'!$L$63="Palier",IF(AND(AX$20&gt;='01_Input'!$J$63,AX$20&lt;'01_Input'!$K$63),'01_Input'!$M$63,0),MAX(MIN(AX$20,'01_Input'!$K$63)-'01_Input'!$J$63,0)*'01_Input'!$M$63))+IF('01_Input'!$P$63="Forfait",IF(AX$20&gt;='01_Input'!$N$63,'01_Input'!$Q$63,0),IF('01_Input'!$P$63="Palier",IF(AND(AX$20&gt;='01_Input'!$N$63,AX$20&lt;'01_Input'!$O$63),'01_Input'!$Q$63,0),MAX(MIN(AX$20,'01_Input'!$O$63)-'01_Input'!$N$63,0)*'01_Input'!$Q$63))+IF('01_Input'!$T$63="Forfait",IF(AX$20&gt;='01_Input'!$R$63,'01_Input'!$U$63,0),IF('01_Input'!$T$63="Palier",IF(AND(AX$20&gt;='01_Input'!$R$63,AX$20&lt;'01_Input'!$S$63),'01_Input'!$U$63,0),MAX(MIN(AX$20,'01_Input'!$S$63)-'01_Input'!$R$63,0)*'01_Input'!$U$63))+IF('01_Input'!$X$63="Forfait",IF(AX$20&gt;='01_Input'!$V$63,'01_Input'!$Y$63,0),IF('01_Input'!$X$63="Palier",IF(AND(AX$20&gt;='01_Input'!$V$63,AX$20&lt;'01_Input'!$W$63),'01_Input'!$Y$63,0),MAX(MIN(AX$20,'01_Input'!$W$63)-'01_Input'!$V$63,0)*'01_Input'!$Y$63))+IF('01_Input'!$AB$63="Forfait",IF(AX$20&gt;='01_Input'!$Z$63,'01_Input'!$AC$63,0),IF('01_Input'!$AB$63="Palier",IF(AND(AX$20&gt;='01_Input'!$Z$63,AX$20&lt;'01_Input'!$AA$63),'01_Input'!$AC$63,0),MAX(MIN(AX$20,'01_Input'!$AA$63)-'01_Input'!$Z$63,0)*'01_Input'!$AC$63)))))))))</f>
        <v>1900</v>
      </c>
      <c r="AY31" s="25">
        <f>IF('01_Input'!$C$63="Non",0,MIN('01_Input'!$I$63,MAX('01_Input'!$H$63,IF('01_Input'!$G$63="Résiduel vs Gestion",0,IF('01_Input'!$G$63="Taux Classe sélectionnée",Distrib_Global_Classe_Selectionnee*AY$20,IF('01_Input'!$G$63="Frais KYC (paliers de 100M€)",MAX(0,Nb_Investisseurs-Nb_KYC_Gratuites_Par_Tranche*(FLOOR(AY$20/Taille_Tranche_KYC,1)+1))*Cout_Par_KYC_Supplementaire,(IF('01_Input'!$L$63="Forfait",IF(AY$20&gt;='01_Input'!$J$63,'01_Input'!$M$63,0),IF('01_Input'!$L$63="Palier",IF(AND(AY$20&gt;='01_Input'!$J$63,AY$20&lt;'01_Input'!$K$63),'01_Input'!$M$63,0),MAX(MIN(AY$20,'01_Input'!$K$63)-'01_Input'!$J$63,0)*'01_Input'!$M$63))+IF('01_Input'!$P$63="Forfait",IF(AY$20&gt;='01_Input'!$N$63,'01_Input'!$Q$63,0),IF('01_Input'!$P$63="Palier",IF(AND(AY$20&gt;='01_Input'!$N$63,AY$20&lt;'01_Input'!$O$63),'01_Input'!$Q$63,0),MAX(MIN(AY$20,'01_Input'!$O$63)-'01_Input'!$N$63,0)*'01_Input'!$Q$63))+IF('01_Input'!$T$63="Forfait",IF(AY$20&gt;='01_Input'!$R$63,'01_Input'!$U$63,0),IF('01_Input'!$T$63="Palier",IF(AND(AY$20&gt;='01_Input'!$R$63,AY$20&lt;'01_Input'!$S$63),'01_Input'!$U$63,0),MAX(MIN(AY$20,'01_Input'!$S$63)-'01_Input'!$R$63,0)*'01_Input'!$U$63))+IF('01_Input'!$X$63="Forfait",IF(AY$20&gt;='01_Input'!$V$63,'01_Input'!$Y$63,0),IF('01_Input'!$X$63="Palier",IF(AND(AY$20&gt;='01_Input'!$V$63,AY$20&lt;'01_Input'!$W$63),'01_Input'!$Y$63,0),MAX(MIN(AY$20,'01_Input'!$W$63)-'01_Input'!$V$63,0)*'01_Input'!$Y$63))+IF('01_Input'!$AB$63="Forfait",IF(AY$20&gt;='01_Input'!$Z$63,'01_Input'!$AC$63,0),IF('01_Input'!$AB$63="Palier",IF(AND(AY$20&gt;='01_Input'!$Z$63,AY$20&lt;'01_Input'!$AA$63),'01_Input'!$AC$63,0),MAX(MIN(AY$20,'01_Input'!$AA$63)-'01_Input'!$Z$63,0)*'01_Input'!$AC$63)))))))))</f>
        <v>1900</v>
      </c>
      <c r="AZ31" s="25">
        <f>IF('01_Input'!$C$63="Non",0,MIN('01_Input'!$I$63,MAX('01_Input'!$H$63,IF('01_Input'!$G$63="Résiduel vs Gestion",0,IF('01_Input'!$G$63="Taux Classe sélectionnée",Distrib_Global_Classe_Selectionnee*AZ$20,IF('01_Input'!$G$63="Frais KYC (paliers de 100M€)",MAX(0,Nb_Investisseurs-Nb_KYC_Gratuites_Par_Tranche*(FLOOR(AZ$20/Taille_Tranche_KYC,1)+1))*Cout_Par_KYC_Supplementaire,(IF('01_Input'!$L$63="Forfait",IF(AZ$20&gt;='01_Input'!$J$63,'01_Input'!$M$63,0),IF('01_Input'!$L$63="Palier",IF(AND(AZ$20&gt;='01_Input'!$J$63,AZ$20&lt;'01_Input'!$K$63),'01_Input'!$M$63,0),MAX(MIN(AZ$20,'01_Input'!$K$63)-'01_Input'!$J$63,0)*'01_Input'!$M$63))+IF('01_Input'!$P$63="Forfait",IF(AZ$20&gt;='01_Input'!$N$63,'01_Input'!$Q$63,0),IF('01_Input'!$P$63="Palier",IF(AND(AZ$20&gt;='01_Input'!$N$63,AZ$20&lt;'01_Input'!$O$63),'01_Input'!$Q$63,0),MAX(MIN(AZ$20,'01_Input'!$O$63)-'01_Input'!$N$63,0)*'01_Input'!$Q$63))+IF('01_Input'!$T$63="Forfait",IF(AZ$20&gt;='01_Input'!$R$63,'01_Input'!$U$63,0),IF('01_Input'!$T$63="Palier",IF(AND(AZ$20&gt;='01_Input'!$R$63,AZ$20&lt;'01_Input'!$S$63),'01_Input'!$U$63,0),MAX(MIN(AZ$20,'01_Input'!$S$63)-'01_Input'!$R$63,0)*'01_Input'!$U$63))+IF('01_Input'!$X$63="Forfait",IF(AZ$20&gt;='01_Input'!$V$63,'01_Input'!$Y$63,0),IF('01_Input'!$X$63="Palier",IF(AND(AZ$20&gt;='01_Input'!$V$63,AZ$20&lt;'01_Input'!$W$63),'01_Input'!$Y$63,0),MAX(MIN(AZ$20,'01_Input'!$W$63)-'01_Input'!$V$63,0)*'01_Input'!$Y$63))+IF('01_Input'!$AB$63="Forfait",IF(AZ$20&gt;='01_Input'!$Z$63,'01_Input'!$AC$63,0),IF('01_Input'!$AB$63="Palier",IF(AND(AZ$20&gt;='01_Input'!$Z$63,AZ$20&lt;'01_Input'!$AA$63),'01_Input'!$AC$63,0),MAX(MIN(AZ$20,'01_Input'!$AA$63)-'01_Input'!$Z$63,0)*'01_Input'!$AC$63)))))))))</f>
        <v>1900</v>
      </c>
      <c r="BA31" s="25">
        <f>IF('01_Input'!$C$63="Non",0,MIN('01_Input'!$I$63,MAX('01_Input'!$H$63,IF('01_Input'!$G$63="Résiduel vs Gestion",0,IF('01_Input'!$G$63="Taux Classe sélectionnée",Distrib_Global_Classe_Selectionnee*BA$20,IF('01_Input'!$G$63="Frais KYC (paliers de 100M€)",MAX(0,Nb_Investisseurs-Nb_KYC_Gratuites_Par_Tranche*(FLOOR(BA$20/Taille_Tranche_KYC,1)+1))*Cout_Par_KYC_Supplementaire,(IF('01_Input'!$L$63="Forfait",IF(BA$20&gt;='01_Input'!$J$63,'01_Input'!$M$63,0),IF('01_Input'!$L$63="Palier",IF(AND(BA$20&gt;='01_Input'!$J$63,BA$20&lt;'01_Input'!$K$63),'01_Input'!$M$63,0),MAX(MIN(BA$20,'01_Input'!$K$63)-'01_Input'!$J$63,0)*'01_Input'!$M$63))+IF('01_Input'!$P$63="Forfait",IF(BA$20&gt;='01_Input'!$N$63,'01_Input'!$Q$63,0),IF('01_Input'!$P$63="Palier",IF(AND(BA$20&gt;='01_Input'!$N$63,BA$20&lt;'01_Input'!$O$63),'01_Input'!$Q$63,0),MAX(MIN(BA$20,'01_Input'!$O$63)-'01_Input'!$N$63,0)*'01_Input'!$Q$63))+IF('01_Input'!$T$63="Forfait",IF(BA$20&gt;='01_Input'!$R$63,'01_Input'!$U$63,0),IF('01_Input'!$T$63="Palier",IF(AND(BA$20&gt;='01_Input'!$R$63,BA$20&lt;'01_Input'!$S$63),'01_Input'!$U$63,0),MAX(MIN(BA$20,'01_Input'!$S$63)-'01_Input'!$R$63,0)*'01_Input'!$U$63))+IF('01_Input'!$X$63="Forfait",IF(BA$20&gt;='01_Input'!$V$63,'01_Input'!$Y$63,0),IF('01_Input'!$X$63="Palier",IF(AND(BA$20&gt;='01_Input'!$V$63,BA$20&lt;'01_Input'!$W$63),'01_Input'!$Y$63,0),MAX(MIN(BA$20,'01_Input'!$W$63)-'01_Input'!$V$63,0)*'01_Input'!$Y$63))+IF('01_Input'!$AB$63="Forfait",IF(BA$20&gt;='01_Input'!$Z$63,'01_Input'!$AC$63,0),IF('01_Input'!$AB$63="Palier",IF(AND(BA$20&gt;='01_Input'!$Z$63,BA$20&lt;'01_Input'!$AA$63),'01_Input'!$AC$63,0),MAX(MIN(BA$20,'01_Input'!$AA$63)-'01_Input'!$Z$63,0)*'01_Input'!$AC$63)))))))))</f>
        <v>1900</v>
      </c>
      <c r="BB31" s="25">
        <f>IF('01_Input'!$C$63="Non",0,MIN('01_Input'!$I$63,MAX('01_Input'!$H$63,IF('01_Input'!$G$63="Résiduel vs Gestion",0,IF('01_Input'!$G$63="Taux Classe sélectionnée",Distrib_Global_Classe_Selectionnee*BB$20,IF('01_Input'!$G$63="Frais KYC (paliers de 100M€)",MAX(0,Nb_Investisseurs-Nb_KYC_Gratuites_Par_Tranche*(FLOOR(BB$20/Taille_Tranche_KYC,1)+1))*Cout_Par_KYC_Supplementaire,(IF('01_Input'!$L$63="Forfait",IF(BB$20&gt;='01_Input'!$J$63,'01_Input'!$M$63,0),IF('01_Input'!$L$63="Palier",IF(AND(BB$20&gt;='01_Input'!$J$63,BB$20&lt;'01_Input'!$K$63),'01_Input'!$M$63,0),MAX(MIN(BB$20,'01_Input'!$K$63)-'01_Input'!$J$63,0)*'01_Input'!$M$63))+IF('01_Input'!$P$63="Forfait",IF(BB$20&gt;='01_Input'!$N$63,'01_Input'!$Q$63,0),IF('01_Input'!$P$63="Palier",IF(AND(BB$20&gt;='01_Input'!$N$63,BB$20&lt;'01_Input'!$O$63),'01_Input'!$Q$63,0),MAX(MIN(BB$20,'01_Input'!$O$63)-'01_Input'!$N$63,0)*'01_Input'!$Q$63))+IF('01_Input'!$T$63="Forfait",IF(BB$20&gt;='01_Input'!$R$63,'01_Input'!$U$63,0),IF('01_Input'!$T$63="Palier",IF(AND(BB$20&gt;='01_Input'!$R$63,BB$20&lt;'01_Input'!$S$63),'01_Input'!$U$63,0),MAX(MIN(BB$20,'01_Input'!$S$63)-'01_Input'!$R$63,0)*'01_Input'!$U$63))+IF('01_Input'!$X$63="Forfait",IF(BB$20&gt;='01_Input'!$V$63,'01_Input'!$Y$63,0),IF('01_Input'!$X$63="Palier",IF(AND(BB$20&gt;='01_Input'!$V$63,BB$20&lt;'01_Input'!$W$63),'01_Input'!$Y$63,0),MAX(MIN(BB$20,'01_Input'!$W$63)-'01_Input'!$V$63,0)*'01_Input'!$Y$63))+IF('01_Input'!$AB$63="Forfait",IF(BB$20&gt;='01_Input'!$Z$63,'01_Input'!$AC$63,0),IF('01_Input'!$AB$63="Palier",IF(AND(BB$20&gt;='01_Input'!$Z$63,BB$20&lt;'01_Input'!$AA$63),'01_Input'!$AC$63,0),MAX(MIN(BB$20,'01_Input'!$AA$63)-'01_Input'!$Z$63,0)*'01_Input'!$AC$63)))))))))</f>
        <v>1900</v>
      </c>
      <c r="BC31" s="25">
        <f>IF('01_Input'!$C$63="Non",0,MIN('01_Input'!$I$63,MAX('01_Input'!$H$63,IF('01_Input'!$G$63="Résiduel vs Gestion",0,IF('01_Input'!$G$63="Taux Classe sélectionnée",Distrib_Global_Classe_Selectionnee*BC$20,IF('01_Input'!$G$63="Frais KYC (paliers de 100M€)",MAX(0,Nb_Investisseurs-Nb_KYC_Gratuites_Par_Tranche*(FLOOR(BC$20/Taille_Tranche_KYC,1)+1))*Cout_Par_KYC_Supplementaire,(IF('01_Input'!$L$63="Forfait",IF(BC$20&gt;='01_Input'!$J$63,'01_Input'!$M$63,0),IF('01_Input'!$L$63="Palier",IF(AND(BC$20&gt;='01_Input'!$J$63,BC$20&lt;'01_Input'!$K$63),'01_Input'!$M$63,0),MAX(MIN(BC$20,'01_Input'!$K$63)-'01_Input'!$J$63,0)*'01_Input'!$M$63))+IF('01_Input'!$P$63="Forfait",IF(BC$20&gt;='01_Input'!$N$63,'01_Input'!$Q$63,0),IF('01_Input'!$P$63="Palier",IF(AND(BC$20&gt;='01_Input'!$N$63,BC$20&lt;'01_Input'!$O$63),'01_Input'!$Q$63,0),MAX(MIN(BC$20,'01_Input'!$O$63)-'01_Input'!$N$63,0)*'01_Input'!$Q$63))+IF('01_Input'!$T$63="Forfait",IF(BC$20&gt;='01_Input'!$R$63,'01_Input'!$U$63,0),IF('01_Input'!$T$63="Palier",IF(AND(BC$20&gt;='01_Input'!$R$63,BC$20&lt;'01_Input'!$S$63),'01_Input'!$U$63,0),MAX(MIN(BC$20,'01_Input'!$S$63)-'01_Input'!$R$63,0)*'01_Input'!$U$63))+IF('01_Input'!$X$63="Forfait",IF(BC$20&gt;='01_Input'!$V$63,'01_Input'!$Y$63,0),IF('01_Input'!$X$63="Palier",IF(AND(BC$20&gt;='01_Input'!$V$63,BC$20&lt;'01_Input'!$W$63),'01_Input'!$Y$63,0),MAX(MIN(BC$20,'01_Input'!$W$63)-'01_Input'!$V$63,0)*'01_Input'!$Y$63))+IF('01_Input'!$AB$63="Forfait",IF(BC$20&gt;='01_Input'!$Z$63,'01_Input'!$AC$63,0),IF('01_Input'!$AB$63="Palier",IF(AND(BC$20&gt;='01_Input'!$Z$63,BC$20&lt;'01_Input'!$AA$63),'01_Input'!$AC$63,0),MAX(MIN(BC$20,'01_Input'!$AA$63)-'01_Input'!$Z$63,0)*'01_Input'!$AC$63)))))))))</f>
        <v>1900</v>
      </c>
      <c r="BD31" s="25">
        <f>IF('01_Input'!$C$63="Non",0,MIN('01_Input'!$I$63,MAX('01_Input'!$H$63,IF('01_Input'!$G$63="Résiduel vs Gestion",0,IF('01_Input'!$G$63="Taux Classe sélectionnée",Distrib_Global_Classe_Selectionnee*BD$20,IF('01_Input'!$G$63="Frais KYC (paliers de 100M€)",MAX(0,Nb_Investisseurs-Nb_KYC_Gratuites_Par_Tranche*(FLOOR(BD$20/Taille_Tranche_KYC,1)+1))*Cout_Par_KYC_Supplementaire,(IF('01_Input'!$L$63="Forfait",IF(BD$20&gt;='01_Input'!$J$63,'01_Input'!$M$63,0),IF('01_Input'!$L$63="Palier",IF(AND(BD$20&gt;='01_Input'!$J$63,BD$20&lt;'01_Input'!$K$63),'01_Input'!$M$63,0),MAX(MIN(BD$20,'01_Input'!$K$63)-'01_Input'!$J$63,0)*'01_Input'!$M$63))+IF('01_Input'!$P$63="Forfait",IF(BD$20&gt;='01_Input'!$N$63,'01_Input'!$Q$63,0),IF('01_Input'!$P$63="Palier",IF(AND(BD$20&gt;='01_Input'!$N$63,BD$20&lt;'01_Input'!$O$63),'01_Input'!$Q$63,0),MAX(MIN(BD$20,'01_Input'!$O$63)-'01_Input'!$N$63,0)*'01_Input'!$Q$63))+IF('01_Input'!$T$63="Forfait",IF(BD$20&gt;='01_Input'!$R$63,'01_Input'!$U$63,0),IF('01_Input'!$T$63="Palier",IF(AND(BD$20&gt;='01_Input'!$R$63,BD$20&lt;'01_Input'!$S$63),'01_Input'!$U$63,0),MAX(MIN(BD$20,'01_Input'!$S$63)-'01_Input'!$R$63,0)*'01_Input'!$U$63))+IF('01_Input'!$X$63="Forfait",IF(BD$20&gt;='01_Input'!$V$63,'01_Input'!$Y$63,0),IF('01_Input'!$X$63="Palier",IF(AND(BD$20&gt;='01_Input'!$V$63,BD$20&lt;'01_Input'!$W$63),'01_Input'!$Y$63,0),MAX(MIN(BD$20,'01_Input'!$W$63)-'01_Input'!$V$63,0)*'01_Input'!$Y$63))+IF('01_Input'!$AB$63="Forfait",IF(BD$20&gt;='01_Input'!$Z$63,'01_Input'!$AC$63,0),IF('01_Input'!$AB$63="Palier",IF(AND(BD$20&gt;='01_Input'!$Z$63,BD$20&lt;'01_Input'!$AA$63),'01_Input'!$AC$63,0),MAX(MIN(BD$20,'01_Input'!$AA$63)-'01_Input'!$Z$63,0)*'01_Input'!$AC$63)))))))))</f>
        <v>1900</v>
      </c>
      <c r="BE31" s="25">
        <f>IF('01_Input'!$C$63="Non",0,MIN('01_Input'!$I$63,MAX('01_Input'!$H$63,IF('01_Input'!$G$63="Résiduel vs Gestion",0,IF('01_Input'!$G$63="Taux Classe sélectionnée",Distrib_Global_Classe_Selectionnee*BE$20,IF('01_Input'!$G$63="Frais KYC (paliers de 100M€)",MAX(0,Nb_Investisseurs-Nb_KYC_Gratuites_Par_Tranche*(FLOOR(BE$20/Taille_Tranche_KYC,1)+1))*Cout_Par_KYC_Supplementaire,(IF('01_Input'!$L$63="Forfait",IF(BE$20&gt;='01_Input'!$J$63,'01_Input'!$M$63,0),IF('01_Input'!$L$63="Palier",IF(AND(BE$20&gt;='01_Input'!$J$63,BE$20&lt;'01_Input'!$K$63),'01_Input'!$M$63,0),MAX(MIN(BE$20,'01_Input'!$K$63)-'01_Input'!$J$63,0)*'01_Input'!$M$63))+IF('01_Input'!$P$63="Forfait",IF(BE$20&gt;='01_Input'!$N$63,'01_Input'!$Q$63,0),IF('01_Input'!$P$63="Palier",IF(AND(BE$20&gt;='01_Input'!$N$63,BE$20&lt;'01_Input'!$O$63),'01_Input'!$Q$63,0),MAX(MIN(BE$20,'01_Input'!$O$63)-'01_Input'!$N$63,0)*'01_Input'!$Q$63))+IF('01_Input'!$T$63="Forfait",IF(BE$20&gt;='01_Input'!$R$63,'01_Input'!$U$63,0),IF('01_Input'!$T$63="Palier",IF(AND(BE$20&gt;='01_Input'!$R$63,BE$20&lt;'01_Input'!$S$63),'01_Input'!$U$63,0),MAX(MIN(BE$20,'01_Input'!$S$63)-'01_Input'!$R$63,0)*'01_Input'!$U$63))+IF('01_Input'!$X$63="Forfait",IF(BE$20&gt;='01_Input'!$V$63,'01_Input'!$Y$63,0),IF('01_Input'!$X$63="Palier",IF(AND(BE$20&gt;='01_Input'!$V$63,BE$20&lt;'01_Input'!$W$63),'01_Input'!$Y$63,0),MAX(MIN(BE$20,'01_Input'!$W$63)-'01_Input'!$V$63,0)*'01_Input'!$Y$63))+IF('01_Input'!$AB$63="Forfait",IF(BE$20&gt;='01_Input'!$Z$63,'01_Input'!$AC$63,0),IF('01_Input'!$AB$63="Palier",IF(AND(BE$20&gt;='01_Input'!$Z$63,BE$20&lt;'01_Input'!$AA$63),'01_Input'!$AC$63,0),MAX(MIN(BE$20,'01_Input'!$AA$63)-'01_Input'!$Z$63,0)*'01_Input'!$AC$63)))))))))</f>
        <v>1900</v>
      </c>
      <c r="BF31" s="25">
        <f>IF('01_Input'!$C$63="Non",0,MIN('01_Input'!$I$63,MAX('01_Input'!$H$63,IF('01_Input'!$G$63="Résiduel vs Gestion",0,IF('01_Input'!$G$63="Taux Classe sélectionnée",Distrib_Global_Classe_Selectionnee*BF$20,IF('01_Input'!$G$63="Frais KYC (paliers de 100M€)",MAX(0,Nb_Investisseurs-Nb_KYC_Gratuites_Par_Tranche*(FLOOR(BF$20/Taille_Tranche_KYC,1)+1))*Cout_Par_KYC_Supplementaire,(IF('01_Input'!$L$63="Forfait",IF(BF$20&gt;='01_Input'!$J$63,'01_Input'!$M$63,0),IF('01_Input'!$L$63="Palier",IF(AND(BF$20&gt;='01_Input'!$J$63,BF$20&lt;'01_Input'!$K$63),'01_Input'!$M$63,0),MAX(MIN(BF$20,'01_Input'!$K$63)-'01_Input'!$J$63,0)*'01_Input'!$M$63))+IF('01_Input'!$P$63="Forfait",IF(BF$20&gt;='01_Input'!$N$63,'01_Input'!$Q$63,0),IF('01_Input'!$P$63="Palier",IF(AND(BF$20&gt;='01_Input'!$N$63,BF$20&lt;'01_Input'!$O$63),'01_Input'!$Q$63,0),MAX(MIN(BF$20,'01_Input'!$O$63)-'01_Input'!$N$63,0)*'01_Input'!$Q$63))+IF('01_Input'!$T$63="Forfait",IF(BF$20&gt;='01_Input'!$R$63,'01_Input'!$U$63,0),IF('01_Input'!$T$63="Palier",IF(AND(BF$20&gt;='01_Input'!$R$63,BF$20&lt;'01_Input'!$S$63),'01_Input'!$U$63,0),MAX(MIN(BF$20,'01_Input'!$S$63)-'01_Input'!$R$63,0)*'01_Input'!$U$63))+IF('01_Input'!$X$63="Forfait",IF(BF$20&gt;='01_Input'!$V$63,'01_Input'!$Y$63,0),IF('01_Input'!$X$63="Palier",IF(AND(BF$20&gt;='01_Input'!$V$63,BF$20&lt;'01_Input'!$W$63),'01_Input'!$Y$63,0),MAX(MIN(BF$20,'01_Input'!$W$63)-'01_Input'!$V$63,0)*'01_Input'!$Y$63))+IF('01_Input'!$AB$63="Forfait",IF(BF$20&gt;='01_Input'!$Z$63,'01_Input'!$AC$63,0),IF('01_Input'!$AB$63="Palier",IF(AND(BF$20&gt;='01_Input'!$Z$63,BF$20&lt;'01_Input'!$AA$63),'01_Input'!$AC$63,0),MAX(MIN(BF$20,'01_Input'!$AA$63)-'01_Input'!$Z$63,0)*'01_Input'!$AC$63)))))))))</f>
        <v>1900</v>
      </c>
      <c r="BG31" s="25">
        <f>IF('01_Input'!$C$63="Non",0,MIN('01_Input'!$I$63,MAX('01_Input'!$H$63,IF('01_Input'!$G$63="Résiduel vs Gestion",0,IF('01_Input'!$G$63="Taux Classe sélectionnée",Distrib_Global_Classe_Selectionnee*BG$20,IF('01_Input'!$G$63="Frais KYC (paliers de 100M€)",MAX(0,Nb_Investisseurs-Nb_KYC_Gratuites_Par_Tranche*(FLOOR(BG$20/Taille_Tranche_KYC,1)+1))*Cout_Par_KYC_Supplementaire,(IF('01_Input'!$L$63="Forfait",IF(BG$20&gt;='01_Input'!$J$63,'01_Input'!$M$63,0),IF('01_Input'!$L$63="Palier",IF(AND(BG$20&gt;='01_Input'!$J$63,BG$20&lt;'01_Input'!$K$63),'01_Input'!$M$63,0),MAX(MIN(BG$20,'01_Input'!$K$63)-'01_Input'!$J$63,0)*'01_Input'!$M$63))+IF('01_Input'!$P$63="Forfait",IF(BG$20&gt;='01_Input'!$N$63,'01_Input'!$Q$63,0),IF('01_Input'!$P$63="Palier",IF(AND(BG$20&gt;='01_Input'!$N$63,BG$20&lt;'01_Input'!$O$63),'01_Input'!$Q$63,0),MAX(MIN(BG$20,'01_Input'!$O$63)-'01_Input'!$N$63,0)*'01_Input'!$Q$63))+IF('01_Input'!$T$63="Forfait",IF(BG$20&gt;='01_Input'!$R$63,'01_Input'!$U$63,0),IF('01_Input'!$T$63="Palier",IF(AND(BG$20&gt;='01_Input'!$R$63,BG$20&lt;'01_Input'!$S$63),'01_Input'!$U$63,0),MAX(MIN(BG$20,'01_Input'!$S$63)-'01_Input'!$R$63,0)*'01_Input'!$U$63))+IF('01_Input'!$X$63="Forfait",IF(BG$20&gt;='01_Input'!$V$63,'01_Input'!$Y$63,0),IF('01_Input'!$X$63="Palier",IF(AND(BG$20&gt;='01_Input'!$V$63,BG$20&lt;'01_Input'!$W$63),'01_Input'!$Y$63,0),MAX(MIN(BG$20,'01_Input'!$W$63)-'01_Input'!$V$63,0)*'01_Input'!$Y$63))+IF('01_Input'!$AB$63="Forfait",IF(BG$20&gt;='01_Input'!$Z$63,'01_Input'!$AC$63,0),IF('01_Input'!$AB$63="Palier",IF(AND(BG$20&gt;='01_Input'!$Z$63,BG$20&lt;'01_Input'!$AA$63),'01_Input'!$AC$63,0),MAX(MIN(BG$20,'01_Input'!$AA$63)-'01_Input'!$Z$63,0)*'01_Input'!$AC$63)))))))))</f>
        <v>1900</v>
      </c>
      <c r="BH31" s="25">
        <f>IF('01_Input'!$C$63="Non",0,MIN('01_Input'!$I$63,MAX('01_Input'!$H$63,IF('01_Input'!$G$63="Résiduel vs Gestion",0,IF('01_Input'!$G$63="Taux Classe sélectionnée",Distrib_Global_Classe_Selectionnee*BH$20,IF('01_Input'!$G$63="Frais KYC (paliers de 100M€)",MAX(0,Nb_Investisseurs-Nb_KYC_Gratuites_Par_Tranche*(FLOOR(BH$20/Taille_Tranche_KYC,1)+1))*Cout_Par_KYC_Supplementaire,(IF('01_Input'!$L$63="Forfait",IF(BH$20&gt;='01_Input'!$J$63,'01_Input'!$M$63,0),IF('01_Input'!$L$63="Palier",IF(AND(BH$20&gt;='01_Input'!$J$63,BH$20&lt;'01_Input'!$K$63),'01_Input'!$M$63,0),MAX(MIN(BH$20,'01_Input'!$K$63)-'01_Input'!$J$63,0)*'01_Input'!$M$63))+IF('01_Input'!$P$63="Forfait",IF(BH$20&gt;='01_Input'!$N$63,'01_Input'!$Q$63,0),IF('01_Input'!$P$63="Palier",IF(AND(BH$20&gt;='01_Input'!$N$63,BH$20&lt;'01_Input'!$O$63),'01_Input'!$Q$63,0),MAX(MIN(BH$20,'01_Input'!$O$63)-'01_Input'!$N$63,0)*'01_Input'!$Q$63))+IF('01_Input'!$T$63="Forfait",IF(BH$20&gt;='01_Input'!$R$63,'01_Input'!$U$63,0),IF('01_Input'!$T$63="Palier",IF(AND(BH$20&gt;='01_Input'!$R$63,BH$20&lt;'01_Input'!$S$63),'01_Input'!$U$63,0),MAX(MIN(BH$20,'01_Input'!$S$63)-'01_Input'!$R$63,0)*'01_Input'!$U$63))+IF('01_Input'!$X$63="Forfait",IF(BH$20&gt;='01_Input'!$V$63,'01_Input'!$Y$63,0),IF('01_Input'!$X$63="Palier",IF(AND(BH$20&gt;='01_Input'!$V$63,BH$20&lt;'01_Input'!$W$63),'01_Input'!$Y$63,0),MAX(MIN(BH$20,'01_Input'!$W$63)-'01_Input'!$V$63,0)*'01_Input'!$Y$63))+IF('01_Input'!$AB$63="Forfait",IF(BH$20&gt;='01_Input'!$Z$63,'01_Input'!$AC$63,0),IF('01_Input'!$AB$63="Palier",IF(AND(BH$20&gt;='01_Input'!$Z$63,BH$20&lt;'01_Input'!$AA$63),'01_Input'!$AC$63,0),MAX(MIN(BH$20,'01_Input'!$AA$63)-'01_Input'!$Z$63,0)*'01_Input'!$AC$63)))))))))</f>
        <v>1900</v>
      </c>
      <c r="BI31" s="25">
        <f>IF('01_Input'!$C$63="Non",0,MIN('01_Input'!$I$63,MAX('01_Input'!$H$63,IF('01_Input'!$G$63="Résiduel vs Gestion",0,IF('01_Input'!$G$63="Taux Classe sélectionnée",Distrib_Global_Classe_Selectionnee*BI$20,IF('01_Input'!$G$63="Frais KYC (paliers de 100M€)",MAX(0,Nb_Investisseurs-Nb_KYC_Gratuites_Par_Tranche*(FLOOR(BI$20/Taille_Tranche_KYC,1)+1))*Cout_Par_KYC_Supplementaire,(IF('01_Input'!$L$63="Forfait",IF(BI$20&gt;='01_Input'!$J$63,'01_Input'!$M$63,0),IF('01_Input'!$L$63="Palier",IF(AND(BI$20&gt;='01_Input'!$J$63,BI$20&lt;'01_Input'!$K$63),'01_Input'!$M$63,0),MAX(MIN(BI$20,'01_Input'!$K$63)-'01_Input'!$J$63,0)*'01_Input'!$M$63))+IF('01_Input'!$P$63="Forfait",IF(BI$20&gt;='01_Input'!$N$63,'01_Input'!$Q$63,0),IF('01_Input'!$P$63="Palier",IF(AND(BI$20&gt;='01_Input'!$N$63,BI$20&lt;'01_Input'!$O$63),'01_Input'!$Q$63,0),MAX(MIN(BI$20,'01_Input'!$O$63)-'01_Input'!$N$63,0)*'01_Input'!$Q$63))+IF('01_Input'!$T$63="Forfait",IF(BI$20&gt;='01_Input'!$R$63,'01_Input'!$U$63,0),IF('01_Input'!$T$63="Palier",IF(AND(BI$20&gt;='01_Input'!$R$63,BI$20&lt;'01_Input'!$S$63),'01_Input'!$U$63,0),MAX(MIN(BI$20,'01_Input'!$S$63)-'01_Input'!$R$63,0)*'01_Input'!$U$63))+IF('01_Input'!$X$63="Forfait",IF(BI$20&gt;='01_Input'!$V$63,'01_Input'!$Y$63,0),IF('01_Input'!$X$63="Palier",IF(AND(BI$20&gt;='01_Input'!$V$63,BI$20&lt;'01_Input'!$W$63),'01_Input'!$Y$63,0),MAX(MIN(BI$20,'01_Input'!$W$63)-'01_Input'!$V$63,0)*'01_Input'!$Y$63))+IF('01_Input'!$AB$63="Forfait",IF(BI$20&gt;='01_Input'!$Z$63,'01_Input'!$AC$63,0),IF('01_Input'!$AB$63="Palier",IF(AND(BI$20&gt;='01_Input'!$Z$63,BI$20&lt;'01_Input'!$AA$63),'01_Input'!$AC$63,0),MAX(MIN(BI$20,'01_Input'!$AA$63)-'01_Input'!$Z$63,0)*'01_Input'!$AC$63)))))))))</f>
        <v>1900</v>
      </c>
      <c r="BJ31" s="25">
        <f>IF('01_Input'!$C$63="Non",0,MIN('01_Input'!$I$63,MAX('01_Input'!$H$63,IF('01_Input'!$G$63="Résiduel vs Gestion",0,IF('01_Input'!$G$63="Taux Classe sélectionnée",Distrib_Global_Classe_Selectionnee*BJ$20,IF('01_Input'!$G$63="Frais KYC (paliers de 100M€)",MAX(0,Nb_Investisseurs-Nb_KYC_Gratuites_Par_Tranche*(FLOOR(BJ$20/Taille_Tranche_KYC,1)+1))*Cout_Par_KYC_Supplementaire,(IF('01_Input'!$L$63="Forfait",IF(BJ$20&gt;='01_Input'!$J$63,'01_Input'!$M$63,0),IF('01_Input'!$L$63="Palier",IF(AND(BJ$20&gt;='01_Input'!$J$63,BJ$20&lt;'01_Input'!$K$63),'01_Input'!$M$63,0),MAX(MIN(BJ$20,'01_Input'!$K$63)-'01_Input'!$J$63,0)*'01_Input'!$M$63))+IF('01_Input'!$P$63="Forfait",IF(BJ$20&gt;='01_Input'!$N$63,'01_Input'!$Q$63,0),IF('01_Input'!$P$63="Palier",IF(AND(BJ$20&gt;='01_Input'!$N$63,BJ$20&lt;'01_Input'!$O$63),'01_Input'!$Q$63,0),MAX(MIN(BJ$20,'01_Input'!$O$63)-'01_Input'!$N$63,0)*'01_Input'!$Q$63))+IF('01_Input'!$T$63="Forfait",IF(BJ$20&gt;='01_Input'!$R$63,'01_Input'!$U$63,0),IF('01_Input'!$T$63="Palier",IF(AND(BJ$20&gt;='01_Input'!$R$63,BJ$20&lt;'01_Input'!$S$63),'01_Input'!$U$63,0),MAX(MIN(BJ$20,'01_Input'!$S$63)-'01_Input'!$R$63,0)*'01_Input'!$U$63))+IF('01_Input'!$X$63="Forfait",IF(BJ$20&gt;='01_Input'!$V$63,'01_Input'!$Y$63,0),IF('01_Input'!$X$63="Palier",IF(AND(BJ$20&gt;='01_Input'!$V$63,BJ$20&lt;'01_Input'!$W$63),'01_Input'!$Y$63,0),MAX(MIN(BJ$20,'01_Input'!$W$63)-'01_Input'!$V$63,0)*'01_Input'!$Y$63))+IF('01_Input'!$AB$63="Forfait",IF(BJ$20&gt;='01_Input'!$Z$63,'01_Input'!$AC$63,0),IF('01_Input'!$AB$63="Palier",IF(AND(BJ$20&gt;='01_Input'!$Z$63,BJ$20&lt;'01_Input'!$AA$63),'01_Input'!$AC$63,0),MAX(MIN(BJ$20,'01_Input'!$AA$63)-'01_Input'!$Z$63,0)*'01_Input'!$AC$63)))))))))</f>
        <v>1900</v>
      </c>
      <c r="BK31" s="25">
        <f>IF('01_Input'!$C$63="Non",0,MIN('01_Input'!$I$63,MAX('01_Input'!$H$63,IF('01_Input'!$G$63="Résiduel vs Gestion",0,IF('01_Input'!$G$63="Taux Classe sélectionnée",Distrib_Global_Classe_Selectionnee*BK$20,IF('01_Input'!$G$63="Frais KYC (paliers de 100M€)",MAX(0,Nb_Investisseurs-Nb_KYC_Gratuites_Par_Tranche*(FLOOR(BK$20/Taille_Tranche_KYC,1)+1))*Cout_Par_KYC_Supplementaire,(IF('01_Input'!$L$63="Forfait",IF(BK$20&gt;='01_Input'!$J$63,'01_Input'!$M$63,0),IF('01_Input'!$L$63="Palier",IF(AND(BK$20&gt;='01_Input'!$J$63,BK$20&lt;'01_Input'!$K$63),'01_Input'!$M$63,0),MAX(MIN(BK$20,'01_Input'!$K$63)-'01_Input'!$J$63,0)*'01_Input'!$M$63))+IF('01_Input'!$P$63="Forfait",IF(BK$20&gt;='01_Input'!$N$63,'01_Input'!$Q$63,0),IF('01_Input'!$P$63="Palier",IF(AND(BK$20&gt;='01_Input'!$N$63,BK$20&lt;'01_Input'!$O$63),'01_Input'!$Q$63,0),MAX(MIN(BK$20,'01_Input'!$O$63)-'01_Input'!$N$63,0)*'01_Input'!$Q$63))+IF('01_Input'!$T$63="Forfait",IF(BK$20&gt;='01_Input'!$R$63,'01_Input'!$U$63,0),IF('01_Input'!$T$63="Palier",IF(AND(BK$20&gt;='01_Input'!$R$63,BK$20&lt;'01_Input'!$S$63),'01_Input'!$U$63,0),MAX(MIN(BK$20,'01_Input'!$S$63)-'01_Input'!$R$63,0)*'01_Input'!$U$63))+IF('01_Input'!$X$63="Forfait",IF(BK$20&gt;='01_Input'!$V$63,'01_Input'!$Y$63,0),IF('01_Input'!$X$63="Palier",IF(AND(BK$20&gt;='01_Input'!$V$63,BK$20&lt;'01_Input'!$W$63),'01_Input'!$Y$63,0),MAX(MIN(BK$20,'01_Input'!$W$63)-'01_Input'!$V$63,0)*'01_Input'!$Y$63))+IF('01_Input'!$AB$63="Forfait",IF(BK$20&gt;='01_Input'!$Z$63,'01_Input'!$AC$63,0),IF('01_Input'!$AB$63="Palier",IF(AND(BK$20&gt;='01_Input'!$Z$63,BK$20&lt;'01_Input'!$AA$63),'01_Input'!$AC$63,0),MAX(MIN(BK$20,'01_Input'!$AA$63)-'01_Input'!$Z$63,0)*'01_Input'!$AC$63)))))))))</f>
        <v>1900</v>
      </c>
      <c r="BL31" s="25">
        <f>IF('01_Input'!$C$63="Non",0,MIN('01_Input'!$I$63,MAX('01_Input'!$H$63,IF('01_Input'!$G$63="Résiduel vs Gestion",0,IF('01_Input'!$G$63="Taux Classe sélectionnée",Distrib_Global_Classe_Selectionnee*BL$20,IF('01_Input'!$G$63="Frais KYC (paliers de 100M€)",MAX(0,Nb_Investisseurs-Nb_KYC_Gratuites_Par_Tranche*(FLOOR(BL$20/Taille_Tranche_KYC,1)+1))*Cout_Par_KYC_Supplementaire,(IF('01_Input'!$L$63="Forfait",IF(BL$20&gt;='01_Input'!$J$63,'01_Input'!$M$63,0),IF('01_Input'!$L$63="Palier",IF(AND(BL$20&gt;='01_Input'!$J$63,BL$20&lt;'01_Input'!$K$63),'01_Input'!$M$63,0),MAX(MIN(BL$20,'01_Input'!$K$63)-'01_Input'!$J$63,0)*'01_Input'!$M$63))+IF('01_Input'!$P$63="Forfait",IF(BL$20&gt;='01_Input'!$N$63,'01_Input'!$Q$63,0),IF('01_Input'!$P$63="Palier",IF(AND(BL$20&gt;='01_Input'!$N$63,BL$20&lt;'01_Input'!$O$63),'01_Input'!$Q$63,0),MAX(MIN(BL$20,'01_Input'!$O$63)-'01_Input'!$N$63,0)*'01_Input'!$Q$63))+IF('01_Input'!$T$63="Forfait",IF(BL$20&gt;='01_Input'!$R$63,'01_Input'!$U$63,0),IF('01_Input'!$T$63="Palier",IF(AND(BL$20&gt;='01_Input'!$R$63,BL$20&lt;'01_Input'!$S$63),'01_Input'!$U$63,0),MAX(MIN(BL$20,'01_Input'!$S$63)-'01_Input'!$R$63,0)*'01_Input'!$U$63))+IF('01_Input'!$X$63="Forfait",IF(BL$20&gt;='01_Input'!$V$63,'01_Input'!$Y$63,0),IF('01_Input'!$X$63="Palier",IF(AND(BL$20&gt;='01_Input'!$V$63,BL$20&lt;'01_Input'!$W$63),'01_Input'!$Y$63,0),MAX(MIN(BL$20,'01_Input'!$W$63)-'01_Input'!$V$63,0)*'01_Input'!$Y$63))+IF('01_Input'!$AB$63="Forfait",IF(BL$20&gt;='01_Input'!$Z$63,'01_Input'!$AC$63,0),IF('01_Input'!$AB$63="Palier",IF(AND(BL$20&gt;='01_Input'!$Z$63,BL$20&lt;'01_Input'!$AA$63),'01_Input'!$AC$63,0),MAX(MIN(BL$20,'01_Input'!$AA$63)-'01_Input'!$Z$63,0)*'01_Input'!$AC$63)))))))))</f>
        <v>1900</v>
      </c>
      <c r="BM31" s="25">
        <f>IF('01_Input'!$C$63="Non",0,MIN('01_Input'!$I$63,MAX('01_Input'!$H$63,IF('01_Input'!$G$63="Résiduel vs Gestion",0,IF('01_Input'!$G$63="Taux Classe sélectionnée",Distrib_Global_Classe_Selectionnee*BM$20,IF('01_Input'!$G$63="Frais KYC (paliers de 100M€)",MAX(0,Nb_Investisseurs-Nb_KYC_Gratuites_Par_Tranche*(FLOOR(BM$20/Taille_Tranche_KYC,1)+1))*Cout_Par_KYC_Supplementaire,(IF('01_Input'!$L$63="Forfait",IF(BM$20&gt;='01_Input'!$J$63,'01_Input'!$M$63,0),IF('01_Input'!$L$63="Palier",IF(AND(BM$20&gt;='01_Input'!$J$63,BM$20&lt;'01_Input'!$K$63),'01_Input'!$M$63,0),MAX(MIN(BM$20,'01_Input'!$K$63)-'01_Input'!$J$63,0)*'01_Input'!$M$63))+IF('01_Input'!$P$63="Forfait",IF(BM$20&gt;='01_Input'!$N$63,'01_Input'!$Q$63,0),IF('01_Input'!$P$63="Palier",IF(AND(BM$20&gt;='01_Input'!$N$63,BM$20&lt;'01_Input'!$O$63),'01_Input'!$Q$63,0),MAX(MIN(BM$20,'01_Input'!$O$63)-'01_Input'!$N$63,0)*'01_Input'!$Q$63))+IF('01_Input'!$T$63="Forfait",IF(BM$20&gt;='01_Input'!$R$63,'01_Input'!$U$63,0),IF('01_Input'!$T$63="Palier",IF(AND(BM$20&gt;='01_Input'!$R$63,BM$20&lt;'01_Input'!$S$63),'01_Input'!$U$63,0),MAX(MIN(BM$20,'01_Input'!$S$63)-'01_Input'!$R$63,0)*'01_Input'!$U$63))+IF('01_Input'!$X$63="Forfait",IF(BM$20&gt;='01_Input'!$V$63,'01_Input'!$Y$63,0),IF('01_Input'!$X$63="Palier",IF(AND(BM$20&gt;='01_Input'!$V$63,BM$20&lt;'01_Input'!$W$63),'01_Input'!$Y$63,0),MAX(MIN(BM$20,'01_Input'!$W$63)-'01_Input'!$V$63,0)*'01_Input'!$Y$63))+IF('01_Input'!$AB$63="Forfait",IF(BM$20&gt;='01_Input'!$Z$63,'01_Input'!$AC$63,0),IF('01_Input'!$AB$63="Palier",IF(AND(BM$20&gt;='01_Input'!$Z$63,BM$20&lt;'01_Input'!$AA$63),'01_Input'!$AC$63,0),MAX(MIN(BM$20,'01_Input'!$AA$63)-'01_Input'!$Z$63,0)*'01_Input'!$AC$63)))))))))</f>
        <v>1900</v>
      </c>
      <c r="BN31" s="25">
        <f>IF('01_Input'!$C$63="Non",0,MIN('01_Input'!$I$63,MAX('01_Input'!$H$63,IF('01_Input'!$G$63="Résiduel vs Gestion",0,IF('01_Input'!$G$63="Taux Classe sélectionnée",Distrib_Global_Classe_Selectionnee*BN$20,IF('01_Input'!$G$63="Frais KYC (paliers de 100M€)",MAX(0,Nb_Investisseurs-Nb_KYC_Gratuites_Par_Tranche*(FLOOR(BN$20/Taille_Tranche_KYC,1)+1))*Cout_Par_KYC_Supplementaire,(IF('01_Input'!$L$63="Forfait",IF(BN$20&gt;='01_Input'!$J$63,'01_Input'!$M$63,0),IF('01_Input'!$L$63="Palier",IF(AND(BN$20&gt;='01_Input'!$J$63,BN$20&lt;'01_Input'!$K$63),'01_Input'!$M$63,0),MAX(MIN(BN$20,'01_Input'!$K$63)-'01_Input'!$J$63,0)*'01_Input'!$M$63))+IF('01_Input'!$P$63="Forfait",IF(BN$20&gt;='01_Input'!$N$63,'01_Input'!$Q$63,0),IF('01_Input'!$P$63="Palier",IF(AND(BN$20&gt;='01_Input'!$N$63,BN$20&lt;'01_Input'!$O$63),'01_Input'!$Q$63,0),MAX(MIN(BN$20,'01_Input'!$O$63)-'01_Input'!$N$63,0)*'01_Input'!$Q$63))+IF('01_Input'!$T$63="Forfait",IF(BN$20&gt;='01_Input'!$R$63,'01_Input'!$U$63,0),IF('01_Input'!$T$63="Palier",IF(AND(BN$20&gt;='01_Input'!$R$63,BN$20&lt;'01_Input'!$S$63),'01_Input'!$U$63,0),MAX(MIN(BN$20,'01_Input'!$S$63)-'01_Input'!$R$63,0)*'01_Input'!$U$63))+IF('01_Input'!$X$63="Forfait",IF(BN$20&gt;='01_Input'!$V$63,'01_Input'!$Y$63,0),IF('01_Input'!$X$63="Palier",IF(AND(BN$20&gt;='01_Input'!$V$63,BN$20&lt;'01_Input'!$W$63),'01_Input'!$Y$63,0),MAX(MIN(BN$20,'01_Input'!$W$63)-'01_Input'!$V$63,0)*'01_Input'!$Y$63))+IF('01_Input'!$AB$63="Forfait",IF(BN$20&gt;='01_Input'!$Z$63,'01_Input'!$AC$63,0),IF('01_Input'!$AB$63="Palier",IF(AND(BN$20&gt;='01_Input'!$Z$63,BN$20&lt;'01_Input'!$AA$63),'01_Input'!$AC$63,0),MAX(MIN(BN$20,'01_Input'!$AA$63)-'01_Input'!$Z$63,0)*'01_Input'!$AC$63)))))))))</f>
        <v>1900</v>
      </c>
      <c r="BO31" s="25">
        <f>IF('01_Input'!$C$63="Non",0,MIN('01_Input'!$I$63,MAX('01_Input'!$H$63,IF('01_Input'!$G$63="Résiduel vs Gestion",0,IF('01_Input'!$G$63="Taux Classe sélectionnée",Distrib_Global_Classe_Selectionnee*BO$20,IF('01_Input'!$G$63="Frais KYC (paliers de 100M€)",MAX(0,Nb_Investisseurs-Nb_KYC_Gratuites_Par_Tranche*(FLOOR(BO$20/Taille_Tranche_KYC,1)+1))*Cout_Par_KYC_Supplementaire,(IF('01_Input'!$L$63="Forfait",IF(BO$20&gt;='01_Input'!$J$63,'01_Input'!$M$63,0),IF('01_Input'!$L$63="Palier",IF(AND(BO$20&gt;='01_Input'!$J$63,BO$20&lt;'01_Input'!$K$63),'01_Input'!$M$63,0),MAX(MIN(BO$20,'01_Input'!$K$63)-'01_Input'!$J$63,0)*'01_Input'!$M$63))+IF('01_Input'!$P$63="Forfait",IF(BO$20&gt;='01_Input'!$N$63,'01_Input'!$Q$63,0),IF('01_Input'!$P$63="Palier",IF(AND(BO$20&gt;='01_Input'!$N$63,BO$20&lt;'01_Input'!$O$63),'01_Input'!$Q$63,0),MAX(MIN(BO$20,'01_Input'!$O$63)-'01_Input'!$N$63,0)*'01_Input'!$Q$63))+IF('01_Input'!$T$63="Forfait",IF(BO$20&gt;='01_Input'!$R$63,'01_Input'!$U$63,0),IF('01_Input'!$T$63="Palier",IF(AND(BO$20&gt;='01_Input'!$R$63,BO$20&lt;'01_Input'!$S$63),'01_Input'!$U$63,0),MAX(MIN(BO$20,'01_Input'!$S$63)-'01_Input'!$R$63,0)*'01_Input'!$U$63))+IF('01_Input'!$X$63="Forfait",IF(BO$20&gt;='01_Input'!$V$63,'01_Input'!$Y$63,0),IF('01_Input'!$X$63="Palier",IF(AND(BO$20&gt;='01_Input'!$V$63,BO$20&lt;'01_Input'!$W$63),'01_Input'!$Y$63,0),MAX(MIN(BO$20,'01_Input'!$W$63)-'01_Input'!$V$63,0)*'01_Input'!$Y$63))+IF('01_Input'!$AB$63="Forfait",IF(BO$20&gt;='01_Input'!$Z$63,'01_Input'!$AC$63,0),IF('01_Input'!$AB$63="Palier",IF(AND(BO$20&gt;='01_Input'!$Z$63,BO$20&lt;'01_Input'!$AA$63),'01_Input'!$AC$63,0),MAX(MIN(BO$20,'01_Input'!$AA$63)-'01_Input'!$Z$63,0)*'01_Input'!$AC$63)))))))))</f>
        <v>1900</v>
      </c>
      <c r="BP31" s="25">
        <f>IF('01_Input'!$C$63="Non",0,MIN('01_Input'!$I$63,MAX('01_Input'!$H$63,IF('01_Input'!$G$63="Résiduel vs Gestion",0,IF('01_Input'!$G$63="Taux Classe sélectionnée",Distrib_Global_Classe_Selectionnee*BP$20,IF('01_Input'!$G$63="Frais KYC (paliers de 100M€)",MAX(0,Nb_Investisseurs-Nb_KYC_Gratuites_Par_Tranche*(FLOOR(BP$20/Taille_Tranche_KYC,1)+1))*Cout_Par_KYC_Supplementaire,(IF('01_Input'!$L$63="Forfait",IF(BP$20&gt;='01_Input'!$J$63,'01_Input'!$M$63,0),IF('01_Input'!$L$63="Palier",IF(AND(BP$20&gt;='01_Input'!$J$63,BP$20&lt;'01_Input'!$K$63),'01_Input'!$M$63,0),MAX(MIN(BP$20,'01_Input'!$K$63)-'01_Input'!$J$63,0)*'01_Input'!$M$63))+IF('01_Input'!$P$63="Forfait",IF(BP$20&gt;='01_Input'!$N$63,'01_Input'!$Q$63,0),IF('01_Input'!$P$63="Palier",IF(AND(BP$20&gt;='01_Input'!$N$63,BP$20&lt;'01_Input'!$O$63),'01_Input'!$Q$63,0),MAX(MIN(BP$20,'01_Input'!$O$63)-'01_Input'!$N$63,0)*'01_Input'!$Q$63))+IF('01_Input'!$T$63="Forfait",IF(BP$20&gt;='01_Input'!$R$63,'01_Input'!$U$63,0),IF('01_Input'!$T$63="Palier",IF(AND(BP$20&gt;='01_Input'!$R$63,BP$20&lt;'01_Input'!$S$63),'01_Input'!$U$63,0),MAX(MIN(BP$20,'01_Input'!$S$63)-'01_Input'!$R$63,0)*'01_Input'!$U$63))+IF('01_Input'!$X$63="Forfait",IF(BP$20&gt;='01_Input'!$V$63,'01_Input'!$Y$63,0),IF('01_Input'!$X$63="Palier",IF(AND(BP$20&gt;='01_Input'!$V$63,BP$20&lt;'01_Input'!$W$63),'01_Input'!$Y$63,0),MAX(MIN(BP$20,'01_Input'!$W$63)-'01_Input'!$V$63,0)*'01_Input'!$Y$63))+IF('01_Input'!$AB$63="Forfait",IF(BP$20&gt;='01_Input'!$Z$63,'01_Input'!$AC$63,0),IF('01_Input'!$AB$63="Palier",IF(AND(BP$20&gt;='01_Input'!$Z$63,BP$20&lt;'01_Input'!$AA$63),'01_Input'!$AC$63,0),MAX(MIN(BP$20,'01_Input'!$AA$63)-'01_Input'!$Z$63,0)*'01_Input'!$AC$63)))))))))</f>
        <v>1900</v>
      </c>
      <c r="BQ31" s="25">
        <f>IF('01_Input'!$C$63="Non",0,MIN('01_Input'!$I$63,MAX('01_Input'!$H$63,IF('01_Input'!$G$63="Résiduel vs Gestion",0,IF('01_Input'!$G$63="Taux Classe sélectionnée",Distrib_Global_Classe_Selectionnee*BQ$20,IF('01_Input'!$G$63="Frais KYC (paliers de 100M€)",MAX(0,Nb_Investisseurs-Nb_KYC_Gratuites_Par_Tranche*(FLOOR(BQ$20/Taille_Tranche_KYC,1)+1))*Cout_Par_KYC_Supplementaire,(IF('01_Input'!$L$63="Forfait",IF(BQ$20&gt;='01_Input'!$J$63,'01_Input'!$M$63,0),IF('01_Input'!$L$63="Palier",IF(AND(BQ$20&gt;='01_Input'!$J$63,BQ$20&lt;'01_Input'!$K$63),'01_Input'!$M$63,0),MAX(MIN(BQ$20,'01_Input'!$K$63)-'01_Input'!$J$63,0)*'01_Input'!$M$63))+IF('01_Input'!$P$63="Forfait",IF(BQ$20&gt;='01_Input'!$N$63,'01_Input'!$Q$63,0),IF('01_Input'!$P$63="Palier",IF(AND(BQ$20&gt;='01_Input'!$N$63,BQ$20&lt;'01_Input'!$O$63),'01_Input'!$Q$63,0),MAX(MIN(BQ$20,'01_Input'!$O$63)-'01_Input'!$N$63,0)*'01_Input'!$Q$63))+IF('01_Input'!$T$63="Forfait",IF(BQ$20&gt;='01_Input'!$R$63,'01_Input'!$U$63,0),IF('01_Input'!$T$63="Palier",IF(AND(BQ$20&gt;='01_Input'!$R$63,BQ$20&lt;'01_Input'!$S$63),'01_Input'!$U$63,0),MAX(MIN(BQ$20,'01_Input'!$S$63)-'01_Input'!$R$63,0)*'01_Input'!$U$63))+IF('01_Input'!$X$63="Forfait",IF(BQ$20&gt;='01_Input'!$V$63,'01_Input'!$Y$63,0),IF('01_Input'!$X$63="Palier",IF(AND(BQ$20&gt;='01_Input'!$V$63,BQ$20&lt;'01_Input'!$W$63),'01_Input'!$Y$63,0),MAX(MIN(BQ$20,'01_Input'!$W$63)-'01_Input'!$V$63,0)*'01_Input'!$Y$63))+IF('01_Input'!$AB$63="Forfait",IF(BQ$20&gt;='01_Input'!$Z$63,'01_Input'!$AC$63,0),IF('01_Input'!$AB$63="Palier",IF(AND(BQ$20&gt;='01_Input'!$Z$63,BQ$20&lt;'01_Input'!$AA$63),'01_Input'!$AC$63,0),MAX(MIN(BQ$20,'01_Input'!$AA$63)-'01_Input'!$Z$63,0)*'01_Input'!$AC$63)))))))))</f>
        <v>1900</v>
      </c>
      <c r="BR31" s="25">
        <f>IF('01_Input'!$C$63="Non",0,MIN('01_Input'!$I$63,MAX('01_Input'!$H$63,IF('01_Input'!$G$63="Résiduel vs Gestion",0,IF('01_Input'!$G$63="Taux Classe sélectionnée",Distrib_Global_Classe_Selectionnee*BR$20,IF('01_Input'!$G$63="Frais KYC (paliers de 100M€)",MAX(0,Nb_Investisseurs-Nb_KYC_Gratuites_Par_Tranche*(FLOOR(BR$20/Taille_Tranche_KYC,1)+1))*Cout_Par_KYC_Supplementaire,(IF('01_Input'!$L$63="Forfait",IF(BR$20&gt;='01_Input'!$J$63,'01_Input'!$M$63,0),IF('01_Input'!$L$63="Palier",IF(AND(BR$20&gt;='01_Input'!$J$63,BR$20&lt;'01_Input'!$K$63),'01_Input'!$M$63,0),MAX(MIN(BR$20,'01_Input'!$K$63)-'01_Input'!$J$63,0)*'01_Input'!$M$63))+IF('01_Input'!$P$63="Forfait",IF(BR$20&gt;='01_Input'!$N$63,'01_Input'!$Q$63,0),IF('01_Input'!$P$63="Palier",IF(AND(BR$20&gt;='01_Input'!$N$63,BR$20&lt;'01_Input'!$O$63),'01_Input'!$Q$63,0),MAX(MIN(BR$20,'01_Input'!$O$63)-'01_Input'!$N$63,0)*'01_Input'!$Q$63))+IF('01_Input'!$T$63="Forfait",IF(BR$20&gt;='01_Input'!$R$63,'01_Input'!$U$63,0),IF('01_Input'!$T$63="Palier",IF(AND(BR$20&gt;='01_Input'!$R$63,BR$20&lt;'01_Input'!$S$63),'01_Input'!$U$63,0),MAX(MIN(BR$20,'01_Input'!$S$63)-'01_Input'!$R$63,0)*'01_Input'!$U$63))+IF('01_Input'!$X$63="Forfait",IF(BR$20&gt;='01_Input'!$V$63,'01_Input'!$Y$63,0),IF('01_Input'!$X$63="Palier",IF(AND(BR$20&gt;='01_Input'!$V$63,BR$20&lt;'01_Input'!$W$63),'01_Input'!$Y$63,0),MAX(MIN(BR$20,'01_Input'!$W$63)-'01_Input'!$V$63,0)*'01_Input'!$Y$63))+IF('01_Input'!$AB$63="Forfait",IF(BR$20&gt;='01_Input'!$Z$63,'01_Input'!$AC$63,0),IF('01_Input'!$AB$63="Palier",IF(AND(BR$20&gt;='01_Input'!$Z$63,BR$20&lt;'01_Input'!$AA$63),'01_Input'!$AC$63,0),MAX(MIN(BR$20,'01_Input'!$AA$63)-'01_Input'!$Z$63,0)*'01_Input'!$AC$63)))))))))</f>
        <v>1900</v>
      </c>
      <c r="BS31" s="25">
        <f>IF('01_Input'!$C$63="Non",0,MIN('01_Input'!$I$63,MAX('01_Input'!$H$63,IF('01_Input'!$G$63="Résiduel vs Gestion",0,IF('01_Input'!$G$63="Taux Classe sélectionnée",Distrib_Global_Classe_Selectionnee*BS$20,IF('01_Input'!$G$63="Frais KYC (paliers de 100M€)",MAX(0,Nb_Investisseurs-Nb_KYC_Gratuites_Par_Tranche*(FLOOR(BS$20/Taille_Tranche_KYC,1)+1))*Cout_Par_KYC_Supplementaire,(IF('01_Input'!$L$63="Forfait",IF(BS$20&gt;='01_Input'!$J$63,'01_Input'!$M$63,0),IF('01_Input'!$L$63="Palier",IF(AND(BS$20&gt;='01_Input'!$J$63,BS$20&lt;'01_Input'!$K$63),'01_Input'!$M$63,0),MAX(MIN(BS$20,'01_Input'!$K$63)-'01_Input'!$J$63,0)*'01_Input'!$M$63))+IF('01_Input'!$P$63="Forfait",IF(BS$20&gt;='01_Input'!$N$63,'01_Input'!$Q$63,0),IF('01_Input'!$P$63="Palier",IF(AND(BS$20&gt;='01_Input'!$N$63,BS$20&lt;'01_Input'!$O$63),'01_Input'!$Q$63,0),MAX(MIN(BS$20,'01_Input'!$O$63)-'01_Input'!$N$63,0)*'01_Input'!$Q$63))+IF('01_Input'!$T$63="Forfait",IF(BS$20&gt;='01_Input'!$R$63,'01_Input'!$U$63,0),IF('01_Input'!$T$63="Palier",IF(AND(BS$20&gt;='01_Input'!$R$63,BS$20&lt;'01_Input'!$S$63),'01_Input'!$U$63,0),MAX(MIN(BS$20,'01_Input'!$S$63)-'01_Input'!$R$63,0)*'01_Input'!$U$63))+IF('01_Input'!$X$63="Forfait",IF(BS$20&gt;='01_Input'!$V$63,'01_Input'!$Y$63,0),IF('01_Input'!$X$63="Palier",IF(AND(BS$20&gt;='01_Input'!$V$63,BS$20&lt;'01_Input'!$W$63),'01_Input'!$Y$63,0),MAX(MIN(BS$20,'01_Input'!$W$63)-'01_Input'!$V$63,0)*'01_Input'!$Y$63))+IF('01_Input'!$AB$63="Forfait",IF(BS$20&gt;='01_Input'!$Z$63,'01_Input'!$AC$63,0),IF('01_Input'!$AB$63="Palier",IF(AND(BS$20&gt;='01_Input'!$Z$63,BS$20&lt;'01_Input'!$AA$63),'01_Input'!$AC$63,0),MAX(MIN(BS$20,'01_Input'!$AA$63)-'01_Input'!$Z$63,0)*'01_Input'!$AC$63)))))))))</f>
        <v>1900</v>
      </c>
      <c r="BT31" s="25">
        <f>IF('01_Input'!$C$63="Non",0,MIN('01_Input'!$I$63,MAX('01_Input'!$H$63,IF('01_Input'!$G$63="Résiduel vs Gestion",0,IF('01_Input'!$G$63="Taux Classe sélectionnée",Distrib_Global_Classe_Selectionnee*BT$20,IF('01_Input'!$G$63="Frais KYC (paliers de 100M€)",MAX(0,Nb_Investisseurs-Nb_KYC_Gratuites_Par_Tranche*(FLOOR(BT$20/Taille_Tranche_KYC,1)+1))*Cout_Par_KYC_Supplementaire,(IF('01_Input'!$L$63="Forfait",IF(BT$20&gt;='01_Input'!$J$63,'01_Input'!$M$63,0),IF('01_Input'!$L$63="Palier",IF(AND(BT$20&gt;='01_Input'!$J$63,BT$20&lt;'01_Input'!$K$63),'01_Input'!$M$63,0),MAX(MIN(BT$20,'01_Input'!$K$63)-'01_Input'!$J$63,0)*'01_Input'!$M$63))+IF('01_Input'!$P$63="Forfait",IF(BT$20&gt;='01_Input'!$N$63,'01_Input'!$Q$63,0),IF('01_Input'!$P$63="Palier",IF(AND(BT$20&gt;='01_Input'!$N$63,BT$20&lt;'01_Input'!$O$63),'01_Input'!$Q$63,0),MAX(MIN(BT$20,'01_Input'!$O$63)-'01_Input'!$N$63,0)*'01_Input'!$Q$63))+IF('01_Input'!$T$63="Forfait",IF(BT$20&gt;='01_Input'!$R$63,'01_Input'!$U$63,0),IF('01_Input'!$T$63="Palier",IF(AND(BT$20&gt;='01_Input'!$R$63,BT$20&lt;'01_Input'!$S$63),'01_Input'!$U$63,0),MAX(MIN(BT$20,'01_Input'!$S$63)-'01_Input'!$R$63,0)*'01_Input'!$U$63))+IF('01_Input'!$X$63="Forfait",IF(BT$20&gt;='01_Input'!$V$63,'01_Input'!$Y$63,0),IF('01_Input'!$X$63="Palier",IF(AND(BT$20&gt;='01_Input'!$V$63,BT$20&lt;'01_Input'!$W$63),'01_Input'!$Y$63,0),MAX(MIN(BT$20,'01_Input'!$W$63)-'01_Input'!$V$63,0)*'01_Input'!$Y$63))+IF('01_Input'!$AB$63="Forfait",IF(BT$20&gt;='01_Input'!$Z$63,'01_Input'!$AC$63,0),IF('01_Input'!$AB$63="Palier",IF(AND(BT$20&gt;='01_Input'!$Z$63,BT$20&lt;'01_Input'!$AA$63),'01_Input'!$AC$63,0),MAX(MIN(BT$20,'01_Input'!$AA$63)-'01_Input'!$Z$63,0)*'01_Input'!$AC$63)))))))))</f>
        <v>1900</v>
      </c>
      <c r="BU31" s="25">
        <f>IF('01_Input'!$C$63="Non",0,MIN('01_Input'!$I$63,MAX('01_Input'!$H$63,IF('01_Input'!$G$63="Résiduel vs Gestion",0,IF('01_Input'!$G$63="Taux Classe sélectionnée",Distrib_Global_Classe_Selectionnee*BU$20,IF('01_Input'!$G$63="Frais KYC (paliers de 100M€)",MAX(0,Nb_Investisseurs-Nb_KYC_Gratuites_Par_Tranche*(FLOOR(BU$20/Taille_Tranche_KYC,1)+1))*Cout_Par_KYC_Supplementaire,(IF('01_Input'!$L$63="Forfait",IF(BU$20&gt;='01_Input'!$J$63,'01_Input'!$M$63,0),IF('01_Input'!$L$63="Palier",IF(AND(BU$20&gt;='01_Input'!$J$63,BU$20&lt;'01_Input'!$K$63),'01_Input'!$M$63,0),MAX(MIN(BU$20,'01_Input'!$K$63)-'01_Input'!$J$63,0)*'01_Input'!$M$63))+IF('01_Input'!$P$63="Forfait",IF(BU$20&gt;='01_Input'!$N$63,'01_Input'!$Q$63,0),IF('01_Input'!$P$63="Palier",IF(AND(BU$20&gt;='01_Input'!$N$63,BU$20&lt;'01_Input'!$O$63),'01_Input'!$Q$63,0),MAX(MIN(BU$20,'01_Input'!$O$63)-'01_Input'!$N$63,0)*'01_Input'!$Q$63))+IF('01_Input'!$T$63="Forfait",IF(BU$20&gt;='01_Input'!$R$63,'01_Input'!$U$63,0),IF('01_Input'!$T$63="Palier",IF(AND(BU$20&gt;='01_Input'!$R$63,BU$20&lt;'01_Input'!$S$63),'01_Input'!$U$63,0),MAX(MIN(BU$20,'01_Input'!$S$63)-'01_Input'!$R$63,0)*'01_Input'!$U$63))+IF('01_Input'!$X$63="Forfait",IF(BU$20&gt;='01_Input'!$V$63,'01_Input'!$Y$63,0),IF('01_Input'!$X$63="Palier",IF(AND(BU$20&gt;='01_Input'!$V$63,BU$20&lt;'01_Input'!$W$63),'01_Input'!$Y$63,0),MAX(MIN(BU$20,'01_Input'!$W$63)-'01_Input'!$V$63,0)*'01_Input'!$Y$63))+IF('01_Input'!$AB$63="Forfait",IF(BU$20&gt;='01_Input'!$Z$63,'01_Input'!$AC$63,0),IF('01_Input'!$AB$63="Palier",IF(AND(BU$20&gt;='01_Input'!$Z$63,BU$20&lt;'01_Input'!$AA$63),'01_Input'!$AC$63,0),MAX(MIN(BU$20,'01_Input'!$AA$63)-'01_Input'!$Z$63,0)*'01_Input'!$AC$63)))))))))</f>
        <v>1900</v>
      </c>
      <c r="BV31" s="25">
        <f>IF('01_Input'!$C$63="Non",0,MIN('01_Input'!$I$63,MAX('01_Input'!$H$63,IF('01_Input'!$G$63="Résiduel vs Gestion",0,IF('01_Input'!$G$63="Taux Classe sélectionnée",Distrib_Global_Classe_Selectionnee*BV$20,IF('01_Input'!$G$63="Frais KYC (paliers de 100M€)",MAX(0,Nb_Investisseurs-Nb_KYC_Gratuites_Par_Tranche*(FLOOR(BV$20/Taille_Tranche_KYC,1)+1))*Cout_Par_KYC_Supplementaire,(IF('01_Input'!$L$63="Forfait",IF(BV$20&gt;='01_Input'!$J$63,'01_Input'!$M$63,0),IF('01_Input'!$L$63="Palier",IF(AND(BV$20&gt;='01_Input'!$J$63,BV$20&lt;'01_Input'!$K$63),'01_Input'!$M$63,0),MAX(MIN(BV$20,'01_Input'!$K$63)-'01_Input'!$J$63,0)*'01_Input'!$M$63))+IF('01_Input'!$P$63="Forfait",IF(BV$20&gt;='01_Input'!$N$63,'01_Input'!$Q$63,0),IF('01_Input'!$P$63="Palier",IF(AND(BV$20&gt;='01_Input'!$N$63,BV$20&lt;'01_Input'!$O$63),'01_Input'!$Q$63,0),MAX(MIN(BV$20,'01_Input'!$O$63)-'01_Input'!$N$63,0)*'01_Input'!$Q$63))+IF('01_Input'!$T$63="Forfait",IF(BV$20&gt;='01_Input'!$R$63,'01_Input'!$U$63,0),IF('01_Input'!$T$63="Palier",IF(AND(BV$20&gt;='01_Input'!$R$63,BV$20&lt;'01_Input'!$S$63),'01_Input'!$U$63,0),MAX(MIN(BV$20,'01_Input'!$S$63)-'01_Input'!$R$63,0)*'01_Input'!$U$63))+IF('01_Input'!$X$63="Forfait",IF(BV$20&gt;='01_Input'!$V$63,'01_Input'!$Y$63,0),IF('01_Input'!$X$63="Palier",IF(AND(BV$20&gt;='01_Input'!$V$63,BV$20&lt;'01_Input'!$W$63),'01_Input'!$Y$63,0),MAX(MIN(BV$20,'01_Input'!$W$63)-'01_Input'!$V$63,0)*'01_Input'!$Y$63))+IF('01_Input'!$AB$63="Forfait",IF(BV$20&gt;='01_Input'!$Z$63,'01_Input'!$AC$63,0),IF('01_Input'!$AB$63="Palier",IF(AND(BV$20&gt;='01_Input'!$Z$63,BV$20&lt;'01_Input'!$AA$63),'01_Input'!$AC$63,0),MAX(MIN(BV$20,'01_Input'!$AA$63)-'01_Input'!$Z$63,0)*'01_Input'!$AC$63)))))))))</f>
        <v>1900</v>
      </c>
      <c r="BW31" s="25">
        <f>IF('01_Input'!$C$63="Non",0,MIN('01_Input'!$I$63,MAX('01_Input'!$H$63,IF('01_Input'!$G$63="Résiduel vs Gestion",0,IF('01_Input'!$G$63="Taux Classe sélectionnée",Distrib_Global_Classe_Selectionnee*BW$20,IF('01_Input'!$G$63="Frais KYC (paliers de 100M€)",MAX(0,Nb_Investisseurs-Nb_KYC_Gratuites_Par_Tranche*(FLOOR(BW$20/Taille_Tranche_KYC,1)+1))*Cout_Par_KYC_Supplementaire,(IF('01_Input'!$L$63="Forfait",IF(BW$20&gt;='01_Input'!$J$63,'01_Input'!$M$63,0),IF('01_Input'!$L$63="Palier",IF(AND(BW$20&gt;='01_Input'!$J$63,BW$20&lt;'01_Input'!$K$63),'01_Input'!$M$63,0),MAX(MIN(BW$20,'01_Input'!$K$63)-'01_Input'!$J$63,0)*'01_Input'!$M$63))+IF('01_Input'!$P$63="Forfait",IF(BW$20&gt;='01_Input'!$N$63,'01_Input'!$Q$63,0),IF('01_Input'!$P$63="Palier",IF(AND(BW$20&gt;='01_Input'!$N$63,BW$20&lt;'01_Input'!$O$63),'01_Input'!$Q$63,0),MAX(MIN(BW$20,'01_Input'!$O$63)-'01_Input'!$N$63,0)*'01_Input'!$Q$63))+IF('01_Input'!$T$63="Forfait",IF(BW$20&gt;='01_Input'!$R$63,'01_Input'!$U$63,0),IF('01_Input'!$T$63="Palier",IF(AND(BW$20&gt;='01_Input'!$R$63,BW$20&lt;'01_Input'!$S$63),'01_Input'!$U$63,0),MAX(MIN(BW$20,'01_Input'!$S$63)-'01_Input'!$R$63,0)*'01_Input'!$U$63))+IF('01_Input'!$X$63="Forfait",IF(BW$20&gt;='01_Input'!$V$63,'01_Input'!$Y$63,0),IF('01_Input'!$X$63="Palier",IF(AND(BW$20&gt;='01_Input'!$V$63,BW$20&lt;'01_Input'!$W$63),'01_Input'!$Y$63,0),MAX(MIN(BW$20,'01_Input'!$W$63)-'01_Input'!$V$63,0)*'01_Input'!$Y$63))+IF('01_Input'!$AB$63="Forfait",IF(BW$20&gt;='01_Input'!$Z$63,'01_Input'!$AC$63,0),IF('01_Input'!$AB$63="Palier",IF(AND(BW$20&gt;='01_Input'!$Z$63,BW$20&lt;'01_Input'!$AA$63),'01_Input'!$AC$63,0),MAX(MIN(BW$20,'01_Input'!$AA$63)-'01_Input'!$Z$63,0)*'01_Input'!$AC$63)))))))))</f>
        <v>1900</v>
      </c>
      <c r="BX31" s="25">
        <f>IF('01_Input'!$C$63="Non",0,MIN('01_Input'!$I$63,MAX('01_Input'!$H$63,IF('01_Input'!$G$63="Résiduel vs Gestion",0,IF('01_Input'!$G$63="Taux Classe sélectionnée",Distrib_Global_Classe_Selectionnee*BX$20,IF('01_Input'!$G$63="Frais KYC (paliers de 100M€)",MAX(0,Nb_Investisseurs-Nb_KYC_Gratuites_Par_Tranche*(FLOOR(BX$20/Taille_Tranche_KYC,1)+1))*Cout_Par_KYC_Supplementaire,(IF('01_Input'!$L$63="Forfait",IF(BX$20&gt;='01_Input'!$J$63,'01_Input'!$M$63,0),IF('01_Input'!$L$63="Palier",IF(AND(BX$20&gt;='01_Input'!$J$63,BX$20&lt;'01_Input'!$K$63),'01_Input'!$M$63,0),MAX(MIN(BX$20,'01_Input'!$K$63)-'01_Input'!$J$63,0)*'01_Input'!$M$63))+IF('01_Input'!$P$63="Forfait",IF(BX$20&gt;='01_Input'!$N$63,'01_Input'!$Q$63,0),IF('01_Input'!$P$63="Palier",IF(AND(BX$20&gt;='01_Input'!$N$63,BX$20&lt;'01_Input'!$O$63),'01_Input'!$Q$63,0),MAX(MIN(BX$20,'01_Input'!$O$63)-'01_Input'!$N$63,0)*'01_Input'!$Q$63))+IF('01_Input'!$T$63="Forfait",IF(BX$20&gt;='01_Input'!$R$63,'01_Input'!$U$63,0),IF('01_Input'!$T$63="Palier",IF(AND(BX$20&gt;='01_Input'!$R$63,BX$20&lt;'01_Input'!$S$63),'01_Input'!$U$63,0),MAX(MIN(BX$20,'01_Input'!$S$63)-'01_Input'!$R$63,0)*'01_Input'!$U$63))+IF('01_Input'!$X$63="Forfait",IF(BX$20&gt;='01_Input'!$V$63,'01_Input'!$Y$63,0),IF('01_Input'!$X$63="Palier",IF(AND(BX$20&gt;='01_Input'!$V$63,BX$20&lt;'01_Input'!$W$63),'01_Input'!$Y$63,0),MAX(MIN(BX$20,'01_Input'!$W$63)-'01_Input'!$V$63,0)*'01_Input'!$Y$63))+IF('01_Input'!$AB$63="Forfait",IF(BX$20&gt;='01_Input'!$Z$63,'01_Input'!$AC$63,0),IF('01_Input'!$AB$63="Palier",IF(AND(BX$20&gt;='01_Input'!$Z$63,BX$20&lt;'01_Input'!$AA$63),'01_Input'!$AC$63,0),MAX(MIN(BX$20,'01_Input'!$AA$63)-'01_Input'!$Z$63,0)*'01_Input'!$AC$63)))))))))</f>
        <v>1900</v>
      </c>
      <c r="BY31" s="25">
        <f>IF('01_Input'!$C$63="Non",0,MIN('01_Input'!$I$63,MAX('01_Input'!$H$63,IF('01_Input'!$G$63="Résiduel vs Gestion",0,IF('01_Input'!$G$63="Taux Classe sélectionnée",Distrib_Global_Classe_Selectionnee*BY$20,IF('01_Input'!$G$63="Frais KYC (paliers de 100M€)",MAX(0,Nb_Investisseurs-Nb_KYC_Gratuites_Par_Tranche*(FLOOR(BY$20/Taille_Tranche_KYC,1)+1))*Cout_Par_KYC_Supplementaire,(IF('01_Input'!$L$63="Forfait",IF(BY$20&gt;='01_Input'!$J$63,'01_Input'!$M$63,0),IF('01_Input'!$L$63="Palier",IF(AND(BY$20&gt;='01_Input'!$J$63,BY$20&lt;'01_Input'!$K$63),'01_Input'!$M$63,0),MAX(MIN(BY$20,'01_Input'!$K$63)-'01_Input'!$J$63,0)*'01_Input'!$M$63))+IF('01_Input'!$P$63="Forfait",IF(BY$20&gt;='01_Input'!$N$63,'01_Input'!$Q$63,0),IF('01_Input'!$P$63="Palier",IF(AND(BY$20&gt;='01_Input'!$N$63,BY$20&lt;'01_Input'!$O$63),'01_Input'!$Q$63,0),MAX(MIN(BY$20,'01_Input'!$O$63)-'01_Input'!$N$63,0)*'01_Input'!$Q$63))+IF('01_Input'!$T$63="Forfait",IF(BY$20&gt;='01_Input'!$R$63,'01_Input'!$U$63,0),IF('01_Input'!$T$63="Palier",IF(AND(BY$20&gt;='01_Input'!$R$63,BY$20&lt;'01_Input'!$S$63),'01_Input'!$U$63,0),MAX(MIN(BY$20,'01_Input'!$S$63)-'01_Input'!$R$63,0)*'01_Input'!$U$63))+IF('01_Input'!$X$63="Forfait",IF(BY$20&gt;='01_Input'!$V$63,'01_Input'!$Y$63,0),IF('01_Input'!$X$63="Palier",IF(AND(BY$20&gt;='01_Input'!$V$63,BY$20&lt;'01_Input'!$W$63),'01_Input'!$Y$63,0),MAX(MIN(BY$20,'01_Input'!$W$63)-'01_Input'!$V$63,0)*'01_Input'!$Y$63))+IF('01_Input'!$AB$63="Forfait",IF(BY$20&gt;='01_Input'!$Z$63,'01_Input'!$AC$63,0),IF('01_Input'!$AB$63="Palier",IF(AND(BY$20&gt;='01_Input'!$Z$63,BY$20&lt;'01_Input'!$AA$63),'01_Input'!$AC$63,0),MAX(MIN(BY$20,'01_Input'!$AA$63)-'01_Input'!$Z$63,0)*'01_Input'!$AC$63)))))))))</f>
        <v>1900</v>
      </c>
      <c r="BZ31" s="25">
        <f>IF('01_Input'!$C$63="Non",0,MIN('01_Input'!$I$63,MAX('01_Input'!$H$63,IF('01_Input'!$G$63="Résiduel vs Gestion",0,IF('01_Input'!$G$63="Taux Classe sélectionnée",Distrib_Global_Classe_Selectionnee*BZ$20,IF('01_Input'!$G$63="Frais KYC (paliers de 100M€)",MAX(0,Nb_Investisseurs-Nb_KYC_Gratuites_Par_Tranche*(FLOOR(BZ$20/Taille_Tranche_KYC,1)+1))*Cout_Par_KYC_Supplementaire,(IF('01_Input'!$L$63="Forfait",IF(BZ$20&gt;='01_Input'!$J$63,'01_Input'!$M$63,0),IF('01_Input'!$L$63="Palier",IF(AND(BZ$20&gt;='01_Input'!$J$63,BZ$20&lt;'01_Input'!$K$63),'01_Input'!$M$63,0),MAX(MIN(BZ$20,'01_Input'!$K$63)-'01_Input'!$J$63,0)*'01_Input'!$M$63))+IF('01_Input'!$P$63="Forfait",IF(BZ$20&gt;='01_Input'!$N$63,'01_Input'!$Q$63,0),IF('01_Input'!$P$63="Palier",IF(AND(BZ$20&gt;='01_Input'!$N$63,BZ$20&lt;'01_Input'!$O$63),'01_Input'!$Q$63,0),MAX(MIN(BZ$20,'01_Input'!$O$63)-'01_Input'!$N$63,0)*'01_Input'!$Q$63))+IF('01_Input'!$T$63="Forfait",IF(BZ$20&gt;='01_Input'!$R$63,'01_Input'!$U$63,0),IF('01_Input'!$T$63="Palier",IF(AND(BZ$20&gt;='01_Input'!$R$63,BZ$20&lt;'01_Input'!$S$63),'01_Input'!$U$63,0),MAX(MIN(BZ$20,'01_Input'!$S$63)-'01_Input'!$R$63,0)*'01_Input'!$U$63))+IF('01_Input'!$X$63="Forfait",IF(BZ$20&gt;='01_Input'!$V$63,'01_Input'!$Y$63,0),IF('01_Input'!$X$63="Palier",IF(AND(BZ$20&gt;='01_Input'!$V$63,BZ$20&lt;'01_Input'!$W$63),'01_Input'!$Y$63,0),MAX(MIN(BZ$20,'01_Input'!$W$63)-'01_Input'!$V$63,0)*'01_Input'!$Y$63))+IF('01_Input'!$AB$63="Forfait",IF(BZ$20&gt;='01_Input'!$Z$63,'01_Input'!$AC$63,0),IF('01_Input'!$AB$63="Palier",IF(AND(BZ$20&gt;='01_Input'!$Z$63,BZ$20&lt;'01_Input'!$AA$63),'01_Input'!$AC$63,0),MAX(MIN(BZ$20,'01_Input'!$AA$63)-'01_Input'!$Z$63,0)*'01_Input'!$AC$63)))))))))</f>
        <v>1900</v>
      </c>
      <c r="CA31" s="25">
        <f>IF('01_Input'!$C$63="Non",0,MIN('01_Input'!$I$63,MAX('01_Input'!$H$63,IF('01_Input'!$G$63="Résiduel vs Gestion",0,IF('01_Input'!$G$63="Taux Classe sélectionnée",Distrib_Global_Classe_Selectionnee*CA$20,IF('01_Input'!$G$63="Frais KYC (paliers de 100M€)",MAX(0,Nb_Investisseurs-Nb_KYC_Gratuites_Par_Tranche*(FLOOR(CA$20/Taille_Tranche_KYC,1)+1))*Cout_Par_KYC_Supplementaire,(IF('01_Input'!$L$63="Forfait",IF(CA$20&gt;='01_Input'!$J$63,'01_Input'!$M$63,0),IF('01_Input'!$L$63="Palier",IF(AND(CA$20&gt;='01_Input'!$J$63,CA$20&lt;'01_Input'!$K$63),'01_Input'!$M$63,0),MAX(MIN(CA$20,'01_Input'!$K$63)-'01_Input'!$J$63,0)*'01_Input'!$M$63))+IF('01_Input'!$P$63="Forfait",IF(CA$20&gt;='01_Input'!$N$63,'01_Input'!$Q$63,0),IF('01_Input'!$P$63="Palier",IF(AND(CA$20&gt;='01_Input'!$N$63,CA$20&lt;'01_Input'!$O$63),'01_Input'!$Q$63,0),MAX(MIN(CA$20,'01_Input'!$O$63)-'01_Input'!$N$63,0)*'01_Input'!$Q$63))+IF('01_Input'!$T$63="Forfait",IF(CA$20&gt;='01_Input'!$R$63,'01_Input'!$U$63,0),IF('01_Input'!$T$63="Palier",IF(AND(CA$20&gt;='01_Input'!$R$63,CA$20&lt;'01_Input'!$S$63),'01_Input'!$U$63,0),MAX(MIN(CA$20,'01_Input'!$S$63)-'01_Input'!$R$63,0)*'01_Input'!$U$63))+IF('01_Input'!$X$63="Forfait",IF(CA$20&gt;='01_Input'!$V$63,'01_Input'!$Y$63,0),IF('01_Input'!$X$63="Palier",IF(AND(CA$20&gt;='01_Input'!$V$63,CA$20&lt;'01_Input'!$W$63),'01_Input'!$Y$63,0),MAX(MIN(CA$20,'01_Input'!$W$63)-'01_Input'!$V$63,0)*'01_Input'!$Y$63))+IF('01_Input'!$AB$63="Forfait",IF(CA$20&gt;='01_Input'!$Z$63,'01_Input'!$AC$63,0),IF('01_Input'!$AB$63="Palier",IF(AND(CA$20&gt;='01_Input'!$Z$63,CA$20&lt;'01_Input'!$AA$63),'01_Input'!$AC$63,0),MAX(MIN(CA$20,'01_Input'!$AA$63)-'01_Input'!$Z$63,0)*'01_Input'!$AC$63)))))))))</f>
        <v>1900</v>
      </c>
      <c r="CB31" s="25">
        <f>IF('01_Input'!$C$63="Non",0,MIN('01_Input'!$I$63,MAX('01_Input'!$H$63,IF('01_Input'!$G$63="Résiduel vs Gestion",0,IF('01_Input'!$G$63="Taux Classe sélectionnée",Distrib_Global_Classe_Selectionnee*CB$20,IF('01_Input'!$G$63="Frais KYC (paliers de 100M€)",MAX(0,Nb_Investisseurs-Nb_KYC_Gratuites_Par_Tranche*(FLOOR(CB$20/Taille_Tranche_KYC,1)+1))*Cout_Par_KYC_Supplementaire,(IF('01_Input'!$L$63="Forfait",IF(CB$20&gt;='01_Input'!$J$63,'01_Input'!$M$63,0),IF('01_Input'!$L$63="Palier",IF(AND(CB$20&gt;='01_Input'!$J$63,CB$20&lt;'01_Input'!$K$63),'01_Input'!$M$63,0),MAX(MIN(CB$20,'01_Input'!$K$63)-'01_Input'!$J$63,0)*'01_Input'!$M$63))+IF('01_Input'!$P$63="Forfait",IF(CB$20&gt;='01_Input'!$N$63,'01_Input'!$Q$63,0),IF('01_Input'!$P$63="Palier",IF(AND(CB$20&gt;='01_Input'!$N$63,CB$20&lt;'01_Input'!$O$63),'01_Input'!$Q$63,0),MAX(MIN(CB$20,'01_Input'!$O$63)-'01_Input'!$N$63,0)*'01_Input'!$Q$63))+IF('01_Input'!$T$63="Forfait",IF(CB$20&gt;='01_Input'!$R$63,'01_Input'!$U$63,0),IF('01_Input'!$T$63="Palier",IF(AND(CB$20&gt;='01_Input'!$R$63,CB$20&lt;'01_Input'!$S$63),'01_Input'!$U$63,0),MAX(MIN(CB$20,'01_Input'!$S$63)-'01_Input'!$R$63,0)*'01_Input'!$U$63))+IF('01_Input'!$X$63="Forfait",IF(CB$20&gt;='01_Input'!$V$63,'01_Input'!$Y$63,0),IF('01_Input'!$X$63="Palier",IF(AND(CB$20&gt;='01_Input'!$V$63,CB$20&lt;'01_Input'!$W$63),'01_Input'!$Y$63,0),MAX(MIN(CB$20,'01_Input'!$W$63)-'01_Input'!$V$63,0)*'01_Input'!$Y$63))+IF('01_Input'!$AB$63="Forfait",IF(CB$20&gt;='01_Input'!$Z$63,'01_Input'!$AC$63,0),IF('01_Input'!$AB$63="Palier",IF(AND(CB$20&gt;='01_Input'!$Z$63,CB$20&lt;'01_Input'!$AA$63),'01_Input'!$AC$63,0),MAX(MIN(CB$20,'01_Input'!$AA$63)-'01_Input'!$Z$63,0)*'01_Input'!$AC$63)))))))))</f>
        <v>1900</v>
      </c>
      <c r="CC31" s="25">
        <f>IF('01_Input'!$C$63="Non",0,MIN('01_Input'!$I$63,MAX('01_Input'!$H$63,IF('01_Input'!$G$63="Résiduel vs Gestion",0,IF('01_Input'!$G$63="Taux Classe sélectionnée",Distrib_Global_Classe_Selectionnee*CC$20,IF('01_Input'!$G$63="Frais KYC (paliers de 100M€)",MAX(0,Nb_Investisseurs-Nb_KYC_Gratuites_Par_Tranche*(FLOOR(CC$20/Taille_Tranche_KYC,1)+1))*Cout_Par_KYC_Supplementaire,(IF('01_Input'!$L$63="Forfait",IF(CC$20&gt;='01_Input'!$J$63,'01_Input'!$M$63,0),IF('01_Input'!$L$63="Palier",IF(AND(CC$20&gt;='01_Input'!$J$63,CC$20&lt;'01_Input'!$K$63),'01_Input'!$M$63,0),MAX(MIN(CC$20,'01_Input'!$K$63)-'01_Input'!$J$63,0)*'01_Input'!$M$63))+IF('01_Input'!$P$63="Forfait",IF(CC$20&gt;='01_Input'!$N$63,'01_Input'!$Q$63,0),IF('01_Input'!$P$63="Palier",IF(AND(CC$20&gt;='01_Input'!$N$63,CC$20&lt;'01_Input'!$O$63),'01_Input'!$Q$63,0),MAX(MIN(CC$20,'01_Input'!$O$63)-'01_Input'!$N$63,0)*'01_Input'!$Q$63))+IF('01_Input'!$T$63="Forfait",IF(CC$20&gt;='01_Input'!$R$63,'01_Input'!$U$63,0),IF('01_Input'!$T$63="Palier",IF(AND(CC$20&gt;='01_Input'!$R$63,CC$20&lt;'01_Input'!$S$63),'01_Input'!$U$63,0),MAX(MIN(CC$20,'01_Input'!$S$63)-'01_Input'!$R$63,0)*'01_Input'!$U$63))+IF('01_Input'!$X$63="Forfait",IF(CC$20&gt;='01_Input'!$V$63,'01_Input'!$Y$63,0),IF('01_Input'!$X$63="Palier",IF(AND(CC$20&gt;='01_Input'!$V$63,CC$20&lt;'01_Input'!$W$63),'01_Input'!$Y$63,0),MAX(MIN(CC$20,'01_Input'!$W$63)-'01_Input'!$V$63,0)*'01_Input'!$Y$63))+IF('01_Input'!$AB$63="Forfait",IF(CC$20&gt;='01_Input'!$Z$63,'01_Input'!$AC$63,0),IF('01_Input'!$AB$63="Palier",IF(AND(CC$20&gt;='01_Input'!$Z$63,CC$20&lt;'01_Input'!$AA$63),'01_Input'!$AC$63,0),MAX(MIN(CC$20,'01_Input'!$AA$63)-'01_Input'!$Z$63,0)*'01_Input'!$AC$63)))))))))</f>
        <v>1900</v>
      </c>
      <c r="CD31" s="25">
        <f>IF('01_Input'!$C$63="Non",0,MIN('01_Input'!$I$63,MAX('01_Input'!$H$63,IF('01_Input'!$G$63="Résiduel vs Gestion",0,IF('01_Input'!$G$63="Taux Classe sélectionnée",Distrib_Global_Classe_Selectionnee*CD$20,IF('01_Input'!$G$63="Frais KYC (paliers de 100M€)",MAX(0,Nb_Investisseurs-Nb_KYC_Gratuites_Par_Tranche*(FLOOR(CD$20/Taille_Tranche_KYC,1)+1))*Cout_Par_KYC_Supplementaire,(IF('01_Input'!$L$63="Forfait",IF(CD$20&gt;='01_Input'!$J$63,'01_Input'!$M$63,0),IF('01_Input'!$L$63="Palier",IF(AND(CD$20&gt;='01_Input'!$J$63,CD$20&lt;'01_Input'!$K$63),'01_Input'!$M$63,0),MAX(MIN(CD$20,'01_Input'!$K$63)-'01_Input'!$J$63,0)*'01_Input'!$M$63))+IF('01_Input'!$P$63="Forfait",IF(CD$20&gt;='01_Input'!$N$63,'01_Input'!$Q$63,0),IF('01_Input'!$P$63="Palier",IF(AND(CD$20&gt;='01_Input'!$N$63,CD$20&lt;'01_Input'!$O$63),'01_Input'!$Q$63,0),MAX(MIN(CD$20,'01_Input'!$O$63)-'01_Input'!$N$63,0)*'01_Input'!$Q$63))+IF('01_Input'!$T$63="Forfait",IF(CD$20&gt;='01_Input'!$R$63,'01_Input'!$U$63,0),IF('01_Input'!$T$63="Palier",IF(AND(CD$20&gt;='01_Input'!$R$63,CD$20&lt;'01_Input'!$S$63),'01_Input'!$U$63,0),MAX(MIN(CD$20,'01_Input'!$S$63)-'01_Input'!$R$63,0)*'01_Input'!$U$63))+IF('01_Input'!$X$63="Forfait",IF(CD$20&gt;='01_Input'!$V$63,'01_Input'!$Y$63,0),IF('01_Input'!$X$63="Palier",IF(AND(CD$20&gt;='01_Input'!$V$63,CD$20&lt;'01_Input'!$W$63),'01_Input'!$Y$63,0),MAX(MIN(CD$20,'01_Input'!$W$63)-'01_Input'!$V$63,0)*'01_Input'!$Y$63))+IF('01_Input'!$AB$63="Forfait",IF(CD$20&gt;='01_Input'!$Z$63,'01_Input'!$AC$63,0),IF('01_Input'!$AB$63="Palier",IF(AND(CD$20&gt;='01_Input'!$Z$63,CD$20&lt;'01_Input'!$AA$63),'01_Input'!$AC$63,0),MAX(MIN(CD$20,'01_Input'!$AA$63)-'01_Input'!$Z$63,0)*'01_Input'!$AC$63)))))))))</f>
        <v>1900</v>
      </c>
      <c r="CE31" s="25">
        <f>IF('01_Input'!$C$63="Non",0,MIN('01_Input'!$I$63,MAX('01_Input'!$H$63,IF('01_Input'!$G$63="Résiduel vs Gestion",0,IF('01_Input'!$G$63="Taux Classe sélectionnée",Distrib_Global_Classe_Selectionnee*CE$20,IF('01_Input'!$G$63="Frais KYC (paliers de 100M€)",MAX(0,Nb_Investisseurs-Nb_KYC_Gratuites_Par_Tranche*(FLOOR(CE$20/Taille_Tranche_KYC,1)+1))*Cout_Par_KYC_Supplementaire,(IF('01_Input'!$L$63="Forfait",IF(CE$20&gt;='01_Input'!$J$63,'01_Input'!$M$63,0),IF('01_Input'!$L$63="Palier",IF(AND(CE$20&gt;='01_Input'!$J$63,CE$20&lt;'01_Input'!$K$63),'01_Input'!$M$63,0),MAX(MIN(CE$20,'01_Input'!$K$63)-'01_Input'!$J$63,0)*'01_Input'!$M$63))+IF('01_Input'!$P$63="Forfait",IF(CE$20&gt;='01_Input'!$N$63,'01_Input'!$Q$63,0),IF('01_Input'!$P$63="Palier",IF(AND(CE$20&gt;='01_Input'!$N$63,CE$20&lt;'01_Input'!$O$63),'01_Input'!$Q$63,0),MAX(MIN(CE$20,'01_Input'!$O$63)-'01_Input'!$N$63,0)*'01_Input'!$Q$63))+IF('01_Input'!$T$63="Forfait",IF(CE$20&gt;='01_Input'!$R$63,'01_Input'!$U$63,0),IF('01_Input'!$T$63="Palier",IF(AND(CE$20&gt;='01_Input'!$R$63,CE$20&lt;'01_Input'!$S$63),'01_Input'!$U$63,0),MAX(MIN(CE$20,'01_Input'!$S$63)-'01_Input'!$R$63,0)*'01_Input'!$U$63))+IF('01_Input'!$X$63="Forfait",IF(CE$20&gt;='01_Input'!$V$63,'01_Input'!$Y$63,0),IF('01_Input'!$X$63="Palier",IF(AND(CE$20&gt;='01_Input'!$V$63,CE$20&lt;'01_Input'!$W$63),'01_Input'!$Y$63,0),MAX(MIN(CE$20,'01_Input'!$W$63)-'01_Input'!$V$63,0)*'01_Input'!$Y$63))+IF('01_Input'!$AB$63="Forfait",IF(CE$20&gt;='01_Input'!$Z$63,'01_Input'!$AC$63,0),IF('01_Input'!$AB$63="Palier",IF(AND(CE$20&gt;='01_Input'!$Z$63,CE$20&lt;'01_Input'!$AA$63),'01_Input'!$AC$63,0),MAX(MIN(CE$20,'01_Input'!$AA$63)-'01_Input'!$Z$63,0)*'01_Input'!$AC$63)))))))))</f>
        <v>1900</v>
      </c>
      <c r="CF31" s="25">
        <f>IF('01_Input'!$C$63="Non",0,MIN('01_Input'!$I$63,MAX('01_Input'!$H$63,IF('01_Input'!$G$63="Résiduel vs Gestion",0,IF('01_Input'!$G$63="Taux Classe sélectionnée",Distrib_Global_Classe_Selectionnee*CF$20,IF('01_Input'!$G$63="Frais KYC (paliers de 100M€)",MAX(0,Nb_Investisseurs-Nb_KYC_Gratuites_Par_Tranche*(FLOOR(CF$20/Taille_Tranche_KYC,1)+1))*Cout_Par_KYC_Supplementaire,(IF('01_Input'!$L$63="Forfait",IF(CF$20&gt;='01_Input'!$J$63,'01_Input'!$M$63,0),IF('01_Input'!$L$63="Palier",IF(AND(CF$20&gt;='01_Input'!$J$63,CF$20&lt;'01_Input'!$K$63),'01_Input'!$M$63,0),MAX(MIN(CF$20,'01_Input'!$K$63)-'01_Input'!$J$63,0)*'01_Input'!$M$63))+IF('01_Input'!$P$63="Forfait",IF(CF$20&gt;='01_Input'!$N$63,'01_Input'!$Q$63,0),IF('01_Input'!$P$63="Palier",IF(AND(CF$20&gt;='01_Input'!$N$63,CF$20&lt;'01_Input'!$O$63),'01_Input'!$Q$63,0),MAX(MIN(CF$20,'01_Input'!$O$63)-'01_Input'!$N$63,0)*'01_Input'!$Q$63))+IF('01_Input'!$T$63="Forfait",IF(CF$20&gt;='01_Input'!$R$63,'01_Input'!$U$63,0),IF('01_Input'!$T$63="Palier",IF(AND(CF$20&gt;='01_Input'!$R$63,CF$20&lt;'01_Input'!$S$63),'01_Input'!$U$63,0),MAX(MIN(CF$20,'01_Input'!$S$63)-'01_Input'!$R$63,0)*'01_Input'!$U$63))+IF('01_Input'!$X$63="Forfait",IF(CF$20&gt;='01_Input'!$V$63,'01_Input'!$Y$63,0),IF('01_Input'!$X$63="Palier",IF(AND(CF$20&gt;='01_Input'!$V$63,CF$20&lt;'01_Input'!$W$63),'01_Input'!$Y$63,0),MAX(MIN(CF$20,'01_Input'!$W$63)-'01_Input'!$V$63,0)*'01_Input'!$Y$63))+IF('01_Input'!$AB$63="Forfait",IF(CF$20&gt;='01_Input'!$Z$63,'01_Input'!$AC$63,0),IF('01_Input'!$AB$63="Palier",IF(AND(CF$20&gt;='01_Input'!$Z$63,CF$20&lt;'01_Input'!$AA$63),'01_Input'!$AC$63,0),MAX(MIN(CF$20,'01_Input'!$AA$63)-'01_Input'!$Z$63,0)*'01_Input'!$AC$63)))))))))</f>
        <v>1900</v>
      </c>
      <c r="CG31" s="25">
        <f>IF('01_Input'!$C$63="Non",0,MIN('01_Input'!$I$63,MAX('01_Input'!$H$63,IF('01_Input'!$G$63="Résiduel vs Gestion",0,IF('01_Input'!$G$63="Taux Classe sélectionnée",Distrib_Global_Classe_Selectionnee*CG$20,IF('01_Input'!$G$63="Frais KYC (paliers de 100M€)",MAX(0,Nb_Investisseurs-Nb_KYC_Gratuites_Par_Tranche*(FLOOR(CG$20/Taille_Tranche_KYC,1)+1))*Cout_Par_KYC_Supplementaire,(IF('01_Input'!$L$63="Forfait",IF(CG$20&gt;='01_Input'!$J$63,'01_Input'!$M$63,0),IF('01_Input'!$L$63="Palier",IF(AND(CG$20&gt;='01_Input'!$J$63,CG$20&lt;'01_Input'!$K$63),'01_Input'!$M$63,0),MAX(MIN(CG$20,'01_Input'!$K$63)-'01_Input'!$J$63,0)*'01_Input'!$M$63))+IF('01_Input'!$P$63="Forfait",IF(CG$20&gt;='01_Input'!$N$63,'01_Input'!$Q$63,0),IF('01_Input'!$P$63="Palier",IF(AND(CG$20&gt;='01_Input'!$N$63,CG$20&lt;'01_Input'!$O$63),'01_Input'!$Q$63,0),MAX(MIN(CG$20,'01_Input'!$O$63)-'01_Input'!$N$63,0)*'01_Input'!$Q$63))+IF('01_Input'!$T$63="Forfait",IF(CG$20&gt;='01_Input'!$R$63,'01_Input'!$U$63,0),IF('01_Input'!$T$63="Palier",IF(AND(CG$20&gt;='01_Input'!$R$63,CG$20&lt;'01_Input'!$S$63),'01_Input'!$U$63,0),MAX(MIN(CG$20,'01_Input'!$S$63)-'01_Input'!$R$63,0)*'01_Input'!$U$63))+IF('01_Input'!$X$63="Forfait",IF(CG$20&gt;='01_Input'!$V$63,'01_Input'!$Y$63,0),IF('01_Input'!$X$63="Palier",IF(AND(CG$20&gt;='01_Input'!$V$63,CG$20&lt;'01_Input'!$W$63),'01_Input'!$Y$63,0),MAX(MIN(CG$20,'01_Input'!$W$63)-'01_Input'!$V$63,0)*'01_Input'!$Y$63))+IF('01_Input'!$AB$63="Forfait",IF(CG$20&gt;='01_Input'!$Z$63,'01_Input'!$AC$63,0),IF('01_Input'!$AB$63="Palier",IF(AND(CG$20&gt;='01_Input'!$Z$63,CG$20&lt;'01_Input'!$AA$63),'01_Input'!$AC$63,0),MAX(MIN(CG$20,'01_Input'!$AA$63)-'01_Input'!$Z$63,0)*'01_Input'!$AC$63)))))))))</f>
        <v>1900</v>
      </c>
      <c r="CH31" s="25">
        <f>IF('01_Input'!$C$63="Non",0,MIN('01_Input'!$I$63,MAX('01_Input'!$H$63,IF('01_Input'!$G$63="Résiduel vs Gestion",0,IF('01_Input'!$G$63="Taux Classe sélectionnée",Distrib_Global_Classe_Selectionnee*CH$20,IF('01_Input'!$G$63="Frais KYC (paliers de 100M€)",MAX(0,Nb_Investisseurs-Nb_KYC_Gratuites_Par_Tranche*(FLOOR(CH$20/Taille_Tranche_KYC,1)+1))*Cout_Par_KYC_Supplementaire,(IF('01_Input'!$L$63="Forfait",IF(CH$20&gt;='01_Input'!$J$63,'01_Input'!$M$63,0),IF('01_Input'!$L$63="Palier",IF(AND(CH$20&gt;='01_Input'!$J$63,CH$20&lt;'01_Input'!$K$63),'01_Input'!$M$63,0),MAX(MIN(CH$20,'01_Input'!$K$63)-'01_Input'!$J$63,0)*'01_Input'!$M$63))+IF('01_Input'!$P$63="Forfait",IF(CH$20&gt;='01_Input'!$N$63,'01_Input'!$Q$63,0),IF('01_Input'!$P$63="Palier",IF(AND(CH$20&gt;='01_Input'!$N$63,CH$20&lt;'01_Input'!$O$63),'01_Input'!$Q$63,0),MAX(MIN(CH$20,'01_Input'!$O$63)-'01_Input'!$N$63,0)*'01_Input'!$Q$63))+IF('01_Input'!$T$63="Forfait",IF(CH$20&gt;='01_Input'!$R$63,'01_Input'!$U$63,0),IF('01_Input'!$T$63="Palier",IF(AND(CH$20&gt;='01_Input'!$R$63,CH$20&lt;'01_Input'!$S$63),'01_Input'!$U$63,0),MAX(MIN(CH$20,'01_Input'!$S$63)-'01_Input'!$R$63,0)*'01_Input'!$U$63))+IF('01_Input'!$X$63="Forfait",IF(CH$20&gt;='01_Input'!$V$63,'01_Input'!$Y$63,0),IF('01_Input'!$X$63="Palier",IF(AND(CH$20&gt;='01_Input'!$V$63,CH$20&lt;'01_Input'!$W$63),'01_Input'!$Y$63,0),MAX(MIN(CH$20,'01_Input'!$W$63)-'01_Input'!$V$63,0)*'01_Input'!$Y$63))+IF('01_Input'!$AB$63="Forfait",IF(CH$20&gt;='01_Input'!$Z$63,'01_Input'!$AC$63,0),IF('01_Input'!$AB$63="Palier",IF(AND(CH$20&gt;='01_Input'!$Z$63,CH$20&lt;'01_Input'!$AA$63),'01_Input'!$AC$63,0),MAX(MIN(CH$20,'01_Input'!$AA$63)-'01_Input'!$Z$63,0)*'01_Input'!$AC$63)))))))))</f>
        <v>1900</v>
      </c>
      <c r="CI31" s="25">
        <f>IF('01_Input'!$C$63="Non",0,MIN('01_Input'!$I$63,MAX('01_Input'!$H$63,IF('01_Input'!$G$63="Résiduel vs Gestion",0,IF('01_Input'!$G$63="Taux Classe sélectionnée",Distrib_Global_Classe_Selectionnee*CI$20,IF('01_Input'!$G$63="Frais KYC (paliers de 100M€)",MAX(0,Nb_Investisseurs-Nb_KYC_Gratuites_Par_Tranche*(FLOOR(CI$20/Taille_Tranche_KYC,1)+1))*Cout_Par_KYC_Supplementaire,(IF('01_Input'!$L$63="Forfait",IF(CI$20&gt;='01_Input'!$J$63,'01_Input'!$M$63,0),IF('01_Input'!$L$63="Palier",IF(AND(CI$20&gt;='01_Input'!$J$63,CI$20&lt;'01_Input'!$K$63),'01_Input'!$M$63,0),MAX(MIN(CI$20,'01_Input'!$K$63)-'01_Input'!$J$63,0)*'01_Input'!$M$63))+IF('01_Input'!$P$63="Forfait",IF(CI$20&gt;='01_Input'!$N$63,'01_Input'!$Q$63,0),IF('01_Input'!$P$63="Palier",IF(AND(CI$20&gt;='01_Input'!$N$63,CI$20&lt;'01_Input'!$O$63),'01_Input'!$Q$63,0),MAX(MIN(CI$20,'01_Input'!$O$63)-'01_Input'!$N$63,0)*'01_Input'!$Q$63))+IF('01_Input'!$T$63="Forfait",IF(CI$20&gt;='01_Input'!$R$63,'01_Input'!$U$63,0),IF('01_Input'!$T$63="Palier",IF(AND(CI$20&gt;='01_Input'!$R$63,CI$20&lt;'01_Input'!$S$63),'01_Input'!$U$63,0),MAX(MIN(CI$20,'01_Input'!$S$63)-'01_Input'!$R$63,0)*'01_Input'!$U$63))+IF('01_Input'!$X$63="Forfait",IF(CI$20&gt;='01_Input'!$V$63,'01_Input'!$Y$63,0),IF('01_Input'!$X$63="Palier",IF(AND(CI$20&gt;='01_Input'!$V$63,CI$20&lt;'01_Input'!$W$63),'01_Input'!$Y$63,0),MAX(MIN(CI$20,'01_Input'!$W$63)-'01_Input'!$V$63,0)*'01_Input'!$Y$63))+IF('01_Input'!$AB$63="Forfait",IF(CI$20&gt;='01_Input'!$Z$63,'01_Input'!$AC$63,0),IF('01_Input'!$AB$63="Palier",IF(AND(CI$20&gt;='01_Input'!$Z$63,CI$20&lt;'01_Input'!$AA$63),'01_Input'!$AC$63,0),MAX(MIN(CI$20,'01_Input'!$AA$63)-'01_Input'!$Z$63,0)*'01_Input'!$AC$63)))))))))</f>
        <v>1900</v>
      </c>
      <c r="CJ31" s="25">
        <f>IF('01_Input'!$C$63="Non",0,MIN('01_Input'!$I$63,MAX('01_Input'!$H$63,IF('01_Input'!$G$63="Résiduel vs Gestion",0,IF('01_Input'!$G$63="Taux Classe sélectionnée",Distrib_Global_Classe_Selectionnee*CJ$20,IF('01_Input'!$G$63="Frais KYC (paliers de 100M€)",MAX(0,Nb_Investisseurs-Nb_KYC_Gratuites_Par_Tranche*(FLOOR(CJ$20/Taille_Tranche_KYC,1)+1))*Cout_Par_KYC_Supplementaire,(IF('01_Input'!$L$63="Forfait",IF(CJ$20&gt;='01_Input'!$J$63,'01_Input'!$M$63,0),IF('01_Input'!$L$63="Palier",IF(AND(CJ$20&gt;='01_Input'!$J$63,CJ$20&lt;'01_Input'!$K$63),'01_Input'!$M$63,0),MAX(MIN(CJ$20,'01_Input'!$K$63)-'01_Input'!$J$63,0)*'01_Input'!$M$63))+IF('01_Input'!$P$63="Forfait",IF(CJ$20&gt;='01_Input'!$N$63,'01_Input'!$Q$63,0),IF('01_Input'!$P$63="Palier",IF(AND(CJ$20&gt;='01_Input'!$N$63,CJ$20&lt;'01_Input'!$O$63),'01_Input'!$Q$63,0),MAX(MIN(CJ$20,'01_Input'!$O$63)-'01_Input'!$N$63,0)*'01_Input'!$Q$63))+IF('01_Input'!$T$63="Forfait",IF(CJ$20&gt;='01_Input'!$R$63,'01_Input'!$U$63,0),IF('01_Input'!$T$63="Palier",IF(AND(CJ$20&gt;='01_Input'!$R$63,CJ$20&lt;'01_Input'!$S$63),'01_Input'!$U$63,0),MAX(MIN(CJ$20,'01_Input'!$S$63)-'01_Input'!$R$63,0)*'01_Input'!$U$63))+IF('01_Input'!$X$63="Forfait",IF(CJ$20&gt;='01_Input'!$V$63,'01_Input'!$Y$63,0),IF('01_Input'!$X$63="Palier",IF(AND(CJ$20&gt;='01_Input'!$V$63,CJ$20&lt;'01_Input'!$W$63),'01_Input'!$Y$63,0),MAX(MIN(CJ$20,'01_Input'!$W$63)-'01_Input'!$V$63,0)*'01_Input'!$Y$63))+IF('01_Input'!$AB$63="Forfait",IF(CJ$20&gt;='01_Input'!$Z$63,'01_Input'!$AC$63,0),IF('01_Input'!$AB$63="Palier",IF(AND(CJ$20&gt;='01_Input'!$Z$63,CJ$20&lt;'01_Input'!$AA$63),'01_Input'!$AC$63,0),MAX(MIN(CJ$20,'01_Input'!$AA$63)-'01_Input'!$Z$63,0)*'01_Input'!$AC$63)))))))))</f>
        <v>1900</v>
      </c>
      <c r="CK31" s="25">
        <f>IF('01_Input'!$C$63="Non",0,MIN('01_Input'!$I$63,MAX('01_Input'!$H$63,IF('01_Input'!$G$63="Résiduel vs Gestion",0,IF('01_Input'!$G$63="Taux Classe sélectionnée",Distrib_Global_Classe_Selectionnee*CK$20,IF('01_Input'!$G$63="Frais KYC (paliers de 100M€)",MAX(0,Nb_Investisseurs-Nb_KYC_Gratuites_Par_Tranche*(FLOOR(CK$20/Taille_Tranche_KYC,1)+1))*Cout_Par_KYC_Supplementaire,(IF('01_Input'!$L$63="Forfait",IF(CK$20&gt;='01_Input'!$J$63,'01_Input'!$M$63,0),IF('01_Input'!$L$63="Palier",IF(AND(CK$20&gt;='01_Input'!$J$63,CK$20&lt;'01_Input'!$K$63),'01_Input'!$M$63,0),MAX(MIN(CK$20,'01_Input'!$K$63)-'01_Input'!$J$63,0)*'01_Input'!$M$63))+IF('01_Input'!$P$63="Forfait",IF(CK$20&gt;='01_Input'!$N$63,'01_Input'!$Q$63,0),IF('01_Input'!$P$63="Palier",IF(AND(CK$20&gt;='01_Input'!$N$63,CK$20&lt;'01_Input'!$O$63),'01_Input'!$Q$63,0),MAX(MIN(CK$20,'01_Input'!$O$63)-'01_Input'!$N$63,0)*'01_Input'!$Q$63))+IF('01_Input'!$T$63="Forfait",IF(CK$20&gt;='01_Input'!$R$63,'01_Input'!$U$63,0),IF('01_Input'!$T$63="Palier",IF(AND(CK$20&gt;='01_Input'!$R$63,CK$20&lt;'01_Input'!$S$63),'01_Input'!$U$63,0),MAX(MIN(CK$20,'01_Input'!$S$63)-'01_Input'!$R$63,0)*'01_Input'!$U$63))+IF('01_Input'!$X$63="Forfait",IF(CK$20&gt;='01_Input'!$V$63,'01_Input'!$Y$63,0),IF('01_Input'!$X$63="Palier",IF(AND(CK$20&gt;='01_Input'!$V$63,CK$20&lt;'01_Input'!$W$63),'01_Input'!$Y$63,0),MAX(MIN(CK$20,'01_Input'!$W$63)-'01_Input'!$V$63,0)*'01_Input'!$Y$63))+IF('01_Input'!$AB$63="Forfait",IF(CK$20&gt;='01_Input'!$Z$63,'01_Input'!$AC$63,0),IF('01_Input'!$AB$63="Palier",IF(AND(CK$20&gt;='01_Input'!$Z$63,CK$20&lt;'01_Input'!$AA$63),'01_Input'!$AC$63,0),MAX(MIN(CK$20,'01_Input'!$AA$63)-'01_Input'!$Z$63,0)*'01_Input'!$AC$63)))))))))</f>
        <v>1900</v>
      </c>
      <c r="CL31" s="25">
        <f>IF('01_Input'!$C$63="Non",0,MIN('01_Input'!$I$63,MAX('01_Input'!$H$63,IF('01_Input'!$G$63="Résiduel vs Gestion",0,IF('01_Input'!$G$63="Taux Classe sélectionnée",Distrib_Global_Classe_Selectionnee*CL$20,IF('01_Input'!$G$63="Frais KYC (paliers de 100M€)",MAX(0,Nb_Investisseurs-Nb_KYC_Gratuites_Par_Tranche*(FLOOR(CL$20/Taille_Tranche_KYC,1)+1))*Cout_Par_KYC_Supplementaire,(IF('01_Input'!$L$63="Forfait",IF(CL$20&gt;='01_Input'!$J$63,'01_Input'!$M$63,0),IF('01_Input'!$L$63="Palier",IF(AND(CL$20&gt;='01_Input'!$J$63,CL$20&lt;'01_Input'!$K$63),'01_Input'!$M$63,0),MAX(MIN(CL$20,'01_Input'!$K$63)-'01_Input'!$J$63,0)*'01_Input'!$M$63))+IF('01_Input'!$P$63="Forfait",IF(CL$20&gt;='01_Input'!$N$63,'01_Input'!$Q$63,0),IF('01_Input'!$P$63="Palier",IF(AND(CL$20&gt;='01_Input'!$N$63,CL$20&lt;'01_Input'!$O$63),'01_Input'!$Q$63,0),MAX(MIN(CL$20,'01_Input'!$O$63)-'01_Input'!$N$63,0)*'01_Input'!$Q$63))+IF('01_Input'!$T$63="Forfait",IF(CL$20&gt;='01_Input'!$R$63,'01_Input'!$U$63,0),IF('01_Input'!$T$63="Palier",IF(AND(CL$20&gt;='01_Input'!$R$63,CL$20&lt;'01_Input'!$S$63),'01_Input'!$U$63,0),MAX(MIN(CL$20,'01_Input'!$S$63)-'01_Input'!$R$63,0)*'01_Input'!$U$63))+IF('01_Input'!$X$63="Forfait",IF(CL$20&gt;='01_Input'!$V$63,'01_Input'!$Y$63,0),IF('01_Input'!$X$63="Palier",IF(AND(CL$20&gt;='01_Input'!$V$63,CL$20&lt;'01_Input'!$W$63),'01_Input'!$Y$63,0),MAX(MIN(CL$20,'01_Input'!$W$63)-'01_Input'!$V$63,0)*'01_Input'!$Y$63))+IF('01_Input'!$AB$63="Forfait",IF(CL$20&gt;='01_Input'!$Z$63,'01_Input'!$AC$63,0),IF('01_Input'!$AB$63="Palier",IF(AND(CL$20&gt;='01_Input'!$Z$63,CL$20&lt;'01_Input'!$AA$63),'01_Input'!$AC$63,0),MAX(MIN(CL$20,'01_Input'!$AA$63)-'01_Input'!$Z$63,0)*'01_Input'!$AC$63)))))))))</f>
        <v>1900</v>
      </c>
      <c r="CM31" s="25">
        <f>IF('01_Input'!$C$63="Non",0,MIN('01_Input'!$I$63,MAX('01_Input'!$H$63,IF('01_Input'!$G$63="Résiduel vs Gestion",0,IF('01_Input'!$G$63="Taux Classe sélectionnée",Distrib_Global_Classe_Selectionnee*CM$20,IF('01_Input'!$G$63="Frais KYC (paliers de 100M€)",MAX(0,Nb_Investisseurs-Nb_KYC_Gratuites_Par_Tranche*(FLOOR(CM$20/Taille_Tranche_KYC,1)+1))*Cout_Par_KYC_Supplementaire,(IF('01_Input'!$L$63="Forfait",IF(CM$20&gt;='01_Input'!$J$63,'01_Input'!$M$63,0),IF('01_Input'!$L$63="Palier",IF(AND(CM$20&gt;='01_Input'!$J$63,CM$20&lt;'01_Input'!$K$63),'01_Input'!$M$63,0),MAX(MIN(CM$20,'01_Input'!$K$63)-'01_Input'!$J$63,0)*'01_Input'!$M$63))+IF('01_Input'!$P$63="Forfait",IF(CM$20&gt;='01_Input'!$N$63,'01_Input'!$Q$63,0),IF('01_Input'!$P$63="Palier",IF(AND(CM$20&gt;='01_Input'!$N$63,CM$20&lt;'01_Input'!$O$63),'01_Input'!$Q$63,0),MAX(MIN(CM$20,'01_Input'!$O$63)-'01_Input'!$N$63,0)*'01_Input'!$Q$63))+IF('01_Input'!$T$63="Forfait",IF(CM$20&gt;='01_Input'!$R$63,'01_Input'!$U$63,0),IF('01_Input'!$T$63="Palier",IF(AND(CM$20&gt;='01_Input'!$R$63,CM$20&lt;'01_Input'!$S$63),'01_Input'!$U$63,0),MAX(MIN(CM$20,'01_Input'!$S$63)-'01_Input'!$R$63,0)*'01_Input'!$U$63))+IF('01_Input'!$X$63="Forfait",IF(CM$20&gt;='01_Input'!$V$63,'01_Input'!$Y$63,0),IF('01_Input'!$X$63="Palier",IF(AND(CM$20&gt;='01_Input'!$V$63,CM$20&lt;'01_Input'!$W$63),'01_Input'!$Y$63,0),MAX(MIN(CM$20,'01_Input'!$W$63)-'01_Input'!$V$63,0)*'01_Input'!$Y$63))+IF('01_Input'!$AB$63="Forfait",IF(CM$20&gt;='01_Input'!$Z$63,'01_Input'!$AC$63,0),IF('01_Input'!$AB$63="Palier",IF(AND(CM$20&gt;='01_Input'!$Z$63,CM$20&lt;'01_Input'!$AA$63),'01_Input'!$AC$63,0),MAX(MIN(CM$20,'01_Input'!$AA$63)-'01_Input'!$Z$63,0)*'01_Input'!$AC$63)))))))))</f>
        <v>1900</v>
      </c>
      <c r="CN31" s="25">
        <f>IF('01_Input'!$C$63="Non",0,MIN('01_Input'!$I$63,MAX('01_Input'!$H$63,IF('01_Input'!$G$63="Résiduel vs Gestion",0,IF('01_Input'!$G$63="Taux Classe sélectionnée",Distrib_Global_Classe_Selectionnee*CN$20,IF('01_Input'!$G$63="Frais KYC (paliers de 100M€)",MAX(0,Nb_Investisseurs-Nb_KYC_Gratuites_Par_Tranche*(FLOOR(CN$20/Taille_Tranche_KYC,1)+1))*Cout_Par_KYC_Supplementaire,(IF('01_Input'!$L$63="Forfait",IF(CN$20&gt;='01_Input'!$J$63,'01_Input'!$M$63,0),IF('01_Input'!$L$63="Palier",IF(AND(CN$20&gt;='01_Input'!$J$63,CN$20&lt;'01_Input'!$K$63),'01_Input'!$M$63,0),MAX(MIN(CN$20,'01_Input'!$K$63)-'01_Input'!$J$63,0)*'01_Input'!$M$63))+IF('01_Input'!$P$63="Forfait",IF(CN$20&gt;='01_Input'!$N$63,'01_Input'!$Q$63,0),IF('01_Input'!$P$63="Palier",IF(AND(CN$20&gt;='01_Input'!$N$63,CN$20&lt;'01_Input'!$O$63),'01_Input'!$Q$63,0),MAX(MIN(CN$20,'01_Input'!$O$63)-'01_Input'!$N$63,0)*'01_Input'!$Q$63))+IF('01_Input'!$T$63="Forfait",IF(CN$20&gt;='01_Input'!$R$63,'01_Input'!$U$63,0),IF('01_Input'!$T$63="Palier",IF(AND(CN$20&gt;='01_Input'!$R$63,CN$20&lt;'01_Input'!$S$63),'01_Input'!$U$63,0),MAX(MIN(CN$20,'01_Input'!$S$63)-'01_Input'!$R$63,0)*'01_Input'!$U$63))+IF('01_Input'!$X$63="Forfait",IF(CN$20&gt;='01_Input'!$V$63,'01_Input'!$Y$63,0),IF('01_Input'!$X$63="Palier",IF(AND(CN$20&gt;='01_Input'!$V$63,CN$20&lt;'01_Input'!$W$63),'01_Input'!$Y$63,0),MAX(MIN(CN$20,'01_Input'!$W$63)-'01_Input'!$V$63,0)*'01_Input'!$Y$63))+IF('01_Input'!$AB$63="Forfait",IF(CN$20&gt;='01_Input'!$Z$63,'01_Input'!$AC$63,0),IF('01_Input'!$AB$63="Palier",IF(AND(CN$20&gt;='01_Input'!$Z$63,CN$20&lt;'01_Input'!$AA$63),'01_Input'!$AC$63,0),MAX(MIN(CN$20,'01_Input'!$AA$63)-'01_Input'!$Z$63,0)*'01_Input'!$AC$63)))))))))</f>
        <v>1900</v>
      </c>
      <c r="CO31" s="25">
        <f>IF('01_Input'!$C$63="Non",0,MIN('01_Input'!$I$63,MAX('01_Input'!$H$63,IF('01_Input'!$G$63="Résiduel vs Gestion",0,IF('01_Input'!$G$63="Taux Classe sélectionnée",Distrib_Global_Classe_Selectionnee*CO$20,IF('01_Input'!$G$63="Frais KYC (paliers de 100M€)",MAX(0,Nb_Investisseurs-Nb_KYC_Gratuites_Par_Tranche*(FLOOR(CO$20/Taille_Tranche_KYC,1)+1))*Cout_Par_KYC_Supplementaire,(IF('01_Input'!$L$63="Forfait",IF(CO$20&gt;='01_Input'!$J$63,'01_Input'!$M$63,0),IF('01_Input'!$L$63="Palier",IF(AND(CO$20&gt;='01_Input'!$J$63,CO$20&lt;'01_Input'!$K$63),'01_Input'!$M$63,0),MAX(MIN(CO$20,'01_Input'!$K$63)-'01_Input'!$J$63,0)*'01_Input'!$M$63))+IF('01_Input'!$P$63="Forfait",IF(CO$20&gt;='01_Input'!$N$63,'01_Input'!$Q$63,0),IF('01_Input'!$P$63="Palier",IF(AND(CO$20&gt;='01_Input'!$N$63,CO$20&lt;'01_Input'!$O$63),'01_Input'!$Q$63,0),MAX(MIN(CO$20,'01_Input'!$O$63)-'01_Input'!$N$63,0)*'01_Input'!$Q$63))+IF('01_Input'!$T$63="Forfait",IF(CO$20&gt;='01_Input'!$R$63,'01_Input'!$U$63,0),IF('01_Input'!$T$63="Palier",IF(AND(CO$20&gt;='01_Input'!$R$63,CO$20&lt;'01_Input'!$S$63),'01_Input'!$U$63,0),MAX(MIN(CO$20,'01_Input'!$S$63)-'01_Input'!$R$63,0)*'01_Input'!$U$63))+IF('01_Input'!$X$63="Forfait",IF(CO$20&gt;='01_Input'!$V$63,'01_Input'!$Y$63,0),IF('01_Input'!$X$63="Palier",IF(AND(CO$20&gt;='01_Input'!$V$63,CO$20&lt;'01_Input'!$W$63),'01_Input'!$Y$63,0),MAX(MIN(CO$20,'01_Input'!$W$63)-'01_Input'!$V$63,0)*'01_Input'!$Y$63))+IF('01_Input'!$AB$63="Forfait",IF(CO$20&gt;='01_Input'!$Z$63,'01_Input'!$AC$63,0),IF('01_Input'!$AB$63="Palier",IF(AND(CO$20&gt;='01_Input'!$Z$63,CO$20&lt;'01_Input'!$AA$63),'01_Input'!$AC$63,0),MAX(MIN(CO$20,'01_Input'!$AA$63)-'01_Input'!$Z$63,0)*'01_Input'!$AC$63)))))))))</f>
        <v>1900</v>
      </c>
      <c r="CP31" s="25">
        <f>IF('01_Input'!$C$63="Non",0,MIN('01_Input'!$I$63,MAX('01_Input'!$H$63,IF('01_Input'!$G$63="Résiduel vs Gestion",0,IF('01_Input'!$G$63="Taux Classe sélectionnée",Distrib_Global_Classe_Selectionnee*CP$20,IF('01_Input'!$G$63="Frais KYC (paliers de 100M€)",MAX(0,Nb_Investisseurs-Nb_KYC_Gratuites_Par_Tranche*(FLOOR(CP$20/Taille_Tranche_KYC,1)+1))*Cout_Par_KYC_Supplementaire,(IF('01_Input'!$L$63="Forfait",IF(CP$20&gt;='01_Input'!$J$63,'01_Input'!$M$63,0),IF('01_Input'!$L$63="Palier",IF(AND(CP$20&gt;='01_Input'!$J$63,CP$20&lt;'01_Input'!$K$63),'01_Input'!$M$63,0),MAX(MIN(CP$20,'01_Input'!$K$63)-'01_Input'!$J$63,0)*'01_Input'!$M$63))+IF('01_Input'!$P$63="Forfait",IF(CP$20&gt;='01_Input'!$N$63,'01_Input'!$Q$63,0),IF('01_Input'!$P$63="Palier",IF(AND(CP$20&gt;='01_Input'!$N$63,CP$20&lt;'01_Input'!$O$63),'01_Input'!$Q$63,0),MAX(MIN(CP$20,'01_Input'!$O$63)-'01_Input'!$N$63,0)*'01_Input'!$Q$63))+IF('01_Input'!$T$63="Forfait",IF(CP$20&gt;='01_Input'!$R$63,'01_Input'!$U$63,0),IF('01_Input'!$T$63="Palier",IF(AND(CP$20&gt;='01_Input'!$R$63,CP$20&lt;'01_Input'!$S$63),'01_Input'!$U$63,0),MAX(MIN(CP$20,'01_Input'!$S$63)-'01_Input'!$R$63,0)*'01_Input'!$U$63))+IF('01_Input'!$X$63="Forfait",IF(CP$20&gt;='01_Input'!$V$63,'01_Input'!$Y$63,0),IF('01_Input'!$X$63="Palier",IF(AND(CP$20&gt;='01_Input'!$V$63,CP$20&lt;'01_Input'!$W$63),'01_Input'!$Y$63,0),MAX(MIN(CP$20,'01_Input'!$W$63)-'01_Input'!$V$63,0)*'01_Input'!$Y$63))+IF('01_Input'!$AB$63="Forfait",IF(CP$20&gt;='01_Input'!$Z$63,'01_Input'!$AC$63,0),IF('01_Input'!$AB$63="Palier",IF(AND(CP$20&gt;='01_Input'!$Z$63,CP$20&lt;'01_Input'!$AA$63),'01_Input'!$AC$63,0),MAX(MIN(CP$20,'01_Input'!$AA$63)-'01_Input'!$Z$63,0)*'01_Input'!$AC$63)))))))))</f>
        <v>1900</v>
      </c>
      <c r="CQ31" s="25">
        <f>IF('01_Input'!$C$63="Non",0,MIN('01_Input'!$I$63,MAX('01_Input'!$H$63,IF('01_Input'!$G$63="Résiduel vs Gestion",0,IF('01_Input'!$G$63="Taux Classe sélectionnée",Distrib_Global_Classe_Selectionnee*CQ$20,IF('01_Input'!$G$63="Frais KYC (paliers de 100M€)",MAX(0,Nb_Investisseurs-Nb_KYC_Gratuites_Par_Tranche*(FLOOR(CQ$20/Taille_Tranche_KYC,1)+1))*Cout_Par_KYC_Supplementaire,(IF('01_Input'!$L$63="Forfait",IF(CQ$20&gt;='01_Input'!$J$63,'01_Input'!$M$63,0),IF('01_Input'!$L$63="Palier",IF(AND(CQ$20&gt;='01_Input'!$J$63,CQ$20&lt;'01_Input'!$K$63),'01_Input'!$M$63,0),MAX(MIN(CQ$20,'01_Input'!$K$63)-'01_Input'!$J$63,0)*'01_Input'!$M$63))+IF('01_Input'!$P$63="Forfait",IF(CQ$20&gt;='01_Input'!$N$63,'01_Input'!$Q$63,0),IF('01_Input'!$P$63="Palier",IF(AND(CQ$20&gt;='01_Input'!$N$63,CQ$20&lt;'01_Input'!$O$63),'01_Input'!$Q$63,0),MAX(MIN(CQ$20,'01_Input'!$O$63)-'01_Input'!$N$63,0)*'01_Input'!$Q$63))+IF('01_Input'!$T$63="Forfait",IF(CQ$20&gt;='01_Input'!$R$63,'01_Input'!$U$63,0),IF('01_Input'!$T$63="Palier",IF(AND(CQ$20&gt;='01_Input'!$R$63,CQ$20&lt;'01_Input'!$S$63),'01_Input'!$U$63,0),MAX(MIN(CQ$20,'01_Input'!$S$63)-'01_Input'!$R$63,0)*'01_Input'!$U$63))+IF('01_Input'!$X$63="Forfait",IF(CQ$20&gt;='01_Input'!$V$63,'01_Input'!$Y$63,0),IF('01_Input'!$X$63="Palier",IF(AND(CQ$20&gt;='01_Input'!$V$63,CQ$20&lt;'01_Input'!$W$63),'01_Input'!$Y$63,0),MAX(MIN(CQ$20,'01_Input'!$W$63)-'01_Input'!$V$63,0)*'01_Input'!$Y$63))+IF('01_Input'!$AB$63="Forfait",IF(CQ$20&gt;='01_Input'!$Z$63,'01_Input'!$AC$63,0),IF('01_Input'!$AB$63="Palier",IF(AND(CQ$20&gt;='01_Input'!$Z$63,CQ$20&lt;'01_Input'!$AA$63),'01_Input'!$AC$63,0),MAX(MIN(CQ$20,'01_Input'!$AA$63)-'01_Input'!$Z$63,0)*'01_Input'!$AC$63)))))))))</f>
        <v>1900</v>
      </c>
      <c r="CR31" s="25">
        <f>IF('01_Input'!$C$63="Non",0,MIN('01_Input'!$I$63,MAX('01_Input'!$H$63,IF('01_Input'!$G$63="Résiduel vs Gestion",0,IF('01_Input'!$G$63="Taux Classe sélectionnée",Distrib_Global_Classe_Selectionnee*CR$20,IF('01_Input'!$G$63="Frais KYC (paliers de 100M€)",MAX(0,Nb_Investisseurs-Nb_KYC_Gratuites_Par_Tranche*(FLOOR(CR$20/Taille_Tranche_KYC,1)+1))*Cout_Par_KYC_Supplementaire,(IF('01_Input'!$L$63="Forfait",IF(CR$20&gt;='01_Input'!$J$63,'01_Input'!$M$63,0),IF('01_Input'!$L$63="Palier",IF(AND(CR$20&gt;='01_Input'!$J$63,CR$20&lt;'01_Input'!$K$63),'01_Input'!$M$63,0),MAX(MIN(CR$20,'01_Input'!$K$63)-'01_Input'!$J$63,0)*'01_Input'!$M$63))+IF('01_Input'!$P$63="Forfait",IF(CR$20&gt;='01_Input'!$N$63,'01_Input'!$Q$63,0),IF('01_Input'!$P$63="Palier",IF(AND(CR$20&gt;='01_Input'!$N$63,CR$20&lt;'01_Input'!$O$63),'01_Input'!$Q$63,0),MAX(MIN(CR$20,'01_Input'!$O$63)-'01_Input'!$N$63,0)*'01_Input'!$Q$63))+IF('01_Input'!$T$63="Forfait",IF(CR$20&gt;='01_Input'!$R$63,'01_Input'!$U$63,0),IF('01_Input'!$T$63="Palier",IF(AND(CR$20&gt;='01_Input'!$R$63,CR$20&lt;'01_Input'!$S$63),'01_Input'!$U$63,0),MAX(MIN(CR$20,'01_Input'!$S$63)-'01_Input'!$R$63,0)*'01_Input'!$U$63))+IF('01_Input'!$X$63="Forfait",IF(CR$20&gt;='01_Input'!$V$63,'01_Input'!$Y$63,0),IF('01_Input'!$X$63="Palier",IF(AND(CR$20&gt;='01_Input'!$V$63,CR$20&lt;'01_Input'!$W$63),'01_Input'!$Y$63,0),MAX(MIN(CR$20,'01_Input'!$W$63)-'01_Input'!$V$63,0)*'01_Input'!$Y$63))+IF('01_Input'!$AB$63="Forfait",IF(CR$20&gt;='01_Input'!$Z$63,'01_Input'!$AC$63,0),IF('01_Input'!$AB$63="Palier",IF(AND(CR$20&gt;='01_Input'!$Z$63,CR$20&lt;'01_Input'!$AA$63),'01_Input'!$AC$63,0),MAX(MIN(CR$20,'01_Input'!$AA$63)-'01_Input'!$Z$63,0)*'01_Input'!$AC$63)))))))))</f>
        <v>1900</v>
      </c>
      <c r="CS31" s="25">
        <f>IF('01_Input'!$C$63="Non",0,MIN('01_Input'!$I$63,MAX('01_Input'!$H$63,IF('01_Input'!$G$63="Résiduel vs Gestion",0,IF('01_Input'!$G$63="Taux Classe sélectionnée",Distrib_Global_Classe_Selectionnee*CS$20,IF('01_Input'!$G$63="Frais KYC (paliers de 100M€)",MAX(0,Nb_Investisseurs-Nb_KYC_Gratuites_Par_Tranche*(FLOOR(CS$20/Taille_Tranche_KYC,1)+1))*Cout_Par_KYC_Supplementaire,(IF('01_Input'!$L$63="Forfait",IF(CS$20&gt;='01_Input'!$J$63,'01_Input'!$M$63,0),IF('01_Input'!$L$63="Palier",IF(AND(CS$20&gt;='01_Input'!$J$63,CS$20&lt;'01_Input'!$K$63),'01_Input'!$M$63,0),MAX(MIN(CS$20,'01_Input'!$K$63)-'01_Input'!$J$63,0)*'01_Input'!$M$63))+IF('01_Input'!$P$63="Forfait",IF(CS$20&gt;='01_Input'!$N$63,'01_Input'!$Q$63,0),IF('01_Input'!$P$63="Palier",IF(AND(CS$20&gt;='01_Input'!$N$63,CS$20&lt;'01_Input'!$O$63),'01_Input'!$Q$63,0),MAX(MIN(CS$20,'01_Input'!$O$63)-'01_Input'!$N$63,0)*'01_Input'!$Q$63))+IF('01_Input'!$T$63="Forfait",IF(CS$20&gt;='01_Input'!$R$63,'01_Input'!$U$63,0),IF('01_Input'!$T$63="Palier",IF(AND(CS$20&gt;='01_Input'!$R$63,CS$20&lt;'01_Input'!$S$63),'01_Input'!$U$63,0),MAX(MIN(CS$20,'01_Input'!$S$63)-'01_Input'!$R$63,0)*'01_Input'!$U$63))+IF('01_Input'!$X$63="Forfait",IF(CS$20&gt;='01_Input'!$V$63,'01_Input'!$Y$63,0),IF('01_Input'!$X$63="Palier",IF(AND(CS$20&gt;='01_Input'!$V$63,CS$20&lt;'01_Input'!$W$63),'01_Input'!$Y$63,0),MAX(MIN(CS$20,'01_Input'!$W$63)-'01_Input'!$V$63,0)*'01_Input'!$Y$63))+IF('01_Input'!$AB$63="Forfait",IF(CS$20&gt;='01_Input'!$Z$63,'01_Input'!$AC$63,0),IF('01_Input'!$AB$63="Palier",IF(AND(CS$20&gt;='01_Input'!$Z$63,CS$20&lt;'01_Input'!$AA$63),'01_Input'!$AC$63,0),MAX(MIN(CS$20,'01_Input'!$AA$63)-'01_Input'!$Z$63,0)*'01_Input'!$AC$63)))))))))</f>
        <v>1900</v>
      </c>
      <c r="CT31" s="25">
        <f>IF('01_Input'!$C$63="Non",0,MIN('01_Input'!$I$63,MAX('01_Input'!$H$63,IF('01_Input'!$G$63="Résiduel vs Gestion",0,IF('01_Input'!$G$63="Taux Classe sélectionnée",Distrib_Global_Classe_Selectionnee*CT$20,IF('01_Input'!$G$63="Frais KYC (paliers de 100M€)",MAX(0,Nb_Investisseurs-Nb_KYC_Gratuites_Par_Tranche*(FLOOR(CT$20/Taille_Tranche_KYC,1)+1))*Cout_Par_KYC_Supplementaire,(IF('01_Input'!$L$63="Forfait",IF(CT$20&gt;='01_Input'!$J$63,'01_Input'!$M$63,0),IF('01_Input'!$L$63="Palier",IF(AND(CT$20&gt;='01_Input'!$J$63,CT$20&lt;'01_Input'!$K$63),'01_Input'!$M$63,0),MAX(MIN(CT$20,'01_Input'!$K$63)-'01_Input'!$J$63,0)*'01_Input'!$M$63))+IF('01_Input'!$P$63="Forfait",IF(CT$20&gt;='01_Input'!$N$63,'01_Input'!$Q$63,0),IF('01_Input'!$P$63="Palier",IF(AND(CT$20&gt;='01_Input'!$N$63,CT$20&lt;'01_Input'!$O$63),'01_Input'!$Q$63,0),MAX(MIN(CT$20,'01_Input'!$O$63)-'01_Input'!$N$63,0)*'01_Input'!$Q$63))+IF('01_Input'!$T$63="Forfait",IF(CT$20&gt;='01_Input'!$R$63,'01_Input'!$U$63,0),IF('01_Input'!$T$63="Palier",IF(AND(CT$20&gt;='01_Input'!$R$63,CT$20&lt;'01_Input'!$S$63),'01_Input'!$U$63,0),MAX(MIN(CT$20,'01_Input'!$S$63)-'01_Input'!$R$63,0)*'01_Input'!$U$63))+IF('01_Input'!$X$63="Forfait",IF(CT$20&gt;='01_Input'!$V$63,'01_Input'!$Y$63,0),IF('01_Input'!$X$63="Palier",IF(AND(CT$20&gt;='01_Input'!$V$63,CT$20&lt;'01_Input'!$W$63),'01_Input'!$Y$63,0),MAX(MIN(CT$20,'01_Input'!$W$63)-'01_Input'!$V$63,0)*'01_Input'!$Y$63))+IF('01_Input'!$AB$63="Forfait",IF(CT$20&gt;='01_Input'!$Z$63,'01_Input'!$AC$63,0),IF('01_Input'!$AB$63="Palier",IF(AND(CT$20&gt;='01_Input'!$Z$63,CT$20&lt;'01_Input'!$AA$63),'01_Input'!$AC$63,0),MAX(MIN(CT$20,'01_Input'!$AA$63)-'01_Input'!$Z$63,0)*'01_Input'!$AC$63)))))))))</f>
        <v>1900</v>
      </c>
      <c r="CU31" s="25">
        <f>IF('01_Input'!$C$63="Non",0,MIN('01_Input'!$I$63,MAX('01_Input'!$H$63,IF('01_Input'!$G$63="Résiduel vs Gestion",0,IF('01_Input'!$G$63="Taux Classe sélectionnée",Distrib_Global_Classe_Selectionnee*CU$20,IF('01_Input'!$G$63="Frais KYC (paliers de 100M€)",MAX(0,Nb_Investisseurs-Nb_KYC_Gratuites_Par_Tranche*(FLOOR(CU$20/Taille_Tranche_KYC,1)+1))*Cout_Par_KYC_Supplementaire,(IF('01_Input'!$L$63="Forfait",IF(CU$20&gt;='01_Input'!$J$63,'01_Input'!$M$63,0),IF('01_Input'!$L$63="Palier",IF(AND(CU$20&gt;='01_Input'!$J$63,CU$20&lt;'01_Input'!$K$63),'01_Input'!$M$63,0),MAX(MIN(CU$20,'01_Input'!$K$63)-'01_Input'!$J$63,0)*'01_Input'!$M$63))+IF('01_Input'!$P$63="Forfait",IF(CU$20&gt;='01_Input'!$N$63,'01_Input'!$Q$63,0),IF('01_Input'!$P$63="Palier",IF(AND(CU$20&gt;='01_Input'!$N$63,CU$20&lt;'01_Input'!$O$63),'01_Input'!$Q$63,0),MAX(MIN(CU$20,'01_Input'!$O$63)-'01_Input'!$N$63,0)*'01_Input'!$Q$63))+IF('01_Input'!$T$63="Forfait",IF(CU$20&gt;='01_Input'!$R$63,'01_Input'!$U$63,0),IF('01_Input'!$T$63="Palier",IF(AND(CU$20&gt;='01_Input'!$R$63,CU$20&lt;'01_Input'!$S$63),'01_Input'!$U$63,0),MAX(MIN(CU$20,'01_Input'!$S$63)-'01_Input'!$R$63,0)*'01_Input'!$U$63))+IF('01_Input'!$X$63="Forfait",IF(CU$20&gt;='01_Input'!$V$63,'01_Input'!$Y$63,0),IF('01_Input'!$X$63="Palier",IF(AND(CU$20&gt;='01_Input'!$V$63,CU$20&lt;'01_Input'!$W$63),'01_Input'!$Y$63,0),MAX(MIN(CU$20,'01_Input'!$W$63)-'01_Input'!$V$63,0)*'01_Input'!$Y$63))+IF('01_Input'!$AB$63="Forfait",IF(CU$20&gt;='01_Input'!$Z$63,'01_Input'!$AC$63,0),IF('01_Input'!$AB$63="Palier",IF(AND(CU$20&gt;='01_Input'!$Z$63,CU$20&lt;'01_Input'!$AA$63),'01_Input'!$AC$63,0),MAX(MIN(CU$20,'01_Input'!$AA$63)-'01_Input'!$Z$63,0)*'01_Input'!$AC$63)))))))))</f>
        <v>1900</v>
      </c>
      <c r="CV31" s="25">
        <f>IF('01_Input'!$C$63="Non",0,MIN('01_Input'!$I$63,MAX('01_Input'!$H$63,IF('01_Input'!$G$63="Résiduel vs Gestion",0,IF('01_Input'!$G$63="Taux Classe sélectionnée",Distrib_Global_Classe_Selectionnee*CV$20,IF('01_Input'!$G$63="Frais KYC (paliers de 100M€)",MAX(0,Nb_Investisseurs-Nb_KYC_Gratuites_Par_Tranche*(FLOOR(CV$20/Taille_Tranche_KYC,1)+1))*Cout_Par_KYC_Supplementaire,(IF('01_Input'!$L$63="Forfait",IF(CV$20&gt;='01_Input'!$J$63,'01_Input'!$M$63,0),IF('01_Input'!$L$63="Palier",IF(AND(CV$20&gt;='01_Input'!$J$63,CV$20&lt;'01_Input'!$K$63),'01_Input'!$M$63,0),MAX(MIN(CV$20,'01_Input'!$K$63)-'01_Input'!$J$63,0)*'01_Input'!$M$63))+IF('01_Input'!$P$63="Forfait",IF(CV$20&gt;='01_Input'!$N$63,'01_Input'!$Q$63,0),IF('01_Input'!$P$63="Palier",IF(AND(CV$20&gt;='01_Input'!$N$63,CV$20&lt;'01_Input'!$O$63),'01_Input'!$Q$63,0),MAX(MIN(CV$20,'01_Input'!$O$63)-'01_Input'!$N$63,0)*'01_Input'!$Q$63))+IF('01_Input'!$T$63="Forfait",IF(CV$20&gt;='01_Input'!$R$63,'01_Input'!$U$63,0),IF('01_Input'!$T$63="Palier",IF(AND(CV$20&gt;='01_Input'!$R$63,CV$20&lt;'01_Input'!$S$63),'01_Input'!$U$63,0),MAX(MIN(CV$20,'01_Input'!$S$63)-'01_Input'!$R$63,0)*'01_Input'!$U$63))+IF('01_Input'!$X$63="Forfait",IF(CV$20&gt;='01_Input'!$V$63,'01_Input'!$Y$63,0),IF('01_Input'!$X$63="Palier",IF(AND(CV$20&gt;='01_Input'!$V$63,CV$20&lt;'01_Input'!$W$63),'01_Input'!$Y$63,0),MAX(MIN(CV$20,'01_Input'!$W$63)-'01_Input'!$V$63,0)*'01_Input'!$Y$63))+IF('01_Input'!$AB$63="Forfait",IF(CV$20&gt;='01_Input'!$Z$63,'01_Input'!$AC$63,0),IF('01_Input'!$AB$63="Palier",IF(AND(CV$20&gt;='01_Input'!$Z$63,CV$20&lt;'01_Input'!$AA$63),'01_Input'!$AC$63,0),MAX(MIN(CV$20,'01_Input'!$AA$63)-'01_Input'!$Z$63,0)*'01_Input'!$AC$63)))))))))</f>
        <v>1900</v>
      </c>
      <c r="CW31" s="25">
        <f>IF('01_Input'!$C$63="Non",0,MIN('01_Input'!$I$63,MAX('01_Input'!$H$63,IF('01_Input'!$G$63="Résiduel vs Gestion",0,IF('01_Input'!$G$63="Taux Classe sélectionnée",Distrib_Global_Classe_Selectionnee*CW$20,IF('01_Input'!$G$63="Frais KYC (paliers de 100M€)",MAX(0,Nb_Investisseurs-Nb_KYC_Gratuites_Par_Tranche*(FLOOR(CW$20/Taille_Tranche_KYC,1)+1))*Cout_Par_KYC_Supplementaire,(IF('01_Input'!$L$63="Forfait",IF(CW$20&gt;='01_Input'!$J$63,'01_Input'!$M$63,0),IF('01_Input'!$L$63="Palier",IF(AND(CW$20&gt;='01_Input'!$J$63,CW$20&lt;'01_Input'!$K$63),'01_Input'!$M$63,0),MAX(MIN(CW$20,'01_Input'!$K$63)-'01_Input'!$J$63,0)*'01_Input'!$M$63))+IF('01_Input'!$P$63="Forfait",IF(CW$20&gt;='01_Input'!$N$63,'01_Input'!$Q$63,0),IF('01_Input'!$P$63="Palier",IF(AND(CW$20&gt;='01_Input'!$N$63,CW$20&lt;'01_Input'!$O$63),'01_Input'!$Q$63,0),MAX(MIN(CW$20,'01_Input'!$O$63)-'01_Input'!$N$63,0)*'01_Input'!$Q$63))+IF('01_Input'!$T$63="Forfait",IF(CW$20&gt;='01_Input'!$R$63,'01_Input'!$U$63,0),IF('01_Input'!$T$63="Palier",IF(AND(CW$20&gt;='01_Input'!$R$63,CW$20&lt;'01_Input'!$S$63),'01_Input'!$U$63,0),MAX(MIN(CW$20,'01_Input'!$S$63)-'01_Input'!$R$63,0)*'01_Input'!$U$63))+IF('01_Input'!$X$63="Forfait",IF(CW$20&gt;='01_Input'!$V$63,'01_Input'!$Y$63,0),IF('01_Input'!$X$63="Palier",IF(AND(CW$20&gt;='01_Input'!$V$63,CW$20&lt;'01_Input'!$W$63),'01_Input'!$Y$63,0),MAX(MIN(CW$20,'01_Input'!$W$63)-'01_Input'!$V$63,0)*'01_Input'!$Y$63))+IF('01_Input'!$AB$63="Forfait",IF(CW$20&gt;='01_Input'!$Z$63,'01_Input'!$AC$63,0),IF('01_Input'!$AB$63="Palier",IF(AND(CW$20&gt;='01_Input'!$Z$63,CW$20&lt;'01_Input'!$AA$63),'01_Input'!$AC$63,0),MAX(MIN(CW$20,'01_Input'!$AA$63)-'01_Input'!$Z$63,0)*'01_Input'!$AC$63)))))))))</f>
        <v>1900</v>
      </c>
      <c r="CX31" s="25">
        <f>IF('01_Input'!$C$63="Non",0,MIN('01_Input'!$I$63,MAX('01_Input'!$H$63,IF('01_Input'!$G$63="Résiduel vs Gestion",0,IF('01_Input'!$G$63="Taux Classe sélectionnée",Distrib_Global_Classe_Selectionnee*CX$20,IF('01_Input'!$G$63="Frais KYC (paliers de 100M€)",MAX(0,Nb_Investisseurs-Nb_KYC_Gratuites_Par_Tranche*(FLOOR(CX$20/Taille_Tranche_KYC,1)+1))*Cout_Par_KYC_Supplementaire,(IF('01_Input'!$L$63="Forfait",IF(CX$20&gt;='01_Input'!$J$63,'01_Input'!$M$63,0),IF('01_Input'!$L$63="Palier",IF(AND(CX$20&gt;='01_Input'!$J$63,CX$20&lt;'01_Input'!$K$63),'01_Input'!$M$63,0),MAX(MIN(CX$20,'01_Input'!$K$63)-'01_Input'!$J$63,0)*'01_Input'!$M$63))+IF('01_Input'!$P$63="Forfait",IF(CX$20&gt;='01_Input'!$N$63,'01_Input'!$Q$63,0),IF('01_Input'!$P$63="Palier",IF(AND(CX$20&gt;='01_Input'!$N$63,CX$20&lt;'01_Input'!$O$63),'01_Input'!$Q$63,0),MAX(MIN(CX$20,'01_Input'!$O$63)-'01_Input'!$N$63,0)*'01_Input'!$Q$63))+IF('01_Input'!$T$63="Forfait",IF(CX$20&gt;='01_Input'!$R$63,'01_Input'!$U$63,0),IF('01_Input'!$T$63="Palier",IF(AND(CX$20&gt;='01_Input'!$R$63,CX$20&lt;'01_Input'!$S$63),'01_Input'!$U$63,0),MAX(MIN(CX$20,'01_Input'!$S$63)-'01_Input'!$R$63,0)*'01_Input'!$U$63))+IF('01_Input'!$X$63="Forfait",IF(CX$20&gt;='01_Input'!$V$63,'01_Input'!$Y$63,0),IF('01_Input'!$X$63="Palier",IF(AND(CX$20&gt;='01_Input'!$V$63,CX$20&lt;'01_Input'!$W$63),'01_Input'!$Y$63,0),MAX(MIN(CX$20,'01_Input'!$W$63)-'01_Input'!$V$63,0)*'01_Input'!$Y$63))+IF('01_Input'!$AB$63="Forfait",IF(CX$20&gt;='01_Input'!$Z$63,'01_Input'!$AC$63,0),IF('01_Input'!$AB$63="Palier",IF(AND(CX$20&gt;='01_Input'!$Z$63,CX$20&lt;'01_Input'!$AA$63),'01_Input'!$AC$63,0),MAX(MIN(CX$20,'01_Input'!$AA$63)-'01_Input'!$Z$63,0)*'01_Input'!$AC$63)))))))))</f>
        <v>1900</v>
      </c>
      <c r="CY31" s="25">
        <f>IF('01_Input'!$C$63="Non",0,MIN('01_Input'!$I$63,MAX('01_Input'!$H$63,IF('01_Input'!$G$63="Résiduel vs Gestion",0,IF('01_Input'!$G$63="Taux Classe sélectionnée",Distrib_Global_Classe_Selectionnee*CY$20,IF('01_Input'!$G$63="Frais KYC (paliers de 100M€)",MAX(0,Nb_Investisseurs-Nb_KYC_Gratuites_Par_Tranche*(FLOOR(CY$20/Taille_Tranche_KYC,1)+1))*Cout_Par_KYC_Supplementaire,(IF('01_Input'!$L$63="Forfait",IF(CY$20&gt;='01_Input'!$J$63,'01_Input'!$M$63,0),IF('01_Input'!$L$63="Palier",IF(AND(CY$20&gt;='01_Input'!$J$63,CY$20&lt;'01_Input'!$K$63),'01_Input'!$M$63,0),MAX(MIN(CY$20,'01_Input'!$K$63)-'01_Input'!$J$63,0)*'01_Input'!$M$63))+IF('01_Input'!$P$63="Forfait",IF(CY$20&gt;='01_Input'!$N$63,'01_Input'!$Q$63,0),IF('01_Input'!$P$63="Palier",IF(AND(CY$20&gt;='01_Input'!$N$63,CY$20&lt;'01_Input'!$O$63),'01_Input'!$Q$63,0),MAX(MIN(CY$20,'01_Input'!$O$63)-'01_Input'!$N$63,0)*'01_Input'!$Q$63))+IF('01_Input'!$T$63="Forfait",IF(CY$20&gt;='01_Input'!$R$63,'01_Input'!$U$63,0),IF('01_Input'!$T$63="Palier",IF(AND(CY$20&gt;='01_Input'!$R$63,CY$20&lt;'01_Input'!$S$63),'01_Input'!$U$63,0),MAX(MIN(CY$20,'01_Input'!$S$63)-'01_Input'!$R$63,0)*'01_Input'!$U$63))+IF('01_Input'!$X$63="Forfait",IF(CY$20&gt;='01_Input'!$V$63,'01_Input'!$Y$63,0),IF('01_Input'!$X$63="Palier",IF(AND(CY$20&gt;='01_Input'!$V$63,CY$20&lt;'01_Input'!$W$63),'01_Input'!$Y$63,0),MAX(MIN(CY$20,'01_Input'!$W$63)-'01_Input'!$V$63,0)*'01_Input'!$Y$63))+IF('01_Input'!$AB$63="Forfait",IF(CY$20&gt;='01_Input'!$Z$63,'01_Input'!$AC$63,0),IF('01_Input'!$AB$63="Palier",IF(AND(CY$20&gt;='01_Input'!$Z$63,CY$20&lt;'01_Input'!$AA$63),'01_Input'!$AC$63,0),MAX(MIN(CY$20,'01_Input'!$AA$63)-'01_Input'!$Z$63,0)*'01_Input'!$AC$63)))))))))</f>
        <v>1900</v>
      </c>
      <c r="CZ31" s="25">
        <f>IF('01_Input'!$C$63="Non",0,MIN('01_Input'!$I$63,MAX('01_Input'!$H$63,IF('01_Input'!$G$63="Résiduel vs Gestion",0,IF('01_Input'!$G$63="Taux Classe sélectionnée",Distrib_Global_Classe_Selectionnee*CZ$20,IF('01_Input'!$G$63="Frais KYC (paliers de 100M€)",MAX(0,Nb_Investisseurs-Nb_KYC_Gratuites_Par_Tranche*(FLOOR(CZ$20/Taille_Tranche_KYC,1)+1))*Cout_Par_KYC_Supplementaire,(IF('01_Input'!$L$63="Forfait",IF(CZ$20&gt;='01_Input'!$J$63,'01_Input'!$M$63,0),IF('01_Input'!$L$63="Palier",IF(AND(CZ$20&gt;='01_Input'!$J$63,CZ$20&lt;'01_Input'!$K$63),'01_Input'!$M$63,0),MAX(MIN(CZ$20,'01_Input'!$K$63)-'01_Input'!$J$63,0)*'01_Input'!$M$63))+IF('01_Input'!$P$63="Forfait",IF(CZ$20&gt;='01_Input'!$N$63,'01_Input'!$Q$63,0),IF('01_Input'!$P$63="Palier",IF(AND(CZ$20&gt;='01_Input'!$N$63,CZ$20&lt;'01_Input'!$O$63),'01_Input'!$Q$63,0),MAX(MIN(CZ$20,'01_Input'!$O$63)-'01_Input'!$N$63,0)*'01_Input'!$Q$63))+IF('01_Input'!$T$63="Forfait",IF(CZ$20&gt;='01_Input'!$R$63,'01_Input'!$U$63,0),IF('01_Input'!$T$63="Palier",IF(AND(CZ$20&gt;='01_Input'!$R$63,CZ$20&lt;'01_Input'!$S$63),'01_Input'!$U$63,0),MAX(MIN(CZ$20,'01_Input'!$S$63)-'01_Input'!$R$63,0)*'01_Input'!$U$63))+IF('01_Input'!$X$63="Forfait",IF(CZ$20&gt;='01_Input'!$V$63,'01_Input'!$Y$63,0),IF('01_Input'!$X$63="Palier",IF(AND(CZ$20&gt;='01_Input'!$V$63,CZ$20&lt;'01_Input'!$W$63),'01_Input'!$Y$63,0),MAX(MIN(CZ$20,'01_Input'!$W$63)-'01_Input'!$V$63,0)*'01_Input'!$Y$63))+IF('01_Input'!$AB$63="Forfait",IF(CZ$20&gt;='01_Input'!$Z$63,'01_Input'!$AC$63,0),IF('01_Input'!$AB$63="Palier",IF(AND(CZ$20&gt;='01_Input'!$Z$63,CZ$20&lt;'01_Input'!$AA$63),'01_Input'!$AC$63,0),MAX(MIN(CZ$20,'01_Input'!$AA$63)-'01_Input'!$Z$63,0)*'01_Input'!$AC$63)))))))))</f>
        <v>1900</v>
      </c>
      <c r="DA31" s="25">
        <f>IF('01_Input'!$C$63="Non",0,MIN('01_Input'!$I$63,MAX('01_Input'!$H$63,IF('01_Input'!$G$63="Résiduel vs Gestion",0,IF('01_Input'!$G$63="Taux Classe sélectionnée",Distrib_Global_Classe_Selectionnee*DA$20,IF('01_Input'!$G$63="Frais KYC (paliers de 100M€)",MAX(0,Nb_Investisseurs-Nb_KYC_Gratuites_Par_Tranche*(FLOOR(DA$20/Taille_Tranche_KYC,1)+1))*Cout_Par_KYC_Supplementaire,(IF('01_Input'!$L$63="Forfait",IF(DA$20&gt;='01_Input'!$J$63,'01_Input'!$M$63,0),IF('01_Input'!$L$63="Palier",IF(AND(DA$20&gt;='01_Input'!$J$63,DA$20&lt;'01_Input'!$K$63),'01_Input'!$M$63,0),MAX(MIN(DA$20,'01_Input'!$K$63)-'01_Input'!$J$63,0)*'01_Input'!$M$63))+IF('01_Input'!$P$63="Forfait",IF(DA$20&gt;='01_Input'!$N$63,'01_Input'!$Q$63,0),IF('01_Input'!$P$63="Palier",IF(AND(DA$20&gt;='01_Input'!$N$63,DA$20&lt;'01_Input'!$O$63),'01_Input'!$Q$63,0),MAX(MIN(DA$20,'01_Input'!$O$63)-'01_Input'!$N$63,0)*'01_Input'!$Q$63))+IF('01_Input'!$T$63="Forfait",IF(DA$20&gt;='01_Input'!$R$63,'01_Input'!$U$63,0),IF('01_Input'!$T$63="Palier",IF(AND(DA$20&gt;='01_Input'!$R$63,DA$20&lt;'01_Input'!$S$63),'01_Input'!$U$63,0),MAX(MIN(DA$20,'01_Input'!$S$63)-'01_Input'!$R$63,0)*'01_Input'!$U$63))+IF('01_Input'!$X$63="Forfait",IF(DA$20&gt;='01_Input'!$V$63,'01_Input'!$Y$63,0),IF('01_Input'!$X$63="Palier",IF(AND(DA$20&gt;='01_Input'!$V$63,DA$20&lt;'01_Input'!$W$63),'01_Input'!$Y$63,0),MAX(MIN(DA$20,'01_Input'!$W$63)-'01_Input'!$V$63,0)*'01_Input'!$Y$63))+IF('01_Input'!$AB$63="Forfait",IF(DA$20&gt;='01_Input'!$Z$63,'01_Input'!$AC$63,0),IF('01_Input'!$AB$63="Palier",IF(AND(DA$20&gt;='01_Input'!$Z$63,DA$20&lt;'01_Input'!$AA$63),'01_Input'!$AC$63,0),MAX(MIN(DA$20,'01_Input'!$AA$63)-'01_Input'!$Z$63,0)*'01_Input'!$AC$63)))))))))</f>
        <v>1900</v>
      </c>
      <c r="DB31" s="25">
        <f>IF('01_Input'!$C$63="Non",0,MIN('01_Input'!$I$63,MAX('01_Input'!$H$63,IF('01_Input'!$G$63="Résiduel vs Gestion",0,IF('01_Input'!$G$63="Taux Classe sélectionnée",Distrib_Global_Classe_Selectionnee*DB$20,IF('01_Input'!$G$63="Frais KYC (paliers de 100M€)",MAX(0,Nb_Investisseurs-Nb_KYC_Gratuites_Par_Tranche*(FLOOR(DB$20/Taille_Tranche_KYC,1)+1))*Cout_Par_KYC_Supplementaire,(IF('01_Input'!$L$63="Forfait",IF(DB$20&gt;='01_Input'!$J$63,'01_Input'!$M$63,0),IF('01_Input'!$L$63="Palier",IF(AND(DB$20&gt;='01_Input'!$J$63,DB$20&lt;'01_Input'!$K$63),'01_Input'!$M$63,0),MAX(MIN(DB$20,'01_Input'!$K$63)-'01_Input'!$J$63,0)*'01_Input'!$M$63))+IF('01_Input'!$P$63="Forfait",IF(DB$20&gt;='01_Input'!$N$63,'01_Input'!$Q$63,0),IF('01_Input'!$P$63="Palier",IF(AND(DB$20&gt;='01_Input'!$N$63,DB$20&lt;'01_Input'!$O$63),'01_Input'!$Q$63,0),MAX(MIN(DB$20,'01_Input'!$O$63)-'01_Input'!$N$63,0)*'01_Input'!$Q$63))+IF('01_Input'!$T$63="Forfait",IF(DB$20&gt;='01_Input'!$R$63,'01_Input'!$U$63,0),IF('01_Input'!$T$63="Palier",IF(AND(DB$20&gt;='01_Input'!$R$63,DB$20&lt;'01_Input'!$S$63),'01_Input'!$U$63,0),MAX(MIN(DB$20,'01_Input'!$S$63)-'01_Input'!$R$63,0)*'01_Input'!$U$63))+IF('01_Input'!$X$63="Forfait",IF(DB$20&gt;='01_Input'!$V$63,'01_Input'!$Y$63,0),IF('01_Input'!$X$63="Palier",IF(AND(DB$20&gt;='01_Input'!$V$63,DB$20&lt;'01_Input'!$W$63),'01_Input'!$Y$63,0),MAX(MIN(DB$20,'01_Input'!$W$63)-'01_Input'!$V$63,0)*'01_Input'!$Y$63))+IF('01_Input'!$AB$63="Forfait",IF(DB$20&gt;='01_Input'!$Z$63,'01_Input'!$AC$63,0),IF('01_Input'!$AB$63="Palier",IF(AND(DB$20&gt;='01_Input'!$Z$63,DB$20&lt;'01_Input'!$AA$63),'01_Input'!$AC$63,0),MAX(MIN(DB$20,'01_Input'!$AA$63)-'01_Input'!$Z$63,0)*'01_Input'!$AC$63)))))))))</f>
        <v>1900</v>
      </c>
      <c r="DC31" s="25">
        <f>IF('01_Input'!$C$63="Non",0,MIN('01_Input'!$I$63,MAX('01_Input'!$H$63,IF('01_Input'!$G$63="Résiduel vs Gestion",0,IF('01_Input'!$G$63="Taux Classe sélectionnée",Distrib_Global_Classe_Selectionnee*DC$20,IF('01_Input'!$G$63="Frais KYC (paliers de 100M€)",MAX(0,Nb_Investisseurs-Nb_KYC_Gratuites_Par_Tranche*(FLOOR(DC$20/Taille_Tranche_KYC,1)+1))*Cout_Par_KYC_Supplementaire,(IF('01_Input'!$L$63="Forfait",IF(DC$20&gt;='01_Input'!$J$63,'01_Input'!$M$63,0),IF('01_Input'!$L$63="Palier",IF(AND(DC$20&gt;='01_Input'!$J$63,DC$20&lt;'01_Input'!$K$63),'01_Input'!$M$63,0),MAX(MIN(DC$20,'01_Input'!$K$63)-'01_Input'!$J$63,0)*'01_Input'!$M$63))+IF('01_Input'!$P$63="Forfait",IF(DC$20&gt;='01_Input'!$N$63,'01_Input'!$Q$63,0),IF('01_Input'!$P$63="Palier",IF(AND(DC$20&gt;='01_Input'!$N$63,DC$20&lt;'01_Input'!$O$63),'01_Input'!$Q$63,0),MAX(MIN(DC$20,'01_Input'!$O$63)-'01_Input'!$N$63,0)*'01_Input'!$Q$63))+IF('01_Input'!$T$63="Forfait",IF(DC$20&gt;='01_Input'!$R$63,'01_Input'!$U$63,0),IF('01_Input'!$T$63="Palier",IF(AND(DC$20&gt;='01_Input'!$R$63,DC$20&lt;'01_Input'!$S$63),'01_Input'!$U$63,0),MAX(MIN(DC$20,'01_Input'!$S$63)-'01_Input'!$R$63,0)*'01_Input'!$U$63))+IF('01_Input'!$X$63="Forfait",IF(DC$20&gt;='01_Input'!$V$63,'01_Input'!$Y$63,0),IF('01_Input'!$X$63="Palier",IF(AND(DC$20&gt;='01_Input'!$V$63,DC$20&lt;'01_Input'!$W$63),'01_Input'!$Y$63,0),MAX(MIN(DC$20,'01_Input'!$W$63)-'01_Input'!$V$63,0)*'01_Input'!$Y$63))+IF('01_Input'!$AB$63="Forfait",IF(DC$20&gt;='01_Input'!$Z$63,'01_Input'!$AC$63,0),IF('01_Input'!$AB$63="Palier",IF(AND(DC$20&gt;='01_Input'!$Z$63,DC$20&lt;'01_Input'!$AA$63),'01_Input'!$AC$63,0),MAX(MIN(DC$20,'01_Input'!$AA$63)-'01_Input'!$Z$63,0)*'01_Input'!$AC$63)))))))))</f>
        <v>1900</v>
      </c>
      <c r="DD31" s="25">
        <f>IF('01_Input'!$C$63="Non",0,MIN('01_Input'!$I$63,MAX('01_Input'!$H$63,IF('01_Input'!$G$63="Résiduel vs Gestion",0,IF('01_Input'!$G$63="Taux Classe sélectionnée",Distrib_Global_Classe_Selectionnee*DD$20,IF('01_Input'!$G$63="Frais KYC (paliers de 100M€)",MAX(0,Nb_Investisseurs-Nb_KYC_Gratuites_Par_Tranche*(FLOOR(DD$20/Taille_Tranche_KYC,1)+1))*Cout_Par_KYC_Supplementaire,(IF('01_Input'!$L$63="Forfait",IF(DD$20&gt;='01_Input'!$J$63,'01_Input'!$M$63,0),IF('01_Input'!$L$63="Palier",IF(AND(DD$20&gt;='01_Input'!$J$63,DD$20&lt;'01_Input'!$K$63),'01_Input'!$M$63,0),MAX(MIN(DD$20,'01_Input'!$K$63)-'01_Input'!$J$63,0)*'01_Input'!$M$63))+IF('01_Input'!$P$63="Forfait",IF(DD$20&gt;='01_Input'!$N$63,'01_Input'!$Q$63,0),IF('01_Input'!$P$63="Palier",IF(AND(DD$20&gt;='01_Input'!$N$63,DD$20&lt;'01_Input'!$O$63),'01_Input'!$Q$63,0),MAX(MIN(DD$20,'01_Input'!$O$63)-'01_Input'!$N$63,0)*'01_Input'!$Q$63))+IF('01_Input'!$T$63="Forfait",IF(DD$20&gt;='01_Input'!$R$63,'01_Input'!$U$63,0),IF('01_Input'!$T$63="Palier",IF(AND(DD$20&gt;='01_Input'!$R$63,DD$20&lt;'01_Input'!$S$63),'01_Input'!$U$63,0),MAX(MIN(DD$20,'01_Input'!$S$63)-'01_Input'!$R$63,0)*'01_Input'!$U$63))+IF('01_Input'!$X$63="Forfait",IF(DD$20&gt;='01_Input'!$V$63,'01_Input'!$Y$63,0),IF('01_Input'!$X$63="Palier",IF(AND(DD$20&gt;='01_Input'!$V$63,DD$20&lt;'01_Input'!$W$63),'01_Input'!$Y$63,0),MAX(MIN(DD$20,'01_Input'!$W$63)-'01_Input'!$V$63,0)*'01_Input'!$Y$63))+IF('01_Input'!$AB$63="Forfait",IF(DD$20&gt;='01_Input'!$Z$63,'01_Input'!$AC$63,0),IF('01_Input'!$AB$63="Palier",IF(AND(DD$20&gt;='01_Input'!$Z$63,DD$20&lt;'01_Input'!$AA$63),'01_Input'!$AC$63,0),MAX(MIN(DD$20,'01_Input'!$AA$63)-'01_Input'!$Z$63,0)*'01_Input'!$AC$63)))))))))</f>
        <v>1900</v>
      </c>
      <c r="DE31" s="25">
        <f>IF('01_Input'!$C$63="Non",0,MIN('01_Input'!$I$63,MAX('01_Input'!$H$63,IF('01_Input'!$G$63="Résiduel vs Gestion",0,IF('01_Input'!$G$63="Taux Classe sélectionnée",Distrib_Global_Classe_Selectionnee*DE$20,IF('01_Input'!$G$63="Frais KYC (paliers de 100M€)",MAX(0,Nb_Investisseurs-Nb_KYC_Gratuites_Par_Tranche*(FLOOR(DE$20/Taille_Tranche_KYC,1)+1))*Cout_Par_KYC_Supplementaire,(IF('01_Input'!$L$63="Forfait",IF(DE$20&gt;='01_Input'!$J$63,'01_Input'!$M$63,0),IF('01_Input'!$L$63="Palier",IF(AND(DE$20&gt;='01_Input'!$J$63,DE$20&lt;'01_Input'!$K$63),'01_Input'!$M$63,0),MAX(MIN(DE$20,'01_Input'!$K$63)-'01_Input'!$J$63,0)*'01_Input'!$M$63))+IF('01_Input'!$P$63="Forfait",IF(DE$20&gt;='01_Input'!$N$63,'01_Input'!$Q$63,0),IF('01_Input'!$P$63="Palier",IF(AND(DE$20&gt;='01_Input'!$N$63,DE$20&lt;'01_Input'!$O$63),'01_Input'!$Q$63,0),MAX(MIN(DE$20,'01_Input'!$O$63)-'01_Input'!$N$63,0)*'01_Input'!$Q$63))+IF('01_Input'!$T$63="Forfait",IF(DE$20&gt;='01_Input'!$R$63,'01_Input'!$U$63,0),IF('01_Input'!$T$63="Palier",IF(AND(DE$20&gt;='01_Input'!$R$63,DE$20&lt;'01_Input'!$S$63),'01_Input'!$U$63,0),MAX(MIN(DE$20,'01_Input'!$S$63)-'01_Input'!$R$63,0)*'01_Input'!$U$63))+IF('01_Input'!$X$63="Forfait",IF(DE$20&gt;='01_Input'!$V$63,'01_Input'!$Y$63,0),IF('01_Input'!$X$63="Palier",IF(AND(DE$20&gt;='01_Input'!$V$63,DE$20&lt;'01_Input'!$W$63),'01_Input'!$Y$63,0),MAX(MIN(DE$20,'01_Input'!$W$63)-'01_Input'!$V$63,0)*'01_Input'!$Y$63))+IF('01_Input'!$AB$63="Forfait",IF(DE$20&gt;='01_Input'!$Z$63,'01_Input'!$AC$63,0),IF('01_Input'!$AB$63="Palier",IF(AND(DE$20&gt;='01_Input'!$Z$63,DE$20&lt;'01_Input'!$AA$63),'01_Input'!$AC$63,0),MAX(MIN(DE$20,'01_Input'!$AA$63)-'01_Input'!$Z$63,0)*'01_Input'!$AC$63)))))))))</f>
        <v>1900</v>
      </c>
      <c r="DF31" s="25">
        <f>IF('01_Input'!$C$63="Non",0,MIN('01_Input'!$I$63,MAX('01_Input'!$H$63,IF('01_Input'!$G$63="Résiduel vs Gestion",0,IF('01_Input'!$G$63="Taux Classe sélectionnée",Distrib_Global_Classe_Selectionnee*DF$20,IF('01_Input'!$G$63="Frais KYC (paliers de 100M€)",MAX(0,Nb_Investisseurs-Nb_KYC_Gratuites_Par_Tranche*(FLOOR(DF$20/Taille_Tranche_KYC,1)+1))*Cout_Par_KYC_Supplementaire,(IF('01_Input'!$L$63="Forfait",IF(DF$20&gt;='01_Input'!$J$63,'01_Input'!$M$63,0),IF('01_Input'!$L$63="Palier",IF(AND(DF$20&gt;='01_Input'!$J$63,DF$20&lt;'01_Input'!$K$63),'01_Input'!$M$63,0),MAX(MIN(DF$20,'01_Input'!$K$63)-'01_Input'!$J$63,0)*'01_Input'!$M$63))+IF('01_Input'!$P$63="Forfait",IF(DF$20&gt;='01_Input'!$N$63,'01_Input'!$Q$63,0),IF('01_Input'!$P$63="Palier",IF(AND(DF$20&gt;='01_Input'!$N$63,DF$20&lt;'01_Input'!$O$63),'01_Input'!$Q$63,0),MAX(MIN(DF$20,'01_Input'!$O$63)-'01_Input'!$N$63,0)*'01_Input'!$Q$63))+IF('01_Input'!$T$63="Forfait",IF(DF$20&gt;='01_Input'!$R$63,'01_Input'!$U$63,0),IF('01_Input'!$T$63="Palier",IF(AND(DF$20&gt;='01_Input'!$R$63,DF$20&lt;'01_Input'!$S$63),'01_Input'!$U$63,0),MAX(MIN(DF$20,'01_Input'!$S$63)-'01_Input'!$R$63,0)*'01_Input'!$U$63))+IF('01_Input'!$X$63="Forfait",IF(DF$20&gt;='01_Input'!$V$63,'01_Input'!$Y$63,0),IF('01_Input'!$X$63="Palier",IF(AND(DF$20&gt;='01_Input'!$V$63,DF$20&lt;'01_Input'!$W$63),'01_Input'!$Y$63,0),MAX(MIN(DF$20,'01_Input'!$W$63)-'01_Input'!$V$63,0)*'01_Input'!$Y$63))+IF('01_Input'!$AB$63="Forfait",IF(DF$20&gt;='01_Input'!$Z$63,'01_Input'!$AC$63,0),IF('01_Input'!$AB$63="Palier",IF(AND(DF$20&gt;='01_Input'!$Z$63,DF$20&lt;'01_Input'!$AA$63),'01_Input'!$AC$63,0),MAX(MIN(DF$20,'01_Input'!$AA$63)-'01_Input'!$Z$63,0)*'01_Input'!$AC$63)))))))))</f>
        <v>1900</v>
      </c>
      <c r="DG31" s="25">
        <f>IF('01_Input'!$C$63="Non",0,MIN('01_Input'!$I$63,MAX('01_Input'!$H$63,IF('01_Input'!$G$63="Résiduel vs Gestion",0,IF('01_Input'!$G$63="Taux Classe sélectionnée",Distrib_Global_Classe_Selectionnee*DG$20,IF('01_Input'!$G$63="Frais KYC (paliers de 100M€)",MAX(0,Nb_Investisseurs-Nb_KYC_Gratuites_Par_Tranche*(FLOOR(DG$20/Taille_Tranche_KYC,1)+1))*Cout_Par_KYC_Supplementaire,(IF('01_Input'!$L$63="Forfait",IF(DG$20&gt;='01_Input'!$J$63,'01_Input'!$M$63,0),IF('01_Input'!$L$63="Palier",IF(AND(DG$20&gt;='01_Input'!$J$63,DG$20&lt;'01_Input'!$K$63),'01_Input'!$M$63,0),MAX(MIN(DG$20,'01_Input'!$K$63)-'01_Input'!$J$63,0)*'01_Input'!$M$63))+IF('01_Input'!$P$63="Forfait",IF(DG$20&gt;='01_Input'!$N$63,'01_Input'!$Q$63,0),IF('01_Input'!$P$63="Palier",IF(AND(DG$20&gt;='01_Input'!$N$63,DG$20&lt;'01_Input'!$O$63),'01_Input'!$Q$63,0),MAX(MIN(DG$20,'01_Input'!$O$63)-'01_Input'!$N$63,0)*'01_Input'!$Q$63))+IF('01_Input'!$T$63="Forfait",IF(DG$20&gt;='01_Input'!$R$63,'01_Input'!$U$63,0),IF('01_Input'!$T$63="Palier",IF(AND(DG$20&gt;='01_Input'!$R$63,DG$20&lt;'01_Input'!$S$63),'01_Input'!$U$63,0),MAX(MIN(DG$20,'01_Input'!$S$63)-'01_Input'!$R$63,0)*'01_Input'!$U$63))+IF('01_Input'!$X$63="Forfait",IF(DG$20&gt;='01_Input'!$V$63,'01_Input'!$Y$63,0),IF('01_Input'!$X$63="Palier",IF(AND(DG$20&gt;='01_Input'!$V$63,DG$20&lt;'01_Input'!$W$63),'01_Input'!$Y$63,0),MAX(MIN(DG$20,'01_Input'!$W$63)-'01_Input'!$V$63,0)*'01_Input'!$Y$63))+IF('01_Input'!$AB$63="Forfait",IF(DG$20&gt;='01_Input'!$Z$63,'01_Input'!$AC$63,0),IF('01_Input'!$AB$63="Palier",IF(AND(DG$20&gt;='01_Input'!$Z$63,DG$20&lt;'01_Input'!$AA$63),'01_Input'!$AC$63,0),MAX(MIN(DG$20,'01_Input'!$AA$63)-'01_Input'!$Z$63,0)*'01_Input'!$AC$63)))))))))</f>
        <v>1900</v>
      </c>
      <c r="DH31" s="25">
        <f>IF('01_Input'!$C$63="Non",0,MIN('01_Input'!$I$63,MAX('01_Input'!$H$63,IF('01_Input'!$G$63="Résiduel vs Gestion",0,IF('01_Input'!$G$63="Taux Classe sélectionnée",Distrib_Global_Classe_Selectionnee*DH$20,IF('01_Input'!$G$63="Frais KYC (paliers de 100M€)",MAX(0,Nb_Investisseurs-Nb_KYC_Gratuites_Par_Tranche*(FLOOR(DH$20/Taille_Tranche_KYC,1)+1))*Cout_Par_KYC_Supplementaire,(IF('01_Input'!$L$63="Forfait",IF(DH$20&gt;='01_Input'!$J$63,'01_Input'!$M$63,0),IF('01_Input'!$L$63="Palier",IF(AND(DH$20&gt;='01_Input'!$J$63,DH$20&lt;'01_Input'!$K$63),'01_Input'!$M$63,0),MAX(MIN(DH$20,'01_Input'!$K$63)-'01_Input'!$J$63,0)*'01_Input'!$M$63))+IF('01_Input'!$P$63="Forfait",IF(DH$20&gt;='01_Input'!$N$63,'01_Input'!$Q$63,0),IF('01_Input'!$P$63="Palier",IF(AND(DH$20&gt;='01_Input'!$N$63,DH$20&lt;'01_Input'!$O$63),'01_Input'!$Q$63,0),MAX(MIN(DH$20,'01_Input'!$O$63)-'01_Input'!$N$63,0)*'01_Input'!$Q$63))+IF('01_Input'!$T$63="Forfait",IF(DH$20&gt;='01_Input'!$R$63,'01_Input'!$U$63,0),IF('01_Input'!$T$63="Palier",IF(AND(DH$20&gt;='01_Input'!$R$63,DH$20&lt;'01_Input'!$S$63),'01_Input'!$U$63,0),MAX(MIN(DH$20,'01_Input'!$S$63)-'01_Input'!$R$63,0)*'01_Input'!$U$63))+IF('01_Input'!$X$63="Forfait",IF(DH$20&gt;='01_Input'!$V$63,'01_Input'!$Y$63,0),IF('01_Input'!$X$63="Palier",IF(AND(DH$20&gt;='01_Input'!$V$63,DH$20&lt;'01_Input'!$W$63),'01_Input'!$Y$63,0),MAX(MIN(DH$20,'01_Input'!$W$63)-'01_Input'!$V$63,0)*'01_Input'!$Y$63))+IF('01_Input'!$AB$63="Forfait",IF(DH$20&gt;='01_Input'!$Z$63,'01_Input'!$AC$63,0),IF('01_Input'!$AB$63="Palier",IF(AND(DH$20&gt;='01_Input'!$Z$63,DH$20&lt;'01_Input'!$AA$63),'01_Input'!$AC$63,0),MAX(MIN(DH$20,'01_Input'!$AA$63)-'01_Input'!$Z$63,0)*'01_Input'!$AC$63)))))))))</f>
        <v>1900</v>
      </c>
      <c r="DI31" s="25">
        <f>IF('01_Input'!$C$63="Non",0,MIN('01_Input'!$I$63,MAX('01_Input'!$H$63,IF('01_Input'!$G$63="Résiduel vs Gestion",0,IF('01_Input'!$G$63="Taux Classe sélectionnée",Distrib_Global_Classe_Selectionnee*DI$20,IF('01_Input'!$G$63="Frais KYC (paliers de 100M€)",MAX(0,Nb_Investisseurs-Nb_KYC_Gratuites_Par_Tranche*(FLOOR(DI$20/Taille_Tranche_KYC,1)+1))*Cout_Par_KYC_Supplementaire,(IF('01_Input'!$L$63="Forfait",IF(DI$20&gt;='01_Input'!$J$63,'01_Input'!$M$63,0),IF('01_Input'!$L$63="Palier",IF(AND(DI$20&gt;='01_Input'!$J$63,DI$20&lt;'01_Input'!$K$63),'01_Input'!$M$63,0),MAX(MIN(DI$20,'01_Input'!$K$63)-'01_Input'!$J$63,0)*'01_Input'!$M$63))+IF('01_Input'!$P$63="Forfait",IF(DI$20&gt;='01_Input'!$N$63,'01_Input'!$Q$63,0),IF('01_Input'!$P$63="Palier",IF(AND(DI$20&gt;='01_Input'!$N$63,DI$20&lt;'01_Input'!$O$63),'01_Input'!$Q$63,0),MAX(MIN(DI$20,'01_Input'!$O$63)-'01_Input'!$N$63,0)*'01_Input'!$Q$63))+IF('01_Input'!$T$63="Forfait",IF(DI$20&gt;='01_Input'!$R$63,'01_Input'!$U$63,0),IF('01_Input'!$T$63="Palier",IF(AND(DI$20&gt;='01_Input'!$R$63,DI$20&lt;'01_Input'!$S$63),'01_Input'!$U$63,0),MAX(MIN(DI$20,'01_Input'!$S$63)-'01_Input'!$R$63,0)*'01_Input'!$U$63))+IF('01_Input'!$X$63="Forfait",IF(DI$20&gt;='01_Input'!$V$63,'01_Input'!$Y$63,0),IF('01_Input'!$X$63="Palier",IF(AND(DI$20&gt;='01_Input'!$V$63,DI$20&lt;'01_Input'!$W$63),'01_Input'!$Y$63,0),MAX(MIN(DI$20,'01_Input'!$W$63)-'01_Input'!$V$63,0)*'01_Input'!$Y$63))+IF('01_Input'!$AB$63="Forfait",IF(DI$20&gt;='01_Input'!$Z$63,'01_Input'!$AC$63,0),IF('01_Input'!$AB$63="Palier",IF(AND(DI$20&gt;='01_Input'!$Z$63,DI$20&lt;'01_Input'!$AA$63),'01_Input'!$AC$63,0),MAX(MIN(DI$20,'01_Input'!$AA$63)-'01_Input'!$Z$63,0)*'01_Input'!$AC$63)))))))))</f>
        <v>1900</v>
      </c>
      <c r="DJ31" s="25">
        <f>IF('01_Input'!$C$63="Non",0,MIN('01_Input'!$I$63,MAX('01_Input'!$H$63,IF('01_Input'!$G$63="Résiduel vs Gestion",0,IF('01_Input'!$G$63="Taux Classe sélectionnée",Distrib_Global_Classe_Selectionnee*DJ$20,IF('01_Input'!$G$63="Frais KYC (paliers de 100M€)",MAX(0,Nb_Investisseurs-Nb_KYC_Gratuites_Par_Tranche*(FLOOR(DJ$20/Taille_Tranche_KYC,1)+1))*Cout_Par_KYC_Supplementaire,(IF('01_Input'!$L$63="Forfait",IF(DJ$20&gt;='01_Input'!$J$63,'01_Input'!$M$63,0),IF('01_Input'!$L$63="Palier",IF(AND(DJ$20&gt;='01_Input'!$J$63,DJ$20&lt;'01_Input'!$K$63),'01_Input'!$M$63,0),MAX(MIN(DJ$20,'01_Input'!$K$63)-'01_Input'!$J$63,0)*'01_Input'!$M$63))+IF('01_Input'!$P$63="Forfait",IF(DJ$20&gt;='01_Input'!$N$63,'01_Input'!$Q$63,0),IF('01_Input'!$P$63="Palier",IF(AND(DJ$20&gt;='01_Input'!$N$63,DJ$20&lt;'01_Input'!$O$63),'01_Input'!$Q$63,0),MAX(MIN(DJ$20,'01_Input'!$O$63)-'01_Input'!$N$63,0)*'01_Input'!$Q$63))+IF('01_Input'!$T$63="Forfait",IF(DJ$20&gt;='01_Input'!$R$63,'01_Input'!$U$63,0),IF('01_Input'!$T$63="Palier",IF(AND(DJ$20&gt;='01_Input'!$R$63,DJ$20&lt;'01_Input'!$S$63),'01_Input'!$U$63,0),MAX(MIN(DJ$20,'01_Input'!$S$63)-'01_Input'!$R$63,0)*'01_Input'!$U$63))+IF('01_Input'!$X$63="Forfait",IF(DJ$20&gt;='01_Input'!$V$63,'01_Input'!$Y$63,0),IF('01_Input'!$X$63="Palier",IF(AND(DJ$20&gt;='01_Input'!$V$63,DJ$20&lt;'01_Input'!$W$63),'01_Input'!$Y$63,0),MAX(MIN(DJ$20,'01_Input'!$W$63)-'01_Input'!$V$63,0)*'01_Input'!$Y$63))+IF('01_Input'!$AB$63="Forfait",IF(DJ$20&gt;='01_Input'!$Z$63,'01_Input'!$AC$63,0),IF('01_Input'!$AB$63="Palier",IF(AND(DJ$20&gt;='01_Input'!$Z$63,DJ$20&lt;'01_Input'!$AA$63),'01_Input'!$AC$63,0),MAX(MIN(DJ$20,'01_Input'!$AA$63)-'01_Input'!$Z$63,0)*'01_Input'!$AC$63)))))))))</f>
        <v>1900</v>
      </c>
      <c r="DK31" s="25">
        <f>IF('01_Input'!$C$63="Non",0,MIN('01_Input'!$I$63,MAX('01_Input'!$H$63,IF('01_Input'!$G$63="Résiduel vs Gestion",0,IF('01_Input'!$G$63="Taux Classe sélectionnée",Distrib_Global_Classe_Selectionnee*DK$20,IF('01_Input'!$G$63="Frais KYC (paliers de 100M€)",MAX(0,Nb_Investisseurs-Nb_KYC_Gratuites_Par_Tranche*(FLOOR(DK$20/Taille_Tranche_KYC,1)+1))*Cout_Par_KYC_Supplementaire,(IF('01_Input'!$L$63="Forfait",IF(DK$20&gt;='01_Input'!$J$63,'01_Input'!$M$63,0),IF('01_Input'!$L$63="Palier",IF(AND(DK$20&gt;='01_Input'!$J$63,DK$20&lt;'01_Input'!$K$63),'01_Input'!$M$63,0),MAX(MIN(DK$20,'01_Input'!$K$63)-'01_Input'!$J$63,0)*'01_Input'!$M$63))+IF('01_Input'!$P$63="Forfait",IF(DK$20&gt;='01_Input'!$N$63,'01_Input'!$Q$63,0),IF('01_Input'!$P$63="Palier",IF(AND(DK$20&gt;='01_Input'!$N$63,DK$20&lt;'01_Input'!$O$63),'01_Input'!$Q$63,0),MAX(MIN(DK$20,'01_Input'!$O$63)-'01_Input'!$N$63,0)*'01_Input'!$Q$63))+IF('01_Input'!$T$63="Forfait",IF(DK$20&gt;='01_Input'!$R$63,'01_Input'!$U$63,0),IF('01_Input'!$T$63="Palier",IF(AND(DK$20&gt;='01_Input'!$R$63,DK$20&lt;'01_Input'!$S$63),'01_Input'!$U$63,0),MAX(MIN(DK$20,'01_Input'!$S$63)-'01_Input'!$R$63,0)*'01_Input'!$U$63))+IF('01_Input'!$X$63="Forfait",IF(DK$20&gt;='01_Input'!$V$63,'01_Input'!$Y$63,0),IF('01_Input'!$X$63="Palier",IF(AND(DK$20&gt;='01_Input'!$V$63,DK$20&lt;'01_Input'!$W$63),'01_Input'!$Y$63,0),MAX(MIN(DK$20,'01_Input'!$W$63)-'01_Input'!$V$63,0)*'01_Input'!$Y$63))+IF('01_Input'!$AB$63="Forfait",IF(DK$20&gt;='01_Input'!$Z$63,'01_Input'!$AC$63,0),IF('01_Input'!$AB$63="Palier",IF(AND(DK$20&gt;='01_Input'!$Z$63,DK$20&lt;'01_Input'!$AA$63),'01_Input'!$AC$63,0),MAX(MIN(DK$20,'01_Input'!$AA$63)-'01_Input'!$Z$63,0)*'01_Input'!$AC$63)))))))))</f>
        <v>1900</v>
      </c>
      <c r="DL31" s="25">
        <f>IF('01_Input'!$C$63="Non",0,MIN('01_Input'!$I$63,MAX('01_Input'!$H$63,IF('01_Input'!$G$63="Résiduel vs Gestion",0,IF('01_Input'!$G$63="Taux Classe sélectionnée",Distrib_Global_Classe_Selectionnee*DL$20,IF('01_Input'!$G$63="Frais KYC (paliers de 100M€)",MAX(0,Nb_Investisseurs-Nb_KYC_Gratuites_Par_Tranche*(FLOOR(DL$20/Taille_Tranche_KYC,1)+1))*Cout_Par_KYC_Supplementaire,(IF('01_Input'!$L$63="Forfait",IF(DL$20&gt;='01_Input'!$J$63,'01_Input'!$M$63,0),IF('01_Input'!$L$63="Palier",IF(AND(DL$20&gt;='01_Input'!$J$63,DL$20&lt;'01_Input'!$K$63),'01_Input'!$M$63,0),MAX(MIN(DL$20,'01_Input'!$K$63)-'01_Input'!$J$63,0)*'01_Input'!$M$63))+IF('01_Input'!$P$63="Forfait",IF(DL$20&gt;='01_Input'!$N$63,'01_Input'!$Q$63,0),IF('01_Input'!$P$63="Palier",IF(AND(DL$20&gt;='01_Input'!$N$63,DL$20&lt;'01_Input'!$O$63),'01_Input'!$Q$63,0),MAX(MIN(DL$20,'01_Input'!$O$63)-'01_Input'!$N$63,0)*'01_Input'!$Q$63))+IF('01_Input'!$T$63="Forfait",IF(DL$20&gt;='01_Input'!$R$63,'01_Input'!$U$63,0),IF('01_Input'!$T$63="Palier",IF(AND(DL$20&gt;='01_Input'!$R$63,DL$20&lt;'01_Input'!$S$63),'01_Input'!$U$63,0),MAX(MIN(DL$20,'01_Input'!$S$63)-'01_Input'!$R$63,0)*'01_Input'!$U$63))+IF('01_Input'!$X$63="Forfait",IF(DL$20&gt;='01_Input'!$V$63,'01_Input'!$Y$63,0),IF('01_Input'!$X$63="Palier",IF(AND(DL$20&gt;='01_Input'!$V$63,DL$20&lt;'01_Input'!$W$63),'01_Input'!$Y$63,0),MAX(MIN(DL$20,'01_Input'!$W$63)-'01_Input'!$V$63,0)*'01_Input'!$Y$63))+IF('01_Input'!$AB$63="Forfait",IF(DL$20&gt;='01_Input'!$Z$63,'01_Input'!$AC$63,0),IF('01_Input'!$AB$63="Palier",IF(AND(DL$20&gt;='01_Input'!$Z$63,DL$20&lt;'01_Input'!$AA$63),'01_Input'!$AC$63,0),MAX(MIN(DL$20,'01_Input'!$AA$63)-'01_Input'!$Z$63,0)*'01_Input'!$AC$63)))))))))</f>
        <v>1900</v>
      </c>
      <c r="DM31" s="25">
        <f>IF('01_Input'!$C$63="Non",0,MIN('01_Input'!$I$63,MAX('01_Input'!$H$63,IF('01_Input'!$G$63="Résiduel vs Gestion",0,IF('01_Input'!$G$63="Taux Classe sélectionnée",Distrib_Global_Classe_Selectionnee*DM$20,IF('01_Input'!$G$63="Frais KYC (paliers de 100M€)",MAX(0,Nb_Investisseurs-Nb_KYC_Gratuites_Par_Tranche*(FLOOR(DM$20/Taille_Tranche_KYC,1)+1))*Cout_Par_KYC_Supplementaire,(IF('01_Input'!$L$63="Forfait",IF(DM$20&gt;='01_Input'!$J$63,'01_Input'!$M$63,0),IF('01_Input'!$L$63="Palier",IF(AND(DM$20&gt;='01_Input'!$J$63,DM$20&lt;'01_Input'!$K$63),'01_Input'!$M$63,0),MAX(MIN(DM$20,'01_Input'!$K$63)-'01_Input'!$J$63,0)*'01_Input'!$M$63))+IF('01_Input'!$P$63="Forfait",IF(DM$20&gt;='01_Input'!$N$63,'01_Input'!$Q$63,0),IF('01_Input'!$P$63="Palier",IF(AND(DM$20&gt;='01_Input'!$N$63,DM$20&lt;'01_Input'!$O$63),'01_Input'!$Q$63,0),MAX(MIN(DM$20,'01_Input'!$O$63)-'01_Input'!$N$63,0)*'01_Input'!$Q$63))+IF('01_Input'!$T$63="Forfait",IF(DM$20&gt;='01_Input'!$R$63,'01_Input'!$U$63,0),IF('01_Input'!$T$63="Palier",IF(AND(DM$20&gt;='01_Input'!$R$63,DM$20&lt;'01_Input'!$S$63),'01_Input'!$U$63,0),MAX(MIN(DM$20,'01_Input'!$S$63)-'01_Input'!$R$63,0)*'01_Input'!$U$63))+IF('01_Input'!$X$63="Forfait",IF(DM$20&gt;='01_Input'!$V$63,'01_Input'!$Y$63,0),IF('01_Input'!$X$63="Palier",IF(AND(DM$20&gt;='01_Input'!$V$63,DM$20&lt;'01_Input'!$W$63),'01_Input'!$Y$63,0),MAX(MIN(DM$20,'01_Input'!$W$63)-'01_Input'!$V$63,0)*'01_Input'!$Y$63))+IF('01_Input'!$AB$63="Forfait",IF(DM$20&gt;='01_Input'!$Z$63,'01_Input'!$AC$63,0),IF('01_Input'!$AB$63="Palier",IF(AND(DM$20&gt;='01_Input'!$Z$63,DM$20&lt;'01_Input'!$AA$63),'01_Input'!$AC$63,0),MAX(MIN(DM$20,'01_Input'!$AA$63)-'01_Input'!$Z$63,0)*'01_Input'!$AC$63)))))))))</f>
        <v>1900</v>
      </c>
      <c r="DN31" s="25">
        <f>IF('01_Input'!$C$63="Non",0,MIN('01_Input'!$I$63,MAX('01_Input'!$H$63,IF('01_Input'!$G$63="Résiduel vs Gestion",0,IF('01_Input'!$G$63="Taux Classe sélectionnée",Distrib_Global_Classe_Selectionnee*DN$20,IF('01_Input'!$G$63="Frais KYC (paliers de 100M€)",MAX(0,Nb_Investisseurs-Nb_KYC_Gratuites_Par_Tranche*(FLOOR(DN$20/Taille_Tranche_KYC,1)+1))*Cout_Par_KYC_Supplementaire,(IF('01_Input'!$L$63="Forfait",IF(DN$20&gt;='01_Input'!$J$63,'01_Input'!$M$63,0),IF('01_Input'!$L$63="Palier",IF(AND(DN$20&gt;='01_Input'!$J$63,DN$20&lt;'01_Input'!$K$63),'01_Input'!$M$63,0),MAX(MIN(DN$20,'01_Input'!$K$63)-'01_Input'!$J$63,0)*'01_Input'!$M$63))+IF('01_Input'!$P$63="Forfait",IF(DN$20&gt;='01_Input'!$N$63,'01_Input'!$Q$63,0),IF('01_Input'!$P$63="Palier",IF(AND(DN$20&gt;='01_Input'!$N$63,DN$20&lt;'01_Input'!$O$63),'01_Input'!$Q$63,0),MAX(MIN(DN$20,'01_Input'!$O$63)-'01_Input'!$N$63,0)*'01_Input'!$Q$63))+IF('01_Input'!$T$63="Forfait",IF(DN$20&gt;='01_Input'!$R$63,'01_Input'!$U$63,0),IF('01_Input'!$T$63="Palier",IF(AND(DN$20&gt;='01_Input'!$R$63,DN$20&lt;'01_Input'!$S$63),'01_Input'!$U$63,0),MAX(MIN(DN$20,'01_Input'!$S$63)-'01_Input'!$R$63,0)*'01_Input'!$U$63))+IF('01_Input'!$X$63="Forfait",IF(DN$20&gt;='01_Input'!$V$63,'01_Input'!$Y$63,0),IF('01_Input'!$X$63="Palier",IF(AND(DN$20&gt;='01_Input'!$V$63,DN$20&lt;'01_Input'!$W$63),'01_Input'!$Y$63,0),MAX(MIN(DN$20,'01_Input'!$W$63)-'01_Input'!$V$63,0)*'01_Input'!$Y$63))+IF('01_Input'!$AB$63="Forfait",IF(DN$20&gt;='01_Input'!$Z$63,'01_Input'!$AC$63,0),IF('01_Input'!$AB$63="Palier",IF(AND(DN$20&gt;='01_Input'!$Z$63,DN$20&lt;'01_Input'!$AA$63),'01_Input'!$AC$63,0),MAX(MIN(DN$20,'01_Input'!$AA$63)-'01_Input'!$Z$63,0)*'01_Input'!$AC$63)))))))))</f>
        <v>1900</v>
      </c>
      <c r="DO31" s="25">
        <f>IF('01_Input'!$C$63="Non",0,MIN('01_Input'!$I$63,MAX('01_Input'!$H$63,IF('01_Input'!$G$63="Résiduel vs Gestion",0,IF('01_Input'!$G$63="Taux Classe sélectionnée",Distrib_Global_Classe_Selectionnee*DO$20,IF('01_Input'!$G$63="Frais KYC (paliers de 100M€)",MAX(0,Nb_Investisseurs-Nb_KYC_Gratuites_Par_Tranche*(FLOOR(DO$20/Taille_Tranche_KYC,1)+1))*Cout_Par_KYC_Supplementaire,(IF('01_Input'!$L$63="Forfait",IF(DO$20&gt;='01_Input'!$J$63,'01_Input'!$M$63,0),IF('01_Input'!$L$63="Palier",IF(AND(DO$20&gt;='01_Input'!$J$63,DO$20&lt;'01_Input'!$K$63),'01_Input'!$M$63,0),MAX(MIN(DO$20,'01_Input'!$K$63)-'01_Input'!$J$63,0)*'01_Input'!$M$63))+IF('01_Input'!$P$63="Forfait",IF(DO$20&gt;='01_Input'!$N$63,'01_Input'!$Q$63,0),IF('01_Input'!$P$63="Palier",IF(AND(DO$20&gt;='01_Input'!$N$63,DO$20&lt;'01_Input'!$O$63),'01_Input'!$Q$63,0),MAX(MIN(DO$20,'01_Input'!$O$63)-'01_Input'!$N$63,0)*'01_Input'!$Q$63))+IF('01_Input'!$T$63="Forfait",IF(DO$20&gt;='01_Input'!$R$63,'01_Input'!$U$63,0),IF('01_Input'!$T$63="Palier",IF(AND(DO$20&gt;='01_Input'!$R$63,DO$20&lt;'01_Input'!$S$63),'01_Input'!$U$63,0),MAX(MIN(DO$20,'01_Input'!$S$63)-'01_Input'!$R$63,0)*'01_Input'!$U$63))+IF('01_Input'!$X$63="Forfait",IF(DO$20&gt;='01_Input'!$V$63,'01_Input'!$Y$63,0),IF('01_Input'!$X$63="Palier",IF(AND(DO$20&gt;='01_Input'!$V$63,DO$20&lt;'01_Input'!$W$63),'01_Input'!$Y$63,0),MAX(MIN(DO$20,'01_Input'!$W$63)-'01_Input'!$V$63,0)*'01_Input'!$Y$63))+IF('01_Input'!$AB$63="Forfait",IF(DO$20&gt;='01_Input'!$Z$63,'01_Input'!$AC$63,0),IF('01_Input'!$AB$63="Palier",IF(AND(DO$20&gt;='01_Input'!$Z$63,DO$20&lt;'01_Input'!$AA$63),'01_Input'!$AC$63,0),MAX(MIN(DO$20,'01_Input'!$AA$63)-'01_Input'!$Z$63,0)*'01_Input'!$AC$63)))))))))</f>
        <v>1900</v>
      </c>
      <c r="DP31" s="25">
        <f>IF('01_Input'!$C$63="Non",0,MIN('01_Input'!$I$63,MAX('01_Input'!$H$63,IF('01_Input'!$G$63="Résiduel vs Gestion",0,IF('01_Input'!$G$63="Taux Classe sélectionnée",Distrib_Global_Classe_Selectionnee*DP$20,IF('01_Input'!$G$63="Frais KYC (paliers de 100M€)",MAX(0,Nb_Investisseurs-Nb_KYC_Gratuites_Par_Tranche*(FLOOR(DP$20/Taille_Tranche_KYC,1)+1))*Cout_Par_KYC_Supplementaire,(IF('01_Input'!$L$63="Forfait",IF(DP$20&gt;='01_Input'!$J$63,'01_Input'!$M$63,0),IF('01_Input'!$L$63="Palier",IF(AND(DP$20&gt;='01_Input'!$J$63,DP$20&lt;'01_Input'!$K$63),'01_Input'!$M$63,0),MAX(MIN(DP$20,'01_Input'!$K$63)-'01_Input'!$J$63,0)*'01_Input'!$M$63))+IF('01_Input'!$P$63="Forfait",IF(DP$20&gt;='01_Input'!$N$63,'01_Input'!$Q$63,0),IF('01_Input'!$P$63="Palier",IF(AND(DP$20&gt;='01_Input'!$N$63,DP$20&lt;'01_Input'!$O$63),'01_Input'!$Q$63,0),MAX(MIN(DP$20,'01_Input'!$O$63)-'01_Input'!$N$63,0)*'01_Input'!$Q$63))+IF('01_Input'!$T$63="Forfait",IF(DP$20&gt;='01_Input'!$R$63,'01_Input'!$U$63,0),IF('01_Input'!$T$63="Palier",IF(AND(DP$20&gt;='01_Input'!$R$63,DP$20&lt;'01_Input'!$S$63),'01_Input'!$U$63,0),MAX(MIN(DP$20,'01_Input'!$S$63)-'01_Input'!$R$63,0)*'01_Input'!$U$63))+IF('01_Input'!$X$63="Forfait",IF(DP$20&gt;='01_Input'!$V$63,'01_Input'!$Y$63,0),IF('01_Input'!$X$63="Palier",IF(AND(DP$20&gt;='01_Input'!$V$63,DP$20&lt;'01_Input'!$W$63),'01_Input'!$Y$63,0),MAX(MIN(DP$20,'01_Input'!$W$63)-'01_Input'!$V$63,0)*'01_Input'!$Y$63))+IF('01_Input'!$AB$63="Forfait",IF(DP$20&gt;='01_Input'!$Z$63,'01_Input'!$AC$63,0),IF('01_Input'!$AB$63="Palier",IF(AND(DP$20&gt;='01_Input'!$Z$63,DP$20&lt;'01_Input'!$AA$63),'01_Input'!$AC$63,0),MAX(MIN(DP$20,'01_Input'!$AA$63)-'01_Input'!$Z$63,0)*'01_Input'!$AC$63)))))))))</f>
        <v>1900</v>
      </c>
      <c r="DQ31" s="25">
        <f>IF('01_Input'!$C$63="Non",0,MIN('01_Input'!$I$63,MAX('01_Input'!$H$63,IF('01_Input'!$G$63="Résiduel vs Gestion",0,IF('01_Input'!$G$63="Taux Classe sélectionnée",Distrib_Global_Classe_Selectionnee*DQ$20,IF('01_Input'!$G$63="Frais KYC (paliers de 100M€)",MAX(0,Nb_Investisseurs-Nb_KYC_Gratuites_Par_Tranche*(FLOOR(DQ$20/Taille_Tranche_KYC,1)+1))*Cout_Par_KYC_Supplementaire,(IF('01_Input'!$L$63="Forfait",IF(DQ$20&gt;='01_Input'!$J$63,'01_Input'!$M$63,0),IF('01_Input'!$L$63="Palier",IF(AND(DQ$20&gt;='01_Input'!$J$63,DQ$20&lt;'01_Input'!$K$63),'01_Input'!$M$63,0),MAX(MIN(DQ$20,'01_Input'!$K$63)-'01_Input'!$J$63,0)*'01_Input'!$M$63))+IF('01_Input'!$P$63="Forfait",IF(DQ$20&gt;='01_Input'!$N$63,'01_Input'!$Q$63,0),IF('01_Input'!$P$63="Palier",IF(AND(DQ$20&gt;='01_Input'!$N$63,DQ$20&lt;'01_Input'!$O$63),'01_Input'!$Q$63,0),MAX(MIN(DQ$20,'01_Input'!$O$63)-'01_Input'!$N$63,0)*'01_Input'!$Q$63))+IF('01_Input'!$T$63="Forfait",IF(DQ$20&gt;='01_Input'!$R$63,'01_Input'!$U$63,0),IF('01_Input'!$T$63="Palier",IF(AND(DQ$20&gt;='01_Input'!$R$63,DQ$20&lt;'01_Input'!$S$63),'01_Input'!$U$63,0),MAX(MIN(DQ$20,'01_Input'!$S$63)-'01_Input'!$R$63,0)*'01_Input'!$U$63))+IF('01_Input'!$X$63="Forfait",IF(DQ$20&gt;='01_Input'!$V$63,'01_Input'!$Y$63,0),IF('01_Input'!$X$63="Palier",IF(AND(DQ$20&gt;='01_Input'!$V$63,DQ$20&lt;'01_Input'!$W$63),'01_Input'!$Y$63,0),MAX(MIN(DQ$20,'01_Input'!$W$63)-'01_Input'!$V$63,0)*'01_Input'!$Y$63))+IF('01_Input'!$AB$63="Forfait",IF(DQ$20&gt;='01_Input'!$Z$63,'01_Input'!$AC$63,0),IF('01_Input'!$AB$63="Palier",IF(AND(DQ$20&gt;='01_Input'!$Z$63,DQ$20&lt;'01_Input'!$AA$63),'01_Input'!$AC$63,0),MAX(MIN(DQ$20,'01_Input'!$AA$63)-'01_Input'!$Z$63,0)*'01_Input'!$AC$63)))))))))</f>
        <v>1900</v>
      </c>
      <c r="DR31" s="25">
        <f>IF('01_Input'!$C$63="Non",0,MIN('01_Input'!$I$63,MAX('01_Input'!$H$63,IF('01_Input'!$G$63="Résiduel vs Gestion",0,IF('01_Input'!$G$63="Taux Classe sélectionnée",Distrib_Global_Classe_Selectionnee*DR$20,IF('01_Input'!$G$63="Frais KYC (paliers de 100M€)",MAX(0,Nb_Investisseurs-Nb_KYC_Gratuites_Par_Tranche*(FLOOR(DR$20/Taille_Tranche_KYC,1)+1))*Cout_Par_KYC_Supplementaire,(IF('01_Input'!$L$63="Forfait",IF(DR$20&gt;='01_Input'!$J$63,'01_Input'!$M$63,0),IF('01_Input'!$L$63="Palier",IF(AND(DR$20&gt;='01_Input'!$J$63,DR$20&lt;'01_Input'!$K$63),'01_Input'!$M$63,0),MAX(MIN(DR$20,'01_Input'!$K$63)-'01_Input'!$J$63,0)*'01_Input'!$M$63))+IF('01_Input'!$P$63="Forfait",IF(DR$20&gt;='01_Input'!$N$63,'01_Input'!$Q$63,0),IF('01_Input'!$P$63="Palier",IF(AND(DR$20&gt;='01_Input'!$N$63,DR$20&lt;'01_Input'!$O$63),'01_Input'!$Q$63,0),MAX(MIN(DR$20,'01_Input'!$O$63)-'01_Input'!$N$63,0)*'01_Input'!$Q$63))+IF('01_Input'!$T$63="Forfait",IF(DR$20&gt;='01_Input'!$R$63,'01_Input'!$U$63,0),IF('01_Input'!$T$63="Palier",IF(AND(DR$20&gt;='01_Input'!$R$63,DR$20&lt;'01_Input'!$S$63),'01_Input'!$U$63,0),MAX(MIN(DR$20,'01_Input'!$S$63)-'01_Input'!$R$63,0)*'01_Input'!$U$63))+IF('01_Input'!$X$63="Forfait",IF(DR$20&gt;='01_Input'!$V$63,'01_Input'!$Y$63,0),IF('01_Input'!$X$63="Palier",IF(AND(DR$20&gt;='01_Input'!$V$63,DR$20&lt;'01_Input'!$W$63),'01_Input'!$Y$63,0),MAX(MIN(DR$20,'01_Input'!$W$63)-'01_Input'!$V$63,0)*'01_Input'!$Y$63))+IF('01_Input'!$AB$63="Forfait",IF(DR$20&gt;='01_Input'!$Z$63,'01_Input'!$AC$63,0),IF('01_Input'!$AB$63="Palier",IF(AND(DR$20&gt;='01_Input'!$Z$63,DR$20&lt;'01_Input'!$AA$63),'01_Input'!$AC$63,0),MAX(MIN(DR$20,'01_Input'!$AA$63)-'01_Input'!$Z$63,0)*'01_Input'!$AC$63)))))))))</f>
        <v>1900</v>
      </c>
      <c r="DS31" s="25">
        <f>IF('01_Input'!$C$63="Non",0,MIN('01_Input'!$I$63,MAX('01_Input'!$H$63,IF('01_Input'!$G$63="Résiduel vs Gestion",0,IF('01_Input'!$G$63="Taux Classe sélectionnée",Distrib_Global_Classe_Selectionnee*DS$20,IF('01_Input'!$G$63="Frais KYC (paliers de 100M€)",MAX(0,Nb_Investisseurs-Nb_KYC_Gratuites_Par_Tranche*(FLOOR(DS$20/Taille_Tranche_KYC,1)+1))*Cout_Par_KYC_Supplementaire,(IF('01_Input'!$L$63="Forfait",IF(DS$20&gt;='01_Input'!$J$63,'01_Input'!$M$63,0),IF('01_Input'!$L$63="Palier",IF(AND(DS$20&gt;='01_Input'!$J$63,DS$20&lt;'01_Input'!$K$63),'01_Input'!$M$63,0),MAX(MIN(DS$20,'01_Input'!$K$63)-'01_Input'!$J$63,0)*'01_Input'!$M$63))+IF('01_Input'!$P$63="Forfait",IF(DS$20&gt;='01_Input'!$N$63,'01_Input'!$Q$63,0),IF('01_Input'!$P$63="Palier",IF(AND(DS$20&gt;='01_Input'!$N$63,DS$20&lt;'01_Input'!$O$63),'01_Input'!$Q$63,0),MAX(MIN(DS$20,'01_Input'!$O$63)-'01_Input'!$N$63,0)*'01_Input'!$Q$63))+IF('01_Input'!$T$63="Forfait",IF(DS$20&gt;='01_Input'!$R$63,'01_Input'!$U$63,0),IF('01_Input'!$T$63="Palier",IF(AND(DS$20&gt;='01_Input'!$R$63,DS$20&lt;'01_Input'!$S$63),'01_Input'!$U$63,0),MAX(MIN(DS$20,'01_Input'!$S$63)-'01_Input'!$R$63,0)*'01_Input'!$U$63))+IF('01_Input'!$X$63="Forfait",IF(DS$20&gt;='01_Input'!$V$63,'01_Input'!$Y$63,0),IF('01_Input'!$X$63="Palier",IF(AND(DS$20&gt;='01_Input'!$V$63,DS$20&lt;'01_Input'!$W$63),'01_Input'!$Y$63,0),MAX(MIN(DS$20,'01_Input'!$W$63)-'01_Input'!$V$63,0)*'01_Input'!$Y$63))+IF('01_Input'!$AB$63="Forfait",IF(DS$20&gt;='01_Input'!$Z$63,'01_Input'!$AC$63,0),IF('01_Input'!$AB$63="Palier",IF(AND(DS$20&gt;='01_Input'!$Z$63,DS$20&lt;'01_Input'!$AA$63),'01_Input'!$AC$63,0),MAX(MIN(DS$20,'01_Input'!$AA$63)-'01_Input'!$Z$63,0)*'01_Input'!$AC$63)))))))))</f>
        <v>1900</v>
      </c>
      <c r="DT31" s="25">
        <f>IF('01_Input'!$C$63="Non",0,MIN('01_Input'!$I$63,MAX('01_Input'!$H$63,IF('01_Input'!$G$63="Résiduel vs Gestion",0,IF('01_Input'!$G$63="Taux Classe sélectionnée",Distrib_Global_Classe_Selectionnee*DT$20,IF('01_Input'!$G$63="Frais KYC (paliers de 100M€)",MAX(0,Nb_Investisseurs-Nb_KYC_Gratuites_Par_Tranche*(FLOOR(DT$20/Taille_Tranche_KYC,1)+1))*Cout_Par_KYC_Supplementaire,(IF('01_Input'!$L$63="Forfait",IF(DT$20&gt;='01_Input'!$J$63,'01_Input'!$M$63,0),IF('01_Input'!$L$63="Palier",IF(AND(DT$20&gt;='01_Input'!$J$63,DT$20&lt;'01_Input'!$K$63),'01_Input'!$M$63,0),MAX(MIN(DT$20,'01_Input'!$K$63)-'01_Input'!$J$63,0)*'01_Input'!$M$63))+IF('01_Input'!$P$63="Forfait",IF(DT$20&gt;='01_Input'!$N$63,'01_Input'!$Q$63,0),IF('01_Input'!$P$63="Palier",IF(AND(DT$20&gt;='01_Input'!$N$63,DT$20&lt;'01_Input'!$O$63),'01_Input'!$Q$63,0),MAX(MIN(DT$20,'01_Input'!$O$63)-'01_Input'!$N$63,0)*'01_Input'!$Q$63))+IF('01_Input'!$T$63="Forfait",IF(DT$20&gt;='01_Input'!$R$63,'01_Input'!$U$63,0),IF('01_Input'!$T$63="Palier",IF(AND(DT$20&gt;='01_Input'!$R$63,DT$20&lt;'01_Input'!$S$63),'01_Input'!$U$63,0),MAX(MIN(DT$20,'01_Input'!$S$63)-'01_Input'!$R$63,0)*'01_Input'!$U$63))+IF('01_Input'!$X$63="Forfait",IF(DT$20&gt;='01_Input'!$V$63,'01_Input'!$Y$63,0),IF('01_Input'!$X$63="Palier",IF(AND(DT$20&gt;='01_Input'!$V$63,DT$20&lt;'01_Input'!$W$63),'01_Input'!$Y$63,0),MAX(MIN(DT$20,'01_Input'!$W$63)-'01_Input'!$V$63,0)*'01_Input'!$Y$63))+IF('01_Input'!$AB$63="Forfait",IF(DT$20&gt;='01_Input'!$Z$63,'01_Input'!$AC$63,0),IF('01_Input'!$AB$63="Palier",IF(AND(DT$20&gt;='01_Input'!$Z$63,DT$20&lt;'01_Input'!$AA$63),'01_Input'!$AC$63,0),MAX(MIN(DT$20,'01_Input'!$AA$63)-'01_Input'!$Z$63,0)*'01_Input'!$AC$63)))))))))</f>
        <v>1900</v>
      </c>
      <c r="DU31" s="25">
        <f>IF('01_Input'!$C$63="Non",0,MIN('01_Input'!$I$63,MAX('01_Input'!$H$63,IF('01_Input'!$G$63="Résiduel vs Gestion",0,IF('01_Input'!$G$63="Taux Classe sélectionnée",Distrib_Global_Classe_Selectionnee*DU$20,IF('01_Input'!$G$63="Frais KYC (paliers de 100M€)",MAX(0,Nb_Investisseurs-Nb_KYC_Gratuites_Par_Tranche*(FLOOR(DU$20/Taille_Tranche_KYC,1)+1))*Cout_Par_KYC_Supplementaire,(IF('01_Input'!$L$63="Forfait",IF(DU$20&gt;='01_Input'!$J$63,'01_Input'!$M$63,0),IF('01_Input'!$L$63="Palier",IF(AND(DU$20&gt;='01_Input'!$J$63,DU$20&lt;'01_Input'!$K$63),'01_Input'!$M$63,0),MAX(MIN(DU$20,'01_Input'!$K$63)-'01_Input'!$J$63,0)*'01_Input'!$M$63))+IF('01_Input'!$P$63="Forfait",IF(DU$20&gt;='01_Input'!$N$63,'01_Input'!$Q$63,0),IF('01_Input'!$P$63="Palier",IF(AND(DU$20&gt;='01_Input'!$N$63,DU$20&lt;'01_Input'!$O$63),'01_Input'!$Q$63,0),MAX(MIN(DU$20,'01_Input'!$O$63)-'01_Input'!$N$63,0)*'01_Input'!$Q$63))+IF('01_Input'!$T$63="Forfait",IF(DU$20&gt;='01_Input'!$R$63,'01_Input'!$U$63,0),IF('01_Input'!$T$63="Palier",IF(AND(DU$20&gt;='01_Input'!$R$63,DU$20&lt;'01_Input'!$S$63),'01_Input'!$U$63,0),MAX(MIN(DU$20,'01_Input'!$S$63)-'01_Input'!$R$63,0)*'01_Input'!$U$63))+IF('01_Input'!$X$63="Forfait",IF(DU$20&gt;='01_Input'!$V$63,'01_Input'!$Y$63,0),IF('01_Input'!$X$63="Palier",IF(AND(DU$20&gt;='01_Input'!$V$63,DU$20&lt;'01_Input'!$W$63),'01_Input'!$Y$63,0),MAX(MIN(DU$20,'01_Input'!$W$63)-'01_Input'!$V$63,0)*'01_Input'!$Y$63))+IF('01_Input'!$AB$63="Forfait",IF(DU$20&gt;='01_Input'!$Z$63,'01_Input'!$AC$63,0),IF('01_Input'!$AB$63="Palier",IF(AND(DU$20&gt;='01_Input'!$Z$63,DU$20&lt;'01_Input'!$AA$63),'01_Input'!$AC$63,0),MAX(MIN(DU$20,'01_Input'!$AA$63)-'01_Input'!$Z$63,0)*'01_Input'!$AC$63)))))))))</f>
        <v>1900</v>
      </c>
      <c r="DV31" s="25">
        <f>IF('01_Input'!$C$63="Non",0,MIN('01_Input'!$I$63,MAX('01_Input'!$H$63,IF('01_Input'!$G$63="Résiduel vs Gestion",0,IF('01_Input'!$G$63="Taux Classe sélectionnée",Distrib_Global_Classe_Selectionnee*DV$20,IF('01_Input'!$G$63="Frais KYC (paliers de 100M€)",MAX(0,Nb_Investisseurs-Nb_KYC_Gratuites_Par_Tranche*(FLOOR(DV$20/Taille_Tranche_KYC,1)+1))*Cout_Par_KYC_Supplementaire,(IF('01_Input'!$L$63="Forfait",IF(DV$20&gt;='01_Input'!$J$63,'01_Input'!$M$63,0),IF('01_Input'!$L$63="Palier",IF(AND(DV$20&gt;='01_Input'!$J$63,DV$20&lt;'01_Input'!$K$63),'01_Input'!$M$63,0),MAX(MIN(DV$20,'01_Input'!$K$63)-'01_Input'!$J$63,0)*'01_Input'!$M$63))+IF('01_Input'!$P$63="Forfait",IF(DV$20&gt;='01_Input'!$N$63,'01_Input'!$Q$63,0),IF('01_Input'!$P$63="Palier",IF(AND(DV$20&gt;='01_Input'!$N$63,DV$20&lt;'01_Input'!$O$63),'01_Input'!$Q$63,0),MAX(MIN(DV$20,'01_Input'!$O$63)-'01_Input'!$N$63,0)*'01_Input'!$Q$63))+IF('01_Input'!$T$63="Forfait",IF(DV$20&gt;='01_Input'!$R$63,'01_Input'!$U$63,0),IF('01_Input'!$T$63="Palier",IF(AND(DV$20&gt;='01_Input'!$R$63,DV$20&lt;'01_Input'!$S$63),'01_Input'!$U$63,0),MAX(MIN(DV$20,'01_Input'!$S$63)-'01_Input'!$R$63,0)*'01_Input'!$U$63))+IF('01_Input'!$X$63="Forfait",IF(DV$20&gt;='01_Input'!$V$63,'01_Input'!$Y$63,0),IF('01_Input'!$X$63="Palier",IF(AND(DV$20&gt;='01_Input'!$V$63,DV$20&lt;'01_Input'!$W$63),'01_Input'!$Y$63,0),MAX(MIN(DV$20,'01_Input'!$W$63)-'01_Input'!$V$63,0)*'01_Input'!$Y$63))+IF('01_Input'!$AB$63="Forfait",IF(DV$20&gt;='01_Input'!$Z$63,'01_Input'!$AC$63,0),IF('01_Input'!$AB$63="Palier",IF(AND(DV$20&gt;='01_Input'!$Z$63,DV$20&lt;'01_Input'!$AA$63),'01_Input'!$AC$63,0),MAX(MIN(DV$20,'01_Input'!$AA$63)-'01_Input'!$Z$63,0)*'01_Input'!$AC$63)))))))))</f>
        <v>1900</v>
      </c>
      <c r="DW31" s="25">
        <f>IF('01_Input'!$C$63="Non",0,MIN('01_Input'!$I$63,MAX('01_Input'!$H$63,IF('01_Input'!$G$63="Résiduel vs Gestion",0,IF('01_Input'!$G$63="Taux Classe sélectionnée",Distrib_Global_Classe_Selectionnee*DW$20,IF('01_Input'!$G$63="Frais KYC (paliers de 100M€)",MAX(0,Nb_Investisseurs-Nb_KYC_Gratuites_Par_Tranche*(FLOOR(DW$20/Taille_Tranche_KYC,1)+1))*Cout_Par_KYC_Supplementaire,(IF('01_Input'!$L$63="Forfait",IF(DW$20&gt;='01_Input'!$J$63,'01_Input'!$M$63,0),IF('01_Input'!$L$63="Palier",IF(AND(DW$20&gt;='01_Input'!$J$63,DW$20&lt;'01_Input'!$K$63),'01_Input'!$M$63,0),MAX(MIN(DW$20,'01_Input'!$K$63)-'01_Input'!$J$63,0)*'01_Input'!$M$63))+IF('01_Input'!$P$63="Forfait",IF(DW$20&gt;='01_Input'!$N$63,'01_Input'!$Q$63,0),IF('01_Input'!$P$63="Palier",IF(AND(DW$20&gt;='01_Input'!$N$63,DW$20&lt;'01_Input'!$O$63),'01_Input'!$Q$63,0),MAX(MIN(DW$20,'01_Input'!$O$63)-'01_Input'!$N$63,0)*'01_Input'!$Q$63))+IF('01_Input'!$T$63="Forfait",IF(DW$20&gt;='01_Input'!$R$63,'01_Input'!$U$63,0),IF('01_Input'!$T$63="Palier",IF(AND(DW$20&gt;='01_Input'!$R$63,DW$20&lt;'01_Input'!$S$63),'01_Input'!$U$63,0),MAX(MIN(DW$20,'01_Input'!$S$63)-'01_Input'!$R$63,0)*'01_Input'!$U$63))+IF('01_Input'!$X$63="Forfait",IF(DW$20&gt;='01_Input'!$V$63,'01_Input'!$Y$63,0),IF('01_Input'!$X$63="Palier",IF(AND(DW$20&gt;='01_Input'!$V$63,DW$20&lt;'01_Input'!$W$63),'01_Input'!$Y$63,0),MAX(MIN(DW$20,'01_Input'!$W$63)-'01_Input'!$V$63,0)*'01_Input'!$Y$63))+IF('01_Input'!$AB$63="Forfait",IF(DW$20&gt;='01_Input'!$Z$63,'01_Input'!$AC$63,0),IF('01_Input'!$AB$63="Palier",IF(AND(DW$20&gt;='01_Input'!$Z$63,DW$20&lt;'01_Input'!$AA$63),'01_Input'!$AC$63,0),MAX(MIN(DW$20,'01_Input'!$AA$63)-'01_Input'!$Z$63,0)*'01_Input'!$AC$63)))))))))</f>
        <v>1900</v>
      </c>
      <c r="DX31" s="25">
        <f>IF('01_Input'!$C$63="Non",0,MIN('01_Input'!$I$63,MAX('01_Input'!$H$63,IF('01_Input'!$G$63="Résiduel vs Gestion",0,IF('01_Input'!$G$63="Taux Classe sélectionnée",Distrib_Global_Classe_Selectionnee*DX$20,IF('01_Input'!$G$63="Frais KYC (paliers de 100M€)",MAX(0,Nb_Investisseurs-Nb_KYC_Gratuites_Par_Tranche*(FLOOR(DX$20/Taille_Tranche_KYC,1)+1))*Cout_Par_KYC_Supplementaire,(IF('01_Input'!$L$63="Forfait",IF(DX$20&gt;='01_Input'!$J$63,'01_Input'!$M$63,0),IF('01_Input'!$L$63="Palier",IF(AND(DX$20&gt;='01_Input'!$J$63,DX$20&lt;'01_Input'!$K$63),'01_Input'!$M$63,0),MAX(MIN(DX$20,'01_Input'!$K$63)-'01_Input'!$J$63,0)*'01_Input'!$M$63))+IF('01_Input'!$P$63="Forfait",IF(DX$20&gt;='01_Input'!$N$63,'01_Input'!$Q$63,0),IF('01_Input'!$P$63="Palier",IF(AND(DX$20&gt;='01_Input'!$N$63,DX$20&lt;'01_Input'!$O$63),'01_Input'!$Q$63,0),MAX(MIN(DX$20,'01_Input'!$O$63)-'01_Input'!$N$63,0)*'01_Input'!$Q$63))+IF('01_Input'!$T$63="Forfait",IF(DX$20&gt;='01_Input'!$R$63,'01_Input'!$U$63,0),IF('01_Input'!$T$63="Palier",IF(AND(DX$20&gt;='01_Input'!$R$63,DX$20&lt;'01_Input'!$S$63),'01_Input'!$U$63,0),MAX(MIN(DX$20,'01_Input'!$S$63)-'01_Input'!$R$63,0)*'01_Input'!$U$63))+IF('01_Input'!$X$63="Forfait",IF(DX$20&gt;='01_Input'!$V$63,'01_Input'!$Y$63,0),IF('01_Input'!$X$63="Palier",IF(AND(DX$20&gt;='01_Input'!$V$63,DX$20&lt;'01_Input'!$W$63),'01_Input'!$Y$63,0),MAX(MIN(DX$20,'01_Input'!$W$63)-'01_Input'!$V$63,0)*'01_Input'!$Y$63))+IF('01_Input'!$AB$63="Forfait",IF(DX$20&gt;='01_Input'!$Z$63,'01_Input'!$AC$63,0),IF('01_Input'!$AB$63="Palier",IF(AND(DX$20&gt;='01_Input'!$Z$63,DX$20&lt;'01_Input'!$AA$63),'01_Input'!$AC$63,0),MAX(MIN(DX$20,'01_Input'!$AA$63)-'01_Input'!$Z$63,0)*'01_Input'!$AC$63)))))))))</f>
        <v>1900</v>
      </c>
      <c r="DY31" s="25">
        <f>IF('01_Input'!$C$63="Non",0,MIN('01_Input'!$I$63,MAX('01_Input'!$H$63,IF('01_Input'!$G$63="Résiduel vs Gestion",0,IF('01_Input'!$G$63="Taux Classe sélectionnée",Distrib_Global_Classe_Selectionnee*DY$20,IF('01_Input'!$G$63="Frais KYC (paliers de 100M€)",MAX(0,Nb_Investisseurs-Nb_KYC_Gratuites_Par_Tranche*(FLOOR(DY$20/Taille_Tranche_KYC,1)+1))*Cout_Par_KYC_Supplementaire,(IF('01_Input'!$L$63="Forfait",IF(DY$20&gt;='01_Input'!$J$63,'01_Input'!$M$63,0),IF('01_Input'!$L$63="Palier",IF(AND(DY$20&gt;='01_Input'!$J$63,DY$20&lt;'01_Input'!$K$63),'01_Input'!$M$63,0),MAX(MIN(DY$20,'01_Input'!$K$63)-'01_Input'!$J$63,0)*'01_Input'!$M$63))+IF('01_Input'!$P$63="Forfait",IF(DY$20&gt;='01_Input'!$N$63,'01_Input'!$Q$63,0),IF('01_Input'!$P$63="Palier",IF(AND(DY$20&gt;='01_Input'!$N$63,DY$20&lt;'01_Input'!$O$63),'01_Input'!$Q$63,0),MAX(MIN(DY$20,'01_Input'!$O$63)-'01_Input'!$N$63,0)*'01_Input'!$Q$63))+IF('01_Input'!$T$63="Forfait",IF(DY$20&gt;='01_Input'!$R$63,'01_Input'!$U$63,0),IF('01_Input'!$T$63="Palier",IF(AND(DY$20&gt;='01_Input'!$R$63,DY$20&lt;'01_Input'!$S$63),'01_Input'!$U$63,0),MAX(MIN(DY$20,'01_Input'!$S$63)-'01_Input'!$R$63,0)*'01_Input'!$U$63))+IF('01_Input'!$X$63="Forfait",IF(DY$20&gt;='01_Input'!$V$63,'01_Input'!$Y$63,0),IF('01_Input'!$X$63="Palier",IF(AND(DY$20&gt;='01_Input'!$V$63,DY$20&lt;'01_Input'!$W$63),'01_Input'!$Y$63,0),MAX(MIN(DY$20,'01_Input'!$W$63)-'01_Input'!$V$63,0)*'01_Input'!$Y$63))+IF('01_Input'!$AB$63="Forfait",IF(DY$20&gt;='01_Input'!$Z$63,'01_Input'!$AC$63,0),IF('01_Input'!$AB$63="Palier",IF(AND(DY$20&gt;='01_Input'!$Z$63,DY$20&lt;'01_Input'!$AA$63),'01_Input'!$AC$63,0),MAX(MIN(DY$20,'01_Input'!$AA$63)-'01_Input'!$Z$63,0)*'01_Input'!$AC$63)))))))))</f>
        <v>1900</v>
      </c>
      <c r="DZ31" s="25">
        <f>IF('01_Input'!$C$63="Non",0,MIN('01_Input'!$I$63,MAX('01_Input'!$H$63,IF('01_Input'!$G$63="Résiduel vs Gestion",0,IF('01_Input'!$G$63="Taux Classe sélectionnée",Distrib_Global_Classe_Selectionnee*DZ$20,IF('01_Input'!$G$63="Frais KYC (paliers de 100M€)",MAX(0,Nb_Investisseurs-Nb_KYC_Gratuites_Par_Tranche*(FLOOR(DZ$20/Taille_Tranche_KYC,1)+1))*Cout_Par_KYC_Supplementaire,(IF('01_Input'!$L$63="Forfait",IF(DZ$20&gt;='01_Input'!$J$63,'01_Input'!$M$63,0),IF('01_Input'!$L$63="Palier",IF(AND(DZ$20&gt;='01_Input'!$J$63,DZ$20&lt;'01_Input'!$K$63),'01_Input'!$M$63,0),MAX(MIN(DZ$20,'01_Input'!$K$63)-'01_Input'!$J$63,0)*'01_Input'!$M$63))+IF('01_Input'!$P$63="Forfait",IF(DZ$20&gt;='01_Input'!$N$63,'01_Input'!$Q$63,0),IF('01_Input'!$P$63="Palier",IF(AND(DZ$20&gt;='01_Input'!$N$63,DZ$20&lt;'01_Input'!$O$63),'01_Input'!$Q$63,0),MAX(MIN(DZ$20,'01_Input'!$O$63)-'01_Input'!$N$63,0)*'01_Input'!$Q$63))+IF('01_Input'!$T$63="Forfait",IF(DZ$20&gt;='01_Input'!$R$63,'01_Input'!$U$63,0),IF('01_Input'!$T$63="Palier",IF(AND(DZ$20&gt;='01_Input'!$R$63,DZ$20&lt;'01_Input'!$S$63),'01_Input'!$U$63,0),MAX(MIN(DZ$20,'01_Input'!$S$63)-'01_Input'!$R$63,0)*'01_Input'!$U$63))+IF('01_Input'!$X$63="Forfait",IF(DZ$20&gt;='01_Input'!$V$63,'01_Input'!$Y$63,0),IF('01_Input'!$X$63="Palier",IF(AND(DZ$20&gt;='01_Input'!$V$63,DZ$20&lt;'01_Input'!$W$63),'01_Input'!$Y$63,0),MAX(MIN(DZ$20,'01_Input'!$W$63)-'01_Input'!$V$63,0)*'01_Input'!$Y$63))+IF('01_Input'!$AB$63="Forfait",IF(DZ$20&gt;='01_Input'!$Z$63,'01_Input'!$AC$63,0),IF('01_Input'!$AB$63="Palier",IF(AND(DZ$20&gt;='01_Input'!$Z$63,DZ$20&lt;'01_Input'!$AA$63),'01_Input'!$AC$63,0),MAX(MIN(DZ$20,'01_Input'!$AA$63)-'01_Input'!$Z$63,0)*'01_Input'!$AC$63)))))))))</f>
        <v>1900</v>
      </c>
      <c r="EA31" s="25">
        <f>IF('01_Input'!$C$63="Non",0,MIN('01_Input'!$I$63,MAX('01_Input'!$H$63,IF('01_Input'!$G$63="Résiduel vs Gestion",0,IF('01_Input'!$G$63="Taux Classe sélectionnée",Distrib_Global_Classe_Selectionnee*EA$20,IF('01_Input'!$G$63="Frais KYC (paliers de 100M€)",MAX(0,Nb_Investisseurs-Nb_KYC_Gratuites_Par_Tranche*(FLOOR(EA$20/Taille_Tranche_KYC,1)+1))*Cout_Par_KYC_Supplementaire,(IF('01_Input'!$L$63="Forfait",IF(EA$20&gt;='01_Input'!$J$63,'01_Input'!$M$63,0),IF('01_Input'!$L$63="Palier",IF(AND(EA$20&gt;='01_Input'!$J$63,EA$20&lt;'01_Input'!$K$63),'01_Input'!$M$63,0),MAX(MIN(EA$20,'01_Input'!$K$63)-'01_Input'!$J$63,0)*'01_Input'!$M$63))+IF('01_Input'!$P$63="Forfait",IF(EA$20&gt;='01_Input'!$N$63,'01_Input'!$Q$63,0),IF('01_Input'!$P$63="Palier",IF(AND(EA$20&gt;='01_Input'!$N$63,EA$20&lt;'01_Input'!$O$63),'01_Input'!$Q$63,0),MAX(MIN(EA$20,'01_Input'!$O$63)-'01_Input'!$N$63,0)*'01_Input'!$Q$63))+IF('01_Input'!$T$63="Forfait",IF(EA$20&gt;='01_Input'!$R$63,'01_Input'!$U$63,0),IF('01_Input'!$T$63="Palier",IF(AND(EA$20&gt;='01_Input'!$R$63,EA$20&lt;'01_Input'!$S$63),'01_Input'!$U$63,0),MAX(MIN(EA$20,'01_Input'!$S$63)-'01_Input'!$R$63,0)*'01_Input'!$U$63))+IF('01_Input'!$X$63="Forfait",IF(EA$20&gt;='01_Input'!$V$63,'01_Input'!$Y$63,0),IF('01_Input'!$X$63="Palier",IF(AND(EA$20&gt;='01_Input'!$V$63,EA$20&lt;'01_Input'!$W$63),'01_Input'!$Y$63,0),MAX(MIN(EA$20,'01_Input'!$W$63)-'01_Input'!$V$63,0)*'01_Input'!$Y$63))+IF('01_Input'!$AB$63="Forfait",IF(EA$20&gt;='01_Input'!$Z$63,'01_Input'!$AC$63,0),IF('01_Input'!$AB$63="Palier",IF(AND(EA$20&gt;='01_Input'!$Z$63,EA$20&lt;'01_Input'!$AA$63),'01_Input'!$AC$63,0),MAX(MIN(EA$20,'01_Input'!$AA$63)-'01_Input'!$Z$63,0)*'01_Input'!$AC$63)))))))))</f>
        <v>1900</v>
      </c>
      <c r="EB31" s="25">
        <f>IF('01_Input'!$C$63="Non",0,MIN('01_Input'!$I$63,MAX('01_Input'!$H$63,IF('01_Input'!$G$63="Résiduel vs Gestion",0,IF('01_Input'!$G$63="Taux Classe sélectionnée",Distrib_Global_Classe_Selectionnee*EB$20,IF('01_Input'!$G$63="Frais KYC (paliers de 100M€)",MAX(0,Nb_Investisseurs-Nb_KYC_Gratuites_Par_Tranche*(FLOOR(EB$20/Taille_Tranche_KYC,1)+1))*Cout_Par_KYC_Supplementaire,(IF('01_Input'!$L$63="Forfait",IF(EB$20&gt;='01_Input'!$J$63,'01_Input'!$M$63,0),IF('01_Input'!$L$63="Palier",IF(AND(EB$20&gt;='01_Input'!$J$63,EB$20&lt;'01_Input'!$K$63),'01_Input'!$M$63,0),MAX(MIN(EB$20,'01_Input'!$K$63)-'01_Input'!$J$63,0)*'01_Input'!$M$63))+IF('01_Input'!$P$63="Forfait",IF(EB$20&gt;='01_Input'!$N$63,'01_Input'!$Q$63,0),IF('01_Input'!$P$63="Palier",IF(AND(EB$20&gt;='01_Input'!$N$63,EB$20&lt;'01_Input'!$O$63),'01_Input'!$Q$63,0),MAX(MIN(EB$20,'01_Input'!$O$63)-'01_Input'!$N$63,0)*'01_Input'!$Q$63))+IF('01_Input'!$T$63="Forfait",IF(EB$20&gt;='01_Input'!$R$63,'01_Input'!$U$63,0),IF('01_Input'!$T$63="Palier",IF(AND(EB$20&gt;='01_Input'!$R$63,EB$20&lt;'01_Input'!$S$63),'01_Input'!$U$63,0),MAX(MIN(EB$20,'01_Input'!$S$63)-'01_Input'!$R$63,0)*'01_Input'!$U$63))+IF('01_Input'!$X$63="Forfait",IF(EB$20&gt;='01_Input'!$V$63,'01_Input'!$Y$63,0),IF('01_Input'!$X$63="Palier",IF(AND(EB$20&gt;='01_Input'!$V$63,EB$20&lt;'01_Input'!$W$63),'01_Input'!$Y$63,0),MAX(MIN(EB$20,'01_Input'!$W$63)-'01_Input'!$V$63,0)*'01_Input'!$Y$63))+IF('01_Input'!$AB$63="Forfait",IF(EB$20&gt;='01_Input'!$Z$63,'01_Input'!$AC$63,0),IF('01_Input'!$AB$63="Palier",IF(AND(EB$20&gt;='01_Input'!$Z$63,EB$20&lt;'01_Input'!$AA$63),'01_Input'!$AC$63,0),MAX(MIN(EB$20,'01_Input'!$AA$63)-'01_Input'!$Z$63,0)*'01_Input'!$AC$63)))))))))</f>
        <v>1900</v>
      </c>
      <c r="EC31" s="25">
        <f>IF('01_Input'!$C$63="Non",0,MIN('01_Input'!$I$63,MAX('01_Input'!$H$63,IF('01_Input'!$G$63="Résiduel vs Gestion",0,IF('01_Input'!$G$63="Taux Classe sélectionnée",Distrib_Global_Classe_Selectionnee*EC$20,IF('01_Input'!$G$63="Frais KYC (paliers de 100M€)",MAX(0,Nb_Investisseurs-Nb_KYC_Gratuites_Par_Tranche*(FLOOR(EC$20/Taille_Tranche_KYC,1)+1))*Cout_Par_KYC_Supplementaire,(IF('01_Input'!$L$63="Forfait",IF(EC$20&gt;='01_Input'!$J$63,'01_Input'!$M$63,0),IF('01_Input'!$L$63="Palier",IF(AND(EC$20&gt;='01_Input'!$J$63,EC$20&lt;'01_Input'!$K$63),'01_Input'!$M$63,0),MAX(MIN(EC$20,'01_Input'!$K$63)-'01_Input'!$J$63,0)*'01_Input'!$M$63))+IF('01_Input'!$P$63="Forfait",IF(EC$20&gt;='01_Input'!$N$63,'01_Input'!$Q$63,0),IF('01_Input'!$P$63="Palier",IF(AND(EC$20&gt;='01_Input'!$N$63,EC$20&lt;'01_Input'!$O$63),'01_Input'!$Q$63,0),MAX(MIN(EC$20,'01_Input'!$O$63)-'01_Input'!$N$63,0)*'01_Input'!$Q$63))+IF('01_Input'!$T$63="Forfait",IF(EC$20&gt;='01_Input'!$R$63,'01_Input'!$U$63,0),IF('01_Input'!$T$63="Palier",IF(AND(EC$20&gt;='01_Input'!$R$63,EC$20&lt;'01_Input'!$S$63),'01_Input'!$U$63,0),MAX(MIN(EC$20,'01_Input'!$S$63)-'01_Input'!$R$63,0)*'01_Input'!$U$63))+IF('01_Input'!$X$63="Forfait",IF(EC$20&gt;='01_Input'!$V$63,'01_Input'!$Y$63,0),IF('01_Input'!$X$63="Palier",IF(AND(EC$20&gt;='01_Input'!$V$63,EC$20&lt;'01_Input'!$W$63),'01_Input'!$Y$63,0),MAX(MIN(EC$20,'01_Input'!$W$63)-'01_Input'!$V$63,0)*'01_Input'!$Y$63))+IF('01_Input'!$AB$63="Forfait",IF(EC$20&gt;='01_Input'!$Z$63,'01_Input'!$AC$63,0),IF('01_Input'!$AB$63="Palier",IF(AND(EC$20&gt;='01_Input'!$Z$63,EC$20&lt;'01_Input'!$AA$63),'01_Input'!$AC$63,0),MAX(MIN(EC$20,'01_Input'!$AA$63)-'01_Input'!$Z$63,0)*'01_Input'!$AC$63)))))))))</f>
        <v>1900</v>
      </c>
      <c r="ED31" s="25">
        <f>IF('01_Input'!$C$63="Non",0,MIN('01_Input'!$I$63,MAX('01_Input'!$H$63,IF('01_Input'!$G$63="Résiduel vs Gestion",0,IF('01_Input'!$G$63="Taux Classe sélectionnée",Distrib_Global_Classe_Selectionnee*ED$20,IF('01_Input'!$G$63="Frais KYC (paliers de 100M€)",MAX(0,Nb_Investisseurs-Nb_KYC_Gratuites_Par_Tranche*(FLOOR(ED$20/Taille_Tranche_KYC,1)+1))*Cout_Par_KYC_Supplementaire,(IF('01_Input'!$L$63="Forfait",IF(ED$20&gt;='01_Input'!$J$63,'01_Input'!$M$63,0),IF('01_Input'!$L$63="Palier",IF(AND(ED$20&gt;='01_Input'!$J$63,ED$20&lt;'01_Input'!$K$63),'01_Input'!$M$63,0),MAX(MIN(ED$20,'01_Input'!$K$63)-'01_Input'!$J$63,0)*'01_Input'!$M$63))+IF('01_Input'!$P$63="Forfait",IF(ED$20&gt;='01_Input'!$N$63,'01_Input'!$Q$63,0),IF('01_Input'!$P$63="Palier",IF(AND(ED$20&gt;='01_Input'!$N$63,ED$20&lt;'01_Input'!$O$63),'01_Input'!$Q$63,0),MAX(MIN(ED$20,'01_Input'!$O$63)-'01_Input'!$N$63,0)*'01_Input'!$Q$63))+IF('01_Input'!$T$63="Forfait",IF(ED$20&gt;='01_Input'!$R$63,'01_Input'!$U$63,0),IF('01_Input'!$T$63="Palier",IF(AND(ED$20&gt;='01_Input'!$R$63,ED$20&lt;'01_Input'!$S$63),'01_Input'!$U$63,0),MAX(MIN(ED$20,'01_Input'!$S$63)-'01_Input'!$R$63,0)*'01_Input'!$U$63))+IF('01_Input'!$X$63="Forfait",IF(ED$20&gt;='01_Input'!$V$63,'01_Input'!$Y$63,0),IF('01_Input'!$X$63="Palier",IF(AND(ED$20&gt;='01_Input'!$V$63,ED$20&lt;'01_Input'!$W$63),'01_Input'!$Y$63,0),MAX(MIN(ED$20,'01_Input'!$W$63)-'01_Input'!$V$63,0)*'01_Input'!$Y$63))+IF('01_Input'!$AB$63="Forfait",IF(ED$20&gt;='01_Input'!$Z$63,'01_Input'!$AC$63,0),IF('01_Input'!$AB$63="Palier",IF(AND(ED$20&gt;='01_Input'!$Z$63,ED$20&lt;'01_Input'!$AA$63),'01_Input'!$AC$63,0),MAX(MIN(ED$20,'01_Input'!$AA$63)-'01_Input'!$Z$63,0)*'01_Input'!$AC$63)))))))))</f>
        <v>1900</v>
      </c>
      <c r="EE31" s="25">
        <f>IF('01_Input'!$C$63="Non",0,MIN('01_Input'!$I$63,MAX('01_Input'!$H$63,IF('01_Input'!$G$63="Résiduel vs Gestion",0,IF('01_Input'!$G$63="Taux Classe sélectionnée",Distrib_Global_Classe_Selectionnee*EE$20,IF('01_Input'!$G$63="Frais KYC (paliers de 100M€)",MAX(0,Nb_Investisseurs-Nb_KYC_Gratuites_Par_Tranche*(FLOOR(EE$20/Taille_Tranche_KYC,1)+1))*Cout_Par_KYC_Supplementaire,(IF('01_Input'!$L$63="Forfait",IF(EE$20&gt;='01_Input'!$J$63,'01_Input'!$M$63,0),IF('01_Input'!$L$63="Palier",IF(AND(EE$20&gt;='01_Input'!$J$63,EE$20&lt;'01_Input'!$K$63),'01_Input'!$M$63,0),MAX(MIN(EE$20,'01_Input'!$K$63)-'01_Input'!$J$63,0)*'01_Input'!$M$63))+IF('01_Input'!$P$63="Forfait",IF(EE$20&gt;='01_Input'!$N$63,'01_Input'!$Q$63,0),IF('01_Input'!$P$63="Palier",IF(AND(EE$20&gt;='01_Input'!$N$63,EE$20&lt;'01_Input'!$O$63),'01_Input'!$Q$63,0),MAX(MIN(EE$20,'01_Input'!$O$63)-'01_Input'!$N$63,0)*'01_Input'!$Q$63))+IF('01_Input'!$T$63="Forfait",IF(EE$20&gt;='01_Input'!$R$63,'01_Input'!$U$63,0),IF('01_Input'!$T$63="Palier",IF(AND(EE$20&gt;='01_Input'!$R$63,EE$20&lt;'01_Input'!$S$63),'01_Input'!$U$63,0),MAX(MIN(EE$20,'01_Input'!$S$63)-'01_Input'!$R$63,0)*'01_Input'!$U$63))+IF('01_Input'!$X$63="Forfait",IF(EE$20&gt;='01_Input'!$V$63,'01_Input'!$Y$63,0),IF('01_Input'!$X$63="Palier",IF(AND(EE$20&gt;='01_Input'!$V$63,EE$20&lt;'01_Input'!$W$63),'01_Input'!$Y$63,0),MAX(MIN(EE$20,'01_Input'!$W$63)-'01_Input'!$V$63,0)*'01_Input'!$Y$63))+IF('01_Input'!$AB$63="Forfait",IF(EE$20&gt;='01_Input'!$Z$63,'01_Input'!$AC$63,0),IF('01_Input'!$AB$63="Palier",IF(AND(EE$20&gt;='01_Input'!$Z$63,EE$20&lt;'01_Input'!$AA$63),'01_Input'!$AC$63,0),MAX(MIN(EE$20,'01_Input'!$AA$63)-'01_Input'!$Z$63,0)*'01_Input'!$AC$63)))))))))</f>
        <v>1900</v>
      </c>
      <c r="EF31" s="25">
        <f>IF('01_Input'!$C$63="Non",0,MIN('01_Input'!$I$63,MAX('01_Input'!$H$63,IF('01_Input'!$G$63="Résiduel vs Gestion",0,IF('01_Input'!$G$63="Taux Classe sélectionnée",Distrib_Global_Classe_Selectionnee*EF$20,IF('01_Input'!$G$63="Frais KYC (paliers de 100M€)",MAX(0,Nb_Investisseurs-Nb_KYC_Gratuites_Par_Tranche*(FLOOR(EF$20/Taille_Tranche_KYC,1)+1))*Cout_Par_KYC_Supplementaire,(IF('01_Input'!$L$63="Forfait",IF(EF$20&gt;='01_Input'!$J$63,'01_Input'!$M$63,0),IF('01_Input'!$L$63="Palier",IF(AND(EF$20&gt;='01_Input'!$J$63,EF$20&lt;'01_Input'!$K$63),'01_Input'!$M$63,0),MAX(MIN(EF$20,'01_Input'!$K$63)-'01_Input'!$J$63,0)*'01_Input'!$M$63))+IF('01_Input'!$P$63="Forfait",IF(EF$20&gt;='01_Input'!$N$63,'01_Input'!$Q$63,0),IF('01_Input'!$P$63="Palier",IF(AND(EF$20&gt;='01_Input'!$N$63,EF$20&lt;'01_Input'!$O$63),'01_Input'!$Q$63,0),MAX(MIN(EF$20,'01_Input'!$O$63)-'01_Input'!$N$63,0)*'01_Input'!$Q$63))+IF('01_Input'!$T$63="Forfait",IF(EF$20&gt;='01_Input'!$R$63,'01_Input'!$U$63,0),IF('01_Input'!$T$63="Palier",IF(AND(EF$20&gt;='01_Input'!$R$63,EF$20&lt;'01_Input'!$S$63),'01_Input'!$U$63,0),MAX(MIN(EF$20,'01_Input'!$S$63)-'01_Input'!$R$63,0)*'01_Input'!$U$63))+IF('01_Input'!$X$63="Forfait",IF(EF$20&gt;='01_Input'!$V$63,'01_Input'!$Y$63,0),IF('01_Input'!$X$63="Palier",IF(AND(EF$20&gt;='01_Input'!$V$63,EF$20&lt;'01_Input'!$W$63),'01_Input'!$Y$63,0),MAX(MIN(EF$20,'01_Input'!$W$63)-'01_Input'!$V$63,0)*'01_Input'!$Y$63))+IF('01_Input'!$AB$63="Forfait",IF(EF$20&gt;='01_Input'!$Z$63,'01_Input'!$AC$63,0),IF('01_Input'!$AB$63="Palier",IF(AND(EF$20&gt;='01_Input'!$Z$63,EF$20&lt;'01_Input'!$AA$63),'01_Input'!$AC$63,0),MAX(MIN(EF$20,'01_Input'!$AA$63)-'01_Input'!$Z$63,0)*'01_Input'!$AC$63)))))))))</f>
        <v>1900</v>
      </c>
      <c r="EG31" s="25">
        <f>IF('01_Input'!$C$63="Non",0,MIN('01_Input'!$I$63,MAX('01_Input'!$H$63,IF('01_Input'!$G$63="Résiduel vs Gestion",0,IF('01_Input'!$G$63="Taux Classe sélectionnée",Distrib_Global_Classe_Selectionnee*EG$20,IF('01_Input'!$G$63="Frais KYC (paliers de 100M€)",MAX(0,Nb_Investisseurs-Nb_KYC_Gratuites_Par_Tranche*(FLOOR(EG$20/Taille_Tranche_KYC,1)+1))*Cout_Par_KYC_Supplementaire,(IF('01_Input'!$L$63="Forfait",IF(EG$20&gt;='01_Input'!$J$63,'01_Input'!$M$63,0),IF('01_Input'!$L$63="Palier",IF(AND(EG$20&gt;='01_Input'!$J$63,EG$20&lt;'01_Input'!$K$63),'01_Input'!$M$63,0),MAX(MIN(EG$20,'01_Input'!$K$63)-'01_Input'!$J$63,0)*'01_Input'!$M$63))+IF('01_Input'!$P$63="Forfait",IF(EG$20&gt;='01_Input'!$N$63,'01_Input'!$Q$63,0),IF('01_Input'!$P$63="Palier",IF(AND(EG$20&gt;='01_Input'!$N$63,EG$20&lt;'01_Input'!$O$63),'01_Input'!$Q$63,0),MAX(MIN(EG$20,'01_Input'!$O$63)-'01_Input'!$N$63,0)*'01_Input'!$Q$63))+IF('01_Input'!$T$63="Forfait",IF(EG$20&gt;='01_Input'!$R$63,'01_Input'!$U$63,0),IF('01_Input'!$T$63="Palier",IF(AND(EG$20&gt;='01_Input'!$R$63,EG$20&lt;'01_Input'!$S$63),'01_Input'!$U$63,0),MAX(MIN(EG$20,'01_Input'!$S$63)-'01_Input'!$R$63,0)*'01_Input'!$U$63))+IF('01_Input'!$X$63="Forfait",IF(EG$20&gt;='01_Input'!$V$63,'01_Input'!$Y$63,0),IF('01_Input'!$X$63="Palier",IF(AND(EG$20&gt;='01_Input'!$V$63,EG$20&lt;'01_Input'!$W$63),'01_Input'!$Y$63,0),MAX(MIN(EG$20,'01_Input'!$W$63)-'01_Input'!$V$63,0)*'01_Input'!$Y$63))+IF('01_Input'!$AB$63="Forfait",IF(EG$20&gt;='01_Input'!$Z$63,'01_Input'!$AC$63,0),IF('01_Input'!$AB$63="Palier",IF(AND(EG$20&gt;='01_Input'!$Z$63,EG$20&lt;'01_Input'!$AA$63),'01_Input'!$AC$63,0),MAX(MIN(EG$20,'01_Input'!$AA$63)-'01_Input'!$Z$63,0)*'01_Input'!$AC$63)))))))))</f>
        <v>1900</v>
      </c>
      <c r="EH31" s="25">
        <f>IF('01_Input'!$C$63="Non",0,MIN('01_Input'!$I$63,MAX('01_Input'!$H$63,IF('01_Input'!$G$63="Résiduel vs Gestion",0,IF('01_Input'!$G$63="Taux Classe sélectionnée",Distrib_Global_Classe_Selectionnee*EH$20,IF('01_Input'!$G$63="Frais KYC (paliers de 100M€)",MAX(0,Nb_Investisseurs-Nb_KYC_Gratuites_Par_Tranche*(FLOOR(EH$20/Taille_Tranche_KYC,1)+1))*Cout_Par_KYC_Supplementaire,(IF('01_Input'!$L$63="Forfait",IF(EH$20&gt;='01_Input'!$J$63,'01_Input'!$M$63,0),IF('01_Input'!$L$63="Palier",IF(AND(EH$20&gt;='01_Input'!$J$63,EH$20&lt;'01_Input'!$K$63),'01_Input'!$M$63,0),MAX(MIN(EH$20,'01_Input'!$K$63)-'01_Input'!$J$63,0)*'01_Input'!$M$63))+IF('01_Input'!$P$63="Forfait",IF(EH$20&gt;='01_Input'!$N$63,'01_Input'!$Q$63,0),IF('01_Input'!$P$63="Palier",IF(AND(EH$20&gt;='01_Input'!$N$63,EH$20&lt;'01_Input'!$O$63),'01_Input'!$Q$63,0),MAX(MIN(EH$20,'01_Input'!$O$63)-'01_Input'!$N$63,0)*'01_Input'!$Q$63))+IF('01_Input'!$T$63="Forfait",IF(EH$20&gt;='01_Input'!$R$63,'01_Input'!$U$63,0),IF('01_Input'!$T$63="Palier",IF(AND(EH$20&gt;='01_Input'!$R$63,EH$20&lt;'01_Input'!$S$63),'01_Input'!$U$63,0),MAX(MIN(EH$20,'01_Input'!$S$63)-'01_Input'!$R$63,0)*'01_Input'!$U$63))+IF('01_Input'!$X$63="Forfait",IF(EH$20&gt;='01_Input'!$V$63,'01_Input'!$Y$63,0),IF('01_Input'!$X$63="Palier",IF(AND(EH$20&gt;='01_Input'!$V$63,EH$20&lt;'01_Input'!$W$63),'01_Input'!$Y$63,0),MAX(MIN(EH$20,'01_Input'!$W$63)-'01_Input'!$V$63,0)*'01_Input'!$Y$63))+IF('01_Input'!$AB$63="Forfait",IF(EH$20&gt;='01_Input'!$Z$63,'01_Input'!$AC$63,0),IF('01_Input'!$AB$63="Palier",IF(AND(EH$20&gt;='01_Input'!$Z$63,EH$20&lt;'01_Input'!$AA$63),'01_Input'!$AC$63,0),MAX(MIN(EH$20,'01_Input'!$AA$63)-'01_Input'!$Z$63,0)*'01_Input'!$AC$63)))))))))</f>
        <v>1900</v>
      </c>
      <c r="EI31" s="25">
        <f>IF('01_Input'!$C$63="Non",0,MIN('01_Input'!$I$63,MAX('01_Input'!$H$63,IF('01_Input'!$G$63="Résiduel vs Gestion",0,IF('01_Input'!$G$63="Taux Classe sélectionnée",Distrib_Global_Classe_Selectionnee*EI$20,IF('01_Input'!$G$63="Frais KYC (paliers de 100M€)",MAX(0,Nb_Investisseurs-Nb_KYC_Gratuites_Par_Tranche*(FLOOR(EI$20/Taille_Tranche_KYC,1)+1))*Cout_Par_KYC_Supplementaire,(IF('01_Input'!$L$63="Forfait",IF(EI$20&gt;='01_Input'!$J$63,'01_Input'!$M$63,0),IF('01_Input'!$L$63="Palier",IF(AND(EI$20&gt;='01_Input'!$J$63,EI$20&lt;'01_Input'!$K$63),'01_Input'!$M$63,0),MAX(MIN(EI$20,'01_Input'!$K$63)-'01_Input'!$J$63,0)*'01_Input'!$M$63))+IF('01_Input'!$P$63="Forfait",IF(EI$20&gt;='01_Input'!$N$63,'01_Input'!$Q$63,0),IF('01_Input'!$P$63="Palier",IF(AND(EI$20&gt;='01_Input'!$N$63,EI$20&lt;'01_Input'!$O$63),'01_Input'!$Q$63,0),MAX(MIN(EI$20,'01_Input'!$O$63)-'01_Input'!$N$63,0)*'01_Input'!$Q$63))+IF('01_Input'!$T$63="Forfait",IF(EI$20&gt;='01_Input'!$R$63,'01_Input'!$U$63,0),IF('01_Input'!$T$63="Palier",IF(AND(EI$20&gt;='01_Input'!$R$63,EI$20&lt;'01_Input'!$S$63),'01_Input'!$U$63,0),MAX(MIN(EI$20,'01_Input'!$S$63)-'01_Input'!$R$63,0)*'01_Input'!$U$63))+IF('01_Input'!$X$63="Forfait",IF(EI$20&gt;='01_Input'!$V$63,'01_Input'!$Y$63,0),IF('01_Input'!$X$63="Palier",IF(AND(EI$20&gt;='01_Input'!$V$63,EI$20&lt;'01_Input'!$W$63),'01_Input'!$Y$63,0),MAX(MIN(EI$20,'01_Input'!$W$63)-'01_Input'!$V$63,0)*'01_Input'!$Y$63))+IF('01_Input'!$AB$63="Forfait",IF(EI$20&gt;='01_Input'!$Z$63,'01_Input'!$AC$63,0),IF('01_Input'!$AB$63="Palier",IF(AND(EI$20&gt;='01_Input'!$Z$63,EI$20&lt;'01_Input'!$AA$63),'01_Input'!$AC$63,0),MAX(MIN(EI$20,'01_Input'!$AA$63)-'01_Input'!$Z$63,0)*'01_Input'!$AC$63)))))))))</f>
        <v>1900</v>
      </c>
      <c r="EJ31" s="25">
        <f>IF('01_Input'!$C$63="Non",0,MIN('01_Input'!$I$63,MAX('01_Input'!$H$63,IF('01_Input'!$G$63="Résiduel vs Gestion",0,IF('01_Input'!$G$63="Taux Classe sélectionnée",Distrib_Global_Classe_Selectionnee*EJ$20,IF('01_Input'!$G$63="Frais KYC (paliers de 100M€)",MAX(0,Nb_Investisseurs-Nb_KYC_Gratuites_Par_Tranche*(FLOOR(EJ$20/Taille_Tranche_KYC,1)+1))*Cout_Par_KYC_Supplementaire,(IF('01_Input'!$L$63="Forfait",IF(EJ$20&gt;='01_Input'!$J$63,'01_Input'!$M$63,0),IF('01_Input'!$L$63="Palier",IF(AND(EJ$20&gt;='01_Input'!$J$63,EJ$20&lt;'01_Input'!$K$63),'01_Input'!$M$63,0),MAX(MIN(EJ$20,'01_Input'!$K$63)-'01_Input'!$J$63,0)*'01_Input'!$M$63))+IF('01_Input'!$P$63="Forfait",IF(EJ$20&gt;='01_Input'!$N$63,'01_Input'!$Q$63,0),IF('01_Input'!$P$63="Palier",IF(AND(EJ$20&gt;='01_Input'!$N$63,EJ$20&lt;'01_Input'!$O$63),'01_Input'!$Q$63,0),MAX(MIN(EJ$20,'01_Input'!$O$63)-'01_Input'!$N$63,0)*'01_Input'!$Q$63))+IF('01_Input'!$T$63="Forfait",IF(EJ$20&gt;='01_Input'!$R$63,'01_Input'!$U$63,0),IF('01_Input'!$T$63="Palier",IF(AND(EJ$20&gt;='01_Input'!$R$63,EJ$20&lt;'01_Input'!$S$63),'01_Input'!$U$63,0),MAX(MIN(EJ$20,'01_Input'!$S$63)-'01_Input'!$R$63,0)*'01_Input'!$U$63))+IF('01_Input'!$X$63="Forfait",IF(EJ$20&gt;='01_Input'!$V$63,'01_Input'!$Y$63,0),IF('01_Input'!$X$63="Palier",IF(AND(EJ$20&gt;='01_Input'!$V$63,EJ$20&lt;'01_Input'!$W$63),'01_Input'!$Y$63,0),MAX(MIN(EJ$20,'01_Input'!$W$63)-'01_Input'!$V$63,0)*'01_Input'!$Y$63))+IF('01_Input'!$AB$63="Forfait",IF(EJ$20&gt;='01_Input'!$Z$63,'01_Input'!$AC$63,0),IF('01_Input'!$AB$63="Palier",IF(AND(EJ$20&gt;='01_Input'!$Z$63,EJ$20&lt;'01_Input'!$AA$63),'01_Input'!$AC$63,0),MAX(MIN(EJ$20,'01_Input'!$AA$63)-'01_Input'!$Z$63,0)*'01_Input'!$AC$63)))))))))</f>
        <v>1900</v>
      </c>
      <c r="EK31" s="25">
        <f>IF('01_Input'!$C$63="Non",0,MIN('01_Input'!$I$63,MAX('01_Input'!$H$63,IF('01_Input'!$G$63="Résiduel vs Gestion",0,IF('01_Input'!$G$63="Taux Classe sélectionnée",Distrib_Global_Classe_Selectionnee*EK$20,IF('01_Input'!$G$63="Frais KYC (paliers de 100M€)",MAX(0,Nb_Investisseurs-Nb_KYC_Gratuites_Par_Tranche*(FLOOR(EK$20/Taille_Tranche_KYC,1)+1))*Cout_Par_KYC_Supplementaire,(IF('01_Input'!$L$63="Forfait",IF(EK$20&gt;='01_Input'!$J$63,'01_Input'!$M$63,0),IF('01_Input'!$L$63="Palier",IF(AND(EK$20&gt;='01_Input'!$J$63,EK$20&lt;'01_Input'!$K$63),'01_Input'!$M$63,0),MAX(MIN(EK$20,'01_Input'!$K$63)-'01_Input'!$J$63,0)*'01_Input'!$M$63))+IF('01_Input'!$P$63="Forfait",IF(EK$20&gt;='01_Input'!$N$63,'01_Input'!$Q$63,0),IF('01_Input'!$P$63="Palier",IF(AND(EK$20&gt;='01_Input'!$N$63,EK$20&lt;'01_Input'!$O$63),'01_Input'!$Q$63,0),MAX(MIN(EK$20,'01_Input'!$O$63)-'01_Input'!$N$63,0)*'01_Input'!$Q$63))+IF('01_Input'!$T$63="Forfait",IF(EK$20&gt;='01_Input'!$R$63,'01_Input'!$U$63,0),IF('01_Input'!$T$63="Palier",IF(AND(EK$20&gt;='01_Input'!$R$63,EK$20&lt;'01_Input'!$S$63),'01_Input'!$U$63,0),MAX(MIN(EK$20,'01_Input'!$S$63)-'01_Input'!$R$63,0)*'01_Input'!$U$63))+IF('01_Input'!$X$63="Forfait",IF(EK$20&gt;='01_Input'!$V$63,'01_Input'!$Y$63,0),IF('01_Input'!$X$63="Palier",IF(AND(EK$20&gt;='01_Input'!$V$63,EK$20&lt;'01_Input'!$W$63),'01_Input'!$Y$63,0),MAX(MIN(EK$20,'01_Input'!$W$63)-'01_Input'!$V$63,0)*'01_Input'!$Y$63))+IF('01_Input'!$AB$63="Forfait",IF(EK$20&gt;='01_Input'!$Z$63,'01_Input'!$AC$63,0),IF('01_Input'!$AB$63="Palier",IF(AND(EK$20&gt;='01_Input'!$Z$63,EK$20&lt;'01_Input'!$AA$63),'01_Input'!$AC$63,0),MAX(MIN(EK$20,'01_Input'!$AA$63)-'01_Input'!$Z$63,0)*'01_Input'!$AC$63)))))))))</f>
        <v>1900</v>
      </c>
      <c r="EL31" s="25">
        <f>IF('01_Input'!$C$63="Non",0,MIN('01_Input'!$I$63,MAX('01_Input'!$H$63,IF('01_Input'!$G$63="Résiduel vs Gestion",0,IF('01_Input'!$G$63="Taux Classe sélectionnée",Distrib_Global_Classe_Selectionnee*EL$20,IF('01_Input'!$G$63="Frais KYC (paliers de 100M€)",MAX(0,Nb_Investisseurs-Nb_KYC_Gratuites_Par_Tranche*(FLOOR(EL$20/Taille_Tranche_KYC,1)+1))*Cout_Par_KYC_Supplementaire,(IF('01_Input'!$L$63="Forfait",IF(EL$20&gt;='01_Input'!$J$63,'01_Input'!$M$63,0),IF('01_Input'!$L$63="Palier",IF(AND(EL$20&gt;='01_Input'!$J$63,EL$20&lt;'01_Input'!$K$63),'01_Input'!$M$63,0),MAX(MIN(EL$20,'01_Input'!$K$63)-'01_Input'!$J$63,0)*'01_Input'!$M$63))+IF('01_Input'!$P$63="Forfait",IF(EL$20&gt;='01_Input'!$N$63,'01_Input'!$Q$63,0),IF('01_Input'!$P$63="Palier",IF(AND(EL$20&gt;='01_Input'!$N$63,EL$20&lt;'01_Input'!$O$63),'01_Input'!$Q$63,0),MAX(MIN(EL$20,'01_Input'!$O$63)-'01_Input'!$N$63,0)*'01_Input'!$Q$63))+IF('01_Input'!$T$63="Forfait",IF(EL$20&gt;='01_Input'!$R$63,'01_Input'!$U$63,0),IF('01_Input'!$T$63="Palier",IF(AND(EL$20&gt;='01_Input'!$R$63,EL$20&lt;'01_Input'!$S$63),'01_Input'!$U$63,0),MAX(MIN(EL$20,'01_Input'!$S$63)-'01_Input'!$R$63,0)*'01_Input'!$U$63))+IF('01_Input'!$X$63="Forfait",IF(EL$20&gt;='01_Input'!$V$63,'01_Input'!$Y$63,0),IF('01_Input'!$X$63="Palier",IF(AND(EL$20&gt;='01_Input'!$V$63,EL$20&lt;'01_Input'!$W$63),'01_Input'!$Y$63,0),MAX(MIN(EL$20,'01_Input'!$W$63)-'01_Input'!$V$63,0)*'01_Input'!$Y$63))+IF('01_Input'!$AB$63="Forfait",IF(EL$20&gt;='01_Input'!$Z$63,'01_Input'!$AC$63,0),IF('01_Input'!$AB$63="Palier",IF(AND(EL$20&gt;='01_Input'!$Z$63,EL$20&lt;'01_Input'!$AA$63),'01_Input'!$AC$63,0),MAX(MIN(EL$20,'01_Input'!$AA$63)-'01_Input'!$Z$63,0)*'01_Input'!$AC$63)))))))))</f>
        <v>1900</v>
      </c>
      <c r="EM31" s="25">
        <f>IF('01_Input'!$C$63="Non",0,MIN('01_Input'!$I$63,MAX('01_Input'!$H$63,IF('01_Input'!$G$63="Résiduel vs Gestion",0,IF('01_Input'!$G$63="Taux Classe sélectionnée",Distrib_Global_Classe_Selectionnee*EM$20,IF('01_Input'!$G$63="Frais KYC (paliers de 100M€)",MAX(0,Nb_Investisseurs-Nb_KYC_Gratuites_Par_Tranche*(FLOOR(EM$20/Taille_Tranche_KYC,1)+1))*Cout_Par_KYC_Supplementaire,(IF('01_Input'!$L$63="Forfait",IF(EM$20&gt;='01_Input'!$J$63,'01_Input'!$M$63,0),IF('01_Input'!$L$63="Palier",IF(AND(EM$20&gt;='01_Input'!$J$63,EM$20&lt;'01_Input'!$K$63),'01_Input'!$M$63,0),MAX(MIN(EM$20,'01_Input'!$K$63)-'01_Input'!$J$63,0)*'01_Input'!$M$63))+IF('01_Input'!$P$63="Forfait",IF(EM$20&gt;='01_Input'!$N$63,'01_Input'!$Q$63,0),IF('01_Input'!$P$63="Palier",IF(AND(EM$20&gt;='01_Input'!$N$63,EM$20&lt;'01_Input'!$O$63),'01_Input'!$Q$63,0),MAX(MIN(EM$20,'01_Input'!$O$63)-'01_Input'!$N$63,0)*'01_Input'!$Q$63))+IF('01_Input'!$T$63="Forfait",IF(EM$20&gt;='01_Input'!$R$63,'01_Input'!$U$63,0),IF('01_Input'!$T$63="Palier",IF(AND(EM$20&gt;='01_Input'!$R$63,EM$20&lt;'01_Input'!$S$63),'01_Input'!$U$63,0),MAX(MIN(EM$20,'01_Input'!$S$63)-'01_Input'!$R$63,0)*'01_Input'!$U$63))+IF('01_Input'!$X$63="Forfait",IF(EM$20&gt;='01_Input'!$V$63,'01_Input'!$Y$63,0),IF('01_Input'!$X$63="Palier",IF(AND(EM$20&gt;='01_Input'!$V$63,EM$20&lt;'01_Input'!$W$63),'01_Input'!$Y$63,0),MAX(MIN(EM$20,'01_Input'!$W$63)-'01_Input'!$V$63,0)*'01_Input'!$Y$63))+IF('01_Input'!$AB$63="Forfait",IF(EM$20&gt;='01_Input'!$Z$63,'01_Input'!$AC$63,0),IF('01_Input'!$AB$63="Palier",IF(AND(EM$20&gt;='01_Input'!$Z$63,EM$20&lt;'01_Input'!$AA$63),'01_Input'!$AC$63,0),MAX(MIN(EM$20,'01_Input'!$AA$63)-'01_Input'!$Z$63,0)*'01_Input'!$AC$63)))))))))</f>
        <v>1900</v>
      </c>
      <c r="EN31" s="25">
        <f>IF('01_Input'!$C$63="Non",0,MIN('01_Input'!$I$63,MAX('01_Input'!$H$63,IF('01_Input'!$G$63="Résiduel vs Gestion",0,IF('01_Input'!$G$63="Taux Classe sélectionnée",Distrib_Global_Classe_Selectionnee*EN$20,IF('01_Input'!$G$63="Frais KYC (paliers de 100M€)",MAX(0,Nb_Investisseurs-Nb_KYC_Gratuites_Par_Tranche*(FLOOR(EN$20/Taille_Tranche_KYC,1)+1))*Cout_Par_KYC_Supplementaire,(IF('01_Input'!$L$63="Forfait",IF(EN$20&gt;='01_Input'!$J$63,'01_Input'!$M$63,0),IF('01_Input'!$L$63="Palier",IF(AND(EN$20&gt;='01_Input'!$J$63,EN$20&lt;'01_Input'!$K$63),'01_Input'!$M$63,0),MAX(MIN(EN$20,'01_Input'!$K$63)-'01_Input'!$J$63,0)*'01_Input'!$M$63))+IF('01_Input'!$P$63="Forfait",IF(EN$20&gt;='01_Input'!$N$63,'01_Input'!$Q$63,0),IF('01_Input'!$P$63="Palier",IF(AND(EN$20&gt;='01_Input'!$N$63,EN$20&lt;'01_Input'!$O$63),'01_Input'!$Q$63,0),MAX(MIN(EN$20,'01_Input'!$O$63)-'01_Input'!$N$63,0)*'01_Input'!$Q$63))+IF('01_Input'!$T$63="Forfait",IF(EN$20&gt;='01_Input'!$R$63,'01_Input'!$U$63,0),IF('01_Input'!$T$63="Palier",IF(AND(EN$20&gt;='01_Input'!$R$63,EN$20&lt;'01_Input'!$S$63),'01_Input'!$U$63,0),MAX(MIN(EN$20,'01_Input'!$S$63)-'01_Input'!$R$63,0)*'01_Input'!$U$63))+IF('01_Input'!$X$63="Forfait",IF(EN$20&gt;='01_Input'!$V$63,'01_Input'!$Y$63,0),IF('01_Input'!$X$63="Palier",IF(AND(EN$20&gt;='01_Input'!$V$63,EN$20&lt;'01_Input'!$W$63),'01_Input'!$Y$63,0),MAX(MIN(EN$20,'01_Input'!$W$63)-'01_Input'!$V$63,0)*'01_Input'!$Y$63))+IF('01_Input'!$AB$63="Forfait",IF(EN$20&gt;='01_Input'!$Z$63,'01_Input'!$AC$63,0),IF('01_Input'!$AB$63="Palier",IF(AND(EN$20&gt;='01_Input'!$Z$63,EN$20&lt;'01_Input'!$AA$63),'01_Input'!$AC$63,0),MAX(MIN(EN$20,'01_Input'!$AA$63)-'01_Input'!$Z$63,0)*'01_Input'!$AC$63)))))))))</f>
        <v>1900</v>
      </c>
      <c r="EO31" s="25">
        <f>IF('01_Input'!$C$63="Non",0,MIN('01_Input'!$I$63,MAX('01_Input'!$H$63,IF('01_Input'!$G$63="Résiduel vs Gestion",0,IF('01_Input'!$G$63="Taux Classe sélectionnée",Distrib_Global_Classe_Selectionnee*EO$20,IF('01_Input'!$G$63="Frais KYC (paliers de 100M€)",MAX(0,Nb_Investisseurs-Nb_KYC_Gratuites_Par_Tranche*(FLOOR(EO$20/Taille_Tranche_KYC,1)+1))*Cout_Par_KYC_Supplementaire,(IF('01_Input'!$L$63="Forfait",IF(EO$20&gt;='01_Input'!$J$63,'01_Input'!$M$63,0),IF('01_Input'!$L$63="Palier",IF(AND(EO$20&gt;='01_Input'!$J$63,EO$20&lt;'01_Input'!$K$63),'01_Input'!$M$63,0),MAX(MIN(EO$20,'01_Input'!$K$63)-'01_Input'!$J$63,0)*'01_Input'!$M$63))+IF('01_Input'!$P$63="Forfait",IF(EO$20&gt;='01_Input'!$N$63,'01_Input'!$Q$63,0),IF('01_Input'!$P$63="Palier",IF(AND(EO$20&gt;='01_Input'!$N$63,EO$20&lt;'01_Input'!$O$63),'01_Input'!$Q$63,0),MAX(MIN(EO$20,'01_Input'!$O$63)-'01_Input'!$N$63,0)*'01_Input'!$Q$63))+IF('01_Input'!$T$63="Forfait",IF(EO$20&gt;='01_Input'!$R$63,'01_Input'!$U$63,0),IF('01_Input'!$T$63="Palier",IF(AND(EO$20&gt;='01_Input'!$R$63,EO$20&lt;'01_Input'!$S$63),'01_Input'!$U$63,0),MAX(MIN(EO$20,'01_Input'!$S$63)-'01_Input'!$R$63,0)*'01_Input'!$U$63))+IF('01_Input'!$X$63="Forfait",IF(EO$20&gt;='01_Input'!$V$63,'01_Input'!$Y$63,0),IF('01_Input'!$X$63="Palier",IF(AND(EO$20&gt;='01_Input'!$V$63,EO$20&lt;'01_Input'!$W$63),'01_Input'!$Y$63,0),MAX(MIN(EO$20,'01_Input'!$W$63)-'01_Input'!$V$63,0)*'01_Input'!$Y$63))+IF('01_Input'!$AB$63="Forfait",IF(EO$20&gt;='01_Input'!$Z$63,'01_Input'!$AC$63,0),IF('01_Input'!$AB$63="Palier",IF(AND(EO$20&gt;='01_Input'!$Z$63,EO$20&lt;'01_Input'!$AA$63),'01_Input'!$AC$63,0),MAX(MIN(EO$20,'01_Input'!$AA$63)-'01_Input'!$Z$63,0)*'01_Input'!$AC$63)))))))))</f>
        <v>1900</v>
      </c>
      <c r="EP31" s="25">
        <f>IF('01_Input'!$C$63="Non",0,MIN('01_Input'!$I$63,MAX('01_Input'!$H$63,IF('01_Input'!$G$63="Résiduel vs Gestion",0,IF('01_Input'!$G$63="Taux Classe sélectionnée",Distrib_Global_Classe_Selectionnee*EP$20,IF('01_Input'!$G$63="Frais KYC (paliers de 100M€)",MAX(0,Nb_Investisseurs-Nb_KYC_Gratuites_Par_Tranche*(FLOOR(EP$20/Taille_Tranche_KYC,1)+1))*Cout_Par_KYC_Supplementaire,(IF('01_Input'!$L$63="Forfait",IF(EP$20&gt;='01_Input'!$J$63,'01_Input'!$M$63,0),IF('01_Input'!$L$63="Palier",IF(AND(EP$20&gt;='01_Input'!$J$63,EP$20&lt;'01_Input'!$K$63),'01_Input'!$M$63,0),MAX(MIN(EP$20,'01_Input'!$K$63)-'01_Input'!$J$63,0)*'01_Input'!$M$63))+IF('01_Input'!$P$63="Forfait",IF(EP$20&gt;='01_Input'!$N$63,'01_Input'!$Q$63,0),IF('01_Input'!$P$63="Palier",IF(AND(EP$20&gt;='01_Input'!$N$63,EP$20&lt;'01_Input'!$O$63),'01_Input'!$Q$63,0),MAX(MIN(EP$20,'01_Input'!$O$63)-'01_Input'!$N$63,0)*'01_Input'!$Q$63))+IF('01_Input'!$T$63="Forfait",IF(EP$20&gt;='01_Input'!$R$63,'01_Input'!$U$63,0),IF('01_Input'!$T$63="Palier",IF(AND(EP$20&gt;='01_Input'!$R$63,EP$20&lt;'01_Input'!$S$63),'01_Input'!$U$63,0),MAX(MIN(EP$20,'01_Input'!$S$63)-'01_Input'!$R$63,0)*'01_Input'!$U$63))+IF('01_Input'!$X$63="Forfait",IF(EP$20&gt;='01_Input'!$V$63,'01_Input'!$Y$63,0),IF('01_Input'!$X$63="Palier",IF(AND(EP$20&gt;='01_Input'!$V$63,EP$20&lt;'01_Input'!$W$63),'01_Input'!$Y$63,0),MAX(MIN(EP$20,'01_Input'!$W$63)-'01_Input'!$V$63,0)*'01_Input'!$Y$63))+IF('01_Input'!$AB$63="Forfait",IF(EP$20&gt;='01_Input'!$Z$63,'01_Input'!$AC$63,0),IF('01_Input'!$AB$63="Palier",IF(AND(EP$20&gt;='01_Input'!$Z$63,EP$20&lt;'01_Input'!$AA$63),'01_Input'!$AC$63,0),MAX(MIN(EP$20,'01_Input'!$AA$63)-'01_Input'!$Z$63,0)*'01_Input'!$AC$63)))))))))</f>
        <v>1900</v>
      </c>
      <c r="EQ31" s="25">
        <f>IF('01_Input'!$C$63="Non",0,MIN('01_Input'!$I$63,MAX('01_Input'!$H$63,IF('01_Input'!$G$63="Résiduel vs Gestion",0,IF('01_Input'!$G$63="Taux Classe sélectionnée",Distrib_Global_Classe_Selectionnee*EQ$20,IF('01_Input'!$G$63="Frais KYC (paliers de 100M€)",MAX(0,Nb_Investisseurs-Nb_KYC_Gratuites_Par_Tranche*(FLOOR(EQ$20/Taille_Tranche_KYC,1)+1))*Cout_Par_KYC_Supplementaire,(IF('01_Input'!$L$63="Forfait",IF(EQ$20&gt;='01_Input'!$J$63,'01_Input'!$M$63,0),IF('01_Input'!$L$63="Palier",IF(AND(EQ$20&gt;='01_Input'!$J$63,EQ$20&lt;'01_Input'!$K$63),'01_Input'!$M$63,0),MAX(MIN(EQ$20,'01_Input'!$K$63)-'01_Input'!$J$63,0)*'01_Input'!$M$63))+IF('01_Input'!$P$63="Forfait",IF(EQ$20&gt;='01_Input'!$N$63,'01_Input'!$Q$63,0),IF('01_Input'!$P$63="Palier",IF(AND(EQ$20&gt;='01_Input'!$N$63,EQ$20&lt;'01_Input'!$O$63),'01_Input'!$Q$63,0),MAX(MIN(EQ$20,'01_Input'!$O$63)-'01_Input'!$N$63,0)*'01_Input'!$Q$63))+IF('01_Input'!$T$63="Forfait",IF(EQ$20&gt;='01_Input'!$R$63,'01_Input'!$U$63,0),IF('01_Input'!$T$63="Palier",IF(AND(EQ$20&gt;='01_Input'!$R$63,EQ$20&lt;'01_Input'!$S$63),'01_Input'!$U$63,0),MAX(MIN(EQ$20,'01_Input'!$S$63)-'01_Input'!$R$63,0)*'01_Input'!$U$63))+IF('01_Input'!$X$63="Forfait",IF(EQ$20&gt;='01_Input'!$V$63,'01_Input'!$Y$63,0),IF('01_Input'!$X$63="Palier",IF(AND(EQ$20&gt;='01_Input'!$V$63,EQ$20&lt;'01_Input'!$W$63),'01_Input'!$Y$63,0),MAX(MIN(EQ$20,'01_Input'!$W$63)-'01_Input'!$V$63,0)*'01_Input'!$Y$63))+IF('01_Input'!$AB$63="Forfait",IF(EQ$20&gt;='01_Input'!$Z$63,'01_Input'!$AC$63,0),IF('01_Input'!$AB$63="Palier",IF(AND(EQ$20&gt;='01_Input'!$Z$63,EQ$20&lt;'01_Input'!$AA$63),'01_Input'!$AC$63,0),MAX(MIN(EQ$20,'01_Input'!$AA$63)-'01_Input'!$Z$63,0)*'01_Input'!$AC$63)))))))))</f>
        <v>1900</v>
      </c>
      <c r="ER31" s="25">
        <f>IF('01_Input'!$C$63="Non",0,MIN('01_Input'!$I$63,MAX('01_Input'!$H$63,IF('01_Input'!$G$63="Résiduel vs Gestion",0,IF('01_Input'!$G$63="Taux Classe sélectionnée",Distrib_Global_Classe_Selectionnee*ER$20,IF('01_Input'!$G$63="Frais KYC (paliers de 100M€)",MAX(0,Nb_Investisseurs-Nb_KYC_Gratuites_Par_Tranche*(FLOOR(ER$20/Taille_Tranche_KYC,1)+1))*Cout_Par_KYC_Supplementaire,(IF('01_Input'!$L$63="Forfait",IF(ER$20&gt;='01_Input'!$J$63,'01_Input'!$M$63,0),IF('01_Input'!$L$63="Palier",IF(AND(ER$20&gt;='01_Input'!$J$63,ER$20&lt;'01_Input'!$K$63),'01_Input'!$M$63,0),MAX(MIN(ER$20,'01_Input'!$K$63)-'01_Input'!$J$63,0)*'01_Input'!$M$63))+IF('01_Input'!$P$63="Forfait",IF(ER$20&gt;='01_Input'!$N$63,'01_Input'!$Q$63,0),IF('01_Input'!$P$63="Palier",IF(AND(ER$20&gt;='01_Input'!$N$63,ER$20&lt;'01_Input'!$O$63),'01_Input'!$Q$63,0),MAX(MIN(ER$20,'01_Input'!$O$63)-'01_Input'!$N$63,0)*'01_Input'!$Q$63))+IF('01_Input'!$T$63="Forfait",IF(ER$20&gt;='01_Input'!$R$63,'01_Input'!$U$63,0),IF('01_Input'!$T$63="Palier",IF(AND(ER$20&gt;='01_Input'!$R$63,ER$20&lt;'01_Input'!$S$63),'01_Input'!$U$63,0),MAX(MIN(ER$20,'01_Input'!$S$63)-'01_Input'!$R$63,0)*'01_Input'!$U$63))+IF('01_Input'!$X$63="Forfait",IF(ER$20&gt;='01_Input'!$V$63,'01_Input'!$Y$63,0),IF('01_Input'!$X$63="Palier",IF(AND(ER$20&gt;='01_Input'!$V$63,ER$20&lt;'01_Input'!$W$63),'01_Input'!$Y$63,0),MAX(MIN(ER$20,'01_Input'!$W$63)-'01_Input'!$V$63,0)*'01_Input'!$Y$63))+IF('01_Input'!$AB$63="Forfait",IF(ER$20&gt;='01_Input'!$Z$63,'01_Input'!$AC$63,0),IF('01_Input'!$AB$63="Palier",IF(AND(ER$20&gt;='01_Input'!$Z$63,ER$20&lt;'01_Input'!$AA$63),'01_Input'!$AC$63,0),MAX(MIN(ER$20,'01_Input'!$AA$63)-'01_Input'!$Z$63,0)*'01_Input'!$AC$63)))))))))</f>
        <v>1900</v>
      </c>
      <c r="ES31" s="25">
        <f>IF('01_Input'!$C$63="Non",0,MIN('01_Input'!$I$63,MAX('01_Input'!$H$63,IF('01_Input'!$G$63="Résiduel vs Gestion",0,IF('01_Input'!$G$63="Taux Classe sélectionnée",Distrib_Global_Classe_Selectionnee*ES$20,IF('01_Input'!$G$63="Frais KYC (paliers de 100M€)",MAX(0,Nb_Investisseurs-Nb_KYC_Gratuites_Par_Tranche*(FLOOR(ES$20/Taille_Tranche_KYC,1)+1))*Cout_Par_KYC_Supplementaire,(IF('01_Input'!$L$63="Forfait",IF(ES$20&gt;='01_Input'!$J$63,'01_Input'!$M$63,0),IF('01_Input'!$L$63="Palier",IF(AND(ES$20&gt;='01_Input'!$J$63,ES$20&lt;'01_Input'!$K$63),'01_Input'!$M$63,0),MAX(MIN(ES$20,'01_Input'!$K$63)-'01_Input'!$J$63,0)*'01_Input'!$M$63))+IF('01_Input'!$P$63="Forfait",IF(ES$20&gt;='01_Input'!$N$63,'01_Input'!$Q$63,0),IF('01_Input'!$P$63="Palier",IF(AND(ES$20&gt;='01_Input'!$N$63,ES$20&lt;'01_Input'!$O$63),'01_Input'!$Q$63,0),MAX(MIN(ES$20,'01_Input'!$O$63)-'01_Input'!$N$63,0)*'01_Input'!$Q$63))+IF('01_Input'!$T$63="Forfait",IF(ES$20&gt;='01_Input'!$R$63,'01_Input'!$U$63,0),IF('01_Input'!$T$63="Palier",IF(AND(ES$20&gt;='01_Input'!$R$63,ES$20&lt;'01_Input'!$S$63),'01_Input'!$U$63,0),MAX(MIN(ES$20,'01_Input'!$S$63)-'01_Input'!$R$63,0)*'01_Input'!$U$63))+IF('01_Input'!$X$63="Forfait",IF(ES$20&gt;='01_Input'!$V$63,'01_Input'!$Y$63,0),IF('01_Input'!$X$63="Palier",IF(AND(ES$20&gt;='01_Input'!$V$63,ES$20&lt;'01_Input'!$W$63),'01_Input'!$Y$63,0),MAX(MIN(ES$20,'01_Input'!$W$63)-'01_Input'!$V$63,0)*'01_Input'!$Y$63))+IF('01_Input'!$AB$63="Forfait",IF(ES$20&gt;='01_Input'!$Z$63,'01_Input'!$AC$63,0),IF('01_Input'!$AB$63="Palier",IF(AND(ES$20&gt;='01_Input'!$Z$63,ES$20&lt;'01_Input'!$AA$63),'01_Input'!$AC$63,0),MAX(MIN(ES$20,'01_Input'!$AA$63)-'01_Input'!$Z$63,0)*'01_Input'!$AC$63)))))))))</f>
        <v>1900</v>
      </c>
      <c r="ET31" s="25">
        <f>IF('01_Input'!$C$63="Non",0,MIN('01_Input'!$I$63,MAX('01_Input'!$H$63,IF('01_Input'!$G$63="Résiduel vs Gestion",0,IF('01_Input'!$G$63="Taux Classe sélectionnée",Distrib_Global_Classe_Selectionnee*ET$20,IF('01_Input'!$G$63="Frais KYC (paliers de 100M€)",MAX(0,Nb_Investisseurs-Nb_KYC_Gratuites_Par_Tranche*(FLOOR(ET$20/Taille_Tranche_KYC,1)+1))*Cout_Par_KYC_Supplementaire,(IF('01_Input'!$L$63="Forfait",IF(ET$20&gt;='01_Input'!$J$63,'01_Input'!$M$63,0),IF('01_Input'!$L$63="Palier",IF(AND(ET$20&gt;='01_Input'!$J$63,ET$20&lt;'01_Input'!$K$63),'01_Input'!$M$63,0),MAX(MIN(ET$20,'01_Input'!$K$63)-'01_Input'!$J$63,0)*'01_Input'!$M$63))+IF('01_Input'!$P$63="Forfait",IF(ET$20&gt;='01_Input'!$N$63,'01_Input'!$Q$63,0),IF('01_Input'!$P$63="Palier",IF(AND(ET$20&gt;='01_Input'!$N$63,ET$20&lt;'01_Input'!$O$63),'01_Input'!$Q$63,0),MAX(MIN(ET$20,'01_Input'!$O$63)-'01_Input'!$N$63,0)*'01_Input'!$Q$63))+IF('01_Input'!$T$63="Forfait",IF(ET$20&gt;='01_Input'!$R$63,'01_Input'!$U$63,0),IF('01_Input'!$T$63="Palier",IF(AND(ET$20&gt;='01_Input'!$R$63,ET$20&lt;'01_Input'!$S$63),'01_Input'!$U$63,0),MAX(MIN(ET$20,'01_Input'!$S$63)-'01_Input'!$R$63,0)*'01_Input'!$U$63))+IF('01_Input'!$X$63="Forfait",IF(ET$20&gt;='01_Input'!$V$63,'01_Input'!$Y$63,0),IF('01_Input'!$X$63="Palier",IF(AND(ET$20&gt;='01_Input'!$V$63,ET$20&lt;'01_Input'!$W$63),'01_Input'!$Y$63,0),MAX(MIN(ET$20,'01_Input'!$W$63)-'01_Input'!$V$63,0)*'01_Input'!$Y$63))+IF('01_Input'!$AB$63="Forfait",IF(ET$20&gt;='01_Input'!$Z$63,'01_Input'!$AC$63,0),IF('01_Input'!$AB$63="Palier",IF(AND(ET$20&gt;='01_Input'!$Z$63,ET$20&lt;'01_Input'!$AA$63),'01_Input'!$AC$63,0),MAX(MIN(ET$20,'01_Input'!$AA$63)-'01_Input'!$Z$63,0)*'01_Input'!$AC$63)))))))))</f>
        <v>1900</v>
      </c>
      <c r="EU31" s="25">
        <f>IF('01_Input'!$C$63="Non",0,MIN('01_Input'!$I$63,MAX('01_Input'!$H$63,IF('01_Input'!$G$63="Résiduel vs Gestion",0,IF('01_Input'!$G$63="Taux Classe sélectionnée",Distrib_Global_Classe_Selectionnee*EU$20,IF('01_Input'!$G$63="Frais KYC (paliers de 100M€)",MAX(0,Nb_Investisseurs-Nb_KYC_Gratuites_Par_Tranche*(FLOOR(EU$20/Taille_Tranche_KYC,1)+1))*Cout_Par_KYC_Supplementaire,(IF('01_Input'!$L$63="Forfait",IF(EU$20&gt;='01_Input'!$J$63,'01_Input'!$M$63,0),IF('01_Input'!$L$63="Palier",IF(AND(EU$20&gt;='01_Input'!$J$63,EU$20&lt;'01_Input'!$K$63),'01_Input'!$M$63,0),MAX(MIN(EU$20,'01_Input'!$K$63)-'01_Input'!$J$63,0)*'01_Input'!$M$63))+IF('01_Input'!$P$63="Forfait",IF(EU$20&gt;='01_Input'!$N$63,'01_Input'!$Q$63,0),IF('01_Input'!$P$63="Palier",IF(AND(EU$20&gt;='01_Input'!$N$63,EU$20&lt;'01_Input'!$O$63),'01_Input'!$Q$63,0),MAX(MIN(EU$20,'01_Input'!$O$63)-'01_Input'!$N$63,0)*'01_Input'!$Q$63))+IF('01_Input'!$T$63="Forfait",IF(EU$20&gt;='01_Input'!$R$63,'01_Input'!$U$63,0),IF('01_Input'!$T$63="Palier",IF(AND(EU$20&gt;='01_Input'!$R$63,EU$20&lt;'01_Input'!$S$63),'01_Input'!$U$63,0),MAX(MIN(EU$20,'01_Input'!$S$63)-'01_Input'!$R$63,0)*'01_Input'!$U$63))+IF('01_Input'!$X$63="Forfait",IF(EU$20&gt;='01_Input'!$V$63,'01_Input'!$Y$63,0),IF('01_Input'!$X$63="Palier",IF(AND(EU$20&gt;='01_Input'!$V$63,EU$20&lt;'01_Input'!$W$63),'01_Input'!$Y$63,0),MAX(MIN(EU$20,'01_Input'!$W$63)-'01_Input'!$V$63,0)*'01_Input'!$Y$63))+IF('01_Input'!$AB$63="Forfait",IF(EU$20&gt;='01_Input'!$Z$63,'01_Input'!$AC$63,0),IF('01_Input'!$AB$63="Palier",IF(AND(EU$20&gt;='01_Input'!$Z$63,EU$20&lt;'01_Input'!$AA$63),'01_Input'!$AC$63,0),MAX(MIN(EU$20,'01_Input'!$AA$63)-'01_Input'!$Z$63,0)*'01_Input'!$AC$63)))))))))</f>
        <v>1900</v>
      </c>
      <c r="EV31" s="25">
        <f>IF('01_Input'!$C$63="Non",0,MIN('01_Input'!$I$63,MAX('01_Input'!$H$63,IF('01_Input'!$G$63="Résiduel vs Gestion",0,IF('01_Input'!$G$63="Taux Classe sélectionnée",Distrib_Global_Classe_Selectionnee*EV$20,IF('01_Input'!$G$63="Frais KYC (paliers de 100M€)",MAX(0,Nb_Investisseurs-Nb_KYC_Gratuites_Par_Tranche*(FLOOR(EV$20/Taille_Tranche_KYC,1)+1))*Cout_Par_KYC_Supplementaire,(IF('01_Input'!$L$63="Forfait",IF(EV$20&gt;='01_Input'!$J$63,'01_Input'!$M$63,0),IF('01_Input'!$L$63="Palier",IF(AND(EV$20&gt;='01_Input'!$J$63,EV$20&lt;'01_Input'!$K$63),'01_Input'!$M$63,0),MAX(MIN(EV$20,'01_Input'!$K$63)-'01_Input'!$J$63,0)*'01_Input'!$M$63))+IF('01_Input'!$P$63="Forfait",IF(EV$20&gt;='01_Input'!$N$63,'01_Input'!$Q$63,0),IF('01_Input'!$P$63="Palier",IF(AND(EV$20&gt;='01_Input'!$N$63,EV$20&lt;'01_Input'!$O$63),'01_Input'!$Q$63,0),MAX(MIN(EV$20,'01_Input'!$O$63)-'01_Input'!$N$63,0)*'01_Input'!$Q$63))+IF('01_Input'!$T$63="Forfait",IF(EV$20&gt;='01_Input'!$R$63,'01_Input'!$U$63,0),IF('01_Input'!$T$63="Palier",IF(AND(EV$20&gt;='01_Input'!$R$63,EV$20&lt;'01_Input'!$S$63),'01_Input'!$U$63,0),MAX(MIN(EV$20,'01_Input'!$S$63)-'01_Input'!$R$63,0)*'01_Input'!$U$63))+IF('01_Input'!$X$63="Forfait",IF(EV$20&gt;='01_Input'!$V$63,'01_Input'!$Y$63,0),IF('01_Input'!$X$63="Palier",IF(AND(EV$20&gt;='01_Input'!$V$63,EV$20&lt;'01_Input'!$W$63),'01_Input'!$Y$63,0),MAX(MIN(EV$20,'01_Input'!$W$63)-'01_Input'!$V$63,0)*'01_Input'!$Y$63))+IF('01_Input'!$AB$63="Forfait",IF(EV$20&gt;='01_Input'!$Z$63,'01_Input'!$AC$63,0),IF('01_Input'!$AB$63="Palier",IF(AND(EV$20&gt;='01_Input'!$Z$63,EV$20&lt;'01_Input'!$AA$63),'01_Input'!$AC$63,0),MAX(MIN(EV$20,'01_Input'!$AA$63)-'01_Input'!$Z$63,0)*'01_Input'!$AC$63)))))))))</f>
        <v>1900</v>
      </c>
      <c r="EW31" s="25">
        <f>IF('01_Input'!$C$63="Non",0,MIN('01_Input'!$I$63,MAX('01_Input'!$H$63,IF('01_Input'!$G$63="Résiduel vs Gestion",0,IF('01_Input'!$G$63="Taux Classe sélectionnée",Distrib_Global_Classe_Selectionnee*EW$20,IF('01_Input'!$G$63="Frais KYC (paliers de 100M€)",MAX(0,Nb_Investisseurs-Nb_KYC_Gratuites_Par_Tranche*(FLOOR(EW$20/Taille_Tranche_KYC,1)+1))*Cout_Par_KYC_Supplementaire,(IF('01_Input'!$L$63="Forfait",IF(EW$20&gt;='01_Input'!$J$63,'01_Input'!$M$63,0),IF('01_Input'!$L$63="Palier",IF(AND(EW$20&gt;='01_Input'!$J$63,EW$20&lt;'01_Input'!$K$63),'01_Input'!$M$63,0),MAX(MIN(EW$20,'01_Input'!$K$63)-'01_Input'!$J$63,0)*'01_Input'!$M$63))+IF('01_Input'!$P$63="Forfait",IF(EW$20&gt;='01_Input'!$N$63,'01_Input'!$Q$63,0),IF('01_Input'!$P$63="Palier",IF(AND(EW$20&gt;='01_Input'!$N$63,EW$20&lt;'01_Input'!$O$63),'01_Input'!$Q$63,0),MAX(MIN(EW$20,'01_Input'!$O$63)-'01_Input'!$N$63,0)*'01_Input'!$Q$63))+IF('01_Input'!$T$63="Forfait",IF(EW$20&gt;='01_Input'!$R$63,'01_Input'!$U$63,0),IF('01_Input'!$T$63="Palier",IF(AND(EW$20&gt;='01_Input'!$R$63,EW$20&lt;'01_Input'!$S$63),'01_Input'!$U$63,0),MAX(MIN(EW$20,'01_Input'!$S$63)-'01_Input'!$R$63,0)*'01_Input'!$U$63))+IF('01_Input'!$X$63="Forfait",IF(EW$20&gt;='01_Input'!$V$63,'01_Input'!$Y$63,0),IF('01_Input'!$X$63="Palier",IF(AND(EW$20&gt;='01_Input'!$V$63,EW$20&lt;'01_Input'!$W$63),'01_Input'!$Y$63,0),MAX(MIN(EW$20,'01_Input'!$W$63)-'01_Input'!$V$63,0)*'01_Input'!$Y$63))+IF('01_Input'!$AB$63="Forfait",IF(EW$20&gt;='01_Input'!$Z$63,'01_Input'!$AC$63,0),IF('01_Input'!$AB$63="Palier",IF(AND(EW$20&gt;='01_Input'!$Z$63,EW$20&lt;'01_Input'!$AA$63),'01_Input'!$AC$63,0),MAX(MIN(EW$20,'01_Input'!$AA$63)-'01_Input'!$Z$63,0)*'01_Input'!$AC$63)))))))))</f>
        <v>1900</v>
      </c>
      <c r="EX31" s="25">
        <f>IF('01_Input'!$C$63="Non",0,MIN('01_Input'!$I$63,MAX('01_Input'!$H$63,IF('01_Input'!$G$63="Résiduel vs Gestion",0,IF('01_Input'!$G$63="Taux Classe sélectionnée",Distrib_Global_Classe_Selectionnee*EX$20,IF('01_Input'!$G$63="Frais KYC (paliers de 100M€)",MAX(0,Nb_Investisseurs-Nb_KYC_Gratuites_Par_Tranche*(FLOOR(EX$20/Taille_Tranche_KYC,1)+1))*Cout_Par_KYC_Supplementaire,(IF('01_Input'!$L$63="Forfait",IF(EX$20&gt;='01_Input'!$J$63,'01_Input'!$M$63,0),IF('01_Input'!$L$63="Palier",IF(AND(EX$20&gt;='01_Input'!$J$63,EX$20&lt;'01_Input'!$K$63),'01_Input'!$M$63,0),MAX(MIN(EX$20,'01_Input'!$K$63)-'01_Input'!$J$63,0)*'01_Input'!$M$63))+IF('01_Input'!$P$63="Forfait",IF(EX$20&gt;='01_Input'!$N$63,'01_Input'!$Q$63,0),IF('01_Input'!$P$63="Palier",IF(AND(EX$20&gt;='01_Input'!$N$63,EX$20&lt;'01_Input'!$O$63),'01_Input'!$Q$63,0),MAX(MIN(EX$20,'01_Input'!$O$63)-'01_Input'!$N$63,0)*'01_Input'!$Q$63))+IF('01_Input'!$T$63="Forfait",IF(EX$20&gt;='01_Input'!$R$63,'01_Input'!$U$63,0),IF('01_Input'!$T$63="Palier",IF(AND(EX$20&gt;='01_Input'!$R$63,EX$20&lt;'01_Input'!$S$63),'01_Input'!$U$63,0),MAX(MIN(EX$20,'01_Input'!$S$63)-'01_Input'!$R$63,0)*'01_Input'!$U$63))+IF('01_Input'!$X$63="Forfait",IF(EX$20&gt;='01_Input'!$V$63,'01_Input'!$Y$63,0),IF('01_Input'!$X$63="Palier",IF(AND(EX$20&gt;='01_Input'!$V$63,EX$20&lt;'01_Input'!$W$63),'01_Input'!$Y$63,0),MAX(MIN(EX$20,'01_Input'!$W$63)-'01_Input'!$V$63,0)*'01_Input'!$Y$63))+IF('01_Input'!$AB$63="Forfait",IF(EX$20&gt;='01_Input'!$Z$63,'01_Input'!$AC$63,0),IF('01_Input'!$AB$63="Palier",IF(AND(EX$20&gt;='01_Input'!$Z$63,EX$20&lt;'01_Input'!$AA$63),'01_Input'!$AC$63,0),MAX(MIN(EX$20,'01_Input'!$AA$63)-'01_Input'!$Z$63,0)*'01_Input'!$AC$63)))))))))</f>
        <v>1900</v>
      </c>
    </row>
    <row r="32" ht="15.75" customHeight="1">
      <c r="B32" s="68" t="str">
        <f>IF('01_Input'!D64="","(inactif)",'01_Input'!D64)</f>
        <v>Finologee</v>
      </c>
      <c r="C32" s="68" t="str">
        <f>IF('01_Input'!E64="","",'01_Input'!E64)</f>
        <v>Finologee</v>
      </c>
      <c r="D32" s="86" t="str">
        <f>'01_Input'!C64</f>
        <v>Oui</v>
      </c>
      <c r="E32" s="83">
        <f>IF('01_Input'!$C$64="Non",0,MIN('01_Input'!$I$64,MAX('01_Input'!$H$64,IF('01_Input'!$G$64="Résiduel vs Gestion",0,IF('01_Input'!$G$64="Taux Classe sélectionnée",Distrib_Global_Classe_Selectionnee*E$20,IF('01_Input'!$G$64="Frais KYC (paliers de 100M€)",MAX(0,Nb_Investisseurs-Nb_KYC_Gratuites_Par_Tranche*(FLOOR(E$20/Taille_Tranche_KYC,1)+1))*Cout_Par_KYC_Supplementaire,(IF('01_Input'!$L$64="Forfait",IF(E$20&gt;='01_Input'!$J$64,'01_Input'!$M$64,0),IF('01_Input'!$L$64="Palier",IF(AND(E$20&gt;='01_Input'!$J$64,E$20&lt;'01_Input'!$K$64),'01_Input'!$M$64,0),MAX(MIN(E$20,'01_Input'!$K$64)-'01_Input'!$J$64,0)*'01_Input'!$M$64))+IF('01_Input'!$P$64="Forfait",IF(E$20&gt;='01_Input'!$N$64,'01_Input'!$Q$64,0),IF('01_Input'!$P$64="Palier",IF(AND(E$20&gt;='01_Input'!$N$64,E$20&lt;'01_Input'!$O$64),'01_Input'!$Q$64,0),MAX(MIN(E$20,'01_Input'!$O$64)-'01_Input'!$N$64,0)*'01_Input'!$Q$64))+IF('01_Input'!$T$64="Forfait",IF(E$20&gt;='01_Input'!$R$64,'01_Input'!$U$64,0),IF('01_Input'!$T$64="Palier",IF(AND(E$20&gt;='01_Input'!$R$64,E$20&lt;'01_Input'!$S$64),'01_Input'!$U$64,0),MAX(MIN(E$20,'01_Input'!$S$64)-'01_Input'!$R$64,0)*'01_Input'!$U$64))+IF('01_Input'!$X$64="Forfait",IF(E$20&gt;='01_Input'!$V$64,'01_Input'!$Y$64,0),IF('01_Input'!$X$64="Palier",IF(AND(E$20&gt;='01_Input'!$V$64,E$20&lt;'01_Input'!$W$64),'01_Input'!$Y$64,0),MAX(MIN(E$20,'01_Input'!$W$64)-'01_Input'!$V$64,0)*'01_Input'!$Y$64))+IF('01_Input'!$AB$64="Forfait",IF(E$20&gt;='01_Input'!$Z$64,'01_Input'!$AC$64,0),IF('01_Input'!$AB$64="Palier",IF(AND(E$20&gt;='01_Input'!$Z$64,E$20&lt;'01_Input'!$AA$64),'01_Input'!$AC$64,0),MAX(MIN(E$20,'01_Input'!$AA$64)-'01_Input'!$Z$64,0)*'01_Input'!$AC$64)))))))))</f>
        <v>1392</v>
      </c>
      <c r="F32" s="83">
        <f>IF('01_Input'!$C$64="Non",0,MIN('01_Input'!$I$64,MAX('01_Input'!$H$64,IF('01_Input'!$G$64="Résiduel vs Gestion",0,IF('01_Input'!$G$64="Taux Classe sélectionnée",Distrib_Global_Classe_Selectionnee*F$20,IF('01_Input'!$G$64="Frais KYC (paliers de 100M€)",MAX(0,Nb_Investisseurs-Nb_KYC_Gratuites_Par_Tranche*(FLOOR(F$20/Taille_Tranche_KYC,1)+1))*Cout_Par_KYC_Supplementaire,(IF('01_Input'!$L$64="Forfait",IF(F$20&gt;='01_Input'!$J$64,'01_Input'!$M$64,0),IF('01_Input'!$L$64="Palier",IF(AND(F$20&gt;='01_Input'!$J$64,F$20&lt;'01_Input'!$K$64),'01_Input'!$M$64,0),MAX(MIN(F$20,'01_Input'!$K$64)-'01_Input'!$J$64,0)*'01_Input'!$M$64))+IF('01_Input'!$P$64="Forfait",IF(F$20&gt;='01_Input'!$N$64,'01_Input'!$Q$64,0),IF('01_Input'!$P$64="Palier",IF(AND(F$20&gt;='01_Input'!$N$64,F$20&lt;'01_Input'!$O$64),'01_Input'!$Q$64,0),MAX(MIN(F$20,'01_Input'!$O$64)-'01_Input'!$N$64,0)*'01_Input'!$Q$64))+IF('01_Input'!$T$64="Forfait",IF(F$20&gt;='01_Input'!$R$64,'01_Input'!$U$64,0),IF('01_Input'!$T$64="Palier",IF(AND(F$20&gt;='01_Input'!$R$64,F$20&lt;'01_Input'!$S$64),'01_Input'!$U$64,0),MAX(MIN(F$20,'01_Input'!$S$64)-'01_Input'!$R$64,0)*'01_Input'!$U$64))+IF('01_Input'!$X$64="Forfait",IF(F$20&gt;='01_Input'!$V$64,'01_Input'!$Y$64,0),IF('01_Input'!$X$64="Palier",IF(AND(F$20&gt;='01_Input'!$V$64,F$20&lt;'01_Input'!$W$64),'01_Input'!$Y$64,0),MAX(MIN(F$20,'01_Input'!$W$64)-'01_Input'!$V$64,0)*'01_Input'!$Y$64))+IF('01_Input'!$AB$64="Forfait",IF(F$20&gt;='01_Input'!$Z$64,'01_Input'!$AC$64,0),IF('01_Input'!$AB$64="Palier",IF(AND(F$20&gt;='01_Input'!$Z$64,F$20&lt;'01_Input'!$AA$64),'01_Input'!$AC$64,0),MAX(MIN(F$20,'01_Input'!$AA$64)-'01_Input'!$Z$64,0)*'01_Input'!$AC$64)))))))))</f>
        <v>1392</v>
      </c>
      <c r="G32" s="83">
        <f>IF('01_Input'!$C$64="Non",0,MIN('01_Input'!$I$64,MAX('01_Input'!$H$64,IF('01_Input'!$G$64="Résiduel vs Gestion",0,IF('01_Input'!$G$64="Taux Classe sélectionnée",Distrib_Global_Classe_Selectionnee*G$20,IF('01_Input'!$G$64="Frais KYC (paliers de 100M€)",MAX(0,Nb_Investisseurs-Nb_KYC_Gratuites_Par_Tranche*(FLOOR(G$20/Taille_Tranche_KYC,1)+1))*Cout_Par_KYC_Supplementaire,(IF('01_Input'!$L$64="Forfait",IF(G$20&gt;='01_Input'!$J$64,'01_Input'!$M$64,0),IF('01_Input'!$L$64="Palier",IF(AND(G$20&gt;='01_Input'!$J$64,G$20&lt;'01_Input'!$K$64),'01_Input'!$M$64,0),MAX(MIN(G$20,'01_Input'!$K$64)-'01_Input'!$J$64,0)*'01_Input'!$M$64))+IF('01_Input'!$P$64="Forfait",IF(G$20&gt;='01_Input'!$N$64,'01_Input'!$Q$64,0),IF('01_Input'!$P$64="Palier",IF(AND(G$20&gt;='01_Input'!$N$64,G$20&lt;'01_Input'!$O$64),'01_Input'!$Q$64,0),MAX(MIN(G$20,'01_Input'!$O$64)-'01_Input'!$N$64,0)*'01_Input'!$Q$64))+IF('01_Input'!$T$64="Forfait",IF(G$20&gt;='01_Input'!$R$64,'01_Input'!$U$64,0),IF('01_Input'!$T$64="Palier",IF(AND(G$20&gt;='01_Input'!$R$64,G$20&lt;'01_Input'!$S$64),'01_Input'!$U$64,0),MAX(MIN(G$20,'01_Input'!$S$64)-'01_Input'!$R$64,0)*'01_Input'!$U$64))+IF('01_Input'!$X$64="Forfait",IF(G$20&gt;='01_Input'!$V$64,'01_Input'!$Y$64,0),IF('01_Input'!$X$64="Palier",IF(AND(G$20&gt;='01_Input'!$V$64,G$20&lt;'01_Input'!$W$64),'01_Input'!$Y$64,0),MAX(MIN(G$20,'01_Input'!$W$64)-'01_Input'!$V$64,0)*'01_Input'!$Y$64))+IF('01_Input'!$AB$64="Forfait",IF(G$20&gt;='01_Input'!$Z$64,'01_Input'!$AC$64,0),IF('01_Input'!$AB$64="Palier",IF(AND(G$20&gt;='01_Input'!$Z$64,G$20&lt;'01_Input'!$AA$64),'01_Input'!$AC$64,0),MAX(MIN(G$20,'01_Input'!$AA$64)-'01_Input'!$Z$64,0)*'01_Input'!$AC$64)))))))))</f>
        <v>1392</v>
      </c>
      <c r="H32" s="83">
        <f>IF('01_Input'!$C$64="Non",0,MIN('01_Input'!$I$64,MAX('01_Input'!$H$64,IF('01_Input'!$G$64="Résiduel vs Gestion",0,IF('01_Input'!$G$64="Taux Classe sélectionnée",Distrib_Global_Classe_Selectionnee*H$20,IF('01_Input'!$G$64="Frais KYC (paliers de 100M€)",MAX(0,Nb_Investisseurs-Nb_KYC_Gratuites_Par_Tranche*(FLOOR(H$20/Taille_Tranche_KYC,1)+1))*Cout_Par_KYC_Supplementaire,(IF('01_Input'!$L$64="Forfait",IF(H$20&gt;='01_Input'!$J$64,'01_Input'!$M$64,0),IF('01_Input'!$L$64="Palier",IF(AND(H$20&gt;='01_Input'!$J$64,H$20&lt;'01_Input'!$K$64),'01_Input'!$M$64,0),MAX(MIN(H$20,'01_Input'!$K$64)-'01_Input'!$J$64,0)*'01_Input'!$M$64))+IF('01_Input'!$P$64="Forfait",IF(H$20&gt;='01_Input'!$N$64,'01_Input'!$Q$64,0),IF('01_Input'!$P$64="Palier",IF(AND(H$20&gt;='01_Input'!$N$64,H$20&lt;'01_Input'!$O$64),'01_Input'!$Q$64,0),MAX(MIN(H$20,'01_Input'!$O$64)-'01_Input'!$N$64,0)*'01_Input'!$Q$64))+IF('01_Input'!$T$64="Forfait",IF(H$20&gt;='01_Input'!$R$64,'01_Input'!$U$64,0),IF('01_Input'!$T$64="Palier",IF(AND(H$20&gt;='01_Input'!$R$64,H$20&lt;'01_Input'!$S$64),'01_Input'!$U$64,0),MAX(MIN(H$20,'01_Input'!$S$64)-'01_Input'!$R$64,0)*'01_Input'!$U$64))+IF('01_Input'!$X$64="Forfait",IF(H$20&gt;='01_Input'!$V$64,'01_Input'!$Y$64,0),IF('01_Input'!$X$64="Palier",IF(AND(H$20&gt;='01_Input'!$V$64,H$20&lt;'01_Input'!$W$64),'01_Input'!$Y$64,0),MAX(MIN(H$20,'01_Input'!$W$64)-'01_Input'!$V$64,0)*'01_Input'!$Y$64))+IF('01_Input'!$AB$64="Forfait",IF(H$20&gt;='01_Input'!$Z$64,'01_Input'!$AC$64,0),IF('01_Input'!$AB$64="Palier",IF(AND(H$20&gt;='01_Input'!$Z$64,H$20&lt;'01_Input'!$AA$64),'01_Input'!$AC$64,0),MAX(MIN(H$20,'01_Input'!$AA$64)-'01_Input'!$Z$64,0)*'01_Input'!$AC$64)))))))))</f>
        <v>1392</v>
      </c>
      <c r="I32" s="83">
        <f>IF('01_Input'!$C$64="Non",0,MIN('01_Input'!$I$64,MAX('01_Input'!$H$64,IF('01_Input'!$G$64="Résiduel vs Gestion",0,IF('01_Input'!$G$64="Taux Classe sélectionnée",Distrib_Global_Classe_Selectionnee*I$20,IF('01_Input'!$G$64="Frais KYC (paliers de 100M€)",MAX(0,Nb_Investisseurs-Nb_KYC_Gratuites_Par_Tranche*(FLOOR(I$20/Taille_Tranche_KYC,1)+1))*Cout_Par_KYC_Supplementaire,(IF('01_Input'!$L$64="Forfait",IF(I$20&gt;='01_Input'!$J$64,'01_Input'!$M$64,0),IF('01_Input'!$L$64="Palier",IF(AND(I$20&gt;='01_Input'!$J$64,I$20&lt;'01_Input'!$K$64),'01_Input'!$M$64,0),MAX(MIN(I$20,'01_Input'!$K$64)-'01_Input'!$J$64,0)*'01_Input'!$M$64))+IF('01_Input'!$P$64="Forfait",IF(I$20&gt;='01_Input'!$N$64,'01_Input'!$Q$64,0),IF('01_Input'!$P$64="Palier",IF(AND(I$20&gt;='01_Input'!$N$64,I$20&lt;'01_Input'!$O$64),'01_Input'!$Q$64,0),MAX(MIN(I$20,'01_Input'!$O$64)-'01_Input'!$N$64,0)*'01_Input'!$Q$64))+IF('01_Input'!$T$64="Forfait",IF(I$20&gt;='01_Input'!$R$64,'01_Input'!$U$64,0),IF('01_Input'!$T$64="Palier",IF(AND(I$20&gt;='01_Input'!$R$64,I$20&lt;'01_Input'!$S$64),'01_Input'!$U$64,0),MAX(MIN(I$20,'01_Input'!$S$64)-'01_Input'!$R$64,0)*'01_Input'!$U$64))+IF('01_Input'!$X$64="Forfait",IF(I$20&gt;='01_Input'!$V$64,'01_Input'!$Y$64,0),IF('01_Input'!$X$64="Palier",IF(AND(I$20&gt;='01_Input'!$V$64,I$20&lt;'01_Input'!$W$64),'01_Input'!$Y$64,0),MAX(MIN(I$20,'01_Input'!$W$64)-'01_Input'!$V$64,0)*'01_Input'!$Y$64))+IF('01_Input'!$AB$64="Forfait",IF(I$20&gt;='01_Input'!$Z$64,'01_Input'!$AC$64,0),IF('01_Input'!$AB$64="Palier",IF(AND(I$20&gt;='01_Input'!$Z$64,I$20&lt;'01_Input'!$AA$64),'01_Input'!$AC$64,0),MAX(MIN(I$20,'01_Input'!$AA$64)-'01_Input'!$Z$64,0)*'01_Input'!$AC$64)))))))))</f>
        <v>1392</v>
      </c>
      <c r="J32" s="83">
        <f>IF('01_Input'!$C$64="Non",0,MIN('01_Input'!$I$64,MAX('01_Input'!$H$64,IF('01_Input'!$G$64="Résiduel vs Gestion",0,IF('01_Input'!$G$64="Taux Classe sélectionnée",Distrib_Global_Classe_Selectionnee*J$20,IF('01_Input'!$G$64="Frais KYC (paliers de 100M€)",MAX(0,Nb_Investisseurs-Nb_KYC_Gratuites_Par_Tranche*(FLOOR(J$20/Taille_Tranche_KYC,1)+1))*Cout_Par_KYC_Supplementaire,(IF('01_Input'!$L$64="Forfait",IF(J$20&gt;='01_Input'!$J$64,'01_Input'!$M$64,0),IF('01_Input'!$L$64="Palier",IF(AND(J$20&gt;='01_Input'!$J$64,J$20&lt;'01_Input'!$K$64),'01_Input'!$M$64,0),MAX(MIN(J$20,'01_Input'!$K$64)-'01_Input'!$J$64,0)*'01_Input'!$M$64))+IF('01_Input'!$P$64="Forfait",IF(J$20&gt;='01_Input'!$N$64,'01_Input'!$Q$64,0),IF('01_Input'!$P$64="Palier",IF(AND(J$20&gt;='01_Input'!$N$64,J$20&lt;'01_Input'!$O$64),'01_Input'!$Q$64,0),MAX(MIN(J$20,'01_Input'!$O$64)-'01_Input'!$N$64,0)*'01_Input'!$Q$64))+IF('01_Input'!$T$64="Forfait",IF(J$20&gt;='01_Input'!$R$64,'01_Input'!$U$64,0),IF('01_Input'!$T$64="Palier",IF(AND(J$20&gt;='01_Input'!$R$64,J$20&lt;'01_Input'!$S$64),'01_Input'!$U$64,0),MAX(MIN(J$20,'01_Input'!$S$64)-'01_Input'!$R$64,0)*'01_Input'!$U$64))+IF('01_Input'!$X$64="Forfait",IF(J$20&gt;='01_Input'!$V$64,'01_Input'!$Y$64,0),IF('01_Input'!$X$64="Palier",IF(AND(J$20&gt;='01_Input'!$V$64,J$20&lt;'01_Input'!$W$64),'01_Input'!$Y$64,0),MAX(MIN(J$20,'01_Input'!$W$64)-'01_Input'!$V$64,0)*'01_Input'!$Y$64))+IF('01_Input'!$AB$64="Forfait",IF(J$20&gt;='01_Input'!$Z$64,'01_Input'!$AC$64,0),IF('01_Input'!$AB$64="Palier",IF(AND(J$20&gt;='01_Input'!$Z$64,J$20&lt;'01_Input'!$AA$64),'01_Input'!$AC$64,0),MAX(MIN(J$20,'01_Input'!$AA$64)-'01_Input'!$Z$64,0)*'01_Input'!$AC$64)))))))))</f>
        <v>1392</v>
      </c>
      <c r="K32" s="83">
        <f>IF('01_Input'!$C$64="Non",0,MIN('01_Input'!$I$64,MAX('01_Input'!$H$64,IF('01_Input'!$G$64="Résiduel vs Gestion",0,IF('01_Input'!$G$64="Taux Classe sélectionnée",Distrib_Global_Classe_Selectionnee*K$20,IF('01_Input'!$G$64="Frais KYC (paliers de 100M€)",MAX(0,Nb_Investisseurs-Nb_KYC_Gratuites_Par_Tranche*(FLOOR(K$20/Taille_Tranche_KYC,1)+1))*Cout_Par_KYC_Supplementaire,(IF('01_Input'!$L$64="Forfait",IF(K$20&gt;='01_Input'!$J$64,'01_Input'!$M$64,0),IF('01_Input'!$L$64="Palier",IF(AND(K$20&gt;='01_Input'!$J$64,K$20&lt;'01_Input'!$K$64),'01_Input'!$M$64,0),MAX(MIN(K$20,'01_Input'!$K$64)-'01_Input'!$J$64,0)*'01_Input'!$M$64))+IF('01_Input'!$P$64="Forfait",IF(K$20&gt;='01_Input'!$N$64,'01_Input'!$Q$64,0),IF('01_Input'!$P$64="Palier",IF(AND(K$20&gt;='01_Input'!$N$64,K$20&lt;'01_Input'!$O$64),'01_Input'!$Q$64,0),MAX(MIN(K$20,'01_Input'!$O$64)-'01_Input'!$N$64,0)*'01_Input'!$Q$64))+IF('01_Input'!$T$64="Forfait",IF(K$20&gt;='01_Input'!$R$64,'01_Input'!$U$64,0),IF('01_Input'!$T$64="Palier",IF(AND(K$20&gt;='01_Input'!$R$64,K$20&lt;'01_Input'!$S$64),'01_Input'!$U$64,0),MAX(MIN(K$20,'01_Input'!$S$64)-'01_Input'!$R$64,0)*'01_Input'!$U$64))+IF('01_Input'!$X$64="Forfait",IF(K$20&gt;='01_Input'!$V$64,'01_Input'!$Y$64,0),IF('01_Input'!$X$64="Palier",IF(AND(K$20&gt;='01_Input'!$V$64,K$20&lt;'01_Input'!$W$64),'01_Input'!$Y$64,0),MAX(MIN(K$20,'01_Input'!$W$64)-'01_Input'!$V$64,0)*'01_Input'!$Y$64))+IF('01_Input'!$AB$64="Forfait",IF(K$20&gt;='01_Input'!$Z$64,'01_Input'!$AC$64,0),IF('01_Input'!$AB$64="Palier",IF(AND(K$20&gt;='01_Input'!$Z$64,K$20&lt;'01_Input'!$AA$64),'01_Input'!$AC$64,0),MAX(MIN(K$20,'01_Input'!$AA$64)-'01_Input'!$Z$64,0)*'01_Input'!$AC$64)))))))))</f>
        <v>1392</v>
      </c>
      <c r="L32" s="83">
        <f>IF('01_Input'!$C$64="Non",0,MIN('01_Input'!$I$64,MAX('01_Input'!$H$64,IF('01_Input'!$G$64="Résiduel vs Gestion",0,IF('01_Input'!$G$64="Taux Classe sélectionnée",Distrib_Global_Classe_Selectionnee*L$20,IF('01_Input'!$G$64="Frais KYC (paliers de 100M€)",MAX(0,Nb_Investisseurs-Nb_KYC_Gratuites_Par_Tranche*(FLOOR(L$20/Taille_Tranche_KYC,1)+1))*Cout_Par_KYC_Supplementaire,(IF('01_Input'!$L$64="Forfait",IF(L$20&gt;='01_Input'!$J$64,'01_Input'!$M$64,0),IF('01_Input'!$L$64="Palier",IF(AND(L$20&gt;='01_Input'!$J$64,L$20&lt;'01_Input'!$K$64),'01_Input'!$M$64,0),MAX(MIN(L$20,'01_Input'!$K$64)-'01_Input'!$J$64,0)*'01_Input'!$M$64))+IF('01_Input'!$P$64="Forfait",IF(L$20&gt;='01_Input'!$N$64,'01_Input'!$Q$64,0),IF('01_Input'!$P$64="Palier",IF(AND(L$20&gt;='01_Input'!$N$64,L$20&lt;'01_Input'!$O$64),'01_Input'!$Q$64,0),MAX(MIN(L$20,'01_Input'!$O$64)-'01_Input'!$N$64,0)*'01_Input'!$Q$64))+IF('01_Input'!$T$64="Forfait",IF(L$20&gt;='01_Input'!$R$64,'01_Input'!$U$64,0),IF('01_Input'!$T$64="Palier",IF(AND(L$20&gt;='01_Input'!$R$64,L$20&lt;'01_Input'!$S$64),'01_Input'!$U$64,0),MAX(MIN(L$20,'01_Input'!$S$64)-'01_Input'!$R$64,0)*'01_Input'!$U$64))+IF('01_Input'!$X$64="Forfait",IF(L$20&gt;='01_Input'!$V$64,'01_Input'!$Y$64,0),IF('01_Input'!$X$64="Palier",IF(AND(L$20&gt;='01_Input'!$V$64,L$20&lt;'01_Input'!$W$64),'01_Input'!$Y$64,0),MAX(MIN(L$20,'01_Input'!$W$64)-'01_Input'!$V$64,0)*'01_Input'!$Y$64))+IF('01_Input'!$AB$64="Forfait",IF(L$20&gt;='01_Input'!$Z$64,'01_Input'!$AC$64,0),IF('01_Input'!$AB$64="Palier",IF(AND(L$20&gt;='01_Input'!$Z$64,L$20&lt;'01_Input'!$AA$64),'01_Input'!$AC$64,0),MAX(MIN(L$20,'01_Input'!$AA$64)-'01_Input'!$Z$64,0)*'01_Input'!$AC$64)))))))))</f>
        <v>1392</v>
      </c>
      <c r="M32" s="83">
        <f>IF('01_Input'!$C$64="Non",0,MIN('01_Input'!$I$64,MAX('01_Input'!$H$64,IF('01_Input'!$G$64="Résiduel vs Gestion",0,IF('01_Input'!$G$64="Taux Classe sélectionnée",Distrib_Global_Classe_Selectionnee*M$20,IF('01_Input'!$G$64="Frais KYC (paliers de 100M€)",MAX(0,Nb_Investisseurs-Nb_KYC_Gratuites_Par_Tranche*(FLOOR(M$20/Taille_Tranche_KYC,1)+1))*Cout_Par_KYC_Supplementaire,(IF('01_Input'!$L$64="Forfait",IF(M$20&gt;='01_Input'!$J$64,'01_Input'!$M$64,0),IF('01_Input'!$L$64="Palier",IF(AND(M$20&gt;='01_Input'!$J$64,M$20&lt;'01_Input'!$K$64),'01_Input'!$M$64,0),MAX(MIN(M$20,'01_Input'!$K$64)-'01_Input'!$J$64,0)*'01_Input'!$M$64))+IF('01_Input'!$P$64="Forfait",IF(M$20&gt;='01_Input'!$N$64,'01_Input'!$Q$64,0),IF('01_Input'!$P$64="Palier",IF(AND(M$20&gt;='01_Input'!$N$64,M$20&lt;'01_Input'!$O$64),'01_Input'!$Q$64,0),MAX(MIN(M$20,'01_Input'!$O$64)-'01_Input'!$N$64,0)*'01_Input'!$Q$64))+IF('01_Input'!$T$64="Forfait",IF(M$20&gt;='01_Input'!$R$64,'01_Input'!$U$64,0),IF('01_Input'!$T$64="Palier",IF(AND(M$20&gt;='01_Input'!$R$64,M$20&lt;'01_Input'!$S$64),'01_Input'!$U$64,0),MAX(MIN(M$20,'01_Input'!$S$64)-'01_Input'!$R$64,0)*'01_Input'!$U$64))+IF('01_Input'!$X$64="Forfait",IF(M$20&gt;='01_Input'!$V$64,'01_Input'!$Y$64,0),IF('01_Input'!$X$64="Palier",IF(AND(M$20&gt;='01_Input'!$V$64,M$20&lt;'01_Input'!$W$64),'01_Input'!$Y$64,0),MAX(MIN(M$20,'01_Input'!$W$64)-'01_Input'!$V$64,0)*'01_Input'!$Y$64))+IF('01_Input'!$AB$64="Forfait",IF(M$20&gt;='01_Input'!$Z$64,'01_Input'!$AC$64,0),IF('01_Input'!$AB$64="Palier",IF(AND(M$20&gt;='01_Input'!$Z$64,M$20&lt;'01_Input'!$AA$64),'01_Input'!$AC$64,0),MAX(MIN(M$20,'01_Input'!$AA$64)-'01_Input'!$Z$64,0)*'01_Input'!$AC$64)))))))))</f>
        <v>1392</v>
      </c>
      <c r="N32" s="83">
        <f>IF('01_Input'!$C$64="Non",0,MIN('01_Input'!$I$64,MAX('01_Input'!$H$64,IF('01_Input'!$G$64="Résiduel vs Gestion",0,IF('01_Input'!$G$64="Taux Classe sélectionnée",Distrib_Global_Classe_Selectionnee*N$20,IF('01_Input'!$G$64="Frais KYC (paliers de 100M€)",MAX(0,Nb_Investisseurs-Nb_KYC_Gratuites_Par_Tranche*(FLOOR(N$20/Taille_Tranche_KYC,1)+1))*Cout_Par_KYC_Supplementaire,(IF('01_Input'!$L$64="Forfait",IF(N$20&gt;='01_Input'!$J$64,'01_Input'!$M$64,0),IF('01_Input'!$L$64="Palier",IF(AND(N$20&gt;='01_Input'!$J$64,N$20&lt;'01_Input'!$K$64),'01_Input'!$M$64,0),MAX(MIN(N$20,'01_Input'!$K$64)-'01_Input'!$J$64,0)*'01_Input'!$M$64))+IF('01_Input'!$P$64="Forfait",IF(N$20&gt;='01_Input'!$N$64,'01_Input'!$Q$64,0),IF('01_Input'!$P$64="Palier",IF(AND(N$20&gt;='01_Input'!$N$64,N$20&lt;'01_Input'!$O$64),'01_Input'!$Q$64,0),MAX(MIN(N$20,'01_Input'!$O$64)-'01_Input'!$N$64,0)*'01_Input'!$Q$64))+IF('01_Input'!$T$64="Forfait",IF(N$20&gt;='01_Input'!$R$64,'01_Input'!$U$64,0),IF('01_Input'!$T$64="Palier",IF(AND(N$20&gt;='01_Input'!$R$64,N$20&lt;'01_Input'!$S$64),'01_Input'!$U$64,0),MAX(MIN(N$20,'01_Input'!$S$64)-'01_Input'!$R$64,0)*'01_Input'!$U$64))+IF('01_Input'!$X$64="Forfait",IF(N$20&gt;='01_Input'!$V$64,'01_Input'!$Y$64,0),IF('01_Input'!$X$64="Palier",IF(AND(N$20&gt;='01_Input'!$V$64,N$20&lt;'01_Input'!$W$64),'01_Input'!$Y$64,0),MAX(MIN(N$20,'01_Input'!$W$64)-'01_Input'!$V$64,0)*'01_Input'!$Y$64))+IF('01_Input'!$AB$64="Forfait",IF(N$20&gt;='01_Input'!$Z$64,'01_Input'!$AC$64,0),IF('01_Input'!$AB$64="Palier",IF(AND(N$20&gt;='01_Input'!$Z$64,N$20&lt;'01_Input'!$AA$64),'01_Input'!$AC$64,0),MAX(MIN(N$20,'01_Input'!$AA$64)-'01_Input'!$Z$64,0)*'01_Input'!$AC$64)))))))))</f>
        <v>1392</v>
      </c>
      <c r="O32" s="83">
        <f>IF('01_Input'!$C$64="Non",0,MIN('01_Input'!$I$64,MAX('01_Input'!$H$64,IF('01_Input'!$G$64="Résiduel vs Gestion",0,IF('01_Input'!$G$64="Taux Classe sélectionnée",Distrib_Global_Classe_Selectionnee*O$20,IF('01_Input'!$G$64="Frais KYC (paliers de 100M€)",MAX(0,Nb_Investisseurs-Nb_KYC_Gratuites_Par_Tranche*(FLOOR(O$20/Taille_Tranche_KYC,1)+1))*Cout_Par_KYC_Supplementaire,(IF('01_Input'!$L$64="Forfait",IF(O$20&gt;='01_Input'!$J$64,'01_Input'!$M$64,0),IF('01_Input'!$L$64="Palier",IF(AND(O$20&gt;='01_Input'!$J$64,O$20&lt;'01_Input'!$K$64),'01_Input'!$M$64,0),MAX(MIN(O$20,'01_Input'!$K$64)-'01_Input'!$J$64,0)*'01_Input'!$M$64))+IF('01_Input'!$P$64="Forfait",IF(O$20&gt;='01_Input'!$N$64,'01_Input'!$Q$64,0),IF('01_Input'!$P$64="Palier",IF(AND(O$20&gt;='01_Input'!$N$64,O$20&lt;'01_Input'!$O$64),'01_Input'!$Q$64,0),MAX(MIN(O$20,'01_Input'!$O$64)-'01_Input'!$N$64,0)*'01_Input'!$Q$64))+IF('01_Input'!$T$64="Forfait",IF(O$20&gt;='01_Input'!$R$64,'01_Input'!$U$64,0),IF('01_Input'!$T$64="Palier",IF(AND(O$20&gt;='01_Input'!$R$64,O$20&lt;'01_Input'!$S$64),'01_Input'!$U$64,0),MAX(MIN(O$20,'01_Input'!$S$64)-'01_Input'!$R$64,0)*'01_Input'!$U$64))+IF('01_Input'!$X$64="Forfait",IF(O$20&gt;='01_Input'!$V$64,'01_Input'!$Y$64,0),IF('01_Input'!$X$64="Palier",IF(AND(O$20&gt;='01_Input'!$V$64,O$20&lt;'01_Input'!$W$64),'01_Input'!$Y$64,0),MAX(MIN(O$20,'01_Input'!$W$64)-'01_Input'!$V$64,0)*'01_Input'!$Y$64))+IF('01_Input'!$AB$64="Forfait",IF(O$20&gt;='01_Input'!$Z$64,'01_Input'!$AC$64,0),IF('01_Input'!$AB$64="Palier",IF(AND(O$20&gt;='01_Input'!$Z$64,O$20&lt;'01_Input'!$AA$64),'01_Input'!$AC$64,0),MAX(MIN(O$20,'01_Input'!$AA$64)-'01_Input'!$Z$64,0)*'01_Input'!$AC$64)))))))))</f>
        <v>1392</v>
      </c>
      <c r="P32" s="83">
        <f>IF('01_Input'!$C$64="Non",0,MIN('01_Input'!$I$64,MAX('01_Input'!$H$64,IF('01_Input'!$G$64="Résiduel vs Gestion",0,IF('01_Input'!$G$64="Taux Classe sélectionnée",Distrib_Global_Classe_Selectionnee*P$20,IF('01_Input'!$G$64="Frais KYC (paliers de 100M€)",MAX(0,Nb_Investisseurs-Nb_KYC_Gratuites_Par_Tranche*(FLOOR(P$20/Taille_Tranche_KYC,1)+1))*Cout_Par_KYC_Supplementaire,(IF('01_Input'!$L$64="Forfait",IF(P$20&gt;='01_Input'!$J$64,'01_Input'!$M$64,0),IF('01_Input'!$L$64="Palier",IF(AND(P$20&gt;='01_Input'!$J$64,P$20&lt;'01_Input'!$K$64),'01_Input'!$M$64,0),MAX(MIN(P$20,'01_Input'!$K$64)-'01_Input'!$J$64,0)*'01_Input'!$M$64))+IF('01_Input'!$P$64="Forfait",IF(P$20&gt;='01_Input'!$N$64,'01_Input'!$Q$64,0),IF('01_Input'!$P$64="Palier",IF(AND(P$20&gt;='01_Input'!$N$64,P$20&lt;'01_Input'!$O$64),'01_Input'!$Q$64,0),MAX(MIN(P$20,'01_Input'!$O$64)-'01_Input'!$N$64,0)*'01_Input'!$Q$64))+IF('01_Input'!$T$64="Forfait",IF(P$20&gt;='01_Input'!$R$64,'01_Input'!$U$64,0),IF('01_Input'!$T$64="Palier",IF(AND(P$20&gt;='01_Input'!$R$64,P$20&lt;'01_Input'!$S$64),'01_Input'!$U$64,0),MAX(MIN(P$20,'01_Input'!$S$64)-'01_Input'!$R$64,0)*'01_Input'!$U$64))+IF('01_Input'!$X$64="Forfait",IF(P$20&gt;='01_Input'!$V$64,'01_Input'!$Y$64,0),IF('01_Input'!$X$64="Palier",IF(AND(P$20&gt;='01_Input'!$V$64,P$20&lt;'01_Input'!$W$64),'01_Input'!$Y$64,0),MAX(MIN(P$20,'01_Input'!$W$64)-'01_Input'!$V$64,0)*'01_Input'!$Y$64))+IF('01_Input'!$AB$64="Forfait",IF(P$20&gt;='01_Input'!$Z$64,'01_Input'!$AC$64,0),IF('01_Input'!$AB$64="Palier",IF(AND(P$20&gt;='01_Input'!$Z$64,P$20&lt;'01_Input'!$AA$64),'01_Input'!$AC$64,0),MAX(MIN(P$20,'01_Input'!$AA$64)-'01_Input'!$Z$64,0)*'01_Input'!$AC$64)))))))))</f>
        <v>1392</v>
      </c>
      <c r="Q32" s="83">
        <f>IF('01_Input'!$C$64="Non",0,MIN('01_Input'!$I$64,MAX('01_Input'!$H$64,IF('01_Input'!$G$64="Résiduel vs Gestion",0,IF('01_Input'!$G$64="Taux Classe sélectionnée",Distrib_Global_Classe_Selectionnee*Q$20,IF('01_Input'!$G$64="Frais KYC (paliers de 100M€)",MAX(0,Nb_Investisseurs-Nb_KYC_Gratuites_Par_Tranche*(FLOOR(Q$20/Taille_Tranche_KYC,1)+1))*Cout_Par_KYC_Supplementaire,(IF('01_Input'!$L$64="Forfait",IF(Q$20&gt;='01_Input'!$J$64,'01_Input'!$M$64,0),IF('01_Input'!$L$64="Palier",IF(AND(Q$20&gt;='01_Input'!$J$64,Q$20&lt;'01_Input'!$K$64),'01_Input'!$M$64,0),MAX(MIN(Q$20,'01_Input'!$K$64)-'01_Input'!$J$64,0)*'01_Input'!$M$64))+IF('01_Input'!$P$64="Forfait",IF(Q$20&gt;='01_Input'!$N$64,'01_Input'!$Q$64,0),IF('01_Input'!$P$64="Palier",IF(AND(Q$20&gt;='01_Input'!$N$64,Q$20&lt;'01_Input'!$O$64),'01_Input'!$Q$64,0),MAX(MIN(Q$20,'01_Input'!$O$64)-'01_Input'!$N$64,0)*'01_Input'!$Q$64))+IF('01_Input'!$T$64="Forfait",IF(Q$20&gt;='01_Input'!$R$64,'01_Input'!$U$64,0),IF('01_Input'!$T$64="Palier",IF(AND(Q$20&gt;='01_Input'!$R$64,Q$20&lt;'01_Input'!$S$64),'01_Input'!$U$64,0),MAX(MIN(Q$20,'01_Input'!$S$64)-'01_Input'!$R$64,0)*'01_Input'!$U$64))+IF('01_Input'!$X$64="Forfait",IF(Q$20&gt;='01_Input'!$V$64,'01_Input'!$Y$64,0),IF('01_Input'!$X$64="Palier",IF(AND(Q$20&gt;='01_Input'!$V$64,Q$20&lt;'01_Input'!$W$64),'01_Input'!$Y$64,0),MAX(MIN(Q$20,'01_Input'!$W$64)-'01_Input'!$V$64,0)*'01_Input'!$Y$64))+IF('01_Input'!$AB$64="Forfait",IF(Q$20&gt;='01_Input'!$Z$64,'01_Input'!$AC$64,0),IF('01_Input'!$AB$64="Palier",IF(AND(Q$20&gt;='01_Input'!$Z$64,Q$20&lt;'01_Input'!$AA$64),'01_Input'!$AC$64,0),MAX(MIN(Q$20,'01_Input'!$AA$64)-'01_Input'!$Z$64,0)*'01_Input'!$AC$64)))))))))</f>
        <v>1392</v>
      </c>
      <c r="R32" s="83">
        <f>IF('01_Input'!$C$64="Non",0,MIN('01_Input'!$I$64,MAX('01_Input'!$H$64,IF('01_Input'!$G$64="Résiduel vs Gestion",0,IF('01_Input'!$G$64="Taux Classe sélectionnée",Distrib_Global_Classe_Selectionnee*R$20,IF('01_Input'!$G$64="Frais KYC (paliers de 100M€)",MAX(0,Nb_Investisseurs-Nb_KYC_Gratuites_Par_Tranche*(FLOOR(R$20/Taille_Tranche_KYC,1)+1))*Cout_Par_KYC_Supplementaire,(IF('01_Input'!$L$64="Forfait",IF(R$20&gt;='01_Input'!$J$64,'01_Input'!$M$64,0),IF('01_Input'!$L$64="Palier",IF(AND(R$20&gt;='01_Input'!$J$64,R$20&lt;'01_Input'!$K$64),'01_Input'!$M$64,0),MAX(MIN(R$20,'01_Input'!$K$64)-'01_Input'!$J$64,0)*'01_Input'!$M$64))+IF('01_Input'!$P$64="Forfait",IF(R$20&gt;='01_Input'!$N$64,'01_Input'!$Q$64,0),IF('01_Input'!$P$64="Palier",IF(AND(R$20&gt;='01_Input'!$N$64,R$20&lt;'01_Input'!$O$64),'01_Input'!$Q$64,0),MAX(MIN(R$20,'01_Input'!$O$64)-'01_Input'!$N$64,0)*'01_Input'!$Q$64))+IF('01_Input'!$T$64="Forfait",IF(R$20&gt;='01_Input'!$R$64,'01_Input'!$U$64,0),IF('01_Input'!$T$64="Palier",IF(AND(R$20&gt;='01_Input'!$R$64,R$20&lt;'01_Input'!$S$64),'01_Input'!$U$64,0),MAX(MIN(R$20,'01_Input'!$S$64)-'01_Input'!$R$64,0)*'01_Input'!$U$64))+IF('01_Input'!$X$64="Forfait",IF(R$20&gt;='01_Input'!$V$64,'01_Input'!$Y$64,0),IF('01_Input'!$X$64="Palier",IF(AND(R$20&gt;='01_Input'!$V$64,R$20&lt;'01_Input'!$W$64),'01_Input'!$Y$64,0),MAX(MIN(R$20,'01_Input'!$W$64)-'01_Input'!$V$64,0)*'01_Input'!$Y$64))+IF('01_Input'!$AB$64="Forfait",IF(R$20&gt;='01_Input'!$Z$64,'01_Input'!$AC$64,0),IF('01_Input'!$AB$64="Palier",IF(AND(R$20&gt;='01_Input'!$Z$64,R$20&lt;'01_Input'!$AA$64),'01_Input'!$AC$64,0),MAX(MIN(R$20,'01_Input'!$AA$64)-'01_Input'!$Z$64,0)*'01_Input'!$AC$64)))))))))</f>
        <v>1392</v>
      </c>
      <c r="S32" s="83">
        <f>IF('01_Input'!$C$64="Non",0,MIN('01_Input'!$I$64,MAX('01_Input'!$H$64,IF('01_Input'!$G$64="Résiduel vs Gestion",0,IF('01_Input'!$G$64="Taux Classe sélectionnée",Distrib_Global_Classe_Selectionnee*S$20,IF('01_Input'!$G$64="Frais KYC (paliers de 100M€)",MAX(0,Nb_Investisseurs-Nb_KYC_Gratuites_Par_Tranche*(FLOOR(S$20/Taille_Tranche_KYC,1)+1))*Cout_Par_KYC_Supplementaire,(IF('01_Input'!$L$64="Forfait",IF(S$20&gt;='01_Input'!$J$64,'01_Input'!$M$64,0),IF('01_Input'!$L$64="Palier",IF(AND(S$20&gt;='01_Input'!$J$64,S$20&lt;'01_Input'!$K$64),'01_Input'!$M$64,0),MAX(MIN(S$20,'01_Input'!$K$64)-'01_Input'!$J$64,0)*'01_Input'!$M$64))+IF('01_Input'!$P$64="Forfait",IF(S$20&gt;='01_Input'!$N$64,'01_Input'!$Q$64,0),IF('01_Input'!$P$64="Palier",IF(AND(S$20&gt;='01_Input'!$N$64,S$20&lt;'01_Input'!$O$64),'01_Input'!$Q$64,0),MAX(MIN(S$20,'01_Input'!$O$64)-'01_Input'!$N$64,0)*'01_Input'!$Q$64))+IF('01_Input'!$T$64="Forfait",IF(S$20&gt;='01_Input'!$R$64,'01_Input'!$U$64,0),IF('01_Input'!$T$64="Palier",IF(AND(S$20&gt;='01_Input'!$R$64,S$20&lt;'01_Input'!$S$64),'01_Input'!$U$64,0),MAX(MIN(S$20,'01_Input'!$S$64)-'01_Input'!$R$64,0)*'01_Input'!$U$64))+IF('01_Input'!$X$64="Forfait",IF(S$20&gt;='01_Input'!$V$64,'01_Input'!$Y$64,0),IF('01_Input'!$X$64="Palier",IF(AND(S$20&gt;='01_Input'!$V$64,S$20&lt;'01_Input'!$W$64),'01_Input'!$Y$64,0),MAX(MIN(S$20,'01_Input'!$W$64)-'01_Input'!$V$64,0)*'01_Input'!$Y$64))+IF('01_Input'!$AB$64="Forfait",IF(S$20&gt;='01_Input'!$Z$64,'01_Input'!$AC$64,0),IF('01_Input'!$AB$64="Palier",IF(AND(S$20&gt;='01_Input'!$Z$64,S$20&lt;'01_Input'!$AA$64),'01_Input'!$AC$64,0),MAX(MIN(S$20,'01_Input'!$AA$64)-'01_Input'!$Z$64,0)*'01_Input'!$AC$64)))))))))</f>
        <v>1392</v>
      </c>
      <c r="T32" s="83">
        <f>IF('01_Input'!$C$64="Non",0,MIN('01_Input'!$I$64,MAX('01_Input'!$H$64,IF('01_Input'!$G$64="Résiduel vs Gestion",0,IF('01_Input'!$G$64="Taux Classe sélectionnée",Distrib_Global_Classe_Selectionnee*T$20,IF('01_Input'!$G$64="Frais KYC (paliers de 100M€)",MAX(0,Nb_Investisseurs-Nb_KYC_Gratuites_Par_Tranche*(FLOOR(T$20/Taille_Tranche_KYC,1)+1))*Cout_Par_KYC_Supplementaire,(IF('01_Input'!$L$64="Forfait",IF(T$20&gt;='01_Input'!$J$64,'01_Input'!$M$64,0),IF('01_Input'!$L$64="Palier",IF(AND(T$20&gt;='01_Input'!$J$64,T$20&lt;'01_Input'!$K$64),'01_Input'!$M$64,0),MAX(MIN(T$20,'01_Input'!$K$64)-'01_Input'!$J$64,0)*'01_Input'!$M$64))+IF('01_Input'!$P$64="Forfait",IF(T$20&gt;='01_Input'!$N$64,'01_Input'!$Q$64,0),IF('01_Input'!$P$64="Palier",IF(AND(T$20&gt;='01_Input'!$N$64,T$20&lt;'01_Input'!$O$64),'01_Input'!$Q$64,0),MAX(MIN(T$20,'01_Input'!$O$64)-'01_Input'!$N$64,0)*'01_Input'!$Q$64))+IF('01_Input'!$T$64="Forfait",IF(T$20&gt;='01_Input'!$R$64,'01_Input'!$U$64,0),IF('01_Input'!$T$64="Palier",IF(AND(T$20&gt;='01_Input'!$R$64,T$20&lt;'01_Input'!$S$64),'01_Input'!$U$64,0),MAX(MIN(T$20,'01_Input'!$S$64)-'01_Input'!$R$64,0)*'01_Input'!$U$64))+IF('01_Input'!$X$64="Forfait",IF(T$20&gt;='01_Input'!$V$64,'01_Input'!$Y$64,0),IF('01_Input'!$X$64="Palier",IF(AND(T$20&gt;='01_Input'!$V$64,T$20&lt;'01_Input'!$W$64),'01_Input'!$Y$64,0),MAX(MIN(T$20,'01_Input'!$W$64)-'01_Input'!$V$64,0)*'01_Input'!$Y$64))+IF('01_Input'!$AB$64="Forfait",IF(T$20&gt;='01_Input'!$Z$64,'01_Input'!$AC$64,0),IF('01_Input'!$AB$64="Palier",IF(AND(T$20&gt;='01_Input'!$Z$64,T$20&lt;'01_Input'!$AA$64),'01_Input'!$AC$64,0),MAX(MIN(T$20,'01_Input'!$AA$64)-'01_Input'!$Z$64,0)*'01_Input'!$AC$64)))))))))</f>
        <v>1392</v>
      </c>
      <c r="U32" s="83">
        <f>IF('01_Input'!$C$64="Non",0,MIN('01_Input'!$I$64,MAX('01_Input'!$H$64,IF('01_Input'!$G$64="Résiduel vs Gestion",0,IF('01_Input'!$G$64="Taux Classe sélectionnée",Distrib_Global_Classe_Selectionnee*U$20,IF('01_Input'!$G$64="Frais KYC (paliers de 100M€)",MAX(0,Nb_Investisseurs-Nb_KYC_Gratuites_Par_Tranche*(FLOOR(U$20/Taille_Tranche_KYC,1)+1))*Cout_Par_KYC_Supplementaire,(IF('01_Input'!$L$64="Forfait",IF(U$20&gt;='01_Input'!$J$64,'01_Input'!$M$64,0),IF('01_Input'!$L$64="Palier",IF(AND(U$20&gt;='01_Input'!$J$64,U$20&lt;'01_Input'!$K$64),'01_Input'!$M$64,0),MAX(MIN(U$20,'01_Input'!$K$64)-'01_Input'!$J$64,0)*'01_Input'!$M$64))+IF('01_Input'!$P$64="Forfait",IF(U$20&gt;='01_Input'!$N$64,'01_Input'!$Q$64,0),IF('01_Input'!$P$64="Palier",IF(AND(U$20&gt;='01_Input'!$N$64,U$20&lt;'01_Input'!$O$64),'01_Input'!$Q$64,0),MAX(MIN(U$20,'01_Input'!$O$64)-'01_Input'!$N$64,0)*'01_Input'!$Q$64))+IF('01_Input'!$T$64="Forfait",IF(U$20&gt;='01_Input'!$R$64,'01_Input'!$U$64,0),IF('01_Input'!$T$64="Palier",IF(AND(U$20&gt;='01_Input'!$R$64,U$20&lt;'01_Input'!$S$64),'01_Input'!$U$64,0),MAX(MIN(U$20,'01_Input'!$S$64)-'01_Input'!$R$64,0)*'01_Input'!$U$64))+IF('01_Input'!$X$64="Forfait",IF(U$20&gt;='01_Input'!$V$64,'01_Input'!$Y$64,0),IF('01_Input'!$X$64="Palier",IF(AND(U$20&gt;='01_Input'!$V$64,U$20&lt;'01_Input'!$W$64),'01_Input'!$Y$64,0),MAX(MIN(U$20,'01_Input'!$W$64)-'01_Input'!$V$64,0)*'01_Input'!$Y$64))+IF('01_Input'!$AB$64="Forfait",IF(U$20&gt;='01_Input'!$Z$64,'01_Input'!$AC$64,0),IF('01_Input'!$AB$64="Palier",IF(AND(U$20&gt;='01_Input'!$Z$64,U$20&lt;'01_Input'!$AA$64),'01_Input'!$AC$64,0),MAX(MIN(U$20,'01_Input'!$AA$64)-'01_Input'!$Z$64,0)*'01_Input'!$AC$64)))))))))</f>
        <v>1392</v>
      </c>
      <c r="V32" s="83">
        <f>IF('01_Input'!$C$64="Non",0,MIN('01_Input'!$I$64,MAX('01_Input'!$H$64,IF('01_Input'!$G$64="Résiduel vs Gestion",0,IF('01_Input'!$G$64="Taux Classe sélectionnée",Distrib_Global_Classe_Selectionnee*V$20,IF('01_Input'!$G$64="Frais KYC (paliers de 100M€)",MAX(0,Nb_Investisseurs-Nb_KYC_Gratuites_Par_Tranche*(FLOOR(V$20/Taille_Tranche_KYC,1)+1))*Cout_Par_KYC_Supplementaire,(IF('01_Input'!$L$64="Forfait",IF(V$20&gt;='01_Input'!$J$64,'01_Input'!$M$64,0),IF('01_Input'!$L$64="Palier",IF(AND(V$20&gt;='01_Input'!$J$64,V$20&lt;'01_Input'!$K$64),'01_Input'!$M$64,0),MAX(MIN(V$20,'01_Input'!$K$64)-'01_Input'!$J$64,0)*'01_Input'!$M$64))+IF('01_Input'!$P$64="Forfait",IF(V$20&gt;='01_Input'!$N$64,'01_Input'!$Q$64,0),IF('01_Input'!$P$64="Palier",IF(AND(V$20&gt;='01_Input'!$N$64,V$20&lt;'01_Input'!$O$64),'01_Input'!$Q$64,0),MAX(MIN(V$20,'01_Input'!$O$64)-'01_Input'!$N$64,0)*'01_Input'!$Q$64))+IF('01_Input'!$T$64="Forfait",IF(V$20&gt;='01_Input'!$R$64,'01_Input'!$U$64,0),IF('01_Input'!$T$64="Palier",IF(AND(V$20&gt;='01_Input'!$R$64,V$20&lt;'01_Input'!$S$64),'01_Input'!$U$64,0),MAX(MIN(V$20,'01_Input'!$S$64)-'01_Input'!$R$64,0)*'01_Input'!$U$64))+IF('01_Input'!$X$64="Forfait",IF(V$20&gt;='01_Input'!$V$64,'01_Input'!$Y$64,0),IF('01_Input'!$X$64="Palier",IF(AND(V$20&gt;='01_Input'!$V$64,V$20&lt;'01_Input'!$W$64),'01_Input'!$Y$64,0),MAX(MIN(V$20,'01_Input'!$W$64)-'01_Input'!$V$64,0)*'01_Input'!$Y$64))+IF('01_Input'!$AB$64="Forfait",IF(V$20&gt;='01_Input'!$Z$64,'01_Input'!$AC$64,0),IF('01_Input'!$AB$64="Palier",IF(AND(V$20&gt;='01_Input'!$Z$64,V$20&lt;'01_Input'!$AA$64),'01_Input'!$AC$64,0),MAX(MIN(V$20,'01_Input'!$AA$64)-'01_Input'!$Z$64,0)*'01_Input'!$AC$64)))))))))</f>
        <v>1392</v>
      </c>
      <c r="W32" s="83">
        <f>IF('01_Input'!$C$64="Non",0,MIN('01_Input'!$I$64,MAX('01_Input'!$H$64,IF('01_Input'!$G$64="Résiduel vs Gestion",0,IF('01_Input'!$G$64="Taux Classe sélectionnée",Distrib_Global_Classe_Selectionnee*W$20,IF('01_Input'!$G$64="Frais KYC (paliers de 100M€)",MAX(0,Nb_Investisseurs-Nb_KYC_Gratuites_Par_Tranche*(FLOOR(W$20/Taille_Tranche_KYC,1)+1))*Cout_Par_KYC_Supplementaire,(IF('01_Input'!$L$64="Forfait",IF(W$20&gt;='01_Input'!$J$64,'01_Input'!$M$64,0),IF('01_Input'!$L$64="Palier",IF(AND(W$20&gt;='01_Input'!$J$64,W$20&lt;'01_Input'!$K$64),'01_Input'!$M$64,0),MAX(MIN(W$20,'01_Input'!$K$64)-'01_Input'!$J$64,0)*'01_Input'!$M$64))+IF('01_Input'!$P$64="Forfait",IF(W$20&gt;='01_Input'!$N$64,'01_Input'!$Q$64,0),IF('01_Input'!$P$64="Palier",IF(AND(W$20&gt;='01_Input'!$N$64,W$20&lt;'01_Input'!$O$64),'01_Input'!$Q$64,0),MAX(MIN(W$20,'01_Input'!$O$64)-'01_Input'!$N$64,0)*'01_Input'!$Q$64))+IF('01_Input'!$T$64="Forfait",IF(W$20&gt;='01_Input'!$R$64,'01_Input'!$U$64,0),IF('01_Input'!$T$64="Palier",IF(AND(W$20&gt;='01_Input'!$R$64,W$20&lt;'01_Input'!$S$64),'01_Input'!$U$64,0),MAX(MIN(W$20,'01_Input'!$S$64)-'01_Input'!$R$64,0)*'01_Input'!$U$64))+IF('01_Input'!$X$64="Forfait",IF(W$20&gt;='01_Input'!$V$64,'01_Input'!$Y$64,0),IF('01_Input'!$X$64="Palier",IF(AND(W$20&gt;='01_Input'!$V$64,W$20&lt;'01_Input'!$W$64),'01_Input'!$Y$64,0),MAX(MIN(W$20,'01_Input'!$W$64)-'01_Input'!$V$64,0)*'01_Input'!$Y$64))+IF('01_Input'!$AB$64="Forfait",IF(W$20&gt;='01_Input'!$Z$64,'01_Input'!$AC$64,0),IF('01_Input'!$AB$64="Palier",IF(AND(W$20&gt;='01_Input'!$Z$64,W$20&lt;'01_Input'!$AA$64),'01_Input'!$AC$64,0),MAX(MIN(W$20,'01_Input'!$AA$64)-'01_Input'!$Z$64,0)*'01_Input'!$AC$64)))))))))</f>
        <v>1392</v>
      </c>
      <c r="X32" s="83">
        <f>IF('01_Input'!$C$64="Non",0,MIN('01_Input'!$I$64,MAX('01_Input'!$H$64,IF('01_Input'!$G$64="Résiduel vs Gestion",0,IF('01_Input'!$G$64="Taux Classe sélectionnée",Distrib_Global_Classe_Selectionnee*X$20,IF('01_Input'!$G$64="Frais KYC (paliers de 100M€)",MAX(0,Nb_Investisseurs-Nb_KYC_Gratuites_Par_Tranche*(FLOOR(X$20/Taille_Tranche_KYC,1)+1))*Cout_Par_KYC_Supplementaire,(IF('01_Input'!$L$64="Forfait",IF(X$20&gt;='01_Input'!$J$64,'01_Input'!$M$64,0),IF('01_Input'!$L$64="Palier",IF(AND(X$20&gt;='01_Input'!$J$64,X$20&lt;'01_Input'!$K$64),'01_Input'!$M$64,0),MAX(MIN(X$20,'01_Input'!$K$64)-'01_Input'!$J$64,0)*'01_Input'!$M$64))+IF('01_Input'!$P$64="Forfait",IF(X$20&gt;='01_Input'!$N$64,'01_Input'!$Q$64,0),IF('01_Input'!$P$64="Palier",IF(AND(X$20&gt;='01_Input'!$N$64,X$20&lt;'01_Input'!$O$64),'01_Input'!$Q$64,0),MAX(MIN(X$20,'01_Input'!$O$64)-'01_Input'!$N$64,0)*'01_Input'!$Q$64))+IF('01_Input'!$T$64="Forfait",IF(X$20&gt;='01_Input'!$R$64,'01_Input'!$U$64,0),IF('01_Input'!$T$64="Palier",IF(AND(X$20&gt;='01_Input'!$R$64,X$20&lt;'01_Input'!$S$64),'01_Input'!$U$64,0),MAX(MIN(X$20,'01_Input'!$S$64)-'01_Input'!$R$64,0)*'01_Input'!$U$64))+IF('01_Input'!$X$64="Forfait",IF(X$20&gt;='01_Input'!$V$64,'01_Input'!$Y$64,0),IF('01_Input'!$X$64="Palier",IF(AND(X$20&gt;='01_Input'!$V$64,X$20&lt;'01_Input'!$W$64),'01_Input'!$Y$64,0),MAX(MIN(X$20,'01_Input'!$W$64)-'01_Input'!$V$64,0)*'01_Input'!$Y$64))+IF('01_Input'!$AB$64="Forfait",IF(X$20&gt;='01_Input'!$Z$64,'01_Input'!$AC$64,0),IF('01_Input'!$AB$64="Palier",IF(AND(X$20&gt;='01_Input'!$Z$64,X$20&lt;'01_Input'!$AA$64),'01_Input'!$AC$64,0),MAX(MIN(X$20,'01_Input'!$AA$64)-'01_Input'!$Z$64,0)*'01_Input'!$AC$64)))))))))</f>
        <v>1392</v>
      </c>
      <c r="Y32" s="83">
        <f>IF('01_Input'!$C$64="Non",0,MIN('01_Input'!$I$64,MAX('01_Input'!$H$64,IF('01_Input'!$G$64="Résiduel vs Gestion",0,IF('01_Input'!$G$64="Taux Classe sélectionnée",Distrib_Global_Classe_Selectionnee*Y$20,IF('01_Input'!$G$64="Frais KYC (paliers de 100M€)",MAX(0,Nb_Investisseurs-Nb_KYC_Gratuites_Par_Tranche*(FLOOR(Y$20/Taille_Tranche_KYC,1)+1))*Cout_Par_KYC_Supplementaire,(IF('01_Input'!$L$64="Forfait",IF(Y$20&gt;='01_Input'!$J$64,'01_Input'!$M$64,0),IF('01_Input'!$L$64="Palier",IF(AND(Y$20&gt;='01_Input'!$J$64,Y$20&lt;'01_Input'!$K$64),'01_Input'!$M$64,0),MAX(MIN(Y$20,'01_Input'!$K$64)-'01_Input'!$J$64,0)*'01_Input'!$M$64))+IF('01_Input'!$P$64="Forfait",IF(Y$20&gt;='01_Input'!$N$64,'01_Input'!$Q$64,0),IF('01_Input'!$P$64="Palier",IF(AND(Y$20&gt;='01_Input'!$N$64,Y$20&lt;'01_Input'!$O$64),'01_Input'!$Q$64,0),MAX(MIN(Y$20,'01_Input'!$O$64)-'01_Input'!$N$64,0)*'01_Input'!$Q$64))+IF('01_Input'!$T$64="Forfait",IF(Y$20&gt;='01_Input'!$R$64,'01_Input'!$U$64,0),IF('01_Input'!$T$64="Palier",IF(AND(Y$20&gt;='01_Input'!$R$64,Y$20&lt;'01_Input'!$S$64),'01_Input'!$U$64,0),MAX(MIN(Y$20,'01_Input'!$S$64)-'01_Input'!$R$64,0)*'01_Input'!$U$64))+IF('01_Input'!$X$64="Forfait",IF(Y$20&gt;='01_Input'!$V$64,'01_Input'!$Y$64,0),IF('01_Input'!$X$64="Palier",IF(AND(Y$20&gt;='01_Input'!$V$64,Y$20&lt;'01_Input'!$W$64),'01_Input'!$Y$64,0),MAX(MIN(Y$20,'01_Input'!$W$64)-'01_Input'!$V$64,0)*'01_Input'!$Y$64))+IF('01_Input'!$AB$64="Forfait",IF(Y$20&gt;='01_Input'!$Z$64,'01_Input'!$AC$64,0),IF('01_Input'!$AB$64="Palier",IF(AND(Y$20&gt;='01_Input'!$Z$64,Y$20&lt;'01_Input'!$AA$64),'01_Input'!$AC$64,0),MAX(MIN(Y$20,'01_Input'!$AA$64)-'01_Input'!$Z$64,0)*'01_Input'!$AC$64)))))))))</f>
        <v>1392</v>
      </c>
      <c r="Z32" s="83">
        <f>IF('01_Input'!$C$64="Non",0,MIN('01_Input'!$I$64,MAX('01_Input'!$H$64,IF('01_Input'!$G$64="Résiduel vs Gestion",0,IF('01_Input'!$G$64="Taux Classe sélectionnée",Distrib_Global_Classe_Selectionnee*Z$20,IF('01_Input'!$G$64="Frais KYC (paliers de 100M€)",MAX(0,Nb_Investisseurs-Nb_KYC_Gratuites_Par_Tranche*(FLOOR(Z$20/Taille_Tranche_KYC,1)+1))*Cout_Par_KYC_Supplementaire,(IF('01_Input'!$L$64="Forfait",IF(Z$20&gt;='01_Input'!$J$64,'01_Input'!$M$64,0),IF('01_Input'!$L$64="Palier",IF(AND(Z$20&gt;='01_Input'!$J$64,Z$20&lt;'01_Input'!$K$64),'01_Input'!$M$64,0),MAX(MIN(Z$20,'01_Input'!$K$64)-'01_Input'!$J$64,0)*'01_Input'!$M$64))+IF('01_Input'!$P$64="Forfait",IF(Z$20&gt;='01_Input'!$N$64,'01_Input'!$Q$64,0),IF('01_Input'!$P$64="Palier",IF(AND(Z$20&gt;='01_Input'!$N$64,Z$20&lt;'01_Input'!$O$64),'01_Input'!$Q$64,0),MAX(MIN(Z$20,'01_Input'!$O$64)-'01_Input'!$N$64,0)*'01_Input'!$Q$64))+IF('01_Input'!$T$64="Forfait",IF(Z$20&gt;='01_Input'!$R$64,'01_Input'!$U$64,0),IF('01_Input'!$T$64="Palier",IF(AND(Z$20&gt;='01_Input'!$R$64,Z$20&lt;'01_Input'!$S$64),'01_Input'!$U$64,0),MAX(MIN(Z$20,'01_Input'!$S$64)-'01_Input'!$R$64,0)*'01_Input'!$U$64))+IF('01_Input'!$X$64="Forfait",IF(Z$20&gt;='01_Input'!$V$64,'01_Input'!$Y$64,0),IF('01_Input'!$X$64="Palier",IF(AND(Z$20&gt;='01_Input'!$V$64,Z$20&lt;'01_Input'!$W$64),'01_Input'!$Y$64,0),MAX(MIN(Z$20,'01_Input'!$W$64)-'01_Input'!$V$64,0)*'01_Input'!$Y$64))+IF('01_Input'!$AB$64="Forfait",IF(Z$20&gt;='01_Input'!$Z$64,'01_Input'!$AC$64,0),IF('01_Input'!$AB$64="Palier",IF(AND(Z$20&gt;='01_Input'!$Z$64,Z$20&lt;'01_Input'!$AA$64),'01_Input'!$AC$64,0),MAX(MIN(Z$20,'01_Input'!$AA$64)-'01_Input'!$Z$64,0)*'01_Input'!$AC$64)))))))))</f>
        <v>1392</v>
      </c>
      <c r="AA32" s="83">
        <f>IF('01_Input'!$C$64="Non",0,MIN('01_Input'!$I$64,MAX('01_Input'!$H$64,IF('01_Input'!$G$64="Résiduel vs Gestion",0,IF('01_Input'!$G$64="Taux Classe sélectionnée",Distrib_Global_Classe_Selectionnee*AA$20,IF('01_Input'!$G$64="Frais KYC (paliers de 100M€)",MAX(0,Nb_Investisseurs-Nb_KYC_Gratuites_Par_Tranche*(FLOOR(AA$20/Taille_Tranche_KYC,1)+1))*Cout_Par_KYC_Supplementaire,(IF('01_Input'!$L$64="Forfait",IF(AA$20&gt;='01_Input'!$J$64,'01_Input'!$M$64,0),IF('01_Input'!$L$64="Palier",IF(AND(AA$20&gt;='01_Input'!$J$64,AA$20&lt;'01_Input'!$K$64),'01_Input'!$M$64,0),MAX(MIN(AA$20,'01_Input'!$K$64)-'01_Input'!$J$64,0)*'01_Input'!$M$64))+IF('01_Input'!$P$64="Forfait",IF(AA$20&gt;='01_Input'!$N$64,'01_Input'!$Q$64,0),IF('01_Input'!$P$64="Palier",IF(AND(AA$20&gt;='01_Input'!$N$64,AA$20&lt;'01_Input'!$O$64),'01_Input'!$Q$64,0),MAX(MIN(AA$20,'01_Input'!$O$64)-'01_Input'!$N$64,0)*'01_Input'!$Q$64))+IF('01_Input'!$T$64="Forfait",IF(AA$20&gt;='01_Input'!$R$64,'01_Input'!$U$64,0),IF('01_Input'!$T$64="Palier",IF(AND(AA$20&gt;='01_Input'!$R$64,AA$20&lt;'01_Input'!$S$64),'01_Input'!$U$64,0),MAX(MIN(AA$20,'01_Input'!$S$64)-'01_Input'!$R$64,0)*'01_Input'!$U$64))+IF('01_Input'!$X$64="Forfait",IF(AA$20&gt;='01_Input'!$V$64,'01_Input'!$Y$64,0),IF('01_Input'!$X$64="Palier",IF(AND(AA$20&gt;='01_Input'!$V$64,AA$20&lt;'01_Input'!$W$64),'01_Input'!$Y$64,0),MAX(MIN(AA$20,'01_Input'!$W$64)-'01_Input'!$V$64,0)*'01_Input'!$Y$64))+IF('01_Input'!$AB$64="Forfait",IF(AA$20&gt;='01_Input'!$Z$64,'01_Input'!$AC$64,0),IF('01_Input'!$AB$64="Palier",IF(AND(AA$20&gt;='01_Input'!$Z$64,AA$20&lt;'01_Input'!$AA$64),'01_Input'!$AC$64,0),MAX(MIN(AA$20,'01_Input'!$AA$64)-'01_Input'!$Z$64,0)*'01_Input'!$AC$64)))))))))</f>
        <v>1392</v>
      </c>
      <c r="AB32" s="83">
        <f>IF('01_Input'!$C$64="Non",0,MIN('01_Input'!$I$64,MAX('01_Input'!$H$64,IF('01_Input'!$G$64="Résiduel vs Gestion",0,IF('01_Input'!$G$64="Taux Classe sélectionnée",Distrib_Global_Classe_Selectionnee*AB$20,IF('01_Input'!$G$64="Frais KYC (paliers de 100M€)",MAX(0,Nb_Investisseurs-Nb_KYC_Gratuites_Par_Tranche*(FLOOR(AB$20/Taille_Tranche_KYC,1)+1))*Cout_Par_KYC_Supplementaire,(IF('01_Input'!$L$64="Forfait",IF(AB$20&gt;='01_Input'!$J$64,'01_Input'!$M$64,0),IF('01_Input'!$L$64="Palier",IF(AND(AB$20&gt;='01_Input'!$J$64,AB$20&lt;'01_Input'!$K$64),'01_Input'!$M$64,0),MAX(MIN(AB$20,'01_Input'!$K$64)-'01_Input'!$J$64,0)*'01_Input'!$M$64))+IF('01_Input'!$P$64="Forfait",IF(AB$20&gt;='01_Input'!$N$64,'01_Input'!$Q$64,0),IF('01_Input'!$P$64="Palier",IF(AND(AB$20&gt;='01_Input'!$N$64,AB$20&lt;'01_Input'!$O$64),'01_Input'!$Q$64,0),MAX(MIN(AB$20,'01_Input'!$O$64)-'01_Input'!$N$64,0)*'01_Input'!$Q$64))+IF('01_Input'!$T$64="Forfait",IF(AB$20&gt;='01_Input'!$R$64,'01_Input'!$U$64,0),IF('01_Input'!$T$64="Palier",IF(AND(AB$20&gt;='01_Input'!$R$64,AB$20&lt;'01_Input'!$S$64),'01_Input'!$U$64,0),MAX(MIN(AB$20,'01_Input'!$S$64)-'01_Input'!$R$64,0)*'01_Input'!$U$64))+IF('01_Input'!$X$64="Forfait",IF(AB$20&gt;='01_Input'!$V$64,'01_Input'!$Y$64,0),IF('01_Input'!$X$64="Palier",IF(AND(AB$20&gt;='01_Input'!$V$64,AB$20&lt;'01_Input'!$W$64),'01_Input'!$Y$64,0),MAX(MIN(AB$20,'01_Input'!$W$64)-'01_Input'!$V$64,0)*'01_Input'!$Y$64))+IF('01_Input'!$AB$64="Forfait",IF(AB$20&gt;='01_Input'!$Z$64,'01_Input'!$AC$64,0),IF('01_Input'!$AB$64="Palier",IF(AND(AB$20&gt;='01_Input'!$Z$64,AB$20&lt;'01_Input'!$AA$64),'01_Input'!$AC$64,0),MAX(MIN(AB$20,'01_Input'!$AA$64)-'01_Input'!$Z$64,0)*'01_Input'!$AC$64)))))))))</f>
        <v>1392</v>
      </c>
      <c r="AC32" s="83">
        <f>IF('01_Input'!$C$64="Non",0,MIN('01_Input'!$I$64,MAX('01_Input'!$H$64,IF('01_Input'!$G$64="Résiduel vs Gestion",0,IF('01_Input'!$G$64="Taux Classe sélectionnée",Distrib_Global_Classe_Selectionnee*AC$20,IF('01_Input'!$G$64="Frais KYC (paliers de 100M€)",MAX(0,Nb_Investisseurs-Nb_KYC_Gratuites_Par_Tranche*(FLOOR(AC$20/Taille_Tranche_KYC,1)+1))*Cout_Par_KYC_Supplementaire,(IF('01_Input'!$L$64="Forfait",IF(AC$20&gt;='01_Input'!$J$64,'01_Input'!$M$64,0),IF('01_Input'!$L$64="Palier",IF(AND(AC$20&gt;='01_Input'!$J$64,AC$20&lt;'01_Input'!$K$64),'01_Input'!$M$64,0),MAX(MIN(AC$20,'01_Input'!$K$64)-'01_Input'!$J$64,0)*'01_Input'!$M$64))+IF('01_Input'!$P$64="Forfait",IF(AC$20&gt;='01_Input'!$N$64,'01_Input'!$Q$64,0),IF('01_Input'!$P$64="Palier",IF(AND(AC$20&gt;='01_Input'!$N$64,AC$20&lt;'01_Input'!$O$64),'01_Input'!$Q$64,0),MAX(MIN(AC$20,'01_Input'!$O$64)-'01_Input'!$N$64,0)*'01_Input'!$Q$64))+IF('01_Input'!$T$64="Forfait",IF(AC$20&gt;='01_Input'!$R$64,'01_Input'!$U$64,0),IF('01_Input'!$T$64="Palier",IF(AND(AC$20&gt;='01_Input'!$R$64,AC$20&lt;'01_Input'!$S$64),'01_Input'!$U$64,0),MAX(MIN(AC$20,'01_Input'!$S$64)-'01_Input'!$R$64,0)*'01_Input'!$U$64))+IF('01_Input'!$X$64="Forfait",IF(AC$20&gt;='01_Input'!$V$64,'01_Input'!$Y$64,0),IF('01_Input'!$X$64="Palier",IF(AND(AC$20&gt;='01_Input'!$V$64,AC$20&lt;'01_Input'!$W$64),'01_Input'!$Y$64,0),MAX(MIN(AC$20,'01_Input'!$W$64)-'01_Input'!$V$64,0)*'01_Input'!$Y$64))+IF('01_Input'!$AB$64="Forfait",IF(AC$20&gt;='01_Input'!$Z$64,'01_Input'!$AC$64,0),IF('01_Input'!$AB$64="Palier",IF(AND(AC$20&gt;='01_Input'!$Z$64,AC$20&lt;'01_Input'!$AA$64),'01_Input'!$AC$64,0),MAX(MIN(AC$20,'01_Input'!$AA$64)-'01_Input'!$Z$64,0)*'01_Input'!$AC$64)))))))))</f>
        <v>1392</v>
      </c>
      <c r="AD32" s="83">
        <f>IF('01_Input'!$C$64="Non",0,MIN('01_Input'!$I$64,MAX('01_Input'!$H$64,IF('01_Input'!$G$64="Résiduel vs Gestion",0,IF('01_Input'!$G$64="Taux Classe sélectionnée",Distrib_Global_Classe_Selectionnee*AD$20,IF('01_Input'!$G$64="Frais KYC (paliers de 100M€)",MAX(0,Nb_Investisseurs-Nb_KYC_Gratuites_Par_Tranche*(FLOOR(AD$20/Taille_Tranche_KYC,1)+1))*Cout_Par_KYC_Supplementaire,(IF('01_Input'!$L$64="Forfait",IF(AD$20&gt;='01_Input'!$J$64,'01_Input'!$M$64,0),IF('01_Input'!$L$64="Palier",IF(AND(AD$20&gt;='01_Input'!$J$64,AD$20&lt;'01_Input'!$K$64),'01_Input'!$M$64,0),MAX(MIN(AD$20,'01_Input'!$K$64)-'01_Input'!$J$64,0)*'01_Input'!$M$64))+IF('01_Input'!$P$64="Forfait",IF(AD$20&gt;='01_Input'!$N$64,'01_Input'!$Q$64,0),IF('01_Input'!$P$64="Palier",IF(AND(AD$20&gt;='01_Input'!$N$64,AD$20&lt;'01_Input'!$O$64),'01_Input'!$Q$64,0),MAX(MIN(AD$20,'01_Input'!$O$64)-'01_Input'!$N$64,0)*'01_Input'!$Q$64))+IF('01_Input'!$T$64="Forfait",IF(AD$20&gt;='01_Input'!$R$64,'01_Input'!$U$64,0),IF('01_Input'!$T$64="Palier",IF(AND(AD$20&gt;='01_Input'!$R$64,AD$20&lt;'01_Input'!$S$64),'01_Input'!$U$64,0),MAX(MIN(AD$20,'01_Input'!$S$64)-'01_Input'!$R$64,0)*'01_Input'!$U$64))+IF('01_Input'!$X$64="Forfait",IF(AD$20&gt;='01_Input'!$V$64,'01_Input'!$Y$64,0),IF('01_Input'!$X$64="Palier",IF(AND(AD$20&gt;='01_Input'!$V$64,AD$20&lt;'01_Input'!$W$64),'01_Input'!$Y$64,0),MAX(MIN(AD$20,'01_Input'!$W$64)-'01_Input'!$V$64,0)*'01_Input'!$Y$64))+IF('01_Input'!$AB$64="Forfait",IF(AD$20&gt;='01_Input'!$Z$64,'01_Input'!$AC$64,0),IF('01_Input'!$AB$64="Palier",IF(AND(AD$20&gt;='01_Input'!$Z$64,AD$20&lt;'01_Input'!$AA$64),'01_Input'!$AC$64,0),MAX(MIN(AD$20,'01_Input'!$AA$64)-'01_Input'!$Z$64,0)*'01_Input'!$AC$64)))))))))</f>
        <v>1392</v>
      </c>
      <c r="AE32" s="83">
        <f>IF('01_Input'!$C$64="Non",0,MIN('01_Input'!$I$64,MAX('01_Input'!$H$64,IF('01_Input'!$G$64="Résiduel vs Gestion",0,IF('01_Input'!$G$64="Taux Classe sélectionnée",Distrib_Global_Classe_Selectionnee*AE$20,IF('01_Input'!$G$64="Frais KYC (paliers de 100M€)",MAX(0,Nb_Investisseurs-Nb_KYC_Gratuites_Par_Tranche*(FLOOR(AE$20/Taille_Tranche_KYC,1)+1))*Cout_Par_KYC_Supplementaire,(IF('01_Input'!$L$64="Forfait",IF(AE$20&gt;='01_Input'!$J$64,'01_Input'!$M$64,0),IF('01_Input'!$L$64="Palier",IF(AND(AE$20&gt;='01_Input'!$J$64,AE$20&lt;'01_Input'!$K$64),'01_Input'!$M$64,0),MAX(MIN(AE$20,'01_Input'!$K$64)-'01_Input'!$J$64,0)*'01_Input'!$M$64))+IF('01_Input'!$P$64="Forfait",IF(AE$20&gt;='01_Input'!$N$64,'01_Input'!$Q$64,0),IF('01_Input'!$P$64="Palier",IF(AND(AE$20&gt;='01_Input'!$N$64,AE$20&lt;'01_Input'!$O$64),'01_Input'!$Q$64,0),MAX(MIN(AE$20,'01_Input'!$O$64)-'01_Input'!$N$64,0)*'01_Input'!$Q$64))+IF('01_Input'!$T$64="Forfait",IF(AE$20&gt;='01_Input'!$R$64,'01_Input'!$U$64,0),IF('01_Input'!$T$64="Palier",IF(AND(AE$20&gt;='01_Input'!$R$64,AE$20&lt;'01_Input'!$S$64),'01_Input'!$U$64,0),MAX(MIN(AE$20,'01_Input'!$S$64)-'01_Input'!$R$64,0)*'01_Input'!$U$64))+IF('01_Input'!$X$64="Forfait",IF(AE$20&gt;='01_Input'!$V$64,'01_Input'!$Y$64,0),IF('01_Input'!$X$64="Palier",IF(AND(AE$20&gt;='01_Input'!$V$64,AE$20&lt;'01_Input'!$W$64),'01_Input'!$Y$64,0),MAX(MIN(AE$20,'01_Input'!$W$64)-'01_Input'!$V$64,0)*'01_Input'!$Y$64))+IF('01_Input'!$AB$64="Forfait",IF(AE$20&gt;='01_Input'!$Z$64,'01_Input'!$AC$64,0),IF('01_Input'!$AB$64="Palier",IF(AND(AE$20&gt;='01_Input'!$Z$64,AE$20&lt;'01_Input'!$AA$64),'01_Input'!$AC$64,0),MAX(MIN(AE$20,'01_Input'!$AA$64)-'01_Input'!$Z$64,0)*'01_Input'!$AC$64)))))))))</f>
        <v>1392</v>
      </c>
      <c r="AF32" s="83">
        <f>IF('01_Input'!$C$64="Non",0,MIN('01_Input'!$I$64,MAX('01_Input'!$H$64,IF('01_Input'!$G$64="Résiduel vs Gestion",0,IF('01_Input'!$G$64="Taux Classe sélectionnée",Distrib_Global_Classe_Selectionnee*AF$20,IF('01_Input'!$G$64="Frais KYC (paliers de 100M€)",MAX(0,Nb_Investisseurs-Nb_KYC_Gratuites_Par_Tranche*(FLOOR(AF$20/Taille_Tranche_KYC,1)+1))*Cout_Par_KYC_Supplementaire,(IF('01_Input'!$L$64="Forfait",IF(AF$20&gt;='01_Input'!$J$64,'01_Input'!$M$64,0),IF('01_Input'!$L$64="Palier",IF(AND(AF$20&gt;='01_Input'!$J$64,AF$20&lt;'01_Input'!$K$64),'01_Input'!$M$64,0),MAX(MIN(AF$20,'01_Input'!$K$64)-'01_Input'!$J$64,0)*'01_Input'!$M$64))+IF('01_Input'!$P$64="Forfait",IF(AF$20&gt;='01_Input'!$N$64,'01_Input'!$Q$64,0),IF('01_Input'!$P$64="Palier",IF(AND(AF$20&gt;='01_Input'!$N$64,AF$20&lt;'01_Input'!$O$64),'01_Input'!$Q$64,0),MAX(MIN(AF$20,'01_Input'!$O$64)-'01_Input'!$N$64,0)*'01_Input'!$Q$64))+IF('01_Input'!$T$64="Forfait",IF(AF$20&gt;='01_Input'!$R$64,'01_Input'!$U$64,0),IF('01_Input'!$T$64="Palier",IF(AND(AF$20&gt;='01_Input'!$R$64,AF$20&lt;'01_Input'!$S$64),'01_Input'!$U$64,0),MAX(MIN(AF$20,'01_Input'!$S$64)-'01_Input'!$R$64,0)*'01_Input'!$U$64))+IF('01_Input'!$X$64="Forfait",IF(AF$20&gt;='01_Input'!$V$64,'01_Input'!$Y$64,0),IF('01_Input'!$X$64="Palier",IF(AND(AF$20&gt;='01_Input'!$V$64,AF$20&lt;'01_Input'!$W$64),'01_Input'!$Y$64,0),MAX(MIN(AF$20,'01_Input'!$W$64)-'01_Input'!$V$64,0)*'01_Input'!$Y$64))+IF('01_Input'!$AB$64="Forfait",IF(AF$20&gt;='01_Input'!$Z$64,'01_Input'!$AC$64,0),IF('01_Input'!$AB$64="Palier",IF(AND(AF$20&gt;='01_Input'!$Z$64,AF$20&lt;'01_Input'!$AA$64),'01_Input'!$AC$64,0),MAX(MIN(AF$20,'01_Input'!$AA$64)-'01_Input'!$Z$64,0)*'01_Input'!$AC$64)))))))))</f>
        <v>1392</v>
      </c>
      <c r="AG32" s="83">
        <f>IF('01_Input'!$C$64="Non",0,MIN('01_Input'!$I$64,MAX('01_Input'!$H$64,IF('01_Input'!$G$64="Résiduel vs Gestion",0,IF('01_Input'!$G$64="Taux Classe sélectionnée",Distrib_Global_Classe_Selectionnee*AG$20,IF('01_Input'!$G$64="Frais KYC (paliers de 100M€)",MAX(0,Nb_Investisseurs-Nb_KYC_Gratuites_Par_Tranche*(FLOOR(AG$20/Taille_Tranche_KYC,1)+1))*Cout_Par_KYC_Supplementaire,(IF('01_Input'!$L$64="Forfait",IF(AG$20&gt;='01_Input'!$J$64,'01_Input'!$M$64,0),IF('01_Input'!$L$64="Palier",IF(AND(AG$20&gt;='01_Input'!$J$64,AG$20&lt;'01_Input'!$K$64),'01_Input'!$M$64,0),MAX(MIN(AG$20,'01_Input'!$K$64)-'01_Input'!$J$64,0)*'01_Input'!$M$64))+IF('01_Input'!$P$64="Forfait",IF(AG$20&gt;='01_Input'!$N$64,'01_Input'!$Q$64,0),IF('01_Input'!$P$64="Palier",IF(AND(AG$20&gt;='01_Input'!$N$64,AG$20&lt;'01_Input'!$O$64),'01_Input'!$Q$64,0),MAX(MIN(AG$20,'01_Input'!$O$64)-'01_Input'!$N$64,0)*'01_Input'!$Q$64))+IF('01_Input'!$T$64="Forfait",IF(AG$20&gt;='01_Input'!$R$64,'01_Input'!$U$64,0),IF('01_Input'!$T$64="Palier",IF(AND(AG$20&gt;='01_Input'!$R$64,AG$20&lt;'01_Input'!$S$64),'01_Input'!$U$64,0),MAX(MIN(AG$20,'01_Input'!$S$64)-'01_Input'!$R$64,0)*'01_Input'!$U$64))+IF('01_Input'!$X$64="Forfait",IF(AG$20&gt;='01_Input'!$V$64,'01_Input'!$Y$64,0),IF('01_Input'!$X$64="Palier",IF(AND(AG$20&gt;='01_Input'!$V$64,AG$20&lt;'01_Input'!$W$64),'01_Input'!$Y$64,0),MAX(MIN(AG$20,'01_Input'!$W$64)-'01_Input'!$V$64,0)*'01_Input'!$Y$64))+IF('01_Input'!$AB$64="Forfait",IF(AG$20&gt;='01_Input'!$Z$64,'01_Input'!$AC$64,0),IF('01_Input'!$AB$64="Palier",IF(AND(AG$20&gt;='01_Input'!$Z$64,AG$20&lt;'01_Input'!$AA$64),'01_Input'!$AC$64,0),MAX(MIN(AG$20,'01_Input'!$AA$64)-'01_Input'!$Z$64,0)*'01_Input'!$AC$64)))))))))</f>
        <v>1392</v>
      </c>
      <c r="AH32" s="83">
        <f>IF('01_Input'!$C$64="Non",0,MIN('01_Input'!$I$64,MAX('01_Input'!$H$64,IF('01_Input'!$G$64="Résiduel vs Gestion",0,IF('01_Input'!$G$64="Taux Classe sélectionnée",Distrib_Global_Classe_Selectionnee*AH$20,IF('01_Input'!$G$64="Frais KYC (paliers de 100M€)",MAX(0,Nb_Investisseurs-Nb_KYC_Gratuites_Par_Tranche*(FLOOR(AH$20/Taille_Tranche_KYC,1)+1))*Cout_Par_KYC_Supplementaire,(IF('01_Input'!$L$64="Forfait",IF(AH$20&gt;='01_Input'!$J$64,'01_Input'!$M$64,0),IF('01_Input'!$L$64="Palier",IF(AND(AH$20&gt;='01_Input'!$J$64,AH$20&lt;'01_Input'!$K$64),'01_Input'!$M$64,0),MAX(MIN(AH$20,'01_Input'!$K$64)-'01_Input'!$J$64,0)*'01_Input'!$M$64))+IF('01_Input'!$P$64="Forfait",IF(AH$20&gt;='01_Input'!$N$64,'01_Input'!$Q$64,0),IF('01_Input'!$P$64="Palier",IF(AND(AH$20&gt;='01_Input'!$N$64,AH$20&lt;'01_Input'!$O$64),'01_Input'!$Q$64,0),MAX(MIN(AH$20,'01_Input'!$O$64)-'01_Input'!$N$64,0)*'01_Input'!$Q$64))+IF('01_Input'!$T$64="Forfait",IF(AH$20&gt;='01_Input'!$R$64,'01_Input'!$U$64,0),IF('01_Input'!$T$64="Palier",IF(AND(AH$20&gt;='01_Input'!$R$64,AH$20&lt;'01_Input'!$S$64),'01_Input'!$U$64,0),MAX(MIN(AH$20,'01_Input'!$S$64)-'01_Input'!$R$64,0)*'01_Input'!$U$64))+IF('01_Input'!$X$64="Forfait",IF(AH$20&gt;='01_Input'!$V$64,'01_Input'!$Y$64,0),IF('01_Input'!$X$64="Palier",IF(AND(AH$20&gt;='01_Input'!$V$64,AH$20&lt;'01_Input'!$W$64),'01_Input'!$Y$64,0),MAX(MIN(AH$20,'01_Input'!$W$64)-'01_Input'!$V$64,0)*'01_Input'!$Y$64))+IF('01_Input'!$AB$64="Forfait",IF(AH$20&gt;='01_Input'!$Z$64,'01_Input'!$AC$64,0),IF('01_Input'!$AB$64="Palier",IF(AND(AH$20&gt;='01_Input'!$Z$64,AH$20&lt;'01_Input'!$AA$64),'01_Input'!$AC$64,0),MAX(MIN(AH$20,'01_Input'!$AA$64)-'01_Input'!$Z$64,0)*'01_Input'!$AC$64)))))))))</f>
        <v>1392</v>
      </c>
      <c r="AI32" s="83">
        <f>IF('01_Input'!$C$64="Non",0,MIN('01_Input'!$I$64,MAX('01_Input'!$H$64,IF('01_Input'!$G$64="Résiduel vs Gestion",0,IF('01_Input'!$G$64="Taux Classe sélectionnée",Distrib_Global_Classe_Selectionnee*AI$20,IF('01_Input'!$G$64="Frais KYC (paliers de 100M€)",MAX(0,Nb_Investisseurs-Nb_KYC_Gratuites_Par_Tranche*(FLOOR(AI$20/Taille_Tranche_KYC,1)+1))*Cout_Par_KYC_Supplementaire,(IF('01_Input'!$L$64="Forfait",IF(AI$20&gt;='01_Input'!$J$64,'01_Input'!$M$64,0),IF('01_Input'!$L$64="Palier",IF(AND(AI$20&gt;='01_Input'!$J$64,AI$20&lt;'01_Input'!$K$64),'01_Input'!$M$64,0),MAX(MIN(AI$20,'01_Input'!$K$64)-'01_Input'!$J$64,0)*'01_Input'!$M$64))+IF('01_Input'!$P$64="Forfait",IF(AI$20&gt;='01_Input'!$N$64,'01_Input'!$Q$64,0),IF('01_Input'!$P$64="Palier",IF(AND(AI$20&gt;='01_Input'!$N$64,AI$20&lt;'01_Input'!$O$64),'01_Input'!$Q$64,0),MAX(MIN(AI$20,'01_Input'!$O$64)-'01_Input'!$N$64,0)*'01_Input'!$Q$64))+IF('01_Input'!$T$64="Forfait",IF(AI$20&gt;='01_Input'!$R$64,'01_Input'!$U$64,0),IF('01_Input'!$T$64="Palier",IF(AND(AI$20&gt;='01_Input'!$R$64,AI$20&lt;'01_Input'!$S$64),'01_Input'!$U$64,0),MAX(MIN(AI$20,'01_Input'!$S$64)-'01_Input'!$R$64,0)*'01_Input'!$U$64))+IF('01_Input'!$X$64="Forfait",IF(AI$20&gt;='01_Input'!$V$64,'01_Input'!$Y$64,0),IF('01_Input'!$X$64="Palier",IF(AND(AI$20&gt;='01_Input'!$V$64,AI$20&lt;'01_Input'!$W$64),'01_Input'!$Y$64,0),MAX(MIN(AI$20,'01_Input'!$W$64)-'01_Input'!$V$64,0)*'01_Input'!$Y$64))+IF('01_Input'!$AB$64="Forfait",IF(AI$20&gt;='01_Input'!$Z$64,'01_Input'!$AC$64,0),IF('01_Input'!$AB$64="Palier",IF(AND(AI$20&gt;='01_Input'!$Z$64,AI$20&lt;'01_Input'!$AA$64),'01_Input'!$AC$64,0),MAX(MIN(AI$20,'01_Input'!$AA$64)-'01_Input'!$Z$64,0)*'01_Input'!$AC$64)))))))))</f>
        <v>1392</v>
      </c>
      <c r="AJ32" s="83">
        <f>IF('01_Input'!$C$64="Non",0,MIN('01_Input'!$I$64,MAX('01_Input'!$H$64,IF('01_Input'!$G$64="Résiduel vs Gestion",0,IF('01_Input'!$G$64="Taux Classe sélectionnée",Distrib_Global_Classe_Selectionnee*AJ$20,IF('01_Input'!$G$64="Frais KYC (paliers de 100M€)",MAX(0,Nb_Investisseurs-Nb_KYC_Gratuites_Par_Tranche*(FLOOR(AJ$20/Taille_Tranche_KYC,1)+1))*Cout_Par_KYC_Supplementaire,(IF('01_Input'!$L$64="Forfait",IF(AJ$20&gt;='01_Input'!$J$64,'01_Input'!$M$64,0),IF('01_Input'!$L$64="Palier",IF(AND(AJ$20&gt;='01_Input'!$J$64,AJ$20&lt;'01_Input'!$K$64),'01_Input'!$M$64,0),MAX(MIN(AJ$20,'01_Input'!$K$64)-'01_Input'!$J$64,0)*'01_Input'!$M$64))+IF('01_Input'!$P$64="Forfait",IF(AJ$20&gt;='01_Input'!$N$64,'01_Input'!$Q$64,0),IF('01_Input'!$P$64="Palier",IF(AND(AJ$20&gt;='01_Input'!$N$64,AJ$20&lt;'01_Input'!$O$64),'01_Input'!$Q$64,0),MAX(MIN(AJ$20,'01_Input'!$O$64)-'01_Input'!$N$64,0)*'01_Input'!$Q$64))+IF('01_Input'!$T$64="Forfait",IF(AJ$20&gt;='01_Input'!$R$64,'01_Input'!$U$64,0),IF('01_Input'!$T$64="Palier",IF(AND(AJ$20&gt;='01_Input'!$R$64,AJ$20&lt;'01_Input'!$S$64),'01_Input'!$U$64,0),MAX(MIN(AJ$20,'01_Input'!$S$64)-'01_Input'!$R$64,0)*'01_Input'!$U$64))+IF('01_Input'!$X$64="Forfait",IF(AJ$20&gt;='01_Input'!$V$64,'01_Input'!$Y$64,0),IF('01_Input'!$X$64="Palier",IF(AND(AJ$20&gt;='01_Input'!$V$64,AJ$20&lt;'01_Input'!$W$64),'01_Input'!$Y$64,0),MAX(MIN(AJ$20,'01_Input'!$W$64)-'01_Input'!$V$64,0)*'01_Input'!$Y$64))+IF('01_Input'!$AB$64="Forfait",IF(AJ$20&gt;='01_Input'!$Z$64,'01_Input'!$AC$64,0),IF('01_Input'!$AB$64="Palier",IF(AND(AJ$20&gt;='01_Input'!$Z$64,AJ$20&lt;'01_Input'!$AA$64),'01_Input'!$AC$64,0),MAX(MIN(AJ$20,'01_Input'!$AA$64)-'01_Input'!$Z$64,0)*'01_Input'!$AC$64)))))))))</f>
        <v>1392</v>
      </c>
      <c r="AK32" s="83">
        <f>IF('01_Input'!$C$64="Non",0,MIN('01_Input'!$I$64,MAX('01_Input'!$H$64,IF('01_Input'!$G$64="Résiduel vs Gestion",0,IF('01_Input'!$G$64="Taux Classe sélectionnée",Distrib_Global_Classe_Selectionnee*AK$20,IF('01_Input'!$G$64="Frais KYC (paliers de 100M€)",MAX(0,Nb_Investisseurs-Nb_KYC_Gratuites_Par_Tranche*(FLOOR(AK$20/Taille_Tranche_KYC,1)+1))*Cout_Par_KYC_Supplementaire,(IF('01_Input'!$L$64="Forfait",IF(AK$20&gt;='01_Input'!$J$64,'01_Input'!$M$64,0),IF('01_Input'!$L$64="Palier",IF(AND(AK$20&gt;='01_Input'!$J$64,AK$20&lt;'01_Input'!$K$64),'01_Input'!$M$64,0),MAX(MIN(AK$20,'01_Input'!$K$64)-'01_Input'!$J$64,0)*'01_Input'!$M$64))+IF('01_Input'!$P$64="Forfait",IF(AK$20&gt;='01_Input'!$N$64,'01_Input'!$Q$64,0),IF('01_Input'!$P$64="Palier",IF(AND(AK$20&gt;='01_Input'!$N$64,AK$20&lt;'01_Input'!$O$64),'01_Input'!$Q$64,0),MAX(MIN(AK$20,'01_Input'!$O$64)-'01_Input'!$N$64,0)*'01_Input'!$Q$64))+IF('01_Input'!$T$64="Forfait",IF(AK$20&gt;='01_Input'!$R$64,'01_Input'!$U$64,0),IF('01_Input'!$T$64="Palier",IF(AND(AK$20&gt;='01_Input'!$R$64,AK$20&lt;'01_Input'!$S$64),'01_Input'!$U$64,0),MAX(MIN(AK$20,'01_Input'!$S$64)-'01_Input'!$R$64,0)*'01_Input'!$U$64))+IF('01_Input'!$X$64="Forfait",IF(AK$20&gt;='01_Input'!$V$64,'01_Input'!$Y$64,0),IF('01_Input'!$X$64="Palier",IF(AND(AK$20&gt;='01_Input'!$V$64,AK$20&lt;'01_Input'!$W$64),'01_Input'!$Y$64,0),MAX(MIN(AK$20,'01_Input'!$W$64)-'01_Input'!$V$64,0)*'01_Input'!$Y$64))+IF('01_Input'!$AB$64="Forfait",IF(AK$20&gt;='01_Input'!$Z$64,'01_Input'!$AC$64,0),IF('01_Input'!$AB$64="Palier",IF(AND(AK$20&gt;='01_Input'!$Z$64,AK$20&lt;'01_Input'!$AA$64),'01_Input'!$AC$64,0),MAX(MIN(AK$20,'01_Input'!$AA$64)-'01_Input'!$Z$64,0)*'01_Input'!$AC$64)))))))))</f>
        <v>1392</v>
      </c>
      <c r="AL32" s="83">
        <f>IF('01_Input'!$C$64="Non",0,MIN('01_Input'!$I$64,MAX('01_Input'!$H$64,IF('01_Input'!$G$64="Résiduel vs Gestion",0,IF('01_Input'!$G$64="Taux Classe sélectionnée",Distrib_Global_Classe_Selectionnee*AL$20,IF('01_Input'!$G$64="Frais KYC (paliers de 100M€)",MAX(0,Nb_Investisseurs-Nb_KYC_Gratuites_Par_Tranche*(FLOOR(AL$20/Taille_Tranche_KYC,1)+1))*Cout_Par_KYC_Supplementaire,(IF('01_Input'!$L$64="Forfait",IF(AL$20&gt;='01_Input'!$J$64,'01_Input'!$M$64,0),IF('01_Input'!$L$64="Palier",IF(AND(AL$20&gt;='01_Input'!$J$64,AL$20&lt;'01_Input'!$K$64),'01_Input'!$M$64,0),MAX(MIN(AL$20,'01_Input'!$K$64)-'01_Input'!$J$64,0)*'01_Input'!$M$64))+IF('01_Input'!$P$64="Forfait",IF(AL$20&gt;='01_Input'!$N$64,'01_Input'!$Q$64,0),IF('01_Input'!$P$64="Palier",IF(AND(AL$20&gt;='01_Input'!$N$64,AL$20&lt;'01_Input'!$O$64),'01_Input'!$Q$64,0),MAX(MIN(AL$20,'01_Input'!$O$64)-'01_Input'!$N$64,0)*'01_Input'!$Q$64))+IF('01_Input'!$T$64="Forfait",IF(AL$20&gt;='01_Input'!$R$64,'01_Input'!$U$64,0),IF('01_Input'!$T$64="Palier",IF(AND(AL$20&gt;='01_Input'!$R$64,AL$20&lt;'01_Input'!$S$64),'01_Input'!$U$64,0),MAX(MIN(AL$20,'01_Input'!$S$64)-'01_Input'!$R$64,0)*'01_Input'!$U$64))+IF('01_Input'!$X$64="Forfait",IF(AL$20&gt;='01_Input'!$V$64,'01_Input'!$Y$64,0),IF('01_Input'!$X$64="Palier",IF(AND(AL$20&gt;='01_Input'!$V$64,AL$20&lt;'01_Input'!$W$64),'01_Input'!$Y$64,0),MAX(MIN(AL$20,'01_Input'!$W$64)-'01_Input'!$V$64,0)*'01_Input'!$Y$64))+IF('01_Input'!$AB$64="Forfait",IF(AL$20&gt;='01_Input'!$Z$64,'01_Input'!$AC$64,0),IF('01_Input'!$AB$64="Palier",IF(AND(AL$20&gt;='01_Input'!$Z$64,AL$20&lt;'01_Input'!$AA$64),'01_Input'!$AC$64,0),MAX(MIN(AL$20,'01_Input'!$AA$64)-'01_Input'!$Z$64,0)*'01_Input'!$AC$64)))))))))</f>
        <v>1392</v>
      </c>
      <c r="AM32" s="83">
        <f>IF('01_Input'!$C$64="Non",0,MIN('01_Input'!$I$64,MAX('01_Input'!$H$64,IF('01_Input'!$G$64="Résiduel vs Gestion",0,IF('01_Input'!$G$64="Taux Classe sélectionnée",Distrib_Global_Classe_Selectionnee*AM$20,IF('01_Input'!$G$64="Frais KYC (paliers de 100M€)",MAX(0,Nb_Investisseurs-Nb_KYC_Gratuites_Par_Tranche*(FLOOR(AM$20/Taille_Tranche_KYC,1)+1))*Cout_Par_KYC_Supplementaire,(IF('01_Input'!$L$64="Forfait",IF(AM$20&gt;='01_Input'!$J$64,'01_Input'!$M$64,0),IF('01_Input'!$L$64="Palier",IF(AND(AM$20&gt;='01_Input'!$J$64,AM$20&lt;'01_Input'!$K$64),'01_Input'!$M$64,0),MAX(MIN(AM$20,'01_Input'!$K$64)-'01_Input'!$J$64,0)*'01_Input'!$M$64))+IF('01_Input'!$P$64="Forfait",IF(AM$20&gt;='01_Input'!$N$64,'01_Input'!$Q$64,0),IF('01_Input'!$P$64="Palier",IF(AND(AM$20&gt;='01_Input'!$N$64,AM$20&lt;'01_Input'!$O$64),'01_Input'!$Q$64,0),MAX(MIN(AM$20,'01_Input'!$O$64)-'01_Input'!$N$64,0)*'01_Input'!$Q$64))+IF('01_Input'!$T$64="Forfait",IF(AM$20&gt;='01_Input'!$R$64,'01_Input'!$U$64,0),IF('01_Input'!$T$64="Palier",IF(AND(AM$20&gt;='01_Input'!$R$64,AM$20&lt;'01_Input'!$S$64),'01_Input'!$U$64,0),MAX(MIN(AM$20,'01_Input'!$S$64)-'01_Input'!$R$64,0)*'01_Input'!$U$64))+IF('01_Input'!$X$64="Forfait",IF(AM$20&gt;='01_Input'!$V$64,'01_Input'!$Y$64,0),IF('01_Input'!$X$64="Palier",IF(AND(AM$20&gt;='01_Input'!$V$64,AM$20&lt;'01_Input'!$W$64),'01_Input'!$Y$64,0),MAX(MIN(AM$20,'01_Input'!$W$64)-'01_Input'!$V$64,0)*'01_Input'!$Y$64))+IF('01_Input'!$AB$64="Forfait",IF(AM$20&gt;='01_Input'!$Z$64,'01_Input'!$AC$64,0),IF('01_Input'!$AB$64="Palier",IF(AND(AM$20&gt;='01_Input'!$Z$64,AM$20&lt;'01_Input'!$AA$64),'01_Input'!$AC$64,0),MAX(MIN(AM$20,'01_Input'!$AA$64)-'01_Input'!$Z$64,0)*'01_Input'!$AC$64)))))))))</f>
        <v>1392</v>
      </c>
      <c r="AN32" s="83">
        <f>IF('01_Input'!$C$64="Non",0,MIN('01_Input'!$I$64,MAX('01_Input'!$H$64,IF('01_Input'!$G$64="Résiduel vs Gestion",0,IF('01_Input'!$G$64="Taux Classe sélectionnée",Distrib_Global_Classe_Selectionnee*AN$20,IF('01_Input'!$G$64="Frais KYC (paliers de 100M€)",MAX(0,Nb_Investisseurs-Nb_KYC_Gratuites_Par_Tranche*(FLOOR(AN$20/Taille_Tranche_KYC,1)+1))*Cout_Par_KYC_Supplementaire,(IF('01_Input'!$L$64="Forfait",IF(AN$20&gt;='01_Input'!$J$64,'01_Input'!$M$64,0),IF('01_Input'!$L$64="Palier",IF(AND(AN$20&gt;='01_Input'!$J$64,AN$20&lt;'01_Input'!$K$64),'01_Input'!$M$64,0),MAX(MIN(AN$20,'01_Input'!$K$64)-'01_Input'!$J$64,0)*'01_Input'!$M$64))+IF('01_Input'!$P$64="Forfait",IF(AN$20&gt;='01_Input'!$N$64,'01_Input'!$Q$64,0),IF('01_Input'!$P$64="Palier",IF(AND(AN$20&gt;='01_Input'!$N$64,AN$20&lt;'01_Input'!$O$64),'01_Input'!$Q$64,0),MAX(MIN(AN$20,'01_Input'!$O$64)-'01_Input'!$N$64,0)*'01_Input'!$Q$64))+IF('01_Input'!$T$64="Forfait",IF(AN$20&gt;='01_Input'!$R$64,'01_Input'!$U$64,0),IF('01_Input'!$T$64="Palier",IF(AND(AN$20&gt;='01_Input'!$R$64,AN$20&lt;'01_Input'!$S$64),'01_Input'!$U$64,0),MAX(MIN(AN$20,'01_Input'!$S$64)-'01_Input'!$R$64,0)*'01_Input'!$U$64))+IF('01_Input'!$X$64="Forfait",IF(AN$20&gt;='01_Input'!$V$64,'01_Input'!$Y$64,0),IF('01_Input'!$X$64="Palier",IF(AND(AN$20&gt;='01_Input'!$V$64,AN$20&lt;'01_Input'!$W$64),'01_Input'!$Y$64,0),MAX(MIN(AN$20,'01_Input'!$W$64)-'01_Input'!$V$64,0)*'01_Input'!$Y$64))+IF('01_Input'!$AB$64="Forfait",IF(AN$20&gt;='01_Input'!$Z$64,'01_Input'!$AC$64,0),IF('01_Input'!$AB$64="Palier",IF(AND(AN$20&gt;='01_Input'!$Z$64,AN$20&lt;'01_Input'!$AA$64),'01_Input'!$AC$64,0),MAX(MIN(AN$20,'01_Input'!$AA$64)-'01_Input'!$Z$64,0)*'01_Input'!$AC$64)))))))))</f>
        <v>1392</v>
      </c>
      <c r="AO32" s="83">
        <f>IF('01_Input'!$C$64="Non",0,MIN('01_Input'!$I$64,MAX('01_Input'!$H$64,IF('01_Input'!$G$64="Résiduel vs Gestion",0,IF('01_Input'!$G$64="Taux Classe sélectionnée",Distrib_Global_Classe_Selectionnee*AO$20,IF('01_Input'!$G$64="Frais KYC (paliers de 100M€)",MAX(0,Nb_Investisseurs-Nb_KYC_Gratuites_Par_Tranche*(FLOOR(AO$20/Taille_Tranche_KYC,1)+1))*Cout_Par_KYC_Supplementaire,(IF('01_Input'!$L$64="Forfait",IF(AO$20&gt;='01_Input'!$J$64,'01_Input'!$M$64,0),IF('01_Input'!$L$64="Palier",IF(AND(AO$20&gt;='01_Input'!$J$64,AO$20&lt;'01_Input'!$K$64),'01_Input'!$M$64,0),MAX(MIN(AO$20,'01_Input'!$K$64)-'01_Input'!$J$64,0)*'01_Input'!$M$64))+IF('01_Input'!$P$64="Forfait",IF(AO$20&gt;='01_Input'!$N$64,'01_Input'!$Q$64,0),IF('01_Input'!$P$64="Palier",IF(AND(AO$20&gt;='01_Input'!$N$64,AO$20&lt;'01_Input'!$O$64),'01_Input'!$Q$64,0),MAX(MIN(AO$20,'01_Input'!$O$64)-'01_Input'!$N$64,0)*'01_Input'!$Q$64))+IF('01_Input'!$T$64="Forfait",IF(AO$20&gt;='01_Input'!$R$64,'01_Input'!$U$64,0),IF('01_Input'!$T$64="Palier",IF(AND(AO$20&gt;='01_Input'!$R$64,AO$20&lt;'01_Input'!$S$64),'01_Input'!$U$64,0),MAX(MIN(AO$20,'01_Input'!$S$64)-'01_Input'!$R$64,0)*'01_Input'!$U$64))+IF('01_Input'!$X$64="Forfait",IF(AO$20&gt;='01_Input'!$V$64,'01_Input'!$Y$64,0),IF('01_Input'!$X$64="Palier",IF(AND(AO$20&gt;='01_Input'!$V$64,AO$20&lt;'01_Input'!$W$64),'01_Input'!$Y$64,0),MAX(MIN(AO$20,'01_Input'!$W$64)-'01_Input'!$V$64,0)*'01_Input'!$Y$64))+IF('01_Input'!$AB$64="Forfait",IF(AO$20&gt;='01_Input'!$Z$64,'01_Input'!$AC$64,0),IF('01_Input'!$AB$64="Palier",IF(AND(AO$20&gt;='01_Input'!$Z$64,AO$20&lt;'01_Input'!$AA$64),'01_Input'!$AC$64,0),MAX(MIN(AO$20,'01_Input'!$AA$64)-'01_Input'!$Z$64,0)*'01_Input'!$AC$64)))))))))</f>
        <v>1392</v>
      </c>
      <c r="AP32" s="83">
        <f>IF('01_Input'!$C$64="Non",0,MIN('01_Input'!$I$64,MAX('01_Input'!$H$64,IF('01_Input'!$G$64="Résiduel vs Gestion",0,IF('01_Input'!$G$64="Taux Classe sélectionnée",Distrib_Global_Classe_Selectionnee*AP$20,IF('01_Input'!$G$64="Frais KYC (paliers de 100M€)",MAX(0,Nb_Investisseurs-Nb_KYC_Gratuites_Par_Tranche*(FLOOR(AP$20/Taille_Tranche_KYC,1)+1))*Cout_Par_KYC_Supplementaire,(IF('01_Input'!$L$64="Forfait",IF(AP$20&gt;='01_Input'!$J$64,'01_Input'!$M$64,0),IF('01_Input'!$L$64="Palier",IF(AND(AP$20&gt;='01_Input'!$J$64,AP$20&lt;'01_Input'!$K$64),'01_Input'!$M$64,0),MAX(MIN(AP$20,'01_Input'!$K$64)-'01_Input'!$J$64,0)*'01_Input'!$M$64))+IF('01_Input'!$P$64="Forfait",IF(AP$20&gt;='01_Input'!$N$64,'01_Input'!$Q$64,0),IF('01_Input'!$P$64="Palier",IF(AND(AP$20&gt;='01_Input'!$N$64,AP$20&lt;'01_Input'!$O$64),'01_Input'!$Q$64,0),MAX(MIN(AP$20,'01_Input'!$O$64)-'01_Input'!$N$64,0)*'01_Input'!$Q$64))+IF('01_Input'!$T$64="Forfait",IF(AP$20&gt;='01_Input'!$R$64,'01_Input'!$U$64,0),IF('01_Input'!$T$64="Palier",IF(AND(AP$20&gt;='01_Input'!$R$64,AP$20&lt;'01_Input'!$S$64),'01_Input'!$U$64,0),MAX(MIN(AP$20,'01_Input'!$S$64)-'01_Input'!$R$64,0)*'01_Input'!$U$64))+IF('01_Input'!$X$64="Forfait",IF(AP$20&gt;='01_Input'!$V$64,'01_Input'!$Y$64,0),IF('01_Input'!$X$64="Palier",IF(AND(AP$20&gt;='01_Input'!$V$64,AP$20&lt;'01_Input'!$W$64),'01_Input'!$Y$64,0),MAX(MIN(AP$20,'01_Input'!$W$64)-'01_Input'!$V$64,0)*'01_Input'!$Y$64))+IF('01_Input'!$AB$64="Forfait",IF(AP$20&gt;='01_Input'!$Z$64,'01_Input'!$AC$64,0),IF('01_Input'!$AB$64="Palier",IF(AND(AP$20&gt;='01_Input'!$Z$64,AP$20&lt;'01_Input'!$AA$64),'01_Input'!$AC$64,0),MAX(MIN(AP$20,'01_Input'!$AA$64)-'01_Input'!$Z$64,0)*'01_Input'!$AC$64)))))))))</f>
        <v>1392</v>
      </c>
      <c r="AQ32" s="83">
        <f>IF('01_Input'!$C$64="Non",0,MIN('01_Input'!$I$64,MAX('01_Input'!$H$64,IF('01_Input'!$G$64="Résiduel vs Gestion",0,IF('01_Input'!$G$64="Taux Classe sélectionnée",Distrib_Global_Classe_Selectionnee*AQ$20,IF('01_Input'!$G$64="Frais KYC (paliers de 100M€)",MAX(0,Nb_Investisseurs-Nb_KYC_Gratuites_Par_Tranche*(FLOOR(AQ$20/Taille_Tranche_KYC,1)+1))*Cout_Par_KYC_Supplementaire,(IF('01_Input'!$L$64="Forfait",IF(AQ$20&gt;='01_Input'!$J$64,'01_Input'!$M$64,0),IF('01_Input'!$L$64="Palier",IF(AND(AQ$20&gt;='01_Input'!$J$64,AQ$20&lt;'01_Input'!$K$64),'01_Input'!$M$64,0),MAX(MIN(AQ$20,'01_Input'!$K$64)-'01_Input'!$J$64,0)*'01_Input'!$M$64))+IF('01_Input'!$P$64="Forfait",IF(AQ$20&gt;='01_Input'!$N$64,'01_Input'!$Q$64,0),IF('01_Input'!$P$64="Palier",IF(AND(AQ$20&gt;='01_Input'!$N$64,AQ$20&lt;'01_Input'!$O$64),'01_Input'!$Q$64,0),MAX(MIN(AQ$20,'01_Input'!$O$64)-'01_Input'!$N$64,0)*'01_Input'!$Q$64))+IF('01_Input'!$T$64="Forfait",IF(AQ$20&gt;='01_Input'!$R$64,'01_Input'!$U$64,0),IF('01_Input'!$T$64="Palier",IF(AND(AQ$20&gt;='01_Input'!$R$64,AQ$20&lt;'01_Input'!$S$64),'01_Input'!$U$64,0),MAX(MIN(AQ$20,'01_Input'!$S$64)-'01_Input'!$R$64,0)*'01_Input'!$U$64))+IF('01_Input'!$X$64="Forfait",IF(AQ$20&gt;='01_Input'!$V$64,'01_Input'!$Y$64,0),IF('01_Input'!$X$64="Palier",IF(AND(AQ$20&gt;='01_Input'!$V$64,AQ$20&lt;'01_Input'!$W$64),'01_Input'!$Y$64,0),MAX(MIN(AQ$20,'01_Input'!$W$64)-'01_Input'!$V$64,0)*'01_Input'!$Y$64))+IF('01_Input'!$AB$64="Forfait",IF(AQ$20&gt;='01_Input'!$Z$64,'01_Input'!$AC$64,0),IF('01_Input'!$AB$64="Palier",IF(AND(AQ$20&gt;='01_Input'!$Z$64,AQ$20&lt;'01_Input'!$AA$64),'01_Input'!$AC$64,0),MAX(MIN(AQ$20,'01_Input'!$AA$64)-'01_Input'!$Z$64,0)*'01_Input'!$AC$64)))))))))</f>
        <v>1392</v>
      </c>
      <c r="AR32" s="83">
        <f>IF('01_Input'!$C$64="Non",0,MIN('01_Input'!$I$64,MAX('01_Input'!$H$64,IF('01_Input'!$G$64="Résiduel vs Gestion",0,IF('01_Input'!$G$64="Taux Classe sélectionnée",Distrib_Global_Classe_Selectionnee*AR$20,IF('01_Input'!$G$64="Frais KYC (paliers de 100M€)",MAX(0,Nb_Investisseurs-Nb_KYC_Gratuites_Par_Tranche*(FLOOR(AR$20/Taille_Tranche_KYC,1)+1))*Cout_Par_KYC_Supplementaire,(IF('01_Input'!$L$64="Forfait",IF(AR$20&gt;='01_Input'!$J$64,'01_Input'!$M$64,0),IF('01_Input'!$L$64="Palier",IF(AND(AR$20&gt;='01_Input'!$J$64,AR$20&lt;'01_Input'!$K$64),'01_Input'!$M$64,0),MAX(MIN(AR$20,'01_Input'!$K$64)-'01_Input'!$J$64,0)*'01_Input'!$M$64))+IF('01_Input'!$P$64="Forfait",IF(AR$20&gt;='01_Input'!$N$64,'01_Input'!$Q$64,0),IF('01_Input'!$P$64="Palier",IF(AND(AR$20&gt;='01_Input'!$N$64,AR$20&lt;'01_Input'!$O$64),'01_Input'!$Q$64,0),MAX(MIN(AR$20,'01_Input'!$O$64)-'01_Input'!$N$64,0)*'01_Input'!$Q$64))+IF('01_Input'!$T$64="Forfait",IF(AR$20&gt;='01_Input'!$R$64,'01_Input'!$U$64,0),IF('01_Input'!$T$64="Palier",IF(AND(AR$20&gt;='01_Input'!$R$64,AR$20&lt;'01_Input'!$S$64),'01_Input'!$U$64,0),MAX(MIN(AR$20,'01_Input'!$S$64)-'01_Input'!$R$64,0)*'01_Input'!$U$64))+IF('01_Input'!$X$64="Forfait",IF(AR$20&gt;='01_Input'!$V$64,'01_Input'!$Y$64,0),IF('01_Input'!$X$64="Palier",IF(AND(AR$20&gt;='01_Input'!$V$64,AR$20&lt;'01_Input'!$W$64),'01_Input'!$Y$64,0),MAX(MIN(AR$20,'01_Input'!$W$64)-'01_Input'!$V$64,0)*'01_Input'!$Y$64))+IF('01_Input'!$AB$64="Forfait",IF(AR$20&gt;='01_Input'!$Z$64,'01_Input'!$AC$64,0),IF('01_Input'!$AB$64="Palier",IF(AND(AR$20&gt;='01_Input'!$Z$64,AR$20&lt;'01_Input'!$AA$64),'01_Input'!$AC$64,0),MAX(MIN(AR$20,'01_Input'!$AA$64)-'01_Input'!$Z$64,0)*'01_Input'!$AC$64)))))))))</f>
        <v>1392</v>
      </c>
      <c r="AS32" s="83">
        <f>IF('01_Input'!$C$64="Non",0,MIN('01_Input'!$I$64,MAX('01_Input'!$H$64,IF('01_Input'!$G$64="Résiduel vs Gestion",0,IF('01_Input'!$G$64="Taux Classe sélectionnée",Distrib_Global_Classe_Selectionnee*AS$20,IF('01_Input'!$G$64="Frais KYC (paliers de 100M€)",MAX(0,Nb_Investisseurs-Nb_KYC_Gratuites_Par_Tranche*(FLOOR(AS$20/Taille_Tranche_KYC,1)+1))*Cout_Par_KYC_Supplementaire,(IF('01_Input'!$L$64="Forfait",IF(AS$20&gt;='01_Input'!$J$64,'01_Input'!$M$64,0),IF('01_Input'!$L$64="Palier",IF(AND(AS$20&gt;='01_Input'!$J$64,AS$20&lt;'01_Input'!$K$64),'01_Input'!$M$64,0),MAX(MIN(AS$20,'01_Input'!$K$64)-'01_Input'!$J$64,0)*'01_Input'!$M$64))+IF('01_Input'!$P$64="Forfait",IF(AS$20&gt;='01_Input'!$N$64,'01_Input'!$Q$64,0),IF('01_Input'!$P$64="Palier",IF(AND(AS$20&gt;='01_Input'!$N$64,AS$20&lt;'01_Input'!$O$64),'01_Input'!$Q$64,0),MAX(MIN(AS$20,'01_Input'!$O$64)-'01_Input'!$N$64,0)*'01_Input'!$Q$64))+IF('01_Input'!$T$64="Forfait",IF(AS$20&gt;='01_Input'!$R$64,'01_Input'!$U$64,0),IF('01_Input'!$T$64="Palier",IF(AND(AS$20&gt;='01_Input'!$R$64,AS$20&lt;'01_Input'!$S$64),'01_Input'!$U$64,0),MAX(MIN(AS$20,'01_Input'!$S$64)-'01_Input'!$R$64,0)*'01_Input'!$U$64))+IF('01_Input'!$X$64="Forfait",IF(AS$20&gt;='01_Input'!$V$64,'01_Input'!$Y$64,0),IF('01_Input'!$X$64="Palier",IF(AND(AS$20&gt;='01_Input'!$V$64,AS$20&lt;'01_Input'!$W$64),'01_Input'!$Y$64,0),MAX(MIN(AS$20,'01_Input'!$W$64)-'01_Input'!$V$64,0)*'01_Input'!$Y$64))+IF('01_Input'!$AB$64="Forfait",IF(AS$20&gt;='01_Input'!$Z$64,'01_Input'!$AC$64,0),IF('01_Input'!$AB$64="Palier",IF(AND(AS$20&gt;='01_Input'!$Z$64,AS$20&lt;'01_Input'!$AA$64),'01_Input'!$AC$64,0),MAX(MIN(AS$20,'01_Input'!$AA$64)-'01_Input'!$Z$64,0)*'01_Input'!$AC$64)))))))))</f>
        <v>1392</v>
      </c>
      <c r="AT32" s="83">
        <f>IF('01_Input'!$C$64="Non",0,MIN('01_Input'!$I$64,MAX('01_Input'!$H$64,IF('01_Input'!$G$64="Résiduel vs Gestion",0,IF('01_Input'!$G$64="Taux Classe sélectionnée",Distrib_Global_Classe_Selectionnee*AT$20,IF('01_Input'!$G$64="Frais KYC (paliers de 100M€)",MAX(0,Nb_Investisseurs-Nb_KYC_Gratuites_Par_Tranche*(FLOOR(AT$20/Taille_Tranche_KYC,1)+1))*Cout_Par_KYC_Supplementaire,(IF('01_Input'!$L$64="Forfait",IF(AT$20&gt;='01_Input'!$J$64,'01_Input'!$M$64,0),IF('01_Input'!$L$64="Palier",IF(AND(AT$20&gt;='01_Input'!$J$64,AT$20&lt;'01_Input'!$K$64),'01_Input'!$M$64,0),MAX(MIN(AT$20,'01_Input'!$K$64)-'01_Input'!$J$64,0)*'01_Input'!$M$64))+IF('01_Input'!$P$64="Forfait",IF(AT$20&gt;='01_Input'!$N$64,'01_Input'!$Q$64,0),IF('01_Input'!$P$64="Palier",IF(AND(AT$20&gt;='01_Input'!$N$64,AT$20&lt;'01_Input'!$O$64),'01_Input'!$Q$64,0),MAX(MIN(AT$20,'01_Input'!$O$64)-'01_Input'!$N$64,0)*'01_Input'!$Q$64))+IF('01_Input'!$T$64="Forfait",IF(AT$20&gt;='01_Input'!$R$64,'01_Input'!$U$64,0),IF('01_Input'!$T$64="Palier",IF(AND(AT$20&gt;='01_Input'!$R$64,AT$20&lt;'01_Input'!$S$64),'01_Input'!$U$64,0),MAX(MIN(AT$20,'01_Input'!$S$64)-'01_Input'!$R$64,0)*'01_Input'!$U$64))+IF('01_Input'!$X$64="Forfait",IF(AT$20&gt;='01_Input'!$V$64,'01_Input'!$Y$64,0),IF('01_Input'!$X$64="Palier",IF(AND(AT$20&gt;='01_Input'!$V$64,AT$20&lt;'01_Input'!$W$64),'01_Input'!$Y$64,0),MAX(MIN(AT$20,'01_Input'!$W$64)-'01_Input'!$V$64,0)*'01_Input'!$Y$64))+IF('01_Input'!$AB$64="Forfait",IF(AT$20&gt;='01_Input'!$Z$64,'01_Input'!$AC$64,0),IF('01_Input'!$AB$64="Palier",IF(AND(AT$20&gt;='01_Input'!$Z$64,AT$20&lt;'01_Input'!$AA$64),'01_Input'!$AC$64,0),MAX(MIN(AT$20,'01_Input'!$AA$64)-'01_Input'!$Z$64,0)*'01_Input'!$AC$64)))))))))</f>
        <v>1392</v>
      </c>
      <c r="AU32" s="83">
        <f>IF('01_Input'!$C$64="Non",0,MIN('01_Input'!$I$64,MAX('01_Input'!$H$64,IF('01_Input'!$G$64="Résiduel vs Gestion",0,IF('01_Input'!$G$64="Taux Classe sélectionnée",Distrib_Global_Classe_Selectionnee*AU$20,IF('01_Input'!$G$64="Frais KYC (paliers de 100M€)",MAX(0,Nb_Investisseurs-Nb_KYC_Gratuites_Par_Tranche*(FLOOR(AU$20/Taille_Tranche_KYC,1)+1))*Cout_Par_KYC_Supplementaire,(IF('01_Input'!$L$64="Forfait",IF(AU$20&gt;='01_Input'!$J$64,'01_Input'!$M$64,0),IF('01_Input'!$L$64="Palier",IF(AND(AU$20&gt;='01_Input'!$J$64,AU$20&lt;'01_Input'!$K$64),'01_Input'!$M$64,0),MAX(MIN(AU$20,'01_Input'!$K$64)-'01_Input'!$J$64,0)*'01_Input'!$M$64))+IF('01_Input'!$P$64="Forfait",IF(AU$20&gt;='01_Input'!$N$64,'01_Input'!$Q$64,0),IF('01_Input'!$P$64="Palier",IF(AND(AU$20&gt;='01_Input'!$N$64,AU$20&lt;'01_Input'!$O$64),'01_Input'!$Q$64,0),MAX(MIN(AU$20,'01_Input'!$O$64)-'01_Input'!$N$64,0)*'01_Input'!$Q$64))+IF('01_Input'!$T$64="Forfait",IF(AU$20&gt;='01_Input'!$R$64,'01_Input'!$U$64,0),IF('01_Input'!$T$64="Palier",IF(AND(AU$20&gt;='01_Input'!$R$64,AU$20&lt;'01_Input'!$S$64),'01_Input'!$U$64,0),MAX(MIN(AU$20,'01_Input'!$S$64)-'01_Input'!$R$64,0)*'01_Input'!$U$64))+IF('01_Input'!$X$64="Forfait",IF(AU$20&gt;='01_Input'!$V$64,'01_Input'!$Y$64,0),IF('01_Input'!$X$64="Palier",IF(AND(AU$20&gt;='01_Input'!$V$64,AU$20&lt;'01_Input'!$W$64),'01_Input'!$Y$64,0),MAX(MIN(AU$20,'01_Input'!$W$64)-'01_Input'!$V$64,0)*'01_Input'!$Y$64))+IF('01_Input'!$AB$64="Forfait",IF(AU$20&gt;='01_Input'!$Z$64,'01_Input'!$AC$64,0),IF('01_Input'!$AB$64="Palier",IF(AND(AU$20&gt;='01_Input'!$Z$64,AU$20&lt;'01_Input'!$AA$64),'01_Input'!$AC$64,0),MAX(MIN(AU$20,'01_Input'!$AA$64)-'01_Input'!$Z$64,0)*'01_Input'!$AC$64)))))))))</f>
        <v>1392</v>
      </c>
      <c r="AV32" s="83">
        <f>IF('01_Input'!$C$64="Non",0,MIN('01_Input'!$I$64,MAX('01_Input'!$H$64,IF('01_Input'!$G$64="Résiduel vs Gestion",0,IF('01_Input'!$G$64="Taux Classe sélectionnée",Distrib_Global_Classe_Selectionnee*AV$20,IF('01_Input'!$G$64="Frais KYC (paliers de 100M€)",MAX(0,Nb_Investisseurs-Nb_KYC_Gratuites_Par_Tranche*(FLOOR(AV$20/Taille_Tranche_KYC,1)+1))*Cout_Par_KYC_Supplementaire,(IF('01_Input'!$L$64="Forfait",IF(AV$20&gt;='01_Input'!$J$64,'01_Input'!$M$64,0),IF('01_Input'!$L$64="Palier",IF(AND(AV$20&gt;='01_Input'!$J$64,AV$20&lt;'01_Input'!$K$64),'01_Input'!$M$64,0),MAX(MIN(AV$20,'01_Input'!$K$64)-'01_Input'!$J$64,0)*'01_Input'!$M$64))+IF('01_Input'!$P$64="Forfait",IF(AV$20&gt;='01_Input'!$N$64,'01_Input'!$Q$64,0),IF('01_Input'!$P$64="Palier",IF(AND(AV$20&gt;='01_Input'!$N$64,AV$20&lt;'01_Input'!$O$64),'01_Input'!$Q$64,0),MAX(MIN(AV$20,'01_Input'!$O$64)-'01_Input'!$N$64,0)*'01_Input'!$Q$64))+IF('01_Input'!$T$64="Forfait",IF(AV$20&gt;='01_Input'!$R$64,'01_Input'!$U$64,0),IF('01_Input'!$T$64="Palier",IF(AND(AV$20&gt;='01_Input'!$R$64,AV$20&lt;'01_Input'!$S$64),'01_Input'!$U$64,0),MAX(MIN(AV$20,'01_Input'!$S$64)-'01_Input'!$R$64,0)*'01_Input'!$U$64))+IF('01_Input'!$X$64="Forfait",IF(AV$20&gt;='01_Input'!$V$64,'01_Input'!$Y$64,0),IF('01_Input'!$X$64="Palier",IF(AND(AV$20&gt;='01_Input'!$V$64,AV$20&lt;'01_Input'!$W$64),'01_Input'!$Y$64,0),MAX(MIN(AV$20,'01_Input'!$W$64)-'01_Input'!$V$64,0)*'01_Input'!$Y$64))+IF('01_Input'!$AB$64="Forfait",IF(AV$20&gt;='01_Input'!$Z$64,'01_Input'!$AC$64,0),IF('01_Input'!$AB$64="Palier",IF(AND(AV$20&gt;='01_Input'!$Z$64,AV$20&lt;'01_Input'!$AA$64),'01_Input'!$AC$64,0),MAX(MIN(AV$20,'01_Input'!$AA$64)-'01_Input'!$Z$64,0)*'01_Input'!$AC$64)))))))))</f>
        <v>1392</v>
      </c>
      <c r="AW32" s="83">
        <f>IF('01_Input'!$C$64="Non",0,MIN('01_Input'!$I$64,MAX('01_Input'!$H$64,IF('01_Input'!$G$64="Résiduel vs Gestion",0,IF('01_Input'!$G$64="Taux Classe sélectionnée",Distrib_Global_Classe_Selectionnee*AW$20,IF('01_Input'!$G$64="Frais KYC (paliers de 100M€)",MAX(0,Nb_Investisseurs-Nb_KYC_Gratuites_Par_Tranche*(FLOOR(AW$20/Taille_Tranche_KYC,1)+1))*Cout_Par_KYC_Supplementaire,(IF('01_Input'!$L$64="Forfait",IF(AW$20&gt;='01_Input'!$J$64,'01_Input'!$M$64,0),IF('01_Input'!$L$64="Palier",IF(AND(AW$20&gt;='01_Input'!$J$64,AW$20&lt;'01_Input'!$K$64),'01_Input'!$M$64,0),MAX(MIN(AW$20,'01_Input'!$K$64)-'01_Input'!$J$64,0)*'01_Input'!$M$64))+IF('01_Input'!$P$64="Forfait",IF(AW$20&gt;='01_Input'!$N$64,'01_Input'!$Q$64,0),IF('01_Input'!$P$64="Palier",IF(AND(AW$20&gt;='01_Input'!$N$64,AW$20&lt;'01_Input'!$O$64),'01_Input'!$Q$64,0),MAX(MIN(AW$20,'01_Input'!$O$64)-'01_Input'!$N$64,0)*'01_Input'!$Q$64))+IF('01_Input'!$T$64="Forfait",IF(AW$20&gt;='01_Input'!$R$64,'01_Input'!$U$64,0),IF('01_Input'!$T$64="Palier",IF(AND(AW$20&gt;='01_Input'!$R$64,AW$20&lt;'01_Input'!$S$64),'01_Input'!$U$64,0),MAX(MIN(AW$20,'01_Input'!$S$64)-'01_Input'!$R$64,0)*'01_Input'!$U$64))+IF('01_Input'!$X$64="Forfait",IF(AW$20&gt;='01_Input'!$V$64,'01_Input'!$Y$64,0),IF('01_Input'!$X$64="Palier",IF(AND(AW$20&gt;='01_Input'!$V$64,AW$20&lt;'01_Input'!$W$64),'01_Input'!$Y$64,0),MAX(MIN(AW$20,'01_Input'!$W$64)-'01_Input'!$V$64,0)*'01_Input'!$Y$64))+IF('01_Input'!$AB$64="Forfait",IF(AW$20&gt;='01_Input'!$Z$64,'01_Input'!$AC$64,0),IF('01_Input'!$AB$64="Palier",IF(AND(AW$20&gt;='01_Input'!$Z$64,AW$20&lt;'01_Input'!$AA$64),'01_Input'!$AC$64,0),MAX(MIN(AW$20,'01_Input'!$AA$64)-'01_Input'!$Z$64,0)*'01_Input'!$AC$64)))))))))</f>
        <v>1392</v>
      </c>
      <c r="AX32" s="83">
        <f>IF('01_Input'!$C$64="Non",0,MIN('01_Input'!$I$64,MAX('01_Input'!$H$64,IF('01_Input'!$G$64="Résiduel vs Gestion",0,IF('01_Input'!$G$64="Taux Classe sélectionnée",Distrib_Global_Classe_Selectionnee*AX$20,IF('01_Input'!$G$64="Frais KYC (paliers de 100M€)",MAX(0,Nb_Investisseurs-Nb_KYC_Gratuites_Par_Tranche*(FLOOR(AX$20/Taille_Tranche_KYC,1)+1))*Cout_Par_KYC_Supplementaire,(IF('01_Input'!$L$64="Forfait",IF(AX$20&gt;='01_Input'!$J$64,'01_Input'!$M$64,0),IF('01_Input'!$L$64="Palier",IF(AND(AX$20&gt;='01_Input'!$J$64,AX$20&lt;'01_Input'!$K$64),'01_Input'!$M$64,0),MAX(MIN(AX$20,'01_Input'!$K$64)-'01_Input'!$J$64,0)*'01_Input'!$M$64))+IF('01_Input'!$P$64="Forfait",IF(AX$20&gt;='01_Input'!$N$64,'01_Input'!$Q$64,0),IF('01_Input'!$P$64="Palier",IF(AND(AX$20&gt;='01_Input'!$N$64,AX$20&lt;'01_Input'!$O$64),'01_Input'!$Q$64,0),MAX(MIN(AX$20,'01_Input'!$O$64)-'01_Input'!$N$64,0)*'01_Input'!$Q$64))+IF('01_Input'!$T$64="Forfait",IF(AX$20&gt;='01_Input'!$R$64,'01_Input'!$U$64,0),IF('01_Input'!$T$64="Palier",IF(AND(AX$20&gt;='01_Input'!$R$64,AX$20&lt;'01_Input'!$S$64),'01_Input'!$U$64,0),MAX(MIN(AX$20,'01_Input'!$S$64)-'01_Input'!$R$64,0)*'01_Input'!$U$64))+IF('01_Input'!$X$64="Forfait",IF(AX$20&gt;='01_Input'!$V$64,'01_Input'!$Y$64,0),IF('01_Input'!$X$64="Palier",IF(AND(AX$20&gt;='01_Input'!$V$64,AX$20&lt;'01_Input'!$W$64),'01_Input'!$Y$64,0),MAX(MIN(AX$20,'01_Input'!$W$64)-'01_Input'!$V$64,0)*'01_Input'!$Y$64))+IF('01_Input'!$AB$64="Forfait",IF(AX$20&gt;='01_Input'!$Z$64,'01_Input'!$AC$64,0),IF('01_Input'!$AB$64="Palier",IF(AND(AX$20&gt;='01_Input'!$Z$64,AX$20&lt;'01_Input'!$AA$64),'01_Input'!$AC$64,0),MAX(MIN(AX$20,'01_Input'!$AA$64)-'01_Input'!$Z$64,0)*'01_Input'!$AC$64)))))))))</f>
        <v>1392</v>
      </c>
      <c r="AY32" s="83">
        <f>IF('01_Input'!$C$64="Non",0,MIN('01_Input'!$I$64,MAX('01_Input'!$H$64,IF('01_Input'!$G$64="Résiduel vs Gestion",0,IF('01_Input'!$G$64="Taux Classe sélectionnée",Distrib_Global_Classe_Selectionnee*AY$20,IF('01_Input'!$G$64="Frais KYC (paliers de 100M€)",MAX(0,Nb_Investisseurs-Nb_KYC_Gratuites_Par_Tranche*(FLOOR(AY$20/Taille_Tranche_KYC,1)+1))*Cout_Par_KYC_Supplementaire,(IF('01_Input'!$L$64="Forfait",IF(AY$20&gt;='01_Input'!$J$64,'01_Input'!$M$64,0),IF('01_Input'!$L$64="Palier",IF(AND(AY$20&gt;='01_Input'!$J$64,AY$20&lt;'01_Input'!$K$64),'01_Input'!$M$64,0),MAX(MIN(AY$20,'01_Input'!$K$64)-'01_Input'!$J$64,0)*'01_Input'!$M$64))+IF('01_Input'!$P$64="Forfait",IF(AY$20&gt;='01_Input'!$N$64,'01_Input'!$Q$64,0),IF('01_Input'!$P$64="Palier",IF(AND(AY$20&gt;='01_Input'!$N$64,AY$20&lt;'01_Input'!$O$64),'01_Input'!$Q$64,0),MAX(MIN(AY$20,'01_Input'!$O$64)-'01_Input'!$N$64,0)*'01_Input'!$Q$64))+IF('01_Input'!$T$64="Forfait",IF(AY$20&gt;='01_Input'!$R$64,'01_Input'!$U$64,0),IF('01_Input'!$T$64="Palier",IF(AND(AY$20&gt;='01_Input'!$R$64,AY$20&lt;'01_Input'!$S$64),'01_Input'!$U$64,0),MAX(MIN(AY$20,'01_Input'!$S$64)-'01_Input'!$R$64,0)*'01_Input'!$U$64))+IF('01_Input'!$X$64="Forfait",IF(AY$20&gt;='01_Input'!$V$64,'01_Input'!$Y$64,0),IF('01_Input'!$X$64="Palier",IF(AND(AY$20&gt;='01_Input'!$V$64,AY$20&lt;'01_Input'!$W$64),'01_Input'!$Y$64,0),MAX(MIN(AY$20,'01_Input'!$W$64)-'01_Input'!$V$64,0)*'01_Input'!$Y$64))+IF('01_Input'!$AB$64="Forfait",IF(AY$20&gt;='01_Input'!$Z$64,'01_Input'!$AC$64,0),IF('01_Input'!$AB$64="Palier",IF(AND(AY$20&gt;='01_Input'!$Z$64,AY$20&lt;'01_Input'!$AA$64),'01_Input'!$AC$64,0),MAX(MIN(AY$20,'01_Input'!$AA$64)-'01_Input'!$Z$64,0)*'01_Input'!$AC$64)))))))))</f>
        <v>1392</v>
      </c>
      <c r="AZ32" s="83">
        <f>IF('01_Input'!$C$64="Non",0,MIN('01_Input'!$I$64,MAX('01_Input'!$H$64,IF('01_Input'!$G$64="Résiduel vs Gestion",0,IF('01_Input'!$G$64="Taux Classe sélectionnée",Distrib_Global_Classe_Selectionnee*AZ$20,IF('01_Input'!$G$64="Frais KYC (paliers de 100M€)",MAX(0,Nb_Investisseurs-Nb_KYC_Gratuites_Par_Tranche*(FLOOR(AZ$20/Taille_Tranche_KYC,1)+1))*Cout_Par_KYC_Supplementaire,(IF('01_Input'!$L$64="Forfait",IF(AZ$20&gt;='01_Input'!$J$64,'01_Input'!$M$64,0),IF('01_Input'!$L$64="Palier",IF(AND(AZ$20&gt;='01_Input'!$J$64,AZ$20&lt;'01_Input'!$K$64),'01_Input'!$M$64,0),MAX(MIN(AZ$20,'01_Input'!$K$64)-'01_Input'!$J$64,0)*'01_Input'!$M$64))+IF('01_Input'!$P$64="Forfait",IF(AZ$20&gt;='01_Input'!$N$64,'01_Input'!$Q$64,0),IF('01_Input'!$P$64="Palier",IF(AND(AZ$20&gt;='01_Input'!$N$64,AZ$20&lt;'01_Input'!$O$64),'01_Input'!$Q$64,0),MAX(MIN(AZ$20,'01_Input'!$O$64)-'01_Input'!$N$64,0)*'01_Input'!$Q$64))+IF('01_Input'!$T$64="Forfait",IF(AZ$20&gt;='01_Input'!$R$64,'01_Input'!$U$64,0),IF('01_Input'!$T$64="Palier",IF(AND(AZ$20&gt;='01_Input'!$R$64,AZ$20&lt;'01_Input'!$S$64),'01_Input'!$U$64,0),MAX(MIN(AZ$20,'01_Input'!$S$64)-'01_Input'!$R$64,0)*'01_Input'!$U$64))+IF('01_Input'!$X$64="Forfait",IF(AZ$20&gt;='01_Input'!$V$64,'01_Input'!$Y$64,0),IF('01_Input'!$X$64="Palier",IF(AND(AZ$20&gt;='01_Input'!$V$64,AZ$20&lt;'01_Input'!$W$64),'01_Input'!$Y$64,0),MAX(MIN(AZ$20,'01_Input'!$W$64)-'01_Input'!$V$64,0)*'01_Input'!$Y$64))+IF('01_Input'!$AB$64="Forfait",IF(AZ$20&gt;='01_Input'!$Z$64,'01_Input'!$AC$64,0),IF('01_Input'!$AB$64="Palier",IF(AND(AZ$20&gt;='01_Input'!$Z$64,AZ$20&lt;'01_Input'!$AA$64),'01_Input'!$AC$64,0),MAX(MIN(AZ$20,'01_Input'!$AA$64)-'01_Input'!$Z$64,0)*'01_Input'!$AC$64)))))))))</f>
        <v>1392</v>
      </c>
      <c r="BA32" s="83">
        <f>IF('01_Input'!$C$64="Non",0,MIN('01_Input'!$I$64,MAX('01_Input'!$H$64,IF('01_Input'!$G$64="Résiduel vs Gestion",0,IF('01_Input'!$G$64="Taux Classe sélectionnée",Distrib_Global_Classe_Selectionnee*BA$20,IF('01_Input'!$G$64="Frais KYC (paliers de 100M€)",MAX(0,Nb_Investisseurs-Nb_KYC_Gratuites_Par_Tranche*(FLOOR(BA$20/Taille_Tranche_KYC,1)+1))*Cout_Par_KYC_Supplementaire,(IF('01_Input'!$L$64="Forfait",IF(BA$20&gt;='01_Input'!$J$64,'01_Input'!$M$64,0),IF('01_Input'!$L$64="Palier",IF(AND(BA$20&gt;='01_Input'!$J$64,BA$20&lt;'01_Input'!$K$64),'01_Input'!$M$64,0),MAX(MIN(BA$20,'01_Input'!$K$64)-'01_Input'!$J$64,0)*'01_Input'!$M$64))+IF('01_Input'!$P$64="Forfait",IF(BA$20&gt;='01_Input'!$N$64,'01_Input'!$Q$64,0),IF('01_Input'!$P$64="Palier",IF(AND(BA$20&gt;='01_Input'!$N$64,BA$20&lt;'01_Input'!$O$64),'01_Input'!$Q$64,0),MAX(MIN(BA$20,'01_Input'!$O$64)-'01_Input'!$N$64,0)*'01_Input'!$Q$64))+IF('01_Input'!$T$64="Forfait",IF(BA$20&gt;='01_Input'!$R$64,'01_Input'!$U$64,0),IF('01_Input'!$T$64="Palier",IF(AND(BA$20&gt;='01_Input'!$R$64,BA$20&lt;'01_Input'!$S$64),'01_Input'!$U$64,0),MAX(MIN(BA$20,'01_Input'!$S$64)-'01_Input'!$R$64,0)*'01_Input'!$U$64))+IF('01_Input'!$X$64="Forfait",IF(BA$20&gt;='01_Input'!$V$64,'01_Input'!$Y$64,0),IF('01_Input'!$X$64="Palier",IF(AND(BA$20&gt;='01_Input'!$V$64,BA$20&lt;'01_Input'!$W$64),'01_Input'!$Y$64,0),MAX(MIN(BA$20,'01_Input'!$W$64)-'01_Input'!$V$64,0)*'01_Input'!$Y$64))+IF('01_Input'!$AB$64="Forfait",IF(BA$20&gt;='01_Input'!$Z$64,'01_Input'!$AC$64,0),IF('01_Input'!$AB$64="Palier",IF(AND(BA$20&gt;='01_Input'!$Z$64,BA$20&lt;'01_Input'!$AA$64),'01_Input'!$AC$64,0),MAX(MIN(BA$20,'01_Input'!$AA$64)-'01_Input'!$Z$64,0)*'01_Input'!$AC$64)))))))))</f>
        <v>1392</v>
      </c>
      <c r="BB32" s="83">
        <f>IF('01_Input'!$C$64="Non",0,MIN('01_Input'!$I$64,MAX('01_Input'!$H$64,IF('01_Input'!$G$64="Résiduel vs Gestion",0,IF('01_Input'!$G$64="Taux Classe sélectionnée",Distrib_Global_Classe_Selectionnee*BB$20,IF('01_Input'!$G$64="Frais KYC (paliers de 100M€)",MAX(0,Nb_Investisseurs-Nb_KYC_Gratuites_Par_Tranche*(FLOOR(BB$20/Taille_Tranche_KYC,1)+1))*Cout_Par_KYC_Supplementaire,(IF('01_Input'!$L$64="Forfait",IF(BB$20&gt;='01_Input'!$J$64,'01_Input'!$M$64,0),IF('01_Input'!$L$64="Palier",IF(AND(BB$20&gt;='01_Input'!$J$64,BB$20&lt;'01_Input'!$K$64),'01_Input'!$M$64,0),MAX(MIN(BB$20,'01_Input'!$K$64)-'01_Input'!$J$64,0)*'01_Input'!$M$64))+IF('01_Input'!$P$64="Forfait",IF(BB$20&gt;='01_Input'!$N$64,'01_Input'!$Q$64,0),IF('01_Input'!$P$64="Palier",IF(AND(BB$20&gt;='01_Input'!$N$64,BB$20&lt;'01_Input'!$O$64),'01_Input'!$Q$64,0),MAX(MIN(BB$20,'01_Input'!$O$64)-'01_Input'!$N$64,0)*'01_Input'!$Q$64))+IF('01_Input'!$T$64="Forfait",IF(BB$20&gt;='01_Input'!$R$64,'01_Input'!$U$64,0),IF('01_Input'!$T$64="Palier",IF(AND(BB$20&gt;='01_Input'!$R$64,BB$20&lt;'01_Input'!$S$64),'01_Input'!$U$64,0),MAX(MIN(BB$20,'01_Input'!$S$64)-'01_Input'!$R$64,0)*'01_Input'!$U$64))+IF('01_Input'!$X$64="Forfait",IF(BB$20&gt;='01_Input'!$V$64,'01_Input'!$Y$64,0),IF('01_Input'!$X$64="Palier",IF(AND(BB$20&gt;='01_Input'!$V$64,BB$20&lt;'01_Input'!$W$64),'01_Input'!$Y$64,0),MAX(MIN(BB$20,'01_Input'!$W$64)-'01_Input'!$V$64,0)*'01_Input'!$Y$64))+IF('01_Input'!$AB$64="Forfait",IF(BB$20&gt;='01_Input'!$Z$64,'01_Input'!$AC$64,0),IF('01_Input'!$AB$64="Palier",IF(AND(BB$20&gt;='01_Input'!$Z$64,BB$20&lt;'01_Input'!$AA$64),'01_Input'!$AC$64,0),MAX(MIN(BB$20,'01_Input'!$AA$64)-'01_Input'!$Z$64,0)*'01_Input'!$AC$64)))))))))</f>
        <v>1392</v>
      </c>
      <c r="BC32" s="83">
        <f>IF('01_Input'!$C$64="Non",0,MIN('01_Input'!$I$64,MAX('01_Input'!$H$64,IF('01_Input'!$G$64="Résiduel vs Gestion",0,IF('01_Input'!$G$64="Taux Classe sélectionnée",Distrib_Global_Classe_Selectionnee*BC$20,IF('01_Input'!$G$64="Frais KYC (paliers de 100M€)",MAX(0,Nb_Investisseurs-Nb_KYC_Gratuites_Par_Tranche*(FLOOR(BC$20/Taille_Tranche_KYC,1)+1))*Cout_Par_KYC_Supplementaire,(IF('01_Input'!$L$64="Forfait",IF(BC$20&gt;='01_Input'!$J$64,'01_Input'!$M$64,0),IF('01_Input'!$L$64="Palier",IF(AND(BC$20&gt;='01_Input'!$J$64,BC$20&lt;'01_Input'!$K$64),'01_Input'!$M$64,0),MAX(MIN(BC$20,'01_Input'!$K$64)-'01_Input'!$J$64,0)*'01_Input'!$M$64))+IF('01_Input'!$P$64="Forfait",IF(BC$20&gt;='01_Input'!$N$64,'01_Input'!$Q$64,0),IF('01_Input'!$P$64="Palier",IF(AND(BC$20&gt;='01_Input'!$N$64,BC$20&lt;'01_Input'!$O$64),'01_Input'!$Q$64,0),MAX(MIN(BC$20,'01_Input'!$O$64)-'01_Input'!$N$64,0)*'01_Input'!$Q$64))+IF('01_Input'!$T$64="Forfait",IF(BC$20&gt;='01_Input'!$R$64,'01_Input'!$U$64,0),IF('01_Input'!$T$64="Palier",IF(AND(BC$20&gt;='01_Input'!$R$64,BC$20&lt;'01_Input'!$S$64),'01_Input'!$U$64,0),MAX(MIN(BC$20,'01_Input'!$S$64)-'01_Input'!$R$64,0)*'01_Input'!$U$64))+IF('01_Input'!$X$64="Forfait",IF(BC$20&gt;='01_Input'!$V$64,'01_Input'!$Y$64,0),IF('01_Input'!$X$64="Palier",IF(AND(BC$20&gt;='01_Input'!$V$64,BC$20&lt;'01_Input'!$W$64),'01_Input'!$Y$64,0),MAX(MIN(BC$20,'01_Input'!$W$64)-'01_Input'!$V$64,0)*'01_Input'!$Y$64))+IF('01_Input'!$AB$64="Forfait",IF(BC$20&gt;='01_Input'!$Z$64,'01_Input'!$AC$64,0),IF('01_Input'!$AB$64="Palier",IF(AND(BC$20&gt;='01_Input'!$Z$64,BC$20&lt;'01_Input'!$AA$64),'01_Input'!$AC$64,0),MAX(MIN(BC$20,'01_Input'!$AA$64)-'01_Input'!$Z$64,0)*'01_Input'!$AC$64)))))))))</f>
        <v>1392</v>
      </c>
      <c r="BD32" s="83">
        <f>IF('01_Input'!$C$64="Non",0,MIN('01_Input'!$I$64,MAX('01_Input'!$H$64,IF('01_Input'!$G$64="Résiduel vs Gestion",0,IF('01_Input'!$G$64="Taux Classe sélectionnée",Distrib_Global_Classe_Selectionnee*BD$20,IF('01_Input'!$G$64="Frais KYC (paliers de 100M€)",MAX(0,Nb_Investisseurs-Nb_KYC_Gratuites_Par_Tranche*(FLOOR(BD$20/Taille_Tranche_KYC,1)+1))*Cout_Par_KYC_Supplementaire,(IF('01_Input'!$L$64="Forfait",IF(BD$20&gt;='01_Input'!$J$64,'01_Input'!$M$64,0),IF('01_Input'!$L$64="Palier",IF(AND(BD$20&gt;='01_Input'!$J$64,BD$20&lt;'01_Input'!$K$64),'01_Input'!$M$64,0),MAX(MIN(BD$20,'01_Input'!$K$64)-'01_Input'!$J$64,0)*'01_Input'!$M$64))+IF('01_Input'!$P$64="Forfait",IF(BD$20&gt;='01_Input'!$N$64,'01_Input'!$Q$64,0),IF('01_Input'!$P$64="Palier",IF(AND(BD$20&gt;='01_Input'!$N$64,BD$20&lt;'01_Input'!$O$64),'01_Input'!$Q$64,0),MAX(MIN(BD$20,'01_Input'!$O$64)-'01_Input'!$N$64,0)*'01_Input'!$Q$64))+IF('01_Input'!$T$64="Forfait",IF(BD$20&gt;='01_Input'!$R$64,'01_Input'!$U$64,0),IF('01_Input'!$T$64="Palier",IF(AND(BD$20&gt;='01_Input'!$R$64,BD$20&lt;'01_Input'!$S$64),'01_Input'!$U$64,0),MAX(MIN(BD$20,'01_Input'!$S$64)-'01_Input'!$R$64,0)*'01_Input'!$U$64))+IF('01_Input'!$X$64="Forfait",IF(BD$20&gt;='01_Input'!$V$64,'01_Input'!$Y$64,0),IF('01_Input'!$X$64="Palier",IF(AND(BD$20&gt;='01_Input'!$V$64,BD$20&lt;'01_Input'!$W$64),'01_Input'!$Y$64,0),MAX(MIN(BD$20,'01_Input'!$W$64)-'01_Input'!$V$64,0)*'01_Input'!$Y$64))+IF('01_Input'!$AB$64="Forfait",IF(BD$20&gt;='01_Input'!$Z$64,'01_Input'!$AC$64,0),IF('01_Input'!$AB$64="Palier",IF(AND(BD$20&gt;='01_Input'!$Z$64,BD$20&lt;'01_Input'!$AA$64),'01_Input'!$AC$64,0),MAX(MIN(BD$20,'01_Input'!$AA$64)-'01_Input'!$Z$64,0)*'01_Input'!$AC$64)))))))))</f>
        <v>1392</v>
      </c>
      <c r="BE32" s="83">
        <f>IF('01_Input'!$C$64="Non",0,MIN('01_Input'!$I$64,MAX('01_Input'!$H$64,IF('01_Input'!$G$64="Résiduel vs Gestion",0,IF('01_Input'!$G$64="Taux Classe sélectionnée",Distrib_Global_Classe_Selectionnee*BE$20,IF('01_Input'!$G$64="Frais KYC (paliers de 100M€)",MAX(0,Nb_Investisseurs-Nb_KYC_Gratuites_Par_Tranche*(FLOOR(BE$20/Taille_Tranche_KYC,1)+1))*Cout_Par_KYC_Supplementaire,(IF('01_Input'!$L$64="Forfait",IF(BE$20&gt;='01_Input'!$J$64,'01_Input'!$M$64,0),IF('01_Input'!$L$64="Palier",IF(AND(BE$20&gt;='01_Input'!$J$64,BE$20&lt;'01_Input'!$K$64),'01_Input'!$M$64,0),MAX(MIN(BE$20,'01_Input'!$K$64)-'01_Input'!$J$64,0)*'01_Input'!$M$64))+IF('01_Input'!$P$64="Forfait",IF(BE$20&gt;='01_Input'!$N$64,'01_Input'!$Q$64,0),IF('01_Input'!$P$64="Palier",IF(AND(BE$20&gt;='01_Input'!$N$64,BE$20&lt;'01_Input'!$O$64),'01_Input'!$Q$64,0),MAX(MIN(BE$20,'01_Input'!$O$64)-'01_Input'!$N$64,0)*'01_Input'!$Q$64))+IF('01_Input'!$T$64="Forfait",IF(BE$20&gt;='01_Input'!$R$64,'01_Input'!$U$64,0),IF('01_Input'!$T$64="Palier",IF(AND(BE$20&gt;='01_Input'!$R$64,BE$20&lt;'01_Input'!$S$64),'01_Input'!$U$64,0),MAX(MIN(BE$20,'01_Input'!$S$64)-'01_Input'!$R$64,0)*'01_Input'!$U$64))+IF('01_Input'!$X$64="Forfait",IF(BE$20&gt;='01_Input'!$V$64,'01_Input'!$Y$64,0),IF('01_Input'!$X$64="Palier",IF(AND(BE$20&gt;='01_Input'!$V$64,BE$20&lt;'01_Input'!$W$64),'01_Input'!$Y$64,0),MAX(MIN(BE$20,'01_Input'!$W$64)-'01_Input'!$V$64,0)*'01_Input'!$Y$64))+IF('01_Input'!$AB$64="Forfait",IF(BE$20&gt;='01_Input'!$Z$64,'01_Input'!$AC$64,0),IF('01_Input'!$AB$64="Palier",IF(AND(BE$20&gt;='01_Input'!$Z$64,BE$20&lt;'01_Input'!$AA$64),'01_Input'!$AC$64,0),MAX(MIN(BE$20,'01_Input'!$AA$64)-'01_Input'!$Z$64,0)*'01_Input'!$AC$64)))))))))</f>
        <v>1392</v>
      </c>
      <c r="BF32" s="83">
        <f>IF('01_Input'!$C$64="Non",0,MIN('01_Input'!$I$64,MAX('01_Input'!$H$64,IF('01_Input'!$G$64="Résiduel vs Gestion",0,IF('01_Input'!$G$64="Taux Classe sélectionnée",Distrib_Global_Classe_Selectionnee*BF$20,IF('01_Input'!$G$64="Frais KYC (paliers de 100M€)",MAX(0,Nb_Investisseurs-Nb_KYC_Gratuites_Par_Tranche*(FLOOR(BF$20/Taille_Tranche_KYC,1)+1))*Cout_Par_KYC_Supplementaire,(IF('01_Input'!$L$64="Forfait",IF(BF$20&gt;='01_Input'!$J$64,'01_Input'!$M$64,0),IF('01_Input'!$L$64="Palier",IF(AND(BF$20&gt;='01_Input'!$J$64,BF$20&lt;'01_Input'!$K$64),'01_Input'!$M$64,0),MAX(MIN(BF$20,'01_Input'!$K$64)-'01_Input'!$J$64,0)*'01_Input'!$M$64))+IF('01_Input'!$P$64="Forfait",IF(BF$20&gt;='01_Input'!$N$64,'01_Input'!$Q$64,0),IF('01_Input'!$P$64="Palier",IF(AND(BF$20&gt;='01_Input'!$N$64,BF$20&lt;'01_Input'!$O$64),'01_Input'!$Q$64,0),MAX(MIN(BF$20,'01_Input'!$O$64)-'01_Input'!$N$64,0)*'01_Input'!$Q$64))+IF('01_Input'!$T$64="Forfait",IF(BF$20&gt;='01_Input'!$R$64,'01_Input'!$U$64,0),IF('01_Input'!$T$64="Palier",IF(AND(BF$20&gt;='01_Input'!$R$64,BF$20&lt;'01_Input'!$S$64),'01_Input'!$U$64,0),MAX(MIN(BF$20,'01_Input'!$S$64)-'01_Input'!$R$64,0)*'01_Input'!$U$64))+IF('01_Input'!$X$64="Forfait",IF(BF$20&gt;='01_Input'!$V$64,'01_Input'!$Y$64,0),IF('01_Input'!$X$64="Palier",IF(AND(BF$20&gt;='01_Input'!$V$64,BF$20&lt;'01_Input'!$W$64),'01_Input'!$Y$64,0),MAX(MIN(BF$20,'01_Input'!$W$64)-'01_Input'!$V$64,0)*'01_Input'!$Y$64))+IF('01_Input'!$AB$64="Forfait",IF(BF$20&gt;='01_Input'!$Z$64,'01_Input'!$AC$64,0),IF('01_Input'!$AB$64="Palier",IF(AND(BF$20&gt;='01_Input'!$Z$64,BF$20&lt;'01_Input'!$AA$64),'01_Input'!$AC$64,0),MAX(MIN(BF$20,'01_Input'!$AA$64)-'01_Input'!$Z$64,0)*'01_Input'!$AC$64)))))))))</f>
        <v>1392</v>
      </c>
      <c r="BG32" s="83">
        <f>IF('01_Input'!$C$64="Non",0,MIN('01_Input'!$I$64,MAX('01_Input'!$H$64,IF('01_Input'!$G$64="Résiduel vs Gestion",0,IF('01_Input'!$G$64="Taux Classe sélectionnée",Distrib_Global_Classe_Selectionnee*BG$20,IF('01_Input'!$G$64="Frais KYC (paliers de 100M€)",MAX(0,Nb_Investisseurs-Nb_KYC_Gratuites_Par_Tranche*(FLOOR(BG$20/Taille_Tranche_KYC,1)+1))*Cout_Par_KYC_Supplementaire,(IF('01_Input'!$L$64="Forfait",IF(BG$20&gt;='01_Input'!$J$64,'01_Input'!$M$64,0),IF('01_Input'!$L$64="Palier",IF(AND(BG$20&gt;='01_Input'!$J$64,BG$20&lt;'01_Input'!$K$64),'01_Input'!$M$64,0),MAX(MIN(BG$20,'01_Input'!$K$64)-'01_Input'!$J$64,0)*'01_Input'!$M$64))+IF('01_Input'!$P$64="Forfait",IF(BG$20&gt;='01_Input'!$N$64,'01_Input'!$Q$64,0),IF('01_Input'!$P$64="Palier",IF(AND(BG$20&gt;='01_Input'!$N$64,BG$20&lt;'01_Input'!$O$64),'01_Input'!$Q$64,0),MAX(MIN(BG$20,'01_Input'!$O$64)-'01_Input'!$N$64,0)*'01_Input'!$Q$64))+IF('01_Input'!$T$64="Forfait",IF(BG$20&gt;='01_Input'!$R$64,'01_Input'!$U$64,0),IF('01_Input'!$T$64="Palier",IF(AND(BG$20&gt;='01_Input'!$R$64,BG$20&lt;'01_Input'!$S$64),'01_Input'!$U$64,0),MAX(MIN(BG$20,'01_Input'!$S$64)-'01_Input'!$R$64,0)*'01_Input'!$U$64))+IF('01_Input'!$X$64="Forfait",IF(BG$20&gt;='01_Input'!$V$64,'01_Input'!$Y$64,0),IF('01_Input'!$X$64="Palier",IF(AND(BG$20&gt;='01_Input'!$V$64,BG$20&lt;'01_Input'!$W$64),'01_Input'!$Y$64,0),MAX(MIN(BG$20,'01_Input'!$W$64)-'01_Input'!$V$64,0)*'01_Input'!$Y$64))+IF('01_Input'!$AB$64="Forfait",IF(BG$20&gt;='01_Input'!$Z$64,'01_Input'!$AC$64,0),IF('01_Input'!$AB$64="Palier",IF(AND(BG$20&gt;='01_Input'!$Z$64,BG$20&lt;'01_Input'!$AA$64),'01_Input'!$AC$64,0),MAX(MIN(BG$20,'01_Input'!$AA$64)-'01_Input'!$Z$64,0)*'01_Input'!$AC$64)))))))))</f>
        <v>1392</v>
      </c>
      <c r="BH32" s="83">
        <f>IF('01_Input'!$C$64="Non",0,MIN('01_Input'!$I$64,MAX('01_Input'!$H$64,IF('01_Input'!$G$64="Résiduel vs Gestion",0,IF('01_Input'!$G$64="Taux Classe sélectionnée",Distrib_Global_Classe_Selectionnee*BH$20,IF('01_Input'!$G$64="Frais KYC (paliers de 100M€)",MAX(0,Nb_Investisseurs-Nb_KYC_Gratuites_Par_Tranche*(FLOOR(BH$20/Taille_Tranche_KYC,1)+1))*Cout_Par_KYC_Supplementaire,(IF('01_Input'!$L$64="Forfait",IF(BH$20&gt;='01_Input'!$J$64,'01_Input'!$M$64,0),IF('01_Input'!$L$64="Palier",IF(AND(BH$20&gt;='01_Input'!$J$64,BH$20&lt;'01_Input'!$K$64),'01_Input'!$M$64,0),MAX(MIN(BH$20,'01_Input'!$K$64)-'01_Input'!$J$64,0)*'01_Input'!$M$64))+IF('01_Input'!$P$64="Forfait",IF(BH$20&gt;='01_Input'!$N$64,'01_Input'!$Q$64,0),IF('01_Input'!$P$64="Palier",IF(AND(BH$20&gt;='01_Input'!$N$64,BH$20&lt;'01_Input'!$O$64),'01_Input'!$Q$64,0),MAX(MIN(BH$20,'01_Input'!$O$64)-'01_Input'!$N$64,0)*'01_Input'!$Q$64))+IF('01_Input'!$T$64="Forfait",IF(BH$20&gt;='01_Input'!$R$64,'01_Input'!$U$64,0),IF('01_Input'!$T$64="Palier",IF(AND(BH$20&gt;='01_Input'!$R$64,BH$20&lt;'01_Input'!$S$64),'01_Input'!$U$64,0),MAX(MIN(BH$20,'01_Input'!$S$64)-'01_Input'!$R$64,0)*'01_Input'!$U$64))+IF('01_Input'!$X$64="Forfait",IF(BH$20&gt;='01_Input'!$V$64,'01_Input'!$Y$64,0),IF('01_Input'!$X$64="Palier",IF(AND(BH$20&gt;='01_Input'!$V$64,BH$20&lt;'01_Input'!$W$64),'01_Input'!$Y$64,0),MAX(MIN(BH$20,'01_Input'!$W$64)-'01_Input'!$V$64,0)*'01_Input'!$Y$64))+IF('01_Input'!$AB$64="Forfait",IF(BH$20&gt;='01_Input'!$Z$64,'01_Input'!$AC$64,0),IF('01_Input'!$AB$64="Palier",IF(AND(BH$20&gt;='01_Input'!$Z$64,BH$20&lt;'01_Input'!$AA$64),'01_Input'!$AC$64,0),MAX(MIN(BH$20,'01_Input'!$AA$64)-'01_Input'!$Z$64,0)*'01_Input'!$AC$64)))))))))</f>
        <v>1392</v>
      </c>
      <c r="BI32" s="83">
        <f>IF('01_Input'!$C$64="Non",0,MIN('01_Input'!$I$64,MAX('01_Input'!$H$64,IF('01_Input'!$G$64="Résiduel vs Gestion",0,IF('01_Input'!$G$64="Taux Classe sélectionnée",Distrib_Global_Classe_Selectionnee*BI$20,IF('01_Input'!$G$64="Frais KYC (paliers de 100M€)",MAX(0,Nb_Investisseurs-Nb_KYC_Gratuites_Par_Tranche*(FLOOR(BI$20/Taille_Tranche_KYC,1)+1))*Cout_Par_KYC_Supplementaire,(IF('01_Input'!$L$64="Forfait",IF(BI$20&gt;='01_Input'!$J$64,'01_Input'!$M$64,0),IF('01_Input'!$L$64="Palier",IF(AND(BI$20&gt;='01_Input'!$J$64,BI$20&lt;'01_Input'!$K$64),'01_Input'!$M$64,0),MAX(MIN(BI$20,'01_Input'!$K$64)-'01_Input'!$J$64,0)*'01_Input'!$M$64))+IF('01_Input'!$P$64="Forfait",IF(BI$20&gt;='01_Input'!$N$64,'01_Input'!$Q$64,0),IF('01_Input'!$P$64="Palier",IF(AND(BI$20&gt;='01_Input'!$N$64,BI$20&lt;'01_Input'!$O$64),'01_Input'!$Q$64,0),MAX(MIN(BI$20,'01_Input'!$O$64)-'01_Input'!$N$64,0)*'01_Input'!$Q$64))+IF('01_Input'!$T$64="Forfait",IF(BI$20&gt;='01_Input'!$R$64,'01_Input'!$U$64,0),IF('01_Input'!$T$64="Palier",IF(AND(BI$20&gt;='01_Input'!$R$64,BI$20&lt;'01_Input'!$S$64),'01_Input'!$U$64,0),MAX(MIN(BI$20,'01_Input'!$S$64)-'01_Input'!$R$64,0)*'01_Input'!$U$64))+IF('01_Input'!$X$64="Forfait",IF(BI$20&gt;='01_Input'!$V$64,'01_Input'!$Y$64,0),IF('01_Input'!$X$64="Palier",IF(AND(BI$20&gt;='01_Input'!$V$64,BI$20&lt;'01_Input'!$W$64),'01_Input'!$Y$64,0),MAX(MIN(BI$20,'01_Input'!$W$64)-'01_Input'!$V$64,0)*'01_Input'!$Y$64))+IF('01_Input'!$AB$64="Forfait",IF(BI$20&gt;='01_Input'!$Z$64,'01_Input'!$AC$64,0),IF('01_Input'!$AB$64="Palier",IF(AND(BI$20&gt;='01_Input'!$Z$64,BI$20&lt;'01_Input'!$AA$64),'01_Input'!$AC$64,0),MAX(MIN(BI$20,'01_Input'!$AA$64)-'01_Input'!$Z$64,0)*'01_Input'!$AC$64)))))))))</f>
        <v>1392</v>
      </c>
      <c r="BJ32" s="83">
        <f>IF('01_Input'!$C$64="Non",0,MIN('01_Input'!$I$64,MAX('01_Input'!$H$64,IF('01_Input'!$G$64="Résiduel vs Gestion",0,IF('01_Input'!$G$64="Taux Classe sélectionnée",Distrib_Global_Classe_Selectionnee*BJ$20,IF('01_Input'!$G$64="Frais KYC (paliers de 100M€)",MAX(0,Nb_Investisseurs-Nb_KYC_Gratuites_Par_Tranche*(FLOOR(BJ$20/Taille_Tranche_KYC,1)+1))*Cout_Par_KYC_Supplementaire,(IF('01_Input'!$L$64="Forfait",IF(BJ$20&gt;='01_Input'!$J$64,'01_Input'!$M$64,0),IF('01_Input'!$L$64="Palier",IF(AND(BJ$20&gt;='01_Input'!$J$64,BJ$20&lt;'01_Input'!$K$64),'01_Input'!$M$64,0),MAX(MIN(BJ$20,'01_Input'!$K$64)-'01_Input'!$J$64,0)*'01_Input'!$M$64))+IF('01_Input'!$P$64="Forfait",IF(BJ$20&gt;='01_Input'!$N$64,'01_Input'!$Q$64,0),IF('01_Input'!$P$64="Palier",IF(AND(BJ$20&gt;='01_Input'!$N$64,BJ$20&lt;'01_Input'!$O$64),'01_Input'!$Q$64,0),MAX(MIN(BJ$20,'01_Input'!$O$64)-'01_Input'!$N$64,0)*'01_Input'!$Q$64))+IF('01_Input'!$T$64="Forfait",IF(BJ$20&gt;='01_Input'!$R$64,'01_Input'!$U$64,0),IF('01_Input'!$T$64="Palier",IF(AND(BJ$20&gt;='01_Input'!$R$64,BJ$20&lt;'01_Input'!$S$64),'01_Input'!$U$64,0),MAX(MIN(BJ$20,'01_Input'!$S$64)-'01_Input'!$R$64,0)*'01_Input'!$U$64))+IF('01_Input'!$X$64="Forfait",IF(BJ$20&gt;='01_Input'!$V$64,'01_Input'!$Y$64,0),IF('01_Input'!$X$64="Palier",IF(AND(BJ$20&gt;='01_Input'!$V$64,BJ$20&lt;'01_Input'!$W$64),'01_Input'!$Y$64,0),MAX(MIN(BJ$20,'01_Input'!$W$64)-'01_Input'!$V$64,0)*'01_Input'!$Y$64))+IF('01_Input'!$AB$64="Forfait",IF(BJ$20&gt;='01_Input'!$Z$64,'01_Input'!$AC$64,0),IF('01_Input'!$AB$64="Palier",IF(AND(BJ$20&gt;='01_Input'!$Z$64,BJ$20&lt;'01_Input'!$AA$64),'01_Input'!$AC$64,0),MAX(MIN(BJ$20,'01_Input'!$AA$64)-'01_Input'!$Z$64,0)*'01_Input'!$AC$64)))))))))</f>
        <v>1392</v>
      </c>
      <c r="BK32" s="83">
        <f>IF('01_Input'!$C$64="Non",0,MIN('01_Input'!$I$64,MAX('01_Input'!$H$64,IF('01_Input'!$G$64="Résiduel vs Gestion",0,IF('01_Input'!$G$64="Taux Classe sélectionnée",Distrib_Global_Classe_Selectionnee*BK$20,IF('01_Input'!$G$64="Frais KYC (paliers de 100M€)",MAX(0,Nb_Investisseurs-Nb_KYC_Gratuites_Par_Tranche*(FLOOR(BK$20/Taille_Tranche_KYC,1)+1))*Cout_Par_KYC_Supplementaire,(IF('01_Input'!$L$64="Forfait",IF(BK$20&gt;='01_Input'!$J$64,'01_Input'!$M$64,0),IF('01_Input'!$L$64="Palier",IF(AND(BK$20&gt;='01_Input'!$J$64,BK$20&lt;'01_Input'!$K$64),'01_Input'!$M$64,0),MAX(MIN(BK$20,'01_Input'!$K$64)-'01_Input'!$J$64,0)*'01_Input'!$M$64))+IF('01_Input'!$P$64="Forfait",IF(BK$20&gt;='01_Input'!$N$64,'01_Input'!$Q$64,0),IF('01_Input'!$P$64="Palier",IF(AND(BK$20&gt;='01_Input'!$N$64,BK$20&lt;'01_Input'!$O$64),'01_Input'!$Q$64,0),MAX(MIN(BK$20,'01_Input'!$O$64)-'01_Input'!$N$64,0)*'01_Input'!$Q$64))+IF('01_Input'!$T$64="Forfait",IF(BK$20&gt;='01_Input'!$R$64,'01_Input'!$U$64,0),IF('01_Input'!$T$64="Palier",IF(AND(BK$20&gt;='01_Input'!$R$64,BK$20&lt;'01_Input'!$S$64),'01_Input'!$U$64,0),MAX(MIN(BK$20,'01_Input'!$S$64)-'01_Input'!$R$64,0)*'01_Input'!$U$64))+IF('01_Input'!$X$64="Forfait",IF(BK$20&gt;='01_Input'!$V$64,'01_Input'!$Y$64,0),IF('01_Input'!$X$64="Palier",IF(AND(BK$20&gt;='01_Input'!$V$64,BK$20&lt;'01_Input'!$W$64),'01_Input'!$Y$64,0),MAX(MIN(BK$20,'01_Input'!$W$64)-'01_Input'!$V$64,0)*'01_Input'!$Y$64))+IF('01_Input'!$AB$64="Forfait",IF(BK$20&gt;='01_Input'!$Z$64,'01_Input'!$AC$64,0),IF('01_Input'!$AB$64="Palier",IF(AND(BK$20&gt;='01_Input'!$Z$64,BK$20&lt;'01_Input'!$AA$64),'01_Input'!$AC$64,0),MAX(MIN(BK$20,'01_Input'!$AA$64)-'01_Input'!$Z$64,0)*'01_Input'!$AC$64)))))))))</f>
        <v>1392</v>
      </c>
      <c r="BL32" s="83">
        <f>IF('01_Input'!$C$64="Non",0,MIN('01_Input'!$I$64,MAX('01_Input'!$H$64,IF('01_Input'!$G$64="Résiduel vs Gestion",0,IF('01_Input'!$G$64="Taux Classe sélectionnée",Distrib_Global_Classe_Selectionnee*BL$20,IF('01_Input'!$G$64="Frais KYC (paliers de 100M€)",MAX(0,Nb_Investisseurs-Nb_KYC_Gratuites_Par_Tranche*(FLOOR(BL$20/Taille_Tranche_KYC,1)+1))*Cout_Par_KYC_Supplementaire,(IF('01_Input'!$L$64="Forfait",IF(BL$20&gt;='01_Input'!$J$64,'01_Input'!$M$64,0),IF('01_Input'!$L$64="Palier",IF(AND(BL$20&gt;='01_Input'!$J$64,BL$20&lt;'01_Input'!$K$64),'01_Input'!$M$64,0),MAX(MIN(BL$20,'01_Input'!$K$64)-'01_Input'!$J$64,0)*'01_Input'!$M$64))+IF('01_Input'!$P$64="Forfait",IF(BL$20&gt;='01_Input'!$N$64,'01_Input'!$Q$64,0),IF('01_Input'!$P$64="Palier",IF(AND(BL$20&gt;='01_Input'!$N$64,BL$20&lt;'01_Input'!$O$64),'01_Input'!$Q$64,0),MAX(MIN(BL$20,'01_Input'!$O$64)-'01_Input'!$N$64,0)*'01_Input'!$Q$64))+IF('01_Input'!$T$64="Forfait",IF(BL$20&gt;='01_Input'!$R$64,'01_Input'!$U$64,0),IF('01_Input'!$T$64="Palier",IF(AND(BL$20&gt;='01_Input'!$R$64,BL$20&lt;'01_Input'!$S$64),'01_Input'!$U$64,0),MAX(MIN(BL$20,'01_Input'!$S$64)-'01_Input'!$R$64,0)*'01_Input'!$U$64))+IF('01_Input'!$X$64="Forfait",IF(BL$20&gt;='01_Input'!$V$64,'01_Input'!$Y$64,0),IF('01_Input'!$X$64="Palier",IF(AND(BL$20&gt;='01_Input'!$V$64,BL$20&lt;'01_Input'!$W$64),'01_Input'!$Y$64,0),MAX(MIN(BL$20,'01_Input'!$W$64)-'01_Input'!$V$64,0)*'01_Input'!$Y$64))+IF('01_Input'!$AB$64="Forfait",IF(BL$20&gt;='01_Input'!$Z$64,'01_Input'!$AC$64,0),IF('01_Input'!$AB$64="Palier",IF(AND(BL$20&gt;='01_Input'!$Z$64,BL$20&lt;'01_Input'!$AA$64),'01_Input'!$AC$64,0),MAX(MIN(BL$20,'01_Input'!$AA$64)-'01_Input'!$Z$64,0)*'01_Input'!$AC$64)))))))))</f>
        <v>1392</v>
      </c>
      <c r="BM32" s="83">
        <f>IF('01_Input'!$C$64="Non",0,MIN('01_Input'!$I$64,MAX('01_Input'!$H$64,IF('01_Input'!$G$64="Résiduel vs Gestion",0,IF('01_Input'!$G$64="Taux Classe sélectionnée",Distrib_Global_Classe_Selectionnee*BM$20,IF('01_Input'!$G$64="Frais KYC (paliers de 100M€)",MAX(0,Nb_Investisseurs-Nb_KYC_Gratuites_Par_Tranche*(FLOOR(BM$20/Taille_Tranche_KYC,1)+1))*Cout_Par_KYC_Supplementaire,(IF('01_Input'!$L$64="Forfait",IF(BM$20&gt;='01_Input'!$J$64,'01_Input'!$M$64,0),IF('01_Input'!$L$64="Palier",IF(AND(BM$20&gt;='01_Input'!$J$64,BM$20&lt;'01_Input'!$K$64),'01_Input'!$M$64,0),MAX(MIN(BM$20,'01_Input'!$K$64)-'01_Input'!$J$64,0)*'01_Input'!$M$64))+IF('01_Input'!$P$64="Forfait",IF(BM$20&gt;='01_Input'!$N$64,'01_Input'!$Q$64,0),IF('01_Input'!$P$64="Palier",IF(AND(BM$20&gt;='01_Input'!$N$64,BM$20&lt;'01_Input'!$O$64),'01_Input'!$Q$64,0),MAX(MIN(BM$20,'01_Input'!$O$64)-'01_Input'!$N$64,0)*'01_Input'!$Q$64))+IF('01_Input'!$T$64="Forfait",IF(BM$20&gt;='01_Input'!$R$64,'01_Input'!$U$64,0),IF('01_Input'!$T$64="Palier",IF(AND(BM$20&gt;='01_Input'!$R$64,BM$20&lt;'01_Input'!$S$64),'01_Input'!$U$64,0),MAX(MIN(BM$20,'01_Input'!$S$64)-'01_Input'!$R$64,0)*'01_Input'!$U$64))+IF('01_Input'!$X$64="Forfait",IF(BM$20&gt;='01_Input'!$V$64,'01_Input'!$Y$64,0),IF('01_Input'!$X$64="Palier",IF(AND(BM$20&gt;='01_Input'!$V$64,BM$20&lt;'01_Input'!$W$64),'01_Input'!$Y$64,0),MAX(MIN(BM$20,'01_Input'!$W$64)-'01_Input'!$V$64,0)*'01_Input'!$Y$64))+IF('01_Input'!$AB$64="Forfait",IF(BM$20&gt;='01_Input'!$Z$64,'01_Input'!$AC$64,0),IF('01_Input'!$AB$64="Palier",IF(AND(BM$20&gt;='01_Input'!$Z$64,BM$20&lt;'01_Input'!$AA$64),'01_Input'!$AC$64,0),MAX(MIN(BM$20,'01_Input'!$AA$64)-'01_Input'!$Z$64,0)*'01_Input'!$AC$64)))))))))</f>
        <v>1392</v>
      </c>
      <c r="BN32" s="83">
        <f>IF('01_Input'!$C$64="Non",0,MIN('01_Input'!$I$64,MAX('01_Input'!$H$64,IF('01_Input'!$G$64="Résiduel vs Gestion",0,IF('01_Input'!$G$64="Taux Classe sélectionnée",Distrib_Global_Classe_Selectionnee*BN$20,IF('01_Input'!$G$64="Frais KYC (paliers de 100M€)",MAX(0,Nb_Investisseurs-Nb_KYC_Gratuites_Par_Tranche*(FLOOR(BN$20/Taille_Tranche_KYC,1)+1))*Cout_Par_KYC_Supplementaire,(IF('01_Input'!$L$64="Forfait",IF(BN$20&gt;='01_Input'!$J$64,'01_Input'!$M$64,0),IF('01_Input'!$L$64="Palier",IF(AND(BN$20&gt;='01_Input'!$J$64,BN$20&lt;'01_Input'!$K$64),'01_Input'!$M$64,0),MAX(MIN(BN$20,'01_Input'!$K$64)-'01_Input'!$J$64,0)*'01_Input'!$M$64))+IF('01_Input'!$P$64="Forfait",IF(BN$20&gt;='01_Input'!$N$64,'01_Input'!$Q$64,0),IF('01_Input'!$P$64="Palier",IF(AND(BN$20&gt;='01_Input'!$N$64,BN$20&lt;'01_Input'!$O$64),'01_Input'!$Q$64,0),MAX(MIN(BN$20,'01_Input'!$O$64)-'01_Input'!$N$64,0)*'01_Input'!$Q$64))+IF('01_Input'!$T$64="Forfait",IF(BN$20&gt;='01_Input'!$R$64,'01_Input'!$U$64,0),IF('01_Input'!$T$64="Palier",IF(AND(BN$20&gt;='01_Input'!$R$64,BN$20&lt;'01_Input'!$S$64),'01_Input'!$U$64,0),MAX(MIN(BN$20,'01_Input'!$S$64)-'01_Input'!$R$64,0)*'01_Input'!$U$64))+IF('01_Input'!$X$64="Forfait",IF(BN$20&gt;='01_Input'!$V$64,'01_Input'!$Y$64,0),IF('01_Input'!$X$64="Palier",IF(AND(BN$20&gt;='01_Input'!$V$64,BN$20&lt;'01_Input'!$W$64),'01_Input'!$Y$64,0),MAX(MIN(BN$20,'01_Input'!$W$64)-'01_Input'!$V$64,0)*'01_Input'!$Y$64))+IF('01_Input'!$AB$64="Forfait",IF(BN$20&gt;='01_Input'!$Z$64,'01_Input'!$AC$64,0),IF('01_Input'!$AB$64="Palier",IF(AND(BN$20&gt;='01_Input'!$Z$64,BN$20&lt;'01_Input'!$AA$64),'01_Input'!$AC$64,0),MAX(MIN(BN$20,'01_Input'!$AA$64)-'01_Input'!$Z$64,0)*'01_Input'!$AC$64)))))))))</f>
        <v>1392</v>
      </c>
      <c r="BO32" s="83">
        <f>IF('01_Input'!$C$64="Non",0,MIN('01_Input'!$I$64,MAX('01_Input'!$H$64,IF('01_Input'!$G$64="Résiduel vs Gestion",0,IF('01_Input'!$G$64="Taux Classe sélectionnée",Distrib_Global_Classe_Selectionnee*BO$20,IF('01_Input'!$G$64="Frais KYC (paliers de 100M€)",MAX(0,Nb_Investisseurs-Nb_KYC_Gratuites_Par_Tranche*(FLOOR(BO$20/Taille_Tranche_KYC,1)+1))*Cout_Par_KYC_Supplementaire,(IF('01_Input'!$L$64="Forfait",IF(BO$20&gt;='01_Input'!$J$64,'01_Input'!$M$64,0),IF('01_Input'!$L$64="Palier",IF(AND(BO$20&gt;='01_Input'!$J$64,BO$20&lt;'01_Input'!$K$64),'01_Input'!$M$64,0),MAX(MIN(BO$20,'01_Input'!$K$64)-'01_Input'!$J$64,0)*'01_Input'!$M$64))+IF('01_Input'!$P$64="Forfait",IF(BO$20&gt;='01_Input'!$N$64,'01_Input'!$Q$64,0),IF('01_Input'!$P$64="Palier",IF(AND(BO$20&gt;='01_Input'!$N$64,BO$20&lt;'01_Input'!$O$64),'01_Input'!$Q$64,0),MAX(MIN(BO$20,'01_Input'!$O$64)-'01_Input'!$N$64,0)*'01_Input'!$Q$64))+IF('01_Input'!$T$64="Forfait",IF(BO$20&gt;='01_Input'!$R$64,'01_Input'!$U$64,0),IF('01_Input'!$T$64="Palier",IF(AND(BO$20&gt;='01_Input'!$R$64,BO$20&lt;'01_Input'!$S$64),'01_Input'!$U$64,0),MAX(MIN(BO$20,'01_Input'!$S$64)-'01_Input'!$R$64,0)*'01_Input'!$U$64))+IF('01_Input'!$X$64="Forfait",IF(BO$20&gt;='01_Input'!$V$64,'01_Input'!$Y$64,0),IF('01_Input'!$X$64="Palier",IF(AND(BO$20&gt;='01_Input'!$V$64,BO$20&lt;'01_Input'!$W$64),'01_Input'!$Y$64,0),MAX(MIN(BO$20,'01_Input'!$W$64)-'01_Input'!$V$64,0)*'01_Input'!$Y$64))+IF('01_Input'!$AB$64="Forfait",IF(BO$20&gt;='01_Input'!$Z$64,'01_Input'!$AC$64,0),IF('01_Input'!$AB$64="Palier",IF(AND(BO$20&gt;='01_Input'!$Z$64,BO$20&lt;'01_Input'!$AA$64),'01_Input'!$AC$64,0),MAX(MIN(BO$20,'01_Input'!$AA$64)-'01_Input'!$Z$64,0)*'01_Input'!$AC$64)))))))))</f>
        <v>1392</v>
      </c>
      <c r="BP32" s="83">
        <f>IF('01_Input'!$C$64="Non",0,MIN('01_Input'!$I$64,MAX('01_Input'!$H$64,IF('01_Input'!$G$64="Résiduel vs Gestion",0,IF('01_Input'!$G$64="Taux Classe sélectionnée",Distrib_Global_Classe_Selectionnee*BP$20,IF('01_Input'!$G$64="Frais KYC (paliers de 100M€)",MAX(0,Nb_Investisseurs-Nb_KYC_Gratuites_Par_Tranche*(FLOOR(BP$20/Taille_Tranche_KYC,1)+1))*Cout_Par_KYC_Supplementaire,(IF('01_Input'!$L$64="Forfait",IF(BP$20&gt;='01_Input'!$J$64,'01_Input'!$M$64,0),IF('01_Input'!$L$64="Palier",IF(AND(BP$20&gt;='01_Input'!$J$64,BP$20&lt;'01_Input'!$K$64),'01_Input'!$M$64,0),MAX(MIN(BP$20,'01_Input'!$K$64)-'01_Input'!$J$64,0)*'01_Input'!$M$64))+IF('01_Input'!$P$64="Forfait",IF(BP$20&gt;='01_Input'!$N$64,'01_Input'!$Q$64,0),IF('01_Input'!$P$64="Palier",IF(AND(BP$20&gt;='01_Input'!$N$64,BP$20&lt;'01_Input'!$O$64),'01_Input'!$Q$64,0),MAX(MIN(BP$20,'01_Input'!$O$64)-'01_Input'!$N$64,0)*'01_Input'!$Q$64))+IF('01_Input'!$T$64="Forfait",IF(BP$20&gt;='01_Input'!$R$64,'01_Input'!$U$64,0),IF('01_Input'!$T$64="Palier",IF(AND(BP$20&gt;='01_Input'!$R$64,BP$20&lt;'01_Input'!$S$64),'01_Input'!$U$64,0),MAX(MIN(BP$20,'01_Input'!$S$64)-'01_Input'!$R$64,0)*'01_Input'!$U$64))+IF('01_Input'!$X$64="Forfait",IF(BP$20&gt;='01_Input'!$V$64,'01_Input'!$Y$64,0),IF('01_Input'!$X$64="Palier",IF(AND(BP$20&gt;='01_Input'!$V$64,BP$20&lt;'01_Input'!$W$64),'01_Input'!$Y$64,0),MAX(MIN(BP$20,'01_Input'!$W$64)-'01_Input'!$V$64,0)*'01_Input'!$Y$64))+IF('01_Input'!$AB$64="Forfait",IF(BP$20&gt;='01_Input'!$Z$64,'01_Input'!$AC$64,0),IF('01_Input'!$AB$64="Palier",IF(AND(BP$20&gt;='01_Input'!$Z$64,BP$20&lt;'01_Input'!$AA$64),'01_Input'!$AC$64,0),MAX(MIN(BP$20,'01_Input'!$AA$64)-'01_Input'!$Z$64,0)*'01_Input'!$AC$64)))))))))</f>
        <v>1392</v>
      </c>
      <c r="BQ32" s="83">
        <f>IF('01_Input'!$C$64="Non",0,MIN('01_Input'!$I$64,MAX('01_Input'!$H$64,IF('01_Input'!$G$64="Résiduel vs Gestion",0,IF('01_Input'!$G$64="Taux Classe sélectionnée",Distrib_Global_Classe_Selectionnee*BQ$20,IF('01_Input'!$G$64="Frais KYC (paliers de 100M€)",MAX(0,Nb_Investisseurs-Nb_KYC_Gratuites_Par_Tranche*(FLOOR(BQ$20/Taille_Tranche_KYC,1)+1))*Cout_Par_KYC_Supplementaire,(IF('01_Input'!$L$64="Forfait",IF(BQ$20&gt;='01_Input'!$J$64,'01_Input'!$M$64,0),IF('01_Input'!$L$64="Palier",IF(AND(BQ$20&gt;='01_Input'!$J$64,BQ$20&lt;'01_Input'!$K$64),'01_Input'!$M$64,0),MAX(MIN(BQ$20,'01_Input'!$K$64)-'01_Input'!$J$64,0)*'01_Input'!$M$64))+IF('01_Input'!$P$64="Forfait",IF(BQ$20&gt;='01_Input'!$N$64,'01_Input'!$Q$64,0),IF('01_Input'!$P$64="Palier",IF(AND(BQ$20&gt;='01_Input'!$N$64,BQ$20&lt;'01_Input'!$O$64),'01_Input'!$Q$64,0),MAX(MIN(BQ$20,'01_Input'!$O$64)-'01_Input'!$N$64,0)*'01_Input'!$Q$64))+IF('01_Input'!$T$64="Forfait",IF(BQ$20&gt;='01_Input'!$R$64,'01_Input'!$U$64,0),IF('01_Input'!$T$64="Palier",IF(AND(BQ$20&gt;='01_Input'!$R$64,BQ$20&lt;'01_Input'!$S$64),'01_Input'!$U$64,0),MAX(MIN(BQ$20,'01_Input'!$S$64)-'01_Input'!$R$64,0)*'01_Input'!$U$64))+IF('01_Input'!$X$64="Forfait",IF(BQ$20&gt;='01_Input'!$V$64,'01_Input'!$Y$64,0),IF('01_Input'!$X$64="Palier",IF(AND(BQ$20&gt;='01_Input'!$V$64,BQ$20&lt;'01_Input'!$W$64),'01_Input'!$Y$64,0),MAX(MIN(BQ$20,'01_Input'!$W$64)-'01_Input'!$V$64,0)*'01_Input'!$Y$64))+IF('01_Input'!$AB$64="Forfait",IF(BQ$20&gt;='01_Input'!$Z$64,'01_Input'!$AC$64,0),IF('01_Input'!$AB$64="Palier",IF(AND(BQ$20&gt;='01_Input'!$Z$64,BQ$20&lt;'01_Input'!$AA$64),'01_Input'!$AC$64,0),MAX(MIN(BQ$20,'01_Input'!$AA$64)-'01_Input'!$Z$64,0)*'01_Input'!$AC$64)))))))))</f>
        <v>1392</v>
      </c>
      <c r="BR32" s="83">
        <f>IF('01_Input'!$C$64="Non",0,MIN('01_Input'!$I$64,MAX('01_Input'!$H$64,IF('01_Input'!$G$64="Résiduel vs Gestion",0,IF('01_Input'!$G$64="Taux Classe sélectionnée",Distrib_Global_Classe_Selectionnee*BR$20,IF('01_Input'!$G$64="Frais KYC (paliers de 100M€)",MAX(0,Nb_Investisseurs-Nb_KYC_Gratuites_Par_Tranche*(FLOOR(BR$20/Taille_Tranche_KYC,1)+1))*Cout_Par_KYC_Supplementaire,(IF('01_Input'!$L$64="Forfait",IF(BR$20&gt;='01_Input'!$J$64,'01_Input'!$M$64,0),IF('01_Input'!$L$64="Palier",IF(AND(BR$20&gt;='01_Input'!$J$64,BR$20&lt;'01_Input'!$K$64),'01_Input'!$M$64,0),MAX(MIN(BR$20,'01_Input'!$K$64)-'01_Input'!$J$64,0)*'01_Input'!$M$64))+IF('01_Input'!$P$64="Forfait",IF(BR$20&gt;='01_Input'!$N$64,'01_Input'!$Q$64,0),IF('01_Input'!$P$64="Palier",IF(AND(BR$20&gt;='01_Input'!$N$64,BR$20&lt;'01_Input'!$O$64),'01_Input'!$Q$64,0),MAX(MIN(BR$20,'01_Input'!$O$64)-'01_Input'!$N$64,0)*'01_Input'!$Q$64))+IF('01_Input'!$T$64="Forfait",IF(BR$20&gt;='01_Input'!$R$64,'01_Input'!$U$64,0),IF('01_Input'!$T$64="Palier",IF(AND(BR$20&gt;='01_Input'!$R$64,BR$20&lt;'01_Input'!$S$64),'01_Input'!$U$64,0),MAX(MIN(BR$20,'01_Input'!$S$64)-'01_Input'!$R$64,0)*'01_Input'!$U$64))+IF('01_Input'!$X$64="Forfait",IF(BR$20&gt;='01_Input'!$V$64,'01_Input'!$Y$64,0),IF('01_Input'!$X$64="Palier",IF(AND(BR$20&gt;='01_Input'!$V$64,BR$20&lt;'01_Input'!$W$64),'01_Input'!$Y$64,0),MAX(MIN(BR$20,'01_Input'!$W$64)-'01_Input'!$V$64,0)*'01_Input'!$Y$64))+IF('01_Input'!$AB$64="Forfait",IF(BR$20&gt;='01_Input'!$Z$64,'01_Input'!$AC$64,0),IF('01_Input'!$AB$64="Palier",IF(AND(BR$20&gt;='01_Input'!$Z$64,BR$20&lt;'01_Input'!$AA$64),'01_Input'!$AC$64,0),MAX(MIN(BR$20,'01_Input'!$AA$64)-'01_Input'!$Z$64,0)*'01_Input'!$AC$64)))))))))</f>
        <v>1392</v>
      </c>
      <c r="BS32" s="83">
        <f>IF('01_Input'!$C$64="Non",0,MIN('01_Input'!$I$64,MAX('01_Input'!$H$64,IF('01_Input'!$G$64="Résiduel vs Gestion",0,IF('01_Input'!$G$64="Taux Classe sélectionnée",Distrib_Global_Classe_Selectionnee*BS$20,IF('01_Input'!$G$64="Frais KYC (paliers de 100M€)",MAX(0,Nb_Investisseurs-Nb_KYC_Gratuites_Par_Tranche*(FLOOR(BS$20/Taille_Tranche_KYC,1)+1))*Cout_Par_KYC_Supplementaire,(IF('01_Input'!$L$64="Forfait",IF(BS$20&gt;='01_Input'!$J$64,'01_Input'!$M$64,0),IF('01_Input'!$L$64="Palier",IF(AND(BS$20&gt;='01_Input'!$J$64,BS$20&lt;'01_Input'!$K$64),'01_Input'!$M$64,0),MAX(MIN(BS$20,'01_Input'!$K$64)-'01_Input'!$J$64,0)*'01_Input'!$M$64))+IF('01_Input'!$P$64="Forfait",IF(BS$20&gt;='01_Input'!$N$64,'01_Input'!$Q$64,0),IF('01_Input'!$P$64="Palier",IF(AND(BS$20&gt;='01_Input'!$N$64,BS$20&lt;'01_Input'!$O$64),'01_Input'!$Q$64,0),MAX(MIN(BS$20,'01_Input'!$O$64)-'01_Input'!$N$64,0)*'01_Input'!$Q$64))+IF('01_Input'!$T$64="Forfait",IF(BS$20&gt;='01_Input'!$R$64,'01_Input'!$U$64,0),IF('01_Input'!$T$64="Palier",IF(AND(BS$20&gt;='01_Input'!$R$64,BS$20&lt;'01_Input'!$S$64),'01_Input'!$U$64,0),MAX(MIN(BS$20,'01_Input'!$S$64)-'01_Input'!$R$64,0)*'01_Input'!$U$64))+IF('01_Input'!$X$64="Forfait",IF(BS$20&gt;='01_Input'!$V$64,'01_Input'!$Y$64,0),IF('01_Input'!$X$64="Palier",IF(AND(BS$20&gt;='01_Input'!$V$64,BS$20&lt;'01_Input'!$W$64),'01_Input'!$Y$64,0),MAX(MIN(BS$20,'01_Input'!$W$64)-'01_Input'!$V$64,0)*'01_Input'!$Y$64))+IF('01_Input'!$AB$64="Forfait",IF(BS$20&gt;='01_Input'!$Z$64,'01_Input'!$AC$64,0),IF('01_Input'!$AB$64="Palier",IF(AND(BS$20&gt;='01_Input'!$Z$64,BS$20&lt;'01_Input'!$AA$64),'01_Input'!$AC$64,0),MAX(MIN(BS$20,'01_Input'!$AA$64)-'01_Input'!$Z$64,0)*'01_Input'!$AC$64)))))))))</f>
        <v>1392</v>
      </c>
      <c r="BT32" s="83">
        <f>IF('01_Input'!$C$64="Non",0,MIN('01_Input'!$I$64,MAX('01_Input'!$H$64,IF('01_Input'!$G$64="Résiduel vs Gestion",0,IF('01_Input'!$G$64="Taux Classe sélectionnée",Distrib_Global_Classe_Selectionnee*BT$20,IF('01_Input'!$G$64="Frais KYC (paliers de 100M€)",MAX(0,Nb_Investisseurs-Nb_KYC_Gratuites_Par_Tranche*(FLOOR(BT$20/Taille_Tranche_KYC,1)+1))*Cout_Par_KYC_Supplementaire,(IF('01_Input'!$L$64="Forfait",IF(BT$20&gt;='01_Input'!$J$64,'01_Input'!$M$64,0),IF('01_Input'!$L$64="Palier",IF(AND(BT$20&gt;='01_Input'!$J$64,BT$20&lt;'01_Input'!$K$64),'01_Input'!$M$64,0),MAX(MIN(BT$20,'01_Input'!$K$64)-'01_Input'!$J$64,0)*'01_Input'!$M$64))+IF('01_Input'!$P$64="Forfait",IF(BT$20&gt;='01_Input'!$N$64,'01_Input'!$Q$64,0),IF('01_Input'!$P$64="Palier",IF(AND(BT$20&gt;='01_Input'!$N$64,BT$20&lt;'01_Input'!$O$64),'01_Input'!$Q$64,0),MAX(MIN(BT$20,'01_Input'!$O$64)-'01_Input'!$N$64,0)*'01_Input'!$Q$64))+IF('01_Input'!$T$64="Forfait",IF(BT$20&gt;='01_Input'!$R$64,'01_Input'!$U$64,0),IF('01_Input'!$T$64="Palier",IF(AND(BT$20&gt;='01_Input'!$R$64,BT$20&lt;'01_Input'!$S$64),'01_Input'!$U$64,0),MAX(MIN(BT$20,'01_Input'!$S$64)-'01_Input'!$R$64,0)*'01_Input'!$U$64))+IF('01_Input'!$X$64="Forfait",IF(BT$20&gt;='01_Input'!$V$64,'01_Input'!$Y$64,0),IF('01_Input'!$X$64="Palier",IF(AND(BT$20&gt;='01_Input'!$V$64,BT$20&lt;'01_Input'!$W$64),'01_Input'!$Y$64,0),MAX(MIN(BT$20,'01_Input'!$W$64)-'01_Input'!$V$64,0)*'01_Input'!$Y$64))+IF('01_Input'!$AB$64="Forfait",IF(BT$20&gt;='01_Input'!$Z$64,'01_Input'!$AC$64,0),IF('01_Input'!$AB$64="Palier",IF(AND(BT$20&gt;='01_Input'!$Z$64,BT$20&lt;'01_Input'!$AA$64),'01_Input'!$AC$64,0),MAX(MIN(BT$20,'01_Input'!$AA$64)-'01_Input'!$Z$64,0)*'01_Input'!$AC$64)))))))))</f>
        <v>1392</v>
      </c>
      <c r="BU32" s="83">
        <f>IF('01_Input'!$C$64="Non",0,MIN('01_Input'!$I$64,MAX('01_Input'!$H$64,IF('01_Input'!$G$64="Résiduel vs Gestion",0,IF('01_Input'!$G$64="Taux Classe sélectionnée",Distrib_Global_Classe_Selectionnee*BU$20,IF('01_Input'!$G$64="Frais KYC (paliers de 100M€)",MAX(0,Nb_Investisseurs-Nb_KYC_Gratuites_Par_Tranche*(FLOOR(BU$20/Taille_Tranche_KYC,1)+1))*Cout_Par_KYC_Supplementaire,(IF('01_Input'!$L$64="Forfait",IF(BU$20&gt;='01_Input'!$J$64,'01_Input'!$M$64,0),IF('01_Input'!$L$64="Palier",IF(AND(BU$20&gt;='01_Input'!$J$64,BU$20&lt;'01_Input'!$K$64),'01_Input'!$M$64,0),MAX(MIN(BU$20,'01_Input'!$K$64)-'01_Input'!$J$64,0)*'01_Input'!$M$64))+IF('01_Input'!$P$64="Forfait",IF(BU$20&gt;='01_Input'!$N$64,'01_Input'!$Q$64,0),IF('01_Input'!$P$64="Palier",IF(AND(BU$20&gt;='01_Input'!$N$64,BU$20&lt;'01_Input'!$O$64),'01_Input'!$Q$64,0),MAX(MIN(BU$20,'01_Input'!$O$64)-'01_Input'!$N$64,0)*'01_Input'!$Q$64))+IF('01_Input'!$T$64="Forfait",IF(BU$20&gt;='01_Input'!$R$64,'01_Input'!$U$64,0),IF('01_Input'!$T$64="Palier",IF(AND(BU$20&gt;='01_Input'!$R$64,BU$20&lt;'01_Input'!$S$64),'01_Input'!$U$64,0),MAX(MIN(BU$20,'01_Input'!$S$64)-'01_Input'!$R$64,0)*'01_Input'!$U$64))+IF('01_Input'!$X$64="Forfait",IF(BU$20&gt;='01_Input'!$V$64,'01_Input'!$Y$64,0),IF('01_Input'!$X$64="Palier",IF(AND(BU$20&gt;='01_Input'!$V$64,BU$20&lt;'01_Input'!$W$64),'01_Input'!$Y$64,0),MAX(MIN(BU$20,'01_Input'!$W$64)-'01_Input'!$V$64,0)*'01_Input'!$Y$64))+IF('01_Input'!$AB$64="Forfait",IF(BU$20&gt;='01_Input'!$Z$64,'01_Input'!$AC$64,0),IF('01_Input'!$AB$64="Palier",IF(AND(BU$20&gt;='01_Input'!$Z$64,BU$20&lt;'01_Input'!$AA$64),'01_Input'!$AC$64,0),MAX(MIN(BU$20,'01_Input'!$AA$64)-'01_Input'!$Z$64,0)*'01_Input'!$AC$64)))))))))</f>
        <v>1392</v>
      </c>
      <c r="BV32" s="83">
        <f>IF('01_Input'!$C$64="Non",0,MIN('01_Input'!$I$64,MAX('01_Input'!$H$64,IF('01_Input'!$G$64="Résiduel vs Gestion",0,IF('01_Input'!$G$64="Taux Classe sélectionnée",Distrib_Global_Classe_Selectionnee*BV$20,IF('01_Input'!$G$64="Frais KYC (paliers de 100M€)",MAX(0,Nb_Investisseurs-Nb_KYC_Gratuites_Par_Tranche*(FLOOR(BV$20/Taille_Tranche_KYC,1)+1))*Cout_Par_KYC_Supplementaire,(IF('01_Input'!$L$64="Forfait",IF(BV$20&gt;='01_Input'!$J$64,'01_Input'!$M$64,0),IF('01_Input'!$L$64="Palier",IF(AND(BV$20&gt;='01_Input'!$J$64,BV$20&lt;'01_Input'!$K$64),'01_Input'!$M$64,0),MAX(MIN(BV$20,'01_Input'!$K$64)-'01_Input'!$J$64,0)*'01_Input'!$M$64))+IF('01_Input'!$P$64="Forfait",IF(BV$20&gt;='01_Input'!$N$64,'01_Input'!$Q$64,0),IF('01_Input'!$P$64="Palier",IF(AND(BV$20&gt;='01_Input'!$N$64,BV$20&lt;'01_Input'!$O$64),'01_Input'!$Q$64,0),MAX(MIN(BV$20,'01_Input'!$O$64)-'01_Input'!$N$64,0)*'01_Input'!$Q$64))+IF('01_Input'!$T$64="Forfait",IF(BV$20&gt;='01_Input'!$R$64,'01_Input'!$U$64,0),IF('01_Input'!$T$64="Palier",IF(AND(BV$20&gt;='01_Input'!$R$64,BV$20&lt;'01_Input'!$S$64),'01_Input'!$U$64,0),MAX(MIN(BV$20,'01_Input'!$S$64)-'01_Input'!$R$64,0)*'01_Input'!$U$64))+IF('01_Input'!$X$64="Forfait",IF(BV$20&gt;='01_Input'!$V$64,'01_Input'!$Y$64,0),IF('01_Input'!$X$64="Palier",IF(AND(BV$20&gt;='01_Input'!$V$64,BV$20&lt;'01_Input'!$W$64),'01_Input'!$Y$64,0),MAX(MIN(BV$20,'01_Input'!$W$64)-'01_Input'!$V$64,0)*'01_Input'!$Y$64))+IF('01_Input'!$AB$64="Forfait",IF(BV$20&gt;='01_Input'!$Z$64,'01_Input'!$AC$64,0),IF('01_Input'!$AB$64="Palier",IF(AND(BV$20&gt;='01_Input'!$Z$64,BV$20&lt;'01_Input'!$AA$64),'01_Input'!$AC$64,0),MAX(MIN(BV$20,'01_Input'!$AA$64)-'01_Input'!$Z$64,0)*'01_Input'!$AC$64)))))))))</f>
        <v>1392</v>
      </c>
      <c r="BW32" s="83">
        <f>IF('01_Input'!$C$64="Non",0,MIN('01_Input'!$I$64,MAX('01_Input'!$H$64,IF('01_Input'!$G$64="Résiduel vs Gestion",0,IF('01_Input'!$G$64="Taux Classe sélectionnée",Distrib_Global_Classe_Selectionnee*BW$20,IF('01_Input'!$G$64="Frais KYC (paliers de 100M€)",MAX(0,Nb_Investisseurs-Nb_KYC_Gratuites_Par_Tranche*(FLOOR(BW$20/Taille_Tranche_KYC,1)+1))*Cout_Par_KYC_Supplementaire,(IF('01_Input'!$L$64="Forfait",IF(BW$20&gt;='01_Input'!$J$64,'01_Input'!$M$64,0),IF('01_Input'!$L$64="Palier",IF(AND(BW$20&gt;='01_Input'!$J$64,BW$20&lt;'01_Input'!$K$64),'01_Input'!$M$64,0),MAX(MIN(BW$20,'01_Input'!$K$64)-'01_Input'!$J$64,0)*'01_Input'!$M$64))+IF('01_Input'!$P$64="Forfait",IF(BW$20&gt;='01_Input'!$N$64,'01_Input'!$Q$64,0),IF('01_Input'!$P$64="Palier",IF(AND(BW$20&gt;='01_Input'!$N$64,BW$20&lt;'01_Input'!$O$64),'01_Input'!$Q$64,0),MAX(MIN(BW$20,'01_Input'!$O$64)-'01_Input'!$N$64,0)*'01_Input'!$Q$64))+IF('01_Input'!$T$64="Forfait",IF(BW$20&gt;='01_Input'!$R$64,'01_Input'!$U$64,0),IF('01_Input'!$T$64="Palier",IF(AND(BW$20&gt;='01_Input'!$R$64,BW$20&lt;'01_Input'!$S$64),'01_Input'!$U$64,0),MAX(MIN(BW$20,'01_Input'!$S$64)-'01_Input'!$R$64,0)*'01_Input'!$U$64))+IF('01_Input'!$X$64="Forfait",IF(BW$20&gt;='01_Input'!$V$64,'01_Input'!$Y$64,0),IF('01_Input'!$X$64="Palier",IF(AND(BW$20&gt;='01_Input'!$V$64,BW$20&lt;'01_Input'!$W$64),'01_Input'!$Y$64,0),MAX(MIN(BW$20,'01_Input'!$W$64)-'01_Input'!$V$64,0)*'01_Input'!$Y$64))+IF('01_Input'!$AB$64="Forfait",IF(BW$20&gt;='01_Input'!$Z$64,'01_Input'!$AC$64,0),IF('01_Input'!$AB$64="Palier",IF(AND(BW$20&gt;='01_Input'!$Z$64,BW$20&lt;'01_Input'!$AA$64),'01_Input'!$AC$64,0),MAX(MIN(BW$20,'01_Input'!$AA$64)-'01_Input'!$Z$64,0)*'01_Input'!$AC$64)))))))))</f>
        <v>1392</v>
      </c>
      <c r="BX32" s="83">
        <f>IF('01_Input'!$C$64="Non",0,MIN('01_Input'!$I$64,MAX('01_Input'!$H$64,IF('01_Input'!$G$64="Résiduel vs Gestion",0,IF('01_Input'!$G$64="Taux Classe sélectionnée",Distrib_Global_Classe_Selectionnee*BX$20,IF('01_Input'!$G$64="Frais KYC (paliers de 100M€)",MAX(0,Nb_Investisseurs-Nb_KYC_Gratuites_Par_Tranche*(FLOOR(BX$20/Taille_Tranche_KYC,1)+1))*Cout_Par_KYC_Supplementaire,(IF('01_Input'!$L$64="Forfait",IF(BX$20&gt;='01_Input'!$J$64,'01_Input'!$M$64,0),IF('01_Input'!$L$64="Palier",IF(AND(BX$20&gt;='01_Input'!$J$64,BX$20&lt;'01_Input'!$K$64),'01_Input'!$M$64,0),MAX(MIN(BX$20,'01_Input'!$K$64)-'01_Input'!$J$64,0)*'01_Input'!$M$64))+IF('01_Input'!$P$64="Forfait",IF(BX$20&gt;='01_Input'!$N$64,'01_Input'!$Q$64,0),IF('01_Input'!$P$64="Palier",IF(AND(BX$20&gt;='01_Input'!$N$64,BX$20&lt;'01_Input'!$O$64),'01_Input'!$Q$64,0),MAX(MIN(BX$20,'01_Input'!$O$64)-'01_Input'!$N$64,0)*'01_Input'!$Q$64))+IF('01_Input'!$T$64="Forfait",IF(BX$20&gt;='01_Input'!$R$64,'01_Input'!$U$64,0),IF('01_Input'!$T$64="Palier",IF(AND(BX$20&gt;='01_Input'!$R$64,BX$20&lt;'01_Input'!$S$64),'01_Input'!$U$64,0),MAX(MIN(BX$20,'01_Input'!$S$64)-'01_Input'!$R$64,0)*'01_Input'!$U$64))+IF('01_Input'!$X$64="Forfait",IF(BX$20&gt;='01_Input'!$V$64,'01_Input'!$Y$64,0),IF('01_Input'!$X$64="Palier",IF(AND(BX$20&gt;='01_Input'!$V$64,BX$20&lt;'01_Input'!$W$64),'01_Input'!$Y$64,0),MAX(MIN(BX$20,'01_Input'!$W$64)-'01_Input'!$V$64,0)*'01_Input'!$Y$64))+IF('01_Input'!$AB$64="Forfait",IF(BX$20&gt;='01_Input'!$Z$64,'01_Input'!$AC$64,0),IF('01_Input'!$AB$64="Palier",IF(AND(BX$20&gt;='01_Input'!$Z$64,BX$20&lt;'01_Input'!$AA$64),'01_Input'!$AC$64,0),MAX(MIN(BX$20,'01_Input'!$AA$64)-'01_Input'!$Z$64,0)*'01_Input'!$AC$64)))))))))</f>
        <v>1392</v>
      </c>
      <c r="BY32" s="83">
        <f>IF('01_Input'!$C$64="Non",0,MIN('01_Input'!$I$64,MAX('01_Input'!$H$64,IF('01_Input'!$G$64="Résiduel vs Gestion",0,IF('01_Input'!$G$64="Taux Classe sélectionnée",Distrib_Global_Classe_Selectionnee*BY$20,IF('01_Input'!$G$64="Frais KYC (paliers de 100M€)",MAX(0,Nb_Investisseurs-Nb_KYC_Gratuites_Par_Tranche*(FLOOR(BY$20/Taille_Tranche_KYC,1)+1))*Cout_Par_KYC_Supplementaire,(IF('01_Input'!$L$64="Forfait",IF(BY$20&gt;='01_Input'!$J$64,'01_Input'!$M$64,0),IF('01_Input'!$L$64="Palier",IF(AND(BY$20&gt;='01_Input'!$J$64,BY$20&lt;'01_Input'!$K$64),'01_Input'!$M$64,0),MAX(MIN(BY$20,'01_Input'!$K$64)-'01_Input'!$J$64,0)*'01_Input'!$M$64))+IF('01_Input'!$P$64="Forfait",IF(BY$20&gt;='01_Input'!$N$64,'01_Input'!$Q$64,0),IF('01_Input'!$P$64="Palier",IF(AND(BY$20&gt;='01_Input'!$N$64,BY$20&lt;'01_Input'!$O$64),'01_Input'!$Q$64,0),MAX(MIN(BY$20,'01_Input'!$O$64)-'01_Input'!$N$64,0)*'01_Input'!$Q$64))+IF('01_Input'!$T$64="Forfait",IF(BY$20&gt;='01_Input'!$R$64,'01_Input'!$U$64,0),IF('01_Input'!$T$64="Palier",IF(AND(BY$20&gt;='01_Input'!$R$64,BY$20&lt;'01_Input'!$S$64),'01_Input'!$U$64,0),MAX(MIN(BY$20,'01_Input'!$S$64)-'01_Input'!$R$64,0)*'01_Input'!$U$64))+IF('01_Input'!$X$64="Forfait",IF(BY$20&gt;='01_Input'!$V$64,'01_Input'!$Y$64,0),IF('01_Input'!$X$64="Palier",IF(AND(BY$20&gt;='01_Input'!$V$64,BY$20&lt;'01_Input'!$W$64),'01_Input'!$Y$64,0),MAX(MIN(BY$20,'01_Input'!$W$64)-'01_Input'!$V$64,0)*'01_Input'!$Y$64))+IF('01_Input'!$AB$64="Forfait",IF(BY$20&gt;='01_Input'!$Z$64,'01_Input'!$AC$64,0),IF('01_Input'!$AB$64="Palier",IF(AND(BY$20&gt;='01_Input'!$Z$64,BY$20&lt;'01_Input'!$AA$64),'01_Input'!$AC$64,0),MAX(MIN(BY$20,'01_Input'!$AA$64)-'01_Input'!$Z$64,0)*'01_Input'!$AC$64)))))))))</f>
        <v>1392</v>
      </c>
      <c r="BZ32" s="83">
        <f>IF('01_Input'!$C$64="Non",0,MIN('01_Input'!$I$64,MAX('01_Input'!$H$64,IF('01_Input'!$G$64="Résiduel vs Gestion",0,IF('01_Input'!$G$64="Taux Classe sélectionnée",Distrib_Global_Classe_Selectionnee*BZ$20,IF('01_Input'!$G$64="Frais KYC (paliers de 100M€)",MAX(0,Nb_Investisseurs-Nb_KYC_Gratuites_Par_Tranche*(FLOOR(BZ$20/Taille_Tranche_KYC,1)+1))*Cout_Par_KYC_Supplementaire,(IF('01_Input'!$L$64="Forfait",IF(BZ$20&gt;='01_Input'!$J$64,'01_Input'!$M$64,0),IF('01_Input'!$L$64="Palier",IF(AND(BZ$20&gt;='01_Input'!$J$64,BZ$20&lt;'01_Input'!$K$64),'01_Input'!$M$64,0),MAX(MIN(BZ$20,'01_Input'!$K$64)-'01_Input'!$J$64,0)*'01_Input'!$M$64))+IF('01_Input'!$P$64="Forfait",IF(BZ$20&gt;='01_Input'!$N$64,'01_Input'!$Q$64,0),IF('01_Input'!$P$64="Palier",IF(AND(BZ$20&gt;='01_Input'!$N$64,BZ$20&lt;'01_Input'!$O$64),'01_Input'!$Q$64,0),MAX(MIN(BZ$20,'01_Input'!$O$64)-'01_Input'!$N$64,0)*'01_Input'!$Q$64))+IF('01_Input'!$T$64="Forfait",IF(BZ$20&gt;='01_Input'!$R$64,'01_Input'!$U$64,0),IF('01_Input'!$T$64="Palier",IF(AND(BZ$20&gt;='01_Input'!$R$64,BZ$20&lt;'01_Input'!$S$64),'01_Input'!$U$64,0),MAX(MIN(BZ$20,'01_Input'!$S$64)-'01_Input'!$R$64,0)*'01_Input'!$U$64))+IF('01_Input'!$X$64="Forfait",IF(BZ$20&gt;='01_Input'!$V$64,'01_Input'!$Y$64,0),IF('01_Input'!$X$64="Palier",IF(AND(BZ$20&gt;='01_Input'!$V$64,BZ$20&lt;'01_Input'!$W$64),'01_Input'!$Y$64,0),MAX(MIN(BZ$20,'01_Input'!$W$64)-'01_Input'!$V$64,0)*'01_Input'!$Y$64))+IF('01_Input'!$AB$64="Forfait",IF(BZ$20&gt;='01_Input'!$Z$64,'01_Input'!$AC$64,0),IF('01_Input'!$AB$64="Palier",IF(AND(BZ$20&gt;='01_Input'!$Z$64,BZ$20&lt;'01_Input'!$AA$64),'01_Input'!$AC$64,0),MAX(MIN(BZ$20,'01_Input'!$AA$64)-'01_Input'!$Z$64,0)*'01_Input'!$AC$64)))))))))</f>
        <v>1392</v>
      </c>
      <c r="CA32" s="83">
        <f>IF('01_Input'!$C$64="Non",0,MIN('01_Input'!$I$64,MAX('01_Input'!$H$64,IF('01_Input'!$G$64="Résiduel vs Gestion",0,IF('01_Input'!$G$64="Taux Classe sélectionnée",Distrib_Global_Classe_Selectionnee*CA$20,IF('01_Input'!$G$64="Frais KYC (paliers de 100M€)",MAX(0,Nb_Investisseurs-Nb_KYC_Gratuites_Par_Tranche*(FLOOR(CA$20/Taille_Tranche_KYC,1)+1))*Cout_Par_KYC_Supplementaire,(IF('01_Input'!$L$64="Forfait",IF(CA$20&gt;='01_Input'!$J$64,'01_Input'!$M$64,0),IF('01_Input'!$L$64="Palier",IF(AND(CA$20&gt;='01_Input'!$J$64,CA$20&lt;'01_Input'!$K$64),'01_Input'!$M$64,0),MAX(MIN(CA$20,'01_Input'!$K$64)-'01_Input'!$J$64,0)*'01_Input'!$M$64))+IF('01_Input'!$P$64="Forfait",IF(CA$20&gt;='01_Input'!$N$64,'01_Input'!$Q$64,0),IF('01_Input'!$P$64="Palier",IF(AND(CA$20&gt;='01_Input'!$N$64,CA$20&lt;'01_Input'!$O$64),'01_Input'!$Q$64,0),MAX(MIN(CA$20,'01_Input'!$O$64)-'01_Input'!$N$64,0)*'01_Input'!$Q$64))+IF('01_Input'!$T$64="Forfait",IF(CA$20&gt;='01_Input'!$R$64,'01_Input'!$U$64,0),IF('01_Input'!$T$64="Palier",IF(AND(CA$20&gt;='01_Input'!$R$64,CA$20&lt;'01_Input'!$S$64),'01_Input'!$U$64,0),MAX(MIN(CA$20,'01_Input'!$S$64)-'01_Input'!$R$64,0)*'01_Input'!$U$64))+IF('01_Input'!$X$64="Forfait",IF(CA$20&gt;='01_Input'!$V$64,'01_Input'!$Y$64,0),IF('01_Input'!$X$64="Palier",IF(AND(CA$20&gt;='01_Input'!$V$64,CA$20&lt;'01_Input'!$W$64),'01_Input'!$Y$64,0),MAX(MIN(CA$20,'01_Input'!$W$64)-'01_Input'!$V$64,0)*'01_Input'!$Y$64))+IF('01_Input'!$AB$64="Forfait",IF(CA$20&gt;='01_Input'!$Z$64,'01_Input'!$AC$64,0),IF('01_Input'!$AB$64="Palier",IF(AND(CA$20&gt;='01_Input'!$Z$64,CA$20&lt;'01_Input'!$AA$64),'01_Input'!$AC$64,0),MAX(MIN(CA$20,'01_Input'!$AA$64)-'01_Input'!$Z$64,0)*'01_Input'!$AC$64)))))))))</f>
        <v>1392</v>
      </c>
      <c r="CB32" s="83">
        <f>IF('01_Input'!$C$64="Non",0,MIN('01_Input'!$I$64,MAX('01_Input'!$H$64,IF('01_Input'!$G$64="Résiduel vs Gestion",0,IF('01_Input'!$G$64="Taux Classe sélectionnée",Distrib_Global_Classe_Selectionnee*CB$20,IF('01_Input'!$G$64="Frais KYC (paliers de 100M€)",MAX(0,Nb_Investisseurs-Nb_KYC_Gratuites_Par_Tranche*(FLOOR(CB$20/Taille_Tranche_KYC,1)+1))*Cout_Par_KYC_Supplementaire,(IF('01_Input'!$L$64="Forfait",IF(CB$20&gt;='01_Input'!$J$64,'01_Input'!$M$64,0),IF('01_Input'!$L$64="Palier",IF(AND(CB$20&gt;='01_Input'!$J$64,CB$20&lt;'01_Input'!$K$64),'01_Input'!$M$64,0),MAX(MIN(CB$20,'01_Input'!$K$64)-'01_Input'!$J$64,0)*'01_Input'!$M$64))+IF('01_Input'!$P$64="Forfait",IF(CB$20&gt;='01_Input'!$N$64,'01_Input'!$Q$64,0),IF('01_Input'!$P$64="Palier",IF(AND(CB$20&gt;='01_Input'!$N$64,CB$20&lt;'01_Input'!$O$64),'01_Input'!$Q$64,0),MAX(MIN(CB$20,'01_Input'!$O$64)-'01_Input'!$N$64,0)*'01_Input'!$Q$64))+IF('01_Input'!$T$64="Forfait",IF(CB$20&gt;='01_Input'!$R$64,'01_Input'!$U$64,0),IF('01_Input'!$T$64="Palier",IF(AND(CB$20&gt;='01_Input'!$R$64,CB$20&lt;'01_Input'!$S$64),'01_Input'!$U$64,0),MAX(MIN(CB$20,'01_Input'!$S$64)-'01_Input'!$R$64,0)*'01_Input'!$U$64))+IF('01_Input'!$X$64="Forfait",IF(CB$20&gt;='01_Input'!$V$64,'01_Input'!$Y$64,0),IF('01_Input'!$X$64="Palier",IF(AND(CB$20&gt;='01_Input'!$V$64,CB$20&lt;'01_Input'!$W$64),'01_Input'!$Y$64,0),MAX(MIN(CB$20,'01_Input'!$W$64)-'01_Input'!$V$64,0)*'01_Input'!$Y$64))+IF('01_Input'!$AB$64="Forfait",IF(CB$20&gt;='01_Input'!$Z$64,'01_Input'!$AC$64,0),IF('01_Input'!$AB$64="Palier",IF(AND(CB$20&gt;='01_Input'!$Z$64,CB$20&lt;'01_Input'!$AA$64),'01_Input'!$AC$64,0),MAX(MIN(CB$20,'01_Input'!$AA$64)-'01_Input'!$Z$64,0)*'01_Input'!$AC$64)))))))))</f>
        <v>1392</v>
      </c>
      <c r="CC32" s="83">
        <f>IF('01_Input'!$C$64="Non",0,MIN('01_Input'!$I$64,MAX('01_Input'!$H$64,IF('01_Input'!$G$64="Résiduel vs Gestion",0,IF('01_Input'!$G$64="Taux Classe sélectionnée",Distrib_Global_Classe_Selectionnee*CC$20,IF('01_Input'!$G$64="Frais KYC (paliers de 100M€)",MAX(0,Nb_Investisseurs-Nb_KYC_Gratuites_Par_Tranche*(FLOOR(CC$20/Taille_Tranche_KYC,1)+1))*Cout_Par_KYC_Supplementaire,(IF('01_Input'!$L$64="Forfait",IF(CC$20&gt;='01_Input'!$J$64,'01_Input'!$M$64,0),IF('01_Input'!$L$64="Palier",IF(AND(CC$20&gt;='01_Input'!$J$64,CC$20&lt;'01_Input'!$K$64),'01_Input'!$M$64,0),MAX(MIN(CC$20,'01_Input'!$K$64)-'01_Input'!$J$64,0)*'01_Input'!$M$64))+IF('01_Input'!$P$64="Forfait",IF(CC$20&gt;='01_Input'!$N$64,'01_Input'!$Q$64,0),IF('01_Input'!$P$64="Palier",IF(AND(CC$20&gt;='01_Input'!$N$64,CC$20&lt;'01_Input'!$O$64),'01_Input'!$Q$64,0),MAX(MIN(CC$20,'01_Input'!$O$64)-'01_Input'!$N$64,0)*'01_Input'!$Q$64))+IF('01_Input'!$T$64="Forfait",IF(CC$20&gt;='01_Input'!$R$64,'01_Input'!$U$64,0),IF('01_Input'!$T$64="Palier",IF(AND(CC$20&gt;='01_Input'!$R$64,CC$20&lt;'01_Input'!$S$64),'01_Input'!$U$64,0),MAX(MIN(CC$20,'01_Input'!$S$64)-'01_Input'!$R$64,0)*'01_Input'!$U$64))+IF('01_Input'!$X$64="Forfait",IF(CC$20&gt;='01_Input'!$V$64,'01_Input'!$Y$64,0),IF('01_Input'!$X$64="Palier",IF(AND(CC$20&gt;='01_Input'!$V$64,CC$20&lt;'01_Input'!$W$64),'01_Input'!$Y$64,0),MAX(MIN(CC$20,'01_Input'!$W$64)-'01_Input'!$V$64,0)*'01_Input'!$Y$64))+IF('01_Input'!$AB$64="Forfait",IF(CC$20&gt;='01_Input'!$Z$64,'01_Input'!$AC$64,0),IF('01_Input'!$AB$64="Palier",IF(AND(CC$20&gt;='01_Input'!$Z$64,CC$20&lt;'01_Input'!$AA$64),'01_Input'!$AC$64,0),MAX(MIN(CC$20,'01_Input'!$AA$64)-'01_Input'!$Z$64,0)*'01_Input'!$AC$64)))))))))</f>
        <v>1392</v>
      </c>
      <c r="CD32" s="83">
        <f>IF('01_Input'!$C$64="Non",0,MIN('01_Input'!$I$64,MAX('01_Input'!$H$64,IF('01_Input'!$G$64="Résiduel vs Gestion",0,IF('01_Input'!$G$64="Taux Classe sélectionnée",Distrib_Global_Classe_Selectionnee*CD$20,IF('01_Input'!$G$64="Frais KYC (paliers de 100M€)",MAX(0,Nb_Investisseurs-Nb_KYC_Gratuites_Par_Tranche*(FLOOR(CD$20/Taille_Tranche_KYC,1)+1))*Cout_Par_KYC_Supplementaire,(IF('01_Input'!$L$64="Forfait",IF(CD$20&gt;='01_Input'!$J$64,'01_Input'!$M$64,0),IF('01_Input'!$L$64="Palier",IF(AND(CD$20&gt;='01_Input'!$J$64,CD$20&lt;'01_Input'!$K$64),'01_Input'!$M$64,0),MAX(MIN(CD$20,'01_Input'!$K$64)-'01_Input'!$J$64,0)*'01_Input'!$M$64))+IF('01_Input'!$P$64="Forfait",IF(CD$20&gt;='01_Input'!$N$64,'01_Input'!$Q$64,0),IF('01_Input'!$P$64="Palier",IF(AND(CD$20&gt;='01_Input'!$N$64,CD$20&lt;'01_Input'!$O$64),'01_Input'!$Q$64,0),MAX(MIN(CD$20,'01_Input'!$O$64)-'01_Input'!$N$64,0)*'01_Input'!$Q$64))+IF('01_Input'!$T$64="Forfait",IF(CD$20&gt;='01_Input'!$R$64,'01_Input'!$U$64,0),IF('01_Input'!$T$64="Palier",IF(AND(CD$20&gt;='01_Input'!$R$64,CD$20&lt;'01_Input'!$S$64),'01_Input'!$U$64,0),MAX(MIN(CD$20,'01_Input'!$S$64)-'01_Input'!$R$64,0)*'01_Input'!$U$64))+IF('01_Input'!$X$64="Forfait",IF(CD$20&gt;='01_Input'!$V$64,'01_Input'!$Y$64,0),IF('01_Input'!$X$64="Palier",IF(AND(CD$20&gt;='01_Input'!$V$64,CD$20&lt;'01_Input'!$W$64),'01_Input'!$Y$64,0),MAX(MIN(CD$20,'01_Input'!$W$64)-'01_Input'!$V$64,0)*'01_Input'!$Y$64))+IF('01_Input'!$AB$64="Forfait",IF(CD$20&gt;='01_Input'!$Z$64,'01_Input'!$AC$64,0),IF('01_Input'!$AB$64="Palier",IF(AND(CD$20&gt;='01_Input'!$Z$64,CD$20&lt;'01_Input'!$AA$64),'01_Input'!$AC$64,0),MAX(MIN(CD$20,'01_Input'!$AA$64)-'01_Input'!$Z$64,0)*'01_Input'!$AC$64)))))))))</f>
        <v>1392</v>
      </c>
      <c r="CE32" s="83">
        <f>IF('01_Input'!$C$64="Non",0,MIN('01_Input'!$I$64,MAX('01_Input'!$H$64,IF('01_Input'!$G$64="Résiduel vs Gestion",0,IF('01_Input'!$G$64="Taux Classe sélectionnée",Distrib_Global_Classe_Selectionnee*CE$20,IF('01_Input'!$G$64="Frais KYC (paliers de 100M€)",MAX(0,Nb_Investisseurs-Nb_KYC_Gratuites_Par_Tranche*(FLOOR(CE$20/Taille_Tranche_KYC,1)+1))*Cout_Par_KYC_Supplementaire,(IF('01_Input'!$L$64="Forfait",IF(CE$20&gt;='01_Input'!$J$64,'01_Input'!$M$64,0),IF('01_Input'!$L$64="Palier",IF(AND(CE$20&gt;='01_Input'!$J$64,CE$20&lt;'01_Input'!$K$64),'01_Input'!$M$64,0),MAX(MIN(CE$20,'01_Input'!$K$64)-'01_Input'!$J$64,0)*'01_Input'!$M$64))+IF('01_Input'!$P$64="Forfait",IF(CE$20&gt;='01_Input'!$N$64,'01_Input'!$Q$64,0),IF('01_Input'!$P$64="Palier",IF(AND(CE$20&gt;='01_Input'!$N$64,CE$20&lt;'01_Input'!$O$64),'01_Input'!$Q$64,0),MAX(MIN(CE$20,'01_Input'!$O$64)-'01_Input'!$N$64,0)*'01_Input'!$Q$64))+IF('01_Input'!$T$64="Forfait",IF(CE$20&gt;='01_Input'!$R$64,'01_Input'!$U$64,0),IF('01_Input'!$T$64="Palier",IF(AND(CE$20&gt;='01_Input'!$R$64,CE$20&lt;'01_Input'!$S$64),'01_Input'!$U$64,0),MAX(MIN(CE$20,'01_Input'!$S$64)-'01_Input'!$R$64,0)*'01_Input'!$U$64))+IF('01_Input'!$X$64="Forfait",IF(CE$20&gt;='01_Input'!$V$64,'01_Input'!$Y$64,0),IF('01_Input'!$X$64="Palier",IF(AND(CE$20&gt;='01_Input'!$V$64,CE$20&lt;'01_Input'!$W$64),'01_Input'!$Y$64,0),MAX(MIN(CE$20,'01_Input'!$W$64)-'01_Input'!$V$64,0)*'01_Input'!$Y$64))+IF('01_Input'!$AB$64="Forfait",IF(CE$20&gt;='01_Input'!$Z$64,'01_Input'!$AC$64,0),IF('01_Input'!$AB$64="Palier",IF(AND(CE$20&gt;='01_Input'!$Z$64,CE$20&lt;'01_Input'!$AA$64),'01_Input'!$AC$64,0),MAX(MIN(CE$20,'01_Input'!$AA$64)-'01_Input'!$Z$64,0)*'01_Input'!$AC$64)))))))))</f>
        <v>1392</v>
      </c>
      <c r="CF32" s="83">
        <f>IF('01_Input'!$C$64="Non",0,MIN('01_Input'!$I$64,MAX('01_Input'!$H$64,IF('01_Input'!$G$64="Résiduel vs Gestion",0,IF('01_Input'!$G$64="Taux Classe sélectionnée",Distrib_Global_Classe_Selectionnee*CF$20,IF('01_Input'!$G$64="Frais KYC (paliers de 100M€)",MAX(0,Nb_Investisseurs-Nb_KYC_Gratuites_Par_Tranche*(FLOOR(CF$20/Taille_Tranche_KYC,1)+1))*Cout_Par_KYC_Supplementaire,(IF('01_Input'!$L$64="Forfait",IF(CF$20&gt;='01_Input'!$J$64,'01_Input'!$M$64,0),IF('01_Input'!$L$64="Palier",IF(AND(CF$20&gt;='01_Input'!$J$64,CF$20&lt;'01_Input'!$K$64),'01_Input'!$M$64,0),MAX(MIN(CF$20,'01_Input'!$K$64)-'01_Input'!$J$64,0)*'01_Input'!$M$64))+IF('01_Input'!$P$64="Forfait",IF(CF$20&gt;='01_Input'!$N$64,'01_Input'!$Q$64,0),IF('01_Input'!$P$64="Palier",IF(AND(CF$20&gt;='01_Input'!$N$64,CF$20&lt;'01_Input'!$O$64),'01_Input'!$Q$64,0),MAX(MIN(CF$20,'01_Input'!$O$64)-'01_Input'!$N$64,0)*'01_Input'!$Q$64))+IF('01_Input'!$T$64="Forfait",IF(CF$20&gt;='01_Input'!$R$64,'01_Input'!$U$64,0),IF('01_Input'!$T$64="Palier",IF(AND(CF$20&gt;='01_Input'!$R$64,CF$20&lt;'01_Input'!$S$64),'01_Input'!$U$64,0),MAX(MIN(CF$20,'01_Input'!$S$64)-'01_Input'!$R$64,0)*'01_Input'!$U$64))+IF('01_Input'!$X$64="Forfait",IF(CF$20&gt;='01_Input'!$V$64,'01_Input'!$Y$64,0),IF('01_Input'!$X$64="Palier",IF(AND(CF$20&gt;='01_Input'!$V$64,CF$20&lt;'01_Input'!$W$64),'01_Input'!$Y$64,0),MAX(MIN(CF$20,'01_Input'!$W$64)-'01_Input'!$V$64,0)*'01_Input'!$Y$64))+IF('01_Input'!$AB$64="Forfait",IF(CF$20&gt;='01_Input'!$Z$64,'01_Input'!$AC$64,0),IF('01_Input'!$AB$64="Palier",IF(AND(CF$20&gt;='01_Input'!$Z$64,CF$20&lt;'01_Input'!$AA$64),'01_Input'!$AC$64,0),MAX(MIN(CF$20,'01_Input'!$AA$64)-'01_Input'!$Z$64,0)*'01_Input'!$AC$64)))))))))</f>
        <v>1392</v>
      </c>
      <c r="CG32" s="83">
        <f>IF('01_Input'!$C$64="Non",0,MIN('01_Input'!$I$64,MAX('01_Input'!$H$64,IF('01_Input'!$G$64="Résiduel vs Gestion",0,IF('01_Input'!$G$64="Taux Classe sélectionnée",Distrib_Global_Classe_Selectionnee*CG$20,IF('01_Input'!$G$64="Frais KYC (paliers de 100M€)",MAX(0,Nb_Investisseurs-Nb_KYC_Gratuites_Par_Tranche*(FLOOR(CG$20/Taille_Tranche_KYC,1)+1))*Cout_Par_KYC_Supplementaire,(IF('01_Input'!$L$64="Forfait",IF(CG$20&gt;='01_Input'!$J$64,'01_Input'!$M$64,0),IF('01_Input'!$L$64="Palier",IF(AND(CG$20&gt;='01_Input'!$J$64,CG$20&lt;'01_Input'!$K$64),'01_Input'!$M$64,0),MAX(MIN(CG$20,'01_Input'!$K$64)-'01_Input'!$J$64,0)*'01_Input'!$M$64))+IF('01_Input'!$P$64="Forfait",IF(CG$20&gt;='01_Input'!$N$64,'01_Input'!$Q$64,0),IF('01_Input'!$P$64="Palier",IF(AND(CG$20&gt;='01_Input'!$N$64,CG$20&lt;'01_Input'!$O$64),'01_Input'!$Q$64,0),MAX(MIN(CG$20,'01_Input'!$O$64)-'01_Input'!$N$64,0)*'01_Input'!$Q$64))+IF('01_Input'!$T$64="Forfait",IF(CG$20&gt;='01_Input'!$R$64,'01_Input'!$U$64,0),IF('01_Input'!$T$64="Palier",IF(AND(CG$20&gt;='01_Input'!$R$64,CG$20&lt;'01_Input'!$S$64),'01_Input'!$U$64,0),MAX(MIN(CG$20,'01_Input'!$S$64)-'01_Input'!$R$64,0)*'01_Input'!$U$64))+IF('01_Input'!$X$64="Forfait",IF(CG$20&gt;='01_Input'!$V$64,'01_Input'!$Y$64,0),IF('01_Input'!$X$64="Palier",IF(AND(CG$20&gt;='01_Input'!$V$64,CG$20&lt;'01_Input'!$W$64),'01_Input'!$Y$64,0),MAX(MIN(CG$20,'01_Input'!$W$64)-'01_Input'!$V$64,0)*'01_Input'!$Y$64))+IF('01_Input'!$AB$64="Forfait",IF(CG$20&gt;='01_Input'!$Z$64,'01_Input'!$AC$64,0),IF('01_Input'!$AB$64="Palier",IF(AND(CG$20&gt;='01_Input'!$Z$64,CG$20&lt;'01_Input'!$AA$64),'01_Input'!$AC$64,0),MAX(MIN(CG$20,'01_Input'!$AA$64)-'01_Input'!$Z$64,0)*'01_Input'!$AC$64)))))))))</f>
        <v>1392</v>
      </c>
      <c r="CH32" s="83">
        <f>IF('01_Input'!$C$64="Non",0,MIN('01_Input'!$I$64,MAX('01_Input'!$H$64,IF('01_Input'!$G$64="Résiduel vs Gestion",0,IF('01_Input'!$G$64="Taux Classe sélectionnée",Distrib_Global_Classe_Selectionnee*CH$20,IF('01_Input'!$G$64="Frais KYC (paliers de 100M€)",MAX(0,Nb_Investisseurs-Nb_KYC_Gratuites_Par_Tranche*(FLOOR(CH$20/Taille_Tranche_KYC,1)+1))*Cout_Par_KYC_Supplementaire,(IF('01_Input'!$L$64="Forfait",IF(CH$20&gt;='01_Input'!$J$64,'01_Input'!$M$64,0),IF('01_Input'!$L$64="Palier",IF(AND(CH$20&gt;='01_Input'!$J$64,CH$20&lt;'01_Input'!$K$64),'01_Input'!$M$64,0),MAX(MIN(CH$20,'01_Input'!$K$64)-'01_Input'!$J$64,0)*'01_Input'!$M$64))+IF('01_Input'!$P$64="Forfait",IF(CH$20&gt;='01_Input'!$N$64,'01_Input'!$Q$64,0),IF('01_Input'!$P$64="Palier",IF(AND(CH$20&gt;='01_Input'!$N$64,CH$20&lt;'01_Input'!$O$64),'01_Input'!$Q$64,0),MAX(MIN(CH$20,'01_Input'!$O$64)-'01_Input'!$N$64,0)*'01_Input'!$Q$64))+IF('01_Input'!$T$64="Forfait",IF(CH$20&gt;='01_Input'!$R$64,'01_Input'!$U$64,0),IF('01_Input'!$T$64="Palier",IF(AND(CH$20&gt;='01_Input'!$R$64,CH$20&lt;'01_Input'!$S$64),'01_Input'!$U$64,0),MAX(MIN(CH$20,'01_Input'!$S$64)-'01_Input'!$R$64,0)*'01_Input'!$U$64))+IF('01_Input'!$X$64="Forfait",IF(CH$20&gt;='01_Input'!$V$64,'01_Input'!$Y$64,0),IF('01_Input'!$X$64="Palier",IF(AND(CH$20&gt;='01_Input'!$V$64,CH$20&lt;'01_Input'!$W$64),'01_Input'!$Y$64,0),MAX(MIN(CH$20,'01_Input'!$W$64)-'01_Input'!$V$64,0)*'01_Input'!$Y$64))+IF('01_Input'!$AB$64="Forfait",IF(CH$20&gt;='01_Input'!$Z$64,'01_Input'!$AC$64,0),IF('01_Input'!$AB$64="Palier",IF(AND(CH$20&gt;='01_Input'!$Z$64,CH$20&lt;'01_Input'!$AA$64),'01_Input'!$AC$64,0),MAX(MIN(CH$20,'01_Input'!$AA$64)-'01_Input'!$Z$64,0)*'01_Input'!$AC$64)))))))))</f>
        <v>1392</v>
      </c>
      <c r="CI32" s="83">
        <f>IF('01_Input'!$C$64="Non",0,MIN('01_Input'!$I$64,MAX('01_Input'!$H$64,IF('01_Input'!$G$64="Résiduel vs Gestion",0,IF('01_Input'!$G$64="Taux Classe sélectionnée",Distrib_Global_Classe_Selectionnee*CI$20,IF('01_Input'!$G$64="Frais KYC (paliers de 100M€)",MAX(0,Nb_Investisseurs-Nb_KYC_Gratuites_Par_Tranche*(FLOOR(CI$20/Taille_Tranche_KYC,1)+1))*Cout_Par_KYC_Supplementaire,(IF('01_Input'!$L$64="Forfait",IF(CI$20&gt;='01_Input'!$J$64,'01_Input'!$M$64,0),IF('01_Input'!$L$64="Palier",IF(AND(CI$20&gt;='01_Input'!$J$64,CI$20&lt;'01_Input'!$K$64),'01_Input'!$M$64,0),MAX(MIN(CI$20,'01_Input'!$K$64)-'01_Input'!$J$64,0)*'01_Input'!$M$64))+IF('01_Input'!$P$64="Forfait",IF(CI$20&gt;='01_Input'!$N$64,'01_Input'!$Q$64,0),IF('01_Input'!$P$64="Palier",IF(AND(CI$20&gt;='01_Input'!$N$64,CI$20&lt;'01_Input'!$O$64),'01_Input'!$Q$64,0),MAX(MIN(CI$20,'01_Input'!$O$64)-'01_Input'!$N$64,0)*'01_Input'!$Q$64))+IF('01_Input'!$T$64="Forfait",IF(CI$20&gt;='01_Input'!$R$64,'01_Input'!$U$64,0),IF('01_Input'!$T$64="Palier",IF(AND(CI$20&gt;='01_Input'!$R$64,CI$20&lt;'01_Input'!$S$64),'01_Input'!$U$64,0),MAX(MIN(CI$20,'01_Input'!$S$64)-'01_Input'!$R$64,0)*'01_Input'!$U$64))+IF('01_Input'!$X$64="Forfait",IF(CI$20&gt;='01_Input'!$V$64,'01_Input'!$Y$64,0),IF('01_Input'!$X$64="Palier",IF(AND(CI$20&gt;='01_Input'!$V$64,CI$20&lt;'01_Input'!$W$64),'01_Input'!$Y$64,0),MAX(MIN(CI$20,'01_Input'!$W$64)-'01_Input'!$V$64,0)*'01_Input'!$Y$64))+IF('01_Input'!$AB$64="Forfait",IF(CI$20&gt;='01_Input'!$Z$64,'01_Input'!$AC$64,0),IF('01_Input'!$AB$64="Palier",IF(AND(CI$20&gt;='01_Input'!$Z$64,CI$20&lt;'01_Input'!$AA$64),'01_Input'!$AC$64,0),MAX(MIN(CI$20,'01_Input'!$AA$64)-'01_Input'!$Z$64,0)*'01_Input'!$AC$64)))))))))</f>
        <v>1392</v>
      </c>
      <c r="CJ32" s="83">
        <f>IF('01_Input'!$C$64="Non",0,MIN('01_Input'!$I$64,MAX('01_Input'!$H$64,IF('01_Input'!$G$64="Résiduel vs Gestion",0,IF('01_Input'!$G$64="Taux Classe sélectionnée",Distrib_Global_Classe_Selectionnee*CJ$20,IF('01_Input'!$G$64="Frais KYC (paliers de 100M€)",MAX(0,Nb_Investisseurs-Nb_KYC_Gratuites_Par_Tranche*(FLOOR(CJ$20/Taille_Tranche_KYC,1)+1))*Cout_Par_KYC_Supplementaire,(IF('01_Input'!$L$64="Forfait",IF(CJ$20&gt;='01_Input'!$J$64,'01_Input'!$M$64,0),IF('01_Input'!$L$64="Palier",IF(AND(CJ$20&gt;='01_Input'!$J$64,CJ$20&lt;'01_Input'!$K$64),'01_Input'!$M$64,0),MAX(MIN(CJ$20,'01_Input'!$K$64)-'01_Input'!$J$64,0)*'01_Input'!$M$64))+IF('01_Input'!$P$64="Forfait",IF(CJ$20&gt;='01_Input'!$N$64,'01_Input'!$Q$64,0),IF('01_Input'!$P$64="Palier",IF(AND(CJ$20&gt;='01_Input'!$N$64,CJ$20&lt;'01_Input'!$O$64),'01_Input'!$Q$64,0),MAX(MIN(CJ$20,'01_Input'!$O$64)-'01_Input'!$N$64,0)*'01_Input'!$Q$64))+IF('01_Input'!$T$64="Forfait",IF(CJ$20&gt;='01_Input'!$R$64,'01_Input'!$U$64,0),IF('01_Input'!$T$64="Palier",IF(AND(CJ$20&gt;='01_Input'!$R$64,CJ$20&lt;'01_Input'!$S$64),'01_Input'!$U$64,0),MAX(MIN(CJ$20,'01_Input'!$S$64)-'01_Input'!$R$64,0)*'01_Input'!$U$64))+IF('01_Input'!$X$64="Forfait",IF(CJ$20&gt;='01_Input'!$V$64,'01_Input'!$Y$64,0),IF('01_Input'!$X$64="Palier",IF(AND(CJ$20&gt;='01_Input'!$V$64,CJ$20&lt;'01_Input'!$W$64),'01_Input'!$Y$64,0),MAX(MIN(CJ$20,'01_Input'!$W$64)-'01_Input'!$V$64,0)*'01_Input'!$Y$64))+IF('01_Input'!$AB$64="Forfait",IF(CJ$20&gt;='01_Input'!$Z$64,'01_Input'!$AC$64,0),IF('01_Input'!$AB$64="Palier",IF(AND(CJ$20&gt;='01_Input'!$Z$64,CJ$20&lt;'01_Input'!$AA$64),'01_Input'!$AC$64,0),MAX(MIN(CJ$20,'01_Input'!$AA$64)-'01_Input'!$Z$64,0)*'01_Input'!$AC$64)))))))))</f>
        <v>1392</v>
      </c>
      <c r="CK32" s="83">
        <f>IF('01_Input'!$C$64="Non",0,MIN('01_Input'!$I$64,MAX('01_Input'!$H$64,IF('01_Input'!$G$64="Résiduel vs Gestion",0,IF('01_Input'!$G$64="Taux Classe sélectionnée",Distrib_Global_Classe_Selectionnee*CK$20,IF('01_Input'!$G$64="Frais KYC (paliers de 100M€)",MAX(0,Nb_Investisseurs-Nb_KYC_Gratuites_Par_Tranche*(FLOOR(CK$20/Taille_Tranche_KYC,1)+1))*Cout_Par_KYC_Supplementaire,(IF('01_Input'!$L$64="Forfait",IF(CK$20&gt;='01_Input'!$J$64,'01_Input'!$M$64,0),IF('01_Input'!$L$64="Palier",IF(AND(CK$20&gt;='01_Input'!$J$64,CK$20&lt;'01_Input'!$K$64),'01_Input'!$M$64,0),MAX(MIN(CK$20,'01_Input'!$K$64)-'01_Input'!$J$64,0)*'01_Input'!$M$64))+IF('01_Input'!$P$64="Forfait",IF(CK$20&gt;='01_Input'!$N$64,'01_Input'!$Q$64,0),IF('01_Input'!$P$64="Palier",IF(AND(CK$20&gt;='01_Input'!$N$64,CK$20&lt;'01_Input'!$O$64),'01_Input'!$Q$64,0),MAX(MIN(CK$20,'01_Input'!$O$64)-'01_Input'!$N$64,0)*'01_Input'!$Q$64))+IF('01_Input'!$T$64="Forfait",IF(CK$20&gt;='01_Input'!$R$64,'01_Input'!$U$64,0),IF('01_Input'!$T$64="Palier",IF(AND(CK$20&gt;='01_Input'!$R$64,CK$20&lt;'01_Input'!$S$64),'01_Input'!$U$64,0),MAX(MIN(CK$20,'01_Input'!$S$64)-'01_Input'!$R$64,0)*'01_Input'!$U$64))+IF('01_Input'!$X$64="Forfait",IF(CK$20&gt;='01_Input'!$V$64,'01_Input'!$Y$64,0),IF('01_Input'!$X$64="Palier",IF(AND(CK$20&gt;='01_Input'!$V$64,CK$20&lt;'01_Input'!$W$64),'01_Input'!$Y$64,0),MAX(MIN(CK$20,'01_Input'!$W$64)-'01_Input'!$V$64,0)*'01_Input'!$Y$64))+IF('01_Input'!$AB$64="Forfait",IF(CK$20&gt;='01_Input'!$Z$64,'01_Input'!$AC$64,0),IF('01_Input'!$AB$64="Palier",IF(AND(CK$20&gt;='01_Input'!$Z$64,CK$20&lt;'01_Input'!$AA$64),'01_Input'!$AC$64,0),MAX(MIN(CK$20,'01_Input'!$AA$64)-'01_Input'!$Z$64,0)*'01_Input'!$AC$64)))))))))</f>
        <v>1392</v>
      </c>
      <c r="CL32" s="83">
        <f>IF('01_Input'!$C$64="Non",0,MIN('01_Input'!$I$64,MAX('01_Input'!$H$64,IF('01_Input'!$G$64="Résiduel vs Gestion",0,IF('01_Input'!$G$64="Taux Classe sélectionnée",Distrib_Global_Classe_Selectionnee*CL$20,IF('01_Input'!$G$64="Frais KYC (paliers de 100M€)",MAX(0,Nb_Investisseurs-Nb_KYC_Gratuites_Par_Tranche*(FLOOR(CL$20/Taille_Tranche_KYC,1)+1))*Cout_Par_KYC_Supplementaire,(IF('01_Input'!$L$64="Forfait",IF(CL$20&gt;='01_Input'!$J$64,'01_Input'!$M$64,0),IF('01_Input'!$L$64="Palier",IF(AND(CL$20&gt;='01_Input'!$J$64,CL$20&lt;'01_Input'!$K$64),'01_Input'!$M$64,0),MAX(MIN(CL$20,'01_Input'!$K$64)-'01_Input'!$J$64,0)*'01_Input'!$M$64))+IF('01_Input'!$P$64="Forfait",IF(CL$20&gt;='01_Input'!$N$64,'01_Input'!$Q$64,0),IF('01_Input'!$P$64="Palier",IF(AND(CL$20&gt;='01_Input'!$N$64,CL$20&lt;'01_Input'!$O$64),'01_Input'!$Q$64,0),MAX(MIN(CL$20,'01_Input'!$O$64)-'01_Input'!$N$64,0)*'01_Input'!$Q$64))+IF('01_Input'!$T$64="Forfait",IF(CL$20&gt;='01_Input'!$R$64,'01_Input'!$U$64,0),IF('01_Input'!$T$64="Palier",IF(AND(CL$20&gt;='01_Input'!$R$64,CL$20&lt;'01_Input'!$S$64),'01_Input'!$U$64,0),MAX(MIN(CL$20,'01_Input'!$S$64)-'01_Input'!$R$64,0)*'01_Input'!$U$64))+IF('01_Input'!$X$64="Forfait",IF(CL$20&gt;='01_Input'!$V$64,'01_Input'!$Y$64,0),IF('01_Input'!$X$64="Palier",IF(AND(CL$20&gt;='01_Input'!$V$64,CL$20&lt;'01_Input'!$W$64),'01_Input'!$Y$64,0),MAX(MIN(CL$20,'01_Input'!$W$64)-'01_Input'!$V$64,0)*'01_Input'!$Y$64))+IF('01_Input'!$AB$64="Forfait",IF(CL$20&gt;='01_Input'!$Z$64,'01_Input'!$AC$64,0),IF('01_Input'!$AB$64="Palier",IF(AND(CL$20&gt;='01_Input'!$Z$64,CL$20&lt;'01_Input'!$AA$64),'01_Input'!$AC$64,0),MAX(MIN(CL$20,'01_Input'!$AA$64)-'01_Input'!$Z$64,0)*'01_Input'!$AC$64)))))))))</f>
        <v>1392</v>
      </c>
      <c r="CM32" s="83">
        <f>IF('01_Input'!$C$64="Non",0,MIN('01_Input'!$I$64,MAX('01_Input'!$H$64,IF('01_Input'!$G$64="Résiduel vs Gestion",0,IF('01_Input'!$G$64="Taux Classe sélectionnée",Distrib_Global_Classe_Selectionnee*CM$20,IF('01_Input'!$G$64="Frais KYC (paliers de 100M€)",MAX(0,Nb_Investisseurs-Nb_KYC_Gratuites_Par_Tranche*(FLOOR(CM$20/Taille_Tranche_KYC,1)+1))*Cout_Par_KYC_Supplementaire,(IF('01_Input'!$L$64="Forfait",IF(CM$20&gt;='01_Input'!$J$64,'01_Input'!$M$64,0),IF('01_Input'!$L$64="Palier",IF(AND(CM$20&gt;='01_Input'!$J$64,CM$20&lt;'01_Input'!$K$64),'01_Input'!$M$64,0),MAX(MIN(CM$20,'01_Input'!$K$64)-'01_Input'!$J$64,0)*'01_Input'!$M$64))+IF('01_Input'!$P$64="Forfait",IF(CM$20&gt;='01_Input'!$N$64,'01_Input'!$Q$64,0),IF('01_Input'!$P$64="Palier",IF(AND(CM$20&gt;='01_Input'!$N$64,CM$20&lt;'01_Input'!$O$64),'01_Input'!$Q$64,0),MAX(MIN(CM$20,'01_Input'!$O$64)-'01_Input'!$N$64,0)*'01_Input'!$Q$64))+IF('01_Input'!$T$64="Forfait",IF(CM$20&gt;='01_Input'!$R$64,'01_Input'!$U$64,0),IF('01_Input'!$T$64="Palier",IF(AND(CM$20&gt;='01_Input'!$R$64,CM$20&lt;'01_Input'!$S$64),'01_Input'!$U$64,0),MAX(MIN(CM$20,'01_Input'!$S$64)-'01_Input'!$R$64,0)*'01_Input'!$U$64))+IF('01_Input'!$X$64="Forfait",IF(CM$20&gt;='01_Input'!$V$64,'01_Input'!$Y$64,0),IF('01_Input'!$X$64="Palier",IF(AND(CM$20&gt;='01_Input'!$V$64,CM$20&lt;'01_Input'!$W$64),'01_Input'!$Y$64,0),MAX(MIN(CM$20,'01_Input'!$W$64)-'01_Input'!$V$64,0)*'01_Input'!$Y$64))+IF('01_Input'!$AB$64="Forfait",IF(CM$20&gt;='01_Input'!$Z$64,'01_Input'!$AC$64,0),IF('01_Input'!$AB$64="Palier",IF(AND(CM$20&gt;='01_Input'!$Z$64,CM$20&lt;'01_Input'!$AA$64),'01_Input'!$AC$64,0),MAX(MIN(CM$20,'01_Input'!$AA$64)-'01_Input'!$Z$64,0)*'01_Input'!$AC$64)))))))))</f>
        <v>1392</v>
      </c>
      <c r="CN32" s="83">
        <f>IF('01_Input'!$C$64="Non",0,MIN('01_Input'!$I$64,MAX('01_Input'!$H$64,IF('01_Input'!$G$64="Résiduel vs Gestion",0,IF('01_Input'!$G$64="Taux Classe sélectionnée",Distrib_Global_Classe_Selectionnee*CN$20,IF('01_Input'!$G$64="Frais KYC (paliers de 100M€)",MAX(0,Nb_Investisseurs-Nb_KYC_Gratuites_Par_Tranche*(FLOOR(CN$20/Taille_Tranche_KYC,1)+1))*Cout_Par_KYC_Supplementaire,(IF('01_Input'!$L$64="Forfait",IF(CN$20&gt;='01_Input'!$J$64,'01_Input'!$M$64,0),IF('01_Input'!$L$64="Palier",IF(AND(CN$20&gt;='01_Input'!$J$64,CN$20&lt;'01_Input'!$K$64),'01_Input'!$M$64,0),MAX(MIN(CN$20,'01_Input'!$K$64)-'01_Input'!$J$64,0)*'01_Input'!$M$64))+IF('01_Input'!$P$64="Forfait",IF(CN$20&gt;='01_Input'!$N$64,'01_Input'!$Q$64,0),IF('01_Input'!$P$64="Palier",IF(AND(CN$20&gt;='01_Input'!$N$64,CN$20&lt;'01_Input'!$O$64),'01_Input'!$Q$64,0),MAX(MIN(CN$20,'01_Input'!$O$64)-'01_Input'!$N$64,0)*'01_Input'!$Q$64))+IF('01_Input'!$T$64="Forfait",IF(CN$20&gt;='01_Input'!$R$64,'01_Input'!$U$64,0),IF('01_Input'!$T$64="Palier",IF(AND(CN$20&gt;='01_Input'!$R$64,CN$20&lt;'01_Input'!$S$64),'01_Input'!$U$64,0),MAX(MIN(CN$20,'01_Input'!$S$64)-'01_Input'!$R$64,0)*'01_Input'!$U$64))+IF('01_Input'!$X$64="Forfait",IF(CN$20&gt;='01_Input'!$V$64,'01_Input'!$Y$64,0),IF('01_Input'!$X$64="Palier",IF(AND(CN$20&gt;='01_Input'!$V$64,CN$20&lt;'01_Input'!$W$64),'01_Input'!$Y$64,0),MAX(MIN(CN$20,'01_Input'!$W$64)-'01_Input'!$V$64,0)*'01_Input'!$Y$64))+IF('01_Input'!$AB$64="Forfait",IF(CN$20&gt;='01_Input'!$Z$64,'01_Input'!$AC$64,0),IF('01_Input'!$AB$64="Palier",IF(AND(CN$20&gt;='01_Input'!$Z$64,CN$20&lt;'01_Input'!$AA$64),'01_Input'!$AC$64,0),MAX(MIN(CN$20,'01_Input'!$AA$64)-'01_Input'!$Z$64,0)*'01_Input'!$AC$64)))))))))</f>
        <v>1392</v>
      </c>
      <c r="CO32" s="83">
        <f>IF('01_Input'!$C$64="Non",0,MIN('01_Input'!$I$64,MAX('01_Input'!$H$64,IF('01_Input'!$G$64="Résiduel vs Gestion",0,IF('01_Input'!$G$64="Taux Classe sélectionnée",Distrib_Global_Classe_Selectionnee*CO$20,IF('01_Input'!$G$64="Frais KYC (paliers de 100M€)",MAX(0,Nb_Investisseurs-Nb_KYC_Gratuites_Par_Tranche*(FLOOR(CO$20/Taille_Tranche_KYC,1)+1))*Cout_Par_KYC_Supplementaire,(IF('01_Input'!$L$64="Forfait",IF(CO$20&gt;='01_Input'!$J$64,'01_Input'!$M$64,0),IF('01_Input'!$L$64="Palier",IF(AND(CO$20&gt;='01_Input'!$J$64,CO$20&lt;'01_Input'!$K$64),'01_Input'!$M$64,0),MAX(MIN(CO$20,'01_Input'!$K$64)-'01_Input'!$J$64,0)*'01_Input'!$M$64))+IF('01_Input'!$P$64="Forfait",IF(CO$20&gt;='01_Input'!$N$64,'01_Input'!$Q$64,0),IF('01_Input'!$P$64="Palier",IF(AND(CO$20&gt;='01_Input'!$N$64,CO$20&lt;'01_Input'!$O$64),'01_Input'!$Q$64,0),MAX(MIN(CO$20,'01_Input'!$O$64)-'01_Input'!$N$64,0)*'01_Input'!$Q$64))+IF('01_Input'!$T$64="Forfait",IF(CO$20&gt;='01_Input'!$R$64,'01_Input'!$U$64,0),IF('01_Input'!$T$64="Palier",IF(AND(CO$20&gt;='01_Input'!$R$64,CO$20&lt;'01_Input'!$S$64),'01_Input'!$U$64,0),MAX(MIN(CO$20,'01_Input'!$S$64)-'01_Input'!$R$64,0)*'01_Input'!$U$64))+IF('01_Input'!$X$64="Forfait",IF(CO$20&gt;='01_Input'!$V$64,'01_Input'!$Y$64,0),IF('01_Input'!$X$64="Palier",IF(AND(CO$20&gt;='01_Input'!$V$64,CO$20&lt;'01_Input'!$W$64),'01_Input'!$Y$64,0),MAX(MIN(CO$20,'01_Input'!$W$64)-'01_Input'!$V$64,0)*'01_Input'!$Y$64))+IF('01_Input'!$AB$64="Forfait",IF(CO$20&gt;='01_Input'!$Z$64,'01_Input'!$AC$64,0),IF('01_Input'!$AB$64="Palier",IF(AND(CO$20&gt;='01_Input'!$Z$64,CO$20&lt;'01_Input'!$AA$64),'01_Input'!$AC$64,0),MAX(MIN(CO$20,'01_Input'!$AA$64)-'01_Input'!$Z$64,0)*'01_Input'!$AC$64)))))))))</f>
        <v>1392</v>
      </c>
      <c r="CP32" s="83">
        <f>IF('01_Input'!$C$64="Non",0,MIN('01_Input'!$I$64,MAX('01_Input'!$H$64,IF('01_Input'!$G$64="Résiduel vs Gestion",0,IF('01_Input'!$G$64="Taux Classe sélectionnée",Distrib_Global_Classe_Selectionnee*CP$20,IF('01_Input'!$G$64="Frais KYC (paliers de 100M€)",MAX(0,Nb_Investisseurs-Nb_KYC_Gratuites_Par_Tranche*(FLOOR(CP$20/Taille_Tranche_KYC,1)+1))*Cout_Par_KYC_Supplementaire,(IF('01_Input'!$L$64="Forfait",IF(CP$20&gt;='01_Input'!$J$64,'01_Input'!$M$64,0),IF('01_Input'!$L$64="Palier",IF(AND(CP$20&gt;='01_Input'!$J$64,CP$20&lt;'01_Input'!$K$64),'01_Input'!$M$64,0),MAX(MIN(CP$20,'01_Input'!$K$64)-'01_Input'!$J$64,0)*'01_Input'!$M$64))+IF('01_Input'!$P$64="Forfait",IF(CP$20&gt;='01_Input'!$N$64,'01_Input'!$Q$64,0),IF('01_Input'!$P$64="Palier",IF(AND(CP$20&gt;='01_Input'!$N$64,CP$20&lt;'01_Input'!$O$64),'01_Input'!$Q$64,0),MAX(MIN(CP$20,'01_Input'!$O$64)-'01_Input'!$N$64,0)*'01_Input'!$Q$64))+IF('01_Input'!$T$64="Forfait",IF(CP$20&gt;='01_Input'!$R$64,'01_Input'!$U$64,0),IF('01_Input'!$T$64="Palier",IF(AND(CP$20&gt;='01_Input'!$R$64,CP$20&lt;'01_Input'!$S$64),'01_Input'!$U$64,0),MAX(MIN(CP$20,'01_Input'!$S$64)-'01_Input'!$R$64,0)*'01_Input'!$U$64))+IF('01_Input'!$X$64="Forfait",IF(CP$20&gt;='01_Input'!$V$64,'01_Input'!$Y$64,0),IF('01_Input'!$X$64="Palier",IF(AND(CP$20&gt;='01_Input'!$V$64,CP$20&lt;'01_Input'!$W$64),'01_Input'!$Y$64,0),MAX(MIN(CP$20,'01_Input'!$W$64)-'01_Input'!$V$64,0)*'01_Input'!$Y$64))+IF('01_Input'!$AB$64="Forfait",IF(CP$20&gt;='01_Input'!$Z$64,'01_Input'!$AC$64,0),IF('01_Input'!$AB$64="Palier",IF(AND(CP$20&gt;='01_Input'!$Z$64,CP$20&lt;'01_Input'!$AA$64),'01_Input'!$AC$64,0),MAX(MIN(CP$20,'01_Input'!$AA$64)-'01_Input'!$Z$64,0)*'01_Input'!$AC$64)))))))))</f>
        <v>1392</v>
      </c>
      <c r="CQ32" s="83">
        <f>IF('01_Input'!$C$64="Non",0,MIN('01_Input'!$I$64,MAX('01_Input'!$H$64,IF('01_Input'!$G$64="Résiduel vs Gestion",0,IF('01_Input'!$G$64="Taux Classe sélectionnée",Distrib_Global_Classe_Selectionnee*CQ$20,IF('01_Input'!$G$64="Frais KYC (paliers de 100M€)",MAX(0,Nb_Investisseurs-Nb_KYC_Gratuites_Par_Tranche*(FLOOR(CQ$20/Taille_Tranche_KYC,1)+1))*Cout_Par_KYC_Supplementaire,(IF('01_Input'!$L$64="Forfait",IF(CQ$20&gt;='01_Input'!$J$64,'01_Input'!$M$64,0),IF('01_Input'!$L$64="Palier",IF(AND(CQ$20&gt;='01_Input'!$J$64,CQ$20&lt;'01_Input'!$K$64),'01_Input'!$M$64,0),MAX(MIN(CQ$20,'01_Input'!$K$64)-'01_Input'!$J$64,0)*'01_Input'!$M$64))+IF('01_Input'!$P$64="Forfait",IF(CQ$20&gt;='01_Input'!$N$64,'01_Input'!$Q$64,0),IF('01_Input'!$P$64="Palier",IF(AND(CQ$20&gt;='01_Input'!$N$64,CQ$20&lt;'01_Input'!$O$64),'01_Input'!$Q$64,0),MAX(MIN(CQ$20,'01_Input'!$O$64)-'01_Input'!$N$64,0)*'01_Input'!$Q$64))+IF('01_Input'!$T$64="Forfait",IF(CQ$20&gt;='01_Input'!$R$64,'01_Input'!$U$64,0),IF('01_Input'!$T$64="Palier",IF(AND(CQ$20&gt;='01_Input'!$R$64,CQ$20&lt;'01_Input'!$S$64),'01_Input'!$U$64,0),MAX(MIN(CQ$20,'01_Input'!$S$64)-'01_Input'!$R$64,0)*'01_Input'!$U$64))+IF('01_Input'!$X$64="Forfait",IF(CQ$20&gt;='01_Input'!$V$64,'01_Input'!$Y$64,0),IF('01_Input'!$X$64="Palier",IF(AND(CQ$20&gt;='01_Input'!$V$64,CQ$20&lt;'01_Input'!$W$64),'01_Input'!$Y$64,0),MAX(MIN(CQ$20,'01_Input'!$W$64)-'01_Input'!$V$64,0)*'01_Input'!$Y$64))+IF('01_Input'!$AB$64="Forfait",IF(CQ$20&gt;='01_Input'!$Z$64,'01_Input'!$AC$64,0),IF('01_Input'!$AB$64="Palier",IF(AND(CQ$20&gt;='01_Input'!$Z$64,CQ$20&lt;'01_Input'!$AA$64),'01_Input'!$AC$64,0),MAX(MIN(CQ$20,'01_Input'!$AA$64)-'01_Input'!$Z$64,0)*'01_Input'!$AC$64)))))))))</f>
        <v>1392</v>
      </c>
      <c r="CR32" s="83">
        <f>IF('01_Input'!$C$64="Non",0,MIN('01_Input'!$I$64,MAX('01_Input'!$H$64,IF('01_Input'!$G$64="Résiduel vs Gestion",0,IF('01_Input'!$G$64="Taux Classe sélectionnée",Distrib_Global_Classe_Selectionnee*CR$20,IF('01_Input'!$G$64="Frais KYC (paliers de 100M€)",MAX(0,Nb_Investisseurs-Nb_KYC_Gratuites_Par_Tranche*(FLOOR(CR$20/Taille_Tranche_KYC,1)+1))*Cout_Par_KYC_Supplementaire,(IF('01_Input'!$L$64="Forfait",IF(CR$20&gt;='01_Input'!$J$64,'01_Input'!$M$64,0),IF('01_Input'!$L$64="Palier",IF(AND(CR$20&gt;='01_Input'!$J$64,CR$20&lt;'01_Input'!$K$64),'01_Input'!$M$64,0),MAX(MIN(CR$20,'01_Input'!$K$64)-'01_Input'!$J$64,0)*'01_Input'!$M$64))+IF('01_Input'!$P$64="Forfait",IF(CR$20&gt;='01_Input'!$N$64,'01_Input'!$Q$64,0),IF('01_Input'!$P$64="Palier",IF(AND(CR$20&gt;='01_Input'!$N$64,CR$20&lt;'01_Input'!$O$64),'01_Input'!$Q$64,0),MAX(MIN(CR$20,'01_Input'!$O$64)-'01_Input'!$N$64,0)*'01_Input'!$Q$64))+IF('01_Input'!$T$64="Forfait",IF(CR$20&gt;='01_Input'!$R$64,'01_Input'!$U$64,0),IF('01_Input'!$T$64="Palier",IF(AND(CR$20&gt;='01_Input'!$R$64,CR$20&lt;'01_Input'!$S$64),'01_Input'!$U$64,0),MAX(MIN(CR$20,'01_Input'!$S$64)-'01_Input'!$R$64,0)*'01_Input'!$U$64))+IF('01_Input'!$X$64="Forfait",IF(CR$20&gt;='01_Input'!$V$64,'01_Input'!$Y$64,0),IF('01_Input'!$X$64="Palier",IF(AND(CR$20&gt;='01_Input'!$V$64,CR$20&lt;'01_Input'!$W$64),'01_Input'!$Y$64,0),MAX(MIN(CR$20,'01_Input'!$W$64)-'01_Input'!$V$64,0)*'01_Input'!$Y$64))+IF('01_Input'!$AB$64="Forfait",IF(CR$20&gt;='01_Input'!$Z$64,'01_Input'!$AC$64,0),IF('01_Input'!$AB$64="Palier",IF(AND(CR$20&gt;='01_Input'!$Z$64,CR$20&lt;'01_Input'!$AA$64),'01_Input'!$AC$64,0),MAX(MIN(CR$20,'01_Input'!$AA$64)-'01_Input'!$Z$64,0)*'01_Input'!$AC$64)))))))))</f>
        <v>1392</v>
      </c>
      <c r="CS32" s="83">
        <f>IF('01_Input'!$C$64="Non",0,MIN('01_Input'!$I$64,MAX('01_Input'!$H$64,IF('01_Input'!$G$64="Résiduel vs Gestion",0,IF('01_Input'!$G$64="Taux Classe sélectionnée",Distrib_Global_Classe_Selectionnee*CS$20,IF('01_Input'!$G$64="Frais KYC (paliers de 100M€)",MAX(0,Nb_Investisseurs-Nb_KYC_Gratuites_Par_Tranche*(FLOOR(CS$20/Taille_Tranche_KYC,1)+1))*Cout_Par_KYC_Supplementaire,(IF('01_Input'!$L$64="Forfait",IF(CS$20&gt;='01_Input'!$J$64,'01_Input'!$M$64,0),IF('01_Input'!$L$64="Palier",IF(AND(CS$20&gt;='01_Input'!$J$64,CS$20&lt;'01_Input'!$K$64),'01_Input'!$M$64,0),MAX(MIN(CS$20,'01_Input'!$K$64)-'01_Input'!$J$64,0)*'01_Input'!$M$64))+IF('01_Input'!$P$64="Forfait",IF(CS$20&gt;='01_Input'!$N$64,'01_Input'!$Q$64,0),IF('01_Input'!$P$64="Palier",IF(AND(CS$20&gt;='01_Input'!$N$64,CS$20&lt;'01_Input'!$O$64),'01_Input'!$Q$64,0),MAX(MIN(CS$20,'01_Input'!$O$64)-'01_Input'!$N$64,0)*'01_Input'!$Q$64))+IF('01_Input'!$T$64="Forfait",IF(CS$20&gt;='01_Input'!$R$64,'01_Input'!$U$64,0),IF('01_Input'!$T$64="Palier",IF(AND(CS$20&gt;='01_Input'!$R$64,CS$20&lt;'01_Input'!$S$64),'01_Input'!$U$64,0),MAX(MIN(CS$20,'01_Input'!$S$64)-'01_Input'!$R$64,0)*'01_Input'!$U$64))+IF('01_Input'!$X$64="Forfait",IF(CS$20&gt;='01_Input'!$V$64,'01_Input'!$Y$64,0),IF('01_Input'!$X$64="Palier",IF(AND(CS$20&gt;='01_Input'!$V$64,CS$20&lt;'01_Input'!$W$64),'01_Input'!$Y$64,0),MAX(MIN(CS$20,'01_Input'!$W$64)-'01_Input'!$V$64,0)*'01_Input'!$Y$64))+IF('01_Input'!$AB$64="Forfait",IF(CS$20&gt;='01_Input'!$Z$64,'01_Input'!$AC$64,0),IF('01_Input'!$AB$64="Palier",IF(AND(CS$20&gt;='01_Input'!$Z$64,CS$20&lt;'01_Input'!$AA$64),'01_Input'!$AC$64,0),MAX(MIN(CS$20,'01_Input'!$AA$64)-'01_Input'!$Z$64,0)*'01_Input'!$AC$64)))))))))</f>
        <v>1392</v>
      </c>
      <c r="CT32" s="83">
        <f>IF('01_Input'!$C$64="Non",0,MIN('01_Input'!$I$64,MAX('01_Input'!$H$64,IF('01_Input'!$G$64="Résiduel vs Gestion",0,IF('01_Input'!$G$64="Taux Classe sélectionnée",Distrib_Global_Classe_Selectionnee*CT$20,IF('01_Input'!$G$64="Frais KYC (paliers de 100M€)",MAX(0,Nb_Investisseurs-Nb_KYC_Gratuites_Par_Tranche*(FLOOR(CT$20/Taille_Tranche_KYC,1)+1))*Cout_Par_KYC_Supplementaire,(IF('01_Input'!$L$64="Forfait",IF(CT$20&gt;='01_Input'!$J$64,'01_Input'!$M$64,0),IF('01_Input'!$L$64="Palier",IF(AND(CT$20&gt;='01_Input'!$J$64,CT$20&lt;'01_Input'!$K$64),'01_Input'!$M$64,0),MAX(MIN(CT$20,'01_Input'!$K$64)-'01_Input'!$J$64,0)*'01_Input'!$M$64))+IF('01_Input'!$P$64="Forfait",IF(CT$20&gt;='01_Input'!$N$64,'01_Input'!$Q$64,0),IF('01_Input'!$P$64="Palier",IF(AND(CT$20&gt;='01_Input'!$N$64,CT$20&lt;'01_Input'!$O$64),'01_Input'!$Q$64,0),MAX(MIN(CT$20,'01_Input'!$O$64)-'01_Input'!$N$64,0)*'01_Input'!$Q$64))+IF('01_Input'!$T$64="Forfait",IF(CT$20&gt;='01_Input'!$R$64,'01_Input'!$U$64,0),IF('01_Input'!$T$64="Palier",IF(AND(CT$20&gt;='01_Input'!$R$64,CT$20&lt;'01_Input'!$S$64),'01_Input'!$U$64,0),MAX(MIN(CT$20,'01_Input'!$S$64)-'01_Input'!$R$64,0)*'01_Input'!$U$64))+IF('01_Input'!$X$64="Forfait",IF(CT$20&gt;='01_Input'!$V$64,'01_Input'!$Y$64,0),IF('01_Input'!$X$64="Palier",IF(AND(CT$20&gt;='01_Input'!$V$64,CT$20&lt;'01_Input'!$W$64),'01_Input'!$Y$64,0),MAX(MIN(CT$20,'01_Input'!$W$64)-'01_Input'!$V$64,0)*'01_Input'!$Y$64))+IF('01_Input'!$AB$64="Forfait",IF(CT$20&gt;='01_Input'!$Z$64,'01_Input'!$AC$64,0),IF('01_Input'!$AB$64="Palier",IF(AND(CT$20&gt;='01_Input'!$Z$64,CT$20&lt;'01_Input'!$AA$64),'01_Input'!$AC$64,0),MAX(MIN(CT$20,'01_Input'!$AA$64)-'01_Input'!$Z$64,0)*'01_Input'!$AC$64)))))))))</f>
        <v>1392</v>
      </c>
      <c r="CU32" s="83">
        <f>IF('01_Input'!$C$64="Non",0,MIN('01_Input'!$I$64,MAX('01_Input'!$H$64,IF('01_Input'!$G$64="Résiduel vs Gestion",0,IF('01_Input'!$G$64="Taux Classe sélectionnée",Distrib_Global_Classe_Selectionnee*CU$20,IF('01_Input'!$G$64="Frais KYC (paliers de 100M€)",MAX(0,Nb_Investisseurs-Nb_KYC_Gratuites_Par_Tranche*(FLOOR(CU$20/Taille_Tranche_KYC,1)+1))*Cout_Par_KYC_Supplementaire,(IF('01_Input'!$L$64="Forfait",IF(CU$20&gt;='01_Input'!$J$64,'01_Input'!$M$64,0),IF('01_Input'!$L$64="Palier",IF(AND(CU$20&gt;='01_Input'!$J$64,CU$20&lt;'01_Input'!$K$64),'01_Input'!$M$64,0),MAX(MIN(CU$20,'01_Input'!$K$64)-'01_Input'!$J$64,0)*'01_Input'!$M$64))+IF('01_Input'!$P$64="Forfait",IF(CU$20&gt;='01_Input'!$N$64,'01_Input'!$Q$64,0),IF('01_Input'!$P$64="Palier",IF(AND(CU$20&gt;='01_Input'!$N$64,CU$20&lt;'01_Input'!$O$64),'01_Input'!$Q$64,0),MAX(MIN(CU$20,'01_Input'!$O$64)-'01_Input'!$N$64,0)*'01_Input'!$Q$64))+IF('01_Input'!$T$64="Forfait",IF(CU$20&gt;='01_Input'!$R$64,'01_Input'!$U$64,0),IF('01_Input'!$T$64="Palier",IF(AND(CU$20&gt;='01_Input'!$R$64,CU$20&lt;'01_Input'!$S$64),'01_Input'!$U$64,0),MAX(MIN(CU$20,'01_Input'!$S$64)-'01_Input'!$R$64,0)*'01_Input'!$U$64))+IF('01_Input'!$X$64="Forfait",IF(CU$20&gt;='01_Input'!$V$64,'01_Input'!$Y$64,0),IF('01_Input'!$X$64="Palier",IF(AND(CU$20&gt;='01_Input'!$V$64,CU$20&lt;'01_Input'!$W$64),'01_Input'!$Y$64,0),MAX(MIN(CU$20,'01_Input'!$W$64)-'01_Input'!$V$64,0)*'01_Input'!$Y$64))+IF('01_Input'!$AB$64="Forfait",IF(CU$20&gt;='01_Input'!$Z$64,'01_Input'!$AC$64,0),IF('01_Input'!$AB$64="Palier",IF(AND(CU$20&gt;='01_Input'!$Z$64,CU$20&lt;'01_Input'!$AA$64),'01_Input'!$AC$64,0),MAX(MIN(CU$20,'01_Input'!$AA$64)-'01_Input'!$Z$64,0)*'01_Input'!$AC$64)))))))))</f>
        <v>1392</v>
      </c>
      <c r="CV32" s="83">
        <f>IF('01_Input'!$C$64="Non",0,MIN('01_Input'!$I$64,MAX('01_Input'!$H$64,IF('01_Input'!$G$64="Résiduel vs Gestion",0,IF('01_Input'!$G$64="Taux Classe sélectionnée",Distrib_Global_Classe_Selectionnee*CV$20,IF('01_Input'!$G$64="Frais KYC (paliers de 100M€)",MAX(0,Nb_Investisseurs-Nb_KYC_Gratuites_Par_Tranche*(FLOOR(CV$20/Taille_Tranche_KYC,1)+1))*Cout_Par_KYC_Supplementaire,(IF('01_Input'!$L$64="Forfait",IF(CV$20&gt;='01_Input'!$J$64,'01_Input'!$M$64,0),IF('01_Input'!$L$64="Palier",IF(AND(CV$20&gt;='01_Input'!$J$64,CV$20&lt;'01_Input'!$K$64),'01_Input'!$M$64,0),MAX(MIN(CV$20,'01_Input'!$K$64)-'01_Input'!$J$64,0)*'01_Input'!$M$64))+IF('01_Input'!$P$64="Forfait",IF(CV$20&gt;='01_Input'!$N$64,'01_Input'!$Q$64,0),IF('01_Input'!$P$64="Palier",IF(AND(CV$20&gt;='01_Input'!$N$64,CV$20&lt;'01_Input'!$O$64),'01_Input'!$Q$64,0),MAX(MIN(CV$20,'01_Input'!$O$64)-'01_Input'!$N$64,0)*'01_Input'!$Q$64))+IF('01_Input'!$T$64="Forfait",IF(CV$20&gt;='01_Input'!$R$64,'01_Input'!$U$64,0),IF('01_Input'!$T$64="Palier",IF(AND(CV$20&gt;='01_Input'!$R$64,CV$20&lt;'01_Input'!$S$64),'01_Input'!$U$64,0),MAX(MIN(CV$20,'01_Input'!$S$64)-'01_Input'!$R$64,0)*'01_Input'!$U$64))+IF('01_Input'!$X$64="Forfait",IF(CV$20&gt;='01_Input'!$V$64,'01_Input'!$Y$64,0),IF('01_Input'!$X$64="Palier",IF(AND(CV$20&gt;='01_Input'!$V$64,CV$20&lt;'01_Input'!$W$64),'01_Input'!$Y$64,0),MAX(MIN(CV$20,'01_Input'!$W$64)-'01_Input'!$V$64,0)*'01_Input'!$Y$64))+IF('01_Input'!$AB$64="Forfait",IF(CV$20&gt;='01_Input'!$Z$64,'01_Input'!$AC$64,0),IF('01_Input'!$AB$64="Palier",IF(AND(CV$20&gt;='01_Input'!$Z$64,CV$20&lt;'01_Input'!$AA$64),'01_Input'!$AC$64,0),MAX(MIN(CV$20,'01_Input'!$AA$64)-'01_Input'!$Z$64,0)*'01_Input'!$AC$64)))))))))</f>
        <v>1392</v>
      </c>
      <c r="CW32" s="83">
        <f>IF('01_Input'!$C$64="Non",0,MIN('01_Input'!$I$64,MAX('01_Input'!$H$64,IF('01_Input'!$G$64="Résiduel vs Gestion",0,IF('01_Input'!$G$64="Taux Classe sélectionnée",Distrib_Global_Classe_Selectionnee*CW$20,IF('01_Input'!$G$64="Frais KYC (paliers de 100M€)",MAX(0,Nb_Investisseurs-Nb_KYC_Gratuites_Par_Tranche*(FLOOR(CW$20/Taille_Tranche_KYC,1)+1))*Cout_Par_KYC_Supplementaire,(IF('01_Input'!$L$64="Forfait",IF(CW$20&gt;='01_Input'!$J$64,'01_Input'!$M$64,0),IF('01_Input'!$L$64="Palier",IF(AND(CW$20&gt;='01_Input'!$J$64,CW$20&lt;'01_Input'!$K$64),'01_Input'!$M$64,0),MAX(MIN(CW$20,'01_Input'!$K$64)-'01_Input'!$J$64,0)*'01_Input'!$M$64))+IF('01_Input'!$P$64="Forfait",IF(CW$20&gt;='01_Input'!$N$64,'01_Input'!$Q$64,0),IF('01_Input'!$P$64="Palier",IF(AND(CW$20&gt;='01_Input'!$N$64,CW$20&lt;'01_Input'!$O$64),'01_Input'!$Q$64,0),MAX(MIN(CW$20,'01_Input'!$O$64)-'01_Input'!$N$64,0)*'01_Input'!$Q$64))+IF('01_Input'!$T$64="Forfait",IF(CW$20&gt;='01_Input'!$R$64,'01_Input'!$U$64,0),IF('01_Input'!$T$64="Palier",IF(AND(CW$20&gt;='01_Input'!$R$64,CW$20&lt;'01_Input'!$S$64),'01_Input'!$U$64,0),MAX(MIN(CW$20,'01_Input'!$S$64)-'01_Input'!$R$64,0)*'01_Input'!$U$64))+IF('01_Input'!$X$64="Forfait",IF(CW$20&gt;='01_Input'!$V$64,'01_Input'!$Y$64,0),IF('01_Input'!$X$64="Palier",IF(AND(CW$20&gt;='01_Input'!$V$64,CW$20&lt;'01_Input'!$W$64),'01_Input'!$Y$64,0),MAX(MIN(CW$20,'01_Input'!$W$64)-'01_Input'!$V$64,0)*'01_Input'!$Y$64))+IF('01_Input'!$AB$64="Forfait",IF(CW$20&gt;='01_Input'!$Z$64,'01_Input'!$AC$64,0),IF('01_Input'!$AB$64="Palier",IF(AND(CW$20&gt;='01_Input'!$Z$64,CW$20&lt;'01_Input'!$AA$64),'01_Input'!$AC$64,0),MAX(MIN(CW$20,'01_Input'!$AA$64)-'01_Input'!$Z$64,0)*'01_Input'!$AC$64)))))))))</f>
        <v>1392</v>
      </c>
      <c r="CX32" s="83">
        <f>IF('01_Input'!$C$64="Non",0,MIN('01_Input'!$I$64,MAX('01_Input'!$H$64,IF('01_Input'!$G$64="Résiduel vs Gestion",0,IF('01_Input'!$G$64="Taux Classe sélectionnée",Distrib_Global_Classe_Selectionnee*CX$20,IF('01_Input'!$G$64="Frais KYC (paliers de 100M€)",MAX(0,Nb_Investisseurs-Nb_KYC_Gratuites_Par_Tranche*(FLOOR(CX$20/Taille_Tranche_KYC,1)+1))*Cout_Par_KYC_Supplementaire,(IF('01_Input'!$L$64="Forfait",IF(CX$20&gt;='01_Input'!$J$64,'01_Input'!$M$64,0),IF('01_Input'!$L$64="Palier",IF(AND(CX$20&gt;='01_Input'!$J$64,CX$20&lt;'01_Input'!$K$64),'01_Input'!$M$64,0),MAX(MIN(CX$20,'01_Input'!$K$64)-'01_Input'!$J$64,0)*'01_Input'!$M$64))+IF('01_Input'!$P$64="Forfait",IF(CX$20&gt;='01_Input'!$N$64,'01_Input'!$Q$64,0),IF('01_Input'!$P$64="Palier",IF(AND(CX$20&gt;='01_Input'!$N$64,CX$20&lt;'01_Input'!$O$64),'01_Input'!$Q$64,0),MAX(MIN(CX$20,'01_Input'!$O$64)-'01_Input'!$N$64,0)*'01_Input'!$Q$64))+IF('01_Input'!$T$64="Forfait",IF(CX$20&gt;='01_Input'!$R$64,'01_Input'!$U$64,0),IF('01_Input'!$T$64="Palier",IF(AND(CX$20&gt;='01_Input'!$R$64,CX$20&lt;'01_Input'!$S$64),'01_Input'!$U$64,0),MAX(MIN(CX$20,'01_Input'!$S$64)-'01_Input'!$R$64,0)*'01_Input'!$U$64))+IF('01_Input'!$X$64="Forfait",IF(CX$20&gt;='01_Input'!$V$64,'01_Input'!$Y$64,0),IF('01_Input'!$X$64="Palier",IF(AND(CX$20&gt;='01_Input'!$V$64,CX$20&lt;'01_Input'!$W$64),'01_Input'!$Y$64,0),MAX(MIN(CX$20,'01_Input'!$W$64)-'01_Input'!$V$64,0)*'01_Input'!$Y$64))+IF('01_Input'!$AB$64="Forfait",IF(CX$20&gt;='01_Input'!$Z$64,'01_Input'!$AC$64,0),IF('01_Input'!$AB$64="Palier",IF(AND(CX$20&gt;='01_Input'!$Z$64,CX$20&lt;'01_Input'!$AA$64),'01_Input'!$AC$64,0),MAX(MIN(CX$20,'01_Input'!$AA$64)-'01_Input'!$Z$64,0)*'01_Input'!$AC$64)))))))))</f>
        <v>1392</v>
      </c>
      <c r="CY32" s="83">
        <f>IF('01_Input'!$C$64="Non",0,MIN('01_Input'!$I$64,MAX('01_Input'!$H$64,IF('01_Input'!$G$64="Résiduel vs Gestion",0,IF('01_Input'!$G$64="Taux Classe sélectionnée",Distrib_Global_Classe_Selectionnee*CY$20,IF('01_Input'!$G$64="Frais KYC (paliers de 100M€)",MAX(0,Nb_Investisseurs-Nb_KYC_Gratuites_Par_Tranche*(FLOOR(CY$20/Taille_Tranche_KYC,1)+1))*Cout_Par_KYC_Supplementaire,(IF('01_Input'!$L$64="Forfait",IF(CY$20&gt;='01_Input'!$J$64,'01_Input'!$M$64,0),IF('01_Input'!$L$64="Palier",IF(AND(CY$20&gt;='01_Input'!$J$64,CY$20&lt;'01_Input'!$K$64),'01_Input'!$M$64,0),MAX(MIN(CY$20,'01_Input'!$K$64)-'01_Input'!$J$64,0)*'01_Input'!$M$64))+IF('01_Input'!$P$64="Forfait",IF(CY$20&gt;='01_Input'!$N$64,'01_Input'!$Q$64,0),IF('01_Input'!$P$64="Palier",IF(AND(CY$20&gt;='01_Input'!$N$64,CY$20&lt;'01_Input'!$O$64),'01_Input'!$Q$64,0),MAX(MIN(CY$20,'01_Input'!$O$64)-'01_Input'!$N$64,0)*'01_Input'!$Q$64))+IF('01_Input'!$T$64="Forfait",IF(CY$20&gt;='01_Input'!$R$64,'01_Input'!$U$64,0),IF('01_Input'!$T$64="Palier",IF(AND(CY$20&gt;='01_Input'!$R$64,CY$20&lt;'01_Input'!$S$64),'01_Input'!$U$64,0),MAX(MIN(CY$20,'01_Input'!$S$64)-'01_Input'!$R$64,0)*'01_Input'!$U$64))+IF('01_Input'!$X$64="Forfait",IF(CY$20&gt;='01_Input'!$V$64,'01_Input'!$Y$64,0),IF('01_Input'!$X$64="Palier",IF(AND(CY$20&gt;='01_Input'!$V$64,CY$20&lt;'01_Input'!$W$64),'01_Input'!$Y$64,0),MAX(MIN(CY$20,'01_Input'!$W$64)-'01_Input'!$V$64,0)*'01_Input'!$Y$64))+IF('01_Input'!$AB$64="Forfait",IF(CY$20&gt;='01_Input'!$Z$64,'01_Input'!$AC$64,0),IF('01_Input'!$AB$64="Palier",IF(AND(CY$20&gt;='01_Input'!$Z$64,CY$20&lt;'01_Input'!$AA$64),'01_Input'!$AC$64,0),MAX(MIN(CY$20,'01_Input'!$AA$64)-'01_Input'!$Z$64,0)*'01_Input'!$AC$64)))))))))</f>
        <v>1392</v>
      </c>
      <c r="CZ32" s="83">
        <f>IF('01_Input'!$C$64="Non",0,MIN('01_Input'!$I$64,MAX('01_Input'!$H$64,IF('01_Input'!$G$64="Résiduel vs Gestion",0,IF('01_Input'!$G$64="Taux Classe sélectionnée",Distrib_Global_Classe_Selectionnee*CZ$20,IF('01_Input'!$G$64="Frais KYC (paliers de 100M€)",MAX(0,Nb_Investisseurs-Nb_KYC_Gratuites_Par_Tranche*(FLOOR(CZ$20/Taille_Tranche_KYC,1)+1))*Cout_Par_KYC_Supplementaire,(IF('01_Input'!$L$64="Forfait",IF(CZ$20&gt;='01_Input'!$J$64,'01_Input'!$M$64,0),IF('01_Input'!$L$64="Palier",IF(AND(CZ$20&gt;='01_Input'!$J$64,CZ$20&lt;'01_Input'!$K$64),'01_Input'!$M$64,0),MAX(MIN(CZ$20,'01_Input'!$K$64)-'01_Input'!$J$64,0)*'01_Input'!$M$64))+IF('01_Input'!$P$64="Forfait",IF(CZ$20&gt;='01_Input'!$N$64,'01_Input'!$Q$64,0),IF('01_Input'!$P$64="Palier",IF(AND(CZ$20&gt;='01_Input'!$N$64,CZ$20&lt;'01_Input'!$O$64),'01_Input'!$Q$64,0),MAX(MIN(CZ$20,'01_Input'!$O$64)-'01_Input'!$N$64,0)*'01_Input'!$Q$64))+IF('01_Input'!$T$64="Forfait",IF(CZ$20&gt;='01_Input'!$R$64,'01_Input'!$U$64,0),IF('01_Input'!$T$64="Palier",IF(AND(CZ$20&gt;='01_Input'!$R$64,CZ$20&lt;'01_Input'!$S$64),'01_Input'!$U$64,0),MAX(MIN(CZ$20,'01_Input'!$S$64)-'01_Input'!$R$64,0)*'01_Input'!$U$64))+IF('01_Input'!$X$64="Forfait",IF(CZ$20&gt;='01_Input'!$V$64,'01_Input'!$Y$64,0),IF('01_Input'!$X$64="Palier",IF(AND(CZ$20&gt;='01_Input'!$V$64,CZ$20&lt;'01_Input'!$W$64),'01_Input'!$Y$64,0),MAX(MIN(CZ$20,'01_Input'!$W$64)-'01_Input'!$V$64,0)*'01_Input'!$Y$64))+IF('01_Input'!$AB$64="Forfait",IF(CZ$20&gt;='01_Input'!$Z$64,'01_Input'!$AC$64,0),IF('01_Input'!$AB$64="Palier",IF(AND(CZ$20&gt;='01_Input'!$Z$64,CZ$20&lt;'01_Input'!$AA$64),'01_Input'!$AC$64,0),MAX(MIN(CZ$20,'01_Input'!$AA$64)-'01_Input'!$Z$64,0)*'01_Input'!$AC$64)))))))))</f>
        <v>1392</v>
      </c>
      <c r="DA32" s="83">
        <f>IF('01_Input'!$C$64="Non",0,MIN('01_Input'!$I$64,MAX('01_Input'!$H$64,IF('01_Input'!$G$64="Résiduel vs Gestion",0,IF('01_Input'!$G$64="Taux Classe sélectionnée",Distrib_Global_Classe_Selectionnee*DA$20,IF('01_Input'!$G$64="Frais KYC (paliers de 100M€)",MAX(0,Nb_Investisseurs-Nb_KYC_Gratuites_Par_Tranche*(FLOOR(DA$20/Taille_Tranche_KYC,1)+1))*Cout_Par_KYC_Supplementaire,(IF('01_Input'!$L$64="Forfait",IF(DA$20&gt;='01_Input'!$J$64,'01_Input'!$M$64,0),IF('01_Input'!$L$64="Palier",IF(AND(DA$20&gt;='01_Input'!$J$64,DA$20&lt;'01_Input'!$K$64),'01_Input'!$M$64,0),MAX(MIN(DA$20,'01_Input'!$K$64)-'01_Input'!$J$64,0)*'01_Input'!$M$64))+IF('01_Input'!$P$64="Forfait",IF(DA$20&gt;='01_Input'!$N$64,'01_Input'!$Q$64,0),IF('01_Input'!$P$64="Palier",IF(AND(DA$20&gt;='01_Input'!$N$64,DA$20&lt;'01_Input'!$O$64),'01_Input'!$Q$64,0),MAX(MIN(DA$20,'01_Input'!$O$64)-'01_Input'!$N$64,0)*'01_Input'!$Q$64))+IF('01_Input'!$T$64="Forfait",IF(DA$20&gt;='01_Input'!$R$64,'01_Input'!$U$64,0),IF('01_Input'!$T$64="Palier",IF(AND(DA$20&gt;='01_Input'!$R$64,DA$20&lt;'01_Input'!$S$64),'01_Input'!$U$64,0),MAX(MIN(DA$20,'01_Input'!$S$64)-'01_Input'!$R$64,0)*'01_Input'!$U$64))+IF('01_Input'!$X$64="Forfait",IF(DA$20&gt;='01_Input'!$V$64,'01_Input'!$Y$64,0),IF('01_Input'!$X$64="Palier",IF(AND(DA$20&gt;='01_Input'!$V$64,DA$20&lt;'01_Input'!$W$64),'01_Input'!$Y$64,0),MAX(MIN(DA$20,'01_Input'!$W$64)-'01_Input'!$V$64,0)*'01_Input'!$Y$64))+IF('01_Input'!$AB$64="Forfait",IF(DA$20&gt;='01_Input'!$Z$64,'01_Input'!$AC$64,0),IF('01_Input'!$AB$64="Palier",IF(AND(DA$20&gt;='01_Input'!$Z$64,DA$20&lt;'01_Input'!$AA$64),'01_Input'!$AC$64,0),MAX(MIN(DA$20,'01_Input'!$AA$64)-'01_Input'!$Z$64,0)*'01_Input'!$AC$64)))))))))</f>
        <v>1392</v>
      </c>
      <c r="DB32" s="83">
        <f>IF('01_Input'!$C$64="Non",0,MIN('01_Input'!$I$64,MAX('01_Input'!$H$64,IF('01_Input'!$G$64="Résiduel vs Gestion",0,IF('01_Input'!$G$64="Taux Classe sélectionnée",Distrib_Global_Classe_Selectionnee*DB$20,IF('01_Input'!$G$64="Frais KYC (paliers de 100M€)",MAX(0,Nb_Investisseurs-Nb_KYC_Gratuites_Par_Tranche*(FLOOR(DB$20/Taille_Tranche_KYC,1)+1))*Cout_Par_KYC_Supplementaire,(IF('01_Input'!$L$64="Forfait",IF(DB$20&gt;='01_Input'!$J$64,'01_Input'!$M$64,0),IF('01_Input'!$L$64="Palier",IF(AND(DB$20&gt;='01_Input'!$J$64,DB$20&lt;'01_Input'!$K$64),'01_Input'!$M$64,0),MAX(MIN(DB$20,'01_Input'!$K$64)-'01_Input'!$J$64,0)*'01_Input'!$M$64))+IF('01_Input'!$P$64="Forfait",IF(DB$20&gt;='01_Input'!$N$64,'01_Input'!$Q$64,0),IF('01_Input'!$P$64="Palier",IF(AND(DB$20&gt;='01_Input'!$N$64,DB$20&lt;'01_Input'!$O$64),'01_Input'!$Q$64,0),MAX(MIN(DB$20,'01_Input'!$O$64)-'01_Input'!$N$64,0)*'01_Input'!$Q$64))+IF('01_Input'!$T$64="Forfait",IF(DB$20&gt;='01_Input'!$R$64,'01_Input'!$U$64,0),IF('01_Input'!$T$64="Palier",IF(AND(DB$20&gt;='01_Input'!$R$64,DB$20&lt;'01_Input'!$S$64),'01_Input'!$U$64,0),MAX(MIN(DB$20,'01_Input'!$S$64)-'01_Input'!$R$64,0)*'01_Input'!$U$64))+IF('01_Input'!$X$64="Forfait",IF(DB$20&gt;='01_Input'!$V$64,'01_Input'!$Y$64,0),IF('01_Input'!$X$64="Palier",IF(AND(DB$20&gt;='01_Input'!$V$64,DB$20&lt;'01_Input'!$W$64),'01_Input'!$Y$64,0),MAX(MIN(DB$20,'01_Input'!$W$64)-'01_Input'!$V$64,0)*'01_Input'!$Y$64))+IF('01_Input'!$AB$64="Forfait",IF(DB$20&gt;='01_Input'!$Z$64,'01_Input'!$AC$64,0),IF('01_Input'!$AB$64="Palier",IF(AND(DB$20&gt;='01_Input'!$Z$64,DB$20&lt;'01_Input'!$AA$64),'01_Input'!$AC$64,0),MAX(MIN(DB$20,'01_Input'!$AA$64)-'01_Input'!$Z$64,0)*'01_Input'!$AC$64)))))))))</f>
        <v>1392</v>
      </c>
      <c r="DC32" s="83">
        <f>IF('01_Input'!$C$64="Non",0,MIN('01_Input'!$I$64,MAX('01_Input'!$H$64,IF('01_Input'!$G$64="Résiduel vs Gestion",0,IF('01_Input'!$G$64="Taux Classe sélectionnée",Distrib_Global_Classe_Selectionnee*DC$20,IF('01_Input'!$G$64="Frais KYC (paliers de 100M€)",MAX(0,Nb_Investisseurs-Nb_KYC_Gratuites_Par_Tranche*(FLOOR(DC$20/Taille_Tranche_KYC,1)+1))*Cout_Par_KYC_Supplementaire,(IF('01_Input'!$L$64="Forfait",IF(DC$20&gt;='01_Input'!$J$64,'01_Input'!$M$64,0),IF('01_Input'!$L$64="Palier",IF(AND(DC$20&gt;='01_Input'!$J$64,DC$20&lt;'01_Input'!$K$64),'01_Input'!$M$64,0),MAX(MIN(DC$20,'01_Input'!$K$64)-'01_Input'!$J$64,0)*'01_Input'!$M$64))+IF('01_Input'!$P$64="Forfait",IF(DC$20&gt;='01_Input'!$N$64,'01_Input'!$Q$64,0),IF('01_Input'!$P$64="Palier",IF(AND(DC$20&gt;='01_Input'!$N$64,DC$20&lt;'01_Input'!$O$64),'01_Input'!$Q$64,0),MAX(MIN(DC$20,'01_Input'!$O$64)-'01_Input'!$N$64,0)*'01_Input'!$Q$64))+IF('01_Input'!$T$64="Forfait",IF(DC$20&gt;='01_Input'!$R$64,'01_Input'!$U$64,0),IF('01_Input'!$T$64="Palier",IF(AND(DC$20&gt;='01_Input'!$R$64,DC$20&lt;'01_Input'!$S$64),'01_Input'!$U$64,0),MAX(MIN(DC$20,'01_Input'!$S$64)-'01_Input'!$R$64,0)*'01_Input'!$U$64))+IF('01_Input'!$X$64="Forfait",IF(DC$20&gt;='01_Input'!$V$64,'01_Input'!$Y$64,0),IF('01_Input'!$X$64="Palier",IF(AND(DC$20&gt;='01_Input'!$V$64,DC$20&lt;'01_Input'!$W$64),'01_Input'!$Y$64,0),MAX(MIN(DC$20,'01_Input'!$W$64)-'01_Input'!$V$64,0)*'01_Input'!$Y$64))+IF('01_Input'!$AB$64="Forfait",IF(DC$20&gt;='01_Input'!$Z$64,'01_Input'!$AC$64,0),IF('01_Input'!$AB$64="Palier",IF(AND(DC$20&gt;='01_Input'!$Z$64,DC$20&lt;'01_Input'!$AA$64),'01_Input'!$AC$64,0),MAX(MIN(DC$20,'01_Input'!$AA$64)-'01_Input'!$Z$64,0)*'01_Input'!$AC$64)))))))))</f>
        <v>1392</v>
      </c>
      <c r="DD32" s="83">
        <f>IF('01_Input'!$C$64="Non",0,MIN('01_Input'!$I$64,MAX('01_Input'!$H$64,IF('01_Input'!$G$64="Résiduel vs Gestion",0,IF('01_Input'!$G$64="Taux Classe sélectionnée",Distrib_Global_Classe_Selectionnee*DD$20,IF('01_Input'!$G$64="Frais KYC (paliers de 100M€)",MAX(0,Nb_Investisseurs-Nb_KYC_Gratuites_Par_Tranche*(FLOOR(DD$20/Taille_Tranche_KYC,1)+1))*Cout_Par_KYC_Supplementaire,(IF('01_Input'!$L$64="Forfait",IF(DD$20&gt;='01_Input'!$J$64,'01_Input'!$M$64,0),IF('01_Input'!$L$64="Palier",IF(AND(DD$20&gt;='01_Input'!$J$64,DD$20&lt;'01_Input'!$K$64),'01_Input'!$M$64,0),MAX(MIN(DD$20,'01_Input'!$K$64)-'01_Input'!$J$64,0)*'01_Input'!$M$64))+IF('01_Input'!$P$64="Forfait",IF(DD$20&gt;='01_Input'!$N$64,'01_Input'!$Q$64,0),IF('01_Input'!$P$64="Palier",IF(AND(DD$20&gt;='01_Input'!$N$64,DD$20&lt;'01_Input'!$O$64),'01_Input'!$Q$64,0),MAX(MIN(DD$20,'01_Input'!$O$64)-'01_Input'!$N$64,0)*'01_Input'!$Q$64))+IF('01_Input'!$T$64="Forfait",IF(DD$20&gt;='01_Input'!$R$64,'01_Input'!$U$64,0),IF('01_Input'!$T$64="Palier",IF(AND(DD$20&gt;='01_Input'!$R$64,DD$20&lt;'01_Input'!$S$64),'01_Input'!$U$64,0),MAX(MIN(DD$20,'01_Input'!$S$64)-'01_Input'!$R$64,0)*'01_Input'!$U$64))+IF('01_Input'!$X$64="Forfait",IF(DD$20&gt;='01_Input'!$V$64,'01_Input'!$Y$64,0),IF('01_Input'!$X$64="Palier",IF(AND(DD$20&gt;='01_Input'!$V$64,DD$20&lt;'01_Input'!$W$64),'01_Input'!$Y$64,0),MAX(MIN(DD$20,'01_Input'!$W$64)-'01_Input'!$V$64,0)*'01_Input'!$Y$64))+IF('01_Input'!$AB$64="Forfait",IF(DD$20&gt;='01_Input'!$Z$64,'01_Input'!$AC$64,0),IF('01_Input'!$AB$64="Palier",IF(AND(DD$20&gt;='01_Input'!$Z$64,DD$20&lt;'01_Input'!$AA$64),'01_Input'!$AC$64,0),MAX(MIN(DD$20,'01_Input'!$AA$64)-'01_Input'!$Z$64,0)*'01_Input'!$AC$64)))))))))</f>
        <v>1392</v>
      </c>
      <c r="DE32" s="83">
        <f>IF('01_Input'!$C$64="Non",0,MIN('01_Input'!$I$64,MAX('01_Input'!$H$64,IF('01_Input'!$G$64="Résiduel vs Gestion",0,IF('01_Input'!$G$64="Taux Classe sélectionnée",Distrib_Global_Classe_Selectionnee*DE$20,IF('01_Input'!$G$64="Frais KYC (paliers de 100M€)",MAX(0,Nb_Investisseurs-Nb_KYC_Gratuites_Par_Tranche*(FLOOR(DE$20/Taille_Tranche_KYC,1)+1))*Cout_Par_KYC_Supplementaire,(IF('01_Input'!$L$64="Forfait",IF(DE$20&gt;='01_Input'!$J$64,'01_Input'!$M$64,0),IF('01_Input'!$L$64="Palier",IF(AND(DE$20&gt;='01_Input'!$J$64,DE$20&lt;'01_Input'!$K$64),'01_Input'!$M$64,0),MAX(MIN(DE$20,'01_Input'!$K$64)-'01_Input'!$J$64,0)*'01_Input'!$M$64))+IF('01_Input'!$P$64="Forfait",IF(DE$20&gt;='01_Input'!$N$64,'01_Input'!$Q$64,0),IF('01_Input'!$P$64="Palier",IF(AND(DE$20&gt;='01_Input'!$N$64,DE$20&lt;'01_Input'!$O$64),'01_Input'!$Q$64,0),MAX(MIN(DE$20,'01_Input'!$O$64)-'01_Input'!$N$64,0)*'01_Input'!$Q$64))+IF('01_Input'!$T$64="Forfait",IF(DE$20&gt;='01_Input'!$R$64,'01_Input'!$U$64,0),IF('01_Input'!$T$64="Palier",IF(AND(DE$20&gt;='01_Input'!$R$64,DE$20&lt;'01_Input'!$S$64),'01_Input'!$U$64,0),MAX(MIN(DE$20,'01_Input'!$S$64)-'01_Input'!$R$64,0)*'01_Input'!$U$64))+IF('01_Input'!$X$64="Forfait",IF(DE$20&gt;='01_Input'!$V$64,'01_Input'!$Y$64,0),IF('01_Input'!$X$64="Palier",IF(AND(DE$20&gt;='01_Input'!$V$64,DE$20&lt;'01_Input'!$W$64),'01_Input'!$Y$64,0),MAX(MIN(DE$20,'01_Input'!$W$64)-'01_Input'!$V$64,0)*'01_Input'!$Y$64))+IF('01_Input'!$AB$64="Forfait",IF(DE$20&gt;='01_Input'!$Z$64,'01_Input'!$AC$64,0),IF('01_Input'!$AB$64="Palier",IF(AND(DE$20&gt;='01_Input'!$Z$64,DE$20&lt;'01_Input'!$AA$64),'01_Input'!$AC$64,0),MAX(MIN(DE$20,'01_Input'!$AA$64)-'01_Input'!$Z$64,0)*'01_Input'!$AC$64)))))))))</f>
        <v>1392</v>
      </c>
      <c r="DF32" s="83">
        <f>IF('01_Input'!$C$64="Non",0,MIN('01_Input'!$I$64,MAX('01_Input'!$H$64,IF('01_Input'!$G$64="Résiduel vs Gestion",0,IF('01_Input'!$G$64="Taux Classe sélectionnée",Distrib_Global_Classe_Selectionnee*DF$20,IF('01_Input'!$G$64="Frais KYC (paliers de 100M€)",MAX(0,Nb_Investisseurs-Nb_KYC_Gratuites_Par_Tranche*(FLOOR(DF$20/Taille_Tranche_KYC,1)+1))*Cout_Par_KYC_Supplementaire,(IF('01_Input'!$L$64="Forfait",IF(DF$20&gt;='01_Input'!$J$64,'01_Input'!$M$64,0),IF('01_Input'!$L$64="Palier",IF(AND(DF$20&gt;='01_Input'!$J$64,DF$20&lt;'01_Input'!$K$64),'01_Input'!$M$64,0),MAX(MIN(DF$20,'01_Input'!$K$64)-'01_Input'!$J$64,0)*'01_Input'!$M$64))+IF('01_Input'!$P$64="Forfait",IF(DF$20&gt;='01_Input'!$N$64,'01_Input'!$Q$64,0),IF('01_Input'!$P$64="Palier",IF(AND(DF$20&gt;='01_Input'!$N$64,DF$20&lt;'01_Input'!$O$64),'01_Input'!$Q$64,0),MAX(MIN(DF$20,'01_Input'!$O$64)-'01_Input'!$N$64,0)*'01_Input'!$Q$64))+IF('01_Input'!$T$64="Forfait",IF(DF$20&gt;='01_Input'!$R$64,'01_Input'!$U$64,0),IF('01_Input'!$T$64="Palier",IF(AND(DF$20&gt;='01_Input'!$R$64,DF$20&lt;'01_Input'!$S$64),'01_Input'!$U$64,0),MAX(MIN(DF$20,'01_Input'!$S$64)-'01_Input'!$R$64,0)*'01_Input'!$U$64))+IF('01_Input'!$X$64="Forfait",IF(DF$20&gt;='01_Input'!$V$64,'01_Input'!$Y$64,0),IF('01_Input'!$X$64="Palier",IF(AND(DF$20&gt;='01_Input'!$V$64,DF$20&lt;'01_Input'!$W$64),'01_Input'!$Y$64,0),MAX(MIN(DF$20,'01_Input'!$W$64)-'01_Input'!$V$64,0)*'01_Input'!$Y$64))+IF('01_Input'!$AB$64="Forfait",IF(DF$20&gt;='01_Input'!$Z$64,'01_Input'!$AC$64,0),IF('01_Input'!$AB$64="Palier",IF(AND(DF$20&gt;='01_Input'!$Z$64,DF$20&lt;'01_Input'!$AA$64),'01_Input'!$AC$64,0),MAX(MIN(DF$20,'01_Input'!$AA$64)-'01_Input'!$Z$64,0)*'01_Input'!$AC$64)))))))))</f>
        <v>1392</v>
      </c>
      <c r="DG32" s="83">
        <f>IF('01_Input'!$C$64="Non",0,MIN('01_Input'!$I$64,MAX('01_Input'!$H$64,IF('01_Input'!$G$64="Résiduel vs Gestion",0,IF('01_Input'!$G$64="Taux Classe sélectionnée",Distrib_Global_Classe_Selectionnee*DG$20,IF('01_Input'!$G$64="Frais KYC (paliers de 100M€)",MAX(0,Nb_Investisseurs-Nb_KYC_Gratuites_Par_Tranche*(FLOOR(DG$20/Taille_Tranche_KYC,1)+1))*Cout_Par_KYC_Supplementaire,(IF('01_Input'!$L$64="Forfait",IF(DG$20&gt;='01_Input'!$J$64,'01_Input'!$M$64,0),IF('01_Input'!$L$64="Palier",IF(AND(DG$20&gt;='01_Input'!$J$64,DG$20&lt;'01_Input'!$K$64),'01_Input'!$M$64,0),MAX(MIN(DG$20,'01_Input'!$K$64)-'01_Input'!$J$64,0)*'01_Input'!$M$64))+IF('01_Input'!$P$64="Forfait",IF(DG$20&gt;='01_Input'!$N$64,'01_Input'!$Q$64,0),IF('01_Input'!$P$64="Palier",IF(AND(DG$20&gt;='01_Input'!$N$64,DG$20&lt;'01_Input'!$O$64),'01_Input'!$Q$64,0),MAX(MIN(DG$20,'01_Input'!$O$64)-'01_Input'!$N$64,0)*'01_Input'!$Q$64))+IF('01_Input'!$T$64="Forfait",IF(DG$20&gt;='01_Input'!$R$64,'01_Input'!$U$64,0),IF('01_Input'!$T$64="Palier",IF(AND(DG$20&gt;='01_Input'!$R$64,DG$20&lt;'01_Input'!$S$64),'01_Input'!$U$64,0),MAX(MIN(DG$20,'01_Input'!$S$64)-'01_Input'!$R$64,0)*'01_Input'!$U$64))+IF('01_Input'!$X$64="Forfait",IF(DG$20&gt;='01_Input'!$V$64,'01_Input'!$Y$64,0),IF('01_Input'!$X$64="Palier",IF(AND(DG$20&gt;='01_Input'!$V$64,DG$20&lt;'01_Input'!$W$64),'01_Input'!$Y$64,0),MAX(MIN(DG$20,'01_Input'!$W$64)-'01_Input'!$V$64,0)*'01_Input'!$Y$64))+IF('01_Input'!$AB$64="Forfait",IF(DG$20&gt;='01_Input'!$Z$64,'01_Input'!$AC$64,0),IF('01_Input'!$AB$64="Palier",IF(AND(DG$20&gt;='01_Input'!$Z$64,DG$20&lt;'01_Input'!$AA$64),'01_Input'!$AC$64,0),MAX(MIN(DG$20,'01_Input'!$AA$64)-'01_Input'!$Z$64,0)*'01_Input'!$AC$64)))))))))</f>
        <v>1392</v>
      </c>
      <c r="DH32" s="83">
        <f>IF('01_Input'!$C$64="Non",0,MIN('01_Input'!$I$64,MAX('01_Input'!$H$64,IF('01_Input'!$G$64="Résiduel vs Gestion",0,IF('01_Input'!$G$64="Taux Classe sélectionnée",Distrib_Global_Classe_Selectionnee*DH$20,IF('01_Input'!$G$64="Frais KYC (paliers de 100M€)",MAX(0,Nb_Investisseurs-Nb_KYC_Gratuites_Par_Tranche*(FLOOR(DH$20/Taille_Tranche_KYC,1)+1))*Cout_Par_KYC_Supplementaire,(IF('01_Input'!$L$64="Forfait",IF(DH$20&gt;='01_Input'!$J$64,'01_Input'!$M$64,0),IF('01_Input'!$L$64="Palier",IF(AND(DH$20&gt;='01_Input'!$J$64,DH$20&lt;'01_Input'!$K$64),'01_Input'!$M$64,0),MAX(MIN(DH$20,'01_Input'!$K$64)-'01_Input'!$J$64,0)*'01_Input'!$M$64))+IF('01_Input'!$P$64="Forfait",IF(DH$20&gt;='01_Input'!$N$64,'01_Input'!$Q$64,0),IF('01_Input'!$P$64="Palier",IF(AND(DH$20&gt;='01_Input'!$N$64,DH$20&lt;'01_Input'!$O$64),'01_Input'!$Q$64,0),MAX(MIN(DH$20,'01_Input'!$O$64)-'01_Input'!$N$64,0)*'01_Input'!$Q$64))+IF('01_Input'!$T$64="Forfait",IF(DH$20&gt;='01_Input'!$R$64,'01_Input'!$U$64,0),IF('01_Input'!$T$64="Palier",IF(AND(DH$20&gt;='01_Input'!$R$64,DH$20&lt;'01_Input'!$S$64),'01_Input'!$U$64,0),MAX(MIN(DH$20,'01_Input'!$S$64)-'01_Input'!$R$64,0)*'01_Input'!$U$64))+IF('01_Input'!$X$64="Forfait",IF(DH$20&gt;='01_Input'!$V$64,'01_Input'!$Y$64,0),IF('01_Input'!$X$64="Palier",IF(AND(DH$20&gt;='01_Input'!$V$64,DH$20&lt;'01_Input'!$W$64),'01_Input'!$Y$64,0),MAX(MIN(DH$20,'01_Input'!$W$64)-'01_Input'!$V$64,0)*'01_Input'!$Y$64))+IF('01_Input'!$AB$64="Forfait",IF(DH$20&gt;='01_Input'!$Z$64,'01_Input'!$AC$64,0),IF('01_Input'!$AB$64="Palier",IF(AND(DH$20&gt;='01_Input'!$Z$64,DH$20&lt;'01_Input'!$AA$64),'01_Input'!$AC$64,0),MAX(MIN(DH$20,'01_Input'!$AA$64)-'01_Input'!$Z$64,0)*'01_Input'!$AC$64)))))))))</f>
        <v>1392</v>
      </c>
      <c r="DI32" s="83">
        <f>IF('01_Input'!$C$64="Non",0,MIN('01_Input'!$I$64,MAX('01_Input'!$H$64,IF('01_Input'!$G$64="Résiduel vs Gestion",0,IF('01_Input'!$G$64="Taux Classe sélectionnée",Distrib_Global_Classe_Selectionnee*DI$20,IF('01_Input'!$G$64="Frais KYC (paliers de 100M€)",MAX(0,Nb_Investisseurs-Nb_KYC_Gratuites_Par_Tranche*(FLOOR(DI$20/Taille_Tranche_KYC,1)+1))*Cout_Par_KYC_Supplementaire,(IF('01_Input'!$L$64="Forfait",IF(DI$20&gt;='01_Input'!$J$64,'01_Input'!$M$64,0),IF('01_Input'!$L$64="Palier",IF(AND(DI$20&gt;='01_Input'!$J$64,DI$20&lt;'01_Input'!$K$64),'01_Input'!$M$64,0),MAX(MIN(DI$20,'01_Input'!$K$64)-'01_Input'!$J$64,0)*'01_Input'!$M$64))+IF('01_Input'!$P$64="Forfait",IF(DI$20&gt;='01_Input'!$N$64,'01_Input'!$Q$64,0),IF('01_Input'!$P$64="Palier",IF(AND(DI$20&gt;='01_Input'!$N$64,DI$20&lt;'01_Input'!$O$64),'01_Input'!$Q$64,0),MAX(MIN(DI$20,'01_Input'!$O$64)-'01_Input'!$N$64,0)*'01_Input'!$Q$64))+IF('01_Input'!$T$64="Forfait",IF(DI$20&gt;='01_Input'!$R$64,'01_Input'!$U$64,0),IF('01_Input'!$T$64="Palier",IF(AND(DI$20&gt;='01_Input'!$R$64,DI$20&lt;'01_Input'!$S$64),'01_Input'!$U$64,0),MAX(MIN(DI$20,'01_Input'!$S$64)-'01_Input'!$R$64,0)*'01_Input'!$U$64))+IF('01_Input'!$X$64="Forfait",IF(DI$20&gt;='01_Input'!$V$64,'01_Input'!$Y$64,0),IF('01_Input'!$X$64="Palier",IF(AND(DI$20&gt;='01_Input'!$V$64,DI$20&lt;'01_Input'!$W$64),'01_Input'!$Y$64,0),MAX(MIN(DI$20,'01_Input'!$W$64)-'01_Input'!$V$64,0)*'01_Input'!$Y$64))+IF('01_Input'!$AB$64="Forfait",IF(DI$20&gt;='01_Input'!$Z$64,'01_Input'!$AC$64,0),IF('01_Input'!$AB$64="Palier",IF(AND(DI$20&gt;='01_Input'!$Z$64,DI$20&lt;'01_Input'!$AA$64),'01_Input'!$AC$64,0),MAX(MIN(DI$20,'01_Input'!$AA$64)-'01_Input'!$Z$64,0)*'01_Input'!$AC$64)))))))))</f>
        <v>1392</v>
      </c>
      <c r="DJ32" s="83">
        <f>IF('01_Input'!$C$64="Non",0,MIN('01_Input'!$I$64,MAX('01_Input'!$H$64,IF('01_Input'!$G$64="Résiduel vs Gestion",0,IF('01_Input'!$G$64="Taux Classe sélectionnée",Distrib_Global_Classe_Selectionnee*DJ$20,IF('01_Input'!$G$64="Frais KYC (paliers de 100M€)",MAX(0,Nb_Investisseurs-Nb_KYC_Gratuites_Par_Tranche*(FLOOR(DJ$20/Taille_Tranche_KYC,1)+1))*Cout_Par_KYC_Supplementaire,(IF('01_Input'!$L$64="Forfait",IF(DJ$20&gt;='01_Input'!$J$64,'01_Input'!$M$64,0),IF('01_Input'!$L$64="Palier",IF(AND(DJ$20&gt;='01_Input'!$J$64,DJ$20&lt;'01_Input'!$K$64),'01_Input'!$M$64,0),MAX(MIN(DJ$20,'01_Input'!$K$64)-'01_Input'!$J$64,0)*'01_Input'!$M$64))+IF('01_Input'!$P$64="Forfait",IF(DJ$20&gt;='01_Input'!$N$64,'01_Input'!$Q$64,0),IF('01_Input'!$P$64="Palier",IF(AND(DJ$20&gt;='01_Input'!$N$64,DJ$20&lt;'01_Input'!$O$64),'01_Input'!$Q$64,0),MAX(MIN(DJ$20,'01_Input'!$O$64)-'01_Input'!$N$64,0)*'01_Input'!$Q$64))+IF('01_Input'!$T$64="Forfait",IF(DJ$20&gt;='01_Input'!$R$64,'01_Input'!$U$64,0),IF('01_Input'!$T$64="Palier",IF(AND(DJ$20&gt;='01_Input'!$R$64,DJ$20&lt;'01_Input'!$S$64),'01_Input'!$U$64,0),MAX(MIN(DJ$20,'01_Input'!$S$64)-'01_Input'!$R$64,0)*'01_Input'!$U$64))+IF('01_Input'!$X$64="Forfait",IF(DJ$20&gt;='01_Input'!$V$64,'01_Input'!$Y$64,0),IF('01_Input'!$X$64="Palier",IF(AND(DJ$20&gt;='01_Input'!$V$64,DJ$20&lt;'01_Input'!$W$64),'01_Input'!$Y$64,0),MAX(MIN(DJ$20,'01_Input'!$W$64)-'01_Input'!$V$64,0)*'01_Input'!$Y$64))+IF('01_Input'!$AB$64="Forfait",IF(DJ$20&gt;='01_Input'!$Z$64,'01_Input'!$AC$64,0),IF('01_Input'!$AB$64="Palier",IF(AND(DJ$20&gt;='01_Input'!$Z$64,DJ$20&lt;'01_Input'!$AA$64),'01_Input'!$AC$64,0),MAX(MIN(DJ$20,'01_Input'!$AA$64)-'01_Input'!$Z$64,0)*'01_Input'!$AC$64)))))))))</f>
        <v>1392</v>
      </c>
      <c r="DK32" s="83">
        <f>IF('01_Input'!$C$64="Non",0,MIN('01_Input'!$I$64,MAX('01_Input'!$H$64,IF('01_Input'!$G$64="Résiduel vs Gestion",0,IF('01_Input'!$G$64="Taux Classe sélectionnée",Distrib_Global_Classe_Selectionnee*DK$20,IF('01_Input'!$G$64="Frais KYC (paliers de 100M€)",MAX(0,Nb_Investisseurs-Nb_KYC_Gratuites_Par_Tranche*(FLOOR(DK$20/Taille_Tranche_KYC,1)+1))*Cout_Par_KYC_Supplementaire,(IF('01_Input'!$L$64="Forfait",IF(DK$20&gt;='01_Input'!$J$64,'01_Input'!$M$64,0),IF('01_Input'!$L$64="Palier",IF(AND(DK$20&gt;='01_Input'!$J$64,DK$20&lt;'01_Input'!$K$64),'01_Input'!$M$64,0),MAX(MIN(DK$20,'01_Input'!$K$64)-'01_Input'!$J$64,0)*'01_Input'!$M$64))+IF('01_Input'!$P$64="Forfait",IF(DK$20&gt;='01_Input'!$N$64,'01_Input'!$Q$64,0),IF('01_Input'!$P$64="Palier",IF(AND(DK$20&gt;='01_Input'!$N$64,DK$20&lt;'01_Input'!$O$64),'01_Input'!$Q$64,0),MAX(MIN(DK$20,'01_Input'!$O$64)-'01_Input'!$N$64,0)*'01_Input'!$Q$64))+IF('01_Input'!$T$64="Forfait",IF(DK$20&gt;='01_Input'!$R$64,'01_Input'!$U$64,0),IF('01_Input'!$T$64="Palier",IF(AND(DK$20&gt;='01_Input'!$R$64,DK$20&lt;'01_Input'!$S$64),'01_Input'!$U$64,0),MAX(MIN(DK$20,'01_Input'!$S$64)-'01_Input'!$R$64,0)*'01_Input'!$U$64))+IF('01_Input'!$X$64="Forfait",IF(DK$20&gt;='01_Input'!$V$64,'01_Input'!$Y$64,0),IF('01_Input'!$X$64="Palier",IF(AND(DK$20&gt;='01_Input'!$V$64,DK$20&lt;'01_Input'!$W$64),'01_Input'!$Y$64,0),MAX(MIN(DK$20,'01_Input'!$W$64)-'01_Input'!$V$64,0)*'01_Input'!$Y$64))+IF('01_Input'!$AB$64="Forfait",IF(DK$20&gt;='01_Input'!$Z$64,'01_Input'!$AC$64,0),IF('01_Input'!$AB$64="Palier",IF(AND(DK$20&gt;='01_Input'!$Z$64,DK$20&lt;'01_Input'!$AA$64),'01_Input'!$AC$64,0),MAX(MIN(DK$20,'01_Input'!$AA$64)-'01_Input'!$Z$64,0)*'01_Input'!$AC$64)))))))))</f>
        <v>1392</v>
      </c>
      <c r="DL32" s="83">
        <f>IF('01_Input'!$C$64="Non",0,MIN('01_Input'!$I$64,MAX('01_Input'!$H$64,IF('01_Input'!$G$64="Résiduel vs Gestion",0,IF('01_Input'!$G$64="Taux Classe sélectionnée",Distrib_Global_Classe_Selectionnee*DL$20,IF('01_Input'!$G$64="Frais KYC (paliers de 100M€)",MAX(0,Nb_Investisseurs-Nb_KYC_Gratuites_Par_Tranche*(FLOOR(DL$20/Taille_Tranche_KYC,1)+1))*Cout_Par_KYC_Supplementaire,(IF('01_Input'!$L$64="Forfait",IF(DL$20&gt;='01_Input'!$J$64,'01_Input'!$M$64,0),IF('01_Input'!$L$64="Palier",IF(AND(DL$20&gt;='01_Input'!$J$64,DL$20&lt;'01_Input'!$K$64),'01_Input'!$M$64,0),MAX(MIN(DL$20,'01_Input'!$K$64)-'01_Input'!$J$64,0)*'01_Input'!$M$64))+IF('01_Input'!$P$64="Forfait",IF(DL$20&gt;='01_Input'!$N$64,'01_Input'!$Q$64,0),IF('01_Input'!$P$64="Palier",IF(AND(DL$20&gt;='01_Input'!$N$64,DL$20&lt;'01_Input'!$O$64),'01_Input'!$Q$64,0),MAX(MIN(DL$20,'01_Input'!$O$64)-'01_Input'!$N$64,0)*'01_Input'!$Q$64))+IF('01_Input'!$T$64="Forfait",IF(DL$20&gt;='01_Input'!$R$64,'01_Input'!$U$64,0),IF('01_Input'!$T$64="Palier",IF(AND(DL$20&gt;='01_Input'!$R$64,DL$20&lt;'01_Input'!$S$64),'01_Input'!$U$64,0),MAX(MIN(DL$20,'01_Input'!$S$64)-'01_Input'!$R$64,0)*'01_Input'!$U$64))+IF('01_Input'!$X$64="Forfait",IF(DL$20&gt;='01_Input'!$V$64,'01_Input'!$Y$64,0),IF('01_Input'!$X$64="Palier",IF(AND(DL$20&gt;='01_Input'!$V$64,DL$20&lt;'01_Input'!$W$64),'01_Input'!$Y$64,0),MAX(MIN(DL$20,'01_Input'!$W$64)-'01_Input'!$V$64,0)*'01_Input'!$Y$64))+IF('01_Input'!$AB$64="Forfait",IF(DL$20&gt;='01_Input'!$Z$64,'01_Input'!$AC$64,0),IF('01_Input'!$AB$64="Palier",IF(AND(DL$20&gt;='01_Input'!$Z$64,DL$20&lt;'01_Input'!$AA$64),'01_Input'!$AC$64,0),MAX(MIN(DL$20,'01_Input'!$AA$64)-'01_Input'!$Z$64,0)*'01_Input'!$AC$64)))))))))</f>
        <v>1392</v>
      </c>
      <c r="DM32" s="83">
        <f>IF('01_Input'!$C$64="Non",0,MIN('01_Input'!$I$64,MAX('01_Input'!$H$64,IF('01_Input'!$G$64="Résiduel vs Gestion",0,IF('01_Input'!$G$64="Taux Classe sélectionnée",Distrib_Global_Classe_Selectionnee*DM$20,IF('01_Input'!$G$64="Frais KYC (paliers de 100M€)",MAX(0,Nb_Investisseurs-Nb_KYC_Gratuites_Par_Tranche*(FLOOR(DM$20/Taille_Tranche_KYC,1)+1))*Cout_Par_KYC_Supplementaire,(IF('01_Input'!$L$64="Forfait",IF(DM$20&gt;='01_Input'!$J$64,'01_Input'!$M$64,0),IF('01_Input'!$L$64="Palier",IF(AND(DM$20&gt;='01_Input'!$J$64,DM$20&lt;'01_Input'!$K$64),'01_Input'!$M$64,0),MAX(MIN(DM$20,'01_Input'!$K$64)-'01_Input'!$J$64,0)*'01_Input'!$M$64))+IF('01_Input'!$P$64="Forfait",IF(DM$20&gt;='01_Input'!$N$64,'01_Input'!$Q$64,0),IF('01_Input'!$P$64="Palier",IF(AND(DM$20&gt;='01_Input'!$N$64,DM$20&lt;'01_Input'!$O$64),'01_Input'!$Q$64,0),MAX(MIN(DM$20,'01_Input'!$O$64)-'01_Input'!$N$64,0)*'01_Input'!$Q$64))+IF('01_Input'!$T$64="Forfait",IF(DM$20&gt;='01_Input'!$R$64,'01_Input'!$U$64,0),IF('01_Input'!$T$64="Palier",IF(AND(DM$20&gt;='01_Input'!$R$64,DM$20&lt;'01_Input'!$S$64),'01_Input'!$U$64,0),MAX(MIN(DM$20,'01_Input'!$S$64)-'01_Input'!$R$64,0)*'01_Input'!$U$64))+IF('01_Input'!$X$64="Forfait",IF(DM$20&gt;='01_Input'!$V$64,'01_Input'!$Y$64,0),IF('01_Input'!$X$64="Palier",IF(AND(DM$20&gt;='01_Input'!$V$64,DM$20&lt;'01_Input'!$W$64),'01_Input'!$Y$64,0),MAX(MIN(DM$20,'01_Input'!$W$64)-'01_Input'!$V$64,0)*'01_Input'!$Y$64))+IF('01_Input'!$AB$64="Forfait",IF(DM$20&gt;='01_Input'!$Z$64,'01_Input'!$AC$64,0),IF('01_Input'!$AB$64="Palier",IF(AND(DM$20&gt;='01_Input'!$Z$64,DM$20&lt;'01_Input'!$AA$64),'01_Input'!$AC$64,0),MAX(MIN(DM$20,'01_Input'!$AA$64)-'01_Input'!$Z$64,0)*'01_Input'!$AC$64)))))))))</f>
        <v>1392</v>
      </c>
      <c r="DN32" s="83">
        <f>IF('01_Input'!$C$64="Non",0,MIN('01_Input'!$I$64,MAX('01_Input'!$H$64,IF('01_Input'!$G$64="Résiduel vs Gestion",0,IF('01_Input'!$G$64="Taux Classe sélectionnée",Distrib_Global_Classe_Selectionnee*DN$20,IF('01_Input'!$G$64="Frais KYC (paliers de 100M€)",MAX(0,Nb_Investisseurs-Nb_KYC_Gratuites_Par_Tranche*(FLOOR(DN$20/Taille_Tranche_KYC,1)+1))*Cout_Par_KYC_Supplementaire,(IF('01_Input'!$L$64="Forfait",IF(DN$20&gt;='01_Input'!$J$64,'01_Input'!$M$64,0),IF('01_Input'!$L$64="Palier",IF(AND(DN$20&gt;='01_Input'!$J$64,DN$20&lt;'01_Input'!$K$64),'01_Input'!$M$64,0),MAX(MIN(DN$20,'01_Input'!$K$64)-'01_Input'!$J$64,0)*'01_Input'!$M$64))+IF('01_Input'!$P$64="Forfait",IF(DN$20&gt;='01_Input'!$N$64,'01_Input'!$Q$64,0),IF('01_Input'!$P$64="Palier",IF(AND(DN$20&gt;='01_Input'!$N$64,DN$20&lt;'01_Input'!$O$64),'01_Input'!$Q$64,0),MAX(MIN(DN$20,'01_Input'!$O$64)-'01_Input'!$N$64,0)*'01_Input'!$Q$64))+IF('01_Input'!$T$64="Forfait",IF(DN$20&gt;='01_Input'!$R$64,'01_Input'!$U$64,0),IF('01_Input'!$T$64="Palier",IF(AND(DN$20&gt;='01_Input'!$R$64,DN$20&lt;'01_Input'!$S$64),'01_Input'!$U$64,0),MAX(MIN(DN$20,'01_Input'!$S$64)-'01_Input'!$R$64,0)*'01_Input'!$U$64))+IF('01_Input'!$X$64="Forfait",IF(DN$20&gt;='01_Input'!$V$64,'01_Input'!$Y$64,0),IF('01_Input'!$X$64="Palier",IF(AND(DN$20&gt;='01_Input'!$V$64,DN$20&lt;'01_Input'!$W$64),'01_Input'!$Y$64,0),MAX(MIN(DN$20,'01_Input'!$W$64)-'01_Input'!$V$64,0)*'01_Input'!$Y$64))+IF('01_Input'!$AB$64="Forfait",IF(DN$20&gt;='01_Input'!$Z$64,'01_Input'!$AC$64,0),IF('01_Input'!$AB$64="Palier",IF(AND(DN$20&gt;='01_Input'!$Z$64,DN$20&lt;'01_Input'!$AA$64),'01_Input'!$AC$64,0),MAX(MIN(DN$20,'01_Input'!$AA$64)-'01_Input'!$Z$64,0)*'01_Input'!$AC$64)))))))))</f>
        <v>1392</v>
      </c>
      <c r="DO32" s="83">
        <f>IF('01_Input'!$C$64="Non",0,MIN('01_Input'!$I$64,MAX('01_Input'!$H$64,IF('01_Input'!$G$64="Résiduel vs Gestion",0,IF('01_Input'!$G$64="Taux Classe sélectionnée",Distrib_Global_Classe_Selectionnee*DO$20,IF('01_Input'!$G$64="Frais KYC (paliers de 100M€)",MAX(0,Nb_Investisseurs-Nb_KYC_Gratuites_Par_Tranche*(FLOOR(DO$20/Taille_Tranche_KYC,1)+1))*Cout_Par_KYC_Supplementaire,(IF('01_Input'!$L$64="Forfait",IF(DO$20&gt;='01_Input'!$J$64,'01_Input'!$M$64,0),IF('01_Input'!$L$64="Palier",IF(AND(DO$20&gt;='01_Input'!$J$64,DO$20&lt;'01_Input'!$K$64),'01_Input'!$M$64,0),MAX(MIN(DO$20,'01_Input'!$K$64)-'01_Input'!$J$64,0)*'01_Input'!$M$64))+IF('01_Input'!$P$64="Forfait",IF(DO$20&gt;='01_Input'!$N$64,'01_Input'!$Q$64,0),IF('01_Input'!$P$64="Palier",IF(AND(DO$20&gt;='01_Input'!$N$64,DO$20&lt;'01_Input'!$O$64),'01_Input'!$Q$64,0),MAX(MIN(DO$20,'01_Input'!$O$64)-'01_Input'!$N$64,0)*'01_Input'!$Q$64))+IF('01_Input'!$T$64="Forfait",IF(DO$20&gt;='01_Input'!$R$64,'01_Input'!$U$64,0),IF('01_Input'!$T$64="Palier",IF(AND(DO$20&gt;='01_Input'!$R$64,DO$20&lt;'01_Input'!$S$64),'01_Input'!$U$64,0),MAX(MIN(DO$20,'01_Input'!$S$64)-'01_Input'!$R$64,0)*'01_Input'!$U$64))+IF('01_Input'!$X$64="Forfait",IF(DO$20&gt;='01_Input'!$V$64,'01_Input'!$Y$64,0),IF('01_Input'!$X$64="Palier",IF(AND(DO$20&gt;='01_Input'!$V$64,DO$20&lt;'01_Input'!$W$64),'01_Input'!$Y$64,0),MAX(MIN(DO$20,'01_Input'!$W$64)-'01_Input'!$V$64,0)*'01_Input'!$Y$64))+IF('01_Input'!$AB$64="Forfait",IF(DO$20&gt;='01_Input'!$Z$64,'01_Input'!$AC$64,0),IF('01_Input'!$AB$64="Palier",IF(AND(DO$20&gt;='01_Input'!$Z$64,DO$20&lt;'01_Input'!$AA$64),'01_Input'!$AC$64,0),MAX(MIN(DO$20,'01_Input'!$AA$64)-'01_Input'!$Z$64,0)*'01_Input'!$AC$64)))))))))</f>
        <v>1392</v>
      </c>
      <c r="DP32" s="83">
        <f>IF('01_Input'!$C$64="Non",0,MIN('01_Input'!$I$64,MAX('01_Input'!$H$64,IF('01_Input'!$G$64="Résiduel vs Gestion",0,IF('01_Input'!$G$64="Taux Classe sélectionnée",Distrib_Global_Classe_Selectionnee*DP$20,IF('01_Input'!$G$64="Frais KYC (paliers de 100M€)",MAX(0,Nb_Investisseurs-Nb_KYC_Gratuites_Par_Tranche*(FLOOR(DP$20/Taille_Tranche_KYC,1)+1))*Cout_Par_KYC_Supplementaire,(IF('01_Input'!$L$64="Forfait",IF(DP$20&gt;='01_Input'!$J$64,'01_Input'!$M$64,0),IF('01_Input'!$L$64="Palier",IF(AND(DP$20&gt;='01_Input'!$J$64,DP$20&lt;'01_Input'!$K$64),'01_Input'!$M$64,0),MAX(MIN(DP$20,'01_Input'!$K$64)-'01_Input'!$J$64,0)*'01_Input'!$M$64))+IF('01_Input'!$P$64="Forfait",IF(DP$20&gt;='01_Input'!$N$64,'01_Input'!$Q$64,0),IF('01_Input'!$P$64="Palier",IF(AND(DP$20&gt;='01_Input'!$N$64,DP$20&lt;'01_Input'!$O$64),'01_Input'!$Q$64,0),MAX(MIN(DP$20,'01_Input'!$O$64)-'01_Input'!$N$64,0)*'01_Input'!$Q$64))+IF('01_Input'!$T$64="Forfait",IF(DP$20&gt;='01_Input'!$R$64,'01_Input'!$U$64,0),IF('01_Input'!$T$64="Palier",IF(AND(DP$20&gt;='01_Input'!$R$64,DP$20&lt;'01_Input'!$S$64),'01_Input'!$U$64,0),MAX(MIN(DP$20,'01_Input'!$S$64)-'01_Input'!$R$64,0)*'01_Input'!$U$64))+IF('01_Input'!$X$64="Forfait",IF(DP$20&gt;='01_Input'!$V$64,'01_Input'!$Y$64,0),IF('01_Input'!$X$64="Palier",IF(AND(DP$20&gt;='01_Input'!$V$64,DP$20&lt;'01_Input'!$W$64),'01_Input'!$Y$64,0),MAX(MIN(DP$20,'01_Input'!$W$64)-'01_Input'!$V$64,0)*'01_Input'!$Y$64))+IF('01_Input'!$AB$64="Forfait",IF(DP$20&gt;='01_Input'!$Z$64,'01_Input'!$AC$64,0),IF('01_Input'!$AB$64="Palier",IF(AND(DP$20&gt;='01_Input'!$Z$64,DP$20&lt;'01_Input'!$AA$64),'01_Input'!$AC$64,0),MAX(MIN(DP$20,'01_Input'!$AA$64)-'01_Input'!$Z$64,0)*'01_Input'!$AC$64)))))))))</f>
        <v>1392</v>
      </c>
      <c r="DQ32" s="83">
        <f>IF('01_Input'!$C$64="Non",0,MIN('01_Input'!$I$64,MAX('01_Input'!$H$64,IF('01_Input'!$G$64="Résiduel vs Gestion",0,IF('01_Input'!$G$64="Taux Classe sélectionnée",Distrib_Global_Classe_Selectionnee*DQ$20,IF('01_Input'!$G$64="Frais KYC (paliers de 100M€)",MAX(0,Nb_Investisseurs-Nb_KYC_Gratuites_Par_Tranche*(FLOOR(DQ$20/Taille_Tranche_KYC,1)+1))*Cout_Par_KYC_Supplementaire,(IF('01_Input'!$L$64="Forfait",IF(DQ$20&gt;='01_Input'!$J$64,'01_Input'!$M$64,0),IF('01_Input'!$L$64="Palier",IF(AND(DQ$20&gt;='01_Input'!$J$64,DQ$20&lt;'01_Input'!$K$64),'01_Input'!$M$64,0),MAX(MIN(DQ$20,'01_Input'!$K$64)-'01_Input'!$J$64,0)*'01_Input'!$M$64))+IF('01_Input'!$P$64="Forfait",IF(DQ$20&gt;='01_Input'!$N$64,'01_Input'!$Q$64,0),IF('01_Input'!$P$64="Palier",IF(AND(DQ$20&gt;='01_Input'!$N$64,DQ$20&lt;'01_Input'!$O$64),'01_Input'!$Q$64,0),MAX(MIN(DQ$20,'01_Input'!$O$64)-'01_Input'!$N$64,0)*'01_Input'!$Q$64))+IF('01_Input'!$T$64="Forfait",IF(DQ$20&gt;='01_Input'!$R$64,'01_Input'!$U$64,0),IF('01_Input'!$T$64="Palier",IF(AND(DQ$20&gt;='01_Input'!$R$64,DQ$20&lt;'01_Input'!$S$64),'01_Input'!$U$64,0),MAX(MIN(DQ$20,'01_Input'!$S$64)-'01_Input'!$R$64,0)*'01_Input'!$U$64))+IF('01_Input'!$X$64="Forfait",IF(DQ$20&gt;='01_Input'!$V$64,'01_Input'!$Y$64,0),IF('01_Input'!$X$64="Palier",IF(AND(DQ$20&gt;='01_Input'!$V$64,DQ$20&lt;'01_Input'!$W$64),'01_Input'!$Y$64,0),MAX(MIN(DQ$20,'01_Input'!$W$64)-'01_Input'!$V$64,0)*'01_Input'!$Y$64))+IF('01_Input'!$AB$64="Forfait",IF(DQ$20&gt;='01_Input'!$Z$64,'01_Input'!$AC$64,0),IF('01_Input'!$AB$64="Palier",IF(AND(DQ$20&gt;='01_Input'!$Z$64,DQ$20&lt;'01_Input'!$AA$64),'01_Input'!$AC$64,0),MAX(MIN(DQ$20,'01_Input'!$AA$64)-'01_Input'!$Z$64,0)*'01_Input'!$AC$64)))))))))</f>
        <v>1392</v>
      </c>
      <c r="DR32" s="83">
        <f>IF('01_Input'!$C$64="Non",0,MIN('01_Input'!$I$64,MAX('01_Input'!$H$64,IF('01_Input'!$G$64="Résiduel vs Gestion",0,IF('01_Input'!$G$64="Taux Classe sélectionnée",Distrib_Global_Classe_Selectionnee*DR$20,IF('01_Input'!$G$64="Frais KYC (paliers de 100M€)",MAX(0,Nb_Investisseurs-Nb_KYC_Gratuites_Par_Tranche*(FLOOR(DR$20/Taille_Tranche_KYC,1)+1))*Cout_Par_KYC_Supplementaire,(IF('01_Input'!$L$64="Forfait",IF(DR$20&gt;='01_Input'!$J$64,'01_Input'!$M$64,0),IF('01_Input'!$L$64="Palier",IF(AND(DR$20&gt;='01_Input'!$J$64,DR$20&lt;'01_Input'!$K$64),'01_Input'!$M$64,0),MAX(MIN(DR$20,'01_Input'!$K$64)-'01_Input'!$J$64,0)*'01_Input'!$M$64))+IF('01_Input'!$P$64="Forfait",IF(DR$20&gt;='01_Input'!$N$64,'01_Input'!$Q$64,0),IF('01_Input'!$P$64="Palier",IF(AND(DR$20&gt;='01_Input'!$N$64,DR$20&lt;'01_Input'!$O$64),'01_Input'!$Q$64,0),MAX(MIN(DR$20,'01_Input'!$O$64)-'01_Input'!$N$64,0)*'01_Input'!$Q$64))+IF('01_Input'!$T$64="Forfait",IF(DR$20&gt;='01_Input'!$R$64,'01_Input'!$U$64,0),IF('01_Input'!$T$64="Palier",IF(AND(DR$20&gt;='01_Input'!$R$64,DR$20&lt;'01_Input'!$S$64),'01_Input'!$U$64,0),MAX(MIN(DR$20,'01_Input'!$S$64)-'01_Input'!$R$64,0)*'01_Input'!$U$64))+IF('01_Input'!$X$64="Forfait",IF(DR$20&gt;='01_Input'!$V$64,'01_Input'!$Y$64,0),IF('01_Input'!$X$64="Palier",IF(AND(DR$20&gt;='01_Input'!$V$64,DR$20&lt;'01_Input'!$W$64),'01_Input'!$Y$64,0),MAX(MIN(DR$20,'01_Input'!$W$64)-'01_Input'!$V$64,0)*'01_Input'!$Y$64))+IF('01_Input'!$AB$64="Forfait",IF(DR$20&gt;='01_Input'!$Z$64,'01_Input'!$AC$64,0),IF('01_Input'!$AB$64="Palier",IF(AND(DR$20&gt;='01_Input'!$Z$64,DR$20&lt;'01_Input'!$AA$64),'01_Input'!$AC$64,0),MAX(MIN(DR$20,'01_Input'!$AA$64)-'01_Input'!$Z$64,0)*'01_Input'!$AC$64)))))))))</f>
        <v>1392</v>
      </c>
      <c r="DS32" s="83">
        <f>IF('01_Input'!$C$64="Non",0,MIN('01_Input'!$I$64,MAX('01_Input'!$H$64,IF('01_Input'!$G$64="Résiduel vs Gestion",0,IF('01_Input'!$G$64="Taux Classe sélectionnée",Distrib_Global_Classe_Selectionnee*DS$20,IF('01_Input'!$G$64="Frais KYC (paliers de 100M€)",MAX(0,Nb_Investisseurs-Nb_KYC_Gratuites_Par_Tranche*(FLOOR(DS$20/Taille_Tranche_KYC,1)+1))*Cout_Par_KYC_Supplementaire,(IF('01_Input'!$L$64="Forfait",IF(DS$20&gt;='01_Input'!$J$64,'01_Input'!$M$64,0),IF('01_Input'!$L$64="Palier",IF(AND(DS$20&gt;='01_Input'!$J$64,DS$20&lt;'01_Input'!$K$64),'01_Input'!$M$64,0),MAX(MIN(DS$20,'01_Input'!$K$64)-'01_Input'!$J$64,0)*'01_Input'!$M$64))+IF('01_Input'!$P$64="Forfait",IF(DS$20&gt;='01_Input'!$N$64,'01_Input'!$Q$64,0),IF('01_Input'!$P$64="Palier",IF(AND(DS$20&gt;='01_Input'!$N$64,DS$20&lt;'01_Input'!$O$64),'01_Input'!$Q$64,0),MAX(MIN(DS$20,'01_Input'!$O$64)-'01_Input'!$N$64,0)*'01_Input'!$Q$64))+IF('01_Input'!$T$64="Forfait",IF(DS$20&gt;='01_Input'!$R$64,'01_Input'!$U$64,0),IF('01_Input'!$T$64="Palier",IF(AND(DS$20&gt;='01_Input'!$R$64,DS$20&lt;'01_Input'!$S$64),'01_Input'!$U$64,0),MAX(MIN(DS$20,'01_Input'!$S$64)-'01_Input'!$R$64,0)*'01_Input'!$U$64))+IF('01_Input'!$X$64="Forfait",IF(DS$20&gt;='01_Input'!$V$64,'01_Input'!$Y$64,0),IF('01_Input'!$X$64="Palier",IF(AND(DS$20&gt;='01_Input'!$V$64,DS$20&lt;'01_Input'!$W$64),'01_Input'!$Y$64,0),MAX(MIN(DS$20,'01_Input'!$W$64)-'01_Input'!$V$64,0)*'01_Input'!$Y$64))+IF('01_Input'!$AB$64="Forfait",IF(DS$20&gt;='01_Input'!$Z$64,'01_Input'!$AC$64,0),IF('01_Input'!$AB$64="Palier",IF(AND(DS$20&gt;='01_Input'!$Z$64,DS$20&lt;'01_Input'!$AA$64),'01_Input'!$AC$64,0),MAX(MIN(DS$20,'01_Input'!$AA$64)-'01_Input'!$Z$64,0)*'01_Input'!$AC$64)))))))))</f>
        <v>1392</v>
      </c>
      <c r="DT32" s="83">
        <f>IF('01_Input'!$C$64="Non",0,MIN('01_Input'!$I$64,MAX('01_Input'!$H$64,IF('01_Input'!$G$64="Résiduel vs Gestion",0,IF('01_Input'!$G$64="Taux Classe sélectionnée",Distrib_Global_Classe_Selectionnee*DT$20,IF('01_Input'!$G$64="Frais KYC (paliers de 100M€)",MAX(0,Nb_Investisseurs-Nb_KYC_Gratuites_Par_Tranche*(FLOOR(DT$20/Taille_Tranche_KYC,1)+1))*Cout_Par_KYC_Supplementaire,(IF('01_Input'!$L$64="Forfait",IF(DT$20&gt;='01_Input'!$J$64,'01_Input'!$M$64,0),IF('01_Input'!$L$64="Palier",IF(AND(DT$20&gt;='01_Input'!$J$64,DT$20&lt;'01_Input'!$K$64),'01_Input'!$M$64,0),MAX(MIN(DT$20,'01_Input'!$K$64)-'01_Input'!$J$64,0)*'01_Input'!$M$64))+IF('01_Input'!$P$64="Forfait",IF(DT$20&gt;='01_Input'!$N$64,'01_Input'!$Q$64,0),IF('01_Input'!$P$64="Palier",IF(AND(DT$20&gt;='01_Input'!$N$64,DT$20&lt;'01_Input'!$O$64),'01_Input'!$Q$64,0),MAX(MIN(DT$20,'01_Input'!$O$64)-'01_Input'!$N$64,0)*'01_Input'!$Q$64))+IF('01_Input'!$T$64="Forfait",IF(DT$20&gt;='01_Input'!$R$64,'01_Input'!$U$64,0),IF('01_Input'!$T$64="Palier",IF(AND(DT$20&gt;='01_Input'!$R$64,DT$20&lt;'01_Input'!$S$64),'01_Input'!$U$64,0),MAX(MIN(DT$20,'01_Input'!$S$64)-'01_Input'!$R$64,0)*'01_Input'!$U$64))+IF('01_Input'!$X$64="Forfait",IF(DT$20&gt;='01_Input'!$V$64,'01_Input'!$Y$64,0),IF('01_Input'!$X$64="Palier",IF(AND(DT$20&gt;='01_Input'!$V$64,DT$20&lt;'01_Input'!$W$64),'01_Input'!$Y$64,0),MAX(MIN(DT$20,'01_Input'!$W$64)-'01_Input'!$V$64,0)*'01_Input'!$Y$64))+IF('01_Input'!$AB$64="Forfait",IF(DT$20&gt;='01_Input'!$Z$64,'01_Input'!$AC$64,0),IF('01_Input'!$AB$64="Palier",IF(AND(DT$20&gt;='01_Input'!$Z$64,DT$20&lt;'01_Input'!$AA$64),'01_Input'!$AC$64,0),MAX(MIN(DT$20,'01_Input'!$AA$64)-'01_Input'!$Z$64,0)*'01_Input'!$AC$64)))))))))</f>
        <v>1392</v>
      </c>
      <c r="DU32" s="83">
        <f>IF('01_Input'!$C$64="Non",0,MIN('01_Input'!$I$64,MAX('01_Input'!$H$64,IF('01_Input'!$G$64="Résiduel vs Gestion",0,IF('01_Input'!$G$64="Taux Classe sélectionnée",Distrib_Global_Classe_Selectionnee*DU$20,IF('01_Input'!$G$64="Frais KYC (paliers de 100M€)",MAX(0,Nb_Investisseurs-Nb_KYC_Gratuites_Par_Tranche*(FLOOR(DU$20/Taille_Tranche_KYC,1)+1))*Cout_Par_KYC_Supplementaire,(IF('01_Input'!$L$64="Forfait",IF(DU$20&gt;='01_Input'!$J$64,'01_Input'!$M$64,0),IF('01_Input'!$L$64="Palier",IF(AND(DU$20&gt;='01_Input'!$J$64,DU$20&lt;'01_Input'!$K$64),'01_Input'!$M$64,0),MAX(MIN(DU$20,'01_Input'!$K$64)-'01_Input'!$J$64,0)*'01_Input'!$M$64))+IF('01_Input'!$P$64="Forfait",IF(DU$20&gt;='01_Input'!$N$64,'01_Input'!$Q$64,0),IF('01_Input'!$P$64="Palier",IF(AND(DU$20&gt;='01_Input'!$N$64,DU$20&lt;'01_Input'!$O$64),'01_Input'!$Q$64,0),MAX(MIN(DU$20,'01_Input'!$O$64)-'01_Input'!$N$64,0)*'01_Input'!$Q$64))+IF('01_Input'!$T$64="Forfait",IF(DU$20&gt;='01_Input'!$R$64,'01_Input'!$U$64,0),IF('01_Input'!$T$64="Palier",IF(AND(DU$20&gt;='01_Input'!$R$64,DU$20&lt;'01_Input'!$S$64),'01_Input'!$U$64,0),MAX(MIN(DU$20,'01_Input'!$S$64)-'01_Input'!$R$64,0)*'01_Input'!$U$64))+IF('01_Input'!$X$64="Forfait",IF(DU$20&gt;='01_Input'!$V$64,'01_Input'!$Y$64,0),IF('01_Input'!$X$64="Palier",IF(AND(DU$20&gt;='01_Input'!$V$64,DU$20&lt;'01_Input'!$W$64),'01_Input'!$Y$64,0),MAX(MIN(DU$20,'01_Input'!$W$64)-'01_Input'!$V$64,0)*'01_Input'!$Y$64))+IF('01_Input'!$AB$64="Forfait",IF(DU$20&gt;='01_Input'!$Z$64,'01_Input'!$AC$64,0),IF('01_Input'!$AB$64="Palier",IF(AND(DU$20&gt;='01_Input'!$Z$64,DU$20&lt;'01_Input'!$AA$64),'01_Input'!$AC$64,0),MAX(MIN(DU$20,'01_Input'!$AA$64)-'01_Input'!$Z$64,0)*'01_Input'!$AC$64)))))))))</f>
        <v>1392</v>
      </c>
      <c r="DV32" s="83">
        <f>IF('01_Input'!$C$64="Non",0,MIN('01_Input'!$I$64,MAX('01_Input'!$H$64,IF('01_Input'!$G$64="Résiduel vs Gestion",0,IF('01_Input'!$G$64="Taux Classe sélectionnée",Distrib_Global_Classe_Selectionnee*DV$20,IF('01_Input'!$G$64="Frais KYC (paliers de 100M€)",MAX(0,Nb_Investisseurs-Nb_KYC_Gratuites_Par_Tranche*(FLOOR(DV$20/Taille_Tranche_KYC,1)+1))*Cout_Par_KYC_Supplementaire,(IF('01_Input'!$L$64="Forfait",IF(DV$20&gt;='01_Input'!$J$64,'01_Input'!$M$64,0),IF('01_Input'!$L$64="Palier",IF(AND(DV$20&gt;='01_Input'!$J$64,DV$20&lt;'01_Input'!$K$64),'01_Input'!$M$64,0),MAX(MIN(DV$20,'01_Input'!$K$64)-'01_Input'!$J$64,0)*'01_Input'!$M$64))+IF('01_Input'!$P$64="Forfait",IF(DV$20&gt;='01_Input'!$N$64,'01_Input'!$Q$64,0),IF('01_Input'!$P$64="Palier",IF(AND(DV$20&gt;='01_Input'!$N$64,DV$20&lt;'01_Input'!$O$64),'01_Input'!$Q$64,0),MAX(MIN(DV$20,'01_Input'!$O$64)-'01_Input'!$N$64,0)*'01_Input'!$Q$64))+IF('01_Input'!$T$64="Forfait",IF(DV$20&gt;='01_Input'!$R$64,'01_Input'!$U$64,0),IF('01_Input'!$T$64="Palier",IF(AND(DV$20&gt;='01_Input'!$R$64,DV$20&lt;'01_Input'!$S$64),'01_Input'!$U$64,0),MAX(MIN(DV$20,'01_Input'!$S$64)-'01_Input'!$R$64,0)*'01_Input'!$U$64))+IF('01_Input'!$X$64="Forfait",IF(DV$20&gt;='01_Input'!$V$64,'01_Input'!$Y$64,0),IF('01_Input'!$X$64="Palier",IF(AND(DV$20&gt;='01_Input'!$V$64,DV$20&lt;'01_Input'!$W$64),'01_Input'!$Y$64,0),MAX(MIN(DV$20,'01_Input'!$W$64)-'01_Input'!$V$64,0)*'01_Input'!$Y$64))+IF('01_Input'!$AB$64="Forfait",IF(DV$20&gt;='01_Input'!$Z$64,'01_Input'!$AC$64,0),IF('01_Input'!$AB$64="Palier",IF(AND(DV$20&gt;='01_Input'!$Z$64,DV$20&lt;'01_Input'!$AA$64),'01_Input'!$AC$64,0),MAX(MIN(DV$20,'01_Input'!$AA$64)-'01_Input'!$Z$64,0)*'01_Input'!$AC$64)))))))))</f>
        <v>1392</v>
      </c>
      <c r="DW32" s="83">
        <f>IF('01_Input'!$C$64="Non",0,MIN('01_Input'!$I$64,MAX('01_Input'!$H$64,IF('01_Input'!$G$64="Résiduel vs Gestion",0,IF('01_Input'!$G$64="Taux Classe sélectionnée",Distrib_Global_Classe_Selectionnee*DW$20,IF('01_Input'!$G$64="Frais KYC (paliers de 100M€)",MAX(0,Nb_Investisseurs-Nb_KYC_Gratuites_Par_Tranche*(FLOOR(DW$20/Taille_Tranche_KYC,1)+1))*Cout_Par_KYC_Supplementaire,(IF('01_Input'!$L$64="Forfait",IF(DW$20&gt;='01_Input'!$J$64,'01_Input'!$M$64,0),IF('01_Input'!$L$64="Palier",IF(AND(DW$20&gt;='01_Input'!$J$64,DW$20&lt;'01_Input'!$K$64),'01_Input'!$M$64,0),MAX(MIN(DW$20,'01_Input'!$K$64)-'01_Input'!$J$64,0)*'01_Input'!$M$64))+IF('01_Input'!$P$64="Forfait",IF(DW$20&gt;='01_Input'!$N$64,'01_Input'!$Q$64,0),IF('01_Input'!$P$64="Palier",IF(AND(DW$20&gt;='01_Input'!$N$64,DW$20&lt;'01_Input'!$O$64),'01_Input'!$Q$64,0),MAX(MIN(DW$20,'01_Input'!$O$64)-'01_Input'!$N$64,0)*'01_Input'!$Q$64))+IF('01_Input'!$T$64="Forfait",IF(DW$20&gt;='01_Input'!$R$64,'01_Input'!$U$64,0),IF('01_Input'!$T$64="Palier",IF(AND(DW$20&gt;='01_Input'!$R$64,DW$20&lt;'01_Input'!$S$64),'01_Input'!$U$64,0),MAX(MIN(DW$20,'01_Input'!$S$64)-'01_Input'!$R$64,0)*'01_Input'!$U$64))+IF('01_Input'!$X$64="Forfait",IF(DW$20&gt;='01_Input'!$V$64,'01_Input'!$Y$64,0),IF('01_Input'!$X$64="Palier",IF(AND(DW$20&gt;='01_Input'!$V$64,DW$20&lt;'01_Input'!$W$64),'01_Input'!$Y$64,0),MAX(MIN(DW$20,'01_Input'!$W$64)-'01_Input'!$V$64,0)*'01_Input'!$Y$64))+IF('01_Input'!$AB$64="Forfait",IF(DW$20&gt;='01_Input'!$Z$64,'01_Input'!$AC$64,0),IF('01_Input'!$AB$64="Palier",IF(AND(DW$20&gt;='01_Input'!$Z$64,DW$20&lt;'01_Input'!$AA$64),'01_Input'!$AC$64,0),MAX(MIN(DW$20,'01_Input'!$AA$64)-'01_Input'!$Z$64,0)*'01_Input'!$AC$64)))))))))</f>
        <v>1392</v>
      </c>
      <c r="DX32" s="83">
        <f>IF('01_Input'!$C$64="Non",0,MIN('01_Input'!$I$64,MAX('01_Input'!$H$64,IF('01_Input'!$G$64="Résiduel vs Gestion",0,IF('01_Input'!$G$64="Taux Classe sélectionnée",Distrib_Global_Classe_Selectionnee*DX$20,IF('01_Input'!$G$64="Frais KYC (paliers de 100M€)",MAX(0,Nb_Investisseurs-Nb_KYC_Gratuites_Par_Tranche*(FLOOR(DX$20/Taille_Tranche_KYC,1)+1))*Cout_Par_KYC_Supplementaire,(IF('01_Input'!$L$64="Forfait",IF(DX$20&gt;='01_Input'!$J$64,'01_Input'!$M$64,0),IF('01_Input'!$L$64="Palier",IF(AND(DX$20&gt;='01_Input'!$J$64,DX$20&lt;'01_Input'!$K$64),'01_Input'!$M$64,0),MAX(MIN(DX$20,'01_Input'!$K$64)-'01_Input'!$J$64,0)*'01_Input'!$M$64))+IF('01_Input'!$P$64="Forfait",IF(DX$20&gt;='01_Input'!$N$64,'01_Input'!$Q$64,0),IF('01_Input'!$P$64="Palier",IF(AND(DX$20&gt;='01_Input'!$N$64,DX$20&lt;'01_Input'!$O$64),'01_Input'!$Q$64,0),MAX(MIN(DX$20,'01_Input'!$O$64)-'01_Input'!$N$64,0)*'01_Input'!$Q$64))+IF('01_Input'!$T$64="Forfait",IF(DX$20&gt;='01_Input'!$R$64,'01_Input'!$U$64,0),IF('01_Input'!$T$64="Palier",IF(AND(DX$20&gt;='01_Input'!$R$64,DX$20&lt;'01_Input'!$S$64),'01_Input'!$U$64,0),MAX(MIN(DX$20,'01_Input'!$S$64)-'01_Input'!$R$64,0)*'01_Input'!$U$64))+IF('01_Input'!$X$64="Forfait",IF(DX$20&gt;='01_Input'!$V$64,'01_Input'!$Y$64,0),IF('01_Input'!$X$64="Palier",IF(AND(DX$20&gt;='01_Input'!$V$64,DX$20&lt;'01_Input'!$W$64),'01_Input'!$Y$64,0),MAX(MIN(DX$20,'01_Input'!$W$64)-'01_Input'!$V$64,0)*'01_Input'!$Y$64))+IF('01_Input'!$AB$64="Forfait",IF(DX$20&gt;='01_Input'!$Z$64,'01_Input'!$AC$64,0),IF('01_Input'!$AB$64="Palier",IF(AND(DX$20&gt;='01_Input'!$Z$64,DX$20&lt;'01_Input'!$AA$64),'01_Input'!$AC$64,0),MAX(MIN(DX$20,'01_Input'!$AA$64)-'01_Input'!$Z$64,0)*'01_Input'!$AC$64)))))))))</f>
        <v>1392</v>
      </c>
      <c r="DY32" s="83">
        <f>IF('01_Input'!$C$64="Non",0,MIN('01_Input'!$I$64,MAX('01_Input'!$H$64,IF('01_Input'!$G$64="Résiduel vs Gestion",0,IF('01_Input'!$G$64="Taux Classe sélectionnée",Distrib_Global_Classe_Selectionnee*DY$20,IF('01_Input'!$G$64="Frais KYC (paliers de 100M€)",MAX(0,Nb_Investisseurs-Nb_KYC_Gratuites_Par_Tranche*(FLOOR(DY$20/Taille_Tranche_KYC,1)+1))*Cout_Par_KYC_Supplementaire,(IF('01_Input'!$L$64="Forfait",IF(DY$20&gt;='01_Input'!$J$64,'01_Input'!$M$64,0),IF('01_Input'!$L$64="Palier",IF(AND(DY$20&gt;='01_Input'!$J$64,DY$20&lt;'01_Input'!$K$64),'01_Input'!$M$64,0),MAX(MIN(DY$20,'01_Input'!$K$64)-'01_Input'!$J$64,0)*'01_Input'!$M$64))+IF('01_Input'!$P$64="Forfait",IF(DY$20&gt;='01_Input'!$N$64,'01_Input'!$Q$64,0),IF('01_Input'!$P$64="Palier",IF(AND(DY$20&gt;='01_Input'!$N$64,DY$20&lt;'01_Input'!$O$64),'01_Input'!$Q$64,0),MAX(MIN(DY$20,'01_Input'!$O$64)-'01_Input'!$N$64,0)*'01_Input'!$Q$64))+IF('01_Input'!$T$64="Forfait",IF(DY$20&gt;='01_Input'!$R$64,'01_Input'!$U$64,0),IF('01_Input'!$T$64="Palier",IF(AND(DY$20&gt;='01_Input'!$R$64,DY$20&lt;'01_Input'!$S$64),'01_Input'!$U$64,0),MAX(MIN(DY$20,'01_Input'!$S$64)-'01_Input'!$R$64,0)*'01_Input'!$U$64))+IF('01_Input'!$X$64="Forfait",IF(DY$20&gt;='01_Input'!$V$64,'01_Input'!$Y$64,0),IF('01_Input'!$X$64="Palier",IF(AND(DY$20&gt;='01_Input'!$V$64,DY$20&lt;'01_Input'!$W$64),'01_Input'!$Y$64,0),MAX(MIN(DY$20,'01_Input'!$W$64)-'01_Input'!$V$64,0)*'01_Input'!$Y$64))+IF('01_Input'!$AB$64="Forfait",IF(DY$20&gt;='01_Input'!$Z$64,'01_Input'!$AC$64,0),IF('01_Input'!$AB$64="Palier",IF(AND(DY$20&gt;='01_Input'!$Z$64,DY$20&lt;'01_Input'!$AA$64),'01_Input'!$AC$64,0),MAX(MIN(DY$20,'01_Input'!$AA$64)-'01_Input'!$Z$64,0)*'01_Input'!$AC$64)))))))))</f>
        <v>1392</v>
      </c>
      <c r="DZ32" s="83">
        <f>IF('01_Input'!$C$64="Non",0,MIN('01_Input'!$I$64,MAX('01_Input'!$H$64,IF('01_Input'!$G$64="Résiduel vs Gestion",0,IF('01_Input'!$G$64="Taux Classe sélectionnée",Distrib_Global_Classe_Selectionnee*DZ$20,IF('01_Input'!$G$64="Frais KYC (paliers de 100M€)",MAX(0,Nb_Investisseurs-Nb_KYC_Gratuites_Par_Tranche*(FLOOR(DZ$20/Taille_Tranche_KYC,1)+1))*Cout_Par_KYC_Supplementaire,(IF('01_Input'!$L$64="Forfait",IF(DZ$20&gt;='01_Input'!$J$64,'01_Input'!$M$64,0),IF('01_Input'!$L$64="Palier",IF(AND(DZ$20&gt;='01_Input'!$J$64,DZ$20&lt;'01_Input'!$K$64),'01_Input'!$M$64,0),MAX(MIN(DZ$20,'01_Input'!$K$64)-'01_Input'!$J$64,0)*'01_Input'!$M$64))+IF('01_Input'!$P$64="Forfait",IF(DZ$20&gt;='01_Input'!$N$64,'01_Input'!$Q$64,0),IF('01_Input'!$P$64="Palier",IF(AND(DZ$20&gt;='01_Input'!$N$64,DZ$20&lt;'01_Input'!$O$64),'01_Input'!$Q$64,0),MAX(MIN(DZ$20,'01_Input'!$O$64)-'01_Input'!$N$64,0)*'01_Input'!$Q$64))+IF('01_Input'!$T$64="Forfait",IF(DZ$20&gt;='01_Input'!$R$64,'01_Input'!$U$64,0),IF('01_Input'!$T$64="Palier",IF(AND(DZ$20&gt;='01_Input'!$R$64,DZ$20&lt;'01_Input'!$S$64),'01_Input'!$U$64,0),MAX(MIN(DZ$20,'01_Input'!$S$64)-'01_Input'!$R$64,0)*'01_Input'!$U$64))+IF('01_Input'!$X$64="Forfait",IF(DZ$20&gt;='01_Input'!$V$64,'01_Input'!$Y$64,0),IF('01_Input'!$X$64="Palier",IF(AND(DZ$20&gt;='01_Input'!$V$64,DZ$20&lt;'01_Input'!$W$64),'01_Input'!$Y$64,0),MAX(MIN(DZ$20,'01_Input'!$W$64)-'01_Input'!$V$64,0)*'01_Input'!$Y$64))+IF('01_Input'!$AB$64="Forfait",IF(DZ$20&gt;='01_Input'!$Z$64,'01_Input'!$AC$64,0),IF('01_Input'!$AB$64="Palier",IF(AND(DZ$20&gt;='01_Input'!$Z$64,DZ$20&lt;'01_Input'!$AA$64),'01_Input'!$AC$64,0),MAX(MIN(DZ$20,'01_Input'!$AA$64)-'01_Input'!$Z$64,0)*'01_Input'!$AC$64)))))))))</f>
        <v>1392</v>
      </c>
      <c r="EA32" s="83">
        <f>IF('01_Input'!$C$64="Non",0,MIN('01_Input'!$I$64,MAX('01_Input'!$H$64,IF('01_Input'!$G$64="Résiduel vs Gestion",0,IF('01_Input'!$G$64="Taux Classe sélectionnée",Distrib_Global_Classe_Selectionnee*EA$20,IF('01_Input'!$G$64="Frais KYC (paliers de 100M€)",MAX(0,Nb_Investisseurs-Nb_KYC_Gratuites_Par_Tranche*(FLOOR(EA$20/Taille_Tranche_KYC,1)+1))*Cout_Par_KYC_Supplementaire,(IF('01_Input'!$L$64="Forfait",IF(EA$20&gt;='01_Input'!$J$64,'01_Input'!$M$64,0),IF('01_Input'!$L$64="Palier",IF(AND(EA$20&gt;='01_Input'!$J$64,EA$20&lt;'01_Input'!$K$64),'01_Input'!$M$64,0),MAX(MIN(EA$20,'01_Input'!$K$64)-'01_Input'!$J$64,0)*'01_Input'!$M$64))+IF('01_Input'!$P$64="Forfait",IF(EA$20&gt;='01_Input'!$N$64,'01_Input'!$Q$64,0),IF('01_Input'!$P$64="Palier",IF(AND(EA$20&gt;='01_Input'!$N$64,EA$20&lt;'01_Input'!$O$64),'01_Input'!$Q$64,0),MAX(MIN(EA$20,'01_Input'!$O$64)-'01_Input'!$N$64,0)*'01_Input'!$Q$64))+IF('01_Input'!$T$64="Forfait",IF(EA$20&gt;='01_Input'!$R$64,'01_Input'!$U$64,0),IF('01_Input'!$T$64="Palier",IF(AND(EA$20&gt;='01_Input'!$R$64,EA$20&lt;'01_Input'!$S$64),'01_Input'!$U$64,0),MAX(MIN(EA$20,'01_Input'!$S$64)-'01_Input'!$R$64,0)*'01_Input'!$U$64))+IF('01_Input'!$X$64="Forfait",IF(EA$20&gt;='01_Input'!$V$64,'01_Input'!$Y$64,0),IF('01_Input'!$X$64="Palier",IF(AND(EA$20&gt;='01_Input'!$V$64,EA$20&lt;'01_Input'!$W$64),'01_Input'!$Y$64,0),MAX(MIN(EA$20,'01_Input'!$W$64)-'01_Input'!$V$64,0)*'01_Input'!$Y$64))+IF('01_Input'!$AB$64="Forfait",IF(EA$20&gt;='01_Input'!$Z$64,'01_Input'!$AC$64,0),IF('01_Input'!$AB$64="Palier",IF(AND(EA$20&gt;='01_Input'!$Z$64,EA$20&lt;'01_Input'!$AA$64),'01_Input'!$AC$64,0),MAX(MIN(EA$20,'01_Input'!$AA$64)-'01_Input'!$Z$64,0)*'01_Input'!$AC$64)))))))))</f>
        <v>1392</v>
      </c>
      <c r="EB32" s="83">
        <f>IF('01_Input'!$C$64="Non",0,MIN('01_Input'!$I$64,MAX('01_Input'!$H$64,IF('01_Input'!$G$64="Résiduel vs Gestion",0,IF('01_Input'!$G$64="Taux Classe sélectionnée",Distrib_Global_Classe_Selectionnee*EB$20,IF('01_Input'!$G$64="Frais KYC (paliers de 100M€)",MAX(0,Nb_Investisseurs-Nb_KYC_Gratuites_Par_Tranche*(FLOOR(EB$20/Taille_Tranche_KYC,1)+1))*Cout_Par_KYC_Supplementaire,(IF('01_Input'!$L$64="Forfait",IF(EB$20&gt;='01_Input'!$J$64,'01_Input'!$M$64,0),IF('01_Input'!$L$64="Palier",IF(AND(EB$20&gt;='01_Input'!$J$64,EB$20&lt;'01_Input'!$K$64),'01_Input'!$M$64,0),MAX(MIN(EB$20,'01_Input'!$K$64)-'01_Input'!$J$64,0)*'01_Input'!$M$64))+IF('01_Input'!$P$64="Forfait",IF(EB$20&gt;='01_Input'!$N$64,'01_Input'!$Q$64,0),IF('01_Input'!$P$64="Palier",IF(AND(EB$20&gt;='01_Input'!$N$64,EB$20&lt;'01_Input'!$O$64),'01_Input'!$Q$64,0),MAX(MIN(EB$20,'01_Input'!$O$64)-'01_Input'!$N$64,0)*'01_Input'!$Q$64))+IF('01_Input'!$T$64="Forfait",IF(EB$20&gt;='01_Input'!$R$64,'01_Input'!$U$64,0),IF('01_Input'!$T$64="Palier",IF(AND(EB$20&gt;='01_Input'!$R$64,EB$20&lt;'01_Input'!$S$64),'01_Input'!$U$64,0),MAX(MIN(EB$20,'01_Input'!$S$64)-'01_Input'!$R$64,0)*'01_Input'!$U$64))+IF('01_Input'!$X$64="Forfait",IF(EB$20&gt;='01_Input'!$V$64,'01_Input'!$Y$64,0),IF('01_Input'!$X$64="Palier",IF(AND(EB$20&gt;='01_Input'!$V$64,EB$20&lt;'01_Input'!$W$64),'01_Input'!$Y$64,0),MAX(MIN(EB$20,'01_Input'!$W$64)-'01_Input'!$V$64,0)*'01_Input'!$Y$64))+IF('01_Input'!$AB$64="Forfait",IF(EB$20&gt;='01_Input'!$Z$64,'01_Input'!$AC$64,0),IF('01_Input'!$AB$64="Palier",IF(AND(EB$20&gt;='01_Input'!$Z$64,EB$20&lt;'01_Input'!$AA$64),'01_Input'!$AC$64,0),MAX(MIN(EB$20,'01_Input'!$AA$64)-'01_Input'!$Z$64,0)*'01_Input'!$AC$64)))))))))</f>
        <v>1392</v>
      </c>
      <c r="EC32" s="83">
        <f>IF('01_Input'!$C$64="Non",0,MIN('01_Input'!$I$64,MAX('01_Input'!$H$64,IF('01_Input'!$G$64="Résiduel vs Gestion",0,IF('01_Input'!$G$64="Taux Classe sélectionnée",Distrib_Global_Classe_Selectionnee*EC$20,IF('01_Input'!$G$64="Frais KYC (paliers de 100M€)",MAX(0,Nb_Investisseurs-Nb_KYC_Gratuites_Par_Tranche*(FLOOR(EC$20/Taille_Tranche_KYC,1)+1))*Cout_Par_KYC_Supplementaire,(IF('01_Input'!$L$64="Forfait",IF(EC$20&gt;='01_Input'!$J$64,'01_Input'!$M$64,0),IF('01_Input'!$L$64="Palier",IF(AND(EC$20&gt;='01_Input'!$J$64,EC$20&lt;'01_Input'!$K$64),'01_Input'!$M$64,0),MAX(MIN(EC$20,'01_Input'!$K$64)-'01_Input'!$J$64,0)*'01_Input'!$M$64))+IF('01_Input'!$P$64="Forfait",IF(EC$20&gt;='01_Input'!$N$64,'01_Input'!$Q$64,0),IF('01_Input'!$P$64="Palier",IF(AND(EC$20&gt;='01_Input'!$N$64,EC$20&lt;'01_Input'!$O$64),'01_Input'!$Q$64,0),MAX(MIN(EC$20,'01_Input'!$O$64)-'01_Input'!$N$64,0)*'01_Input'!$Q$64))+IF('01_Input'!$T$64="Forfait",IF(EC$20&gt;='01_Input'!$R$64,'01_Input'!$U$64,0),IF('01_Input'!$T$64="Palier",IF(AND(EC$20&gt;='01_Input'!$R$64,EC$20&lt;'01_Input'!$S$64),'01_Input'!$U$64,0),MAX(MIN(EC$20,'01_Input'!$S$64)-'01_Input'!$R$64,0)*'01_Input'!$U$64))+IF('01_Input'!$X$64="Forfait",IF(EC$20&gt;='01_Input'!$V$64,'01_Input'!$Y$64,0),IF('01_Input'!$X$64="Palier",IF(AND(EC$20&gt;='01_Input'!$V$64,EC$20&lt;'01_Input'!$W$64),'01_Input'!$Y$64,0),MAX(MIN(EC$20,'01_Input'!$W$64)-'01_Input'!$V$64,0)*'01_Input'!$Y$64))+IF('01_Input'!$AB$64="Forfait",IF(EC$20&gt;='01_Input'!$Z$64,'01_Input'!$AC$64,0),IF('01_Input'!$AB$64="Palier",IF(AND(EC$20&gt;='01_Input'!$Z$64,EC$20&lt;'01_Input'!$AA$64),'01_Input'!$AC$64,0),MAX(MIN(EC$20,'01_Input'!$AA$64)-'01_Input'!$Z$64,0)*'01_Input'!$AC$64)))))))))</f>
        <v>1392</v>
      </c>
      <c r="ED32" s="83">
        <f>IF('01_Input'!$C$64="Non",0,MIN('01_Input'!$I$64,MAX('01_Input'!$H$64,IF('01_Input'!$G$64="Résiduel vs Gestion",0,IF('01_Input'!$G$64="Taux Classe sélectionnée",Distrib_Global_Classe_Selectionnee*ED$20,IF('01_Input'!$G$64="Frais KYC (paliers de 100M€)",MAX(0,Nb_Investisseurs-Nb_KYC_Gratuites_Par_Tranche*(FLOOR(ED$20/Taille_Tranche_KYC,1)+1))*Cout_Par_KYC_Supplementaire,(IF('01_Input'!$L$64="Forfait",IF(ED$20&gt;='01_Input'!$J$64,'01_Input'!$M$64,0),IF('01_Input'!$L$64="Palier",IF(AND(ED$20&gt;='01_Input'!$J$64,ED$20&lt;'01_Input'!$K$64),'01_Input'!$M$64,0),MAX(MIN(ED$20,'01_Input'!$K$64)-'01_Input'!$J$64,0)*'01_Input'!$M$64))+IF('01_Input'!$P$64="Forfait",IF(ED$20&gt;='01_Input'!$N$64,'01_Input'!$Q$64,0),IF('01_Input'!$P$64="Palier",IF(AND(ED$20&gt;='01_Input'!$N$64,ED$20&lt;'01_Input'!$O$64),'01_Input'!$Q$64,0),MAX(MIN(ED$20,'01_Input'!$O$64)-'01_Input'!$N$64,0)*'01_Input'!$Q$64))+IF('01_Input'!$T$64="Forfait",IF(ED$20&gt;='01_Input'!$R$64,'01_Input'!$U$64,0),IF('01_Input'!$T$64="Palier",IF(AND(ED$20&gt;='01_Input'!$R$64,ED$20&lt;'01_Input'!$S$64),'01_Input'!$U$64,0),MAX(MIN(ED$20,'01_Input'!$S$64)-'01_Input'!$R$64,0)*'01_Input'!$U$64))+IF('01_Input'!$X$64="Forfait",IF(ED$20&gt;='01_Input'!$V$64,'01_Input'!$Y$64,0),IF('01_Input'!$X$64="Palier",IF(AND(ED$20&gt;='01_Input'!$V$64,ED$20&lt;'01_Input'!$W$64),'01_Input'!$Y$64,0),MAX(MIN(ED$20,'01_Input'!$W$64)-'01_Input'!$V$64,0)*'01_Input'!$Y$64))+IF('01_Input'!$AB$64="Forfait",IF(ED$20&gt;='01_Input'!$Z$64,'01_Input'!$AC$64,0),IF('01_Input'!$AB$64="Palier",IF(AND(ED$20&gt;='01_Input'!$Z$64,ED$20&lt;'01_Input'!$AA$64),'01_Input'!$AC$64,0),MAX(MIN(ED$20,'01_Input'!$AA$64)-'01_Input'!$Z$64,0)*'01_Input'!$AC$64)))))))))</f>
        <v>1392</v>
      </c>
      <c r="EE32" s="83">
        <f>IF('01_Input'!$C$64="Non",0,MIN('01_Input'!$I$64,MAX('01_Input'!$H$64,IF('01_Input'!$G$64="Résiduel vs Gestion",0,IF('01_Input'!$G$64="Taux Classe sélectionnée",Distrib_Global_Classe_Selectionnee*EE$20,IF('01_Input'!$G$64="Frais KYC (paliers de 100M€)",MAX(0,Nb_Investisseurs-Nb_KYC_Gratuites_Par_Tranche*(FLOOR(EE$20/Taille_Tranche_KYC,1)+1))*Cout_Par_KYC_Supplementaire,(IF('01_Input'!$L$64="Forfait",IF(EE$20&gt;='01_Input'!$J$64,'01_Input'!$M$64,0),IF('01_Input'!$L$64="Palier",IF(AND(EE$20&gt;='01_Input'!$J$64,EE$20&lt;'01_Input'!$K$64),'01_Input'!$M$64,0),MAX(MIN(EE$20,'01_Input'!$K$64)-'01_Input'!$J$64,0)*'01_Input'!$M$64))+IF('01_Input'!$P$64="Forfait",IF(EE$20&gt;='01_Input'!$N$64,'01_Input'!$Q$64,0),IF('01_Input'!$P$64="Palier",IF(AND(EE$20&gt;='01_Input'!$N$64,EE$20&lt;'01_Input'!$O$64),'01_Input'!$Q$64,0),MAX(MIN(EE$20,'01_Input'!$O$64)-'01_Input'!$N$64,0)*'01_Input'!$Q$64))+IF('01_Input'!$T$64="Forfait",IF(EE$20&gt;='01_Input'!$R$64,'01_Input'!$U$64,0),IF('01_Input'!$T$64="Palier",IF(AND(EE$20&gt;='01_Input'!$R$64,EE$20&lt;'01_Input'!$S$64),'01_Input'!$U$64,0),MAX(MIN(EE$20,'01_Input'!$S$64)-'01_Input'!$R$64,0)*'01_Input'!$U$64))+IF('01_Input'!$X$64="Forfait",IF(EE$20&gt;='01_Input'!$V$64,'01_Input'!$Y$64,0),IF('01_Input'!$X$64="Palier",IF(AND(EE$20&gt;='01_Input'!$V$64,EE$20&lt;'01_Input'!$W$64),'01_Input'!$Y$64,0),MAX(MIN(EE$20,'01_Input'!$W$64)-'01_Input'!$V$64,0)*'01_Input'!$Y$64))+IF('01_Input'!$AB$64="Forfait",IF(EE$20&gt;='01_Input'!$Z$64,'01_Input'!$AC$64,0),IF('01_Input'!$AB$64="Palier",IF(AND(EE$20&gt;='01_Input'!$Z$64,EE$20&lt;'01_Input'!$AA$64),'01_Input'!$AC$64,0),MAX(MIN(EE$20,'01_Input'!$AA$64)-'01_Input'!$Z$64,0)*'01_Input'!$AC$64)))))))))</f>
        <v>1392</v>
      </c>
      <c r="EF32" s="83">
        <f>IF('01_Input'!$C$64="Non",0,MIN('01_Input'!$I$64,MAX('01_Input'!$H$64,IF('01_Input'!$G$64="Résiduel vs Gestion",0,IF('01_Input'!$G$64="Taux Classe sélectionnée",Distrib_Global_Classe_Selectionnee*EF$20,IF('01_Input'!$G$64="Frais KYC (paliers de 100M€)",MAX(0,Nb_Investisseurs-Nb_KYC_Gratuites_Par_Tranche*(FLOOR(EF$20/Taille_Tranche_KYC,1)+1))*Cout_Par_KYC_Supplementaire,(IF('01_Input'!$L$64="Forfait",IF(EF$20&gt;='01_Input'!$J$64,'01_Input'!$M$64,0),IF('01_Input'!$L$64="Palier",IF(AND(EF$20&gt;='01_Input'!$J$64,EF$20&lt;'01_Input'!$K$64),'01_Input'!$M$64,0),MAX(MIN(EF$20,'01_Input'!$K$64)-'01_Input'!$J$64,0)*'01_Input'!$M$64))+IF('01_Input'!$P$64="Forfait",IF(EF$20&gt;='01_Input'!$N$64,'01_Input'!$Q$64,0),IF('01_Input'!$P$64="Palier",IF(AND(EF$20&gt;='01_Input'!$N$64,EF$20&lt;'01_Input'!$O$64),'01_Input'!$Q$64,0),MAX(MIN(EF$20,'01_Input'!$O$64)-'01_Input'!$N$64,0)*'01_Input'!$Q$64))+IF('01_Input'!$T$64="Forfait",IF(EF$20&gt;='01_Input'!$R$64,'01_Input'!$U$64,0),IF('01_Input'!$T$64="Palier",IF(AND(EF$20&gt;='01_Input'!$R$64,EF$20&lt;'01_Input'!$S$64),'01_Input'!$U$64,0),MAX(MIN(EF$20,'01_Input'!$S$64)-'01_Input'!$R$64,0)*'01_Input'!$U$64))+IF('01_Input'!$X$64="Forfait",IF(EF$20&gt;='01_Input'!$V$64,'01_Input'!$Y$64,0),IF('01_Input'!$X$64="Palier",IF(AND(EF$20&gt;='01_Input'!$V$64,EF$20&lt;'01_Input'!$W$64),'01_Input'!$Y$64,0),MAX(MIN(EF$20,'01_Input'!$W$64)-'01_Input'!$V$64,0)*'01_Input'!$Y$64))+IF('01_Input'!$AB$64="Forfait",IF(EF$20&gt;='01_Input'!$Z$64,'01_Input'!$AC$64,0),IF('01_Input'!$AB$64="Palier",IF(AND(EF$20&gt;='01_Input'!$Z$64,EF$20&lt;'01_Input'!$AA$64),'01_Input'!$AC$64,0),MAX(MIN(EF$20,'01_Input'!$AA$64)-'01_Input'!$Z$64,0)*'01_Input'!$AC$64)))))))))</f>
        <v>1392</v>
      </c>
      <c r="EG32" s="83">
        <f>IF('01_Input'!$C$64="Non",0,MIN('01_Input'!$I$64,MAX('01_Input'!$H$64,IF('01_Input'!$G$64="Résiduel vs Gestion",0,IF('01_Input'!$G$64="Taux Classe sélectionnée",Distrib_Global_Classe_Selectionnee*EG$20,IF('01_Input'!$G$64="Frais KYC (paliers de 100M€)",MAX(0,Nb_Investisseurs-Nb_KYC_Gratuites_Par_Tranche*(FLOOR(EG$20/Taille_Tranche_KYC,1)+1))*Cout_Par_KYC_Supplementaire,(IF('01_Input'!$L$64="Forfait",IF(EG$20&gt;='01_Input'!$J$64,'01_Input'!$M$64,0),IF('01_Input'!$L$64="Palier",IF(AND(EG$20&gt;='01_Input'!$J$64,EG$20&lt;'01_Input'!$K$64),'01_Input'!$M$64,0),MAX(MIN(EG$20,'01_Input'!$K$64)-'01_Input'!$J$64,0)*'01_Input'!$M$64))+IF('01_Input'!$P$64="Forfait",IF(EG$20&gt;='01_Input'!$N$64,'01_Input'!$Q$64,0),IF('01_Input'!$P$64="Palier",IF(AND(EG$20&gt;='01_Input'!$N$64,EG$20&lt;'01_Input'!$O$64),'01_Input'!$Q$64,0),MAX(MIN(EG$20,'01_Input'!$O$64)-'01_Input'!$N$64,0)*'01_Input'!$Q$64))+IF('01_Input'!$T$64="Forfait",IF(EG$20&gt;='01_Input'!$R$64,'01_Input'!$U$64,0),IF('01_Input'!$T$64="Palier",IF(AND(EG$20&gt;='01_Input'!$R$64,EG$20&lt;'01_Input'!$S$64),'01_Input'!$U$64,0),MAX(MIN(EG$20,'01_Input'!$S$64)-'01_Input'!$R$64,0)*'01_Input'!$U$64))+IF('01_Input'!$X$64="Forfait",IF(EG$20&gt;='01_Input'!$V$64,'01_Input'!$Y$64,0),IF('01_Input'!$X$64="Palier",IF(AND(EG$20&gt;='01_Input'!$V$64,EG$20&lt;'01_Input'!$W$64),'01_Input'!$Y$64,0),MAX(MIN(EG$20,'01_Input'!$W$64)-'01_Input'!$V$64,0)*'01_Input'!$Y$64))+IF('01_Input'!$AB$64="Forfait",IF(EG$20&gt;='01_Input'!$Z$64,'01_Input'!$AC$64,0),IF('01_Input'!$AB$64="Palier",IF(AND(EG$20&gt;='01_Input'!$Z$64,EG$20&lt;'01_Input'!$AA$64),'01_Input'!$AC$64,0),MAX(MIN(EG$20,'01_Input'!$AA$64)-'01_Input'!$Z$64,0)*'01_Input'!$AC$64)))))))))</f>
        <v>1392</v>
      </c>
      <c r="EH32" s="83">
        <f>IF('01_Input'!$C$64="Non",0,MIN('01_Input'!$I$64,MAX('01_Input'!$H$64,IF('01_Input'!$G$64="Résiduel vs Gestion",0,IF('01_Input'!$G$64="Taux Classe sélectionnée",Distrib_Global_Classe_Selectionnee*EH$20,IF('01_Input'!$G$64="Frais KYC (paliers de 100M€)",MAX(0,Nb_Investisseurs-Nb_KYC_Gratuites_Par_Tranche*(FLOOR(EH$20/Taille_Tranche_KYC,1)+1))*Cout_Par_KYC_Supplementaire,(IF('01_Input'!$L$64="Forfait",IF(EH$20&gt;='01_Input'!$J$64,'01_Input'!$M$64,0),IF('01_Input'!$L$64="Palier",IF(AND(EH$20&gt;='01_Input'!$J$64,EH$20&lt;'01_Input'!$K$64),'01_Input'!$M$64,0),MAX(MIN(EH$20,'01_Input'!$K$64)-'01_Input'!$J$64,0)*'01_Input'!$M$64))+IF('01_Input'!$P$64="Forfait",IF(EH$20&gt;='01_Input'!$N$64,'01_Input'!$Q$64,0),IF('01_Input'!$P$64="Palier",IF(AND(EH$20&gt;='01_Input'!$N$64,EH$20&lt;'01_Input'!$O$64),'01_Input'!$Q$64,0),MAX(MIN(EH$20,'01_Input'!$O$64)-'01_Input'!$N$64,0)*'01_Input'!$Q$64))+IF('01_Input'!$T$64="Forfait",IF(EH$20&gt;='01_Input'!$R$64,'01_Input'!$U$64,0),IF('01_Input'!$T$64="Palier",IF(AND(EH$20&gt;='01_Input'!$R$64,EH$20&lt;'01_Input'!$S$64),'01_Input'!$U$64,0),MAX(MIN(EH$20,'01_Input'!$S$64)-'01_Input'!$R$64,0)*'01_Input'!$U$64))+IF('01_Input'!$X$64="Forfait",IF(EH$20&gt;='01_Input'!$V$64,'01_Input'!$Y$64,0),IF('01_Input'!$X$64="Palier",IF(AND(EH$20&gt;='01_Input'!$V$64,EH$20&lt;'01_Input'!$W$64),'01_Input'!$Y$64,0),MAX(MIN(EH$20,'01_Input'!$W$64)-'01_Input'!$V$64,0)*'01_Input'!$Y$64))+IF('01_Input'!$AB$64="Forfait",IF(EH$20&gt;='01_Input'!$Z$64,'01_Input'!$AC$64,0),IF('01_Input'!$AB$64="Palier",IF(AND(EH$20&gt;='01_Input'!$Z$64,EH$20&lt;'01_Input'!$AA$64),'01_Input'!$AC$64,0),MAX(MIN(EH$20,'01_Input'!$AA$64)-'01_Input'!$Z$64,0)*'01_Input'!$AC$64)))))))))</f>
        <v>1392</v>
      </c>
      <c r="EI32" s="83">
        <f>IF('01_Input'!$C$64="Non",0,MIN('01_Input'!$I$64,MAX('01_Input'!$H$64,IF('01_Input'!$G$64="Résiduel vs Gestion",0,IF('01_Input'!$G$64="Taux Classe sélectionnée",Distrib_Global_Classe_Selectionnee*EI$20,IF('01_Input'!$G$64="Frais KYC (paliers de 100M€)",MAX(0,Nb_Investisseurs-Nb_KYC_Gratuites_Par_Tranche*(FLOOR(EI$20/Taille_Tranche_KYC,1)+1))*Cout_Par_KYC_Supplementaire,(IF('01_Input'!$L$64="Forfait",IF(EI$20&gt;='01_Input'!$J$64,'01_Input'!$M$64,0),IF('01_Input'!$L$64="Palier",IF(AND(EI$20&gt;='01_Input'!$J$64,EI$20&lt;'01_Input'!$K$64),'01_Input'!$M$64,0),MAX(MIN(EI$20,'01_Input'!$K$64)-'01_Input'!$J$64,0)*'01_Input'!$M$64))+IF('01_Input'!$P$64="Forfait",IF(EI$20&gt;='01_Input'!$N$64,'01_Input'!$Q$64,0),IF('01_Input'!$P$64="Palier",IF(AND(EI$20&gt;='01_Input'!$N$64,EI$20&lt;'01_Input'!$O$64),'01_Input'!$Q$64,0),MAX(MIN(EI$20,'01_Input'!$O$64)-'01_Input'!$N$64,0)*'01_Input'!$Q$64))+IF('01_Input'!$T$64="Forfait",IF(EI$20&gt;='01_Input'!$R$64,'01_Input'!$U$64,0),IF('01_Input'!$T$64="Palier",IF(AND(EI$20&gt;='01_Input'!$R$64,EI$20&lt;'01_Input'!$S$64),'01_Input'!$U$64,0),MAX(MIN(EI$20,'01_Input'!$S$64)-'01_Input'!$R$64,0)*'01_Input'!$U$64))+IF('01_Input'!$X$64="Forfait",IF(EI$20&gt;='01_Input'!$V$64,'01_Input'!$Y$64,0),IF('01_Input'!$X$64="Palier",IF(AND(EI$20&gt;='01_Input'!$V$64,EI$20&lt;'01_Input'!$W$64),'01_Input'!$Y$64,0),MAX(MIN(EI$20,'01_Input'!$W$64)-'01_Input'!$V$64,0)*'01_Input'!$Y$64))+IF('01_Input'!$AB$64="Forfait",IF(EI$20&gt;='01_Input'!$Z$64,'01_Input'!$AC$64,0),IF('01_Input'!$AB$64="Palier",IF(AND(EI$20&gt;='01_Input'!$Z$64,EI$20&lt;'01_Input'!$AA$64),'01_Input'!$AC$64,0),MAX(MIN(EI$20,'01_Input'!$AA$64)-'01_Input'!$Z$64,0)*'01_Input'!$AC$64)))))))))</f>
        <v>1392</v>
      </c>
      <c r="EJ32" s="83">
        <f>IF('01_Input'!$C$64="Non",0,MIN('01_Input'!$I$64,MAX('01_Input'!$H$64,IF('01_Input'!$G$64="Résiduel vs Gestion",0,IF('01_Input'!$G$64="Taux Classe sélectionnée",Distrib_Global_Classe_Selectionnee*EJ$20,IF('01_Input'!$G$64="Frais KYC (paliers de 100M€)",MAX(0,Nb_Investisseurs-Nb_KYC_Gratuites_Par_Tranche*(FLOOR(EJ$20/Taille_Tranche_KYC,1)+1))*Cout_Par_KYC_Supplementaire,(IF('01_Input'!$L$64="Forfait",IF(EJ$20&gt;='01_Input'!$J$64,'01_Input'!$M$64,0),IF('01_Input'!$L$64="Palier",IF(AND(EJ$20&gt;='01_Input'!$J$64,EJ$20&lt;'01_Input'!$K$64),'01_Input'!$M$64,0),MAX(MIN(EJ$20,'01_Input'!$K$64)-'01_Input'!$J$64,0)*'01_Input'!$M$64))+IF('01_Input'!$P$64="Forfait",IF(EJ$20&gt;='01_Input'!$N$64,'01_Input'!$Q$64,0),IF('01_Input'!$P$64="Palier",IF(AND(EJ$20&gt;='01_Input'!$N$64,EJ$20&lt;'01_Input'!$O$64),'01_Input'!$Q$64,0),MAX(MIN(EJ$20,'01_Input'!$O$64)-'01_Input'!$N$64,0)*'01_Input'!$Q$64))+IF('01_Input'!$T$64="Forfait",IF(EJ$20&gt;='01_Input'!$R$64,'01_Input'!$U$64,0),IF('01_Input'!$T$64="Palier",IF(AND(EJ$20&gt;='01_Input'!$R$64,EJ$20&lt;'01_Input'!$S$64),'01_Input'!$U$64,0),MAX(MIN(EJ$20,'01_Input'!$S$64)-'01_Input'!$R$64,0)*'01_Input'!$U$64))+IF('01_Input'!$X$64="Forfait",IF(EJ$20&gt;='01_Input'!$V$64,'01_Input'!$Y$64,0),IF('01_Input'!$X$64="Palier",IF(AND(EJ$20&gt;='01_Input'!$V$64,EJ$20&lt;'01_Input'!$W$64),'01_Input'!$Y$64,0),MAX(MIN(EJ$20,'01_Input'!$W$64)-'01_Input'!$V$64,0)*'01_Input'!$Y$64))+IF('01_Input'!$AB$64="Forfait",IF(EJ$20&gt;='01_Input'!$Z$64,'01_Input'!$AC$64,0),IF('01_Input'!$AB$64="Palier",IF(AND(EJ$20&gt;='01_Input'!$Z$64,EJ$20&lt;'01_Input'!$AA$64),'01_Input'!$AC$64,0),MAX(MIN(EJ$20,'01_Input'!$AA$64)-'01_Input'!$Z$64,0)*'01_Input'!$AC$64)))))))))</f>
        <v>1392</v>
      </c>
      <c r="EK32" s="83">
        <f>IF('01_Input'!$C$64="Non",0,MIN('01_Input'!$I$64,MAX('01_Input'!$H$64,IF('01_Input'!$G$64="Résiduel vs Gestion",0,IF('01_Input'!$G$64="Taux Classe sélectionnée",Distrib_Global_Classe_Selectionnee*EK$20,IF('01_Input'!$G$64="Frais KYC (paliers de 100M€)",MAX(0,Nb_Investisseurs-Nb_KYC_Gratuites_Par_Tranche*(FLOOR(EK$20/Taille_Tranche_KYC,1)+1))*Cout_Par_KYC_Supplementaire,(IF('01_Input'!$L$64="Forfait",IF(EK$20&gt;='01_Input'!$J$64,'01_Input'!$M$64,0),IF('01_Input'!$L$64="Palier",IF(AND(EK$20&gt;='01_Input'!$J$64,EK$20&lt;'01_Input'!$K$64),'01_Input'!$M$64,0),MAX(MIN(EK$20,'01_Input'!$K$64)-'01_Input'!$J$64,0)*'01_Input'!$M$64))+IF('01_Input'!$P$64="Forfait",IF(EK$20&gt;='01_Input'!$N$64,'01_Input'!$Q$64,0),IF('01_Input'!$P$64="Palier",IF(AND(EK$20&gt;='01_Input'!$N$64,EK$20&lt;'01_Input'!$O$64),'01_Input'!$Q$64,0),MAX(MIN(EK$20,'01_Input'!$O$64)-'01_Input'!$N$64,0)*'01_Input'!$Q$64))+IF('01_Input'!$T$64="Forfait",IF(EK$20&gt;='01_Input'!$R$64,'01_Input'!$U$64,0),IF('01_Input'!$T$64="Palier",IF(AND(EK$20&gt;='01_Input'!$R$64,EK$20&lt;'01_Input'!$S$64),'01_Input'!$U$64,0),MAX(MIN(EK$20,'01_Input'!$S$64)-'01_Input'!$R$64,0)*'01_Input'!$U$64))+IF('01_Input'!$X$64="Forfait",IF(EK$20&gt;='01_Input'!$V$64,'01_Input'!$Y$64,0),IF('01_Input'!$X$64="Palier",IF(AND(EK$20&gt;='01_Input'!$V$64,EK$20&lt;'01_Input'!$W$64),'01_Input'!$Y$64,0),MAX(MIN(EK$20,'01_Input'!$W$64)-'01_Input'!$V$64,0)*'01_Input'!$Y$64))+IF('01_Input'!$AB$64="Forfait",IF(EK$20&gt;='01_Input'!$Z$64,'01_Input'!$AC$64,0),IF('01_Input'!$AB$64="Palier",IF(AND(EK$20&gt;='01_Input'!$Z$64,EK$20&lt;'01_Input'!$AA$64),'01_Input'!$AC$64,0),MAX(MIN(EK$20,'01_Input'!$AA$64)-'01_Input'!$Z$64,0)*'01_Input'!$AC$64)))))))))</f>
        <v>1392</v>
      </c>
      <c r="EL32" s="83">
        <f>IF('01_Input'!$C$64="Non",0,MIN('01_Input'!$I$64,MAX('01_Input'!$H$64,IF('01_Input'!$G$64="Résiduel vs Gestion",0,IF('01_Input'!$G$64="Taux Classe sélectionnée",Distrib_Global_Classe_Selectionnee*EL$20,IF('01_Input'!$G$64="Frais KYC (paliers de 100M€)",MAX(0,Nb_Investisseurs-Nb_KYC_Gratuites_Par_Tranche*(FLOOR(EL$20/Taille_Tranche_KYC,1)+1))*Cout_Par_KYC_Supplementaire,(IF('01_Input'!$L$64="Forfait",IF(EL$20&gt;='01_Input'!$J$64,'01_Input'!$M$64,0),IF('01_Input'!$L$64="Palier",IF(AND(EL$20&gt;='01_Input'!$J$64,EL$20&lt;'01_Input'!$K$64),'01_Input'!$M$64,0),MAX(MIN(EL$20,'01_Input'!$K$64)-'01_Input'!$J$64,0)*'01_Input'!$M$64))+IF('01_Input'!$P$64="Forfait",IF(EL$20&gt;='01_Input'!$N$64,'01_Input'!$Q$64,0),IF('01_Input'!$P$64="Palier",IF(AND(EL$20&gt;='01_Input'!$N$64,EL$20&lt;'01_Input'!$O$64),'01_Input'!$Q$64,0),MAX(MIN(EL$20,'01_Input'!$O$64)-'01_Input'!$N$64,0)*'01_Input'!$Q$64))+IF('01_Input'!$T$64="Forfait",IF(EL$20&gt;='01_Input'!$R$64,'01_Input'!$U$64,0),IF('01_Input'!$T$64="Palier",IF(AND(EL$20&gt;='01_Input'!$R$64,EL$20&lt;'01_Input'!$S$64),'01_Input'!$U$64,0),MAX(MIN(EL$20,'01_Input'!$S$64)-'01_Input'!$R$64,0)*'01_Input'!$U$64))+IF('01_Input'!$X$64="Forfait",IF(EL$20&gt;='01_Input'!$V$64,'01_Input'!$Y$64,0),IF('01_Input'!$X$64="Palier",IF(AND(EL$20&gt;='01_Input'!$V$64,EL$20&lt;'01_Input'!$W$64),'01_Input'!$Y$64,0),MAX(MIN(EL$20,'01_Input'!$W$64)-'01_Input'!$V$64,0)*'01_Input'!$Y$64))+IF('01_Input'!$AB$64="Forfait",IF(EL$20&gt;='01_Input'!$Z$64,'01_Input'!$AC$64,0),IF('01_Input'!$AB$64="Palier",IF(AND(EL$20&gt;='01_Input'!$Z$64,EL$20&lt;'01_Input'!$AA$64),'01_Input'!$AC$64,0),MAX(MIN(EL$20,'01_Input'!$AA$64)-'01_Input'!$Z$64,0)*'01_Input'!$AC$64)))))))))</f>
        <v>1392</v>
      </c>
      <c r="EM32" s="83">
        <f>IF('01_Input'!$C$64="Non",0,MIN('01_Input'!$I$64,MAX('01_Input'!$H$64,IF('01_Input'!$G$64="Résiduel vs Gestion",0,IF('01_Input'!$G$64="Taux Classe sélectionnée",Distrib_Global_Classe_Selectionnee*EM$20,IF('01_Input'!$G$64="Frais KYC (paliers de 100M€)",MAX(0,Nb_Investisseurs-Nb_KYC_Gratuites_Par_Tranche*(FLOOR(EM$20/Taille_Tranche_KYC,1)+1))*Cout_Par_KYC_Supplementaire,(IF('01_Input'!$L$64="Forfait",IF(EM$20&gt;='01_Input'!$J$64,'01_Input'!$M$64,0),IF('01_Input'!$L$64="Palier",IF(AND(EM$20&gt;='01_Input'!$J$64,EM$20&lt;'01_Input'!$K$64),'01_Input'!$M$64,0),MAX(MIN(EM$20,'01_Input'!$K$64)-'01_Input'!$J$64,0)*'01_Input'!$M$64))+IF('01_Input'!$P$64="Forfait",IF(EM$20&gt;='01_Input'!$N$64,'01_Input'!$Q$64,0),IF('01_Input'!$P$64="Palier",IF(AND(EM$20&gt;='01_Input'!$N$64,EM$20&lt;'01_Input'!$O$64),'01_Input'!$Q$64,0),MAX(MIN(EM$20,'01_Input'!$O$64)-'01_Input'!$N$64,0)*'01_Input'!$Q$64))+IF('01_Input'!$T$64="Forfait",IF(EM$20&gt;='01_Input'!$R$64,'01_Input'!$U$64,0),IF('01_Input'!$T$64="Palier",IF(AND(EM$20&gt;='01_Input'!$R$64,EM$20&lt;'01_Input'!$S$64),'01_Input'!$U$64,0),MAX(MIN(EM$20,'01_Input'!$S$64)-'01_Input'!$R$64,0)*'01_Input'!$U$64))+IF('01_Input'!$X$64="Forfait",IF(EM$20&gt;='01_Input'!$V$64,'01_Input'!$Y$64,0),IF('01_Input'!$X$64="Palier",IF(AND(EM$20&gt;='01_Input'!$V$64,EM$20&lt;'01_Input'!$W$64),'01_Input'!$Y$64,0),MAX(MIN(EM$20,'01_Input'!$W$64)-'01_Input'!$V$64,0)*'01_Input'!$Y$64))+IF('01_Input'!$AB$64="Forfait",IF(EM$20&gt;='01_Input'!$Z$64,'01_Input'!$AC$64,0),IF('01_Input'!$AB$64="Palier",IF(AND(EM$20&gt;='01_Input'!$Z$64,EM$20&lt;'01_Input'!$AA$64),'01_Input'!$AC$64,0),MAX(MIN(EM$20,'01_Input'!$AA$64)-'01_Input'!$Z$64,0)*'01_Input'!$AC$64)))))))))</f>
        <v>1392</v>
      </c>
      <c r="EN32" s="83">
        <f>IF('01_Input'!$C$64="Non",0,MIN('01_Input'!$I$64,MAX('01_Input'!$H$64,IF('01_Input'!$G$64="Résiduel vs Gestion",0,IF('01_Input'!$G$64="Taux Classe sélectionnée",Distrib_Global_Classe_Selectionnee*EN$20,IF('01_Input'!$G$64="Frais KYC (paliers de 100M€)",MAX(0,Nb_Investisseurs-Nb_KYC_Gratuites_Par_Tranche*(FLOOR(EN$20/Taille_Tranche_KYC,1)+1))*Cout_Par_KYC_Supplementaire,(IF('01_Input'!$L$64="Forfait",IF(EN$20&gt;='01_Input'!$J$64,'01_Input'!$M$64,0),IF('01_Input'!$L$64="Palier",IF(AND(EN$20&gt;='01_Input'!$J$64,EN$20&lt;'01_Input'!$K$64),'01_Input'!$M$64,0),MAX(MIN(EN$20,'01_Input'!$K$64)-'01_Input'!$J$64,0)*'01_Input'!$M$64))+IF('01_Input'!$P$64="Forfait",IF(EN$20&gt;='01_Input'!$N$64,'01_Input'!$Q$64,0),IF('01_Input'!$P$64="Palier",IF(AND(EN$20&gt;='01_Input'!$N$64,EN$20&lt;'01_Input'!$O$64),'01_Input'!$Q$64,0),MAX(MIN(EN$20,'01_Input'!$O$64)-'01_Input'!$N$64,0)*'01_Input'!$Q$64))+IF('01_Input'!$T$64="Forfait",IF(EN$20&gt;='01_Input'!$R$64,'01_Input'!$U$64,0),IF('01_Input'!$T$64="Palier",IF(AND(EN$20&gt;='01_Input'!$R$64,EN$20&lt;'01_Input'!$S$64),'01_Input'!$U$64,0),MAX(MIN(EN$20,'01_Input'!$S$64)-'01_Input'!$R$64,0)*'01_Input'!$U$64))+IF('01_Input'!$X$64="Forfait",IF(EN$20&gt;='01_Input'!$V$64,'01_Input'!$Y$64,0),IF('01_Input'!$X$64="Palier",IF(AND(EN$20&gt;='01_Input'!$V$64,EN$20&lt;'01_Input'!$W$64),'01_Input'!$Y$64,0),MAX(MIN(EN$20,'01_Input'!$W$64)-'01_Input'!$V$64,0)*'01_Input'!$Y$64))+IF('01_Input'!$AB$64="Forfait",IF(EN$20&gt;='01_Input'!$Z$64,'01_Input'!$AC$64,0),IF('01_Input'!$AB$64="Palier",IF(AND(EN$20&gt;='01_Input'!$Z$64,EN$20&lt;'01_Input'!$AA$64),'01_Input'!$AC$64,0),MAX(MIN(EN$20,'01_Input'!$AA$64)-'01_Input'!$Z$64,0)*'01_Input'!$AC$64)))))))))</f>
        <v>1392</v>
      </c>
      <c r="EO32" s="83">
        <f>IF('01_Input'!$C$64="Non",0,MIN('01_Input'!$I$64,MAX('01_Input'!$H$64,IF('01_Input'!$G$64="Résiduel vs Gestion",0,IF('01_Input'!$G$64="Taux Classe sélectionnée",Distrib_Global_Classe_Selectionnee*EO$20,IF('01_Input'!$G$64="Frais KYC (paliers de 100M€)",MAX(0,Nb_Investisseurs-Nb_KYC_Gratuites_Par_Tranche*(FLOOR(EO$20/Taille_Tranche_KYC,1)+1))*Cout_Par_KYC_Supplementaire,(IF('01_Input'!$L$64="Forfait",IF(EO$20&gt;='01_Input'!$J$64,'01_Input'!$M$64,0),IF('01_Input'!$L$64="Palier",IF(AND(EO$20&gt;='01_Input'!$J$64,EO$20&lt;'01_Input'!$K$64),'01_Input'!$M$64,0),MAX(MIN(EO$20,'01_Input'!$K$64)-'01_Input'!$J$64,0)*'01_Input'!$M$64))+IF('01_Input'!$P$64="Forfait",IF(EO$20&gt;='01_Input'!$N$64,'01_Input'!$Q$64,0),IF('01_Input'!$P$64="Palier",IF(AND(EO$20&gt;='01_Input'!$N$64,EO$20&lt;'01_Input'!$O$64),'01_Input'!$Q$64,0),MAX(MIN(EO$20,'01_Input'!$O$64)-'01_Input'!$N$64,0)*'01_Input'!$Q$64))+IF('01_Input'!$T$64="Forfait",IF(EO$20&gt;='01_Input'!$R$64,'01_Input'!$U$64,0),IF('01_Input'!$T$64="Palier",IF(AND(EO$20&gt;='01_Input'!$R$64,EO$20&lt;'01_Input'!$S$64),'01_Input'!$U$64,0),MAX(MIN(EO$20,'01_Input'!$S$64)-'01_Input'!$R$64,0)*'01_Input'!$U$64))+IF('01_Input'!$X$64="Forfait",IF(EO$20&gt;='01_Input'!$V$64,'01_Input'!$Y$64,0),IF('01_Input'!$X$64="Palier",IF(AND(EO$20&gt;='01_Input'!$V$64,EO$20&lt;'01_Input'!$W$64),'01_Input'!$Y$64,0),MAX(MIN(EO$20,'01_Input'!$W$64)-'01_Input'!$V$64,0)*'01_Input'!$Y$64))+IF('01_Input'!$AB$64="Forfait",IF(EO$20&gt;='01_Input'!$Z$64,'01_Input'!$AC$64,0),IF('01_Input'!$AB$64="Palier",IF(AND(EO$20&gt;='01_Input'!$Z$64,EO$20&lt;'01_Input'!$AA$64),'01_Input'!$AC$64,0),MAX(MIN(EO$20,'01_Input'!$AA$64)-'01_Input'!$Z$64,0)*'01_Input'!$AC$64)))))))))</f>
        <v>1392</v>
      </c>
      <c r="EP32" s="83">
        <f>IF('01_Input'!$C$64="Non",0,MIN('01_Input'!$I$64,MAX('01_Input'!$H$64,IF('01_Input'!$G$64="Résiduel vs Gestion",0,IF('01_Input'!$G$64="Taux Classe sélectionnée",Distrib_Global_Classe_Selectionnee*EP$20,IF('01_Input'!$G$64="Frais KYC (paliers de 100M€)",MAX(0,Nb_Investisseurs-Nb_KYC_Gratuites_Par_Tranche*(FLOOR(EP$20/Taille_Tranche_KYC,1)+1))*Cout_Par_KYC_Supplementaire,(IF('01_Input'!$L$64="Forfait",IF(EP$20&gt;='01_Input'!$J$64,'01_Input'!$M$64,0),IF('01_Input'!$L$64="Palier",IF(AND(EP$20&gt;='01_Input'!$J$64,EP$20&lt;'01_Input'!$K$64),'01_Input'!$M$64,0),MAX(MIN(EP$20,'01_Input'!$K$64)-'01_Input'!$J$64,0)*'01_Input'!$M$64))+IF('01_Input'!$P$64="Forfait",IF(EP$20&gt;='01_Input'!$N$64,'01_Input'!$Q$64,0),IF('01_Input'!$P$64="Palier",IF(AND(EP$20&gt;='01_Input'!$N$64,EP$20&lt;'01_Input'!$O$64),'01_Input'!$Q$64,0),MAX(MIN(EP$20,'01_Input'!$O$64)-'01_Input'!$N$64,0)*'01_Input'!$Q$64))+IF('01_Input'!$T$64="Forfait",IF(EP$20&gt;='01_Input'!$R$64,'01_Input'!$U$64,0),IF('01_Input'!$T$64="Palier",IF(AND(EP$20&gt;='01_Input'!$R$64,EP$20&lt;'01_Input'!$S$64),'01_Input'!$U$64,0),MAX(MIN(EP$20,'01_Input'!$S$64)-'01_Input'!$R$64,0)*'01_Input'!$U$64))+IF('01_Input'!$X$64="Forfait",IF(EP$20&gt;='01_Input'!$V$64,'01_Input'!$Y$64,0),IF('01_Input'!$X$64="Palier",IF(AND(EP$20&gt;='01_Input'!$V$64,EP$20&lt;'01_Input'!$W$64),'01_Input'!$Y$64,0),MAX(MIN(EP$20,'01_Input'!$W$64)-'01_Input'!$V$64,0)*'01_Input'!$Y$64))+IF('01_Input'!$AB$64="Forfait",IF(EP$20&gt;='01_Input'!$Z$64,'01_Input'!$AC$64,0),IF('01_Input'!$AB$64="Palier",IF(AND(EP$20&gt;='01_Input'!$Z$64,EP$20&lt;'01_Input'!$AA$64),'01_Input'!$AC$64,0),MAX(MIN(EP$20,'01_Input'!$AA$64)-'01_Input'!$Z$64,0)*'01_Input'!$AC$64)))))))))</f>
        <v>1392</v>
      </c>
      <c r="EQ32" s="83">
        <f>IF('01_Input'!$C$64="Non",0,MIN('01_Input'!$I$64,MAX('01_Input'!$H$64,IF('01_Input'!$G$64="Résiduel vs Gestion",0,IF('01_Input'!$G$64="Taux Classe sélectionnée",Distrib_Global_Classe_Selectionnee*EQ$20,IF('01_Input'!$G$64="Frais KYC (paliers de 100M€)",MAX(0,Nb_Investisseurs-Nb_KYC_Gratuites_Par_Tranche*(FLOOR(EQ$20/Taille_Tranche_KYC,1)+1))*Cout_Par_KYC_Supplementaire,(IF('01_Input'!$L$64="Forfait",IF(EQ$20&gt;='01_Input'!$J$64,'01_Input'!$M$64,0),IF('01_Input'!$L$64="Palier",IF(AND(EQ$20&gt;='01_Input'!$J$64,EQ$20&lt;'01_Input'!$K$64),'01_Input'!$M$64,0),MAX(MIN(EQ$20,'01_Input'!$K$64)-'01_Input'!$J$64,0)*'01_Input'!$M$64))+IF('01_Input'!$P$64="Forfait",IF(EQ$20&gt;='01_Input'!$N$64,'01_Input'!$Q$64,0),IF('01_Input'!$P$64="Palier",IF(AND(EQ$20&gt;='01_Input'!$N$64,EQ$20&lt;'01_Input'!$O$64),'01_Input'!$Q$64,0),MAX(MIN(EQ$20,'01_Input'!$O$64)-'01_Input'!$N$64,0)*'01_Input'!$Q$64))+IF('01_Input'!$T$64="Forfait",IF(EQ$20&gt;='01_Input'!$R$64,'01_Input'!$U$64,0),IF('01_Input'!$T$64="Palier",IF(AND(EQ$20&gt;='01_Input'!$R$64,EQ$20&lt;'01_Input'!$S$64),'01_Input'!$U$64,0),MAX(MIN(EQ$20,'01_Input'!$S$64)-'01_Input'!$R$64,0)*'01_Input'!$U$64))+IF('01_Input'!$X$64="Forfait",IF(EQ$20&gt;='01_Input'!$V$64,'01_Input'!$Y$64,0),IF('01_Input'!$X$64="Palier",IF(AND(EQ$20&gt;='01_Input'!$V$64,EQ$20&lt;'01_Input'!$W$64),'01_Input'!$Y$64,0),MAX(MIN(EQ$20,'01_Input'!$W$64)-'01_Input'!$V$64,0)*'01_Input'!$Y$64))+IF('01_Input'!$AB$64="Forfait",IF(EQ$20&gt;='01_Input'!$Z$64,'01_Input'!$AC$64,0),IF('01_Input'!$AB$64="Palier",IF(AND(EQ$20&gt;='01_Input'!$Z$64,EQ$20&lt;'01_Input'!$AA$64),'01_Input'!$AC$64,0),MAX(MIN(EQ$20,'01_Input'!$AA$64)-'01_Input'!$Z$64,0)*'01_Input'!$AC$64)))))))))</f>
        <v>1392</v>
      </c>
      <c r="ER32" s="83">
        <f>IF('01_Input'!$C$64="Non",0,MIN('01_Input'!$I$64,MAX('01_Input'!$H$64,IF('01_Input'!$G$64="Résiduel vs Gestion",0,IF('01_Input'!$G$64="Taux Classe sélectionnée",Distrib_Global_Classe_Selectionnee*ER$20,IF('01_Input'!$G$64="Frais KYC (paliers de 100M€)",MAX(0,Nb_Investisseurs-Nb_KYC_Gratuites_Par_Tranche*(FLOOR(ER$20/Taille_Tranche_KYC,1)+1))*Cout_Par_KYC_Supplementaire,(IF('01_Input'!$L$64="Forfait",IF(ER$20&gt;='01_Input'!$J$64,'01_Input'!$M$64,0),IF('01_Input'!$L$64="Palier",IF(AND(ER$20&gt;='01_Input'!$J$64,ER$20&lt;'01_Input'!$K$64),'01_Input'!$M$64,0),MAX(MIN(ER$20,'01_Input'!$K$64)-'01_Input'!$J$64,0)*'01_Input'!$M$64))+IF('01_Input'!$P$64="Forfait",IF(ER$20&gt;='01_Input'!$N$64,'01_Input'!$Q$64,0),IF('01_Input'!$P$64="Palier",IF(AND(ER$20&gt;='01_Input'!$N$64,ER$20&lt;'01_Input'!$O$64),'01_Input'!$Q$64,0),MAX(MIN(ER$20,'01_Input'!$O$64)-'01_Input'!$N$64,0)*'01_Input'!$Q$64))+IF('01_Input'!$T$64="Forfait",IF(ER$20&gt;='01_Input'!$R$64,'01_Input'!$U$64,0),IF('01_Input'!$T$64="Palier",IF(AND(ER$20&gt;='01_Input'!$R$64,ER$20&lt;'01_Input'!$S$64),'01_Input'!$U$64,0),MAX(MIN(ER$20,'01_Input'!$S$64)-'01_Input'!$R$64,0)*'01_Input'!$U$64))+IF('01_Input'!$X$64="Forfait",IF(ER$20&gt;='01_Input'!$V$64,'01_Input'!$Y$64,0),IF('01_Input'!$X$64="Palier",IF(AND(ER$20&gt;='01_Input'!$V$64,ER$20&lt;'01_Input'!$W$64),'01_Input'!$Y$64,0),MAX(MIN(ER$20,'01_Input'!$W$64)-'01_Input'!$V$64,0)*'01_Input'!$Y$64))+IF('01_Input'!$AB$64="Forfait",IF(ER$20&gt;='01_Input'!$Z$64,'01_Input'!$AC$64,0),IF('01_Input'!$AB$64="Palier",IF(AND(ER$20&gt;='01_Input'!$Z$64,ER$20&lt;'01_Input'!$AA$64),'01_Input'!$AC$64,0),MAX(MIN(ER$20,'01_Input'!$AA$64)-'01_Input'!$Z$64,0)*'01_Input'!$AC$64)))))))))</f>
        <v>1392</v>
      </c>
      <c r="ES32" s="83">
        <f>IF('01_Input'!$C$64="Non",0,MIN('01_Input'!$I$64,MAX('01_Input'!$H$64,IF('01_Input'!$G$64="Résiduel vs Gestion",0,IF('01_Input'!$G$64="Taux Classe sélectionnée",Distrib_Global_Classe_Selectionnee*ES$20,IF('01_Input'!$G$64="Frais KYC (paliers de 100M€)",MAX(0,Nb_Investisseurs-Nb_KYC_Gratuites_Par_Tranche*(FLOOR(ES$20/Taille_Tranche_KYC,1)+1))*Cout_Par_KYC_Supplementaire,(IF('01_Input'!$L$64="Forfait",IF(ES$20&gt;='01_Input'!$J$64,'01_Input'!$M$64,0),IF('01_Input'!$L$64="Palier",IF(AND(ES$20&gt;='01_Input'!$J$64,ES$20&lt;'01_Input'!$K$64),'01_Input'!$M$64,0),MAX(MIN(ES$20,'01_Input'!$K$64)-'01_Input'!$J$64,0)*'01_Input'!$M$64))+IF('01_Input'!$P$64="Forfait",IF(ES$20&gt;='01_Input'!$N$64,'01_Input'!$Q$64,0),IF('01_Input'!$P$64="Palier",IF(AND(ES$20&gt;='01_Input'!$N$64,ES$20&lt;'01_Input'!$O$64),'01_Input'!$Q$64,0),MAX(MIN(ES$20,'01_Input'!$O$64)-'01_Input'!$N$64,0)*'01_Input'!$Q$64))+IF('01_Input'!$T$64="Forfait",IF(ES$20&gt;='01_Input'!$R$64,'01_Input'!$U$64,0),IF('01_Input'!$T$64="Palier",IF(AND(ES$20&gt;='01_Input'!$R$64,ES$20&lt;'01_Input'!$S$64),'01_Input'!$U$64,0),MAX(MIN(ES$20,'01_Input'!$S$64)-'01_Input'!$R$64,0)*'01_Input'!$U$64))+IF('01_Input'!$X$64="Forfait",IF(ES$20&gt;='01_Input'!$V$64,'01_Input'!$Y$64,0),IF('01_Input'!$X$64="Palier",IF(AND(ES$20&gt;='01_Input'!$V$64,ES$20&lt;'01_Input'!$W$64),'01_Input'!$Y$64,0),MAX(MIN(ES$20,'01_Input'!$W$64)-'01_Input'!$V$64,0)*'01_Input'!$Y$64))+IF('01_Input'!$AB$64="Forfait",IF(ES$20&gt;='01_Input'!$Z$64,'01_Input'!$AC$64,0),IF('01_Input'!$AB$64="Palier",IF(AND(ES$20&gt;='01_Input'!$Z$64,ES$20&lt;'01_Input'!$AA$64),'01_Input'!$AC$64,0),MAX(MIN(ES$20,'01_Input'!$AA$64)-'01_Input'!$Z$64,0)*'01_Input'!$AC$64)))))))))</f>
        <v>1392</v>
      </c>
      <c r="ET32" s="83">
        <f>IF('01_Input'!$C$64="Non",0,MIN('01_Input'!$I$64,MAX('01_Input'!$H$64,IF('01_Input'!$G$64="Résiduel vs Gestion",0,IF('01_Input'!$G$64="Taux Classe sélectionnée",Distrib_Global_Classe_Selectionnee*ET$20,IF('01_Input'!$G$64="Frais KYC (paliers de 100M€)",MAX(0,Nb_Investisseurs-Nb_KYC_Gratuites_Par_Tranche*(FLOOR(ET$20/Taille_Tranche_KYC,1)+1))*Cout_Par_KYC_Supplementaire,(IF('01_Input'!$L$64="Forfait",IF(ET$20&gt;='01_Input'!$J$64,'01_Input'!$M$64,0),IF('01_Input'!$L$64="Palier",IF(AND(ET$20&gt;='01_Input'!$J$64,ET$20&lt;'01_Input'!$K$64),'01_Input'!$M$64,0),MAX(MIN(ET$20,'01_Input'!$K$64)-'01_Input'!$J$64,0)*'01_Input'!$M$64))+IF('01_Input'!$P$64="Forfait",IF(ET$20&gt;='01_Input'!$N$64,'01_Input'!$Q$64,0),IF('01_Input'!$P$64="Palier",IF(AND(ET$20&gt;='01_Input'!$N$64,ET$20&lt;'01_Input'!$O$64),'01_Input'!$Q$64,0),MAX(MIN(ET$20,'01_Input'!$O$64)-'01_Input'!$N$64,0)*'01_Input'!$Q$64))+IF('01_Input'!$T$64="Forfait",IF(ET$20&gt;='01_Input'!$R$64,'01_Input'!$U$64,0),IF('01_Input'!$T$64="Palier",IF(AND(ET$20&gt;='01_Input'!$R$64,ET$20&lt;'01_Input'!$S$64),'01_Input'!$U$64,0),MAX(MIN(ET$20,'01_Input'!$S$64)-'01_Input'!$R$64,0)*'01_Input'!$U$64))+IF('01_Input'!$X$64="Forfait",IF(ET$20&gt;='01_Input'!$V$64,'01_Input'!$Y$64,0),IF('01_Input'!$X$64="Palier",IF(AND(ET$20&gt;='01_Input'!$V$64,ET$20&lt;'01_Input'!$W$64),'01_Input'!$Y$64,0),MAX(MIN(ET$20,'01_Input'!$W$64)-'01_Input'!$V$64,0)*'01_Input'!$Y$64))+IF('01_Input'!$AB$64="Forfait",IF(ET$20&gt;='01_Input'!$Z$64,'01_Input'!$AC$64,0),IF('01_Input'!$AB$64="Palier",IF(AND(ET$20&gt;='01_Input'!$Z$64,ET$20&lt;'01_Input'!$AA$64),'01_Input'!$AC$64,0),MAX(MIN(ET$20,'01_Input'!$AA$64)-'01_Input'!$Z$64,0)*'01_Input'!$AC$64)))))))))</f>
        <v>1392</v>
      </c>
      <c r="EU32" s="83">
        <f>IF('01_Input'!$C$64="Non",0,MIN('01_Input'!$I$64,MAX('01_Input'!$H$64,IF('01_Input'!$G$64="Résiduel vs Gestion",0,IF('01_Input'!$G$64="Taux Classe sélectionnée",Distrib_Global_Classe_Selectionnee*EU$20,IF('01_Input'!$G$64="Frais KYC (paliers de 100M€)",MAX(0,Nb_Investisseurs-Nb_KYC_Gratuites_Par_Tranche*(FLOOR(EU$20/Taille_Tranche_KYC,1)+1))*Cout_Par_KYC_Supplementaire,(IF('01_Input'!$L$64="Forfait",IF(EU$20&gt;='01_Input'!$J$64,'01_Input'!$M$64,0),IF('01_Input'!$L$64="Palier",IF(AND(EU$20&gt;='01_Input'!$J$64,EU$20&lt;'01_Input'!$K$64),'01_Input'!$M$64,0),MAX(MIN(EU$20,'01_Input'!$K$64)-'01_Input'!$J$64,0)*'01_Input'!$M$64))+IF('01_Input'!$P$64="Forfait",IF(EU$20&gt;='01_Input'!$N$64,'01_Input'!$Q$64,0),IF('01_Input'!$P$64="Palier",IF(AND(EU$20&gt;='01_Input'!$N$64,EU$20&lt;'01_Input'!$O$64),'01_Input'!$Q$64,0),MAX(MIN(EU$20,'01_Input'!$O$64)-'01_Input'!$N$64,0)*'01_Input'!$Q$64))+IF('01_Input'!$T$64="Forfait",IF(EU$20&gt;='01_Input'!$R$64,'01_Input'!$U$64,0),IF('01_Input'!$T$64="Palier",IF(AND(EU$20&gt;='01_Input'!$R$64,EU$20&lt;'01_Input'!$S$64),'01_Input'!$U$64,0),MAX(MIN(EU$20,'01_Input'!$S$64)-'01_Input'!$R$64,0)*'01_Input'!$U$64))+IF('01_Input'!$X$64="Forfait",IF(EU$20&gt;='01_Input'!$V$64,'01_Input'!$Y$64,0),IF('01_Input'!$X$64="Palier",IF(AND(EU$20&gt;='01_Input'!$V$64,EU$20&lt;'01_Input'!$W$64),'01_Input'!$Y$64,0),MAX(MIN(EU$20,'01_Input'!$W$64)-'01_Input'!$V$64,0)*'01_Input'!$Y$64))+IF('01_Input'!$AB$64="Forfait",IF(EU$20&gt;='01_Input'!$Z$64,'01_Input'!$AC$64,0),IF('01_Input'!$AB$64="Palier",IF(AND(EU$20&gt;='01_Input'!$Z$64,EU$20&lt;'01_Input'!$AA$64),'01_Input'!$AC$64,0),MAX(MIN(EU$20,'01_Input'!$AA$64)-'01_Input'!$Z$64,0)*'01_Input'!$AC$64)))))))))</f>
        <v>1392</v>
      </c>
      <c r="EV32" s="83">
        <f>IF('01_Input'!$C$64="Non",0,MIN('01_Input'!$I$64,MAX('01_Input'!$H$64,IF('01_Input'!$G$64="Résiduel vs Gestion",0,IF('01_Input'!$G$64="Taux Classe sélectionnée",Distrib_Global_Classe_Selectionnee*EV$20,IF('01_Input'!$G$64="Frais KYC (paliers de 100M€)",MAX(0,Nb_Investisseurs-Nb_KYC_Gratuites_Par_Tranche*(FLOOR(EV$20/Taille_Tranche_KYC,1)+1))*Cout_Par_KYC_Supplementaire,(IF('01_Input'!$L$64="Forfait",IF(EV$20&gt;='01_Input'!$J$64,'01_Input'!$M$64,0),IF('01_Input'!$L$64="Palier",IF(AND(EV$20&gt;='01_Input'!$J$64,EV$20&lt;'01_Input'!$K$64),'01_Input'!$M$64,0),MAX(MIN(EV$20,'01_Input'!$K$64)-'01_Input'!$J$64,0)*'01_Input'!$M$64))+IF('01_Input'!$P$64="Forfait",IF(EV$20&gt;='01_Input'!$N$64,'01_Input'!$Q$64,0),IF('01_Input'!$P$64="Palier",IF(AND(EV$20&gt;='01_Input'!$N$64,EV$20&lt;'01_Input'!$O$64),'01_Input'!$Q$64,0),MAX(MIN(EV$20,'01_Input'!$O$64)-'01_Input'!$N$64,0)*'01_Input'!$Q$64))+IF('01_Input'!$T$64="Forfait",IF(EV$20&gt;='01_Input'!$R$64,'01_Input'!$U$64,0),IF('01_Input'!$T$64="Palier",IF(AND(EV$20&gt;='01_Input'!$R$64,EV$20&lt;'01_Input'!$S$64),'01_Input'!$U$64,0),MAX(MIN(EV$20,'01_Input'!$S$64)-'01_Input'!$R$64,0)*'01_Input'!$U$64))+IF('01_Input'!$X$64="Forfait",IF(EV$20&gt;='01_Input'!$V$64,'01_Input'!$Y$64,0),IF('01_Input'!$X$64="Palier",IF(AND(EV$20&gt;='01_Input'!$V$64,EV$20&lt;'01_Input'!$W$64),'01_Input'!$Y$64,0),MAX(MIN(EV$20,'01_Input'!$W$64)-'01_Input'!$V$64,0)*'01_Input'!$Y$64))+IF('01_Input'!$AB$64="Forfait",IF(EV$20&gt;='01_Input'!$Z$64,'01_Input'!$AC$64,0),IF('01_Input'!$AB$64="Palier",IF(AND(EV$20&gt;='01_Input'!$Z$64,EV$20&lt;'01_Input'!$AA$64),'01_Input'!$AC$64,0),MAX(MIN(EV$20,'01_Input'!$AA$64)-'01_Input'!$Z$64,0)*'01_Input'!$AC$64)))))))))</f>
        <v>1392</v>
      </c>
      <c r="EW32" s="83">
        <f>IF('01_Input'!$C$64="Non",0,MIN('01_Input'!$I$64,MAX('01_Input'!$H$64,IF('01_Input'!$G$64="Résiduel vs Gestion",0,IF('01_Input'!$G$64="Taux Classe sélectionnée",Distrib_Global_Classe_Selectionnee*EW$20,IF('01_Input'!$G$64="Frais KYC (paliers de 100M€)",MAX(0,Nb_Investisseurs-Nb_KYC_Gratuites_Par_Tranche*(FLOOR(EW$20/Taille_Tranche_KYC,1)+1))*Cout_Par_KYC_Supplementaire,(IF('01_Input'!$L$64="Forfait",IF(EW$20&gt;='01_Input'!$J$64,'01_Input'!$M$64,0),IF('01_Input'!$L$64="Palier",IF(AND(EW$20&gt;='01_Input'!$J$64,EW$20&lt;'01_Input'!$K$64),'01_Input'!$M$64,0),MAX(MIN(EW$20,'01_Input'!$K$64)-'01_Input'!$J$64,0)*'01_Input'!$M$64))+IF('01_Input'!$P$64="Forfait",IF(EW$20&gt;='01_Input'!$N$64,'01_Input'!$Q$64,0),IF('01_Input'!$P$64="Palier",IF(AND(EW$20&gt;='01_Input'!$N$64,EW$20&lt;'01_Input'!$O$64),'01_Input'!$Q$64,0),MAX(MIN(EW$20,'01_Input'!$O$64)-'01_Input'!$N$64,0)*'01_Input'!$Q$64))+IF('01_Input'!$T$64="Forfait",IF(EW$20&gt;='01_Input'!$R$64,'01_Input'!$U$64,0),IF('01_Input'!$T$64="Palier",IF(AND(EW$20&gt;='01_Input'!$R$64,EW$20&lt;'01_Input'!$S$64),'01_Input'!$U$64,0),MAX(MIN(EW$20,'01_Input'!$S$64)-'01_Input'!$R$64,0)*'01_Input'!$U$64))+IF('01_Input'!$X$64="Forfait",IF(EW$20&gt;='01_Input'!$V$64,'01_Input'!$Y$64,0),IF('01_Input'!$X$64="Palier",IF(AND(EW$20&gt;='01_Input'!$V$64,EW$20&lt;'01_Input'!$W$64),'01_Input'!$Y$64,0),MAX(MIN(EW$20,'01_Input'!$W$64)-'01_Input'!$V$64,0)*'01_Input'!$Y$64))+IF('01_Input'!$AB$64="Forfait",IF(EW$20&gt;='01_Input'!$Z$64,'01_Input'!$AC$64,0),IF('01_Input'!$AB$64="Palier",IF(AND(EW$20&gt;='01_Input'!$Z$64,EW$20&lt;'01_Input'!$AA$64),'01_Input'!$AC$64,0),MAX(MIN(EW$20,'01_Input'!$AA$64)-'01_Input'!$Z$64,0)*'01_Input'!$AC$64)))))))))</f>
        <v>1392</v>
      </c>
      <c r="EX32" s="83">
        <f>IF('01_Input'!$C$64="Non",0,MIN('01_Input'!$I$64,MAX('01_Input'!$H$64,IF('01_Input'!$G$64="Résiduel vs Gestion",0,IF('01_Input'!$G$64="Taux Classe sélectionnée",Distrib_Global_Classe_Selectionnee*EX$20,IF('01_Input'!$G$64="Frais KYC (paliers de 100M€)",MAX(0,Nb_Investisseurs-Nb_KYC_Gratuites_Par_Tranche*(FLOOR(EX$20/Taille_Tranche_KYC,1)+1))*Cout_Par_KYC_Supplementaire,(IF('01_Input'!$L$64="Forfait",IF(EX$20&gt;='01_Input'!$J$64,'01_Input'!$M$64,0),IF('01_Input'!$L$64="Palier",IF(AND(EX$20&gt;='01_Input'!$J$64,EX$20&lt;'01_Input'!$K$64),'01_Input'!$M$64,0),MAX(MIN(EX$20,'01_Input'!$K$64)-'01_Input'!$J$64,0)*'01_Input'!$M$64))+IF('01_Input'!$P$64="Forfait",IF(EX$20&gt;='01_Input'!$N$64,'01_Input'!$Q$64,0),IF('01_Input'!$P$64="Palier",IF(AND(EX$20&gt;='01_Input'!$N$64,EX$20&lt;'01_Input'!$O$64),'01_Input'!$Q$64,0),MAX(MIN(EX$20,'01_Input'!$O$64)-'01_Input'!$N$64,0)*'01_Input'!$Q$64))+IF('01_Input'!$T$64="Forfait",IF(EX$20&gt;='01_Input'!$R$64,'01_Input'!$U$64,0),IF('01_Input'!$T$64="Palier",IF(AND(EX$20&gt;='01_Input'!$R$64,EX$20&lt;'01_Input'!$S$64),'01_Input'!$U$64,0),MAX(MIN(EX$20,'01_Input'!$S$64)-'01_Input'!$R$64,0)*'01_Input'!$U$64))+IF('01_Input'!$X$64="Forfait",IF(EX$20&gt;='01_Input'!$V$64,'01_Input'!$Y$64,0),IF('01_Input'!$X$64="Palier",IF(AND(EX$20&gt;='01_Input'!$V$64,EX$20&lt;'01_Input'!$W$64),'01_Input'!$Y$64,0),MAX(MIN(EX$20,'01_Input'!$W$64)-'01_Input'!$V$64,0)*'01_Input'!$Y$64))+IF('01_Input'!$AB$64="Forfait",IF(EX$20&gt;='01_Input'!$Z$64,'01_Input'!$AC$64,0),IF('01_Input'!$AB$64="Palier",IF(AND(EX$20&gt;='01_Input'!$Z$64,EX$20&lt;'01_Input'!$AA$64),'01_Input'!$AC$64,0),MAX(MIN(EX$20,'01_Input'!$AA$64)-'01_Input'!$Z$64,0)*'01_Input'!$AC$64)))))))))</f>
        <v>1392</v>
      </c>
    </row>
    <row r="33" ht="15.75" customHeight="1">
      <c r="B33" s="40" t="str">
        <f>IF('01_Input'!D65="","(inactif)",'01_Input'!D65)</f>
        <v>Frais KYC (au-delà du forfait inclus)</v>
      </c>
      <c r="C33" s="40" t="str">
        <f>IF('01_Input'!E65="","",'01_Input'!E65)</f>
        <v/>
      </c>
      <c r="D33" s="51" t="str">
        <f>'01_Input'!C65</f>
        <v>Oui</v>
      </c>
      <c r="E33" s="25">
        <f>IF('01_Input'!$C$65="Non",0,MIN('01_Input'!$I$65,MAX('01_Input'!$H$65,IF('01_Input'!$G$65="Résiduel vs Gestion",0,IF('01_Input'!$G$65="Taux Classe sélectionnée",Distrib_Global_Classe_Selectionnee*E$20,IF('01_Input'!$G$65="Frais KYC (paliers de 100M€)",MAX(0,Nb_Investisseurs-Nb_KYC_Gratuites_Par_Tranche*(FLOOR(E$20/Taille_Tranche_KYC,1)+1))*Cout_Par_KYC_Supplementaire,(IF('01_Input'!$L$65="Forfait",IF(E$20&gt;='01_Input'!$J$65,'01_Input'!$M$65,0),IF('01_Input'!$L$65="Palier",IF(AND(E$20&gt;='01_Input'!$J$65,E$20&lt;'01_Input'!$K$65),'01_Input'!$M$65,0),MAX(MIN(E$20,'01_Input'!$K$65)-'01_Input'!$J$65,0)*'01_Input'!$M$65))+IF('01_Input'!$P$65="Forfait",IF(E$20&gt;='01_Input'!$N$65,'01_Input'!$Q$65,0),IF('01_Input'!$P$65="Palier",IF(AND(E$20&gt;='01_Input'!$N$65,E$20&lt;'01_Input'!$O$65),'01_Input'!$Q$65,0),MAX(MIN(E$20,'01_Input'!$O$65)-'01_Input'!$N$65,0)*'01_Input'!$Q$65))+IF('01_Input'!$T$65="Forfait",IF(E$20&gt;='01_Input'!$R$65,'01_Input'!$U$65,0),IF('01_Input'!$T$65="Palier",IF(AND(E$20&gt;='01_Input'!$R$65,E$20&lt;'01_Input'!$S$65),'01_Input'!$U$65,0),MAX(MIN(E$20,'01_Input'!$S$65)-'01_Input'!$R$65,0)*'01_Input'!$U$65))+IF('01_Input'!$X$65="Forfait",IF(E$20&gt;='01_Input'!$V$65,'01_Input'!$Y$65,0),IF('01_Input'!$X$65="Palier",IF(AND(E$20&gt;='01_Input'!$V$65,E$20&lt;'01_Input'!$W$65),'01_Input'!$Y$65,0),MAX(MIN(E$20,'01_Input'!$W$65)-'01_Input'!$V$65,0)*'01_Input'!$Y$65))+IF('01_Input'!$AB$65="Forfait",IF(E$20&gt;='01_Input'!$Z$65,'01_Input'!$AC$65,0),IF('01_Input'!$AB$65="Palier",IF(AND(E$20&gt;='01_Input'!$Z$65,E$20&lt;'01_Input'!$AA$65),'01_Input'!$AC$65,0),MAX(MIN(E$20,'01_Input'!$AA$65)-'01_Input'!$Z$65,0)*'01_Input'!$AC$65)))))))))</f>
        <v>0</v>
      </c>
      <c r="F33" s="25">
        <f>IF('01_Input'!$C$65="Non",0,MIN('01_Input'!$I$65,MAX('01_Input'!$H$65,IF('01_Input'!$G$65="Résiduel vs Gestion",0,IF('01_Input'!$G$65="Taux Classe sélectionnée",Distrib_Global_Classe_Selectionnee*F$20,IF('01_Input'!$G$65="Frais KYC (paliers de 100M€)",MAX(0,Nb_Investisseurs-Nb_KYC_Gratuites_Par_Tranche*(FLOOR(F$20/Taille_Tranche_KYC,1)+1))*Cout_Par_KYC_Supplementaire,(IF('01_Input'!$L$65="Forfait",IF(F$20&gt;='01_Input'!$J$65,'01_Input'!$M$65,0),IF('01_Input'!$L$65="Palier",IF(AND(F$20&gt;='01_Input'!$J$65,F$20&lt;'01_Input'!$K$65),'01_Input'!$M$65,0),MAX(MIN(F$20,'01_Input'!$K$65)-'01_Input'!$J$65,0)*'01_Input'!$M$65))+IF('01_Input'!$P$65="Forfait",IF(F$20&gt;='01_Input'!$N$65,'01_Input'!$Q$65,0),IF('01_Input'!$P$65="Palier",IF(AND(F$20&gt;='01_Input'!$N$65,F$20&lt;'01_Input'!$O$65),'01_Input'!$Q$65,0),MAX(MIN(F$20,'01_Input'!$O$65)-'01_Input'!$N$65,0)*'01_Input'!$Q$65))+IF('01_Input'!$T$65="Forfait",IF(F$20&gt;='01_Input'!$R$65,'01_Input'!$U$65,0),IF('01_Input'!$T$65="Palier",IF(AND(F$20&gt;='01_Input'!$R$65,F$20&lt;'01_Input'!$S$65),'01_Input'!$U$65,0),MAX(MIN(F$20,'01_Input'!$S$65)-'01_Input'!$R$65,0)*'01_Input'!$U$65))+IF('01_Input'!$X$65="Forfait",IF(F$20&gt;='01_Input'!$V$65,'01_Input'!$Y$65,0),IF('01_Input'!$X$65="Palier",IF(AND(F$20&gt;='01_Input'!$V$65,F$20&lt;'01_Input'!$W$65),'01_Input'!$Y$65,0),MAX(MIN(F$20,'01_Input'!$W$65)-'01_Input'!$V$65,0)*'01_Input'!$Y$65))+IF('01_Input'!$AB$65="Forfait",IF(F$20&gt;='01_Input'!$Z$65,'01_Input'!$AC$65,0),IF('01_Input'!$AB$65="Palier",IF(AND(F$20&gt;='01_Input'!$Z$65,F$20&lt;'01_Input'!$AA$65),'01_Input'!$AC$65,0),MAX(MIN(F$20,'01_Input'!$AA$65)-'01_Input'!$Z$65,0)*'01_Input'!$AC$65)))))))))</f>
        <v>0</v>
      </c>
      <c r="G33" s="25">
        <f>IF('01_Input'!$C$65="Non",0,MIN('01_Input'!$I$65,MAX('01_Input'!$H$65,IF('01_Input'!$G$65="Résiduel vs Gestion",0,IF('01_Input'!$G$65="Taux Classe sélectionnée",Distrib_Global_Classe_Selectionnee*G$20,IF('01_Input'!$G$65="Frais KYC (paliers de 100M€)",MAX(0,Nb_Investisseurs-Nb_KYC_Gratuites_Par_Tranche*(FLOOR(G$20/Taille_Tranche_KYC,1)+1))*Cout_Par_KYC_Supplementaire,(IF('01_Input'!$L$65="Forfait",IF(G$20&gt;='01_Input'!$J$65,'01_Input'!$M$65,0),IF('01_Input'!$L$65="Palier",IF(AND(G$20&gt;='01_Input'!$J$65,G$20&lt;'01_Input'!$K$65),'01_Input'!$M$65,0),MAX(MIN(G$20,'01_Input'!$K$65)-'01_Input'!$J$65,0)*'01_Input'!$M$65))+IF('01_Input'!$P$65="Forfait",IF(G$20&gt;='01_Input'!$N$65,'01_Input'!$Q$65,0),IF('01_Input'!$P$65="Palier",IF(AND(G$20&gt;='01_Input'!$N$65,G$20&lt;'01_Input'!$O$65),'01_Input'!$Q$65,0),MAX(MIN(G$20,'01_Input'!$O$65)-'01_Input'!$N$65,0)*'01_Input'!$Q$65))+IF('01_Input'!$T$65="Forfait",IF(G$20&gt;='01_Input'!$R$65,'01_Input'!$U$65,0),IF('01_Input'!$T$65="Palier",IF(AND(G$20&gt;='01_Input'!$R$65,G$20&lt;'01_Input'!$S$65),'01_Input'!$U$65,0),MAX(MIN(G$20,'01_Input'!$S$65)-'01_Input'!$R$65,0)*'01_Input'!$U$65))+IF('01_Input'!$X$65="Forfait",IF(G$20&gt;='01_Input'!$V$65,'01_Input'!$Y$65,0),IF('01_Input'!$X$65="Palier",IF(AND(G$20&gt;='01_Input'!$V$65,G$20&lt;'01_Input'!$W$65),'01_Input'!$Y$65,0),MAX(MIN(G$20,'01_Input'!$W$65)-'01_Input'!$V$65,0)*'01_Input'!$Y$65))+IF('01_Input'!$AB$65="Forfait",IF(G$20&gt;='01_Input'!$Z$65,'01_Input'!$AC$65,0),IF('01_Input'!$AB$65="Palier",IF(AND(G$20&gt;='01_Input'!$Z$65,G$20&lt;'01_Input'!$AA$65),'01_Input'!$AC$65,0),MAX(MIN(G$20,'01_Input'!$AA$65)-'01_Input'!$Z$65,0)*'01_Input'!$AC$65)))))))))</f>
        <v>0</v>
      </c>
      <c r="H33" s="25">
        <f>IF('01_Input'!$C$65="Non",0,MIN('01_Input'!$I$65,MAX('01_Input'!$H$65,IF('01_Input'!$G$65="Résiduel vs Gestion",0,IF('01_Input'!$G$65="Taux Classe sélectionnée",Distrib_Global_Classe_Selectionnee*H$20,IF('01_Input'!$G$65="Frais KYC (paliers de 100M€)",MAX(0,Nb_Investisseurs-Nb_KYC_Gratuites_Par_Tranche*(FLOOR(H$20/Taille_Tranche_KYC,1)+1))*Cout_Par_KYC_Supplementaire,(IF('01_Input'!$L$65="Forfait",IF(H$20&gt;='01_Input'!$J$65,'01_Input'!$M$65,0),IF('01_Input'!$L$65="Palier",IF(AND(H$20&gt;='01_Input'!$J$65,H$20&lt;'01_Input'!$K$65),'01_Input'!$M$65,0),MAX(MIN(H$20,'01_Input'!$K$65)-'01_Input'!$J$65,0)*'01_Input'!$M$65))+IF('01_Input'!$P$65="Forfait",IF(H$20&gt;='01_Input'!$N$65,'01_Input'!$Q$65,0),IF('01_Input'!$P$65="Palier",IF(AND(H$20&gt;='01_Input'!$N$65,H$20&lt;'01_Input'!$O$65),'01_Input'!$Q$65,0),MAX(MIN(H$20,'01_Input'!$O$65)-'01_Input'!$N$65,0)*'01_Input'!$Q$65))+IF('01_Input'!$T$65="Forfait",IF(H$20&gt;='01_Input'!$R$65,'01_Input'!$U$65,0),IF('01_Input'!$T$65="Palier",IF(AND(H$20&gt;='01_Input'!$R$65,H$20&lt;'01_Input'!$S$65),'01_Input'!$U$65,0),MAX(MIN(H$20,'01_Input'!$S$65)-'01_Input'!$R$65,0)*'01_Input'!$U$65))+IF('01_Input'!$X$65="Forfait",IF(H$20&gt;='01_Input'!$V$65,'01_Input'!$Y$65,0),IF('01_Input'!$X$65="Palier",IF(AND(H$20&gt;='01_Input'!$V$65,H$20&lt;'01_Input'!$W$65),'01_Input'!$Y$65,0),MAX(MIN(H$20,'01_Input'!$W$65)-'01_Input'!$V$65,0)*'01_Input'!$Y$65))+IF('01_Input'!$AB$65="Forfait",IF(H$20&gt;='01_Input'!$Z$65,'01_Input'!$AC$65,0),IF('01_Input'!$AB$65="Palier",IF(AND(H$20&gt;='01_Input'!$Z$65,H$20&lt;'01_Input'!$AA$65),'01_Input'!$AC$65,0),MAX(MIN(H$20,'01_Input'!$AA$65)-'01_Input'!$Z$65,0)*'01_Input'!$AC$65)))))))))</f>
        <v>0</v>
      </c>
      <c r="I33" s="25">
        <f>IF('01_Input'!$C$65="Non",0,MIN('01_Input'!$I$65,MAX('01_Input'!$H$65,IF('01_Input'!$G$65="Résiduel vs Gestion",0,IF('01_Input'!$G$65="Taux Classe sélectionnée",Distrib_Global_Classe_Selectionnee*I$20,IF('01_Input'!$G$65="Frais KYC (paliers de 100M€)",MAX(0,Nb_Investisseurs-Nb_KYC_Gratuites_Par_Tranche*(FLOOR(I$20/Taille_Tranche_KYC,1)+1))*Cout_Par_KYC_Supplementaire,(IF('01_Input'!$L$65="Forfait",IF(I$20&gt;='01_Input'!$J$65,'01_Input'!$M$65,0),IF('01_Input'!$L$65="Palier",IF(AND(I$20&gt;='01_Input'!$J$65,I$20&lt;'01_Input'!$K$65),'01_Input'!$M$65,0),MAX(MIN(I$20,'01_Input'!$K$65)-'01_Input'!$J$65,0)*'01_Input'!$M$65))+IF('01_Input'!$P$65="Forfait",IF(I$20&gt;='01_Input'!$N$65,'01_Input'!$Q$65,0),IF('01_Input'!$P$65="Palier",IF(AND(I$20&gt;='01_Input'!$N$65,I$20&lt;'01_Input'!$O$65),'01_Input'!$Q$65,0),MAX(MIN(I$20,'01_Input'!$O$65)-'01_Input'!$N$65,0)*'01_Input'!$Q$65))+IF('01_Input'!$T$65="Forfait",IF(I$20&gt;='01_Input'!$R$65,'01_Input'!$U$65,0),IF('01_Input'!$T$65="Palier",IF(AND(I$20&gt;='01_Input'!$R$65,I$20&lt;'01_Input'!$S$65),'01_Input'!$U$65,0),MAX(MIN(I$20,'01_Input'!$S$65)-'01_Input'!$R$65,0)*'01_Input'!$U$65))+IF('01_Input'!$X$65="Forfait",IF(I$20&gt;='01_Input'!$V$65,'01_Input'!$Y$65,0),IF('01_Input'!$X$65="Palier",IF(AND(I$20&gt;='01_Input'!$V$65,I$20&lt;'01_Input'!$W$65),'01_Input'!$Y$65,0),MAX(MIN(I$20,'01_Input'!$W$65)-'01_Input'!$V$65,0)*'01_Input'!$Y$65))+IF('01_Input'!$AB$65="Forfait",IF(I$20&gt;='01_Input'!$Z$65,'01_Input'!$AC$65,0),IF('01_Input'!$AB$65="Palier",IF(AND(I$20&gt;='01_Input'!$Z$65,I$20&lt;'01_Input'!$AA$65),'01_Input'!$AC$65,0),MAX(MIN(I$20,'01_Input'!$AA$65)-'01_Input'!$Z$65,0)*'01_Input'!$AC$65)))))))))</f>
        <v>0</v>
      </c>
      <c r="J33" s="25">
        <f>IF('01_Input'!$C$65="Non",0,MIN('01_Input'!$I$65,MAX('01_Input'!$H$65,IF('01_Input'!$G$65="Résiduel vs Gestion",0,IF('01_Input'!$G$65="Taux Classe sélectionnée",Distrib_Global_Classe_Selectionnee*J$20,IF('01_Input'!$G$65="Frais KYC (paliers de 100M€)",MAX(0,Nb_Investisseurs-Nb_KYC_Gratuites_Par_Tranche*(FLOOR(J$20/Taille_Tranche_KYC,1)+1))*Cout_Par_KYC_Supplementaire,(IF('01_Input'!$L$65="Forfait",IF(J$20&gt;='01_Input'!$J$65,'01_Input'!$M$65,0),IF('01_Input'!$L$65="Palier",IF(AND(J$20&gt;='01_Input'!$J$65,J$20&lt;'01_Input'!$K$65),'01_Input'!$M$65,0),MAX(MIN(J$20,'01_Input'!$K$65)-'01_Input'!$J$65,0)*'01_Input'!$M$65))+IF('01_Input'!$P$65="Forfait",IF(J$20&gt;='01_Input'!$N$65,'01_Input'!$Q$65,0),IF('01_Input'!$P$65="Palier",IF(AND(J$20&gt;='01_Input'!$N$65,J$20&lt;'01_Input'!$O$65),'01_Input'!$Q$65,0),MAX(MIN(J$20,'01_Input'!$O$65)-'01_Input'!$N$65,0)*'01_Input'!$Q$65))+IF('01_Input'!$T$65="Forfait",IF(J$20&gt;='01_Input'!$R$65,'01_Input'!$U$65,0),IF('01_Input'!$T$65="Palier",IF(AND(J$20&gt;='01_Input'!$R$65,J$20&lt;'01_Input'!$S$65),'01_Input'!$U$65,0),MAX(MIN(J$20,'01_Input'!$S$65)-'01_Input'!$R$65,0)*'01_Input'!$U$65))+IF('01_Input'!$X$65="Forfait",IF(J$20&gt;='01_Input'!$V$65,'01_Input'!$Y$65,0),IF('01_Input'!$X$65="Palier",IF(AND(J$20&gt;='01_Input'!$V$65,J$20&lt;'01_Input'!$W$65),'01_Input'!$Y$65,0),MAX(MIN(J$20,'01_Input'!$W$65)-'01_Input'!$V$65,0)*'01_Input'!$Y$65))+IF('01_Input'!$AB$65="Forfait",IF(J$20&gt;='01_Input'!$Z$65,'01_Input'!$AC$65,0),IF('01_Input'!$AB$65="Palier",IF(AND(J$20&gt;='01_Input'!$Z$65,J$20&lt;'01_Input'!$AA$65),'01_Input'!$AC$65,0),MAX(MIN(J$20,'01_Input'!$AA$65)-'01_Input'!$Z$65,0)*'01_Input'!$AC$65)))))))))</f>
        <v>0</v>
      </c>
      <c r="K33" s="25">
        <f>IF('01_Input'!$C$65="Non",0,MIN('01_Input'!$I$65,MAX('01_Input'!$H$65,IF('01_Input'!$G$65="Résiduel vs Gestion",0,IF('01_Input'!$G$65="Taux Classe sélectionnée",Distrib_Global_Classe_Selectionnee*K$20,IF('01_Input'!$G$65="Frais KYC (paliers de 100M€)",MAX(0,Nb_Investisseurs-Nb_KYC_Gratuites_Par_Tranche*(FLOOR(K$20/Taille_Tranche_KYC,1)+1))*Cout_Par_KYC_Supplementaire,(IF('01_Input'!$L$65="Forfait",IF(K$20&gt;='01_Input'!$J$65,'01_Input'!$M$65,0),IF('01_Input'!$L$65="Palier",IF(AND(K$20&gt;='01_Input'!$J$65,K$20&lt;'01_Input'!$K$65),'01_Input'!$M$65,0),MAX(MIN(K$20,'01_Input'!$K$65)-'01_Input'!$J$65,0)*'01_Input'!$M$65))+IF('01_Input'!$P$65="Forfait",IF(K$20&gt;='01_Input'!$N$65,'01_Input'!$Q$65,0),IF('01_Input'!$P$65="Palier",IF(AND(K$20&gt;='01_Input'!$N$65,K$20&lt;'01_Input'!$O$65),'01_Input'!$Q$65,0),MAX(MIN(K$20,'01_Input'!$O$65)-'01_Input'!$N$65,0)*'01_Input'!$Q$65))+IF('01_Input'!$T$65="Forfait",IF(K$20&gt;='01_Input'!$R$65,'01_Input'!$U$65,0),IF('01_Input'!$T$65="Palier",IF(AND(K$20&gt;='01_Input'!$R$65,K$20&lt;'01_Input'!$S$65),'01_Input'!$U$65,0),MAX(MIN(K$20,'01_Input'!$S$65)-'01_Input'!$R$65,0)*'01_Input'!$U$65))+IF('01_Input'!$X$65="Forfait",IF(K$20&gt;='01_Input'!$V$65,'01_Input'!$Y$65,0),IF('01_Input'!$X$65="Palier",IF(AND(K$20&gt;='01_Input'!$V$65,K$20&lt;'01_Input'!$W$65),'01_Input'!$Y$65,0),MAX(MIN(K$20,'01_Input'!$W$65)-'01_Input'!$V$65,0)*'01_Input'!$Y$65))+IF('01_Input'!$AB$65="Forfait",IF(K$20&gt;='01_Input'!$Z$65,'01_Input'!$AC$65,0),IF('01_Input'!$AB$65="Palier",IF(AND(K$20&gt;='01_Input'!$Z$65,K$20&lt;'01_Input'!$AA$65),'01_Input'!$AC$65,0),MAX(MIN(K$20,'01_Input'!$AA$65)-'01_Input'!$Z$65,0)*'01_Input'!$AC$65)))))))))</f>
        <v>0</v>
      </c>
      <c r="L33" s="25">
        <f>IF('01_Input'!$C$65="Non",0,MIN('01_Input'!$I$65,MAX('01_Input'!$H$65,IF('01_Input'!$G$65="Résiduel vs Gestion",0,IF('01_Input'!$G$65="Taux Classe sélectionnée",Distrib_Global_Classe_Selectionnee*L$20,IF('01_Input'!$G$65="Frais KYC (paliers de 100M€)",MAX(0,Nb_Investisseurs-Nb_KYC_Gratuites_Par_Tranche*(FLOOR(L$20/Taille_Tranche_KYC,1)+1))*Cout_Par_KYC_Supplementaire,(IF('01_Input'!$L$65="Forfait",IF(L$20&gt;='01_Input'!$J$65,'01_Input'!$M$65,0),IF('01_Input'!$L$65="Palier",IF(AND(L$20&gt;='01_Input'!$J$65,L$20&lt;'01_Input'!$K$65),'01_Input'!$M$65,0),MAX(MIN(L$20,'01_Input'!$K$65)-'01_Input'!$J$65,0)*'01_Input'!$M$65))+IF('01_Input'!$P$65="Forfait",IF(L$20&gt;='01_Input'!$N$65,'01_Input'!$Q$65,0),IF('01_Input'!$P$65="Palier",IF(AND(L$20&gt;='01_Input'!$N$65,L$20&lt;'01_Input'!$O$65),'01_Input'!$Q$65,0),MAX(MIN(L$20,'01_Input'!$O$65)-'01_Input'!$N$65,0)*'01_Input'!$Q$65))+IF('01_Input'!$T$65="Forfait",IF(L$20&gt;='01_Input'!$R$65,'01_Input'!$U$65,0),IF('01_Input'!$T$65="Palier",IF(AND(L$20&gt;='01_Input'!$R$65,L$20&lt;'01_Input'!$S$65),'01_Input'!$U$65,0),MAX(MIN(L$20,'01_Input'!$S$65)-'01_Input'!$R$65,0)*'01_Input'!$U$65))+IF('01_Input'!$X$65="Forfait",IF(L$20&gt;='01_Input'!$V$65,'01_Input'!$Y$65,0),IF('01_Input'!$X$65="Palier",IF(AND(L$20&gt;='01_Input'!$V$65,L$20&lt;'01_Input'!$W$65),'01_Input'!$Y$65,0),MAX(MIN(L$20,'01_Input'!$W$65)-'01_Input'!$V$65,0)*'01_Input'!$Y$65))+IF('01_Input'!$AB$65="Forfait",IF(L$20&gt;='01_Input'!$Z$65,'01_Input'!$AC$65,0),IF('01_Input'!$AB$65="Palier",IF(AND(L$20&gt;='01_Input'!$Z$65,L$20&lt;'01_Input'!$AA$65),'01_Input'!$AC$65,0),MAX(MIN(L$20,'01_Input'!$AA$65)-'01_Input'!$Z$65,0)*'01_Input'!$AC$65)))))))))</f>
        <v>0</v>
      </c>
      <c r="M33" s="25">
        <f>IF('01_Input'!$C$65="Non",0,MIN('01_Input'!$I$65,MAX('01_Input'!$H$65,IF('01_Input'!$G$65="Résiduel vs Gestion",0,IF('01_Input'!$G$65="Taux Classe sélectionnée",Distrib_Global_Classe_Selectionnee*M$20,IF('01_Input'!$G$65="Frais KYC (paliers de 100M€)",MAX(0,Nb_Investisseurs-Nb_KYC_Gratuites_Par_Tranche*(FLOOR(M$20/Taille_Tranche_KYC,1)+1))*Cout_Par_KYC_Supplementaire,(IF('01_Input'!$L$65="Forfait",IF(M$20&gt;='01_Input'!$J$65,'01_Input'!$M$65,0),IF('01_Input'!$L$65="Palier",IF(AND(M$20&gt;='01_Input'!$J$65,M$20&lt;'01_Input'!$K$65),'01_Input'!$M$65,0),MAX(MIN(M$20,'01_Input'!$K$65)-'01_Input'!$J$65,0)*'01_Input'!$M$65))+IF('01_Input'!$P$65="Forfait",IF(M$20&gt;='01_Input'!$N$65,'01_Input'!$Q$65,0),IF('01_Input'!$P$65="Palier",IF(AND(M$20&gt;='01_Input'!$N$65,M$20&lt;'01_Input'!$O$65),'01_Input'!$Q$65,0),MAX(MIN(M$20,'01_Input'!$O$65)-'01_Input'!$N$65,0)*'01_Input'!$Q$65))+IF('01_Input'!$T$65="Forfait",IF(M$20&gt;='01_Input'!$R$65,'01_Input'!$U$65,0),IF('01_Input'!$T$65="Palier",IF(AND(M$20&gt;='01_Input'!$R$65,M$20&lt;'01_Input'!$S$65),'01_Input'!$U$65,0),MAX(MIN(M$20,'01_Input'!$S$65)-'01_Input'!$R$65,0)*'01_Input'!$U$65))+IF('01_Input'!$X$65="Forfait",IF(M$20&gt;='01_Input'!$V$65,'01_Input'!$Y$65,0),IF('01_Input'!$X$65="Palier",IF(AND(M$20&gt;='01_Input'!$V$65,M$20&lt;'01_Input'!$W$65),'01_Input'!$Y$65,0),MAX(MIN(M$20,'01_Input'!$W$65)-'01_Input'!$V$65,0)*'01_Input'!$Y$65))+IF('01_Input'!$AB$65="Forfait",IF(M$20&gt;='01_Input'!$Z$65,'01_Input'!$AC$65,0),IF('01_Input'!$AB$65="Palier",IF(AND(M$20&gt;='01_Input'!$Z$65,M$20&lt;'01_Input'!$AA$65),'01_Input'!$AC$65,0),MAX(MIN(M$20,'01_Input'!$AA$65)-'01_Input'!$Z$65,0)*'01_Input'!$AC$65)))))))))</f>
        <v>0</v>
      </c>
      <c r="N33" s="25">
        <f>IF('01_Input'!$C$65="Non",0,MIN('01_Input'!$I$65,MAX('01_Input'!$H$65,IF('01_Input'!$G$65="Résiduel vs Gestion",0,IF('01_Input'!$G$65="Taux Classe sélectionnée",Distrib_Global_Classe_Selectionnee*N$20,IF('01_Input'!$G$65="Frais KYC (paliers de 100M€)",MAX(0,Nb_Investisseurs-Nb_KYC_Gratuites_Par_Tranche*(FLOOR(N$20/Taille_Tranche_KYC,1)+1))*Cout_Par_KYC_Supplementaire,(IF('01_Input'!$L$65="Forfait",IF(N$20&gt;='01_Input'!$J$65,'01_Input'!$M$65,0),IF('01_Input'!$L$65="Palier",IF(AND(N$20&gt;='01_Input'!$J$65,N$20&lt;'01_Input'!$K$65),'01_Input'!$M$65,0),MAX(MIN(N$20,'01_Input'!$K$65)-'01_Input'!$J$65,0)*'01_Input'!$M$65))+IF('01_Input'!$P$65="Forfait",IF(N$20&gt;='01_Input'!$N$65,'01_Input'!$Q$65,0),IF('01_Input'!$P$65="Palier",IF(AND(N$20&gt;='01_Input'!$N$65,N$20&lt;'01_Input'!$O$65),'01_Input'!$Q$65,0),MAX(MIN(N$20,'01_Input'!$O$65)-'01_Input'!$N$65,0)*'01_Input'!$Q$65))+IF('01_Input'!$T$65="Forfait",IF(N$20&gt;='01_Input'!$R$65,'01_Input'!$U$65,0),IF('01_Input'!$T$65="Palier",IF(AND(N$20&gt;='01_Input'!$R$65,N$20&lt;'01_Input'!$S$65),'01_Input'!$U$65,0),MAX(MIN(N$20,'01_Input'!$S$65)-'01_Input'!$R$65,0)*'01_Input'!$U$65))+IF('01_Input'!$X$65="Forfait",IF(N$20&gt;='01_Input'!$V$65,'01_Input'!$Y$65,0),IF('01_Input'!$X$65="Palier",IF(AND(N$20&gt;='01_Input'!$V$65,N$20&lt;'01_Input'!$W$65),'01_Input'!$Y$65,0),MAX(MIN(N$20,'01_Input'!$W$65)-'01_Input'!$V$65,0)*'01_Input'!$Y$65))+IF('01_Input'!$AB$65="Forfait",IF(N$20&gt;='01_Input'!$Z$65,'01_Input'!$AC$65,0),IF('01_Input'!$AB$65="Palier",IF(AND(N$20&gt;='01_Input'!$Z$65,N$20&lt;'01_Input'!$AA$65),'01_Input'!$AC$65,0),MAX(MIN(N$20,'01_Input'!$AA$65)-'01_Input'!$Z$65,0)*'01_Input'!$AC$65)))))))))</f>
        <v>0</v>
      </c>
      <c r="O33" s="25">
        <f>IF('01_Input'!$C$65="Non",0,MIN('01_Input'!$I$65,MAX('01_Input'!$H$65,IF('01_Input'!$G$65="Résiduel vs Gestion",0,IF('01_Input'!$G$65="Taux Classe sélectionnée",Distrib_Global_Classe_Selectionnee*O$20,IF('01_Input'!$G$65="Frais KYC (paliers de 100M€)",MAX(0,Nb_Investisseurs-Nb_KYC_Gratuites_Par_Tranche*(FLOOR(O$20/Taille_Tranche_KYC,1)+1))*Cout_Par_KYC_Supplementaire,(IF('01_Input'!$L$65="Forfait",IF(O$20&gt;='01_Input'!$J$65,'01_Input'!$M$65,0),IF('01_Input'!$L$65="Palier",IF(AND(O$20&gt;='01_Input'!$J$65,O$20&lt;'01_Input'!$K$65),'01_Input'!$M$65,0),MAX(MIN(O$20,'01_Input'!$K$65)-'01_Input'!$J$65,0)*'01_Input'!$M$65))+IF('01_Input'!$P$65="Forfait",IF(O$20&gt;='01_Input'!$N$65,'01_Input'!$Q$65,0),IF('01_Input'!$P$65="Palier",IF(AND(O$20&gt;='01_Input'!$N$65,O$20&lt;'01_Input'!$O$65),'01_Input'!$Q$65,0),MAX(MIN(O$20,'01_Input'!$O$65)-'01_Input'!$N$65,0)*'01_Input'!$Q$65))+IF('01_Input'!$T$65="Forfait",IF(O$20&gt;='01_Input'!$R$65,'01_Input'!$U$65,0),IF('01_Input'!$T$65="Palier",IF(AND(O$20&gt;='01_Input'!$R$65,O$20&lt;'01_Input'!$S$65),'01_Input'!$U$65,0),MAX(MIN(O$20,'01_Input'!$S$65)-'01_Input'!$R$65,0)*'01_Input'!$U$65))+IF('01_Input'!$X$65="Forfait",IF(O$20&gt;='01_Input'!$V$65,'01_Input'!$Y$65,0),IF('01_Input'!$X$65="Palier",IF(AND(O$20&gt;='01_Input'!$V$65,O$20&lt;'01_Input'!$W$65),'01_Input'!$Y$65,0),MAX(MIN(O$20,'01_Input'!$W$65)-'01_Input'!$V$65,0)*'01_Input'!$Y$65))+IF('01_Input'!$AB$65="Forfait",IF(O$20&gt;='01_Input'!$Z$65,'01_Input'!$AC$65,0),IF('01_Input'!$AB$65="Palier",IF(AND(O$20&gt;='01_Input'!$Z$65,O$20&lt;'01_Input'!$AA$65),'01_Input'!$AC$65,0),MAX(MIN(O$20,'01_Input'!$AA$65)-'01_Input'!$Z$65,0)*'01_Input'!$AC$65)))))))))</f>
        <v>0</v>
      </c>
      <c r="P33" s="25">
        <f>IF('01_Input'!$C$65="Non",0,MIN('01_Input'!$I$65,MAX('01_Input'!$H$65,IF('01_Input'!$G$65="Résiduel vs Gestion",0,IF('01_Input'!$G$65="Taux Classe sélectionnée",Distrib_Global_Classe_Selectionnee*P$20,IF('01_Input'!$G$65="Frais KYC (paliers de 100M€)",MAX(0,Nb_Investisseurs-Nb_KYC_Gratuites_Par_Tranche*(FLOOR(P$20/Taille_Tranche_KYC,1)+1))*Cout_Par_KYC_Supplementaire,(IF('01_Input'!$L$65="Forfait",IF(P$20&gt;='01_Input'!$J$65,'01_Input'!$M$65,0),IF('01_Input'!$L$65="Palier",IF(AND(P$20&gt;='01_Input'!$J$65,P$20&lt;'01_Input'!$K$65),'01_Input'!$M$65,0),MAX(MIN(P$20,'01_Input'!$K$65)-'01_Input'!$J$65,0)*'01_Input'!$M$65))+IF('01_Input'!$P$65="Forfait",IF(P$20&gt;='01_Input'!$N$65,'01_Input'!$Q$65,0),IF('01_Input'!$P$65="Palier",IF(AND(P$20&gt;='01_Input'!$N$65,P$20&lt;'01_Input'!$O$65),'01_Input'!$Q$65,0),MAX(MIN(P$20,'01_Input'!$O$65)-'01_Input'!$N$65,0)*'01_Input'!$Q$65))+IF('01_Input'!$T$65="Forfait",IF(P$20&gt;='01_Input'!$R$65,'01_Input'!$U$65,0),IF('01_Input'!$T$65="Palier",IF(AND(P$20&gt;='01_Input'!$R$65,P$20&lt;'01_Input'!$S$65),'01_Input'!$U$65,0),MAX(MIN(P$20,'01_Input'!$S$65)-'01_Input'!$R$65,0)*'01_Input'!$U$65))+IF('01_Input'!$X$65="Forfait",IF(P$20&gt;='01_Input'!$V$65,'01_Input'!$Y$65,0),IF('01_Input'!$X$65="Palier",IF(AND(P$20&gt;='01_Input'!$V$65,P$20&lt;'01_Input'!$W$65),'01_Input'!$Y$65,0),MAX(MIN(P$20,'01_Input'!$W$65)-'01_Input'!$V$65,0)*'01_Input'!$Y$65))+IF('01_Input'!$AB$65="Forfait",IF(P$20&gt;='01_Input'!$Z$65,'01_Input'!$AC$65,0),IF('01_Input'!$AB$65="Palier",IF(AND(P$20&gt;='01_Input'!$Z$65,P$20&lt;'01_Input'!$AA$65),'01_Input'!$AC$65,0),MAX(MIN(P$20,'01_Input'!$AA$65)-'01_Input'!$Z$65,0)*'01_Input'!$AC$65)))))))))</f>
        <v>0</v>
      </c>
      <c r="Q33" s="25">
        <f>IF('01_Input'!$C$65="Non",0,MIN('01_Input'!$I$65,MAX('01_Input'!$H$65,IF('01_Input'!$G$65="Résiduel vs Gestion",0,IF('01_Input'!$G$65="Taux Classe sélectionnée",Distrib_Global_Classe_Selectionnee*Q$20,IF('01_Input'!$G$65="Frais KYC (paliers de 100M€)",MAX(0,Nb_Investisseurs-Nb_KYC_Gratuites_Par_Tranche*(FLOOR(Q$20/Taille_Tranche_KYC,1)+1))*Cout_Par_KYC_Supplementaire,(IF('01_Input'!$L$65="Forfait",IF(Q$20&gt;='01_Input'!$J$65,'01_Input'!$M$65,0),IF('01_Input'!$L$65="Palier",IF(AND(Q$20&gt;='01_Input'!$J$65,Q$20&lt;'01_Input'!$K$65),'01_Input'!$M$65,0),MAX(MIN(Q$20,'01_Input'!$K$65)-'01_Input'!$J$65,0)*'01_Input'!$M$65))+IF('01_Input'!$P$65="Forfait",IF(Q$20&gt;='01_Input'!$N$65,'01_Input'!$Q$65,0),IF('01_Input'!$P$65="Palier",IF(AND(Q$20&gt;='01_Input'!$N$65,Q$20&lt;'01_Input'!$O$65),'01_Input'!$Q$65,0),MAX(MIN(Q$20,'01_Input'!$O$65)-'01_Input'!$N$65,0)*'01_Input'!$Q$65))+IF('01_Input'!$T$65="Forfait",IF(Q$20&gt;='01_Input'!$R$65,'01_Input'!$U$65,0),IF('01_Input'!$T$65="Palier",IF(AND(Q$20&gt;='01_Input'!$R$65,Q$20&lt;'01_Input'!$S$65),'01_Input'!$U$65,0),MAX(MIN(Q$20,'01_Input'!$S$65)-'01_Input'!$R$65,0)*'01_Input'!$U$65))+IF('01_Input'!$X$65="Forfait",IF(Q$20&gt;='01_Input'!$V$65,'01_Input'!$Y$65,0),IF('01_Input'!$X$65="Palier",IF(AND(Q$20&gt;='01_Input'!$V$65,Q$20&lt;'01_Input'!$W$65),'01_Input'!$Y$65,0),MAX(MIN(Q$20,'01_Input'!$W$65)-'01_Input'!$V$65,0)*'01_Input'!$Y$65))+IF('01_Input'!$AB$65="Forfait",IF(Q$20&gt;='01_Input'!$Z$65,'01_Input'!$AC$65,0),IF('01_Input'!$AB$65="Palier",IF(AND(Q$20&gt;='01_Input'!$Z$65,Q$20&lt;'01_Input'!$AA$65),'01_Input'!$AC$65,0),MAX(MIN(Q$20,'01_Input'!$AA$65)-'01_Input'!$Z$65,0)*'01_Input'!$AC$65)))))))))</f>
        <v>0</v>
      </c>
      <c r="R33" s="25">
        <f>IF('01_Input'!$C$65="Non",0,MIN('01_Input'!$I$65,MAX('01_Input'!$H$65,IF('01_Input'!$G$65="Résiduel vs Gestion",0,IF('01_Input'!$G$65="Taux Classe sélectionnée",Distrib_Global_Classe_Selectionnee*R$20,IF('01_Input'!$G$65="Frais KYC (paliers de 100M€)",MAX(0,Nb_Investisseurs-Nb_KYC_Gratuites_Par_Tranche*(FLOOR(R$20/Taille_Tranche_KYC,1)+1))*Cout_Par_KYC_Supplementaire,(IF('01_Input'!$L$65="Forfait",IF(R$20&gt;='01_Input'!$J$65,'01_Input'!$M$65,0),IF('01_Input'!$L$65="Palier",IF(AND(R$20&gt;='01_Input'!$J$65,R$20&lt;'01_Input'!$K$65),'01_Input'!$M$65,0),MAX(MIN(R$20,'01_Input'!$K$65)-'01_Input'!$J$65,0)*'01_Input'!$M$65))+IF('01_Input'!$P$65="Forfait",IF(R$20&gt;='01_Input'!$N$65,'01_Input'!$Q$65,0),IF('01_Input'!$P$65="Palier",IF(AND(R$20&gt;='01_Input'!$N$65,R$20&lt;'01_Input'!$O$65),'01_Input'!$Q$65,0),MAX(MIN(R$20,'01_Input'!$O$65)-'01_Input'!$N$65,0)*'01_Input'!$Q$65))+IF('01_Input'!$T$65="Forfait",IF(R$20&gt;='01_Input'!$R$65,'01_Input'!$U$65,0),IF('01_Input'!$T$65="Palier",IF(AND(R$20&gt;='01_Input'!$R$65,R$20&lt;'01_Input'!$S$65),'01_Input'!$U$65,0),MAX(MIN(R$20,'01_Input'!$S$65)-'01_Input'!$R$65,0)*'01_Input'!$U$65))+IF('01_Input'!$X$65="Forfait",IF(R$20&gt;='01_Input'!$V$65,'01_Input'!$Y$65,0),IF('01_Input'!$X$65="Palier",IF(AND(R$20&gt;='01_Input'!$V$65,R$20&lt;'01_Input'!$W$65),'01_Input'!$Y$65,0),MAX(MIN(R$20,'01_Input'!$W$65)-'01_Input'!$V$65,0)*'01_Input'!$Y$65))+IF('01_Input'!$AB$65="Forfait",IF(R$20&gt;='01_Input'!$Z$65,'01_Input'!$AC$65,0),IF('01_Input'!$AB$65="Palier",IF(AND(R$20&gt;='01_Input'!$Z$65,R$20&lt;'01_Input'!$AA$65),'01_Input'!$AC$65,0),MAX(MIN(R$20,'01_Input'!$AA$65)-'01_Input'!$Z$65,0)*'01_Input'!$AC$65)))))))))</f>
        <v>0</v>
      </c>
      <c r="S33" s="25">
        <f>IF('01_Input'!$C$65="Non",0,MIN('01_Input'!$I$65,MAX('01_Input'!$H$65,IF('01_Input'!$G$65="Résiduel vs Gestion",0,IF('01_Input'!$G$65="Taux Classe sélectionnée",Distrib_Global_Classe_Selectionnee*S$20,IF('01_Input'!$G$65="Frais KYC (paliers de 100M€)",MAX(0,Nb_Investisseurs-Nb_KYC_Gratuites_Par_Tranche*(FLOOR(S$20/Taille_Tranche_KYC,1)+1))*Cout_Par_KYC_Supplementaire,(IF('01_Input'!$L$65="Forfait",IF(S$20&gt;='01_Input'!$J$65,'01_Input'!$M$65,0),IF('01_Input'!$L$65="Palier",IF(AND(S$20&gt;='01_Input'!$J$65,S$20&lt;'01_Input'!$K$65),'01_Input'!$M$65,0),MAX(MIN(S$20,'01_Input'!$K$65)-'01_Input'!$J$65,0)*'01_Input'!$M$65))+IF('01_Input'!$P$65="Forfait",IF(S$20&gt;='01_Input'!$N$65,'01_Input'!$Q$65,0),IF('01_Input'!$P$65="Palier",IF(AND(S$20&gt;='01_Input'!$N$65,S$20&lt;'01_Input'!$O$65),'01_Input'!$Q$65,0),MAX(MIN(S$20,'01_Input'!$O$65)-'01_Input'!$N$65,0)*'01_Input'!$Q$65))+IF('01_Input'!$T$65="Forfait",IF(S$20&gt;='01_Input'!$R$65,'01_Input'!$U$65,0),IF('01_Input'!$T$65="Palier",IF(AND(S$20&gt;='01_Input'!$R$65,S$20&lt;'01_Input'!$S$65),'01_Input'!$U$65,0),MAX(MIN(S$20,'01_Input'!$S$65)-'01_Input'!$R$65,0)*'01_Input'!$U$65))+IF('01_Input'!$X$65="Forfait",IF(S$20&gt;='01_Input'!$V$65,'01_Input'!$Y$65,0),IF('01_Input'!$X$65="Palier",IF(AND(S$20&gt;='01_Input'!$V$65,S$20&lt;'01_Input'!$W$65),'01_Input'!$Y$65,0),MAX(MIN(S$20,'01_Input'!$W$65)-'01_Input'!$V$65,0)*'01_Input'!$Y$65))+IF('01_Input'!$AB$65="Forfait",IF(S$20&gt;='01_Input'!$Z$65,'01_Input'!$AC$65,0),IF('01_Input'!$AB$65="Palier",IF(AND(S$20&gt;='01_Input'!$Z$65,S$20&lt;'01_Input'!$AA$65),'01_Input'!$AC$65,0),MAX(MIN(S$20,'01_Input'!$AA$65)-'01_Input'!$Z$65,0)*'01_Input'!$AC$65)))))))))</f>
        <v>0</v>
      </c>
      <c r="T33" s="25">
        <f>IF('01_Input'!$C$65="Non",0,MIN('01_Input'!$I$65,MAX('01_Input'!$H$65,IF('01_Input'!$G$65="Résiduel vs Gestion",0,IF('01_Input'!$G$65="Taux Classe sélectionnée",Distrib_Global_Classe_Selectionnee*T$20,IF('01_Input'!$G$65="Frais KYC (paliers de 100M€)",MAX(0,Nb_Investisseurs-Nb_KYC_Gratuites_Par_Tranche*(FLOOR(T$20/Taille_Tranche_KYC,1)+1))*Cout_Par_KYC_Supplementaire,(IF('01_Input'!$L$65="Forfait",IF(T$20&gt;='01_Input'!$J$65,'01_Input'!$M$65,0),IF('01_Input'!$L$65="Palier",IF(AND(T$20&gt;='01_Input'!$J$65,T$20&lt;'01_Input'!$K$65),'01_Input'!$M$65,0),MAX(MIN(T$20,'01_Input'!$K$65)-'01_Input'!$J$65,0)*'01_Input'!$M$65))+IF('01_Input'!$P$65="Forfait",IF(T$20&gt;='01_Input'!$N$65,'01_Input'!$Q$65,0),IF('01_Input'!$P$65="Palier",IF(AND(T$20&gt;='01_Input'!$N$65,T$20&lt;'01_Input'!$O$65),'01_Input'!$Q$65,0),MAX(MIN(T$20,'01_Input'!$O$65)-'01_Input'!$N$65,0)*'01_Input'!$Q$65))+IF('01_Input'!$T$65="Forfait",IF(T$20&gt;='01_Input'!$R$65,'01_Input'!$U$65,0),IF('01_Input'!$T$65="Palier",IF(AND(T$20&gt;='01_Input'!$R$65,T$20&lt;'01_Input'!$S$65),'01_Input'!$U$65,0),MAX(MIN(T$20,'01_Input'!$S$65)-'01_Input'!$R$65,0)*'01_Input'!$U$65))+IF('01_Input'!$X$65="Forfait",IF(T$20&gt;='01_Input'!$V$65,'01_Input'!$Y$65,0),IF('01_Input'!$X$65="Palier",IF(AND(T$20&gt;='01_Input'!$V$65,T$20&lt;'01_Input'!$W$65),'01_Input'!$Y$65,0),MAX(MIN(T$20,'01_Input'!$W$65)-'01_Input'!$V$65,0)*'01_Input'!$Y$65))+IF('01_Input'!$AB$65="Forfait",IF(T$20&gt;='01_Input'!$Z$65,'01_Input'!$AC$65,0),IF('01_Input'!$AB$65="Palier",IF(AND(T$20&gt;='01_Input'!$Z$65,T$20&lt;'01_Input'!$AA$65),'01_Input'!$AC$65,0),MAX(MIN(T$20,'01_Input'!$AA$65)-'01_Input'!$Z$65,0)*'01_Input'!$AC$65)))))))))</f>
        <v>0</v>
      </c>
      <c r="U33" s="25">
        <f>IF('01_Input'!$C$65="Non",0,MIN('01_Input'!$I$65,MAX('01_Input'!$H$65,IF('01_Input'!$G$65="Résiduel vs Gestion",0,IF('01_Input'!$G$65="Taux Classe sélectionnée",Distrib_Global_Classe_Selectionnee*U$20,IF('01_Input'!$G$65="Frais KYC (paliers de 100M€)",MAX(0,Nb_Investisseurs-Nb_KYC_Gratuites_Par_Tranche*(FLOOR(U$20/Taille_Tranche_KYC,1)+1))*Cout_Par_KYC_Supplementaire,(IF('01_Input'!$L$65="Forfait",IF(U$20&gt;='01_Input'!$J$65,'01_Input'!$M$65,0),IF('01_Input'!$L$65="Palier",IF(AND(U$20&gt;='01_Input'!$J$65,U$20&lt;'01_Input'!$K$65),'01_Input'!$M$65,0),MAX(MIN(U$20,'01_Input'!$K$65)-'01_Input'!$J$65,0)*'01_Input'!$M$65))+IF('01_Input'!$P$65="Forfait",IF(U$20&gt;='01_Input'!$N$65,'01_Input'!$Q$65,0),IF('01_Input'!$P$65="Palier",IF(AND(U$20&gt;='01_Input'!$N$65,U$20&lt;'01_Input'!$O$65),'01_Input'!$Q$65,0),MAX(MIN(U$20,'01_Input'!$O$65)-'01_Input'!$N$65,0)*'01_Input'!$Q$65))+IF('01_Input'!$T$65="Forfait",IF(U$20&gt;='01_Input'!$R$65,'01_Input'!$U$65,0),IF('01_Input'!$T$65="Palier",IF(AND(U$20&gt;='01_Input'!$R$65,U$20&lt;'01_Input'!$S$65),'01_Input'!$U$65,0),MAX(MIN(U$20,'01_Input'!$S$65)-'01_Input'!$R$65,0)*'01_Input'!$U$65))+IF('01_Input'!$X$65="Forfait",IF(U$20&gt;='01_Input'!$V$65,'01_Input'!$Y$65,0),IF('01_Input'!$X$65="Palier",IF(AND(U$20&gt;='01_Input'!$V$65,U$20&lt;'01_Input'!$W$65),'01_Input'!$Y$65,0),MAX(MIN(U$20,'01_Input'!$W$65)-'01_Input'!$V$65,0)*'01_Input'!$Y$65))+IF('01_Input'!$AB$65="Forfait",IF(U$20&gt;='01_Input'!$Z$65,'01_Input'!$AC$65,0),IF('01_Input'!$AB$65="Palier",IF(AND(U$20&gt;='01_Input'!$Z$65,U$20&lt;'01_Input'!$AA$65),'01_Input'!$AC$65,0),MAX(MIN(U$20,'01_Input'!$AA$65)-'01_Input'!$Z$65,0)*'01_Input'!$AC$65)))))))))</f>
        <v>0</v>
      </c>
      <c r="V33" s="25">
        <f>IF('01_Input'!$C$65="Non",0,MIN('01_Input'!$I$65,MAX('01_Input'!$H$65,IF('01_Input'!$G$65="Résiduel vs Gestion",0,IF('01_Input'!$G$65="Taux Classe sélectionnée",Distrib_Global_Classe_Selectionnee*V$20,IF('01_Input'!$G$65="Frais KYC (paliers de 100M€)",MAX(0,Nb_Investisseurs-Nb_KYC_Gratuites_Par_Tranche*(FLOOR(V$20/Taille_Tranche_KYC,1)+1))*Cout_Par_KYC_Supplementaire,(IF('01_Input'!$L$65="Forfait",IF(V$20&gt;='01_Input'!$J$65,'01_Input'!$M$65,0),IF('01_Input'!$L$65="Palier",IF(AND(V$20&gt;='01_Input'!$J$65,V$20&lt;'01_Input'!$K$65),'01_Input'!$M$65,0),MAX(MIN(V$20,'01_Input'!$K$65)-'01_Input'!$J$65,0)*'01_Input'!$M$65))+IF('01_Input'!$P$65="Forfait",IF(V$20&gt;='01_Input'!$N$65,'01_Input'!$Q$65,0),IF('01_Input'!$P$65="Palier",IF(AND(V$20&gt;='01_Input'!$N$65,V$20&lt;'01_Input'!$O$65),'01_Input'!$Q$65,0),MAX(MIN(V$20,'01_Input'!$O$65)-'01_Input'!$N$65,0)*'01_Input'!$Q$65))+IF('01_Input'!$T$65="Forfait",IF(V$20&gt;='01_Input'!$R$65,'01_Input'!$U$65,0),IF('01_Input'!$T$65="Palier",IF(AND(V$20&gt;='01_Input'!$R$65,V$20&lt;'01_Input'!$S$65),'01_Input'!$U$65,0),MAX(MIN(V$20,'01_Input'!$S$65)-'01_Input'!$R$65,0)*'01_Input'!$U$65))+IF('01_Input'!$X$65="Forfait",IF(V$20&gt;='01_Input'!$V$65,'01_Input'!$Y$65,0),IF('01_Input'!$X$65="Palier",IF(AND(V$20&gt;='01_Input'!$V$65,V$20&lt;'01_Input'!$W$65),'01_Input'!$Y$65,0),MAX(MIN(V$20,'01_Input'!$W$65)-'01_Input'!$V$65,0)*'01_Input'!$Y$65))+IF('01_Input'!$AB$65="Forfait",IF(V$20&gt;='01_Input'!$Z$65,'01_Input'!$AC$65,0),IF('01_Input'!$AB$65="Palier",IF(AND(V$20&gt;='01_Input'!$Z$65,V$20&lt;'01_Input'!$AA$65),'01_Input'!$AC$65,0),MAX(MIN(V$20,'01_Input'!$AA$65)-'01_Input'!$Z$65,0)*'01_Input'!$AC$65)))))))))</f>
        <v>0</v>
      </c>
      <c r="W33" s="25">
        <f>IF('01_Input'!$C$65="Non",0,MIN('01_Input'!$I$65,MAX('01_Input'!$H$65,IF('01_Input'!$G$65="Résiduel vs Gestion",0,IF('01_Input'!$G$65="Taux Classe sélectionnée",Distrib_Global_Classe_Selectionnee*W$20,IF('01_Input'!$G$65="Frais KYC (paliers de 100M€)",MAX(0,Nb_Investisseurs-Nb_KYC_Gratuites_Par_Tranche*(FLOOR(W$20/Taille_Tranche_KYC,1)+1))*Cout_Par_KYC_Supplementaire,(IF('01_Input'!$L$65="Forfait",IF(W$20&gt;='01_Input'!$J$65,'01_Input'!$M$65,0),IF('01_Input'!$L$65="Palier",IF(AND(W$20&gt;='01_Input'!$J$65,W$20&lt;'01_Input'!$K$65),'01_Input'!$M$65,0),MAX(MIN(W$20,'01_Input'!$K$65)-'01_Input'!$J$65,0)*'01_Input'!$M$65))+IF('01_Input'!$P$65="Forfait",IF(W$20&gt;='01_Input'!$N$65,'01_Input'!$Q$65,0),IF('01_Input'!$P$65="Palier",IF(AND(W$20&gt;='01_Input'!$N$65,W$20&lt;'01_Input'!$O$65),'01_Input'!$Q$65,0),MAX(MIN(W$20,'01_Input'!$O$65)-'01_Input'!$N$65,0)*'01_Input'!$Q$65))+IF('01_Input'!$T$65="Forfait",IF(W$20&gt;='01_Input'!$R$65,'01_Input'!$U$65,0),IF('01_Input'!$T$65="Palier",IF(AND(W$20&gt;='01_Input'!$R$65,W$20&lt;'01_Input'!$S$65),'01_Input'!$U$65,0),MAX(MIN(W$20,'01_Input'!$S$65)-'01_Input'!$R$65,0)*'01_Input'!$U$65))+IF('01_Input'!$X$65="Forfait",IF(W$20&gt;='01_Input'!$V$65,'01_Input'!$Y$65,0),IF('01_Input'!$X$65="Palier",IF(AND(W$20&gt;='01_Input'!$V$65,W$20&lt;'01_Input'!$W$65),'01_Input'!$Y$65,0),MAX(MIN(W$20,'01_Input'!$W$65)-'01_Input'!$V$65,0)*'01_Input'!$Y$65))+IF('01_Input'!$AB$65="Forfait",IF(W$20&gt;='01_Input'!$Z$65,'01_Input'!$AC$65,0),IF('01_Input'!$AB$65="Palier",IF(AND(W$20&gt;='01_Input'!$Z$65,W$20&lt;'01_Input'!$AA$65),'01_Input'!$AC$65,0),MAX(MIN(W$20,'01_Input'!$AA$65)-'01_Input'!$Z$65,0)*'01_Input'!$AC$65)))))))))</f>
        <v>0</v>
      </c>
      <c r="X33" s="25">
        <f>IF('01_Input'!$C$65="Non",0,MIN('01_Input'!$I$65,MAX('01_Input'!$H$65,IF('01_Input'!$G$65="Résiduel vs Gestion",0,IF('01_Input'!$G$65="Taux Classe sélectionnée",Distrib_Global_Classe_Selectionnee*X$20,IF('01_Input'!$G$65="Frais KYC (paliers de 100M€)",MAX(0,Nb_Investisseurs-Nb_KYC_Gratuites_Par_Tranche*(FLOOR(X$20/Taille_Tranche_KYC,1)+1))*Cout_Par_KYC_Supplementaire,(IF('01_Input'!$L$65="Forfait",IF(X$20&gt;='01_Input'!$J$65,'01_Input'!$M$65,0),IF('01_Input'!$L$65="Palier",IF(AND(X$20&gt;='01_Input'!$J$65,X$20&lt;'01_Input'!$K$65),'01_Input'!$M$65,0),MAX(MIN(X$20,'01_Input'!$K$65)-'01_Input'!$J$65,0)*'01_Input'!$M$65))+IF('01_Input'!$P$65="Forfait",IF(X$20&gt;='01_Input'!$N$65,'01_Input'!$Q$65,0),IF('01_Input'!$P$65="Palier",IF(AND(X$20&gt;='01_Input'!$N$65,X$20&lt;'01_Input'!$O$65),'01_Input'!$Q$65,0),MAX(MIN(X$20,'01_Input'!$O$65)-'01_Input'!$N$65,0)*'01_Input'!$Q$65))+IF('01_Input'!$T$65="Forfait",IF(X$20&gt;='01_Input'!$R$65,'01_Input'!$U$65,0),IF('01_Input'!$T$65="Palier",IF(AND(X$20&gt;='01_Input'!$R$65,X$20&lt;'01_Input'!$S$65),'01_Input'!$U$65,0),MAX(MIN(X$20,'01_Input'!$S$65)-'01_Input'!$R$65,0)*'01_Input'!$U$65))+IF('01_Input'!$X$65="Forfait",IF(X$20&gt;='01_Input'!$V$65,'01_Input'!$Y$65,0),IF('01_Input'!$X$65="Palier",IF(AND(X$20&gt;='01_Input'!$V$65,X$20&lt;'01_Input'!$W$65),'01_Input'!$Y$65,0),MAX(MIN(X$20,'01_Input'!$W$65)-'01_Input'!$V$65,0)*'01_Input'!$Y$65))+IF('01_Input'!$AB$65="Forfait",IF(X$20&gt;='01_Input'!$Z$65,'01_Input'!$AC$65,0),IF('01_Input'!$AB$65="Palier",IF(AND(X$20&gt;='01_Input'!$Z$65,X$20&lt;'01_Input'!$AA$65),'01_Input'!$AC$65,0),MAX(MIN(X$20,'01_Input'!$AA$65)-'01_Input'!$Z$65,0)*'01_Input'!$AC$65)))))))))</f>
        <v>0</v>
      </c>
      <c r="Y33" s="25">
        <f>IF('01_Input'!$C$65="Non",0,MIN('01_Input'!$I$65,MAX('01_Input'!$H$65,IF('01_Input'!$G$65="Résiduel vs Gestion",0,IF('01_Input'!$G$65="Taux Classe sélectionnée",Distrib_Global_Classe_Selectionnee*Y$20,IF('01_Input'!$G$65="Frais KYC (paliers de 100M€)",MAX(0,Nb_Investisseurs-Nb_KYC_Gratuites_Par_Tranche*(FLOOR(Y$20/Taille_Tranche_KYC,1)+1))*Cout_Par_KYC_Supplementaire,(IF('01_Input'!$L$65="Forfait",IF(Y$20&gt;='01_Input'!$J$65,'01_Input'!$M$65,0),IF('01_Input'!$L$65="Palier",IF(AND(Y$20&gt;='01_Input'!$J$65,Y$20&lt;'01_Input'!$K$65),'01_Input'!$M$65,0),MAX(MIN(Y$20,'01_Input'!$K$65)-'01_Input'!$J$65,0)*'01_Input'!$M$65))+IF('01_Input'!$P$65="Forfait",IF(Y$20&gt;='01_Input'!$N$65,'01_Input'!$Q$65,0),IF('01_Input'!$P$65="Palier",IF(AND(Y$20&gt;='01_Input'!$N$65,Y$20&lt;'01_Input'!$O$65),'01_Input'!$Q$65,0),MAX(MIN(Y$20,'01_Input'!$O$65)-'01_Input'!$N$65,0)*'01_Input'!$Q$65))+IF('01_Input'!$T$65="Forfait",IF(Y$20&gt;='01_Input'!$R$65,'01_Input'!$U$65,0),IF('01_Input'!$T$65="Palier",IF(AND(Y$20&gt;='01_Input'!$R$65,Y$20&lt;'01_Input'!$S$65),'01_Input'!$U$65,0),MAX(MIN(Y$20,'01_Input'!$S$65)-'01_Input'!$R$65,0)*'01_Input'!$U$65))+IF('01_Input'!$X$65="Forfait",IF(Y$20&gt;='01_Input'!$V$65,'01_Input'!$Y$65,0),IF('01_Input'!$X$65="Palier",IF(AND(Y$20&gt;='01_Input'!$V$65,Y$20&lt;'01_Input'!$W$65),'01_Input'!$Y$65,0),MAX(MIN(Y$20,'01_Input'!$W$65)-'01_Input'!$V$65,0)*'01_Input'!$Y$65))+IF('01_Input'!$AB$65="Forfait",IF(Y$20&gt;='01_Input'!$Z$65,'01_Input'!$AC$65,0),IF('01_Input'!$AB$65="Palier",IF(AND(Y$20&gt;='01_Input'!$Z$65,Y$20&lt;'01_Input'!$AA$65),'01_Input'!$AC$65,0),MAX(MIN(Y$20,'01_Input'!$AA$65)-'01_Input'!$Z$65,0)*'01_Input'!$AC$65)))))))))</f>
        <v>0</v>
      </c>
      <c r="Z33" s="25">
        <f>IF('01_Input'!$C$65="Non",0,MIN('01_Input'!$I$65,MAX('01_Input'!$H$65,IF('01_Input'!$G$65="Résiduel vs Gestion",0,IF('01_Input'!$G$65="Taux Classe sélectionnée",Distrib_Global_Classe_Selectionnee*Z$20,IF('01_Input'!$G$65="Frais KYC (paliers de 100M€)",MAX(0,Nb_Investisseurs-Nb_KYC_Gratuites_Par_Tranche*(FLOOR(Z$20/Taille_Tranche_KYC,1)+1))*Cout_Par_KYC_Supplementaire,(IF('01_Input'!$L$65="Forfait",IF(Z$20&gt;='01_Input'!$J$65,'01_Input'!$M$65,0),IF('01_Input'!$L$65="Palier",IF(AND(Z$20&gt;='01_Input'!$J$65,Z$20&lt;'01_Input'!$K$65),'01_Input'!$M$65,0),MAX(MIN(Z$20,'01_Input'!$K$65)-'01_Input'!$J$65,0)*'01_Input'!$M$65))+IF('01_Input'!$P$65="Forfait",IF(Z$20&gt;='01_Input'!$N$65,'01_Input'!$Q$65,0),IF('01_Input'!$P$65="Palier",IF(AND(Z$20&gt;='01_Input'!$N$65,Z$20&lt;'01_Input'!$O$65),'01_Input'!$Q$65,0),MAX(MIN(Z$20,'01_Input'!$O$65)-'01_Input'!$N$65,0)*'01_Input'!$Q$65))+IF('01_Input'!$T$65="Forfait",IF(Z$20&gt;='01_Input'!$R$65,'01_Input'!$U$65,0),IF('01_Input'!$T$65="Palier",IF(AND(Z$20&gt;='01_Input'!$R$65,Z$20&lt;'01_Input'!$S$65),'01_Input'!$U$65,0),MAX(MIN(Z$20,'01_Input'!$S$65)-'01_Input'!$R$65,0)*'01_Input'!$U$65))+IF('01_Input'!$X$65="Forfait",IF(Z$20&gt;='01_Input'!$V$65,'01_Input'!$Y$65,0),IF('01_Input'!$X$65="Palier",IF(AND(Z$20&gt;='01_Input'!$V$65,Z$20&lt;'01_Input'!$W$65),'01_Input'!$Y$65,0),MAX(MIN(Z$20,'01_Input'!$W$65)-'01_Input'!$V$65,0)*'01_Input'!$Y$65))+IF('01_Input'!$AB$65="Forfait",IF(Z$20&gt;='01_Input'!$Z$65,'01_Input'!$AC$65,0),IF('01_Input'!$AB$65="Palier",IF(AND(Z$20&gt;='01_Input'!$Z$65,Z$20&lt;'01_Input'!$AA$65),'01_Input'!$AC$65,0),MAX(MIN(Z$20,'01_Input'!$AA$65)-'01_Input'!$Z$65,0)*'01_Input'!$AC$65)))))))))</f>
        <v>0</v>
      </c>
      <c r="AA33" s="25">
        <f>IF('01_Input'!$C$65="Non",0,MIN('01_Input'!$I$65,MAX('01_Input'!$H$65,IF('01_Input'!$G$65="Résiduel vs Gestion",0,IF('01_Input'!$G$65="Taux Classe sélectionnée",Distrib_Global_Classe_Selectionnee*AA$20,IF('01_Input'!$G$65="Frais KYC (paliers de 100M€)",MAX(0,Nb_Investisseurs-Nb_KYC_Gratuites_Par_Tranche*(FLOOR(AA$20/Taille_Tranche_KYC,1)+1))*Cout_Par_KYC_Supplementaire,(IF('01_Input'!$L$65="Forfait",IF(AA$20&gt;='01_Input'!$J$65,'01_Input'!$M$65,0),IF('01_Input'!$L$65="Palier",IF(AND(AA$20&gt;='01_Input'!$J$65,AA$20&lt;'01_Input'!$K$65),'01_Input'!$M$65,0),MAX(MIN(AA$20,'01_Input'!$K$65)-'01_Input'!$J$65,0)*'01_Input'!$M$65))+IF('01_Input'!$P$65="Forfait",IF(AA$20&gt;='01_Input'!$N$65,'01_Input'!$Q$65,0),IF('01_Input'!$P$65="Palier",IF(AND(AA$20&gt;='01_Input'!$N$65,AA$20&lt;'01_Input'!$O$65),'01_Input'!$Q$65,0),MAX(MIN(AA$20,'01_Input'!$O$65)-'01_Input'!$N$65,0)*'01_Input'!$Q$65))+IF('01_Input'!$T$65="Forfait",IF(AA$20&gt;='01_Input'!$R$65,'01_Input'!$U$65,0),IF('01_Input'!$T$65="Palier",IF(AND(AA$20&gt;='01_Input'!$R$65,AA$20&lt;'01_Input'!$S$65),'01_Input'!$U$65,0),MAX(MIN(AA$20,'01_Input'!$S$65)-'01_Input'!$R$65,0)*'01_Input'!$U$65))+IF('01_Input'!$X$65="Forfait",IF(AA$20&gt;='01_Input'!$V$65,'01_Input'!$Y$65,0),IF('01_Input'!$X$65="Palier",IF(AND(AA$20&gt;='01_Input'!$V$65,AA$20&lt;'01_Input'!$W$65),'01_Input'!$Y$65,0),MAX(MIN(AA$20,'01_Input'!$W$65)-'01_Input'!$V$65,0)*'01_Input'!$Y$65))+IF('01_Input'!$AB$65="Forfait",IF(AA$20&gt;='01_Input'!$Z$65,'01_Input'!$AC$65,0),IF('01_Input'!$AB$65="Palier",IF(AND(AA$20&gt;='01_Input'!$Z$65,AA$20&lt;'01_Input'!$AA$65),'01_Input'!$AC$65,0),MAX(MIN(AA$20,'01_Input'!$AA$65)-'01_Input'!$Z$65,0)*'01_Input'!$AC$65)))))))))</f>
        <v>0</v>
      </c>
      <c r="AB33" s="25">
        <f>IF('01_Input'!$C$65="Non",0,MIN('01_Input'!$I$65,MAX('01_Input'!$H$65,IF('01_Input'!$G$65="Résiduel vs Gestion",0,IF('01_Input'!$G$65="Taux Classe sélectionnée",Distrib_Global_Classe_Selectionnee*AB$20,IF('01_Input'!$G$65="Frais KYC (paliers de 100M€)",MAX(0,Nb_Investisseurs-Nb_KYC_Gratuites_Par_Tranche*(FLOOR(AB$20/Taille_Tranche_KYC,1)+1))*Cout_Par_KYC_Supplementaire,(IF('01_Input'!$L$65="Forfait",IF(AB$20&gt;='01_Input'!$J$65,'01_Input'!$M$65,0),IF('01_Input'!$L$65="Palier",IF(AND(AB$20&gt;='01_Input'!$J$65,AB$20&lt;'01_Input'!$K$65),'01_Input'!$M$65,0),MAX(MIN(AB$20,'01_Input'!$K$65)-'01_Input'!$J$65,0)*'01_Input'!$M$65))+IF('01_Input'!$P$65="Forfait",IF(AB$20&gt;='01_Input'!$N$65,'01_Input'!$Q$65,0),IF('01_Input'!$P$65="Palier",IF(AND(AB$20&gt;='01_Input'!$N$65,AB$20&lt;'01_Input'!$O$65),'01_Input'!$Q$65,0),MAX(MIN(AB$20,'01_Input'!$O$65)-'01_Input'!$N$65,0)*'01_Input'!$Q$65))+IF('01_Input'!$T$65="Forfait",IF(AB$20&gt;='01_Input'!$R$65,'01_Input'!$U$65,0),IF('01_Input'!$T$65="Palier",IF(AND(AB$20&gt;='01_Input'!$R$65,AB$20&lt;'01_Input'!$S$65),'01_Input'!$U$65,0),MAX(MIN(AB$20,'01_Input'!$S$65)-'01_Input'!$R$65,0)*'01_Input'!$U$65))+IF('01_Input'!$X$65="Forfait",IF(AB$20&gt;='01_Input'!$V$65,'01_Input'!$Y$65,0),IF('01_Input'!$X$65="Palier",IF(AND(AB$20&gt;='01_Input'!$V$65,AB$20&lt;'01_Input'!$W$65),'01_Input'!$Y$65,0),MAX(MIN(AB$20,'01_Input'!$W$65)-'01_Input'!$V$65,0)*'01_Input'!$Y$65))+IF('01_Input'!$AB$65="Forfait",IF(AB$20&gt;='01_Input'!$Z$65,'01_Input'!$AC$65,0),IF('01_Input'!$AB$65="Palier",IF(AND(AB$20&gt;='01_Input'!$Z$65,AB$20&lt;'01_Input'!$AA$65),'01_Input'!$AC$65,0),MAX(MIN(AB$20,'01_Input'!$AA$65)-'01_Input'!$Z$65,0)*'01_Input'!$AC$65)))))))))</f>
        <v>0</v>
      </c>
      <c r="AC33" s="25">
        <f>IF('01_Input'!$C$65="Non",0,MIN('01_Input'!$I$65,MAX('01_Input'!$H$65,IF('01_Input'!$G$65="Résiduel vs Gestion",0,IF('01_Input'!$G$65="Taux Classe sélectionnée",Distrib_Global_Classe_Selectionnee*AC$20,IF('01_Input'!$G$65="Frais KYC (paliers de 100M€)",MAX(0,Nb_Investisseurs-Nb_KYC_Gratuites_Par_Tranche*(FLOOR(AC$20/Taille_Tranche_KYC,1)+1))*Cout_Par_KYC_Supplementaire,(IF('01_Input'!$L$65="Forfait",IF(AC$20&gt;='01_Input'!$J$65,'01_Input'!$M$65,0),IF('01_Input'!$L$65="Palier",IF(AND(AC$20&gt;='01_Input'!$J$65,AC$20&lt;'01_Input'!$K$65),'01_Input'!$M$65,0),MAX(MIN(AC$20,'01_Input'!$K$65)-'01_Input'!$J$65,0)*'01_Input'!$M$65))+IF('01_Input'!$P$65="Forfait",IF(AC$20&gt;='01_Input'!$N$65,'01_Input'!$Q$65,0),IF('01_Input'!$P$65="Palier",IF(AND(AC$20&gt;='01_Input'!$N$65,AC$20&lt;'01_Input'!$O$65),'01_Input'!$Q$65,0),MAX(MIN(AC$20,'01_Input'!$O$65)-'01_Input'!$N$65,0)*'01_Input'!$Q$65))+IF('01_Input'!$T$65="Forfait",IF(AC$20&gt;='01_Input'!$R$65,'01_Input'!$U$65,0),IF('01_Input'!$T$65="Palier",IF(AND(AC$20&gt;='01_Input'!$R$65,AC$20&lt;'01_Input'!$S$65),'01_Input'!$U$65,0),MAX(MIN(AC$20,'01_Input'!$S$65)-'01_Input'!$R$65,0)*'01_Input'!$U$65))+IF('01_Input'!$X$65="Forfait",IF(AC$20&gt;='01_Input'!$V$65,'01_Input'!$Y$65,0),IF('01_Input'!$X$65="Palier",IF(AND(AC$20&gt;='01_Input'!$V$65,AC$20&lt;'01_Input'!$W$65),'01_Input'!$Y$65,0),MAX(MIN(AC$20,'01_Input'!$W$65)-'01_Input'!$V$65,0)*'01_Input'!$Y$65))+IF('01_Input'!$AB$65="Forfait",IF(AC$20&gt;='01_Input'!$Z$65,'01_Input'!$AC$65,0),IF('01_Input'!$AB$65="Palier",IF(AND(AC$20&gt;='01_Input'!$Z$65,AC$20&lt;'01_Input'!$AA$65),'01_Input'!$AC$65,0),MAX(MIN(AC$20,'01_Input'!$AA$65)-'01_Input'!$Z$65,0)*'01_Input'!$AC$65)))))))))</f>
        <v>0</v>
      </c>
      <c r="AD33" s="25">
        <f>IF('01_Input'!$C$65="Non",0,MIN('01_Input'!$I$65,MAX('01_Input'!$H$65,IF('01_Input'!$G$65="Résiduel vs Gestion",0,IF('01_Input'!$G$65="Taux Classe sélectionnée",Distrib_Global_Classe_Selectionnee*AD$20,IF('01_Input'!$G$65="Frais KYC (paliers de 100M€)",MAX(0,Nb_Investisseurs-Nb_KYC_Gratuites_Par_Tranche*(FLOOR(AD$20/Taille_Tranche_KYC,1)+1))*Cout_Par_KYC_Supplementaire,(IF('01_Input'!$L$65="Forfait",IF(AD$20&gt;='01_Input'!$J$65,'01_Input'!$M$65,0),IF('01_Input'!$L$65="Palier",IF(AND(AD$20&gt;='01_Input'!$J$65,AD$20&lt;'01_Input'!$K$65),'01_Input'!$M$65,0),MAX(MIN(AD$20,'01_Input'!$K$65)-'01_Input'!$J$65,0)*'01_Input'!$M$65))+IF('01_Input'!$P$65="Forfait",IF(AD$20&gt;='01_Input'!$N$65,'01_Input'!$Q$65,0),IF('01_Input'!$P$65="Palier",IF(AND(AD$20&gt;='01_Input'!$N$65,AD$20&lt;'01_Input'!$O$65),'01_Input'!$Q$65,0),MAX(MIN(AD$20,'01_Input'!$O$65)-'01_Input'!$N$65,0)*'01_Input'!$Q$65))+IF('01_Input'!$T$65="Forfait",IF(AD$20&gt;='01_Input'!$R$65,'01_Input'!$U$65,0),IF('01_Input'!$T$65="Palier",IF(AND(AD$20&gt;='01_Input'!$R$65,AD$20&lt;'01_Input'!$S$65),'01_Input'!$U$65,0),MAX(MIN(AD$20,'01_Input'!$S$65)-'01_Input'!$R$65,0)*'01_Input'!$U$65))+IF('01_Input'!$X$65="Forfait",IF(AD$20&gt;='01_Input'!$V$65,'01_Input'!$Y$65,0),IF('01_Input'!$X$65="Palier",IF(AND(AD$20&gt;='01_Input'!$V$65,AD$20&lt;'01_Input'!$W$65),'01_Input'!$Y$65,0),MAX(MIN(AD$20,'01_Input'!$W$65)-'01_Input'!$V$65,0)*'01_Input'!$Y$65))+IF('01_Input'!$AB$65="Forfait",IF(AD$20&gt;='01_Input'!$Z$65,'01_Input'!$AC$65,0),IF('01_Input'!$AB$65="Palier",IF(AND(AD$20&gt;='01_Input'!$Z$65,AD$20&lt;'01_Input'!$AA$65),'01_Input'!$AC$65,0),MAX(MIN(AD$20,'01_Input'!$AA$65)-'01_Input'!$Z$65,0)*'01_Input'!$AC$65)))))))))</f>
        <v>0</v>
      </c>
      <c r="AE33" s="25">
        <f>IF('01_Input'!$C$65="Non",0,MIN('01_Input'!$I$65,MAX('01_Input'!$H$65,IF('01_Input'!$G$65="Résiduel vs Gestion",0,IF('01_Input'!$G$65="Taux Classe sélectionnée",Distrib_Global_Classe_Selectionnee*AE$20,IF('01_Input'!$G$65="Frais KYC (paliers de 100M€)",MAX(0,Nb_Investisseurs-Nb_KYC_Gratuites_Par_Tranche*(FLOOR(AE$20/Taille_Tranche_KYC,1)+1))*Cout_Par_KYC_Supplementaire,(IF('01_Input'!$L$65="Forfait",IF(AE$20&gt;='01_Input'!$J$65,'01_Input'!$M$65,0),IF('01_Input'!$L$65="Palier",IF(AND(AE$20&gt;='01_Input'!$J$65,AE$20&lt;'01_Input'!$K$65),'01_Input'!$M$65,0),MAX(MIN(AE$20,'01_Input'!$K$65)-'01_Input'!$J$65,0)*'01_Input'!$M$65))+IF('01_Input'!$P$65="Forfait",IF(AE$20&gt;='01_Input'!$N$65,'01_Input'!$Q$65,0),IF('01_Input'!$P$65="Palier",IF(AND(AE$20&gt;='01_Input'!$N$65,AE$20&lt;'01_Input'!$O$65),'01_Input'!$Q$65,0),MAX(MIN(AE$20,'01_Input'!$O$65)-'01_Input'!$N$65,0)*'01_Input'!$Q$65))+IF('01_Input'!$T$65="Forfait",IF(AE$20&gt;='01_Input'!$R$65,'01_Input'!$U$65,0),IF('01_Input'!$T$65="Palier",IF(AND(AE$20&gt;='01_Input'!$R$65,AE$20&lt;'01_Input'!$S$65),'01_Input'!$U$65,0),MAX(MIN(AE$20,'01_Input'!$S$65)-'01_Input'!$R$65,0)*'01_Input'!$U$65))+IF('01_Input'!$X$65="Forfait",IF(AE$20&gt;='01_Input'!$V$65,'01_Input'!$Y$65,0),IF('01_Input'!$X$65="Palier",IF(AND(AE$20&gt;='01_Input'!$V$65,AE$20&lt;'01_Input'!$W$65),'01_Input'!$Y$65,0),MAX(MIN(AE$20,'01_Input'!$W$65)-'01_Input'!$V$65,0)*'01_Input'!$Y$65))+IF('01_Input'!$AB$65="Forfait",IF(AE$20&gt;='01_Input'!$Z$65,'01_Input'!$AC$65,0),IF('01_Input'!$AB$65="Palier",IF(AND(AE$20&gt;='01_Input'!$Z$65,AE$20&lt;'01_Input'!$AA$65),'01_Input'!$AC$65,0),MAX(MIN(AE$20,'01_Input'!$AA$65)-'01_Input'!$Z$65,0)*'01_Input'!$AC$65)))))))))</f>
        <v>0</v>
      </c>
      <c r="AF33" s="25">
        <f>IF('01_Input'!$C$65="Non",0,MIN('01_Input'!$I$65,MAX('01_Input'!$H$65,IF('01_Input'!$G$65="Résiduel vs Gestion",0,IF('01_Input'!$G$65="Taux Classe sélectionnée",Distrib_Global_Classe_Selectionnee*AF$20,IF('01_Input'!$G$65="Frais KYC (paliers de 100M€)",MAX(0,Nb_Investisseurs-Nb_KYC_Gratuites_Par_Tranche*(FLOOR(AF$20/Taille_Tranche_KYC,1)+1))*Cout_Par_KYC_Supplementaire,(IF('01_Input'!$L$65="Forfait",IF(AF$20&gt;='01_Input'!$J$65,'01_Input'!$M$65,0),IF('01_Input'!$L$65="Palier",IF(AND(AF$20&gt;='01_Input'!$J$65,AF$20&lt;'01_Input'!$K$65),'01_Input'!$M$65,0),MAX(MIN(AF$20,'01_Input'!$K$65)-'01_Input'!$J$65,0)*'01_Input'!$M$65))+IF('01_Input'!$P$65="Forfait",IF(AF$20&gt;='01_Input'!$N$65,'01_Input'!$Q$65,0),IF('01_Input'!$P$65="Palier",IF(AND(AF$20&gt;='01_Input'!$N$65,AF$20&lt;'01_Input'!$O$65),'01_Input'!$Q$65,0),MAX(MIN(AF$20,'01_Input'!$O$65)-'01_Input'!$N$65,0)*'01_Input'!$Q$65))+IF('01_Input'!$T$65="Forfait",IF(AF$20&gt;='01_Input'!$R$65,'01_Input'!$U$65,0),IF('01_Input'!$T$65="Palier",IF(AND(AF$20&gt;='01_Input'!$R$65,AF$20&lt;'01_Input'!$S$65),'01_Input'!$U$65,0),MAX(MIN(AF$20,'01_Input'!$S$65)-'01_Input'!$R$65,0)*'01_Input'!$U$65))+IF('01_Input'!$X$65="Forfait",IF(AF$20&gt;='01_Input'!$V$65,'01_Input'!$Y$65,0),IF('01_Input'!$X$65="Palier",IF(AND(AF$20&gt;='01_Input'!$V$65,AF$20&lt;'01_Input'!$W$65),'01_Input'!$Y$65,0),MAX(MIN(AF$20,'01_Input'!$W$65)-'01_Input'!$V$65,0)*'01_Input'!$Y$65))+IF('01_Input'!$AB$65="Forfait",IF(AF$20&gt;='01_Input'!$Z$65,'01_Input'!$AC$65,0),IF('01_Input'!$AB$65="Palier",IF(AND(AF$20&gt;='01_Input'!$Z$65,AF$20&lt;'01_Input'!$AA$65),'01_Input'!$AC$65,0),MAX(MIN(AF$20,'01_Input'!$AA$65)-'01_Input'!$Z$65,0)*'01_Input'!$AC$65)))))))))</f>
        <v>0</v>
      </c>
      <c r="AG33" s="25">
        <f>IF('01_Input'!$C$65="Non",0,MIN('01_Input'!$I$65,MAX('01_Input'!$H$65,IF('01_Input'!$G$65="Résiduel vs Gestion",0,IF('01_Input'!$G$65="Taux Classe sélectionnée",Distrib_Global_Classe_Selectionnee*AG$20,IF('01_Input'!$G$65="Frais KYC (paliers de 100M€)",MAX(0,Nb_Investisseurs-Nb_KYC_Gratuites_Par_Tranche*(FLOOR(AG$20/Taille_Tranche_KYC,1)+1))*Cout_Par_KYC_Supplementaire,(IF('01_Input'!$L$65="Forfait",IF(AG$20&gt;='01_Input'!$J$65,'01_Input'!$M$65,0),IF('01_Input'!$L$65="Palier",IF(AND(AG$20&gt;='01_Input'!$J$65,AG$20&lt;'01_Input'!$K$65),'01_Input'!$M$65,0),MAX(MIN(AG$20,'01_Input'!$K$65)-'01_Input'!$J$65,0)*'01_Input'!$M$65))+IF('01_Input'!$P$65="Forfait",IF(AG$20&gt;='01_Input'!$N$65,'01_Input'!$Q$65,0),IF('01_Input'!$P$65="Palier",IF(AND(AG$20&gt;='01_Input'!$N$65,AG$20&lt;'01_Input'!$O$65),'01_Input'!$Q$65,0),MAX(MIN(AG$20,'01_Input'!$O$65)-'01_Input'!$N$65,0)*'01_Input'!$Q$65))+IF('01_Input'!$T$65="Forfait",IF(AG$20&gt;='01_Input'!$R$65,'01_Input'!$U$65,0),IF('01_Input'!$T$65="Palier",IF(AND(AG$20&gt;='01_Input'!$R$65,AG$20&lt;'01_Input'!$S$65),'01_Input'!$U$65,0),MAX(MIN(AG$20,'01_Input'!$S$65)-'01_Input'!$R$65,0)*'01_Input'!$U$65))+IF('01_Input'!$X$65="Forfait",IF(AG$20&gt;='01_Input'!$V$65,'01_Input'!$Y$65,0),IF('01_Input'!$X$65="Palier",IF(AND(AG$20&gt;='01_Input'!$V$65,AG$20&lt;'01_Input'!$W$65),'01_Input'!$Y$65,0),MAX(MIN(AG$20,'01_Input'!$W$65)-'01_Input'!$V$65,0)*'01_Input'!$Y$65))+IF('01_Input'!$AB$65="Forfait",IF(AG$20&gt;='01_Input'!$Z$65,'01_Input'!$AC$65,0),IF('01_Input'!$AB$65="Palier",IF(AND(AG$20&gt;='01_Input'!$Z$65,AG$20&lt;'01_Input'!$AA$65),'01_Input'!$AC$65,0),MAX(MIN(AG$20,'01_Input'!$AA$65)-'01_Input'!$Z$65,0)*'01_Input'!$AC$65)))))))))</f>
        <v>0</v>
      </c>
      <c r="AH33" s="25">
        <f>IF('01_Input'!$C$65="Non",0,MIN('01_Input'!$I$65,MAX('01_Input'!$H$65,IF('01_Input'!$G$65="Résiduel vs Gestion",0,IF('01_Input'!$G$65="Taux Classe sélectionnée",Distrib_Global_Classe_Selectionnee*AH$20,IF('01_Input'!$G$65="Frais KYC (paliers de 100M€)",MAX(0,Nb_Investisseurs-Nb_KYC_Gratuites_Par_Tranche*(FLOOR(AH$20/Taille_Tranche_KYC,1)+1))*Cout_Par_KYC_Supplementaire,(IF('01_Input'!$L$65="Forfait",IF(AH$20&gt;='01_Input'!$J$65,'01_Input'!$M$65,0),IF('01_Input'!$L$65="Palier",IF(AND(AH$20&gt;='01_Input'!$J$65,AH$20&lt;'01_Input'!$K$65),'01_Input'!$M$65,0),MAX(MIN(AH$20,'01_Input'!$K$65)-'01_Input'!$J$65,0)*'01_Input'!$M$65))+IF('01_Input'!$P$65="Forfait",IF(AH$20&gt;='01_Input'!$N$65,'01_Input'!$Q$65,0),IF('01_Input'!$P$65="Palier",IF(AND(AH$20&gt;='01_Input'!$N$65,AH$20&lt;'01_Input'!$O$65),'01_Input'!$Q$65,0),MAX(MIN(AH$20,'01_Input'!$O$65)-'01_Input'!$N$65,0)*'01_Input'!$Q$65))+IF('01_Input'!$T$65="Forfait",IF(AH$20&gt;='01_Input'!$R$65,'01_Input'!$U$65,0),IF('01_Input'!$T$65="Palier",IF(AND(AH$20&gt;='01_Input'!$R$65,AH$20&lt;'01_Input'!$S$65),'01_Input'!$U$65,0),MAX(MIN(AH$20,'01_Input'!$S$65)-'01_Input'!$R$65,0)*'01_Input'!$U$65))+IF('01_Input'!$X$65="Forfait",IF(AH$20&gt;='01_Input'!$V$65,'01_Input'!$Y$65,0),IF('01_Input'!$X$65="Palier",IF(AND(AH$20&gt;='01_Input'!$V$65,AH$20&lt;'01_Input'!$W$65),'01_Input'!$Y$65,0),MAX(MIN(AH$20,'01_Input'!$W$65)-'01_Input'!$V$65,0)*'01_Input'!$Y$65))+IF('01_Input'!$AB$65="Forfait",IF(AH$20&gt;='01_Input'!$Z$65,'01_Input'!$AC$65,0),IF('01_Input'!$AB$65="Palier",IF(AND(AH$20&gt;='01_Input'!$Z$65,AH$20&lt;'01_Input'!$AA$65),'01_Input'!$AC$65,0),MAX(MIN(AH$20,'01_Input'!$AA$65)-'01_Input'!$Z$65,0)*'01_Input'!$AC$65)))))))))</f>
        <v>0</v>
      </c>
      <c r="AI33" s="25">
        <f>IF('01_Input'!$C$65="Non",0,MIN('01_Input'!$I$65,MAX('01_Input'!$H$65,IF('01_Input'!$G$65="Résiduel vs Gestion",0,IF('01_Input'!$G$65="Taux Classe sélectionnée",Distrib_Global_Classe_Selectionnee*AI$20,IF('01_Input'!$G$65="Frais KYC (paliers de 100M€)",MAX(0,Nb_Investisseurs-Nb_KYC_Gratuites_Par_Tranche*(FLOOR(AI$20/Taille_Tranche_KYC,1)+1))*Cout_Par_KYC_Supplementaire,(IF('01_Input'!$L$65="Forfait",IF(AI$20&gt;='01_Input'!$J$65,'01_Input'!$M$65,0),IF('01_Input'!$L$65="Palier",IF(AND(AI$20&gt;='01_Input'!$J$65,AI$20&lt;'01_Input'!$K$65),'01_Input'!$M$65,0),MAX(MIN(AI$20,'01_Input'!$K$65)-'01_Input'!$J$65,0)*'01_Input'!$M$65))+IF('01_Input'!$P$65="Forfait",IF(AI$20&gt;='01_Input'!$N$65,'01_Input'!$Q$65,0),IF('01_Input'!$P$65="Palier",IF(AND(AI$20&gt;='01_Input'!$N$65,AI$20&lt;'01_Input'!$O$65),'01_Input'!$Q$65,0),MAX(MIN(AI$20,'01_Input'!$O$65)-'01_Input'!$N$65,0)*'01_Input'!$Q$65))+IF('01_Input'!$T$65="Forfait",IF(AI$20&gt;='01_Input'!$R$65,'01_Input'!$U$65,0),IF('01_Input'!$T$65="Palier",IF(AND(AI$20&gt;='01_Input'!$R$65,AI$20&lt;'01_Input'!$S$65),'01_Input'!$U$65,0),MAX(MIN(AI$20,'01_Input'!$S$65)-'01_Input'!$R$65,0)*'01_Input'!$U$65))+IF('01_Input'!$X$65="Forfait",IF(AI$20&gt;='01_Input'!$V$65,'01_Input'!$Y$65,0),IF('01_Input'!$X$65="Palier",IF(AND(AI$20&gt;='01_Input'!$V$65,AI$20&lt;'01_Input'!$W$65),'01_Input'!$Y$65,0),MAX(MIN(AI$20,'01_Input'!$W$65)-'01_Input'!$V$65,0)*'01_Input'!$Y$65))+IF('01_Input'!$AB$65="Forfait",IF(AI$20&gt;='01_Input'!$Z$65,'01_Input'!$AC$65,0),IF('01_Input'!$AB$65="Palier",IF(AND(AI$20&gt;='01_Input'!$Z$65,AI$20&lt;'01_Input'!$AA$65),'01_Input'!$AC$65,0),MAX(MIN(AI$20,'01_Input'!$AA$65)-'01_Input'!$Z$65,0)*'01_Input'!$AC$65)))))))))</f>
        <v>0</v>
      </c>
      <c r="AJ33" s="25">
        <f>IF('01_Input'!$C$65="Non",0,MIN('01_Input'!$I$65,MAX('01_Input'!$H$65,IF('01_Input'!$G$65="Résiduel vs Gestion",0,IF('01_Input'!$G$65="Taux Classe sélectionnée",Distrib_Global_Classe_Selectionnee*AJ$20,IF('01_Input'!$G$65="Frais KYC (paliers de 100M€)",MAX(0,Nb_Investisseurs-Nb_KYC_Gratuites_Par_Tranche*(FLOOR(AJ$20/Taille_Tranche_KYC,1)+1))*Cout_Par_KYC_Supplementaire,(IF('01_Input'!$L$65="Forfait",IF(AJ$20&gt;='01_Input'!$J$65,'01_Input'!$M$65,0),IF('01_Input'!$L$65="Palier",IF(AND(AJ$20&gt;='01_Input'!$J$65,AJ$20&lt;'01_Input'!$K$65),'01_Input'!$M$65,0),MAX(MIN(AJ$20,'01_Input'!$K$65)-'01_Input'!$J$65,0)*'01_Input'!$M$65))+IF('01_Input'!$P$65="Forfait",IF(AJ$20&gt;='01_Input'!$N$65,'01_Input'!$Q$65,0),IF('01_Input'!$P$65="Palier",IF(AND(AJ$20&gt;='01_Input'!$N$65,AJ$20&lt;'01_Input'!$O$65),'01_Input'!$Q$65,0),MAX(MIN(AJ$20,'01_Input'!$O$65)-'01_Input'!$N$65,0)*'01_Input'!$Q$65))+IF('01_Input'!$T$65="Forfait",IF(AJ$20&gt;='01_Input'!$R$65,'01_Input'!$U$65,0),IF('01_Input'!$T$65="Palier",IF(AND(AJ$20&gt;='01_Input'!$R$65,AJ$20&lt;'01_Input'!$S$65),'01_Input'!$U$65,0),MAX(MIN(AJ$20,'01_Input'!$S$65)-'01_Input'!$R$65,0)*'01_Input'!$U$65))+IF('01_Input'!$X$65="Forfait",IF(AJ$20&gt;='01_Input'!$V$65,'01_Input'!$Y$65,0),IF('01_Input'!$X$65="Palier",IF(AND(AJ$20&gt;='01_Input'!$V$65,AJ$20&lt;'01_Input'!$W$65),'01_Input'!$Y$65,0),MAX(MIN(AJ$20,'01_Input'!$W$65)-'01_Input'!$V$65,0)*'01_Input'!$Y$65))+IF('01_Input'!$AB$65="Forfait",IF(AJ$20&gt;='01_Input'!$Z$65,'01_Input'!$AC$65,0),IF('01_Input'!$AB$65="Palier",IF(AND(AJ$20&gt;='01_Input'!$Z$65,AJ$20&lt;'01_Input'!$AA$65),'01_Input'!$AC$65,0),MAX(MIN(AJ$20,'01_Input'!$AA$65)-'01_Input'!$Z$65,0)*'01_Input'!$AC$65)))))))))</f>
        <v>0</v>
      </c>
      <c r="AK33" s="25">
        <f>IF('01_Input'!$C$65="Non",0,MIN('01_Input'!$I$65,MAX('01_Input'!$H$65,IF('01_Input'!$G$65="Résiduel vs Gestion",0,IF('01_Input'!$G$65="Taux Classe sélectionnée",Distrib_Global_Classe_Selectionnee*AK$20,IF('01_Input'!$G$65="Frais KYC (paliers de 100M€)",MAX(0,Nb_Investisseurs-Nb_KYC_Gratuites_Par_Tranche*(FLOOR(AK$20/Taille_Tranche_KYC,1)+1))*Cout_Par_KYC_Supplementaire,(IF('01_Input'!$L$65="Forfait",IF(AK$20&gt;='01_Input'!$J$65,'01_Input'!$M$65,0),IF('01_Input'!$L$65="Palier",IF(AND(AK$20&gt;='01_Input'!$J$65,AK$20&lt;'01_Input'!$K$65),'01_Input'!$M$65,0),MAX(MIN(AK$20,'01_Input'!$K$65)-'01_Input'!$J$65,0)*'01_Input'!$M$65))+IF('01_Input'!$P$65="Forfait",IF(AK$20&gt;='01_Input'!$N$65,'01_Input'!$Q$65,0),IF('01_Input'!$P$65="Palier",IF(AND(AK$20&gt;='01_Input'!$N$65,AK$20&lt;'01_Input'!$O$65),'01_Input'!$Q$65,0),MAX(MIN(AK$20,'01_Input'!$O$65)-'01_Input'!$N$65,0)*'01_Input'!$Q$65))+IF('01_Input'!$T$65="Forfait",IF(AK$20&gt;='01_Input'!$R$65,'01_Input'!$U$65,0),IF('01_Input'!$T$65="Palier",IF(AND(AK$20&gt;='01_Input'!$R$65,AK$20&lt;'01_Input'!$S$65),'01_Input'!$U$65,0),MAX(MIN(AK$20,'01_Input'!$S$65)-'01_Input'!$R$65,0)*'01_Input'!$U$65))+IF('01_Input'!$X$65="Forfait",IF(AK$20&gt;='01_Input'!$V$65,'01_Input'!$Y$65,0),IF('01_Input'!$X$65="Palier",IF(AND(AK$20&gt;='01_Input'!$V$65,AK$20&lt;'01_Input'!$W$65),'01_Input'!$Y$65,0),MAX(MIN(AK$20,'01_Input'!$W$65)-'01_Input'!$V$65,0)*'01_Input'!$Y$65))+IF('01_Input'!$AB$65="Forfait",IF(AK$20&gt;='01_Input'!$Z$65,'01_Input'!$AC$65,0),IF('01_Input'!$AB$65="Palier",IF(AND(AK$20&gt;='01_Input'!$Z$65,AK$20&lt;'01_Input'!$AA$65),'01_Input'!$AC$65,0),MAX(MIN(AK$20,'01_Input'!$AA$65)-'01_Input'!$Z$65,0)*'01_Input'!$AC$65)))))))))</f>
        <v>0</v>
      </c>
      <c r="AL33" s="25">
        <f>IF('01_Input'!$C$65="Non",0,MIN('01_Input'!$I$65,MAX('01_Input'!$H$65,IF('01_Input'!$G$65="Résiduel vs Gestion",0,IF('01_Input'!$G$65="Taux Classe sélectionnée",Distrib_Global_Classe_Selectionnee*AL$20,IF('01_Input'!$G$65="Frais KYC (paliers de 100M€)",MAX(0,Nb_Investisseurs-Nb_KYC_Gratuites_Par_Tranche*(FLOOR(AL$20/Taille_Tranche_KYC,1)+1))*Cout_Par_KYC_Supplementaire,(IF('01_Input'!$L$65="Forfait",IF(AL$20&gt;='01_Input'!$J$65,'01_Input'!$M$65,0),IF('01_Input'!$L$65="Palier",IF(AND(AL$20&gt;='01_Input'!$J$65,AL$20&lt;'01_Input'!$K$65),'01_Input'!$M$65,0),MAX(MIN(AL$20,'01_Input'!$K$65)-'01_Input'!$J$65,0)*'01_Input'!$M$65))+IF('01_Input'!$P$65="Forfait",IF(AL$20&gt;='01_Input'!$N$65,'01_Input'!$Q$65,0),IF('01_Input'!$P$65="Palier",IF(AND(AL$20&gt;='01_Input'!$N$65,AL$20&lt;'01_Input'!$O$65),'01_Input'!$Q$65,0),MAX(MIN(AL$20,'01_Input'!$O$65)-'01_Input'!$N$65,0)*'01_Input'!$Q$65))+IF('01_Input'!$T$65="Forfait",IF(AL$20&gt;='01_Input'!$R$65,'01_Input'!$U$65,0),IF('01_Input'!$T$65="Palier",IF(AND(AL$20&gt;='01_Input'!$R$65,AL$20&lt;'01_Input'!$S$65),'01_Input'!$U$65,0),MAX(MIN(AL$20,'01_Input'!$S$65)-'01_Input'!$R$65,0)*'01_Input'!$U$65))+IF('01_Input'!$X$65="Forfait",IF(AL$20&gt;='01_Input'!$V$65,'01_Input'!$Y$65,0),IF('01_Input'!$X$65="Palier",IF(AND(AL$20&gt;='01_Input'!$V$65,AL$20&lt;'01_Input'!$W$65),'01_Input'!$Y$65,0),MAX(MIN(AL$20,'01_Input'!$W$65)-'01_Input'!$V$65,0)*'01_Input'!$Y$65))+IF('01_Input'!$AB$65="Forfait",IF(AL$20&gt;='01_Input'!$Z$65,'01_Input'!$AC$65,0),IF('01_Input'!$AB$65="Palier",IF(AND(AL$20&gt;='01_Input'!$Z$65,AL$20&lt;'01_Input'!$AA$65),'01_Input'!$AC$65,0),MAX(MIN(AL$20,'01_Input'!$AA$65)-'01_Input'!$Z$65,0)*'01_Input'!$AC$65)))))))))</f>
        <v>0</v>
      </c>
      <c r="AM33" s="25">
        <f>IF('01_Input'!$C$65="Non",0,MIN('01_Input'!$I$65,MAX('01_Input'!$H$65,IF('01_Input'!$G$65="Résiduel vs Gestion",0,IF('01_Input'!$G$65="Taux Classe sélectionnée",Distrib_Global_Classe_Selectionnee*AM$20,IF('01_Input'!$G$65="Frais KYC (paliers de 100M€)",MAX(0,Nb_Investisseurs-Nb_KYC_Gratuites_Par_Tranche*(FLOOR(AM$20/Taille_Tranche_KYC,1)+1))*Cout_Par_KYC_Supplementaire,(IF('01_Input'!$L$65="Forfait",IF(AM$20&gt;='01_Input'!$J$65,'01_Input'!$M$65,0),IF('01_Input'!$L$65="Palier",IF(AND(AM$20&gt;='01_Input'!$J$65,AM$20&lt;'01_Input'!$K$65),'01_Input'!$M$65,0),MAX(MIN(AM$20,'01_Input'!$K$65)-'01_Input'!$J$65,0)*'01_Input'!$M$65))+IF('01_Input'!$P$65="Forfait",IF(AM$20&gt;='01_Input'!$N$65,'01_Input'!$Q$65,0),IF('01_Input'!$P$65="Palier",IF(AND(AM$20&gt;='01_Input'!$N$65,AM$20&lt;'01_Input'!$O$65),'01_Input'!$Q$65,0),MAX(MIN(AM$20,'01_Input'!$O$65)-'01_Input'!$N$65,0)*'01_Input'!$Q$65))+IF('01_Input'!$T$65="Forfait",IF(AM$20&gt;='01_Input'!$R$65,'01_Input'!$U$65,0),IF('01_Input'!$T$65="Palier",IF(AND(AM$20&gt;='01_Input'!$R$65,AM$20&lt;'01_Input'!$S$65),'01_Input'!$U$65,0),MAX(MIN(AM$20,'01_Input'!$S$65)-'01_Input'!$R$65,0)*'01_Input'!$U$65))+IF('01_Input'!$X$65="Forfait",IF(AM$20&gt;='01_Input'!$V$65,'01_Input'!$Y$65,0),IF('01_Input'!$X$65="Palier",IF(AND(AM$20&gt;='01_Input'!$V$65,AM$20&lt;'01_Input'!$W$65),'01_Input'!$Y$65,0),MAX(MIN(AM$20,'01_Input'!$W$65)-'01_Input'!$V$65,0)*'01_Input'!$Y$65))+IF('01_Input'!$AB$65="Forfait",IF(AM$20&gt;='01_Input'!$Z$65,'01_Input'!$AC$65,0),IF('01_Input'!$AB$65="Palier",IF(AND(AM$20&gt;='01_Input'!$Z$65,AM$20&lt;'01_Input'!$AA$65),'01_Input'!$AC$65,0),MAX(MIN(AM$20,'01_Input'!$AA$65)-'01_Input'!$Z$65,0)*'01_Input'!$AC$65)))))))))</f>
        <v>0</v>
      </c>
      <c r="AN33" s="25">
        <f>IF('01_Input'!$C$65="Non",0,MIN('01_Input'!$I$65,MAX('01_Input'!$H$65,IF('01_Input'!$G$65="Résiduel vs Gestion",0,IF('01_Input'!$G$65="Taux Classe sélectionnée",Distrib_Global_Classe_Selectionnee*AN$20,IF('01_Input'!$G$65="Frais KYC (paliers de 100M€)",MAX(0,Nb_Investisseurs-Nb_KYC_Gratuites_Par_Tranche*(FLOOR(AN$20/Taille_Tranche_KYC,1)+1))*Cout_Par_KYC_Supplementaire,(IF('01_Input'!$L$65="Forfait",IF(AN$20&gt;='01_Input'!$J$65,'01_Input'!$M$65,0),IF('01_Input'!$L$65="Palier",IF(AND(AN$20&gt;='01_Input'!$J$65,AN$20&lt;'01_Input'!$K$65),'01_Input'!$M$65,0),MAX(MIN(AN$20,'01_Input'!$K$65)-'01_Input'!$J$65,0)*'01_Input'!$M$65))+IF('01_Input'!$P$65="Forfait",IF(AN$20&gt;='01_Input'!$N$65,'01_Input'!$Q$65,0),IF('01_Input'!$P$65="Palier",IF(AND(AN$20&gt;='01_Input'!$N$65,AN$20&lt;'01_Input'!$O$65),'01_Input'!$Q$65,0),MAX(MIN(AN$20,'01_Input'!$O$65)-'01_Input'!$N$65,0)*'01_Input'!$Q$65))+IF('01_Input'!$T$65="Forfait",IF(AN$20&gt;='01_Input'!$R$65,'01_Input'!$U$65,0),IF('01_Input'!$T$65="Palier",IF(AND(AN$20&gt;='01_Input'!$R$65,AN$20&lt;'01_Input'!$S$65),'01_Input'!$U$65,0),MAX(MIN(AN$20,'01_Input'!$S$65)-'01_Input'!$R$65,0)*'01_Input'!$U$65))+IF('01_Input'!$X$65="Forfait",IF(AN$20&gt;='01_Input'!$V$65,'01_Input'!$Y$65,0),IF('01_Input'!$X$65="Palier",IF(AND(AN$20&gt;='01_Input'!$V$65,AN$20&lt;'01_Input'!$W$65),'01_Input'!$Y$65,0),MAX(MIN(AN$20,'01_Input'!$W$65)-'01_Input'!$V$65,0)*'01_Input'!$Y$65))+IF('01_Input'!$AB$65="Forfait",IF(AN$20&gt;='01_Input'!$Z$65,'01_Input'!$AC$65,0),IF('01_Input'!$AB$65="Palier",IF(AND(AN$20&gt;='01_Input'!$Z$65,AN$20&lt;'01_Input'!$AA$65),'01_Input'!$AC$65,0),MAX(MIN(AN$20,'01_Input'!$AA$65)-'01_Input'!$Z$65,0)*'01_Input'!$AC$65)))))))))</f>
        <v>0</v>
      </c>
      <c r="AO33" s="25">
        <f>IF('01_Input'!$C$65="Non",0,MIN('01_Input'!$I$65,MAX('01_Input'!$H$65,IF('01_Input'!$G$65="Résiduel vs Gestion",0,IF('01_Input'!$G$65="Taux Classe sélectionnée",Distrib_Global_Classe_Selectionnee*AO$20,IF('01_Input'!$G$65="Frais KYC (paliers de 100M€)",MAX(0,Nb_Investisseurs-Nb_KYC_Gratuites_Par_Tranche*(FLOOR(AO$20/Taille_Tranche_KYC,1)+1))*Cout_Par_KYC_Supplementaire,(IF('01_Input'!$L$65="Forfait",IF(AO$20&gt;='01_Input'!$J$65,'01_Input'!$M$65,0),IF('01_Input'!$L$65="Palier",IF(AND(AO$20&gt;='01_Input'!$J$65,AO$20&lt;'01_Input'!$K$65),'01_Input'!$M$65,0),MAX(MIN(AO$20,'01_Input'!$K$65)-'01_Input'!$J$65,0)*'01_Input'!$M$65))+IF('01_Input'!$P$65="Forfait",IF(AO$20&gt;='01_Input'!$N$65,'01_Input'!$Q$65,0),IF('01_Input'!$P$65="Palier",IF(AND(AO$20&gt;='01_Input'!$N$65,AO$20&lt;'01_Input'!$O$65),'01_Input'!$Q$65,0),MAX(MIN(AO$20,'01_Input'!$O$65)-'01_Input'!$N$65,0)*'01_Input'!$Q$65))+IF('01_Input'!$T$65="Forfait",IF(AO$20&gt;='01_Input'!$R$65,'01_Input'!$U$65,0),IF('01_Input'!$T$65="Palier",IF(AND(AO$20&gt;='01_Input'!$R$65,AO$20&lt;'01_Input'!$S$65),'01_Input'!$U$65,0),MAX(MIN(AO$20,'01_Input'!$S$65)-'01_Input'!$R$65,0)*'01_Input'!$U$65))+IF('01_Input'!$X$65="Forfait",IF(AO$20&gt;='01_Input'!$V$65,'01_Input'!$Y$65,0),IF('01_Input'!$X$65="Palier",IF(AND(AO$20&gt;='01_Input'!$V$65,AO$20&lt;'01_Input'!$W$65),'01_Input'!$Y$65,0),MAX(MIN(AO$20,'01_Input'!$W$65)-'01_Input'!$V$65,0)*'01_Input'!$Y$65))+IF('01_Input'!$AB$65="Forfait",IF(AO$20&gt;='01_Input'!$Z$65,'01_Input'!$AC$65,0),IF('01_Input'!$AB$65="Palier",IF(AND(AO$20&gt;='01_Input'!$Z$65,AO$20&lt;'01_Input'!$AA$65),'01_Input'!$AC$65,0),MAX(MIN(AO$20,'01_Input'!$AA$65)-'01_Input'!$Z$65,0)*'01_Input'!$AC$65)))))))))</f>
        <v>0</v>
      </c>
      <c r="AP33" s="25">
        <f>IF('01_Input'!$C$65="Non",0,MIN('01_Input'!$I$65,MAX('01_Input'!$H$65,IF('01_Input'!$G$65="Résiduel vs Gestion",0,IF('01_Input'!$G$65="Taux Classe sélectionnée",Distrib_Global_Classe_Selectionnee*AP$20,IF('01_Input'!$G$65="Frais KYC (paliers de 100M€)",MAX(0,Nb_Investisseurs-Nb_KYC_Gratuites_Par_Tranche*(FLOOR(AP$20/Taille_Tranche_KYC,1)+1))*Cout_Par_KYC_Supplementaire,(IF('01_Input'!$L$65="Forfait",IF(AP$20&gt;='01_Input'!$J$65,'01_Input'!$M$65,0),IF('01_Input'!$L$65="Palier",IF(AND(AP$20&gt;='01_Input'!$J$65,AP$20&lt;'01_Input'!$K$65),'01_Input'!$M$65,0),MAX(MIN(AP$20,'01_Input'!$K$65)-'01_Input'!$J$65,0)*'01_Input'!$M$65))+IF('01_Input'!$P$65="Forfait",IF(AP$20&gt;='01_Input'!$N$65,'01_Input'!$Q$65,0),IF('01_Input'!$P$65="Palier",IF(AND(AP$20&gt;='01_Input'!$N$65,AP$20&lt;'01_Input'!$O$65),'01_Input'!$Q$65,0),MAX(MIN(AP$20,'01_Input'!$O$65)-'01_Input'!$N$65,0)*'01_Input'!$Q$65))+IF('01_Input'!$T$65="Forfait",IF(AP$20&gt;='01_Input'!$R$65,'01_Input'!$U$65,0),IF('01_Input'!$T$65="Palier",IF(AND(AP$20&gt;='01_Input'!$R$65,AP$20&lt;'01_Input'!$S$65),'01_Input'!$U$65,0),MAX(MIN(AP$20,'01_Input'!$S$65)-'01_Input'!$R$65,0)*'01_Input'!$U$65))+IF('01_Input'!$X$65="Forfait",IF(AP$20&gt;='01_Input'!$V$65,'01_Input'!$Y$65,0),IF('01_Input'!$X$65="Palier",IF(AND(AP$20&gt;='01_Input'!$V$65,AP$20&lt;'01_Input'!$W$65),'01_Input'!$Y$65,0),MAX(MIN(AP$20,'01_Input'!$W$65)-'01_Input'!$V$65,0)*'01_Input'!$Y$65))+IF('01_Input'!$AB$65="Forfait",IF(AP$20&gt;='01_Input'!$Z$65,'01_Input'!$AC$65,0),IF('01_Input'!$AB$65="Palier",IF(AND(AP$20&gt;='01_Input'!$Z$65,AP$20&lt;'01_Input'!$AA$65),'01_Input'!$AC$65,0),MAX(MIN(AP$20,'01_Input'!$AA$65)-'01_Input'!$Z$65,0)*'01_Input'!$AC$65)))))))))</f>
        <v>0</v>
      </c>
      <c r="AQ33" s="25">
        <f>IF('01_Input'!$C$65="Non",0,MIN('01_Input'!$I$65,MAX('01_Input'!$H$65,IF('01_Input'!$G$65="Résiduel vs Gestion",0,IF('01_Input'!$G$65="Taux Classe sélectionnée",Distrib_Global_Classe_Selectionnee*AQ$20,IF('01_Input'!$G$65="Frais KYC (paliers de 100M€)",MAX(0,Nb_Investisseurs-Nb_KYC_Gratuites_Par_Tranche*(FLOOR(AQ$20/Taille_Tranche_KYC,1)+1))*Cout_Par_KYC_Supplementaire,(IF('01_Input'!$L$65="Forfait",IF(AQ$20&gt;='01_Input'!$J$65,'01_Input'!$M$65,0),IF('01_Input'!$L$65="Palier",IF(AND(AQ$20&gt;='01_Input'!$J$65,AQ$20&lt;'01_Input'!$K$65),'01_Input'!$M$65,0),MAX(MIN(AQ$20,'01_Input'!$K$65)-'01_Input'!$J$65,0)*'01_Input'!$M$65))+IF('01_Input'!$P$65="Forfait",IF(AQ$20&gt;='01_Input'!$N$65,'01_Input'!$Q$65,0),IF('01_Input'!$P$65="Palier",IF(AND(AQ$20&gt;='01_Input'!$N$65,AQ$20&lt;'01_Input'!$O$65),'01_Input'!$Q$65,0),MAX(MIN(AQ$20,'01_Input'!$O$65)-'01_Input'!$N$65,0)*'01_Input'!$Q$65))+IF('01_Input'!$T$65="Forfait",IF(AQ$20&gt;='01_Input'!$R$65,'01_Input'!$U$65,0),IF('01_Input'!$T$65="Palier",IF(AND(AQ$20&gt;='01_Input'!$R$65,AQ$20&lt;'01_Input'!$S$65),'01_Input'!$U$65,0),MAX(MIN(AQ$20,'01_Input'!$S$65)-'01_Input'!$R$65,0)*'01_Input'!$U$65))+IF('01_Input'!$X$65="Forfait",IF(AQ$20&gt;='01_Input'!$V$65,'01_Input'!$Y$65,0),IF('01_Input'!$X$65="Palier",IF(AND(AQ$20&gt;='01_Input'!$V$65,AQ$20&lt;'01_Input'!$W$65),'01_Input'!$Y$65,0),MAX(MIN(AQ$20,'01_Input'!$W$65)-'01_Input'!$V$65,0)*'01_Input'!$Y$65))+IF('01_Input'!$AB$65="Forfait",IF(AQ$20&gt;='01_Input'!$Z$65,'01_Input'!$AC$65,0),IF('01_Input'!$AB$65="Palier",IF(AND(AQ$20&gt;='01_Input'!$Z$65,AQ$20&lt;'01_Input'!$AA$65),'01_Input'!$AC$65,0),MAX(MIN(AQ$20,'01_Input'!$AA$65)-'01_Input'!$Z$65,0)*'01_Input'!$AC$65)))))))))</f>
        <v>0</v>
      </c>
      <c r="AR33" s="25">
        <f>IF('01_Input'!$C$65="Non",0,MIN('01_Input'!$I$65,MAX('01_Input'!$H$65,IF('01_Input'!$G$65="Résiduel vs Gestion",0,IF('01_Input'!$G$65="Taux Classe sélectionnée",Distrib_Global_Classe_Selectionnee*AR$20,IF('01_Input'!$G$65="Frais KYC (paliers de 100M€)",MAX(0,Nb_Investisseurs-Nb_KYC_Gratuites_Par_Tranche*(FLOOR(AR$20/Taille_Tranche_KYC,1)+1))*Cout_Par_KYC_Supplementaire,(IF('01_Input'!$L$65="Forfait",IF(AR$20&gt;='01_Input'!$J$65,'01_Input'!$M$65,0),IF('01_Input'!$L$65="Palier",IF(AND(AR$20&gt;='01_Input'!$J$65,AR$20&lt;'01_Input'!$K$65),'01_Input'!$M$65,0),MAX(MIN(AR$20,'01_Input'!$K$65)-'01_Input'!$J$65,0)*'01_Input'!$M$65))+IF('01_Input'!$P$65="Forfait",IF(AR$20&gt;='01_Input'!$N$65,'01_Input'!$Q$65,0),IF('01_Input'!$P$65="Palier",IF(AND(AR$20&gt;='01_Input'!$N$65,AR$20&lt;'01_Input'!$O$65),'01_Input'!$Q$65,0),MAX(MIN(AR$20,'01_Input'!$O$65)-'01_Input'!$N$65,0)*'01_Input'!$Q$65))+IF('01_Input'!$T$65="Forfait",IF(AR$20&gt;='01_Input'!$R$65,'01_Input'!$U$65,0),IF('01_Input'!$T$65="Palier",IF(AND(AR$20&gt;='01_Input'!$R$65,AR$20&lt;'01_Input'!$S$65),'01_Input'!$U$65,0),MAX(MIN(AR$20,'01_Input'!$S$65)-'01_Input'!$R$65,0)*'01_Input'!$U$65))+IF('01_Input'!$X$65="Forfait",IF(AR$20&gt;='01_Input'!$V$65,'01_Input'!$Y$65,0),IF('01_Input'!$X$65="Palier",IF(AND(AR$20&gt;='01_Input'!$V$65,AR$20&lt;'01_Input'!$W$65),'01_Input'!$Y$65,0),MAX(MIN(AR$20,'01_Input'!$W$65)-'01_Input'!$V$65,0)*'01_Input'!$Y$65))+IF('01_Input'!$AB$65="Forfait",IF(AR$20&gt;='01_Input'!$Z$65,'01_Input'!$AC$65,0),IF('01_Input'!$AB$65="Palier",IF(AND(AR$20&gt;='01_Input'!$Z$65,AR$20&lt;'01_Input'!$AA$65),'01_Input'!$AC$65,0),MAX(MIN(AR$20,'01_Input'!$AA$65)-'01_Input'!$Z$65,0)*'01_Input'!$AC$65)))))))))</f>
        <v>0</v>
      </c>
      <c r="AS33" s="25">
        <f>IF('01_Input'!$C$65="Non",0,MIN('01_Input'!$I$65,MAX('01_Input'!$H$65,IF('01_Input'!$G$65="Résiduel vs Gestion",0,IF('01_Input'!$G$65="Taux Classe sélectionnée",Distrib_Global_Classe_Selectionnee*AS$20,IF('01_Input'!$G$65="Frais KYC (paliers de 100M€)",MAX(0,Nb_Investisseurs-Nb_KYC_Gratuites_Par_Tranche*(FLOOR(AS$20/Taille_Tranche_KYC,1)+1))*Cout_Par_KYC_Supplementaire,(IF('01_Input'!$L$65="Forfait",IF(AS$20&gt;='01_Input'!$J$65,'01_Input'!$M$65,0),IF('01_Input'!$L$65="Palier",IF(AND(AS$20&gt;='01_Input'!$J$65,AS$20&lt;'01_Input'!$K$65),'01_Input'!$M$65,0),MAX(MIN(AS$20,'01_Input'!$K$65)-'01_Input'!$J$65,0)*'01_Input'!$M$65))+IF('01_Input'!$P$65="Forfait",IF(AS$20&gt;='01_Input'!$N$65,'01_Input'!$Q$65,0),IF('01_Input'!$P$65="Palier",IF(AND(AS$20&gt;='01_Input'!$N$65,AS$20&lt;'01_Input'!$O$65),'01_Input'!$Q$65,0),MAX(MIN(AS$20,'01_Input'!$O$65)-'01_Input'!$N$65,0)*'01_Input'!$Q$65))+IF('01_Input'!$T$65="Forfait",IF(AS$20&gt;='01_Input'!$R$65,'01_Input'!$U$65,0),IF('01_Input'!$T$65="Palier",IF(AND(AS$20&gt;='01_Input'!$R$65,AS$20&lt;'01_Input'!$S$65),'01_Input'!$U$65,0),MAX(MIN(AS$20,'01_Input'!$S$65)-'01_Input'!$R$65,0)*'01_Input'!$U$65))+IF('01_Input'!$X$65="Forfait",IF(AS$20&gt;='01_Input'!$V$65,'01_Input'!$Y$65,0),IF('01_Input'!$X$65="Palier",IF(AND(AS$20&gt;='01_Input'!$V$65,AS$20&lt;'01_Input'!$W$65),'01_Input'!$Y$65,0),MAX(MIN(AS$20,'01_Input'!$W$65)-'01_Input'!$V$65,0)*'01_Input'!$Y$65))+IF('01_Input'!$AB$65="Forfait",IF(AS$20&gt;='01_Input'!$Z$65,'01_Input'!$AC$65,0),IF('01_Input'!$AB$65="Palier",IF(AND(AS$20&gt;='01_Input'!$Z$65,AS$20&lt;'01_Input'!$AA$65),'01_Input'!$AC$65,0),MAX(MIN(AS$20,'01_Input'!$AA$65)-'01_Input'!$Z$65,0)*'01_Input'!$AC$65)))))))))</f>
        <v>0</v>
      </c>
      <c r="AT33" s="25">
        <f>IF('01_Input'!$C$65="Non",0,MIN('01_Input'!$I$65,MAX('01_Input'!$H$65,IF('01_Input'!$G$65="Résiduel vs Gestion",0,IF('01_Input'!$G$65="Taux Classe sélectionnée",Distrib_Global_Classe_Selectionnee*AT$20,IF('01_Input'!$G$65="Frais KYC (paliers de 100M€)",MAX(0,Nb_Investisseurs-Nb_KYC_Gratuites_Par_Tranche*(FLOOR(AT$20/Taille_Tranche_KYC,1)+1))*Cout_Par_KYC_Supplementaire,(IF('01_Input'!$L$65="Forfait",IF(AT$20&gt;='01_Input'!$J$65,'01_Input'!$M$65,0),IF('01_Input'!$L$65="Palier",IF(AND(AT$20&gt;='01_Input'!$J$65,AT$20&lt;'01_Input'!$K$65),'01_Input'!$M$65,0),MAX(MIN(AT$20,'01_Input'!$K$65)-'01_Input'!$J$65,0)*'01_Input'!$M$65))+IF('01_Input'!$P$65="Forfait",IF(AT$20&gt;='01_Input'!$N$65,'01_Input'!$Q$65,0),IF('01_Input'!$P$65="Palier",IF(AND(AT$20&gt;='01_Input'!$N$65,AT$20&lt;'01_Input'!$O$65),'01_Input'!$Q$65,0),MAX(MIN(AT$20,'01_Input'!$O$65)-'01_Input'!$N$65,0)*'01_Input'!$Q$65))+IF('01_Input'!$T$65="Forfait",IF(AT$20&gt;='01_Input'!$R$65,'01_Input'!$U$65,0),IF('01_Input'!$T$65="Palier",IF(AND(AT$20&gt;='01_Input'!$R$65,AT$20&lt;'01_Input'!$S$65),'01_Input'!$U$65,0),MAX(MIN(AT$20,'01_Input'!$S$65)-'01_Input'!$R$65,0)*'01_Input'!$U$65))+IF('01_Input'!$X$65="Forfait",IF(AT$20&gt;='01_Input'!$V$65,'01_Input'!$Y$65,0),IF('01_Input'!$X$65="Palier",IF(AND(AT$20&gt;='01_Input'!$V$65,AT$20&lt;'01_Input'!$W$65),'01_Input'!$Y$65,0),MAX(MIN(AT$20,'01_Input'!$W$65)-'01_Input'!$V$65,0)*'01_Input'!$Y$65))+IF('01_Input'!$AB$65="Forfait",IF(AT$20&gt;='01_Input'!$Z$65,'01_Input'!$AC$65,0),IF('01_Input'!$AB$65="Palier",IF(AND(AT$20&gt;='01_Input'!$Z$65,AT$20&lt;'01_Input'!$AA$65),'01_Input'!$AC$65,0),MAX(MIN(AT$20,'01_Input'!$AA$65)-'01_Input'!$Z$65,0)*'01_Input'!$AC$65)))))))))</f>
        <v>0</v>
      </c>
      <c r="AU33" s="25">
        <f>IF('01_Input'!$C$65="Non",0,MIN('01_Input'!$I$65,MAX('01_Input'!$H$65,IF('01_Input'!$G$65="Résiduel vs Gestion",0,IF('01_Input'!$G$65="Taux Classe sélectionnée",Distrib_Global_Classe_Selectionnee*AU$20,IF('01_Input'!$G$65="Frais KYC (paliers de 100M€)",MAX(0,Nb_Investisseurs-Nb_KYC_Gratuites_Par_Tranche*(FLOOR(AU$20/Taille_Tranche_KYC,1)+1))*Cout_Par_KYC_Supplementaire,(IF('01_Input'!$L$65="Forfait",IF(AU$20&gt;='01_Input'!$J$65,'01_Input'!$M$65,0),IF('01_Input'!$L$65="Palier",IF(AND(AU$20&gt;='01_Input'!$J$65,AU$20&lt;'01_Input'!$K$65),'01_Input'!$M$65,0),MAX(MIN(AU$20,'01_Input'!$K$65)-'01_Input'!$J$65,0)*'01_Input'!$M$65))+IF('01_Input'!$P$65="Forfait",IF(AU$20&gt;='01_Input'!$N$65,'01_Input'!$Q$65,0),IF('01_Input'!$P$65="Palier",IF(AND(AU$20&gt;='01_Input'!$N$65,AU$20&lt;'01_Input'!$O$65),'01_Input'!$Q$65,0),MAX(MIN(AU$20,'01_Input'!$O$65)-'01_Input'!$N$65,0)*'01_Input'!$Q$65))+IF('01_Input'!$T$65="Forfait",IF(AU$20&gt;='01_Input'!$R$65,'01_Input'!$U$65,0),IF('01_Input'!$T$65="Palier",IF(AND(AU$20&gt;='01_Input'!$R$65,AU$20&lt;'01_Input'!$S$65),'01_Input'!$U$65,0),MAX(MIN(AU$20,'01_Input'!$S$65)-'01_Input'!$R$65,0)*'01_Input'!$U$65))+IF('01_Input'!$X$65="Forfait",IF(AU$20&gt;='01_Input'!$V$65,'01_Input'!$Y$65,0),IF('01_Input'!$X$65="Palier",IF(AND(AU$20&gt;='01_Input'!$V$65,AU$20&lt;'01_Input'!$W$65),'01_Input'!$Y$65,0),MAX(MIN(AU$20,'01_Input'!$W$65)-'01_Input'!$V$65,0)*'01_Input'!$Y$65))+IF('01_Input'!$AB$65="Forfait",IF(AU$20&gt;='01_Input'!$Z$65,'01_Input'!$AC$65,0),IF('01_Input'!$AB$65="Palier",IF(AND(AU$20&gt;='01_Input'!$Z$65,AU$20&lt;'01_Input'!$AA$65),'01_Input'!$AC$65,0),MAX(MIN(AU$20,'01_Input'!$AA$65)-'01_Input'!$Z$65,0)*'01_Input'!$AC$65)))))))))</f>
        <v>0</v>
      </c>
      <c r="AV33" s="25">
        <f>IF('01_Input'!$C$65="Non",0,MIN('01_Input'!$I$65,MAX('01_Input'!$H$65,IF('01_Input'!$G$65="Résiduel vs Gestion",0,IF('01_Input'!$G$65="Taux Classe sélectionnée",Distrib_Global_Classe_Selectionnee*AV$20,IF('01_Input'!$G$65="Frais KYC (paliers de 100M€)",MAX(0,Nb_Investisseurs-Nb_KYC_Gratuites_Par_Tranche*(FLOOR(AV$20/Taille_Tranche_KYC,1)+1))*Cout_Par_KYC_Supplementaire,(IF('01_Input'!$L$65="Forfait",IF(AV$20&gt;='01_Input'!$J$65,'01_Input'!$M$65,0),IF('01_Input'!$L$65="Palier",IF(AND(AV$20&gt;='01_Input'!$J$65,AV$20&lt;'01_Input'!$K$65),'01_Input'!$M$65,0),MAX(MIN(AV$20,'01_Input'!$K$65)-'01_Input'!$J$65,0)*'01_Input'!$M$65))+IF('01_Input'!$P$65="Forfait",IF(AV$20&gt;='01_Input'!$N$65,'01_Input'!$Q$65,0),IF('01_Input'!$P$65="Palier",IF(AND(AV$20&gt;='01_Input'!$N$65,AV$20&lt;'01_Input'!$O$65),'01_Input'!$Q$65,0),MAX(MIN(AV$20,'01_Input'!$O$65)-'01_Input'!$N$65,0)*'01_Input'!$Q$65))+IF('01_Input'!$T$65="Forfait",IF(AV$20&gt;='01_Input'!$R$65,'01_Input'!$U$65,0),IF('01_Input'!$T$65="Palier",IF(AND(AV$20&gt;='01_Input'!$R$65,AV$20&lt;'01_Input'!$S$65),'01_Input'!$U$65,0),MAX(MIN(AV$20,'01_Input'!$S$65)-'01_Input'!$R$65,0)*'01_Input'!$U$65))+IF('01_Input'!$X$65="Forfait",IF(AV$20&gt;='01_Input'!$V$65,'01_Input'!$Y$65,0),IF('01_Input'!$X$65="Palier",IF(AND(AV$20&gt;='01_Input'!$V$65,AV$20&lt;'01_Input'!$W$65),'01_Input'!$Y$65,0),MAX(MIN(AV$20,'01_Input'!$W$65)-'01_Input'!$V$65,0)*'01_Input'!$Y$65))+IF('01_Input'!$AB$65="Forfait",IF(AV$20&gt;='01_Input'!$Z$65,'01_Input'!$AC$65,0),IF('01_Input'!$AB$65="Palier",IF(AND(AV$20&gt;='01_Input'!$Z$65,AV$20&lt;'01_Input'!$AA$65),'01_Input'!$AC$65,0),MAX(MIN(AV$20,'01_Input'!$AA$65)-'01_Input'!$Z$65,0)*'01_Input'!$AC$65)))))))))</f>
        <v>0</v>
      </c>
      <c r="AW33" s="25">
        <f>IF('01_Input'!$C$65="Non",0,MIN('01_Input'!$I$65,MAX('01_Input'!$H$65,IF('01_Input'!$G$65="Résiduel vs Gestion",0,IF('01_Input'!$G$65="Taux Classe sélectionnée",Distrib_Global_Classe_Selectionnee*AW$20,IF('01_Input'!$G$65="Frais KYC (paliers de 100M€)",MAX(0,Nb_Investisseurs-Nb_KYC_Gratuites_Par_Tranche*(FLOOR(AW$20/Taille_Tranche_KYC,1)+1))*Cout_Par_KYC_Supplementaire,(IF('01_Input'!$L$65="Forfait",IF(AW$20&gt;='01_Input'!$J$65,'01_Input'!$M$65,0),IF('01_Input'!$L$65="Palier",IF(AND(AW$20&gt;='01_Input'!$J$65,AW$20&lt;'01_Input'!$K$65),'01_Input'!$M$65,0),MAX(MIN(AW$20,'01_Input'!$K$65)-'01_Input'!$J$65,0)*'01_Input'!$M$65))+IF('01_Input'!$P$65="Forfait",IF(AW$20&gt;='01_Input'!$N$65,'01_Input'!$Q$65,0),IF('01_Input'!$P$65="Palier",IF(AND(AW$20&gt;='01_Input'!$N$65,AW$20&lt;'01_Input'!$O$65),'01_Input'!$Q$65,0),MAX(MIN(AW$20,'01_Input'!$O$65)-'01_Input'!$N$65,0)*'01_Input'!$Q$65))+IF('01_Input'!$T$65="Forfait",IF(AW$20&gt;='01_Input'!$R$65,'01_Input'!$U$65,0),IF('01_Input'!$T$65="Palier",IF(AND(AW$20&gt;='01_Input'!$R$65,AW$20&lt;'01_Input'!$S$65),'01_Input'!$U$65,0),MAX(MIN(AW$20,'01_Input'!$S$65)-'01_Input'!$R$65,0)*'01_Input'!$U$65))+IF('01_Input'!$X$65="Forfait",IF(AW$20&gt;='01_Input'!$V$65,'01_Input'!$Y$65,0),IF('01_Input'!$X$65="Palier",IF(AND(AW$20&gt;='01_Input'!$V$65,AW$20&lt;'01_Input'!$W$65),'01_Input'!$Y$65,0),MAX(MIN(AW$20,'01_Input'!$W$65)-'01_Input'!$V$65,0)*'01_Input'!$Y$65))+IF('01_Input'!$AB$65="Forfait",IF(AW$20&gt;='01_Input'!$Z$65,'01_Input'!$AC$65,0),IF('01_Input'!$AB$65="Palier",IF(AND(AW$20&gt;='01_Input'!$Z$65,AW$20&lt;'01_Input'!$AA$65),'01_Input'!$AC$65,0),MAX(MIN(AW$20,'01_Input'!$AA$65)-'01_Input'!$Z$65,0)*'01_Input'!$AC$65)))))))))</f>
        <v>0</v>
      </c>
      <c r="AX33" s="25">
        <f>IF('01_Input'!$C$65="Non",0,MIN('01_Input'!$I$65,MAX('01_Input'!$H$65,IF('01_Input'!$G$65="Résiduel vs Gestion",0,IF('01_Input'!$G$65="Taux Classe sélectionnée",Distrib_Global_Classe_Selectionnee*AX$20,IF('01_Input'!$G$65="Frais KYC (paliers de 100M€)",MAX(0,Nb_Investisseurs-Nb_KYC_Gratuites_Par_Tranche*(FLOOR(AX$20/Taille_Tranche_KYC,1)+1))*Cout_Par_KYC_Supplementaire,(IF('01_Input'!$L$65="Forfait",IF(AX$20&gt;='01_Input'!$J$65,'01_Input'!$M$65,0),IF('01_Input'!$L$65="Palier",IF(AND(AX$20&gt;='01_Input'!$J$65,AX$20&lt;'01_Input'!$K$65),'01_Input'!$M$65,0),MAX(MIN(AX$20,'01_Input'!$K$65)-'01_Input'!$J$65,0)*'01_Input'!$M$65))+IF('01_Input'!$P$65="Forfait",IF(AX$20&gt;='01_Input'!$N$65,'01_Input'!$Q$65,0),IF('01_Input'!$P$65="Palier",IF(AND(AX$20&gt;='01_Input'!$N$65,AX$20&lt;'01_Input'!$O$65),'01_Input'!$Q$65,0),MAX(MIN(AX$20,'01_Input'!$O$65)-'01_Input'!$N$65,0)*'01_Input'!$Q$65))+IF('01_Input'!$T$65="Forfait",IF(AX$20&gt;='01_Input'!$R$65,'01_Input'!$U$65,0),IF('01_Input'!$T$65="Palier",IF(AND(AX$20&gt;='01_Input'!$R$65,AX$20&lt;'01_Input'!$S$65),'01_Input'!$U$65,0),MAX(MIN(AX$20,'01_Input'!$S$65)-'01_Input'!$R$65,0)*'01_Input'!$U$65))+IF('01_Input'!$X$65="Forfait",IF(AX$20&gt;='01_Input'!$V$65,'01_Input'!$Y$65,0),IF('01_Input'!$X$65="Palier",IF(AND(AX$20&gt;='01_Input'!$V$65,AX$20&lt;'01_Input'!$W$65),'01_Input'!$Y$65,0),MAX(MIN(AX$20,'01_Input'!$W$65)-'01_Input'!$V$65,0)*'01_Input'!$Y$65))+IF('01_Input'!$AB$65="Forfait",IF(AX$20&gt;='01_Input'!$Z$65,'01_Input'!$AC$65,0),IF('01_Input'!$AB$65="Palier",IF(AND(AX$20&gt;='01_Input'!$Z$65,AX$20&lt;'01_Input'!$AA$65),'01_Input'!$AC$65,0),MAX(MIN(AX$20,'01_Input'!$AA$65)-'01_Input'!$Z$65,0)*'01_Input'!$AC$65)))))))))</f>
        <v>0</v>
      </c>
      <c r="AY33" s="25">
        <f>IF('01_Input'!$C$65="Non",0,MIN('01_Input'!$I$65,MAX('01_Input'!$H$65,IF('01_Input'!$G$65="Résiduel vs Gestion",0,IF('01_Input'!$G$65="Taux Classe sélectionnée",Distrib_Global_Classe_Selectionnee*AY$20,IF('01_Input'!$G$65="Frais KYC (paliers de 100M€)",MAX(0,Nb_Investisseurs-Nb_KYC_Gratuites_Par_Tranche*(FLOOR(AY$20/Taille_Tranche_KYC,1)+1))*Cout_Par_KYC_Supplementaire,(IF('01_Input'!$L$65="Forfait",IF(AY$20&gt;='01_Input'!$J$65,'01_Input'!$M$65,0),IF('01_Input'!$L$65="Palier",IF(AND(AY$20&gt;='01_Input'!$J$65,AY$20&lt;'01_Input'!$K$65),'01_Input'!$M$65,0),MAX(MIN(AY$20,'01_Input'!$K$65)-'01_Input'!$J$65,0)*'01_Input'!$M$65))+IF('01_Input'!$P$65="Forfait",IF(AY$20&gt;='01_Input'!$N$65,'01_Input'!$Q$65,0),IF('01_Input'!$P$65="Palier",IF(AND(AY$20&gt;='01_Input'!$N$65,AY$20&lt;'01_Input'!$O$65),'01_Input'!$Q$65,0),MAX(MIN(AY$20,'01_Input'!$O$65)-'01_Input'!$N$65,0)*'01_Input'!$Q$65))+IF('01_Input'!$T$65="Forfait",IF(AY$20&gt;='01_Input'!$R$65,'01_Input'!$U$65,0),IF('01_Input'!$T$65="Palier",IF(AND(AY$20&gt;='01_Input'!$R$65,AY$20&lt;'01_Input'!$S$65),'01_Input'!$U$65,0),MAX(MIN(AY$20,'01_Input'!$S$65)-'01_Input'!$R$65,0)*'01_Input'!$U$65))+IF('01_Input'!$X$65="Forfait",IF(AY$20&gt;='01_Input'!$V$65,'01_Input'!$Y$65,0),IF('01_Input'!$X$65="Palier",IF(AND(AY$20&gt;='01_Input'!$V$65,AY$20&lt;'01_Input'!$W$65),'01_Input'!$Y$65,0),MAX(MIN(AY$20,'01_Input'!$W$65)-'01_Input'!$V$65,0)*'01_Input'!$Y$65))+IF('01_Input'!$AB$65="Forfait",IF(AY$20&gt;='01_Input'!$Z$65,'01_Input'!$AC$65,0),IF('01_Input'!$AB$65="Palier",IF(AND(AY$20&gt;='01_Input'!$Z$65,AY$20&lt;'01_Input'!$AA$65),'01_Input'!$AC$65,0),MAX(MIN(AY$20,'01_Input'!$AA$65)-'01_Input'!$Z$65,0)*'01_Input'!$AC$65)))))))))</f>
        <v>0</v>
      </c>
      <c r="AZ33" s="25">
        <f>IF('01_Input'!$C$65="Non",0,MIN('01_Input'!$I$65,MAX('01_Input'!$H$65,IF('01_Input'!$G$65="Résiduel vs Gestion",0,IF('01_Input'!$G$65="Taux Classe sélectionnée",Distrib_Global_Classe_Selectionnee*AZ$20,IF('01_Input'!$G$65="Frais KYC (paliers de 100M€)",MAX(0,Nb_Investisseurs-Nb_KYC_Gratuites_Par_Tranche*(FLOOR(AZ$20/Taille_Tranche_KYC,1)+1))*Cout_Par_KYC_Supplementaire,(IF('01_Input'!$L$65="Forfait",IF(AZ$20&gt;='01_Input'!$J$65,'01_Input'!$M$65,0),IF('01_Input'!$L$65="Palier",IF(AND(AZ$20&gt;='01_Input'!$J$65,AZ$20&lt;'01_Input'!$K$65),'01_Input'!$M$65,0),MAX(MIN(AZ$20,'01_Input'!$K$65)-'01_Input'!$J$65,0)*'01_Input'!$M$65))+IF('01_Input'!$P$65="Forfait",IF(AZ$20&gt;='01_Input'!$N$65,'01_Input'!$Q$65,0),IF('01_Input'!$P$65="Palier",IF(AND(AZ$20&gt;='01_Input'!$N$65,AZ$20&lt;'01_Input'!$O$65),'01_Input'!$Q$65,0),MAX(MIN(AZ$20,'01_Input'!$O$65)-'01_Input'!$N$65,0)*'01_Input'!$Q$65))+IF('01_Input'!$T$65="Forfait",IF(AZ$20&gt;='01_Input'!$R$65,'01_Input'!$U$65,0),IF('01_Input'!$T$65="Palier",IF(AND(AZ$20&gt;='01_Input'!$R$65,AZ$20&lt;'01_Input'!$S$65),'01_Input'!$U$65,0),MAX(MIN(AZ$20,'01_Input'!$S$65)-'01_Input'!$R$65,0)*'01_Input'!$U$65))+IF('01_Input'!$X$65="Forfait",IF(AZ$20&gt;='01_Input'!$V$65,'01_Input'!$Y$65,0),IF('01_Input'!$X$65="Palier",IF(AND(AZ$20&gt;='01_Input'!$V$65,AZ$20&lt;'01_Input'!$W$65),'01_Input'!$Y$65,0),MAX(MIN(AZ$20,'01_Input'!$W$65)-'01_Input'!$V$65,0)*'01_Input'!$Y$65))+IF('01_Input'!$AB$65="Forfait",IF(AZ$20&gt;='01_Input'!$Z$65,'01_Input'!$AC$65,0),IF('01_Input'!$AB$65="Palier",IF(AND(AZ$20&gt;='01_Input'!$Z$65,AZ$20&lt;'01_Input'!$AA$65),'01_Input'!$AC$65,0),MAX(MIN(AZ$20,'01_Input'!$AA$65)-'01_Input'!$Z$65,0)*'01_Input'!$AC$65)))))))))</f>
        <v>0</v>
      </c>
      <c r="BA33" s="25">
        <f>IF('01_Input'!$C$65="Non",0,MIN('01_Input'!$I$65,MAX('01_Input'!$H$65,IF('01_Input'!$G$65="Résiduel vs Gestion",0,IF('01_Input'!$G$65="Taux Classe sélectionnée",Distrib_Global_Classe_Selectionnee*BA$20,IF('01_Input'!$G$65="Frais KYC (paliers de 100M€)",MAX(0,Nb_Investisseurs-Nb_KYC_Gratuites_Par_Tranche*(FLOOR(BA$20/Taille_Tranche_KYC,1)+1))*Cout_Par_KYC_Supplementaire,(IF('01_Input'!$L$65="Forfait",IF(BA$20&gt;='01_Input'!$J$65,'01_Input'!$M$65,0),IF('01_Input'!$L$65="Palier",IF(AND(BA$20&gt;='01_Input'!$J$65,BA$20&lt;'01_Input'!$K$65),'01_Input'!$M$65,0),MAX(MIN(BA$20,'01_Input'!$K$65)-'01_Input'!$J$65,0)*'01_Input'!$M$65))+IF('01_Input'!$P$65="Forfait",IF(BA$20&gt;='01_Input'!$N$65,'01_Input'!$Q$65,0),IF('01_Input'!$P$65="Palier",IF(AND(BA$20&gt;='01_Input'!$N$65,BA$20&lt;'01_Input'!$O$65),'01_Input'!$Q$65,0),MAX(MIN(BA$20,'01_Input'!$O$65)-'01_Input'!$N$65,0)*'01_Input'!$Q$65))+IF('01_Input'!$T$65="Forfait",IF(BA$20&gt;='01_Input'!$R$65,'01_Input'!$U$65,0),IF('01_Input'!$T$65="Palier",IF(AND(BA$20&gt;='01_Input'!$R$65,BA$20&lt;'01_Input'!$S$65),'01_Input'!$U$65,0),MAX(MIN(BA$20,'01_Input'!$S$65)-'01_Input'!$R$65,0)*'01_Input'!$U$65))+IF('01_Input'!$X$65="Forfait",IF(BA$20&gt;='01_Input'!$V$65,'01_Input'!$Y$65,0),IF('01_Input'!$X$65="Palier",IF(AND(BA$20&gt;='01_Input'!$V$65,BA$20&lt;'01_Input'!$W$65),'01_Input'!$Y$65,0),MAX(MIN(BA$20,'01_Input'!$W$65)-'01_Input'!$V$65,0)*'01_Input'!$Y$65))+IF('01_Input'!$AB$65="Forfait",IF(BA$20&gt;='01_Input'!$Z$65,'01_Input'!$AC$65,0),IF('01_Input'!$AB$65="Palier",IF(AND(BA$20&gt;='01_Input'!$Z$65,BA$20&lt;'01_Input'!$AA$65),'01_Input'!$AC$65,0),MAX(MIN(BA$20,'01_Input'!$AA$65)-'01_Input'!$Z$65,0)*'01_Input'!$AC$65)))))))))</f>
        <v>0</v>
      </c>
      <c r="BB33" s="25">
        <f>IF('01_Input'!$C$65="Non",0,MIN('01_Input'!$I$65,MAX('01_Input'!$H$65,IF('01_Input'!$G$65="Résiduel vs Gestion",0,IF('01_Input'!$G$65="Taux Classe sélectionnée",Distrib_Global_Classe_Selectionnee*BB$20,IF('01_Input'!$G$65="Frais KYC (paliers de 100M€)",MAX(0,Nb_Investisseurs-Nb_KYC_Gratuites_Par_Tranche*(FLOOR(BB$20/Taille_Tranche_KYC,1)+1))*Cout_Par_KYC_Supplementaire,(IF('01_Input'!$L$65="Forfait",IF(BB$20&gt;='01_Input'!$J$65,'01_Input'!$M$65,0),IF('01_Input'!$L$65="Palier",IF(AND(BB$20&gt;='01_Input'!$J$65,BB$20&lt;'01_Input'!$K$65),'01_Input'!$M$65,0),MAX(MIN(BB$20,'01_Input'!$K$65)-'01_Input'!$J$65,0)*'01_Input'!$M$65))+IF('01_Input'!$P$65="Forfait",IF(BB$20&gt;='01_Input'!$N$65,'01_Input'!$Q$65,0),IF('01_Input'!$P$65="Palier",IF(AND(BB$20&gt;='01_Input'!$N$65,BB$20&lt;'01_Input'!$O$65),'01_Input'!$Q$65,0),MAX(MIN(BB$20,'01_Input'!$O$65)-'01_Input'!$N$65,0)*'01_Input'!$Q$65))+IF('01_Input'!$T$65="Forfait",IF(BB$20&gt;='01_Input'!$R$65,'01_Input'!$U$65,0),IF('01_Input'!$T$65="Palier",IF(AND(BB$20&gt;='01_Input'!$R$65,BB$20&lt;'01_Input'!$S$65),'01_Input'!$U$65,0),MAX(MIN(BB$20,'01_Input'!$S$65)-'01_Input'!$R$65,0)*'01_Input'!$U$65))+IF('01_Input'!$X$65="Forfait",IF(BB$20&gt;='01_Input'!$V$65,'01_Input'!$Y$65,0),IF('01_Input'!$X$65="Palier",IF(AND(BB$20&gt;='01_Input'!$V$65,BB$20&lt;'01_Input'!$W$65),'01_Input'!$Y$65,0),MAX(MIN(BB$20,'01_Input'!$W$65)-'01_Input'!$V$65,0)*'01_Input'!$Y$65))+IF('01_Input'!$AB$65="Forfait",IF(BB$20&gt;='01_Input'!$Z$65,'01_Input'!$AC$65,0),IF('01_Input'!$AB$65="Palier",IF(AND(BB$20&gt;='01_Input'!$Z$65,BB$20&lt;'01_Input'!$AA$65),'01_Input'!$AC$65,0),MAX(MIN(BB$20,'01_Input'!$AA$65)-'01_Input'!$Z$65,0)*'01_Input'!$AC$65)))))))))</f>
        <v>0</v>
      </c>
      <c r="BC33" s="25">
        <f>IF('01_Input'!$C$65="Non",0,MIN('01_Input'!$I$65,MAX('01_Input'!$H$65,IF('01_Input'!$G$65="Résiduel vs Gestion",0,IF('01_Input'!$G$65="Taux Classe sélectionnée",Distrib_Global_Classe_Selectionnee*BC$20,IF('01_Input'!$G$65="Frais KYC (paliers de 100M€)",MAX(0,Nb_Investisseurs-Nb_KYC_Gratuites_Par_Tranche*(FLOOR(BC$20/Taille_Tranche_KYC,1)+1))*Cout_Par_KYC_Supplementaire,(IF('01_Input'!$L$65="Forfait",IF(BC$20&gt;='01_Input'!$J$65,'01_Input'!$M$65,0),IF('01_Input'!$L$65="Palier",IF(AND(BC$20&gt;='01_Input'!$J$65,BC$20&lt;'01_Input'!$K$65),'01_Input'!$M$65,0),MAX(MIN(BC$20,'01_Input'!$K$65)-'01_Input'!$J$65,0)*'01_Input'!$M$65))+IF('01_Input'!$P$65="Forfait",IF(BC$20&gt;='01_Input'!$N$65,'01_Input'!$Q$65,0),IF('01_Input'!$P$65="Palier",IF(AND(BC$20&gt;='01_Input'!$N$65,BC$20&lt;'01_Input'!$O$65),'01_Input'!$Q$65,0),MAX(MIN(BC$20,'01_Input'!$O$65)-'01_Input'!$N$65,0)*'01_Input'!$Q$65))+IF('01_Input'!$T$65="Forfait",IF(BC$20&gt;='01_Input'!$R$65,'01_Input'!$U$65,0),IF('01_Input'!$T$65="Palier",IF(AND(BC$20&gt;='01_Input'!$R$65,BC$20&lt;'01_Input'!$S$65),'01_Input'!$U$65,0),MAX(MIN(BC$20,'01_Input'!$S$65)-'01_Input'!$R$65,0)*'01_Input'!$U$65))+IF('01_Input'!$X$65="Forfait",IF(BC$20&gt;='01_Input'!$V$65,'01_Input'!$Y$65,0),IF('01_Input'!$X$65="Palier",IF(AND(BC$20&gt;='01_Input'!$V$65,BC$20&lt;'01_Input'!$W$65),'01_Input'!$Y$65,0),MAX(MIN(BC$20,'01_Input'!$W$65)-'01_Input'!$V$65,0)*'01_Input'!$Y$65))+IF('01_Input'!$AB$65="Forfait",IF(BC$20&gt;='01_Input'!$Z$65,'01_Input'!$AC$65,0),IF('01_Input'!$AB$65="Palier",IF(AND(BC$20&gt;='01_Input'!$Z$65,BC$20&lt;'01_Input'!$AA$65),'01_Input'!$AC$65,0),MAX(MIN(BC$20,'01_Input'!$AA$65)-'01_Input'!$Z$65,0)*'01_Input'!$AC$65)))))))))</f>
        <v>0</v>
      </c>
      <c r="BD33" s="25">
        <f>IF('01_Input'!$C$65="Non",0,MIN('01_Input'!$I$65,MAX('01_Input'!$H$65,IF('01_Input'!$G$65="Résiduel vs Gestion",0,IF('01_Input'!$G$65="Taux Classe sélectionnée",Distrib_Global_Classe_Selectionnee*BD$20,IF('01_Input'!$G$65="Frais KYC (paliers de 100M€)",MAX(0,Nb_Investisseurs-Nb_KYC_Gratuites_Par_Tranche*(FLOOR(BD$20/Taille_Tranche_KYC,1)+1))*Cout_Par_KYC_Supplementaire,(IF('01_Input'!$L$65="Forfait",IF(BD$20&gt;='01_Input'!$J$65,'01_Input'!$M$65,0),IF('01_Input'!$L$65="Palier",IF(AND(BD$20&gt;='01_Input'!$J$65,BD$20&lt;'01_Input'!$K$65),'01_Input'!$M$65,0),MAX(MIN(BD$20,'01_Input'!$K$65)-'01_Input'!$J$65,0)*'01_Input'!$M$65))+IF('01_Input'!$P$65="Forfait",IF(BD$20&gt;='01_Input'!$N$65,'01_Input'!$Q$65,0),IF('01_Input'!$P$65="Palier",IF(AND(BD$20&gt;='01_Input'!$N$65,BD$20&lt;'01_Input'!$O$65),'01_Input'!$Q$65,0),MAX(MIN(BD$20,'01_Input'!$O$65)-'01_Input'!$N$65,0)*'01_Input'!$Q$65))+IF('01_Input'!$T$65="Forfait",IF(BD$20&gt;='01_Input'!$R$65,'01_Input'!$U$65,0),IF('01_Input'!$T$65="Palier",IF(AND(BD$20&gt;='01_Input'!$R$65,BD$20&lt;'01_Input'!$S$65),'01_Input'!$U$65,0),MAX(MIN(BD$20,'01_Input'!$S$65)-'01_Input'!$R$65,0)*'01_Input'!$U$65))+IF('01_Input'!$X$65="Forfait",IF(BD$20&gt;='01_Input'!$V$65,'01_Input'!$Y$65,0),IF('01_Input'!$X$65="Palier",IF(AND(BD$20&gt;='01_Input'!$V$65,BD$20&lt;'01_Input'!$W$65),'01_Input'!$Y$65,0),MAX(MIN(BD$20,'01_Input'!$W$65)-'01_Input'!$V$65,0)*'01_Input'!$Y$65))+IF('01_Input'!$AB$65="Forfait",IF(BD$20&gt;='01_Input'!$Z$65,'01_Input'!$AC$65,0),IF('01_Input'!$AB$65="Palier",IF(AND(BD$20&gt;='01_Input'!$Z$65,BD$20&lt;'01_Input'!$AA$65),'01_Input'!$AC$65,0),MAX(MIN(BD$20,'01_Input'!$AA$65)-'01_Input'!$Z$65,0)*'01_Input'!$AC$65)))))))))</f>
        <v>0</v>
      </c>
      <c r="BE33" s="25">
        <f>IF('01_Input'!$C$65="Non",0,MIN('01_Input'!$I$65,MAX('01_Input'!$H$65,IF('01_Input'!$G$65="Résiduel vs Gestion",0,IF('01_Input'!$G$65="Taux Classe sélectionnée",Distrib_Global_Classe_Selectionnee*BE$20,IF('01_Input'!$G$65="Frais KYC (paliers de 100M€)",MAX(0,Nb_Investisseurs-Nb_KYC_Gratuites_Par_Tranche*(FLOOR(BE$20/Taille_Tranche_KYC,1)+1))*Cout_Par_KYC_Supplementaire,(IF('01_Input'!$L$65="Forfait",IF(BE$20&gt;='01_Input'!$J$65,'01_Input'!$M$65,0),IF('01_Input'!$L$65="Palier",IF(AND(BE$20&gt;='01_Input'!$J$65,BE$20&lt;'01_Input'!$K$65),'01_Input'!$M$65,0),MAX(MIN(BE$20,'01_Input'!$K$65)-'01_Input'!$J$65,0)*'01_Input'!$M$65))+IF('01_Input'!$P$65="Forfait",IF(BE$20&gt;='01_Input'!$N$65,'01_Input'!$Q$65,0),IF('01_Input'!$P$65="Palier",IF(AND(BE$20&gt;='01_Input'!$N$65,BE$20&lt;'01_Input'!$O$65),'01_Input'!$Q$65,0),MAX(MIN(BE$20,'01_Input'!$O$65)-'01_Input'!$N$65,0)*'01_Input'!$Q$65))+IF('01_Input'!$T$65="Forfait",IF(BE$20&gt;='01_Input'!$R$65,'01_Input'!$U$65,0),IF('01_Input'!$T$65="Palier",IF(AND(BE$20&gt;='01_Input'!$R$65,BE$20&lt;'01_Input'!$S$65),'01_Input'!$U$65,0),MAX(MIN(BE$20,'01_Input'!$S$65)-'01_Input'!$R$65,0)*'01_Input'!$U$65))+IF('01_Input'!$X$65="Forfait",IF(BE$20&gt;='01_Input'!$V$65,'01_Input'!$Y$65,0),IF('01_Input'!$X$65="Palier",IF(AND(BE$20&gt;='01_Input'!$V$65,BE$20&lt;'01_Input'!$W$65),'01_Input'!$Y$65,0),MAX(MIN(BE$20,'01_Input'!$W$65)-'01_Input'!$V$65,0)*'01_Input'!$Y$65))+IF('01_Input'!$AB$65="Forfait",IF(BE$20&gt;='01_Input'!$Z$65,'01_Input'!$AC$65,0),IF('01_Input'!$AB$65="Palier",IF(AND(BE$20&gt;='01_Input'!$Z$65,BE$20&lt;'01_Input'!$AA$65),'01_Input'!$AC$65,0),MAX(MIN(BE$20,'01_Input'!$AA$65)-'01_Input'!$Z$65,0)*'01_Input'!$AC$65)))))))))</f>
        <v>0</v>
      </c>
      <c r="BF33" s="25">
        <f>IF('01_Input'!$C$65="Non",0,MIN('01_Input'!$I$65,MAX('01_Input'!$H$65,IF('01_Input'!$G$65="Résiduel vs Gestion",0,IF('01_Input'!$G$65="Taux Classe sélectionnée",Distrib_Global_Classe_Selectionnee*BF$20,IF('01_Input'!$G$65="Frais KYC (paliers de 100M€)",MAX(0,Nb_Investisseurs-Nb_KYC_Gratuites_Par_Tranche*(FLOOR(BF$20/Taille_Tranche_KYC,1)+1))*Cout_Par_KYC_Supplementaire,(IF('01_Input'!$L$65="Forfait",IF(BF$20&gt;='01_Input'!$J$65,'01_Input'!$M$65,0),IF('01_Input'!$L$65="Palier",IF(AND(BF$20&gt;='01_Input'!$J$65,BF$20&lt;'01_Input'!$K$65),'01_Input'!$M$65,0),MAX(MIN(BF$20,'01_Input'!$K$65)-'01_Input'!$J$65,0)*'01_Input'!$M$65))+IF('01_Input'!$P$65="Forfait",IF(BF$20&gt;='01_Input'!$N$65,'01_Input'!$Q$65,0),IF('01_Input'!$P$65="Palier",IF(AND(BF$20&gt;='01_Input'!$N$65,BF$20&lt;'01_Input'!$O$65),'01_Input'!$Q$65,0),MAX(MIN(BF$20,'01_Input'!$O$65)-'01_Input'!$N$65,0)*'01_Input'!$Q$65))+IF('01_Input'!$T$65="Forfait",IF(BF$20&gt;='01_Input'!$R$65,'01_Input'!$U$65,0),IF('01_Input'!$T$65="Palier",IF(AND(BF$20&gt;='01_Input'!$R$65,BF$20&lt;'01_Input'!$S$65),'01_Input'!$U$65,0),MAX(MIN(BF$20,'01_Input'!$S$65)-'01_Input'!$R$65,0)*'01_Input'!$U$65))+IF('01_Input'!$X$65="Forfait",IF(BF$20&gt;='01_Input'!$V$65,'01_Input'!$Y$65,0),IF('01_Input'!$X$65="Palier",IF(AND(BF$20&gt;='01_Input'!$V$65,BF$20&lt;'01_Input'!$W$65),'01_Input'!$Y$65,0),MAX(MIN(BF$20,'01_Input'!$W$65)-'01_Input'!$V$65,0)*'01_Input'!$Y$65))+IF('01_Input'!$AB$65="Forfait",IF(BF$20&gt;='01_Input'!$Z$65,'01_Input'!$AC$65,0),IF('01_Input'!$AB$65="Palier",IF(AND(BF$20&gt;='01_Input'!$Z$65,BF$20&lt;'01_Input'!$AA$65),'01_Input'!$AC$65,0),MAX(MIN(BF$20,'01_Input'!$AA$65)-'01_Input'!$Z$65,0)*'01_Input'!$AC$65)))))))))</f>
        <v>0</v>
      </c>
      <c r="BG33" s="25">
        <f>IF('01_Input'!$C$65="Non",0,MIN('01_Input'!$I$65,MAX('01_Input'!$H$65,IF('01_Input'!$G$65="Résiduel vs Gestion",0,IF('01_Input'!$G$65="Taux Classe sélectionnée",Distrib_Global_Classe_Selectionnee*BG$20,IF('01_Input'!$G$65="Frais KYC (paliers de 100M€)",MAX(0,Nb_Investisseurs-Nb_KYC_Gratuites_Par_Tranche*(FLOOR(BG$20/Taille_Tranche_KYC,1)+1))*Cout_Par_KYC_Supplementaire,(IF('01_Input'!$L$65="Forfait",IF(BG$20&gt;='01_Input'!$J$65,'01_Input'!$M$65,0),IF('01_Input'!$L$65="Palier",IF(AND(BG$20&gt;='01_Input'!$J$65,BG$20&lt;'01_Input'!$K$65),'01_Input'!$M$65,0),MAX(MIN(BG$20,'01_Input'!$K$65)-'01_Input'!$J$65,0)*'01_Input'!$M$65))+IF('01_Input'!$P$65="Forfait",IF(BG$20&gt;='01_Input'!$N$65,'01_Input'!$Q$65,0),IF('01_Input'!$P$65="Palier",IF(AND(BG$20&gt;='01_Input'!$N$65,BG$20&lt;'01_Input'!$O$65),'01_Input'!$Q$65,0),MAX(MIN(BG$20,'01_Input'!$O$65)-'01_Input'!$N$65,0)*'01_Input'!$Q$65))+IF('01_Input'!$T$65="Forfait",IF(BG$20&gt;='01_Input'!$R$65,'01_Input'!$U$65,0),IF('01_Input'!$T$65="Palier",IF(AND(BG$20&gt;='01_Input'!$R$65,BG$20&lt;'01_Input'!$S$65),'01_Input'!$U$65,0),MAX(MIN(BG$20,'01_Input'!$S$65)-'01_Input'!$R$65,0)*'01_Input'!$U$65))+IF('01_Input'!$X$65="Forfait",IF(BG$20&gt;='01_Input'!$V$65,'01_Input'!$Y$65,0),IF('01_Input'!$X$65="Palier",IF(AND(BG$20&gt;='01_Input'!$V$65,BG$20&lt;'01_Input'!$W$65),'01_Input'!$Y$65,0),MAX(MIN(BG$20,'01_Input'!$W$65)-'01_Input'!$V$65,0)*'01_Input'!$Y$65))+IF('01_Input'!$AB$65="Forfait",IF(BG$20&gt;='01_Input'!$Z$65,'01_Input'!$AC$65,0),IF('01_Input'!$AB$65="Palier",IF(AND(BG$20&gt;='01_Input'!$Z$65,BG$20&lt;'01_Input'!$AA$65),'01_Input'!$AC$65,0),MAX(MIN(BG$20,'01_Input'!$AA$65)-'01_Input'!$Z$65,0)*'01_Input'!$AC$65)))))))))</f>
        <v>0</v>
      </c>
      <c r="BH33" s="25">
        <f>IF('01_Input'!$C$65="Non",0,MIN('01_Input'!$I$65,MAX('01_Input'!$H$65,IF('01_Input'!$G$65="Résiduel vs Gestion",0,IF('01_Input'!$G$65="Taux Classe sélectionnée",Distrib_Global_Classe_Selectionnee*BH$20,IF('01_Input'!$G$65="Frais KYC (paliers de 100M€)",MAX(0,Nb_Investisseurs-Nb_KYC_Gratuites_Par_Tranche*(FLOOR(BH$20/Taille_Tranche_KYC,1)+1))*Cout_Par_KYC_Supplementaire,(IF('01_Input'!$L$65="Forfait",IF(BH$20&gt;='01_Input'!$J$65,'01_Input'!$M$65,0),IF('01_Input'!$L$65="Palier",IF(AND(BH$20&gt;='01_Input'!$J$65,BH$20&lt;'01_Input'!$K$65),'01_Input'!$M$65,0),MAX(MIN(BH$20,'01_Input'!$K$65)-'01_Input'!$J$65,0)*'01_Input'!$M$65))+IF('01_Input'!$P$65="Forfait",IF(BH$20&gt;='01_Input'!$N$65,'01_Input'!$Q$65,0),IF('01_Input'!$P$65="Palier",IF(AND(BH$20&gt;='01_Input'!$N$65,BH$20&lt;'01_Input'!$O$65),'01_Input'!$Q$65,0),MAX(MIN(BH$20,'01_Input'!$O$65)-'01_Input'!$N$65,0)*'01_Input'!$Q$65))+IF('01_Input'!$T$65="Forfait",IF(BH$20&gt;='01_Input'!$R$65,'01_Input'!$U$65,0),IF('01_Input'!$T$65="Palier",IF(AND(BH$20&gt;='01_Input'!$R$65,BH$20&lt;'01_Input'!$S$65),'01_Input'!$U$65,0),MAX(MIN(BH$20,'01_Input'!$S$65)-'01_Input'!$R$65,0)*'01_Input'!$U$65))+IF('01_Input'!$X$65="Forfait",IF(BH$20&gt;='01_Input'!$V$65,'01_Input'!$Y$65,0),IF('01_Input'!$X$65="Palier",IF(AND(BH$20&gt;='01_Input'!$V$65,BH$20&lt;'01_Input'!$W$65),'01_Input'!$Y$65,0),MAX(MIN(BH$20,'01_Input'!$W$65)-'01_Input'!$V$65,0)*'01_Input'!$Y$65))+IF('01_Input'!$AB$65="Forfait",IF(BH$20&gt;='01_Input'!$Z$65,'01_Input'!$AC$65,0),IF('01_Input'!$AB$65="Palier",IF(AND(BH$20&gt;='01_Input'!$Z$65,BH$20&lt;'01_Input'!$AA$65),'01_Input'!$AC$65,0),MAX(MIN(BH$20,'01_Input'!$AA$65)-'01_Input'!$Z$65,0)*'01_Input'!$AC$65)))))))))</f>
        <v>0</v>
      </c>
      <c r="BI33" s="25">
        <f>IF('01_Input'!$C$65="Non",0,MIN('01_Input'!$I$65,MAX('01_Input'!$H$65,IF('01_Input'!$G$65="Résiduel vs Gestion",0,IF('01_Input'!$G$65="Taux Classe sélectionnée",Distrib_Global_Classe_Selectionnee*BI$20,IF('01_Input'!$G$65="Frais KYC (paliers de 100M€)",MAX(0,Nb_Investisseurs-Nb_KYC_Gratuites_Par_Tranche*(FLOOR(BI$20/Taille_Tranche_KYC,1)+1))*Cout_Par_KYC_Supplementaire,(IF('01_Input'!$L$65="Forfait",IF(BI$20&gt;='01_Input'!$J$65,'01_Input'!$M$65,0),IF('01_Input'!$L$65="Palier",IF(AND(BI$20&gt;='01_Input'!$J$65,BI$20&lt;'01_Input'!$K$65),'01_Input'!$M$65,0),MAX(MIN(BI$20,'01_Input'!$K$65)-'01_Input'!$J$65,0)*'01_Input'!$M$65))+IF('01_Input'!$P$65="Forfait",IF(BI$20&gt;='01_Input'!$N$65,'01_Input'!$Q$65,0),IF('01_Input'!$P$65="Palier",IF(AND(BI$20&gt;='01_Input'!$N$65,BI$20&lt;'01_Input'!$O$65),'01_Input'!$Q$65,0),MAX(MIN(BI$20,'01_Input'!$O$65)-'01_Input'!$N$65,0)*'01_Input'!$Q$65))+IF('01_Input'!$T$65="Forfait",IF(BI$20&gt;='01_Input'!$R$65,'01_Input'!$U$65,0),IF('01_Input'!$T$65="Palier",IF(AND(BI$20&gt;='01_Input'!$R$65,BI$20&lt;'01_Input'!$S$65),'01_Input'!$U$65,0),MAX(MIN(BI$20,'01_Input'!$S$65)-'01_Input'!$R$65,0)*'01_Input'!$U$65))+IF('01_Input'!$X$65="Forfait",IF(BI$20&gt;='01_Input'!$V$65,'01_Input'!$Y$65,0),IF('01_Input'!$X$65="Palier",IF(AND(BI$20&gt;='01_Input'!$V$65,BI$20&lt;'01_Input'!$W$65),'01_Input'!$Y$65,0),MAX(MIN(BI$20,'01_Input'!$W$65)-'01_Input'!$V$65,0)*'01_Input'!$Y$65))+IF('01_Input'!$AB$65="Forfait",IF(BI$20&gt;='01_Input'!$Z$65,'01_Input'!$AC$65,0),IF('01_Input'!$AB$65="Palier",IF(AND(BI$20&gt;='01_Input'!$Z$65,BI$20&lt;'01_Input'!$AA$65),'01_Input'!$AC$65,0),MAX(MIN(BI$20,'01_Input'!$AA$65)-'01_Input'!$Z$65,0)*'01_Input'!$AC$65)))))))))</f>
        <v>0</v>
      </c>
      <c r="BJ33" s="25">
        <f>IF('01_Input'!$C$65="Non",0,MIN('01_Input'!$I$65,MAX('01_Input'!$H$65,IF('01_Input'!$G$65="Résiduel vs Gestion",0,IF('01_Input'!$G$65="Taux Classe sélectionnée",Distrib_Global_Classe_Selectionnee*BJ$20,IF('01_Input'!$G$65="Frais KYC (paliers de 100M€)",MAX(0,Nb_Investisseurs-Nb_KYC_Gratuites_Par_Tranche*(FLOOR(BJ$20/Taille_Tranche_KYC,1)+1))*Cout_Par_KYC_Supplementaire,(IF('01_Input'!$L$65="Forfait",IF(BJ$20&gt;='01_Input'!$J$65,'01_Input'!$M$65,0),IF('01_Input'!$L$65="Palier",IF(AND(BJ$20&gt;='01_Input'!$J$65,BJ$20&lt;'01_Input'!$K$65),'01_Input'!$M$65,0),MAX(MIN(BJ$20,'01_Input'!$K$65)-'01_Input'!$J$65,0)*'01_Input'!$M$65))+IF('01_Input'!$P$65="Forfait",IF(BJ$20&gt;='01_Input'!$N$65,'01_Input'!$Q$65,0),IF('01_Input'!$P$65="Palier",IF(AND(BJ$20&gt;='01_Input'!$N$65,BJ$20&lt;'01_Input'!$O$65),'01_Input'!$Q$65,0),MAX(MIN(BJ$20,'01_Input'!$O$65)-'01_Input'!$N$65,0)*'01_Input'!$Q$65))+IF('01_Input'!$T$65="Forfait",IF(BJ$20&gt;='01_Input'!$R$65,'01_Input'!$U$65,0),IF('01_Input'!$T$65="Palier",IF(AND(BJ$20&gt;='01_Input'!$R$65,BJ$20&lt;'01_Input'!$S$65),'01_Input'!$U$65,0),MAX(MIN(BJ$20,'01_Input'!$S$65)-'01_Input'!$R$65,0)*'01_Input'!$U$65))+IF('01_Input'!$X$65="Forfait",IF(BJ$20&gt;='01_Input'!$V$65,'01_Input'!$Y$65,0),IF('01_Input'!$X$65="Palier",IF(AND(BJ$20&gt;='01_Input'!$V$65,BJ$20&lt;'01_Input'!$W$65),'01_Input'!$Y$65,0),MAX(MIN(BJ$20,'01_Input'!$W$65)-'01_Input'!$V$65,0)*'01_Input'!$Y$65))+IF('01_Input'!$AB$65="Forfait",IF(BJ$20&gt;='01_Input'!$Z$65,'01_Input'!$AC$65,0),IF('01_Input'!$AB$65="Palier",IF(AND(BJ$20&gt;='01_Input'!$Z$65,BJ$20&lt;'01_Input'!$AA$65),'01_Input'!$AC$65,0),MAX(MIN(BJ$20,'01_Input'!$AA$65)-'01_Input'!$Z$65,0)*'01_Input'!$AC$65)))))))))</f>
        <v>0</v>
      </c>
      <c r="BK33" s="25">
        <f>IF('01_Input'!$C$65="Non",0,MIN('01_Input'!$I$65,MAX('01_Input'!$H$65,IF('01_Input'!$G$65="Résiduel vs Gestion",0,IF('01_Input'!$G$65="Taux Classe sélectionnée",Distrib_Global_Classe_Selectionnee*BK$20,IF('01_Input'!$G$65="Frais KYC (paliers de 100M€)",MAX(0,Nb_Investisseurs-Nb_KYC_Gratuites_Par_Tranche*(FLOOR(BK$20/Taille_Tranche_KYC,1)+1))*Cout_Par_KYC_Supplementaire,(IF('01_Input'!$L$65="Forfait",IF(BK$20&gt;='01_Input'!$J$65,'01_Input'!$M$65,0),IF('01_Input'!$L$65="Palier",IF(AND(BK$20&gt;='01_Input'!$J$65,BK$20&lt;'01_Input'!$K$65),'01_Input'!$M$65,0),MAX(MIN(BK$20,'01_Input'!$K$65)-'01_Input'!$J$65,0)*'01_Input'!$M$65))+IF('01_Input'!$P$65="Forfait",IF(BK$20&gt;='01_Input'!$N$65,'01_Input'!$Q$65,0),IF('01_Input'!$P$65="Palier",IF(AND(BK$20&gt;='01_Input'!$N$65,BK$20&lt;'01_Input'!$O$65),'01_Input'!$Q$65,0),MAX(MIN(BK$20,'01_Input'!$O$65)-'01_Input'!$N$65,0)*'01_Input'!$Q$65))+IF('01_Input'!$T$65="Forfait",IF(BK$20&gt;='01_Input'!$R$65,'01_Input'!$U$65,0),IF('01_Input'!$T$65="Palier",IF(AND(BK$20&gt;='01_Input'!$R$65,BK$20&lt;'01_Input'!$S$65),'01_Input'!$U$65,0),MAX(MIN(BK$20,'01_Input'!$S$65)-'01_Input'!$R$65,0)*'01_Input'!$U$65))+IF('01_Input'!$X$65="Forfait",IF(BK$20&gt;='01_Input'!$V$65,'01_Input'!$Y$65,0),IF('01_Input'!$X$65="Palier",IF(AND(BK$20&gt;='01_Input'!$V$65,BK$20&lt;'01_Input'!$W$65),'01_Input'!$Y$65,0),MAX(MIN(BK$20,'01_Input'!$W$65)-'01_Input'!$V$65,0)*'01_Input'!$Y$65))+IF('01_Input'!$AB$65="Forfait",IF(BK$20&gt;='01_Input'!$Z$65,'01_Input'!$AC$65,0),IF('01_Input'!$AB$65="Palier",IF(AND(BK$20&gt;='01_Input'!$Z$65,BK$20&lt;'01_Input'!$AA$65),'01_Input'!$AC$65,0),MAX(MIN(BK$20,'01_Input'!$AA$65)-'01_Input'!$Z$65,0)*'01_Input'!$AC$65)))))))))</f>
        <v>0</v>
      </c>
      <c r="BL33" s="25">
        <f>IF('01_Input'!$C$65="Non",0,MIN('01_Input'!$I$65,MAX('01_Input'!$H$65,IF('01_Input'!$G$65="Résiduel vs Gestion",0,IF('01_Input'!$G$65="Taux Classe sélectionnée",Distrib_Global_Classe_Selectionnee*BL$20,IF('01_Input'!$G$65="Frais KYC (paliers de 100M€)",MAX(0,Nb_Investisseurs-Nb_KYC_Gratuites_Par_Tranche*(FLOOR(BL$20/Taille_Tranche_KYC,1)+1))*Cout_Par_KYC_Supplementaire,(IF('01_Input'!$L$65="Forfait",IF(BL$20&gt;='01_Input'!$J$65,'01_Input'!$M$65,0),IF('01_Input'!$L$65="Palier",IF(AND(BL$20&gt;='01_Input'!$J$65,BL$20&lt;'01_Input'!$K$65),'01_Input'!$M$65,0),MAX(MIN(BL$20,'01_Input'!$K$65)-'01_Input'!$J$65,0)*'01_Input'!$M$65))+IF('01_Input'!$P$65="Forfait",IF(BL$20&gt;='01_Input'!$N$65,'01_Input'!$Q$65,0),IF('01_Input'!$P$65="Palier",IF(AND(BL$20&gt;='01_Input'!$N$65,BL$20&lt;'01_Input'!$O$65),'01_Input'!$Q$65,0),MAX(MIN(BL$20,'01_Input'!$O$65)-'01_Input'!$N$65,0)*'01_Input'!$Q$65))+IF('01_Input'!$T$65="Forfait",IF(BL$20&gt;='01_Input'!$R$65,'01_Input'!$U$65,0),IF('01_Input'!$T$65="Palier",IF(AND(BL$20&gt;='01_Input'!$R$65,BL$20&lt;'01_Input'!$S$65),'01_Input'!$U$65,0),MAX(MIN(BL$20,'01_Input'!$S$65)-'01_Input'!$R$65,0)*'01_Input'!$U$65))+IF('01_Input'!$X$65="Forfait",IF(BL$20&gt;='01_Input'!$V$65,'01_Input'!$Y$65,0),IF('01_Input'!$X$65="Palier",IF(AND(BL$20&gt;='01_Input'!$V$65,BL$20&lt;'01_Input'!$W$65),'01_Input'!$Y$65,0),MAX(MIN(BL$20,'01_Input'!$W$65)-'01_Input'!$V$65,0)*'01_Input'!$Y$65))+IF('01_Input'!$AB$65="Forfait",IF(BL$20&gt;='01_Input'!$Z$65,'01_Input'!$AC$65,0),IF('01_Input'!$AB$65="Palier",IF(AND(BL$20&gt;='01_Input'!$Z$65,BL$20&lt;'01_Input'!$AA$65),'01_Input'!$AC$65,0),MAX(MIN(BL$20,'01_Input'!$AA$65)-'01_Input'!$Z$65,0)*'01_Input'!$AC$65)))))))))</f>
        <v>0</v>
      </c>
      <c r="BM33" s="25">
        <f>IF('01_Input'!$C$65="Non",0,MIN('01_Input'!$I$65,MAX('01_Input'!$H$65,IF('01_Input'!$G$65="Résiduel vs Gestion",0,IF('01_Input'!$G$65="Taux Classe sélectionnée",Distrib_Global_Classe_Selectionnee*BM$20,IF('01_Input'!$G$65="Frais KYC (paliers de 100M€)",MAX(0,Nb_Investisseurs-Nb_KYC_Gratuites_Par_Tranche*(FLOOR(BM$20/Taille_Tranche_KYC,1)+1))*Cout_Par_KYC_Supplementaire,(IF('01_Input'!$L$65="Forfait",IF(BM$20&gt;='01_Input'!$J$65,'01_Input'!$M$65,0),IF('01_Input'!$L$65="Palier",IF(AND(BM$20&gt;='01_Input'!$J$65,BM$20&lt;'01_Input'!$K$65),'01_Input'!$M$65,0),MAX(MIN(BM$20,'01_Input'!$K$65)-'01_Input'!$J$65,0)*'01_Input'!$M$65))+IF('01_Input'!$P$65="Forfait",IF(BM$20&gt;='01_Input'!$N$65,'01_Input'!$Q$65,0),IF('01_Input'!$P$65="Palier",IF(AND(BM$20&gt;='01_Input'!$N$65,BM$20&lt;'01_Input'!$O$65),'01_Input'!$Q$65,0),MAX(MIN(BM$20,'01_Input'!$O$65)-'01_Input'!$N$65,0)*'01_Input'!$Q$65))+IF('01_Input'!$T$65="Forfait",IF(BM$20&gt;='01_Input'!$R$65,'01_Input'!$U$65,0),IF('01_Input'!$T$65="Palier",IF(AND(BM$20&gt;='01_Input'!$R$65,BM$20&lt;'01_Input'!$S$65),'01_Input'!$U$65,0),MAX(MIN(BM$20,'01_Input'!$S$65)-'01_Input'!$R$65,0)*'01_Input'!$U$65))+IF('01_Input'!$X$65="Forfait",IF(BM$20&gt;='01_Input'!$V$65,'01_Input'!$Y$65,0),IF('01_Input'!$X$65="Palier",IF(AND(BM$20&gt;='01_Input'!$V$65,BM$20&lt;'01_Input'!$W$65),'01_Input'!$Y$65,0),MAX(MIN(BM$20,'01_Input'!$W$65)-'01_Input'!$V$65,0)*'01_Input'!$Y$65))+IF('01_Input'!$AB$65="Forfait",IF(BM$20&gt;='01_Input'!$Z$65,'01_Input'!$AC$65,0),IF('01_Input'!$AB$65="Palier",IF(AND(BM$20&gt;='01_Input'!$Z$65,BM$20&lt;'01_Input'!$AA$65),'01_Input'!$AC$65,0),MAX(MIN(BM$20,'01_Input'!$AA$65)-'01_Input'!$Z$65,0)*'01_Input'!$AC$65)))))))))</f>
        <v>0</v>
      </c>
      <c r="BN33" s="25">
        <f>IF('01_Input'!$C$65="Non",0,MIN('01_Input'!$I$65,MAX('01_Input'!$H$65,IF('01_Input'!$G$65="Résiduel vs Gestion",0,IF('01_Input'!$G$65="Taux Classe sélectionnée",Distrib_Global_Classe_Selectionnee*BN$20,IF('01_Input'!$G$65="Frais KYC (paliers de 100M€)",MAX(0,Nb_Investisseurs-Nb_KYC_Gratuites_Par_Tranche*(FLOOR(BN$20/Taille_Tranche_KYC,1)+1))*Cout_Par_KYC_Supplementaire,(IF('01_Input'!$L$65="Forfait",IF(BN$20&gt;='01_Input'!$J$65,'01_Input'!$M$65,0),IF('01_Input'!$L$65="Palier",IF(AND(BN$20&gt;='01_Input'!$J$65,BN$20&lt;'01_Input'!$K$65),'01_Input'!$M$65,0),MAX(MIN(BN$20,'01_Input'!$K$65)-'01_Input'!$J$65,0)*'01_Input'!$M$65))+IF('01_Input'!$P$65="Forfait",IF(BN$20&gt;='01_Input'!$N$65,'01_Input'!$Q$65,0),IF('01_Input'!$P$65="Palier",IF(AND(BN$20&gt;='01_Input'!$N$65,BN$20&lt;'01_Input'!$O$65),'01_Input'!$Q$65,0),MAX(MIN(BN$20,'01_Input'!$O$65)-'01_Input'!$N$65,0)*'01_Input'!$Q$65))+IF('01_Input'!$T$65="Forfait",IF(BN$20&gt;='01_Input'!$R$65,'01_Input'!$U$65,0),IF('01_Input'!$T$65="Palier",IF(AND(BN$20&gt;='01_Input'!$R$65,BN$20&lt;'01_Input'!$S$65),'01_Input'!$U$65,0),MAX(MIN(BN$20,'01_Input'!$S$65)-'01_Input'!$R$65,0)*'01_Input'!$U$65))+IF('01_Input'!$X$65="Forfait",IF(BN$20&gt;='01_Input'!$V$65,'01_Input'!$Y$65,0),IF('01_Input'!$X$65="Palier",IF(AND(BN$20&gt;='01_Input'!$V$65,BN$20&lt;'01_Input'!$W$65),'01_Input'!$Y$65,0),MAX(MIN(BN$20,'01_Input'!$W$65)-'01_Input'!$V$65,0)*'01_Input'!$Y$65))+IF('01_Input'!$AB$65="Forfait",IF(BN$20&gt;='01_Input'!$Z$65,'01_Input'!$AC$65,0),IF('01_Input'!$AB$65="Palier",IF(AND(BN$20&gt;='01_Input'!$Z$65,BN$20&lt;'01_Input'!$AA$65),'01_Input'!$AC$65,0),MAX(MIN(BN$20,'01_Input'!$AA$65)-'01_Input'!$Z$65,0)*'01_Input'!$AC$65)))))))))</f>
        <v>0</v>
      </c>
      <c r="BO33" s="25">
        <f>IF('01_Input'!$C$65="Non",0,MIN('01_Input'!$I$65,MAX('01_Input'!$H$65,IF('01_Input'!$G$65="Résiduel vs Gestion",0,IF('01_Input'!$G$65="Taux Classe sélectionnée",Distrib_Global_Classe_Selectionnee*BO$20,IF('01_Input'!$G$65="Frais KYC (paliers de 100M€)",MAX(0,Nb_Investisseurs-Nb_KYC_Gratuites_Par_Tranche*(FLOOR(BO$20/Taille_Tranche_KYC,1)+1))*Cout_Par_KYC_Supplementaire,(IF('01_Input'!$L$65="Forfait",IF(BO$20&gt;='01_Input'!$J$65,'01_Input'!$M$65,0),IF('01_Input'!$L$65="Palier",IF(AND(BO$20&gt;='01_Input'!$J$65,BO$20&lt;'01_Input'!$K$65),'01_Input'!$M$65,0),MAX(MIN(BO$20,'01_Input'!$K$65)-'01_Input'!$J$65,0)*'01_Input'!$M$65))+IF('01_Input'!$P$65="Forfait",IF(BO$20&gt;='01_Input'!$N$65,'01_Input'!$Q$65,0),IF('01_Input'!$P$65="Palier",IF(AND(BO$20&gt;='01_Input'!$N$65,BO$20&lt;'01_Input'!$O$65),'01_Input'!$Q$65,0),MAX(MIN(BO$20,'01_Input'!$O$65)-'01_Input'!$N$65,0)*'01_Input'!$Q$65))+IF('01_Input'!$T$65="Forfait",IF(BO$20&gt;='01_Input'!$R$65,'01_Input'!$U$65,0),IF('01_Input'!$T$65="Palier",IF(AND(BO$20&gt;='01_Input'!$R$65,BO$20&lt;'01_Input'!$S$65),'01_Input'!$U$65,0),MAX(MIN(BO$20,'01_Input'!$S$65)-'01_Input'!$R$65,0)*'01_Input'!$U$65))+IF('01_Input'!$X$65="Forfait",IF(BO$20&gt;='01_Input'!$V$65,'01_Input'!$Y$65,0),IF('01_Input'!$X$65="Palier",IF(AND(BO$20&gt;='01_Input'!$V$65,BO$20&lt;'01_Input'!$W$65),'01_Input'!$Y$65,0),MAX(MIN(BO$20,'01_Input'!$W$65)-'01_Input'!$V$65,0)*'01_Input'!$Y$65))+IF('01_Input'!$AB$65="Forfait",IF(BO$20&gt;='01_Input'!$Z$65,'01_Input'!$AC$65,0),IF('01_Input'!$AB$65="Palier",IF(AND(BO$20&gt;='01_Input'!$Z$65,BO$20&lt;'01_Input'!$AA$65),'01_Input'!$AC$65,0),MAX(MIN(BO$20,'01_Input'!$AA$65)-'01_Input'!$Z$65,0)*'01_Input'!$AC$65)))))))))</f>
        <v>0</v>
      </c>
      <c r="BP33" s="25">
        <f>IF('01_Input'!$C$65="Non",0,MIN('01_Input'!$I$65,MAX('01_Input'!$H$65,IF('01_Input'!$G$65="Résiduel vs Gestion",0,IF('01_Input'!$G$65="Taux Classe sélectionnée",Distrib_Global_Classe_Selectionnee*BP$20,IF('01_Input'!$G$65="Frais KYC (paliers de 100M€)",MAX(0,Nb_Investisseurs-Nb_KYC_Gratuites_Par_Tranche*(FLOOR(BP$20/Taille_Tranche_KYC,1)+1))*Cout_Par_KYC_Supplementaire,(IF('01_Input'!$L$65="Forfait",IF(BP$20&gt;='01_Input'!$J$65,'01_Input'!$M$65,0),IF('01_Input'!$L$65="Palier",IF(AND(BP$20&gt;='01_Input'!$J$65,BP$20&lt;'01_Input'!$K$65),'01_Input'!$M$65,0),MAX(MIN(BP$20,'01_Input'!$K$65)-'01_Input'!$J$65,0)*'01_Input'!$M$65))+IF('01_Input'!$P$65="Forfait",IF(BP$20&gt;='01_Input'!$N$65,'01_Input'!$Q$65,0),IF('01_Input'!$P$65="Palier",IF(AND(BP$20&gt;='01_Input'!$N$65,BP$20&lt;'01_Input'!$O$65),'01_Input'!$Q$65,0),MAX(MIN(BP$20,'01_Input'!$O$65)-'01_Input'!$N$65,0)*'01_Input'!$Q$65))+IF('01_Input'!$T$65="Forfait",IF(BP$20&gt;='01_Input'!$R$65,'01_Input'!$U$65,0),IF('01_Input'!$T$65="Palier",IF(AND(BP$20&gt;='01_Input'!$R$65,BP$20&lt;'01_Input'!$S$65),'01_Input'!$U$65,0),MAX(MIN(BP$20,'01_Input'!$S$65)-'01_Input'!$R$65,0)*'01_Input'!$U$65))+IF('01_Input'!$X$65="Forfait",IF(BP$20&gt;='01_Input'!$V$65,'01_Input'!$Y$65,0),IF('01_Input'!$X$65="Palier",IF(AND(BP$20&gt;='01_Input'!$V$65,BP$20&lt;'01_Input'!$W$65),'01_Input'!$Y$65,0),MAX(MIN(BP$20,'01_Input'!$W$65)-'01_Input'!$V$65,0)*'01_Input'!$Y$65))+IF('01_Input'!$AB$65="Forfait",IF(BP$20&gt;='01_Input'!$Z$65,'01_Input'!$AC$65,0),IF('01_Input'!$AB$65="Palier",IF(AND(BP$20&gt;='01_Input'!$Z$65,BP$20&lt;'01_Input'!$AA$65),'01_Input'!$AC$65,0),MAX(MIN(BP$20,'01_Input'!$AA$65)-'01_Input'!$Z$65,0)*'01_Input'!$AC$65)))))))))</f>
        <v>0</v>
      </c>
      <c r="BQ33" s="25">
        <f>IF('01_Input'!$C$65="Non",0,MIN('01_Input'!$I$65,MAX('01_Input'!$H$65,IF('01_Input'!$G$65="Résiduel vs Gestion",0,IF('01_Input'!$G$65="Taux Classe sélectionnée",Distrib_Global_Classe_Selectionnee*BQ$20,IF('01_Input'!$G$65="Frais KYC (paliers de 100M€)",MAX(0,Nb_Investisseurs-Nb_KYC_Gratuites_Par_Tranche*(FLOOR(BQ$20/Taille_Tranche_KYC,1)+1))*Cout_Par_KYC_Supplementaire,(IF('01_Input'!$L$65="Forfait",IF(BQ$20&gt;='01_Input'!$J$65,'01_Input'!$M$65,0),IF('01_Input'!$L$65="Palier",IF(AND(BQ$20&gt;='01_Input'!$J$65,BQ$20&lt;'01_Input'!$K$65),'01_Input'!$M$65,0),MAX(MIN(BQ$20,'01_Input'!$K$65)-'01_Input'!$J$65,0)*'01_Input'!$M$65))+IF('01_Input'!$P$65="Forfait",IF(BQ$20&gt;='01_Input'!$N$65,'01_Input'!$Q$65,0),IF('01_Input'!$P$65="Palier",IF(AND(BQ$20&gt;='01_Input'!$N$65,BQ$20&lt;'01_Input'!$O$65),'01_Input'!$Q$65,0),MAX(MIN(BQ$20,'01_Input'!$O$65)-'01_Input'!$N$65,0)*'01_Input'!$Q$65))+IF('01_Input'!$T$65="Forfait",IF(BQ$20&gt;='01_Input'!$R$65,'01_Input'!$U$65,0),IF('01_Input'!$T$65="Palier",IF(AND(BQ$20&gt;='01_Input'!$R$65,BQ$20&lt;'01_Input'!$S$65),'01_Input'!$U$65,0),MAX(MIN(BQ$20,'01_Input'!$S$65)-'01_Input'!$R$65,0)*'01_Input'!$U$65))+IF('01_Input'!$X$65="Forfait",IF(BQ$20&gt;='01_Input'!$V$65,'01_Input'!$Y$65,0),IF('01_Input'!$X$65="Palier",IF(AND(BQ$20&gt;='01_Input'!$V$65,BQ$20&lt;'01_Input'!$W$65),'01_Input'!$Y$65,0),MAX(MIN(BQ$20,'01_Input'!$W$65)-'01_Input'!$V$65,0)*'01_Input'!$Y$65))+IF('01_Input'!$AB$65="Forfait",IF(BQ$20&gt;='01_Input'!$Z$65,'01_Input'!$AC$65,0),IF('01_Input'!$AB$65="Palier",IF(AND(BQ$20&gt;='01_Input'!$Z$65,BQ$20&lt;'01_Input'!$AA$65),'01_Input'!$AC$65,0),MAX(MIN(BQ$20,'01_Input'!$AA$65)-'01_Input'!$Z$65,0)*'01_Input'!$AC$65)))))))))</f>
        <v>0</v>
      </c>
      <c r="BR33" s="25">
        <f>IF('01_Input'!$C$65="Non",0,MIN('01_Input'!$I$65,MAX('01_Input'!$H$65,IF('01_Input'!$G$65="Résiduel vs Gestion",0,IF('01_Input'!$G$65="Taux Classe sélectionnée",Distrib_Global_Classe_Selectionnee*BR$20,IF('01_Input'!$G$65="Frais KYC (paliers de 100M€)",MAX(0,Nb_Investisseurs-Nb_KYC_Gratuites_Par_Tranche*(FLOOR(BR$20/Taille_Tranche_KYC,1)+1))*Cout_Par_KYC_Supplementaire,(IF('01_Input'!$L$65="Forfait",IF(BR$20&gt;='01_Input'!$J$65,'01_Input'!$M$65,0),IF('01_Input'!$L$65="Palier",IF(AND(BR$20&gt;='01_Input'!$J$65,BR$20&lt;'01_Input'!$K$65),'01_Input'!$M$65,0),MAX(MIN(BR$20,'01_Input'!$K$65)-'01_Input'!$J$65,0)*'01_Input'!$M$65))+IF('01_Input'!$P$65="Forfait",IF(BR$20&gt;='01_Input'!$N$65,'01_Input'!$Q$65,0),IF('01_Input'!$P$65="Palier",IF(AND(BR$20&gt;='01_Input'!$N$65,BR$20&lt;'01_Input'!$O$65),'01_Input'!$Q$65,0),MAX(MIN(BR$20,'01_Input'!$O$65)-'01_Input'!$N$65,0)*'01_Input'!$Q$65))+IF('01_Input'!$T$65="Forfait",IF(BR$20&gt;='01_Input'!$R$65,'01_Input'!$U$65,0),IF('01_Input'!$T$65="Palier",IF(AND(BR$20&gt;='01_Input'!$R$65,BR$20&lt;'01_Input'!$S$65),'01_Input'!$U$65,0),MAX(MIN(BR$20,'01_Input'!$S$65)-'01_Input'!$R$65,0)*'01_Input'!$U$65))+IF('01_Input'!$X$65="Forfait",IF(BR$20&gt;='01_Input'!$V$65,'01_Input'!$Y$65,0),IF('01_Input'!$X$65="Palier",IF(AND(BR$20&gt;='01_Input'!$V$65,BR$20&lt;'01_Input'!$W$65),'01_Input'!$Y$65,0),MAX(MIN(BR$20,'01_Input'!$W$65)-'01_Input'!$V$65,0)*'01_Input'!$Y$65))+IF('01_Input'!$AB$65="Forfait",IF(BR$20&gt;='01_Input'!$Z$65,'01_Input'!$AC$65,0),IF('01_Input'!$AB$65="Palier",IF(AND(BR$20&gt;='01_Input'!$Z$65,BR$20&lt;'01_Input'!$AA$65),'01_Input'!$AC$65,0),MAX(MIN(BR$20,'01_Input'!$AA$65)-'01_Input'!$Z$65,0)*'01_Input'!$AC$65)))))))))</f>
        <v>0</v>
      </c>
      <c r="BS33" s="25">
        <f>IF('01_Input'!$C$65="Non",0,MIN('01_Input'!$I$65,MAX('01_Input'!$H$65,IF('01_Input'!$G$65="Résiduel vs Gestion",0,IF('01_Input'!$G$65="Taux Classe sélectionnée",Distrib_Global_Classe_Selectionnee*BS$20,IF('01_Input'!$G$65="Frais KYC (paliers de 100M€)",MAX(0,Nb_Investisseurs-Nb_KYC_Gratuites_Par_Tranche*(FLOOR(BS$20/Taille_Tranche_KYC,1)+1))*Cout_Par_KYC_Supplementaire,(IF('01_Input'!$L$65="Forfait",IF(BS$20&gt;='01_Input'!$J$65,'01_Input'!$M$65,0),IF('01_Input'!$L$65="Palier",IF(AND(BS$20&gt;='01_Input'!$J$65,BS$20&lt;'01_Input'!$K$65),'01_Input'!$M$65,0),MAX(MIN(BS$20,'01_Input'!$K$65)-'01_Input'!$J$65,0)*'01_Input'!$M$65))+IF('01_Input'!$P$65="Forfait",IF(BS$20&gt;='01_Input'!$N$65,'01_Input'!$Q$65,0),IF('01_Input'!$P$65="Palier",IF(AND(BS$20&gt;='01_Input'!$N$65,BS$20&lt;'01_Input'!$O$65),'01_Input'!$Q$65,0),MAX(MIN(BS$20,'01_Input'!$O$65)-'01_Input'!$N$65,0)*'01_Input'!$Q$65))+IF('01_Input'!$T$65="Forfait",IF(BS$20&gt;='01_Input'!$R$65,'01_Input'!$U$65,0),IF('01_Input'!$T$65="Palier",IF(AND(BS$20&gt;='01_Input'!$R$65,BS$20&lt;'01_Input'!$S$65),'01_Input'!$U$65,0),MAX(MIN(BS$20,'01_Input'!$S$65)-'01_Input'!$R$65,0)*'01_Input'!$U$65))+IF('01_Input'!$X$65="Forfait",IF(BS$20&gt;='01_Input'!$V$65,'01_Input'!$Y$65,0),IF('01_Input'!$X$65="Palier",IF(AND(BS$20&gt;='01_Input'!$V$65,BS$20&lt;'01_Input'!$W$65),'01_Input'!$Y$65,0),MAX(MIN(BS$20,'01_Input'!$W$65)-'01_Input'!$V$65,0)*'01_Input'!$Y$65))+IF('01_Input'!$AB$65="Forfait",IF(BS$20&gt;='01_Input'!$Z$65,'01_Input'!$AC$65,0),IF('01_Input'!$AB$65="Palier",IF(AND(BS$20&gt;='01_Input'!$Z$65,BS$20&lt;'01_Input'!$AA$65),'01_Input'!$AC$65,0),MAX(MIN(BS$20,'01_Input'!$AA$65)-'01_Input'!$Z$65,0)*'01_Input'!$AC$65)))))))))</f>
        <v>0</v>
      </c>
      <c r="BT33" s="25">
        <f>IF('01_Input'!$C$65="Non",0,MIN('01_Input'!$I$65,MAX('01_Input'!$H$65,IF('01_Input'!$G$65="Résiduel vs Gestion",0,IF('01_Input'!$G$65="Taux Classe sélectionnée",Distrib_Global_Classe_Selectionnee*BT$20,IF('01_Input'!$G$65="Frais KYC (paliers de 100M€)",MAX(0,Nb_Investisseurs-Nb_KYC_Gratuites_Par_Tranche*(FLOOR(BT$20/Taille_Tranche_KYC,1)+1))*Cout_Par_KYC_Supplementaire,(IF('01_Input'!$L$65="Forfait",IF(BT$20&gt;='01_Input'!$J$65,'01_Input'!$M$65,0),IF('01_Input'!$L$65="Palier",IF(AND(BT$20&gt;='01_Input'!$J$65,BT$20&lt;'01_Input'!$K$65),'01_Input'!$M$65,0),MAX(MIN(BT$20,'01_Input'!$K$65)-'01_Input'!$J$65,0)*'01_Input'!$M$65))+IF('01_Input'!$P$65="Forfait",IF(BT$20&gt;='01_Input'!$N$65,'01_Input'!$Q$65,0),IF('01_Input'!$P$65="Palier",IF(AND(BT$20&gt;='01_Input'!$N$65,BT$20&lt;'01_Input'!$O$65),'01_Input'!$Q$65,0),MAX(MIN(BT$20,'01_Input'!$O$65)-'01_Input'!$N$65,0)*'01_Input'!$Q$65))+IF('01_Input'!$T$65="Forfait",IF(BT$20&gt;='01_Input'!$R$65,'01_Input'!$U$65,0),IF('01_Input'!$T$65="Palier",IF(AND(BT$20&gt;='01_Input'!$R$65,BT$20&lt;'01_Input'!$S$65),'01_Input'!$U$65,0),MAX(MIN(BT$20,'01_Input'!$S$65)-'01_Input'!$R$65,0)*'01_Input'!$U$65))+IF('01_Input'!$X$65="Forfait",IF(BT$20&gt;='01_Input'!$V$65,'01_Input'!$Y$65,0),IF('01_Input'!$X$65="Palier",IF(AND(BT$20&gt;='01_Input'!$V$65,BT$20&lt;'01_Input'!$W$65),'01_Input'!$Y$65,0),MAX(MIN(BT$20,'01_Input'!$W$65)-'01_Input'!$V$65,0)*'01_Input'!$Y$65))+IF('01_Input'!$AB$65="Forfait",IF(BT$20&gt;='01_Input'!$Z$65,'01_Input'!$AC$65,0),IF('01_Input'!$AB$65="Palier",IF(AND(BT$20&gt;='01_Input'!$Z$65,BT$20&lt;'01_Input'!$AA$65),'01_Input'!$AC$65,0),MAX(MIN(BT$20,'01_Input'!$AA$65)-'01_Input'!$Z$65,0)*'01_Input'!$AC$65)))))))))</f>
        <v>0</v>
      </c>
      <c r="BU33" s="25">
        <f>IF('01_Input'!$C$65="Non",0,MIN('01_Input'!$I$65,MAX('01_Input'!$H$65,IF('01_Input'!$G$65="Résiduel vs Gestion",0,IF('01_Input'!$G$65="Taux Classe sélectionnée",Distrib_Global_Classe_Selectionnee*BU$20,IF('01_Input'!$G$65="Frais KYC (paliers de 100M€)",MAX(0,Nb_Investisseurs-Nb_KYC_Gratuites_Par_Tranche*(FLOOR(BU$20/Taille_Tranche_KYC,1)+1))*Cout_Par_KYC_Supplementaire,(IF('01_Input'!$L$65="Forfait",IF(BU$20&gt;='01_Input'!$J$65,'01_Input'!$M$65,0),IF('01_Input'!$L$65="Palier",IF(AND(BU$20&gt;='01_Input'!$J$65,BU$20&lt;'01_Input'!$K$65),'01_Input'!$M$65,0),MAX(MIN(BU$20,'01_Input'!$K$65)-'01_Input'!$J$65,0)*'01_Input'!$M$65))+IF('01_Input'!$P$65="Forfait",IF(BU$20&gt;='01_Input'!$N$65,'01_Input'!$Q$65,0),IF('01_Input'!$P$65="Palier",IF(AND(BU$20&gt;='01_Input'!$N$65,BU$20&lt;'01_Input'!$O$65),'01_Input'!$Q$65,0),MAX(MIN(BU$20,'01_Input'!$O$65)-'01_Input'!$N$65,0)*'01_Input'!$Q$65))+IF('01_Input'!$T$65="Forfait",IF(BU$20&gt;='01_Input'!$R$65,'01_Input'!$U$65,0),IF('01_Input'!$T$65="Palier",IF(AND(BU$20&gt;='01_Input'!$R$65,BU$20&lt;'01_Input'!$S$65),'01_Input'!$U$65,0),MAX(MIN(BU$20,'01_Input'!$S$65)-'01_Input'!$R$65,0)*'01_Input'!$U$65))+IF('01_Input'!$X$65="Forfait",IF(BU$20&gt;='01_Input'!$V$65,'01_Input'!$Y$65,0),IF('01_Input'!$X$65="Palier",IF(AND(BU$20&gt;='01_Input'!$V$65,BU$20&lt;'01_Input'!$W$65),'01_Input'!$Y$65,0),MAX(MIN(BU$20,'01_Input'!$W$65)-'01_Input'!$V$65,0)*'01_Input'!$Y$65))+IF('01_Input'!$AB$65="Forfait",IF(BU$20&gt;='01_Input'!$Z$65,'01_Input'!$AC$65,0),IF('01_Input'!$AB$65="Palier",IF(AND(BU$20&gt;='01_Input'!$Z$65,BU$20&lt;'01_Input'!$AA$65),'01_Input'!$AC$65,0),MAX(MIN(BU$20,'01_Input'!$AA$65)-'01_Input'!$Z$65,0)*'01_Input'!$AC$65)))))))))</f>
        <v>0</v>
      </c>
      <c r="BV33" s="25">
        <f>IF('01_Input'!$C$65="Non",0,MIN('01_Input'!$I$65,MAX('01_Input'!$H$65,IF('01_Input'!$G$65="Résiduel vs Gestion",0,IF('01_Input'!$G$65="Taux Classe sélectionnée",Distrib_Global_Classe_Selectionnee*BV$20,IF('01_Input'!$G$65="Frais KYC (paliers de 100M€)",MAX(0,Nb_Investisseurs-Nb_KYC_Gratuites_Par_Tranche*(FLOOR(BV$20/Taille_Tranche_KYC,1)+1))*Cout_Par_KYC_Supplementaire,(IF('01_Input'!$L$65="Forfait",IF(BV$20&gt;='01_Input'!$J$65,'01_Input'!$M$65,0),IF('01_Input'!$L$65="Palier",IF(AND(BV$20&gt;='01_Input'!$J$65,BV$20&lt;'01_Input'!$K$65),'01_Input'!$M$65,0),MAX(MIN(BV$20,'01_Input'!$K$65)-'01_Input'!$J$65,0)*'01_Input'!$M$65))+IF('01_Input'!$P$65="Forfait",IF(BV$20&gt;='01_Input'!$N$65,'01_Input'!$Q$65,0),IF('01_Input'!$P$65="Palier",IF(AND(BV$20&gt;='01_Input'!$N$65,BV$20&lt;'01_Input'!$O$65),'01_Input'!$Q$65,0),MAX(MIN(BV$20,'01_Input'!$O$65)-'01_Input'!$N$65,0)*'01_Input'!$Q$65))+IF('01_Input'!$T$65="Forfait",IF(BV$20&gt;='01_Input'!$R$65,'01_Input'!$U$65,0),IF('01_Input'!$T$65="Palier",IF(AND(BV$20&gt;='01_Input'!$R$65,BV$20&lt;'01_Input'!$S$65),'01_Input'!$U$65,0),MAX(MIN(BV$20,'01_Input'!$S$65)-'01_Input'!$R$65,0)*'01_Input'!$U$65))+IF('01_Input'!$X$65="Forfait",IF(BV$20&gt;='01_Input'!$V$65,'01_Input'!$Y$65,0),IF('01_Input'!$X$65="Palier",IF(AND(BV$20&gt;='01_Input'!$V$65,BV$20&lt;'01_Input'!$W$65),'01_Input'!$Y$65,0),MAX(MIN(BV$20,'01_Input'!$W$65)-'01_Input'!$V$65,0)*'01_Input'!$Y$65))+IF('01_Input'!$AB$65="Forfait",IF(BV$20&gt;='01_Input'!$Z$65,'01_Input'!$AC$65,0),IF('01_Input'!$AB$65="Palier",IF(AND(BV$20&gt;='01_Input'!$Z$65,BV$20&lt;'01_Input'!$AA$65),'01_Input'!$AC$65,0),MAX(MIN(BV$20,'01_Input'!$AA$65)-'01_Input'!$Z$65,0)*'01_Input'!$AC$65)))))))))</f>
        <v>0</v>
      </c>
      <c r="BW33" s="25">
        <f>IF('01_Input'!$C$65="Non",0,MIN('01_Input'!$I$65,MAX('01_Input'!$H$65,IF('01_Input'!$G$65="Résiduel vs Gestion",0,IF('01_Input'!$G$65="Taux Classe sélectionnée",Distrib_Global_Classe_Selectionnee*BW$20,IF('01_Input'!$G$65="Frais KYC (paliers de 100M€)",MAX(0,Nb_Investisseurs-Nb_KYC_Gratuites_Par_Tranche*(FLOOR(BW$20/Taille_Tranche_KYC,1)+1))*Cout_Par_KYC_Supplementaire,(IF('01_Input'!$L$65="Forfait",IF(BW$20&gt;='01_Input'!$J$65,'01_Input'!$M$65,0),IF('01_Input'!$L$65="Palier",IF(AND(BW$20&gt;='01_Input'!$J$65,BW$20&lt;'01_Input'!$K$65),'01_Input'!$M$65,0),MAX(MIN(BW$20,'01_Input'!$K$65)-'01_Input'!$J$65,0)*'01_Input'!$M$65))+IF('01_Input'!$P$65="Forfait",IF(BW$20&gt;='01_Input'!$N$65,'01_Input'!$Q$65,0),IF('01_Input'!$P$65="Palier",IF(AND(BW$20&gt;='01_Input'!$N$65,BW$20&lt;'01_Input'!$O$65),'01_Input'!$Q$65,0),MAX(MIN(BW$20,'01_Input'!$O$65)-'01_Input'!$N$65,0)*'01_Input'!$Q$65))+IF('01_Input'!$T$65="Forfait",IF(BW$20&gt;='01_Input'!$R$65,'01_Input'!$U$65,0),IF('01_Input'!$T$65="Palier",IF(AND(BW$20&gt;='01_Input'!$R$65,BW$20&lt;'01_Input'!$S$65),'01_Input'!$U$65,0),MAX(MIN(BW$20,'01_Input'!$S$65)-'01_Input'!$R$65,0)*'01_Input'!$U$65))+IF('01_Input'!$X$65="Forfait",IF(BW$20&gt;='01_Input'!$V$65,'01_Input'!$Y$65,0),IF('01_Input'!$X$65="Palier",IF(AND(BW$20&gt;='01_Input'!$V$65,BW$20&lt;'01_Input'!$W$65),'01_Input'!$Y$65,0),MAX(MIN(BW$20,'01_Input'!$W$65)-'01_Input'!$V$65,0)*'01_Input'!$Y$65))+IF('01_Input'!$AB$65="Forfait",IF(BW$20&gt;='01_Input'!$Z$65,'01_Input'!$AC$65,0),IF('01_Input'!$AB$65="Palier",IF(AND(BW$20&gt;='01_Input'!$Z$65,BW$20&lt;'01_Input'!$AA$65),'01_Input'!$AC$65,0),MAX(MIN(BW$20,'01_Input'!$AA$65)-'01_Input'!$Z$65,0)*'01_Input'!$AC$65)))))))))</f>
        <v>0</v>
      </c>
      <c r="BX33" s="25">
        <f>IF('01_Input'!$C$65="Non",0,MIN('01_Input'!$I$65,MAX('01_Input'!$H$65,IF('01_Input'!$G$65="Résiduel vs Gestion",0,IF('01_Input'!$G$65="Taux Classe sélectionnée",Distrib_Global_Classe_Selectionnee*BX$20,IF('01_Input'!$G$65="Frais KYC (paliers de 100M€)",MAX(0,Nb_Investisseurs-Nb_KYC_Gratuites_Par_Tranche*(FLOOR(BX$20/Taille_Tranche_KYC,1)+1))*Cout_Par_KYC_Supplementaire,(IF('01_Input'!$L$65="Forfait",IF(BX$20&gt;='01_Input'!$J$65,'01_Input'!$M$65,0),IF('01_Input'!$L$65="Palier",IF(AND(BX$20&gt;='01_Input'!$J$65,BX$20&lt;'01_Input'!$K$65),'01_Input'!$M$65,0),MAX(MIN(BX$20,'01_Input'!$K$65)-'01_Input'!$J$65,0)*'01_Input'!$M$65))+IF('01_Input'!$P$65="Forfait",IF(BX$20&gt;='01_Input'!$N$65,'01_Input'!$Q$65,0),IF('01_Input'!$P$65="Palier",IF(AND(BX$20&gt;='01_Input'!$N$65,BX$20&lt;'01_Input'!$O$65),'01_Input'!$Q$65,0),MAX(MIN(BX$20,'01_Input'!$O$65)-'01_Input'!$N$65,0)*'01_Input'!$Q$65))+IF('01_Input'!$T$65="Forfait",IF(BX$20&gt;='01_Input'!$R$65,'01_Input'!$U$65,0),IF('01_Input'!$T$65="Palier",IF(AND(BX$20&gt;='01_Input'!$R$65,BX$20&lt;'01_Input'!$S$65),'01_Input'!$U$65,0),MAX(MIN(BX$20,'01_Input'!$S$65)-'01_Input'!$R$65,0)*'01_Input'!$U$65))+IF('01_Input'!$X$65="Forfait",IF(BX$20&gt;='01_Input'!$V$65,'01_Input'!$Y$65,0),IF('01_Input'!$X$65="Palier",IF(AND(BX$20&gt;='01_Input'!$V$65,BX$20&lt;'01_Input'!$W$65),'01_Input'!$Y$65,0),MAX(MIN(BX$20,'01_Input'!$W$65)-'01_Input'!$V$65,0)*'01_Input'!$Y$65))+IF('01_Input'!$AB$65="Forfait",IF(BX$20&gt;='01_Input'!$Z$65,'01_Input'!$AC$65,0),IF('01_Input'!$AB$65="Palier",IF(AND(BX$20&gt;='01_Input'!$Z$65,BX$20&lt;'01_Input'!$AA$65),'01_Input'!$AC$65,0),MAX(MIN(BX$20,'01_Input'!$AA$65)-'01_Input'!$Z$65,0)*'01_Input'!$AC$65)))))))))</f>
        <v>0</v>
      </c>
      <c r="BY33" s="25">
        <f>IF('01_Input'!$C$65="Non",0,MIN('01_Input'!$I$65,MAX('01_Input'!$H$65,IF('01_Input'!$G$65="Résiduel vs Gestion",0,IF('01_Input'!$G$65="Taux Classe sélectionnée",Distrib_Global_Classe_Selectionnee*BY$20,IF('01_Input'!$G$65="Frais KYC (paliers de 100M€)",MAX(0,Nb_Investisseurs-Nb_KYC_Gratuites_Par_Tranche*(FLOOR(BY$20/Taille_Tranche_KYC,1)+1))*Cout_Par_KYC_Supplementaire,(IF('01_Input'!$L$65="Forfait",IF(BY$20&gt;='01_Input'!$J$65,'01_Input'!$M$65,0),IF('01_Input'!$L$65="Palier",IF(AND(BY$20&gt;='01_Input'!$J$65,BY$20&lt;'01_Input'!$K$65),'01_Input'!$M$65,0),MAX(MIN(BY$20,'01_Input'!$K$65)-'01_Input'!$J$65,0)*'01_Input'!$M$65))+IF('01_Input'!$P$65="Forfait",IF(BY$20&gt;='01_Input'!$N$65,'01_Input'!$Q$65,0),IF('01_Input'!$P$65="Palier",IF(AND(BY$20&gt;='01_Input'!$N$65,BY$20&lt;'01_Input'!$O$65),'01_Input'!$Q$65,0),MAX(MIN(BY$20,'01_Input'!$O$65)-'01_Input'!$N$65,0)*'01_Input'!$Q$65))+IF('01_Input'!$T$65="Forfait",IF(BY$20&gt;='01_Input'!$R$65,'01_Input'!$U$65,0),IF('01_Input'!$T$65="Palier",IF(AND(BY$20&gt;='01_Input'!$R$65,BY$20&lt;'01_Input'!$S$65),'01_Input'!$U$65,0),MAX(MIN(BY$20,'01_Input'!$S$65)-'01_Input'!$R$65,0)*'01_Input'!$U$65))+IF('01_Input'!$X$65="Forfait",IF(BY$20&gt;='01_Input'!$V$65,'01_Input'!$Y$65,0),IF('01_Input'!$X$65="Palier",IF(AND(BY$20&gt;='01_Input'!$V$65,BY$20&lt;'01_Input'!$W$65),'01_Input'!$Y$65,0),MAX(MIN(BY$20,'01_Input'!$W$65)-'01_Input'!$V$65,0)*'01_Input'!$Y$65))+IF('01_Input'!$AB$65="Forfait",IF(BY$20&gt;='01_Input'!$Z$65,'01_Input'!$AC$65,0),IF('01_Input'!$AB$65="Palier",IF(AND(BY$20&gt;='01_Input'!$Z$65,BY$20&lt;'01_Input'!$AA$65),'01_Input'!$AC$65,0),MAX(MIN(BY$20,'01_Input'!$AA$65)-'01_Input'!$Z$65,0)*'01_Input'!$AC$65)))))))))</f>
        <v>0</v>
      </c>
      <c r="BZ33" s="25">
        <f>IF('01_Input'!$C$65="Non",0,MIN('01_Input'!$I$65,MAX('01_Input'!$H$65,IF('01_Input'!$G$65="Résiduel vs Gestion",0,IF('01_Input'!$G$65="Taux Classe sélectionnée",Distrib_Global_Classe_Selectionnee*BZ$20,IF('01_Input'!$G$65="Frais KYC (paliers de 100M€)",MAX(0,Nb_Investisseurs-Nb_KYC_Gratuites_Par_Tranche*(FLOOR(BZ$20/Taille_Tranche_KYC,1)+1))*Cout_Par_KYC_Supplementaire,(IF('01_Input'!$L$65="Forfait",IF(BZ$20&gt;='01_Input'!$J$65,'01_Input'!$M$65,0),IF('01_Input'!$L$65="Palier",IF(AND(BZ$20&gt;='01_Input'!$J$65,BZ$20&lt;'01_Input'!$K$65),'01_Input'!$M$65,0),MAX(MIN(BZ$20,'01_Input'!$K$65)-'01_Input'!$J$65,0)*'01_Input'!$M$65))+IF('01_Input'!$P$65="Forfait",IF(BZ$20&gt;='01_Input'!$N$65,'01_Input'!$Q$65,0),IF('01_Input'!$P$65="Palier",IF(AND(BZ$20&gt;='01_Input'!$N$65,BZ$20&lt;'01_Input'!$O$65),'01_Input'!$Q$65,0),MAX(MIN(BZ$20,'01_Input'!$O$65)-'01_Input'!$N$65,0)*'01_Input'!$Q$65))+IF('01_Input'!$T$65="Forfait",IF(BZ$20&gt;='01_Input'!$R$65,'01_Input'!$U$65,0),IF('01_Input'!$T$65="Palier",IF(AND(BZ$20&gt;='01_Input'!$R$65,BZ$20&lt;'01_Input'!$S$65),'01_Input'!$U$65,0),MAX(MIN(BZ$20,'01_Input'!$S$65)-'01_Input'!$R$65,0)*'01_Input'!$U$65))+IF('01_Input'!$X$65="Forfait",IF(BZ$20&gt;='01_Input'!$V$65,'01_Input'!$Y$65,0),IF('01_Input'!$X$65="Palier",IF(AND(BZ$20&gt;='01_Input'!$V$65,BZ$20&lt;'01_Input'!$W$65),'01_Input'!$Y$65,0),MAX(MIN(BZ$20,'01_Input'!$W$65)-'01_Input'!$V$65,0)*'01_Input'!$Y$65))+IF('01_Input'!$AB$65="Forfait",IF(BZ$20&gt;='01_Input'!$Z$65,'01_Input'!$AC$65,0),IF('01_Input'!$AB$65="Palier",IF(AND(BZ$20&gt;='01_Input'!$Z$65,BZ$20&lt;'01_Input'!$AA$65),'01_Input'!$AC$65,0),MAX(MIN(BZ$20,'01_Input'!$AA$65)-'01_Input'!$Z$65,0)*'01_Input'!$AC$65)))))))))</f>
        <v>0</v>
      </c>
      <c r="CA33" s="25">
        <f>IF('01_Input'!$C$65="Non",0,MIN('01_Input'!$I$65,MAX('01_Input'!$H$65,IF('01_Input'!$G$65="Résiduel vs Gestion",0,IF('01_Input'!$G$65="Taux Classe sélectionnée",Distrib_Global_Classe_Selectionnee*CA$20,IF('01_Input'!$G$65="Frais KYC (paliers de 100M€)",MAX(0,Nb_Investisseurs-Nb_KYC_Gratuites_Par_Tranche*(FLOOR(CA$20/Taille_Tranche_KYC,1)+1))*Cout_Par_KYC_Supplementaire,(IF('01_Input'!$L$65="Forfait",IF(CA$20&gt;='01_Input'!$J$65,'01_Input'!$M$65,0),IF('01_Input'!$L$65="Palier",IF(AND(CA$20&gt;='01_Input'!$J$65,CA$20&lt;'01_Input'!$K$65),'01_Input'!$M$65,0),MAX(MIN(CA$20,'01_Input'!$K$65)-'01_Input'!$J$65,0)*'01_Input'!$M$65))+IF('01_Input'!$P$65="Forfait",IF(CA$20&gt;='01_Input'!$N$65,'01_Input'!$Q$65,0),IF('01_Input'!$P$65="Palier",IF(AND(CA$20&gt;='01_Input'!$N$65,CA$20&lt;'01_Input'!$O$65),'01_Input'!$Q$65,0),MAX(MIN(CA$20,'01_Input'!$O$65)-'01_Input'!$N$65,0)*'01_Input'!$Q$65))+IF('01_Input'!$T$65="Forfait",IF(CA$20&gt;='01_Input'!$R$65,'01_Input'!$U$65,0),IF('01_Input'!$T$65="Palier",IF(AND(CA$20&gt;='01_Input'!$R$65,CA$20&lt;'01_Input'!$S$65),'01_Input'!$U$65,0),MAX(MIN(CA$20,'01_Input'!$S$65)-'01_Input'!$R$65,0)*'01_Input'!$U$65))+IF('01_Input'!$X$65="Forfait",IF(CA$20&gt;='01_Input'!$V$65,'01_Input'!$Y$65,0),IF('01_Input'!$X$65="Palier",IF(AND(CA$20&gt;='01_Input'!$V$65,CA$20&lt;'01_Input'!$W$65),'01_Input'!$Y$65,0),MAX(MIN(CA$20,'01_Input'!$W$65)-'01_Input'!$V$65,0)*'01_Input'!$Y$65))+IF('01_Input'!$AB$65="Forfait",IF(CA$20&gt;='01_Input'!$Z$65,'01_Input'!$AC$65,0),IF('01_Input'!$AB$65="Palier",IF(AND(CA$20&gt;='01_Input'!$Z$65,CA$20&lt;'01_Input'!$AA$65),'01_Input'!$AC$65,0),MAX(MIN(CA$20,'01_Input'!$AA$65)-'01_Input'!$Z$65,0)*'01_Input'!$AC$65)))))))))</f>
        <v>0</v>
      </c>
      <c r="CB33" s="25">
        <f>IF('01_Input'!$C$65="Non",0,MIN('01_Input'!$I$65,MAX('01_Input'!$H$65,IF('01_Input'!$G$65="Résiduel vs Gestion",0,IF('01_Input'!$G$65="Taux Classe sélectionnée",Distrib_Global_Classe_Selectionnee*CB$20,IF('01_Input'!$G$65="Frais KYC (paliers de 100M€)",MAX(0,Nb_Investisseurs-Nb_KYC_Gratuites_Par_Tranche*(FLOOR(CB$20/Taille_Tranche_KYC,1)+1))*Cout_Par_KYC_Supplementaire,(IF('01_Input'!$L$65="Forfait",IF(CB$20&gt;='01_Input'!$J$65,'01_Input'!$M$65,0),IF('01_Input'!$L$65="Palier",IF(AND(CB$20&gt;='01_Input'!$J$65,CB$20&lt;'01_Input'!$K$65),'01_Input'!$M$65,0),MAX(MIN(CB$20,'01_Input'!$K$65)-'01_Input'!$J$65,0)*'01_Input'!$M$65))+IF('01_Input'!$P$65="Forfait",IF(CB$20&gt;='01_Input'!$N$65,'01_Input'!$Q$65,0),IF('01_Input'!$P$65="Palier",IF(AND(CB$20&gt;='01_Input'!$N$65,CB$20&lt;'01_Input'!$O$65),'01_Input'!$Q$65,0),MAX(MIN(CB$20,'01_Input'!$O$65)-'01_Input'!$N$65,0)*'01_Input'!$Q$65))+IF('01_Input'!$T$65="Forfait",IF(CB$20&gt;='01_Input'!$R$65,'01_Input'!$U$65,0),IF('01_Input'!$T$65="Palier",IF(AND(CB$20&gt;='01_Input'!$R$65,CB$20&lt;'01_Input'!$S$65),'01_Input'!$U$65,0),MAX(MIN(CB$20,'01_Input'!$S$65)-'01_Input'!$R$65,0)*'01_Input'!$U$65))+IF('01_Input'!$X$65="Forfait",IF(CB$20&gt;='01_Input'!$V$65,'01_Input'!$Y$65,0),IF('01_Input'!$X$65="Palier",IF(AND(CB$20&gt;='01_Input'!$V$65,CB$20&lt;'01_Input'!$W$65),'01_Input'!$Y$65,0),MAX(MIN(CB$20,'01_Input'!$W$65)-'01_Input'!$V$65,0)*'01_Input'!$Y$65))+IF('01_Input'!$AB$65="Forfait",IF(CB$20&gt;='01_Input'!$Z$65,'01_Input'!$AC$65,0),IF('01_Input'!$AB$65="Palier",IF(AND(CB$20&gt;='01_Input'!$Z$65,CB$20&lt;'01_Input'!$AA$65),'01_Input'!$AC$65,0),MAX(MIN(CB$20,'01_Input'!$AA$65)-'01_Input'!$Z$65,0)*'01_Input'!$AC$65)))))))))</f>
        <v>0</v>
      </c>
      <c r="CC33" s="25">
        <f>IF('01_Input'!$C$65="Non",0,MIN('01_Input'!$I$65,MAX('01_Input'!$H$65,IF('01_Input'!$G$65="Résiduel vs Gestion",0,IF('01_Input'!$G$65="Taux Classe sélectionnée",Distrib_Global_Classe_Selectionnee*CC$20,IF('01_Input'!$G$65="Frais KYC (paliers de 100M€)",MAX(0,Nb_Investisseurs-Nb_KYC_Gratuites_Par_Tranche*(FLOOR(CC$20/Taille_Tranche_KYC,1)+1))*Cout_Par_KYC_Supplementaire,(IF('01_Input'!$L$65="Forfait",IF(CC$20&gt;='01_Input'!$J$65,'01_Input'!$M$65,0),IF('01_Input'!$L$65="Palier",IF(AND(CC$20&gt;='01_Input'!$J$65,CC$20&lt;'01_Input'!$K$65),'01_Input'!$M$65,0),MAX(MIN(CC$20,'01_Input'!$K$65)-'01_Input'!$J$65,0)*'01_Input'!$M$65))+IF('01_Input'!$P$65="Forfait",IF(CC$20&gt;='01_Input'!$N$65,'01_Input'!$Q$65,0),IF('01_Input'!$P$65="Palier",IF(AND(CC$20&gt;='01_Input'!$N$65,CC$20&lt;'01_Input'!$O$65),'01_Input'!$Q$65,0),MAX(MIN(CC$20,'01_Input'!$O$65)-'01_Input'!$N$65,0)*'01_Input'!$Q$65))+IF('01_Input'!$T$65="Forfait",IF(CC$20&gt;='01_Input'!$R$65,'01_Input'!$U$65,0),IF('01_Input'!$T$65="Palier",IF(AND(CC$20&gt;='01_Input'!$R$65,CC$20&lt;'01_Input'!$S$65),'01_Input'!$U$65,0),MAX(MIN(CC$20,'01_Input'!$S$65)-'01_Input'!$R$65,0)*'01_Input'!$U$65))+IF('01_Input'!$X$65="Forfait",IF(CC$20&gt;='01_Input'!$V$65,'01_Input'!$Y$65,0),IF('01_Input'!$X$65="Palier",IF(AND(CC$20&gt;='01_Input'!$V$65,CC$20&lt;'01_Input'!$W$65),'01_Input'!$Y$65,0),MAX(MIN(CC$20,'01_Input'!$W$65)-'01_Input'!$V$65,0)*'01_Input'!$Y$65))+IF('01_Input'!$AB$65="Forfait",IF(CC$20&gt;='01_Input'!$Z$65,'01_Input'!$AC$65,0),IF('01_Input'!$AB$65="Palier",IF(AND(CC$20&gt;='01_Input'!$Z$65,CC$20&lt;'01_Input'!$AA$65),'01_Input'!$AC$65,0),MAX(MIN(CC$20,'01_Input'!$AA$65)-'01_Input'!$Z$65,0)*'01_Input'!$AC$65)))))))))</f>
        <v>0</v>
      </c>
      <c r="CD33" s="25">
        <f>IF('01_Input'!$C$65="Non",0,MIN('01_Input'!$I$65,MAX('01_Input'!$H$65,IF('01_Input'!$G$65="Résiduel vs Gestion",0,IF('01_Input'!$G$65="Taux Classe sélectionnée",Distrib_Global_Classe_Selectionnee*CD$20,IF('01_Input'!$G$65="Frais KYC (paliers de 100M€)",MAX(0,Nb_Investisseurs-Nb_KYC_Gratuites_Par_Tranche*(FLOOR(CD$20/Taille_Tranche_KYC,1)+1))*Cout_Par_KYC_Supplementaire,(IF('01_Input'!$L$65="Forfait",IF(CD$20&gt;='01_Input'!$J$65,'01_Input'!$M$65,0),IF('01_Input'!$L$65="Palier",IF(AND(CD$20&gt;='01_Input'!$J$65,CD$20&lt;'01_Input'!$K$65),'01_Input'!$M$65,0),MAX(MIN(CD$20,'01_Input'!$K$65)-'01_Input'!$J$65,0)*'01_Input'!$M$65))+IF('01_Input'!$P$65="Forfait",IF(CD$20&gt;='01_Input'!$N$65,'01_Input'!$Q$65,0),IF('01_Input'!$P$65="Palier",IF(AND(CD$20&gt;='01_Input'!$N$65,CD$20&lt;'01_Input'!$O$65),'01_Input'!$Q$65,0),MAX(MIN(CD$20,'01_Input'!$O$65)-'01_Input'!$N$65,0)*'01_Input'!$Q$65))+IF('01_Input'!$T$65="Forfait",IF(CD$20&gt;='01_Input'!$R$65,'01_Input'!$U$65,0),IF('01_Input'!$T$65="Palier",IF(AND(CD$20&gt;='01_Input'!$R$65,CD$20&lt;'01_Input'!$S$65),'01_Input'!$U$65,0),MAX(MIN(CD$20,'01_Input'!$S$65)-'01_Input'!$R$65,0)*'01_Input'!$U$65))+IF('01_Input'!$X$65="Forfait",IF(CD$20&gt;='01_Input'!$V$65,'01_Input'!$Y$65,0),IF('01_Input'!$X$65="Palier",IF(AND(CD$20&gt;='01_Input'!$V$65,CD$20&lt;'01_Input'!$W$65),'01_Input'!$Y$65,0),MAX(MIN(CD$20,'01_Input'!$W$65)-'01_Input'!$V$65,0)*'01_Input'!$Y$65))+IF('01_Input'!$AB$65="Forfait",IF(CD$20&gt;='01_Input'!$Z$65,'01_Input'!$AC$65,0),IF('01_Input'!$AB$65="Palier",IF(AND(CD$20&gt;='01_Input'!$Z$65,CD$20&lt;'01_Input'!$AA$65),'01_Input'!$AC$65,0),MAX(MIN(CD$20,'01_Input'!$AA$65)-'01_Input'!$Z$65,0)*'01_Input'!$AC$65)))))))))</f>
        <v>0</v>
      </c>
      <c r="CE33" s="25">
        <f>IF('01_Input'!$C$65="Non",0,MIN('01_Input'!$I$65,MAX('01_Input'!$H$65,IF('01_Input'!$G$65="Résiduel vs Gestion",0,IF('01_Input'!$G$65="Taux Classe sélectionnée",Distrib_Global_Classe_Selectionnee*CE$20,IF('01_Input'!$G$65="Frais KYC (paliers de 100M€)",MAX(0,Nb_Investisseurs-Nb_KYC_Gratuites_Par_Tranche*(FLOOR(CE$20/Taille_Tranche_KYC,1)+1))*Cout_Par_KYC_Supplementaire,(IF('01_Input'!$L$65="Forfait",IF(CE$20&gt;='01_Input'!$J$65,'01_Input'!$M$65,0),IF('01_Input'!$L$65="Palier",IF(AND(CE$20&gt;='01_Input'!$J$65,CE$20&lt;'01_Input'!$K$65),'01_Input'!$M$65,0),MAX(MIN(CE$20,'01_Input'!$K$65)-'01_Input'!$J$65,0)*'01_Input'!$M$65))+IF('01_Input'!$P$65="Forfait",IF(CE$20&gt;='01_Input'!$N$65,'01_Input'!$Q$65,0),IF('01_Input'!$P$65="Palier",IF(AND(CE$20&gt;='01_Input'!$N$65,CE$20&lt;'01_Input'!$O$65),'01_Input'!$Q$65,0),MAX(MIN(CE$20,'01_Input'!$O$65)-'01_Input'!$N$65,0)*'01_Input'!$Q$65))+IF('01_Input'!$T$65="Forfait",IF(CE$20&gt;='01_Input'!$R$65,'01_Input'!$U$65,0),IF('01_Input'!$T$65="Palier",IF(AND(CE$20&gt;='01_Input'!$R$65,CE$20&lt;'01_Input'!$S$65),'01_Input'!$U$65,0),MAX(MIN(CE$20,'01_Input'!$S$65)-'01_Input'!$R$65,0)*'01_Input'!$U$65))+IF('01_Input'!$X$65="Forfait",IF(CE$20&gt;='01_Input'!$V$65,'01_Input'!$Y$65,0),IF('01_Input'!$X$65="Palier",IF(AND(CE$20&gt;='01_Input'!$V$65,CE$20&lt;'01_Input'!$W$65),'01_Input'!$Y$65,0),MAX(MIN(CE$20,'01_Input'!$W$65)-'01_Input'!$V$65,0)*'01_Input'!$Y$65))+IF('01_Input'!$AB$65="Forfait",IF(CE$20&gt;='01_Input'!$Z$65,'01_Input'!$AC$65,0),IF('01_Input'!$AB$65="Palier",IF(AND(CE$20&gt;='01_Input'!$Z$65,CE$20&lt;'01_Input'!$AA$65),'01_Input'!$AC$65,0),MAX(MIN(CE$20,'01_Input'!$AA$65)-'01_Input'!$Z$65,0)*'01_Input'!$AC$65)))))))))</f>
        <v>0</v>
      </c>
      <c r="CF33" s="25">
        <f>IF('01_Input'!$C$65="Non",0,MIN('01_Input'!$I$65,MAX('01_Input'!$H$65,IF('01_Input'!$G$65="Résiduel vs Gestion",0,IF('01_Input'!$G$65="Taux Classe sélectionnée",Distrib_Global_Classe_Selectionnee*CF$20,IF('01_Input'!$G$65="Frais KYC (paliers de 100M€)",MAX(0,Nb_Investisseurs-Nb_KYC_Gratuites_Par_Tranche*(FLOOR(CF$20/Taille_Tranche_KYC,1)+1))*Cout_Par_KYC_Supplementaire,(IF('01_Input'!$L$65="Forfait",IF(CF$20&gt;='01_Input'!$J$65,'01_Input'!$M$65,0),IF('01_Input'!$L$65="Palier",IF(AND(CF$20&gt;='01_Input'!$J$65,CF$20&lt;'01_Input'!$K$65),'01_Input'!$M$65,0),MAX(MIN(CF$20,'01_Input'!$K$65)-'01_Input'!$J$65,0)*'01_Input'!$M$65))+IF('01_Input'!$P$65="Forfait",IF(CF$20&gt;='01_Input'!$N$65,'01_Input'!$Q$65,0),IF('01_Input'!$P$65="Palier",IF(AND(CF$20&gt;='01_Input'!$N$65,CF$20&lt;'01_Input'!$O$65),'01_Input'!$Q$65,0),MAX(MIN(CF$20,'01_Input'!$O$65)-'01_Input'!$N$65,0)*'01_Input'!$Q$65))+IF('01_Input'!$T$65="Forfait",IF(CF$20&gt;='01_Input'!$R$65,'01_Input'!$U$65,0),IF('01_Input'!$T$65="Palier",IF(AND(CF$20&gt;='01_Input'!$R$65,CF$20&lt;'01_Input'!$S$65),'01_Input'!$U$65,0),MAX(MIN(CF$20,'01_Input'!$S$65)-'01_Input'!$R$65,0)*'01_Input'!$U$65))+IF('01_Input'!$X$65="Forfait",IF(CF$20&gt;='01_Input'!$V$65,'01_Input'!$Y$65,0),IF('01_Input'!$X$65="Palier",IF(AND(CF$20&gt;='01_Input'!$V$65,CF$20&lt;'01_Input'!$W$65),'01_Input'!$Y$65,0),MAX(MIN(CF$20,'01_Input'!$W$65)-'01_Input'!$V$65,0)*'01_Input'!$Y$65))+IF('01_Input'!$AB$65="Forfait",IF(CF$20&gt;='01_Input'!$Z$65,'01_Input'!$AC$65,0),IF('01_Input'!$AB$65="Palier",IF(AND(CF$20&gt;='01_Input'!$Z$65,CF$20&lt;'01_Input'!$AA$65),'01_Input'!$AC$65,0),MAX(MIN(CF$20,'01_Input'!$AA$65)-'01_Input'!$Z$65,0)*'01_Input'!$AC$65)))))))))</f>
        <v>0</v>
      </c>
      <c r="CG33" s="25">
        <f>IF('01_Input'!$C$65="Non",0,MIN('01_Input'!$I$65,MAX('01_Input'!$H$65,IF('01_Input'!$G$65="Résiduel vs Gestion",0,IF('01_Input'!$G$65="Taux Classe sélectionnée",Distrib_Global_Classe_Selectionnee*CG$20,IF('01_Input'!$G$65="Frais KYC (paliers de 100M€)",MAX(0,Nb_Investisseurs-Nb_KYC_Gratuites_Par_Tranche*(FLOOR(CG$20/Taille_Tranche_KYC,1)+1))*Cout_Par_KYC_Supplementaire,(IF('01_Input'!$L$65="Forfait",IF(CG$20&gt;='01_Input'!$J$65,'01_Input'!$M$65,0),IF('01_Input'!$L$65="Palier",IF(AND(CG$20&gt;='01_Input'!$J$65,CG$20&lt;'01_Input'!$K$65),'01_Input'!$M$65,0),MAX(MIN(CG$20,'01_Input'!$K$65)-'01_Input'!$J$65,0)*'01_Input'!$M$65))+IF('01_Input'!$P$65="Forfait",IF(CG$20&gt;='01_Input'!$N$65,'01_Input'!$Q$65,0),IF('01_Input'!$P$65="Palier",IF(AND(CG$20&gt;='01_Input'!$N$65,CG$20&lt;'01_Input'!$O$65),'01_Input'!$Q$65,0),MAX(MIN(CG$20,'01_Input'!$O$65)-'01_Input'!$N$65,0)*'01_Input'!$Q$65))+IF('01_Input'!$T$65="Forfait",IF(CG$20&gt;='01_Input'!$R$65,'01_Input'!$U$65,0),IF('01_Input'!$T$65="Palier",IF(AND(CG$20&gt;='01_Input'!$R$65,CG$20&lt;'01_Input'!$S$65),'01_Input'!$U$65,0),MAX(MIN(CG$20,'01_Input'!$S$65)-'01_Input'!$R$65,0)*'01_Input'!$U$65))+IF('01_Input'!$X$65="Forfait",IF(CG$20&gt;='01_Input'!$V$65,'01_Input'!$Y$65,0),IF('01_Input'!$X$65="Palier",IF(AND(CG$20&gt;='01_Input'!$V$65,CG$20&lt;'01_Input'!$W$65),'01_Input'!$Y$65,0),MAX(MIN(CG$20,'01_Input'!$W$65)-'01_Input'!$V$65,0)*'01_Input'!$Y$65))+IF('01_Input'!$AB$65="Forfait",IF(CG$20&gt;='01_Input'!$Z$65,'01_Input'!$AC$65,0),IF('01_Input'!$AB$65="Palier",IF(AND(CG$20&gt;='01_Input'!$Z$65,CG$20&lt;'01_Input'!$AA$65),'01_Input'!$AC$65,0),MAX(MIN(CG$20,'01_Input'!$AA$65)-'01_Input'!$Z$65,0)*'01_Input'!$AC$65)))))))))</f>
        <v>0</v>
      </c>
      <c r="CH33" s="25">
        <f>IF('01_Input'!$C$65="Non",0,MIN('01_Input'!$I$65,MAX('01_Input'!$H$65,IF('01_Input'!$G$65="Résiduel vs Gestion",0,IF('01_Input'!$G$65="Taux Classe sélectionnée",Distrib_Global_Classe_Selectionnee*CH$20,IF('01_Input'!$G$65="Frais KYC (paliers de 100M€)",MAX(0,Nb_Investisseurs-Nb_KYC_Gratuites_Par_Tranche*(FLOOR(CH$20/Taille_Tranche_KYC,1)+1))*Cout_Par_KYC_Supplementaire,(IF('01_Input'!$L$65="Forfait",IF(CH$20&gt;='01_Input'!$J$65,'01_Input'!$M$65,0),IF('01_Input'!$L$65="Palier",IF(AND(CH$20&gt;='01_Input'!$J$65,CH$20&lt;'01_Input'!$K$65),'01_Input'!$M$65,0),MAX(MIN(CH$20,'01_Input'!$K$65)-'01_Input'!$J$65,0)*'01_Input'!$M$65))+IF('01_Input'!$P$65="Forfait",IF(CH$20&gt;='01_Input'!$N$65,'01_Input'!$Q$65,0),IF('01_Input'!$P$65="Palier",IF(AND(CH$20&gt;='01_Input'!$N$65,CH$20&lt;'01_Input'!$O$65),'01_Input'!$Q$65,0),MAX(MIN(CH$20,'01_Input'!$O$65)-'01_Input'!$N$65,0)*'01_Input'!$Q$65))+IF('01_Input'!$T$65="Forfait",IF(CH$20&gt;='01_Input'!$R$65,'01_Input'!$U$65,0),IF('01_Input'!$T$65="Palier",IF(AND(CH$20&gt;='01_Input'!$R$65,CH$20&lt;'01_Input'!$S$65),'01_Input'!$U$65,0),MAX(MIN(CH$20,'01_Input'!$S$65)-'01_Input'!$R$65,0)*'01_Input'!$U$65))+IF('01_Input'!$X$65="Forfait",IF(CH$20&gt;='01_Input'!$V$65,'01_Input'!$Y$65,0),IF('01_Input'!$X$65="Palier",IF(AND(CH$20&gt;='01_Input'!$V$65,CH$20&lt;'01_Input'!$W$65),'01_Input'!$Y$65,0),MAX(MIN(CH$20,'01_Input'!$W$65)-'01_Input'!$V$65,0)*'01_Input'!$Y$65))+IF('01_Input'!$AB$65="Forfait",IF(CH$20&gt;='01_Input'!$Z$65,'01_Input'!$AC$65,0),IF('01_Input'!$AB$65="Palier",IF(AND(CH$20&gt;='01_Input'!$Z$65,CH$20&lt;'01_Input'!$AA$65),'01_Input'!$AC$65,0),MAX(MIN(CH$20,'01_Input'!$AA$65)-'01_Input'!$Z$65,0)*'01_Input'!$AC$65)))))))))</f>
        <v>0</v>
      </c>
      <c r="CI33" s="25">
        <f>IF('01_Input'!$C$65="Non",0,MIN('01_Input'!$I$65,MAX('01_Input'!$H$65,IF('01_Input'!$G$65="Résiduel vs Gestion",0,IF('01_Input'!$G$65="Taux Classe sélectionnée",Distrib_Global_Classe_Selectionnee*CI$20,IF('01_Input'!$G$65="Frais KYC (paliers de 100M€)",MAX(0,Nb_Investisseurs-Nb_KYC_Gratuites_Par_Tranche*(FLOOR(CI$20/Taille_Tranche_KYC,1)+1))*Cout_Par_KYC_Supplementaire,(IF('01_Input'!$L$65="Forfait",IF(CI$20&gt;='01_Input'!$J$65,'01_Input'!$M$65,0),IF('01_Input'!$L$65="Palier",IF(AND(CI$20&gt;='01_Input'!$J$65,CI$20&lt;'01_Input'!$K$65),'01_Input'!$M$65,0),MAX(MIN(CI$20,'01_Input'!$K$65)-'01_Input'!$J$65,0)*'01_Input'!$M$65))+IF('01_Input'!$P$65="Forfait",IF(CI$20&gt;='01_Input'!$N$65,'01_Input'!$Q$65,0),IF('01_Input'!$P$65="Palier",IF(AND(CI$20&gt;='01_Input'!$N$65,CI$20&lt;'01_Input'!$O$65),'01_Input'!$Q$65,0),MAX(MIN(CI$20,'01_Input'!$O$65)-'01_Input'!$N$65,0)*'01_Input'!$Q$65))+IF('01_Input'!$T$65="Forfait",IF(CI$20&gt;='01_Input'!$R$65,'01_Input'!$U$65,0),IF('01_Input'!$T$65="Palier",IF(AND(CI$20&gt;='01_Input'!$R$65,CI$20&lt;'01_Input'!$S$65),'01_Input'!$U$65,0),MAX(MIN(CI$20,'01_Input'!$S$65)-'01_Input'!$R$65,0)*'01_Input'!$U$65))+IF('01_Input'!$X$65="Forfait",IF(CI$20&gt;='01_Input'!$V$65,'01_Input'!$Y$65,0),IF('01_Input'!$X$65="Palier",IF(AND(CI$20&gt;='01_Input'!$V$65,CI$20&lt;'01_Input'!$W$65),'01_Input'!$Y$65,0),MAX(MIN(CI$20,'01_Input'!$W$65)-'01_Input'!$V$65,0)*'01_Input'!$Y$65))+IF('01_Input'!$AB$65="Forfait",IF(CI$20&gt;='01_Input'!$Z$65,'01_Input'!$AC$65,0),IF('01_Input'!$AB$65="Palier",IF(AND(CI$20&gt;='01_Input'!$Z$65,CI$20&lt;'01_Input'!$AA$65),'01_Input'!$AC$65,0),MAX(MIN(CI$20,'01_Input'!$AA$65)-'01_Input'!$Z$65,0)*'01_Input'!$AC$65)))))))))</f>
        <v>0</v>
      </c>
      <c r="CJ33" s="25">
        <f>IF('01_Input'!$C$65="Non",0,MIN('01_Input'!$I$65,MAX('01_Input'!$H$65,IF('01_Input'!$G$65="Résiduel vs Gestion",0,IF('01_Input'!$G$65="Taux Classe sélectionnée",Distrib_Global_Classe_Selectionnee*CJ$20,IF('01_Input'!$G$65="Frais KYC (paliers de 100M€)",MAX(0,Nb_Investisseurs-Nb_KYC_Gratuites_Par_Tranche*(FLOOR(CJ$20/Taille_Tranche_KYC,1)+1))*Cout_Par_KYC_Supplementaire,(IF('01_Input'!$L$65="Forfait",IF(CJ$20&gt;='01_Input'!$J$65,'01_Input'!$M$65,0),IF('01_Input'!$L$65="Palier",IF(AND(CJ$20&gt;='01_Input'!$J$65,CJ$20&lt;'01_Input'!$K$65),'01_Input'!$M$65,0),MAX(MIN(CJ$20,'01_Input'!$K$65)-'01_Input'!$J$65,0)*'01_Input'!$M$65))+IF('01_Input'!$P$65="Forfait",IF(CJ$20&gt;='01_Input'!$N$65,'01_Input'!$Q$65,0),IF('01_Input'!$P$65="Palier",IF(AND(CJ$20&gt;='01_Input'!$N$65,CJ$20&lt;'01_Input'!$O$65),'01_Input'!$Q$65,0),MAX(MIN(CJ$20,'01_Input'!$O$65)-'01_Input'!$N$65,0)*'01_Input'!$Q$65))+IF('01_Input'!$T$65="Forfait",IF(CJ$20&gt;='01_Input'!$R$65,'01_Input'!$U$65,0),IF('01_Input'!$T$65="Palier",IF(AND(CJ$20&gt;='01_Input'!$R$65,CJ$20&lt;'01_Input'!$S$65),'01_Input'!$U$65,0),MAX(MIN(CJ$20,'01_Input'!$S$65)-'01_Input'!$R$65,0)*'01_Input'!$U$65))+IF('01_Input'!$X$65="Forfait",IF(CJ$20&gt;='01_Input'!$V$65,'01_Input'!$Y$65,0),IF('01_Input'!$X$65="Palier",IF(AND(CJ$20&gt;='01_Input'!$V$65,CJ$20&lt;'01_Input'!$W$65),'01_Input'!$Y$65,0),MAX(MIN(CJ$20,'01_Input'!$W$65)-'01_Input'!$V$65,0)*'01_Input'!$Y$65))+IF('01_Input'!$AB$65="Forfait",IF(CJ$20&gt;='01_Input'!$Z$65,'01_Input'!$AC$65,0),IF('01_Input'!$AB$65="Palier",IF(AND(CJ$20&gt;='01_Input'!$Z$65,CJ$20&lt;'01_Input'!$AA$65),'01_Input'!$AC$65,0),MAX(MIN(CJ$20,'01_Input'!$AA$65)-'01_Input'!$Z$65,0)*'01_Input'!$AC$65)))))))))</f>
        <v>0</v>
      </c>
      <c r="CK33" s="25">
        <f>IF('01_Input'!$C$65="Non",0,MIN('01_Input'!$I$65,MAX('01_Input'!$H$65,IF('01_Input'!$G$65="Résiduel vs Gestion",0,IF('01_Input'!$G$65="Taux Classe sélectionnée",Distrib_Global_Classe_Selectionnee*CK$20,IF('01_Input'!$G$65="Frais KYC (paliers de 100M€)",MAX(0,Nb_Investisseurs-Nb_KYC_Gratuites_Par_Tranche*(FLOOR(CK$20/Taille_Tranche_KYC,1)+1))*Cout_Par_KYC_Supplementaire,(IF('01_Input'!$L$65="Forfait",IF(CK$20&gt;='01_Input'!$J$65,'01_Input'!$M$65,0),IF('01_Input'!$L$65="Palier",IF(AND(CK$20&gt;='01_Input'!$J$65,CK$20&lt;'01_Input'!$K$65),'01_Input'!$M$65,0),MAX(MIN(CK$20,'01_Input'!$K$65)-'01_Input'!$J$65,0)*'01_Input'!$M$65))+IF('01_Input'!$P$65="Forfait",IF(CK$20&gt;='01_Input'!$N$65,'01_Input'!$Q$65,0),IF('01_Input'!$P$65="Palier",IF(AND(CK$20&gt;='01_Input'!$N$65,CK$20&lt;'01_Input'!$O$65),'01_Input'!$Q$65,0),MAX(MIN(CK$20,'01_Input'!$O$65)-'01_Input'!$N$65,0)*'01_Input'!$Q$65))+IF('01_Input'!$T$65="Forfait",IF(CK$20&gt;='01_Input'!$R$65,'01_Input'!$U$65,0),IF('01_Input'!$T$65="Palier",IF(AND(CK$20&gt;='01_Input'!$R$65,CK$20&lt;'01_Input'!$S$65),'01_Input'!$U$65,0),MAX(MIN(CK$20,'01_Input'!$S$65)-'01_Input'!$R$65,0)*'01_Input'!$U$65))+IF('01_Input'!$X$65="Forfait",IF(CK$20&gt;='01_Input'!$V$65,'01_Input'!$Y$65,0),IF('01_Input'!$X$65="Palier",IF(AND(CK$20&gt;='01_Input'!$V$65,CK$20&lt;'01_Input'!$W$65),'01_Input'!$Y$65,0),MAX(MIN(CK$20,'01_Input'!$W$65)-'01_Input'!$V$65,0)*'01_Input'!$Y$65))+IF('01_Input'!$AB$65="Forfait",IF(CK$20&gt;='01_Input'!$Z$65,'01_Input'!$AC$65,0),IF('01_Input'!$AB$65="Palier",IF(AND(CK$20&gt;='01_Input'!$Z$65,CK$20&lt;'01_Input'!$AA$65),'01_Input'!$AC$65,0),MAX(MIN(CK$20,'01_Input'!$AA$65)-'01_Input'!$Z$65,0)*'01_Input'!$AC$65)))))))))</f>
        <v>0</v>
      </c>
      <c r="CL33" s="25">
        <f>IF('01_Input'!$C$65="Non",0,MIN('01_Input'!$I$65,MAX('01_Input'!$H$65,IF('01_Input'!$G$65="Résiduel vs Gestion",0,IF('01_Input'!$G$65="Taux Classe sélectionnée",Distrib_Global_Classe_Selectionnee*CL$20,IF('01_Input'!$G$65="Frais KYC (paliers de 100M€)",MAX(0,Nb_Investisseurs-Nb_KYC_Gratuites_Par_Tranche*(FLOOR(CL$20/Taille_Tranche_KYC,1)+1))*Cout_Par_KYC_Supplementaire,(IF('01_Input'!$L$65="Forfait",IF(CL$20&gt;='01_Input'!$J$65,'01_Input'!$M$65,0),IF('01_Input'!$L$65="Palier",IF(AND(CL$20&gt;='01_Input'!$J$65,CL$20&lt;'01_Input'!$K$65),'01_Input'!$M$65,0),MAX(MIN(CL$20,'01_Input'!$K$65)-'01_Input'!$J$65,0)*'01_Input'!$M$65))+IF('01_Input'!$P$65="Forfait",IF(CL$20&gt;='01_Input'!$N$65,'01_Input'!$Q$65,0),IF('01_Input'!$P$65="Palier",IF(AND(CL$20&gt;='01_Input'!$N$65,CL$20&lt;'01_Input'!$O$65),'01_Input'!$Q$65,0),MAX(MIN(CL$20,'01_Input'!$O$65)-'01_Input'!$N$65,0)*'01_Input'!$Q$65))+IF('01_Input'!$T$65="Forfait",IF(CL$20&gt;='01_Input'!$R$65,'01_Input'!$U$65,0),IF('01_Input'!$T$65="Palier",IF(AND(CL$20&gt;='01_Input'!$R$65,CL$20&lt;'01_Input'!$S$65),'01_Input'!$U$65,0),MAX(MIN(CL$20,'01_Input'!$S$65)-'01_Input'!$R$65,0)*'01_Input'!$U$65))+IF('01_Input'!$X$65="Forfait",IF(CL$20&gt;='01_Input'!$V$65,'01_Input'!$Y$65,0),IF('01_Input'!$X$65="Palier",IF(AND(CL$20&gt;='01_Input'!$V$65,CL$20&lt;'01_Input'!$W$65),'01_Input'!$Y$65,0),MAX(MIN(CL$20,'01_Input'!$W$65)-'01_Input'!$V$65,0)*'01_Input'!$Y$65))+IF('01_Input'!$AB$65="Forfait",IF(CL$20&gt;='01_Input'!$Z$65,'01_Input'!$AC$65,0),IF('01_Input'!$AB$65="Palier",IF(AND(CL$20&gt;='01_Input'!$Z$65,CL$20&lt;'01_Input'!$AA$65),'01_Input'!$AC$65,0),MAX(MIN(CL$20,'01_Input'!$AA$65)-'01_Input'!$Z$65,0)*'01_Input'!$AC$65)))))))))</f>
        <v>0</v>
      </c>
      <c r="CM33" s="25">
        <f>IF('01_Input'!$C$65="Non",0,MIN('01_Input'!$I$65,MAX('01_Input'!$H$65,IF('01_Input'!$G$65="Résiduel vs Gestion",0,IF('01_Input'!$G$65="Taux Classe sélectionnée",Distrib_Global_Classe_Selectionnee*CM$20,IF('01_Input'!$G$65="Frais KYC (paliers de 100M€)",MAX(0,Nb_Investisseurs-Nb_KYC_Gratuites_Par_Tranche*(FLOOR(CM$20/Taille_Tranche_KYC,1)+1))*Cout_Par_KYC_Supplementaire,(IF('01_Input'!$L$65="Forfait",IF(CM$20&gt;='01_Input'!$J$65,'01_Input'!$M$65,0),IF('01_Input'!$L$65="Palier",IF(AND(CM$20&gt;='01_Input'!$J$65,CM$20&lt;'01_Input'!$K$65),'01_Input'!$M$65,0),MAX(MIN(CM$20,'01_Input'!$K$65)-'01_Input'!$J$65,0)*'01_Input'!$M$65))+IF('01_Input'!$P$65="Forfait",IF(CM$20&gt;='01_Input'!$N$65,'01_Input'!$Q$65,0),IF('01_Input'!$P$65="Palier",IF(AND(CM$20&gt;='01_Input'!$N$65,CM$20&lt;'01_Input'!$O$65),'01_Input'!$Q$65,0),MAX(MIN(CM$20,'01_Input'!$O$65)-'01_Input'!$N$65,0)*'01_Input'!$Q$65))+IF('01_Input'!$T$65="Forfait",IF(CM$20&gt;='01_Input'!$R$65,'01_Input'!$U$65,0),IF('01_Input'!$T$65="Palier",IF(AND(CM$20&gt;='01_Input'!$R$65,CM$20&lt;'01_Input'!$S$65),'01_Input'!$U$65,0),MAX(MIN(CM$20,'01_Input'!$S$65)-'01_Input'!$R$65,0)*'01_Input'!$U$65))+IF('01_Input'!$X$65="Forfait",IF(CM$20&gt;='01_Input'!$V$65,'01_Input'!$Y$65,0),IF('01_Input'!$X$65="Palier",IF(AND(CM$20&gt;='01_Input'!$V$65,CM$20&lt;'01_Input'!$W$65),'01_Input'!$Y$65,0),MAX(MIN(CM$20,'01_Input'!$W$65)-'01_Input'!$V$65,0)*'01_Input'!$Y$65))+IF('01_Input'!$AB$65="Forfait",IF(CM$20&gt;='01_Input'!$Z$65,'01_Input'!$AC$65,0),IF('01_Input'!$AB$65="Palier",IF(AND(CM$20&gt;='01_Input'!$Z$65,CM$20&lt;'01_Input'!$AA$65),'01_Input'!$AC$65,0),MAX(MIN(CM$20,'01_Input'!$AA$65)-'01_Input'!$Z$65,0)*'01_Input'!$AC$65)))))))))</f>
        <v>0</v>
      </c>
      <c r="CN33" s="25">
        <f>IF('01_Input'!$C$65="Non",0,MIN('01_Input'!$I$65,MAX('01_Input'!$H$65,IF('01_Input'!$G$65="Résiduel vs Gestion",0,IF('01_Input'!$G$65="Taux Classe sélectionnée",Distrib_Global_Classe_Selectionnee*CN$20,IF('01_Input'!$G$65="Frais KYC (paliers de 100M€)",MAX(0,Nb_Investisseurs-Nb_KYC_Gratuites_Par_Tranche*(FLOOR(CN$20/Taille_Tranche_KYC,1)+1))*Cout_Par_KYC_Supplementaire,(IF('01_Input'!$L$65="Forfait",IF(CN$20&gt;='01_Input'!$J$65,'01_Input'!$M$65,0),IF('01_Input'!$L$65="Palier",IF(AND(CN$20&gt;='01_Input'!$J$65,CN$20&lt;'01_Input'!$K$65),'01_Input'!$M$65,0),MAX(MIN(CN$20,'01_Input'!$K$65)-'01_Input'!$J$65,0)*'01_Input'!$M$65))+IF('01_Input'!$P$65="Forfait",IF(CN$20&gt;='01_Input'!$N$65,'01_Input'!$Q$65,0),IF('01_Input'!$P$65="Palier",IF(AND(CN$20&gt;='01_Input'!$N$65,CN$20&lt;'01_Input'!$O$65),'01_Input'!$Q$65,0),MAX(MIN(CN$20,'01_Input'!$O$65)-'01_Input'!$N$65,0)*'01_Input'!$Q$65))+IF('01_Input'!$T$65="Forfait",IF(CN$20&gt;='01_Input'!$R$65,'01_Input'!$U$65,0),IF('01_Input'!$T$65="Palier",IF(AND(CN$20&gt;='01_Input'!$R$65,CN$20&lt;'01_Input'!$S$65),'01_Input'!$U$65,0),MAX(MIN(CN$20,'01_Input'!$S$65)-'01_Input'!$R$65,0)*'01_Input'!$U$65))+IF('01_Input'!$X$65="Forfait",IF(CN$20&gt;='01_Input'!$V$65,'01_Input'!$Y$65,0),IF('01_Input'!$X$65="Palier",IF(AND(CN$20&gt;='01_Input'!$V$65,CN$20&lt;'01_Input'!$W$65),'01_Input'!$Y$65,0),MAX(MIN(CN$20,'01_Input'!$W$65)-'01_Input'!$V$65,0)*'01_Input'!$Y$65))+IF('01_Input'!$AB$65="Forfait",IF(CN$20&gt;='01_Input'!$Z$65,'01_Input'!$AC$65,0),IF('01_Input'!$AB$65="Palier",IF(AND(CN$20&gt;='01_Input'!$Z$65,CN$20&lt;'01_Input'!$AA$65),'01_Input'!$AC$65,0),MAX(MIN(CN$20,'01_Input'!$AA$65)-'01_Input'!$Z$65,0)*'01_Input'!$AC$65)))))))))</f>
        <v>0</v>
      </c>
      <c r="CO33" s="25">
        <f>IF('01_Input'!$C$65="Non",0,MIN('01_Input'!$I$65,MAX('01_Input'!$H$65,IF('01_Input'!$G$65="Résiduel vs Gestion",0,IF('01_Input'!$G$65="Taux Classe sélectionnée",Distrib_Global_Classe_Selectionnee*CO$20,IF('01_Input'!$G$65="Frais KYC (paliers de 100M€)",MAX(0,Nb_Investisseurs-Nb_KYC_Gratuites_Par_Tranche*(FLOOR(CO$20/Taille_Tranche_KYC,1)+1))*Cout_Par_KYC_Supplementaire,(IF('01_Input'!$L$65="Forfait",IF(CO$20&gt;='01_Input'!$J$65,'01_Input'!$M$65,0),IF('01_Input'!$L$65="Palier",IF(AND(CO$20&gt;='01_Input'!$J$65,CO$20&lt;'01_Input'!$K$65),'01_Input'!$M$65,0),MAX(MIN(CO$20,'01_Input'!$K$65)-'01_Input'!$J$65,0)*'01_Input'!$M$65))+IF('01_Input'!$P$65="Forfait",IF(CO$20&gt;='01_Input'!$N$65,'01_Input'!$Q$65,0),IF('01_Input'!$P$65="Palier",IF(AND(CO$20&gt;='01_Input'!$N$65,CO$20&lt;'01_Input'!$O$65),'01_Input'!$Q$65,0),MAX(MIN(CO$20,'01_Input'!$O$65)-'01_Input'!$N$65,0)*'01_Input'!$Q$65))+IF('01_Input'!$T$65="Forfait",IF(CO$20&gt;='01_Input'!$R$65,'01_Input'!$U$65,0),IF('01_Input'!$T$65="Palier",IF(AND(CO$20&gt;='01_Input'!$R$65,CO$20&lt;'01_Input'!$S$65),'01_Input'!$U$65,0),MAX(MIN(CO$20,'01_Input'!$S$65)-'01_Input'!$R$65,0)*'01_Input'!$U$65))+IF('01_Input'!$X$65="Forfait",IF(CO$20&gt;='01_Input'!$V$65,'01_Input'!$Y$65,0),IF('01_Input'!$X$65="Palier",IF(AND(CO$20&gt;='01_Input'!$V$65,CO$20&lt;'01_Input'!$W$65),'01_Input'!$Y$65,0),MAX(MIN(CO$20,'01_Input'!$W$65)-'01_Input'!$V$65,0)*'01_Input'!$Y$65))+IF('01_Input'!$AB$65="Forfait",IF(CO$20&gt;='01_Input'!$Z$65,'01_Input'!$AC$65,0),IF('01_Input'!$AB$65="Palier",IF(AND(CO$20&gt;='01_Input'!$Z$65,CO$20&lt;'01_Input'!$AA$65),'01_Input'!$AC$65,0),MAX(MIN(CO$20,'01_Input'!$AA$65)-'01_Input'!$Z$65,0)*'01_Input'!$AC$65)))))))))</f>
        <v>0</v>
      </c>
      <c r="CP33" s="25">
        <f>IF('01_Input'!$C$65="Non",0,MIN('01_Input'!$I$65,MAX('01_Input'!$H$65,IF('01_Input'!$G$65="Résiduel vs Gestion",0,IF('01_Input'!$G$65="Taux Classe sélectionnée",Distrib_Global_Classe_Selectionnee*CP$20,IF('01_Input'!$G$65="Frais KYC (paliers de 100M€)",MAX(0,Nb_Investisseurs-Nb_KYC_Gratuites_Par_Tranche*(FLOOR(CP$20/Taille_Tranche_KYC,1)+1))*Cout_Par_KYC_Supplementaire,(IF('01_Input'!$L$65="Forfait",IF(CP$20&gt;='01_Input'!$J$65,'01_Input'!$M$65,0),IF('01_Input'!$L$65="Palier",IF(AND(CP$20&gt;='01_Input'!$J$65,CP$20&lt;'01_Input'!$K$65),'01_Input'!$M$65,0),MAX(MIN(CP$20,'01_Input'!$K$65)-'01_Input'!$J$65,0)*'01_Input'!$M$65))+IF('01_Input'!$P$65="Forfait",IF(CP$20&gt;='01_Input'!$N$65,'01_Input'!$Q$65,0),IF('01_Input'!$P$65="Palier",IF(AND(CP$20&gt;='01_Input'!$N$65,CP$20&lt;'01_Input'!$O$65),'01_Input'!$Q$65,0),MAX(MIN(CP$20,'01_Input'!$O$65)-'01_Input'!$N$65,0)*'01_Input'!$Q$65))+IF('01_Input'!$T$65="Forfait",IF(CP$20&gt;='01_Input'!$R$65,'01_Input'!$U$65,0),IF('01_Input'!$T$65="Palier",IF(AND(CP$20&gt;='01_Input'!$R$65,CP$20&lt;'01_Input'!$S$65),'01_Input'!$U$65,0),MAX(MIN(CP$20,'01_Input'!$S$65)-'01_Input'!$R$65,0)*'01_Input'!$U$65))+IF('01_Input'!$X$65="Forfait",IF(CP$20&gt;='01_Input'!$V$65,'01_Input'!$Y$65,0),IF('01_Input'!$X$65="Palier",IF(AND(CP$20&gt;='01_Input'!$V$65,CP$20&lt;'01_Input'!$W$65),'01_Input'!$Y$65,0),MAX(MIN(CP$20,'01_Input'!$W$65)-'01_Input'!$V$65,0)*'01_Input'!$Y$65))+IF('01_Input'!$AB$65="Forfait",IF(CP$20&gt;='01_Input'!$Z$65,'01_Input'!$AC$65,0),IF('01_Input'!$AB$65="Palier",IF(AND(CP$20&gt;='01_Input'!$Z$65,CP$20&lt;'01_Input'!$AA$65),'01_Input'!$AC$65,0),MAX(MIN(CP$20,'01_Input'!$AA$65)-'01_Input'!$Z$65,0)*'01_Input'!$AC$65)))))))))</f>
        <v>0</v>
      </c>
      <c r="CQ33" s="25">
        <f>IF('01_Input'!$C$65="Non",0,MIN('01_Input'!$I$65,MAX('01_Input'!$H$65,IF('01_Input'!$G$65="Résiduel vs Gestion",0,IF('01_Input'!$G$65="Taux Classe sélectionnée",Distrib_Global_Classe_Selectionnee*CQ$20,IF('01_Input'!$G$65="Frais KYC (paliers de 100M€)",MAX(0,Nb_Investisseurs-Nb_KYC_Gratuites_Par_Tranche*(FLOOR(CQ$20/Taille_Tranche_KYC,1)+1))*Cout_Par_KYC_Supplementaire,(IF('01_Input'!$L$65="Forfait",IF(CQ$20&gt;='01_Input'!$J$65,'01_Input'!$M$65,0),IF('01_Input'!$L$65="Palier",IF(AND(CQ$20&gt;='01_Input'!$J$65,CQ$20&lt;'01_Input'!$K$65),'01_Input'!$M$65,0),MAX(MIN(CQ$20,'01_Input'!$K$65)-'01_Input'!$J$65,0)*'01_Input'!$M$65))+IF('01_Input'!$P$65="Forfait",IF(CQ$20&gt;='01_Input'!$N$65,'01_Input'!$Q$65,0),IF('01_Input'!$P$65="Palier",IF(AND(CQ$20&gt;='01_Input'!$N$65,CQ$20&lt;'01_Input'!$O$65),'01_Input'!$Q$65,0),MAX(MIN(CQ$20,'01_Input'!$O$65)-'01_Input'!$N$65,0)*'01_Input'!$Q$65))+IF('01_Input'!$T$65="Forfait",IF(CQ$20&gt;='01_Input'!$R$65,'01_Input'!$U$65,0),IF('01_Input'!$T$65="Palier",IF(AND(CQ$20&gt;='01_Input'!$R$65,CQ$20&lt;'01_Input'!$S$65),'01_Input'!$U$65,0),MAX(MIN(CQ$20,'01_Input'!$S$65)-'01_Input'!$R$65,0)*'01_Input'!$U$65))+IF('01_Input'!$X$65="Forfait",IF(CQ$20&gt;='01_Input'!$V$65,'01_Input'!$Y$65,0),IF('01_Input'!$X$65="Palier",IF(AND(CQ$20&gt;='01_Input'!$V$65,CQ$20&lt;'01_Input'!$W$65),'01_Input'!$Y$65,0),MAX(MIN(CQ$20,'01_Input'!$W$65)-'01_Input'!$V$65,0)*'01_Input'!$Y$65))+IF('01_Input'!$AB$65="Forfait",IF(CQ$20&gt;='01_Input'!$Z$65,'01_Input'!$AC$65,0),IF('01_Input'!$AB$65="Palier",IF(AND(CQ$20&gt;='01_Input'!$Z$65,CQ$20&lt;'01_Input'!$AA$65),'01_Input'!$AC$65,0),MAX(MIN(CQ$20,'01_Input'!$AA$65)-'01_Input'!$Z$65,0)*'01_Input'!$AC$65)))))))))</f>
        <v>0</v>
      </c>
      <c r="CR33" s="25">
        <f>IF('01_Input'!$C$65="Non",0,MIN('01_Input'!$I$65,MAX('01_Input'!$H$65,IF('01_Input'!$G$65="Résiduel vs Gestion",0,IF('01_Input'!$G$65="Taux Classe sélectionnée",Distrib_Global_Classe_Selectionnee*CR$20,IF('01_Input'!$G$65="Frais KYC (paliers de 100M€)",MAX(0,Nb_Investisseurs-Nb_KYC_Gratuites_Par_Tranche*(FLOOR(CR$20/Taille_Tranche_KYC,1)+1))*Cout_Par_KYC_Supplementaire,(IF('01_Input'!$L$65="Forfait",IF(CR$20&gt;='01_Input'!$J$65,'01_Input'!$M$65,0),IF('01_Input'!$L$65="Palier",IF(AND(CR$20&gt;='01_Input'!$J$65,CR$20&lt;'01_Input'!$K$65),'01_Input'!$M$65,0),MAX(MIN(CR$20,'01_Input'!$K$65)-'01_Input'!$J$65,0)*'01_Input'!$M$65))+IF('01_Input'!$P$65="Forfait",IF(CR$20&gt;='01_Input'!$N$65,'01_Input'!$Q$65,0),IF('01_Input'!$P$65="Palier",IF(AND(CR$20&gt;='01_Input'!$N$65,CR$20&lt;'01_Input'!$O$65),'01_Input'!$Q$65,0),MAX(MIN(CR$20,'01_Input'!$O$65)-'01_Input'!$N$65,0)*'01_Input'!$Q$65))+IF('01_Input'!$T$65="Forfait",IF(CR$20&gt;='01_Input'!$R$65,'01_Input'!$U$65,0),IF('01_Input'!$T$65="Palier",IF(AND(CR$20&gt;='01_Input'!$R$65,CR$20&lt;'01_Input'!$S$65),'01_Input'!$U$65,0),MAX(MIN(CR$20,'01_Input'!$S$65)-'01_Input'!$R$65,0)*'01_Input'!$U$65))+IF('01_Input'!$X$65="Forfait",IF(CR$20&gt;='01_Input'!$V$65,'01_Input'!$Y$65,0),IF('01_Input'!$X$65="Palier",IF(AND(CR$20&gt;='01_Input'!$V$65,CR$20&lt;'01_Input'!$W$65),'01_Input'!$Y$65,0),MAX(MIN(CR$20,'01_Input'!$W$65)-'01_Input'!$V$65,0)*'01_Input'!$Y$65))+IF('01_Input'!$AB$65="Forfait",IF(CR$20&gt;='01_Input'!$Z$65,'01_Input'!$AC$65,0),IF('01_Input'!$AB$65="Palier",IF(AND(CR$20&gt;='01_Input'!$Z$65,CR$20&lt;'01_Input'!$AA$65),'01_Input'!$AC$65,0),MAX(MIN(CR$20,'01_Input'!$AA$65)-'01_Input'!$Z$65,0)*'01_Input'!$AC$65)))))))))</f>
        <v>0</v>
      </c>
      <c r="CS33" s="25">
        <f>IF('01_Input'!$C$65="Non",0,MIN('01_Input'!$I$65,MAX('01_Input'!$H$65,IF('01_Input'!$G$65="Résiduel vs Gestion",0,IF('01_Input'!$G$65="Taux Classe sélectionnée",Distrib_Global_Classe_Selectionnee*CS$20,IF('01_Input'!$G$65="Frais KYC (paliers de 100M€)",MAX(0,Nb_Investisseurs-Nb_KYC_Gratuites_Par_Tranche*(FLOOR(CS$20/Taille_Tranche_KYC,1)+1))*Cout_Par_KYC_Supplementaire,(IF('01_Input'!$L$65="Forfait",IF(CS$20&gt;='01_Input'!$J$65,'01_Input'!$M$65,0),IF('01_Input'!$L$65="Palier",IF(AND(CS$20&gt;='01_Input'!$J$65,CS$20&lt;'01_Input'!$K$65),'01_Input'!$M$65,0),MAX(MIN(CS$20,'01_Input'!$K$65)-'01_Input'!$J$65,0)*'01_Input'!$M$65))+IF('01_Input'!$P$65="Forfait",IF(CS$20&gt;='01_Input'!$N$65,'01_Input'!$Q$65,0),IF('01_Input'!$P$65="Palier",IF(AND(CS$20&gt;='01_Input'!$N$65,CS$20&lt;'01_Input'!$O$65),'01_Input'!$Q$65,0),MAX(MIN(CS$20,'01_Input'!$O$65)-'01_Input'!$N$65,0)*'01_Input'!$Q$65))+IF('01_Input'!$T$65="Forfait",IF(CS$20&gt;='01_Input'!$R$65,'01_Input'!$U$65,0),IF('01_Input'!$T$65="Palier",IF(AND(CS$20&gt;='01_Input'!$R$65,CS$20&lt;'01_Input'!$S$65),'01_Input'!$U$65,0),MAX(MIN(CS$20,'01_Input'!$S$65)-'01_Input'!$R$65,0)*'01_Input'!$U$65))+IF('01_Input'!$X$65="Forfait",IF(CS$20&gt;='01_Input'!$V$65,'01_Input'!$Y$65,0),IF('01_Input'!$X$65="Palier",IF(AND(CS$20&gt;='01_Input'!$V$65,CS$20&lt;'01_Input'!$W$65),'01_Input'!$Y$65,0),MAX(MIN(CS$20,'01_Input'!$W$65)-'01_Input'!$V$65,0)*'01_Input'!$Y$65))+IF('01_Input'!$AB$65="Forfait",IF(CS$20&gt;='01_Input'!$Z$65,'01_Input'!$AC$65,0),IF('01_Input'!$AB$65="Palier",IF(AND(CS$20&gt;='01_Input'!$Z$65,CS$20&lt;'01_Input'!$AA$65),'01_Input'!$AC$65,0),MAX(MIN(CS$20,'01_Input'!$AA$65)-'01_Input'!$Z$65,0)*'01_Input'!$AC$65)))))))))</f>
        <v>0</v>
      </c>
      <c r="CT33" s="25">
        <f>IF('01_Input'!$C$65="Non",0,MIN('01_Input'!$I$65,MAX('01_Input'!$H$65,IF('01_Input'!$G$65="Résiduel vs Gestion",0,IF('01_Input'!$G$65="Taux Classe sélectionnée",Distrib_Global_Classe_Selectionnee*CT$20,IF('01_Input'!$G$65="Frais KYC (paliers de 100M€)",MAX(0,Nb_Investisseurs-Nb_KYC_Gratuites_Par_Tranche*(FLOOR(CT$20/Taille_Tranche_KYC,1)+1))*Cout_Par_KYC_Supplementaire,(IF('01_Input'!$L$65="Forfait",IF(CT$20&gt;='01_Input'!$J$65,'01_Input'!$M$65,0),IF('01_Input'!$L$65="Palier",IF(AND(CT$20&gt;='01_Input'!$J$65,CT$20&lt;'01_Input'!$K$65),'01_Input'!$M$65,0),MAX(MIN(CT$20,'01_Input'!$K$65)-'01_Input'!$J$65,0)*'01_Input'!$M$65))+IF('01_Input'!$P$65="Forfait",IF(CT$20&gt;='01_Input'!$N$65,'01_Input'!$Q$65,0),IF('01_Input'!$P$65="Palier",IF(AND(CT$20&gt;='01_Input'!$N$65,CT$20&lt;'01_Input'!$O$65),'01_Input'!$Q$65,0),MAX(MIN(CT$20,'01_Input'!$O$65)-'01_Input'!$N$65,0)*'01_Input'!$Q$65))+IF('01_Input'!$T$65="Forfait",IF(CT$20&gt;='01_Input'!$R$65,'01_Input'!$U$65,0),IF('01_Input'!$T$65="Palier",IF(AND(CT$20&gt;='01_Input'!$R$65,CT$20&lt;'01_Input'!$S$65),'01_Input'!$U$65,0),MAX(MIN(CT$20,'01_Input'!$S$65)-'01_Input'!$R$65,0)*'01_Input'!$U$65))+IF('01_Input'!$X$65="Forfait",IF(CT$20&gt;='01_Input'!$V$65,'01_Input'!$Y$65,0),IF('01_Input'!$X$65="Palier",IF(AND(CT$20&gt;='01_Input'!$V$65,CT$20&lt;'01_Input'!$W$65),'01_Input'!$Y$65,0),MAX(MIN(CT$20,'01_Input'!$W$65)-'01_Input'!$V$65,0)*'01_Input'!$Y$65))+IF('01_Input'!$AB$65="Forfait",IF(CT$20&gt;='01_Input'!$Z$65,'01_Input'!$AC$65,0),IF('01_Input'!$AB$65="Palier",IF(AND(CT$20&gt;='01_Input'!$Z$65,CT$20&lt;'01_Input'!$AA$65),'01_Input'!$AC$65,0),MAX(MIN(CT$20,'01_Input'!$AA$65)-'01_Input'!$Z$65,0)*'01_Input'!$AC$65)))))))))</f>
        <v>0</v>
      </c>
      <c r="CU33" s="25">
        <f>IF('01_Input'!$C$65="Non",0,MIN('01_Input'!$I$65,MAX('01_Input'!$H$65,IF('01_Input'!$G$65="Résiduel vs Gestion",0,IF('01_Input'!$G$65="Taux Classe sélectionnée",Distrib_Global_Classe_Selectionnee*CU$20,IF('01_Input'!$G$65="Frais KYC (paliers de 100M€)",MAX(0,Nb_Investisseurs-Nb_KYC_Gratuites_Par_Tranche*(FLOOR(CU$20/Taille_Tranche_KYC,1)+1))*Cout_Par_KYC_Supplementaire,(IF('01_Input'!$L$65="Forfait",IF(CU$20&gt;='01_Input'!$J$65,'01_Input'!$M$65,0),IF('01_Input'!$L$65="Palier",IF(AND(CU$20&gt;='01_Input'!$J$65,CU$20&lt;'01_Input'!$K$65),'01_Input'!$M$65,0),MAX(MIN(CU$20,'01_Input'!$K$65)-'01_Input'!$J$65,0)*'01_Input'!$M$65))+IF('01_Input'!$P$65="Forfait",IF(CU$20&gt;='01_Input'!$N$65,'01_Input'!$Q$65,0),IF('01_Input'!$P$65="Palier",IF(AND(CU$20&gt;='01_Input'!$N$65,CU$20&lt;'01_Input'!$O$65),'01_Input'!$Q$65,0),MAX(MIN(CU$20,'01_Input'!$O$65)-'01_Input'!$N$65,0)*'01_Input'!$Q$65))+IF('01_Input'!$T$65="Forfait",IF(CU$20&gt;='01_Input'!$R$65,'01_Input'!$U$65,0),IF('01_Input'!$T$65="Palier",IF(AND(CU$20&gt;='01_Input'!$R$65,CU$20&lt;'01_Input'!$S$65),'01_Input'!$U$65,0),MAX(MIN(CU$20,'01_Input'!$S$65)-'01_Input'!$R$65,0)*'01_Input'!$U$65))+IF('01_Input'!$X$65="Forfait",IF(CU$20&gt;='01_Input'!$V$65,'01_Input'!$Y$65,0),IF('01_Input'!$X$65="Palier",IF(AND(CU$20&gt;='01_Input'!$V$65,CU$20&lt;'01_Input'!$W$65),'01_Input'!$Y$65,0),MAX(MIN(CU$20,'01_Input'!$W$65)-'01_Input'!$V$65,0)*'01_Input'!$Y$65))+IF('01_Input'!$AB$65="Forfait",IF(CU$20&gt;='01_Input'!$Z$65,'01_Input'!$AC$65,0),IF('01_Input'!$AB$65="Palier",IF(AND(CU$20&gt;='01_Input'!$Z$65,CU$20&lt;'01_Input'!$AA$65),'01_Input'!$AC$65,0),MAX(MIN(CU$20,'01_Input'!$AA$65)-'01_Input'!$Z$65,0)*'01_Input'!$AC$65)))))))))</f>
        <v>0</v>
      </c>
      <c r="CV33" s="25">
        <f>IF('01_Input'!$C$65="Non",0,MIN('01_Input'!$I$65,MAX('01_Input'!$H$65,IF('01_Input'!$G$65="Résiduel vs Gestion",0,IF('01_Input'!$G$65="Taux Classe sélectionnée",Distrib_Global_Classe_Selectionnee*CV$20,IF('01_Input'!$G$65="Frais KYC (paliers de 100M€)",MAX(0,Nb_Investisseurs-Nb_KYC_Gratuites_Par_Tranche*(FLOOR(CV$20/Taille_Tranche_KYC,1)+1))*Cout_Par_KYC_Supplementaire,(IF('01_Input'!$L$65="Forfait",IF(CV$20&gt;='01_Input'!$J$65,'01_Input'!$M$65,0),IF('01_Input'!$L$65="Palier",IF(AND(CV$20&gt;='01_Input'!$J$65,CV$20&lt;'01_Input'!$K$65),'01_Input'!$M$65,0),MAX(MIN(CV$20,'01_Input'!$K$65)-'01_Input'!$J$65,0)*'01_Input'!$M$65))+IF('01_Input'!$P$65="Forfait",IF(CV$20&gt;='01_Input'!$N$65,'01_Input'!$Q$65,0),IF('01_Input'!$P$65="Palier",IF(AND(CV$20&gt;='01_Input'!$N$65,CV$20&lt;'01_Input'!$O$65),'01_Input'!$Q$65,0),MAX(MIN(CV$20,'01_Input'!$O$65)-'01_Input'!$N$65,0)*'01_Input'!$Q$65))+IF('01_Input'!$T$65="Forfait",IF(CV$20&gt;='01_Input'!$R$65,'01_Input'!$U$65,0),IF('01_Input'!$T$65="Palier",IF(AND(CV$20&gt;='01_Input'!$R$65,CV$20&lt;'01_Input'!$S$65),'01_Input'!$U$65,0),MAX(MIN(CV$20,'01_Input'!$S$65)-'01_Input'!$R$65,0)*'01_Input'!$U$65))+IF('01_Input'!$X$65="Forfait",IF(CV$20&gt;='01_Input'!$V$65,'01_Input'!$Y$65,0),IF('01_Input'!$X$65="Palier",IF(AND(CV$20&gt;='01_Input'!$V$65,CV$20&lt;'01_Input'!$W$65),'01_Input'!$Y$65,0),MAX(MIN(CV$20,'01_Input'!$W$65)-'01_Input'!$V$65,0)*'01_Input'!$Y$65))+IF('01_Input'!$AB$65="Forfait",IF(CV$20&gt;='01_Input'!$Z$65,'01_Input'!$AC$65,0),IF('01_Input'!$AB$65="Palier",IF(AND(CV$20&gt;='01_Input'!$Z$65,CV$20&lt;'01_Input'!$AA$65),'01_Input'!$AC$65,0),MAX(MIN(CV$20,'01_Input'!$AA$65)-'01_Input'!$Z$65,0)*'01_Input'!$AC$65)))))))))</f>
        <v>0</v>
      </c>
      <c r="CW33" s="25">
        <f>IF('01_Input'!$C$65="Non",0,MIN('01_Input'!$I$65,MAX('01_Input'!$H$65,IF('01_Input'!$G$65="Résiduel vs Gestion",0,IF('01_Input'!$G$65="Taux Classe sélectionnée",Distrib_Global_Classe_Selectionnee*CW$20,IF('01_Input'!$G$65="Frais KYC (paliers de 100M€)",MAX(0,Nb_Investisseurs-Nb_KYC_Gratuites_Par_Tranche*(FLOOR(CW$20/Taille_Tranche_KYC,1)+1))*Cout_Par_KYC_Supplementaire,(IF('01_Input'!$L$65="Forfait",IF(CW$20&gt;='01_Input'!$J$65,'01_Input'!$M$65,0),IF('01_Input'!$L$65="Palier",IF(AND(CW$20&gt;='01_Input'!$J$65,CW$20&lt;'01_Input'!$K$65),'01_Input'!$M$65,0),MAX(MIN(CW$20,'01_Input'!$K$65)-'01_Input'!$J$65,0)*'01_Input'!$M$65))+IF('01_Input'!$P$65="Forfait",IF(CW$20&gt;='01_Input'!$N$65,'01_Input'!$Q$65,0),IF('01_Input'!$P$65="Palier",IF(AND(CW$20&gt;='01_Input'!$N$65,CW$20&lt;'01_Input'!$O$65),'01_Input'!$Q$65,0),MAX(MIN(CW$20,'01_Input'!$O$65)-'01_Input'!$N$65,0)*'01_Input'!$Q$65))+IF('01_Input'!$T$65="Forfait",IF(CW$20&gt;='01_Input'!$R$65,'01_Input'!$U$65,0),IF('01_Input'!$T$65="Palier",IF(AND(CW$20&gt;='01_Input'!$R$65,CW$20&lt;'01_Input'!$S$65),'01_Input'!$U$65,0),MAX(MIN(CW$20,'01_Input'!$S$65)-'01_Input'!$R$65,0)*'01_Input'!$U$65))+IF('01_Input'!$X$65="Forfait",IF(CW$20&gt;='01_Input'!$V$65,'01_Input'!$Y$65,0),IF('01_Input'!$X$65="Palier",IF(AND(CW$20&gt;='01_Input'!$V$65,CW$20&lt;'01_Input'!$W$65),'01_Input'!$Y$65,0),MAX(MIN(CW$20,'01_Input'!$W$65)-'01_Input'!$V$65,0)*'01_Input'!$Y$65))+IF('01_Input'!$AB$65="Forfait",IF(CW$20&gt;='01_Input'!$Z$65,'01_Input'!$AC$65,0),IF('01_Input'!$AB$65="Palier",IF(AND(CW$20&gt;='01_Input'!$Z$65,CW$20&lt;'01_Input'!$AA$65),'01_Input'!$AC$65,0),MAX(MIN(CW$20,'01_Input'!$AA$65)-'01_Input'!$Z$65,0)*'01_Input'!$AC$65)))))))))</f>
        <v>0</v>
      </c>
      <c r="CX33" s="25">
        <f>IF('01_Input'!$C$65="Non",0,MIN('01_Input'!$I$65,MAX('01_Input'!$H$65,IF('01_Input'!$G$65="Résiduel vs Gestion",0,IF('01_Input'!$G$65="Taux Classe sélectionnée",Distrib_Global_Classe_Selectionnee*CX$20,IF('01_Input'!$G$65="Frais KYC (paliers de 100M€)",MAX(0,Nb_Investisseurs-Nb_KYC_Gratuites_Par_Tranche*(FLOOR(CX$20/Taille_Tranche_KYC,1)+1))*Cout_Par_KYC_Supplementaire,(IF('01_Input'!$L$65="Forfait",IF(CX$20&gt;='01_Input'!$J$65,'01_Input'!$M$65,0),IF('01_Input'!$L$65="Palier",IF(AND(CX$20&gt;='01_Input'!$J$65,CX$20&lt;'01_Input'!$K$65),'01_Input'!$M$65,0),MAX(MIN(CX$20,'01_Input'!$K$65)-'01_Input'!$J$65,0)*'01_Input'!$M$65))+IF('01_Input'!$P$65="Forfait",IF(CX$20&gt;='01_Input'!$N$65,'01_Input'!$Q$65,0),IF('01_Input'!$P$65="Palier",IF(AND(CX$20&gt;='01_Input'!$N$65,CX$20&lt;'01_Input'!$O$65),'01_Input'!$Q$65,0),MAX(MIN(CX$20,'01_Input'!$O$65)-'01_Input'!$N$65,0)*'01_Input'!$Q$65))+IF('01_Input'!$T$65="Forfait",IF(CX$20&gt;='01_Input'!$R$65,'01_Input'!$U$65,0),IF('01_Input'!$T$65="Palier",IF(AND(CX$20&gt;='01_Input'!$R$65,CX$20&lt;'01_Input'!$S$65),'01_Input'!$U$65,0),MAX(MIN(CX$20,'01_Input'!$S$65)-'01_Input'!$R$65,0)*'01_Input'!$U$65))+IF('01_Input'!$X$65="Forfait",IF(CX$20&gt;='01_Input'!$V$65,'01_Input'!$Y$65,0),IF('01_Input'!$X$65="Palier",IF(AND(CX$20&gt;='01_Input'!$V$65,CX$20&lt;'01_Input'!$W$65),'01_Input'!$Y$65,0),MAX(MIN(CX$20,'01_Input'!$W$65)-'01_Input'!$V$65,0)*'01_Input'!$Y$65))+IF('01_Input'!$AB$65="Forfait",IF(CX$20&gt;='01_Input'!$Z$65,'01_Input'!$AC$65,0),IF('01_Input'!$AB$65="Palier",IF(AND(CX$20&gt;='01_Input'!$Z$65,CX$20&lt;'01_Input'!$AA$65),'01_Input'!$AC$65,0),MAX(MIN(CX$20,'01_Input'!$AA$65)-'01_Input'!$Z$65,0)*'01_Input'!$AC$65)))))))))</f>
        <v>0</v>
      </c>
      <c r="CY33" s="25">
        <f>IF('01_Input'!$C$65="Non",0,MIN('01_Input'!$I$65,MAX('01_Input'!$H$65,IF('01_Input'!$G$65="Résiduel vs Gestion",0,IF('01_Input'!$G$65="Taux Classe sélectionnée",Distrib_Global_Classe_Selectionnee*CY$20,IF('01_Input'!$G$65="Frais KYC (paliers de 100M€)",MAX(0,Nb_Investisseurs-Nb_KYC_Gratuites_Par_Tranche*(FLOOR(CY$20/Taille_Tranche_KYC,1)+1))*Cout_Par_KYC_Supplementaire,(IF('01_Input'!$L$65="Forfait",IF(CY$20&gt;='01_Input'!$J$65,'01_Input'!$M$65,0),IF('01_Input'!$L$65="Palier",IF(AND(CY$20&gt;='01_Input'!$J$65,CY$20&lt;'01_Input'!$K$65),'01_Input'!$M$65,0),MAX(MIN(CY$20,'01_Input'!$K$65)-'01_Input'!$J$65,0)*'01_Input'!$M$65))+IF('01_Input'!$P$65="Forfait",IF(CY$20&gt;='01_Input'!$N$65,'01_Input'!$Q$65,0),IF('01_Input'!$P$65="Palier",IF(AND(CY$20&gt;='01_Input'!$N$65,CY$20&lt;'01_Input'!$O$65),'01_Input'!$Q$65,0),MAX(MIN(CY$20,'01_Input'!$O$65)-'01_Input'!$N$65,0)*'01_Input'!$Q$65))+IF('01_Input'!$T$65="Forfait",IF(CY$20&gt;='01_Input'!$R$65,'01_Input'!$U$65,0),IF('01_Input'!$T$65="Palier",IF(AND(CY$20&gt;='01_Input'!$R$65,CY$20&lt;'01_Input'!$S$65),'01_Input'!$U$65,0),MAX(MIN(CY$20,'01_Input'!$S$65)-'01_Input'!$R$65,0)*'01_Input'!$U$65))+IF('01_Input'!$X$65="Forfait",IF(CY$20&gt;='01_Input'!$V$65,'01_Input'!$Y$65,0),IF('01_Input'!$X$65="Palier",IF(AND(CY$20&gt;='01_Input'!$V$65,CY$20&lt;'01_Input'!$W$65),'01_Input'!$Y$65,0),MAX(MIN(CY$20,'01_Input'!$W$65)-'01_Input'!$V$65,0)*'01_Input'!$Y$65))+IF('01_Input'!$AB$65="Forfait",IF(CY$20&gt;='01_Input'!$Z$65,'01_Input'!$AC$65,0),IF('01_Input'!$AB$65="Palier",IF(AND(CY$20&gt;='01_Input'!$Z$65,CY$20&lt;'01_Input'!$AA$65),'01_Input'!$AC$65,0),MAX(MIN(CY$20,'01_Input'!$AA$65)-'01_Input'!$Z$65,0)*'01_Input'!$AC$65)))))))))</f>
        <v>0</v>
      </c>
      <c r="CZ33" s="25">
        <f>IF('01_Input'!$C$65="Non",0,MIN('01_Input'!$I$65,MAX('01_Input'!$H$65,IF('01_Input'!$G$65="Résiduel vs Gestion",0,IF('01_Input'!$G$65="Taux Classe sélectionnée",Distrib_Global_Classe_Selectionnee*CZ$20,IF('01_Input'!$G$65="Frais KYC (paliers de 100M€)",MAX(0,Nb_Investisseurs-Nb_KYC_Gratuites_Par_Tranche*(FLOOR(CZ$20/Taille_Tranche_KYC,1)+1))*Cout_Par_KYC_Supplementaire,(IF('01_Input'!$L$65="Forfait",IF(CZ$20&gt;='01_Input'!$J$65,'01_Input'!$M$65,0),IF('01_Input'!$L$65="Palier",IF(AND(CZ$20&gt;='01_Input'!$J$65,CZ$20&lt;'01_Input'!$K$65),'01_Input'!$M$65,0),MAX(MIN(CZ$20,'01_Input'!$K$65)-'01_Input'!$J$65,0)*'01_Input'!$M$65))+IF('01_Input'!$P$65="Forfait",IF(CZ$20&gt;='01_Input'!$N$65,'01_Input'!$Q$65,0),IF('01_Input'!$P$65="Palier",IF(AND(CZ$20&gt;='01_Input'!$N$65,CZ$20&lt;'01_Input'!$O$65),'01_Input'!$Q$65,0),MAX(MIN(CZ$20,'01_Input'!$O$65)-'01_Input'!$N$65,0)*'01_Input'!$Q$65))+IF('01_Input'!$T$65="Forfait",IF(CZ$20&gt;='01_Input'!$R$65,'01_Input'!$U$65,0),IF('01_Input'!$T$65="Palier",IF(AND(CZ$20&gt;='01_Input'!$R$65,CZ$20&lt;'01_Input'!$S$65),'01_Input'!$U$65,0),MAX(MIN(CZ$20,'01_Input'!$S$65)-'01_Input'!$R$65,0)*'01_Input'!$U$65))+IF('01_Input'!$X$65="Forfait",IF(CZ$20&gt;='01_Input'!$V$65,'01_Input'!$Y$65,0),IF('01_Input'!$X$65="Palier",IF(AND(CZ$20&gt;='01_Input'!$V$65,CZ$20&lt;'01_Input'!$W$65),'01_Input'!$Y$65,0),MAX(MIN(CZ$20,'01_Input'!$W$65)-'01_Input'!$V$65,0)*'01_Input'!$Y$65))+IF('01_Input'!$AB$65="Forfait",IF(CZ$20&gt;='01_Input'!$Z$65,'01_Input'!$AC$65,0),IF('01_Input'!$AB$65="Palier",IF(AND(CZ$20&gt;='01_Input'!$Z$65,CZ$20&lt;'01_Input'!$AA$65),'01_Input'!$AC$65,0),MAX(MIN(CZ$20,'01_Input'!$AA$65)-'01_Input'!$Z$65,0)*'01_Input'!$AC$65)))))))))</f>
        <v>0</v>
      </c>
      <c r="DA33" s="25">
        <f>IF('01_Input'!$C$65="Non",0,MIN('01_Input'!$I$65,MAX('01_Input'!$H$65,IF('01_Input'!$G$65="Résiduel vs Gestion",0,IF('01_Input'!$G$65="Taux Classe sélectionnée",Distrib_Global_Classe_Selectionnee*DA$20,IF('01_Input'!$G$65="Frais KYC (paliers de 100M€)",MAX(0,Nb_Investisseurs-Nb_KYC_Gratuites_Par_Tranche*(FLOOR(DA$20/Taille_Tranche_KYC,1)+1))*Cout_Par_KYC_Supplementaire,(IF('01_Input'!$L$65="Forfait",IF(DA$20&gt;='01_Input'!$J$65,'01_Input'!$M$65,0),IF('01_Input'!$L$65="Palier",IF(AND(DA$20&gt;='01_Input'!$J$65,DA$20&lt;'01_Input'!$K$65),'01_Input'!$M$65,0),MAX(MIN(DA$20,'01_Input'!$K$65)-'01_Input'!$J$65,0)*'01_Input'!$M$65))+IF('01_Input'!$P$65="Forfait",IF(DA$20&gt;='01_Input'!$N$65,'01_Input'!$Q$65,0),IF('01_Input'!$P$65="Palier",IF(AND(DA$20&gt;='01_Input'!$N$65,DA$20&lt;'01_Input'!$O$65),'01_Input'!$Q$65,0),MAX(MIN(DA$20,'01_Input'!$O$65)-'01_Input'!$N$65,0)*'01_Input'!$Q$65))+IF('01_Input'!$T$65="Forfait",IF(DA$20&gt;='01_Input'!$R$65,'01_Input'!$U$65,0),IF('01_Input'!$T$65="Palier",IF(AND(DA$20&gt;='01_Input'!$R$65,DA$20&lt;'01_Input'!$S$65),'01_Input'!$U$65,0),MAX(MIN(DA$20,'01_Input'!$S$65)-'01_Input'!$R$65,0)*'01_Input'!$U$65))+IF('01_Input'!$X$65="Forfait",IF(DA$20&gt;='01_Input'!$V$65,'01_Input'!$Y$65,0),IF('01_Input'!$X$65="Palier",IF(AND(DA$20&gt;='01_Input'!$V$65,DA$20&lt;'01_Input'!$W$65),'01_Input'!$Y$65,0),MAX(MIN(DA$20,'01_Input'!$W$65)-'01_Input'!$V$65,0)*'01_Input'!$Y$65))+IF('01_Input'!$AB$65="Forfait",IF(DA$20&gt;='01_Input'!$Z$65,'01_Input'!$AC$65,0),IF('01_Input'!$AB$65="Palier",IF(AND(DA$20&gt;='01_Input'!$Z$65,DA$20&lt;'01_Input'!$AA$65),'01_Input'!$AC$65,0),MAX(MIN(DA$20,'01_Input'!$AA$65)-'01_Input'!$Z$65,0)*'01_Input'!$AC$65)))))))))</f>
        <v>0</v>
      </c>
      <c r="DB33" s="25">
        <f>IF('01_Input'!$C$65="Non",0,MIN('01_Input'!$I$65,MAX('01_Input'!$H$65,IF('01_Input'!$G$65="Résiduel vs Gestion",0,IF('01_Input'!$G$65="Taux Classe sélectionnée",Distrib_Global_Classe_Selectionnee*DB$20,IF('01_Input'!$G$65="Frais KYC (paliers de 100M€)",MAX(0,Nb_Investisseurs-Nb_KYC_Gratuites_Par_Tranche*(FLOOR(DB$20/Taille_Tranche_KYC,1)+1))*Cout_Par_KYC_Supplementaire,(IF('01_Input'!$L$65="Forfait",IF(DB$20&gt;='01_Input'!$J$65,'01_Input'!$M$65,0),IF('01_Input'!$L$65="Palier",IF(AND(DB$20&gt;='01_Input'!$J$65,DB$20&lt;'01_Input'!$K$65),'01_Input'!$M$65,0),MAX(MIN(DB$20,'01_Input'!$K$65)-'01_Input'!$J$65,0)*'01_Input'!$M$65))+IF('01_Input'!$P$65="Forfait",IF(DB$20&gt;='01_Input'!$N$65,'01_Input'!$Q$65,0),IF('01_Input'!$P$65="Palier",IF(AND(DB$20&gt;='01_Input'!$N$65,DB$20&lt;'01_Input'!$O$65),'01_Input'!$Q$65,0),MAX(MIN(DB$20,'01_Input'!$O$65)-'01_Input'!$N$65,0)*'01_Input'!$Q$65))+IF('01_Input'!$T$65="Forfait",IF(DB$20&gt;='01_Input'!$R$65,'01_Input'!$U$65,0),IF('01_Input'!$T$65="Palier",IF(AND(DB$20&gt;='01_Input'!$R$65,DB$20&lt;'01_Input'!$S$65),'01_Input'!$U$65,0),MAX(MIN(DB$20,'01_Input'!$S$65)-'01_Input'!$R$65,0)*'01_Input'!$U$65))+IF('01_Input'!$X$65="Forfait",IF(DB$20&gt;='01_Input'!$V$65,'01_Input'!$Y$65,0),IF('01_Input'!$X$65="Palier",IF(AND(DB$20&gt;='01_Input'!$V$65,DB$20&lt;'01_Input'!$W$65),'01_Input'!$Y$65,0),MAX(MIN(DB$20,'01_Input'!$W$65)-'01_Input'!$V$65,0)*'01_Input'!$Y$65))+IF('01_Input'!$AB$65="Forfait",IF(DB$20&gt;='01_Input'!$Z$65,'01_Input'!$AC$65,0),IF('01_Input'!$AB$65="Palier",IF(AND(DB$20&gt;='01_Input'!$Z$65,DB$20&lt;'01_Input'!$AA$65),'01_Input'!$AC$65,0),MAX(MIN(DB$20,'01_Input'!$AA$65)-'01_Input'!$Z$65,0)*'01_Input'!$AC$65)))))))))</f>
        <v>0</v>
      </c>
      <c r="DC33" s="25">
        <f>IF('01_Input'!$C$65="Non",0,MIN('01_Input'!$I$65,MAX('01_Input'!$H$65,IF('01_Input'!$G$65="Résiduel vs Gestion",0,IF('01_Input'!$G$65="Taux Classe sélectionnée",Distrib_Global_Classe_Selectionnee*DC$20,IF('01_Input'!$G$65="Frais KYC (paliers de 100M€)",MAX(0,Nb_Investisseurs-Nb_KYC_Gratuites_Par_Tranche*(FLOOR(DC$20/Taille_Tranche_KYC,1)+1))*Cout_Par_KYC_Supplementaire,(IF('01_Input'!$L$65="Forfait",IF(DC$20&gt;='01_Input'!$J$65,'01_Input'!$M$65,0),IF('01_Input'!$L$65="Palier",IF(AND(DC$20&gt;='01_Input'!$J$65,DC$20&lt;'01_Input'!$K$65),'01_Input'!$M$65,0),MAX(MIN(DC$20,'01_Input'!$K$65)-'01_Input'!$J$65,0)*'01_Input'!$M$65))+IF('01_Input'!$P$65="Forfait",IF(DC$20&gt;='01_Input'!$N$65,'01_Input'!$Q$65,0),IF('01_Input'!$P$65="Palier",IF(AND(DC$20&gt;='01_Input'!$N$65,DC$20&lt;'01_Input'!$O$65),'01_Input'!$Q$65,0),MAX(MIN(DC$20,'01_Input'!$O$65)-'01_Input'!$N$65,0)*'01_Input'!$Q$65))+IF('01_Input'!$T$65="Forfait",IF(DC$20&gt;='01_Input'!$R$65,'01_Input'!$U$65,0),IF('01_Input'!$T$65="Palier",IF(AND(DC$20&gt;='01_Input'!$R$65,DC$20&lt;'01_Input'!$S$65),'01_Input'!$U$65,0),MAX(MIN(DC$20,'01_Input'!$S$65)-'01_Input'!$R$65,0)*'01_Input'!$U$65))+IF('01_Input'!$X$65="Forfait",IF(DC$20&gt;='01_Input'!$V$65,'01_Input'!$Y$65,0),IF('01_Input'!$X$65="Palier",IF(AND(DC$20&gt;='01_Input'!$V$65,DC$20&lt;'01_Input'!$W$65),'01_Input'!$Y$65,0),MAX(MIN(DC$20,'01_Input'!$W$65)-'01_Input'!$V$65,0)*'01_Input'!$Y$65))+IF('01_Input'!$AB$65="Forfait",IF(DC$20&gt;='01_Input'!$Z$65,'01_Input'!$AC$65,0),IF('01_Input'!$AB$65="Palier",IF(AND(DC$20&gt;='01_Input'!$Z$65,DC$20&lt;'01_Input'!$AA$65),'01_Input'!$AC$65,0),MAX(MIN(DC$20,'01_Input'!$AA$65)-'01_Input'!$Z$65,0)*'01_Input'!$AC$65)))))))))</f>
        <v>0</v>
      </c>
      <c r="DD33" s="25">
        <f>IF('01_Input'!$C$65="Non",0,MIN('01_Input'!$I$65,MAX('01_Input'!$H$65,IF('01_Input'!$G$65="Résiduel vs Gestion",0,IF('01_Input'!$G$65="Taux Classe sélectionnée",Distrib_Global_Classe_Selectionnee*DD$20,IF('01_Input'!$G$65="Frais KYC (paliers de 100M€)",MAX(0,Nb_Investisseurs-Nb_KYC_Gratuites_Par_Tranche*(FLOOR(DD$20/Taille_Tranche_KYC,1)+1))*Cout_Par_KYC_Supplementaire,(IF('01_Input'!$L$65="Forfait",IF(DD$20&gt;='01_Input'!$J$65,'01_Input'!$M$65,0),IF('01_Input'!$L$65="Palier",IF(AND(DD$20&gt;='01_Input'!$J$65,DD$20&lt;'01_Input'!$K$65),'01_Input'!$M$65,0),MAX(MIN(DD$20,'01_Input'!$K$65)-'01_Input'!$J$65,0)*'01_Input'!$M$65))+IF('01_Input'!$P$65="Forfait",IF(DD$20&gt;='01_Input'!$N$65,'01_Input'!$Q$65,0),IF('01_Input'!$P$65="Palier",IF(AND(DD$20&gt;='01_Input'!$N$65,DD$20&lt;'01_Input'!$O$65),'01_Input'!$Q$65,0),MAX(MIN(DD$20,'01_Input'!$O$65)-'01_Input'!$N$65,0)*'01_Input'!$Q$65))+IF('01_Input'!$T$65="Forfait",IF(DD$20&gt;='01_Input'!$R$65,'01_Input'!$U$65,0),IF('01_Input'!$T$65="Palier",IF(AND(DD$20&gt;='01_Input'!$R$65,DD$20&lt;'01_Input'!$S$65),'01_Input'!$U$65,0),MAX(MIN(DD$20,'01_Input'!$S$65)-'01_Input'!$R$65,0)*'01_Input'!$U$65))+IF('01_Input'!$X$65="Forfait",IF(DD$20&gt;='01_Input'!$V$65,'01_Input'!$Y$65,0),IF('01_Input'!$X$65="Palier",IF(AND(DD$20&gt;='01_Input'!$V$65,DD$20&lt;'01_Input'!$W$65),'01_Input'!$Y$65,0),MAX(MIN(DD$20,'01_Input'!$W$65)-'01_Input'!$V$65,0)*'01_Input'!$Y$65))+IF('01_Input'!$AB$65="Forfait",IF(DD$20&gt;='01_Input'!$Z$65,'01_Input'!$AC$65,0),IF('01_Input'!$AB$65="Palier",IF(AND(DD$20&gt;='01_Input'!$Z$65,DD$20&lt;'01_Input'!$AA$65),'01_Input'!$AC$65,0),MAX(MIN(DD$20,'01_Input'!$AA$65)-'01_Input'!$Z$65,0)*'01_Input'!$AC$65)))))))))</f>
        <v>0</v>
      </c>
      <c r="DE33" s="25">
        <f>IF('01_Input'!$C$65="Non",0,MIN('01_Input'!$I$65,MAX('01_Input'!$H$65,IF('01_Input'!$G$65="Résiduel vs Gestion",0,IF('01_Input'!$G$65="Taux Classe sélectionnée",Distrib_Global_Classe_Selectionnee*DE$20,IF('01_Input'!$G$65="Frais KYC (paliers de 100M€)",MAX(0,Nb_Investisseurs-Nb_KYC_Gratuites_Par_Tranche*(FLOOR(DE$20/Taille_Tranche_KYC,1)+1))*Cout_Par_KYC_Supplementaire,(IF('01_Input'!$L$65="Forfait",IF(DE$20&gt;='01_Input'!$J$65,'01_Input'!$M$65,0),IF('01_Input'!$L$65="Palier",IF(AND(DE$20&gt;='01_Input'!$J$65,DE$20&lt;'01_Input'!$K$65),'01_Input'!$M$65,0),MAX(MIN(DE$20,'01_Input'!$K$65)-'01_Input'!$J$65,0)*'01_Input'!$M$65))+IF('01_Input'!$P$65="Forfait",IF(DE$20&gt;='01_Input'!$N$65,'01_Input'!$Q$65,0),IF('01_Input'!$P$65="Palier",IF(AND(DE$20&gt;='01_Input'!$N$65,DE$20&lt;'01_Input'!$O$65),'01_Input'!$Q$65,0),MAX(MIN(DE$20,'01_Input'!$O$65)-'01_Input'!$N$65,0)*'01_Input'!$Q$65))+IF('01_Input'!$T$65="Forfait",IF(DE$20&gt;='01_Input'!$R$65,'01_Input'!$U$65,0),IF('01_Input'!$T$65="Palier",IF(AND(DE$20&gt;='01_Input'!$R$65,DE$20&lt;'01_Input'!$S$65),'01_Input'!$U$65,0),MAX(MIN(DE$20,'01_Input'!$S$65)-'01_Input'!$R$65,0)*'01_Input'!$U$65))+IF('01_Input'!$X$65="Forfait",IF(DE$20&gt;='01_Input'!$V$65,'01_Input'!$Y$65,0),IF('01_Input'!$X$65="Palier",IF(AND(DE$20&gt;='01_Input'!$V$65,DE$20&lt;'01_Input'!$W$65),'01_Input'!$Y$65,0),MAX(MIN(DE$20,'01_Input'!$W$65)-'01_Input'!$V$65,0)*'01_Input'!$Y$65))+IF('01_Input'!$AB$65="Forfait",IF(DE$20&gt;='01_Input'!$Z$65,'01_Input'!$AC$65,0),IF('01_Input'!$AB$65="Palier",IF(AND(DE$20&gt;='01_Input'!$Z$65,DE$20&lt;'01_Input'!$AA$65),'01_Input'!$AC$65,0),MAX(MIN(DE$20,'01_Input'!$AA$65)-'01_Input'!$Z$65,0)*'01_Input'!$AC$65)))))))))</f>
        <v>0</v>
      </c>
      <c r="DF33" s="25">
        <f>IF('01_Input'!$C$65="Non",0,MIN('01_Input'!$I$65,MAX('01_Input'!$H$65,IF('01_Input'!$G$65="Résiduel vs Gestion",0,IF('01_Input'!$G$65="Taux Classe sélectionnée",Distrib_Global_Classe_Selectionnee*DF$20,IF('01_Input'!$G$65="Frais KYC (paliers de 100M€)",MAX(0,Nb_Investisseurs-Nb_KYC_Gratuites_Par_Tranche*(FLOOR(DF$20/Taille_Tranche_KYC,1)+1))*Cout_Par_KYC_Supplementaire,(IF('01_Input'!$L$65="Forfait",IF(DF$20&gt;='01_Input'!$J$65,'01_Input'!$M$65,0),IF('01_Input'!$L$65="Palier",IF(AND(DF$20&gt;='01_Input'!$J$65,DF$20&lt;'01_Input'!$K$65),'01_Input'!$M$65,0),MAX(MIN(DF$20,'01_Input'!$K$65)-'01_Input'!$J$65,0)*'01_Input'!$M$65))+IF('01_Input'!$P$65="Forfait",IF(DF$20&gt;='01_Input'!$N$65,'01_Input'!$Q$65,0),IF('01_Input'!$P$65="Palier",IF(AND(DF$20&gt;='01_Input'!$N$65,DF$20&lt;'01_Input'!$O$65),'01_Input'!$Q$65,0),MAX(MIN(DF$20,'01_Input'!$O$65)-'01_Input'!$N$65,0)*'01_Input'!$Q$65))+IF('01_Input'!$T$65="Forfait",IF(DF$20&gt;='01_Input'!$R$65,'01_Input'!$U$65,0),IF('01_Input'!$T$65="Palier",IF(AND(DF$20&gt;='01_Input'!$R$65,DF$20&lt;'01_Input'!$S$65),'01_Input'!$U$65,0),MAX(MIN(DF$20,'01_Input'!$S$65)-'01_Input'!$R$65,0)*'01_Input'!$U$65))+IF('01_Input'!$X$65="Forfait",IF(DF$20&gt;='01_Input'!$V$65,'01_Input'!$Y$65,0),IF('01_Input'!$X$65="Palier",IF(AND(DF$20&gt;='01_Input'!$V$65,DF$20&lt;'01_Input'!$W$65),'01_Input'!$Y$65,0),MAX(MIN(DF$20,'01_Input'!$W$65)-'01_Input'!$V$65,0)*'01_Input'!$Y$65))+IF('01_Input'!$AB$65="Forfait",IF(DF$20&gt;='01_Input'!$Z$65,'01_Input'!$AC$65,0),IF('01_Input'!$AB$65="Palier",IF(AND(DF$20&gt;='01_Input'!$Z$65,DF$20&lt;'01_Input'!$AA$65),'01_Input'!$AC$65,0),MAX(MIN(DF$20,'01_Input'!$AA$65)-'01_Input'!$Z$65,0)*'01_Input'!$AC$65)))))))))</f>
        <v>0</v>
      </c>
      <c r="DG33" s="25">
        <f>IF('01_Input'!$C$65="Non",0,MIN('01_Input'!$I$65,MAX('01_Input'!$H$65,IF('01_Input'!$G$65="Résiduel vs Gestion",0,IF('01_Input'!$G$65="Taux Classe sélectionnée",Distrib_Global_Classe_Selectionnee*DG$20,IF('01_Input'!$G$65="Frais KYC (paliers de 100M€)",MAX(0,Nb_Investisseurs-Nb_KYC_Gratuites_Par_Tranche*(FLOOR(DG$20/Taille_Tranche_KYC,1)+1))*Cout_Par_KYC_Supplementaire,(IF('01_Input'!$L$65="Forfait",IF(DG$20&gt;='01_Input'!$J$65,'01_Input'!$M$65,0),IF('01_Input'!$L$65="Palier",IF(AND(DG$20&gt;='01_Input'!$J$65,DG$20&lt;'01_Input'!$K$65),'01_Input'!$M$65,0),MAX(MIN(DG$20,'01_Input'!$K$65)-'01_Input'!$J$65,0)*'01_Input'!$M$65))+IF('01_Input'!$P$65="Forfait",IF(DG$20&gt;='01_Input'!$N$65,'01_Input'!$Q$65,0),IF('01_Input'!$P$65="Palier",IF(AND(DG$20&gt;='01_Input'!$N$65,DG$20&lt;'01_Input'!$O$65),'01_Input'!$Q$65,0),MAX(MIN(DG$20,'01_Input'!$O$65)-'01_Input'!$N$65,0)*'01_Input'!$Q$65))+IF('01_Input'!$T$65="Forfait",IF(DG$20&gt;='01_Input'!$R$65,'01_Input'!$U$65,0),IF('01_Input'!$T$65="Palier",IF(AND(DG$20&gt;='01_Input'!$R$65,DG$20&lt;'01_Input'!$S$65),'01_Input'!$U$65,0),MAX(MIN(DG$20,'01_Input'!$S$65)-'01_Input'!$R$65,0)*'01_Input'!$U$65))+IF('01_Input'!$X$65="Forfait",IF(DG$20&gt;='01_Input'!$V$65,'01_Input'!$Y$65,0),IF('01_Input'!$X$65="Palier",IF(AND(DG$20&gt;='01_Input'!$V$65,DG$20&lt;'01_Input'!$W$65),'01_Input'!$Y$65,0),MAX(MIN(DG$20,'01_Input'!$W$65)-'01_Input'!$V$65,0)*'01_Input'!$Y$65))+IF('01_Input'!$AB$65="Forfait",IF(DG$20&gt;='01_Input'!$Z$65,'01_Input'!$AC$65,0),IF('01_Input'!$AB$65="Palier",IF(AND(DG$20&gt;='01_Input'!$Z$65,DG$20&lt;'01_Input'!$AA$65),'01_Input'!$AC$65,0),MAX(MIN(DG$20,'01_Input'!$AA$65)-'01_Input'!$Z$65,0)*'01_Input'!$AC$65)))))))))</f>
        <v>0</v>
      </c>
      <c r="DH33" s="25">
        <f>IF('01_Input'!$C$65="Non",0,MIN('01_Input'!$I$65,MAX('01_Input'!$H$65,IF('01_Input'!$G$65="Résiduel vs Gestion",0,IF('01_Input'!$G$65="Taux Classe sélectionnée",Distrib_Global_Classe_Selectionnee*DH$20,IF('01_Input'!$G$65="Frais KYC (paliers de 100M€)",MAX(0,Nb_Investisseurs-Nb_KYC_Gratuites_Par_Tranche*(FLOOR(DH$20/Taille_Tranche_KYC,1)+1))*Cout_Par_KYC_Supplementaire,(IF('01_Input'!$L$65="Forfait",IF(DH$20&gt;='01_Input'!$J$65,'01_Input'!$M$65,0),IF('01_Input'!$L$65="Palier",IF(AND(DH$20&gt;='01_Input'!$J$65,DH$20&lt;'01_Input'!$K$65),'01_Input'!$M$65,0),MAX(MIN(DH$20,'01_Input'!$K$65)-'01_Input'!$J$65,0)*'01_Input'!$M$65))+IF('01_Input'!$P$65="Forfait",IF(DH$20&gt;='01_Input'!$N$65,'01_Input'!$Q$65,0),IF('01_Input'!$P$65="Palier",IF(AND(DH$20&gt;='01_Input'!$N$65,DH$20&lt;'01_Input'!$O$65),'01_Input'!$Q$65,0),MAX(MIN(DH$20,'01_Input'!$O$65)-'01_Input'!$N$65,0)*'01_Input'!$Q$65))+IF('01_Input'!$T$65="Forfait",IF(DH$20&gt;='01_Input'!$R$65,'01_Input'!$U$65,0),IF('01_Input'!$T$65="Palier",IF(AND(DH$20&gt;='01_Input'!$R$65,DH$20&lt;'01_Input'!$S$65),'01_Input'!$U$65,0),MAX(MIN(DH$20,'01_Input'!$S$65)-'01_Input'!$R$65,0)*'01_Input'!$U$65))+IF('01_Input'!$X$65="Forfait",IF(DH$20&gt;='01_Input'!$V$65,'01_Input'!$Y$65,0),IF('01_Input'!$X$65="Palier",IF(AND(DH$20&gt;='01_Input'!$V$65,DH$20&lt;'01_Input'!$W$65),'01_Input'!$Y$65,0),MAX(MIN(DH$20,'01_Input'!$W$65)-'01_Input'!$V$65,0)*'01_Input'!$Y$65))+IF('01_Input'!$AB$65="Forfait",IF(DH$20&gt;='01_Input'!$Z$65,'01_Input'!$AC$65,0),IF('01_Input'!$AB$65="Palier",IF(AND(DH$20&gt;='01_Input'!$Z$65,DH$20&lt;'01_Input'!$AA$65),'01_Input'!$AC$65,0),MAX(MIN(DH$20,'01_Input'!$AA$65)-'01_Input'!$Z$65,0)*'01_Input'!$AC$65)))))))))</f>
        <v>0</v>
      </c>
      <c r="DI33" s="25">
        <f>IF('01_Input'!$C$65="Non",0,MIN('01_Input'!$I$65,MAX('01_Input'!$H$65,IF('01_Input'!$G$65="Résiduel vs Gestion",0,IF('01_Input'!$G$65="Taux Classe sélectionnée",Distrib_Global_Classe_Selectionnee*DI$20,IF('01_Input'!$G$65="Frais KYC (paliers de 100M€)",MAX(0,Nb_Investisseurs-Nb_KYC_Gratuites_Par_Tranche*(FLOOR(DI$20/Taille_Tranche_KYC,1)+1))*Cout_Par_KYC_Supplementaire,(IF('01_Input'!$L$65="Forfait",IF(DI$20&gt;='01_Input'!$J$65,'01_Input'!$M$65,0),IF('01_Input'!$L$65="Palier",IF(AND(DI$20&gt;='01_Input'!$J$65,DI$20&lt;'01_Input'!$K$65),'01_Input'!$M$65,0),MAX(MIN(DI$20,'01_Input'!$K$65)-'01_Input'!$J$65,0)*'01_Input'!$M$65))+IF('01_Input'!$P$65="Forfait",IF(DI$20&gt;='01_Input'!$N$65,'01_Input'!$Q$65,0),IF('01_Input'!$P$65="Palier",IF(AND(DI$20&gt;='01_Input'!$N$65,DI$20&lt;'01_Input'!$O$65),'01_Input'!$Q$65,0),MAX(MIN(DI$20,'01_Input'!$O$65)-'01_Input'!$N$65,0)*'01_Input'!$Q$65))+IF('01_Input'!$T$65="Forfait",IF(DI$20&gt;='01_Input'!$R$65,'01_Input'!$U$65,0),IF('01_Input'!$T$65="Palier",IF(AND(DI$20&gt;='01_Input'!$R$65,DI$20&lt;'01_Input'!$S$65),'01_Input'!$U$65,0),MAX(MIN(DI$20,'01_Input'!$S$65)-'01_Input'!$R$65,0)*'01_Input'!$U$65))+IF('01_Input'!$X$65="Forfait",IF(DI$20&gt;='01_Input'!$V$65,'01_Input'!$Y$65,0),IF('01_Input'!$X$65="Palier",IF(AND(DI$20&gt;='01_Input'!$V$65,DI$20&lt;'01_Input'!$W$65),'01_Input'!$Y$65,0),MAX(MIN(DI$20,'01_Input'!$W$65)-'01_Input'!$V$65,0)*'01_Input'!$Y$65))+IF('01_Input'!$AB$65="Forfait",IF(DI$20&gt;='01_Input'!$Z$65,'01_Input'!$AC$65,0),IF('01_Input'!$AB$65="Palier",IF(AND(DI$20&gt;='01_Input'!$Z$65,DI$20&lt;'01_Input'!$AA$65),'01_Input'!$AC$65,0),MAX(MIN(DI$20,'01_Input'!$AA$65)-'01_Input'!$Z$65,0)*'01_Input'!$AC$65)))))))))</f>
        <v>0</v>
      </c>
      <c r="DJ33" s="25">
        <f>IF('01_Input'!$C$65="Non",0,MIN('01_Input'!$I$65,MAX('01_Input'!$H$65,IF('01_Input'!$G$65="Résiduel vs Gestion",0,IF('01_Input'!$G$65="Taux Classe sélectionnée",Distrib_Global_Classe_Selectionnee*DJ$20,IF('01_Input'!$G$65="Frais KYC (paliers de 100M€)",MAX(0,Nb_Investisseurs-Nb_KYC_Gratuites_Par_Tranche*(FLOOR(DJ$20/Taille_Tranche_KYC,1)+1))*Cout_Par_KYC_Supplementaire,(IF('01_Input'!$L$65="Forfait",IF(DJ$20&gt;='01_Input'!$J$65,'01_Input'!$M$65,0),IF('01_Input'!$L$65="Palier",IF(AND(DJ$20&gt;='01_Input'!$J$65,DJ$20&lt;'01_Input'!$K$65),'01_Input'!$M$65,0),MAX(MIN(DJ$20,'01_Input'!$K$65)-'01_Input'!$J$65,0)*'01_Input'!$M$65))+IF('01_Input'!$P$65="Forfait",IF(DJ$20&gt;='01_Input'!$N$65,'01_Input'!$Q$65,0),IF('01_Input'!$P$65="Palier",IF(AND(DJ$20&gt;='01_Input'!$N$65,DJ$20&lt;'01_Input'!$O$65),'01_Input'!$Q$65,0),MAX(MIN(DJ$20,'01_Input'!$O$65)-'01_Input'!$N$65,0)*'01_Input'!$Q$65))+IF('01_Input'!$T$65="Forfait",IF(DJ$20&gt;='01_Input'!$R$65,'01_Input'!$U$65,0),IF('01_Input'!$T$65="Palier",IF(AND(DJ$20&gt;='01_Input'!$R$65,DJ$20&lt;'01_Input'!$S$65),'01_Input'!$U$65,0),MAX(MIN(DJ$20,'01_Input'!$S$65)-'01_Input'!$R$65,0)*'01_Input'!$U$65))+IF('01_Input'!$X$65="Forfait",IF(DJ$20&gt;='01_Input'!$V$65,'01_Input'!$Y$65,0),IF('01_Input'!$X$65="Palier",IF(AND(DJ$20&gt;='01_Input'!$V$65,DJ$20&lt;'01_Input'!$W$65),'01_Input'!$Y$65,0),MAX(MIN(DJ$20,'01_Input'!$W$65)-'01_Input'!$V$65,0)*'01_Input'!$Y$65))+IF('01_Input'!$AB$65="Forfait",IF(DJ$20&gt;='01_Input'!$Z$65,'01_Input'!$AC$65,0),IF('01_Input'!$AB$65="Palier",IF(AND(DJ$20&gt;='01_Input'!$Z$65,DJ$20&lt;'01_Input'!$AA$65),'01_Input'!$AC$65,0),MAX(MIN(DJ$20,'01_Input'!$AA$65)-'01_Input'!$Z$65,0)*'01_Input'!$AC$65)))))))))</f>
        <v>0</v>
      </c>
      <c r="DK33" s="25">
        <f>IF('01_Input'!$C$65="Non",0,MIN('01_Input'!$I$65,MAX('01_Input'!$H$65,IF('01_Input'!$G$65="Résiduel vs Gestion",0,IF('01_Input'!$G$65="Taux Classe sélectionnée",Distrib_Global_Classe_Selectionnee*DK$20,IF('01_Input'!$G$65="Frais KYC (paliers de 100M€)",MAX(0,Nb_Investisseurs-Nb_KYC_Gratuites_Par_Tranche*(FLOOR(DK$20/Taille_Tranche_KYC,1)+1))*Cout_Par_KYC_Supplementaire,(IF('01_Input'!$L$65="Forfait",IF(DK$20&gt;='01_Input'!$J$65,'01_Input'!$M$65,0),IF('01_Input'!$L$65="Palier",IF(AND(DK$20&gt;='01_Input'!$J$65,DK$20&lt;'01_Input'!$K$65),'01_Input'!$M$65,0),MAX(MIN(DK$20,'01_Input'!$K$65)-'01_Input'!$J$65,0)*'01_Input'!$M$65))+IF('01_Input'!$P$65="Forfait",IF(DK$20&gt;='01_Input'!$N$65,'01_Input'!$Q$65,0),IF('01_Input'!$P$65="Palier",IF(AND(DK$20&gt;='01_Input'!$N$65,DK$20&lt;'01_Input'!$O$65),'01_Input'!$Q$65,0),MAX(MIN(DK$20,'01_Input'!$O$65)-'01_Input'!$N$65,0)*'01_Input'!$Q$65))+IF('01_Input'!$T$65="Forfait",IF(DK$20&gt;='01_Input'!$R$65,'01_Input'!$U$65,0),IF('01_Input'!$T$65="Palier",IF(AND(DK$20&gt;='01_Input'!$R$65,DK$20&lt;'01_Input'!$S$65),'01_Input'!$U$65,0),MAX(MIN(DK$20,'01_Input'!$S$65)-'01_Input'!$R$65,0)*'01_Input'!$U$65))+IF('01_Input'!$X$65="Forfait",IF(DK$20&gt;='01_Input'!$V$65,'01_Input'!$Y$65,0),IF('01_Input'!$X$65="Palier",IF(AND(DK$20&gt;='01_Input'!$V$65,DK$20&lt;'01_Input'!$W$65),'01_Input'!$Y$65,0),MAX(MIN(DK$20,'01_Input'!$W$65)-'01_Input'!$V$65,0)*'01_Input'!$Y$65))+IF('01_Input'!$AB$65="Forfait",IF(DK$20&gt;='01_Input'!$Z$65,'01_Input'!$AC$65,0),IF('01_Input'!$AB$65="Palier",IF(AND(DK$20&gt;='01_Input'!$Z$65,DK$20&lt;'01_Input'!$AA$65),'01_Input'!$AC$65,0),MAX(MIN(DK$20,'01_Input'!$AA$65)-'01_Input'!$Z$65,0)*'01_Input'!$AC$65)))))))))</f>
        <v>0</v>
      </c>
      <c r="DL33" s="25">
        <f>IF('01_Input'!$C$65="Non",0,MIN('01_Input'!$I$65,MAX('01_Input'!$H$65,IF('01_Input'!$G$65="Résiduel vs Gestion",0,IF('01_Input'!$G$65="Taux Classe sélectionnée",Distrib_Global_Classe_Selectionnee*DL$20,IF('01_Input'!$G$65="Frais KYC (paliers de 100M€)",MAX(0,Nb_Investisseurs-Nb_KYC_Gratuites_Par_Tranche*(FLOOR(DL$20/Taille_Tranche_KYC,1)+1))*Cout_Par_KYC_Supplementaire,(IF('01_Input'!$L$65="Forfait",IF(DL$20&gt;='01_Input'!$J$65,'01_Input'!$M$65,0),IF('01_Input'!$L$65="Palier",IF(AND(DL$20&gt;='01_Input'!$J$65,DL$20&lt;'01_Input'!$K$65),'01_Input'!$M$65,0),MAX(MIN(DL$20,'01_Input'!$K$65)-'01_Input'!$J$65,0)*'01_Input'!$M$65))+IF('01_Input'!$P$65="Forfait",IF(DL$20&gt;='01_Input'!$N$65,'01_Input'!$Q$65,0),IF('01_Input'!$P$65="Palier",IF(AND(DL$20&gt;='01_Input'!$N$65,DL$20&lt;'01_Input'!$O$65),'01_Input'!$Q$65,0),MAX(MIN(DL$20,'01_Input'!$O$65)-'01_Input'!$N$65,0)*'01_Input'!$Q$65))+IF('01_Input'!$T$65="Forfait",IF(DL$20&gt;='01_Input'!$R$65,'01_Input'!$U$65,0),IF('01_Input'!$T$65="Palier",IF(AND(DL$20&gt;='01_Input'!$R$65,DL$20&lt;'01_Input'!$S$65),'01_Input'!$U$65,0),MAX(MIN(DL$20,'01_Input'!$S$65)-'01_Input'!$R$65,0)*'01_Input'!$U$65))+IF('01_Input'!$X$65="Forfait",IF(DL$20&gt;='01_Input'!$V$65,'01_Input'!$Y$65,0),IF('01_Input'!$X$65="Palier",IF(AND(DL$20&gt;='01_Input'!$V$65,DL$20&lt;'01_Input'!$W$65),'01_Input'!$Y$65,0),MAX(MIN(DL$20,'01_Input'!$W$65)-'01_Input'!$V$65,0)*'01_Input'!$Y$65))+IF('01_Input'!$AB$65="Forfait",IF(DL$20&gt;='01_Input'!$Z$65,'01_Input'!$AC$65,0),IF('01_Input'!$AB$65="Palier",IF(AND(DL$20&gt;='01_Input'!$Z$65,DL$20&lt;'01_Input'!$AA$65),'01_Input'!$AC$65,0),MAX(MIN(DL$20,'01_Input'!$AA$65)-'01_Input'!$Z$65,0)*'01_Input'!$AC$65)))))))))</f>
        <v>0</v>
      </c>
      <c r="DM33" s="25">
        <f>IF('01_Input'!$C$65="Non",0,MIN('01_Input'!$I$65,MAX('01_Input'!$H$65,IF('01_Input'!$G$65="Résiduel vs Gestion",0,IF('01_Input'!$G$65="Taux Classe sélectionnée",Distrib_Global_Classe_Selectionnee*DM$20,IF('01_Input'!$G$65="Frais KYC (paliers de 100M€)",MAX(0,Nb_Investisseurs-Nb_KYC_Gratuites_Par_Tranche*(FLOOR(DM$20/Taille_Tranche_KYC,1)+1))*Cout_Par_KYC_Supplementaire,(IF('01_Input'!$L$65="Forfait",IF(DM$20&gt;='01_Input'!$J$65,'01_Input'!$M$65,0),IF('01_Input'!$L$65="Palier",IF(AND(DM$20&gt;='01_Input'!$J$65,DM$20&lt;'01_Input'!$K$65),'01_Input'!$M$65,0),MAX(MIN(DM$20,'01_Input'!$K$65)-'01_Input'!$J$65,0)*'01_Input'!$M$65))+IF('01_Input'!$P$65="Forfait",IF(DM$20&gt;='01_Input'!$N$65,'01_Input'!$Q$65,0),IF('01_Input'!$P$65="Palier",IF(AND(DM$20&gt;='01_Input'!$N$65,DM$20&lt;'01_Input'!$O$65),'01_Input'!$Q$65,0),MAX(MIN(DM$20,'01_Input'!$O$65)-'01_Input'!$N$65,0)*'01_Input'!$Q$65))+IF('01_Input'!$T$65="Forfait",IF(DM$20&gt;='01_Input'!$R$65,'01_Input'!$U$65,0),IF('01_Input'!$T$65="Palier",IF(AND(DM$20&gt;='01_Input'!$R$65,DM$20&lt;'01_Input'!$S$65),'01_Input'!$U$65,0),MAX(MIN(DM$20,'01_Input'!$S$65)-'01_Input'!$R$65,0)*'01_Input'!$U$65))+IF('01_Input'!$X$65="Forfait",IF(DM$20&gt;='01_Input'!$V$65,'01_Input'!$Y$65,0),IF('01_Input'!$X$65="Palier",IF(AND(DM$20&gt;='01_Input'!$V$65,DM$20&lt;'01_Input'!$W$65),'01_Input'!$Y$65,0),MAX(MIN(DM$20,'01_Input'!$W$65)-'01_Input'!$V$65,0)*'01_Input'!$Y$65))+IF('01_Input'!$AB$65="Forfait",IF(DM$20&gt;='01_Input'!$Z$65,'01_Input'!$AC$65,0),IF('01_Input'!$AB$65="Palier",IF(AND(DM$20&gt;='01_Input'!$Z$65,DM$20&lt;'01_Input'!$AA$65),'01_Input'!$AC$65,0),MAX(MIN(DM$20,'01_Input'!$AA$65)-'01_Input'!$Z$65,0)*'01_Input'!$AC$65)))))))))</f>
        <v>0</v>
      </c>
      <c r="DN33" s="25">
        <f>IF('01_Input'!$C$65="Non",0,MIN('01_Input'!$I$65,MAX('01_Input'!$H$65,IF('01_Input'!$G$65="Résiduel vs Gestion",0,IF('01_Input'!$G$65="Taux Classe sélectionnée",Distrib_Global_Classe_Selectionnee*DN$20,IF('01_Input'!$G$65="Frais KYC (paliers de 100M€)",MAX(0,Nb_Investisseurs-Nb_KYC_Gratuites_Par_Tranche*(FLOOR(DN$20/Taille_Tranche_KYC,1)+1))*Cout_Par_KYC_Supplementaire,(IF('01_Input'!$L$65="Forfait",IF(DN$20&gt;='01_Input'!$J$65,'01_Input'!$M$65,0),IF('01_Input'!$L$65="Palier",IF(AND(DN$20&gt;='01_Input'!$J$65,DN$20&lt;'01_Input'!$K$65),'01_Input'!$M$65,0),MAX(MIN(DN$20,'01_Input'!$K$65)-'01_Input'!$J$65,0)*'01_Input'!$M$65))+IF('01_Input'!$P$65="Forfait",IF(DN$20&gt;='01_Input'!$N$65,'01_Input'!$Q$65,0),IF('01_Input'!$P$65="Palier",IF(AND(DN$20&gt;='01_Input'!$N$65,DN$20&lt;'01_Input'!$O$65),'01_Input'!$Q$65,0),MAX(MIN(DN$20,'01_Input'!$O$65)-'01_Input'!$N$65,0)*'01_Input'!$Q$65))+IF('01_Input'!$T$65="Forfait",IF(DN$20&gt;='01_Input'!$R$65,'01_Input'!$U$65,0),IF('01_Input'!$T$65="Palier",IF(AND(DN$20&gt;='01_Input'!$R$65,DN$20&lt;'01_Input'!$S$65),'01_Input'!$U$65,0),MAX(MIN(DN$20,'01_Input'!$S$65)-'01_Input'!$R$65,0)*'01_Input'!$U$65))+IF('01_Input'!$X$65="Forfait",IF(DN$20&gt;='01_Input'!$V$65,'01_Input'!$Y$65,0),IF('01_Input'!$X$65="Palier",IF(AND(DN$20&gt;='01_Input'!$V$65,DN$20&lt;'01_Input'!$W$65),'01_Input'!$Y$65,0),MAX(MIN(DN$20,'01_Input'!$W$65)-'01_Input'!$V$65,0)*'01_Input'!$Y$65))+IF('01_Input'!$AB$65="Forfait",IF(DN$20&gt;='01_Input'!$Z$65,'01_Input'!$AC$65,0),IF('01_Input'!$AB$65="Palier",IF(AND(DN$20&gt;='01_Input'!$Z$65,DN$20&lt;'01_Input'!$AA$65),'01_Input'!$AC$65,0),MAX(MIN(DN$20,'01_Input'!$AA$65)-'01_Input'!$Z$65,0)*'01_Input'!$AC$65)))))))))</f>
        <v>0</v>
      </c>
      <c r="DO33" s="25">
        <f>IF('01_Input'!$C$65="Non",0,MIN('01_Input'!$I$65,MAX('01_Input'!$H$65,IF('01_Input'!$G$65="Résiduel vs Gestion",0,IF('01_Input'!$G$65="Taux Classe sélectionnée",Distrib_Global_Classe_Selectionnee*DO$20,IF('01_Input'!$G$65="Frais KYC (paliers de 100M€)",MAX(0,Nb_Investisseurs-Nb_KYC_Gratuites_Par_Tranche*(FLOOR(DO$20/Taille_Tranche_KYC,1)+1))*Cout_Par_KYC_Supplementaire,(IF('01_Input'!$L$65="Forfait",IF(DO$20&gt;='01_Input'!$J$65,'01_Input'!$M$65,0),IF('01_Input'!$L$65="Palier",IF(AND(DO$20&gt;='01_Input'!$J$65,DO$20&lt;'01_Input'!$K$65),'01_Input'!$M$65,0),MAX(MIN(DO$20,'01_Input'!$K$65)-'01_Input'!$J$65,0)*'01_Input'!$M$65))+IF('01_Input'!$P$65="Forfait",IF(DO$20&gt;='01_Input'!$N$65,'01_Input'!$Q$65,0),IF('01_Input'!$P$65="Palier",IF(AND(DO$20&gt;='01_Input'!$N$65,DO$20&lt;'01_Input'!$O$65),'01_Input'!$Q$65,0),MAX(MIN(DO$20,'01_Input'!$O$65)-'01_Input'!$N$65,0)*'01_Input'!$Q$65))+IF('01_Input'!$T$65="Forfait",IF(DO$20&gt;='01_Input'!$R$65,'01_Input'!$U$65,0),IF('01_Input'!$T$65="Palier",IF(AND(DO$20&gt;='01_Input'!$R$65,DO$20&lt;'01_Input'!$S$65),'01_Input'!$U$65,0),MAX(MIN(DO$20,'01_Input'!$S$65)-'01_Input'!$R$65,0)*'01_Input'!$U$65))+IF('01_Input'!$X$65="Forfait",IF(DO$20&gt;='01_Input'!$V$65,'01_Input'!$Y$65,0),IF('01_Input'!$X$65="Palier",IF(AND(DO$20&gt;='01_Input'!$V$65,DO$20&lt;'01_Input'!$W$65),'01_Input'!$Y$65,0),MAX(MIN(DO$20,'01_Input'!$W$65)-'01_Input'!$V$65,0)*'01_Input'!$Y$65))+IF('01_Input'!$AB$65="Forfait",IF(DO$20&gt;='01_Input'!$Z$65,'01_Input'!$AC$65,0),IF('01_Input'!$AB$65="Palier",IF(AND(DO$20&gt;='01_Input'!$Z$65,DO$20&lt;'01_Input'!$AA$65),'01_Input'!$AC$65,0),MAX(MIN(DO$20,'01_Input'!$AA$65)-'01_Input'!$Z$65,0)*'01_Input'!$AC$65)))))))))</f>
        <v>0</v>
      </c>
      <c r="DP33" s="25">
        <f>IF('01_Input'!$C$65="Non",0,MIN('01_Input'!$I$65,MAX('01_Input'!$H$65,IF('01_Input'!$G$65="Résiduel vs Gestion",0,IF('01_Input'!$G$65="Taux Classe sélectionnée",Distrib_Global_Classe_Selectionnee*DP$20,IF('01_Input'!$G$65="Frais KYC (paliers de 100M€)",MAX(0,Nb_Investisseurs-Nb_KYC_Gratuites_Par_Tranche*(FLOOR(DP$20/Taille_Tranche_KYC,1)+1))*Cout_Par_KYC_Supplementaire,(IF('01_Input'!$L$65="Forfait",IF(DP$20&gt;='01_Input'!$J$65,'01_Input'!$M$65,0),IF('01_Input'!$L$65="Palier",IF(AND(DP$20&gt;='01_Input'!$J$65,DP$20&lt;'01_Input'!$K$65),'01_Input'!$M$65,0),MAX(MIN(DP$20,'01_Input'!$K$65)-'01_Input'!$J$65,0)*'01_Input'!$M$65))+IF('01_Input'!$P$65="Forfait",IF(DP$20&gt;='01_Input'!$N$65,'01_Input'!$Q$65,0),IF('01_Input'!$P$65="Palier",IF(AND(DP$20&gt;='01_Input'!$N$65,DP$20&lt;'01_Input'!$O$65),'01_Input'!$Q$65,0),MAX(MIN(DP$20,'01_Input'!$O$65)-'01_Input'!$N$65,0)*'01_Input'!$Q$65))+IF('01_Input'!$T$65="Forfait",IF(DP$20&gt;='01_Input'!$R$65,'01_Input'!$U$65,0),IF('01_Input'!$T$65="Palier",IF(AND(DP$20&gt;='01_Input'!$R$65,DP$20&lt;'01_Input'!$S$65),'01_Input'!$U$65,0),MAX(MIN(DP$20,'01_Input'!$S$65)-'01_Input'!$R$65,0)*'01_Input'!$U$65))+IF('01_Input'!$X$65="Forfait",IF(DP$20&gt;='01_Input'!$V$65,'01_Input'!$Y$65,0),IF('01_Input'!$X$65="Palier",IF(AND(DP$20&gt;='01_Input'!$V$65,DP$20&lt;'01_Input'!$W$65),'01_Input'!$Y$65,0),MAX(MIN(DP$20,'01_Input'!$W$65)-'01_Input'!$V$65,0)*'01_Input'!$Y$65))+IF('01_Input'!$AB$65="Forfait",IF(DP$20&gt;='01_Input'!$Z$65,'01_Input'!$AC$65,0),IF('01_Input'!$AB$65="Palier",IF(AND(DP$20&gt;='01_Input'!$Z$65,DP$20&lt;'01_Input'!$AA$65),'01_Input'!$AC$65,0),MAX(MIN(DP$20,'01_Input'!$AA$65)-'01_Input'!$Z$65,0)*'01_Input'!$AC$65)))))))))</f>
        <v>0</v>
      </c>
      <c r="DQ33" s="25">
        <f>IF('01_Input'!$C$65="Non",0,MIN('01_Input'!$I$65,MAX('01_Input'!$H$65,IF('01_Input'!$G$65="Résiduel vs Gestion",0,IF('01_Input'!$G$65="Taux Classe sélectionnée",Distrib_Global_Classe_Selectionnee*DQ$20,IF('01_Input'!$G$65="Frais KYC (paliers de 100M€)",MAX(0,Nb_Investisseurs-Nb_KYC_Gratuites_Par_Tranche*(FLOOR(DQ$20/Taille_Tranche_KYC,1)+1))*Cout_Par_KYC_Supplementaire,(IF('01_Input'!$L$65="Forfait",IF(DQ$20&gt;='01_Input'!$J$65,'01_Input'!$M$65,0),IF('01_Input'!$L$65="Palier",IF(AND(DQ$20&gt;='01_Input'!$J$65,DQ$20&lt;'01_Input'!$K$65),'01_Input'!$M$65,0),MAX(MIN(DQ$20,'01_Input'!$K$65)-'01_Input'!$J$65,0)*'01_Input'!$M$65))+IF('01_Input'!$P$65="Forfait",IF(DQ$20&gt;='01_Input'!$N$65,'01_Input'!$Q$65,0),IF('01_Input'!$P$65="Palier",IF(AND(DQ$20&gt;='01_Input'!$N$65,DQ$20&lt;'01_Input'!$O$65),'01_Input'!$Q$65,0),MAX(MIN(DQ$20,'01_Input'!$O$65)-'01_Input'!$N$65,0)*'01_Input'!$Q$65))+IF('01_Input'!$T$65="Forfait",IF(DQ$20&gt;='01_Input'!$R$65,'01_Input'!$U$65,0),IF('01_Input'!$T$65="Palier",IF(AND(DQ$20&gt;='01_Input'!$R$65,DQ$20&lt;'01_Input'!$S$65),'01_Input'!$U$65,0),MAX(MIN(DQ$20,'01_Input'!$S$65)-'01_Input'!$R$65,0)*'01_Input'!$U$65))+IF('01_Input'!$X$65="Forfait",IF(DQ$20&gt;='01_Input'!$V$65,'01_Input'!$Y$65,0),IF('01_Input'!$X$65="Palier",IF(AND(DQ$20&gt;='01_Input'!$V$65,DQ$20&lt;'01_Input'!$W$65),'01_Input'!$Y$65,0),MAX(MIN(DQ$20,'01_Input'!$W$65)-'01_Input'!$V$65,0)*'01_Input'!$Y$65))+IF('01_Input'!$AB$65="Forfait",IF(DQ$20&gt;='01_Input'!$Z$65,'01_Input'!$AC$65,0),IF('01_Input'!$AB$65="Palier",IF(AND(DQ$20&gt;='01_Input'!$Z$65,DQ$20&lt;'01_Input'!$AA$65),'01_Input'!$AC$65,0),MAX(MIN(DQ$20,'01_Input'!$AA$65)-'01_Input'!$Z$65,0)*'01_Input'!$AC$65)))))))))</f>
        <v>0</v>
      </c>
      <c r="DR33" s="25">
        <f>IF('01_Input'!$C$65="Non",0,MIN('01_Input'!$I$65,MAX('01_Input'!$H$65,IF('01_Input'!$G$65="Résiduel vs Gestion",0,IF('01_Input'!$G$65="Taux Classe sélectionnée",Distrib_Global_Classe_Selectionnee*DR$20,IF('01_Input'!$G$65="Frais KYC (paliers de 100M€)",MAX(0,Nb_Investisseurs-Nb_KYC_Gratuites_Par_Tranche*(FLOOR(DR$20/Taille_Tranche_KYC,1)+1))*Cout_Par_KYC_Supplementaire,(IF('01_Input'!$L$65="Forfait",IF(DR$20&gt;='01_Input'!$J$65,'01_Input'!$M$65,0),IF('01_Input'!$L$65="Palier",IF(AND(DR$20&gt;='01_Input'!$J$65,DR$20&lt;'01_Input'!$K$65),'01_Input'!$M$65,0),MAX(MIN(DR$20,'01_Input'!$K$65)-'01_Input'!$J$65,0)*'01_Input'!$M$65))+IF('01_Input'!$P$65="Forfait",IF(DR$20&gt;='01_Input'!$N$65,'01_Input'!$Q$65,0),IF('01_Input'!$P$65="Palier",IF(AND(DR$20&gt;='01_Input'!$N$65,DR$20&lt;'01_Input'!$O$65),'01_Input'!$Q$65,0),MAX(MIN(DR$20,'01_Input'!$O$65)-'01_Input'!$N$65,0)*'01_Input'!$Q$65))+IF('01_Input'!$T$65="Forfait",IF(DR$20&gt;='01_Input'!$R$65,'01_Input'!$U$65,0),IF('01_Input'!$T$65="Palier",IF(AND(DR$20&gt;='01_Input'!$R$65,DR$20&lt;'01_Input'!$S$65),'01_Input'!$U$65,0),MAX(MIN(DR$20,'01_Input'!$S$65)-'01_Input'!$R$65,0)*'01_Input'!$U$65))+IF('01_Input'!$X$65="Forfait",IF(DR$20&gt;='01_Input'!$V$65,'01_Input'!$Y$65,0),IF('01_Input'!$X$65="Palier",IF(AND(DR$20&gt;='01_Input'!$V$65,DR$20&lt;'01_Input'!$W$65),'01_Input'!$Y$65,0),MAX(MIN(DR$20,'01_Input'!$W$65)-'01_Input'!$V$65,0)*'01_Input'!$Y$65))+IF('01_Input'!$AB$65="Forfait",IF(DR$20&gt;='01_Input'!$Z$65,'01_Input'!$AC$65,0),IF('01_Input'!$AB$65="Palier",IF(AND(DR$20&gt;='01_Input'!$Z$65,DR$20&lt;'01_Input'!$AA$65),'01_Input'!$AC$65,0),MAX(MIN(DR$20,'01_Input'!$AA$65)-'01_Input'!$Z$65,0)*'01_Input'!$AC$65)))))))))</f>
        <v>0</v>
      </c>
      <c r="DS33" s="25">
        <f>IF('01_Input'!$C$65="Non",0,MIN('01_Input'!$I$65,MAX('01_Input'!$H$65,IF('01_Input'!$G$65="Résiduel vs Gestion",0,IF('01_Input'!$G$65="Taux Classe sélectionnée",Distrib_Global_Classe_Selectionnee*DS$20,IF('01_Input'!$G$65="Frais KYC (paliers de 100M€)",MAX(0,Nb_Investisseurs-Nb_KYC_Gratuites_Par_Tranche*(FLOOR(DS$20/Taille_Tranche_KYC,1)+1))*Cout_Par_KYC_Supplementaire,(IF('01_Input'!$L$65="Forfait",IF(DS$20&gt;='01_Input'!$J$65,'01_Input'!$M$65,0),IF('01_Input'!$L$65="Palier",IF(AND(DS$20&gt;='01_Input'!$J$65,DS$20&lt;'01_Input'!$K$65),'01_Input'!$M$65,0),MAX(MIN(DS$20,'01_Input'!$K$65)-'01_Input'!$J$65,0)*'01_Input'!$M$65))+IF('01_Input'!$P$65="Forfait",IF(DS$20&gt;='01_Input'!$N$65,'01_Input'!$Q$65,0),IF('01_Input'!$P$65="Palier",IF(AND(DS$20&gt;='01_Input'!$N$65,DS$20&lt;'01_Input'!$O$65),'01_Input'!$Q$65,0),MAX(MIN(DS$20,'01_Input'!$O$65)-'01_Input'!$N$65,0)*'01_Input'!$Q$65))+IF('01_Input'!$T$65="Forfait",IF(DS$20&gt;='01_Input'!$R$65,'01_Input'!$U$65,0),IF('01_Input'!$T$65="Palier",IF(AND(DS$20&gt;='01_Input'!$R$65,DS$20&lt;'01_Input'!$S$65),'01_Input'!$U$65,0),MAX(MIN(DS$20,'01_Input'!$S$65)-'01_Input'!$R$65,0)*'01_Input'!$U$65))+IF('01_Input'!$X$65="Forfait",IF(DS$20&gt;='01_Input'!$V$65,'01_Input'!$Y$65,0),IF('01_Input'!$X$65="Palier",IF(AND(DS$20&gt;='01_Input'!$V$65,DS$20&lt;'01_Input'!$W$65),'01_Input'!$Y$65,0),MAX(MIN(DS$20,'01_Input'!$W$65)-'01_Input'!$V$65,0)*'01_Input'!$Y$65))+IF('01_Input'!$AB$65="Forfait",IF(DS$20&gt;='01_Input'!$Z$65,'01_Input'!$AC$65,0),IF('01_Input'!$AB$65="Palier",IF(AND(DS$20&gt;='01_Input'!$Z$65,DS$20&lt;'01_Input'!$AA$65),'01_Input'!$AC$65,0),MAX(MIN(DS$20,'01_Input'!$AA$65)-'01_Input'!$Z$65,0)*'01_Input'!$AC$65)))))))))</f>
        <v>0</v>
      </c>
      <c r="DT33" s="25">
        <f>IF('01_Input'!$C$65="Non",0,MIN('01_Input'!$I$65,MAX('01_Input'!$H$65,IF('01_Input'!$G$65="Résiduel vs Gestion",0,IF('01_Input'!$G$65="Taux Classe sélectionnée",Distrib_Global_Classe_Selectionnee*DT$20,IF('01_Input'!$G$65="Frais KYC (paliers de 100M€)",MAX(0,Nb_Investisseurs-Nb_KYC_Gratuites_Par_Tranche*(FLOOR(DT$20/Taille_Tranche_KYC,1)+1))*Cout_Par_KYC_Supplementaire,(IF('01_Input'!$L$65="Forfait",IF(DT$20&gt;='01_Input'!$J$65,'01_Input'!$M$65,0),IF('01_Input'!$L$65="Palier",IF(AND(DT$20&gt;='01_Input'!$J$65,DT$20&lt;'01_Input'!$K$65),'01_Input'!$M$65,0),MAX(MIN(DT$20,'01_Input'!$K$65)-'01_Input'!$J$65,0)*'01_Input'!$M$65))+IF('01_Input'!$P$65="Forfait",IF(DT$20&gt;='01_Input'!$N$65,'01_Input'!$Q$65,0),IF('01_Input'!$P$65="Palier",IF(AND(DT$20&gt;='01_Input'!$N$65,DT$20&lt;'01_Input'!$O$65),'01_Input'!$Q$65,0),MAX(MIN(DT$20,'01_Input'!$O$65)-'01_Input'!$N$65,0)*'01_Input'!$Q$65))+IF('01_Input'!$T$65="Forfait",IF(DT$20&gt;='01_Input'!$R$65,'01_Input'!$U$65,0),IF('01_Input'!$T$65="Palier",IF(AND(DT$20&gt;='01_Input'!$R$65,DT$20&lt;'01_Input'!$S$65),'01_Input'!$U$65,0),MAX(MIN(DT$20,'01_Input'!$S$65)-'01_Input'!$R$65,0)*'01_Input'!$U$65))+IF('01_Input'!$X$65="Forfait",IF(DT$20&gt;='01_Input'!$V$65,'01_Input'!$Y$65,0),IF('01_Input'!$X$65="Palier",IF(AND(DT$20&gt;='01_Input'!$V$65,DT$20&lt;'01_Input'!$W$65),'01_Input'!$Y$65,0),MAX(MIN(DT$20,'01_Input'!$W$65)-'01_Input'!$V$65,0)*'01_Input'!$Y$65))+IF('01_Input'!$AB$65="Forfait",IF(DT$20&gt;='01_Input'!$Z$65,'01_Input'!$AC$65,0),IF('01_Input'!$AB$65="Palier",IF(AND(DT$20&gt;='01_Input'!$Z$65,DT$20&lt;'01_Input'!$AA$65),'01_Input'!$AC$65,0),MAX(MIN(DT$20,'01_Input'!$AA$65)-'01_Input'!$Z$65,0)*'01_Input'!$AC$65)))))))))</f>
        <v>0</v>
      </c>
      <c r="DU33" s="25">
        <f>IF('01_Input'!$C$65="Non",0,MIN('01_Input'!$I$65,MAX('01_Input'!$H$65,IF('01_Input'!$G$65="Résiduel vs Gestion",0,IF('01_Input'!$G$65="Taux Classe sélectionnée",Distrib_Global_Classe_Selectionnee*DU$20,IF('01_Input'!$G$65="Frais KYC (paliers de 100M€)",MAX(0,Nb_Investisseurs-Nb_KYC_Gratuites_Par_Tranche*(FLOOR(DU$20/Taille_Tranche_KYC,1)+1))*Cout_Par_KYC_Supplementaire,(IF('01_Input'!$L$65="Forfait",IF(DU$20&gt;='01_Input'!$J$65,'01_Input'!$M$65,0),IF('01_Input'!$L$65="Palier",IF(AND(DU$20&gt;='01_Input'!$J$65,DU$20&lt;'01_Input'!$K$65),'01_Input'!$M$65,0),MAX(MIN(DU$20,'01_Input'!$K$65)-'01_Input'!$J$65,0)*'01_Input'!$M$65))+IF('01_Input'!$P$65="Forfait",IF(DU$20&gt;='01_Input'!$N$65,'01_Input'!$Q$65,0),IF('01_Input'!$P$65="Palier",IF(AND(DU$20&gt;='01_Input'!$N$65,DU$20&lt;'01_Input'!$O$65),'01_Input'!$Q$65,0),MAX(MIN(DU$20,'01_Input'!$O$65)-'01_Input'!$N$65,0)*'01_Input'!$Q$65))+IF('01_Input'!$T$65="Forfait",IF(DU$20&gt;='01_Input'!$R$65,'01_Input'!$U$65,0),IF('01_Input'!$T$65="Palier",IF(AND(DU$20&gt;='01_Input'!$R$65,DU$20&lt;'01_Input'!$S$65),'01_Input'!$U$65,0),MAX(MIN(DU$20,'01_Input'!$S$65)-'01_Input'!$R$65,0)*'01_Input'!$U$65))+IF('01_Input'!$X$65="Forfait",IF(DU$20&gt;='01_Input'!$V$65,'01_Input'!$Y$65,0),IF('01_Input'!$X$65="Palier",IF(AND(DU$20&gt;='01_Input'!$V$65,DU$20&lt;'01_Input'!$W$65),'01_Input'!$Y$65,0),MAX(MIN(DU$20,'01_Input'!$W$65)-'01_Input'!$V$65,0)*'01_Input'!$Y$65))+IF('01_Input'!$AB$65="Forfait",IF(DU$20&gt;='01_Input'!$Z$65,'01_Input'!$AC$65,0),IF('01_Input'!$AB$65="Palier",IF(AND(DU$20&gt;='01_Input'!$Z$65,DU$20&lt;'01_Input'!$AA$65),'01_Input'!$AC$65,0),MAX(MIN(DU$20,'01_Input'!$AA$65)-'01_Input'!$Z$65,0)*'01_Input'!$AC$65)))))))))</f>
        <v>0</v>
      </c>
      <c r="DV33" s="25">
        <f>IF('01_Input'!$C$65="Non",0,MIN('01_Input'!$I$65,MAX('01_Input'!$H$65,IF('01_Input'!$G$65="Résiduel vs Gestion",0,IF('01_Input'!$G$65="Taux Classe sélectionnée",Distrib_Global_Classe_Selectionnee*DV$20,IF('01_Input'!$G$65="Frais KYC (paliers de 100M€)",MAX(0,Nb_Investisseurs-Nb_KYC_Gratuites_Par_Tranche*(FLOOR(DV$20/Taille_Tranche_KYC,1)+1))*Cout_Par_KYC_Supplementaire,(IF('01_Input'!$L$65="Forfait",IF(DV$20&gt;='01_Input'!$J$65,'01_Input'!$M$65,0),IF('01_Input'!$L$65="Palier",IF(AND(DV$20&gt;='01_Input'!$J$65,DV$20&lt;'01_Input'!$K$65),'01_Input'!$M$65,0),MAX(MIN(DV$20,'01_Input'!$K$65)-'01_Input'!$J$65,0)*'01_Input'!$M$65))+IF('01_Input'!$P$65="Forfait",IF(DV$20&gt;='01_Input'!$N$65,'01_Input'!$Q$65,0),IF('01_Input'!$P$65="Palier",IF(AND(DV$20&gt;='01_Input'!$N$65,DV$20&lt;'01_Input'!$O$65),'01_Input'!$Q$65,0),MAX(MIN(DV$20,'01_Input'!$O$65)-'01_Input'!$N$65,0)*'01_Input'!$Q$65))+IF('01_Input'!$T$65="Forfait",IF(DV$20&gt;='01_Input'!$R$65,'01_Input'!$U$65,0),IF('01_Input'!$T$65="Palier",IF(AND(DV$20&gt;='01_Input'!$R$65,DV$20&lt;'01_Input'!$S$65),'01_Input'!$U$65,0),MAX(MIN(DV$20,'01_Input'!$S$65)-'01_Input'!$R$65,0)*'01_Input'!$U$65))+IF('01_Input'!$X$65="Forfait",IF(DV$20&gt;='01_Input'!$V$65,'01_Input'!$Y$65,0),IF('01_Input'!$X$65="Palier",IF(AND(DV$20&gt;='01_Input'!$V$65,DV$20&lt;'01_Input'!$W$65),'01_Input'!$Y$65,0),MAX(MIN(DV$20,'01_Input'!$W$65)-'01_Input'!$V$65,0)*'01_Input'!$Y$65))+IF('01_Input'!$AB$65="Forfait",IF(DV$20&gt;='01_Input'!$Z$65,'01_Input'!$AC$65,0),IF('01_Input'!$AB$65="Palier",IF(AND(DV$20&gt;='01_Input'!$Z$65,DV$20&lt;'01_Input'!$AA$65),'01_Input'!$AC$65,0),MAX(MIN(DV$20,'01_Input'!$AA$65)-'01_Input'!$Z$65,0)*'01_Input'!$AC$65)))))))))</f>
        <v>0</v>
      </c>
      <c r="DW33" s="25">
        <f>IF('01_Input'!$C$65="Non",0,MIN('01_Input'!$I$65,MAX('01_Input'!$H$65,IF('01_Input'!$G$65="Résiduel vs Gestion",0,IF('01_Input'!$G$65="Taux Classe sélectionnée",Distrib_Global_Classe_Selectionnee*DW$20,IF('01_Input'!$G$65="Frais KYC (paliers de 100M€)",MAX(0,Nb_Investisseurs-Nb_KYC_Gratuites_Par_Tranche*(FLOOR(DW$20/Taille_Tranche_KYC,1)+1))*Cout_Par_KYC_Supplementaire,(IF('01_Input'!$L$65="Forfait",IF(DW$20&gt;='01_Input'!$J$65,'01_Input'!$M$65,0),IF('01_Input'!$L$65="Palier",IF(AND(DW$20&gt;='01_Input'!$J$65,DW$20&lt;'01_Input'!$K$65),'01_Input'!$M$65,0),MAX(MIN(DW$20,'01_Input'!$K$65)-'01_Input'!$J$65,0)*'01_Input'!$M$65))+IF('01_Input'!$P$65="Forfait",IF(DW$20&gt;='01_Input'!$N$65,'01_Input'!$Q$65,0),IF('01_Input'!$P$65="Palier",IF(AND(DW$20&gt;='01_Input'!$N$65,DW$20&lt;'01_Input'!$O$65),'01_Input'!$Q$65,0),MAX(MIN(DW$20,'01_Input'!$O$65)-'01_Input'!$N$65,0)*'01_Input'!$Q$65))+IF('01_Input'!$T$65="Forfait",IF(DW$20&gt;='01_Input'!$R$65,'01_Input'!$U$65,0),IF('01_Input'!$T$65="Palier",IF(AND(DW$20&gt;='01_Input'!$R$65,DW$20&lt;'01_Input'!$S$65),'01_Input'!$U$65,0),MAX(MIN(DW$20,'01_Input'!$S$65)-'01_Input'!$R$65,0)*'01_Input'!$U$65))+IF('01_Input'!$X$65="Forfait",IF(DW$20&gt;='01_Input'!$V$65,'01_Input'!$Y$65,0),IF('01_Input'!$X$65="Palier",IF(AND(DW$20&gt;='01_Input'!$V$65,DW$20&lt;'01_Input'!$W$65),'01_Input'!$Y$65,0),MAX(MIN(DW$20,'01_Input'!$W$65)-'01_Input'!$V$65,0)*'01_Input'!$Y$65))+IF('01_Input'!$AB$65="Forfait",IF(DW$20&gt;='01_Input'!$Z$65,'01_Input'!$AC$65,0),IF('01_Input'!$AB$65="Palier",IF(AND(DW$20&gt;='01_Input'!$Z$65,DW$20&lt;'01_Input'!$AA$65),'01_Input'!$AC$65,0),MAX(MIN(DW$20,'01_Input'!$AA$65)-'01_Input'!$Z$65,0)*'01_Input'!$AC$65)))))))))</f>
        <v>0</v>
      </c>
      <c r="DX33" s="25">
        <f>IF('01_Input'!$C$65="Non",0,MIN('01_Input'!$I$65,MAX('01_Input'!$H$65,IF('01_Input'!$G$65="Résiduel vs Gestion",0,IF('01_Input'!$G$65="Taux Classe sélectionnée",Distrib_Global_Classe_Selectionnee*DX$20,IF('01_Input'!$G$65="Frais KYC (paliers de 100M€)",MAX(0,Nb_Investisseurs-Nb_KYC_Gratuites_Par_Tranche*(FLOOR(DX$20/Taille_Tranche_KYC,1)+1))*Cout_Par_KYC_Supplementaire,(IF('01_Input'!$L$65="Forfait",IF(DX$20&gt;='01_Input'!$J$65,'01_Input'!$M$65,0),IF('01_Input'!$L$65="Palier",IF(AND(DX$20&gt;='01_Input'!$J$65,DX$20&lt;'01_Input'!$K$65),'01_Input'!$M$65,0),MAX(MIN(DX$20,'01_Input'!$K$65)-'01_Input'!$J$65,0)*'01_Input'!$M$65))+IF('01_Input'!$P$65="Forfait",IF(DX$20&gt;='01_Input'!$N$65,'01_Input'!$Q$65,0),IF('01_Input'!$P$65="Palier",IF(AND(DX$20&gt;='01_Input'!$N$65,DX$20&lt;'01_Input'!$O$65),'01_Input'!$Q$65,0),MAX(MIN(DX$20,'01_Input'!$O$65)-'01_Input'!$N$65,0)*'01_Input'!$Q$65))+IF('01_Input'!$T$65="Forfait",IF(DX$20&gt;='01_Input'!$R$65,'01_Input'!$U$65,0),IF('01_Input'!$T$65="Palier",IF(AND(DX$20&gt;='01_Input'!$R$65,DX$20&lt;'01_Input'!$S$65),'01_Input'!$U$65,0),MAX(MIN(DX$20,'01_Input'!$S$65)-'01_Input'!$R$65,0)*'01_Input'!$U$65))+IF('01_Input'!$X$65="Forfait",IF(DX$20&gt;='01_Input'!$V$65,'01_Input'!$Y$65,0),IF('01_Input'!$X$65="Palier",IF(AND(DX$20&gt;='01_Input'!$V$65,DX$20&lt;'01_Input'!$W$65),'01_Input'!$Y$65,0),MAX(MIN(DX$20,'01_Input'!$W$65)-'01_Input'!$V$65,0)*'01_Input'!$Y$65))+IF('01_Input'!$AB$65="Forfait",IF(DX$20&gt;='01_Input'!$Z$65,'01_Input'!$AC$65,0),IF('01_Input'!$AB$65="Palier",IF(AND(DX$20&gt;='01_Input'!$Z$65,DX$20&lt;'01_Input'!$AA$65),'01_Input'!$AC$65,0),MAX(MIN(DX$20,'01_Input'!$AA$65)-'01_Input'!$Z$65,0)*'01_Input'!$AC$65)))))))))</f>
        <v>0</v>
      </c>
      <c r="DY33" s="25">
        <f>IF('01_Input'!$C$65="Non",0,MIN('01_Input'!$I$65,MAX('01_Input'!$H$65,IF('01_Input'!$G$65="Résiduel vs Gestion",0,IF('01_Input'!$G$65="Taux Classe sélectionnée",Distrib_Global_Classe_Selectionnee*DY$20,IF('01_Input'!$G$65="Frais KYC (paliers de 100M€)",MAX(0,Nb_Investisseurs-Nb_KYC_Gratuites_Par_Tranche*(FLOOR(DY$20/Taille_Tranche_KYC,1)+1))*Cout_Par_KYC_Supplementaire,(IF('01_Input'!$L$65="Forfait",IF(DY$20&gt;='01_Input'!$J$65,'01_Input'!$M$65,0),IF('01_Input'!$L$65="Palier",IF(AND(DY$20&gt;='01_Input'!$J$65,DY$20&lt;'01_Input'!$K$65),'01_Input'!$M$65,0),MAX(MIN(DY$20,'01_Input'!$K$65)-'01_Input'!$J$65,0)*'01_Input'!$M$65))+IF('01_Input'!$P$65="Forfait",IF(DY$20&gt;='01_Input'!$N$65,'01_Input'!$Q$65,0),IF('01_Input'!$P$65="Palier",IF(AND(DY$20&gt;='01_Input'!$N$65,DY$20&lt;'01_Input'!$O$65),'01_Input'!$Q$65,0),MAX(MIN(DY$20,'01_Input'!$O$65)-'01_Input'!$N$65,0)*'01_Input'!$Q$65))+IF('01_Input'!$T$65="Forfait",IF(DY$20&gt;='01_Input'!$R$65,'01_Input'!$U$65,0),IF('01_Input'!$T$65="Palier",IF(AND(DY$20&gt;='01_Input'!$R$65,DY$20&lt;'01_Input'!$S$65),'01_Input'!$U$65,0),MAX(MIN(DY$20,'01_Input'!$S$65)-'01_Input'!$R$65,0)*'01_Input'!$U$65))+IF('01_Input'!$X$65="Forfait",IF(DY$20&gt;='01_Input'!$V$65,'01_Input'!$Y$65,0),IF('01_Input'!$X$65="Palier",IF(AND(DY$20&gt;='01_Input'!$V$65,DY$20&lt;'01_Input'!$W$65),'01_Input'!$Y$65,0),MAX(MIN(DY$20,'01_Input'!$W$65)-'01_Input'!$V$65,0)*'01_Input'!$Y$65))+IF('01_Input'!$AB$65="Forfait",IF(DY$20&gt;='01_Input'!$Z$65,'01_Input'!$AC$65,0),IF('01_Input'!$AB$65="Palier",IF(AND(DY$20&gt;='01_Input'!$Z$65,DY$20&lt;'01_Input'!$AA$65),'01_Input'!$AC$65,0),MAX(MIN(DY$20,'01_Input'!$AA$65)-'01_Input'!$Z$65,0)*'01_Input'!$AC$65)))))))))</f>
        <v>0</v>
      </c>
      <c r="DZ33" s="25">
        <f>IF('01_Input'!$C$65="Non",0,MIN('01_Input'!$I$65,MAX('01_Input'!$H$65,IF('01_Input'!$G$65="Résiduel vs Gestion",0,IF('01_Input'!$G$65="Taux Classe sélectionnée",Distrib_Global_Classe_Selectionnee*DZ$20,IF('01_Input'!$G$65="Frais KYC (paliers de 100M€)",MAX(0,Nb_Investisseurs-Nb_KYC_Gratuites_Par_Tranche*(FLOOR(DZ$20/Taille_Tranche_KYC,1)+1))*Cout_Par_KYC_Supplementaire,(IF('01_Input'!$L$65="Forfait",IF(DZ$20&gt;='01_Input'!$J$65,'01_Input'!$M$65,0),IF('01_Input'!$L$65="Palier",IF(AND(DZ$20&gt;='01_Input'!$J$65,DZ$20&lt;'01_Input'!$K$65),'01_Input'!$M$65,0),MAX(MIN(DZ$20,'01_Input'!$K$65)-'01_Input'!$J$65,0)*'01_Input'!$M$65))+IF('01_Input'!$P$65="Forfait",IF(DZ$20&gt;='01_Input'!$N$65,'01_Input'!$Q$65,0),IF('01_Input'!$P$65="Palier",IF(AND(DZ$20&gt;='01_Input'!$N$65,DZ$20&lt;'01_Input'!$O$65),'01_Input'!$Q$65,0),MAX(MIN(DZ$20,'01_Input'!$O$65)-'01_Input'!$N$65,0)*'01_Input'!$Q$65))+IF('01_Input'!$T$65="Forfait",IF(DZ$20&gt;='01_Input'!$R$65,'01_Input'!$U$65,0),IF('01_Input'!$T$65="Palier",IF(AND(DZ$20&gt;='01_Input'!$R$65,DZ$20&lt;'01_Input'!$S$65),'01_Input'!$U$65,0),MAX(MIN(DZ$20,'01_Input'!$S$65)-'01_Input'!$R$65,0)*'01_Input'!$U$65))+IF('01_Input'!$X$65="Forfait",IF(DZ$20&gt;='01_Input'!$V$65,'01_Input'!$Y$65,0),IF('01_Input'!$X$65="Palier",IF(AND(DZ$20&gt;='01_Input'!$V$65,DZ$20&lt;'01_Input'!$W$65),'01_Input'!$Y$65,0),MAX(MIN(DZ$20,'01_Input'!$W$65)-'01_Input'!$V$65,0)*'01_Input'!$Y$65))+IF('01_Input'!$AB$65="Forfait",IF(DZ$20&gt;='01_Input'!$Z$65,'01_Input'!$AC$65,0),IF('01_Input'!$AB$65="Palier",IF(AND(DZ$20&gt;='01_Input'!$Z$65,DZ$20&lt;'01_Input'!$AA$65),'01_Input'!$AC$65,0),MAX(MIN(DZ$20,'01_Input'!$AA$65)-'01_Input'!$Z$65,0)*'01_Input'!$AC$65)))))))))</f>
        <v>0</v>
      </c>
      <c r="EA33" s="25">
        <f>IF('01_Input'!$C$65="Non",0,MIN('01_Input'!$I$65,MAX('01_Input'!$H$65,IF('01_Input'!$G$65="Résiduel vs Gestion",0,IF('01_Input'!$G$65="Taux Classe sélectionnée",Distrib_Global_Classe_Selectionnee*EA$20,IF('01_Input'!$G$65="Frais KYC (paliers de 100M€)",MAX(0,Nb_Investisseurs-Nb_KYC_Gratuites_Par_Tranche*(FLOOR(EA$20/Taille_Tranche_KYC,1)+1))*Cout_Par_KYC_Supplementaire,(IF('01_Input'!$L$65="Forfait",IF(EA$20&gt;='01_Input'!$J$65,'01_Input'!$M$65,0),IF('01_Input'!$L$65="Palier",IF(AND(EA$20&gt;='01_Input'!$J$65,EA$20&lt;'01_Input'!$K$65),'01_Input'!$M$65,0),MAX(MIN(EA$20,'01_Input'!$K$65)-'01_Input'!$J$65,0)*'01_Input'!$M$65))+IF('01_Input'!$P$65="Forfait",IF(EA$20&gt;='01_Input'!$N$65,'01_Input'!$Q$65,0),IF('01_Input'!$P$65="Palier",IF(AND(EA$20&gt;='01_Input'!$N$65,EA$20&lt;'01_Input'!$O$65),'01_Input'!$Q$65,0),MAX(MIN(EA$20,'01_Input'!$O$65)-'01_Input'!$N$65,0)*'01_Input'!$Q$65))+IF('01_Input'!$T$65="Forfait",IF(EA$20&gt;='01_Input'!$R$65,'01_Input'!$U$65,0),IF('01_Input'!$T$65="Palier",IF(AND(EA$20&gt;='01_Input'!$R$65,EA$20&lt;'01_Input'!$S$65),'01_Input'!$U$65,0),MAX(MIN(EA$20,'01_Input'!$S$65)-'01_Input'!$R$65,0)*'01_Input'!$U$65))+IF('01_Input'!$X$65="Forfait",IF(EA$20&gt;='01_Input'!$V$65,'01_Input'!$Y$65,0),IF('01_Input'!$X$65="Palier",IF(AND(EA$20&gt;='01_Input'!$V$65,EA$20&lt;'01_Input'!$W$65),'01_Input'!$Y$65,0),MAX(MIN(EA$20,'01_Input'!$W$65)-'01_Input'!$V$65,0)*'01_Input'!$Y$65))+IF('01_Input'!$AB$65="Forfait",IF(EA$20&gt;='01_Input'!$Z$65,'01_Input'!$AC$65,0),IF('01_Input'!$AB$65="Palier",IF(AND(EA$20&gt;='01_Input'!$Z$65,EA$20&lt;'01_Input'!$AA$65),'01_Input'!$AC$65,0),MAX(MIN(EA$20,'01_Input'!$AA$65)-'01_Input'!$Z$65,0)*'01_Input'!$AC$65)))))))))</f>
        <v>0</v>
      </c>
      <c r="EB33" s="25">
        <f>IF('01_Input'!$C$65="Non",0,MIN('01_Input'!$I$65,MAX('01_Input'!$H$65,IF('01_Input'!$G$65="Résiduel vs Gestion",0,IF('01_Input'!$G$65="Taux Classe sélectionnée",Distrib_Global_Classe_Selectionnee*EB$20,IF('01_Input'!$G$65="Frais KYC (paliers de 100M€)",MAX(0,Nb_Investisseurs-Nb_KYC_Gratuites_Par_Tranche*(FLOOR(EB$20/Taille_Tranche_KYC,1)+1))*Cout_Par_KYC_Supplementaire,(IF('01_Input'!$L$65="Forfait",IF(EB$20&gt;='01_Input'!$J$65,'01_Input'!$M$65,0),IF('01_Input'!$L$65="Palier",IF(AND(EB$20&gt;='01_Input'!$J$65,EB$20&lt;'01_Input'!$K$65),'01_Input'!$M$65,0),MAX(MIN(EB$20,'01_Input'!$K$65)-'01_Input'!$J$65,0)*'01_Input'!$M$65))+IF('01_Input'!$P$65="Forfait",IF(EB$20&gt;='01_Input'!$N$65,'01_Input'!$Q$65,0),IF('01_Input'!$P$65="Palier",IF(AND(EB$20&gt;='01_Input'!$N$65,EB$20&lt;'01_Input'!$O$65),'01_Input'!$Q$65,0),MAX(MIN(EB$20,'01_Input'!$O$65)-'01_Input'!$N$65,0)*'01_Input'!$Q$65))+IF('01_Input'!$T$65="Forfait",IF(EB$20&gt;='01_Input'!$R$65,'01_Input'!$U$65,0),IF('01_Input'!$T$65="Palier",IF(AND(EB$20&gt;='01_Input'!$R$65,EB$20&lt;'01_Input'!$S$65),'01_Input'!$U$65,0),MAX(MIN(EB$20,'01_Input'!$S$65)-'01_Input'!$R$65,0)*'01_Input'!$U$65))+IF('01_Input'!$X$65="Forfait",IF(EB$20&gt;='01_Input'!$V$65,'01_Input'!$Y$65,0),IF('01_Input'!$X$65="Palier",IF(AND(EB$20&gt;='01_Input'!$V$65,EB$20&lt;'01_Input'!$W$65),'01_Input'!$Y$65,0),MAX(MIN(EB$20,'01_Input'!$W$65)-'01_Input'!$V$65,0)*'01_Input'!$Y$65))+IF('01_Input'!$AB$65="Forfait",IF(EB$20&gt;='01_Input'!$Z$65,'01_Input'!$AC$65,0),IF('01_Input'!$AB$65="Palier",IF(AND(EB$20&gt;='01_Input'!$Z$65,EB$20&lt;'01_Input'!$AA$65),'01_Input'!$AC$65,0),MAX(MIN(EB$20,'01_Input'!$AA$65)-'01_Input'!$Z$65,0)*'01_Input'!$AC$65)))))))))</f>
        <v>0</v>
      </c>
      <c r="EC33" s="25">
        <f>IF('01_Input'!$C$65="Non",0,MIN('01_Input'!$I$65,MAX('01_Input'!$H$65,IF('01_Input'!$G$65="Résiduel vs Gestion",0,IF('01_Input'!$G$65="Taux Classe sélectionnée",Distrib_Global_Classe_Selectionnee*EC$20,IF('01_Input'!$G$65="Frais KYC (paliers de 100M€)",MAX(0,Nb_Investisseurs-Nb_KYC_Gratuites_Par_Tranche*(FLOOR(EC$20/Taille_Tranche_KYC,1)+1))*Cout_Par_KYC_Supplementaire,(IF('01_Input'!$L$65="Forfait",IF(EC$20&gt;='01_Input'!$J$65,'01_Input'!$M$65,0),IF('01_Input'!$L$65="Palier",IF(AND(EC$20&gt;='01_Input'!$J$65,EC$20&lt;'01_Input'!$K$65),'01_Input'!$M$65,0),MAX(MIN(EC$20,'01_Input'!$K$65)-'01_Input'!$J$65,0)*'01_Input'!$M$65))+IF('01_Input'!$P$65="Forfait",IF(EC$20&gt;='01_Input'!$N$65,'01_Input'!$Q$65,0),IF('01_Input'!$P$65="Palier",IF(AND(EC$20&gt;='01_Input'!$N$65,EC$20&lt;'01_Input'!$O$65),'01_Input'!$Q$65,0),MAX(MIN(EC$20,'01_Input'!$O$65)-'01_Input'!$N$65,0)*'01_Input'!$Q$65))+IF('01_Input'!$T$65="Forfait",IF(EC$20&gt;='01_Input'!$R$65,'01_Input'!$U$65,0),IF('01_Input'!$T$65="Palier",IF(AND(EC$20&gt;='01_Input'!$R$65,EC$20&lt;'01_Input'!$S$65),'01_Input'!$U$65,0),MAX(MIN(EC$20,'01_Input'!$S$65)-'01_Input'!$R$65,0)*'01_Input'!$U$65))+IF('01_Input'!$X$65="Forfait",IF(EC$20&gt;='01_Input'!$V$65,'01_Input'!$Y$65,0),IF('01_Input'!$X$65="Palier",IF(AND(EC$20&gt;='01_Input'!$V$65,EC$20&lt;'01_Input'!$W$65),'01_Input'!$Y$65,0),MAX(MIN(EC$20,'01_Input'!$W$65)-'01_Input'!$V$65,0)*'01_Input'!$Y$65))+IF('01_Input'!$AB$65="Forfait",IF(EC$20&gt;='01_Input'!$Z$65,'01_Input'!$AC$65,0),IF('01_Input'!$AB$65="Palier",IF(AND(EC$20&gt;='01_Input'!$Z$65,EC$20&lt;'01_Input'!$AA$65),'01_Input'!$AC$65,0),MAX(MIN(EC$20,'01_Input'!$AA$65)-'01_Input'!$Z$65,0)*'01_Input'!$AC$65)))))))))</f>
        <v>0</v>
      </c>
      <c r="ED33" s="25">
        <f>IF('01_Input'!$C$65="Non",0,MIN('01_Input'!$I$65,MAX('01_Input'!$H$65,IF('01_Input'!$G$65="Résiduel vs Gestion",0,IF('01_Input'!$G$65="Taux Classe sélectionnée",Distrib_Global_Classe_Selectionnee*ED$20,IF('01_Input'!$G$65="Frais KYC (paliers de 100M€)",MAX(0,Nb_Investisseurs-Nb_KYC_Gratuites_Par_Tranche*(FLOOR(ED$20/Taille_Tranche_KYC,1)+1))*Cout_Par_KYC_Supplementaire,(IF('01_Input'!$L$65="Forfait",IF(ED$20&gt;='01_Input'!$J$65,'01_Input'!$M$65,0),IF('01_Input'!$L$65="Palier",IF(AND(ED$20&gt;='01_Input'!$J$65,ED$20&lt;'01_Input'!$K$65),'01_Input'!$M$65,0),MAX(MIN(ED$20,'01_Input'!$K$65)-'01_Input'!$J$65,0)*'01_Input'!$M$65))+IF('01_Input'!$P$65="Forfait",IF(ED$20&gt;='01_Input'!$N$65,'01_Input'!$Q$65,0),IF('01_Input'!$P$65="Palier",IF(AND(ED$20&gt;='01_Input'!$N$65,ED$20&lt;'01_Input'!$O$65),'01_Input'!$Q$65,0),MAX(MIN(ED$20,'01_Input'!$O$65)-'01_Input'!$N$65,0)*'01_Input'!$Q$65))+IF('01_Input'!$T$65="Forfait",IF(ED$20&gt;='01_Input'!$R$65,'01_Input'!$U$65,0),IF('01_Input'!$T$65="Palier",IF(AND(ED$20&gt;='01_Input'!$R$65,ED$20&lt;'01_Input'!$S$65),'01_Input'!$U$65,0),MAX(MIN(ED$20,'01_Input'!$S$65)-'01_Input'!$R$65,0)*'01_Input'!$U$65))+IF('01_Input'!$X$65="Forfait",IF(ED$20&gt;='01_Input'!$V$65,'01_Input'!$Y$65,0),IF('01_Input'!$X$65="Palier",IF(AND(ED$20&gt;='01_Input'!$V$65,ED$20&lt;'01_Input'!$W$65),'01_Input'!$Y$65,0),MAX(MIN(ED$20,'01_Input'!$W$65)-'01_Input'!$V$65,0)*'01_Input'!$Y$65))+IF('01_Input'!$AB$65="Forfait",IF(ED$20&gt;='01_Input'!$Z$65,'01_Input'!$AC$65,0),IF('01_Input'!$AB$65="Palier",IF(AND(ED$20&gt;='01_Input'!$Z$65,ED$20&lt;'01_Input'!$AA$65),'01_Input'!$AC$65,0),MAX(MIN(ED$20,'01_Input'!$AA$65)-'01_Input'!$Z$65,0)*'01_Input'!$AC$65)))))))))</f>
        <v>0</v>
      </c>
      <c r="EE33" s="25">
        <f>IF('01_Input'!$C$65="Non",0,MIN('01_Input'!$I$65,MAX('01_Input'!$H$65,IF('01_Input'!$G$65="Résiduel vs Gestion",0,IF('01_Input'!$G$65="Taux Classe sélectionnée",Distrib_Global_Classe_Selectionnee*EE$20,IF('01_Input'!$G$65="Frais KYC (paliers de 100M€)",MAX(0,Nb_Investisseurs-Nb_KYC_Gratuites_Par_Tranche*(FLOOR(EE$20/Taille_Tranche_KYC,1)+1))*Cout_Par_KYC_Supplementaire,(IF('01_Input'!$L$65="Forfait",IF(EE$20&gt;='01_Input'!$J$65,'01_Input'!$M$65,0),IF('01_Input'!$L$65="Palier",IF(AND(EE$20&gt;='01_Input'!$J$65,EE$20&lt;'01_Input'!$K$65),'01_Input'!$M$65,0),MAX(MIN(EE$20,'01_Input'!$K$65)-'01_Input'!$J$65,0)*'01_Input'!$M$65))+IF('01_Input'!$P$65="Forfait",IF(EE$20&gt;='01_Input'!$N$65,'01_Input'!$Q$65,0),IF('01_Input'!$P$65="Palier",IF(AND(EE$20&gt;='01_Input'!$N$65,EE$20&lt;'01_Input'!$O$65),'01_Input'!$Q$65,0),MAX(MIN(EE$20,'01_Input'!$O$65)-'01_Input'!$N$65,0)*'01_Input'!$Q$65))+IF('01_Input'!$T$65="Forfait",IF(EE$20&gt;='01_Input'!$R$65,'01_Input'!$U$65,0),IF('01_Input'!$T$65="Palier",IF(AND(EE$20&gt;='01_Input'!$R$65,EE$20&lt;'01_Input'!$S$65),'01_Input'!$U$65,0),MAX(MIN(EE$20,'01_Input'!$S$65)-'01_Input'!$R$65,0)*'01_Input'!$U$65))+IF('01_Input'!$X$65="Forfait",IF(EE$20&gt;='01_Input'!$V$65,'01_Input'!$Y$65,0),IF('01_Input'!$X$65="Palier",IF(AND(EE$20&gt;='01_Input'!$V$65,EE$20&lt;'01_Input'!$W$65),'01_Input'!$Y$65,0),MAX(MIN(EE$20,'01_Input'!$W$65)-'01_Input'!$V$65,0)*'01_Input'!$Y$65))+IF('01_Input'!$AB$65="Forfait",IF(EE$20&gt;='01_Input'!$Z$65,'01_Input'!$AC$65,0),IF('01_Input'!$AB$65="Palier",IF(AND(EE$20&gt;='01_Input'!$Z$65,EE$20&lt;'01_Input'!$AA$65),'01_Input'!$AC$65,0),MAX(MIN(EE$20,'01_Input'!$AA$65)-'01_Input'!$Z$65,0)*'01_Input'!$AC$65)))))))))</f>
        <v>0</v>
      </c>
      <c r="EF33" s="25">
        <f>IF('01_Input'!$C$65="Non",0,MIN('01_Input'!$I$65,MAX('01_Input'!$H$65,IF('01_Input'!$G$65="Résiduel vs Gestion",0,IF('01_Input'!$G$65="Taux Classe sélectionnée",Distrib_Global_Classe_Selectionnee*EF$20,IF('01_Input'!$G$65="Frais KYC (paliers de 100M€)",MAX(0,Nb_Investisseurs-Nb_KYC_Gratuites_Par_Tranche*(FLOOR(EF$20/Taille_Tranche_KYC,1)+1))*Cout_Par_KYC_Supplementaire,(IF('01_Input'!$L$65="Forfait",IF(EF$20&gt;='01_Input'!$J$65,'01_Input'!$M$65,0),IF('01_Input'!$L$65="Palier",IF(AND(EF$20&gt;='01_Input'!$J$65,EF$20&lt;'01_Input'!$K$65),'01_Input'!$M$65,0),MAX(MIN(EF$20,'01_Input'!$K$65)-'01_Input'!$J$65,0)*'01_Input'!$M$65))+IF('01_Input'!$P$65="Forfait",IF(EF$20&gt;='01_Input'!$N$65,'01_Input'!$Q$65,0),IF('01_Input'!$P$65="Palier",IF(AND(EF$20&gt;='01_Input'!$N$65,EF$20&lt;'01_Input'!$O$65),'01_Input'!$Q$65,0),MAX(MIN(EF$20,'01_Input'!$O$65)-'01_Input'!$N$65,0)*'01_Input'!$Q$65))+IF('01_Input'!$T$65="Forfait",IF(EF$20&gt;='01_Input'!$R$65,'01_Input'!$U$65,0),IF('01_Input'!$T$65="Palier",IF(AND(EF$20&gt;='01_Input'!$R$65,EF$20&lt;'01_Input'!$S$65),'01_Input'!$U$65,0),MAX(MIN(EF$20,'01_Input'!$S$65)-'01_Input'!$R$65,0)*'01_Input'!$U$65))+IF('01_Input'!$X$65="Forfait",IF(EF$20&gt;='01_Input'!$V$65,'01_Input'!$Y$65,0),IF('01_Input'!$X$65="Palier",IF(AND(EF$20&gt;='01_Input'!$V$65,EF$20&lt;'01_Input'!$W$65),'01_Input'!$Y$65,0),MAX(MIN(EF$20,'01_Input'!$W$65)-'01_Input'!$V$65,0)*'01_Input'!$Y$65))+IF('01_Input'!$AB$65="Forfait",IF(EF$20&gt;='01_Input'!$Z$65,'01_Input'!$AC$65,0),IF('01_Input'!$AB$65="Palier",IF(AND(EF$20&gt;='01_Input'!$Z$65,EF$20&lt;'01_Input'!$AA$65),'01_Input'!$AC$65,0),MAX(MIN(EF$20,'01_Input'!$AA$65)-'01_Input'!$Z$65,0)*'01_Input'!$AC$65)))))))))</f>
        <v>0</v>
      </c>
      <c r="EG33" s="25">
        <f>IF('01_Input'!$C$65="Non",0,MIN('01_Input'!$I$65,MAX('01_Input'!$H$65,IF('01_Input'!$G$65="Résiduel vs Gestion",0,IF('01_Input'!$G$65="Taux Classe sélectionnée",Distrib_Global_Classe_Selectionnee*EG$20,IF('01_Input'!$G$65="Frais KYC (paliers de 100M€)",MAX(0,Nb_Investisseurs-Nb_KYC_Gratuites_Par_Tranche*(FLOOR(EG$20/Taille_Tranche_KYC,1)+1))*Cout_Par_KYC_Supplementaire,(IF('01_Input'!$L$65="Forfait",IF(EG$20&gt;='01_Input'!$J$65,'01_Input'!$M$65,0),IF('01_Input'!$L$65="Palier",IF(AND(EG$20&gt;='01_Input'!$J$65,EG$20&lt;'01_Input'!$K$65),'01_Input'!$M$65,0),MAX(MIN(EG$20,'01_Input'!$K$65)-'01_Input'!$J$65,0)*'01_Input'!$M$65))+IF('01_Input'!$P$65="Forfait",IF(EG$20&gt;='01_Input'!$N$65,'01_Input'!$Q$65,0),IF('01_Input'!$P$65="Palier",IF(AND(EG$20&gt;='01_Input'!$N$65,EG$20&lt;'01_Input'!$O$65),'01_Input'!$Q$65,0),MAX(MIN(EG$20,'01_Input'!$O$65)-'01_Input'!$N$65,0)*'01_Input'!$Q$65))+IF('01_Input'!$T$65="Forfait",IF(EG$20&gt;='01_Input'!$R$65,'01_Input'!$U$65,0),IF('01_Input'!$T$65="Palier",IF(AND(EG$20&gt;='01_Input'!$R$65,EG$20&lt;'01_Input'!$S$65),'01_Input'!$U$65,0),MAX(MIN(EG$20,'01_Input'!$S$65)-'01_Input'!$R$65,0)*'01_Input'!$U$65))+IF('01_Input'!$X$65="Forfait",IF(EG$20&gt;='01_Input'!$V$65,'01_Input'!$Y$65,0),IF('01_Input'!$X$65="Palier",IF(AND(EG$20&gt;='01_Input'!$V$65,EG$20&lt;'01_Input'!$W$65),'01_Input'!$Y$65,0),MAX(MIN(EG$20,'01_Input'!$W$65)-'01_Input'!$V$65,0)*'01_Input'!$Y$65))+IF('01_Input'!$AB$65="Forfait",IF(EG$20&gt;='01_Input'!$Z$65,'01_Input'!$AC$65,0),IF('01_Input'!$AB$65="Palier",IF(AND(EG$20&gt;='01_Input'!$Z$65,EG$20&lt;'01_Input'!$AA$65),'01_Input'!$AC$65,0),MAX(MIN(EG$20,'01_Input'!$AA$65)-'01_Input'!$Z$65,0)*'01_Input'!$AC$65)))))))))</f>
        <v>0</v>
      </c>
      <c r="EH33" s="25">
        <f>IF('01_Input'!$C$65="Non",0,MIN('01_Input'!$I$65,MAX('01_Input'!$H$65,IF('01_Input'!$G$65="Résiduel vs Gestion",0,IF('01_Input'!$G$65="Taux Classe sélectionnée",Distrib_Global_Classe_Selectionnee*EH$20,IF('01_Input'!$G$65="Frais KYC (paliers de 100M€)",MAX(0,Nb_Investisseurs-Nb_KYC_Gratuites_Par_Tranche*(FLOOR(EH$20/Taille_Tranche_KYC,1)+1))*Cout_Par_KYC_Supplementaire,(IF('01_Input'!$L$65="Forfait",IF(EH$20&gt;='01_Input'!$J$65,'01_Input'!$M$65,0),IF('01_Input'!$L$65="Palier",IF(AND(EH$20&gt;='01_Input'!$J$65,EH$20&lt;'01_Input'!$K$65),'01_Input'!$M$65,0),MAX(MIN(EH$20,'01_Input'!$K$65)-'01_Input'!$J$65,0)*'01_Input'!$M$65))+IF('01_Input'!$P$65="Forfait",IF(EH$20&gt;='01_Input'!$N$65,'01_Input'!$Q$65,0),IF('01_Input'!$P$65="Palier",IF(AND(EH$20&gt;='01_Input'!$N$65,EH$20&lt;'01_Input'!$O$65),'01_Input'!$Q$65,0),MAX(MIN(EH$20,'01_Input'!$O$65)-'01_Input'!$N$65,0)*'01_Input'!$Q$65))+IF('01_Input'!$T$65="Forfait",IF(EH$20&gt;='01_Input'!$R$65,'01_Input'!$U$65,0),IF('01_Input'!$T$65="Palier",IF(AND(EH$20&gt;='01_Input'!$R$65,EH$20&lt;'01_Input'!$S$65),'01_Input'!$U$65,0),MAX(MIN(EH$20,'01_Input'!$S$65)-'01_Input'!$R$65,0)*'01_Input'!$U$65))+IF('01_Input'!$X$65="Forfait",IF(EH$20&gt;='01_Input'!$V$65,'01_Input'!$Y$65,0),IF('01_Input'!$X$65="Palier",IF(AND(EH$20&gt;='01_Input'!$V$65,EH$20&lt;'01_Input'!$W$65),'01_Input'!$Y$65,0),MAX(MIN(EH$20,'01_Input'!$W$65)-'01_Input'!$V$65,0)*'01_Input'!$Y$65))+IF('01_Input'!$AB$65="Forfait",IF(EH$20&gt;='01_Input'!$Z$65,'01_Input'!$AC$65,0),IF('01_Input'!$AB$65="Palier",IF(AND(EH$20&gt;='01_Input'!$Z$65,EH$20&lt;'01_Input'!$AA$65),'01_Input'!$AC$65,0),MAX(MIN(EH$20,'01_Input'!$AA$65)-'01_Input'!$Z$65,0)*'01_Input'!$AC$65)))))))))</f>
        <v>0</v>
      </c>
      <c r="EI33" s="25">
        <f>IF('01_Input'!$C$65="Non",0,MIN('01_Input'!$I$65,MAX('01_Input'!$H$65,IF('01_Input'!$G$65="Résiduel vs Gestion",0,IF('01_Input'!$G$65="Taux Classe sélectionnée",Distrib_Global_Classe_Selectionnee*EI$20,IF('01_Input'!$G$65="Frais KYC (paliers de 100M€)",MAX(0,Nb_Investisseurs-Nb_KYC_Gratuites_Par_Tranche*(FLOOR(EI$20/Taille_Tranche_KYC,1)+1))*Cout_Par_KYC_Supplementaire,(IF('01_Input'!$L$65="Forfait",IF(EI$20&gt;='01_Input'!$J$65,'01_Input'!$M$65,0),IF('01_Input'!$L$65="Palier",IF(AND(EI$20&gt;='01_Input'!$J$65,EI$20&lt;'01_Input'!$K$65),'01_Input'!$M$65,0),MAX(MIN(EI$20,'01_Input'!$K$65)-'01_Input'!$J$65,0)*'01_Input'!$M$65))+IF('01_Input'!$P$65="Forfait",IF(EI$20&gt;='01_Input'!$N$65,'01_Input'!$Q$65,0),IF('01_Input'!$P$65="Palier",IF(AND(EI$20&gt;='01_Input'!$N$65,EI$20&lt;'01_Input'!$O$65),'01_Input'!$Q$65,0),MAX(MIN(EI$20,'01_Input'!$O$65)-'01_Input'!$N$65,0)*'01_Input'!$Q$65))+IF('01_Input'!$T$65="Forfait",IF(EI$20&gt;='01_Input'!$R$65,'01_Input'!$U$65,0),IF('01_Input'!$T$65="Palier",IF(AND(EI$20&gt;='01_Input'!$R$65,EI$20&lt;'01_Input'!$S$65),'01_Input'!$U$65,0),MAX(MIN(EI$20,'01_Input'!$S$65)-'01_Input'!$R$65,0)*'01_Input'!$U$65))+IF('01_Input'!$X$65="Forfait",IF(EI$20&gt;='01_Input'!$V$65,'01_Input'!$Y$65,0),IF('01_Input'!$X$65="Palier",IF(AND(EI$20&gt;='01_Input'!$V$65,EI$20&lt;'01_Input'!$W$65),'01_Input'!$Y$65,0),MAX(MIN(EI$20,'01_Input'!$W$65)-'01_Input'!$V$65,0)*'01_Input'!$Y$65))+IF('01_Input'!$AB$65="Forfait",IF(EI$20&gt;='01_Input'!$Z$65,'01_Input'!$AC$65,0),IF('01_Input'!$AB$65="Palier",IF(AND(EI$20&gt;='01_Input'!$Z$65,EI$20&lt;'01_Input'!$AA$65),'01_Input'!$AC$65,0),MAX(MIN(EI$20,'01_Input'!$AA$65)-'01_Input'!$Z$65,0)*'01_Input'!$AC$65)))))))))</f>
        <v>0</v>
      </c>
      <c r="EJ33" s="25">
        <f>IF('01_Input'!$C$65="Non",0,MIN('01_Input'!$I$65,MAX('01_Input'!$H$65,IF('01_Input'!$G$65="Résiduel vs Gestion",0,IF('01_Input'!$G$65="Taux Classe sélectionnée",Distrib_Global_Classe_Selectionnee*EJ$20,IF('01_Input'!$G$65="Frais KYC (paliers de 100M€)",MAX(0,Nb_Investisseurs-Nb_KYC_Gratuites_Par_Tranche*(FLOOR(EJ$20/Taille_Tranche_KYC,1)+1))*Cout_Par_KYC_Supplementaire,(IF('01_Input'!$L$65="Forfait",IF(EJ$20&gt;='01_Input'!$J$65,'01_Input'!$M$65,0),IF('01_Input'!$L$65="Palier",IF(AND(EJ$20&gt;='01_Input'!$J$65,EJ$20&lt;'01_Input'!$K$65),'01_Input'!$M$65,0),MAX(MIN(EJ$20,'01_Input'!$K$65)-'01_Input'!$J$65,0)*'01_Input'!$M$65))+IF('01_Input'!$P$65="Forfait",IF(EJ$20&gt;='01_Input'!$N$65,'01_Input'!$Q$65,0),IF('01_Input'!$P$65="Palier",IF(AND(EJ$20&gt;='01_Input'!$N$65,EJ$20&lt;'01_Input'!$O$65),'01_Input'!$Q$65,0),MAX(MIN(EJ$20,'01_Input'!$O$65)-'01_Input'!$N$65,0)*'01_Input'!$Q$65))+IF('01_Input'!$T$65="Forfait",IF(EJ$20&gt;='01_Input'!$R$65,'01_Input'!$U$65,0),IF('01_Input'!$T$65="Palier",IF(AND(EJ$20&gt;='01_Input'!$R$65,EJ$20&lt;'01_Input'!$S$65),'01_Input'!$U$65,0),MAX(MIN(EJ$20,'01_Input'!$S$65)-'01_Input'!$R$65,0)*'01_Input'!$U$65))+IF('01_Input'!$X$65="Forfait",IF(EJ$20&gt;='01_Input'!$V$65,'01_Input'!$Y$65,0),IF('01_Input'!$X$65="Palier",IF(AND(EJ$20&gt;='01_Input'!$V$65,EJ$20&lt;'01_Input'!$W$65),'01_Input'!$Y$65,0),MAX(MIN(EJ$20,'01_Input'!$W$65)-'01_Input'!$V$65,0)*'01_Input'!$Y$65))+IF('01_Input'!$AB$65="Forfait",IF(EJ$20&gt;='01_Input'!$Z$65,'01_Input'!$AC$65,0),IF('01_Input'!$AB$65="Palier",IF(AND(EJ$20&gt;='01_Input'!$Z$65,EJ$20&lt;'01_Input'!$AA$65),'01_Input'!$AC$65,0),MAX(MIN(EJ$20,'01_Input'!$AA$65)-'01_Input'!$Z$65,0)*'01_Input'!$AC$65)))))))))</f>
        <v>0</v>
      </c>
      <c r="EK33" s="25">
        <f>IF('01_Input'!$C$65="Non",0,MIN('01_Input'!$I$65,MAX('01_Input'!$H$65,IF('01_Input'!$G$65="Résiduel vs Gestion",0,IF('01_Input'!$G$65="Taux Classe sélectionnée",Distrib_Global_Classe_Selectionnee*EK$20,IF('01_Input'!$G$65="Frais KYC (paliers de 100M€)",MAX(0,Nb_Investisseurs-Nb_KYC_Gratuites_Par_Tranche*(FLOOR(EK$20/Taille_Tranche_KYC,1)+1))*Cout_Par_KYC_Supplementaire,(IF('01_Input'!$L$65="Forfait",IF(EK$20&gt;='01_Input'!$J$65,'01_Input'!$M$65,0),IF('01_Input'!$L$65="Palier",IF(AND(EK$20&gt;='01_Input'!$J$65,EK$20&lt;'01_Input'!$K$65),'01_Input'!$M$65,0),MAX(MIN(EK$20,'01_Input'!$K$65)-'01_Input'!$J$65,0)*'01_Input'!$M$65))+IF('01_Input'!$P$65="Forfait",IF(EK$20&gt;='01_Input'!$N$65,'01_Input'!$Q$65,0),IF('01_Input'!$P$65="Palier",IF(AND(EK$20&gt;='01_Input'!$N$65,EK$20&lt;'01_Input'!$O$65),'01_Input'!$Q$65,0),MAX(MIN(EK$20,'01_Input'!$O$65)-'01_Input'!$N$65,0)*'01_Input'!$Q$65))+IF('01_Input'!$T$65="Forfait",IF(EK$20&gt;='01_Input'!$R$65,'01_Input'!$U$65,0),IF('01_Input'!$T$65="Palier",IF(AND(EK$20&gt;='01_Input'!$R$65,EK$20&lt;'01_Input'!$S$65),'01_Input'!$U$65,0),MAX(MIN(EK$20,'01_Input'!$S$65)-'01_Input'!$R$65,0)*'01_Input'!$U$65))+IF('01_Input'!$X$65="Forfait",IF(EK$20&gt;='01_Input'!$V$65,'01_Input'!$Y$65,0),IF('01_Input'!$X$65="Palier",IF(AND(EK$20&gt;='01_Input'!$V$65,EK$20&lt;'01_Input'!$W$65),'01_Input'!$Y$65,0),MAX(MIN(EK$20,'01_Input'!$W$65)-'01_Input'!$V$65,0)*'01_Input'!$Y$65))+IF('01_Input'!$AB$65="Forfait",IF(EK$20&gt;='01_Input'!$Z$65,'01_Input'!$AC$65,0),IF('01_Input'!$AB$65="Palier",IF(AND(EK$20&gt;='01_Input'!$Z$65,EK$20&lt;'01_Input'!$AA$65),'01_Input'!$AC$65,0),MAX(MIN(EK$20,'01_Input'!$AA$65)-'01_Input'!$Z$65,0)*'01_Input'!$AC$65)))))))))</f>
        <v>0</v>
      </c>
      <c r="EL33" s="25">
        <f>IF('01_Input'!$C$65="Non",0,MIN('01_Input'!$I$65,MAX('01_Input'!$H$65,IF('01_Input'!$G$65="Résiduel vs Gestion",0,IF('01_Input'!$G$65="Taux Classe sélectionnée",Distrib_Global_Classe_Selectionnee*EL$20,IF('01_Input'!$G$65="Frais KYC (paliers de 100M€)",MAX(0,Nb_Investisseurs-Nb_KYC_Gratuites_Par_Tranche*(FLOOR(EL$20/Taille_Tranche_KYC,1)+1))*Cout_Par_KYC_Supplementaire,(IF('01_Input'!$L$65="Forfait",IF(EL$20&gt;='01_Input'!$J$65,'01_Input'!$M$65,0),IF('01_Input'!$L$65="Palier",IF(AND(EL$20&gt;='01_Input'!$J$65,EL$20&lt;'01_Input'!$K$65),'01_Input'!$M$65,0),MAX(MIN(EL$20,'01_Input'!$K$65)-'01_Input'!$J$65,0)*'01_Input'!$M$65))+IF('01_Input'!$P$65="Forfait",IF(EL$20&gt;='01_Input'!$N$65,'01_Input'!$Q$65,0),IF('01_Input'!$P$65="Palier",IF(AND(EL$20&gt;='01_Input'!$N$65,EL$20&lt;'01_Input'!$O$65),'01_Input'!$Q$65,0),MAX(MIN(EL$20,'01_Input'!$O$65)-'01_Input'!$N$65,0)*'01_Input'!$Q$65))+IF('01_Input'!$T$65="Forfait",IF(EL$20&gt;='01_Input'!$R$65,'01_Input'!$U$65,0),IF('01_Input'!$T$65="Palier",IF(AND(EL$20&gt;='01_Input'!$R$65,EL$20&lt;'01_Input'!$S$65),'01_Input'!$U$65,0),MAX(MIN(EL$20,'01_Input'!$S$65)-'01_Input'!$R$65,0)*'01_Input'!$U$65))+IF('01_Input'!$X$65="Forfait",IF(EL$20&gt;='01_Input'!$V$65,'01_Input'!$Y$65,0),IF('01_Input'!$X$65="Palier",IF(AND(EL$20&gt;='01_Input'!$V$65,EL$20&lt;'01_Input'!$W$65),'01_Input'!$Y$65,0),MAX(MIN(EL$20,'01_Input'!$W$65)-'01_Input'!$V$65,0)*'01_Input'!$Y$65))+IF('01_Input'!$AB$65="Forfait",IF(EL$20&gt;='01_Input'!$Z$65,'01_Input'!$AC$65,0),IF('01_Input'!$AB$65="Palier",IF(AND(EL$20&gt;='01_Input'!$Z$65,EL$20&lt;'01_Input'!$AA$65),'01_Input'!$AC$65,0),MAX(MIN(EL$20,'01_Input'!$AA$65)-'01_Input'!$Z$65,0)*'01_Input'!$AC$65)))))))))</f>
        <v>0</v>
      </c>
      <c r="EM33" s="25">
        <f>IF('01_Input'!$C$65="Non",0,MIN('01_Input'!$I$65,MAX('01_Input'!$H$65,IF('01_Input'!$G$65="Résiduel vs Gestion",0,IF('01_Input'!$G$65="Taux Classe sélectionnée",Distrib_Global_Classe_Selectionnee*EM$20,IF('01_Input'!$G$65="Frais KYC (paliers de 100M€)",MAX(0,Nb_Investisseurs-Nb_KYC_Gratuites_Par_Tranche*(FLOOR(EM$20/Taille_Tranche_KYC,1)+1))*Cout_Par_KYC_Supplementaire,(IF('01_Input'!$L$65="Forfait",IF(EM$20&gt;='01_Input'!$J$65,'01_Input'!$M$65,0),IF('01_Input'!$L$65="Palier",IF(AND(EM$20&gt;='01_Input'!$J$65,EM$20&lt;'01_Input'!$K$65),'01_Input'!$M$65,0),MAX(MIN(EM$20,'01_Input'!$K$65)-'01_Input'!$J$65,0)*'01_Input'!$M$65))+IF('01_Input'!$P$65="Forfait",IF(EM$20&gt;='01_Input'!$N$65,'01_Input'!$Q$65,0),IF('01_Input'!$P$65="Palier",IF(AND(EM$20&gt;='01_Input'!$N$65,EM$20&lt;'01_Input'!$O$65),'01_Input'!$Q$65,0),MAX(MIN(EM$20,'01_Input'!$O$65)-'01_Input'!$N$65,0)*'01_Input'!$Q$65))+IF('01_Input'!$T$65="Forfait",IF(EM$20&gt;='01_Input'!$R$65,'01_Input'!$U$65,0),IF('01_Input'!$T$65="Palier",IF(AND(EM$20&gt;='01_Input'!$R$65,EM$20&lt;'01_Input'!$S$65),'01_Input'!$U$65,0),MAX(MIN(EM$20,'01_Input'!$S$65)-'01_Input'!$R$65,0)*'01_Input'!$U$65))+IF('01_Input'!$X$65="Forfait",IF(EM$20&gt;='01_Input'!$V$65,'01_Input'!$Y$65,0),IF('01_Input'!$X$65="Palier",IF(AND(EM$20&gt;='01_Input'!$V$65,EM$20&lt;'01_Input'!$W$65),'01_Input'!$Y$65,0),MAX(MIN(EM$20,'01_Input'!$W$65)-'01_Input'!$V$65,0)*'01_Input'!$Y$65))+IF('01_Input'!$AB$65="Forfait",IF(EM$20&gt;='01_Input'!$Z$65,'01_Input'!$AC$65,0),IF('01_Input'!$AB$65="Palier",IF(AND(EM$20&gt;='01_Input'!$Z$65,EM$20&lt;'01_Input'!$AA$65),'01_Input'!$AC$65,0),MAX(MIN(EM$20,'01_Input'!$AA$65)-'01_Input'!$Z$65,0)*'01_Input'!$AC$65)))))))))</f>
        <v>0</v>
      </c>
      <c r="EN33" s="25">
        <f>IF('01_Input'!$C$65="Non",0,MIN('01_Input'!$I$65,MAX('01_Input'!$H$65,IF('01_Input'!$G$65="Résiduel vs Gestion",0,IF('01_Input'!$G$65="Taux Classe sélectionnée",Distrib_Global_Classe_Selectionnee*EN$20,IF('01_Input'!$G$65="Frais KYC (paliers de 100M€)",MAX(0,Nb_Investisseurs-Nb_KYC_Gratuites_Par_Tranche*(FLOOR(EN$20/Taille_Tranche_KYC,1)+1))*Cout_Par_KYC_Supplementaire,(IF('01_Input'!$L$65="Forfait",IF(EN$20&gt;='01_Input'!$J$65,'01_Input'!$M$65,0),IF('01_Input'!$L$65="Palier",IF(AND(EN$20&gt;='01_Input'!$J$65,EN$20&lt;'01_Input'!$K$65),'01_Input'!$M$65,0),MAX(MIN(EN$20,'01_Input'!$K$65)-'01_Input'!$J$65,0)*'01_Input'!$M$65))+IF('01_Input'!$P$65="Forfait",IF(EN$20&gt;='01_Input'!$N$65,'01_Input'!$Q$65,0),IF('01_Input'!$P$65="Palier",IF(AND(EN$20&gt;='01_Input'!$N$65,EN$20&lt;'01_Input'!$O$65),'01_Input'!$Q$65,0),MAX(MIN(EN$20,'01_Input'!$O$65)-'01_Input'!$N$65,0)*'01_Input'!$Q$65))+IF('01_Input'!$T$65="Forfait",IF(EN$20&gt;='01_Input'!$R$65,'01_Input'!$U$65,0),IF('01_Input'!$T$65="Palier",IF(AND(EN$20&gt;='01_Input'!$R$65,EN$20&lt;'01_Input'!$S$65),'01_Input'!$U$65,0),MAX(MIN(EN$20,'01_Input'!$S$65)-'01_Input'!$R$65,0)*'01_Input'!$U$65))+IF('01_Input'!$X$65="Forfait",IF(EN$20&gt;='01_Input'!$V$65,'01_Input'!$Y$65,0),IF('01_Input'!$X$65="Palier",IF(AND(EN$20&gt;='01_Input'!$V$65,EN$20&lt;'01_Input'!$W$65),'01_Input'!$Y$65,0),MAX(MIN(EN$20,'01_Input'!$W$65)-'01_Input'!$V$65,0)*'01_Input'!$Y$65))+IF('01_Input'!$AB$65="Forfait",IF(EN$20&gt;='01_Input'!$Z$65,'01_Input'!$AC$65,0),IF('01_Input'!$AB$65="Palier",IF(AND(EN$20&gt;='01_Input'!$Z$65,EN$20&lt;'01_Input'!$AA$65),'01_Input'!$AC$65,0),MAX(MIN(EN$20,'01_Input'!$AA$65)-'01_Input'!$Z$65,0)*'01_Input'!$AC$65)))))))))</f>
        <v>0</v>
      </c>
      <c r="EO33" s="25">
        <f>IF('01_Input'!$C$65="Non",0,MIN('01_Input'!$I$65,MAX('01_Input'!$H$65,IF('01_Input'!$G$65="Résiduel vs Gestion",0,IF('01_Input'!$G$65="Taux Classe sélectionnée",Distrib_Global_Classe_Selectionnee*EO$20,IF('01_Input'!$G$65="Frais KYC (paliers de 100M€)",MAX(0,Nb_Investisseurs-Nb_KYC_Gratuites_Par_Tranche*(FLOOR(EO$20/Taille_Tranche_KYC,1)+1))*Cout_Par_KYC_Supplementaire,(IF('01_Input'!$L$65="Forfait",IF(EO$20&gt;='01_Input'!$J$65,'01_Input'!$M$65,0),IF('01_Input'!$L$65="Palier",IF(AND(EO$20&gt;='01_Input'!$J$65,EO$20&lt;'01_Input'!$K$65),'01_Input'!$M$65,0),MAX(MIN(EO$20,'01_Input'!$K$65)-'01_Input'!$J$65,0)*'01_Input'!$M$65))+IF('01_Input'!$P$65="Forfait",IF(EO$20&gt;='01_Input'!$N$65,'01_Input'!$Q$65,0),IF('01_Input'!$P$65="Palier",IF(AND(EO$20&gt;='01_Input'!$N$65,EO$20&lt;'01_Input'!$O$65),'01_Input'!$Q$65,0),MAX(MIN(EO$20,'01_Input'!$O$65)-'01_Input'!$N$65,0)*'01_Input'!$Q$65))+IF('01_Input'!$T$65="Forfait",IF(EO$20&gt;='01_Input'!$R$65,'01_Input'!$U$65,0),IF('01_Input'!$T$65="Palier",IF(AND(EO$20&gt;='01_Input'!$R$65,EO$20&lt;'01_Input'!$S$65),'01_Input'!$U$65,0),MAX(MIN(EO$20,'01_Input'!$S$65)-'01_Input'!$R$65,0)*'01_Input'!$U$65))+IF('01_Input'!$X$65="Forfait",IF(EO$20&gt;='01_Input'!$V$65,'01_Input'!$Y$65,0),IF('01_Input'!$X$65="Palier",IF(AND(EO$20&gt;='01_Input'!$V$65,EO$20&lt;'01_Input'!$W$65),'01_Input'!$Y$65,0),MAX(MIN(EO$20,'01_Input'!$W$65)-'01_Input'!$V$65,0)*'01_Input'!$Y$65))+IF('01_Input'!$AB$65="Forfait",IF(EO$20&gt;='01_Input'!$Z$65,'01_Input'!$AC$65,0),IF('01_Input'!$AB$65="Palier",IF(AND(EO$20&gt;='01_Input'!$Z$65,EO$20&lt;'01_Input'!$AA$65),'01_Input'!$AC$65,0),MAX(MIN(EO$20,'01_Input'!$AA$65)-'01_Input'!$Z$65,0)*'01_Input'!$AC$65)))))))))</f>
        <v>0</v>
      </c>
      <c r="EP33" s="25">
        <f>IF('01_Input'!$C$65="Non",0,MIN('01_Input'!$I$65,MAX('01_Input'!$H$65,IF('01_Input'!$G$65="Résiduel vs Gestion",0,IF('01_Input'!$G$65="Taux Classe sélectionnée",Distrib_Global_Classe_Selectionnee*EP$20,IF('01_Input'!$G$65="Frais KYC (paliers de 100M€)",MAX(0,Nb_Investisseurs-Nb_KYC_Gratuites_Par_Tranche*(FLOOR(EP$20/Taille_Tranche_KYC,1)+1))*Cout_Par_KYC_Supplementaire,(IF('01_Input'!$L$65="Forfait",IF(EP$20&gt;='01_Input'!$J$65,'01_Input'!$M$65,0),IF('01_Input'!$L$65="Palier",IF(AND(EP$20&gt;='01_Input'!$J$65,EP$20&lt;'01_Input'!$K$65),'01_Input'!$M$65,0),MAX(MIN(EP$20,'01_Input'!$K$65)-'01_Input'!$J$65,0)*'01_Input'!$M$65))+IF('01_Input'!$P$65="Forfait",IF(EP$20&gt;='01_Input'!$N$65,'01_Input'!$Q$65,0),IF('01_Input'!$P$65="Palier",IF(AND(EP$20&gt;='01_Input'!$N$65,EP$20&lt;'01_Input'!$O$65),'01_Input'!$Q$65,0),MAX(MIN(EP$20,'01_Input'!$O$65)-'01_Input'!$N$65,0)*'01_Input'!$Q$65))+IF('01_Input'!$T$65="Forfait",IF(EP$20&gt;='01_Input'!$R$65,'01_Input'!$U$65,0),IF('01_Input'!$T$65="Palier",IF(AND(EP$20&gt;='01_Input'!$R$65,EP$20&lt;'01_Input'!$S$65),'01_Input'!$U$65,0),MAX(MIN(EP$20,'01_Input'!$S$65)-'01_Input'!$R$65,0)*'01_Input'!$U$65))+IF('01_Input'!$X$65="Forfait",IF(EP$20&gt;='01_Input'!$V$65,'01_Input'!$Y$65,0),IF('01_Input'!$X$65="Palier",IF(AND(EP$20&gt;='01_Input'!$V$65,EP$20&lt;'01_Input'!$W$65),'01_Input'!$Y$65,0),MAX(MIN(EP$20,'01_Input'!$W$65)-'01_Input'!$V$65,0)*'01_Input'!$Y$65))+IF('01_Input'!$AB$65="Forfait",IF(EP$20&gt;='01_Input'!$Z$65,'01_Input'!$AC$65,0),IF('01_Input'!$AB$65="Palier",IF(AND(EP$20&gt;='01_Input'!$Z$65,EP$20&lt;'01_Input'!$AA$65),'01_Input'!$AC$65,0),MAX(MIN(EP$20,'01_Input'!$AA$65)-'01_Input'!$Z$65,0)*'01_Input'!$AC$65)))))))))</f>
        <v>0</v>
      </c>
      <c r="EQ33" s="25">
        <f>IF('01_Input'!$C$65="Non",0,MIN('01_Input'!$I$65,MAX('01_Input'!$H$65,IF('01_Input'!$G$65="Résiduel vs Gestion",0,IF('01_Input'!$G$65="Taux Classe sélectionnée",Distrib_Global_Classe_Selectionnee*EQ$20,IF('01_Input'!$G$65="Frais KYC (paliers de 100M€)",MAX(0,Nb_Investisseurs-Nb_KYC_Gratuites_Par_Tranche*(FLOOR(EQ$20/Taille_Tranche_KYC,1)+1))*Cout_Par_KYC_Supplementaire,(IF('01_Input'!$L$65="Forfait",IF(EQ$20&gt;='01_Input'!$J$65,'01_Input'!$M$65,0),IF('01_Input'!$L$65="Palier",IF(AND(EQ$20&gt;='01_Input'!$J$65,EQ$20&lt;'01_Input'!$K$65),'01_Input'!$M$65,0),MAX(MIN(EQ$20,'01_Input'!$K$65)-'01_Input'!$J$65,0)*'01_Input'!$M$65))+IF('01_Input'!$P$65="Forfait",IF(EQ$20&gt;='01_Input'!$N$65,'01_Input'!$Q$65,0),IF('01_Input'!$P$65="Palier",IF(AND(EQ$20&gt;='01_Input'!$N$65,EQ$20&lt;'01_Input'!$O$65),'01_Input'!$Q$65,0),MAX(MIN(EQ$20,'01_Input'!$O$65)-'01_Input'!$N$65,0)*'01_Input'!$Q$65))+IF('01_Input'!$T$65="Forfait",IF(EQ$20&gt;='01_Input'!$R$65,'01_Input'!$U$65,0),IF('01_Input'!$T$65="Palier",IF(AND(EQ$20&gt;='01_Input'!$R$65,EQ$20&lt;'01_Input'!$S$65),'01_Input'!$U$65,0),MAX(MIN(EQ$20,'01_Input'!$S$65)-'01_Input'!$R$65,0)*'01_Input'!$U$65))+IF('01_Input'!$X$65="Forfait",IF(EQ$20&gt;='01_Input'!$V$65,'01_Input'!$Y$65,0),IF('01_Input'!$X$65="Palier",IF(AND(EQ$20&gt;='01_Input'!$V$65,EQ$20&lt;'01_Input'!$W$65),'01_Input'!$Y$65,0),MAX(MIN(EQ$20,'01_Input'!$W$65)-'01_Input'!$V$65,0)*'01_Input'!$Y$65))+IF('01_Input'!$AB$65="Forfait",IF(EQ$20&gt;='01_Input'!$Z$65,'01_Input'!$AC$65,0),IF('01_Input'!$AB$65="Palier",IF(AND(EQ$20&gt;='01_Input'!$Z$65,EQ$20&lt;'01_Input'!$AA$65),'01_Input'!$AC$65,0),MAX(MIN(EQ$20,'01_Input'!$AA$65)-'01_Input'!$Z$65,0)*'01_Input'!$AC$65)))))))))</f>
        <v>0</v>
      </c>
      <c r="ER33" s="25">
        <f>IF('01_Input'!$C$65="Non",0,MIN('01_Input'!$I$65,MAX('01_Input'!$H$65,IF('01_Input'!$G$65="Résiduel vs Gestion",0,IF('01_Input'!$G$65="Taux Classe sélectionnée",Distrib_Global_Classe_Selectionnee*ER$20,IF('01_Input'!$G$65="Frais KYC (paliers de 100M€)",MAX(0,Nb_Investisseurs-Nb_KYC_Gratuites_Par_Tranche*(FLOOR(ER$20/Taille_Tranche_KYC,1)+1))*Cout_Par_KYC_Supplementaire,(IF('01_Input'!$L$65="Forfait",IF(ER$20&gt;='01_Input'!$J$65,'01_Input'!$M$65,0),IF('01_Input'!$L$65="Palier",IF(AND(ER$20&gt;='01_Input'!$J$65,ER$20&lt;'01_Input'!$K$65),'01_Input'!$M$65,0),MAX(MIN(ER$20,'01_Input'!$K$65)-'01_Input'!$J$65,0)*'01_Input'!$M$65))+IF('01_Input'!$P$65="Forfait",IF(ER$20&gt;='01_Input'!$N$65,'01_Input'!$Q$65,0),IF('01_Input'!$P$65="Palier",IF(AND(ER$20&gt;='01_Input'!$N$65,ER$20&lt;'01_Input'!$O$65),'01_Input'!$Q$65,0),MAX(MIN(ER$20,'01_Input'!$O$65)-'01_Input'!$N$65,0)*'01_Input'!$Q$65))+IF('01_Input'!$T$65="Forfait",IF(ER$20&gt;='01_Input'!$R$65,'01_Input'!$U$65,0),IF('01_Input'!$T$65="Palier",IF(AND(ER$20&gt;='01_Input'!$R$65,ER$20&lt;'01_Input'!$S$65),'01_Input'!$U$65,0),MAX(MIN(ER$20,'01_Input'!$S$65)-'01_Input'!$R$65,0)*'01_Input'!$U$65))+IF('01_Input'!$X$65="Forfait",IF(ER$20&gt;='01_Input'!$V$65,'01_Input'!$Y$65,0),IF('01_Input'!$X$65="Palier",IF(AND(ER$20&gt;='01_Input'!$V$65,ER$20&lt;'01_Input'!$W$65),'01_Input'!$Y$65,0),MAX(MIN(ER$20,'01_Input'!$W$65)-'01_Input'!$V$65,0)*'01_Input'!$Y$65))+IF('01_Input'!$AB$65="Forfait",IF(ER$20&gt;='01_Input'!$Z$65,'01_Input'!$AC$65,0),IF('01_Input'!$AB$65="Palier",IF(AND(ER$20&gt;='01_Input'!$Z$65,ER$20&lt;'01_Input'!$AA$65),'01_Input'!$AC$65,0),MAX(MIN(ER$20,'01_Input'!$AA$65)-'01_Input'!$Z$65,0)*'01_Input'!$AC$65)))))))))</f>
        <v>0</v>
      </c>
      <c r="ES33" s="25">
        <f>IF('01_Input'!$C$65="Non",0,MIN('01_Input'!$I$65,MAX('01_Input'!$H$65,IF('01_Input'!$G$65="Résiduel vs Gestion",0,IF('01_Input'!$G$65="Taux Classe sélectionnée",Distrib_Global_Classe_Selectionnee*ES$20,IF('01_Input'!$G$65="Frais KYC (paliers de 100M€)",MAX(0,Nb_Investisseurs-Nb_KYC_Gratuites_Par_Tranche*(FLOOR(ES$20/Taille_Tranche_KYC,1)+1))*Cout_Par_KYC_Supplementaire,(IF('01_Input'!$L$65="Forfait",IF(ES$20&gt;='01_Input'!$J$65,'01_Input'!$M$65,0),IF('01_Input'!$L$65="Palier",IF(AND(ES$20&gt;='01_Input'!$J$65,ES$20&lt;'01_Input'!$K$65),'01_Input'!$M$65,0),MAX(MIN(ES$20,'01_Input'!$K$65)-'01_Input'!$J$65,0)*'01_Input'!$M$65))+IF('01_Input'!$P$65="Forfait",IF(ES$20&gt;='01_Input'!$N$65,'01_Input'!$Q$65,0),IF('01_Input'!$P$65="Palier",IF(AND(ES$20&gt;='01_Input'!$N$65,ES$20&lt;'01_Input'!$O$65),'01_Input'!$Q$65,0),MAX(MIN(ES$20,'01_Input'!$O$65)-'01_Input'!$N$65,0)*'01_Input'!$Q$65))+IF('01_Input'!$T$65="Forfait",IF(ES$20&gt;='01_Input'!$R$65,'01_Input'!$U$65,0),IF('01_Input'!$T$65="Palier",IF(AND(ES$20&gt;='01_Input'!$R$65,ES$20&lt;'01_Input'!$S$65),'01_Input'!$U$65,0),MAX(MIN(ES$20,'01_Input'!$S$65)-'01_Input'!$R$65,0)*'01_Input'!$U$65))+IF('01_Input'!$X$65="Forfait",IF(ES$20&gt;='01_Input'!$V$65,'01_Input'!$Y$65,0),IF('01_Input'!$X$65="Palier",IF(AND(ES$20&gt;='01_Input'!$V$65,ES$20&lt;'01_Input'!$W$65),'01_Input'!$Y$65,0),MAX(MIN(ES$20,'01_Input'!$W$65)-'01_Input'!$V$65,0)*'01_Input'!$Y$65))+IF('01_Input'!$AB$65="Forfait",IF(ES$20&gt;='01_Input'!$Z$65,'01_Input'!$AC$65,0),IF('01_Input'!$AB$65="Palier",IF(AND(ES$20&gt;='01_Input'!$Z$65,ES$20&lt;'01_Input'!$AA$65),'01_Input'!$AC$65,0),MAX(MIN(ES$20,'01_Input'!$AA$65)-'01_Input'!$Z$65,0)*'01_Input'!$AC$65)))))))))</f>
        <v>0</v>
      </c>
      <c r="ET33" s="25">
        <f>IF('01_Input'!$C$65="Non",0,MIN('01_Input'!$I$65,MAX('01_Input'!$H$65,IF('01_Input'!$G$65="Résiduel vs Gestion",0,IF('01_Input'!$G$65="Taux Classe sélectionnée",Distrib_Global_Classe_Selectionnee*ET$20,IF('01_Input'!$G$65="Frais KYC (paliers de 100M€)",MAX(0,Nb_Investisseurs-Nb_KYC_Gratuites_Par_Tranche*(FLOOR(ET$20/Taille_Tranche_KYC,1)+1))*Cout_Par_KYC_Supplementaire,(IF('01_Input'!$L$65="Forfait",IF(ET$20&gt;='01_Input'!$J$65,'01_Input'!$M$65,0),IF('01_Input'!$L$65="Palier",IF(AND(ET$20&gt;='01_Input'!$J$65,ET$20&lt;'01_Input'!$K$65),'01_Input'!$M$65,0),MAX(MIN(ET$20,'01_Input'!$K$65)-'01_Input'!$J$65,0)*'01_Input'!$M$65))+IF('01_Input'!$P$65="Forfait",IF(ET$20&gt;='01_Input'!$N$65,'01_Input'!$Q$65,0),IF('01_Input'!$P$65="Palier",IF(AND(ET$20&gt;='01_Input'!$N$65,ET$20&lt;'01_Input'!$O$65),'01_Input'!$Q$65,0),MAX(MIN(ET$20,'01_Input'!$O$65)-'01_Input'!$N$65,0)*'01_Input'!$Q$65))+IF('01_Input'!$T$65="Forfait",IF(ET$20&gt;='01_Input'!$R$65,'01_Input'!$U$65,0),IF('01_Input'!$T$65="Palier",IF(AND(ET$20&gt;='01_Input'!$R$65,ET$20&lt;'01_Input'!$S$65),'01_Input'!$U$65,0),MAX(MIN(ET$20,'01_Input'!$S$65)-'01_Input'!$R$65,0)*'01_Input'!$U$65))+IF('01_Input'!$X$65="Forfait",IF(ET$20&gt;='01_Input'!$V$65,'01_Input'!$Y$65,0),IF('01_Input'!$X$65="Palier",IF(AND(ET$20&gt;='01_Input'!$V$65,ET$20&lt;'01_Input'!$W$65),'01_Input'!$Y$65,0),MAX(MIN(ET$20,'01_Input'!$W$65)-'01_Input'!$V$65,0)*'01_Input'!$Y$65))+IF('01_Input'!$AB$65="Forfait",IF(ET$20&gt;='01_Input'!$Z$65,'01_Input'!$AC$65,0),IF('01_Input'!$AB$65="Palier",IF(AND(ET$20&gt;='01_Input'!$Z$65,ET$20&lt;'01_Input'!$AA$65),'01_Input'!$AC$65,0),MAX(MIN(ET$20,'01_Input'!$AA$65)-'01_Input'!$Z$65,0)*'01_Input'!$AC$65)))))))))</f>
        <v>0</v>
      </c>
      <c r="EU33" s="25">
        <f>IF('01_Input'!$C$65="Non",0,MIN('01_Input'!$I$65,MAX('01_Input'!$H$65,IF('01_Input'!$G$65="Résiduel vs Gestion",0,IF('01_Input'!$G$65="Taux Classe sélectionnée",Distrib_Global_Classe_Selectionnee*EU$20,IF('01_Input'!$G$65="Frais KYC (paliers de 100M€)",MAX(0,Nb_Investisseurs-Nb_KYC_Gratuites_Par_Tranche*(FLOOR(EU$20/Taille_Tranche_KYC,1)+1))*Cout_Par_KYC_Supplementaire,(IF('01_Input'!$L$65="Forfait",IF(EU$20&gt;='01_Input'!$J$65,'01_Input'!$M$65,0),IF('01_Input'!$L$65="Palier",IF(AND(EU$20&gt;='01_Input'!$J$65,EU$20&lt;'01_Input'!$K$65),'01_Input'!$M$65,0),MAX(MIN(EU$20,'01_Input'!$K$65)-'01_Input'!$J$65,0)*'01_Input'!$M$65))+IF('01_Input'!$P$65="Forfait",IF(EU$20&gt;='01_Input'!$N$65,'01_Input'!$Q$65,0),IF('01_Input'!$P$65="Palier",IF(AND(EU$20&gt;='01_Input'!$N$65,EU$20&lt;'01_Input'!$O$65),'01_Input'!$Q$65,0),MAX(MIN(EU$20,'01_Input'!$O$65)-'01_Input'!$N$65,0)*'01_Input'!$Q$65))+IF('01_Input'!$T$65="Forfait",IF(EU$20&gt;='01_Input'!$R$65,'01_Input'!$U$65,0),IF('01_Input'!$T$65="Palier",IF(AND(EU$20&gt;='01_Input'!$R$65,EU$20&lt;'01_Input'!$S$65),'01_Input'!$U$65,0),MAX(MIN(EU$20,'01_Input'!$S$65)-'01_Input'!$R$65,0)*'01_Input'!$U$65))+IF('01_Input'!$X$65="Forfait",IF(EU$20&gt;='01_Input'!$V$65,'01_Input'!$Y$65,0),IF('01_Input'!$X$65="Palier",IF(AND(EU$20&gt;='01_Input'!$V$65,EU$20&lt;'01_Input'!$W$65),'01_Input'!$Y$65,0),MAX(MIN(EU$20,'01_Input'!$W$65)-'01_Input'!$V$65,0)*'01_Input'!$Y$65))+IF('01_Input'!$AB$65="Forfait",IF(EU$20&gt;='01_Input'!$Z$65,'01_Input'!$AC$65,0),IF('01_Input'!$AB$65="Palier",IF(AND(EU$20&gt;='01_Input'!$Z$65,EU$20&lt;'01_Input'!$AA$65),'01_Input'!$AC$65,0),MAX(MIN(EU$20,'01_Input'!$AA$65)-'01_Input'!$Z$65,0)*'01_Input'!$AC$65)))))))))</f>
        <v>0</v>
      </c>
      <c r="EV33" s="25">
        <f>IF('01_Input'!$C$65="Non",0,MIN('01_Input'!$I$65,MAX('01_Input'!$H$65,IF('01_Input'!$G$65="Résiduel vs Gestion",0,IF('01_Input'!$G$65="Taux Classe sélectionnée",Distrib_Global_Classe_Selectionnee*EV$20,IF('01_Input'!$G$65="Frais KYC (paliers de 100M€)",MAX(0,Nb_Investisseurs-Nb_KYC_Gratuites_Par_Tranche*(FLOOR(EV$20/Taille_Tranche_KYC,1)+1))*Cout_Par_KYC_Supplementaire,(IF('01_Input'!$L$65="Forfait",IF(EV$20&gt;='01_Input'!$J$65,'01_Input'!$M$65,0),IF('01_Input'!$L$65="Palier",IF(AND(EV$20&gt;='01_Input'!$J$65,EV$20&lt;'01_Input'!$K$65),'01_Input'!$M$65,0),MAX(MIN(EV$20,'01_Input'!$K$65)-'01_Input'!$J$65,0)*'01_Input'!$M$65))+IF('01_Input'!$P$65="Forfait",IF(EV$20&gt;='01_Input'!$N$65,'01_Input'!$Q$65,0),IF('01_Input'!$P$65="Palier",IF(AND(EV$20&gt;='01_Input'!$N$65,EV$20&lt;'01_Input'!$O$65),'01_Input'!$Q$65,0),MAX(MIN(EV$20,'01_Input'!$O$65)-'01_Input'!$N$65,0)*'01_Input'!$Q$65))+IF('01_Input'!$T$65="Forfait",IF(EV$20&gt;='01_Input'!$R$65,'01_Input'!$U$65,0),IF('01_Input'!$T$65="Palier",IF(AND(EV$20&gt;='01_Input'!$R$65,EV$20&lt;'01_Input'!$S$65),'01_Input'!$U$65,0),MAX(MIN(EV$20,'01_Input'!$S$65)-'01_Input'!$R$65,0)*'01_Input'!$U$65))+IF('01_Input'!$X$65="Forfait",IF(EV$20&gt;='01_Input'!$V$65,'01_Input'!$Y$65,0),IF('01_Input'!$X$65="Palier",IF(AND(EV$20&gt;='01_Input'!$V$65,EV$20&lt;'01_Input'!$W$65),'01_Input'!$Y$65,0),MAX(MIN(EV$20,'01_Input'!$W$65)-'01_Input'!$V$65,0)*'01_Input'!$Y$65))+IF('01_Input'!$AB$65="Forfait",IF(EV$20&gt;='01_Input'!$Z$65,'01_Input'!$AC$65,0),IF('01_Input'!$AB$65="Palier",IF(AND(EV$20&gt;='01_Input'!$Z$65,EV$20&lt;'01_Input'!$AA$65),'01_Input'!$AC$65,0),MAX(MIN(EV$20,'01_Input'!$AA$65)-'01_Input'!$Z$65,0)*'01_Input'!$AC$65)))))))))</f>
        <v>0</v>
      </c>
      <c r="EW33" s="25">
        <f>IF('01_Input'!$C$65="Non",0,MIN('01_Input'!$I$65,MAX('01_Input'!$H$65,IF('01_Input'!$G$65="Résiduel vs Gestion",0,IF('01_Input'!$G$65="Taux Classe sélectionnée",Distrib_Global_Classe_Selectionnee*EW$20,IF('01_Input'!$G$65="Frais KYC (paliers de 100M€)",MAX(0,Nb_Investisseurs-Nb_KYC_Gratuites_Par_Tranche*(FLOOR(EW$20/Taille_Tranche_KYC,1)+1))*Cout_Par_KYC_Supplementaire,(IF('01_Input'!$L$65="Forfait",IF(EW$20&gt;='01_Input'!$J$65,'01_Input'!$M$65,0),IF('01_Input'!$L$65="Palier",IF(AND(EW$20&gt;='01_Input'!$J$65,EW$20&lt;'01_Input'!$K$65),'01_Input'!$M$65,0),MAX(MIN(EW$20,'01_Input'!$K$65)-'01_Input'!$J$65,0)*'01_Input'!$M$65))+IF('01_Input'!$P$65="Forfait",IF(EW$20&gt;='01_Input'!$N$65,'01_Input'!$Q$65,0),IF('01_Input'!$P$65="Palier",IF(AND(EW$20&gt;='01_Input'!$N$65,EW$20&lt;'01_Input'!$O$65),'01_Input'!$Q$65,0),MAX(MIN(EW$20,'01_Input'!$O$65)-'01_Input'!$N$65,0)*'01_Input'!$Q$65))+IF('01_Input'!$T$65="Forfait",IF(EW$20&gt;='01_Input'!$R$65,'01_Input'!$U$65,0),IF('01_Input'!$T$65="Palier",IF(AND(EW$20&gt;='01_Input'!$R$65,EW$20&lt;'01_Input'!$S$65),'01_Input'!$U$65,0),MAX(MIN(EW$20,'01_Input'!$S$65)-'01_Input'!$R$65,0)*'01_Input'!$U$65))+IF('01_Input'!$X$65="Forfait",IF(EW$20&gt;='01_Input'!$V$65,'01_Input'!$Y$65,0),IF('01_Input'!$X$65="Palier",IF(AND(EW$20&gt;='01_Input'!$V$65,EW$20&lt;'01_Input'!$W$65),'01_Input'!$Y$65,0),MAX(MIN(EW$20,'01_Input'!$W$65)-'01_Input'!$V$65,0)*'01_Input'!$Y$65))+IF('01_Input'!$AB$65="Forfait",IF(EW$20&gt;='01_Input'!$Z$65,'01_Input'!$AC$65,0),IF('01_Input'!$AB$65="Palier",IF(AND(EW$20&gt;='01_Input'!$Z$65,EW$20&lt;'01_Input'!$AA$65),'01_Input'!$AC$65,0),MAX(MIN(EW$20,'01_Input'!$AA$65)-'01_Input'!$Z$65,0)*'01_Input'!$AC$65)))))))))</f>
        <v>0</v>
      </c>
      <c r="EX33" s="25">
        <f>IF('01_Input'!$C$65="Non",0,MIN('01_Input'!$I$65,MAX('01_Input'!$H$65,IF('01_Input'!$G$65="Résiduel vs Gestion",0,IF('01_Input'!$G$65="Taux Classe sélectionnée",Distrib_Global_Classe_Selectionnee*EX$20,IF('01_Input'!$G$65="Frais KYC (paliers de 100M€)",MAX(0,Nb_Investisseurs-Nb_KYC_Gratuites_Par_Tranche*(FLOOR(EX$20/Taille_Tranche_KYC,1)+1))*Cout_Par_KYC_Supplementaire,(IF('01_Input'!$L$65="Forfait",IF(EX$20&gt;='01_Input'!$J$65,'01_Input'!$M$65,0),IF('01_Input'!$L$65="Palier",IF(AND(EX$20&gt;='01_Input'!$J$65,EX$20&lt;'01_Input'!$K$65),'01_Input'!$M$65,0),MAX(MIN(EX$20,'01_Input'!$K$65)-'01_Input'!$J$65,0)*'01_Input'!$M$65))+IF('01_Input'!$P$65="Forfait",IF(EX$20&gt;='01_Input'!$N$65,'01_Input'!$Q$65,0),IF('01_Input'!$P$65="Palier",IF(AND(EX$20&gt;='01_Input'!$N$65,EX$20&lt;'01_Input'!$O$65),'01_Input'!$Q$65,0),MAX(MIN(EX$20,'01_Input'!$O$65)-'01_Input'!$N$65,0)*'01_Input'!$Q$65))+IF('01_Input'!$T$65="Forfait",IF(EX$20&gt;='01_Input'!$R$65,'01_Input'!$U$65,0),IF('01_Input'!$T$65="Palier",IF(AND(EX$20&gt;='01_Input'!$R$65,EX$20&lt;'01_Input'!$S$65),'01_Input'!$U$65,0),MAX(MIN(EX$20,'01_Input'!$S$65)-'01_Input'!$R$65,0)*'01_Input'!$U$65))+IF('01_Input'!$X$65="Forfait",IF(EX$20&gt;='01_Input'!$V$65,'01_Input'!$Y$65,0),IF('01_Input'!$X$65="Palier",IF(AND(EX$20&gt;='01_Input'!$V$65,EX$20&lt;'01_Input'!$W$65),'01_Input'!$Y$65,0),MAX(MIN(EX$20,'01_Input'!$W$65)-'01_Input'!$V$65,0)*'01_Input'!$Y$65))+IF('01_Input'!$AB$65="Forfait",IF(EX$20&gt;='01_Input'!$Z$65,'01_Input'!$AC$65,0),IF('01_Input'!$AB$65="Palier",IF(AND(EX$20&gt;='01_Input'!$Z$65,EX$20&lt;'01_Input'!$AA$65),'01_Input'!$AC$65,0),MAX(MIN(EX$20,'01_Input'!$AA$65)-'01_Input'!$Z$65,0)*'01_Input'!$AC$65)))))))))</f>
        <v>0</v>
      </c>
    </row>
    <row r="34" ht="15.75" customHeight="1">
      <c r="B34" s="68" t="str">
        <f>IF('01_Input'!D66="","(inactif)",'01_Input'!D66)</f>
        <v>Frais de Constitution (hors barème — actif par défaut, voir 05_Tresorerie)</v>
      </c>
      <c r="C34" s="68" t="str">
        <f>IF('01_Input'!E66="","",'01_Input'!E66)</f>
        <v/>
      </c>
      <c r="D34" s="86" t="str">
        <f>'01_Input'!C66</f>
        <v>Non</v>
      </c>
      <c r="E34" s="83">
        <f>IF('01_Input'!$C$66="Non",0,MIN('01_Input'!$I$66,MAX('01_Input'!$H$66,IF('01_Input'!$G$66="Résiduel vs Gestion",0,IF('01_Input'!$G$66="Taux Classe sélectionnée",Distrib_Global_Classe_Selectionnee*E$20,IF('01_Input'!$G$66="Frais KYC (paliers de 100M€)",MAX(0,Nb_Investisseurs-Nb_KYC_Gratuites_Par_Tranche*(FLOOR(E$20/Taille_Tranche_KYC,1)+1))*Cout_Par_KYC_Supplementaire,(IF('01_Input'!$L$66="Forfait",IF(E$20&gt;='01_Input'!$J$66,'01_Input'!$M$66,0),IF('01_Input'!$L$66="Palier",IF(AND(E$20&gt;='01_Input'!$J$66,E$20&lt;'01_Input'!$K$66),'01_Input'!$M$66,0),MAX(MIN(E$20,'01_Input'!$K$66)-'01_Input'!$J$66,0)*'01_Input'!$M$66))+IF('01_Input'!$P$66="Forfait",IF(E$20&gt;='01_Input'!$N$66,'01_Input'!$Q$66,0),IF('01_Input'!$P$66="Palier",IF(AND(E$20&gt;='01_Input'!$N$66,E$20&lt;'01_Input'!$O$66),'01_Input'!$Q$66,0),MAX(MIN(E$20,'01_Input'!$O$66)-'01_Input'!$N$66,0)*'01_Input'!$Q$66))+IF('01_Input'!$T$66="Forfait",IF(E$20&gt;='01_Input'!$R$66,'01_Input'!$U$66,0),IF('01_Input'!$T$66="Palier",IF(AND(E$20&gt;='01_Input'!$R$66,E$20&lt;'01_Input'!$S$66),'01_Input'!$U$66,0),MAX(MIN(E$20,'01_Input'!$S$66)-'01_Input'!$R$66,0)*'01_Input'!$U$66))+IF('01_Input'!$X$66="Forfait",IF(E$20&gt;='01_Input'!$V$66,'01_Input'!$Y$66,0),IF('01_Input'!$X$66="Palier",IF(AND(E$20&gt;='01_Input'!$V$66,E$20&lt;'01_Input'!$W$66),'01_Input'!$Y$66,0),MAX(MIN(E$20,'01_Input'!$W$66)-'01_Input'!$V$66,0)*'01_Input'!$Y$66))+IF('01_Input'!$AB$66="Forfait",IF(E$20&gt;='01_Input'!$Z$66,'01_Input'!$AC$66,0),IF('01_Input'!$AB$66="Palier",IF(AND(E$20&gt;='01_Input'!$Z$66,E$20&lt;'01_Input'!$AA$66),'01_Input'!$AC$66,0),MAX(MIN(E$20,'01_Input'!$AA$66)-'01_Input'!$Z$66,0)*'01_Input'!$AC$66)))))))))</f>
        <v>0</v>
      </c>
      <c r="F34" s="83">
        <f>IF('01_Input'!$C$66="Non",0,MIN('01_Input'!$I$66,MAX('01_Input'!$H$66,IF('01_Input'!$G$66="Résiduel vs Gestion",0,IF('01_Input'!$G$66="Taux Classe sélectionnée",Distrib_Global_Classe_Selectionnee*F$20,IF('01_Input'!$G$66="Frais KYC (paliers de 100M€)",MAX(0,Nb_Investisseurs-Nb_KYC_Gratuites_Par_Tranche*(FLOOR(F$20/Taille_Tranche_KYC,1)+1))*Cout_Par_KYC_Supplementaire,(IF('01_Input'!$L$66="Forfait",IF(F$20&gt;='01_Input'!$J$66,'01_Input'!$M$66,0),IF('01_Input'!$L$66="Palier",IF(AND(F$20&gt;='01_Input'!$J$66,F$20&lt;'01_Input'!$K$66),'01_Input'!$M$66,0),MAX(MIN(F$20,'01_Input'!$K$66)-'01_Input'!$J$66,0)*'01_Input'!$M$66))+IF('01_Input'!$P$66="Forfait",IF(F$20&gt;='01_Input'!$N$66,'01_Input'!$Q$66,0),IF('01_Input'!$P$66="Palier",IF(AND(F$20&gt;='01_Input'!$N$66,F$20&lt;'01_Input'!$O$66),'01_Input'!$Q$66,0),MAX(MIN(F$20,'01_Input'!$O$66)-'01_Input'!$N$66,0)*'01_Input'!$Q$66))+IF('01_Input'!$T$66="Forfait",IF(F$20&gt;='01_Input'!$R$66,'01_Input'!$U$66,0),IF('01_Input'!$T$66="Palier",IF(AND(F$20&gt;='01_Input'!$R$66,F$20&lt;'01_Input'!$S$66),'01_Input'!$U$66,0),MAX(MIN(F$20,'01_Input'!$S$66)-'01_Input'!$R$66,0)*'01_Input'!$U$66))+IF('01_Input'!$X$66="Forfait",IF(F$20&gt;='01_Input'!$V$66,'01_Input'!$Y$66,0),IF('01_Input'!$X$66="Palier",IF(AND(F$20&gt;='01_Input'!$V$66,F$20&lt;'01_Input'!$W$66),'01_Input'!$Y$66,0),MAX(MIN(F$20,'01_Input'!$W$66)-'01_Input'!$V$66,0)*'01_Input'!$Y$66))+IF('01_Input'!$AB$66="Forfait",IF(F$20&gt;='01_Input'!$Z$66,'01_Input'!$AC$66,0),IF('01_Input'!$AB$66="Palier",IF(AND(F$20&gt;='01_Input'!$Z$66,F$20&lt;'01_Input'!$AA$66),'01_Input'!$AC$66,0),MAX(MIN(F$20,'01_Input'!$AA$66)-'01_Input'!$Z$66,0)*'01_Input'!$AC$66)))))))))</f>
        <v>0</v>
      </c>
      <c r="G34" s="83">
        <f>IF('01_Input'!$C$66="Non",0,MIN('01_Input'!$I$66,MAX('01_Input'!$H$66,IF('01_Input'!$G$66="Résiduel vs Gestion",0,IF('01_Input'!$G$66="Taux Classe sélectionnée",Distrib_Global_Classe_Selectionnee*G$20,IF('01_Input'!$G$66="Frais KYC (paliers de 100M€)",MAX(0,Nb_Investisseurs-Nb_KYC_Gratuites_Par_Tranche*(FLOOR(G$20/Taille_Tranche_KYC,1)+1))*Cout_Par_KYC_Supplementaire,(IF('01_Input'!$L$66="Forfait",IF(G$20&gt;='01_Input'!$J$66,'01_Input'!$M$66,0),IF('01_Input'!$L$66="Palier",IF(AND(G$20&gt;='01_Input'!$J$66,G$20&lt;'01_Input'!$K$66),'01_Input'!$M$66,0),MAX(MIN(G$20,'01_Input'!$K$66)-'01_Input'!$J$66,0)*'01_Input'!$M$66))+IF('01_Input'!$P$66="Forfait",IF(G$20&gt;='01_Input'!$N$66,'01_Input'!$Q$66,0),IF('01_Input'!$P$66="Palier",IF(AND(G$20&gt;='01_Input'!$N$66,G$20&lt;'01_Input'!$O$66),'01_Input'!$Q$66,0),MAX(MIN(G$20,'01_Input'!$O$66)-'01_Input'!$N$66,0)*'01_Input'!$Q$66))+IF('01_Input'!$T$66="Forfait",IF(G$20&gt;='01_Input'!$R$66,'01_Input'!$U$66,0),IF('01_Input'!$T$66="Palier",IF(AND(G$20&gt;='01_Input'!$R$66,G$20&lt;'01_Input'!$S$66),'01_Input'!$U$66,0),MAX(MIN(G$20,'01_Input'!$S$66)-'01_Input'!$R$66,0)*'01_Input'!$U$66))+IF('01_Input'!$X$66="Forfait",IF(G$20&gt;='01_Input'!$V$66,'01_Input'!$Y$66,0),IF('01_Input'!$X$66="Palier",IF(AND(G$20&gt;='01_Input'!$V$66,G$20&lt;'01_Input'!$W$66),'01_Input'!$Y$66,0),MAX(MIN(G$20,'01_Input'!$W$66)-'01_Input'!$V$66,0)*'01_Input'!$Y$66))+IF('01_Input'!$AB$66="Forfait",IF(G$20&gt;='01_Input'!$Z$66,'01_Input'!$AC$66,0),IF('01_Input'!$AB$66="Palier",IF(AND(G$20&gt;='01_Input'!$Z$66,G$20&lt;'01_Input'!$AA$66),'01_Input'!$AC$66,0),MAX(MIN(G$20,'01_Input'!$AA$66)-'01_Input'!$Z$66,0)*'01_Input'!$AC$66)))))))))</f>
        <v>0</v>
      </c>
      <c r="H34" s="83">
        <f>IF('01_Input'!$C$66="Non",0,MIN('01_Input'!$I$66,MAX('01_Input'!$H$66,IF('01_Input'!$G$66="Résiduel vs Gestion",0,IF('01_Input'!$G$66="Taux Classe sélectionnée",Distrib_Global_Classe_Selectionnee*H$20,IF('01_Input'!$G$66="Frais KYC (paliers de 100M€)",MAX(0,Nb_Investisseurs-Nb_KYC_Gratuites_Par_Tranche*(FLOOR(H$20/Taille_Tranche_KYC,1)+1))*Cout_Par_KYC_Supplementaire,(IF('01_Input'!$L$66="Forfait",IF(H$20&gt;='01_Input'!$J$66,'01_Input'!$M$66,0),IF('01_Input'!$L$66="Palier",IF(AND(H$20&gt;='01_Input'!$J$66,H$20&lt;'01_Input'!$K$66),'01_Input'!$M$66,0),MAX(MIN(H$20,'01_Input'!$K$66)-'01_Input'!$J$66,0)*'01_Input'!$M$66))+IF('01_Input'!$P$66="Forfait",IF(H$20&gt;='01_Input'!$N$66,'01_Input'!$Q$66,0),IF('01_Input'!$P$66="Palier",IF(AND(H$20&gt;='01_Input'!$N$66,H$20&lt;'01_Input'!$O$66),'01_Input'!$Q$66,0),MAX(MIN(H$20,'01_Input'!$O$66)-'01_Input'!$N$66,0)*'01_Input'!$Q$66))+IF('01_Input'!$T$66="Forfait",IF(H$20&gt;='01_Input'!$R$66,'01_Input'!$U$66,0),IF('01_Input'!$T$66="Palier",IF(AND(H$20&gt;='01_Input'!$R$66,H$20&lt;'01_Input'!$S$66),'01_Input'!$U$66,0),MAX(MIN(H$20,'01_Input'!$S$66)-'01_Input'!$R$66,0)*'01_Input'!$U$66))+IF('01_Input'!$X$66="Forfait",IF(H$20&gt;='01_Input'!$V$66,'01_Input'!$Y$66,0),IF('01_Input'!$X$66="Palier",IF(AND(H$20&gt;='01_Input'!$V$66,H$20&lt;'01_Input'!$W$66),'01_Input'!$Y$66,0),MAX(MIN(H$20,'01_Input'!$W$66)-'01_Input'!$V$66,0)*'01_Input'!$Y$66))+IF('01_Input'!$AB$66="Forfait",IF(H$20&gt;='01_Input'!$Z$66,'01_Input'!$AC$66,0),IF('01_Input'!$AB$66="Palier",IF(AND(H$20&gt;='01_Input'!$Z$66,H$20&lt;'01_Input'!$AA$66),'01_Input'!$AC$66,0),MAX(MIN(H$20,'01_Input'!$AA$66)-'01_Input'!$Z$66,0)*'01_Input'!$AC$66)))))))))</f>
        <v>0</v>
      </c>
      <c r="I34" s="83">
        <f>IF('01_Input'!$C$66="Non",0,MIN('01_Input'!$I$66,MAX('01_Input'!$H$66,IF('01_Input'!$G$66="Résiduel vs Gestion",0,IF('01_Input'!$G$66="Taux Classe sélectionnée",Distrib_Global_Classe_Selectionnee*I$20,IF('01_Input'!$G$66="Frais KYC (paliers de 100M€)",MAX(0,Nb_Investisseurs-Nb_KYC_Gratuites_Par_Tranche*(FLOOR(I$20/Taille_Tranche_KYC,1)+1))*Cout_Par_KYC_Supplementaire,(IF('01_Input'!$L$66="Forfait",IF(I$20&gt;='01_Input'!$J$66,'01_Input'!$M$66,0),IF('01_Input'!$L$66="Palier",IF(AND(I$20&gt;='01_Input'!$J$66,I$20&lt;'01_Input'!$K$66),'01_Input'!$M$66,0),MAX(MIN(I$20,'01_Input'!$K$66)-'01_Input'!$J$66,0)*'01_Input'!$M$66))+IF('01_Input'!$P$66="Forfait",IF(I$20&gt;='01_Input'!$N$66,'01_Input'!$Q$66,0),IF('01_Input'!$P$66="Palier",IF(AND(I$20&gt;='01_Input'!$N$66,I$20&lt;'01_Input'!$O$66),'01_Input'!$Q$66,0),MAX(MIN(I$20,'01_Input'!$O$66)-'01_Input'!$N$66,0)*'01_Input'!$Q$66))+IF('01_Input'!$T$66="Forfait",IF(I$20&gt;='01_Input'!$R$66,'01_Input'!$U$66,0),IF('01_Input'!$T$66="Palier",IF(AND(I$20&gt;='01_Input'!$R$66,I$20&lt;'01_Input'!$S$66),'01_Input'!$U$66,0),MAX(MIN(I$20,'01_Input'!$S$66)-'01_Input'!$R$66,0)*'01_Input'!$U$66))+IF('01_Input'!$X$66="Forfait",IF(I$20&gt;='01_Input'!$V$66,'01_Input'!$Y$66,0),IF('01_Input'!$X$66="Palier",IF(AND(I$20&gt;='01_Input'!$V$66,I$20&lt;'01_Input'!$W$66),'01_Input'!$Y$66,0),MAX(MIN(I$20,'01_Input'!$W$66)-'01_Input'!$V$66,0)*'01_Input'!$Y$66))+IF('01_Input'!$AB$66="Forfait",IF(I$20&gt;='01_Input'!$Z$66,'01_Input'!$AC$66,0),IF('01_Input'!$AB$66="Palier",IF(AND(I$20&gt;='01_Input'!$Z$66,I$20&lt;'01_Input'!$AA$66),'01_Input'!$AC$66,0),MAX(MIN(I$20,'01_Input'!$AA$66)-'01_Input'!$Z$66,0)*'01_Input'!$AC$66)))))))))</f>
        <v>0</v>
      </c>
      <c r="J34" s="83">
        <f>IF('01_Input'!$C$66="Non",0,MIN('01_Input'!$I$66,MAX('01_Input'!$H$66,IF('01_Input'!$G$66="Résiduel vs Gestion",0,IF('01_Input'!$G$66="Taux Classe sélectionnée",Distrib_Global_Classe_Selectionnee*J$20,IF('01_Input'!$G$66="Frais KYC (paliers de 100M€)",MAX(0,Nb_Investisseurs-Nb_KYC_Gratuites_Par_Tranche*(FLOOR(J$20/Taille_Tranche_KYC,1)+1))*Cout_Par_KYC_Supplementaire,(IF('01_Input'!$L$66="Forfait",IF(J$20&gt;='01_Input'!$J$66,'01_Input'!$M$66,0),IF('01_Input'!$L$66="Palier",IF(AND(J$20&gt;='01_Input'!$J$66,J$20&lt;'01_Input'!$K$66),'01_Input'!$M$66,0),MAX(MIN(J$20,'01_Input'!$K$66)-'01_Input'!$J$66,0)*'01_Input'!$M$66))+IF('01_Input'!$P$66="Forfait",IF(J$20&gt;='01_Input'!$N$66,'01_Input'!$Q$66,0),IF('01_Input'!$P$66="Palier",IF(AND(J$20&gt;='01_Input'!$N$66,J$20&lt;'01_Input'!$O$66),'01_Input'!$Q$66,0),MAX(MIN(J$20,'01_Input'!$O$66)-'01_Input'!$N$66,0)*'01_Input'!$Q$66))+IF('01_Input'!$T$66="Forfait",IF(J$20&gt;='01_Input'!$R$66,'01_Input'!$U$66,0),IF('01_Input'!$T$66="Palier",IF(AND(J$20&gt;='01_Input'!$R$66,J$20&lt;'01_Input'!$S$66),'01_Input'!$U$66,0),MAX(MIN(J$20,'01_Input'!$S$66)-'01_Input'!$R$66,0)*'01_Input'!$U$66))+IF('01_Input'!$X$66="Forfait",IF(J$20&gt;='01_Input'!$V$66,'01_Input'!$Y$66,0),IF('01_Input'!$X$66="Palier",IF(AND(J$20&gt;='01_Input'!$V$66,J$20&lt;'01_Input'!$W$66),'01_Input'!$Y$66,0),MAX(MIN(J$20,'01_Input'!$W$66)-'01_Input'!$V$66,0)*'01_Input'!$Y$66))+IF('01_Input'!$AB$66="Forfait",IF(J$20&gt;='01_Input'!$Z$66,'01_Input'!$AC$66,0),IF('01_Input'!$AB$66="Palier",IF(AND(J$20&gt;='01_Input'!$Z$66,J$20&lt;'01_Input'!$AA$66),'01_Input'!$AC$66,0),MAX(MIN(J$20,'01_Input'!$AA$66)-'01_Input'!$Z$66,0)*'01_Input'!$AC$66)))))))))</f>
        <v>0</v>
      </c>
      <c r="K34" s="83">
        <f>IF('01_Input'!$C$66="Non",0,MIN('01_Input'!$I$66,MAX('01_Input'!$H$66,IF('01_Input'!$G$66="Résiduel vs Gestion",0,IF('01_Input'!$G$66="Taux Classe sélectionnée",Distrib_Global_Classe_Selectionnee*K$20,IF('01_Input'!$G$66="Frais KYC (paliers de 100M€)",MAX(0,Nb_Investisseurs-Nb_KYC_Gratuites_Par_Tranche*(FLOOR(K$20/Taille_Tranche_KYC,1)+1))*Cout_Par_KYC_Supplementaire,(IF('01_Input'!$L$66="Forfait",IF(K$20&gt;='01_Input'!$J$66,'01_Input'!$M$66,0),IF('01_Input'!$L$66="Palier",IF(AND(K$20&gt;='01_Input'!$J$66,K$20&lt;'01_Input'!$K$66),'01_Input'!$M$66,0),MAX(MIN(K$20,'01_Input'!$K$66)-'01_Input'!$J$66,0)*'01_Input'!$M$66))+IF('01_Input'!$P$66="Forfait",IF(K$20&gt;='01_Input'!$N$66,'01_Input'!$Q$66,0),IF('01_Input'!$P$66="Palier",IF(AND(K$20&gt;='01_Input'!$N$66,K$20&lt;'01_Input'!$O$66),'01_Input'!$Q$66,0),MAX(MIN(K$20,'01_Input'!$O$66)-'01_Input'!$N$66,0)*'01_Input'!$Q$66))+IF('01_Input'!$T$66="Forfait",IF(K$20&gt;='01_Input'!$R$66,'01_Input'!$U$66,0),IF('01_Input'!$T$66="Palier",IF(AND(K$20&gt;='01_Input'!$R$66,K$20&lt;'01_Input'!$S$66),'01_Input'!$U$66,0),MAX(MIN(K$20,'01_Input'!$S$66)-'01_Input'!$R$66,0)*'01_Input'!$U$66))+IF('01_Input'!$X$66="Forfait",IF(K$20&gt;='01_Input'!$V$66,'01_Input'!$Y$66,0),IF('01_Input'!$X$66="Palier",IF(AND(K$20&gt;='01_Input'!$V$66,K$20&lt;'01_Input'!$W$66),'01_Input'!$Y$66,0),MAX(MIN(K$20,'01_Input'!$W$66)-'01_Input'!$V$66,0)*'01_Input'!$Y$66))+IF('01_Input'!$AB$66="Forfait",IF(K$20&gt;='01_Input'!$Z$66,'01_Input'!$AC$66,0),IF('01_Input'!$AB$66="Palier",IF(AND(K$20&gt;='01_Input'!$Z$66,K$20&lt;'01_Input'!$AA$66),'01_Input'!$AC$66,0),MAX(MIN(K$20,'01_Input'!$AA$66)-'01_Input'!$Z$66,0)*'01_Input'!$AC$66)))))))))</f>
        <v>0</v>
      </c>
      <c r="L34" s="83">
        <f>IF('01_Input'!$C$66="Non",0,MIN('01_Input'!$I$66,MAX('01_Input'!$H$66,IF('01_Input'!$G$66="Résiduel vs Gestion",0,IF('01_Input'!$G$66="Taux Classe sélectionnée",Distrib_Global_Classe_Selectionnee*L$20,IF('01_Input'!$G$66="Frais KYC (paliers de 100M€)",MAX(0,Nb_Investisseurs-Nb_KYC_Gratuites_Par_Tranche*(FLOOR(L$20/Taille_Tranche_KYC,1)+1))*Cout_Par_KYC_Supplementaire,(IF('01_Input'!$L$66="Forfait",IF(L$20&gt;='01_Input'!$J$66,'01_Input'!$M$66,0),IF('01_Input'!$L$66="Palier",IF(AND(L$20&gt;='01_Input'!$J$66,L$20&lt;'01_Input'!$K$66),'01_Input'!$M$66,0),MAX(MIN(L$20,'01_Input'!$K$66)-'01_Input'!$J$66,0)*'01_Input'!$M$66))+IF('01_Input'!$P$66="Forfait",IF(L$20&gt;='01_Input'!$N$66,'01_Input'!$Q$66,0),IF('01_Input'!$P$66="Palier",IF(AND(L$20&gt;='01_Input'!$N$66,L$20&lt;'01_Input'!$O$66),'01_Input'!$Q$66,0),MAX(MIN(L$20,'01_Input'!$O$66)-'01_Input'!$N$66,0)*'01_Input'!$Q$66))+IF('01_Input'!$T$66="Forfait",IF(L$20&gt;='01_Input'!$R$66,'01_Input'!$U$66,0),IF('01_Input'!$T$66="Palier",IF(AND(L$20&gt;='01_Input'!$R$66,L$20&lt;'01_Input'!$S$66),'01_Input'!$U$66,0),MAX(MIN(L$20,'01_Input'!$S$66)-'01_Input'!$R$66,0)*'01_Input'!$U$66))+IF('01_Input'!$X$66="Forfait",IF(L$20&gt;='01_Input'!$V$66,'01_Input'!$Y$66,0),IF('01_Input'!$X$66="Palier",IF(AND(L$20&gt;='01_Input'!$V$66,L$20&lt;'01_Input'!$W$66),'01_Input'!$Y$66,0),MAX(MIN(L$20,'01_Input'!$W$66)-'01_Input'!$V$66,0)*'01_Input'!$Y$66))+IF('01_Input'!$AB$66="Forfait",IF(L$20&gt;='01_Input'!$Z$66,'01_Input'!$AC$66,0),IF('01_Input'!$AB$66="Palier",IF(AND(L$20&gt;='01_Input'!$Z$66,L$20&lt;'01_Input'!$AA$66),'01_Input'!$AC$66,0),MAX(MIN(L$20,'01_Input'!$AA$66)-'01_Input'!$Z$66,0)*'01_Input'!$AC$66)))))))))</f>
        <v>0</v>
      </c>
      <c r="M34" s="83">
        <f>IF('01_Input'!$C$66="Non",0,MIN('01_Input'!$I$66,MAX('01_Input'!$H$66,IF('01_Input'!$G$66="Résiduel vs Gestion",0,IF('01_Input'!$G$66="Taux Classe sélectionnée",Distrib_Global_Classe_Selectionnee*M$20,IF('01_Input'!$G$66="Frais KYC (paliers de 100M€)",MAX(0,Nb_Investisseurs-Nb_KYC_Gratuites_Par_Tranche*(FLOOR(M$20/Taille_Tranche_KYC,1)+1))*Cout_Par_KYC_Supplementaire,(IF('01_Input'!$L$66="Forfait",IF(M$20&gt;='01_Input'!$J$66,'01_Input'!$M$66,0),IF('01_Input'!$L$66="Palier",IF(AND(M$20&gt;='01_Input'!$J$66,M$20&lt;'01_Input'!$K$66),'01_Input'!$M$66,0),MAX(MIN(M$20,'01_Input'!$K$66)-'01_Input'!$J$66,0)*'01_Input'!$M$66))+IF('01_Input'!$P$66="Forfait",IF(M$20&gt;='01_Input'!$N$66,'01_Input'!$Q$66,0),IF('01_Input'!$P$66="Palier",IF(AND(M$20&gt;='01_Input'!$N$66,M$20&lt;'01_Input'!$O$66),'01_Input'!$Q$66,0),MAX(MIN(M$20,'01_Input'!$O$66)-'01_Input'!$N$66,0)*'01_Input'!$Q$66))+IF('01_Input'!$T$66="Forfait",IF(M$20&gt;='01_Input'!$R$66,'01_Input'!$U$66,0),IF('01_Input'!$T$66="Palier",IF(AND(M$20&gt;='01_Input'!$R$66,M$20&lt;'01_Input'!$S$66),'01_Input'!$U$66,0),MAX(MIN(M$20,'01_Input'!$S$66)-'01_Input'!$R$66,0)*'01_Input'!$U$66))+IF('01_Input'!$X$66="Forfait",IF(M$20&gt;='01_Input'!$V$66,'01_Input'!$Y$66,0),IF('01_Input'!$X$66="Palier",IF(AND(M$20&gt;='01_Input'!$V$66,M$20&lt;'01_Input'!$W$66),'01_Input'!$Y$66,0),MAX(MIN(M$20,'01_Input'!$W$66)-'01_Input'!$V$66,0)*'01_Input'!$Y$66))+IF('01_Input'!$AB$66="Forfait",IF(M$20&gt;='01_Input'!$Z$66,'01_Input'!$AC$66,0),IF('01_Input'!$AB$66="Palier",IF(AND(M$20&gt;='01_Input'!$Z$66,M$20&lt;'01_Input'!$AA$66),'01_Input'!$AC$66,0),MAX(MIN(M$20,'01_Input'!$AA$66)-'01_Input'!$Z$66,0)*'01_Input'!$AC$66)))))))))</f>
        <v>0</v>
      </c>
      <c r="N34" s="83">
        <f>IF('01_Input'!$C$66="Non",0,MIN('01_Input'!$I$66,MAX('01_Input'!$H$66,IF('01_Input'!$G$66="Résiduel vs Gestion",0,IF('01_Input'!$G$66="Taux Classe sélectionnée",Distrib_Global_Classe_Selectionnee*N$20,IF('01_Input'!$G$66="Frais KYC (paliers de 100M€)",MAX(0,Nb_Investisseurs-Nb_KYC_Gratuites_Par_Tranche*(FLOOR(N$20/Taille_Tranche_KYC,1)+1))*Cout_Par_KYC_Supplementaire,(IF('01_Input'!$L$66="Forfait",IF(N$20&gt;='01_Input'!$J$66,'01_Input'!$M$66,0),IF('01_Input'!$L$66="Palier",IF(AND(N$20&gt;='01_Input'!$J$66,N$20&lt;'01_Input'!$K$66),'01_Input'!$M$66,0),MAX(MIN(N$20,'01_Input'!$K$66)-'01_Input'!$J$66,0)*'01_Input'!$M$66))+IF('01_Input'!$P$66="Forfait",IF(N$20&gt;='01_Input'!$N$66,'01_Input'!$Q$66,0),IF('01_Input'!$P$66="Palier",IF(AND(N$20&gt;='01_Input'!$N$66,N$20&lt;'01_Input'!$O$66),'01_Input'!$Q$66,0),MAX(MIN(N$20,'01_Input'!$O$66)-'01_Input'!$N$66,0)*'01_Input'!$Q$66))+IF('01_Input'!$T$66="Forfait",IF(N$20&gt;='01_Input'!$R$66,'01_Input'!$U$66,0),IF('01_Input'!$T$66="Palier",IF(AND(N$20&gt;='01_Input'!$R$66,N$20&lt;'01_Input'!$S$66),'01_Input'!$U$66,0),MAX(MIN(N$20,'01_Input'!$S$66)-'01_Input'!$R$66,0)*'01_Input'!$U$66))+IF('01_Input'!$X$66="Forfait",IF(N$20&gt;='01_Input'!$V$66,'01_Input'!$Y$66,0),IF('01_Input'!$X$66="Palier",IF(AND(N$20&gt;='01_Input'!$V$66,N$20&lt;'01_Input'!$W$66),'01_Input'!$Y$66,0),MAX(MIN(N$20,'01_Input'!$W$66)-'01_Input'!$V$66,0)*'01_Input'!$Y$66))+IF('01_Input'!$AB$66="Forfait",IF(N$20&gt;='01_Input'!$Z$66,'01_Input'!$AC$66,0),IF('01_Input'!$AB$66="Palier",IF(AND(N$20&gt;='01_Input'!$Z$66,N$20&lt;'01_Input'!$AA$66),'01_Input'!$AC$66,0),MAX(MIN(N$20,'01_Input'!$AA$66)-'01_Input'!$Z$66,0)*'01_Input'!$AC$66)))))))))</f>
        <v>0</v>
      </c>
      <c r="O34" s="83">
        <f>IF('01_Input'!$C$66="Non",0,MIN('01_Input'!$I$66,MAX('01_Input'!$H$66,IF('01_Input'!$G$66="Résiduel vs Gestion",0,IF('01_Input'!$G$66="Taux Classe sélectionnée",Distrib_Global_Classe_Selectionnee*O$20,IF('01_Input'!$G$66="Frais KYC (paliers de 100M€)",MAX(0,Nb_Investisseurs-Nb_KYC_Gratuites_Par_Tranche*(FLOOR(O$20/Taille_Tranche_KYC,1)+1))*Cout_Par_KYC_Supplementaire,(IF('01_Input'!$L$66="Forfait",IF(O$20&gt;='01_Input'!$J$66,'01_Input'!$M$66,0),IF('01_Input'!$L$66="Palier",IF(AND(O$20&gt;='01_Input'!$J$66,O$20&lt;'01_Input'!$K$66),'01_Input'!$M$66,0),MAX(MIN(O$20,'01_Input'!$K$66)-'01_Input'!$J$66,0)*'01_Input'!$M$66))+IF('01_Input'!$P$66="Forfait",IF(O$20&gt;='01_Input'!$N$66,'01_Input'!$Q$66,0),IF('01_Input'!$P$66="Palier",IF(AND(O$20&gt;='01_Input'!$N$66,O$20&lt;'01_Input'!$O$66),'01_Input'!$Q$66,0),MAX(MIN(O$20,'01_Input'!$O$66)-'01_Input'!$N$66,0)*'01_Input'!$Q$66))+IF('01_Input'!$T$66="Forfait",IF(O$20&gt;='01_Input'!$R$66,'01_Input'!$U$66,0),IF('01_Input'!$T$66="Palier",IF(AND(O$20&gt;='01_Input'!$R$66,O$20&lt;'01_Input'!$S$66),'01_Input'!$U$66,0),MAX(MIN(O$20,'01_Input'!$S$66)-'01_Input'!$R$66,0)*'01_Input'!$U$66))+IF('01_Input'!$X$66="Forfait",IF(O$20&gt;='01_Input'!$V$66,'01_Input'!$Y$66,0),IF('01_Input'!$X$66="Palier",IF(AND(O$20&gt;='01_Input'!$V$66,O$20&lt;'01_Input'!$W$66),'01_Input'!$Y$66,0),MAX(MIN(O$20,'01_Input'!$W$66)-'01_Input'!$V$66,0)*'01_Input'!$Y$66))+IF('01_Input'!$AB$66="Forfait",IF(O$20&gt;='01_Input'!$Z$66,'01_Input'!$AC$66,0),IF('01_Input'!$AB$66="Palier",IF(AND(O$20&gt;='01_Input'!$Z$66,O$20&lt;'01_Input'!$AA$66),'01_Input'!$AC$66,0),MAX(MIN(O$20,'01_Input'!$AA$66)-'01_Input'!$Z$66,0)*'01_Input'!$AC$66)))))))))</f>
        <v>0</v>
      </c>
      <c r="P34" s="83">
        <f>IF('01_Input'!$C$66="Non",0,MIN('01_Input'!$I$66,MAX('01_Input'!$H$66,IF('01_Input'!$G$66="Résiduel vs Gestion",0,IF('01_Input'!$G$66="Taux Classe sélectionnée",Distrib_Global_Classe_Selectionnee*P$20,IF('01_Input'!$G$66="Frais KYC (paliers de 100M€)",MAX(0,Nb_Investisseurs-Nb_KYC_Gratuites_Par_Tranche*(FLOOR(P$20/Taille_Tranche_KYC,1)+1))*Cout_Par_KYC_Supplementaire,(IF('01_Input'!$L$66="Forfait",IF(P$20&gt;='01_Input'!$J$66,'01_Input'!$M$66,0),IF('01_Input'!$L$66="Palier",IF(AND(P$20&gt;='01_Input'!$J$66,P$20&lt;'01_Input'!$K$66),'01_Input'!$M$66,0),MAX(MIN(P$20,'01_Input'!$K$66)-'01_Input'!$J$66,0)*'01_Input'!$M$66))+IF('01_Input'!$P$66="Forfait",IF(P$20&gt;='01_Input'!$N$66,'01_Input'!$Q$66,0),IF('01_Input'!$P$66="Palier",IF(AND(P$20&gt;='01_Input'!$N$66,P$20&lt;'01_Input'!$O$66),'01_Input'!$Q$66,0),MAX(MIN(P$20,'01_Input'!$O$66)-'01_Input'!$N$66,0)*'01_Input'!$Q$66))+IF('01_Input'!$T$66="Forfait",IF(P$20&gt;='01_Input'!$R$66,'01_Input'!$U$66,0),IF('01_Input'!$T$66="Palier",IF(AND(P$20&gt;='01_Input'!$R$66,P$20&lt;'01_Input'!$S$66),'01_Input'!$U$66,0),MAX(MIN(P$20,'01_Input'!$S$66)-'01_Input'!$R$66,0)*'01_Input'!$U$66))+IF('01_Input'!$X$66="Forfait",IF(P$20&gt;='01_Input'!$V$66,'01_Input'!$Y$66,0),IF('01_Input'!$X$66="Palier",IF(AND(P$20&gt;='01_Input'!$V$66,P$20&lt;'01_Input'!$W$66),'01_Input'!$Y$66,0),MAX(MIN(P$20,'01_Input'!$W$66)-'01_Input'!$V$66,0)*'01_Input'!$Y$66))+IF('01_Input'!$AB$66="Forfait",IF(P$20&gt;='01_Input'!$Z$66,'01_Input'!$AC$66,0),IF('01_Input'!$AB$66="Palier",IF(AND(P$20&gt;='01_Input'!$Z$66,P$20&lt;'01_Input'!$AA$66),'01_Input'!$AC$66,0),MAX(MIN(P$20,'01_Input'!$AA$66)-'01_Input'!$Z$66,0)*'01_Input'!$AC$66)))))))))</f>
        <v>0</v>
      </c>
      <c r="Q34" s="83">
        <f>IF('01_Input'!$C$66="Non",0,MIN('01_Input'!$I$66,MAX('01_Input'!$H$66,IF('01_Input'!$G$66="Résiduel vs Gestion",0,IF('01_Input'!$G$66="Taux Classe sélectionnée",Distrib_Global_Classe_Selectionnee*Q$20,IF('01_Input'!$G$66="Frais KYC (paliers de 100M€)",MAX(0,Nb_Investisseurs-Nb_KYC_Gratuites_Par_Tranche*(FLOOR(Q$20/Taille_Tranche_KYC,1)+1))*Cout_Par_KYC_Supplementaire,(IF('01_Input'!$L$66="Forfait",IF(Q$20&gt;='01_Input'!$J$66,'01_Input'!$M$66,0),IF('01_Input'!$L$66="Palier",IF(AND(Q$20&gt;='01_Input'!$J$66,Q$20&lt;'01_Input'!$K$66),'01_Input'!$M$66,0),MAX(MIN(Q$20,'01_Input'!$K$66)-'01_Input'!$J$66,0)*'01_Input'!$M$66))+IF('01_Input'!$P$66="Forfait",IF(Q$20&gt;='01_Input'!$N$66,'01_Input'!$Q$66,0),IF('01_Input'!$P$66="Palier",IF(AND(Q$20&gt;='01_Input'!$N$66,Q$20&lt;'01_Input'!$O$66),'01_Input'!$Q$66,0),MAX(MIN(Q$20,'01_Input'!$O$66)-'01_Input'!$N$66,0)*'01_Input'!$Q$66))+IF('01_Input'!$T$66="Forfait",IF(Q$20&gt;='01_Input'!$R$66,'01_Input'!$U$66,0),IF('01_Input'!$T$66="Palier",IF(AND(Q$20&gt;='01_Input'!$R$66,Q$20&lt;'01_Input'!$S$66),'01_Input'!$U$66,0),MAX(MIN(Q$20,'01_Input'!$S$66)-'01_Input'!$R$66,0)*'01_Input'!$U$66))+IF('01_Input'!$X$66="Forfait",IF(Q$20&gt;='01_Input'!$V$66,'01_Input'!$Y$66,0),IF('01_Input'!$X$66="Palier",IF(AND(Q$20&gt;='01_Input'!$V$66,Q$20&lt;'01_Input'!$W$66),'01_Input'!$Y$66,0),MAX(MIN(Q$20,'01_Input'!$W$66)-'01_Input'!$V$66,0)*'01_Input'!$Y$66))+IF('01_Input'!$AB$66="Forfait",IF(Q$20&gt;='01_Input'!$Z$66,'01_Input'!$AC$66,0),IF('01_Input'!$AB$66="Palier",IF(AND(Q$20&gt;='01_Input'!$Z$66,Q$20&lt;'01_Input'!$AA$66),'01_Input'!$AC$66,0),MAX(MIN(Q$20,'01_Input'!$AA$66)-'01_Input'!$Z$66,0)*'01_Input'!$AC$66)))))))))</f>
        <v>0</v>
      </c>
      <c r="R34" s="83">
        <f>IF('01_Input'!$C$66="Non",0,MIN('01_Input'!$I$66,MAX('01_Input'!$H$66,IF('01_Input'!$G$66="Résiduel vs Gestion",0,IF('01_Input'!$G$66="Taux Classe sélectionnée",Distrib_Global_Classe_Selectionnee*R$20,IF('01_Input'!$G$66="Frais KYC (paliers de 100M€)",MAX(0,Nb_Investisseurs-Nb_KYC_Gratuites_Par_Tranche*(FLOOR(R$20/Taille_Tranche_KYC,1)+1))*Cout_Par_KYC_Supplementaire,(IF('01_Input'!$L$66="Forfait",IF(R$20&gt;='01_Input'!$J$66,'01_Input'!$M$66,0),IF('01_Input'!$L$66="Palier",IF(AND(R$20&gt;='01_Input'!$J$66,R$20&lt;'01_Input'!$K$66),'01_Input'!$M$66,0),MAX(MIN(R$20,'01_Input'!$K$66)-'01_Input'!$J$66,0)*'01_Input'!$M$66))+IF('01_Input'!$P$66="Forfait",IF(R$20&gt;='01_Input'!$N$66,'01_Input'!$Q$66,0),IF('01_Input'!$P$66="Palier",IF(AND(R$20&gt;='01_Input'!$N$66,R$20&lt;'01_Input'!$O$66),'01_Input'!$Q$66,0),MAX(MIN(R$20,'01_Input'!$O$66)-'01_Input'!$N$66,0)*'01_Input'!$Q$66))+IF('01_Input'!$T$66="Forfait",IF(R$20&gt;='01_Input'!$R$66,'01_Input'!$U$66,0),IF('01_Input'!$T$66="Palier",IF(AND(R$20&gt;='01_Input'!$R$66,R$20&lt;'01_Input'!$S$66),'01_Input'!$U$66,0),MAX(MIN(R$20,'01_Input'!$S$66)-'01_Input'!$R$66,0)*'01_Input'!$U$66))+IF('01_Input'!$X$66="Forfait",IF(R$20&gt;='01_Input'!$V$66,'01_Input'!$Y$66,0),IF('01_Input'!$X$66="Palier",IF(AND(R$20&gt;='01_Input'!$V$66,R$20&lt;'01_Input'!$W$66),'01_Input'!$Y$66,0),MAX(MIN(R$20,'01_Input'!$W$66)-'01_Input'!$V$66,0)*'01_Input'!$Y$66))+IF('01_Input'!$AB$66="Forfait",IF(R$20&gt;='01_Input'!$Z$66,'01_Input'!$AC$66,0),IF('01_Input'!$AB$66="Palier",IF(AND(R$20&gt;='01_Input'!$Z$66,R$20&lt;'01_Input'!$AA$66),'01_Input'!$AC$66,0),MAX(MIN(R$20,'01_Input'!$AA$66)-'01_Input'!$Z$66,0)*'01_Input'!$AC$66)))))))))</f>
        <v>0</v>
      </c>
      <c r="S34" s="83">
        <f>IF('01_Input'!$C$66="Non",0,MIN('01_Input'!$I$66,MAX('01_Input'!$H$66,IF('01_Input'!$G$66="Résiduel vs Gestion",0,IF('01_Input'!$G$66="Taux Classe sélectionnée",Distrib_Global_Classe_Selectionnee*S$20,IF('01_Input'!$G$66="Frais KYC (paliers de 100M€)",MAX(0,Nb_Investisseurs-Nb_KYC_Gratuites_Par_Tranche*(FLOOR(S$20/Taille_Tranche_KYC,1)+1))*Cout_Par_KYC_Supplementaire,(IF('01_Input'!$L$66="Forfait",IF(S$20&gt;='01_Input'!$J$66,'01_Input'!$M$66,0),IF('01_Input'!$L$66="Palier",IF(AND(S$20&gt;='01_Input'!$J$66,S$20&lt;'01_Input'!$K$66),'01_Input'!$M$66,0),MAX(MIN(S$20,'01_Input'!$K$66)-'01_Input'!$J$66,0)*'01_Input'!$M$66))+IF('01_Input'!$P$66="Forfait",IF(S$20&gt;='01_Input'!$N$66,'01_Input'!$Q$66,0),IF('01_Input'!$P$66="Palier",IF(AND(S$20&gt;='01_Input'!$N$66,S$20&lt;'01_Input'!$O$66),'01_Input'!$Q$66,0),MAX(MIN(S$20,'01_Input'!$O$66)-'01_Input'!$N$66,0)*'01_Input'!$Q$66))+IF('01_Input'!$T$66="Forfait",IF(S$20&gt;='01_Input'!$R$66,'01_Input'!$U$66,0),IF('01_Input'!$T$66="Palier",IF(AND(S$20&gt;='01_Input'!$R$66,S$20&lt;'01_Input'!$S$66),'01_Input'!$U$66,0),MAX(MIN(S$20,'01_Input'!$S$66)-'01_Input'!$R$66,0)*'01_Input'!$U$66))+IF('01_Input'!$X$66="Forfait",IF(S$20&gt;='01_Input'!$V$66,'01_Input'!$Y$66,0),IF('01_Input'!$X$66="Palier",IF(AND(S$20&gt;='01_Input'!$V$66,S$20&lt;'01_Input'!$W$66),'01_Input'!$Y$66,0),MAX(MIN(S$20,'01_Input'!$W$66)-'01_Input'!$V$66,0)*'01_Input'!$Y$66))+IF('01_Input'!$AB$66="Forfait",IF(S$20&gt;='01_Input'!$Z$66,'01_Input'!$AC$66,0),IF('01_Input'!$AB$66="Palier",IF(AND(S$20&gt;='01_Input'!$Z$66,S$20&lt;'01_Input'!$AA$66),'01_Input'!$AC$66,0),MAX(MIN(S$20,'01_Input'!$AA$66)-'01_Input'!$Z$66,0)*'01_Input'!$AC$66)))))))))</f>
        <v>0</v>
      </c>
      <c r="T34" s="83">
        <f>IF('01_Input'!$C$66="Non",0,MIN('01_Input'!$I$66,MAX('01_Input'!$H$66,IF('01_Input'!$G$66="Résiduel vs Gestion",0,IF('01_Input'!$G$66="Taux Classe sélectionnée",Distrib_Global_Classe_Selectionnee*T$20,IF('01_Input'!$G$66="Frais KYC (paliers de 100M€)",MAX(0,Nb_Investisseurs-Nb_KYC_Gratuites_Par_Tranche*(FLOOR(T$20/Taille_Tranche_KYC,1)+1))*Cout_Par_KYC_Supplementaire,(IF('01_Input'!$L$66="Forfait",IF(T$20&gt;='01_Input'!$J$66,'01_Input'!$M$66,0),IF('01_Input'!$L$66="Palier",IF(AND(T$20&gt;='01_Input'!$J$66,T$20&lt;'01_Input'!$K$66),'01_Input'!$M$66,0),MAX(MIN(T$20,'01_Input'!$K$66)-'01_Input'!$J$66,0)*'01_Input'!$M$66))+IF('01_Input'!$P$66="Forfait",IF(T$20&gt;='01_Input'!$N$66,'01_Input'!$Q$66,0),IF('01_Input'!$P$66="Palier",IF(AND(T$20&gt;='01_Input'!$N$66,T$20&lt;'01_Input'!$O$66),'01_Input'!$Q$66,0),MAX(MIN(T$20,'01_Input'!$O$66)-'01_Input'!$N$66,0)*'01_Input'!$Q$66))+IF('01_Input'!$T$66="Forfait",IF(T$20&gt;='01_Input'!$R$66,'01_Input'!$U$66,0),IF('01_Input'!$T$66="Palier",IF(AND(T$20&gt;='01_Input'!$R$66,T$20&lt;'01_Input'!$S$66),'01_Input'!$U$66,0),MAX(MIN(T$20,'01_Input'!$S$66)-'01_Input'!$R$66,0)*'01_Input'!$U$66))+IF('01_Input'!$X$66="Forfait",IF(T$20&gt;='01_Input'!$V$66,'01_Input'!$Y$66,0),IF('01_Input'!$X$66="Palier",IF(AND(T$20&gt;='01_Input'!$V$66,T$20&lt;'01_Input'!$W$66),'01_Input'!$Y$66,0),MAX(MIN(T$20,'01_Input'!$W$66)-'01_Input'!$V$66,0)*'01_Input'!$Y$66))+IF('01_Input'!$AB$66="Forfait",IF(T$20&gt;='01_Input'!$Z$66,'01_Input'!$AC$66,0),IF('01_Input'!$AB$66="Palier",IF(AND(T$20&gt;='01_Input'!$Z$66,T$20&lt;'01_Input'!$AA$66),'01_Input'!$AC$66,0),MAX(MIN(T$20,'01_Input'!$AA$66)-'01_Input'!$Z$66,0)*'01_Input'!$AC$66)))))))))</f>
        <v>0</v>
      </c>
      <c r="U34" s="83">
        <f>IF('01_Input'!$C$66="Non",0,MIN('01_Input'!$I$66,MAX('01_Input'!$H$66,IF('01_Input'!$G$66="Résiduel vs Gestion",0,IF('01_Input'!$G$66="Taux Classe sélectionnée",Distrib_Global_Classe_Selectionnee*U$20,IF('01_Input'!$G$66="Frais KYC (paliers de 100M€)",MAX(0,Nb_Investisseurs-Nb_KYC_Gratuites_Par_Tranche*(FLOOR(U$20/Taille_Tranche_KYC,1)+1))*Cout_Par_KYC_Supplementaire,(IF('01_Input'!$L$66="Forfait",IF(U$20&gt;='01_Input'!$J$66,'01_Input'!$M$66,0),IF('01_Input'!$L$66="Palier",IF(AND(U$20&gt;='01_Input'!$J$66,U$20&lt;'01_Input'!$K$66),'01_Input'!$M$66,0),MAX(MIN(U$20,'01_Input'!$K$66)-'01_Input'!$J$66,0)*'01_Input'!$M$66))+IF('01_Input'!$P$66="Forfait",IF(U$20&gt;='01_Input'!$N$66,'01_Input'!$Q$66,0),IF('01_Input'!$P$66="Palier",IF(AND(U$20&gt;='01_Input'!$N$66,U$20&lt;'01_Input'!$O$66),'01_Input'!$Q$66,0),MAX(MIN(U$20,'01_Input'!$O$66)-'01_Input'!$N$66,0)*'01_Input'!$Q$66))+IF('01_Input'!$T$66="Forfait",IF(U$20&gt;='01_Input'!$R$66,'01_Input'!$U$66,0),IF('01_Input'!$T$66="Palier",IF(AND(U$20&gt;='01_Input'!$R$66,U$20&lt;'01_Input'!$S$66),'01_Input'!$U$66,0),MAX(MIN(U$20,'01_Input'!$S$66)-'01_Input'!$R$66,0)*'01_Input'!$U$66))+IF('01_Input'!$X$66="Forfait",IF(U$20&gt;='01_Input'!$V$66,'01_Input'!$Y$66,0),IF('01_Input'!$X$66="Palier",IF(AND(U$20&gt;='01_Input'!$V$66,U$20&lt;'01_Input'!$W$66),'01_Input'!$Y$66,0),MAX(MIN(U$20,'01_Input'!$W$66)-'01_Input'!$V$66,0)*'01_Input'!$Y$66))+IF('01_Input'!$AB$66="Forfait",IF(U$20&gt;='01_Input'!$Z$66,'01_Input'!$AC$66,0),IF('01_Input'!$AB$66="Palier",IF(AND(U$20&gt;='01_Input'!$Z$66,U$20&lt;'01_Input'!$AA$66),'01_Input'!$AC$66,0),MAX(MIN(U$20,'01_Input'!$AA$66)-'01_Input'!$Z$66,0)*'01_Input'!$AC$66)))))))))</f>
        <v>0</v>
      </c>
      <c r="V34" s="83">
        <f>IF('01_Input'!$C$66="Non",0,MIN('01_Input'!$I$66,MAX('01_Input'!$H$66,IF('01_Input'!$G$66="Résiduel vs Gestion",0,IF('01_Input'!$G$66="Taux Classe sélectionnée",Distrib_Global_Classe_Selectionnee*V$20,IF('01_Input'!$G$66="Frais KYC (paliers de 100M€)",MAX(0,Nb_Investisseurs-Nb_KYC_Gratuites_Par_Tranche*(FLOOR(V$20/Taille_Tranche_KYC,1)+1))*Cout_Par_KYC_Supplementaire,(IF('01_Input'!$L$66="Forfait",IF(V$20&gt;='01_Input'!$J$66,'01_Input'!$M$66,0),IF('01_Input'!$L$66="Palier",IF(AND(V$20&gt;='01_Input'!$J$66,V$20&lt;'01_Input'!$K$66),'01_Input'!$M$66,0),MAX(MIN(V$20,'01_Input'!$K$66)-'01_Input'!$J$66,0)*'01_Input'!$M$66))+IF('01_Input'!$P$66="Forfait",IF(V$20&gt;='01_Input'!$N$66,'01_Input'!$Q$66,0),IF('01_Input'!$P$66="Palier",IF(AND(V$20&gt;='01_Input'!$N$66,V$20&lt;'01_Input'!$O$66),'01_Input'!$Q$66,0),MAX(MIN(V$20,'01_Input'!$O$66)-'01_Input'!$N$66,0)*'01_Input'!$Q$66))+IF('01_Input'!$T$66="Forfait",IF(V$20&gt;='01_Input'!$R$66,'01_Input'!$U$66,0),IF('01_Input'!$T$66="Palier",IF(AND(V$20&gt;='01_Input'!$R$66,V$20&lt;'01_Input'!$S$66),'01_Input'!$U$66,0),MAX(MIN(V$20,'01_Input'!$S$66)-'01_Input'!$R$66,0)*'01_Input'!$U$66))+IF('01_Input'!$X$66="Forfait",IF(V$20&gt;='01_Input'!$V$66,'01_Input'!$Y$66,0),IF('01_Input'!$X$66="Palier",IF(AND(V$20&gt;='01_Input'!$V$66,V$20&lt;'01_Input'!$W$66),'01_Input'!$Y$66,0),MAX(MIN(V$20,'01_Input'!$W$66)-'01_Input'!$V$66,0)*'01_Input'!$Y$66))+IF('01_Input'!$AB$66="Forfait",IF(V$20&gt;='01_Input'!$Z$66,'01_Input'!$AC$66,0),IF('01_Input'!$AB$66="Palier",IF(AND(V$20&gt;='01_Input'!$Z$66,V$20&lt;'01_Input'!$AA$66),'01_Input'!$AC$66,0),MAX(MIN(V$20,'01_Input'!$AA$66)-'01_Input'!$Z$66,0)*'01_Input'!$AC$66)))))))))</f>
        <v>0</v>
      </c>
      <c r="W34" s="83">
        <f>IF('01_Input'!$C$66="Non",0,MIN('01_Input'!$I$66,MAX('01_Input'!$H$66,IF('01_Input'!$G$66="Résiduel vs Gestion",0,IF('01_Input'!$G$66="Taux Classe sélectionnée",Distrib_Global_Classe_Selectionnee*W$20,IF('01_Input'!$G$66="Frais KYC (paliers de 100M€)",MAX(0,Nb_Investisseurs-Nb_KYC_Gratuites_Par_Tranche*(FLOOR(W$20/Taille_Tranche_KYC,1)+1))*Cout_Par_KYC_Supplementaire,(IF('01_Input'!$L$66="Forfait",IF(W$20&gt;='01_Input'!$J$66,'01_Input'!$M$66,0),IF('01_Input'!$L$66="Palier",IF(AND(W$20&gt;='01_Input'!$J$66,W$20&lt;'01_Input'!$K$66),'01_Input'!$M$66,0),MAX(MIN(W$20,'01_Input'!$K$66)-'01_Input'!$J$66,0)*'01_Input'!$M$66))+IF('01_Input'!$P$66="Forfait",IF(W$20&gt;='01_Input'!$N$66,'01_Input'!$Q$66,0),IF('01_Input'!$P$66="Palier",IF(AND(W$20&gt;='01_Input'!$N$66,W$20&lt;'01_Input'!$O$66),'01_Input'!$Q$66,0),MAX(MIN(W$20,'01_Input'!$O$66)-'01_Input'!$N$66,0)*'01_Input'!$Q$66))+IF('01_Input'!$T$66="Forfait",IF(W$20&gt;='01_Input'!$R$66,'01_Input'!$U$66,0),IF('01_Input'!$T$66="Palier",IF(AND(W$20&gt;='01_Input'!$R$66,W$20&lt;'01_Input'!$S$66),'01_Input'!$U$66,0),MAX(MIN(W$20,'01_Input'!$S$66)-'01_Input'!$R$66,0)*'01_Input'!$U$66))+IF('01_Input'!$X$66="Forfait",IF(W$20&gt;='01_Input'!$V$66,'01_Input'!$Y$66,0),IF('01_Input'!$X$66="Palier",IF(AND(W$20&gt;='01_Input'!$V$66,W$20&lt;'01_Input'!$W$66),'01_Input'!$Y$66,0),MAX(MIN(W$20,'01_Input'!$W$66)-'01_Input'!$V$66,0)*'01_Input'!$Y$66))+IF('01_Input'!$AB$66="Forfait",IF(W$20&gt;='01_Input'!$Z$66,'01_Input'!$AC$66,0),IF('01_Input'!$AB$66="Palier",IF(AND(W$20&gt;='01_Input'!$Z$66,W$20&lt;'01_Input'!$AA$66),'01_Input'!$AC$66,0),MAX(MIN(W$20,'01_Input'!$AA$66)-'01_Input'!$Z$66,0)*'01_Input'!$AC$66)))))))))</f>
        <v>0</v>
      </c>
      <c r="X34" s="83">
        <f>IF('01_Input'!$C$66="Non",0,MIN('01_Input'!$I$66,MAX('01_Input'!$H$66,IF('01_Input'!$G$66="Résiduel vs Gestion",0,IF('01_Input'!$G$66="Taux Classe sélectionnée",Distrib_Global_Classe_Selectionnee*X$20,IF('01_Input'!$G$66="Frais KYC (paliers de 100M€)",MAX(0,Nb_Investisseurs-Nb_KYC_Gratuites_Par_Tranche*(FLOOR(X$20/Taille_Tranche_KYC,1)+1))*Cout_Par_KYC_Supplementaire,(IF('01_Input'!$L$66="Forfait",IF(X$20&gt;='01_Input'!$J$66,'01_Input'!$M$66,0),IF('01_Input'!$L$66="Palier",IF(AND(X$20&gt;='01_Input'!$J$66,X$20&lt;'01_Input'!$K$66),'01_Input'!$M$66,0),MAX(MIN(X$20,'01_Input'!$K$66)-'01_Input'!$J$66,0)*'01_Input'!$M$66))+IF('01_Input'!$P$66="Forfait",IF(X$20&gt;='01_Input'!$N$66,'01_Input'!$Q$66,0),IF('01_Input'!$P$66="Palier",IF(AND(X$20&gt;='01_Input'!$N$66,X$20&lt;'01_Input'!$O$66),'01_Input'!$Q$66,0),MAX(MIN(X$20,'01_Input'!$O$66)-'01_Input'!$N$66,0)*'01_Input'!$Q$66))+IF('01_Input'!$T$66="Forfait",IF(X$20&gt;='01_Input'!$R$66,'01_Input'!$U$66,0),IF('01_Input'!$T$66="Palier",IF(AND(X$20&gt;='01_Input'!$R$66,X$20&lt;'01_Input'!$S$66),'01_Input'!$U$66,0),MAX(MIN(X$20,'01_Input'!$S$66)-'01_Input'!$R$66,0)*'01_Input'!$U$66))+IF('01_Input'!$X$66="Forfait",IF(X$20&gt;='01_Input'!$V$66,'01_Input'!$Y$66,0),IF('01_Input'!$X$66="Palier",IF(AND(X$20&gt;='01_Input'!$V$66,X$20&lt;'01_Input'!$W$66),'01_Input'!$Y$66,0),MAX(MIN(X$20,'01_Input'!$W$66)-'01_Input'!$V$66,0)*'01_Input'!$Y$66))+IF('01_Input'!$AB$66="Forfait",IF(X$20&gt;='01_Input'!$Z$66,'01_Input'!$AC$66,0),IF('01_Input'!$AB$66="Palier",IF(AND(X$20&gt;='01_Input'!$Z$66,X$20&lt;'01_Input'!$AA$66),'01_Input'!$AC$66,0),MAX(MIN(X$20,'01_Input'!$AA$66)-'01_Input'!$Z$66,0)*'01_Input'!$AC$66)))))))))</f>
        <v>0</v>
      </c>
      <c r="Y34" s="83">
        <f>IF('01_Input'!$C$66="Non",0,MIN('01_Input'!$I$66,MAX('01_Input'!$H$66,IF('01_Input'!$G$66="Résiduel vs Gestion",0,IF('01_Input'!$G$66="Taux Classe sélectionnée",Distrib_Global_Classe_Selectionnee*Y$20,IF('01_Input'!$G$66="Frais KYC (paliers de 100M€)",MAX(0,Nb_Investisseurs-Nb_KYC_Gratuites_Par_Tranche*(FLOOR(Y$20/Taille_Tranche_KYC,1)+1))*Cout_Par_KYC_Supplementaire,(IF('01_Input'!$L$66="Forfait",IF(Y$20&gt;='01_Input'!$J$66,'01_Input'!$M$66,0),IF('01_Input'!$L$66="Palier",IF(AND(Y$20&gt;='01_Input'!$J$66,Y$20&lt;'01_Input'!$K$66),'01_Input'!$M$66,0),MAX(MIN(Y$20,'01_Input'!$K$66)-'01_Input'!$J$66,0)*'01_Input'!$M$66))+IF('01_Input'!$P$66="Forfait",IF(Y$20&gt;='01_Input'!$N$66,'01_Input'!$Q$66,0),IF('01_Input'!$P$66="Palier",IF(AND(Y$20&gt;='01_Input'!$N$66,Y$20&lt;'01_Input'!$O$66),'01_Input'!$Q$66,0),MAX(MIN(Y$20,'01_Input'!$O$66)-'01_Input'!$N$66,0)*'01_Input'!$Q$66))+IF('01_Input'!$T$66="Forfait",IF(Y$20&gt;='01_Input'!$R$66,'01_Input'!$U$66,0),IF('01_Input'!$T$66="Palier",IF(AND(Y$20&gt;='01_Input'!$R$66,Y$20&lt;'01_Input'!$S$66),'01_Input'!$U$66,0),MAX(MIN(Y$20,'01_Input'!$S$66)-'01_Input'!$R$66,0)*'01_Input'!$U$66))+IF('01_Input'!$X$66="Forfait",IF(Y$20&gt;='01_Input'!$V$66,'01_Input'!$Y$66,0),IF('01_Input'!$X$66="Palier",IF(AND(Y$20&gt;='01_Input'!$V$66,Y$20&lt;'01_Input'!$W$66),'01_Input'!$Y$66,0),MAX(MIN(Y$20,'01_Input'!$W$66)-'01_Input'!$V$66,0)*'01_Input'!$Y$66))+IF('01_Input'!$AB$66="Forfait",IF(Y$20&gt;='01_Input'!$Z$66,'01_Input'!$AC$66,0),IF('01_Input'!$AB$66="Palier",IF(AND(Y$20&gt;='01_Input'!$Z$66,Y$20&lt;'01_Input'!$AA$66),'01_Input'!$AC$66,0),MAX(MIN(Y$20,'01_Input'!$AA$66)-'01_Input'!$Z$66,0)*'01_Input'!$AC$66)))))))))</f>
        <v>0</v>
      </c>
      <c r="Z34" s="83">
        <f>IF('01_Input'!$C$66="Non",0,MIN('01_Input'!$I$66,MAX('01_Input'!$H$66,IF('01_Input'!$G$66="Résiduel vs Gestion",0,IF('01_Input'!$G$66="Taux Classe sélectionnée",Distrib_Global_Classe_Selectionnee*Z$20,IF('01_Input'!$G$66="Frais KYC (paliers de 100M€)",MAX(0,Nb_Investisseurs-Nb_KYC_Gratuites_Par_Tranche*(FLOOR(Z$20/Taille_Tranche_KYC,1)+1))*Cout_Par_KYC_Supplementaire,(IF('01_Input'!$L$66="Forfait",IF(Z$20&gt;='01_Input'!$J$66,'01_Input'!$M$66,0),IF('01_Input'!$L$66="Palier",IF(AND(Z$20&gt;='01_Input'!$J$66,Z$20&lt;'01_Input'!$K$66),'01_Input'!$M$66,0),MAX(MIN(Z$20,'01_Input'!$K$66)-'01_Input'!$J$66,0)*'01_Input'!$M$66))+IF('01_Input'!$P$66="Forfait",IF(Z$20&gt;='01_Input'!$N$66,'01_Input'!$Q$66,0),IF('01_Input'!$P$66="Palier",IF(AND(Z$20&gt;='01_Input'!$N$66,Z$20&lt;'01_Input'!$O$66),'01_Input'!$Q$66,0),MAX(MIN(Z$20,'01_Input'!$O$66)-'01_Input'!$N$66,0)*'01_Input'!$Q$66))+IF('01_Input'!$T$66="Forfait",IF(Z$20&gt;='01_Input'!$R$66,'01_Input'!$U$66,0),IF('01_Input'!$T$66="Palier",IF(AND(Z$20&gt;='01_Input'!$R$66,Z$20&lt;'01_Input'!$S$66),'01_Input'!$U$66,0),MAX(MIN(Z$20,'01_Input'!$S$66)-'01_Input'!$R$66,0)*'01_Input'!$U$66))+IF('01_Input'!$X$66="Forfait",IF(Z$20&gt;='01_Input'!$V$66,'01_Input'!$Y$66,0),IF('01_Input'!$X$66="Palier",IF(AND(Z$20&gt;='01_Input'!$V$66,Z$20&lt;'01_Input'!$W$66),'01_Input'!$Y$66,0),MAX(MIN(Z$20,'01_Input'!$W$66)-'01_Input'!$V$66,0)*'01_Input'!$Y$66))+IF('01_Input'!$AB$66="Forfait",IF(Z$20&gt;='01_Input'!$Z$66,'01_Input'!$AC$66,0),IF('01_Input'!$AB$66="Palier",IF(AND(Z$20&gt;='01_Input'!$Z$66,Z$20&lt;'01_Input'!$AA$66),'01_Input'!$AC$66,0),MAX(MIN(Z$20,'01_Input'!$AA$66)-'01_Input'!$Z$66,0)*'01_Input'!$AC$66)))))))))</f>
        <v>0</v>
      </c>
      <c r="AA34" s="83">
        <f>IF('01_Input'!$C$66="Non",0,MIN('01_Input'!$I$66,MAX('01_Input'!$H$66,IF('01_Input'!$G$66="Résiduel vs Gestion",0,IF('01_Input'!$G$66="Taux Classe sélectionnée",Distrib_Global_Classe_Selectionnee*AA$20,IF('01_Input'!$G$66="Frais KYC (paliers de 100M€)",MAX(0,Nb_Investisseurs-Nb_KYC_Gratuites_Par_Tranche*(FLOOR(AA$20/Taille_Tranche_KYC,1)+1))*Cout_Par_KYC_Supplementaire,(IF('01_Input'!$L$66="Forfait",IF(AA$20&gt;='01_Input'!$J$66,'01_Input'!$M$66,0),IF('01_Input'!$L$66="Palier",IF(AND(AA$20&gt;='01_Input'!$J$66,AA$20&lt;'01_Input'!$K$66),'01_Input'!$M$66,0),MAX(MIN(AA$20,'01_Input'!$K$66)-'01_Input'!$J$66,0)*'01_Input'!$M$66))+IF('01_Input'!$P$66="Forfait",IF(AA$20&gt;='01_Input'!$N$66,'01_Input'!$Q$66,0),IF('01_Input'!$P$66="Palier",IF(AND(AA$20&gt;='01_Input'!$N$66,AA$20&lt;'01_Input'!$O$66),'01_Input'!$Q$66,0),MAX(MIN(AA$20,'01_Input'!$O$66)-'01_Input'!$N$66,0)*'01_Input'!$Q$66))+IF('01_Input'!$T$66="Forfait",IF(AA$20&gt;='01_Input'!$R$66,'01_Input'!$U$66,0),IF('01_Input'!$T$66="Palier",IF(AND(AA$20&gt;='01_Input'!$R$66,AA$20&lt;'01_Input'!$S$66),'01_Input'!$U$66,0),MAX(MIN(AA$20,'01_Input'!$S$66)-'01_Input'!$R$66,0)*'01_Input'!$U$66))+IF('01_Input'!$X$66="Forfait",IF(AA$20&gt;='01_Input'!$V$66,'01_Input'!$Y$66,0),IF('01_Input'!$X$66="Palier",IF(AND(AA$20&gt;='01_Input'!$V$66,AA$20&lt;'01_Input'!$W$66),'01_Input'!$Y$66,0),MAX(MIN(AA$20,'01_Input'!$W$66)-'01_Input'!$V$66,0)*'01_Input'!$Y$66))+IF('01_Input'!$AB$66="Forfait",IF(AA$20&gt;='01_Input'!$Z$66,'01_Input'!$AC$66,0),IF('01_Input'!$AB$66="Palier",IF(AND(AA$20&gt;='01_Input'!$Z$66,AA$20&lt;'01_Input'!$AA$66),'01_Input'!$AC$66,0),MAX(MIN(AA$20,'01_Input'!$AA$66)-'01_Input'!$Z$66,0)*'01_Input'!$AC$66)))))))))</f>
        <v>0</v>
      </c>
      <c r="AB34" s="83">
        <f>IF('01_Input'!$C$66="Non",0,MIN('01_Input'!$I$66,MAX('01_Input'!$H$66,IF('01_Input'!$G$66="Résiduel vs Gestion",0,IF('01_Input'!$G$66="Taux Classe sélectionnée",Distrib_Global_Classe_Selectionnee*AB$20,IF('01_Input'!$G$66="Frais KYC (paliers de 100M€)",MAX(0,Nb_Investisseurs-Nb_KYC_Gratuites_Par_Tranche*(FLOOR(AB$20/Taille_Tranche_KYC,1)+1))*Cout_Par_KYC_Supplementaire,(IF('01_Input'!$L$66="Forfait",IF(AB$20&gt;='01_Input'!$J$66,'01_Input'!$M$66,0),IF('01_Input'!$L$66="Palier",IF(AND(AB$20&gt;='01_Input'!$J$66,AB$20&lt;'01_Input'!$K$66),'01_Input'!$M$66,0),MAX(MIN(AB$20,'01_Input'!$K$66)-'01_Input'!$J$66,0)*'01_Input'!$M$66))+IF('01_Input'!$P$66="Forfait",IF(AB$20&gt;='01_Input'!$N$66,'01_Input'!$Q$66,0),IF('01_Input'!$P$66="Palier",IF(AND(AB$20&gt;='01_Input'!$N$66,AB$20&lt;'01_Input'!$O$66),'01_Input'!$Q$66,0),MAX(MIN(AB$20,'01_Input'!$O$66)-'01_Input'!$N$66,0)*'01_Input'!$Q$66))+IF('01_Input'!$T$66="Forfait",IF(AB$20&gt;='01_Input'!$R$66,'01_Input'!$U$66,0),IF('01_Input'!$T$66="Palier",IF(AND(AB$20&gt;='01_Input'!$R$66,AB$20&lt;'01_Input'!$S$66),'01_Input'!$U$66,0),MAX(MIN(AB$20,'01_Input'!$S$66)-'01_Input'!$R$66,0)*'01_Input'!$U$66))+IF('01_Input'!$X$66="Forfait",IF(AB$20&gt;='01_Input'!$V$66,'01_Input'!$Y$66,0),IF('01_Input'!$X$66="Palier",IF(AND(AB$20&gt;='01_Input'!$V$66,AB$20&lt;'01_Input'!$W$66),'01_Input'!$Y$66,0),MAX(MIN(AB$20,'01_Input'!$W$66)-'01_Input'!$V$66,0)*'01_Input'!$Y$66))+IF('01_Input'!$AB$66="Forfait",IF(AB$20&gt;='01_Input'!$Z$66,'01_Input'!$AC$66,0),IF('01_Input'!$AB$66="Palier",IF(AND(AB$20&gt;='01_Input'!$Z$66,AB$20&lt;'01_Input'!$AA$66),'01_Input'!$AC$66,0),MAX(MIN(AB$20,'01_Input'!$AA$66)-'01_Input'!$Z$66,0)*'01_Input'!$AC$66)))))))))</f>
        <v>0</v>
      </c>
      <c r="AC34" s="83">
        <f>IF('01_Input'!$C$66="Non",0,MIN('01_Input'!$I$66,MAX('01_Input'!$H$66,IF('01_Input'!$G$66="Résiduel vs Gestion",0,IF('01_Input'!$G$66="Taux Classe sélectionnée",Distrib_Global_Classe_Selectionnee*AC$20,IF('01_Input'!$G$66="Frais KYC (paliers de 100M€)",MAX(0,Nb_Investisseurs-Nb_KYC_Gratuites_Par_Tranche*(FLOOR(AC$20/Taille_Tranche_KYC,1)+1))*Cout_Par_KYC_Supplementaire,(IF('01_Input'!$L$66="Forfait",IF(AC$20&gt;='01_Input'!$J$66,'01_Input'!$M$66,0),IF('01_Input'!$L$66="Palier",IF(AND(AC$20&gt;='01_Input'!$J$66,AC$20&lt;'01_Input'!$K$66),'01_Input'!$M$66,0),MAX(MIN(AC$20,'01_Input'!$K$66)-'01_Input'!$J$66,0)*'01_Input'!$M$66))+IF('01_Input'!$P$66="Forfait",IF(AC$20&gt;='01_Input'!$N$66,'01_Input'!$Q$66,0),IF('01_Input'!$P$66="Palier",IF(AND(AC$20&gt;='01_Input'!$N$66,AC$20&lt;'01_Input'!$O$66),'01_Input'!$Q$66,0),MAX(MIN(AC$20,'01_Input'!$O$66)-'01_Input'!$N$66,0)*'01_Input'!$Q$66))+IF('01_Input'!$T$66="Forfait",IF(AC$20&gt;='01_Input'!$R$66,'01_Input'!$U$66,0),IF('01_Input'!$T$66="Palier",IF(AND(AC$20&gt;='01_Input'!$R$66,AC$20&lt;'01_Input'!$S$66),'01_Input'!$U$66,0),MAX(MIN(AC$20,'01_Input'!$S$66)-'01_Input'!$R$66,0)*'01_Input'!$U$66))+IF('01_Input'!$X$66="Forfait",IF(AC$20&gt;='01_Input'!$V$66,'01_Input'!$Y$66,0),IF('01_Input'!$X$66="Palier",IF(AND(AC$20&gt;='01_Input'!$V$66,AC$20&lt;'01_Input'!$W$66),'01_Input'!$Y$66,0),MAX(MIN(AC$20,'01_Input'!$W$66)-'01_Input'!$V$66,0)*'01_Input'!$Y$66))+IF('01_Input'!$AB$66="Forfait",IF(AC$20&gt;='01_Input'!$Z$66,'01_Input'!$AC$66,0),IF('01_Input'!$AB$66="Palier",IF(AND(AC$20&gt;='01_Input'!$Z$66,AC$20&lt;'01_Input'!$AA$66),'01_Input'!$AC$66,0),MAX(MIN(AC$20,'01_Input'!$AA$66)-'01_Input'!$Z$66,0)*'01_Input'!$AC$66)))))))))</f>
        <v>0</v>
      </c>
      <c r="AD34" s="83">
        <f>IF('01_Input'!$C$66="Non",0,MIN('01_Input'!$I$66,MAX('01_Input'!$H$66,IF('01_Input'!$G$66="Résiduel vs Gestion",0,IF('01_Input'!$G$66="Taux Classe sélectionnée",Distrib_Global_Classe_Selectionnee*AD$20,IF('01_Input'!$G$66="Frais KYC (paliers de 100M€)",MAX(0,Nb_Investisseurs-Nb_KYC_Gratuites_Par_Tranche*(FLOOR(AD$20/Taille_Tranche_KYC,1)+1))*Cout_Par_KYC_Supplementaire,(IF('01_Input'!$L$66="Forfait",IF(AD$20&gt;='01_Input'!$J$66,'01_Input'!$M$66,0),IF('01_Input'!$L$66="Palier",IF(AND(AD$20&gt;='01_Input'!$J$66,AD$20&lt;'01_Input'!$K$66),'01_Input'!$M$66,0),MAX(MIN(AD$20,'01_Input'!$K$66)-'01_Input'!$J$66,0)*'01_Input'!$M$66))+IF('01_Input'!$P$66="Forfait",IF(AD$20&gt;='01_Input'!$N$66,'01_Input'!$Q$66,0),IF('01_Input'!$P$66="Palier",IF(AND(AD$20&gt;='01_Input'!$N$66,AD$20&lt;'01_Input'!$O$66),'01_Input'!$Q$66,0),MAX(MIN(AD$20,'01_Input'!$O$66)-'01_Input'!$N$66,0)*'01_Input'!$Q$66))+IF('01_Input'!$T$66="Forfait",IF(AD$20&gt;='01_Input'!$R$66,'01_Input'!$U$66,0),IF('01_Input'!$T$66="Palier",IF(AND(AD$20&gt;='01_Input'!$R$66,AD$20&lt;'01_Input'!$S$66),'01_Input'!$U$66,0),MAX(MIN(AD$20,'01_Input'!$S$66)-'01_Input'!$R$66,0)*'01_Input'!$U$66))+IF('01_Input'!$X$66="Forfait",IF(AD$20&gt;='01_Input'!$V$66,'01_Input'!$Y$66,0),IF('01_Input'!$X$66="Palier",IF(AND(AD$20&gt;='01_Input'!$V$66,AD$20&lt;'01_Input'!$W$66),'01_Input'!$Y$66,0),MAX(MIN(AD$20,'01_Input'!$W$66)-'01_Input'!$V$66,0)*'01_Input'!$Y$66))+IF('01_Input'!$AB$66="Forfait",IF(AD$20&gt;='01_Input'!$Z$66,'01_Input'!$AC$66,0),IF('01_Input'!$AB$66="Palier",IF(AND(AD$20&gt;='01_Input'!$Z$66,AD$20&lt;'01_Input'!$AA$66),'01_Input'!$AC$66,0),MAX(MIN(AD$20,'01_Input'!$AA$66)-'01_Input'!$Z$66,0)*'01_Input'!$AC$66)))))))))</f>
        <v>0</v>
      </c>
      <c r="AE34" s="83">
        <f>IF('01_Input'!$C$66="Non",0,MIN('01_Input'!$I$66,MAX('01_Input'!$H$66,IF('01_Input'!$G$66="Résiduel vs Gestion",0,IF('01_Input'!$G$66="Taux Classe sélectionnée",Distrib_Global_Classe_Selectionnee*AE$20,IF('01_Input'!$G$66="Frais KYC (paliers de 100M€)",MAX(0,Nb_Investisseurs-Nb_KYC_Gratuites_Par_Tranche*(FLOOR(AE$20/Taille_Tranche_KYC,1)+1))*Cout_Par_KYC_Supplementaire,(IF('01_Input'!$L$66="Forfait",IF(AE$20&gt;='01_Input'!$J$66,'01_Input'!$M$66,0),IF('01_Input'!$L$66="Palier",IF(AND(AE$20&gt;='01_Input'!$J$66,AE$20&lt;'01_Input'!$K$66),'01_Input'!$M$66,0),MAX(MIN(AE$20,'01_Input'!$K$66)-'01_Input'!$J$66,0)*'01_Input'!$M$66))+IF('01_Input'!$P$66="Forfait",IF(AE$20&gt;='01_Input'!$N$66,'01_Input'!$Q$66,0),IF('01_Input'!$P$66="Palier",IF(AND(AE$20&gt;='01_Input'!$N$66,AE$20&lt;'01_Input'!$O$66),'01_Input'!$Q$66,0),MAX(MIN(AE$20,'01_Input'!$O$66)-'01_Input'!$N$66,0)*'01_Input'!$Q$66))+IF('01_Input'!$T$66="Forfait",IF(AE$20&gt;='01_Input'!$R$66,'01_Input'!$U$66,0),IF('01_Input'!$T$66="Palier",IF(AND(AE$20&gt;='01_Input'!$R$66,AE$20&lt;'01_Input'!$S$66),'01_Input'!$U$66,0),MAX(MIN(AE$20,'01_Input'!$S$66)-'01_Input'!$R$66,0)*'01_Input'!$U$66))+IF('01_Input'!$X$66="Forfait",IF(AE$20&gt;='01_Input'!$V$66,'01_Input'!$Y$66,0),IF('01_Input'!$X$66="Palier",IF(AND(AE$20&gt;='01_Input'!$V$66,AE$20&lt;'01_Input'!$W$66),'01_Input'!$Y$66,0),MAX(MIN(AE$20,'01_Input'!$W$66)-'01_Input'!$V$66,0)*'01_Input'!$Y$66))+IF('01_Input'!$AB$66="Forfait",IF(AE$20&gt;='01_Input'!$Z$66,'01_Input'!$AC$66,0),IF('01_Input'!$AB$66="Palier",IF(AND(AE$20&gt;='01_Input'!$Z$66,AE$20&lt;'01_Input'!$AA$66),'01_Input'!$AC$66,0),MAX(MIN(AE$20,'01_Input'!$AA$66)-'01_Input'!$Z$66,0)*'01_Input'!$AC$66)))))))))</f>
        <v>0</v>
      </c>
      <c r="AF34" s="83">
        <f>IF('01_Input'!$C$66="Non",0,MIN('01_Input'!$I$66,MAX('01_Input'!$H$66,IF('01_Input'!$G$66="Résiduel vs Gestion",0,IF('01_Input'!$G$66="Taux Classe sélectionnée",Distrib_Global_Classe_Selectionnee*AF$20,IF('01_Input'!$G$66="Frais KYC (paliers de 100M€)",MAX(0,Nb_Investisseurs-Nb_KYC_Gratuites_Par_Tranche*(FLOOR(AF$20/Taille_Tranche_KYC,1)+1))*Cout_Par_KYC_Supplementaire,(IF('01_Input'!$L$66="Forfait",IF(AF$20&gt;='01_Input'!$J$66,'01_Input'!$M$66,0),IF('01_Input'!$L$66="Palier",IF(AND(AF$20&gt;='01_Input'!$J$66,AF$20&lt;'01_Input'!$K$66),'01_Input'!$M$66,0),MAX(MIN(AF$20,'01_Input'!$K$66)-'01_Input'!$J$66,0)*'01_Input'!$M$66))+IF('01_Input'!$P$66="Forfait",IF(AF$20&gt;='01_Input'!$N$66,'01_Input'!$Q$66,0),IF('01_Input'!$P$66="Palier",IF(AND(AF$20&gt;='01_Input'!$N$66,AF$20&lt;'01_Input'!$O$66),'01_Input'!$Q$66,0),MAX(MIN(AF$20,'01_Input'!$O$66)-'01_Input'!$N$66,0)*'01_Input'!$Q$66))+IF('01_Input'!$T$66="Forfait",IF(AF$20&gt;='01_Input'!$R$66,'01_Input'!$U$66,0),IF('01_Input'!$T$66="Palier",IF(AND(AF$20&gt;='01_Input'!$R$66,AF$20&lt;'01_Input'!$S$66),'01_Input'!$U$66,0),MAX(MIN(AF$20,'01_Input'!$S$66)-'01_Input'!$R$66,0)*'01_Input'!$U$66))+IF('01_Input'!$X$66="Forfait",IF(AF$20&gt;='01_Input'!$V$66,'01_Input'!$Y$66,0),IF('01_Input'!$X$66="Palier",IF(AND(AF$20&gt;='01_Input'!$V$66,AF$20&lt;'01_Input'!$W$66),'01_Input'!$Y$66,0),MAX(MIN(AF$20,'01_Input'!$W$66)-'01_Input'!$V$66,0)*'01_Input'!$Y$66))+IF('01_Input'!$AB$66="Forfait",IF(AF$20&gt;='01_Input'!$Z$66,'01_Input'!$AC$66,0),IF('01_Input'!$AB$66="Palier",IF(AND(AF$20&gt;='01_Input'!$Z$66,AF$20&lt;'01_Input'!$AA$66),'01_Input'!$AC$66,0),MAX(MIN(AF$20,'01_Input'!$AA$66)-'01_Input'!$Z$66,0)*'01_Input'!$AC$66)))))))))</f>
        <v>0</v>
      </c>
      <c r="AG34" s="83">
        <f>IF('01_Input'!$C$66="Non",0,MIN('01_Input'!$I$66,MAX('01_Input'!$H$66,IF('01_Input'!$G$66="Résiduel vs Gestion",0,IF('01_Input'!$G$66="Taux Classe sélectionnée",Distrib_Global_Classe_Selectionnee*AG$20,IF('01_Input'!$G$66="Frais KYC (paliers de 100M€)",MAX(0,Nb_Investisseurs-Nb_KYC_Gratuites_Par_Tranche*(FLOOR(AG$20/Taille_Tranche_KYC,1)+1))*Cout_Par_KYC_Supplementaire,(IF('01_Input'!$L$66="Forfait",IF(AG$20&gt;='01_Input'!$J$66,'01_Input'!$M$66,0),IF('01_Input'!$L$66="Palier",IF(AND(AG$20&gt;='01_Input'!$J$66,AG$20&lt;'01_Input'!$K$66),'01_Input'!$M$66,0),MAX(MIN(AG$20,'01_Input'!$K$66)-'01_Input'!$J$66,0)*'01_Input'!$M$66))+IF('01_Input'!$P$66="Forfait",IF(AG$20&gt;='01_Input'!$N$66,'01_Input'!$Q$66,0),IF('01_Input'!$P$66="Palier",IF(AND(AG$20&gt;='01_Input'!$N$66,AG$20&lt;'01_Input'!$O$66),'01_Input'!$Q$66,0),MAX(MIN(AG$20,'01_Input'!$O$66)-'01_Input'!$N$66,0)*'01_Input'!$Q$66))+IF('01_Input'!$T$66="Forfait",IF(AG$20&gt;='01_Input'!$R$66,'01_Input'!$U$66,0),IF('01_Input'!$T$66="Palier",IF(AND(AG$20&gt;='01_Input'!$R$66,AG$20&lt;'01_Input'!$S$66),'01_Input'!$U$66,0),MAX(MIN(AG$20,'01_Input'!$S$66)-'01_Input'!$R$66,0)*'01_Input'!$U$66))+IF('01_Input'!$X$66="Forfait",IF(AG$20&gt;='01_Input'!$V$66,'01_Input'!$Y$66,0),IF('01_Input'!$X$66="Palier",IF(AND(AG$20&gt;='01_Input'!$V$66,AG$20&lt;'01_Input'!$W$66),'01_Input'!$Y$66,0),MAX(MIN(AG$20,'01_Input'!$W$66)-'01_Input'!$V$66,0)*'01_Input'!$Y$66))+IF('01_Input'!$AB$66="Forfait",IF(AG$20&gt;='01_Input'!$Z$66,'01_Input'!$AC$66,0),IF('01_Input'!$AB$66="Palier",IF(AND(AG$20&gt;='01_Input'!$Z$66,AG$20&lt;'01_Input'!$AA$66),'01_Input'!$AC$66,0),MAX(MIN(AG$20,'01_Input'!$AA$66)-'01_Input'!$Z$66,0)*'01_Input'!$AC$66)))))))))</f>
        <v>0</v>
      </c>
      <c r="AH34" s="83">
        <f>IF('01_Input'!$C$66="Non",0,MIN('01_Input'!$I$66,MAX('01_Input'!$H$66,IF('01_Input'!$G$66="Résiduel vs Gestion",0,IF('01_Input'!$G$66="Taux Classe sélectionnée",Distrib_Global_Classe_Selectionnee*AH$20,IF('01_Input'!$G$66="Frais KYC (paliers de 100M€)",MAX(0,Nb_Investisseurs-Nb_KYC_Gratuites_Par_Tranche*(FLOOR(AH$20/Taille_Tranche_KYC,1)+1))*Cout_Par_KYC_Supplementaire,(IF('01_Input'!$L$66="Forfait",IF(AH$20&gt;='01_Input'!$J$66,'01_Input'!$M$66,0),IF('01_Input'!$L$66="Palier",IF(AND(AH$20&gt;='01_Input'!$J$66,AH$20&lt;'01_Input'!$K$66),'01_Input'!$M$66,0),MAX(MIN(AH$20,'01_Input'!$K$66)-'01_Input'!$J$66,0)*'01_Input'!$M$66))+IF('01_Input'!$P$66="Forfait",IF(AH$20&gt;='01_Input'!$N$66,'01_Input'!$Q$66,0),IF('01_Input'!$P$66="Palier",IF(AND(AH$20&gt;='01_Input'!$N$66,AH$20&lt;'01_Input'!$O$66),'01_Input'!$Q$66,0),MAX(MIN(AH$20,'01_Input'!$O$66)-'01_Input'!$N$66,0)*'01_Input'!$Q$66))+IF('01_Input'!$T$66="Forfait",IF(AH$20&gt;='01_Input'!$R$66,'01_Input'!$U$66,0),IF('01_Input'!$T$66="Palier",IF(AND(AH$20&gt;='01_Input'!$R$66,AH$20&lt;'01_Input'!$S$66),'01_Input'!$U$66,0),MAX(MIN(AH$20,'01_Input'!$S$66)-'01_Input'!$R$66,0)*'01_Input'!$U$66))+IF('01_Input'!$X$66="Forfait",IF(AH$20&gt;='01_Input'!$V$66,'01_Input'!$Y$66,0),IF('01_Input'!$X$66="Palier",IF(AND(AH$20&gt;='01_Input'!$V$66,AH$20&lt;'01_Input'!$W$66),'01_Input'!$Y$66,0),MAX(MIN(AH$20,'01_Input'!$W$66)-'01_Input'!$V$66,0)*'01_Input'!$Y$66))+IF('01_Input'!$AB$66="Forfait",IF(AH$20&gt;='01_Input'!$Z$66,'01_Input'!$AC$66,0),IF('01_Input'!$AB$66="Palier",IF(AND(AH$20&gt;='01_Input'!$Z$66,AH$20&lt;'01_Input'!$AA$66),'01_Input'!$AC$66,0),MAX(MIN(AH$20,'01_Input'!$AA$66)-'01_Input'!$Z$66,0)*'01_Input'!$AC$66)))))))))</f>
        <v>0</v>
      </c>
      <c r="AI34" s="83">
        <f>IF('01_Input'!$C$66="Non",0,MIN('01_Input'!$I$66,MAX('01_Input'!$H$66,IF('01_Input'!$G$66="Résiduel vs Gestion",0,IF('01_Input'!$G$66="Taux Classe sélectionnée",Distrib_Global_Classe_Selectionnee*AI$20,IF('01_Input'!$G$66="Frais KYC (paliers de 100M€)",MAX(0,Nb_Investisseurs-Nb_KYC_Gratuites_Par_Tranche*(FLOOR(AI$20/Taille_Tranche_KYC,1)+1))*Cout_Par_KYC_Supplementaire,(IF('01_Input'!$L$66="Forfait",IF(AI$20&gt;='01_Input'!$J$66,'01_Input'!$M$66,0),IF('01_Input'!$L$66="Palier",IF(AND(AI$20&gt;='01_Input'!$J$66,AI$20&lt;'01_Input'!$K$66),'01_Input'!$M$66,0),MAX(MIN(AI$20,'01_Input'!$K$66)-'01_Input'!$J$66,0)*'01_Input'!$M$66))+IF('01_Input'!$P$66="Forfait",IF(AI$20&gt;='01_Input'!$N$66,'01_Input'!$Q$66,0),IF('01_Input'!$P$66="Palier",IF(AND(AI$20&gt;='01_Input'!$N$66,AI$20&lt;'01_Input'!$O$66),'01_Input'!$Q$66,0),MAX(MIN(AI$20,'01_Input'!$O$66)-'01_Input'!$N$66,0)*'01_Input'!$Q$66))+IF('01_Input'!$T$66="Forfait",IF(AI$20&gt;='01_Input'!$R$66,'01_Input'!$U$66,0),IF('01_Input'!$T$66="Palier",IF(AND(AI$20&gt;='01_Input'!$R$66,AI$20&lt;'01_Input'!$S$66),'01_Input'!$U$66,0),MAX(MIN(AI$20,'01_Input'!$S$66)-'01_Input'!$R$66,0)*'01_Input'!$U$66))+IF('01_Input'!$X$66="Forfait",IF(AI$20&gt;='01_Input'!$V$66,'01_Input'!$Y$66,0),IF('01_Input'!$X$66="Palier",IF(AND(AI$20&gt;='01_Input'!$V$66,AI$20&lt;'01_Input'!$W$66),'01_Input'!$Y$66,0),MAX(MIN(AI$20,'01_Input'!$W$66)-'01_Input'!$V$66,0)*'01_Input'!$Y$66))+IF('01_Input'!$AB$66="Forfait",IF(AI$20&gt;='01_Input'!$Z$66,'01_Input'!$AC$66,0),IF('01_Input'!$AB$66="Palier",IF(AND(AI$20&gt;='01_Input'!$Z$66,AI$20&lt;'01_Input'!$AA$66),'01_Input'!$AC$66,0),MAX(MIN(AI$20,'01_Input'!$AA$66)-'01_Input'!$Z$66,0)*'01_Input'!$AC$66)))))))))</f>
        <v>0</v>
      </c>
      <c r="AJ34" s="83">
        <f>IF('01_Input'!$C$66="Non",0,MIN('01_Input'!$I$66,MAX('01_Input'!$H$66,IF('01_Input'!$G$66="Résiduel vs Gestion",0,IF('01_Input'!$G$66="Taux Classe sélectionnée",Distrib_Global_Classe_Selectionnee*AJ$20,IF('01_Input'!$G$66="Frais KYC (paliers de 100M€)",MAX(0,Nb_Investisseurs-Nb_KYC_Gratuites_Par_Tranche*(FLOOR(AJ$20/Taille_Tranche_KYC,1)+1))*Cout_Par_KYC_Supplementaire,(IF('01_Input'!$L$66="Forfait",IF(AJ$20&gt;='01_Input'!$J$66,'01_Input'!$M$66,0),IF('01_Input'!$L$66="Palier",IF(AND(AJ$20&gt;='01_Input'!$J$66,AJ$20&lt;'01_Input'!$K$66),'01_Input'!$M$66,0),MAX(MIN(AJ$20,'01_Input'!$K$66)-'01_Input'!$J$66,0)*'01_Input'!$M$66))+IF('01_Input'!$P$66="Forfait",IF(AJ$20&gt;='01_Input'!$N$66,'01_Input'!$Q$66,0),IF('01_Input'!$P$66="Palier",IF(AND(AJ$20&gt;='01_Input'!$N$66,AJ$20&lt;'01_Input'!$O$66),'01_Input'!$Q$66,0),MAX(MIN(AJ$20,'01_Input'!$O$66)-'01_Input'!$N$66,0)*'01_Input'!$Q$66))+IF('01_Input'!$T$66="Forfait",IF(AJ$20&gt;='01_Input'!$R$66,'01_Input'!$U$66,0),IF('01_Input'!$T$66="Palier",IF(AND(AJ$20&gt;='01_Input'!$R$66,AJ$20&lt;'01_Input'!$S$66),'01_Input'!$U$66,0),MAX(MIN(AJ$20,'01_Input'!$S$66)-'01_Input'!$R$66,0)*'01_Input'!$U$66))+IF('01_Input'!$X$66="Forfait",IF(AJ$20&gt;='01_Input'!$V$66,'01_Input'!$Y$66,0),IF('01_Input'!$X$66="Palier",IF(AND(AJ$20&gt;='01_Input'!$V$66,AJ$20&lt;'01_Input'!$W$66),'01_Input'!$Y$66,0),MAX(MIN(AJ$20,'01_Input'!$W$66)-'01_Input'!$V$66,0)*'01_Input'!$Y$66))+IF('01_Input'!$AB$66="Forfait",IF(AJ$20&gt;='01_Input'!$Z$66,'01_Input'!$AC$66,0),IF('01_Input'!$AB$66="Palier",IF(AND(AJ$20&gt;='01_Input'!$Z$66,AJ$20&lt;'01_Input'!$AA$66),'01_Input'!$AC$66,0),MAX(MIN(AJ$20,'01_Input'!$AA$66)-'01_Input'!$Z$66,0)*'01_Input'!$AC$66)))))))))</f>
        <v>0</v>
      </c>
      <c r="AK34" s="83">
        <f>IF('01_Input'!$C$66="Non",0,MIN('01_Input'!$I$66,MAX('01_Input'!$H$66,IF('01_Input'!$G$66="Résiduel vs Gestion",0,IF('01_Input'!$G$66="Taux Classe sélectionnée",Distrib_Global_Classe_Selectionnee*AK$20,IF('01_Input'!$G$66="Frais KYC (paliers de 100M€)",MAX(0,Nb_Investisseurs-Nb_KYC_Gratuites_Par_Tranche*(FLOOR(AK$20/Taille_Tranche_KYC,1)+1))*Cout_Par_KYC_Supplementaire,(IF('01_Input'!$L$66="Forfait",IF(AK$20&gt;='01_Input'!$J$66,'01_Input'!$M$66,0),IF('01_Input'!$L$66="Palier",IF(AND(AK$20&gt;='01_Input'!$J$66,AK$20&lt;'01_Input'!$K$66),'01_Input'!$M$66,0),MAX(MIN(AK$20,'01_Input'!$K$66)-'01_Input'!$J$66,0)*'01_Input'!$M$66))+IF('01_Input'!$P$66="Forfait",IF(AK$20&gt;='01_Input'!$N$66,'01_Input'!$Q$66,0),IF('01_Input'!$P$66="Palier",IF(AND(AK$20&gt;='01_Input'!$N$66,AK$20&lt;'01_Input'!$O$66),'01_Input'!$Q$66,0),MAX(MIN(AK$20,'01_Input'!$O$66)-'01_Input'!$N$66,0)*'01_Input'!$Q$66))+IF('01_Input'!$T$66="Forfait",IF(AK$20&gt;='01_Input'!$R$66,'01_Input'!$U$66,0),IF('01_Input'!$T$66="Palier",IF(AND(AK$20&gt;='01_Input'!$R$66,AK$20&lt;'01_Input'!$S$66),'01_Input'!$U$66,0),MAX(MIN(AK$20,'01_Input'!$S$66)-'01_Input'!$R$66,0)*'01_Input'!$U$66))+IF('01_Input'!$X$66="Forfait",IF(AK$20&gt;='01_Input'!$V$66,'01_Input'!$Y$66,0),IF('01_Input'!$X$66="Palier",IF(AND(AK$20&gt;='01_Input'!$V$66,AK$20&lt;'01_Input'!$W$66),'01_Input'!$Y$66,0),MAX(MIN(AK$20,'01_Input'!$W$66)-'01_Input'!$V$66,0)*'01_Input'!$Y$66))+IF('01_Input'!$AB$66="Forfait",IF(AK$20&gt;='01_Input'!$Z$66,'01_Input'!$AC$66,0),IF('01_Input'!$AB$66="Palier",IF(AND(AK$20&gt;='01_Input'!$Z$66,AK$20&lt;'01_Input'!$AA$66),'01_Input'!$AC$66,0),MAX(MIN(AK$20,'01_Input'!$AA$66)-'01_Input'!$Z$66,0)*'01_Input'!$AC$66)))))))))</f>
        <v>0</v>
      </c>
      <c r="AL34" s="83">
        <f>IF('01_Input'!$C$66="Non",0,MIN('01_Input'!$I$66,MAX('01_Input'!$H$66,IF('01_Input'!$G$66="Résiduel vs Gestion",0,IF('01_Input'!$G$66="Taux Classe sélectionnée",Distrib_Global_Classe_Selectionnee*AL$20,IF('01_Input'!$G$66="Frais KYC (paliers de 100M€)",MAX(0,Nb_Investisseurs-Nb_KYC_Gratuites_Par_Tranche*(FLOOR(AL$20/Taille_Tranche_KYC,1)+1))*Cout_Par_KYC_Supplementaire,(IF('01_Input'!$L$66="Forfait",IF(AL$20&gt;='01_Input'!$J$66,'01_Input'!$M$66,0),IF('01_Input'!$L$66="Palier",IF(AND(AL$20&gt;='01_Input'!$J$66,AL$20&lt;'01_Input'!$K$66),'01_Input'!$M$66,0),MAX(MIN(AL$20,'01_Input'!$K$66)-'01_Input'!$J$66,0)*'01_Input'!$M$66))+IF('01_Input'!$P$66="Forfait",IF(AL$20&gt;='01_Input'!$N$66,'01_Input'!$Q$66,0),IF('01_Input'!$P$66="Palier",IF(AND(AL$20&gt;='01_Input'!$N$66,AL$20&lt;'01_Input'!$O$66),'01_Input'!$Q$66,0),MAX(MIN(AL$20,'01_Input'!$O$66)-'01_Input'!$N$66,0)*'01_Input'!$Q$66))+IF('01_Input'!$T$66="Forfait",IF(AL$20&gt;='01_Input'!$R$66,'01_Input'!$U$66,0),IF('01_Input'!$T$66="Palier",IF(AND(AL$20&gt;='01_Input'!$R$66,AL$20&lt;'01_Input'!$S$66),'01_Input'!$U$66,0),MAX(MIN(AL$20,'01_Input'!$S$66)-'01_Input'!$R$66,0)*'01_Input'!$U$66))+IF('01_Input'!$X$66="Forfait",IF(AL$20&gt;='01_Input'!$V$66,'01_Input'!$Y$66,0),IF('01_Input'!$X$66="Palier",IF(AND(AL$20&gt;='01_Input'!$V$66,AL$20&lt;'01_Input'!$W$66),'01_Input'!$Y$66,0),MAX(MIN(AL$20,'01_Input'!$W$66)-'01_Input'!$V$66,0)*'01_Input'!$Y$66))+IF('01_Input'!$AB$66="Forfait",IF(AL$20&gt;='01_Input'!$Z$66,'01_Input'!$AC$66,0),IF('01_Input'!$AB$66="Palier",IF(AND(AL$20&gt;='01_Input'!$Z$66,AL$20&lt;'01_Input'!$AA$66),'01_Input'!$AC$66,0),MAX(MIN(AL$20,'01_Input'!$AA$66)-'01_Input'!$Z$66,0)*'01_Input'!$AC$66)))))))))</f>
        <v>0</v>
      </c>
      <c r="AM34" s="83">
        <f>IF('01_Input'!$C$66="Non",0,MIN('01_Input'!$I$66,MAX('01_Input'!$H$66,IF('01_Input'!$G$66="Résiduel vs Gestion",0,IF('01_Input'!$G$66="Taux Classe sélectionnée",Distrib_Global_Classe_Selectionnee*AM$20,IF('01_Input'!$G$66="Frais KYC (paliers de 100M€)",MAX(0,Nb_Investisseurs-Nb_KYC_Gratuites_Par_Tranche*(FLOOR(AM$20/Taille_Tranche_KYC,1)+1))*Cout_Par_KYC_Supplementaire,(IF('01_Input'!$L$66="Forfait",IF(AM$20&gt;='01_Input'!$J$66,'01_Input'!$M$66,0),IF('01_Input'!$L$66="Palier",IF(AND(AM$20&gt;='01_Input'!$J$66,AM$20&lt;'01_Input'!$K$66),'01_Input'!$M$66,0),MAX(MIN(AM$20,'01_Input'!$K$66)-'01_Input'!$J$66,0)*'01_Input'!$M$66))+IF('01_Input'!$P$66="Forfait",IF(AM$20&gt;='01_Input'!$N$66,'01_Input'!$Q$66,0),IF('01_Input'!$P$66="Palier",IF(AND(AM$20&gt;='01_Input'!$N$66,AM$20&lt;'01_Input'!$O$66),'01_Input'!$Q$66,0),MAX(MIN(AM$20,'01_Input'!$O$66)-'01_Input'!$N$66,0)*'01_Input'!$Q$66))+IF('01_Input'!$T$66="Forfait",IF(AM$20&gt;='01_Input'!$R$66,'01_Input'!$U$66,0),IF('01_Input'!$T$66="Palier",IF(AND(AM$20&gt;='01_Input'!$R$66,AM$20&lt;'01_Input'!$S$66),'01_Input'!$U$66,0),MAX(MIN(AM$20,'01_Input'!$S$66)-'01_Input'!$R$66,0)*'01_Input'!$U$66))+IF('01_Input'!$X$66="Forfait",IF(AM$20&gt;='01_Input'!$V$66,'01_Input'!$Y$66,0),IF('01_Input'!$X$66="Palier",IF(AND(AM$20&gt;='01_Input'!$V$66,AM$20&lt;'01_Input'!$W$66),'01_Input'!$Y$66,0),MAX(MIN(AM$20,'01_Input'!$W$66)-'01_Input'!$V$66,0)*'01_Input'!$Y$66))+IF('01_Input'!$AB$66="Forfait",IF(AM$20&gt;='01_Input'!$Z$66,'01_Input'!$AC$66,0),IF('01_Input'!$AB$66="Palier",IF(AND(AM$20&gt;='01_Input'!$Z$66,AM$20&lt;'01_Input'!$AA$66),'01_Input'!$AC$66,0),MAX(MIN(AM$20,'01_Input'!$AA$66)-'01_Input'!$Z$66,0)*'01_Input'!$AC$66)))))))))</f>
        <v>0</v>
      </c>
      <c r="AN34" s="83">
        <f>IF('01_Input'!$C$66="Non",0,MIN('01_Input'!$I$66,MAX('01_Input'!$H$66,IF('01_Input'!$G$66="Résiduel vs Gestion",0,IF('01_Input'!$G$66="Taux Classe sélectionnée",Distrib_Global_Classe_Selectionnee*AN$20,IF('01_Input'!$G$66="Frais KYC (paliers de 100M€)",MAX(0,Nb_Investisseurs-Nb_KYC_Gratuites_Par_Tranche*(FLOOR(AN$20/Taille_Tranche_KYC,1)+1))*Cout_Par_KYC_Supplementaire,(IF('01_Input'!$L$66="Forfait",IF(AN$20&gt;='01_Input'!$J$66,'01_Input'!$M$66,0),IF('01_Input'!$L$66="Palier",IF(AND(AN$20&gt;='01_Input'!$J$66,AN$20&lt;'01_Input'!$K$66),'01_Input'!$M$66,0),MAX(MIN(AN$20,'01_Input'!$K$66)-'01_Input'!$J$66,0)*'01_Input'!$M$66))+IF('01_Input'!$P$66="Forfait",IF(AN$20&gt;='01_Input'!$N$66,'01_Input'!$Q$66,0),IF('01_Input'!$P$66="Palier",IF(AND(AN$20&gt;='01_Input'!$N$66,AN$20&lt;'01_Input'!$O$66),'01_Input'!$Q$66,0),MAX(MIN(AN$20,'01_Input'!$O$66)-'01_Input'!$N$66,0)*'01_Input'!$Q$66))+IF('01_Input'!$T$66="Forfait",IF(AN$20&gt;='01_Input'!$R$66,'01_Input'!$U$66,0),IF('01_Input'!$T$66="Palier",IF(AND(AN$20&gt;='01_Input'!$R$66,AN$20&lt;'01_Input'!$S$66),'01_Input'!$U$66,0),MAX(MIN(AN$20,'01_Input'!$S$66)-'01_Input'!$R$66,0)*'01_Input'!$U$66))+IF('01_Input'!$X$66="Forfait",IF(AN$20&gt;='01_Input'!$V$66,'01_Input'!$Y$66,0),IF('01_Input'!$X$66="Palier",IF(AND(AN$20&gt;='01_Input'!$V$66,AN$20&lt;'01_Input'!$W$66),'01_Input'!$Y$66,0),MAX(MIN(AN$20,'01_Input'!$W$66)-'01_Input'!$V$66,0)*'01_Input'!$Y$66))+IF('01_Input'!$AB$66="Forfait",IF(AN$20&gt;='01_Input'!$Z$66,'01_Input'!$AC$66,0),IF('01_Input'!$AB$66="Palier",IF(AND(AN$20&gt;='01_Input'!$Z$66,AN$20&lt;'01_Input'!$AA$66),'01_Input'!$AC$66,0),MAX(MIN(AN$20,'01_Input'!$AA$66)-'01_Input'!$Z$66,0)*'01_Input'!$AC$66)))))))))</f>
        <v>0</v>
      </c>
      <c r="AO34" s="83">
        <f>IF('01_Input'!$C$66="Non",0,MIN('01_Input'!$I$66,MAX('01_Input'!$H$66,IF('01_Input'!$G$66="Résiduel vs Gestion",0,IF('01_Input'!$G$66="Taux Classe sélectionnée",Distrib_Global_Classe_Selectionnee*AO$20,IF('01_Input'!$G$66="Frais KYC (paliers de 100M€)",MAX(0,Nb_Investisseurs-Nb_KYC_Gratuites_Par_Tranche*(FLOOR(AO$20/Taille_Tranche_KYC,1)+1))*Cout_Par_KYC_Supplementaire,(IF('01_Input'!$L$66="Forfait",IF(AO$20&gt;='01_Input'!$J$66,'01_Input'!$M$66,0),IF('01_Input'!$L$66="Palier",IF(AND(AO$20&gt;='01_Input'!$J$66,AO$20&lt;'01_Input'!$K$66),'01_Input'!$M$66,0),MAX(MIN(AO$20,'01_Input'!$K$66)-'01_Input'!$J$66,0)*'01_Input'!$M$66))+IF('01_Input'!$P$66="Forfait",IF(AO$20&gt;='01_Input'!$N$66,'01_Input'!$Q$66,0),IF('01_Input'!$P$66="Palier",IF(AND(AO$20&gt;='01_Input'!$N$66,AO$20&lt;'01_Input'!$O$66),'01_Input'!$Q$66,0),MAX(MIN(AO$20,'01_Input'!$O$66)-'01_Input'!$N$66,0)*'01_Input'!$Q$66))+IF('01_Input'!$T$66="Forfait",IF(AO$20&gt;='01_Input'!$R$66,'01_Input'!$U$66,0),IF('01_Input'!$T$66="Palier",IF(AND(AO$20&gt;='01_Input'!$R$66,AO$20&lt;'01_Input'!$S$66),'01_Input'!$U$66,0),MAX(MIN(AO$20,'01_Input'!$S$66)-'01_Input'!$R$66,0)*'01_Input'!$U$66))+IF('01_Input'!$X$66="Forfait",IF(AO$20&gt;='01_Input'!$V$66,'01_Input'!$Y$66,0),IF('01_Input'!$X$66="Palier",IF(AND(AO$20&gt;='01_Input'!$V$66,AO$20&lt;'01_Input'!$W$66),'01_Input'!$Y$66,0),MAX(MIN(AO$20,'01_Input'!$W$66)-'01_Input'!$V$66,0)*'01_Input'!$Y$66))+IF('01_Input'!$AB$66="Forfait",IF(AO$20&gt;='01_Input'!$Z$66,'01_Input'!$AC$66,0),IF('01_Input'!$AB$66="Palier",IF(AND(AO$20&gt;='01_Input'!$Z$66,AO$20&lt;'01_Input'!$AA$66),'01_Input'!$AC$66,0),MAX(MIN(AO$20,'01_Input'!$AA$66)-'01_Input'!$Z$66,0)*'01_Input'!$AC$66)))))))))</f>
        <v>0</v>
      </c>
      <c r="AP34" s="83">
        <f>IF('01_Input'!$C$66="Non",0,MIN('01_Input'!$I$66,MAX('01_Input'!$H$66,IF('01_Input'!$G$66="Résiduel vs Gestion",0,IF('01_Input'!$G$66="Taux Classe sélectionnée",Distrib_Global_Classe_Selectionnee*AP$20,IF('01_Input'!$G$66="Frais KYC (paliers de 100M€)",MAX(0,Nb_Investisseurs-Nb_KYC_Gratuites_Par_Tranche*(FLOOR(AP$20/Taille_Tranche_KYC,1)+1))*Cout_Par_KYC_Supplementaire,(IF('01_Input'!$L$66="Forfait",IF(AP$20&gt;='01_Input'!$J$66,'01_Input'!$M$66,0),IF('01_Input'!$L$66="Palier",IF(AND(AP$20&gt;='01_Input'!$J$66,AP$20&lt;'01_Input'!$K$66),'01_Input'!$M$66,0),MAX(MIN(AP$20,'01_Input'!$K$66)-'01_Input'!$J$66,0)*'01_Input'!$M$66))+IF('01_Input'!$P$66="Forfait",IF(AP$20&gt;='01_Input'!$N$66,'01_Input'!$Q$66,0),IF('01_Input'!$P$66="Palier",IF(AND(AP$20&gt;='01_Input'!$N$66,AP$20&lt;'01_Input'!$O$66),'01_Input'!$Q$66,0),MAX(MIN(AP$20,'01_Input'!$O$66)-'01_Input'!$N$66,0)*'01_Input'!$Q$66))+IF('01_Input'!$T$66="Forfait",IF(AP$20&gt;='01_Input'!$R$66,'01_Input'!$U$66,0),IF('01_Input'!$T$66="Palier",IF(AND(AP$20&gt;='01_Input'!$R$66,AP$20&lt;'01_Input'!$S$66),'01_Input'!$U$66,0),MAX(MIN(AP$20,'01_Input'!$S$66)-'01_Input'!$R$66,0)*'01_Input'!$U$66))+IF('01_Input'!$X$66="Forfait",IF(AP$20&gt;='01_Input'!$V$66,'01_Input'!$Y$66,0),IF('01_Input'!$X$66="Palier",IF(AND(AP$20&gt;='01_Input'!$V$66,AP$20&lt;'01_Input'!$W$66),'01_Input'!$Y$66,0),MAX(MIN(AP$20,'01_Input'!$W$66)-'01_Input'!$V$66,0)*'01_Input'!$Y$66))+IF('01_Input'!$AB$66="Forfait",IF(AP$20&gt;='01_Input'!$Z$66,'01_Input'!$AC$66,0),IF('01_Input'!$AB$66="Palier",IF(AND(AP$20&gt;='01_Input'!$Z$66,AP$20&lt;'01_Input'!$AA$66),'01_Input'!$AC$66,0),MAX(MIN(AP$20,'01_Input'!$AA$66)-'01_Input'!$Z$66,0)*'01_Input'!$AC$66)))))))))</f>
        <v>0</v>
      </c>
      <c r="AQ34" s="83">
        <f>IF('01_Input'!$C$66="Non",0,MIN('01_Input'!$I$66,MAX('01_Input'!$H$66,IF('01_Input'!$G$66="Résiduel vs Gestion",0,IF('01_Input'!$G$66="Taux Classe sélectionnée",Distrib_Global_Classe_Selectionnee*AQ$20,IF('01_Input'!$G$66="Frais KYC (paliers de 100M€)",MAX(0,Nb_Investisseurs-Nb_KYC_Gratuites_Par_Tranche*(FLOOR(AQ$20/Taille_Tranche_KYC,1)+1))*Cout_Par_KYC_Supplementaire,(IF('01_Input'!$L$66="Forfait",IF(AQ$20&gt;='01_Input'!$J$66,'01_Input'!$M$66,0),IF('01_Input'!$L$66="Palier",IF(AND(AQ$20&gt;='01_Input'!$J$66,AQ$20&lt;'01_Input'!$K$66),'01_Input'!$M$66,0),MAX(MIN(AQ$20,'01_Input'!$K$66)-'01_Input'!$J$66,0)*'01_Input'!$M$66))+IF('01_Input'!$P$66="Forfait",IF(AQ$20&gt;='01_Input'!$N$66,'01_Input'!$Q$66,0),IF('01_Input'!$P$66="Palier",IF(AND(AQ$20&gt;='01_Input'!$N$66,AQ$20&lt;'01_Input'!$O$66),'01_Input'!$Q$66,0),MAX(MIN(AQ$20,'01_Input'!$O$66)-'01_Input'!$N$66,0)*'01_Input'!$Q$66))+IF('01_Input'!$T$66="Forfait",IF(AQ$20&gt;='01_Input'!$R$66,'01_Input'!$U$66,0),IF('01_Input'!$T$66="Palier",IF(AND(AQ$20&gt;='01_Input'!$R$66,AQ$20&lt;'01_Input'!$S$66),'01_Input'!$U$66,0),MAX(MIN(AQ$20,'01_Input'!$S$66)-'01_Input'!$R$66,0)*'01_Input'!$U$66))+IF('01_Input'!$X$66="Forfait",IF(AQ$20&gt;='01_Input'!$V$66,'01_Input'!$Y$66,0),IF('01_Input'!$X$66="Palier",IF(AND(AQ$20&gt;='01_Input'!$V$66,AQ$20&lt;'01_Input'!$W$66),'01_Input'!$Y$66,0),MAX(MIN(AQ$20,'01_Input'!$W$66)-'01_Input'!$V$66,0)*'01_Input'!$Y$66))+IF('01_Input'!$AB$66="Forfait",IF(AQ$20&gt;='01_Input'!$Z$66,'01_Input'!$AC$66,0),IF('01_Input'!$AB$66="Palier",IF(AND(AQ$20&gt;='01_Input'!$Z$66,AQ$20&lt;'01_Input'!$AA$66),'01_Input'!$AC$66,0),MAX(MIN(AQ$20,'01_Input'!$AA$66)-'01_Input'!$Z$66,0)*'01_Input'!$AC$66)))))))))</f>
        <v>0</v>
      </c>
      <c r="AR34" s="83">
        <f>IF('01_Input'!$C$66="Non",0,MIN('01_Input'!$I$66,MAX('01_Input'!$H$66,IF('01_Input'!$G$66="Résiduel vs Gestion",0,IF('01_Input'!$G$66="Taux Classe sélectionnée",Distrib_Global_Classe_Selectionnee*AR$20,IF('01_Input'!$G$66="Frais KYC (paliers de 100M€)",MAX(0,Nb_Investisseurs-Nb_KYC_Gratuites_Par_Tranche*(FLOOR(AR$20/Taille_Tranche_KYC,1)+1))*Cout_Par_KYC_Supplementaire,(IF('01_Input'!$L$66="Forfait",IF(AR$20&gt;='01_Input'!$J$66,'01_Input'!$M$66,0),IF('01_Input'!$L$66="Palier",IF(AND(AR$20&gt;='01_Input'!$J$66,AR$20&lt;'01_Input'!$K$66),'01_Input'!$M$66,0),MAX(MIN(AR$20,'01_Input'!$K$66)-'01_Input'!$J$66,0)*'01_Input'!$M$66))+IF('01_Input'!$P$66="Forfait",IF(AR$20&gt;='01_Input'!$N$66,'01_Input'!$Q$66,0),IF('01_Input'!$P$66="Palier",IF(AND(AR$20&gt;='01_Input'!$N$66,AR$20&lt;'01_Input'!$O$66),'01_Input'!$Q$66,0),MAX(MIN(AR$20,'01_Input'!$O$66)-'01_Input'!$N$66,0)*'01_Input'!$Q$66))+IF('01_Input'!$T$66="Forfait",IF(AR$20&gt;='01_Input'!$R$66,'01_Input'!$U$66,0),IF('01_Input'!$T$66="Palier",IF(AND(AR$20&gt;='01_Input'!$R$66,AR$20&lt;'01_Input'!$S$66),'01_Input'!$U$66,0),MAX(MIN(AR$20,'01_Input'!$S$66)-'01_Input'!$R$66,0)*'01_Input'!$U$66))+IF('01_Input'!$X$66="Forfait",IF(AR$20&gt;='01_Input'!$V$66,'01_Input'!$Y$66,0),IF('01_Input'!$X$66="Palier",IF(AND(AR$20&gt;='01_Input'!$V$66,AR$20&lt;'01_Input'!$W$66),'01_Input'!$Y$66,0),MAX(MIN(AR$20,'01_Input'!$W$66)-'01_Input'!$V$66,0)*'01_Input'!$Y$66))+IF('01_Input'!$AB$66="Forfait",IF(AR$20&gt;='01_Input'!$Z$66,'01_Input'!$AC$66,0),IF('01_Input'!$AB$66="Palier",IF(AND(AR$20&gt;='01_Input'!$Z$66,AR$20&lt;'01_Input'!$AA$66),'01_Input'!$AC$66,0),MAX(MIN(AR$20,'01_Input'!$AA$66)-'01_Input'!$Z$66,0)*'01_Input'!$AC$66)))))))))</f>
        <v>0</v>
      </c>
      <c r="AS34" s="83">
        <f>IF('01_Input'!$C$66="Non",0,MIN('01_Input'!$I$66,MAX('01_Input'!$H$66,IF('01_Input'!$G$66="Résiduel vs Gestion",0,IF('01_Input'!$G$66="Taux Classe sélectionnée",Distrib_Global_Classe_Selectionnee*AS$20,IF('01_Input'!$G$66="Frais KYC (paliers de 100M€)",MAX(0,Nb_Investisseurs-Nb_KYC_Gratuites_Par_Tranche*(FLOOR(AS$20/Taille_Tranche_KYC,1)+1))*Cout_Par_KYC_Supplementaire,(IF('01_Input'!$L$66="Forfait",IF(AS$20&gt;='01_Input'!$J$66,'01_Input'!$M$66,0),IF('01_Input'!$L$66="Palier",IF(AND(AS$20&gt;='01_Input'!$J$66,AS$20&lt;'01_Input'!$K$66),'01_Input'!$M$66,0),MAX(MIN(AS$20,'01_Input'!$K$66)-'01_Input'!$J$66,0)*'01_Input'!$M$66))+IF('01_Input'!$P$66="Forfait",IF(AS$20&gt;='01_Input'!$N$66,'01_Input'!$Q$66,0),IF('01_Input'!$P$66="Palier",IF(AND(AS$20&gt;='01_Input'!$N$66,AS$20&lt;'01_Input'!$O$66),'01_Input'!$Q$66,0),MAX(MIN(AS$20,'01_Input'!$O$66)-'01_Input'!$N$66,0)*'01_Input'!$Q$66))+IF('01_Input'!$T$66="Forfait",IF(AS$20&gt;='01_Input'!$R$66,'01_Input'!$U$66,0),IF('01_Input'!$T$66="Palier",IF(AND(AS$20&gt;='01_Input'!$R$66,AS$20&lt;'01_Input'!$S$66),'01_Input'!$U$66,0),MAX(MIN(AS$20,'01_Input'!$S$66)-'01_Input'!$R$66,0)*'01_Input'!$U$66))+IF('01_Input'!$X$66="Forfait",IF(AS$20&gt;='01_Input'!$V$66,'01_Input'!$Y$66,0),IF('01_Input'!$X$66="Palier",IF(AND(AS$20&gt;='01_Input'!$V$66,AS$20&lt;'01_Input'!$W$66),'01_Input'!$Y$66,0),MAX(MIN(AS$20,'01_Input'!$W$66)-'01_Input'!$V$66,0)*'01_Input'!$Y$66))+IF('01_Input'!$AB$66="Forfait",IF(AS$20&gt;='01_Input'!$Z$66,'01_Input'!$AC$66,0),IF('01_Input'!$AB$66="Palier",IF(AND(AS$20&gt;='01_Input'!$Z$66,AS$20&lt;'01_Input'!$AA$66),'01_Input'!$AC$66,0),MAX(MIN(AS$20,'01_Input'!$AA$66)-'01_Input'!$Z$66,0)*'01_Input'!$AC$66)))))))))</f>
        <v>0</v>
      </c>
      <c r="AT34" s="83">
        <f>IF('01_Input'!$C$66="Non",0,MIN('01_Input'!$I$66,MAX('01_Input'!$H$66,IF('01_Input'!$G$66="Résiduel vs Gestion",0,IF('01_Input'!$G$66="Taux Classe sélectionnée",Distrib_Global_Classe_Selectionnee*AT$20,IF('01_Input'!$G$66="Frais KYC (paliers de 100M€)",MAX(0,Nb_Investisseurs-Nb_KYC_Gratuites_Par_Tranche*(FLOOR(AT$20/Taille_Tranche_KYC,1)+1))*Cout_Par_KYC_Supplementaire,(IF('01_Input'!$L$66="Forfait",IF(AT$20&gt;='01_Input'!$J$66,'01_Input'!$M$66,0),IF('01_Input'!$L$66="Palier",IF(AND(AT$20&gt;='01_Input'!$J$66,AT$20&lt;'01_Input'!$K$66),'01_Input'!$M$66,0),MAX(MIN(AT$20,'01_Input'!$K$66)-'01_Input'!$J$66,0)*'01_Input'!$M$66))+IF('01_Input'!$P$66="Forfait",IF(AT$20&gt;='01_Input'!$N$66,'01_Input'!$Q$66,0),IF('01_Input'!$P$66="Palier",IF(AND(AT$20&gt;='01_Input'!$N$66,AT$20&lt;'01_Input'!$O$66),'01_Input'!$Q$66,0),MAX(MIN(AT$20,'01_Input'!$O$66)-'01_Input'!$N$66,0)*'01_Input'!$Q$66))+IF('01_Input'!$T$66="Forfait",IF(AT$20&gt;='01_Input'!$R$66,'01_Input'!$U$66,0),IF('01_Input'!$T$66="Palier",IF(AND(AT$20&gt;='01_Input'!$R$66,AT$20&lt;'01_Input'!$S$66),'01_Input'!$U$66,0),MAX(MIN(AT$20,'01_Input'!$S$66)-'01_Input'!$R$66,0)*'01_Input'!$U$66))+IF('01_Input'!$X$66="Forfait",IF(AT$20&gt;='01_Input'!$V$66,'01_Input'!$Y$66,0),IF('01_Input'!$X$66="Palier",IF(AND(AT$20&gt;='01_Input'!$V$66,AT$20&lt;'01_Input'!$W$66),'01_Input'!$Y$66,0),MAX(MIN(AT$20,'01_Input'!$W$66)-'01_Input'!$V$66,0)*'01_Input'!$Y$66))+IF('01_Input'!$AB$66="Forfait",IF(AT$20&gt;='01_Input'!$Z$66,'01_Input'!$AC$66,0),IF('01_Input'!$AB$66="Palier",IF(AND(AT$20&gt;='01_Input'!$Z$66,AT$20&lt;'01_Input'!$AA$66),'01_Input'!$AC$66,0),MAX(MIN(AT$20,'01_Input'!$AA$66)-'01_Input'!$Z$66,0)*'01_Input'!$AC$66)))))))))</f>
        <v>0</v>
      </c>
      <c r="AU34" s="83">
        <f>IF('01_Input'!$C$66="Non",0,MIN('01_Input'!$I$66,MAX('01_Input'!$H$66,IF('01_Input'!$G$66="Résiduel vs Gestion",0,IF('01_Input'!$G$66="Taux Classe sélectionnée",Distrib_Global_Classe_Selectionnee*AU$20,IF('01_Input'!$G$66="Frais KYC (paliers de 100M€)",MAX(0,Nb_Investisseurs-Nb_KYC_Gratuites_Par_Tranche*(FLOOR(AU$20/Taille_Tranche_KYC,1)+1))*Cout_Par_KYC_Supplementaire,(IF('01_Input'!$L$66="Forfait",IF(AU$20&gt;='01_Input'!$J$66,'01_Input'!$M$66,0),IF('01_Input'!$L$66="Palier",IF(AND(AU$20&gt;='01_Input'!$J$66,AU$20&lt;'01_Input'!$K$66),'01_Input'!$M$66,0),MAX(MIN(AU$20,'01_Input'!$K$66)-'01_Input'!$J$66,0)*'01_Input'!$M$66))+IF('01_Input'!$P$66="Forfait",IF(AU$20&gt;='01_Input'!$N$66,'01_Input'!$Q$66,0),IF('01_Input'!$P$66="Palier",IF(AND(AU$20&gt;='01_Input'!$N$66,AU$20&lt;'01_Input'!$O$66),'01_Input'!$Q$66,0),MAX(MIN(AU$20,'01_Input'!$O$66)-'01_Input'!$N$66,0)*'01_Input'!$Q$66))+IF('01_Input'!$T$66="Forfait",IF(AU$20&gt;='01_Input'!$R$66,'01_Input'!$U$66,0),IF('01_Input'!$T$66="Palier",IF(AND(AU$20&gt;='01_Input'!$R$66,AU$20&lt;'01_Input'!$S$66),'01_Input'!$U$66,0),MAX(MIN(AU$20,'01_Input'!$S$66)-'01_Input'!$R$66,0)*'01_Input'!$U$66))+IF('01_Input'!$X$66="Forfait",IF(AU$20&gt;='01_Input'!$V$66,'01_Input'!$Y$66,0),IF('01_Input'!$X$66="Palier",IF(AND(AU$20&gt;='01_Input'!$V$66,AU$20&lt;'01_Input'!$W$66),'01_Input'!$Y$66,0),MAX(MIN(AU$20,'01_Input'!$W$66)-'01_Input'!$V$66,0)*'01_Input'!$Y$66))+IF('01_Input'!$AB$66="Forfait",IF(AU$20&gt;='01_Input'!$Z$66,'01_Input'!$AC$66,0),IF('01_Input'!$AB$66="Palier",IF(AND(AU$20&gt;='01_Input'!$Z$66,AU$20&lt;'01_Input'!$AA$66),'01_Input'!$AC$66,0),MAX(MIN(AU$20,'01_Input'!$AA$66)-'01_Input'!$Z$66,0)*'01_Input'!$AC$66)))))))))</f>
        <v>0</v>
      </c>
      <c r="AV34" s="83">
        <f>IF('01_Input'!$C$66="Non",0,MIN('01_Input'!$I$66,MAX('01_Input'!$H$66,IF('01_Input'!$G$66="Résiduel vs Gestion",0,IF('01_Input'!$G$66="Taux Classe sélectionnée",Distrib_Global_Classe_Selectionnee*AV$20,IF('01_Input'!$G$66="Frais KYC (paliers de 100M€)",MAX(0,Nb_Investisseurs-Nb_KYC_Gratuites_Par_Tranche*(FLOOR(AV$20/Taille_Tranche_KYC,1)+1))*Cout_Par_KYC_Supplementaire,(IF('01_Input'!$L$66="Forfait",IF(AV$20&gt;='01_Input'!$J$66,'01_Input'!$M$66,0),IF('01_Input'!$L$66="Palier",IF(AND(AV$20&gt;='01_Input'!$J$66,AV$20&lt;'01_Input'!$K$66),'01_Input'!$M$66,0),MAX(MIN(AV$20,'01_Input'!$K$66)-'01_Input'!$J$66,0)*'01_Input'!$M$66))+IF('01_Input'!$P$66="Forfait",IF(AV$20&gt;='01_Input'!$N$66,'01_Input'!$Q$66,0),IF('01_Input'!$P$66="Palier",IF(AND(AV$20&gt;='01_Input'!$N$66,AV$20&lt;'01_Input'!$O$66),'01_Input'!$Q$66,0),MAX(MIN(AV$20,'01_Input'!$O$66)-'01_Input'!$N$66,0)*'01_Input'!$Q$66))+IF('01_Input'!$T$66="Forfait",IF(AV$20&gt;='01_Input'!$R$66,'01_Input'!$U$66,0),IF('01_Input'!$T$66="Palier",IF(AND(AV$20&gt;='01_Input'!$R$66,AV$20&lt;'01_Input'!$S$66),'01_Input'!$U$66,0),MAX(MIN(AV$20,'01_Input'!$S$66)-'01_Input'!$R$66,0)*'01_Input'!$U$66))+IF('01_Input'!$X$66="Forfait",IF(AV$20&gt;='01_Input'!$V$66,'01_Input'!$Y$66,0),IF('01_Input'!$X$66="Palier",IF(AND(AV$20&gt;='01_Input'!$V$66,AV$20&lt;'01_Input'!$W$66),'01_Input'!$Y$66,0),MAX(MIN(AV$20,'01_Input'!$W$66)-'01_Input'!$V$66,0)*'01_Input'!$Y$66))+IF('01_Input'!$AB$66="Forfait",IF(AV$20&gt;='01_Input'!$Z$66,'01_Input'!$AC$66,0),IF('01_Input'!$AB$66="Palier",IF(AND(AV$20&gt;='01_Input'!$Z$66,AV$20&lt;'01_Input'!$AA$66),'01_Input'!$AC$66,0),MAX(MIN(AV$20,'01_Input'!$AA$66)-'01_Input'!$Z$66,0)*'01_Input'!$AC$66)))))))))</f>
        <v>0</v>
      </c>
      <c r="AW34" s="83">
        <f>IF('01_Input'!$C$66="Non",0,MIN('01_Input'!$I$66,MAX('01_Input'!$H$66,IF('01_Input'!$G$66="Résiduel vs Gestion",0,IF('01_Input'!$G$66="Taux Classe sélectionnée",Distrib_Global_Classe_Selectionnee*AW$20,IF('01_Input'!$G$66="Frais KYC (paliers de 100M€)",MAX(0,Nb_Investisseurs-Nb_KYC_Gratuites_Par_Tranche*(FLOOR(AW$20/Taille_Tranche_KYC,1)+1))*Cout_Par_KYC_Supplementaire,(IF('01_Input'!$L$66="Forfait",IF(AW$20&gt;='01_Input'!$J$66,'01_Input'!$M$66,0),IF('01_Input'!$L$66="Palier",IF(AND(AW$20&gt;='01_Input'!$J$66,AW$20&lt;'01_Input'!$K$66),'01_Input'!$M$66,0),MAX(MIN(AW$20,'01_Input'!$K$66)-'01_Input'!$J$66,0)*'01_Input'!$M$66))+IF('01_Input'!$P$66="Forfait",IF(AW$20&gt;='01_Input'!$N$66,'01_Input'!$Q$66,0),IF('01_Input'!$P$66="Palier",IF(AND(AW$20&gt;='01_Input'!$N$66,AW$20&lt;'01_Input'!$O$66),'01_Input'!$Q$66,0),MAX(MIN(AW$20,'01_Input'!$O$66)-'01_Input'!$N$66,0)*'01_Input'!$Q$66))+IF('01_Input'!$T$66="Forfait",IF(AW$20&gt;='01_Input'!$R$66,'01_Input'!$U$66,0),IF('01_Input'!$T$66="Palier",IF(AND(AW$20&gt;='01_Input'!$R$66,AW$20&lt;'01_Input'!$S$66),'01_Input'!$U$66,0),MAX(MIN(AW$20,'01_Input'!$S$66)-'01_Input'!$R$66,0)*'01_Input'!$U$66))+IF('01_Input'!$X$66="Forfait",IF(AW$20&gt;='01_Input'!$V$66,'01_Input'!$Y$66,0),IF('01_Input'!$X$66="Palier",IF(AND(AW$20&gt;='01_Input'!$V$66,AW$20&lt;'01_Input'!$W$66),'01_Input'!$Y$66,0),MAX(MIN(AW$20,'01_Input'!$W$66)-'01_Input'!$V$66,0)*'01_Input'!$Y$66))+IF('01_Input'!$AB$66="Forfait",IF(AW$20&gt;='01_Input'!$Z$66,'01_Input'!$AC$66,0),IF('01_Input'!$AB$66="Palier",IF(AND(AW$20&gt;='01_Input'!$Z$66,AW$20&lt;'01_Input'!$AA$66),'01_Input'!$AC$66,0),MAX(MIN(AW$20,'01_Input'!$AA$66)-'01_Input'!$Z$66,0)*'01_Input'!$AC$66)))))))))</f>
        <v>0</v>
      </c>
      <c r="AX34" s="83">
        <f>IF('01_Input'!$C$66="Non",0,MIN('01_Input'!$I$66,MAX('01_Input'!$H$66,IF('01_Input'!$G$66="Résiduel vs Gestion",0,IF('01_Input'!$G$66="Taux Classe sélectionnée",Distrib_Global_Classe_Selectionnee*AX$20,IF('01_Input'!$G$66="Frais KYC (paliers de 100M€)",MAX(0,Nb_Investisseurs-Nb_KYC_Gratuites_Par_Tranche*(FLOOR(AX$20/Taille_Tranche_KYC,1)+1))*Cout_Par_KYC_Supplementaire,(IF('01_Input'!$L$66="Forfait",IF(AX$20&gt;='01_Input'!$J$66,'01_Input'!$M$66,0),IF('01_Input'!$L$66="Palier",IF(AND(AX$20&gt;='01_Input'!$J$66,AX$20&lt;'01_Input'!$K$66),'01_Input'!$M$66,0),MAX(MIN(AX$20,'01_Input'!$K$66)-'01_Input'!$J$66,0)*'01_Input'!$M$66))+IF('01_Input'!$P$66="Forfait",IF(AX$20&gt;='01_Input'!$N$66,'01_Input'!$Q$66,0),IF('01_Input'!$P$66="Palier",IF(AND(AX$20&gt;='01_Input'!$N$66,AX$20&lt;'01_Input'!$O$66),'01_Input'!$Q$66,0),MAX(MIN(AX$20,'01_Input'!$O$66)-'01_Input'!$N$66,0)*'01_Input'!$Q$66))+IF('01_Input'!$T$66="Forfait",IF(AX$20&gt;='01_Input'!$R$66,'01_Input'!$U$66,0),IF('01_Input'!$T$66="Palier",IF(AND(AX$20&gt;='01_Input'!$R$66,AX$20&lt;'01_Input'!$S$66),'01_Input'!$U$66,0),MAX(MIN(AX$20,'01_Input'!$S$66)-'01_Input'!$R$66,0)*'01_Input'!$U$66))+IF('01_Input'!$X$66="Forfait",IF(AX$20&gt;='01_Input'!$V$66,'01_Input'!$Y$66,0),IF('01_Input'!$X$66="Palier",IF(AND(AX$20&gt;='01_Input'!$V$66,AX$20&lt;'01_Input'!$W$66),'01_Input'!$Y$66,0),MAX(MIN(AX$20,'01_Input'!$W$66)-'01_Input'!$V$66,0)*'01_Input'!$Y$66))+IF('01_Input'!$AB$66="Forfait",IF(AX$20&gt;='01_Input'!$Z$66,'01_Input'!$AC$66,0),IF('01_Input'!$AB$66="Palier",IF(AND(AX$20&gt;='01_Input'!$Z$66,AX$20&lt;'01_Input'!$AA$66),'01_Input'!$AC$66,0),MAX(MIN(AX$20,'01_Input'!$AA$66)-'01_Input'!$Z$66,0)*'01_Input'!$AC$66)))))))))</f>
        <v>0</v>
      </c>
      <c r="AY34" s="83">
        <f>IF('01_Input'!$C$66="Non",0,MIN('01_Input'!$I$66,MAX('01_Input'!$H$66,IF('01_Input'!$G$66="Résiduel vs Gestion",0,IF('01_Input'!$G$66="Taux Classe sélectionnée",Distrib_Global_Classe_Selectionnee*AY$20,IF('01_Input'!$G$66="Frais KYC (paliers de 100M€)",MAX(0,Nb_Investisseurs-Nb_KYC_Gratuites_Par_Tranche*(FLOOR(AY$20/Taille_Tranche_KYC,1)+1))*Cout_Par_KYC_Supplementaire,(IF('01_Input'!$L$66="Forfait",IF(AY$20&gt;='01_Input'!$J$66,'01_Input'!$M$66,0),IF('01_Input'!$L$66="Palier",IF(AND(AY$20&gt;='01_Input'!$J$66,AY$20&lt;'01_Input'!$K$66),'01_Input'!$M$66,0),MAX(MIN(AY$20,'01_Input'!$K$66)-'01_Input'!$J$66,0)*'01_Input'!$M$66))+IF('01_Input'!$P$66="Forfait",IF(AY$20&gt;='01_Input'!$N$66,'01_Input'!$Q$66,0),IF('01_Input'!$P$66="Palier",IF(AND(AY$20&gt;='01_Input'!$N$66,AY$20&lt;'01_Input'!$O$66),'01_Input'!$Q$66,0),MAX(MIN(AY$20,'01_Input'!$O$66)-'01_Input'!$N$66,0)*'01_Input'!$Q$66))+IF('01_Input'!$T$66="Forfait",IF(AY$20&gt;='01_Input'!$R$66,'01_Input'!$U$66,0),IF('01_Input'!$T$66="Palier",IF(AND(AY$20&gt;='01_Input'!$R$66,AY$20&lt;'01_Input'!$S$66),'01_Input'!$U$66,0),MAX(MIN(AY$20,'01_Input'!$S$66)-'01_Input'!$R$66,0)*'01_Input'!$U$66))+IF('01_Input'!$X$66="Forfait",IF(AY$20&gt;='01_Input'!$V$66,'01_Input'!$Y$66,0),IF('01_Input'!$X$66="Palier",IF(AND(AY$20&gt;='01_Input'!$V$66,AY$20&lt;'01_Input'!$W$66),'01_Input'!$Y$66,0),MAX(MIN(AY$20,'01_Input'!$W$66)-'01_Input'!$V$66,0)*'01_Input'!$Y$66))+IF('01_Input'!$AB$66="Forfait",IF(AY$20&gt;='01_Input'!$Z$66,'01_Input'!$AC$66,0),IF('01_Input'!$AB$66="Palier",IF(AND(AY$20&gt;='01_Input'!$Z$66,AY$20&lt;'01_Input'!$AA$66),'01_Input'!$AC$66,0),MAX(MIN(AY$20,'01_Input'!$AA$66)-'01_Input'!$Z$66,0)*'01_Input'!$AC$66)))))))))</f>
        <v>0</v>
      </c>
      <c r="AZ34" s="83">
        <f>IF('01_Input'!$C$66="Non",0,MIN('01_Input'!$I$66,MAX('01_Input'!$H$66,IF('01_Input'!$G$66="Résiduel vs Gestion",0,IF('01_Input'!$G$66="Taux Classe sélectionnée",Distrib_Global_Classe_Selectionnee*AZ$20,IF('01_Input'!$G$66="Frais KYC (paliers de 100M€)",MAX(0,Nb_Investisseurs-Nb_KYC_Gratuites_Par_Tranche*(FLOOR(AZ$20/Taille_Tranche_KYC,1)+1))*Cout_Par_KYC_Supplementaire,(IF('01_Input'!$L$66="Forfait",IF(AZ$20&gt;='01_Input'!$J$66,'01_Input'!$M$66,0),IF('01_Input'!$L$66="Palier",IF(AND(AZ$20&gt;='01_Input'!$J$66,AZ$20&lt;'01_Input'!$K$66),'01_Input'!$M$66,0),MAX(MIN(AZ$20,'01_Input'!$K$66)-'01_Input'!$J$66,0)*'01_Input'!$M$66))+IF('01_Input'!$P$66="Forfait",IF(AZ$20&gt;='01_Input'!$N$66,'01_Input'!$Q$66,0),IF('01_Input'!$P$66="Palier",IF(AND(AZ$20&gt;='01_Input'!$N$66,AZ$20&lt;'01_Input'!$O$66),'01_Input'!$Q$66,0),MAX(MIN(AZ$20,'01_Input'!$O$66)-'01_Input'!$N$66,0)*'01_Input'!$Q$66))+IF('01_Input'!$T$66="Forfait",IF(AZ$20&gt;='01_Input'!$R$66,'01_Input'!$U$66,0),IF('01_Input'!$T$66="Palier",IF(AND(AZ$20&gt;='01_Input'!$R$66,AZ$20&lt;'01_Input'!$S$66),'01_Input'!$U$66,0),MAX(MIN(AZ$20,'01_Input'!$S$66)-'01_Input'!$R$66,0)*'01_Input'!$U$66))+IF('01_Input'!$X$66="Forfait",IF(AZ$20&gt;='01_Input'!$V$66,'01_Input'!$Y$66,0),IF('01_Input'!$X$66="Palier",IF(AND(AZ$20&gt;='01_Input'!$V$66,AZ$20&lt;'01_Input'!$W$66),'01_Input'!$Y$66,0),MAX(MIN(AZ$20,'01_Input'!$W$66)-'01_Input'!$V$66,0)*'01_Input'!$Y$66))+IF('01_Input'!$AB$66="Forfait",IF(AZ$20&gt;='01_Input'!$Z$66,'01_Input'!$AC$66,0),IF('01_Input'!$AB$66="Palier",IF(AND(AZ$20&gt;='01_Input'!$Z$66,AZ$20&lt;'01_Input'!$AA$66),'01_Input'!$AC$66,0),MAX(MIN(AZ$20,'01_Input'!$AA$66)-'01_Input'!$Z$66,0)*'01_Input'!$AC$66)))))))))</f>
        <v>0</v>
      </c>
      <c r="BA34" s="83">
        <f>IF('01_Input'!$C$66="Non",0,MIN('01_Input'!$I$66,MAX('01_Input'!$H$66,IF('01_Input'!$G$66="Résiduel vs Gestion",0,IF('01_Input'!$G$66="Taux Classe sélectionnée",Distrib_Global_Classe_Selectionnee*BA$20,IF('01_Input'!$G$66="Frais KYC (paliers de 100M€)",MAX(0,Nb_Investisseurs-Nb_KYC_Gratuites_Par_Tranche*(FLOOR(BA$20/Taille_Tranche_KYC,1)+1))*Cout_Par_KYC_Supplementaire,(IF('01_Input'!$L$66="Forfait",IF(BA$20&gt;='01_Input'!$J$66,'01_Input'!$M$66,0),IF('01_Input'!$L$66="Palier",IF(AND(BA$20&gt;='01_Input'!$J$66,BA$20&lt;'01_Input'!$K$66),'01_Input'!$M$66,0),MAX(MIN(BA$20,'01_Input'!$K$66)-'01_Input'!$J$66,0)*'01_Input'!$M$66))+IF('01_Input'!$P$66="Forfait",IF(BA$20&gt;='01_Input'!$N$66,'01_Input'!$Q$66,0),IF('01_Input'!$P$66="Palier",IF(AND(BA$20&gt;='01_Input'!$N$66,BA$20&lt;'01_Input'!$O$66),'01_Input'!$Q$66,0),MAX(MIN(BA$20,'01_Input'!$O$66)-'01_Input'!$N$66,0)*'01_Input'!$Q$66))+IF('01_Input'!$T$66="Forfait",IF(BA$20&gt;='01_Input'!$R$66,'01_Input'!$U$66,0),IF('01_Input'!$T$66="Palier",IF(AND(BA$20&gt;='01_Input'!$R$66,BA$20&lt;'01_Input'!$S$66),'01_Input'!$U$66,0),MAX(MIN(BA$20,'01_Input'!$S$66)-'01_Input'!$R$66,0)*'01_Input'!$U$66))+IF('01_Input'!$X$66="Forfait",IF(BA$20&gt;='01_Input'!$V$66,'01_Input'!$Y$66,0),IF('01_Input'!$X$66="Palier",IF(AND(BA$20&gt;='01_Input'!$V$66,BA$20&lt;'01_Input'!$W$66),'01_Input'!$Y$66,0),MAX(MIN(BA$20,'01_Input'!$W$66)-'01_Input'!$V$66,0)*'01_Input'!$Y$66))+IF('01_Input'!$AB$66="Forfait",IF(BA$20&gt;='01_Input'!$Z$66,'01_Input'!$AC$66,0),IF('01_Input'!$AB$66="Palier",IF(AND(BA$20&gt;='01_Input'!$Z$66,BA$20&lt;'01_Input'!$AA$66),'01_Input'!$AC$66,0),MAX(MIN(BA$20,'01_Input'!$AA$66)-'01_Input'!$Z$66,0)*'01_Input'!$AC$66)))))))))</f>
        <v>0</v>
      </c>
      <c r="BB34" s="83">
        <f>IF('01_Input'!$C$66="Non",0,MIN('01_Input'!$I$66,MAX('01_Input'!$H$66,IF('01_Input'!$G$66="Résiduel vs Gestion",0,IF('01_Input'!$G$66="Taux Classe sélectionnée",Distrib_Global_Classe_Selectionnee*BB$20,IF('01_Input'!$G$66="Frais KYC (paliers de 100M€)",MAX(0,Nb_Investisseurs-Nb_KYC_Gratuites_Par_Tranche*(FLOOR(BB$20/Taille_Tranche_KYC,1)+1))*Cout_Par_KYC_Supplementaire,(IF('01_Input'!$L$66="Forfait",IF(BB$20&gt;='01_Input'!$J$66,'01_Input'!$M$66,0),IF('01_Input'!$L$66="Palier",IF(AND(BB$20&gt;='01_Input'!$J$66,BB$20&lt;'01_Input'!$K$66),'01_Input'!$M$66,0),MAX(MIN(BB$20,'01_Input'!$K$66)-'01_Input'!$J$66,0)*'01_Input'!$M$66))+IF('01_Input'!$P$66="Forfait",IF(BB$20&gt;='01_Input'!$N$66,'01_Input'!$Q$66,0),IF('01_Input'!$P$66="Palier",IF(AND(BB$20&gt;='01_Input'!$N$66,BB$20&lt;'01_Input'!$O$66),'01_Input'!$Q$66,0),MAX(MIN(BB$20,'01_Input'!$O$66)-'01_Input'!$N$66,0)*'01_Input'!$Q$66))+IF('01_Input'!$T$66="Forfait",IF(BB$20&gt;='01_Input'!$R$66,'01_Input'!$U$66,0),IF('01_Input'!$T$66="Palier",IF(AND(BB$20&gt;='01_Input'!$R$66,BB$20&lt;'01_Input'!$S$66),'01_Input'!$U$66,0),MAX(MIN(BB$20,'01_Input'!$S$66)-'01_Input'!$R$66,0)*'01_Input'!$U$66))+IF('01_Input'!$X$66="Forfait",IF(BB$20&gt;='01_Input'!$V$66,'01_Input'!$Y$66,0),IF('01_Input'!$X$66="Palier",IF(AND(BB$20&gt;='01_Input'!$V$66,BB$20&lt;'01_Input'!$W$66),'01_Input'!$Y$66,0),MAX(MIN(BB$20,'01_Input'!$W$66)-'01_Input'!$V$66,0)*'01_Input'!$Y$66))+IF('01_Input'!$AB$66="Forfait",IF(BB$20&gt;='01_Input'!$Z$66,'01_Input'!$AC$66,0),IF('01_Input'!$AB$66="Palier",IF(AND(BB$20&gt;='01_Input'!$Z$66,BB$20&lt;'01_Input'!$AA$66),'01_Input'!$AC$66,0),MAX(MIN(BB$20,'01_Input'!$AA$66)-'01_Input'!$Z$66,0)*'01_Input'!$AC$66)))))))))</f>
        <v>0</v>
      </c>
      <c r="BC34" s="83">
        <f>IF('01_Input'!$C$66="Non",0,MIN('01_Input'!$I$66,MAX('01_Input'!$H$66,IF('01_Input'!$G$66="Résiduel vs Gestion",0,IF('01_Input'!$G$66="Taux Classe sélectionnée",Distrib_Global_Classe_Selectionnee*BC$20,IF('01_Input'!$G$66="Frais KYC (paliers de 100M€)",MAX(0,Nb_Investisseurs-Nb_KYC_Gratuites_Par_Tranche*(FLOOR(BC$20/Taille_Tranche_KYC,1)+1))*Cout_Par_KYC_Supplementaire,(IF('01_Input'!$L$66="Forfait",IF(BC$20&gt;='01_Input'!$J$66,'01_Input'!$M$66,0),IF('01_Input'!$L$66="Palier",IF(AND(BC$20&gt;='01_Input'!$J$66,BC$20&lt;'01_Input'!$K$66),'01_Input'!$M$66,0),MAX(MIN(BC$20,'01_Input'!$K$66)-'01_Input'!$J$66,0)*'01_Input'!$M$66))+IF('01_Input'!$P$66="Forfait",IF(BC$20&gt;='01_Input'!$N$66,'01_Input'!$Q$66,0),IF('01_Input'!$P$66="Palier",IF(AND(BC$20&gt;='01_Input'!$N$66,BC$20&lt;'01_Input'!$O$66),'01_Input'!$Q$66,0),MAX(MIN(BC$20,'01_Input'!$O$66)-'01_Input'!$N$66,0)*'01_Input'!$Q$66))+IF('01_Input'!$T$66="Forfait",IF(BC$20&gt;='01_Input'!$R$66,'01_Input'!$U$66,0),IF('01_Input'!$T$66="Palier",IF(AND(BC$20&gt;='01_Input'!$R$66,BC$20&lt;'01_Input'!$S$66),'01_Input'!$U$66,0),MAX(MIN(BC$20,'01_Input'!$S$66)-'01_Input'!$R$66,0)*'01_Input'!$U$66))+IF('01_Input'!$X$66="Forfait",IF(BC$20&gt;='01_Input'!$V$66,'01_Input'!$Y$66,0),IF('01_Input'!$X$66="Palier",IF(AND(BC$20&gt;='01_Input'!$V$66,BC$20&lt;'01_Input'!$W$66),'01_Input'!$Y$66,0),MAX(MIN(BC$20,'01_Input'!$W$66)-'01_Input'!$V$66,0)*'01_Input'!$Y$66))+IF('01_Input'!$AB$66="Forfait",IF(BC$20&gt;='01_Input'!$Z$66,'01_Input'!$AC$66,0),IF('01_Input'!$AB$66="Palier",IF(AND(BC$20&gt;='01_Input'!$Z$66,BC$20&lt;'01_Input'!$AA$66),'01_Input'!$AC$66,0),MAX(MIN(BC$20,'01_Input'!$AA$66)-'01_Input'!$Z$66,0)*'01_Input'!$AC$66)))))))))</f>
        <v>0</v>
      </c>
      <c r="BD34" s="83">
        <f>IF('01_Input'!$C$66="Non",0,MIN('01_Input'!$I$66,MAX('01_Input'!$H$66,IF('01_Input'!$G$66="Résiduel vs Gestion",0,IF('01_Input'!$G$66="Taux Classe sélectionnée",Distrib_Global_Classe_Selectionnee*BD$20,IF('01_Input'!$G$66="Frais KYC (paliers de 100M€)",MAX(0,Nb_Investisseurs-Nb_KYC_Gratuites_Par_Tranche*(FLOOR(BD$20/Taille_Tranche_KYC,1)+1))*Cout_Par_KYC_Supplementaire,(IF('01_Input'!$L$66="Forfait",IF(BD$20&gt;='01_Input'!$J$66,'01_Input'!$M$66,0),IF('01_Input'!$L$66="Palier",IF(AND(BD$20&gt;='01_Input'!$J$66,BD$20&lt;'01_Input'!$K$66),'01_Input'!$M$66,0),MAX(MIN(BD$20,'01_Input'!$K$66)-'01_Input'!$J$66,0)*'01_Input'!$M$66))+IF('01_Input'!$P$66="Forfait",IF(BD$20&gt;='01_Input'!$N$66,'01_Input'!$Q$66,0),IF('01_Input'!$P$66="Palier",IF(AND(BD$20&gt;='01_Input'!$N$66,BD$20&lt;'01_Input'!$O$66),'01_Input'!$Q$66,0),MAX(MIN(BD$20,'01_Input'!$O$66)-'01_Input'!$N$66,0)*'01_Input'!$Q$66))+IF('01_Input'!$T$66="Forfait",IF(BD$20&gt;='01_Input'!$R$66,'01_Input'!$U$66,0),IF('01_Input'!$T$66="Palier",IF(AND(BD$20&gt;='01_Input'!$R$66,BD$20&lt;'01_Input'!$S$66),'01_Input'!$U$66,0),MAX(MIN(BD$20,'01_Input'!$S$66)-'01_Input'!$R$66,0)*'01_Input'!$U$66))+IF('01_Input'!$X$66="Forfait",IF(BD$20&gt;='01_Input'!$V$66,'01_Input'!$Y$66,0),IF('01_Input'!$X$66="Palier",IF(AND(BD$20&gt;='01_Input'!$V$66,BD$20&lt;'01_Input'!$W$66),'01_Input'!$Y$66,0),MAX(MIN(BD$20,'01_Input'!$W$66)-'01_Input'!$V$66,0)*'01_Input'!$Y$66))+IF('01_Input'!$AB$66="Forfait",IF(BD$20&gt;='01_Input'!$Z$66,'01_Input'!$AC$66,0),IF('01_Input'!$AB$66="Palier",IF(AND(BD$20&gt;='01_Input'!$Z$66,BD$20&lt;'01_Input'!$AA$66),'01_Input'!$AC$66,0),MAX(MIN(BD$20,'01_Input'!$AA$66)-'01_Input'!$Z$66,0)*'01_Input'!$AC$66)))))))))</f>
        <v>0</v>
      </c>
      <c r="BE34" s="83">
        <f>IF('01_Input'!$C$66="Non",0,MIN('01_Input'!$I$66,MAX('01_Input'!$H$66,IF('01_Input'!$G$66="Résiduel vs Gestion",0,IF('01_Input'!$G$66="Taux Classe sélectionnée",Distrib_Global_Classe_Selectionnee*BE$20,IF('01_Input'!$G$66="Frais KYC (paliers de 100M€)",MAX(0,Nb_Investisseurs-Nb_KYC_Gratuites_Par_Tranche*(FLOOR(BE$20/Taille_Tranche_KYC,1)+1))*Cout_Par_KYC_Supplementaire,(IF('01_Input'!$L$66="Forfait",IF(BE$20&gt;='01_Input'!$J$66,'01_Input'!$M$66,0),IF('01_Input'!$L$66="Palier",IF(AND(BE$20&gt;='01_Input'!$J$66,BE$20&lt;'01_Input'!$K$66),'01_Input'!$M$66,0),MAX(MIN(BE$20,'01_Input'!$K$66)-'01_Input'!$J$66,0)*'01_Input'!$M$66))+IF('01_Input'!$P$66="Forfait",IF(BE$20&gt;='01_Input'!$N$66,'01_Input'!$Q$66,0),IF('01_Input'!$P$66="Palier",IF(AND(BE$20&gt;='01_Input'!$N$66,BE$20&lt;'01_Input'!$O$66),'01_Input'!$Q$66,0),MAX(MIN(BE$20,'01_Input'!$O$66)-'01_Input'!$N$66,0)*'01_Input'!$Q$66))+IF('01_Input'!$T$66="Forfait",IF(BE$20&gt;='01_Input'!$R$66,'01_Input'!$U$66,0),IF('01_Input'!$T$66="Palier",IF(AND(BE$20&gt;='01_Input'!$R$66,BE$20&lt;'01_Input'!$S$66),'01_Input'!$U$66,0),MAX(MIN(BE$20,'01_Input'!$S$66)-'01_Input'!$R$66,0)*'01_Input'!$U$66))+IF('01_Input'!$X$66="Forfait",IF(BE$20&gt;='01_Input'!$V$66,'01_Input'!$Y$66,0),IF('01_Input'!$X$66="Palier",IF(AND(BE$20&gt;='01_Input'!$V$66,BE$20&lt;'01_Input'!$W$66),'01_Input'!$Y$66,0),MAX(MIN(BE$20,'01_Input'!$W$66)-'01_Input'!$V$66,0)*'01_Input'!$Y$66))+IF('01_Input'!$AB$66="Forfait",IF(BE$20&gt;='01_Input'!$Z$66,'01_Input'!$AC$66,0),IF('01_Input'!$AB$66="Palier",IF(AND(BE$20&gt;='01_Input'!$Z$66,BE$20&lt;'01_Input'!$AA$66),'01_Input'!$AC$66,0),MAX(MIN(BE$20,'01_Input'!$AA$66)-'01_Input'!$Z$66,0)*'01_Input'!$AC$66)))))))))</f>
        <v>0</v>
      </c>
      <c r="BF34" s="83">
        <f>IF('01_Input'!$C$66="Non",0,MIN('01_Input'!$I$66,MAX('01_Input'!$H$66,IF('01_Input'!$G$66="Résiduel vs Gestion",0,IF('01_Input'!$G$66="Taux Classe sélectionnée",Distrib_Global_Classe_Selectionnee*BF$20,IF('01_Input'!$G$66="Frais KYC (paliers de 100M€)",MAX(0,Nb_Investisseurs-Nb_KYC_Gratuites_Par_Tranche*(FLOOR(BF$20/Taille_Tranche_KYC,1)+1))*Cout_Par_KYC_Supplementaire,(IF('01_Input'!$L$66="Forfait",IF(BF$20&gt;='01_Input'!$J$66,'01_Input'!$M$66,0),IF('01_Input'!$L$66="Palier",IF(AND(BF$20&gt;='01_Input'!$J$66,BF$20&lt;'01_Input'!$K$66),'01_Input'!$M$66,0),MAX(MIN(BF$20,'01_Input'!$K$66)-'01_Input'!$J$66,0)*'01_Input'!$M$66))+IF('01_Input'!$P$66="Forfait",IF(BF$20&gt;='01_Input'!$N$66,'01_Input'!$Q$66,0),IF('01_Input'!$P$66="Palier",IF(AND(BF$20&gt;='01_Input'!$N$66,BF$20&lt;'01_Input'!$O$66),'01_Input'!$Q$66,0),MAX(MIN(BF$20,'01_Input'!$O$66)-'01_Input'!$N$66,0)*'01_Input'!$Q$66))+IF('01_Input'!$T$66="Forfait",IF(BF$20&gt;='01_Input'!$R$66,'01_Input'!$U$66,0),IF('01_Input'!$T$66="Palier",IF(AND(BF$20&gt;='01_Input'!$R$66,BF$20&lt;'01_Input'!$S$66),'01_Input'!$U$66,0),MAX(MIN(BF$20,'01_Input'!$S$66)-'01_Input'!$R$66,0)*'01_Input'!$U$66))+IF('01_Input'!$X$66="Forfait",IF(BF$20&gt;='01_Input'!$V$66,'01_Input'!$Y$66,0),IF('01_Input'!$X$66="Palier",IF(AND(BF$20&gt;='01_Input'!$V$66,BF$20&lt;'01_Input'!$W$66),'01_Input'!$Y$66,0),MAX(MIN(BF$20,'01_Input'!$W$66)-'01_Input'!$V$66,0)*'01_Input'!$Y$66))+IF('01_Input'!$AB$66="Forfait",IF(BF$20&gt;='01_Input'!$Z$66,'01_Input'!$AC$66,0),IF('01_Input'!$AB$66="Palier",IF(AND(BF$20&gt;='01_Input'!$Z$66,BF$20&lt;'01_Input'!$AA$66),'01_Input'!$AC$66,0),MAX(MIN(BF$20,'01_Input'!$AA$66)-'01_Input'!$Z$66,0)*'01_Input'!$AC$66)))))))))</f>
        <v>0</v>
      </c>
      <c r="BG34" s="83">
        <f>IF('01_Input'!$C$66="Non",0,MIN('01_Input'!$I$66,MAX('01_Input'!$H$66,IF('01_Input'!$G$66="Résiduel vs Gestion",0,IF('01_Input'!$G$66="Taux Classe sélectionnée",Distrib_Global_Classe_Selectionnee*BG$20,IF('01_Input'!$G$66="Frais KYC (paliers de 100M€)",MAX(0,Nb_Investisseurs-Nb_KYC_Gratuites_Par_Tranche*(FLOOR(BG$20/Taille_Tranche_KYC,1)+1))*Cout_Par_KYC_Supplementaire,(IF('01_Input'!$L$66="Forfait",IF(BG$20&gt;='01_Input'!$J$66,'01_Input'!$M$66,0),IF('01_Input'!$L$66="Palier",IF(AND(BG$20&gt;='01_Input'!$J$66,BG$20&lt;'01_Input'!$K$66),'01_Input'!$M$66,0),MAX(MIN(BG$20,'01_Input'!$K$66)-'01_Input'!$J$66,0)*'01_Input'!$M$66))+IF('01_Input'!$P$66="Forfait",IF(BG$20&gt;='01_Input'!$N$66,'01_Input'!$Q$66,0),IF('01_Input'!$P$66="Palier",IF(AND(BG$20&gt;='01_Input'!$N$66,BG$20&lt;'01_Input'!$O$66),'01_Input'!$Q$66,0),MAX(MIN(BG$20,'01_Input'!$O$66)-'01_Input'!$N$66,0)*'01_Input'!$Q$66))+IF('01_Input'!$T$66="Forfait",IF(BG$20&gt;='01_Input'!$R$66,'01_Input'!$U$66,0),IF('01_Input'!$T$66="Palier",IF(AND(BG$20&gt;='01_Input'!$R$66,BG$20&lt;'01_Input'!$S$66),'01_Input'!$U$66,0),MAX(MIN(BG$20,'01_Input'!$S$66)-'01_Input'!$R$66,0)*'01_Input'!$U$66))+IF('01_Input'!$X$66="Forfait",IF(BG$20&gt;='01_Input'!$V$66,'01_Input'!$Y$66,0),IF('01_Input'!$X$66="Palier",IF(AND(BG$20&gt;='01_Input'!$V$66,BG$20&lt;'01_Input'!$W$66),'01_Input'!$Y$66,0),MAX(MIN(BG$20,'01_Input'!$W$66)-'01_Input'!$V$66,0)*'01_Input'!$Y$66))+IF('01_Input'!$AB$66="Forfait",IF(BG$20&gt;='01_Input'!$Z$66,'01_Input'!$AC$66,0),IF('01_Input'!$AB$66="Palier",IF(AND(BG$20&gt;='01_Input'!$Z$66,BG$20&lt;'01_Input'!$AA$66),'01_Input'!$AC$66,0),MAX(MIN(BG$20,'01_Input'!$AA$66)-'01_Input'!$Z$66,0)*'01_Input'!$AC$66)))))))))</f>
        <v>0</v>
      </c>
      <c r="BH34" s="83">
        <f>IF('01_Input'!$C$66="Non",0,MIN('01_Input'!$I$66,MAX('01_Input'!$H$66,IF('01_Input'!$G$66="Résiduel vs Gestion",0,IF('01_Input'!$G$66="Taux Classe sélectionnée",Distrib_Global_Classe_Selectionnee*BH$20,IF('01_Input'!$G$66="Frais KYC (paliers de 100M€)",MAX(0,Nb_Investisseurs-Nb_KYC_Gratuites_Par_Tranche*(FLOOR(BH$20/Taille_Tranche_KYC,1)+1))*Cout_Par_KYC_Supplementaire,(IF('01_Input'!$L$66="Forfait",IF(BH$20&gt;='01_Input'!$J$66,'01_Input'!$M$66,0),IF('01_Input'!$L$66="Palier",IF(AND(BH$20&gt;='01_Input'!$J$66,BH$20&lt;'01_Input'!$K$66),'01_Input'!$M$66,0),MAX(MIN(BH$20,'01_Input'!$K$66)-'01_Input'!$J$66,0)*'01_Input'!$M$66))+IF('01_Input'!$P$66="Forfait",IF(BH$20&gt;='01_Input'!$N$66,'01_Input'!$Q$66,0),IF('01_Input'!$P$66="Palier",IF(AND(BH$20&gt;='01_Input'!$N$66,BH$20&lt;'01_Input'!$O$66),'01_Input'!$Q$66,0),MAX(MIN(BH$20,'01_Input'!$O$66)-'01_Input'!$N$66,0)*'01_Input'!$Q$66))+IF('01_Input'!$T$66="Forfait",IF(BH$20&gt;='01_Input'!$R$66,'01_Input'!$U$66,0),IF('01_Input'!$T$66="Palier",IF(AND(BH$20&gt;='01_Input'!$R$66,BH$20&lt;'01_Input'!$S$66),'01_Input'!$U$66,0),MAX(MIN(BH$20,'01_Input'!$S$66)-'01_Input'!$R$66,0)*'01_Input'!$U$66))+IF('01_Input'!$X$66="Forfait",IF(BH$20&gt;='01_Input'!$V$66,'01_Input'!$Y$66,0),IF('01_Input'!$X$66="Palier",IF(AND(BH$20&gt;='01_Input'!$V$66,BH$20&lt;'01_Input'!$W$66),'01_Input'!$Y$66,0),MAX(MIN(BH$20,'01_Input'!$W$66)-'01_Input'!$V$66,0)*'01_Input'!$Y$66))+IF('01_Input'!$AB$66="Forfait",IF(BH$20&gt;='01_Input'!$Z$66,'01_Input'!$AC$66,0),IF('01_Input'!$AB$66="Palier",IF(AND(BH$20&gt;='01_Input'!$Z$66,BH$20&lt;'01_Input'!$AA$66),'01_Input'!$AC$66,0),MAX(MIN(BH$20,'01_Input'!$AA$66)-'01_Input'!$Z$66,0)*'01_Input'!$AC$66)))))))))</f>
        <v>0</v>
      </c>
      <c r="BI34" s="83">
        <f>IF('01_Input'!$C$66="Non",0,MIN('01_Input'!$I$66,MAX('01_Input'!$H$66,IF('01_Input'!$G$66="Résiduel vs Gestion",0,IF('01_Input'!$G$66="Taux Classe sélectionnée",Distrib_Global_Classe_Selectionnee*BI$20,IF('01_Input'!$G$66="Frais KYC (paliers de 100M€)",MAX(0,Nb_Investisseurs-Nb_KYC_Gratuites_Par_Tranche*(FLOOR(BI$20/Taille_Tranche_KYC,1)+1))*Cout_Par_KYC_Supplementaire,(IF('01_Input'!$L$66="Forfait",IF(BI$20&gt;='01_Input'!$J$66,'01_Input'!$M$66,0),IF('01_Input'!$L$66="Palier",IF(AND(BI$20&gt;='01_Input'!$J$66,BI$20&lt;'01_Input'!$K$66),'01_Input'!$M$66,0),MAX(MIN(BI$20,'01_Input'!$K$66)-'01_Input'!$J$66,0)*'01_Input'!$M$66))+IF('01_Input'!$P$66="Forfait",IF(BI$20&gt;='01_Input'!$N$66,'01_Input'!$Q$66,0),IF('01_Input'!$P$66="Palier",IF(AND(BI$20&gt;='01_Input'!$N$66,BI$20&lt;'01_Input'!$O$66),'01_Input'!$Q$66,0),MAX(MIN(BI$20,'01_Input'!$O$66)-'01_Input'!$N$66,0)*'01_Input'!$Q$66))+IF('01_Input'!$T$66="Forfait",IF(BI$20&gt;='01_Input'!$R$66,'01_Input'!$U$66,0),IF('01_Input'!$T$66="Palier",IF(AND(BI$20&gt;='01_Input'!$R$66,BI$20&lt;'01_Input'!$S$66),'01_Input'!$U$66,0),MAX(MIN(BI$20,'01_Input'!$S$66)-'01_Input'!$R$66,0)*'01_Input'!$U$66))+IF('01_Input'!$X$66="Forfait",IF(BI$20&gt;='01_Input'!$V$66,'01_Input'!$Y$66,0),IF('01_Input'!$X$66="Palier",IF(AND(BI$20&gt;='01_Input'!$V$66,BI$20&lt;'01_Input'!$W$66),'01_Input'!$Y$66,0),MAX(MIN(BI$20,'01_Input'!$W$66)-'01_Input'!$V$66,0)*'01_Input'!$Y$66))+IF('01_Input'!$AB$66="Forfait",IF(BI$20&gt;='01_Input'!$Z$66,'01_Input'!$AC$66,0),IF('01_Input'!$AB$66="Palier",IF(AND(BI$20&gt;='01_Input'!$Z$66,BI$20&lt;'01_Input'!$AA$66),'01_Input'!$AC$66,0),MAX(MIN(BI$20,'01_Input'!$AA$66)-'01_Input'!$Z$66,0)*'01_Input'!$AC$66)))))))))</f>
        <v>0</v>
      </c>
      <c r="BJ34" s="83">
        <f>IF('01_Input'!$C$66="Non",0,MIN('01_Input'!$I$66,MAX('01_Input'!$H$66,IF('01_Input'!$G$66="Résiduel vs Gestion",0,IF('01_Input'!$G$66="Taux Classe sélectionnée",Distrib_Global_Classe_Selectionnee*BJ$20,IF('01_Input'!$G$66="Frais KYC (paliers de 100M€)",MAX(0,Nb_Investisseurs-Nb_KYC_Gratuites_Par_Tranche*(FLOOR(BJ$20/Taille_Tranche_KYC,1)+1))*Cout_Par_KYC_Supplementaire,(IF('01_Input'!$L$66="Forfait",IF(BJ$20&gt;='01_Input'!$J$66,'01_Input'!$M$66,0),IF('01_Input'!$L$66="Palier",IF(AND(BJ$20&gt;='01_Input'!$J$66,BJ$20&lt;'01_Input'!$K$66),'01_Input'!$M$66,0),MAX(MIN(BJ$20,'01_Input'!$K$66)-'01_Input'!$J$66,0)*'01_Input'!$M$66))+IF('01_Input'!$P$66="Forfait",IF(BJ$20&gt;='01_Input'!$N$66,'01_Input'!$Q$66,0),IF('01_Input'!$P$66="Palier",IF(AND(BJ$20&gt;='01_Input'!$N$66,BJ$20&lt;'01_Input'!$O$66),'01_Input'!$Q$66,0),MAX(MIN(BJ$20,'01_Input'!$O$66)-'01_Input'!$N$66,0)*'01_Input'!$Q$66))+IF('01_Input'!$T$66="Forfait",IF(BJ$20&gt;='01_Input'!$R$66,'01_Input'!$U$66,0),IF('01_Input'!$T$66="Palier",IF(AND(BJ$20&gt;='01_Input'!$R$66,BJ$20&lt;'01_Input'!$S$66),'01_Input'!$U$66,0),MAX(MIN(BJ$20,'01_Input'!$S$66)-'01_Input'!$R$66,0)*'01_Input'!$U$66))+IF('01_Input'!$X$66="Forfait",IF(BJ$20&gt;='01_Input'!$V$66,'01_Input'!$Y$66,0),IF('01_Input'!$X$66="Palier",IF(AND(BJ$20&gt;='01_Input'!$V$66,BJ$20&lt;'01_Input'!$W$66),'01_Input'!$Y$66,0),MAX(MIN(BJ$20,'01_Input'!$W$66)-'01_Input'!$V$66,0)*'01_Input'!$Y$66))+IF('01_Input'!$AB$66="Forfait",IF(BJ$20&gt;='01_Input'!$Z$66,'01_Input'!$AC$66,0),IF('01_Input'!$AB$66="Palier",IF(AND(BJ$20&gt;='01_Input'!$Z$66,BJ$20&lt;'01_Input'!$AA$66),'01_Input'!$AC$66,0),MAX(MIN(BJ$20,'01_Input'!$AA$66)-'01_Input'!$Z$66,0)*'01_Input'!$AC$66)))))))))</f>
        <v>0</v>
      </c>
      <c r="BK34" s="83">
        <f>IF('01_Input'!$C$66="Non",0,MIN('01_Input'!$I$66,MAX('01_Input'!$H$66,IF('01_Input'!$G$66="Résiduel vs Gestion",0,IF('01_Input'!$G$66="Taux Classe sélectionnée",Distrib_Global_Classe_Selectionnee*BK$20,IF('01_Input'!$G$66="Frais KYC (paliers de 100M€)",MAX(0,Nb_Investisseurs-Nb_KYC_Gratuites_Par_Tranche*(FLOOR(BK$20/Taille_Tranche_KYC,1)+1))*Cout_Par_KYC_Supplementaire,(IF('01_Input'!$L$66="Forfait",IF(BK$20&gt;='01_Input'!$J$66,'01_Input'!$M$66,0),IF('01_Input'!$L$66="Palier",IF(AND(BK$20&gt;='01_Input'!$J$66,BK$20&lt;'01_Input'!$K$66),'01_Input'!$M$66,0),MAX(MIN(BK$20,'01_Input'!$K$66)-'01_Input'!$J$66,0)*'01_Input'!$M$66))+IF('01_Input'!$P$66="Forfait",IF(BK$20&gt;='01_Input'!$N$66,'01_Input'!$Q$66,0),IF('01_Input'!$P$66="Palier",IF(AND(BK$20&gt;='01_Input'!$N$66,BK$20&lt;'01_Input'!$O$66),'01_Input'!$Q$66,0),MAX(MIN(BK$20,'01_Input'!$O$66)-'01_Input'!$N$66,0)*'01_Input'!$Q$66))+IF('01_Input'!$T$66="Forfait",IF(BK$20&gt;='01_Input'!$R$66,'01_Input'!$U$66,0),IF('01_Input'!$T$66="Palier",IF(AND(BK$20&gt;='01_Input'!$R$66,BK$20&lt;'01_Input'!$S$66),'01_Input'!$U$66,0),MAX(MIN(BK$20,'01_Input'!$S$66)-'01_Input'!$R$66,0)*'01_Input'!$U$66))+IF('01_Input'!$X$66="Forfait",IF(BK$20&gt;='01_Input'!$V$66,'01_Input'!$Y$66,0),IF('01_Input'!$X$66="Palier",IF(AND(BK$20&gt;='01_Input'!$V$66,BK$20&lt;'01_Input'!$W$66),'01_Input'!$Y$66,0),MAX(MIN(BK$20,'01_Input'!$W$66)-'01_Input'!$V$66,0)*'01_Input'!$Y$66))+IF('01_Input'!$AB$66="Forfait",IF(BK$20&gt;='01_Input'!$Z$66,'01_Input'!$AC$66,0),IF('01_Input'!$AB$66="Palier",IF(AND(BK$20&gt;='01_Input'!$Z$66,BK$20&lt;'01_Input'!$AA$66),'01_Input'!$AC$66,0),MAX(MIN(BK$20,'01_Input'!$AA$66)-'01_Input'!$Z$66,0)*'01_Input'!$AC$66)))))))))</f>
        <v>0</v>
      </c>
      <c r="BL34" s="83">
        <f>IF('01_Input'!$C$66="Non",0,MIN('01_Input'!$I$66,MAX('01_Input'!$H$66,IF('01_Input'!$G$66="Résiduel vs Gestion",0,IF('01_Input'!$G$66="Taux Classe sélectionnée",Distrib_Global_Classe_Selectionnee*BL$20,IF('01_Input'!$G$66="Frais KYC (paliers de 100M€)",MAX(0,Nb_Investisseurs-Nb_KYC_Gratuites_Par_Tranche*(FLOOR(BL$20/Taille_Tranche_KYC,1)+1))*Cout_Par_KYC_Supplementaire,(IF('01_Input'!$L$66="Forfait",IF(BL$20&gt;='01_Input'!$J$66,'01_Input'!$M$66,0),IF('01_Input'!$L$66="Palier",IF(AND(BL$20&gt;='01_Input'!$J$66,BL$20&lt;'01_Input'!$K$66),'01_Input'!$M$66,0),MAX(MIN(BL$20,'01_Input'!$K$66)-'01_Input'!$J$66,0)*'01_Input'!$M$66))+IF('01_Input'!$P$66="Forfait",IF(BL$20&gt;='01_Input'!$N$66,'01_Input'!$Q$66,0),IF('01_Input'!$P$66="Palier",IF(AND(BL$20&gt;='01_Input'!$N$66,BL$20&lt;'01_Input'!$O$66),'01_Input'!$Q$66,0),MAX(MIN(BL$20,'01_Input'!$O$66)-'01_Input'!$N$66,0)*'01_Input'!$Q$66))+IF('01_Input'!$T$66="Forfait",IF(BL$20&gt;='01_Input'!$R$66,'01_Input'!$U$66,0),IF('01_Input'!$T$66="Palier",IF(AND(BL$20&gt;='01_Input'!$R$66,BL$20&lt;'01_Input'!$S$66),'01_Input'!$U$66,0),MAX(MIN(BL$20,'01_Input'!$S$66)-'01_Input'!$R$66,0)*'01_Input'!$U$66))+IF('01_Input'!$X$66="Forfait",IF(BL$20&gt;='01_Input'!$V$66,'01_Input'!$Y$66,0),IF('01_Input'!$X$66="Palier",IF(AND(BL$20&gt;='01_Input'!$V$66,BL$20&lt;'01_Input'!$W$66),'01_Input'!$Y$66,0),MAX(MIN(BL$20,'01_Input'!$W$66)-'01_Input'!$V$66,0)*'01_Input'!$Y$66))+IF('01_Input'!$AB$66="Forfait",IF(BL$20&gt;='01_Input'!$Z$66,'01_Input'!$AC$66,0),IF('01_Input'!$AB$66="Palier",IF(AND(BL$20&gt;='01_Input'!$Z$66,BL$20&lt;'01_Input'!$AA$66),'01_Input'!$AC$66,0),MAX(MIN(BL$20,'01_Input'!$AA$66)-'01_Input'!$Z$66,0)*'01_Input'!$AC$66)))))))))</f>
        <v>0</v>
      </c>
      <c r="BM34" s="83">
        <f>IF('01_Input'!$C$66="Non",0,MIN('01_Input'!$I$66,MAX('01_Input'!$H$66,IF('01_Input'!$G$66="Résiduel vs Gestion",0,IF('01_Input'!$G$66="Taux Classe sélectionnée",Distrib_Global_Classe_Selectionnee*BM$20,IF('01_Input'!$G$66="Frais KYC (paliers de 100M€)",MAX(0,Nb_Investisseurs-Nb_KYC_Gratuites_Par_Tranche*(FLOOR(BM$20/Taille_Tranche_KYC,1)+1))*Cout_Par_KYC_Supplementaire,(IF('01_Input'!$L$66="Forfait",IF(BM$20&gt;='01_Input'!$J$66,'01_Input'!$M$66,0),IF('01_Input'!$L$66="Palier",IF(AND(BM$20&gt;='01_Input'!$J$66,BM$20&lt;'01_Input'!$K$66),'01_Input'!$M$66,0),MAX(MIN(BM$20,'01_Input'!$K$66)-'01_Input'!$J$66,0)*'01_Input'!$M$66))+IF('01_Input'!$P$66="Forfait",IF(BM$20&gt;='01_Input'!$N$66,'01_Input'!$Q$66,0),IF('01_Input'!$P$66="Palier",IF(AND(BM$20&gt;='01_Input'!$N$66,BM$20&lt;'01_Input'!$O$66),'01_Input'!$Q$66,0),MAX(MIN(BM$20,'01_Input'!$O$66)-'01_Input'!$N$66,0)*'01_Input'!$Q$66))+IF('01_Input'!$T$66="Forfait",IF(BM$20&gt;='01_Input'!$R$66,'01_Input'!$U$66,0),IF('01_Input'!$T$66="Palier",IF(AND(BM$20&gt;='01_Input'!$R$66,BM$20&lt;'01_Input'!$S$66),'01_Input'!$U$66,0),MAX(MIN(BM$20,'01_Input'!$S$66)-'01_Input'!$R$66,0)*'01_Input'!$U$66))+IF('01_Input'!$X$66="Forfait",IF(BM$20&gt;='01_Input'!$V$66,'01_Input'!$Y$66,0),IF('01_Input'!$X$66="Palier",IF(AND(BM$20&gt;='01_Input'!$V$66,BM$20&lt;'01_Input'!$W$66),'01_Input'!$Y$66,0),MAX(MIN(BM$20,'01_Input'!$W$66)-'01_Input'!$V$66,0)*'01_Input'!$Y$66))+IF('01_Input'!$AB$66="Forfait",IF(BM$20&gt;='01_Input'!$Z$66,'01_Input'!$AC$66,0),IF('01_Input'!$AB$66="Palier",IF(AND(BM$20&gt;='01_Input'!$Z$66,BM$20&lt;'01_Input'!$AA$66),'01_Input'!$AC$66,0),MAX(MIN(BM$20,'01_Input'!$AA$66)-'01_Input'!$Z$66,0)*'01_Input'!$AC$66)))))))))</f>
        <v>0</v>
      </c>
      <c r="BN34" s="83">
        <f>IF('01_Input'!$C$66="Non",0,MIN('01_Input'!$I$66,MAX('01_Input'!$H$66,IF('01_Input'!$G$66="Résiduel vs Gestion",0,IF('01_Input'!$G$66="Taux Classe sélectionnée",Distrib_Global_Classe_Selectionnee*BN$20,IF('01_Input'!$G$66="Frais KYC (paliers de 100M€)",MAX(0,Nb_Investisseurs-Nb_KYC_Gratuites_Par_Tranche*(FLOOR(BN$20/Taille_Tranche_KYC,1)+1))*Cout_Par_KYC_Supplementaire,(IF('01_Input'!$L$66="Forfait",IF(BN$20&gt;='01_Input'!$J$66,'01_Input'!$M$66,0),IF('01_Input'!$L$66="Palier",IF(AND(BN$20&gt;='01_Input'!$J$66,BN$20&lt;'01_Input'!$K$66),'01_Input'!$M$66,0),MAX(MIN(BN$20,'01_Input'!$K$66)-'01_Input'!$J$66,0)*'01_Input'!$M$66))+IF('01_Input'!$P$66="Forfait",IF(BN$20&gt;='01_Input'!$N$66,'01_Input'!$Q$66,0),IF('01_Input'!$P$66="Palier",IF(AND(BN$20&gt;='01_Input'!$N$66,BN$20&lt;'01_Input'!$O$66),'01_Input'!$Q$66,0),MAX(MIN(BN$20,'01_Input'!$O$66)-'01_Input'!$N$66,0)*'01_Input'!$Q$66))+IF('01_Input'!$T$66="Forfait",IF(BN$20&gt;='01_Input'!$R$66,'01_Input'!$U$66,0),IF('01_Input'!$T$66="Palier",IF(AND(BN$20&gt;='01_Input'!$R$66,BN$20&lt;'01_Input'!$S$66),'01_Input'!$U$66,0),MAX(MIN(BN$20,'01_Input'!$S$66)-'01_Input'!$R$66,0)*'01_Input'!$U$66))+IF('01_Input'!$X$66="Forfait",IF(BN$20&gt;='01_Input'!$V$66,'01_Input'!$Y$66,0),IF('01_Input'!$X$66="Palier",IF(AND(BN$20&gt;='01_Input'!$V$66,BN$20&lt;'01_Input'!$W$66),'01_Input'!$Y$66,0),MAX(MIN(BN$20,'01_Input'!$W$66)-'01_Input'!$V$66,0)*'01_Input'!$Y$66))+IF('01_Input'!$AB$66="Forfait",IF(BN$20&gt;='01_Input'!$Z$66,'01_Input'!$AC$66,0),IF('01_Input'!$AB$66="Palier",IF(AND(BN$20&gt;='01_Input'!$Z$66,BN$20&lt;'01_Input'!$AA$66),'01_Input'!$AC$66,0),MAX(MIN(BN$20,'01_Input'!$AA$66)-'01_Input'!$Z$66,0)*'01_Input'!$AC$66)))))))))</f>
        <v>0</v>
      </c>
      <c r="BO34" s="83">
        <f>IF('01_Input'!$C$66="Non",0,MIN('01_Input'!$I$66,MAX('01_Input'!$H$66,IF('01_Input'!$G$66="Résiduel vs Gestion",0,IF('01_Input'!$G$66="Taux Classe sélectionnée",Distrib_Global_Classe_Selectionnee*BO$20,IF('01_Input'!$G$66="Frais KYC (paliers de 100M€)",MAX(0,Nb_Investisseurs-Nb_KYC_Gratuites_Par_Tranche*(FLOOR(BO$20/Taille_Tranche_KYC,1)+1))*Cout_Par_KYC_Supplementaire,(IF('01_Input'!$L$66="Forfait",IF(BO$20&gt;='01_Input'!$J$66,'01_Input'!$M$66,0),IF('01_Input'!$L$66="Palier",IF(AND(BO$20&gt;='01_Input'!$J$66,BO$20&lt;'01_Input'!$K$66),'01_Input'!$M$66,0),MAX(MIN(BO$20,'01_Input'!$K$66)-'01_Input'!$J$66,0)*'01_Input'!$M$66))+IF('01_Input'!$P$66="Forfait",IF(BO$20&gt;='01_Input'!$N$66,'01_Input'!$Q$66,0),IF('01_Input'!$P$66="Palier",IF(AND(BO$20&gt;='01_Input'!$N$66,BO$20&lt;'01_Input'!$O$66),'01_Input'!$Q$66,0),MAX(MIN(BO$20,'01_Input'!$O$66)-'01_Input'!$N$66,0)*'01_Input'!$Q$66))+IF('01_Input'!$T$66="Forfait",IF(BO$20&gt;='01_Input'!$R$66,'01_Input'!$U$66,0),IF('01_Input'!$T$66="Palier",IF(AND(BO$20&gt;='01_Input'!$R$66,BO$20&lt;'01_Input'!$S$66),'01_Input'!$U$66,0),MAX(MIN(BO$20,'01_Input'!$S$66)-'01_Input'!$R$66,0)*'01_Input'!$U$66))+IF('01_Input'!$X$66="Forfait",IF(BO$20&gt;='01_Input'!$V$66,'01_Input'!$Y$66,0),IF('01_Input'!$X$66="Palier",IF(AND(BO$20&gt;='01_Input'!$V$66,BO$20&lt;'01_Input'!$W$66),'01_Input'!$Y$66,0),MAX(MIN(BO$20,'01_Input'!$W$66)-'01_Input'!$V$66,0)*'01_Input'!$Y$66))+IF('01_Input'!$AB$66="Forfait",IF(BO$20&gt;='01_Input'!$Z$66,'01_Input'!$AC$66,0),IF('01_Input'!$AB$66="Palier",IF(AND(BO$20&gt;='01_Input'!$Z$66,BO$20&lt;'01_Input'!$AA$66),'01_Input'!$AC$66,0),MAX(MIN(BO$20,'01_Input'!$AA$66)-'01_Input'!$Z$66,0)*'01_Input'!$AC$66)))))))))</f>
        <v>0</v>
      </c>
      <c r="BP34" s="83">
        <f>IF('01_Input'!$C$66="Non",0,MIN('01_Input'!$I$66,MAX('01_Input'!$H$66,IF('01_Input'!$G$66="Résiduel vs Gestion",0,IF('01_Input'!$G$66="Taux Classe sélectionnée",Distrib_Global_Classe_Selectionnee*BP$20,IF('01_Input'!$G$66="Frais KYC (paliers de 100M€)",MAX(0,Nb_Investisseurs-Nb_KYC_Gratuites_Par_Tranche*(FLOOR(BP$20/Taille_Tranche_KYC,1)+1))*Cout_Par_KYC_Supplementaire,(IF('01_Input'!$L$66="Forfait",IF(BP$20&gt;='01_Input'!$J$66,'01_Input'!$M$66,0),IF('01_Input'!$L$66="Palier",IF(AND(BP$20&gt;='01_Input'!$J$66,BP$20&lt;'01_Input'!$K$66),'01_Input'!$M$66,0),MAX(MIN(BP$20,'01_Input'!$K$66)-'01_Input'!$J$66,0)*'01_Input'!$M$66))+IF('01_Input'!$P$66="Forfait",IF(BP$20&gt;='01_Input'!$N$66,'01_Input'!$Q$66,0),IF('01_Input'!$P$66="Palier",IF(AND(BP$20&gt;='01_Input'!$N$66,BP$20&lt;'01_Input'!$O$66),'01_Input'!$Q$66,0),MAX(MIN(BP$20,'01_Input'!$O$66)-'01_Input'!$N$66,0)*'01_Input'!$Q$66))+IF('01_Input'!$T$66="Forfait",IF(BP$20&gt;='01_Input'!$R$66,'01_Input'!$U$66,0),IF('01_Input'!$T$66="Palier",IF(AND(BP$20&gt;='01_Input'!$R$66,BP$20&lt;'01_Input'!$S$66),'01_Input'!$U$66,0),MAX(MIN(BP$20,'01_Input'!$S$66)-'01_Input'!$R$66,0)*'01_Input'!$U$66))+IF('01_Input'!$X$66="Forfait",IF(BP$20&gt;='01_Input'!$V$66,'01_Input'!$Y$66,0),IF('01_Input'!$X$66="Palier",IF(AND(BP$20&gt;='01_Input'!$V$66,BP$20&lt;'01_Input'!$W$66),'01_Input'!$Y$66,0),MAX(MIN(BP$20,'01_Input'!$W$66)-'01_Input'!$V$66,0)*'01_Input'!$Y$66))+IF('01_Input'!$AB$66="Forfait",IF(BP$20&gt;='01_Input'!$Z$66,'01_Input'!$AC$66,0),IF('01_Input'!$AB$66="Palier",IF(AND(BP$20&gt;='01_Input'!$Z$66,BP$20&lt;'01_Input'!$AA$66),'01_Input'!$AC$66,0),MAX(MIN(BP$20,'01_Input'!$AA$66)-'01_Input'!$Z$66,0)*'01_Input'!$AC$66)))))))))</f>
        <v>0</v>
      </c>
      <c r="BQ34" s="83">
        <f>IF('01_Input'!$C$66="Non",0,MIN('01_Input'!$I$66,MAX('01_Input'!$H$66,IF('01_Input'!$G$66="Résiduel vs Gestion",0,IF('01_Input'!$G$66="Taux Classe sélectionnée",Distrib_Global_Classe_Selectionnee*BQ$20,IF('01_Input'!$G$66="Frais KYC (paliers de 100M€)",MAX(0,Nb_Investisseurs-Nb_KYC_Gratuites_Par_Tranche*(FLOOR(BQ$20/Taille_Tranche_KYC,1)+1))*Cout_Par_KYC_Supplementaire,(IF('01_Input'!$L$66="Forfait",IF(BQ$20&gt;='01_Input'!$J$66,'01_Input'!$M$66,0),IF('01_Input'!$L$66="Palier",IF(AND(BQ$20&gt;='01_Input'!$J$66,BQ$20&lt;'01_Input'!$K$66),'01_Input'!$M$66,0),MAX(MIN(BQ$20,'01_Input'!$K$66)-'01_Input'!$J$66,0)*'01_Input'!$M$66))+IF('01_Input'!$P$66="Forfait",IF(BQ$20&gt;='01_Input'!$N$66,'01_Input'!$Q$66,0),IF('01_Input'!$P$66="Palier",IF(AND(BQ$20&gt;='01_Input'!$N$66,BQ$20&lt;'01_Input'!$O$66),'01_Input'!$Q$66,0),MAX(MIN(BQ$20,'01_Input'!$O$66)-'01_Input'!$N$66,0)*'01_Input'!$Q$66))+IF('01_Input'!$T$66="Forfait",IF(BQ$20&gt;='01_Input'!$R$66,'01_Input'!$U$66,0),IF('01_Input'!$T$66="Palier",IF(AND(BQ$20&gt;='01_Input'!$R$66,BQ$20&lt;'01_Input'!$S$66),'01_Input'!$U$66,0),MAX(MIN(BQ$20,'01_Input'!$S$66)-'01_Input'!$R$66,0)*'01_Input'!$U$66))+IF('01_Input'!$X$66="Forfait",IF(BQ$20&gt;='01_Input'!$V$66,'01_Input'!$Y$66,0),IF('01_Input'!$X$66="Palier",IF(AND(BQ$20&gt;='01_Input'!$V$66,BQ$20&lt;'01_Input'!$W$66),'01_Input'!$Y$66,0),MAX(MIN(BQ$20,'01_Input'!$W$66)-'01_Input'!$V$66,0)*'01_Input'!$Y$66))+IF('01_Input'!$AB$66="Forfait",IF(BQ$20&gt;='01_Input'!$Z$66,'01_Input'!$AC$66,0),IF('01_Input'!$AB$66="Palier",IF(AND(BQ$20&gt;='01_Input'!$Z$66,BQ$20&lt;'01_Input'!$AA$66),'01_Input'!$AC$66,0),MAX(MIN(BQ$20,'01_Input'!$AA$66)-'01_Input'!$Z$66,0)*'01_Input'!$AC$66)))))))))</f>
        <v>0</v>
      </c>
      <c r="BR34" s="83">
        <f>IF('01_Input'!$C$66="Non",0,MIN('01_Input'!$I$66,MAX('01_Input'!$H$66,IF('01_Input'!$G$66="Résiduel vs Gestion",0,IF('01_Input'!$G$66="Taux Classe sélectionnée",Distrib_Global_Classe_Selectionnee*BR$20,IF('01_Input'!$G$66="Frais KYC (paliers de 100M€)",MAX(0,Nb_Investisseurs-Nb_KYC_Gratuites_Par_Tranche*(FLOOR(BR$20/Taille_Tranche_KYC,1)+1))*Cout_Par_KYC_Supplementaire,(IF('01_Input'!$L$66="Forfait",IF(BR$20&gt;='01_Input'!$J$66,'01_Input'!$M$66,0),IF('01_Input'!$L$66="Palier",IF(AND(BR$20&gt;='01_Input'!$J$66,BR$20&lt;'01_Input'!$K$66),'01_Input'!$M$66,0),MAX(MIN(BR$20,'01_Input'!$K$66)-'01_Input'!$J$66,0)*'01_Input'!$M$66))+IF('01_Input'!$P$66="Forfait",IF(BR$20&gt;='01_Input'!$N$66,'01_Input'!$Q$66,0),IF('01_Input'!$P$66="Palier",IF(AND(BR$20&gt;='01_Input'!$N$66,BR$20&lt;'01_Input'!$O$66),'01_Input'!$Q$66,0),MAX(MIN(BR$20,'01_Input'!$O$66)-'01_Input'!$N$66,0)*'01_Input'!$Q$66))+IF('01_Input'!$T$66="Forfait",IF(BR$20&gt;='01_Input'!$R$66,'01_Input'!$U$66,0),IF('01_Input'!$T$66="Palier",IF(AND(BR$20&gt;='01_Input'!$R$66,BR$20&lt;'01_Input'!$S$66),'01_Input'!$U$66,0),MAX(MIN(BR$20,'01_Input'!$S$66)-'01_Input'!$R$66,0)*'01_Input'!$U$66))+IF('01_Input'!$X$66="Forfait",IF(BR$20&gt;='01_Input'!$V$66,'01_Input'!$Y$66,0),IF('01_Input'!$X$66="Palier",IF(AND(BR$20&gt;='01_Input'!$V$66,BR$20&lt;'01_Input'!$W$66),'01_Input'!$Y$66,0),MAX(MIN(BR$20,'01_Input'!$W$66)-'01_Input'!$V$66,0)*'01_Input'!$Y$66))+IF('01_Input'!$AB$66="Forfait",IF(BR$20&gt;='01_Input'!$Z$66,'01_Input'!$AC$66,0),IF('01_Input'!$AB$66="Palier",IF(AND(BR$20&gt;='01_Input'!$Z$66,BR$20&lt;'01_Input'!$AA$66),'01_Input'!$AC$66,0),MAX(MIN(BR$20,'01_Input'!$AA$66)-'01_Input'!$Z$66,0)*'01_Input'!$AC$66)))))))))</f>
        <v>0</v>
      </c>
      <c r="BS34" s="83">
        <f>IF('01_Input'!$C$66="Non",0,MIN('01_Input'!$I$66,MAX('01_Input'!$H$66,IF('01_Input'!$G$66="Résiduel vs Gestion",0,IF('01_Input'!$G$66="Taux Classe sélectionnée",Distrib_Global_Classe_Selectionnee*BS$20,IF('01_Input'!$G$66="Frais KYC (paliers de 100M€)",MAX(0,Nb_Investisseurs-Nb_KYC_Gratuites_Par_Tranche*(FLOOR(BS$20/Taille_Tranche_KYC,1)+1))*Cout_Par_KYC_Supplementaire,(IF('01_Input'!$L$66="Forfait",IF(BS$20&gt;='01_Input'!$J$66,'01_Input'!$M$66,0),IF('01_Input'!$L$66="Palier",IF(AND(BS$20&gt;='01_Input'!$J$66,BS$20&lt;'01_Input'!$K$66),'01_Input'!$M$66,0),MAX(MIN(BS$20,'01_Input'!$K$66)-'01_Input'!$J$66,0)*'01_Input'!$M$66))+IF('01_Input'!$P$66="Forfait",IF(BS$20&gt;='01_Input'!$N$66,'01_Input'!$Q$66,0),IF('01_Input'!$P$66="Palier",IF(AND(BS$20&gt;='01_Input'!$N$66,BS$20&lt;'01_Input'!$O$66),'01_Input'!$Q$66,0),MAX(MIN(BS$20,'01_Input'!$O$66)-'01_Input'!$N$66,0)*'01_Input'!$Q$66))+IF('01_Input'!$T$66="Forfait",IF(BS$20&gt;='01_Input'!$R$66,'01_Input'!$U$66,0),IF('01_Input'!$T$66="Palier",IF(AND(BS$20&gt;='01_Input'!$R$66,BS$20&lt;'01_Input'!$S$66),'01_Input'!$U$66,0),MAX(MIN(BS$20,'01_Input'!$S$66)-'01_Input'!$R$66,0)*'01_Input'!$U$66))+IF('01_Input'!$X$66="Forfait",IF(BS$20&gt;='01_Input'!$V$66,'01_Input'!$Y$66,0),IF('01_Input'!$X$66="Palier",IF(AND(BS$20&gt;='01_Input'!$V$66,BS$20&lt;'01_Input'!$W$66),'01_Input'!$Y$66,0),MAX(MIN(BS$20,'01_Input'!$W$66)-'01_Input'!$V$66,0)*'01_Input'!$Y$66))+IF('01_Input'!$AB$66="Forfait",IF(BS$20&gt;='01_Input'!$Z$66,'01_Input'!$AC$66,0),IF('01_Input'!$AB$66="Palier",IF(AND(BS$20&gt;='01_Input'!$Z$66,BS$20&lt;'01_Input'!$AA$66),'01_Input'!$AC$66,0),MAX(MIN(BS$20,'01_Input'!$AA$66)-'01_Input'!$Z$66,0)*'01_Input'!$AC$66)))))))))</f>
        <v>0</v>
      </c>
      <c r="BT34" s="83">
        <f>IF('01_Input'!$C$66="Non",0,MIN('01_Input'!$I$66,MAX('01_Input'!$H$66,IF('01_Input'!$G$66="Résiduel vs Gestion",0,IF('01_Input'!$G$66="Taux Classe sélectionnée",Distrib_Global_Classe_Selectionnee*BT$20,IF('01_Input'!$G$66="Frais KYC (paliers de 100M€)",MAX(0,Nb_Investisseurs-Nb_KYC_Gratuites_Par_Tranche*(FLOOR(BT$20/Taille_Tranche_KYC,1)+1))*Cout_Par_KYC_Supplementaire,(IF('01_Input'!$L$66="Forfait",IF(BT$20&gt;='01_Input'!$J$66,'01_Input'!$M$66,0),IF('01_Input'!$L$66="Palier",IF(AND(BT$20&gt;='01_Input'!$J$66,BT$20&lt;'01_Input'!$K$66),'01_Input'!$M$66,0),MAX(MIN(BT$20,'01_Input'!$K$66)-'01_Input'!$J$66,0)*'01_Input'!$M$66))+IF('01_Input'!$P$66="Forfait",IF(BT$20&gt;='01_Input'!$N$66,'01_Input'!$Q$66,0),IF('01_Input'!$P$66="Palier",IF(AND(BT$20&gt;='01_Input'!$N$66,BT$20&lt;'01_Input'!$O$66),'01_Input'!$Q$66,0),MAX(MIN(BT$20,'01_Input'!$O$66)-'01_Input'!$N$66,0)*'01_Input'!$Q$66))+IF('01_Input'!$T$66="Forfait",IF(BT$20&gt;='01_Input'!$R$66,'01_Input'!$U$66,0),IF('01_Input'!$T$66="Palier",IF(AND(BT$20&gt;='01_Input'!$R$66,BT$20&lt;'01_Input'!$S$66),'01_Input'!$U$66,0),MAX(MIN(BT$20,'01_Input'!$S$66)-'01_Input'!$R$66,0)*'01_Input'!$U$66))+IF('01_Input'!$X$66="Forfait",IF(BT$20&gt;='01_Input'!$V$66,'01_Input'!$Y$66,0),IF('01_Input'!$X$66="Palier",IF(AND(BT$20&gt;='01_Input'!$V$66,BT$20&lt;'01_Input'!$W$66),'01_Input'!$Y$66,0),MAX(MIN(BT$20,'01_Input'!$W$66)-'01_Input'!$V$66,0)*'01_Input'!$Y$66))+IF('01_Input'!$AB$66="Forfait",IF(BT$20&gt;='01_Input'!$Z$66,'01_Input'!$AC$66,0),IF('01_Input'!$AB$66="Palier",IF(AND(BT$20&gt;='01_Input'!$Z$66,BT$20&lt;'01_Input'!$AA$66),'01_Input'!$AC$66,0),MAX(MIN(BT$20,'01_Input'!$AA$66)-'01_Input'!$Z$66,0)*'01_Input'!$AC$66)))))))))</f>
        <v>0</v>
      </c>
      <c r="BU34" s="83">
        <f>IF('01_Input'!$C$66="Non",0,MIN('01_Input'!$I$66,MAX('01_Input'!$H$66,IF('01_Input'!$G$66="Résiduel vs Gestion",0,IF('01_Input'!$G$66="Taux Classe sélectionnée",Distrib_Global_Classe_Selectionnee*BU$20,IF('01_Input'!$G$66="Frais KYC (paliers de 100M€)",MAX(0,Nb_Investisseurs-Nb_KYC_Gratuites_Par_Tranche*(FLOOR(BU$20/Taille_Tranche_KYC,1)+1))*Cout_Par_KYC_Supplementaire,(IF('01_Input'!$L$66="Forfait",IF(BU$20&gt;='01_Input'!$J$66,'01_Input'!$M$66,0),IF('01_Input'!$L$66="Palier",IF(AND(BU$20&gt;='01_Input'!$J$66,BU$20&lt;'01_Input'!$K$66),'01_Input'!$M$66,0),MAX(MIN(BU$20,'01_Input'!$K$66)-'01_Input'!$J$66,0)*'01_Input'!$M$66))+IF('01_Input'!$P$66="Forfait",IF(BU$20&gt;='01_Input'!$N$66,'01_Input'!$Q$66,0),IF('01_Input'!$P$66="Palier",IF(AND(BU$20&gt;='01_Input'!$N$66,BU$20&lt;'01_Input'!$O$66),'01_Input'!$Q$66,0),MAX(MIN(BU$20,'01_Input'!$O$66)-'01_Input'!$N$66,0)*'01_Input'!$Q$66))+IF('01_Input'!$T$66="Forfait",IF(BU$20&gt;='01_Input'!$R$66,'01_Input'!$U$66,0),IF('01_Input'!$T$66="Palier",IF(AND(BU$20&gt;='01_Input'!$R$66,BU$20&lt;'01_Input'!$S$66),'01_Input'!$U$66,0),MAX(MIN(BU$20,'01_Input'!$S$66)-'01_Input'!$R$66,0)*'01_Input'!$U$66))+IF('01_Input'!$X$66="Forfait",IF(BU$20&gt;='01_Input'!$V$66,'01_Input'!$Y$66,0),IF('01_Input'!$X$66="Palier",IF(AND(BU$20&gt;='01_Input'!$V$66,BU$20&lt;'01_Input'!$W$66),'01_Input'!$Y$66,0),MAX(MIN(BU$20,'01_Input'!$W$66)-'01_Input'!$V$66,0)*'01_Input'!$Y$66))+IF('01_Input'!$AB$66="Forfait",IF(BU$20&gt;='01_Input'!$Z$66,'01_Input'!$AC$66,0),IF('01_Input'!$AB$66="Palier",IF(AND(BU$20&gt;='01_Input'!$Z$66,BU$20&lt;'01_Input'!$AA$66),'01_Input'!$AC$66,0),MAX(MIN(BU$20,'01_Input'!$AA$66)-'01_Input'!$Z$66,0)*'01_Input'!$AC$66)))))))))</f>
        <v>0</v>
      </c>
      <c r="BV34" s="83">
        <f>IF('01_Input'!$C$66="Non",0,MIN('01_Input'!$I$66,MAX('01_Input'!$H$66,IF('01_Input'!$G$66="Résiduel vs Gestion",0,IF('01_Input'!$G$66="Taux Classe sélectionnée",Distrib_Global_Classe_Selectionnee*BV$20,IF('01_Input'!$G$66="Frais KYC (paliers de 100M€)",MAX(0,Nb_Investisseurs-Nb_KYC_Gratuites_Par_Tranche*(FLOOR(BV$20/Taille_Tranche_KYC,1)+1))*Cout_Par_KYC_Supplementaire,(IF('01_Input'!$L$66="Forfait",IF(BV$20&gt;='01_Input'!$J$66,'01_Input'!$M$66,0),IF('01_Input'!$L$66="Palier",IF(AND(BV$20&gt;='01_Input'!$J$66,BV$20&lt;'01_Input'!$K$66),'01_Input'!$M$66,0),MAX(MIN(BV$20,'01_Input'!$K$66)-'01_Input'!$J$66,0)*'01_Input'!$M$66))+IF('01_Input'!$P$66="Forfait",IF(BV$20&gt;='01_Input'!$N$66,'01_Input'!$Q$66,0),IF('01_Input'!$P$66="Palier",IF(AND(BV$20&gt;='01_Input'!$N$66,BV$20&lt;'01_Input'!$O$66),'01_Input'!$Q$66,0),MAX(MIN(BV$20,'01_Input'!$O$66)-'01_Input'!$N$66,0)*'01_Input'!$Q$66))+IF('01_Input'!$T$66="Forfait",IF(BV$20&gt;='01_Input'!$R$66,'01_Input'!$U$66,0),IF('01_Input'!$T$66="Palier",IF(AND(BV$20&gt;='01_Input'!$R$66,BV$20&lt;'01_Input'!$S$66),'01_Input'!$U$66,0),MAX(MIN(BV$20,'01_Input'!$S$66)-'01_Input'!$R$66,0)*'01_Input'!$U$66))+IF('01_Input'!$X$66="Forfait",IF(BV$20&gt;='01_Input'!$V$66,'01_Input'!$Y$66,0),IF('01_Input'!$X$66="Palier",IF(AND(BV$20&gt;='01_Input'!$V$66,BV$20&lt;'01_Input'!$W$66),'01_Input'!$Y$66,0),MAX(MIN(BV$20,'01_Input'!$W$66)-'01_Input'!$V$66,0)*'01_Input'!$Y$66))+IF('01_Input'!$AB$66="Forfait",IF(BV$20&gt;='01_Input'!$Z$66,'01_Input'!$AC$66,0),IF('01_Input'!$AB$66="Palier",IF(AND(BV$20&gt;='01_Input'!$Z$66,BV$20&lt;'01_Input'!$AA$66),'01_Input'!$AC$66,0),MAX(MIN(BV$20,'01_Input'!$AA$66)-'01_Input'!$Z$66,0)*'01_Input'!$AC$66)))))))))</f>
        <v>0</v>
      </c>
      <c r="BW34" s="83">
        <f>IF('01_Input'!$C$66="Non",0,MIN('01_Input'!$I$66,MAX('01_Input'!$H$66,IF('01_Input'!$G$66="Résiduel vs Gestion",0,IF('01_Input'!$G$66="Taux Classe sélectionnée",Distrib_Global_Classe_Selectionnee*BW$20,IF('01_Input'!$G$66="Frais KYC (paliers de 100M€)",MAX(0,Nb_Investisseurs-Nb_KYC_Gratuites_Par_Tranche*(FLOOR(BW$20/Taille_Tranche_KYC,1)+1))*Cout_Par_KYC_Supplementaire,(IF('01_Input'!$L$66="Forfait",IF(BW$20&gt;='01_Input'!$J$66,'01_Input'!$M$66,0),IF('01_Input'!$L$66="Palier",IF(AND(BW$20&gt;='01_Input'!$J$66,BW$20&lt;'01_Input'!$K$66),'01_Input'!$M$66,0),MAX(MIN(BW$20,'01_Input'!$K$66)-'01_Input'!$J$66,0)*'01_Input'!$M$66))+IF('01_Input'!$P$66="Forfait",IF(BW$20&gt;='01_Input'!$N$66,'01_Input'!$Q$66,0),IF('01_Input'!$P$66="Palier",IF(AND(BW$20&gt;='01_Input'!$N$66,BW$20&lt;'01_Input'!$O$66),'01_Input'!$Q$66,0),MAX(MIN(BW$20,'01_Input'!$O$66)-'01_Input'!$N$66,0)*'01_Input'!$Q$66))+IF('01_Input'!$T$66="Forfait",IF(BW$20&gt;='01_Input'!$R$66,'01_Input'!$U$66,0),IF('01_Input'!$T$66="Palier",IF(AND(BW$20&gt;='01_Input'!$R$66,BW$20&lt;'01_Input'!$S$66),'01_Input'!$U$66,0),MAX(MIN(BW$20,'01_Input'!$S$66)-'01_Input'!$R$66,0)*'01_Input'!$U$66))+IF('01_Input'!$X$66="Forfait",IF(BW$20&gt;='01_Input'!$V$66,'01_Input'!$Y$66,0),IF('01_Input'!$X$66="Palier",IF(AND(BW$20&gt;='01_Input'!$V$66,BW$20&lt;'01_Input'!$W$66),'01_Input'!$Y$66,0),MAX(MIN(BW$20,'01_Input'!$W$66)-'01_Input'!$V$66,0)*'01_Input'!$Y$66))+IF('01_Input'!$AB$66="Forfait",IF(BW$20&gt;='01_Input'!$Z$66,'01_Input'!$AC$66,0),IF('01_Input'!$AB$66="Palier",IF(AND(BW$20&gt;='01_Input'!$Z$66,BW$20&lt;'01_Input'!$AA$66),'01_Input'!$AC$66,0),MAX(MIN(BW$20,'01_Input'!$AA$66)-'01_Input'!$Z$66,0)*'01_Input'!$AC$66)))))))))</f>
        <v>0</v>
      </c>
      <c r="BX34" s="83">
        <f>IF('01_Input'!$C$66="Non",0,MIN('01_Input'!$I$66,MAX('01_Input'!$H$66,IF('01_Input'!$G$66="Résiduel vs Gestion",0,IF('01_Input'!$G$66="Taux Classe sélectionnée",Distrib_Global_Classe_Selectionnee*BX$20,IF('01_Input'!$G$66="Frais KYC (paliers de 100M€)",MAX(0,Nb_Investisseurs-Nb_KYC_Gratuites_Par_Tranche*(FLOOR(BX$20/Taille_Tranche_KYC,1)+1))*Cout_Par_KYC_Supplementaire,(IF('01_Input'!$L$66="Forfait",IF(BX$20&gt;='01_Input'!$J$66,'01_Input'!$M$66,0),IF('01_Input'!$L$66="Palier",IF(AND(BX$20&gt;='01_Input'!$J$66,BX$20&lt;'01_Input'!$K$66),'01_Input'!$M$66,0),MAX(MIN(BX$20,'01_Input'!$K$66)-'01_Input'!$J$66,0)*'01_Input'!$M$66))+IF('01_Input'!$P$66="Forfait",IF(BX$20&gt;='01_Input'!$N$66,'01_Input'!$Q$66,0),IF('01_Input'!$P$66="Palier",IF(AND(BX$20&gt;='01_Input'!$N$66,BX$20&lt;'01_Input'!$O$66),'01_Input'!$Q$66,0),MAX(MIN(BX$20,'01_Input'!$O$66)-'01_Input'!$N$66,0)*'01_Input'!$Q$66))+IF('01_Input'!$T$66="Forfait",IF(BX$20&gt;='01_Input'!$R$66,'01_Input'!$U$66,0),IF('01_Input'!$T$66="Palier",IF(AND(BX$20&gt;='01_Input'!$R$66,BX$20&lt;'01_Input'!$S$66),'01_Input'!$U$66,0),MAX(MIN(BX$20,'01_Input'!$S$66)-'01_Input'!$R$66,0)*'01_Input'!$U$66))+IF('01_Input'!$X$66="Forfait",IF(BX$20&gt;='01_Input'!$V$66,'01_Input'!$Y$66,0),IF('01_Input'!$X$66="Palier",IF(AND(BX$20&gt;='01_Input'!$V$66,BX$20&lt;'01_Input'!$W$66),'01_Input'!$Y$66,0),MAX(MIN(BX$20,'01_Input'!$W$66)-'01_Input'!$V$66,0)*'01_Input'!$Y$66))+IF('01_Input'!$AB$66="Forfait",IF(BX$20&gt;='01_Input'!$Z$66,'01_Input'!$AC$66,0),IF('01_Input'!$AB$66="Palier",IF(AND(BX$20&gt;='01_Input'!$Z$66,BX$20&lt;'01_Input'!$AA$66),'01_Input'!$AC$66,0),MAX(MIN(BX$20,'01_Input'!$AA$66)-'01_Input'!$Z$66,0)*'01_Input'!$AC$66)))))))))</f>
        <v>0</v>
      </c>
      <c r="BY34" s="83">
        <f>IF('01_Input'!$C$66="Non",0,MIN('01_Input'!$I$66,MAX('01_Input'!$H$66,IF('01_Input'!$G$66="Résiduel vs Gestion",0,IF('01_Input'!$G$66="Taux Classe sélectionnée",Distrib_Global_Classe_Selectionnee*BY$20,IF('01_Input'!$G$66="Frais KYC (paliers de 100M€)",MAX(0,Nb_Investisseurs-Nb_KYC_Gratuites_Par_Tranche*(FLOOR(BY$20/Taille_Tranche_KYC,1)+1))*Cout_Par_KYC_Supplementaire,(IF('01_Input'!$L$66="Forfait",IF(BY$20&gt;='01_Input'!$J$66,'01_Input'!$M$66,0),IF('01_Input'!$L$66="Palier",IF(AND(BY$20&gt;='01_Input'!$J$66,BY$20&lt;'01_Input'!$K$66),'01_Input'!$M$66,0),MAX(MIN(BY$20,'01_Input'!$K$66)-'01_Input'!$J$66,0)*'01_Input'!$M$66))+IF('01_Input'!$P$66="Forfait",IF(BY$20&gt;='01_Input'!$N$66,'01_Input'!$Q$66,0),IF('01_Input'!$P$66="Palier",IF(AND(BY$20&gt;='01_Input'!$N$66,BY$20&lt;'01_Input'!$O$66),'01_Input'!$Q$66,0),MAX(MIN(BY$20,'01_Input'!$O$66)-'01_Input'!$N$66,0)*'01_Input'!$Q$66))+IF('01_Input'!$T$66="Forfait",IF(BY$20&gt;='01_Input'!$R$66,'01_Input'!$U$66,0),IF('01_Input'!$T$66="Palier",IF(AND(BY$20&gt;='01_Input'!$R$66,BY$20&lt;'01_Input'!$S$66),'01_Input'!$U$66,0),MAX(MIN(BY$20,'01_Input'!$S$66)-'01_Input'!$R$66,0)*'01_Input'!$U$66))+IF('01_Input'!$X$66="Forfait",IF(BY$20&gt;='01_Input'!$V$66,'01_Input'!$Y$66,0),IF('01_Input'!$X$66="Palier",IF(AND(BY$20&gt;='01_Input'!$V$66,BY$20&lt;'01_Input'!$W$66),'01_Input'!$Y$66,0),MAX(MIN(BY$20,'01_Input'!$W$66)-'01_Input'!$V$66,0)*'01_Input'!$Y$66))+IF('01_Input'!$AB$66="Forfait",IF(BY$20&gt;='01_Input'!$Z$66,'01_Input'!$AC$66,0),IF('01_Input'!$AB$66="Palier",IF(AND(BY$20&gt;='01_Input'!$Z$66,BY$20&lt;'01_Input'!$AA$66),'01_Input'!$AC$66,0),MAX(MIN(BY$20,'01_Input'!$AA$66)-'01_Input'!$Z$66,0)*'01_Input'!$AC$66)))))))))</f>
        <v>0</v>
      </c>
      <c r="BZ34" s="83">
        <f>IF('01_Input'!$C$66="Non",0,MIN('01_Input'!$I$66,MAX('01_Input'!$H$66,IF('01_Input'!$G$66="Résiduel vs Gestion",0,IF('01_Input'!$G$66="Taux Classe sélectionnée",Distrib_Global_Classe_Selectionnee*BZ$20,IF('01_Input'!$G$66="Frais KYC (paliers de 100M€)",MAX(0,Nb_Investisseurs-Nb_KYC_Gratuites_Par_Tranche*(FLOOR(BZ$20/Taille_Tranche_KYC,1)+1))*Cout_Par_KYC_Supplementaire,(IF('01_Input'!$L$66="Forfait",IF(BZ$20&gt;='01_Input'!$J$66,'01_Input'!$M$66,0),IF('01_Input'!$L$66="Palier",IF(AND(BZ$20&gt;='01_Input'!$J$66,BZ$20&lt;'01_Input'!$K$66),'01_Input'!$M$66,0),MAX(MIN(BZ$20,'01_Input'!$K$66)-'01_Input'!$J$66,0)*'01_Input'!$M$66))+IF('01_Input'!$P$66="Forfait",IF(BZ$20&gt;='01_Input'!$N$66,'01_Input'!$Q$66,0),IF('01_Input'!$P$66="Palier",IF(AND(BZ$20&gt;='01_Input'!$N$66,BZ$20&lt;'01_Input'!$O$66),'01_Input'!$Q$66,0),MAX(MIN(BZ$20,'01_Input'!$O$66)-'01_Input'!$N$66,0)*'01_Input'!$Q$66))+IF('01_Input'!$T$66="Forfait",IF(BZ$20&gt;='01_Input'!$R$66,'01_Input'!$U$66,0),IF('01_Input'!$T$66="Palier",IF(AND(BZ$20&gt;='01_Input'!$R$66,BZ$20&lt;'01_Input'!$S$66),'01_Input'!$U$66,0),MAX(MIN(BZ$20,'01_Input'!$S$66)-'01_Input'!$R$66,0)*'01_Input'!$U$66))+IF('01_Input'!$X$66="Forfait",IF(BZ$20&gt;='01_Input'!$V$66,'01_Input'!$Y$66,0),IF('01_Input'!$X$66="Palier",IF(AND(BZ$20&gt;='01_Input'!$V$66,BZ$20&lt;'01_Input'!$W$66),'01_Input'!$Y$66,0),MAX(MIN(BZ$20,'01_Input'!$W$66)-'01_Input'!$V$66,0)*'01_Input'!$Y$66))+IF('01_Input'!$AB$66="Forfait",IF(BZ$20&gt;='01_Input'!$Z$66,'01_Input'!$AC$66,0),IF('01_Input'!$AB$66="Palier",IF(AND(BZ$20&gt;='01_Input'!$Z$66,BZ$20&lt;'01_Input'!$AA$66),'01_Input'!$AC$66,0),MAX(MIN(BZ$20,'01_Input'!$AA$66)-'01_Input'!$Z$66,0)*'01_Input'!$AC$66)))))))))</f>
        <v>0</v>
      </c>
      <c r="CA34" s="83">
        <f>IF('01_Input'!$C$66="Non",0,MIN('01_Input'!$I$66,MAX('01_Input'!$H$66,IF('01_Input'!$G$66="Résiduel vs Gestion",0,IF('01_Input'!$G$66="Taux Classe sélectionnée",Distrib_Global_Classe_Selectionnee*CA$20,IF('01_Input'!$G$66="Frais KYC (paliers de 100M€)",MAX(0,Nb_Investisseurs-Nb_KYC_Gratuites_Par_Tranche*(FLOOR(CA$20/Taille_Tranche_KYC,1)+1))*Cout_Par_KYC_Supplementaire,(IF('01_Input'!$L$66="Forfait",IF(CA$20&gt;='01_Input'!$J$66,'01_Input'!$M$66,0),IF('01_Input'!$L$66="Palier",IF(AND(CA$20&gt;='01_Input'!$J$66,CA$20&lt;'01_Input'!$K$66),'01_Input'!$M$66,0),MAX(MIN(CA$20,'01_Input'!$K$66)-'01_Input'!$J$66,0)*'01_Input'!$M$66))+IF('01_Input'!$P$66="Forfait",IF(CA$20&gt;='01_Input'!$N$66,'01_Input'!$Q$66,0),IF('01_Input'!$P$66="Palier",IF(AND(CA$20&gt;='01_Input'!$N$66,CA$20&lt;'01_Input'!$O$66),'01_Input'!$Q$66,0),MAX(MIN(CA$20,'01_Input'!$O$66)-'01_Input'!$N$66,0)*'01_Input'!$Q$66))+IF('01_Input'!$T$66="Forfait",IF(CA$20&gt;='01_Input'!$R$66,'01_Input'!$U$66,0),IF('01_Input'!$T$66="Palier",IF(AND(CA$20&gt;='01_Input'!$R$66,CA$20&lt;'01_Input'!$S$66),'01_Input'!$U$66,0),MAX(MIN(CA$20,'01_Input'!$S$66)-'01_Input'!$R$66,0)*'01_Input'!$U$66))+IF('01_Input'!$X$66="Forfait",IF(CA$20&gt;='01_Input'!$V$66,'01_Input'!$Y$66,0),IF('01_Input'!$X$66="Palier",IF(AND(CA$20&gt;='01_Input'!$V$66,CA$20&lt;'01_Input'!$W$66),'01_Input'!$Y$66,0),MAX(MIN(CA$20,'01_Input'!$W$66)-'01_Input'!$V$66,0)*'01_Input'!$Y$66))+IF('01_Input'!$AB$66="Forfait",IF(CA$20&gt;='01_Input'!$Z$66,'01_Input'!$AC$66,0),IF('01_Input'!$AB$66="Palier",IF(AND(CA$20&gt;='01_Input'!$Z$66,CA$20&lt;'01_Input'!$AA$66),'01_Input'!$AC$66,0),MAX(MIN(CA$20,'01_Input'!$AA$66)-'01_Input'!$Z$66,0)*'01_Input'!$AC$66)))))))))</f>
        <v>0</v>
      </c>
      <c r="CB34" s="83">
        <f>IF('01_Input'!$C$66="Non",0,MIN('01_Input'!$I$66,MAX('01_Input'!$H$66,IF('01_Input'!$G$66="Résiduel vs Gestion",0,IF('01_Input'!$G$66="Taux Classe sélectionnée",Distrib_Global_Classe_Selectionnee*CB$20,IF('01_Input'!$G$66="Frais KYC (paliers de 100M€)",MAX(0,Nb_Investisseurs-Nb_KYC_Gratuites_Par_Tranche*(FLOOR(CB$20/Taille_Tranche_KYC,1)+1))*Cout_Par_KYC_Supplementaire,(IF('01_Input'!$L$66="Forfait",IF(CB$20&gt;='01_Input'!$J$66,'01_Input'!$M$66,0),IF('01_Input'!$L$66="Palier",IF(AND(CB$20&gt;='01_Input'!$J$66,CB$20&lt;'01_Input'!$K$66),'01_Input'!$M$66,0),MAX(MIN(CB$20,'01_Input'!$K$66)-'01_Input'!$J$66,0)*'01_Input'!$M$66))+IF('01_Input'!$P$66="Forfait",IF(CB$20&gt;='01_Input'!$N$66,'01_Input'!$Q$66,0),IF('01_Input'!$P$66="Palier",IF(AND(CB$20&gt;='01_Input'!$N$66,CB$20&lt;'01_Input'!$O$66),'01_Input'!$Q$66,0),MAX(MIN(CB$20,'01_Input'!$O$66)-'01_Input'!$N$66,0)*'01_Input'!$Q$66))+IF('01_Input'!$T$66="Forfait",IF(CB$20&gt;='01_Input'!$R$66,'01_Input'!$U$66,0),IF('01_Input'!$T$66="Palier",IF(AND(CB$20&gt;='01_Input'!$R$66,CB$20&lt;'01_Input'!$S$66),'01_Input'!$U$66,0),MAX(MIN(CB$20,'01_Input'!$S$66)-'01_Input'!$R$66,0)*'01_Input'!$U$66))+IF('01_Input'!$X$66="Forfait",IF(CB$20&gt;='01_Input'!$V$66,'01_Input'!$Y$66,0),IF('01_Input'!$X$66="Palier",IF(AND(CB$20&gt;='01_Input'!$V$66,CB$20&lt;'01_Input'!$W$66),'01_Input'!$Y$66,0),MAX(MIN(CB$20,'01_Input'!$W$66)-'01_Input'!$V$66,0)*'01_Input'!$Y$66))+IF('01_Input'!$AB$66="Forfait",IF(CB$20&gt;='01_Input'!$Z$66,'01_Input'!$AC$66,0),IF('01_Input'!$AB$66="Palier",IF(AND(CB$20&gt;='01_Input'!$Z$66,CB$20&lt;'01_Input'!$AA$66),'01_Input'!$AC$66,0),MAX(MIN(CB$20,'01_Input'!$AA$66)-'01_Input'!$Z$66,0)*'01_Input'!$AC$66)))))))))</f>
        <v>0</v>
      </c>
      <c r="CC34" s="83">
        <f>IF('01_Input'!$C$66="Non",0,MIN('01_Input'!$I$66,MAX('01_Input'!$H$66,IF('01_Input'!$G$66="Résiduel vs Gestion",0,IF('01_Input'!$G$66="Taux Classe sélectionnée",Distrib_Global_Classe_Selectionnee*CC$20,IF('01_Input'!$G$66="Frais KYC (paliers de 100M€)",MAX(0,Nb_Investisseurs-Nb_KYC_Gratuites_Par_Tranche*(FLOOR(CC$20/Taille_Tranche_KYC,1)+1))*Cout_Par_KYC_Supplementaire,(IF('01_Input'!$L$66="Forfait",IF(CC$20&gt;='01_Input'!$J$66,'01_Input'!$M$66,0),IF('01_Input'!$L$66="Palier",IF(AND(CC$20&gt;='01_Input'!$J$66,CC$20&lt;'01_Input'!$K$66),'01_Input'!$M$66,0),MAX(MIN(CC$20,'01_Input'!$K$66)-'01_Input'!$J$66,0)*'01_Input'!$M$66))+IF('01_Input'!$P$66="Forfait",IF(CC$20&gt;='01_Input'!$N$66,'01_Input'!$Q$66,0),IF('01_Input'!$P$66="Palier",IF(AND(CC$20&gt;='01_Input'!$N$66,CC$20&lt;'01_Input'!$O$66),'01_Input'!$Q$66,0),MAX(MIN(CC$20,'01_Input'!$O$66)-'01_Input'!$N$66,0)*'01_Input'!$Q$66))+IF('01_Input'!$T$66="Forfait",IF(CC$20&gt;='01_Input'!$R$66,'01_Input'!$U$66,0),IF('01_Input'!$T$66="Palier",IF(AND(CC$20&gt;='01_Input'!$R$66,CC$20&lt;'01_Input'!$S$66),'01_Input'!$U$66,0),MAX(MIN(CC$20,'01_Input'!$S$66)-'01_Input'!$R$66,0)*'01_Input'!$U$66))+IF('01_Input'!$X$66="Forfait",IF(CC$20&gt;='01_Input'!$V$66,'01_Input'!$Y$66,0),IF('01_Input'!$X$66="Palier",IF(AND(CC$20&gt;='01_Input'!$V$66,CC$20&lt;'01_Input'!$W$66),'01_Input'!$Y$66,0),MAX(MIN(CC$20,'01_Input'!$W$66)-'01_Input'!$V$66,0)*'01_Input'!$Y$66))+IF('01_Input'!$AB$66="Forfait",IF(CC$20&gt;='01_Input'!$Z$66,'01_Input'!$AC$66,0),IF('01_Input'!$AB$66="Palier",IF(AND(CC$20&gt;='01_Input'!$Z$66,CC$20&lt;'01_Input'!$AA$66),'01_Input'!$AC$66,0),MAX(MIN(CC$20,'01_Input'!$AA$66)-'01_Input'!$Z$66,0)*'01_Input'!$AC$66)))))))))</f>
        <v>0</v>
      </c>
      <c r="CD34" s="83">
        <f>IF('01_Input'!$C$66="Non",0,MIN('01_Input'!$I$66,MAX('01_Input'!$H$66,IF('01_Input'!$G$66="Résiduel vs Gestion",0,IF('01_Input'!$G$66="Taux Classe sélectionnée",Distrib_Global_Classe_Selectionnee*CD$20,IF('01_Input'!$G$66="Frais KYC (paliers de 100M€)",MAX(0,Nb_Investisseurs-Nb_KYC_Gratuites_Par_Tranche*(FLOOR(CD$20/Taille_Tranche_KYC,1)+1))*Cout_Par_KYC_Supplementaire,(IF('01_Input'!$L$66="Forfait",IF(CD$20&gt;='01_Input'!$J$66,'01_Input'!$M$66,0),IF('01_Input'!$L$66="Palier",IF(AND(CD$20&gt;='01_Input'!$J$66,CD$20&lt;'01_Input'!$K$66),'01_Input'!$M$66,0),MAX(MIN(CD$20,'01_Input'!$K$66)-'01_Input'!$J$66,0)*'01_Input'!$M$66))+IF('01_Input'!$P$66="Forfait",IF(CD$20&gt;='01_Input'!$N$66,'01_Input'!$Q$66,0),IF('01_Input'!$P$66="Palier",IF(AND(CD$20&gt;='01_Input'!$N$66,CD$20&lt;'01_Input'!$O$66),'01_Input'!$Q$66,0),MAX(MIN(CD$20,'01_Input'!$O$66)-'01_Input'!$N$66,0)*'01_Input'!$Q$66))+IF('01_Input'!$T$66="Forfait",IF(CD$20&gt;='01_Input'!$R$66,'01_Input'!$U$66,0),IF('01_Input'!$T$66="Palier",IF(AND(CD$20&gt;='01_Input'!$R$66,CD$20&lt;'01_Input'!$S$66),'01_Input'!$U$66,0),MAX(MIN(CD$20,'01_Input'!$S$66)-'01_Input'!$R$66,0)*'01_Input'!$U$66))+IF('01_Input'!$X$66="Forfait",IF(CD$20&gt;='01_Input'!$V$66,'01_Input'!$Y$66,0),IF('01_Input'!$X$66="Palier",IF(AND(CD$20&gt;='01_Input'!$V$66,CD$20&lt;'01_Input'!$W$66),'01_Input'!$Y$66,0),MAX(MIN(CD$20,'01_Input'!$W$66)-'01_Input'!$V$66,0)*'01_Input'!$Y$66))+IF('01_Input'!$AB$66="Forfait",IF(CD$20&gt;='01_Input'!$Z$66,'01_Input'!$AC$66,0),IF('01_Input'!$AB$66="Palier",IF(AND(CD$20&gt;='01_Input'!$Z$66,CD$20&lt;'01_Input'!$AA$66),'01_Input'!$AC$66,0),MAX(MIN(CD$20,'01_Input'!$AA$66)-'01_Input'!$Z$66,0)*'01_Input'!$AC$66)))))))))</f>
        <v>0</v>
      </c>
      <c r="CE34" s="83">
        <f>IF('01_Input'!$C$66="Non",0,MIN('01_Input'!$I$66,MAX('01_Input'!$H$66,IF('01_Input'!$G$66="Résiduel vs Gestion",0,IF('01_Input'!$G$66="Taux Classe sélectionnée",Distrib_Global_Classe_Selectionnee*CE$20,IF('01_Input'!$G$66="Frais KYC (paliers de 100M€)",MAX(0,Nb_Investisseurs-Nb_KYC_Gratuites_Par_Tranche*(FLOOR(CE$20/Taille_Tranche_KYC,1)+1))*Cout_Par_KYC_Supplementaire,(IF('01_Input'!$L$66="Forfait",IF(CE$20&gt;='01_Input'!$J$66,'01_Input'!$M$66,0),IF('01_Input'!$L$66="Palier",IF(AND(CE$20&gt;='01_Input'!$J$66,CE$20&lt;'01_Input'!$K$66),'01_Input'!$M$66,0),MAX(MIN(CE$20,'01_Input'!$K$66)-'01_Input'!$J$66,0)*'01_Input'!$M$66))+IF('01_Input'!$P$66="Forfait",IF(CE$20&gt;='01_Input'!$N$66,'01_Input'!$Q$66,0),IF('01_Input'!$P$66="Palier",IF(AND(CE$20&gt;='01_Input'!$N$66,CE$20&lt;'01_Input'!$O$66),'01_Input'!$Q$66,0),MAX(MIN(CE$20,'01_Input'!$O$66)-'01_Input'!$N$66,0)*'01_Input'!$Q$66))+IF('01_Input'!$T$66="Forfait",IF(CE$20&gt;='01_Input'!$R$66,'01_Input'!$U$66,0),IF('01_Input'!$T$66="Palier",IF(AND(CE$20&gt;='01_Input'!$R$66,CE$20&lt;'01_Input'!$S$66),'01_Input'!$U$66,0),MAX(MIN(CE$20,'01_Input'!$S$66)-'01_Input'!$R$66,0)*'01_Input'!$U$66))+IF('01_Input'!$X$66="Forfait",IF(CE$20&gt;='01_Input'!$V$66,'01_Input'!$Y$66,0),IF('01_Input'!$X$66="Palier",IF(AND(CE$20&gt;='01_Input'!$V$66,CE$20&lt;'01_Input'!$W$66),'01_Input'!$Y$66,0),MAX(MIN(CE$20,'01_Input'!$W$66)-'01_Input'!$V$66,0)*'01_Input'!$Y$66))+IF('01_Input'!$AB$66="Forfait",IF(CE$20&gt;='01_Input'!$Z$66,'01_Input'!$AC$66,0),IF('01_Input'!$AB$66="Palier",IF(AND(CE$20&gt;='01_Input'!$Z$66,CE$20&lt;'01_Input'!$AA$66),'01_Input'!$AC$66,0),MAX(MIN(CE$20,'01_Input'!$AA$66)-'01_Input'!$Z$66,0)*'01_Input'!$AC$66)))))))))</f>
        <v>0</v>
      </c>
      <c r="CF34" s="83">
        <f>IF('01_Input'!$C$66="Non",0,MIN('01_Input'!$I$66,MAX('01_Input'!$H$66,IF('01_Input'!$G$66="Résiduel vs Gestion",0,IF('01_Input'!$G$66="Taux Classe sélectionnée",Distrib_Global_Classe_Selectionnee*CF$20,IF('01_Input'!$G$66="Frais KYC (paliers de 100M€)",MAX(0,Nb_Investisseurs-Nb_KYC_Gratuites_Par_Tranche*(FLOOR(CF$20/Taille_Tranche_KYC,1)+1))*Cout_Par_KYC_Supplementaire,(IF('01_Input'!$L$66="Forfait",IF(CF$20&gt;='01_Input'!$J$66,'01_Input'!$M$66,0),IF('01_Input'!$L$66="Palier",IF(AND(CF$20&gt;='01_Input'!$J$66,CF$20&lt;'01_Input'!$K$66),'01_Input'!$M$66,0),MAX(MIN(CF$20,'01_Input'!$K$66)-'01_Input'!$J$66,0)*'01_Input'!$M$66))+IF('01_Input'!$P$66="Forfait",IF(CF$20&gt;='01_Input'!$N$66,'01_Input'!$Q$66,0),IF('01_Input'!$P$66="Palier",IF(AND(CF$20&gt;='01_Input'!$N$66,CF$20&lt;'01_Input'!$O$66),'01_Input'!$Q$66,0),MAX(MIN(CF$20,'01_Input'!$O$66)-'01_Input'!$N$66,0)*'01_Input'!$Q$66))+IF('01_Input'!$T$66="Forfait",IF(CF$20&gt;='01_Input'!$R$66,'01_Input'!$U$66,0),IF('01_Input'!$T$66="Palier",IF(AND(CF$20&gt;='01_Input'!$R$66,CF$20&lt;'01_Input'!$S$66),'01_Input'!$U$66,0),MAX(MIN(CF$20,'01_Input'!$S$66)-'01_Input'!$R$66,0)*'01_Input'!$U$66))+IF('01_Input'!$X$66="Forfait",IF(CF$20&gt;='01_Input'!$V$66,'01_Input'!$Y$66,0),IF('01_Input'!$X$66="Palier",IF(AND(CF$20&gt;='01_Input'!$V$66,CF$20&lt;'01_Input'!$W$66),'01_Input'!$Y$66,0),MAX(MIN(CF$20,'01_Input'!$W$66)-'01_Input'!$V$66,0)*'01_Input'!$Y$66))+IF('01_Input'!$AB$66="Forfait",IF(CF$20&gt;='01_Input'!$Z$66,'01_Input'!$AC$66,0),IF('01_Input'!$AB$66="Palier",IF(AND(CF$20&gt;='01_Input'!$Z$66,CF$20&lt;'01_Input'!$AA$66),'01_Input'!$AC$66,0),MAX(MIN(CF$20,'01_Input'!$AA$66)-'01_Input'!$Z$66,0)*'01_Input'!$AC$66)))))))))</f>
        <v>0</v>
      </c>
      <c r="CG34" s="83">
        <f>IF('01_Input'!$C$66="Non",0,MIN('01_Input'!$I$66,MAX('01_Input'!$H$66,IF('01_Input'!$G$66="Résiduel vs Gestion",0,IF('01_Input'!$G$66="Taux Classe sélectionnée",Distrib_Global_Classe_Selectionnee*CG$20,IF('01_Input'!$G$66="Frais KYC (paliers de 100M€)",MAX(0,Nb_Investisseurs-Nb_KYC_Gratuites_Par_Tranche*(FLOOR(CG$20/Taille_Tranche_KYC,1)+1))*Cout_Par_KYC_Supplementaire,(IF('01_Input'!$L$66="Forfait",IF(CG$20&gt;='01_Input'!$J$66,'01_Input'!$M$66,0),IF('01_Input'!$L$66="Palier",IF(AND(CG$20&gt;='01_Input'!$J$66,CG$20&lt;'01_Input'!$K$66),'01_Input'!$M$66,0),MAX(MIN(CG$20,'01_Input'!$K$66)-'01_Input'!$J$66,0)*'01_Input'!$M$66))+IF('01_Input'!$P$66="Forfait",IF(CG$20&gt;='01_Input'!$N$66,'01_Input'!$Q$66,0),IF('01_Input'!$P$66="Palier",IF(AND(CG$20&gt;='01_Input'!$N$66,CG$20&lt;'01_Input'!$O$66),'01_Input'!$Q$66,0),MAX(MIN(CG$20,'01_Input'!$O$66)-'01_Input'!$N$66,0)*'01_Input'!$Q$66))+IF('01_Input'!$T$66="Forfait",IF(CG$20&gt;='01_Input'!$R$66,'01_Input'!$U$66,0),IF('01_Input'!$T$66="Palier",IF(AND(CG$20&gt;='01_Input'!$R$66,CG$20&lt;'01_Input'!$S$66),'01_Input'!$U$66,0),MAX(MIN(CG$20,'01_Input'!$S$66)-'01_Input'!$R$66,0)*'01_Input'!$U$66))+IF('01_Input'!$X$66="Forfait",IF(CG$20&gt;='01_Input'!$V$66,'01_Input'!$Y$66,0),IF('01_Input'!$X$66="Palier",IF(AND(CG$20&gt;='01_Input'!$V$66,CG$20&lt;'01_Input'!$W$66),'01_Input'!$Y$66,0),MAX(MIN(CG$20,'01_Input'!$W$66)-'01_Input'!$V$66,0)*'01_Input'!$Y$66))+IF('01_Input'!$AB$66="Forfait",IF(CG$20&gt;='01_Input'!$Z$66,'01_Input'!$AC$66,0),IF('01_Input'!$AB$66="Palier",IF(AND(CG$20&gt;='01_Input'!$Z$66,CG$20&lt;'01_Input'!$AA$66),'01_Input'!$AC$66,0),MAX(MIN(CG$20,'01_Input'!$AA$66)-'01_Input'!$Z$66,0)*'01_Input'!$AC$66)))))))))</f>
        <v>0</v>
      </c>
      <c r="CH34" s="83">
        <f>IF('01_Input'!$C$66="Non",0,MIN('01_Input'!$I$66,MAX('01_Input'!$H$66,IF('01_Input'!$G$66="Résiduel vs Gestion",0,IF('01_Input'!$G$66="Taux Classe sélectionnée",Distrib_Global_Classe_Selectionnee*CH$20,IF('01_Input'!$G$66="Frais KYC (paliers de 100M€)",MAX(0,Nb_Investisseurs-Nb_KYC_Gratuites_Par_Tranche*(FLOOR(CH$20/Taille_Tranche_KYC,1)+1))*Cout_Par_KYC_Supplementaire,(IF('01_Input'!$L$66="Forfait",IF(CH$20&gt;='01_Input'!$J$66,'01_Input'!$M$66,0),IF('01_Input'!$L$66="Palier",IF(AND(CH$20&gt;='01_Input'!$J$66,CH$20&lt;'01_Input'!$K$66),'01_Input'!$M$66,0),MAX(MIN(CH$20,'01_Input'!$K$66)-'01_Input'!$J$66,0)*'01_Input'!$M$66))+IF('01_Input'!$P$66="Forfait",IF(CH$20&gt;='01_Input'!$N$66,'01_Input'!$Q$66,0),IF('01_Input'!$P$66="Palier",IF(AND(CH$20&gt;='01_Input'!$N$66,CH$20&lt;'01_Input'!$O$66),'01_Input'!$Q$66,0),MAX(MIN(CH$20,'01_Input'!$O$66)-'01_Input'!$N$66,0)*'01_Input'!$Q$66))+IF('01_Input'!$T$66="Forfait",IF(CH$20&gt;='01_Input'!$R$66,'01_Input'!$U$66,0),IF('01_Input'!$T$66="Palier",IF(AND(CH$20&gt;='01_Input'!$R$66,CH$20&lt;'01_Input'!$S$66),'01_Input'!$U$66,0),MAX(MIN(CH$20,'01_Input'!$S$66)-'01_Input'!$R$66,0)*'01_Input'!$U$66))+IF('01_Input'!$X$66="Forfait",IF(CH$20&gt;='01_Input'!$V$66,'01_Input'!$Y$66,0),IF('01_Input'!$X$66="Palier",IF(AND(CH$20&gt;='01_Input'!$V$66,CH$20&lt;'01_Input'!$W$66),'01_Input'!$Y$66,0),MAX(MIN(CH$20,'01_Input'!$W$66)-'01_Input'!$V$66,0)*'01_Input'!$Y$66))+IF('01_Input'!$AB$66="Forfait",IF(CH$20&gt;='01_Input'!$Z$66,'01_Input'!$AC$66,0),IF('01_Input'!$AB$66="Palier",IF(AND(CH$20&gt;='01_Input'!$Z$66,CH$20&lt;'01_Input'!$AA$66),'01_Input'!$AC$66,0),MAX(MIN(CH$20,'01_Input'!$AA$66)-'01_Input'!$Z$66,0)*'01_Input'!$AC$66)))))))))</f>
        <v>0</v>
      </c>
      <c r="CI34" s="83">
        <f>IF('01_Input'!$C$66="Non",0,MIN('01_Input'!$I$66,MAX('01_Input'!$H$66,IF('01_Input'!$G$66="Résiduel vs Gestion",0,IF('01_Input'!$G$66="Taux Classe sélectionnée",Distrib_Global_Classe_Selectionnee*CI$20,IF('01_Input'!$G$66="Frais KYC (paliers de 100M€)",MAX(0,Nb_Investisseurs-Nb_KYC_Gratuites_Par_Tranche*(FLOOR(CI$20/Taille_Tranche_KYC,1)+1))*Cout_Par_KYC_Supplementaire,(IF('01_Input'!$L$66="Forfait",IF(CI$20&gt;='01_Input'!$J$66,'01_Input'!$M$66,0),IF('01_Input'!$L$66="Palier",IF(AND(CI$20&gt;='01_Input'!$J$66,CI$20&lt;'01_Input'!$K$66),'01_Input'!$M$66,0),MAX(MIN(CI$20,'01_Input'!$K$66)-'01_Input'!$J$66,0)*'01_Input'!$M$66))+IF('01_Input'!$P$66="Forfait",IF(CI$20&gt;='01_Input'!$N$66,'01_Input'!$Q$66,0),IF('01_Input'!$P$66="Palier",IF(AND(CI$20&gt;='01_Input'!$N$66,CI$20&lt;'01_Input'!$O$66),'01_Input'!$Q$66,0),MAX(MIN(CI$20,'01_Input'!$O$66)-'01_Input'!$N$66,0)*'01_Input'!$Q$66))+IF('01_Input'!$T$66="Forfait",IF(CI$20&gt;='01_Input'!$R$66,'01_Input'!$U$66,0),IF('01_Input'!$T$66="Palier",IF(AND(CI$20&gt;='01_Input'!$R$66,CI$20&lt;'01_Input'!$S$66),'01_Input'!$U$66,0),MAX(MIN(CI$20,'01_Input'!$S$66)-'01_Input'!$R$66,0)*'01_Input'!$U$66))+IF('01_Input'!$X$66="Forfait",IF(CI$20&gt;='01_Input'!$V$66,'01_Input'!$Y$66,0),IF('01_Input'!$X$66="Palier",IF(AND(CI$20&gt;='01_Input'!$V$66,CI$20&lt;'01_Input'!$W$66),'01_Input'!$Y$66,0),MAX(MIN(CI$20,'01_Input'!$W$66)-'01_Input'!$V$66,0)*'01_Input'!$Y$66))+IF('01_Input'!$AB$66="Forfait",IF(CI$20&gt;='01_Input'!$Z$66,'01_Input'!$AC$66,0),IF('01_Input'!$AB$66="Palier",IF(AND(CI$20&gt;='01_Input'!$Z$66,CI$20&lt;'01_Input'!$AA$66),'01_Input'!$AC$66,0),MAX(MIN(CI$20,'01_Input'!$AA$66)-'01_Input'!$Z$66,0)*'01_Input'!$AC$66)))))))))</f>
        <v>0</v>
      </c>
      <c r="CJ34" s="83">
        <f>IF('01_Input'!$C$66="Non",0,MIN('01_Input'!$I$66,MAX('01_Input'!$H$66,IF('01_Input'!$G$66="Résiduel vs Gestion",0,IF('01_Input'!$G$66="Taux Classe sélectionnée",Distrib_Global_Classe_Selectionnee*CJ$20,IF('01_Input'!$G$66="Frais KYC (paliers de 100M€)",MAX(0,Nb_Investisseurs-Nb_KYC_Gratuites_Par_Tranche*(FLOOR(CJ$20/Taille_Tranche_KYC,1)+1))*Cout_Par_KYC_Supplementaire,(IF('01_Input'!$L$66="Forfait",IF(CJ$20&gt;='01_Input'!$J$66,'01_Input'!$M$66,0),IF('01_Input'!$L$66="Palier",IF(AND(CJ$20&gt;='01_Input'!$J$66,CJ$20&lt;'01_Input'!$K$66),'01_Input'!$M$66,0),MAX(MIN(CJ$20,'01_Input'!$K$66)-'01_Input'!$J$66,0)*'01_Input'!$M$66))+IF('01_Input'!$P$66="Forfait",IF(CJ$20&gt;='01_Input'!$N$66,'01_Input'!$Q$66,0),IF('01_Input'!$P$66="Palier",IF(AND(CJ$20&gt;='01_Input'!$N$66,CJ$20&lt;'01_Input'!$O$66),'01_Input'!$Q$66,0),MAX(MIN(CJ$20,'01_Input'!$O$66)-'01_Input'!$N$66,0)*'01_Input'!$Q$66))+IF('01_Input'!$T$66="Forfait",IF(CJ$20&gt;='01_Input'!$R$66,'01_Input'!$U$66,0),IF('01_Input'!$T$66="Palier",IF(AND(CJ$20&gt;='01_Input'!$R$66,CJ$20&lt;'01_Input'!$S$66),'01_Input'!$U$66,0),MAX(MIN(CJ$20,'01_Input'!$S$66)-'01_Input'!$R$66,0)*'01_Input'!$U$66))+IF('01_Input'!$X$66="Forfait",IF(CJ$20&gt;='01_Input'!$V$66,'01_Input'!$Y$66,0),IF('01_Input'!$X$66="Palier",IF(AND(CJ$20&gt;='01_Input'!$V$66,CJ$20&lt;'01_Input'!$W$66),'01_Input'!$Y$66,0),MAX(MIN(CJ$20,'01_Input'!$W$66)-'01_Input'!$V$66,0)*'01_Input'!$Y$66))+IF('01_Input'!$AB$66="Forfait",IF(CJ$20&gt;='01_Input'!$Z$66,'01_Input'!$AC$66,0),IF('01_Input'!$AB$66="Palier",IF(AND(CJ$20&gt;='01_Input'!$Z$66,CJ$20&lt;'01_Input'!$AA$66),'01_Input'!$AC$66,0),MAX(MIN(CJ$20,'01_Input'!$AA$66)-'01_Input'!$Z$66,0)*'01_Input'!$AC$66)))))))))</f>
        <v>0</v>
      </c>
      <c r="CK34" s="83">
        <f>IF('01_Input'!$C$66="Non",0,MIN('01_Input'!$I$66,MAX('01_Input'!$H$66,IF('01_Input'!$G$66="Résiduel vs Gestion",0,IF('01_Input'!$G$66="Taux Classe sélectionnée",Distrib_Global_Classe_Selectionnee*CK$20,IF('01_Input'!$G$66="Frais KYC (paliers de 100M€)",MAX(0,Nb_Investisseurs-Nb_KYC_Gratuites_Par_Tranche*(FLOOR(CK$20/Taille_Tranche_KYC,1)+1))*Cout_Par_KYC_Supplementaire,(IF('01_Input'!$L$66="Forfait",IF(CK$20&gt;='01_Input'!$J$66,'01_Input'!$M$66,0),IF('01_Input'!$L$66="Palier",IF(AND(CK$20&gt;='01_Input'!$J$66,CK$20&lt;'01_Input'!$K$66),'01_Input'!$M$66,0),MAX(MIN(CK$20,'01_Input'!$K$66)-'01_Input'!$J$66,0)*'01_Input'!$M$66))+IF('01_Input'!$P$66="Forfait",IF(CK$20&gt;='01_Input'!$N$66,'01_Input'!$Q$66,0),IF('01_Input'!$P$66="Palier",IF(AND(CK$20&gt;='01_Input'!$N$66,CK$20&lt;'01_Input'!$O$66),'01_Input'!$Q$66,0),MAX(MIN(CK$20,'01_Input'!$O$66)-'01_Input'!$N$66,0)*'01_Input'!$Q$66))+IF('01_Input'!$T$66="Forfait",IF(CK$20&gt;='01_Input'!$R$66,'01_Input'!$U$66,0),IF('01_Input'!$T$66="Palier",IF(AND(CK$20&gt;='01_Input'!$R$66,CK$20&lt;'01_Input'!$S$66),'01_Input'!$U$66,0),MAX(MIN(CK$20,'01_Input'!$S$66)-'01_Input'!$R$66,0)*'01_Input'!$U$66))+IF('01_Input'!$X$66="Forfait",IF(CK$20&gt;='01_Input'!$V$66,'01_Input'!$Y$66,0),IF('01_Input'!$X$66="Palier",IF(AND(CK$20&gt;='01_Input'!$V$66,CK$20&lt;'01_Input'!$W$66),'01_Input'!$Y$66,0),MAX(MIN(CK$20,'01_Input'!$W$66)-'01_Input'!$V$66,0)*'01_Input'!$Y$66))+IF('01_Input'!$AB$66="Forfait",IF(CK$20&gt;='01_Input'!$Z$66,'01_Input'!$AC$66,0),IF('01_Input'!$AB$66="Palier",IF(AND(CK$20&gt;='01_Input'!$Z$66,CK$20&lt;'01_Input'!$AA$66),'01_Input'!$AC$66,0),MAX(MIN(CK$20,'01_Input'!$AA$66)-'01_Input'!$Z$66,0)*'01_Input'!$AC$66)))))))))</f>
        <v>0</v>
      </c>
      <c r="CL34" s="83">
        <f>IF('01_Input'!$C$66="Non",0,MIN('01_Input'!$I$66,MAX('01_Input'!$H$66,IF('01_Input'!$G$66="Résiduel vs Gestion",0,IF('01_Input'!$G$66="Taux Classe sélectionnée",Distrib_Global_Classe_Selectionnee*CL$20,IF('01_Input'!$G$66="Frais KYC (paliers de 100M€)",MAX(0,Nb_Investisseurs-Nb_KYC_Gratuites_Par_Tranche*(FLOOR(CL$20/Taille_Tranche_KYC,1)+1))*Cout_Par_KYC_Supplementaire,(IF('01_Input'!$L$66="Forfait",IF(CL$20&gt;='01_Input'!$J$66,'01_Input'!$M$66,0),IF('01_Input'!$L$66="Palier",IF(AND(CL$20&gt;='01_Input'!$J$66,CL$20&lt;'01_Input'!$K$66),'01_Input'!$M$66,0),MAX(MIN(CL$20,'01_Input'!$K$66)-'01_Input'!$J$66,0)*'01_Input'!$M$66))+IF('01_Input'!$P$66="Forfait",IF(CL$20&gt;='01_Input'!$N$66,'01_Input'!$Q$66,0),IF('01_Input'!$P$66="Palier",IF(AND(CL$20&gt;='01_Input'!$N$66,CL$20&lt;'01_Input'!$O$66),'01_Input'!$Q$66,0),MAX(MIN(CL$20,'01_Input'!$O$66)-'01_Input'!$N$66,0)*'01_Input'!$Q$66))+IF('01_Input'!$T$66="Forfait",IF(CL$20&gt;='01_Input'!$R$66,'01_Input'!$U$66,0),IF('01_Input'!$T$66="Palier",IF(AND(CL$20&gt;='01_Input'!$R$66,CL$20&lt;'01_Input'!$S$66),'01_Input'!$U$66,0),MAX(MIN(CL$20,'01_Input'!$S$66)-'01_Input'!$R$66,0)*'01_Input'!$U$66))+IF('01_Input'!$X$66="Forfait",IF(CL$20&gt;='01_Input'!$V$66,'01_Input'!$Y$66,0),IF('01_Input'!$X$66="Palier",IF(AND(CL$20&gt;='01_Input'!$V$66,CL$20&lt;'01_Input'!$W$66),'01_Input'!$Y$66,0),MAX(MIN(CL$20,'01_Input'!$W$66)-'01_Input'!$V$66,0)*'01_Input'!$Y$66))+IF('01_Input'!$AB$66="Forfait",IF(CL$20&gt;='01_Input'!$Z$66,'01_Input'!$AC$66,0),IF('01_Input'!$AB$66="Palier",IF(AND(CL$20&gt;='01_Input'!$Z$66,CL$20&lt;'01_Input'!$AA$66),'01_Input'!$AC$66,0),MAX(MIN(CL$20,'01_Input'!$AA$66)-'01_Input'!$Z$66,0)*'01_Input'!$AC$66)))))))))</f>
        <v>0</v>
      </c>
      <c r="CM34" s="83">
        <f>IF('01_Input'!$C$66="Non",0,MIN('01_Input'!$I$66,MAX('01_Input'!$H$66,IF('01_Input'!$G$66="Résiduel vs Gestion",0,IF('01_Input'!$G$66="Taux Classe sélectionnée",Distrib_Global_Classe_Selectionnee*CM$20,IF('01_Input'!$G$66="Frais KYC (paliers de 100M€)",MAX(0,Nb_Investisseurs-Nb_KYC_Gratuites_Par_Tranche*(FLOOR(CM$20/Taille_Tranche_KYC,1)+1))*Cout_Par_KYC_Supplementaire,(IF('01_Input'!$L$66="Forfait",IF(CM$20&gt;='01_Input'!$J$66,'01_Input'!$M$66,0),IF('01_Input'!$L$66="Palier",IF(AND(CM$20&gt;='01_Input'!$J$66,CM$20&lt;'01_Input'!$K$66),'01_Input'!$M$66,0),MAX(MIN(CM$20,'01_Input'!$K$66)-'01_Input'!$J$66,0)*'01_Input'!$M$66))+IF('01_Input'!$P$66="Forfait",IF(CM$20&gt;='01_Input'!$N$66,'01_Input'!$Q$66,0),IF('01_Input'!$P$66="Palier",IF(AND(CM$20&gt;='01_Input'!$N$66,CM$20&lt;'01_Input'!$O$66),'01_Input'!$Q$66,0),MAX(MIN(CM$20,'01_Input'!$O$66)-'01_Input'!$N$66,0)*'01_Input'!$Q$66))+IF('01_Input'!$T$66="Forfait",IF(CM$20&gt;='01_Input'!$R$66,'01_Input'!$U$66,0),IF('01_Input'!$T$66="Palier",IF(AND(CM$20&gt;='01_Input'!$R$66,CM$20&lt;'01_Input'!$S$66),'01_Input'!$U$66,0),MAX(MIN(CM$20,'01_Input'!$S$66)-'01_Input'!$R$66,0)*'01_Input'!$U$66))+IF('01_Input'!$X$66="Forfait",IF(CM$20&gt;='01_Input'!$V$66,'01_Input'!$Y$66,0),IF('01_Input'!$X$66="Palier",IF(AND(CM$20&gt;='01_Input'!$V$66,CM$20&lt;'01_Input'!$W$66),'01_Input'!$Y$66,0),MAX(MIN(CM$20,'01_Input'!$W$66)-'01_Input'!$V$66,0)*'01_Input'!$Y$66))+IF('01_Input'!$AB$66="Forfait",IF(CM$20&gt;='01_Input'!$Z$66,'01_Input'!$AC$66,0),IF('01_Input'!$AB$66="Palier",IF(AND(CM$20&gt;='01_Input'!$Z$66,CM$20&lt;'01_Input'!$AA$66),'01_Input'!$AC$66,0),MAX(MIN(CM$20,'01_Input'!$AA$66)-'01_Input'!$Z$66,0)*'01_Input'!$AC$66)))))))))</f>
        <v>0</v>
      </c>
      <c r="CN34" s="83">
        <f>IF('01_Input'!$C$66="Non",0,MIN('01_Input'!$I$66,MAX('01_Input'!$H$66,IF('01_Input'!$G$66="Résiduel vs Gestion",0,IF('01_Input'!$G$66="Taux Classe sélectionnée",Distrib_Global_Classe_Selectionnee*CN$20,IF('01_Input'!$G$66="Frais KYC (paliers de 100M€)",MAX(0,Nb_Investisseurs-Nb_KYC_Gratuites_Par_Tranche*(FLOOR(CN$20/Taille_Tranche_KYC,1)+1))*Cout_Par_KYC_Supplementaire,(IF('01_Input'!$L$66="Forfait",IF(CN$20&gt;='01_Input'!$J$66,'01_Input'!$M$66,0),IF('01_Input'!$L$66="Palier",IF(AND(CN$20&gt;='01_Input'!$J$66,CN$20&lt;'01_Input'!$K$66),'01_Input'!$M$66,0),MAX(MIN(CN$20,'01_Input'!$K$66)-'01_Input'!$J$66,0)*'01_Input'!$M$66))+IF('01_Input'!$P$66="Forfait",IF(CN$20&gt;='01_Input'!$N$66,'01_Input'!$Q$66,0),IF('01_Input'!$P$66="Palier",IF(AND(CN$20&gt;='01_Input'!$N$66,CN$20&lt;'01_Input'!$O$66),'01_Input'!$Q$66,0),MAX(MIN(CN$20,'01_Input'!$O$66)-'01_Input'!$N$66,0)*'01_Input'!$Q$66))+IF('01_Input'!$T$66="Forfait",IF(CN$20&gt;='01_Input'!$R$66,'01_Input'!$U$66,0),IF('01_Input'!$T$66="Palier",IF(AND(CN$20&gt;='01_Input'!$R$66,CN$20&lt;'01_Input'!$S$66),'01_Input'!$U$66,0),MAX(MIN(CN$20,'01_Input'!$S$66)-'01_Input'!$R$66,0)*'01_Input'!$U$66))+IF('01_Input'!$X$66="Forfait",IF(CN$20&gt;='01_Input'!$V$66,'01_Input'!$Y$66,0),IF('01_Input'!$X$66="Palier",IF(AND(CN$20&gt;='01_Input'!$V$66,CN$20&lt;'01_Input'!$W$66),'01_Input'!$Y$66,0),MAX(MIN(CN$20,'01_Input'!$W$66)-'01_Input'!$V$66,0)*'01_Input'!$Y$66))+IF('01_Input'!$AB$66="Forfait",IF(CN$20&gt;='01_Input'!$Z$66,'01_Input'!$AC$66,0),IF('01_Input'!$AB$66="Palier",IF(AND(CN$20&gt;='01_Input'!$Z$66,CN$20&lt;'01_Input'!$AA$66),'01_Input'!$AC$66,0),MAX(MIN(CN$20,'01_Input'!$AA$66)-'01_Input'!$Z$66,0)*'01_Input'!$AC$66)))))))))</f>
        <v>0</v>
      </c>
      <c r="CO34" s="83">
        <f>IF('01_Input'!$C$66="Non",0,MIN('01_Input'!$I$66,MAX('01_Input'!$H$66,IF('01_Input'!$G$66="Résiduel vs Gestion",0,IF('01_Input'!$G$66="Taux Classe sélectionnée",Distrib_Global_Classe_Selectionnee*CO$20,IF('01_Input'!$G$66="Frais KYC (paliers de 100M€)",MAX(0,Nb_Investisseurs-Nb_KYC_Gratuites_Par_Tranche*(FLOOR(CO$20/Taille_Tranche_KYC,1)+1))*Cout_Par_KYC_Supplementaire,(IF('01_Input'!$L$66="Forfait",IF(CO$20&gt;='01_Input'!$J$66,'01_Input'!$M$66,0),IF('01_Input'!$L$66="Palier",IF(AND(CO$20&gt;='01_Input'!$J$66,CO$20&lt;'01_Input'!$K$66),'01_Input'!$M$66,0),MAX(MIN(CO$20,'01_Input'!$K$66)-'01_Input'!$J$66,0)*'01_Input'!$M$66))+IF('01_Input'!$P$66="Forfait",IF(CO$20&gt;='01_Input'!$N$66,'01_Input'!$Q$66,0),IF('01_Input'!$P$66="Palier",IF(AND(CO$20&gt;='01_Input'!$N$66,CO$20&lt;'01_Input'!$O$66),'01_Input'!$Q$66,0),MAX(MIN(CO$20,'01_Input'!$O$66)-'01_Input'!$N$66,0)*'01_Input'!$Q$66))+IF('01_Input'!$T$66="Forfait",IF(CO$20&gt;='01_Input'!$R$66,'01_Input'!$U$66,0),IF('01_Input'!$T$66="Palier",IF(AND(CO$20&gt;='01_Input'!$R$66,CO$20&lt;'01_Input'!$S$66),'01_Input'!$U$66,0),MAX(MIN(CO$20,'01_Input'!$S$66)-'01_Input'!$R$66,0)*'01_Input'!$U$66))+IF('01_Input'!$X$66="Forfait",IF(CO$20&gt;='01_Input'!$V$66,'01_Input'!$Y$66,0),IF('01_Input'!$X$66="Palier",IF(AND(CO$20&gt;='01_Input'!$V$66,CO$20&lt;'01_Input'!$W$66),'01_Input'!$Y$66,0),MAX(MIN(CO$20,'01_Input'!$W$66)-'01_Input'!$V$66,0)*'01_Input'!$Y$66))+IF('01_Input'!$AB$66="Forfait",IF(CO$20&gt;='01_Input'!$Z$66,'01_Input'!$AC$66,0),IF('01_Input'!$AB$66="Palier",IF(AND(CO$20&gt;='01_Input'!$Z$66,CO$20&lt;'01_Input'!$AA$66),'01_Input'!$AC$66,0),MAX(MIN(CO$20,'01_Input'!$AA$66)-'01_Input'!$Z$66,0)*'01_Input'!$AC$66)))))))))</f>
        <v>0</v>
      </c>
      <c r="CP34" s="83">
        <f>IF('01_Input'!$C$66="Non",0,MIN('01_Input'!$I$66,MAX('01_Input'!$H$66,IF('01_Input'!$G$66="Résiduel vs Gestion",0,IF('01_Input'!$G$66="Taux Classe sélectionnée",Distrib_Global_Classe_Selectionnee*CP$20,IF('01_Input'!$G$66="Frais KYC (paliers de 100M€)",MAX(0,Nb_Investisseurs-Nb_KYC_Gratuites_Par_Tranche*(FLOOR(CP$20/Taille_Tranche_KYC,1)+1))*Cout_Par_KYC_Supplementaire,(IF('01_Input'!$L$66="Forfait",IF(CP$20&gt;='01_Input'!$J$66,'01_Input'!$M$66,0),IF('01_Input'!$L$66="Palier",IF(AND(CP$20&gt;='01_Input'!$J$66,CP$20&lt;'01_Input'!$K$66),'01_Input'!$M$66,0),MAX(MIN(CP$20,'01_Input'!$K$66)-'01_Input'!$J$66,0)*'01_Input'!$M$66))+IF('01_Input'!$P$66="Forfait",IF(CP$20&gt;='01_Input'!$N$66,'01_Input'!$Q$66,0),IF('01_Input'!$P$66="Palier",IF(AND(CP$20&gt;='01_Input'!$N$66,CP$20&lt;'01_Input'!$O$66),'01_Input'!$Q$66,0),MAX(MIN(CP$20,'01_Input'!$O$66)-'01_Input'!$N$66,0)*'01_Input'!$Q$66))+IF('01_Input'!$T$66="Forfait",IF(CP$20&gt;='01_Input'!$R$66,'01_Input'!$U$66,0),IF('01_Input'!$T$66="Palier",IF(AND(CP$20&gt;='01_Input'!$R$66,CP$20&lt;'01_Input'!$S$66),'01_Input'!$U$66,0),MAX(MIN(CP$20,'01_Input'!$S$66)-'01_Input'!$R$66,0)*'01_Input'!$U$66))+IF('01_Input'!$X$66="Forfait",IF(CP$20&gt;='01_Input'!$V$66,'01_Input'!$Y$66,0),IF('01_Input'!$X$66="Palier",IF(AND(CP$20&gt;='01_Input'!$V$66,CP$20&lt;'01_Input'!$W$66),'01_Input'!$Y$66,0),MAX(MIN(CP$20,'01_Input'!$W$66)-'01_Input'!$V$66,0)*'01_Input'!$Y$66))+IF('01_Input'!$AB$66="Forfait",IF(CP$20&gt;='01_Input'!$Z$66,'01_Input'!$AC$66,0),IF('01_Input'!$AB$66="Palier",IF(AND(CP$20&gt;='01_Input'!$Z$66,CP$20&lt;'01_Input'!$AA$66),'01_Input'!$AC$66,0),MAX(MIN(CP$20,'01_Input'!$AA$66)-'01_Input'!$Z$66,0)*'01_Input'!$AC$66)))))))))</f>
        <v>0</v>
      </c>
      <c r="CQ34" s="83">
        <f>IF('01_Input'!$C$66="Non",0,MIN('01_Input'!$I$66,MAX('01_Input'!$H$66,IF('01_Input'!$G$66="Résiduel vs Gestion",0,IF('01_Input'!$G$66="Taux Classe sélectionnée",Distrib_Global_Classe_Selectionnee*CQ$20,IF('01_Input'!$G$66="Frais KYC (paliers de 100M€)",MAX(0,Nb_Investisseurs-Nb_KYC_Gratuites_Par_Tranche*(FLOOR(CQ$20/Taille_Tranche_KYC,1)+1))*Cout_Par_KYC_Supplementaire,(IF('01_Input'!$L$66="Forfait",IF(CQ$20&gt;='01_Input'!$J$66,'01_Input'!$M$66,0),IF('01_Input'!$L$66="Palier",IF(AND(CQ$20&gt;='01_Input'!$J$66,CQ$20&lt;'01_Input'!$K$66),'01_Input'!$M$66,0),MAX(MIN(CQ$20,'01_Input'!$K$66)-'01_Input'!$J$66,0)*'01_Input'!$M$66))+IF('01_Input'!$P$66="Forfait",IF(CQ$20&gt;='01_Input'!$N$66,'01_Input'!$Q$66,0),IF('01_Input'!$P$66="Palier",IF(AND(CQ$20&gt;='01_Input'!$N$66,CQ$20&lt;'01_Input'!$O$66),'01_Input'!$Q$66,0),MAX(MIN(CQ$20,'01_Input'!$O$66)-'01_Input'!$N$66,0)*'01_Input'!$Q$66))+IF('01_Input'!$T$66="Forfait",IF(CQ$20&gt;='01_Input'!$R$66,'01_Input'!$U$66,0),IF('01_Input'!$T$66="Palier",IF(AND(CQ$20&gt;='01_Input'!$R$66,CQ$20&lt;'01_Input'!$S$66),'01_Input'!$U$66,0),MAX(MIN(CQ$20,'01_Input'!$S$66)-'01_Input'!$R$66,0)*'01_Input'!$U$66))+IF('01_Input'!$X$66="Forfait",IF(CQ$20&gt;='01_Input'!$V$66,'01_Input'!$Y$66,0),IF('01_Input'!$X$66="Palier",IF(AND(CQ$20&gt;='01_Input'!$V$66,CQ$20&lt;'01_Input'!$W$66),'01_Input'!$Y$66,0),MAX(MIN(CQ$20,'01_Input'!$W$66)-'01_Input'!$V$66,0)*'01_Input'!$Y$66))+IF('01_Input'!$AB$66="Forfait",IF(CQ$20&gt;='01_Input'!$Z$66,'01_Input'!$AC$66,0),IF('01_Input'!$AB$66="Palier",IF(AND(CQ$20&gt;='01_Input'!$Z$66,CQ$20&lt;'01_Input'!$AA$66),'01_Input'!$AC$66,0),MAX(MIN(CQ$20,'01_Input'!$AA$66)-'01_Input'!$Z$66,0)*'01_Input'!$AC$66)))))))))</f>
        <v>0</v>
      </c>
      <c r="CR34" s="83">
        <f>IF('01_Input'!$C$66="Non",0,MIN('01_Input'!$I$66,MAX('01_Input'!$H$66,IF('01_Input'!$G$66="Résiduel vs Gestion",0,IF('01_Input'!$G$66="Taux Classe sélectionnée",Distrib_Global_Classe_Selectionnee*CR$20,IF('01_Input'!$G$66="Frais KYC (paliers de 100M€)",MAX(0,Nb_Investisseurs-Nb_KYC_Gratuites_Par_Tranche*(FLOOR(CR$20/Taille_Tranche_KYC,1)+1))*Cout_Par_KYC_Supplementaire,(IF('01_Input'!$L$66="Forfait",IF(CR$20&gt;='01_Input'!$J$66,'01_Input'!$M$66,0),IF('01_Input'!$L$66="Palier",IF(AND(CR$20&gt;='01_Input'!$J$66,CR$20&lt;'01_Input'!$K$66),'01_Input'!$M$66,0),MAX(MIN(CR$20,'01_Input'!$K$66)-'01_Input'!$J$66,0)*'01_Input'!$M$66))+IF('01_Input'!$P$66="Forfait",IF(CR$20&gt;='01_Input'!$N$66,'01_Input'!$Q$66,0),IF('01_Input'!$P$66="Palier",IF(AND(CR$20&gt;='01_Input'!$N$66,CR$20&lt;'01_Input'!$O$66),'01_Input'!$Q$66,0),MAX(MIN(CR$20,'01_Input'!$O$66)-'01_Input'!$N$66,0)*'01_Input'!$Q$66))+IF('01_Input'!$T$66="Forfait",IF(CR$20&gt;='01_Input'!$R$66,'01_Input'!$U$66,0),IF('01_Input'!$T$66="Palier",IF(AND(CR$20&gt;='01_Input'!$R$66,CR$20&lt;'01_Input'!$S$66),'01_Input'!$U$66,0),MAX(MIN(CR$20,'01_Input'!$S$66)-'01_Input'!$R$66,0)*'01_Input'!$U$66))+IF('01_Input'!$X$66="Forfait",IF(CR$20&gt;='01_Input'!$V$66,'01_Input'!$Y$66,0),IF('01_Input'!$X$66="Palier",IF(AND(CR$20&gt;='01_Input'!$V$66,CR$20&lt;'01_Input'!$W$66),'01_Input'!$Y$66,0),MAX(MIN(CR$20,'01_Input'!$W$66)-'01_Input'!$V$66,0)*'01_Input'!$Y$66))+IF('01_Input'!$AB$66="Forfait",IF(CR$20&gt;='01_Input'!$Z$66,'01_Input'!$AC$66,0),IF('01_Input'!$AB$66="Palier",IF(AND(CR$20&gt;='01_Input'!$Z$66,CR$20&lt;'01_Input'!$AA$66),'01_Input'!$AC$66,0),MAX(MIN(CR$20,'01_Input'!$AA$66)-'01_Input'!$Z$66,0)*'01_Input'!$AC$66)))))))))</f>
        <v>0</v>
      </c>
      <c r="CS34" s="83">
        <f>IF('01_Input'!$C$66="Non",0,MIN('01_Input'!$I$66,MAX('01_Input'!$H$66,IF('01_Input'!$G$66="Résiduel vs Gestion",0,IF('01_Input'!$G$66="Taux Classe sélectionnée",Distrib_Global_Classe_Selectionnee*CS$20,IF('01_Input'!$G$66="Frais KYC (paliers de 100M€)",MAX(0,Nb_Investisseurs-Nb_KYC_Gratuites_Par_Tranche*(FLOOR(CS$20/Taille_Tranche_KYC,1)+1))*Cout_Par_KYC_Supplementaire,(IF('01_Input'!$L$66="Forfait",IF(CS$20&gt;='01_Input'!$J$66,'01_Input'!$M$66,0),IF('01_Input'!$L$66="Palier",IF(AND(CS$20&gt;='01_Input'!$J$66,CS$20&lt;'01_Input'!$K$66),'01_Input'!$M$66,0),MAX(MIN(CS$20,'01_Input'!$K$66)-'01_Input'!$J$66,0)*'01_Input'!$M$66))+IF('01_Input'!$P$66="Forfait",IF(CS$20&gt;='01_Input'!$N$66,'01_Input'!$Q$66,0),IF('01_Input'!$P$66="Palier",IF(AND(CS$20&gt;='01_Input'!$N$66,CS$20&lt;'01_Input'!$O$66),'01_Input'!$Q$66,0),MAX(MIN(CS$20,'01_Input'!$O$66)-'01_Input'!$N$66,0)*'01_Input'!$Q$66))+IF('01_Input'!$T$66="Forfait",IF(CS$20&gt;='01_Input'!$R$66,'01_Input'!$U$66,0),IF('01_Input'!$T$66="Palier",IF(AND(CS$20&gt;='01_Input'!$R$66,CS$20&lt;'01_Input'!$S$66),'01_Input'!$U$66,0),MAX(MIN(CS$20,'01_Input'!$S$66)-'01_Input'!$R$66,0)*'01_Input'!$U$66))+IF('01_Input'!$X$66="Forfait",IF(CS$20&gt;='01_Input'!$V$66,'01_Input'!$Y$66,0),IF('01_Input'!$X$66="Palier",IF(AND(CS$20&gt;='01_Input'!$V$66,CS$20&lt;'01_Input'!$W$66),'01_Input'!$Y$66,0),MAX(MIN(CS$20,'01_Input'!$W$66)-'01_Input'!$V$66,0)*'01_Input'!$Y$66))+IF('01_Input'!$AB$66="Forfait",IF(CS$20&gt;='01_Input'!$Z$66,'01_Input'!$AC$66,0),IF('01_Input'!$AB$66="Palier",IF(AND(CS$20&gt;='01_Input'!$Z$66,CS$20&lt;'01_Input'!$AA$66),'01_Input'!$AC$66,0),MAX(MIN(CS$20,'01_Input'!$AA$66)-'01_Input'!$Z$66,0)*'01_Input'!$AC$66)))))))))</f>
        <v>0</v>
      </c>
      <c r="CT34" s="83">
        <f>IF('01_Input'!$C$66="Non",0,MIN('01_Input'!$I$66,MAX('01_Input'!$H$66,IF('01_Input'!$G$66="Résiduel vs Gestion",0,IF('01_Input'!$G$66="Taux Classe sélectionnée",Distrib_Global_Classe_Selectionnee*CT$20,IF('01_Input'!$G$66="Frais KYC (paliers de 100M€)",MAX(0,Nb_Investisseurs-Nb_KYC_Gratuites_Par_Tranche*(FLOOR(CT$20/Taille_Tranche_KYC,1)+1))*Cout_Par_KYC_Supplementaire,(IF('01_Input'!$L$66="Forfait",IF(CT$20&gt;='01_Input'!$J$66,'01_Input'!$M$66,0),IF('01_Input'!$L$66="Palier",IF(AND(CT$20&gt;='01_Input'!$J$66,CT$20&lt;'01_Input'!$K$66),'01_Input'!$M$66,0),MAX(MIN(CT$20,'01_Input'!$K$66)-'01_Input'!$J$66,0)*'01_Input'!$M$66))+IF('01_Input'!$P$66="Forfait",IF(CT$20&gt;='01_Input'!$N$66,'01_Input'!$Q$66,0),IF('01_Input'!$P$66="Palier",IF(AND(CT$20&gt;='01_Input'!$N$66,CT$20&lt;'01_Input'!$O$66),'01_Input'!$Q$66,0),MAX(MIN(CT$20,'01_Input'!$O$66)-'01_Input'!$N$66,0)*'01_Input'!$Q$66))+IF('01_Input'!$T$66="Forfait",IF(CT$20&gt;='01_Input'!$R$66,'01_Input'!$U$66,0),IF('01_Input'!$T$66="Palier",IF(AND(CT$20&gt;='01_Input'!$R$66,CT$20&lt;'01_Input'!$S$66),'01_Input'!$U$66,0),MAX(MIN(CT$20,'01_Input'!$S$66)-'01_Input'!$R$66,0)*'01_Input'!$U$66))+IF('01_Input'!$X$66="Forfait",IF(CT$20&gt;='01_Input'!$V$66,'01_Input'!$Y$66,0),IF('01_Input'!$X$66="Palier",IF(AND(CT$20&gt;='01_Input'!$V$66,CT$20&lt;'01_Input'!$W$66),'01_Input'!$Y$66,0),MAX(MIN(CT$20,'01_Input'!$W$66)-'01_Input'!$V$66,0)*'01_Input'!$Y$66))+IF('01_Input'!$AB$66="Forfait",IF(CT$20&gt;='01_Input'!$Z$66,'01_Input'!$AC$66,0),IF('01_Input'!$AB$66="Palier",IF(AND(CT$20&gt;='01_Input'!$Z$66,CT$20&lt;'01_Input'!$AA$66),'01_Input'!$AC$66,0),MAX(MIN(CT$20,'01_Input'!$AA$66)-'01_Input'!$Z$66,0)*'01_Input'!$AC$66)))))))))</f>
        <v>0</v>
      </c>
      <c r="CU34" s="83">
        <f>IF('01_Input'!$C$66="Non",0,MIN('01_Input'!$I$66,MAX('01_Input'!$H$66,IF('01_Input'!$G$66="Résiduel vs Gestion",0,IF('01_Input'!$G$66="Taux Classe sélectionnée",Distrib_Global_Classe_Selectionnee*CU$20,IF('01_Input'!$G$66="Frais KYC (paliers de 100M€)",MAX(0,Nb_Investisseurs-Nb_KYC_Gratuites_Par_Tranche*(FLOOR(CU$20/Taille_Tranche_KYC,1)+1))*Cout_Par_KYC_Supplementaire,(IF('01_Input'!$L$66="Forfait",IF(CU$20&gt;='01_Input'!$J$66,'01_Input'!$M$66,0),IF('01_Input'!$L$66="Palier",IF(AND(CU$20&gt;='01_Input'!$J$66,CU$20&lt;'01_Input'!$K$66),'01_Input'!$M$66,0),MAX(MIN(CU$20,'01_Input'!$K$66)-'01_Input'!$J$66,0)*'01_Input'!$M$66))+IF('01_Input'!$P$66="Forfait",IF(CU$20&gt;='01_Input'!$N$66,'01_Input'!$Q$66,0),IF('01_Input'!$P$66="Palier",IF(AND(CU$20&gt;='01_Input'!$N$66,CU$20&lt;'01_Input'!$O$66),'01_Input'!$Q$66,0),MAX(MIN(CU$20,'01_Input'!$O$66)-'01_Input'!$N$66,0)*'01_Input'!$Q$66))+IF('01_Input'!$T$66="Forfait",IF(CU$20&gt;='01_Input'!$R$66,'01_Input'!$U$66,0),IF('01_Input'!$T$66="Palier",IF(AND(CU$20&gt;='01_Input'!$R$66,CU$20&lt;'01_Input'!$S$66),'01_Input'!$U$66,0),MAX(MIN(CU$20,'01_Input'!$S$66)-'01_Input'!$R$66,0)*'01_Input'!$U$66))+IF('01_Input'!$X$66="Forfait",IF(CU$20&gt;='01_Input'!$V$66,'01_Input'!$Y$66,0),IF('01_Input'!$X$66="Palier",IF(AND(CU$20&gt;='01_Input'!$V$66,CU$20&lt;'01_Input'!$W$66),'01_Input'!$Y$66,0),MAX(MIN(CU$20,'01_Input'!$W$66)-'01_Input'!$V$66,0)*'01_Input'!$Y$66))+IF('01_Input'!$AB$66="Forfait",IF(CU$20&gt;='01_Input'!$Z$66,'01_Input'!$AC$66,0),IF('01_Input'!$AB$66="Palier",IF(AND(CU$20&gt;='01_Input'!$Z$66,CU$20&lt;'01_Input'!$AA$66),'01_Input'!$AC$66,0),MAX(MIN(CU$20,'01_Input'!$AA$66)-'01_Input'!$Z$66,0)*'01_Input'!$AC$66)))))))))</f>
        <v>0</v>
      </c>
      <c r="CV34" s="83">
        <f>IF('01_Input'!$C$66="Non",0,MIN('01_Input'!$I$66,MAX('01_Input'!$H$66,IF('01_Input'!$G$66="Résiduel vs Gestion",0,IF('01_Input'!$G$66="Taux Classe sélectionnée",Distrib_Global_Classe_Selectionnee*CV$20,IF('01_Input'!$G$66="Frais KYC (paliers de 100M€)",MAX(0,Nb_Investisseurs-Nb_KYC_Gratuites_Par_Tranche*(FLOOR(CV$20/Taille_Tranche_KYC,1)+1))*Cout_Par_KYC_Supplementaire,(IF('01_Input'!$L$66="Forfait",IF(CV$20&gt;='01_Input'!$J$66,'01_Input'!$M$66,0),IF('01_Input'!$L$66="Palier",IF(AND(CV$20&gt;='01_Input'!$J$66,CV$20&lt;'01_Input'!$K$66),'01_Input'!$M$66,0),MAX(MIN(CV$20,'01_Input'!$K$66)-'01_Input'!$J$66,0)*'01_Input'!$M$66))+IF('01_Input'!$P$66="Forfait",IF(CV$20&gt;='01_Input'!$N$66,'01_Input'!$Q$66,0),IF('01_Input'!$P$66="Palier",IF(AND(CV$20&gt;='01_Input'!$N$66,CV$20&lt;'01_Input'!$O$66),'01_Input'!$Q$66,0),MAX(MIN(CV$20,'01_Input'!$O$66)-'01_Input'!$N$66,0)*'01_Input'!$Q$66))+IF('01_Input'!$T$66="Forfait",IF(CV$20&gt;='01_Input'!$R$66,'01_Input'!$U$66,0),IF('01_Input'!$T$66="Palier",IF(AND(CV$20&gt;='01_Input'!$R$66,CV$20&lt;'01_Input'!$S$66),'01_Input'!$U$66,0),MAX(MIN(CV$20,'01_Input'!$S$66)-'01_Input'!$R$66,0)*'01_Input'!$U$66))+IF('01_Input'!$X$66="Forfait",IF(CV$20&gt;='01_Input'!$V$66,'01_Input'!$Y$66,0),IF('01_Input'!$X$66="Palier",IF(AND(CV$20&gt;='01_Input'!$V$66,CV$20&lt;'01_Input'!$W$66),'01_Input'!$Y$66,0),MAX(MIN(CV$20,'01_Input'!$W$66)-'01_Input'!$V$66,0)*'01_Input'!$Y$66))+IF('01_Input'!$AB$66="Forfait",IF(CV$20&gt;='01_Input'!$Z$66,'01_Input'!$AC$66,0),IF('01_Input'!$AB$66="Palier",IF(AND(CV$20&gt;='01_Input'!$Z$66,CV$20&lt;'01_Input'!$AA$66),'01_Input'!$AC$66,0),MAX(MIN(CV$20,'01_Input'!$AA$66)-'01_Input'!$Z$66,0)*'01_Input'!$AC$66)))))))))</f>
        <v>0</v>
      </c>
      <c r="CW34" s="83">
        <f>IF('01_Input'!$C$66="Non",0,MIN('01_Input'!$I$66,MAX('01_Input'!$H$66,IF('01_Input'!$G$66="Résiduel vs Gestion",0,IF('01_Input'!$G$66="Taux Classe sélectionnée",Distrib_Global_Classe_Selectionnee*CW$20,IF('01_Input'!$G$66="Frais KYC (paliers de 100M€)",MAX(0,Nb_Investisseurs-Nb_KYC_Gratuites_Par_Tranche*(FLOOR(CW$20/Taille_Tranche_KYC,1)+1))*Cout_Par_KYC_Supplementaire,(IF('01_Input'!$L$66="Forfait",IF(CW$20&gt;='01_Input'!$J$66,'01_Input'!$M$66,0),IF('01_Input'!$L$66="Palier",IF(AND(CW$20&gt;='01_Input'!$J$66,CW$20&lt;'01_Input'!$K$66),'01_Input'!$M$66,0),MAX(MIN(CW$20,'01_Input'!$K$66)-'01_Input'!$J$66,0)*'01_Input'!$M$66))+IF('01_Input'!$P$66="Forfait",IF(CW$20&gt;='01_Input'!$N$66,'01_Input'!$Q$66,0),IF('01_Input'!$P$66="Palier",IF(AND(CW$20&gt;='01_Input'!$N$66,CW$20&lt;'01_Input'!$O$66),'01_Input'!$Q$66,0),MAX(MIN(CW$20,'01_Input'!$O$66)-'01_Input'!$N$66,0)*'01_Input'!$Q$66))+IF('01_Input'!$T$66="Forfait",IF(CW$20&gt;='01_Input'!$R$66,'01_Input'!$U$66,0),IF('01_Input'!$T$66="Palier",IF(AND(CW$20&gt;='01_Input'!$R$66,CW$20&lt;'01_Input'!$S$66),'01_Input'!$U$66,0),MAX(MIN(CW$20,'01_Input'!$S$66)-'01_Input'!$R$66,0)*'01_Input'!$U$66))+IF('01_Input'!$X$66="Forfait",IF(CW$20&gt;='01_Input'!$V$66,'01_Input'!$Y$66,0),IF('01_Input'!$X$66="Palier",IF(AND(CW$20&gt;='01_Input'!$V$66,CW$20&lt;'01_Input'!$W$66),'01_Input'!$Y$66,0),MAX(MIN(CW$20,'01_Input'!$W$66)-'01_Input'!$V$66,0)*'01_Input'!$Y$66))+IF('01_Input'!$AB$66="Forfait",IF(CW$20&gt;='01_Input'!$Z$66,'01_Input'!$AC$66,0),IF('01_Input'!$AB$66="Palier",IF(AND(CW$20&gt;='01_Input'!$Z$66,CW$20&lt;'01_Input'!$AA$66),'01_Input'!$AC$66,0),MAX(MIN(CW$20,'01_Input'!$AA$66)-'01_Input'!$Z$66,0)*'01_Input'!$AC$66)))))))))</f>
        <v>0</v>
      </c>
      <c r="CX34" s="83">
        <f>IF('01_Input'!$C$66="Non",0,MIN('01_Input'!$I$66,MAX('01_Input'!$H$66,IF('01_Input'!$G$66="Résiduel vs Gestion",0,IF('01_Input'!$G$66="Taux Classe sélectionnée",Distrib_Global_Classe_Selectionnee*CX$20,IF('01_Input'!$G$66="Frais KYC (paliers de 100M€)",MAX(0,Nb_Investisseurs-Nb_KYC_Gratuites_Par_Tranche*(FLOOR(CX$20/Taille_Tranche_KYC,1)+1))*Cout_Par_KYC_Supplementaire,(IF('01_Input'!$L$66="Forfait",IF(CX$20&gt;='01_Input'!$J$66,'01_Input'!$M$66,0),IF('01_Input'!$L$66="Palier",IF(AND(CX$20&gt;='01_Input'!$J$66,CX$20&lt;'01_Input'!$K$66),'01_Input'!$M$66,0),MAX(MIN(CX$20,'01_Input'!$K$66)-'01_Input'!$J$66,0)*'01_Input'!$M$66))+IF('01_Input'!$P$66="Forfait",IF(CX$20&gt;='01_Input'!$N$66,'01_Input'!$Q$66,0),IF('01_Input'!$P$66="Palier",IF(AND(CX$20&gt;='01_Input'!$N$66,CX$20&lt;'01_Input'!$O$66),'01_Input'!$Q$66,0),MAX(MIN(CX$20,'01_Input'!$O$66)-'01_Input'!$N$66,0)*'01_Input'!$Q$66))+IF('01_Input'!$T$66="Forfait",IF(CX$20&gt;='01_Input'!$R$66,'01_Input'!$U$66,0),IF('01_Input'!$T$66="Palier",IF(AND(CX$20&gt;='01_Input'!$R$66,CX$20&lt;'01_Input'!$S$66),'01_Input'!$U$66,0),MAX(MIN(CX$20,'01_Input'!$S$66)-'01_Input'!$R$66,0)*'01_Input'!$U$66))+IF('01_Input'!$X$66="Forfait",IF(CX$20&gt;='01_Input'!$V$66,'01_Input'!$Y$66,0),IF('01_Input'!$X$66="Palier",IF(AND(CX$20&gt;='01_Input'!$V$66,CX$20&lt;'01_Input'!$W$66),'01_Input'!$Y$66,0),MAX(MIN(CX$20,'01_Input'!$W$66)-'01_Input'!$V$66,0)*'01_Input'!$Y$66))+IF('01_Input'!$AB$66="Forfait",IF(CX$20&gt;='01_Input'!$Z$66,'01_Input'!$AC$66,0),IF('01_Input'!$AB$66="Palier",IF(AND(CX$20&gt;='01_Input'!$Z$66,CX$20&lt;'01_Input'!$AA$66),'01_Input'!$AC$66,0),MAX(MIN(CX$20,'01_Input'!$AA$66)-'01_Input'!$Z$66,0)*'01_Input'!$AC$66)))))))))</f>
        <v>0</v>
      </c>
      <c r="CY34" s="83">
        <f>IF('01_Input'!$C$66="Non",0,MIN('01_Input'!$I$66,MAX('01_Input'!$H$66,IF('01_Input'!$G$66="Résiduel vs Gestion",0,IF('01_Input'!$G$66="Taux Classe sélectionnée",Distrib_Global_Classe_Selectionnee*CY$20,IF('01_Input'!$G$66="Frais KYC (paliers de 100M€)",MAX(0,Nb_Investisseurs-Nb_KYC_Gratuites_Par_Tranche*(FLOOR(CY$20/Taille_Tranche_KYC,1)+1))*Cout_Par_KYC_Supplementaire,(IF('01_Input'!$L$66="Forfait",IF(CY$20&gt;='01_Input'!$J$66,'01_Input'!$M$66,0),IF('01_Input'!$L$66="Palier",IF(AND(CY$20&gt;='01_Input'!$J$66,CY$20&lt;'01_Input'!$K$66),'01_Input'!$M$66,0),MAX(MIN(CY$20,'01_Input'!$K$66)-'01_Input'!$J$66,0)*'01_Input'!$M$66))+IF('01_Input'!$P$66="Forfait",IF(CY$20&gt;='01_Input'!$N$66,'01_Input'!$Q$66,0),IF('01_Input'!$P$66="Palier",IF(AND(CY$20&gt;='01_Input'!$N$66,CY$20&lt;'01_Input'!$O$66),'01_Input'!$Q$66,0),MAX(MIN(CY$20,'01_Input'!$O$66)-'01_Input'!$N$66,0)*'01_Input'!$Q$66))+IF('01_Input'!$T$66="Forfait",IF(CY$20&gt;='01_Input'!$R$66,'01_Input'!$U$66,0),IF('01_Input'!$T$66="Palier",IF(AND(CY$20&gt;='01_Input'!$R$66,CY$20&lt;'01_Input'!$S$66),'01_Input'!$U$66,0),MAX(MIN(CY$20,'01_Input'!$S$66)-'01_Input'!$R$66,0)*'01_Input'!$U$66))+IF('01_Input'!$X$66="Forfait",IF(CY$20&gt;='01_Input'!$V$66,'01_Input'!$Y$66,0),IF('01_Input'!$X$66="Palier",IF(AND(CY$20&gt;='01_Input'!$V$66,CY$20&lt;'01_Input'!$W$66),'01_Input'!$Y$66,0),MAX(MIN(CY$20,'01_Input'!$W$66)-'01_Input'!$V$66,0)*'01_Input'!$Y$66))+IF('01_Input'!$AB$66="Forfait",IF(CY$20&gt;='01_Input'!$Z$66,'01_Input'!$AC$66,0),IF('01_Input'!$AB$66="Palier",IF(AND(CY$20&gt;='01_Input'!$Z$66,CY$20&lt;'01_Input'!$AA$66),'01_Input'!$AC$66,0),MAX(MIN(CY$20,'01_Input'!$AA$66)-'01_Input'!$Z$66,0)*'01_Input'!$AC$66)))))))))</f>
        <v>0</v>
      </c>
      <c r="CZ34" s="83">
        <f>IF('01_Input'!$C$66="Non",0,MIN('01_Input'!$I$66,MAX('01_Input'!$H$66,IF('01_Input'!$G$66="Résiduel vs Gestion",0,IF('01_Input'!$G$66="Taux Classe sélectionnée",Distrib_Global_Classe_Selectionnee*CZ$20,IF('01_Input'!$G$66="Frais KYC (paliers de 100M€)",MAX(0,Nb_Investisseurs-Nb_KYC_Gratuites_Par_Tranche*(FLOOR(CZ$20/Taille_Tranche_KYC,1)+1))*Cout_Par_KYC_Supplementaire,(IF('01_Input'!$L$66="Forfait",IF(CZ$20&gt;='01_Input'!$J$66,'01_Input'!$M$66,0),IF('01_Input'!$L$66="Palier",IF(AND(CZ$20&gt;='01_Input'!$J$66,CZ$20&lt;'01_Input'!$K$66),'01_Input'!$M$66,0),MAX(MIN(CZ$20,'01_Input'!$K$66)-'01_Input'!$J$66,0)*'01_Input'!$M$66))+IF('01_Input'!$P$66="Forfait",IF(CZ$20&gt;='01_Input'!$N$66,'01_Input'!$Q$66,0),IF('01_Input'!$P$66="Palier",IF(AND(CZ$20&gt;='01_Input'!$N$66,CZ$20&lt;'01_Input'!$O$66),'01_Input'!$Q$66,0),MAX(MIN(CZ$20,'01_Input'!$O$66)-'01_Input'!$N$66,0)*'01_Input'!$Q$66))+IF('01_Input'!$T$66="Forfait",IF(CZ$20&gt;='01_Input'!$R$66,'01_Input'!$U$66,0),IF('01_Input'!$T$66="Palier",IF(AND(CZ$20&gt;='01_Input'!$R$66,CZ$20&lt;'01_Input'!$S$66),'01_Input'!$U$66,0),MAX(MIN(CZ$20,'01_Input'!$S$66)-'01_Input'!$R$66,0)*'01_Input'!$U$66))+IF('01_Input'!$X$66="Forfait",IF(CZ$20&gt;='01_Input'!$V$66,'01_Input'!$Y$66,0),IF('01_Input'!$X$66="Palier",IF(AND(CZ$20&gt;='01_Input'!$V$66,CZ$20&lt;'01_Input'!$W$66),'01_Input'!$Y$66,0),MAX(MIN(CZ$20,'01_Input'!$W$66)-'01_Input'!$V$66,0)*'01_Input'!$Y$66))+IF('01_Input'!$AB$66="Forfait",IF(CZ$20&gt;='01_Input'!$Z$66,'01_Input'!$AC$66,0),IF('01_Input'!$AB$66="Palier",IF(AND(CZ$20&gt;='01_Input'!$Z$66,CZ$20&lt;'01_Input'!$AA$66),'01_Input'!$AC$66,0),MAX(MIN(CZ$20,'01_Input'!$AA$66)-'01_Input'!$Z$66,0)*'01_Input'!$AC$66)))))))))</f>
        <v>0</v>
      </c>
      <c r="DA34" s="83">
        <f>IF('01_Input'!$C$66="Non",0,MIN('01_Input'!$I$66,MAX('01_Input'!$H$66,IF('01_Input'!$G$66="Résiduel vs Gestion",0,IF('01_Input'!$G$66="Taux Classe sélectionnée",Distrib_Global_Classe_Selectionnee*DA$20,IF('01_Input'!$G$66="Frais KYC (paliers de 100M€)",MAX(0,Nb_Investisseurs-Nb_KYC_Gratuites_Par_Tranche*(FLOOR(DA$20/Taille_Tranche_KYC,1)+1))*Cout_Par_KYC_Supplementaire,(IF('01_Input'!$L$66="Forfait",IF(DA$20&gt;='01_Input'!$J$66,'01_Input'!$M$66,0),IF('01_Input'!$L$66="Palier",IF(AND(DA$20&gt;='01_Input'!$J$66,DA$20&lt;'01_Input'!$K$66),'01_Input'!$M$66,0),MAX(MIN(DA$20,'01_Input'!$K$66)-'01_Input'!$J$66,0)*'01_Input'!$M$66))+IF('01_Input'!$P$66="Forfait",IF(DA$20&gt;='01_Input'!$N$66,'01_Input'!$Q$66,0),IF('01_Input'!$P$66="Palier",IF(AND(DA$20&gt;='01_Input'!$N$66,DA$20&lt;'01_Input'!$O$66),'01_Input'!$Q$66,0),MAX(MIN(DA$20,'01_Input'!$O$66)-'01_Input'!$N$66,0)*'01_Input'!$Q$66))+IF('01_Input'!$T$66="Forfait",IF(DA$20&gt;='01_Input'!$R$66,'01_Input'!$U$66,0),IF('01_Input'!$T$66="Palier",IF(AND(DA$20&gt;='01_Input'!$R$66,DA$20&lt;'01_Input'!$S$66),'01_Input'!$U$66,0),MAX(MIN(DA$20,'01_Input'!$S$66)-'01_Input'!$R$66,0)*'01_Input'!$U$66))+IF('01_Input'!$X$66="Forfait",IF(DA$20&gt;='01_Input'!$V$66,'01_Input'!$Y$66,0),IF('01_Input'!$X$66="Palier",IF(AND(DA$20&gt;='01_Input'!$V$66,DA$20&lt;'01_Input'!$W$66),'01_Input'!$Y$66,0),MAX(MIN(DA$20,'01_Input'!$W$66)-'01_Input'!$V$66,0)*'01_Input'!$Y$66))+IF('01_Input'!$AB$66="Forfait",IF(DA$20&gt;='01_Input'!$Z$66,'01_Input'!$AC$66,0),IF('01_Input'!$AB$66="Palier",IF(AND(DA$20&gt;='01_Input'!$Z$66,DA$20&lt;'01_Input'!$AA$66),'01_Input'!$AC$66,0),MAX(MIN(DA$20,'01_Input'!$AA$66)-'01_Input'!$Z$66,0)*'01_Input'!$AC$66)))))))))</f>
        <v>0</v>
      </c>
      <c r="DB34" s="83">
        <f>IF('01_Input'!$C$66="Non",0,MIN('01_Input'!$I$66,MAX('01_Input'!$H$66,IF('01_Input'!$G$66="Résiduel vs Gestion",0,IF('01_Input'!$G$66="Taux Classe sélectionnée",Distrib_Global_Classe_Selectionnee*DB$20,IF('01_Input'!$G$66="Frais KYC (paliers de 100M€)",MAX(0,Nb_Investisseurs-Nb_KYC_Gratuites_Par_Tranche*(FLOOR(DB$20/Taille_Tranche_KYC,1)+1))*Cout_Par_KYC_Supplementaire,(IF('01_Input'!$L$66="Forfait",IF(DB$20&gt;='01_Input'!$J$66,'01_Input'!$M$66,0),IF('01_Input'!$L$66="Palier",IF(AND(DB$20&gt;='01_Input'!$J$66,DB$20&lt;'01_Input'!$K$66),'01_Input'!$M$66,0),MAX(MIN(DB$20,'01_Input'!$K$66)-'01_Input'!$J$66,0)*'01_Input'!$M$66))+IF('01_Input'!$P$66="Forfait",IF(DB$20&gt;='01_Input'!$N$66,'01_Input'!$Q$66,0),IF('01_Input'!$P$66="Palier",IF(AND(DB$20&gt;='01_Input'!$N$66,DB$20&lt;'01_Input'!$O$66),'01_Input'!$Q$66,0),MAX(MIN(DB$20,'01_Input'!$O$66)-'01_Input'!$N$66,0)*'01_Input'!$Q$66))+IF('01_Input'!$T$66="Forfait",IF(DB$20&gt;='01_Input'!$R$66,'01_Input'!$U$66,0),IF('01_Input'!$T$66="Palier",IF(AND(DB$20&gt;='01_Input'!$R$66,DB$20&lt;'01_Input'!$S$66),'01_Input'!$U$66,0),MAX(MIN(DB$20,'01_Input'!$S$66)-'01_Input'!$R$66,0)*'01_Input'!$U$66))+IF('01_Input'!$X$66="Forfait",IF(DB$20&gt;='01_Input'!$V$66,'01_Input'!$Y$66,0),IF('01_Input'!$X$66="Palier",IF(AND(DB$20&gt;='01_Input'!$V$66,DB$20&lt;'01_Input'!$W$66),'01_Input'!$Y$66,0),MAX(MIN(DB$20,'01_Input'!$W$66)-'01_Input'!$V$66,0)*'01_Input'!$Y$66))+IF('01_Input'!$AB$66="Forfait",IF(DB$20&gt;='01_Input'!$Z$66,'01_Input'!$AC$66,0),IF('01_Input'!$AB$66="Palier",IF(AND(DB$20&gt;='01_Input'!$Z$66,DB$20&lt;'01_Input'!$AA$66),'01_Input'!$AC$66,0),MAX(MIN(DB$20,'01_Input'!$AA$66)-'01_Input'!$Z$66,0)*'01_Input'!$AC$66)))))))))</f>
        <v>0</v>
      </c>
      <c r="DC34" s="83">
        <f>IF('01_Input'!$C$66="Non",0,MIN('01_Input'!$I$66,MAX('01_Input'!$H$66,IF('01_Input'!$G$66="Résiduel vs Gestion",0,IF('01_Input'!$G$66="Taux Classe sélectionnée",Distrib_Global_Classe_Selectionnee*DC$20,IF('01_Input'!$G$66="Frais KYC (paliers de 100M€)",MAX(0,Nb_Investisseurs-Nb_KYC_Gratuites_Par_Tranche*(FLOOR(DC$20/Taille_Tranche_KYC,1)+1))*Cout_Par_KYC_Supplementaire,(IF('01_Input'!$L$66="Forfait",IF(DC$20&gt;='01_Input'!$J$66,'01_Input'!$M$66,0),IF('01_Input'!$L$66="Palier",IF(AND(DC$20&gt;='01_Input'!$J$66,DC$20&lt;'01_Input'!$K$66),'01_Input'!$M$66,0),MAX(MIN(DC$20,'01_Input'!$K$66)-'01_Input'!$J$66,0)*'01_Input'!$M$66))+IF('01_Input'!$P$66="Forfait",IF(DC$20&gt;='01_Input'!$N$66,'01_Input'!$Q$66,0),IF('01_Input'!$P$66="Palier",IF(AND(DC$20&gt;='01_Input'!$N$66,DC$20&lt;'01_Input'!$O$66),'01_Input'!$Q$66,0),MAX(MIN(DC$20,'01_Input'!$O$66)-'01_Input'!$N$66,0)*'01_Input'!$Q$66))+IF('01_Input'!$T$66="Forfait",IF(DC$20&gt;='01_Input'!$R$66,'01_Input'!$U$66,0),IF('01_Input'!$T$66="Palier",IF(AND(DC$20&gt;='01_Input'!$R$66,DC$20&lt;'01_Input'!$S$66),'01_Input'!$U$66,0),MAX(MIN(DC$20,'01_Input'!$S$66)-'01_Input'!$R$66,0)*'01_Input'!$U$66))+IF('01_Input'!$X$66="Forfait",IF(DC$20&gt;='01_Input'!$V$66,'01_Input'!$Y$66,0),IF('01_Input'!$X$66="Palier",IF(AND(DC$20&gt;='01_Input'!$V$66,DC$20&lt;'01_Input'!$W$66),'01_Input'!$Y$66,0),MAX(MIN(DC$20,'01_Input'!$W$66)-'01_Input'!$V$66,0)*'01_Input'!$Y$66))+IF('01_Input'!$AB$66="Forfait",IF(DC$20&gt;='01_Input'!$Z$66,'01_Input'!$AC$66,0),IF('01_Input'!$AB$66="Palier",IF(AND(DC$20&gt;='01_Input'!$Z$66,DC$20&lt;'01_Input'!$AA$66),'01_Input'!$AC$66,0),MAX(MIN(DC$20,'01_Input'!$AA$66)-'01_Input'!$Z$66,0)*'01_Input'!$AC$66)))))))))</f>
        <v>0</v>
      </c>
      <c r="DD34" s="83">
        <f>IF('01_Input'!$C$66="Non",0,MIN('01_Input'!$I$66,MAX('01_Input'!$H$66,IF('01_Input'!$G$66="Résiduel vs Gestion",0,IF('01_Input'!$G$66="Taux Classe sélectionnée",Distrib_Global_Classe_Selectionnee*DD$20,IF('01_Input'!$G$66="Frais KYC (paliers de 100M€)",MAX(0,Nb_Investisseurs-Nb_KYC_Gratuites_Par_Tranche*(FLOOR(DD$20/Taille_Tranche_KYC,1)+1))*Cout_Par_KYC_Supplementaire,(IF('01_Input'!$L$66="Forfait",IF(DD$20&gt;='01_Input'!$J$66,'01_Input'!$M$66,0),IF('01_Input'!$L$66="Palier",IF(AND(DD$20&gt;='01_Input'!$J$66,DD$20&lt;'01_Input'!$K$66),'01_Input'!$M$66,0),MAX(MIN(DD$20,'01_Input'!$K$66)-'01_Input'!$J$66,0)*'01_Input'!$M$66))+IF('01_Input'!$P$66="Forfait",IF(DD$20&gt;='01_Input'!$N$66,'01_Input'!$Q$66,0),IF('01_Input'!$P$66="Palier",IF(AND(DD$20&gt;='01_Input'!$N$66,DD$20&lt;'01_Input'!$O$66),'01_Input'!$Q$66,0),MAX(MIN(DD$20,'01_Input'!$O$66)-'01_Input'!$N$66,0)*'01_Input'!$Q$66))+IF('01_Input'!$T$66="Forfait",IF(DD$20&gt;='01_Input'!$R$66,'01_Input'!$U$66,0),IF('01_Input'!$T$66="Palier",IF(AND(DD$20&gt;='01_Input'!$R$66,DD$20&lt;'01_Input'!$S$66),'01_Input'!$U$66,0),MAX(MIN(DD$20,'01_Input'!$S$66)-'01_Input'!$R$66,0)*'01_Input'!$U$66))+IF('01_Input'!$X$66="Forfait",IF(DD$20&gt;='01_Input'!$V$66,'01_Input'!$Y$66,0),IF('01_Input'!$X$66="Palier",IF(AND(DD$20&gt;='01_Input'!$V$66,DD$20&lt;'01_Input'!$W$66),'01_Input'!$Y$66,0),MAX(MIN(DD$20,'01_Input'!$W$66)-'01_Input'!$V$66,0)*'01_Input'!$Y$66))+IF('01_Input'!$AB$66="Forfait",IF(DD$20&gt;='01_Input'!$Z$66,'01_Input'!$AC$66,0),IF('01_Input'!$AB$66="Palier",IF(AND(DD$20&gt;='01_Input'!$Z$66,DD$20&lt;'01_Input'!$AA$66),'01_Input'!$AC$66,0),MAX(MIN(DD$20,'01_Input'!$AA$66)-'01_Input'!$Z$66,0)*'01_Input'!$AC$66)))))))))</f>
        <v>0</v>
      </c>
      <c r="DE34" s="83">
        <f>IF('01_Input'!$C$66="Non",0,MIN('01_Input'!$I$66,MAX('01_Input'!$H$66,IF('01_Input'!$G$66="Résiduel vs Gestion",0,IF('01_Input'!$G$66="Taux Classe sélectionnée",Distrib_Global_Classe_Selectionnee*DE$20,IF('01_Input'!$G$66="Frais KYC (paliers de 100M€)",MAX(0,Nb_Investisseurs-Nb_KYC_Gratuites_Par_Tranche*(FLOOR(DE$20/Taille_Tranche_KYC,1)+1))*Cout_Par_KYC_Supplementaire,(IF('01_Input'!$L$66="Forfait",IF(DE$20&gt;='01_Input'!$J$66,'01_Input'!$M$66,0),IF('01_Input'!$L$66="Palier",IF(AND(DE$20&gt;='01_Input'!$J$66,DE$20&lt;'01_Input'!$K$66),'01_Input'!$M$66,0),MAX(MIN(DE$20,'01_Input'!$K$66)-'01_Input'!$J$66,0)*'01_Input'!$M$66))+IF('01_Input'!$P$66="Forfait",IF(DE$20&gt;='01_Input'!$N$66,'01_Input'!$Q$66,0),IF('01_Input'!$P$66="Palier",IF(AND(DE$20&gt;='01_Input'!$N$66,DE$20&lt;'01_Input'!$O$66),'01_Input'!$Q$66,0),MAX(MIN(DE$20,'01_Input'!$O$66)-'01_Input'!$N$66,0)*'01_Input'!$Q$66))+IF('01_Input'!$T$66="Forfait",IF(DE$20&gt;='01_Input'!$R$66,'01_Input'!$U$66,0),IF('01_Input'!$T$66="Palier",IF(AND(DE$20&gt;='01_Input'!$R$66,DE$20&lt;'01_Input'!$S$66),'01_Input'!$U$66,0),MAX(MIN(DE$20,'01_Input'!$S$66)-'01_Input'!$R$66,0)*'01_Input'!$U$66))+IF('01_Input'!$X$66="Forfait",IF(DE$20&gt;='01_Input'!$V$66,'01_Input'!$Y$66,0),IF('01_Input'!$X$66="Palier",IF(AND(DE$20&gt;='01_Input'!$V$66,DE$20&lt;'01_Input'!$W$66),'01_Input'!$Y$66,0),MAX(MIN(DE$20,'01_Input'!$W$66)-'01_Input'!$V$66,0)*'01_Input'!$Y$66))+IF('01_Input'!$AB$66="Forfait",IF(DE$20&gt;='01_Input'!$Z$66,'01_Input'!$AC$66,0),IF('01_Input'!$AB$66="Palier",IF(AND(DE$20&gt;='01_Input'!$Z$66,DE$20&lt;'01_Input'!$AA$66),'01_Input'!$AC$66,0),MAX(MIN(DE$20,'01_Input'!$AA$66)-'01_Input'!$Z$66,0)*'01_Input'!$AC$66)))))))))</f>
        <v>0</v>
      </c>
      <c r="DF34" s="83">
        <f>IF('01_Input'!$C$66="Non",0,MIN('01_Input'!$I$66,MAX('01_Input'!$H$66,IF('01_Input'!$G$66="Résiduel vs Gestion",0,IF('01_Input'!$G$66="Taux Classe sélectionnée",Distrib_Global_Classe_Selectionnee*DF$20,IF('01_Input'!$G$66="Frais KYC (paliers de 100M€)",MAX(0,Nb_Investisseurs-Nb_KYC_Gratuites_Par_Tranche*(FLOOR(DF$20/Taille_Tranche_KYC,1)+1))*Cout_Par_KYC_Supplementaire,(IF('01_Input'!$L$66="Forfait",IF(DF$20&gt;='01_Input'!$J$66,'01_Input'!$M$66,0),IF('01_Input'!$L$66="Palier",IF(AND(DF$20&gt;='01_Input'!$J$66,DF$20&lt;'01_Input'!$K$66),'01_Input'!$M$66,0),MAX(MIN(DF$20,'01_Input'!$K$66)-'01_Input'!$J$66,0)*'01_Input'!$M$66))+IF('01_Input'!$P$66="Forfait",IF(DF$20&gt;='01_Input'!$N$66,'01_Input'!$Q$66,0),IF('01_Input'!$P$66="Palier",IF(AND(DF$20&gt;='01_Input'!$N$66,DF$20&lt;'01_Input'!$O$66),'01_Input'!$Q$66,0),MAX(MIN(DF$20,'01_Input'!$O$66)-'01_Input'!$N$66,0)*'01_Input'!$Q$66))+IF('01_Input'!$T$66="Forfait",IF(DF$20&gt;='01_Input'!$R$66,'01_Input'!$U$66,0),IF('01_Input'!$T$66="Palier",IF(AND(DF$20&gt;='01_Input'!$R$66,DF$20&lt;'01_Input'!$S$66),'01_Input'!$U$66,0),MAX(MIN(DF$20,'01_Input'!$S$66)-'01_Input'!$R$66,0)*'01_Input'!$U$66))+IF('01_Input'!$X$66="Forfait",IF(DF$20&gt;='01_Input'!$V$66,'01_Input'!$Y$66,0),IF('01_Input'!$X$66="Palier",IF(AND(DF$20&gt;='01_Input'!$V$66,DF$20&lt;'01_Input'!$W$66),'01_Input'!$Y$66,0),MAX(MIN(DF$20,'01_Input'!$W$66)-'01_Input'!$V$66,0)*'01_Input'!$Y$66))+IF('01_Input'!$AB$66="Forfait",IF(DF$20&gt;='01_Input'!$Z$66,'01_Input'!$AC$66,0),IF('01_Input'!$AB$66="Palier",IF(AND(DF$20&gt;='01_Input'!$Z$66,DF$20&lt;'01_Input'!$AA$66),'01_Input'!$AC$66,0),MAX(MIN(DF$20,'01_Input'!$AA$66)-'01_Input'!$Z$66,0)*'01_Input'!$AC$66)))))))))</f>
        <v>0</v>
      </c>
      <c r="DG34" s="83">
        <f>IF('01_Input'!$C$66="Non",0,MIN('01_Input'!$I$66,MAX('01_Input'!$H$66,IF('01_Input'!$G$66="Résiduel vs Gestion",0,IF('01_Input'!$G$66="Taux Classe sélectionnée",Distrib_Global_Classe_Selectionnee*DG$20,IF('01_Input'!$G$66="Frais KYC (paliers de 100M€)",MAX(0,Nb_Investisseurs-Nb_KYC_Gratuites_Par_Tranche*(FLOOR(DG$20/Taille_Tranche_KYC,1)+1))*Cout_Par_KYC_Supplementaire,(IF('01_Input'!$L$66="Forfait",IF(DG$20&gt;='01_Input'!$J$66,'01_Input'!$M$66,0),IF('01_Input'!$L$66="Palier",IF(AND(DG$20&gt;='01_Input'!$J$66,DG$20&lt;'01_Input'!$K$66),'01_Input'!$M$66,0),MAX(MIN(DG$20,'01_Input'!$K$66)-'01_Input'!$J$66,0)*'01_Input'!$M$66))+IF('01_Input'!$P$66="Forfait",IF(DG$20&gt;='01_Input'!$N$66,'01_Input'!$Q$66,0),IF('01_Input'!$P$66="Palier",IF(AND(DG$20&gt;='01_Input'!$N$66,DG$20&lt;'01_Input'!$O$66),'01_Input'!$Q$66,0),MAX(MIN(DG$20,'01_Input'!$O$66)-'01_Input'!$N$66,0)*'01_Input'!$Q$66))+IF('01_Input'!$T$66="Forfait",IF(DG$20&gt;='01_Input'!$R$66,'01_Input'!$U$66,0),IF('01_Input'!$T$66="Palier",IF(AND(DG$20&gt;='01_Input'!$R$66,DG$20&lt;'01_Input'!$S$66),'01_Input'!$U$66,0),MAX(MIN(DG$20,'01_Input'!$S$66)-'01_Input'!$R$66,0)*'01_Input'!$U$66))+IF('01_Input'!$X$66="Forfait",IF(DG$20&gt;='01_Input'!$V$66,'01_Input'!$Y$66,0),IF('01_Input'!$X$66="Palier",IF(AND(DG$20&gt;='01_Input'!$V$66,DG$20&lt;'01_Input'!$W$66),'01_Input'!$Y$66,0),MAX(MIN(DG$20,'01_Input'!$W$66)-'01_Input'!$V$66,0)*'01_Input'!$Y$66))+IF('01_Input'!$AB$66="Forfait",IF(DG$20&gt;='01_Input'!$Z$66,'01_Input'!$AC$66,0),IF('01_Input'!$AB$66="Palier",IF(AND(DG$20&gt;='01_Input'!$Z$66,DG$20&lt;'01_Input'!$AA$66),'01_Input'!$AC$66,0),MAX(MIN(DG$20,'01_Input'!$AA$66)-'01_Input'!$Z$66,0)*'01_Input'!$AC$66)))))))))</f>
        <v>0</v>
      </c>
      <c r="DH34" s="83">
        <f>IF('01_Input'!$C$66="Non",0,MIN('01_Input'!$I$66,MAX('01_Input'!$H$66,IF('01_Input'!$G$66="Résiduel vs Gestion",0,IF('01_Input'!$G$66="Taux Classe sélectionnée",Distrib_Global_Classe_Selectionnee*DH$20,IF('01_Input'!$G$66="Frais KYC (paliers de 100M€)",MAX(0,Nb_Investisseurs-Nb_KYC_Gratuites_Par_Tranche*(FLOOR(DH$20/Taille_Tranche_KYC,1)+1))*Cout_Par_KYC_Supplementaire,(IF('01_Input'!$L$66="Forfait",IF(DH$20&gt;='01_Input'!$J$66,'01_Input'!$M$66,0),IF('01_Input'!$L$66="Palier",IF(AND(DH$20&gt;='01_Input'!$J$66,DH$20&lt;'01_Input'!$K$66),'01_Input'!$M$66,0),MAX(MIN(DH$20,'01_Input'!$K$66)-'01_Input'!$J$66,0)*'01_Input'!$M$66))+IF('01_Input'!$P$66="Forfait",IF(DH$20&gt;='01_Input'!$N$66,'01_Input'!$Q$66,0),IF('01_Input'!$P$66="Palier",IF(AND(DH$20&gt;='01_Input'!$N$66,DH$20&lt;'01_Input'!$O$66),'01_Input'!$Q$66,0),MAX(MIN(DH$20,'01_Input'!$O$66)-'01_Input'!$N$66,0)*'01_Input'!$Q$66))+IF('01_Input'!$T$66="Forfait",IF(DH$20&gt;='01_Input'!$R$66,'01_Input'!$U$66,0),IF('01_Input'!$T$66="Palier",IF(AND(DH$20&gt;='01_Input'!$R$66,DH$20&lt;'01_Input'!$S$66),'01_Input'!$U$66,0),MAX(MIN(DH$20,'01_Input'!$S$66)-'01_Input'!$R$66,0)*'01_Input'!$U$66))+IF('01_Input'!$X$66="Forfait",IF(DH$20&gt;='01_Input'!$V$66,'01_Input'!$Y$66,0),IF('01_Input'!$X$66="Palier",IF(AND(DH$20&gt;='01_Input'!$V$66,DH$20&lt;'01_Input'!$W$66),'01_Input'!$Y$66,0),MAX(MIN(DH$20,'01_Input'!$W$66)-'01_Input'!$V$66,0)*'01_Input'!$Y$66))+IF('01_Input'!$AB$66="Forfait",IF(DH$20&gt;='01_Input'!$Z$66,'01_Input'!$AC$66,0),IF('01_Input'!$AB$66="Palier",IF(AND(DH$20&gt;='01_Input'!$Z$66,DH$20&lt;'01_Input'!$AA$66),'01_Input'!$AC$66,0),MAX(MIN(DH$20,'01_Input'!$AA$66)-'01_Input'!$Z$66,0)*'01_Input'!$AC$66)))))))))</f>
        <v>0</v>
      </c>
      <c r="DI34" s="83">
        <f>IF('01_Input'!$C$66="Non",0,MIN('01_Input'!$I$66,MAX('01_Input'!$H$66,IF('01_Input'!$G$66="Résiduel vs Gestion",0,IF('01_Input'!$G$66="Taux Classe sélectionnée",Distrib_Global_Classe_Selectionnee*DI$20,IF('01_Input'!$G$66="Frais KYC (paliers de 100M€)",MAX(0,Nb_Investisseurs-Nb_KYC_Gratuites_Par_Tranche*(FLOOR(DI$20/Taille_Tranche_KYC,1)+1))*Cout_Par_KYC_Supplementaire,(IF('01_Input'!$L$66="Forfait",IF(DI$20&gt;='01_Input'!$J$66,'01_Input'!$M$66,0),IF('01_Input'!$L$66="Palier",IF(AND(DI$20&gt;='01_Input'!$J$66,DI$20&lt;'01_Input'!$K$66),'01_Input'!$M$66,0),MAX(MIN(DI$20,'01_Input'!$K$66)-'01_Input'!$J$66,0)*'01_Input'!$M$66))+IF('01_Input'!$P$66="Forfait",IF(DI$20&gt;='01_Input'!$N$66,'01_Input'!$Q$66,0),IF('01_Input'!$P$66="Palier",IF(AND(DI$20&gt;='01_Input'!$N$66,DI$20&lt;'01_Input'!$O$66),'01_Input'!$Q$66,0),MAX(MIN(DI$20,'01_Input'!$O$66)-'01_Input'!$N$66,0)*'01_Input'!$Q$66))+IF('01_Input'!$T$66="Forfait",IF(DI$20&gt;='01_Input'!$R$66,'01_Input'!$U$66,0),IF('01_Input'!$T$66="Palier",IF(AND(DI$20&gt;='01_Input'!$R$66,DI$20&lt;'01_Input'!$S$66),'01_Input'!$U$66,0),MAX(MIN(DI$20,'01_Input'!$S$66)-'01_Input'!$R$66,0)*'01_Input'!$U$66))+IF('01_Input'!$X$66="Forfait",IF(DI$20&gt;='01_Input'!$V$66,'01_Input'!$Y$66,0),IF('01_Input'!$X$66="Palier",IF(AND(DI$20&gt;='01_Input'!$V$66,DI$20&lt;'01_Input'!$W$66),'01_Input'!$Y$66,0),MAX(MIN(DI$20,'01_Input'!$W$66)-'01_Input'!$V$66,0)*'01_Input'!$Y$66))+IF('01_Input'!$AB$66="Forfait",IF(DI$20&gt;='01_Input'!$Z$66,'01_Input'!$AC$66,0),IF('01_Input'!$AB$66="Palier",IF(AND(DI$20&gt;='01_Input'!$Z$66,DI$20&lt;'01_Input'!$AA$66),'01_Input'!$AC$66,0),MAX(MIN(DI$20,'01_Input'!$AA$66)-'01_Input'!$Z$66,0)*'01_Input'!$AC$66)))))))))</f>
        <v>0</v>
      </c>
      <c r="DJ34" s="83">
        <f>IF('01_Input'!$C$66="Non",0,MIN('01_Input'!$I$66,MAX('01_Input'!$H$66,IF('01_Input'!$G$66="Résiduel vs Gestion",0,IF('01_Input'!$G$66="Taux Classe sélectionnée",Distrib_Global_Classe_Selectionnee*DJ$20,IF('01_Input'!$G$66="Frais KYC (paliers de 100M€)",MAX(0,Nb_Investisseurs-Nb_KYC_Gratuites_Par_Tranche*(FLOOR(DJ$20/Taille_Tranche_KYC,1)+1))*Cout_Par_KYC_Supplementaire,(IF('01_Input'!$L$66="Forfait",IF(DJ$20&gt;='01_Input'!$J$66,'01_Input'!$M$66,0),IF('01_Input'!$L$66="Palier",IF(AND(DJ$20&gt;='01_Input'!$J$66,DJ$20&lt;'01_Input'!$K$66),'01_Input'!$M$66,0),MAX(MIN(DJ$20,'01_Input'!$K$66)-'01_Input'!$J$66,0)*'01_Input'!$M$66))+IF('01_Input'!$P$66="Forfait",IF(DJ$20&gt;='01_Input'!$N$66,'01_Input'!$Q$66,0),IF('01_Input'!$P$66="Palier",IF(AND(DJ$20&gt;='01_Input'!$N$66,DJ$20&lt;'01_Input'!$O$66),'01_Input'!$Q$66,0),MAX(MIN(DJ$20,'01_Input'!$O$66)-'01_Input'!$N$66,0)*'01_Input'!$Q$66))+IF('01_Input'!$T$66="Forfait",IF(DJ$20&gt;='01_Input'!$R$66,'01_Input'!$U$66,0),IF('01_Input'!$T$66="Palier",IF(AND(DJ$20&gt;='01_Input'!$R$66,DJ$20&lt;'01_Input'!$S$66),'01_Input'!$U$66,0),MAX(MIN(DJ$20,'01_Input'!$S$66)-'01_Input'!$R$66,0)*'01_Input'!$U$66))+IF('01_Input'!$X$66="Forfait",IF(DJ$20&gt;='01_Input'!$V$66,'01_Input'!$Y$66,0),IF('01_Input'!$X$66="Palier",IF(AND(DJ$20&gt;='01_Input'!$V$66,DJ$20&lt;'01_Input'!$W$66),'01_Input'!$Y$66,0),MAX(MIN(DJ$20,'01_Input'!$W$66)-'01_Input'!$V$66,0)*'01_Input'!$Y$66))+IF('01_Input'!$AB$66="Forfait",IF(DJ$20&gt;='01_Input'!$Z$66,'01_Input'!$AC$66,0),IF('01_Input'!$AB$66="Palier",IF(AND(DJ$20&gt;='01_Input'!$Z$66,DJ$20&lt;'01_Input'!$AA$66),'01_Input'!$AC$66,0),MAX(MIN(DJ$20,'01_Input'!$AA$66)-'01_Input'!$Z$66,0)*'01_Input'!$AC$66)))))))))</f>
        <v>0</v>
      </c>
      <c r="DK34" s="83">
        <f>IF('01_Input'!$C$66="Non",0,MIN('01_Input'!$I$66,MAX('01_Input'!$H$66,IF('01_Input'!$G$66="Résiduel vs Gestion",0,IF('01_Input'!$G$66="Taux Classe sélectionnée",Distrib_Global_Classe_Selectionnee*DK$20,IF('01_Input'!$G$66="Frais KYC (paliers de 100M€)",MAX(0,Nb_Investisseurs-Nb_KYC_Gratuites_Par_Tranche*(FLOOR(DK$20/Taille_Tranche_KYC,1)+1))*Cout_Par_KYC_Supplementaire,(IF('01_Input'!$L$66="Forfait",IF(DK$20&gt;='01_Input'!$J$66,'01_Input'!$M$66,0),IF('01_Input'!$L$66="Palier",IF(AND(DK$20&gt;='01_Input'!$J$66,DK$20&lt;'01_Input'!$K$66),'01_Input'!$M$66,0),MAX(MIN(DK$20,'01_Input'!$K$66)-'01_Input'!$J$66,0)*'01_Input'!$M$66))+IF('01_Input'!$P$66="Forfait",IF(DK$20&gt;='01_Input'!$N$66,'01_Input'!$Q$66,0),IF('01_Input'!$P$66="Palier",IF(AND(DK$20&gt;='01_Input'!$N$66,DK$20&lt;'01_Input'!$O$66),'01_Input'!$Q$66,0),MAX(MIN(DK$20,'01_Input'!$O$66)-'01_Input'!$N$66,0)*'01_Input'!$Q$66))+IF('01_Input'!$T$66="Forfait",IF(DK$20&gt;='01_Input'!$R$66,'01_Input'!$U$66,0),IF('01_Input'!$T$66="Palier",IF(AND(DK$20&gt;='01_Input'!$R$66,DK$20&lt;'01_Input'!$S$66),'01_Input'!$U$66,0),MAX(MIN(DK$20,'01_Input'!$S$66)-'01_Input'!$R$66,0)*'01_Input'!$U$66))+IF('01_Input'!$X$66="Forfait",IF(DK$20&gt;='01_Input'!$V$66,'01_Input'!$Y$66,0),IF('01_Input'!$X$66="Palier",IF(AND(DK$20&gt;='01_Input'!$V$66,DK$20&lt;'01_Input'!$W$66),'01_Input'!$Y$66,0),MAX(MIN(DK$20,'01_Input'!$W$66)-'01_Input'!$V$66,0)*'01_Input'!$Y$66))+IF('01_Input'!$AB$66="Forfait",IF(DK$20&gt;='01_Input'!$Z$66,'01_Input'!$AC$66,0),IF('01_Input'!$AB$66="Palier",IF(AND(DK$20&gt;='01_Input'!$Z$66,DK$20&lt;'01_Input'!$AA$66),'01_Input'!$AC$66,0),MAX(MIN(DK$20,'01_Input'!$AA$66)-'01_Input'!$Z$66,0)*'01_Input'!$AC$66)))))))))</f>
        <v>0</v>
      </c>
      <c r="DL34" s="83">
        <f>IF('01_Input'!$C$66="Non",0,MIN('01_Input'!$I$66,MAX('01_Input'!$H$66,IF('01_Input'!$G$66="Résiduel vs Gestion",0,IF('01_Input'!$G$66="Taux Classe sélectionnée",Distrib_Global_Classe_Selectionnee*DL$20,IF('01_Input'!$G$66="Frais KYC (paliers de 100M€)",MAX(0,Nb_Investisseurs-Nb_KYC_Gratuites_Par_Tranche*(FLOOR(DL$20/Taille_Tranche_KYC,1)+1))*Cout_Par_KYC_Supplementaire,(IF('01_Input'!$L$66="Forfait",IF(DL$20&gt;='01_Input'!$J$66,'01_Input'!$M$66,0),IF('01_Input'!$L$66="Palier",IF(AND(DL$20&gt;='01_Input'!$J$66,DL$20&lt;'01_Input'!$K$66),'01_Input'!$M$66,0),MAX(MIN(DL$20,'01_Input'!$K$66)-'01_Input'!$J$66,0)*'01_Input'!$M$66))+IF('01_Input'!$P$66="Forfait",IF(DL$20&gt;='01_Input'!$N$66,'01_Input'!$Q$66,0),IF('01_Input'!$P$66="Palier",IF(AND(DL$20&gt;='01_Input'!$N$66,DL$20&lt;'01_Input'!$O$66),'01_Input'!$Q$66,0),MAX(MIN(DL$20,'01_Input'!$O$66)-'01_Input'!$N$66,0)*'01_Input'!$Q$66))+IF('01_Input'!$T$66="Forfait",IF(DL$20&gt;='01_Input'!$R$66,'01_Input'!$U$66,0),IF('01_Input'!$T$66="Palier",IF(AND(DL$20&gt;='01_Input'!$R$66,DL$20&lt;'01_Input'!$S$66),'01_Input'!$U$66,0),MAX(MIN(DL$20,'01_Input'!$S$66)-'01_Input'!$R$66,0)*'01_Input'!$U$66))+IF('01_Input'!$X$66="Forfait",IF(DL$20&gt;='01_Input'!$V$66,'01_Input'!$Y$66,0),IF('01_Input'!$X$66="Palier",IF(AND(DL$20&gt;='01_Input'!$V$66,DL$20&lt;'01_Input'!$W$66),'01_Input'!$Y$66,0),MAX(MIN(DL$20,'01_Input'!$W$66)-'01_Input'!$V$66,0)*'01_Input'!$Y$66))+IF('01_Input'!$AB$66="Forfait",IF(DL$20&gt;='01_Input'!$Z$66,'01_Input'!$AC$66,0),IF('01_Input'!$AB$66="Palier",IF(AND(DL$20&gt;='01_Input'!$Z$66,DL$20&lt;'01_Input'!$AA$66),'01_Input'!$AC$66,0),MAX(MIN(DL$20,'01_Input'!$AA$66)-'01_Input'!$Z$66,0)*'01_Input'!$AC$66)))))))))</f>
        <v>0</v>
      </c>
      <c r="DM34" s="83">
        <f>IF('01_Input'!$C$66="Non",0,MIN('01_Input'!$I$66,MAX('01_Input'!$H$66,IF('01_Input'!$G$66="Résiduel vs Gestion",0,IF('01_Input'!$G$66="Taux Classe sélectionnée",Distrib_Global_Classe_Selectionnee*DM$20,IF('01_Input'!$G$66="Frais KYC (paliers de 100M€)",MAX(0,Nb_Investisseurs-Nb_KYC_Gratuites_Par_Tranche*(FLOOR(DM$20/Taille_Tranche_KYC,1)+1))*Cout_Par_KYC_Supplementaire,(IF('01_Input'!$L$66="Forfait",IF(DM$20&gt;='01_Input'!$J$66,'01_Input'!$M$66,0),IF('01_Input'!$L$66="Palier",IF(AND(DM$20&gt;='01_Input'!$J$66,DM$20&lt;'01_Input'!$K$66),'01_Input'!$M$66,0),MAX(MIN(DM$20,'01_Input'!$K$66)-'01_Input'!$J$66,0)*'01_Input'!$M$66))+IF('01_Input'!$P$66="Forfait",IF(DM$20&gt;='01_Input'!$N$66,'01_Input'!$Q$66,0),IF('01_Input'!$P$66="Palier",IF(AND(DM$20&gt;='01_Input'!$N$66,DM$20&lt;'01_Input'!$O$66),'01_Input'!$Q$66,0),MAX(MIN(DM$20,'01_Input'!$O$66)-'01_Input'!$N$66,0)*'01_Input'!$Q$66))+IF('01_Input'!$T$66="Forfait",IF(DM$20&gt;='01_Input'!$R$66,'01_Input'!$U$66,0),IF('01_Input'!$T$66="Palier",IF(AND(DM$20&gt;='01_Input'!$R$66,DM$20&lt;'01_Input'!$S$66),'01_Input'!$U$66,0),MAX(MIN(DM$20,'01_Input'!$S$66)-'01_Input'!$R$66,0)*'01_Input'!$U$66))+IF('01_Input'!$X$66="Forfait",IF(DM$20&gt;='01_Input'!$V$66,'01_Input'!$Y$66,0),IF('01_Input'!$X$66="Palier",IF(AND(DM$20&gt;='01_Input'!$V$66,DM$20&lt;'01_Input'!$W$66),'01_Input'!$Y$66,0),MAX(MIN(DM$20,'01_Input'!$W$66)-'01_Input'!$V$66,0)*'01_Input'!$Y$66))+IF('01_Input'!$AB$66="Forfait",IF(DM$20&gt;='01_Input'!$Z$66,'01_Input'!$AC$66,0),IF('01_Input'!$AB$66="Palier",IF(AND(DM$20&gt;='01_Input'!$Z$66,DM$20&lt;'01_Input'!$AA$66),'01_Input'!$AC$66,0),MAX(MIN(DM$20,'01_Input'!$AA$66)-'01_Input'!$Z$66,0)*'01_Input'!$AC$66)))))))))</f>
        <v>0</v>
      </c>
      <c r="DN34" s="83">
        <f>IF('01_Input'!$C$66="Non",0,MIN('01_Input'!$I$66,MAX('01_Input'!$H$66,IF('01_Input'!$G$66="Résiduel vs Gestion",0,IF('01_Input'!$G$66="Taux Classe sélectionnée",Distrib_Global_Classe_Selectionnee*DN$20,IF('01_Input'!$G$66="Frais KYC (paliers de 100M€)",MAX(0,Nb_Investisseurs-Nb_KYC_Gratuites_Par_Tranche*(FLOOR(DN$20/Taille_Tranche_KYC,1)+1))*Cout_Par_KYC_Supplementaire,(IF('01_Input'!$L$66="Forfait",IF(DN$20&gt;='01_Input'!$J$66,'01_Input'!$M$66,0),IF('01_Input'!$L$66="Palier",IF(AND(DN$20&gt;='01_Input'!$J$66,DN$20&lt;'01_Input'!$K$66),'01_Input'!$M$66,0),MAX(MIN(DN$20,'01_Input'!$K$66)-'01_Input'!$J$66,0)*'01_Input'!$M$66))+IF('01_Input'!$P$66="Forfait",IF(DN$20&gt;='01_Input'!$N$66,'01_Input'!$Q$66,0),IF('01_Input'!$P$66="Palier",IF(AND(DN$20&gt;='01_Input'!$N$66,DN$20&lt;'01_Input'!$O$66),'01_Input'!$Q$66,0),MAX(MIN(DN$20,'01_Input'!$O$66)-'01_Input'!$N$66,0)*'01_Input'!$Q$66))+IF('01_Input'!$T$66="Forfait",IF(DN$20&gt;='01_Input'!$R$66,'01_Input'!$U$66,0),IF('01_Input'!$T$66="Palier",IF(AND(DN$20&gt;='01_Input'!$R$66,DN$20&lt;'01_Input'!$S$66),'01_Input'!$U$66,0),MAX(MIN(DN$20,'01_Input'!$S$66)-'01_Input'!$R$66,0)*'01_Input'!$U$66))+IF('01_Input'!$X$66="Forfait",IF(DN$20&gt;='01_Input'!$V$66,'01_Input'!$Y$66,0),IF('01_Input'!$X$66="Palier",IF(AND(DN$20&gt;='01_Input'!$V$66,DN$20&lt;'01_Input'!$W$66),'01_Input'!$Y$66,0),MAX(MIN(DN$20,'01_Input'!$W$66)-'01_Input'!$V$66,0)*'01_Input'!$Y$66))+IF('01_Input'!$AB$66="Forfait",IF(DN$20&gt;='01_Input'!$Z$66,'01_Input'!$AC$66,0),IF('01_Input'!$AB$66="Palier",IF(AND(DN$20&gt;='01_Input'!$Z$66,DN$20&lt;'01_Input'!$AA$66),'01_Input'!$AC$66,0),MAX(MIN(DN$20,'01_Input'!$AA$66)-'01_Input'!$Z$66,0)*'01_Input'!$AC$66)))))))))</f>
        <v>0</v>
      </c>
      <c r="DO34" s="83">
        <f>IF('01_Input'!$C$66="Non",0,MIN('01_Input'!$I$66,MAX('01_Input'!$H$66,IF('01_Input'!$G$66="Résiduel vs Gestion",0,IF('01_Input'!$G$66="Taux Classe sélectionnée",Distrib_Global_Classe_Selectionnee*DO$20,IF('01_Input'!$G$66="Frais KYC (paliers de 100M€)",MAX(0,Nb_Investisseurs-Nb_KYC_Gratuites_Par_Tranche*(FLOOR(DO$20/Taille_Tranche_KYC,1)+1))*Cout_Par_KYC_Supplementaire,(IF('01_Input'!$L$66="Forfait",IF(DO$20&gt;='01_Input'!$J$66,'01_Input'!$M$66,0),IF('01_Input'!$L$66="Palier",IF(AND(DO$20&gt;='01_Input'!$J$66,DO$20&lt;'01_Input'!$K$66),'01_Input'!$M$66,0),MAX(MIN(DO$20,'01_Input'!$K$66)-'01_Input'!$J$66,0)*'01_Input'!$M$66))+IF('01_Input'!$P$66="Forfait",IF(DO$20&gt;='01_Input'!$N$66,'01_Input'!$Q$66,0),IF('01_Input'!$P$66="Palier",IF(AND(DO$20&gt;='01_Input'!$N$66,DO$20&lt;'01_Input'!$O$66),'01_Input'!$Q$66,0),MAX(MIN(DO$20,'01_Input'!$O$66)-'01_Input'!$N$66,0)*'01_Input'!$Q$66))+IF('01_Input'!$T$66="Forfait",IF(DO$20&gt;='01_Input'!$R$66,'01_Input'!$U$66,0),IF('01_Input'!$T$66="Palier",IF(AND(DO$20&gt;='01_Input'!$R$66,DO$20&lt;'01_Input'!$S$66),'01_Input'!$U$66,0),MAX(MIN(DO$20,'01_Input'!$S$66)-'01_Input'!$R$66,0)*'01_Input'!$U$66))+IF('01_Input'!$X$66="Forfait",IF(DO$20&gt;='01_Input'!$V$66,'01_Input'!$Y$66,0),IF('01_Input'!$X$66="Palier",IF(AND(DO$20&gt;='01_Input'!$V$66,DO$20&lt;'01_Input'!$W$66),'01_Input'!$Y$66,0),MAX(MIN(DO$20,'01_Input'!$W$66)-'01_Input'!$V$66,0)*'01_Input'!$Y$66))+IF('01_Input'!$AB$66="Forfait",IF(DO$20&gt;='01_Input'!$Z$66,'01_Input'!$AC$66,0),IF('01_Input'!$AB$66="Palier",IF(AND(DO$20&gt;='01_Input'!$Z$66,DO$20&lt;'01_Input'!$AA$66),'01_Input'!$AC$66,0),MAX(MIN(DO$20,'01_Input'!$AA$66)-'01_Input'!$Z$66,0)*'01_Input'!$AC$66)))))))))</f>
        <v>0</v>
      </c>
      <c r="DP34" s="83">
        <f>IF('01_Input'!$C$66="Non",0,MIN('01_Input'!$I$66,MAX('01_Input'!$H$66,IF('01_Input'!$G$66="Résiduel vs Gestion",0,IF('01_Input'!$G$66="Taux Classe sélectionnée",Distrib_Global_Classe_Selectionnee*DP$20,IF('01_Input'!$G$66="Frais KYC (paliers de 100M€)",MAX(0,Nb_Investisseurs-Nb_KYC_Gratuites_Par_Tranche*(FLOOR(DP$20/Taille_Tranche_KYC,1)+1))*Cout_Par_KYC_Supplementaire,(IF('01_Input'!$L$66="Forfait",IF(DP$20&gt;='01_Input'!$J$66,'01_Input'!$M$66,0),IF('01_Input'!$L$66="Palier",IF(AND(DP$20&gt;='01_Input'!$J$66,DP$20&lt;'01_Input'!$K$66),'01_Input'!$M$66,0),MAX(MIN(DP$20,'01_Input'!$K$66)-'01_Input'!$J$66,0)*'01_Input'!$M$66))+IF('01_Input'!$P$66="Forfait",IF(DP$20&gt;='01_Input'!$N$66,'01_Input'!$Q$66,0),IF('01_Input'!$P$66="Palier",IF(AND(DP$20&gt;='01_Input'!$N$66,DP$20&lt;'01_Input'!$O$66),'01_Input'!$Q$66,0),MAX(MIN(DP$20,'01_Input'!$O$66)-'01_Input'!$N$66,0)*'01_Input'!$Q$66))+IF('01_Input'!$T$66="Forfait",IF(DP$20&gt;='01_Input'!$R$66,'01_Input'!$U$66,0),IF('01_Input'!$T$66="Palier",IF(AND(DP$20&gt;='01_Input'!$R$66,DP$20&lt;'01_Input'!$S$66),'01_Input'!$U$66,0),MAX(MIN(DP$20,'01_Input'!$S$66)-'01_Input'!$R$66,0)*'01_Input'!$U$66))+IF('01_Input'!$X$66="Forfait",IF(DP$20&gt;='01_Input'!$V$66,'01_Input'!$Y$66,0),IF('01_Input'!$X$66="Palier",IF(AND(DP$20&gt;='01_Input'!$V$66,DP$20&lt;'01_Input'!$W$66),'01_Input'!$Y$66,0),MAX(MIN(DP$20,'01_Input'!$W$66)-'01_Input'!$V$66,0)*'01_Input'!$Y$66))+IF('01_Input'!$AB$66="Forfait",IF(DP$20&gt;='01_Input'!$Z$66,'01_Input'!$AC$66,0),IF('01_Input'!$AB$66="Palier",IF(AND(DP$20&gt;='01_Input'!$Z$66,DP$20&lt;'01_Input'!$AA$66),'01_Input'!$AC$66,0),MAX(MIN(DP$20,'01_Input'!$AA$66)-'01_Input'!$Z$66,0)*'01_Input'!$AC$66)))))))))</f>
        <v>0</v>
      </c>
      <c r="DQ34" s="83">
        <f>IF('01_Input'!$C$66="Non",0,MIN('01_Input'!$I$66,MAX('01_Input'!$H$66,IF('01_Input'!$G$66="Résiduel vs Gestion",0,IF('01_Input'!$G$66="Taux Classe sélectionnée",Distrib_Global_Classe_Selectionnee*DQ$20,IF('01_Input'!$G$66="Frais KYC (paliers de 100M€)",MAX(0,Nb_Investisseurs-Nb_KYC_Gratuites_Par_Tranche*(FLOOR(DQ$20/Taille_Tranche_KYC,1)+1))*Cout_Par_KYC_Supplementaire,(IF('01_Input'!$L$66="Forfait",IF(DQ$20&gt;='01_Input'!$J$66,'01_Input'!$M$66,0),IF('01_Input'!$L$66="Palier",IF(AND(DQ$20&gt;='01_Input'!$J$66,DQ$20&lt;'01_Input'!$K$66),'01_Input'!$M$66,0),MAX(MIN(DQ$20,'01_Input'!$K$66)-'01_Input'!$J$66,0)*'01_Input'!$M$66))+IF('01_Input'!$P$66="Forfait",IF(DQ$20&gt;='01_Input'!$N$66,'01_Input'!$Q$66,0),IF('01_Input'!$P$66="Palier",IF(AND(DQ$20&gt;='01_Input'!$N$66,DQ$20&lt;'01_Input'!$O$66),'01_Input'!$Q$66,0),MAX(MIN(DQ$20,'01_Input'!$O$66)-'01_Input'!$N$66,0)*'01_Input'!$Q$66))+IF('01_Input'!$T$66="Forfait",IF(DQ$20&gt;='01_Input'!$R$66,'01_Input'!$U$66,0),IF('01_Input'!$T$66="Palier",IF(AND(DQ$20&gt;='01_Input'!$R$66,DQ$20&lt;'01_Input'!$S$66),'01_Input'!$U$66,0),MAX(MIN(DQ$20,'01_Input'!$S$66)-'01_Input'!$R$66,0)*'01_Input'!$U$66))+IF('01_Input'!$X$66="Forfait",IF(DQ$20&gt;='01_Input'!$V$66,'01_Input'!$Y$66,0),IF('01_Input'!$X$66="Palier",IF(AND(DQ$20&gt;='01_Input'!$V$66,DQ$20&lt;'01_Input'!$W$66),'01_Input'!$Y$66,0),MAX(MIN(DQ$20,'01_Input'!$W$66)-'01_Input'!$V$66,0)*'01_Input'!$Y$66))+IF('01_Input'!$AB$66="Forfait",IF(DQ$20&gt;='01_Input'!$Z$66,'01_Input'!$AC$66,0),IF('01_Input'!$AB$66="Palier",IF(AND(DQ$20&gt;='01_Input'!$Z$66,DQ$20&lt;'01_Input'!$AA$66),'01_Input'!$AC$66,0),MAX(MIN(DQ$20,'01_Input'!$AA$66)-'01_Input'!$Z$66,0)*'01_Input'!$AC$66)))))))))</f>
        <v>0</v>
      </c>
      <c r="DR34" s="83">
        <f>IF('01_Input'!$C$66="Non",0,MIN('01_Input'!$I$66,MAX('01_Input'!$H$66,IF('01_Input'!$G$66="Résiduel vs Gestion",0,IF('01_Input'!$G$66="Taux Classe sélectionnée",Distrib_Global_Classe_Selectionnee*DR$20,IF('01_Input'!$G$66="Frais KYC (paliers de 100M€)",MAX(0,Nb_Investisseurs-Nb_KYC_Gratuites_Par_Tranche*(FLOOR(DR$20/Taille_Tranche_KYC,1)+1))*Cout_Par_KYC_Supplementaire,(IF('01_Input'!$L$66="Forfait",IF(DR$20&gt;='01_Input'!$J$66,'01_Input'!$M$66,0),IF('01_Input'!$L$66="Palier",IF(AND(DR$20&gt;='01_Input'!$J$66,DR$20&lt;'01_Input'!$K$66),'01_Input'!$M$66,0),MAX(MIN(DR$20,'01_Input'!$K$66)-'01_Input'!$J$66,0)*'01_Input'!$M$66))+IF('01_Input'!$P$66="Forfait",IF(DR$20&gt;='01_Input'!$N$66,'01_Input'!$Q$66,0),IF('01_Input'!$P$66="Palier",IF(AND(DR$20&gt;='01_Input'!$N$66,DR$20&lt;'01_Input'!$O$66),'01_Input'!$Q$66,0),MAX(MIN(DR$20,'01_Input'!$O$66)-'01_Input'!$N$66,0)*'01_Input'!$Q$66))+IF('01_Input'!$T$66="Forfait",IF(DR$20&gt;='01_Input'!$R$66,'01_Input'!$U$66,0),IF('01_Input'!$T$66="Palier",IF(AND(DR$20&gt;='01_Input'!$R$66,DR$20&lt;'01_Input'!$S$66),'01_Input'!$U$66,0),MAX(MIN(DR$20,'01_Input'!$S$66)-'01_Input'!$R$66,0)*'01_Input'!$U$66))+IF('01_Input'!$X$66="Forfait",IF(DR$20&gt;='01_Input'!$V$66,'01_Input'!$Y$66,0),IF('01_Input'!$X$66="Palier",IF(AND(DR$20&gt;='01_Input'!$V$66,DR$20&lt;'01_Input'!$W$66),'01_Input'!$Y$66,0),MAX(MIN(DR$20,'01_Input'!$W$66)-'01_Input'!$V$66,0)*'01_Input'!$Y$66))+IF('01_Input'!$AB$66="Forfait",IF(DR$20&gt;='01_Input'!$Z$66,'01_Input'!$AC$66,0),IF('01_Input'!$AB$66="Palier",IF(AND(DR$20&gt;='01_Input'!$Z$66,DR$20&lt;'01_Input'!$AA$66),'01_Input'!$AC$66,0),MAX(MIN(DR$20,'01_Input'!$AA$66)-'01_Input'!$Z$66,0)*'01_Input'!$AC$66)))))))))</f>
        <v>0</v>
      </c>
      <c r="DS34" s="83">
        <f>IF('01_Input'!$C$66="Non",0,MIN('01_Input'!$I$66,MAX('01_Input'!$H$66,IF('01_Input'!$G$66="Résiduel vs Gestion",0,IF('01_Input'!$G$66="Taux Classe sélectionnée",Distrib_Global_Classe_Selectionnee*DS$20,IF('01_Input'!$G$66="Frais KYC (paliers de 100M€)",MAX(0,Nb_Investisseurs-Nb_KYC_Gratuites_Par_Tranche*(FLOOR(DS$20/Taille_Tranche_KYC,1)+1))*Cout_Par_KYC_Supplementaire,(IF('01_Input'!$L$66="Forfait",IF(DS$20&gt;='01_Input'!$J$66,'01_Input'!$M$66,0),IF('01_Input'!$L$66="Palier",IF(AND(DS$20&gt;='01_Input'!$J$66,DS$20&lt;'01_Input'!$K$66),'01_Input'!$M$66,0),MAX(MIN(DS$20,'01_Input'!$K$66)-'01_Input'!$J$66,0)*'01_Input'!$M$66))+IF('01_Input'!$P$66="Forfait",IF(DS$20&gt;='01_Input'!$N$66,'01_Input'!$Q$66,0),IF('01_Input'!$P$66="Palier",IF(AND(DS$20&gt;='01_Input'!$N$66,DS$20&lt;'01_Input'!$O$66),'01_Input'!$Q$66,0),MAX(MIN(DS$20,'01_Input'!$O$66)-'01_Input'!$N$66,0)*'01_Input'!$Q$66))+IF('01_Input'!$T$66="Forfait",IF(DS$20&gt;='01_Input'!$R$66,'01_Input'!$U$66,0),IF('01_Input'!$T$66="Palier",IF(AND(DS$20&gt;='01_Input'!$R$66,DS$20&lt;'01_Input'!$S$66),'01_Input'!$U$66,0),MAX(MIN(DS$20,'01_Input'!$S$66)-'01_Input'!$R$66,0)*'01_Input'!$U$66))+IF('01_Input'!$X$66="Forfait",IF(DS$20&gt;='01_Input'!$V$66,'01_Input'!$Y$66,0),IF('01_Input'!$X$66="Palier",IF(AND(DS$20&gt;='01_Input'!$V$66,DS$20&lt;'01_Input'!$W$66),'01_Input'!$Y$66,0),MAX(MIN(DS$20,'01_Input'!$W$66)-'01_Input'!$V$66,0)*'01_Input'!$Y$66))+IF('01_Input'!$AB$66="Forfait",IF(DS$20&gt;='01_Input'!$Z$66,'01_Input'!$AC$66,0),IF('01_Input'!$AB$66="Palier",IF(AND(DS$20&gt;='01_Input'!$Z$66,DS$20&lt;'01_Input'!$AA$66),'01_Input'!$AC$66,0),MAX(MIN(DS$20,'01_Input'!$AA$66)-'01_Input'!$Z$66,0)*'01_Input'!$AC$66)))))))))</f>
        <v>0</v>
      </c>
      <c r="DT34" s="83">
        <f>IF('01_Input'!$C$66="Non",0,MIN('01_Input'!$I$66,MAX('01_Input'!$H$66,IF('01_Input'!$G$66="Résiduel vs Gestion",0,IF('01_Input'!$G$66="Taux Classe sélectionnée",Distrib_Global_Classe_Selectionnee*DT$20,IF('01_Input'!$G$66="Frais KYC (paliers de 100M€)",MAX(0,Nb_Investisseurs-Nb_KYC_Gratuites_Par_Tranche*(FLOOR(DT$20/Taille_Tranche_KYC,1)+1))*Cout_Par_KYC_Supplementaire,(IF('01_Input'!$L$66="Forfait",IF(DT$20&gt;='01_Input'!$J$66,'01_Input'!$M$66,0),IF('01_Input'!$L$66="Palier",IF(AND(DT$20&gt;='01_Input'!$J$66,DT$20&lt;'01_Input'!$K$66),'01_Input'!$M$66,0),MAX(MIN(DT$20,'01_Input'!$K$66)-'01_Input'!$J$66,0)*'01_Input'!$M$66))+IF('01_Input'!$P$66="Forfait",IF(DT$20&gt;='01_Input'!$N$66,'01_Input'!$Q$66,0),IF('01_Input'!$P$66="Palier",IF(AND(DT$20&gt;='01_Input'!$N$66,DT$20&lt;'01_Input'!$O$66),'01_Input'!$Q$66,0),MAX(MIN(DT$20,'01_Input'!$O$66)-'01_Input'!$N$66,0)*'01_Input'!$Q$66))+IF('01_Input'!$T$66="Forfait",IF(DT$20&gt;='01_Input'!$R$66,'01_Input'!$U$66,0),IF('01_Input'!$T$66="Palier",IF(AND(DT$20&gt;='01_Input'!$R$66,DT$20&lt;'01_Input'!$S$66),'01_Input'!$U$66,0),MAX(MIN(DT$20,'01_Input'!$S$66)-'01_Input'!$R$66,0)*'01_Input'!$U$66))+IF('01_Input'!$X$66="Forfait",IF(DT$20&gt;='01_Input'!$V$66,'01_Input'!$Y$66,0),IF('01_Input'!$X$66="Palier",IF(AND(DT$20&gt;='01_Input'!$V$66,DT$20&lt;'01_Input'!$W$66),'01_Input'!$Y$66,0),MAX(MIN(DT$20,'01_Input'!$W$66)-'01_Input'!$V$66,0)*'01_Input'!$Y$66))+IF('01_Input'!$AB$66="Forfait",IF(DT$20&gt;='01_Input'!$Z$66,'01_Input'!$AC$66,0),IF('01_Input'!$AB$66="Palier",IF(AND(DT$20&gt;='01_Input'!$Z$66,DT$20&lt;'01_Input'!$AA$66),'01_Input'!$AC$66,0),MAX(MIN(DT$20,'01_Input'!$AA$66)-'01_Input'!$Z$66,0)*'01_Input'!$AC$66)))))))))</f>
        <v>0</v>
      </c>
      <c r="DU34" s="83">
        <f>IF('01_Input'!$C$66="Non",0,MIN('01_Input'!$I$66,MAX('01_Input'!$H$66,IF('01_Input'!$G$66="Résiduel vs Gestion",0,IF('01_Input'!$G$66="Taux Classe sélectionnée",Distrib_Global_Classe_Selectionnee*DU$20,IF('01_Input'!$G$66="Frais KYC (paliers de 100M€)",MAX(0,Nb_Investisseurs-Nb_KYC_Gratuites_Par_Tranche*(FLOOR(DU$20/Taille_Tranche_KYC,1)+1))*Cout_Par_KYC_Supplementaire,(IF('01_Input'!$L$66="Forfait",IF(DU$20&gt;='01_Input'!$J$66,'01_Input'!$M$66,0),IF('01_Input'!$L$66="Palier",IF(AND(DU$20&gt;='01_Input'!$J$66,DU$20&lt;'01_Input'!$K$66),'01_Input'!$M$66,0),MAX(MIN(DU$20,'01_Input'!$K$66)-'01_Input'!$J$66,0)*'01_Input'!$M$66))+IF('01_Input'!$P$66="Forfait",IF(DU$20&gt;='01_Input'!$N$66,'01_Input'!$Q$66,0),IF('01_Input'!$P$66="Palier",IF(AND(DU$20&gt;='01_Input'!$N$66,DU$20&lt;'01_Input'!$O$66),'01_Input'!$Q$66,0),MAX(MIN(DU$20,'01_Input'!$O$66)-'01_Input'!$N$66,0)*'01_Input'!$Q$66))+IF('01_Input'!$T$66="Forfait",IF(DU$20&gt;='01_Input'!$R$66,'01_Input'!$U$66,0),IF('01_Input'!$T$66="Palier",IF(AND(DU$20&gt;='01_Input'!$R$66,DU$20&lt;'01_Input'!$S$66),'01_Input'!$U$66,0),MAX(MIN(DU$20,'01_Input'!$S$66)-'01_Input'!$R$66,0)*'01_Input'!$U$66))+IF('01_Input'!$X$66="Forfait",IF(DU$20&gt;='01_Input'!$V$66,'01_Input'!$Y$66,0),IF('01_Input'!$X$66="Palier",IF(AND(DU$20&gt;='01_Input'!$V$66,DU$20&lt;'01_Input'!$W$66),'01_Input'!$Y$66,0),MAX(MIN(DU$20,'01_Input'!$W$66)-'01_Input'!$V$66,0)*'01_Input'!$Y$66))+IF('01_Input'!$AB$66="Forfait",IF(DU$20&gt;='01_Input'!$Z$66,'01_Input'!$AC$66,0),IF('01_Input'!$AB$66="Palier",IF(AND(DU$20&gt;='01_Input'!$Z$66,DU$20&lt;'01_Input'!$AA$66),'01_Input'!$AC$66,0),MAX(MIN(DU$20,'01_Input'!$AA$66)-'01_Input'!$Z$66,0)*'01_Input'!$AC$66)))))))))</f>
        <v>0</v>
      </c>
      <c r="DV34" s="83">
        <f>IF('01_Input'!$C$66="Non",0,MIN('01_Input'!$I$66,MAX('01_Input'!$H$66,IF('01_Input'!$G$66="Résiduel vs Gestion",0,IF('01_Input'!$G$66="Taux Classe sélectionnée",Distrib_Global_Classe_Selectionnee*DV$20,IF('01_Input'!$G$66="Frais KYC (paliers de 100M€)",MAX(0,Nb_Investisseurs-Nb_KYC_Gratuites_Par_Tranche*(FLOOR(DV$20/Taille_Tranche_KYC,1)+1))*Cout_Par_KYC_Supplementaire,(IF('01_Input'!$L$66="Forfait",IF(DV$20&gt;='01_Input'!$J$66,'01_Input'!$M$66,0),IF('01_Input'!$L$66="Palier",IF(AND(DV$20&gt;='01_Input'!$J$66,DV$20&lt;'01_Input'!$K$66),'01_Input'!$M$66,0),MAX(MIN(DV$20,'01_Input'!$K$66)-'01_Input'!$J$66,0)*'01_Input'!$M$66))+IF('01_Input'!$P$66="Forfait",IF(DV$20&gt;='01_Input'!$N$66,'01_Input'!$Q$66,0),IF('01_Input'!$P$66="Palier",IF(AND(DV$20&gt;='01_Input'!$N$66,DV$20&lt;'01_Input'!$O$66),'01_Input'!$Q$66,0),MAX(MIN(DV$20,'01_Input'!$O$66)-'01_Input'!$N$66,0)*'01_Input'!$Q$66))+IF('01_Input'!$T$66="Forfait",IF(DV$20&gt;='01_Input'!$R$66,'01_Input'!$U$66,0),IF('01_Input'!$T$66="Palier",IF(AND(DV$20&gt;='01_Input'!$R$66,DV$20&lt;'01_Input'!$S$66),'01_Input'!$U$66,0),MAX(MIN(DV$20,'01_Input'!$S$66)-'01_Input'!$R$66,0)*'01_Input'!$U$66))+IF('01_Input'!$X$66="Forfait",IF(DV$20&gt;='01_Input'!$V$66,'01_Input'!$Y$66,0),IF('01_Input'!$X$66="Palier",IF(AND(DV$20&gt;='01_Input'!$V$66,DV$20&lt;'01_Input'!$W$66),'01_Input'!$Y$66,0),MAX(MIN(DV$20,'01_Input'!$W$66)-'01_Input'!$V$66,0)*'01_Input'!$Y$66))+IF('01_Input'!$AB$66="Forfait",IF(DV$20&gt;='01_Input'!$Z$66,'01_Input'!$AC$66,0),IF('01_Input'!$AB$66="Palier",IF(AND(DV$20&gt;='01_Input'!$Z$66,DV$20&lt;'01_Input'!$AA$66),'01_Input'!$AC$66,0),MAX(MIN(DV$20,'01_Input'!$AA$66)-'01_Input'!$Z$66,0)*'01_Input'!$AC$66)))))))))</f>
        <v>0</v>
      </c>
      <c r="DW34" s="83">
        <f>IF('01_Input'!$C$66="Non",0,MIN('01_Input'!$I$66,MAX('01_Input'!$H$66,IF('01_Input'!$G$66="Résiduel vs Gestion",0,IF('01_Input'!$G$66="Taux Classe sélectionnée",Distrib_Global_Classe_Selectionnee*DW$20,IF('01_Input'!$G$66="Frais KYC (paliers de 100M€)",MAX(0,Nb_Investisseurs-Nb_KYC_Gratuites_Par_Tranche*(FLOOR(DW$20/Taille_Tranche_KYC,1)+1))*Cout_Par_KYC_Supplementaire,(IF('01_Input'!$L$66="Forfait",IF(DW$20&gt;='01_Input'!$J$66,'01_Input'!$M$66,0),IF('01_Input'!$L$66="Palier",IF(AND(DW$20&gt;='01_Input'!$J$66,DW$20&lt;'01_Input'!$K$66),'01_Input'!$M$66,0),MAX(MIN(DW$20,'01_Input'!$K$66)-'01_Input'!$J$66,0)*'01_Input'!$M$66))+IF('01_Input'!$P$66="Forfait",IF(DW$20&gt;='01_Input'!$N$66,'01_Input'!$Q$66,0),IF('01_Input'!$P$66="Palier",IF(AND(DW$20&gt;='01_Input'!$N$66,DW$20&lt;'01_Input'!$O$66),'01_Input'!$Q$66,0),MAX(MIN(DW$20,'01_Input'!$O$66)-'01_Input'!$N$66,0)*'01_Input'!$Q$66))+IF('01_Input'!$T$66="Forfait",IF(DW$20&gt;='01_Input'!$R$66,'01_Input'!$U$66,0),IF('01_Input'!$T$66="Palier",IF(AND(DW$20&gt;='01_Input'!$R$66,DW$20&lt;'01_Input'!$S$66),'01_Input'!$U$66,0),MAX(MIN(DW$20,'01_Input'!$S$66)-'01_Input'!$R$66,0)*'01_Input'!$U$66))+IF('01_Input'!$X$66="Forfait",IF(DW$20&gt;='01_Input'!$V$66,'01_Input'!$Y$66,0),IF('01_Input'!$X$66="Palier",IF(AND(DW$20&gt;='01_Input'!$V$66,DW$20&lt;'01_Input'!$W$66),'01_Input'!$Y$66,0),MAX(MIN(DW$20,'01_Input'!$W$66)-'01_Input'!$V$66,0)*'01_Input'!$Y$66))+IF('01_Input'!$AB$66="Forfait",IF(DW$20&gt;='01_Input'!$Z$66,'01_Input'!$AC$66,0),IF('01_Input'!$AB$66="Palier",IF(AND(DW$20&gt;='01_Input'!$Z$66,DW$20&lt;'01_Input'!$AA$66),'01_Input'!$AC$66,0),MAX(MIN(DW$20,'01_Input'!$AA$66)-'01_Input'!$Z$66,0)*'01_Input'!$AC$66)))))))))</f>
        <v>0</v>
      </c>
      <c r="DX34" s="83">
        <f>IF('01_Input'!$C$66="Non",0,MIN('01_Input'!$I$66,MAX('01_Input'!$H$66,IF('01_Input'!$G$66="Résiduel vs Gestion",0,IF('01_Input'!$G$66="Taux Classe sélectionnée",Distrib_Global_Classe_Selectionnee*DX$20,IF('01_Input'!$G$66="Frais KYC (paliers de 100M€)",MAX(0,Nb_Investisseurs-Nb_KYC_Gratuites_Par_Tranche*(FLOOR(DX$20/Taille_Tranche_KYC,1)+1))*Cout_Par_KYC_Supplementaire,(IF('01_Input'!$L$66="Forfait",IF(DX$20&gt;='01_Input'!$J$66,'01_Input'!$M$66,0),IF('01_Input'!$L$66="Palier",IF(AND(DX$20&gt;='01_Input'!$J$66,DX$20&lt;'01_Input'!$K$66),'01_Input'!$M$66,0),MAX(MIN(DX$20,'01_Input'!$K$66)-'01_Input'!$J$66,0)*'01_Input'!$M$66))+IF('01_Input'!$P$66="Forfait",IF(DX$20&gt;='01_Input'!$N$66,'01_Input'!$Q$66,0),IF('01_Input'!$P$66="Palier",IF(AND(DX$20&gt;='01_Input'!$N$66,DX$20&lt;'01_Input'!$O$66),'01_Input'!$Q$66,0),MAX(MIN(DX$20,'01_Input'!$O$66)-'01_Input'!$N$66,0)*'01_Input'!$Q$66))+IF('01_Input'!$T$66="Forfait",IF(DX$20&gt;='01_Input'!$R$66,'01_Input'!$U$66,0),IF('01_Input'!$T$66="Palier",IF(AND(DX$20&gt;='01_Input'!$R$66,DX$20&lt;'01_Input'!$S$66),'01_Input'!$U$66,0),MAX(MIN(DX$20,'01_Input'!$S$66)-'01_Input'!$R$66,0)*'01_Input'!$U$66))+IF('01_Input'!$X$66="Forfait",IF(DX$20&gt;='01_Input'!$V$66,'01_Input'!$Y$66,0),IF('01_Input'!$X$66="Palier",IF(AND(DX$20&gt;='01_Input'!$V$66,DX$20&lt;'01_Input'!$W$66),'01_Input'!$Y$66,0),MAX(MIN(DX$20,'01_Input'!$W$66)-'01_Input'!$V$66,0)*'01_Input'!$Y$66))+IF('01_Input'!$AB$66="Forfait",IF(DX$20&gt;='01_Input'!$Z$66,'01_Input'!$AC$66,0),IF('01_Input'!$AB$66="Palier",IF(AND(DX$20&gt;='01_Input'!$Z$66,DX$20&lt;'01_Input'!$AA$66),'01_Input'!$AC$66,0),MAX(MIN(DX$20,'01_Input'!$AA$66)-'01_Input'!$Z$66,0)*'01_Input'!$AC$66)))))))))</f>
        <v>0</v>
      </c>
      <c r="DY34" s="83">
        <f>IF('01_Input'!$C$66="Non",0,MIN('01_Input'!$I$66,MAX('01_Input'!$H$66,IF('01_Input'!$G$66="Résiduel vs Gestion",0,IF('01_Input'!$G$66="Taux Classe sélectionnée",Distrib_Global_Classe_Selectionnee*DY$20,IF('01_Input'!$G$66="Frais KYC (paliers de 100M€)",MAX(0,Nb_Investisseurs-Nb_KYC_Gratuites_Par_Tranche*(FLOOR(DY$20/Taille_Tranche_KYC,1)+1))*Cout_Par_KYC_Supplementaire,(IF('01_Input'!$L$66="Forfait",IF(DY$20&gt;='01_Input'!$J$66,'01_Input'!$M$66,0),IF('01_Input'!$L$66="Palier",IF(AND(DY$20&gt;='01_Input'!$J$66,DY$20&lt;'01_Input'!$K$66),'01_Input'!$M$66,0),MAX(MIN(DY$20,'01_Input'!$K$66)-'01_Input'!$J$66,0)*'01_Input'!$M$66))+IF('01_Input'!$P$66="Forfait",IF(DY$20&gt;='01_Input'!$N$66,'01_Input'!$Q$66,0),IF('01_Input'!$P$66="Palier",IF(AND(DY$20&gt;='01_Input'!$N$66,DY$20&lt;'01_Input'!$O$66),'01_Input'!$Q$66,0),MAX(MIN(DY$20,'01_Input'!$O$66)-'01_Input'!$N$66,0)*'01_Input'!$Q$66))+IF('01_Input'!$T$66="Forfait",IF(DY$20&gt;='01_Input'!$R$66,'01_Input'!$U$66,0),IF('01_Input'!$T$66="Palier",IF(AND(DY$20&gt;='01_Input'!$R$66,DY$20&lt;'01_Input'!$S$66),'01_Input'!$U$66,0),MAX(MIN(DY$20,'01_Input'!$S$66)-'01_Input'!$R$66,0)*'01_Input'!$U$66))+IF('01_Input'!$X$66="Forfait",IF(DY$20&gt;='01_Input'!$V$66,'01_Input'!$Y$66,0),IF('01_Input'!$X$66="Palier",IF(AND(DY$20&gt;='01_Input'!$V$66,DY$20&lt;'01_Input'!$W$66),'01_Input'!$Y$66,0),MAX(MIN(DY$20,'01_Input'!$W$66)-'01_Input'!$V$66,0)*'01_Input'!$Y$66))+IF('01_Input'!$AB$66="Forfait",IF(DY$20&gt;='01_Input'!$Z$66,'01_Input'!$AC$66,0),IF('01_Input'!$AB$66="Palier",IF(AND(DY$20&gt;='01_Input'!$Z$66,DY$20&lt;'01_Input'!$AA$66),'01_Input'!$AC$66,0),MAX(MIN(DY$20,'01_Input'!$AA$66)-'01_Input'!$Z$66,0)*'01_Input'!$AC$66)))))))))</f>
        <v>0</v>
      </c>
      <c r="DZ34" s="83">
        <f>IF('01_Input'!$C$66="Non",0,MIN('01_Input'!$I$66,MAX('01_Input'!$H$66,IF('01_Input'!$G$66="Résiduel vs Gestion",0,IF('01_Input'!$G$66="Taux Classe sélectionnée",Distrib_Global_Classe_Selectionnee*DZ$20,IF('01_Input'!$G$66="Frais KYC (paliers de 100M€)",MAX(0,Nb_Investisseurs-Nb_KYC_Gratuites_Par_Tranche*(FLOOR(DZ$20/Taille_Tranche_KYC,1)+1))*Cout_Par_KYC_Supplementaire,(IF('01_Input'!$L$66="Forfait",IF(DZ$20&gt;='01_Input'!$J$66,'01_Input'!$M$66,0),IF('01_Input'!$L$66="Palier",IF(AND(DZ$20&gt;='01_Input'!$J$66,DZ$20&lt;'01_Input'!$K$66),'01_Input'!$M$66,0),MAX(MIN(DZ$20,'01_Input'!$K$66)-'01_Input'!$J$66,0)*'01_Input'!$M$66))+IF('01_Input'!$P$66="Forfait",IF(DZ$20&gt;='01_Input'!$N$66,'01_Input'!$Q$66,0),IF('01_Input'!$P$66="Palier",IF(AND(DZ$20&gt;='01_Input'!$N$66,DZ$20&lt;'01_Input'!$O$66),'01_Input'!$Q$66,0),MAX(MIN(DZ$20,'01_Input'!$O$66)-'01_Input'!$N$66,0)*'01_Input'!$Q$66))+IF('01_Input'!$T$66="Forfait",IF(DZ$20&gt;='01_Input'!$R$66,'01_Input'!$U$66,0),IF('01_Input'!$T$66="Palier",IF(AND(DZ$20&gt;='01_Input'!$R$66,DZ$20&lt;'01_Input'!$S$66),'01_Input'!$U$66,0),MAX(MIN(DZ$20,'01_Input'!$S$66)-'01_Input'!$R$66,0)*'01_Input'!$U$66))+IF('01_Input'!$X$66="Forfait",IF(DZ$20&gt;='01_Input'!$V$66,'01_Input'!$Y$66,0),IF('01_Input'!$X$66="Palier",IF(AND(DZ$20&gt;='01_Input'!$V$66,DZ$20&lt;'01_Input'!$W$66),'01_Input'!$Y$66,0),MAX(MIN(DZ$20,'01_Input'!$W$66)-'01_Input'!$V$66,0)*'01_Input'!$Y$66))+IF('01_Input'!$AB$66="Forfait",IF(DZ$20&gt;='01_Input'!$Z$66,'01_Input'!$AC$66,0),IF('01_Input'!$AB$66="Palier",IF(AND(DZ$20&gt;='01_Input'!$Z$66,DZ$20&lt;'01_Input'!$AA$66),'01_Input'!$AC$66,0),MAX(MIN(DZ$20,'01_Input'!$AA$66)-'01_Input'!$Z$66,0)*'01_Input'!$AC$66)))))))))</f>
        <v>0</v>
      </c>
      <c r="EA34" s="83">
        <f>IF('01_Input'!$C$66="Non",0,MIN('01_Input'!$I$66,MAX('01_Input'!$H$66,IF('01_Input'!$G$66="Résiduel vs Gestion",0,IF('01_Input'!$G$66="Taux Classe sélectionnée",Distrib_Global_Classe_Selectionnee*EA$20,IF('01_Input'!$G$66="Frais KYC (paliers de 100M€)",MAX(0,Nb_Investisseurs-Nb_KYC_Gratuites_Par_Tranche*(FLOOR(EA$20/Taille_Tranche_KYC,1)+1))*Cout_Par_KYC_Supplementaire,(IF('01_Input'!$L$66="Forfait",IF(EA$20&gt;='01_Input'!$J$66,'01_Input'!$M$66,0),IF('01_Input'!$L$66="Palier",IF(AND(EA$20&gt;='01_Input'!$J$66,EA$20&lt;'01_Input'!$K$66),'01_Input'!$M$66,0),MAX(MIN(EA$20,'01_Input'!$K$66)-'01_Input'!$J$66,0)*'01_Input'!$M$66))+IF('01_Input'!$P$66="Forfait",IF(EA$20&gt;='01_Input'!$N$66,'01_Input'!$Q$66,0),IF('01_Input'!$P$66="Palier",IF(AND(EA$20&gt;='01_Input'!$N$66,EA$20&lt;'01_Input'!$O$66),'01_Input'!$Q$66,0),MAX(MIN(EA$20,'01_Input'!$O$66)-'01_Input'!$N$66,0)*'01_Input'!$Q$66))+IF('01_Input'!$T$66="Forfait",IF(EA$20&gt;='01_Input'!$R$66,'01_Input'!$U$66,0),IF('01_Input'!$T$66="Palier",IF(AND(EA$20&gt;='01_Input'!$R$66,EA$20&lt;'01_Input'!$S$66),'01_Input'!$U$66,0),MAX(MIN(EA$20,'01_Input'!$S$66)-'01_Input'!$R$66,0)*'01_Input'!$U$66))+IF('01_Input'!$X$66="Forfait",IF(EA$20&gt;='01_Input'!$V$66,'01_Input'!$Y$66,0),IF('01_Input'!$X$66="Palier",IF(AND(EA$20&gt;='01_Input'!$V$66,EA$20&lt;'01_Input'!$W$66),'01_Input'!$Y$66,0),MAX(MIN(EA$20,'01_Input'!$W$66)-'01_Input'!$V$66,0)*'01_Input'!$Y$66))+IF('01_Input'!$AB$66="Forfait",IF(EA$20&gt;='01_Input'!$Z$66,'01_Input'!$AC$66,0),IF('01_Input'!$AB$66="Palier",IF(AND(EA$20&gt;='01_Input'!$Z$66,EA$20&lt;'01_Input'!$AA$66),'01_Input'!$AC$66,0),MAX(MIN(EA$20,'01_Input'!$AA$66)-'01_Input'!$Z$66,0)*'01_Input'!$AC$66)))))))))</f>
        <v>0</v>
      </c>
      <c r="EB34" s="83">
        <f>IF('01_Input'!$C$66="Non",0,MIN('01_Input'!$I$66,MAX('01_Input'!$H$66,IF('01_Input'!$G$66="Résiduel vs Gestion",0,IF('01_Input'!$G$66="Taux Classe sélectionnée",Distrib_Global_Classe_Selectionnee*EB$20,IF('01_Input'!$G$66="Frais KYC (paliers de 100M€)",MAX(0,Nb_Investisseurs-Nb_KYC_Gratuites_Par_Tranche*(FLOOR(EB$20/Taille_Tranche_KYC,1)+1))*Cout_Par_KYC_Supplementaire,(IF('01_Input'!$L$66="Forfait",IF(EB$20&gt;='01_Input'!$J$66,'01_Input'!$M$66,0),IF('01_Input'!$L$66="Palier",IF(AND(EB$20&gt;='01_Input'!$J$66,EB$20&lt;'01_Input'!$K$66),'01_Input'!$M$66,0),MAX(MIN(EB$20,'01_Input'!$K$66)-'01_Input'!$J$66,0)*'01_Input'!$M$66))+IF('01_Input'!$P$66="Forfait",IF(EB$20&gt;='01_Input'!$N$66,'01_Input'!$Q$66,0),IF('01_Input'!$P$66="Palier",IF(AND(EB$20&gt;='01_Input'!$N$66,EB$20&lt;'01_Input'!$O$66),'01_Input'!$Q$66,0),MAX(MIN(EB$20,'01_Input'!$O$66)-'01_Input'!$N$66,0)*'01_Input'!$Q$66))+IF('01_Input'!$T$66="Forfait",IF(EB$20&gt;='01_Input'!$R$66,'01_Input'!$U$66,0),IF('01_Input'!$T$66="Palier",IF(AND(EB$20&gt;='01_Input'!$R$66,EB$20&lt;'01_Input'!$S$66),'01_Input'!$U$66,0),MAX(MIN(EB$20,'01_Input'!$S$66)-'01_Input'!$R$66,0)*'01_Input'!$U$66))+IF('01_Input'!$X$66="Forfait",IF(EB$20&gt;='01_Input'!$V$66,'01_Input'!$Y$66,0),IF('01_Input'!$X$66="Palier",IF(AND(EB$20&gt;='01_Input'!$V$66,EB$20&lt;'01_Input'!$W$66),'01_Input'!$Y$66,0),MAX(MIN(EB$20,'01_Input'!$W$66)-'01_Input'!$V$66,0)*'01_Input'!$Y$66))+IF('01_Input'!$AB$66="Forfait",IF(EB$20&gt;='01_Input'!$Z$66,'01_Input'!$AC$66,0),IF('01_Input'!$AB$66="Palier",IF(AND(EB$20&gt;='01_Input'!$Z$66,EB$20&lt;'01_Input'!$AA$66),'01_Input'!$AC$66,0),MAX(MIN(EB$20,'01_Input'!$AA$66)-'01_Input'!$Z$66,0)*'01_Input'!$AC$66)))))))))</f>
        <v>0</v>
      </c>
      <c r="EC34" s="83">
        <f>IF('01_Input'!$C$66="Non",0,MIN('01_Input'!$I$66,MAX('01_Input'!$H$66,IF('01_Input'!$G$66="Résiduel vs Gestion",0,IF('01_Input'!$G$66="Taux Classe sélectionnée",Distrib_Global_Classe_Selectionnee*EC$20,IF('01_Input'!$G$66="Frais KYC (paliers de 100M€)",MAX(0,Nb_Investisseurs-Nb_KYC_Gratuites_Par_Tranche*(FLOOR(EC$20/Taille_Tranche_KYC,1)+1))*Cout_Par_KYC_Supplementaire,(IF('01_Input'!$L$66="Forfait",IF(EC$20&gt;='01_Input'!$J$66,'01_Input'!$M$66,0),IF('01_Input'!$L$66="Palier",IF(AND(EC$20&gt;='01_Input'!$J$66,EC$20&lt;'01_Input'!$K$66),'01_Input'!$M$66,0),MAX(MIN(EC$20,'01_Input'!$K$66)-'01_Input'!$J$66,0)*'01_Input'!$M$66))+IF('01_Input'!$P$66="Forfait",IF(EC$20&gt;='01_Input'!$N$66,'01_Input'!$Q$66,0),IF('01_Input'!$P$66="Palier",IF(AND(EC$20&gt;='01_Input'!$N$66,EC$20&lt;'01_Input'!$O$66),'01_Input'!$Q$66,0),MAX(MIN(EC$20,'01_Input'!$O$66)-'01_Input'!$N$66,0)*'01_Input'!$Q$66))+IF('01_Input'!$T$66="Forfait",IF(EC$20&gt;='01_Input'!$R$66,'01_Input'!$U$66,0),IF('01_Input'!$T$66="Palier",IF(AND(EC$20&gt;='01_Input'!$R$66,EC$20&lt;'01_Input'!$S$66),'01_Input'!$U$66,0),MAX(MIN(EC$20,'01_Input'!$S$66)-'01_Input'!$R$66,0)*'01_Input'!$U$66))+IF('01_Input'!$X$66="Forfait",IF(EC$20&gt;='01_Input'!$V$66,'01_Input'!$Y$66,0),IF('01_Input'!$X$66="Palier",IF(AND(EC$20&gt;='01_Input'!$V$66,EC$20&lt;'01_Input'!$W$66),'01_Input'!$Y$66,0),MAX(MIN(EC$20,'01_Input'!$W$66)-'01_Input'!$V$66,0)*'01_Input'!$Y$66))+IF('01_Input'!$AB$66="Forfait",IF(EC$20&gt;='01_Input'!$Z$66,'01_Input'!$AC$66,0),IF('01_Input'!$AB$66="Palier",IF(AND(EC$20&gt;='01_Input'!$Z$66,EC$20&lt;'01_Input'!$AA$66),'01_Input'!$AC$66,0),MAX(MIN(EC$20,'01_Input'!$AA$66)-'01_Input'!$Z$66,0)*'01_Input'!$AC$66)))))))))</f>
        <v>0</v>
      </c>
      <c r="ED34" s="83">
        <f>IF('01_Input'!$C$66="Non",0,MIN('01_Input'!$I$66,MAX('01_Input'!$H$66,IF('01_Input'!$G$66="Résiduel vs Gestion",0,IF('01_Input'!$G$66="Taux Classe sélectionnée",Distrib_Global_Classe_Selectionnee*ED$20,IF('01_Input'!$G$66="Frais KYC (paliers de 100M€)",MAX(0,Nb_Investisseurs-Nb_KYC_Gratuites_Par_Tranche*(FLOOR(ED$20/Taille_Tranche_KYC,1)+1))*Cout_Par_KYC_Supplementaire,(IF('01_Input'!$L$66="Forfait",IF(ED$20&gt;='01_Input'!$J$66,'01_Input'!$M$66,0),IF('01_Input'!$L$66="Palier",IF(AND(ED$20&gt;='01_Input'!$J$66,ED$20&lt;'01_Input'!$K$66),'01_Input'!$M$66,0),MAX(MIN(ED$20,'01_Input'!$K$66)-'01_Input'!$J$66,0)*'01_Input'!$M$66))+IF('01_Input'!$P$66="Forfait",IF(ED$20&gt;='01_Input'!$N$66,'01_Input'!$Q$66,0),IF('01_Input'!$P$66="Palier",IF(AND(ED$20&gt;='01_Input'!$N$66,ED$20&lt;'01_Input'!$O$66),'01_Input'!$Q$66,0),MAX(MIN(ED$20,'01_Input'!$O$66)-'01_Input'!$N$66,0)*'01_Input'!$Q$66))+IF('01_Input'!$T$66="Forfait",IF(ED$20&gt;='01_Input'!$R$66,'01_Input'!$U$66,0),IF('01_Input'!$T$66="Palier",IF(AND(ED$20&gt;='01_Input'!$R$66,ED$20&lt;'01_Input'!$S$66),'01_Input'!$U$66,0),MAX(MIN(ED$20,'01_Input'!$S$66)-'01_Input'!$R$66,0)*'01_Input'!$U$66))+IF('01_Input'!$X$66="Forfait",IF(ED$20&gt;='01_Input'!$V$66,'01_Input'!$Y$66,0),IF('01_Input'!$X$66="Palier",IF(AND(ED$20&gt;='01_Input'!$V$66,ED$20&lt;'01_Input'!$W$66),'01_Input'!$Y$66,0),MAX(MIN(ED$20,'01_Input'!$W$66)-'01_Input'!$V$66,0)*'01_Input'!$Y$66))+IF('01_Input'!$AB$66="Forfait",IF(ED$20&gt;='01_Input'!$Z$66,'01_Input'!$AC$66,0),IF('01_Input'!$AB$66="Palier",IF(AND(ED$20&gt;='01_Input'!$Z$66,ED$20&lt;'01_Input'!$AA$66),'01_Input'!$AC$66,0),MAX(MIN(ED$20,'01_Input'!$AA$66)-'01_Input'!$Z$66,0)*'01_Input'!$AC$66)))))))))</f>
        <v>0</v>
      </c>
      <c r="EE34" s="83">
        <f>IF('01_Input'!$C$66="Non",0,MIN('01_Input'!$I$66,MAX('01_Input'!$H$66,IF('01_Input'!$G$66="Résiduel vs Gestion",0,IF('01_Input'!$G$66="Taux Classe sélectionnée",Distrib_Global_Classe_Selectionnee*EE$20,IF('01_Input'!$G$66="Frais KYC (paliers de 100M€)",MAX(0,Nb_Investisseurs-Nb_KYC_Gratuites_Par_Tranche*(FLOOR(EE$20/Taille_Tranche_KYC,1)+1))*Cout_Par_KYC_Supplementaire,(IF('01_Input'!$L$66="Forfait",IF(EE$20&gt;='01_Input'!$J$66,'01_Input'!$M$66,0),IF('01_Input'!$L$66="Palier",IF(AND(EE$20&gt;='01_Input'!$J$66,EE$20&lt;'01_Input'!$K$66),'01_Input'!$M$66,0),MAX(MIN(EE$20,'01_Input'!$K$66)-'01_Input'!$J$66,0)*'01_Input'!$M$66))+IF('01_Input'!$P$66="Forfait",IF(EE$20&gt;='01_Input'!$N$66,'01_Input'!$Q$66,0),IF('01_Input'!$P$66="Palier",IF(AND(EE$20&gt;='01_Input'!$N$66,EE$20&lt;'01_Input'!$O$66),'01_Input'!$Q$66,0),MAX(MIN(EE$20,'01_Input'!$O$66)-'01_Input'!$N$66,0)*'01_Input'!$Q$66))+IF('01_Input'!$T$66="Forfait",IF(EE$20&gt;='01_Input'!$R$66,'01_Input'!$U$66,0),IF('01_Input'!$T$66="Palier",IF(AND(EE$20&gt;='01_Input'!$R$66,EE$20&lt;'01_Input'!$S$66),'01_Input'!$U$66,0),MAX(MIN(EE$20,'01_Input'!$S$66)-'01_Input'!$R$66,0)*'01_Input'!$U$66))+IF('01_Input'!$X$66="Forfait",IF(EE$20&gt;='01_Input'!$V$66,'01_Input'!$Y$66,0),IF('01_Input'!$X$66="Palier",IF(AND(EE$20&gt;='01_Input'!$V$66,EE$20&lt;'01_Input'!$W$66),'01_Input'!$Y$66,0),MAX(MIN(EE$20,'01_Input'!$W$66)-'01_Input'!$V$66,0)*'01_Input'!$Y$66))+IF('01_Input'!$AB$66="Forfait",IF(EE$20&gt;='01_Input'!$Z$66,'01_Input'!$AC$66,0),IF('01_Input'!$AB$66="Palier",IF(AND(EE$20&gt;='01_Input'!$Z$66,EE$20&lt;'01_Input'!$AA$66),'01_Input'!$AC$66,0),MAX(MIN(EE$20,'01_Input'!$AA$66)-'01_Input'!$Z$66,0)*'01_Input'!$AC$66)))))))))</f>
        <v>0</v>
      </c>
      <c r="EF34" s="83">
        <f>IF('01_Input'!$C$66="Non",0,MIN('01_Input'!$I$66,MAX('01_Input'!$H$66,IF('01_Input'!$G$66="Résiduel vs Gestion",0,IF('01_Input'!$G$66="Taux Classe sélectionnée",Distrib_Global_Classe_Selectionnee*EF$20,IF('01_Input'!$G$66="Frais KYC (paliers de 100M€)",MAX(0,Nb_Investisseurs-Nb_KYC_Gratuites_Par_Tranche*(FLOOR(EF$20/Taille_Tranche_KYC,1)+1))*Cout_Par_KYC_Supplementaire,(IF('01_Input'!$L$66="Forfait",IF(EF$20&gt;='01_Input'!$J$66,'01_Input'!$M$66,0),IF('01_Input'!$L$66="Palier",IF(AND(EF$20&gt;='01_Input'!$J$66,EF$20&lt;'01_Input'!$K$66),'01_Input'!$M$66,0),MAX(MIN(EF$20,'01_Input'!$K$66)-'01_Input'!$J$66,0)*'01_Input'!$M$66))+IF('01_Input'!$P$66="Forfait",IF(EF$20&gt;='01_Input'!$N$66,'01_Input'!$Q$66,0),IF('01_Input'!$P$66="Palier",IF(AND(EF$20&gt;='01_Input'!$N$66,EF$20&lt;'01_Input'!$O$66),'01_Input'!$Q$66,0),MAX(MIN(EF$20,'01_Input'!$O$66)-'01_Input'!$N$66,0)*'01_Input'!$Q$66))+IF('01_Input'!$T$66="Forfait",IF(EF$20&gt;='01_Input'!$R$66,'01_Input'!$U$66,0),IF('01_Input'!$T$66="Palier",IF(AND(EF$20&gt;='01_Input'!$R$66,EF$20&lt;'01_Input'!$S$66),'01_Input'!$U$66,0),MAX(MIN(EF$20,'01_Input'!$S$66)-'01_Input'!$R$66,0)*'01_Input'!$U$66))+IF('01_Input'!$X$66="Forfait",IF(EF$20&gt;='01_Input'!$V$66,'01_Input'!$Y$66,0),IF('01_Input'!$X$66="Palier",IF(AND(EF$20&gt;='01_Input'!$V$66,EF$20&lt;'01_Input'!$W$66),'01_Input'!$Y$66,0),MAX(MIN(EF$20,'01_Input'!$W$66)-'01_Input'!$V$66,0)*'01_Input'!$Y$66))+IF('01_Input'!$AB$66="Forfait",IF(EF$20&gt;='01_Input'!$Z$66,'01_Input'!$AC$66,0),IF('01_Input'!$AB$66="Palier",IF(AND(EF$20&gt;='01_Input'!$Z$66,EF$20&lt;'01_Input'!$AA$66),'01_Input'!$AC$66,0),MAX(MIN(EF$20,'01_Input'!$AA$66)-'01_Input'!$Z$66,0)*'01_Input'!$AC$66)))))))))</f>
        <v>0</v>
      </c>
      <c r="EG34" s="83">
        <f>IF('01_Input'!$C$66="Non",0,MIN('01_Input'!$I$66,MAX('01_Input'!$H$66,IF('01_Input'!$G$66="Résiduel vs Gestion",0,IF('01_Input'!$G$66="Taux Classe sélectionnée",Distrib_Global_Classe_Selectionnee*EG$20,IF('01_Input'!$G$66="Frais KYC (paliers de 100M€)",MAX(0,Nb_Investisseurs-Nb_KYC_Gratuites_Par_Tranche*(FLOOR(EG$20/Taille_Tranche_KYC,1)+1))*Cout_Par_KYC_Supplementaire,(IF('01_Input'!$L$66="Forfait",IF(EG$20&gt;='01_Input'!$J$66,'01_Input'!$M$66,0),IF('01_Input'!$L$66="Palier",IF(AND(EG$20&gt;='01_Input'!$J$66,EG$20&lt;'01_Input'!$K$66),'01_Input'!$M$66,0),MAX(MIN(EG$20,'01_Input'!$K$66)-'01_Input'!$J$66,0)*'01_Input'!$M$66))+IF('01_Input'!$P$66="Forfait",IF(EG$20&gt;='01_Input'!$N$66,'01_Input'!$Q$66,0),IF('01_Input'!$P$66="Palier",IF(AND(EG$20&gt;='01_Input'!$N$66,EG$20&lt;'01_Input'!$O$66),'01_Input'!$Q$66,0),MAX(MIN(EG$20,'01_Input'!$O$66)-'01_Input'!$N$66,0)*'01_Input'!$Q$66))+IF('01_Input'!$T$66="Forfait",IF(EG$20&gt;='01_Input'!$R$66,'01_Input'!$U$66,0),IF('01_Input'!$T$66="Palier",IF(AND(EG$20&gt;='01_Input'!$R$66,EG$20&lt;'01_Input'!$S$66),'01_Input'!$U$66,0),MAX(MIN(EG$20,'01_Input'!$S$66)-'01_Input'!$R$66,0)*'01_Input'!$U$66))+IF('01_Input'!$X$66="Forfait",IF(EG$20&gt;='01_Input'!$V$66,'01_Input'!$Y$66,0),IF('01_Input'!$X$66="Palier",IF(AND(EG$20&gt;='01_Input'!$V$66,EG$20&lt;'01_Input'!$W$66),'01_Input'!$Y$66,0),MAX(MIN(EG$20,'01_Input'!$W$66)-'01_Input'!$V$66,0)*'01_Input'!$Y$66))+IF('01_Input'!$AB$66="Forfait",IF(EG$20&gt;='01_Input'!$Z$66,'01_Input'!$AC$66,0),IF('01_Input'!$AB$66="Palier",IF(AND(EG$20&gt;='01_Input'!$Z$66,EG$20&lt;'01_Input'!$AA$66),'01_Input'!$AC$66,0),MAX(MIN(EG$20,'01_Input'!$AA$66)-'01_Input'!$Z$66,0)*'01_Input'!$AC$66)))))))))</f>
        <v>0</v>
      </c>
      <c r="EH34" s="83">
        <f>IF('01_Input'!$C$66="Non",0,MIN('01_Input'!$I$66,MAX('01_Input'!$H$66,IF('01_Input'!$G$66="Résiduel vs Gestion",0,IF('01_Input'!$G$66="Taux Classe sélectionnée",Distrib_Global_Classe_Selectionnee*EH$20,IF('01_Input'!$G$66="Frais KYC (paliers de 100M€)",MAX(0,Nb_Investisseurs-Nb_KYC_Gratuites_Par_Tranche*(FLOOR(EH$20/Taille_Tranche_KYC,1)+1))*Cout_Par_KYC_Supplementaire,(IF('01_Input'!$L$66="Forfait",IF(EH$20&gt;='01_Input'!$J$66,'01_Input'!$M$66,0),IF('01_Input'!$L$66="Palier",IF(AND(EH$20&gt;='01_Input'!$J$66,EH$20&lt;'01_Input'!$K$66),'01_Input'!$M$66,0),MAX(MIN(EH$20,'01_Input'!$K$66)-'01_Input'!$J$66,0)*'01_Input'!$M$66))+IF('01_Input'!$P$66="Forfait",IF(EH$20&gt;='01_Input'!$N$66,'01_Input'!$Q$66,0),IF('01_Input'!$P$66="Palier",IF(AND(EH$20&gt;='01_Input'!$N$66,EH$20&lt;'01_Input'!$O$66),'01_Input'!$Q$66,0),MAX(MIN(EH$20,'01_Input'!$O$66)-'01_Input'!$N$66,0)*'01_Input'!$Q$66))+IF('01_Input'!$T$66="Forfait",IF(EH$20&gt;='01_Input'!$R$66,'01_Input'!$U$66,0),IF('01_Input'!$T$66="Palier",IF(AND(EH$20&gt;='01_Input'!$R$66,EH$20&lt;'01_Input'!$S$66),'01_Input'!$U$66,0),MAX(MIN(EH$20,'01_Input'!$S$66)-'01_Input'!$R$66,0)*'01_Input'!$U$66))+IF('01_Input'!$X$66="Forfait",IF(EH$20&gt;='01_Input'!$V$66,'01_Input'!$Y$66,0),IF('01_Input'!$X$66="Palier",IF(AND(EH$20&gt;='01_Input'!$V$66,EH$20&lt;'01_Input'!$W$66),'01_Input'!$Y$66,0),MAX(MIN(EH$20,'01_Input'!$W$66)-'01_Input'!$V$66,0)*'01_Input'!$Y$66))+IF('01_Input'!$AB$66="Forfait",IF(EH$20&gt;='01_Input'!$Z$66,'01_Input'!$AC$66,0),IF('01_Input'!$AB$66="Palier",IF(AND(EH$20&gt;='01_Input'!$Z$66,EH$20&lt;'01_Input'!$AA$66),'01_Input'!$AC$66,0),MAX(MIN(EH$20,'01_Input'!$AA$66)-'01_Input'!$Z$66,0)*'01_Input'!$AC$66)))))))))</f>
        <v>0</v>
      </c>
      <c r="EI34" s="83">
        <f>IF('01_Input'!$C$66="Non",0,MIN('01_Input'!$I$66,MAX('01_Input'!$H$66,IF('01_Input'!$G$66="Résiduel vs Gestion",0,IF('01_Input'!$G$66="Taux Classe sélectionnée",Distrib_Global_Classe_Selectionnee*EI$20,IF('01_Input'!$G$66="Frais KYC (paliers de 100M€)",MAX(0,Nb_Investisseurs-Nb_KYC_Gratuites_Par_Tranche*(FLOOR(EI$20/Taille_Tranche_KYC,1)+1))*Cout_Par_KYC_Supplementaire,(IF('01_Input'!$L$66="Forfait",IF(EI$20&gt;='01_Input'!$J$66,'01_Input'!$M$66,0),IF('01_Input'!$L$66="Palier",IF(AND(EI$20&gt;='01_Input'!$J$66,EI$20&lt;'01_Input'!$K$66),'01_Input'!$M$66,0),MAX(MIN(EI$20,'01_Input'!$K$66)-'01_Input'!$J$66,0)*'01_Input'!$M$66))+IF('01_Input'!$P$66="Forfait",IF(EI$20&gt;='01_Input'!$N$66,'01_Input'!$Q$66,0),IF('01_Input'!$P$66="Palier",IF(AND(EI$20&gt;='01_Input'!$N$66,EI$20&lt;'01_Input'!$O$66),'01_Input'!$Q$66,0),MAX(MIN(EI$20,'01_Input'!$O$66)-'01_Input'!$N$66,0)*'01_Input'!$Q$66))+IF('01_Input'!$T$66="Forfait",IF(EI$20&gt;='01_Input'!$R$66,'01_Input'!$U$66,0),IF('01_Input'!$T$66="Palier",IF(AND(EI$20&gt;='01_Input'!$R$66,EI$20&lt;'01_Input'!$S$66),'01_Input'!$U$66,0),MAX(MIN(EI$20,'01_Input'!$S$66)-'01_Input'!$R$66,0)*'01_Input'!$U$66))+IF('01_Input'!$X$66="Forfait",IF(EI$20&gt;='01_Input'!$V$66,'01_Input'!$Y$66,0),IF('01_Input'!$X$66="Palier",IF(AND(EI$20&gt;='01_Input'!$V$66,EI$20&lt;'01_Input'!$W$66),'01_Input'!$Y$66,0),MAX(MIN(EI$20,'01_Input'!$W$66)-'01_Input'!$V$66,0)*'01_Input'!$Y$66))+IF('01_Input'!$AB$66="Forfait",IF(EI$20&gt;='01_Input'!$Z$66,'01_Input'!$AC$66,0),IF('01_Input'!$AB$66="Palier",IF(AND(EI$20&gt;='01_Input'!$Z$66,EI$20&lt;'01_Input'!$AA$66),'01_Input'!$AC$66,0),MAX(MIN(EI$20,'01_Input'!$AA$66)-'01_Input'!$Z$66,0)*'01_Input'!$AC$66)))))))))</f>
        <v>0</v>
      </c>
      <c r="EJ34" s="83">
        <f>IF('01_Input'!$C$66="Non",0,MIN('01_Input'!$I$66,MAX('01_Input'!$H$66,IF('01_Input'!$G$66="Résiduel vs Gestion",0,IF('01_Input'!$G$66="Taux Classe sélectionnée",Distrib_Global_Classe_Selectionnee*EJ$20,IF('01_Input'!$G$66="Frais KYC (paliers de 100M€)",MAX(0,Nb_Investisseurs-Nb_KYC_Gratuites_Par_Tranche*(FLOOR(EJ$20/Taille_Tranche_KYC,1)+1))*Cout_Par_KYC_Supplementaire,(IF('01_Input'!$L$66="Forfait",IF(EJ$20&gt;='01_Input'!$J$66,'01_Input'!$M$66,0),IF('01_Input'!$L$66="Palier",IF(AND(EJ$20&gt;='01_Input'!$J$66,EJ$20&lt;'01_Input'!$K$66),'01_Input'!$M$66,0),MAX(MIN(EJ$20,'01_Input'!$K$66)-'01_Input'!$J$66,0)*'01_Input'!$M$66))+IF('01_Input'!$P$66="Forfait",IF(EJ$20&gt;='01_Input'!$N$66,'01_Input'!$Q$66,0),IF('01_Input'!$P$66="Palier",IF(AND(EJ$20&gt;='01_Input'!$N$66,EJ$20&lt;'01_Input'!$O$66),'01_Input'!$Q$66,0),MAX(MIN(EJ$20,'01_Input'!$O$66)-'01_Input'!$N$66,0)*'01_Input'!$Q$66))+IF('01_Input'!$T$66="Forfait",IF(EJ$20&gt;='01_Input'!$R$66,'01_Input'!$U$66,0),IF('01_Input'!$T$66="Palier",IF(AND(EJ$20&gt;='01_Input'!$R$66,EJ$20&lt;'01_Input'!$S$66),'01_Input'!$U$66,0),MAX(MIN(EJ$20,'01_Input'!$S$66)-'01_Input'!$R$66,0)*'01_Input'!$U$66))+IF('01_Input'!$X$66="Forfait",IF(EJ$20&gt;='01_Input'!$V$66,'01_Input'!$Y$66,0),IF('01_Input'!$X$66="Palier",IF(AND(EJ$20&gt;='01_Input'!$V$66,EJ$20&lt;'01_Input'!$W$66),'01_Input'!$Y$66,0),MAX(MIN(EJ$20,'01_Input'!$W$66)-'01_Input'!$V$66,0)*'01_Input'!$Y$66))+IF('01_Input'!$AB$66="Forfait",IF(EJ$20&gt;='01_Input'!$Z$66,'01_Input'!$AC$66,0),IF('01_Input'!$AB$66="Palier",IF(AND(EJ$20&gt;='01_Input'!$Z$66,EJ$20&lt;'01_Input'!$AA$66),'01_Input'!$AC$66,0),MAX(MIN(EJ$20,'01_Input'!$AA$66)-'01_Input'!$Z$66,0)*'01_Input'!$AC$66)))))))))</f>
        <v>0</v>
      </c>
      <c r="EK34" s="83">
        <f>IF('01_Input'!$C$66="Non",0,MIN('01_Input'!$I$66,MAX('01_Input'!$H$66,IF('01_Input'!$G$66="Résiduel vs Gestion",0,IF('01_Input'!$G$66="Taux Classe sélectionnée",Distrib_Global_Classe_Selectionnee*EK$20,IF('01_Input'!$G$66="Frais KYC (paliers de 100M€)",MAX(0,Nb_Investisseurs-Nb_KYC_Gratuites_Par_Tranche*(FLOOR(EK$20/Taille_Tranche_KYC,1)+1))*Cout_Par_KYC_Supplementaire,(IF('01_Input'!$L$66="Forfait",IF(EK$20&gt;='01_Input'!$J$66,'01_Input'!$M$66,0),IF('01_Input'!$L$66="Palier",IF(AND(EK$20&gt;='01_Input'!$J$66,EK$20&lt;'01_Input'!$K$66),'01_Input'!$M$66,0),MAX(MIN(EK$20,'01_Input'!$K$66)-'01_Input'!$J$66,0)*'01_Input'!$M$66))+IF('01_Input'!$P$66="Forfait",IF(EK$20&gt;='01_Input'!$N$66,'01_Input'!$Q$66,0),IF('01_Input'!$P$66="Palier",IF(AND(EK$20&gt;='01_Input'!$N$66,EK$20&lt;'01_Input'!$O$66),'01_Input'!$Q$66,0),MAX(MIN(EK$20,'01_Input'!$O$66)-'01_Input'!$N$66,0)*'01_Input'!$Q$66))+IF('01_Input'!$T$66="Forfait",IF(EK$20&gt;='01_Input'!$R$66,'01_Input'!$U$66,0),IF('01_Input'!$T$66="Palier",IF(AND(EK$20&gt;='01_Input'!$R$66,EK$20&lt;'01_Input'!$S$66),'01_Input'!$U$66,0),MAX(MIN(EK$20,'01_Input'!$S$66)-'01_Input'!$R$66,0)*'01_Input'!$U$66))+IF('01_Input'!$X$66="Forfait",IF(EK$20&gt;='01_Input'!$V$66,'01_Input'!$Y$66,0),IF('01_Input'!$X$66="Palier",IF(AND(EK$20&gt;='01_Input'!$V$66,EK$20&lt;'01_Input'!$W$66),'01_Input'!$Y$66,0),MAX(MIN(EK$20,'01_Input'!$W$66)-'01_Input'!$V$66,0)*'01_Input'!$Y$66))+IF('01_Input'!$AB$66="Forfait",IF(EK$20&gt;='01_Input'!$Z$66,'01_Input'!$AC$66,0),IF('01_Input'!$AB$66="Palier",IF(AND(EK$20&gt;='01_Input'!$Z$66,EK$20&lt;'01_Input'!$AA$66),'01_Input'!$AC$66,0),MAX(MIN(EK$20,'01_Input'!$AA$66)-'01_Input'!$Z$66,0)*'01_Input'!$AC$66)))))))))</f>
        <v>0</v>
      </c>
      <c r="EL34" s="83">
        <f>IF('01_Input'!$C$66="Non",0,MIN('01_Input'!$I$66,MAX('01_Input'!$H$66,IF('01_Input'!$G$66="Résiduel vs Gestion",0,IF('01_Input'!$G$66="Taux Classe sélectionnée",Distrib_Global_Classe_Selectionnee*EL$20,IF('01_Input'!$G$66="Frais KYC (paliers de 100M€)",MAX(0,Nb_Investisseurs-Nb_KYC_Gratuites_Par_Tranche*(FLOOR(EL$20/Taille_Tranche_KYC,1)+1))*Cout_Par_KYC_Supplementaire,(IF('01_Input'!$L$66="Forfait",IF(EL$20&gt;='01_Input'!$J$66,'01_Input'!$M$66,0),IF('01_Input'!$L$66="Palier",IF(AND(EL$20&gt;='01_Input'!$J$66,EL$20&lt;'01_Input'!$K$66),'01_Input'!$M$66,0),MAX(MIN(EL$20,'01_Input'!$K$66)-'01_Input'!$J$66,0)*'01_Input'!$M$66))+IF('01_Input'!$P$66="Forfait",IF(EL$20&gt;='01_Input'!$N$66,'01_Input'!$Q$66,0),IF('01_Input'!$P$66="Palier",IF(AND(EL$20&gt;='01_Input'!$N$66,EL$20&lt;'01_Input'!$O$66),'01_Input'!$Q$66,0),MAX(MIN(EL$20,'01_Input'!$O$66)-'01_Input'!$N$66,0)*'01_Input'!$Q$66))+IF('01_Input'!$T$66="Forfait",IF(EL$20&gt;='01_Input'!$R$66,'01_Input'!$U$66,0),IF('01_Input'!$T$66="Palier",IF(AND(EL$20&gt;='01_Input'!$R$66,EL$20&lt;'01_Input'!$S$66),'01_Input'!$U$66,0),MAX(MIN(EL$20,'01_Input'!$S$66)-'01_Input'!$R$66,0)*'01_Input'!$U$66))+IF('01_Input'!$X$66="Forfait",IF(EL$20&gt;='01_Input'!$V$66,'01_Input'!$Y$66,0),IF('01_Input'!$X$66="Palier",IF(AND(EL$20&gt;='01_Input'!$V$66,EL$20&lt;'01_Input'!$W$66),'01_Input'!$Y$66,0),MAX(MIN(EL$20,'01_Input'!$W$66)-'01_Input'!$V$66,0)*'01_Input'!$Y$66))+IF('01_Input'!$AB$66="Forfait",IF(EL$20&gt;='01_Input'!$Z$66,'01_Input'!$AC$66,0),IF('01_Input'!$AB$66="Palier",IF(AND(EL$20&gt;='01_Input'!$Z$66,EL$20&lt;'01_Input'!$AA$66),'01_Input'!$AC$66,0),MAX(MIN(EL$20,'01_Input'!$AA$66)-'01_Input'!$Z$66,0)*'01_Input'!$AC$66)))))))))</f>
        <v>0</v>
      </c>
      <c r="EM34" s="83">
        <f>IF('01_Input'!$C$66="Non",0,MIN('01_Input'!$I$66,MAX('01_Input'!$H$66,IF('01_Input'!$G$66="Résiduel vs Gestion",0,IF('01_Input'!$G$66="Taux Classe sélectionnée",Distrib_Global_Classe_Selectionnee*EM$20,IF('01_Input'!$G$66="Frais KYC (paliers de 100M€)",MAX(0,Nb_Investisseurs-Nb_KYC_Gratuites_Par_Tranche*(FLOOR(EM$20/Taille_Tranche_KYC,1)+1))*Cout_Par_KYC_Supplementaire,(IF('01_Input'!$L$66="Forfait",IF(EM$20&gt;='01_Input'!$J$66,'01_Input'!$M$66,0),IF('01_Input'!$L$66="Palier",IF(AND(EM$20&gt;='01_Input'!$J$66,EM$20&lt;'01_Input'!$K$66),'01_Input'!$M$66,0),MAX(MIN(EM$20,'01_Input'!$K$66)-'01_Input'!$J$66,0)*'01_Input'!$M$66))+IF('01_Input'!$P$66="Forfait",IF(EM$20&gt;='01_Input'!$N$66,'01_Input'!$Q$66,0),IF('01_Input'!$P$66="Palier",IF(AND(EM$20&gt;='01_Input'!$N$66,EM$20&lt;'01_Input'!$O$66),'01_Input'!$Q$66,0),MAX(MIN(EM$20,'01_Input'!$O$66)-'01_Input'!$N$66,0)*'01_Input'!$Q$66))+IF('01_Input'!$T$66="Forfait",IF(EM$20&gt;='01_Input'!$R$66,'01_Input'!$U$66,0),IF('01_Input'!$T$66="Palier",IF(AND(EM$20&gt;='01_Input'!$R$66,EM$20&lt;'01_Input'!$S$66),'01_Input'!$U$66,0),MAX(MIN(EM$20,'01_Input'!$S$66)-'01_Input'!$R$66,0)*'01_Input'!$U$66))+IF('01_Input'!$X$66="Forfait",IF(EM$20&gt;='01_Input'!$V$66,'01_Input'!$Y$66,0),IF('01_Input'!$X$66="Palier",IF(AND(EM$20&gt;='01_Input'!$V$66,EM$20&lt;'01_Input'!$W$66),'01_Input'!$Y$66,0),MAX(MIN(EM$20,'01_Input'!$W$66)-'01_Input'!$V$66,0)*'01_Input'!$Y$66))+IF('01_Input'!$AB$66="Forfait",IF(EM$20&gt;='01_Input'!$Z$66,'01_Input'!$AC$66,0),IF('01_Input'!$AB$66="Palier",IF(AND(EM$20&gt;='01_Input'!$Z$66,EM$20&lt;'01_Input'!$AA$66),'01_Input'!$AC$66,0),MAX(MIN(EM$20,'01_Input'!$AA$66)-'01_Input'!$Z$66,0)*'01_Input'!$AC$66)))))))))</f>
        <v>0</v>
      </c>
      <c r="EN34" s="83">
        <f>IF('01_Input'!$C$66="Non",0,MIN('01_Input'!$I$66,MAX('01_Input'!$H$66,IF('01_Input'!$G$66="Résiduel vs Gestion",0,IF('01_Input'!$G$66="Taux Classe sélectionnée",Distrib_Global_Classe_Selectionnee*EN$20,IF('01_Input'!$G$66="Frais KYC (paliers de 100M€)",MAX(0,Nb_Investisseurs-Nb_KYC_Gratuites_Par_Tranche*(FLOOR(EN$20/Taille_Tranche_KYC,1)+1))*Cout_Par_KYC_Supplementaire,(IF('01_Input'!$L$66="Forfait",IF(EN$20&gt;='01_Input'!$J$66,'01_Input'!$M$66,0),IF('01_Input'!$L$66="Palier",IF(AND(EN$20&gt;='01_Input'!$J$66,EN$20&lt;'01_Input'!$K$66),'01_Input'!$M$66,0),MAX(MIN(EN$20,'01_Input'!$K$66)-'01_Input'!$J$66,0)*'01_Input'!$M$66))+IF('01_Input'!$P$66="Forfait",IF(EN$20&gt;='01_Input'!$N$66,'01_Input'!$Q$66,0),IF('01_Input'!$P$66="Palier",IF(AND(EN$20&gt;='01_Input'!$N$66,EN$20&lt;'01_Input'!$O$66),'01_Input'!$Q$66,0),MAX(MIN(EN$20,'01_Input'!$O$66)-'01_Input'!$N$66,0)*'01_Input'!$Q$66))+IF('01_Input'!$T$66="Forfait",IF(EN$20&gt;='01_Input'!$R$66,'01_Input'!$U$66,0),IF('01_Input'!$T$66="Palier",IF(AND(EN$20&gt;='01_Input'!$R$66,EN$20&lt;'01_Input'!$S$66),'01_Input'!$U$66,0),MAX(MIN(EN$20,'01_Input'!$S$66)-'01_Input'!$R$66,0)*'01_Input'!$U$66))+IF('01_Input'!$X$66="Forfait",IF(EN$20&gt;='01_Input'!$V$66,'01_Input'!$Y$66,0),IF('01_Input'!$X$66="Palier",IF(AND(EN$20&gt;='01_Input'!$V$66,EN$20&lt;'01_Input'!$W$66),'01_Input'!$Y$66,0),MAX(MIN(EN$20,'01_Input'!$W$66)-'01_Input'!$V$66,0)*'01_Input'!$Y$66))+IF('01_Input'!$AB$66="Forfait",IF(EN$20&gt;='01_Input'!$Z$66,'01_Input'!$AC$66,0),IF('01_Input'!$AB$66="Palier",IF(AND(EN$20&gt;='01_Input'!$Z$66,EN$20&lt;'01_Input'!$AA$66),'01_Input'!$AC$66,0),MAX(MIN(EN$20,'01_Input'!$AA$66)-'01_Input'!$Z$66,0)*'01_Input'!$AC$66)))))))))</f>
        <v>0</v>
      </c>
      <c r="EO34" s="83">
        <f>IF('01_Input'!$C$66="Non",0,MIN('01_Input'!$I$66,MAX('01_Input'!$H$66,IF('01_Input'!$G$66="Résiduel vs Gestion",0,IF('01_Input'!$G$66="Taux Classe sélectionnée",Distrib_Global_Classe_Selectionnee*EO$20,IF('01_Input'!$G$66="Frais KYC (paliers de 100M€)",MAX(0,Nb_Investisseurs-Nb_KYC_Gratuites_Par_Tranche*(FLOOR(EO$20/Taille_Tranche_KYC,1)+1))*Cout_Par_KYC_Supplementaire,(IF('01_Input'!$L$66="Forfait",IF(EO$20&gt;='01_Input'!$J$66,'01_Input'!$M$66,0),IF('01_Input'!$L$66="Palier",IF(AND(EO$20&gt;='01_Input'!$J$66,EO$20&lt;'01_Input'!$K$66),'01_Input'!$M$66,0),MAX(MIN(EO$20,'01_Input'!$K$66)-'01_Input'!$J$66,0)*'01_Input'!$M$66))+IF('01_Input'!$P$66="Forfait",IF(EO$20&gt;='01_Input'!$N$66,'01_Input'!$Q$66,0),IF('01_Input'!$P$66="Palier",IF(AND(EO$20&gt;='01_Input'!$N$66,EO$20&lt;'01_Input'!$O$66),'01_Input'!$Q$66,0),MAX(MIN(EO$20,'01_Input'!$O$66)-'01_Input'!$N$66,0)*'01_Input'!$Q$66))+IF('01_Input'!$T$66="Forfait",IF(EO$20&gt;='01_Input'!$R$66,'01_Input'!$U$66,0),IF('01_Input'!$T$66="Palier",IF(AND(EO$20&gt;='01_Input'!$R$66,EO$20&lt;'01_Input'!$S$66),'01_Input'!$U$66,0),MAX(MIN(EO$20,'01_Input'!$S$66)-'01_Input'!$R$66,0)*'01_Input'!$U$66))+IF('01_Input'!$X$66="Forfait",IF(EO$20&gt;='01_Input'!$V$66,'01_Input'!$Y$66,0),IF('01_Input'!$X$66="Palier",IF(AND(EO$20&gt;='01_Input'!$V$66,EO$20&lt;'01_Input'!$W$66),'01_Input'!$Y$66,0),MAX(MIN(EO$20,'01_Input'!$W$66)-'01_Input'!$V$66,0)*'01_Input'!$Y$66))+IF('01_Input'!$AB$66="Forfait",IF(EO$20&gt;='01_Input'!$Z$66,'01_Input'!$AC$66,0),IF('01_Input'!$AB$66="Palier",IF(AND(EO$20&gt;='01_Input'!$Z$66,EO$20&lt;'01_Input'!$AA$66),'01_Input'!$AC$66,0),MAX(MIN(EO$20,'01_Input'!$AA$66)-'01_Input'!$Z$66,0)*'01_Input'!$AC$66)))))))))</f>
        <v>0</v>
      </c>
      <c r="EP34" s="83">
        <f>IF('01_Input'!$C$66="Non",0,MIN('01_Input'!$I$66,MAX('01_Input'!$H$66,IF('01_Input'!$G$66="Résiduel vs Gestion",0,IF('01_Input'!$G$66="Taux Classe sélectionnée",Distrib_Global_Classe_Selectionnee*EP$20,IF('01_Input'!$G$66="Frais KYC (paliers de 100M€)",MAX(0,Nb_Investisseurs-Nb_KYC_Gratuites_Par_Tranche*(FLOOR(EP$20/Taille_Tranche_KYC,1)+1))*Cout_Par_KYC_Supplementaire,(IF('01_Input'!$L$66="Forfait",IF(EP$20&gt;='01_Input'!$J$66,'01_Input'!$M$66,0),IF('01_Input'!$L$66="Palier",IF(AND(EP$20&gt;='01_Input'!$J$66,EP$20&lt;'01_Input'!$K$66),'01_Input'!$M$66,0),MAX(MIN(EP$20,'01_Input'!$K$66)-'01_Input'!$J$66,0)*'01_Input'!$M$66))+IF('01_Input'!$P$66="Forfait",IF(EP$20&gt;='01_Input'!$N$66,'01_Input'!$Q$66,0),IF('01_Input'!$P$66="Palier",IF(AND(EP$20&gt;='01_Input'!$N$66,EP$20&lt;'01_Input'!$O$66),'01_Input'!$Q$66,0),MAX(MIN(EP$20,'01_Input'!$O$66)-'01_Input'!$N$66,0)*'01_Input'!$Q$66))+IF('01_Input'!$T$66="Forfait",IF(EP$20&gt;='01_Input'!$R$66,'01_Input'!$U$66,0),IF('01_Input'!$T$66="Palier",IF(AND(EP$20&gt;='01_Input'!$R$66,EP$20&lt;'01_Input'!$S$66),'01_Input'!$U$66,0),MAX(MIN(EP$20,'01_Input'!$S$66)-'01_Input'!$R$66,0)*'01_Input'!$U$66))+IF('01_Input'!$X$66="Forfait",IF(EP$20&gt;='01_Input'!$V$66,'01_Input'!$Y$66,0),IF('01_Input'!$X$66="Palier",IF(AND(EP$20&gt;='01_Input'!$V$66,EP$20&lt;'01_Input'!$W$66),'01_Input'!$Y$66,0),MAX(MIN(EP$20,'01_Input'!$W$66)-'01_Input'!$V$66,0)*'01_Input'!$Y$66))+IF('01_Input'!$AB$66="Forfait",IF(EP$20&gt;='01_Input'!$Z$66,'01_Input'!$AC$66,0),IF('01_Input'!$AB$66="Palier",IF(AND(EP$20&gt;='01_Input'!$Z$66,EP$20&lt;'01_Input'!$AA$66),'01_Input'!$AC$66,0),MAX(MIN(EP$20,'01_Input'!$AA$66)-'01_Input'!$Z$66,0)*'01_Input'!$AC$66)))))))))</f>
        <v>0</v>
      </c>
      <c r="EQ34" s="83">
        <f>IF('01_Input'!$C$66="Non",0,MIN('01_Input'!$I$66,MAX('01_Input'!$H$66,IF('01_Input'!$G$66="Résiduel vs Gestion",0,IF('01_Input'!$G$66="Taux Classe sélectionnée",Distrib_Global_Classe_Selectionnee*EQ$20,IF('01_Input'!$G$66="Frais KYC (paliers de 100M€)",MAX(0,Nb_Investisseurs-Nb_KYC_Gratuites_Par_Tranche*(FLOOR(EQ$20/Taille_Tranche_KYC,1)+1))*Cout_Par_KYC_Supplementaire,(IF('01_Input'!$L$66="Forfait",IF(EQ$20&gt;='01_Input'!$J$66,'01_Input'!$M$66,0),IF('01_Input'!$L$66="Palier",IF(AND(EQ$20&gt;='01_Input'!$J$66,EQ$20&lt;'01_Input'!$K$66),'01_Input'!$M$66,0),MAX(MIN(EQ$20,'01_Input'!$K$66)-'01_Input'!$J$66,0)*'01_Input'!$M$66))+IF('01_Input'!$P$66="Forfait",IF(EQ$20&gt;='01_Input'!$N$66,'01_Input'!$Q$66,0),IF('01_Input'!$P$66="Palier",IF(AND(EQ$20&gt;='01_Input'!$N$66,EQ$20&lt;'01_Input'!$O$66),'01_Input'!$Q$66,0),MAX(MIN(EQ$20,'01_Input'!$O$66)-'01_Input'!$N$66,0)*'01_Input'!$Q$66))+IF('01_Input'!$T$66="Forfait",IF(EQ$20&gt;='01_Input'!$R$66,'01_Input'!$U$66,0),IF('01_Input'!$T$66="Palier",IF(AND(EQ$20&gt;='01_Input'!$R$66,EQ$20&lt;'01_Input'!$S$66),'01_Input'!$U$66,0),MAX(MIN(EQ$20,'01_Input'!$S$66)-'01_Input'!$R$66,0)*'01_Input'!$U$66))+IF('01_Input'!$X$66="Forfait",IF(EQ$20&gt;='01_Input'!$V$66,'01_Input'!$Y$66,0),IF('01_Input'!$X$66="Palier",IF(AND(EQ$20&gt;='01_Input'!$V$66,EQ$20&lt;'01_Input'!$W$66),'01_Input'!$Y$66,0),MAX(MIN(EQ$20,'01_Input'!$W$66)-'01_Input'!$V$66,0)*'01_Input'!$Y$66))+IF('01_Input'!$AB$66="Forfait",IF(EQ$20&gt;='01_Input'!$Z$66,'01_Input'!$AC$66,0),IF('01_Input'!$AB$66="Palier",IF(AND(EQ$20&gt;='01_Input'!$Z$66,EQ$20&lt;'01_Input'!$AA$66),'01_Input'!$AC$66,0),MAX(MIN(EQ$20,'01_Input'!$AA$66)-'01_Input'!$Z$66,0)*'01_Input'!$AC$66)))))))))</f>
        <v>0</v>
      </c>
      <c r="ER34" s="83">
        <f>IF('01_Input'!$C$66="Non",0,MIN('01_Input'!$I$66,MAX('01_Input'!$H$66,IF('01_Input'!$G$66="Résiduel vs Gestion",0,IF('01_Input'!$G$66="Taux Classe sélectionnée",Distrib_Global_Classe_Selectionnee*ER$20,IF('01_Input'!$G$66="Frais KYC (paliers de 100M€)",MAX(0,Nb_Investisseurs-Nb_KYC_Gratuites_Par_Tranche*(FLOOR(ER$20/Taille_Tranche_KYC,1)+1))*Cout_Par_KYC_Supplementaire,(IF('01_Input'!$L$66="Forfait",IF(ER$20&gt;='01_Input'!$J$66,'01_Input'!$M$66,0),IF('01_Input'!$L$66="Palier",IF(AND(ER$20&gt;='01_Input'!$J$66,ER$20&lt;'01_Input'!$K$66),'01_Input'!$M$66,0),MAX(MIN(ER$20,'01_Input'!$K$66)-'01_Input'!$J$66,0)*'01_Input'!$M$66))+IF('01_Input'!$P$66="Forfait",IF(ER$20&gt;='01_Input'!$N$66,'01_Input'!$Q$66,0),IF('01_Input'!$P$66="Palier",IF(AND(ER$20&gt;='01_Input'!$N$66,ER$20&lt;'01_Input'!$O$66),'01_Input'!$Q$66,0),MAX(MIN(ER$20,'01_Input'!$O$66)-'01_Input'!$N$66,0)*'01_Input'!$Q$66))+IF('01_Input'!$T$66="Forfait",IF(ER$20&gt;='01_Input'!$R$66,'01_Input'!$U$66,0),IF('01_Input'!$T$66="Palier",IF(AND(ER$20&gt;='01_Input'!$R$66,ER$20&lt;'01_Input'!$S$66),'01_Input'!$U$66,0),MAX(MIN(ER$20,'01_Input'!$S$66)-'01_Input'!$R$66,0)*'01_Input'!$U$66))+IF('01_Input'!$X$66="Forfait",IF(ER$20&gt;='01_Input'!$V$66,'01_Input'!$Y$66,0),IF('01_Input'!$X$66="Palier",IF(AND(ER$20&gt;='01_Input'!$V$66,ER$20&lt;'01_Input'!$W$66),'01_Input'!$Y$66,0),MAX(MIN(ER$20,'01_Input'!$W$66)-'01_Input'!$V$66,0)*'01_Input'!$Y$66))+IF('01_Input'!$AB$66="Forfait",IF(ER$20&gt;='01_Input'!$Z$66,'01_Input'!$AC$66,0),IF('01_Input'!$AB$66="Palier",IF(AND(ER$20&gt;='01_Input'!$Z$66,ER$20&lt;'01_Input'!$AA$66),'01_Input'!$AC$66,0),MAX(MIN(ER$20,'01_Input'!$AA$66)-'01_Input'!$Z$66,0)*'01_Input'!$AC$66)))))))))</f>
        <v>0</v>
      </c>
      <c r="ES34" s="83">
        <f>IF('01_Input'!$C$66="Non",0,MIN('01_Input'!$I$66,MAX('01_Input'!$H$66,IF('01_Input'!$G$66="Résiduel vs Gestion",0,IF('01_Input'!$G$66="Taux Classe sélectionnée",Distrib_Global_Classe_Selectionnee*ES$20,IF('01_Input'!$G$66="Frais KYC (paliers de 100M€)",MAX(0,Nb_Investisseurs-Nb_KYC_Gratuites_Par_Tranche*(FLOOR(ES$20/Taille_Tranche_KYC,1)+1))*Cout_Par_KYC_Supplementaire,(IF('01_Input'!$L$66="Forfait",IF(ES$20&gt;='01_Input'!$J$66,'01_Input'!$M$66,0),IF('01_Input'!$L$66="Palier",IF(AND(ES$20&gt;='01_Input'!$J$66,ES$20&lt;'01_Input'!$K$66),'01_Input'!$M$66,0),MAX(MIN(ES$20,'01_Input'!$K$66)-'01_Input'!$J$66,0)*'01_Input'!$M$66))+IF('01_Input'!$P$66="Forfait",IF(ES$20&gt;='01_Input'!$N$66,'01_Input'!$Q$66,0),IF('01_Input'!$P$66="Palier",IF(AND(ES$20&gt;='01_Input'!$N$66,ES$20&lt;'01_Input'!$O$66),'01_Input'!$Q$66,0),MAX(MIN(ES$20,'01_Input'!$O$66)-'01_Input'!$N$66,0)*'01_Input'!$Q$66))+IF('01_Input'!$T$66="Forfait",IF(ES$20&gt;='01_Input'!$R$66,'01_Input'!$U$66,0),IF('01_Input'!$T$66="Palier",IF(AND(ES$20&gt;='01_Input'!$R$66,ES$20&lt;'01_Input'!$S$66),'01_Input'!$U$66,0),MAX(MIN(ES$20,'01_Input'!$S$66)-'01_Input'!$R$66,0)*'01_Input'!$U$66))+IF('01_Input'!$X$66="Forfait",IF(ES$20&gt;='01_Input'!$V$66,'01_Input'!$Y$66,0),IF('01_Input'!$X$66="Palier",IF(AND(ES$20&gt;='01_Input'!$V$66,ES$20&lt;'01_Input'!$W$66),'01_Input'!$Y$66,0),MAX(MIN(ES$20,'01_Input'!$W$66)-'01_Input'!$V$66,0)*'01_Input'!$Y$66))+IF('01_Input'!$AB$66="Forfait",IF(ES$20&gt;='01_Input'!$Z$66,'01_Input'!$AC$66,0),IF('01_Input'!$AB$66="Palier",IF(AND(ES$20&gt;='01_Input'!$Z$66,ES$20&lt;'01_Input'!$AA$66),'01_Input'!$AC$66,0),MAX(MIN(ES$20,'01_Input'!$AA$66)-'01_Input'!$Z$66,0)*'01_Input'!$AC$66)))))))))</f>
        <v>0</v>
      </c>
      <c r="ET34" s="83">
        <f>IF('01_Input'!$C$66="Non",0,MIN('01_Input'!$I$66,MAX('01_Input'!$H$66,IF('01_Input'!$G$66="Résiduel vs Gestion",0,IF('01_Input'!$G$66="Taux Classe sélectionnée",Distrib_Global_Classe_Selectionnee*ET$20,IF('01_Input'!$G$66="Frais KYC (paliers de 100M€)",MAX(0,Nb_Investisseurs-Nb_KYC_Gratuites_Par_Tranche*(FLOOR(ET$20/Taille_Tranche_KYC,1)+1))*Cout_Par_KYC_Supplementaire,(IF('01_Input'!$L$66="Forfait",IF(ET$20&gt;='01_Input'!$J$66,'01_Input'!$M$66,0),IF('01_Input'!$L$66="Palier",IF(AND(ET$20&gt;='01_Input'!$J$66,ET$20&lt;'01_Input'!$K$66),'01_Input'!$M$66,0),MAX(MIN(ET$20,'01_Input'!$K$66)-'01_Input'!$J$66,0)*'01_Input'!$M$66))+IF('01_Input'!$P$66="Forfait",IF(ET$20&gt;='01_Input'!$N$66,'01_Input'!$Q$66,0),IF('01_Input'!$P$66="Palier",IF(AND(ET$20&gt;='01_Input'!$N$66,ET$20&lt;'01_Input'!$O$66),'01_Input'!$Q$66,0),MAX(MIN(ET$20,'01_Input'!$O$66)-'01_Input'!$N$66,0)*'01_Input'!$Q$66))+IF('01_Input'!$T$66="Forfait",IF(ET$20&gt;='01_Input'!$R$66,'01_Input'!$U$66,0),IF('01_Input'!$T$66="Palier",IF(AND(ET$20&gt;='01_Input'!$R$66,ET$20&lt;'01_Input'!$S$66),'01_Input'!$U$66,0),MAX(MIN(ET$20,'01_Input'!$S$66)-'01_Input'!$R$66,0)*'01_Input'!$U$66))+IF('01_Input'!$X$66="Forfait",IF(ET$20&gt;='01_Input'!$V$66,'01_Input'!$Y$66,0),IF('01_Input'!$X$66="Palier",IF(AND(ET$20&gt;='01_Input'!$V$66,ET$20&lt;'01_Input'!$W$66),'01_Input'!$Y$66,0),MAX(MIN(ET$20,'01_Input'!$W$66)-'01_Input'!$V$66,0)*'01_Input'!$Y$66))+IF('01_Input'!$AB$66="Forfait",IF(ET$20&gt;='01_Input'!$Z$66,'01_Input'!$AC$66,0),IF('01_Input'!$AB$66="Palier",IF(AND(ET$20&gt;='01_Input'!$Z$66,ET$20&lt;'01_Input'!$AA$66),'01_Input'!$AC$66,0),MAX(MIN(ET$20,'01_Input'!$AA$66)-'01_Input'!$Z$66,0)*'01_Input'!$AC$66)))))))))</f>
        <v>0</v>
      </c>
      <c r="EU34" s="83">
        <f>IF('01_Input'!$C$66="Non",0,MIN('01_Input'!$I$66,MAX('01_Input'!$H$66,IF('01_Input'!$G$66="Résiduel vs Gestion",0,IF('01_Input'!$G$66="Taux Classe sélectionnée",Distrib_Global_Classe_Selectionnee*EU$20,IF('01_Input'!$G$66="Frais KYC (paliers de 100M€)",MAX(0,Nb_Investisseurs-Nb_KYC_Gratuites_Par_Tranche*(FLOOR(EU$20/Taille_Tranche_KYC,1)+1))*Cout_Par_KYC_Supplementaire,(IF('01_Input'!$L$66="Forfait",IF(EU$20&gt;='01_Input'!$J$66,'01_Input'!$M$66,0),IF('01_Input'!$L$66="Palier",IF(AND(EU$20&gt;='01_Input'!$J$66,EU$20&lt;'01_Input'!$K$66),'01_Input'!$M$66,0),MAX(MIN(EU$20,'01_Input'!$K$66)-'01_Input'!$J$66,0)*'01_Input'!$M$66))+IF('01_Input'!$P$66="Forfait",IF(EU$20&gt;='01_Input'!$N$66,'01_Input'!$Q$66,0),IF('01_Input'!$P$66="Palier",IF(AND(EU$20&gt;='01_Input'!$N$66,EU$20&lt;'01_Input'!$O$66),'01_Input'!$Q$66,0),MAX(MIN(EU$20,'01_Input'!$O$66)-'01_Input'!$N$66,0)*'01_Input'!$Q$66))+IF('01_Input'!$T$66="Forfait",IF(EU$20&gt;='01_Input'!$R$66,'01_Input'!$U$66,0),IF('01_Input'!$T$66="Palier",IF(AND(EU$20&gt;='01_Input'!$R$66,EU$20&lt;'01_Input'!$S$66),'01_Input'!$U$66,0),MAX(MIN(EU$20,'01_Input'!$S$66)-'01_Input'!$R$66,0)*'01_Input'!$U$66))+IF('01_Input'!$X$66="Forfait",IF(EU$20&gt;='01_Input'!$V$66,'01_Input'!$Y$66,0),IF('01_Input'!$X$66="Palier",IF(AND(EU$20&gt;='01_Input'!$V$66,EU$20&lt;'01_Input'!$W$66),'01_Input'!$Y$66,0),MAX(MIN(EU$20,'01_Input'!$W$66)-'01_Input'!$V$66,0)*'01_Input'!$Y$66))+IF('01_Input'!$AB$66="Forfait",IF(EU$20&gt;='01_Input'!$Z$66,'01_Input'!$AC$66,0),IF('01_Input'!$AB$66="Palier",IF(AND(EU$20&gt;='01_Input'!$Z$66,EU$20&lt;'01_Input'!$AA$66),'01_Input'!$AC$66,0),MAX(MIN(EU$20,'01_Input'!$AA$66)-'01_Input'!$Z$66,0)*'01_Input'!$AC$66)))))))))</f>
        <v>0</v>
      </c>
      <c r="EV34" s="83">
        <f>IF('01_Input'!$C$66="Non",0,MIN('01_Input'!$I$66,MAX('01_Input'!$H$66,IF('01_Input'!$G$66="Résiduel vs Gestion",0,IF('01_Input'!$G$66="Taux Classe sélectionnée",Distrib_Global_Classe_Selectionnee*EV$20,IF('01_Input'!$G$66="Frais KYC (paliers de 100M€)",MAX(0,Nb_Investisseurs-Nb_KYC_Gratuites_Par_Tranche*(FLOOR(EV$20/Taille_Tranche_KYC,1)+1))*Cout_Par_KYC_Supplementaire,(IF('01_Input'!$L$66="Forfait",IF(EV$20&gt;='01_Input'!$J$66,'01_Input'!$M$66,0),IF('01_Input'!$L$66="Palier",IF(AND(EV$20&gt;='01_Input'!$J$66,EV$20&lt;'01_Input'!$K$66),'01_Input'!$M$66,0),MAX(MIN(EV$20,'01_Input'!$K$66)-'01_Input'!$J$66,0)*'01_Input'!$M$66))+IF('01_Input'!$P$66="Forfait",IF(EV$20&gt;='01_Input'!$N$66,'01_Input'!$Q$66,0),IF('01_Input'!$P$66="Palier",IF(AND(EV$20&gt;='01_Input'!$N$66,EV$20&lt;'01_Input'!$O$66),'01_Input'!$Q$66,0),MAX(MIN(EV$20,'01_Input'!$O$66)-'01_Input'!$N$66,0)*'01_Input'!$Q$66))+IF('01_Input'!$T$66="Forfait",IF(EV$20&gt;='01_Input'!$R$66,'01_Input'!$U$66,0),IF('01_Input'!$T$66="Palier",IF(AND(EV$20&gt;='01_Input'!$R$66,EV$20&lt;'01_Input'!$S$66),'01_Input'!$U$66,0),MAX(MIN(EV$20,'01_Input'!$S$66)-'01_Input'!$R$66,0)*'01_Input'!$U$66))+IF('01_Input'!$X$66="Forfait",IF(EV$20&gt;='01_Input'!$V$66,'01_Input'!$Y$66,0),IF('01_Input'!$X$66="Palier",IF(AND(EV$20&gt;='01_Input'!$V$66,EV$20&lt;'01_Input'!$W$66),'01_Input'!$Y$66,0),MAX(MIN(EV$20,'01_Input'!$W$66)-'01_Input'!$V$66,0)*'01_Input'!$Y$66))+IF('01_Input'!$AB$66="Forfait",IF(EV$20&gt;='01_Input'!$Z$66,'01_Input'!$AC$66,0),IF('01_Input'!$AB$66="Palier",IF(AND(EV$20&gt;='01_Input'!$Z$66,EV$20&lt;'01_Input'!$AA$66),'01_Input'!$AC$66,0),MAX(MIN(EV$20,'01_Input'!$AA$66)-'01_Input'!$Z$66,0)*'01_Input'!$AC$66)))))))))</f>
        <v>0</v>
      </c>
      <c r="EW34" s="83">
        <f>IF('01_Input'!$C$66="Non",0,MIN('01_Input'!$I$66,MAX('01_Input'!$H$66,IF('01_Input'!$G$66="Résiduel vs Gestion",0,IF('01_Input'!$G$66="Taux Classe sélectionnée",Distrib_Global_Classe_Selectionnee*EW$20,IF('01_Input'!$G$66="Frais KYC (paliers de 100M€)",MAX(0,Nb_Investisseurs-Nb_KYC_Gratuites_Par_Tranche*(FLOOR(EW$20/Taille_Tranche_KYC,1)+1))*Cout_Par_KYC_Supplementaire,(IF('01_Input'!$L$66="Forfait",IF(EW$20&gt;='01_Input'!$J$66,'01_Input'!$M$66,0),IF('01_Input'!$L$66="Palier",IF(AND(EW$20&gt;='01_Input'!$J$66,EW$20&lt;'01_Input'!$K$66),'01_Input'!$M$66,0),MAX(MIN(EW$20,'01_Input'!$K$66)-'01_Input'!$J$66,0)*'01_Input'!$M$66))+IF('01_Input'!$P$66="Forfait",IF(EW$20&gt;='01_Input'!$N$66,'01_Input'!$Q$66,0),IF('01_Input'!$P$66="Palier",IF(AND(EW$20&gt;='01_Input'!$N$66,EW$20&lt;'01_Input'!$O$66),'01_Input'!$Q$66,0),MAX(MIN(EW$20,'01_Input'!$O$66)-'01_Input'!$N$66,0)*'01_Input'!$Q$66))+IF('01_Input'!$T$66="Forfait",IF(EW$20&gt;='01_Input'!$R$66,'01_Input'!$U$66,0),IF('01_Input'!$T$66="Palier",IF(AND(EW$20&gt;='01_Input'!$R$66,EW$20&lt;'01_Input'!$S$66),'01_Input'!$U$66,0),MAX(MIN(EW$20,'01_Input'!$S$66)-'01_Input'!$R$66,0)*'01_Input'!$U$66))+IF('01_Input'!$X$66="Forfait",IF(EW$20&gt;='01_Input'!$V$66,'01_Input'!$Y$66,0),IF('01_Input'!$X$66="Palier",IF(AND(EW$20&gt;='01_Input'!$V$66,EW$20&lt;'01_Input'!$W$66),'01_Input'!$Y$66,0),MAX(MIN(EW$20,'01_Input'!$W$66)-'01_Input'!$V$66,0)*'01_Input'!$Y$66))+IF('01_Input'!$AB$66="Forfait",IF(EW$20&gt;='01_Input'!$Z$66,'01_Input'!$AC$66,0),IF('01_Input'!$AB$66="Palier",IF(AND(EW$20&gt;='01_Input'!$Z$66,EW$20&lt;'01_Input'!$AA$66),'01_Input'!$AC$66,0),MAX(MIN(EW$20,'01_Input'!$AA$66)-'01_Input'!$Z$66,0)*'01_Input'!$AC$66)))))))))</f>
        <v>0</v>
      </c>
      <c r="EX34" s="83">
        <f>IF('01_Input'!$C$66="Non",0,MIN('01_Input'!$I$66,MAX('01_Input'!$H$66,IF('01_Input'!$G$66="Résiduel vs Gestion",0,IF('01_Input'!$G$66="Taux Classe sélectionnée",Distrib_Global_Classe_Selectionnee*EX$20,IF('01_Input'!$G$66="Frais KYC (paliers de 100M€)",MAX(0,Nb_Investisseurs-Nb_KYC_Gratuites_Par_Tranche*(FLOOR(EX$20/Taille_Tranche_KYC,1)+1))*Cout_Par_KYC_Supplementaire,(IF('01_Input'!$L$66="Forfait",IF(EX$20&gt;='01_Input'!$J$66,'01_Input'!$M$66,0),IF('01_Input'!$L$66="Palier",IF(AND(EX$20&gt;='01_Input'!$J$66,EX$20&lt;'01_Input'!$K$66),'01_Input'!$M$66,0),MAX(MIN(EX$20,'01_Input'!$K$66)-'01_Input'!$J$66,0)*'01_Input'!$M$66))+IF('01_Input'!$P$66="Forfait",IF(EX$20&gt;='01_Input'!$N$66,'01_Input'!$Q$66,0),IF('01_Input'!$P$66="Palier",IF(AND(EX$20&gt;='01_Input'!$N$66,EX$20&lt;'01_Input'!$O$66),'01_Input'!$Q$66,0),MAX(MIN(EX$20,'01_Input'!$O$66)-'01_Input'!$N$66,0)*'01_Input'!$Q$66))+IF('01_Input'!$T$66="Forfait",IF(EX$20&gt;='01_Input'!$R$66,'01_Input'!$U$66,0),IF('01_Input'!$T$66="Palier",IF(AND(EX$20&gt;='01_Input'!$R$66,EX$20&lt;'01_Input'!$S$66),'01_Input'!$U$66,0),MAX(MIN(EX$20,'01_Input'!$S$66)-'01_Input'!$R$66,0)*'01_Input'!$U$66))+IF('01_Input'!$X$66="Forfait",IF(EX$20&gt;='01_Input'!$V$66,'01_Input'!$Y$66,0),IF('01_Input'!$X$66="Palier",IF(AND(EX$20&gt;='01_Input'!$V$66,EX$20&lt;'01_Input'!$W$66),'01_Input'!$Y$66,0),MAX(MIN(EX$20,'01_Input'!$W$66)-'01_Input'!$V$66,0)*'01_Input'!$Y$66))+IF('01_Input'!$AB$66="Forfait",IF(EX$20&gt;='01_Input'!$Z$66,'01_Input'!$AC$66,0),IF('01_Input'!$AB$66="Palier",IF(AND(EX$20&gt;='01_Input'!$Z$66,EX$20&lt;'01_Input'!$AA$66),'01_Input'!$AC$66,0),MAX(MIN(EX$20,'01_Input'!$AA$66)-'01_Input'!$Z$66,0)*'01_Input'!$AC$66)))))))))</f>
        <v>0</v>
      </c>
    </row>
    <row r="35" ht="15.75" customHeight="1">
      <c r="B35" s="40" t="str">
        <f>IF('01_Input'!D67="","(inactif)",'01_Input'!D67)</f>
        <v>Dépositaire — Forfait liquidation (ANC&lt;5M€)</v>
      </c>
      <c r="C35" s="40" t="str">
        <f>IF('01_Input'!E67="","",'01_Input'!E67)</f>
        <v>Dépositaire (BFCM)</v>
      </c>
      <c r="D35" s="51" t="str">
        <f>'01_Input'!C67</f>
        <v>Non</v>
      </c>
      <c r="E35" s="25">
        <f>IF('01_Input'!$C$67="Non",0,MIN('01_Input'!$I$67,MAX('01_Input'!$H$67,IF('01_Input'!$G$67="Résiduel vs Gestion",0,IF('01_Input'!$G$67="Taux Classe sélectionnée",Distrib_Global_Classe_Selectionnee*E$20,IF('01_Input'!$G$67="Frais KYC (paliers de 100M€)",MAX(0,Nb_Investisseurs-Nb_KYC_Gratuites_Par_Tranche*(FLOOR(E$20/Taille_Tranche_KYC,1)+1))*Cout_Par_KYC_Supplementaire,(IF('01_Input'!$L$67="Forfait",IF(E$20&gt;='01_Input'!$J$67,'01_Input'!$M$67,0),IF('01_Input'!$L$67="Palier",IF(AND(E$20&gt;='01_Input'!$J$67,E$20&lt;'01_Input'!$K$67),'01_Input'!$M$67,0),MAX(MIN(E$20,'01_Input'!$K$67)-'01_Input'!$J$67,0)*'01_Input'!$M$67))+IF('01_Input'!$P$67="Forfait",IF(E$20&gt;='01_Input'!$N$67,'01_Input'!$Q$67,0),IF('01_Input'!$P$67="Palier",IF(AND(E$20&gt;='01_Input'!$N$67,E$20&lt;'01_Input'!$O$67),'01_Input'!$Q$67,0),MAX(MIN(E$20,'01_Input'!$O$67)-'01_Input'!$N$67,0)*'01_Input'!$Q$67))+IF('01_Input'!$T$67="Forfait",IF(E$20&gt;='01_Input'!$R$67,'01_Input'!$U$67,0),IF('01_Input'!$T$67="Palier",IF(AND(E$20&gt;='01_Input'!$R$67,E$20&lt;'01_Input'!$S$67),'01_Input'!$U$67,0),MAX(MIN(E$20,'01_Input'!$S$67)-'01_Input'!$R$67,0)*'01_Input'!$U$67))+IF('01_Input'!$X$67="Forfait",IF(E$20&gt;='01_Input'!$V$67,'01_Input'!$Y$67,0),IF('01_Input'!$X$67="Palier",IF(AND(E$20&gt;='01_Input'!$V$67,E$20&lt;'01_Input'!$W$67),'01_Input'!$Y$67,0),MAX(MIN(E$20,'01_Input'!$W$67)-'01_Input'!$V$67,0)*'01_Input'!$Y$67))+IF('01_Input'!$AB$67="Forfait",IF(E$20&gt;='01_Input'!$Z$67,'01_Input'!$AC$67,0),IF('01_Input'!$AB$67="Palier",IF(AND(E$20&gt;='01_Input'!$Z$67,E$20&lt;'01_Input'!$AA$67),'01_Input'!$AC$67,0),MAX(MIN(E$20,'01_Input'!$AA$67)-'01_Input'!$Z$67,0)*'01_Input'!$AC$67)))))))))</f>
        <v>0</v>
      </c>
      <c r="F35" s="25">
        <f>IF('01_Input'!$C$67="Non",0,MIN('01_Input'!$I$67,MAX('01_Input'!$H$67,IF('01_Input'!$G$67="Résiduel vs Gestion",0,IF('01_Input'!$G$67="Taux Classe sélectionnée",Distrib_Global_Classe_Selectionnee*F$20,IF('01_Input'!$G$67="Frais KYC (paliers de 100M€)",MAX(0,Nb_Investisseurs-Nb_KYC_Gratuites_Par_Tranche*(FLOOR(F$20/Taille_Tranche_KYC,1)+1))*Cout_Par_KYC_Supplementaire,(IF('01_Input'!$L$67="Forfait",IF(F$20&gt;='01_Input'!$J$67,'01_Input'!$M$67,0),IF('01_Input'!$L$67="Palier",IF(AND(F$20&gt;='01_Input'!$J$67,F$20&lt;'01_Input'!$K$67),'01_Input'!$M$67,0),MAX(MIN(F$20,'01_Input'!$K$67)-'01_Input'!$J$67,0)*'01_Input'!$M$67))+IF('01_Input'!$P$67="Forfait",IF(F$20&gt;='01_Input'!$N$67,'01_Input'!$Q$67,0),IF('01_Input'!$P$67="Palier",IF(AND(F$20&gt;='01_Input'!$N$67,F$20&lt;'01_Input'!$O$67),'01_Input'!$Q$67,0),MAX(MIN(F$20,'01_Input'!$O$67)-'01_Input'!$N$67,0)*'01_Input'!$Q$67))+IF('01_Input'!$T$67="Forfait",IF(F$20&gt;='01_Input'!$R$67,'01_Input'!$U$67,0),IF('01_Input'!$T$67="Palier",IF(AND(F$20&gt;='01_Input'!$R$67,F$20&lt;'01_Input'!$S$67),'01_Input'!$U$67,0),MAX(MIN(F$20,'01_Input'!$S$67)-'01_Input'!$R$67,0)*'01_Input'!$U$67))+IF('01_Input'!$X$67="Forfait",IF(F$20&gt;='01_Input'!$V$67,'01_Input'!$Y$67,0),IF('01_Input'!$X$67="Palier",IF(AND(F$20&gt;='01_Input'!$V$67,F$20&lt;'01_Input'!$W$67),'01_Input'!$Y$67,0),MAX(MIN(F$20,'01_Input'!$W$67)-'01_Input'!$V$67,0)*'01_Input'!$Y$67))+IF('01_Input'!$AB$67="Forfait",IF(F$20&gt;='01_Input'!$Z$67,'01_Input'!$AC$67,0),IF('01_Input'!$AB$67="Palier",IF(AND(F$20&gt;='01_Input'!$Z$67,F$20&lt;'01_Input'!$AA$67),'01_Input'!$AC$67,0),MAX(MIN(F$20,'01_Input'!$AA$67)-'01_Input'!$Z$67,0)*'01_Input'!$AC$67)))))))))</f>
        <v>0</v>
      </c>
      <c r="G35" s="25">
        <f>IF('01_Input'!$C$67="Non",0,MIN('01_Input'!$I$67,MAX('01_Input'!$H$67,IF('01_Input'!$G$67="Résiduel vs Gestion",0,IF('01_Input'!$G$67="Taux Classe sélectionnée",Distrib_Global_Classe_Selectionnee*G$20,IF('01_Input'!$G$67="Frais KYC (paliers de 100M€)",MAX(0,Nb_Investisseurs-Nb_KYC_Gratuites_Par_Tranche*(FLOOR(G$20/Taille_Tranche_KYC,1)+1))*Cout_Par_KYC_Supplementaire,(IF('01_Input'!$L$67="Forfait",IF(G$20&gt;='01_Input'!$J$67,'01_Input'!$M$67,0),IF('01_Input'!$L$67="Palier",IF(AND(G$20&gt;='01_Input'!$J$67,G$20&lt;'01_Input'!$K$67),'01_Input'!$M$67,0),MAX(MIN(G$20,'01_Input'!$K$67)-'01_Input'!$J$67,0)*'01_Input'!$M$67))+IF('01_Input'!$P$67="Forfait",IF(G$20&gt;='01_Input'!$N$67,'01_Input'!$Q$67,0),IF('01_Input'!$P$67="Palier",IF(AND(G$20&gt;='01_Input'!$N$67,G$20&lt;'01_Input'!$O$67),'01_Input'!$Q$67,0),MAX(MIN(G$20,'01_Input'!$O$67)-'01_Input'!$N$67,0)*'01_Input'!$Q$67))+IF('01_Input'!$T$67="Forfait",IF(G$20&gt;='01_Input'!$R$67,'01_Input'!$U$67,0),IF('01_Input'!$T$67="Palier",IF(AND(G$20&gt;='01_Input'!$R$67,G$20&lt;'01_Input'!$S$67),'01_Input'!$U$67,0),MAX(MIN(G$20,'01_Input'!$S$67)-'01_Input'!$R$67,0)*'01_Input'!$U$67))+IF('01_Input'!$X$67="Forfait",IF(G$20&gt;='01_Input'!$V$67,'01_Input'!$Y$67,0),IF('01_Input'!$X$67="Palier",IF(AND(G$20&gt;='01_Input'!$V$67,G$20&lt;'01_Input'!$W$67),'01_Input'!$Y$67,0),MAX(MIN(G$20,'01_Input'!$W$67)-'01_Input'!$V$67,0)*'01_Input'!$Y$67))+IF('01_Input'!$AB$67="Forfait",IF(G$20&gt;='01_Input'!$Z$67,'01_Input'!$AC$67,0),IF('01_Input'!$AB$67="Palier",IF(AND(G$20&gt;='01_Input'!$Z$67,G$20&lt;'01_Input'!$AA$67),'01_Input'!$AC$67,0),MAX(MIN(G$20,'01_Input'!$AA$67)-'01_Input'!$Z$67,0)*'01_Input'!$AC$67)))))))))</f>
        <v>0</v>
      </c>
      <c r="H35" s="25">
        <f>IF('01_Input'!$C$67="Non",0,MIN('01_Input'!$I$67,MAX('01_Input'!$H$67,IF('01_Input'!$G$67="Résiduel vs Gestion",0,IF('01_Input'!$G$67="Taux Classe sélectionnée",Distrib_Global_Classe_Selectionnee*H$20,IF('01_Input'!$G$67="Frais KYC (paliers de 100M€)",MAX(0,Nb_Investisseurs-Nb_KYC_Gratuites_Par_Tranche*(FLOOR(H$20/Taille_Tranche_KYC,1)+1))*Cout_Par_KYC_Supplementaire,(IF('01_Input'!$L$67="Forfait",IF(H$20&gt;='01_Input'!$J$67,'01_Input'!$M$67,0),IF('01_Input'!$L$67="Palier",IF(AND(H$20&gt;='01_Input'!$J$67,H$20&lt;'01_Input'!$K$67),'01_Input'!$M$67,0),MAX(MIN(H$20,'01_Input'!$K$67)-'01_Input'!$J$67,0)*'01_Input'!$M$67))+IF('01_Input'!$P$67="Forfait",IF(H$20&gt;='01_Input'!$N$67,'01_Input'!$Q$67,0),IF('01_Input'!$P$67="Palier",IF(AND(H$20&gt;='01_Input'!$N$67,H$20&lt;'01_Input'!$O$67),'01_Input'!$Q$67,0),MAX(MIN(H$20,'01_Input'!$O$67)-'01_Input'!$N$67,0)*'01_Input'!$Q$67))+IF('01_Input'!$T$67="Forfait",IF(H$20&gt;='01_Input'!$R$67,'01_Input'!$U$67,0),IF('01_Input'!$T$67="Palier",IF(AND(H$20&gt;='01_Input'!$R$67,H$20&lt;'01_Input'!$S$67),'01_Input'!$U$67,0),MAX(MIN(H$20,'01_Input'!$S$67)-'01_Input'!$R$67,0)*'01_Input'!$U$67))+IF('01_Input'!$X$67="Forfait",IF(H$20&gt;='01_Input'!$V$67,'01_Input'!$Y$67,0),IF('01_Input'!$X$67="Palier",IF(AND(H$20&gt;='01_Input'!$V$67,H$20&lt;'01_Input'!$W$67),'01_Input'!$Y$67,0),MAX(MIN(H$20,'01_Input'!$W$67)-'01_Input'!$V$67,0)*'01_Input'!$Y$67))+IF('01_Input'!$AB$67="Forfait",IF(H$20&gt;='01_Input'!$Z$67,'01_Input'!$AC$67,0),IF('01_Input'!$AB$67="Palier",IF(AND(H$20&gt;='01_Input'!$Z$67,H$20&lt;'01_Input'!$AA$67),'01_Input'!$AC$67,0),MAX(MIN(H$20,'01_Input'!$AA$67)-'01_Input'!$Z$67,0)*'01_Input'!$AC$67)))))))))</f>
        <v>0</v>
      </c>
      <c r="I35" s="25">
        <f>IF('01_Input'!$C$67="Non",0,MIN('01_Input'!$I$67,MAX('01_Input'!$H$67,IF('01_Input'!$G$67="Résiduel vs Gestion",0,IF('01_Input'!$G$67="Taux Classe sélectionnée",Distrib_Global_Classe_Selectionnee*I$20,IF('01_Input'!$G$67="Frais KYC (paliers de 100M€)",MAX(0,Nb_Investisseurs-Nb_KYC_Gratuites_Par_Tranche*(FLOOR(I$20/Taille_Tranche_KYC,1)+1))*Cout_Par_KYC_Supplementaire,(IF('01_Input'!$L$67="Forfait",IF(I$20&gt;='01_Input'!$J$67,'01_Input'!$M$67,0),IF('01_Input'!$L$67="Palier",IF(AND(I$20&gt;='01_Input'!$J$67,I$20&lt;'01_Input'!$K$67),'01_Input'!$M$67,0),MAX(MIN(I$20,'01_Input'!$K$67)-'01_Input'!$J$67,0)*'01_Input'!$M$67))+IF('01_Input'!$P$67="Forfait",IF(I$20&gt;='01_Input'!$N$67,'01_Input'!$Q$67,0),IF('01_Input'!$P$67="Palier",IF(AND(I$20&gt;='01_Input'!$N$67,I$20&lt;'01_Input'!$O$67),'01_Input'!$Q$67,0),MAX(MIN(I$20,'01_Input'!$O$67)-'01_Input'!$N$67,0)*'01_Input'!$Q$67))+IF('01_Input'!$T$67="Forfait",IF(I$20&gt;='01_Input'!$R$67,'01_Input'!$U$67,0),IF('01_Input'!$T$67="Palier",IF(AND(I$20&gt;='01_Input'!$R$67,I$20&lt;'01_Input'!$S$67),'01_Input'!$U$67,0),MAX(MIN(I$20,'01_Input'!$S$67)-'01_Input'!$R$67,0)*'01_Input'!$U$67))+IF('01_Input'!$X$67="Forfait",IF(I$20&gt;='01_Input'!$V$67,'01_Input'!$Y$67,0),IF('01_Input'!$X$67="Palier",IF(AND(I$20&gt;='01_Input'!$V$67,I$20&lt;'01_Input'!$W$67),'01_Input'!$Y$67,0),MAX(MIN(I$20,'01_Input'!$W$67)-'01_Input'!$V$67,0)*'01_Input'!$Y$67))+IF('01_Input'!$AB$67="Forfait",IF(I$20&gt;='01_Input'!$Z$67,'01_Input'!$AC$67,0),IF('01_Input'!$AB$67="Palier",IF(AND(I$20&gt;='01_Input'!$Z$67,I$20&lt;'01_Input'!$AA$67),'01_Input'!$AC$67,0),MAX(MIN(I$20,'01_Input'!$AA$67)-'01_Input'!$Z$67,0)*'01_Input'!$AC$67)))))))))</f>
        <v>0</v>
      </c>
      <c r="J35" s="25">
        <f>IF('01_Input'!$C$67="Non",0,MIN('01_Input'!$I$67,MAX('01_Input'!$H$67,IF('01_Input'!$G$67="Résiduel vs Gestion",0,IF('01_Input'!$G$67="Taux Classe sélectionnée",Distrib_Global_Classe_Selectionnee*J$20,IF('01_Input'!$G$67="Frais KYC (paliers de 100M€)",MAX(0,Nb_Investisseurs-Nb_KYC_Gratuites_Par_Tranche*(FLOOR(J$20/Taille_Tranche_KYC,1)+1))*Cout_Par_KYC_Supplementaire,(IF('01_Input'!$L$67="Forfait",IF(J$20&gt;='01_Input'!$J$67,'01_Input'!$M$67,0),IF('01_Input'!$L$67="Palier",IF(AND(J$20&gt;='01_Input'!$J$67,J$20&lt;'01_Input'!$K$67),'01_Input'!$M$67,0),MAX(MIN(J$20,'01_Input'!$K$67)-'01_Input'!$J$67,0)*'01_Input'!$M$67))+IF('01_Input'!$P$67="Forfait",IF(J$20&gt;='01_Input'!$N$67,'01_Input'!$Q$67,0),IF('01_Input'!$P$67="Palier",IF(AND(J$20&gt;='01_Input'!$N$67,J$20&lt;'01_Input'!$O$67),'01_Input'!$Q$67,0),MAX(MIN(J$20,'01_Input'!$O$67)-'01_Input'!$N$67,0)*'01_Input'!$Q$67))+IF('01_Input'!$T$67="Forfait",IF(J$20&gt;='01_Input'!$R$67,'01_Input'!$U$67,0),IF('01_Input'!$T$67="Palier",IF(AND(J$20&gt;='01_Input'!$R$67,J$20&lt;'01_Input'!$S$67),'01_Input'!$U$67,0),MAX(MIN(J$20,'01_Input'!$S$67)-'01_Input'!$R$67,0)*'01_Input'!$U$67))+IF('01_Input'!$X$67="Forfait",IF(J$20&gt;='01_Input'!$V$67,'01_Input'!$Y$67,0),IF('01_Input'!$X$67="Palier",IF(AND(J$20&gt;='01_Input'!$V$67,J$20&lt;'01_Input'!$W$67),'01_Input'!$Y$67,0),MAX(MIN(J$20,'01_Input'!$W$67)-'01_Input'!$V$67,0)*'01_Input'!$Y$67))+IF('01_Input'!$AB$67="Forfait",IF(J$20&gt;='01_Input'!$Z$67,'01_Input'!$AC$67,0),IF('01_Input'!$AB$67="Palier",IF(AND(J$20&gt;='01_Input'!$Z$67,J$20&lt;'01_Input'!$AA$67),'01_Input'!$AC$67,0),MAX(MIN(J$20,'01_Input'!$AA$67)-'01_Input'!$Z$67,0)*'01_Input'!$AC$67)))))))))</f>
        <v>0</v>
      </c>
      <c r="K35" s="25">
        <f>IF('01_Input'!$C$67="Non",0,MIN('01_Input'!$I$67,MAX('01_Input'!$H$67,IF('01_Input'!$G$67="Résiduel vs Gestion",0,IF('01_Input'!$G$67="Taux Classe sélectionnée",Distrib_Global_Classe_Selectionnee*K$20,IF('01_Input'!$G$67="Frais KYC (paliers de 100M€)",MAX(0,Nb_Investisseurs-Nb_KYC_Gratuites_Par_Tranche*(FLOOR(K$20/Taille_Tranche_KYC,1)+1))*Cout_Par_KYC_Supplementaire,(IF('01_Input'!$L$67="Forfait",IF(K$20&gt;='01_Input'!$J$67,'01_Input'!$M$67,0),IF('01_Input'!$L$67="Palier",IF(AND(K$20&gt;='01_Input'!$J$67,K$20&lt;'01_Input'!$K$67),'01_Input'!$M$67,0),MAX(MIN(K$20,'01_Input'!$K$67)-'01_Input'!$J$67,0)*'01_Input'!$M$67))+IF('01_Input'!$P$67="Forfait",IF(K$20&gt;='01_Input'!$N$67,'01_Input'!$Q$67,0),IF('01_Input'!$P$67="Palier",IF(AND(K$20&gt;='01_Input'!$N$67,K$20&lt;'01_Input'!$O$67),'01_Input'!$Q$67,0),MAX(MIN(K$20,'01_Input'!$O$67)-'01_Input'!$N$67,0)*'01_Input'!$Q$67))+IF('01_Input'!$T$67="Forfait",IF(K$20&gt;='01_Input'!$R$67,'01_Input'!$U$67,0),IF('01_Input'!$T$67="Palier",IF(AND(K$20&gt;='01_Input'!$R$67,K$20&lt;'01_Input'!$S$67),'01_Input'!$U$67,0),MAX(MIN(K$20,'01_Input'!$S$67)-'01_Input'!$R$67,0)*'01_Input'!$U$67))+IF('01_Input'!$X$67="Forfait",IF(K$20&gt;='01_Input'!$V$67,'01_Input'!$Y$67,0),IF('01_Input'!$X$67="Palier",IF(AND(K$20&gt;='01_Input'!$V$67,K$20&lt;'01_Input'!$W$67),'01_Input'!$Y$67,0),MAX(MIN(K$20,'01_Input'!$W$67)-'01_Input'!$V$67,0)*'01_Input'!$Y$67))+IF('01_Input'!$AB$67="Forfait",IF(K$20&gt;='01_Input'!$Z$67,'01_Input'!$AC$67,0),IF('01_Input'!$AB$67="Palier",IF(AND(K$20&gt;='01_Input'!$Z$67,K$20&lt;'01_Input'!$AA$67),'01_Input'!$AC$67,0),MAX(MIN(K$20,'01_Input'!$AA$67)-'01_Input'!$Z$67,0)*'01_Input'!$AC$67)))))))))</f>
        <v>0</v>
      </c>
      <c r="L35" s="25">
        <f>IF('01_Input'!$C$67="Non",0,MIN('01_Input'!$I$67,MAX('01_Input'!$H$67,IF('01_Input'!$G$67="Résiduel vs Gestion",0,IF('01_Input'!$G$67="Taux Classe sélectionnée",Distrib_Global_Classe_Selectionnee*L$20,IF('01_Input'!$G$67="Frais KYC (paliers de 100M€)",MAX(0,Nb_Investisseurs-Nb_KYC_Gratuites_Par_Tranche*(FLOOR(L$20/Taille_Tranche_KYC,1)+1))*Cout_Par_KYC_Supplementaire,(IF('01_Input'!$L$67="Forfait",IF(L$20&gt;='01_Input'!$J$67,'01_Input'!$M$67,0),IF('01_Input'!$L$67="Palier",IF(AND(L$20&gt;='01_Input'!$J$67,L$20&lt;'01_Input'!$K$67),'01_Input'!$M$67,0),MAX(MIN(L$20,'01_Input'!$K$67)-'01_Input'!$J$67,0)*'01_Input'!$M$67))+IF('01_Input'!$P$67="Forfait",IF(L$20&gt;='01_Input'!$N$67,'01_Input'!$Q$67,0),IF('01_Input'!$P$67="Palier",IF(AND(L$20&gt;='01_Input'!$N$67,L$20&lt;'01_Input'!$O$67),'01_Input'!$Q$67,0),MAX(MIN(L$20,'01_Input'!$O$67)-'01_Input'!$N$67,0)*'01_Input'!$Q$67))+IF('01_Input'!$T$67="Forfait",IF(L$20&gt;='01_Input'!$R$67,'01_Input'!$U$67,0),IF('01_Input'!$T$67="Palier",IF(AND(L$20&gt;='01_Input'!$R$67,L$20&lt;'01_Input'!$S$67),'01_Input'!$U$67,0),MAX(MIN(L$20,'01_Input'!$S$67)-'01_Input'!$R$67,0)*'01_Input'!$U$67))+IF('01_Input'!$X$67="Forfait",IF(L$20&gt;='01_Input'!$V$67,'01_Input'!$Y$67,0),IF('01_Input'!$X$67="Palier",IF(AND(L$20&gt;='01_Input'!$V$67,L$20&lt;'01_Input'!$W$67),'01_Input'!$Y$67,0),MAX(MIN(L$20,'01_Input'!$W$67)-'01_Input'!$V$67,0)*'01_Input'!$Y$67))+IF('01_Input'!$AB$67="Forfait",IF(L$20&gt;='01_Input'!$Z$67,'01_Input'!$AC$67,0),IF('01_Input'!$AB$67="Palier",IF(AND(L$20&gt;='01_Input'!$Z$67,L$20&lt;'01_Input'!$AA$67),'01_Input'!$AC$67,0),MAX(MIN(L$20,'01_Input'!$AA$67)-'01_Input'!$Z$67,0)*'01_Input'!$AC$67)))))))))</f>
        <v>0</v>
      </c>
      <c r="M35" s="25">
        <f>IF('01_Input'!$C$67="Non",0,MIN('01_Input'!$I$67,MAX('01_Input'!$H$67,IF('01_Input'!$G$67="Résiduel vs Gestion",0,IF('01_Input'!$G$67="Taux Classe sélectionnée",Distrib_Global_Classe_Selectionnee*M$20,IF('01_Input'!$G$67="Frais KYC (paliers de 100M€)",MAX(0,Nb_Investisseurs-Nb_KYC_Gratuites_Par_Tranche*(FLOOR(M$20/Taille_Tranche_KYC,1)+1))*Cout_Par_KYC_Supplementaire,(IF('01_Input'!$L$67="Forfait",IF(M$20&gt;='01_Input'!$J$67,'01_Input'!$M$67,0),IF('01_Input'!$L$67="Palier",IF(AND(M$20&gt;='01_Input'!$J$67,M$20&lt;'01_Input'!$K$67),'01_Input'!$M$67,0),MAX(MIN(M$20,'01_Input'!$K$67)-'01_Input'!$J$67,0)*'01_Input'!$M$67))+IF('01_Input'!$P$67="Forfait",IF(M$20&gt;='01_Input'!$N$67,'01_Input'!$Q$67,0),IF('01_Input'!$P$67="Palier",IF(AND(M$20&gt;='01_Input'!$N$67,M$20&lt;'01_Input'!$O$67),'01_Input'!$Q$67,0),MAX(MIN(M$20,'01_Input'!$O$67)-'01_Input'!$N$67,0)*'01_Input'!$Q$67))+IF('01_Input'!$T$67="Forfait",IF(M$20&gt;='01_Input'!$R$67,'01_Input'!$U$67,0),IF('01_Input'!$T$67="Palier",IF(AND(M$20&gt;='01_Input'!$R$67,M$20&lt;'01_Input'!$S$67),'01_Input'!$U$67,0),MAX(MIN(M$20,'01_Input'!$S$67)-'01_Input'!$R$67,0)*'01_Input'!$U$67))+IF('01_Input'!$X$67="Forfait",IF(M$20&gt;='01_Input'!$V$67,'01_Input'!$Y$67,0),IF('01_Input'!$X$67="Palier",IF(AND(M$20&gt;='01_Input'!$V$67,M$20&lt;'01_Input'!$W$67),'01_Input'!$Y$67,0),MAX(MIN(M$20,'01_Input'!$W$67)-'01_Input'!$V$67,0)*'01_Input'!$Y$67))+IF('01_Input'!$AB$67="Forfait",IF(M$20&gt;='01_Input'!$Z$67,'01_Input'!$AC$67,0),IF('01_Input'!$AB$67="Palier",IF(AND(M$20&gt;='01_Input'!$Z$67,M$20&lt;'01_Input'!$AA$67),'01_Input'!$AC$67,0),MAX(MIN(M$20,'01_Input'!$AA$67)-'01_Input'!$Z$67,0)*'01_Input'!$AC$67)))))))))</f>
        <v>0</v>
      </c>
      <c r="N35" s="25">
        <f>IF('01_Input'!$C$67="Non",0,MIN('01_Input'!$I$67,MAX('01_Input'!$H$67,IF('01_Input'!$G$67="Résiduel vs Gestion",0,IF('01_Input'!$G$67="Taux Classe sélectionnée",Distrib_Global_Classe_Selectionnee*N$20,IF('01_Input'!$G$67="Frais KYC (paliers de 100M€)",MAX(0,Nb_Investisseurs-Nb_KYC_Gratuites_Par_Tranche*(FLOOR(N$20/Taille_Tranche_KYC,1)+1))*Cout_Par_KYC_Supplementaire,(IF('01_Input'!$L$67="Forfait",IF(N$20&gt;='01_Input'!$J$67,'01_Input'!$M$67,0),IF('01_Input'!$L$67="Palier",IF(AND(N$20&gt;='01_Input'!$J$67,N$20&lt;'01_Input'!$K$67),'01_Input'!$M$67,0),MAX(MIN(N$20,'01_Input'!$K$67)-'01_Input'!$J$67,0)*'01_Input'!$M$67))+IF('01_Input'!$P$67="Forfait",IF(N$20&gt;='01_Input'!$N$67,'01_Input'!$Q$67,0),IF('01_Input'!$P$67="Palier",IF(AND(N$20&gt;='01_Input'!$N$67,N$20&lt;'01_Input'!$O$67),'01_Input'!$Q$67,0),MAX(MIN(N$20,'01_Input'!$O$67)-'01_Input'!$N$67,0)*'01_Input'!$Q$67))+IF('01_Input'!$T$67="Forfait",IF(N$20&gt;='01_Input'!$R$67,'01_Input'!$U$67,0),IF('01_Input'!$T$67="Palier",IF(AND(N$20&gt;='01_Input'!$R$67,N$20&lt;'01_Input'!$S$67),'01_Input'!$U$67,0),MAX(MIN(N$20,'01_Input'!$S$67)-'01_Input'!$R$67,0)*'01_Input'!$U$67))+IF('01_Input'!$X$67="Forfait",IF(N$20&gt;='01_Input'!$V$67,'01_Input'!$Y$67,0),IF('01_Input'!$X$67="Palier",IF(AND(N$20&gt;='01_Input'!$V$67,N$20&lt;'01_Input'!$W$67),'01_Input'!$Y$67,0),MAX(MIN(N$20,'01_Input'!$W$67)-'01_Input'!$V$67,0)*'01_Input'!$Y$67))+IF('01_Input'!$AB$67="Forfait",IF(N$20&gt;='01_Input'!$Z$67,'01_Input'!$AC$67,0),IF('01_Input'!$AB$67="Palier",IF(AND(N$20&gt;='01_Input'!$Z$67,N$20&lt;'01_Input'!$AA$67),'01_Input'!$AC$67,0),MAX(MIN(N$20,'01_Input'!$AA$67)-'01_Input'!$Z$67,0)*'01_Input'!$AC$67)))))))))</f>
        <v>0</v>
      </c>
      <c r="O35" s="25">
        <f>IF('01_Input'!$C$67="Non",0,MIN('01_Input'!$I$67,MAX('01_Input'!$H$67,IF('01_Input'!$G$67="Résiduel vs Gestion",0,IF('01_Input'!$G$67="Taux Classe sélectionnée",Distrib_Global_Classe_Selectionnee*O$20,IF('01_Input'!$G$67="Frais KYC (paliers de 100M€)",MAX(0,Nb_Investisseurs-Nb_KYC_Gratuites_Par_Tranche*(FLOOR(O$20/Taille_Tranche_KYC,1)+1))*Cout_Par_KYC_Supplementaire,(IF('01_Input'!$L$67="Forfait",IF(O$20&gt;='01_Input'!$J$67,'01_Input'!$M$67,0),IF('01_Input'!$L$67="Palier",IF(AND(O$20&gt;='01_Input'!$J$67,O$20&lt;'01_Input'!$K$67),'01_Input'!$M$67,0),MAX(MIN(O$20,'01_Input'!$K$67)-'01_Input'!$J$67,0)*'01_Input'!$M$67))+IF('01_Input'!$P$67="Forfait",IF(O$20&gt;='01_Input'!$N$67,'01_Input'!$Q$67,0),IF('01_Input'!$P$67="Palier",IF(AND(O$20&gt;='01_Input'!$N$67,O$20&lt;'01_Input'!$O$67),'01_Input'!$Q$67,0),MAX(MIN(O$20,'01_Input'!$O$67)-'01_Input'!$N$67,0)*'01_Input'!$Q$67))+IF('01_Input'!$T$67="Forfait",IF(O$20&gt;='01_Input'!$R$67,'01_Input'!$U$67,0),IF('01_Input'!$T$67="Palier",IF(AND(O$20&gt;='01_Input'!$R$67,O$20&lt;'01_Input'!$S$67),'01_Input'!$U$67,0),MAX(MIN(O$20,'01_Input'!$S$67)-'01_Input'!$R$67,0)*'01_Input'!$U$67))+IF('01_Input'!$X$67="Forfait",IF(O$20&gt;='01_Input'!$V$67,'01_Input'!$Y$67,0),IF('01_Input'!$X$67="Palier",IF(AND(O$20&gt;='01_Input'!$V$67,O$20&lt;'01_Input'!$W$67),'01_Input'!$Y$67,0),MAX(MIN(O$20,'01_Input'!$W$67)-'01_Input'!$V$67,0)*'01_Input'!$Y$67))+IF('01_Input'!$AB$67="Forfait",IF(O$20&gt;='01_Input'!$Z$67,'01_Input'!$AC$67,0),IF('01_Input'!$AB$67="Palier",IF(AND(O$20&gt;='01_Input'!$Z$67,O$20&lt;'01_Input'!$AA$67),'01_Input'!$AC$67,0),MAX(MIN(O$20,'01_Input'!$AA$67)-'01_Input'!$Z$67,0)*'01_Input'!$AC$67)))))))))</f>
        <v>0</v>
      </c>
      <c r="P35" s="25">
        <f>IF('01_Input'!$C$67="Non",0,MIN('01_Input'!$I$67,MAX('01_Input'!$H$67,IF('01_Input'!$G$67="Résiduel vs Gestion",0,IF('01_Input'!$G$67="Taux Classe sélectionnée",Distrib_Global_Classe_Selectionnee*P$20,IF('01_Input'!$G$67="Frais KYC (paliers de 100M€)",MAX(0,Nb_Investisseurs-Nb_KYC_Gratuites_Par_Tranche*(FLOOR(P$20/Taille_Tranche_KYC,1)+1))*Cout_Par_KYC_Supplementaire,(IF('01_Input'!$L$67="Forfait",IF(P$20&gt;='01_Input'!$J$67,'01_Input'!$M$67,0),IF('01_Input'!$L$67="Palier",IF(AND(P$20&gt;='01_Input'!$J$67,P$20&lt;'01_Input'!$K$67),'01_Input'!$M$67,0),MAX(MIN(P$20,'01_Input'!$K$67)-'01_Input'!$J$67,0)*'01_Input'!$M$67))+IF('01_Input'!$P$67="Forfait",IF(P$20&gt;='01_Input'!$N$67,'01_Input'!$Q$67,0),IF('01_Input'!$P$67="Palier",IF(AND(P$20&gt;='01_Input'!$N$67,P$20&lt;'01_Input'!$O$67),'01_Input'!$Q$67,0),MAX(MIN(P$20,'01_Input'!$O$67)-'01_Input'!$N$67,0)*'01_Input'!$Q$67))+IF('01_Input'!$T$67="Forfait",IF(P$20&gt;='01_Input'!$R$67,'01_Input'!$U$67,0),IF('01_Input'!$T$67="Palier",IF(AND(P$20&gt;='01_Input'!$R$67,P$20&lt;'01_Input'!$S$67),'01_Input'!$U$67,0),MAX(MIN(P$20,'01_Input'!$S$67)-'01_Input'!$R$67,0)*'01_Input'!$U$67))+IF('01_Input'!$X$67="Forfait",IF(P$20&gt;='01_Input'!$V$67,'01_Input'!$Y$67,0),IF('01_Input'!$X$67="Palier",IF(AND(P$20&gt;='01_Input'!$V$67,P$20&lt;'01_Input'!$W$67),'01_Input'!$Y$67,0),MAX(MIN(P$20,'01_Input'!$W$67)-'01_Input'!$V$67,0)*'01_Input'!$Y$67))+IF('01_Input'!$AB$67="Forfait",IF(P$20&gt;='01_Input'!$Z$67,'01_Input'!$AC$67,0),IF('01_Input'!$AB$67="Palier",IF(AND(P$20&gt;='01_Input'!$Z$67,P$20&lt;'01_Input'!$AA$67),'01_Input'!$AC$67,0),MAX(MIN(P$20,'01_Input'!$AA$67)-'01_Input'!$Z$67,0)*'01_Input'!$AC$67)))))))))</f>
        <v>0</v>
      </c>
      <c r="Q35" s="25">
        <f>IF('01_Input'!$C$67="Non",0,MIN('01_Input'!$I$67,MAX('01_Input'!$H$67,IF('01_Input'!$G$67="Résiduel vs Gestion",0,IF('01_Input'!$G$67="Taux Classe sélectionnée",Distrib_Global_Classe_Selectionnee*Q$20,IF('01_Input'!$G$67="Frais KYC (paliers de 100M€)",MAX(0,Nb_Investisseurs-Nb_KYC_Gratuites_Par_Tranche*(FLOOR(Q$20/Taille_Tranche_KYC,1)+1))*Cout_Par_KYC_Supplementaire,(IF('01_Input'!$L$67="Forfait",IF(Q$20&gt;='01_Input'!$J$67,'01_Input'!$M$67,0),IF('01_Input'!$L$67="Palier",IF(AND(Q$20&gt;='01_Input'!$J$67,Q$20&lt;'01_Input'!$K$67),'01_Input'!$M$67,0),MAX(MIN(Q$20,'01_Input'!$K$67)-'01_Input'!$J$67,0)*'01_Input'!$M$67))+IF('01_Input'!$P$67="Forfait",IF(Q$20&gt;='01_Input'!$N$67,'01_Input'!$Q$67,0),IF('01_Input'!$P$67="Palier",IF(AND(Q$20&gt;='01_Input'!$N$67,Q$20&lt;'01_Input'!$O$67),'01_Input'!$Q$67,0),MAX(MIN(Q$20,'01_Input'!$O$67)-'01_Input'!$N$67,0)*'01_Input'!$Q$67))+IF('01_Input'!$T$67="Forfait",IF(Q$20&gt;='01_Input'!$R$67,'01_Input'!$U$67,0),IF('01_Input'!$T$67="Palier",IF(AND(Q$20&gt;='01_Input'!$R$67,Q$20&lt;'01_Input'!$S$67),'01_Input'!$U$67,0),MAX(MIN(Q$20,'01_Input'!$S$67)-'01_Input'!$R$67,0)*'01_Input'!$U$67))+IF('01_Input'!$X$67="Forfait",IF(Q$20&gt;='01_Input'!$V$67,'01_Input'!$Y$67,0),IF('01_Input'!$X$67="Palier",IF(AND(Q$20&gt;='01_Input'!$V$67,Q$20&lt;'01_Input'!$W$67),'01_Input'!$Y$67,0),MAX(MIN(Q$20,'01_Input'!$W$67)-'01_Input'!$V$67,0)*'01_Input'!$Y$67))+IF('01_Input'!$AB$67="Forfait",IF(Q$20&gt;='01_Input'!$Z$67,'01_Input'!$AC$67,0),IF('01_Input'!$AB$67="Palier",IF(AND(Q$20&gt;='01_Input'!$Z$67,Q$20&lt;'01_Input'!$AA$67),'01_Input'!$AC$67,0),MAX(MIN(Q$20,'01_Input'!$AA$67)-'01_Input'!$Z$67,0)*'01_Input'!$AC$67)))))))))</f>
        <v>0</v>
      </c>
      <c r="R35" s="25">
        <f>IF('01_Input'!$C$67="Non",0,MIN('01_Input'!$I$67,MAX('01_Input'!$H$67,IF('01_Input'!$G$67="Résiduel vs Gestion",0,IF('01_Input'!$G$67="Taux Classe sélectionnée",Distrib_Global_Classe_Selectionnee*R$20,IF('01_Input'!$G$67="Frais KYC (paliers de 100M€)",MAX(0,Nb_Investisseurs-Nb_KYC_Gratuites_Par_Tranche*(FLOOR(R$20/Taille_Tranche_KYC,1)+1))*Cout_Par_KYC_Supplementaire,(IF('01_Input'!$L$67="Forfait",IF(R$20&gt;='01_Input'!$J$67,'01_Input'!$M$67,0),IF('01_Input'!$L$67="Palier",IF(AND(R$20&gt;='01_Input'!$J$67,R$20&lt;'01_Input'!$K$67),'01_Input'!$M$67,0),MAX(MIN(R$20,'01_Input'!$K$67)-'01_Input'!$J$67,0)*'01_Input'!$M$67))+IF('01_Input'!$P$67="Forfait",IF(R$20&gt;='01_Input'!$N$67,'01_Input'!$Q$67,0),IF('01_Input'!$P$67="Palier",IF(AND(R$20&gt;='01_Input'!$N$67,R$20&lt;'01_Input'!$O$67),'01_Input'!$Q$67,0),MAX(MIN(R$20,'01_Input'!$O$67)-'01_Input'!$N$67,0)*'01_Input'!$Q$67))+IF('01_Input'!$T$67="Forfait",IF(R$20&gt;='01_Input'!$R$67,'01_Input'!$U$67,0),IF('01_Input'!$T$67="Palier",IF(AND(R$20&gt;='01_Input'!$R$67,R$20&lt;'01_Input'!$S$67),'01_Input'!$U$67,0),MAX(MIN(R$20,'01_Input'!$S$67)-'01_Input'!$R$67,0)*'01_Input'!$U$67))+IF('01_Input'!$X$67="Forfait",IF(R$20&gt;='01_Input'!$V$67,'01_Input'!$Y$67,0),IF('01_Input'!$X$67="Palier",IF(AND(R$20&gt;='01_Input'!$V$67,R$20&lt;'01_Input'!$W$67),'01_Input'!$Y$67,0),MAX(MIN(R$20,'01_Input'!$W$67)-'01_Input'!$V$67,0)*'01_Input'!$Y$67))+IF('01_Input'!$AB$67="Forfait",IF(R$20&gt;='01_Input'!$Z$67,'01_Input'!$AC$67,0),IF('01_Input'!$AB$67="Palier",IF(AND(R$20&gt;='01_Input'!$Z$67,R$20&lt;'01_Input'!$AA$67),'01_Input'!$AC$67,0),MAX(MIN(R$20,'01_Input'!$AA$67)-'01_Input'!$Z$67,0)*'01_Input'!$AC$67)))))))))</f>
        <v>0</v>
      </c>
      <c r="S35" s="25">
        <f>IF('01_Input'!$C$67="Non",0,MIN('01_Input'!$I$67,MAX('01_Input'!$H$67,IF('01_Input'!$G$67="Résiduel vs Gestion",0,IF('01_Input'!$G$67="Taux Classe sélectionnée",Distrib_Global_Classe_Selectionnee*S$20,IF('01_Input'!$G$67="Frais KYC (paliers de 100M€)",MAX(0,Nb_Investisseurs-Nb_KYC_Gratuites_Par_Tranche*(FLOOR(S$20/Taille_Tranche_KYC,1)+1))*Cout_Par_KYC_Supplementaire,(IF('01_Input'!$L$67="Forfait",IF(S$20&gt;='01_Input'!$J$67,'01_Input'!$M$67,0),IF('01_Input'!$L$67="Palier",IF(AND(S$20&gt;='01_Input'!$J$67,S$20&lt;'01_Input'!$K$67),'01_Input'!$M$67,0),MAX(MIN(S$20,'01_Input'!$K$67)-'01_Input'!$J$67,0)*'01_Input'!$M$67))+IF('01_Input'!$P$67="Forfait",IF(S$20&gt;='01_Input'!$N$67,'01_Input'!$Q$67,0),IF('01_Input'!$P$67="Palier",IF(AND(S$20&gt;='01_Input'!$N$67,S$20&lt;'01_Input'!$O$67),'01_Input'!$Q$67,0),MAX(MIN(S$20,'01_Input'!$O$67)-'01_Input'!$N$67,0)*'01_Input'!$Q$67))+IF('01_Input'!$T$67="Forfait",IF(S$20&gt;='01_Input'!$R$67,'01_Input'!$U$67,0),IF('01_Input'!$T$67="Palier",IF(AND(S$20&gt;='01_Input'!$R$67,S$20&lt;'01_Input'!$S$67),'01_Input'!$U$67,0),MAX(MIN(S$20,'01_Input'!$S$67)-'01_Input'!$R$67,0)*'01_Input'!$U$67))+IF('01_Input'!$X$67="Forfait",IF(S$20&gt;='01_Input'!$V$67,'01_Input'!$Y$67,0),IF('01_Input'!$X$67="Palier",IF(AND(S$20&gt;='01_Input'!$V$67,S$20&lt;'01_Input'!$W$67),'01_Input'!$Y$67,0),MAX(MIN(S$20,'01_Input'!$W$67)-'01_Input'!$V$67,0)*'01_Input'!$Y$67))+IF('01_Input'!$AB$67="Forfait",IF(S$20&gt;='01_Input'!$Z$67,'01_Input'!$AC$67,0),IF('01_Input'!$AB$67="Palier",IF(AND(S$20&gt;='01_Input'!$Z$67,S$20&lt;'01_Input'!$AA$67),'01_Input'!$AC$67,0),MAX(MIN(S$20,'01_Input'!$AA$67)-'01_Input'!$Z$67,0)*'01_Input'!$AC$67)))))))))</f>
        <v>0</v>
      </c>
      <c r="T35" s="25">
        <f>IF('01_Input'!$C$67="Non",0,MIN('01_Input'!$I$67,MAX('01_Input'!$H$67,IF('01_Input'!$G$67="Résiduel vs Gestion",0,IF('01_Input'!$G$67="Taux Classe sélectionnée",Distrib_Global_Classe_Selectionnee*T$20,IF('01_Input'!$G$67="Frais KYC (paliers de 100M€)",MAX(0,Nb_Investisseurs-Nb_KYC_Gratuites_Par_Tranche*(FLOOR(T$20/Taille_Tranche_KYC,1)+1))*Cout_Par_KYC_Supplementaire,(IF('01_Input'!$L$67="Forfait",IF(T$20&gt;='01_Input'!$J$67,'01_Input'!$M$67,0),IF('01_Input'!$L$67="Palier",IF(AND(T$20&gt;='01_Input'!$J$67,T$20&lt;'01_Input'!$K$67),'01_Input'!$M$67,0),MAX(MIN(T$20,'01_Input'!$K$67)-'01_Input'!$J$67,0)*'01_Input'!$M$67))+IF('01_Input'!$P$67="Forfait",IF(T$20&gt;='01_Input'!$N$67,'01_Input'!$Q$67,0),IF('01_Input'!$P$67="Palier",IF(AND(T$20&gt;='01_Input'!$N$67,T$20&lt;'01_Input'!$O$67),'01_Input'!$Q$67,0),MAX(MIN(T$20,'01_Input'!$O$67)-'01_Input'!$N$67,0)*'01_Input'!$Q$67))+IF('01_Input'!$T$67="Forfait",IF(T$20&gt;='01_Input'!$R$67,'01_Input'!$U$67,0),IF('01_Input'!$T$67="Palier",IF(AND(T$20&gt;='01_Input'!$R$67,T$20&lt;'01_Input'!$S$67),'01_Input'!$U$67,0),MAX(MIN(T$20,'01_Input'!$S$67)-'01_Input'!$R$67,0)*'01_Input'!$U$67))+IF('01_Input'!$X$67="Forfait",IF(T$20&gt;='01_Input'!$V$67,'01_Input'!$Y$67,0),IF('01_Input'!$X$67="Palier",IF(AND(T$20&gt;='01_Input'!$V$67,T$20&lt;'01_Input'!$W$67),'01_Input'!$Y$67,0),MAX(MIN(T$20,'01_Input'!$W$67)-'01_Input'!$V$67,0)*'01_Input'!$Y$67))+IF('01_Input'!$AB$67="Forfait",IF(T$20&gt;='01_Input'!$Z$67,'01_Input'!$AC$67,0),IF('01_Input'!$AB$67="Palier",IF(AND(T$20&gt;='01_Input'!$Z$67,T$20&lt;'01_Input'!$AA$67),'01_Input'!$AC$67,0),MAX(MIN(T$20,'01_Input'!$AA$67)-'01_Input'!$Z$67,0)*'01_Input'!$AC$67)))))))))</f>
        <v>0</v>
      </c>
      <c r="U35" s="25">
        <f>IF('01_Input'!$C$67="Non",0,MIN('01_Input'!$I$67,MAX('01_Input'!$H$67,IF('01_Input'!$G$67="Résiduel vs Gestion",0,IF('01_Input'!$G$67="Taux Classe sélectionnée",Distrib_Global_Classe_Selectionnee*U$20,IF('01_Input'!$G$67="Frais KYC (paliers de 100M€)",MAX(0,Nb_Investisseurs-Nb_KYC_Gratuites_Par_Tranche*(FLOOR(U$20/Taille_Tranche_KYC,1)+1))*Cout_Par_KYC_Supplementaire,(IF('01_Input'!$L$67="Forfait",IF(U$20&gt;='01_Input'!$J$67,'01_Input'!$M$67,0),IF('01_Input'!$L$67="Palier",IF(AND(U$20&gt;='01_Input'!$J$67,U$20&lt;'01_Input'!$K$67),'01_Input'!$M$67,0),MAX(MIN(U$20,'01_Input'!$K$67)-'01_Input'!$J$67,0)*'01_Input'!$M$67))+IF('01_Input'!$P$67="Forfait",IF(U$20&gt;='01_Input'!$N$67,'01_Input'!$Q$67,0),IF('01_Input'!$P$67="Palier",IF(AND(U$20&gt;='01_Input'!$N$67,U$20&lt;'01_Input'!$O$67),'01_Input'!$Q$67,0),MAX(MIN(U$20,'01_Input'!$O$67)-'01_Input'!$N$67,0)*'01_Input'!$Q$67))+IF('01_Input'!$T$67="Forfait",IF(U$20&gt;='01_Input'!$R$67,'01_Input'!$U$67,0),IF('01_Input'!$T$67="Palier",IF(AND(U$20&gt;='01_Input'!$R$67,U$20&lt;'01_Input'!$S$67),'01_Input'!$U$67,0),MAX(MIN(U$20,'01_Input'!$S$67)-'01_Input'!$R$67,0)*'01_Input'!$U$67))+IF('01_Input'!$X$67="Forfait",IF(U$20&gt;='01_Input'!$V$67,'01_Input'!$Y$67,0),IF('01_Input'!$X$67="Palier",IF(AND(U$20&gt;='01_Input'!$V$67,U$20&lt;'01_Input'!$W$67),'01_Input'!$Y$67,0),MAX(MIN(U$20,'01_Input'!$W$67)-'01_Input'!$V$67,0)*'01_Input'!$Y$67))+IF('01_Input'!$AB$67="Forfait",IF(U$20&gt;='01_Input'!$Z$67,'01_Input'!$AC$67,0),IF('01_Input'!$AB$67="Palier",IF(AND(U$20&gt;='01_Input'!$Z$67,U$20&lt;'01_Input'!$AA$67),'01_Input'!$AC$67,0),MAX(MIN(U$20,'01_Input'!$AA$67)-'01_Input'!$Z$67,0)*'01_Input'!$AC$67)))))))))</f>
        <v>0</v>
      </c>
      <c r="V35" s="25">
        <f>IF('01_Input'!$C$67="Non",0,MIN('01_Input'!$I$67,MAX('01_Input'!$H$67,IF('01_Input'!$G$67="Résiduel vs Gestion",0,IF('01_Input'!$G$67="Taux Classe sélectionnée",Distrib_Global_Classe_Selectionnee*V$20,IF('01_Input'!$G$67="Frais KYC (paliers de 100M€)",MAX(0,Nb_Investisseurs-Nb_KYC_Gratuites_Par_Tranche*(FLOOR(V$20/Taille_Tranche_KYC,1)+1))*Cout_Par_KYC_Supplementaire,(IF('01_Input'!$L$67="Forfait",IF(V$20&gt;='01_Input'!$J$67,'01_Input'!$M$67,0),IF('01_Input'!$L$67="Palier",IF(AND(V$20&gt;='01_Input'!$J$67,V$20&lt;'01_Input'!$K$67),'01_Input'!$M$67,0),MAX(MIN(V$20,'01_Input'!$K$67)-'01_Input'!$J$67,0)*'01_Input'!$M$67))+IF('01_Input'!$P$67="Forfait",IF(V$20&gt;='01_Input'!$N$67,'01_Input'!$Q$67,0),IF('01_Input'!$P$67="Palier",IF(AND(V$20&gt;='01_Input'!$N$67,V$20&lt;'01_Input'!$O$67),'01_Input'!$Q$67,0),MAX(MIN(V$20,'01_Input'!$O$67)-'01_Input'!$N$67,0)*'01_Input'!$Q$67))+IF('01_Input'!$T$67="Forfait",IF(V$20&gt;='01_Input'!$R$67,'01_Input'!$U$67,0),IF('01_Input'!$T$67="Palier",IF(AND(V$20&gt;='01_Input'!$R$67,V$20&lt;'01_Input'!$S$67),'01_Input'!$U$67,0),MAX(MIN(V$20,'01_Input'!$S$67)-'01_Input'!$R$67,0)*'01_Input'!$U$67))+IF('01_Input'!$X$67="Forfait",IF(V$20&gt;='01_Input'!$V$67,'01_Input'!$Y$67,0),IF('01_Input'!$X$67="Palier",IF(AND(V$20&gt;='01_Input'!$V$67,V$20&lt;'01_Input'!$W$67),'01_Input'!$Y$67,0),MAX(MIN(V$20,'01_Input'!$W$67)-'01_Input'!$V$67,0)*'01_Input'!$Y$67))+IF('01_Input'!$AB$67="Forfait",IF(V$20&gt;='01_Input'!$Z$67,'01_Input'!$AC$67,0),IF('01_Input'!$AB$67="Palier",IF(AND(V$20&gt;='01_Input'!$Z$67,V$20&lt;'01_Input'!$AA$67),'01_Input'!$AC$67,0),MAX(MIN(V$20,'01_Input'!$AA$67)-'01_Input'!$Z$67,0)*'01_Input'!$AC$67)))))))))</f>
        <v>0</v>
      </c>
      <c r="W35" s="25">
        <f>IF('01_Input'!$C$67="Non",0,MIN('01_Input'!$I$67,MAX('01_Input'!$H$67,IF('01_Input'!$G$67="Résiduel vs Gestion",0,IF('01_Input'!$G$67="Taux Classe sélectionnée",Distrib_Global_Classe_Selectionnee*W$20,IF('01_Input'!$G$67="Frais KYC (paliers de 100M€)",MAX(0,Nb_Investisseurs-Nb_KYC_Gratuites_Par_Tranche*(FLOOR(W$20/Taille_Tranche_KYC,1)+1))*Cout_Par_KYC_Supplementaire,(IF('01_Input'!$L$67="Forfait",IF(W$20&gt;='01_Input'!$J$67,'01_Input'!$M$67,0),IF('01_Input'!$L$67="Palier",IF(AND(W$20&gt;='01_Input'!$J$67,W$20&lt;'01_Input'!$K$67),'01_Input'!$M$67,0),MAX(MIN(W$20,'01_Input'!$K$67)-'01_Input'!$J$67,0)*'01_Input'!$M$67))+IF('01_Input'!$P$67="Forfait",IF(W$20&gt;='01_Input'!$N$67,'01_Input'!$Q$67,0),IF('01_Input'!$P$67="Palier",IF(AND(W$20&gt;='01_Input'!$N$67,W$20&lt;'01_Input'!$O$67),'01_Input'!$Q$67,0),MAX(MIN(W$20,'01_Input'!$O$67)-'01_Input'!$N$67,0)*'01_Input'!$Q$67))+IF('01_Input'!$T$67="Forfait",IF(W$20&gt;='01_Input'!$R$67,'01_Input'!$U$67,0),IF('01_Input'!$T$67="Palier",IF(AND(W$20&gt;='01_Input'!$R$67,W$20&lt;'01_Input'!$S$67),'01_Input'!$U$67,0),MAX(MIN(W$20,'01_Input'!$S$67)-'01_Input'!$R$67,0)*'01_Input'!$U$67))+IF('01_Input'!$X$67="Forfait",IF(W$20&gt;='01_Input'!$V$67,'01_Input'!$Y$67,0),IF('01_Input'!$X$67="Palier",IF(AND(W$20&gt;='01_Input'!$V$67,W$20&lt;'01_Input'!$W$67),'01_Input'!$Y$67,0),MAX(MIN(W$20,'01_Input'!$W$67)-'01_Input'!$V$67,0)*'01_Input'!$Y$67))+IF('01_Input'!$AB$67="Forfait",IF(W$20&gt;='01_Input'!$Z$67,'01_Input'!$AC$67,0),IF('01_Input'!$AB$67="Palier",IF(AND(W$20&gt;='01_Input'!$Z$67,W$20&lt;'01_Input'!$AA$67),'01_Input'!$AC$67,0),MAX(MIN(W$20,'01_Input'!$AA$67)-'01_Input'!$Z$67,0)*'01_Input'!$AC$67)))))))))</f>
        <v>0</v>
      </c>
      <c r="X35" s="25">
        <f>IF('01_Input'!$C$67="Non",0,MIN('01_Input'!$I$67,MAX('01_Input'!$H$67,IF('01_Input'!$G$67="Résiduel vs Gestion",0,IF('01_Input'!$G$67="Taux Classe sélectionnée",Distrib_Global_Classe_Selectionnee*X$20,IF('01_Input'!$G$67="Frais KYC (paliers de 100M€)",MAX(0,Nb_Investisseurs-Nb_KYC_Gratuites_Par_Tranche*(FLOOR(X$20/Taille_Tranche_KYC,1)+1))*Cout_Par_KYC_Supplementaire,(IF('01_Input'!$L$67="Forfait",IF(X$20&gt;='01_Input'!$J$67,'01_Input'!$M$67,0),IF('01_Input'!$L$67="Palier",IF(AND(X$20&gt;='01_Input'!$J$67,X$20&lt;'01_Input'!$K$67),'01_Input'!$M$67,0),MAX(MIN(X$20,'01_Input'!$K$67)-'01_Input'!$J$67,0)*'01_Input'!$M$67))+IF('01_Input'!$P$67="Forfait",IF(X$20&gt;='01_Input'!$N$67,'01_Input'!$Q$67,0),IF('01_Input'!$P$67="Palier",IF(AND(X$20&gt;='01_Input'!$N$67,X$20&lt;'01_Input'!$O$67),'01_Input'!$Q$67,0),MAX(MIN(X$20,'01_Input'!$O$67)-'01_Input'!$N$67,0)*'01_Input'!$Q$67))+IF('01_Input'!$T$67="Forfait",IF(X$20&gt;='01_Input'!$R$67,'01_Input'!$U$67,0),IF('01_Input'!$T$67="Palier",IF(AND(X$20&gt;='01_Input'!$R$67,X$20&lt;'01_Input'!$S$67),'01_Input'!$U$67,0),MAX(MIN(X$20,'01_Input'!$S$67)-'01_Input'!$R$67,0)*'01_Input'!$U$67))+IF('01_Input'!$X$67="Forfait",IF(X$20&gt;='01_Input'!$V$67,'01_Input'!$Y$67,0),IF('01_Input'!$X$67="Palier",IF(AND(X$20&gt;='01_Input'!$V$67,X$20&lt;'01_Input'!$W$67),'01_Input'!$Y$67,0),MAX(MIN(X$20,'01_Input'!$W$67)-'01_Input'!$V$67,0)*'01_Input'!$Y$67))+IF('01_Input'!$AB$67="Forfait",IF(X$20&gt;='01_Input'!$Z$67,'01_Input'!$AC$67,0),IF('01_Input'!$AB$67="Palier",IF(AND(X$20&gt;='01_Input'!$Z$67,X$20&lt;'01_Input'!$AA$67),'01_Input'!$AC$67,0),MAX(MIN(X$20,'01_Input'!$AA$67)-'01_Input'!$Z$67,0)*'01_Input'!$AC$67)))))))))</f>
        <v>0</v>
      </c>
      <c r="Y35" s="25">
        <f>IF('01_Input'!$C$67="Non",0,MIN('01_Input'!$I$67,MAX('01_Input'!$H$67,IF('01_Input'!$G$67="Résiduel vs Gestion",0,IF('01_Input'!$G$67="Taux Classe sélectionnée",Distrib_Global_Classe_Selectionnee*Y$20,IF('01_Input'!$G$67="Frais KYC (paliers de 100M€)",MAX(0,Nb_Investisseurs-Nb_KYC_Gratuites_Par_Tranche*(FLOOR(Y$20/Taille_Tranche_KYC,1)+1))*Cout_Par_KYC_Supplementaire,(IF('01_Input'!$L$67="Forfait",IF(Y$20&gt;='01_Input'!$J$67,'01_Input'!$M$67,0),IF('01_Input'!$L$67="Palier",IF(AND(Y$20&gt;='01_Input'!$J$67,Y$20&lt;'01_Input'!$K$67),'01_Input'!$M$67,0),MAX(MIN(Y$20,'01_Input'!$K$67)-'01_Input'!$J$67,0)*'01_Input'!$M$67))+IF('01_Input'!$P$67="Forfait",IF(Y$20&gt;='01_Input'!$N$67,'01_Input'!$Q$67,0),IF('01_Input'!$P$67="Palier",IF(AND(Y$20&gt;='01_Input'!$N$67,Y$20&lt;'01_Input'!$O$67),'01_Input'!$Q$67,0),MAX(MIN(Y$20,'01_Input'!$O$67)-'01_Input'!$N$67,0)*'01_Input'!$Q$67))+IF('01_Input'!$T$67="Forfait",IF(Y$20&gt;='01_Input'!$R$67,'01_Input'!$U$67,0),IF('01_Input'!$T$67="Palier",IF(AND(Y$20&gt;='01_Input'!$R$67,Y$20&lt;'01_Input'!$S$67),'01_Input'!$U$67,0),MAX(MIN(Y$20,'01_Input'!$S$67)-'01_Input'!$R$67,0)*'01_Input'!$U$67))+IF('01_Input'!$X$67="Forfait",IF(Y$20&gt;='01_Input'!$V$67,'01_Input'!$Y$67,0),IF('01_Input'!$X$67="Palier",IF(AND(Y$20&gt;='01_Input'!$V$67,Y$20&lt;'01_Input'!$W$67),'01_Input'!$Y$67,0),MAX(MIN(Y$20,'01_Input'!$W$67)-'01_Input'!$V$67,0)*'01_Input'!$Y$67))+IF('01_Input'!$AB$67="Forfait",IF(Y$20&gt;='01_Input'!$Z$67,'01_Input'!$AC$67,0),IF('01_Input'!$AB$67="Palier",IF(AND(Y$20&gt;='01_Input'!$Z$67,Y$20&lt;'01_Input'!$AA$67),'01_Input'!$AC$67,0),MAX(MIN(Y$20,'01_Input'!$AA$67)-'01_Input'!$Z$67,0)*'01_Input'!$AC$67)))))))))</f>
        <v>0</v>
      </c>
      <c r="Z35" s="25">
        <f>IF('01_Input'!$C$67="Non",0,MIN('01_Input'!$I$67,MAX('01_Input'!$H$67,IF('01_Input'!$G$67="Résiduel vs Gestion",0,IF('01_Input'!$G$67="Taux Classe sélectionnée",Distrib_Global_Classe_Selectionnee*Z$20,IF('01_Input'!$G$67="Frais KYC (paliers de 100M€)",MAX(0,Nb_Investisseurs-Nb_KYC_Gratuites_Par_Tranche*(FLOOR(Z$20/Taille_Tranche_KYC,1)+1))*Cout_Par_KYC_Supplementaire,(IF('01_Input'!$L$67="Forfait",IF(Z$20&gt;='01_Input'!$J$67,'01_Input'!$M$67,0),IF('01_Input'!$L$67="Palier",IF(AND(Z$20&gt;='01_Input'!$J$67,Z$20&lt;'01_Input'!$K$67),'01_Input'!$M$67,0),MAX(MIN(Z$20,'01_Input'!$K$67)-'01_Input'!$J$67,0)*'01_Input'!$M$67))+IF('01_Input'!$P$67="Forfait",IF(Z$20&gt;='01_Input'!$N$67,'01_Input'!$Q$67,0),IF('01_Input'!$P$67="Palier",IF(AND(Z$20&gt;='01_Input'!$N$67,Z$20&lt;'01_Input'!$O$67),'01_Input'!$Q$67,0),MAX(MIN(Z$20,'01_Input'!$O$67)-'01_Input'!$N$67,0)*'01_Input'!$Q$67))+IF('01_Input'!$T$67="Forfait",IF(Z$20&gt;='01_Input'!$R$67,'01_Input'!$U$67,0),IF('01_Input'!$T$67="Palier",IF(AND(Z$20&gt;='01_Input'!$R$67,Z$20&lt;'01_Input'!$S$67),'01_Input'!$U$67,0),MAX(MIN(Z$20,'01_Input'!$S$67)-'01_Input'!$R$67,0)*'01_Input'!$U$67))+IF('01_Input'!$X$67="Forfait",IF(Z$20&gt;='01_Input'!$V$67,'01_Input'!$Y$67,0),IF('01_Input'!$X$67="Palier",IF(AND(Z$20&gt;='01_Input'!$V$67,Z$20&lt;'01_Input'!$W$67),'01_Input'!$Y$67,0),MAX(MIN(Z$20,'01_Input'!$W$67)-'01_Input'!$V$67,0)*'01_Input'!$Y$67))+IF('01_Input'!$AB$67="Forfait",IF(Z$20&gt;='01_Input'!$Z$67,'01_Input'!$AC$67,0),IF('01_Input'!$AB$67="Palier",IF(AND(Z$20&gt;='01_Input'!$Z$67,Z$20&lt;'01_Input'!$AA$67),'01_Input'!$AC$67,0),MAX(MIN(Z$20,'01_Input'!$AA$67)-'01_Input'!$Z$67,0)*'01_Input'!$AC$67)))))))))</f>
        <v>0</v>
      </c>
      <c r="AA35" s="25">
        <f>IF('01_Input'!$C$67="Non",0,MIN('01_Input'!$I$67,MAX('01_Input'!$H$67,IF('01_Input'!$G$67="Résiduel vs Gestion",0,IF('01_Input'!$G$67="Taux Classe sélectionnée",Distrib_Global_Classe_Selectionnee*AA$20,IF('01_Input'!$G$67="Frais KYC (paliers de 100M€)",MAX(0,Nb_Investisseurs-Nb_KYC_Gratuites_Par_Tranche*(FLOOR(AA$20/Taille_Tranche_KYC,1)+1))*Cout_Par_KYC_Supplementaire,(IF('01_Input'!$L$67="Forfait",IF(AA$20&gt;='01_Input'!$J$67,'01_Input'!$M$67,0),IF('01_Input'!$L$67="Palier",IF(AND(AA$20&gt;='01_Input'!$J$67,AA$20&lt;'01_Input'!$K$67),'01_Input'!$M$67,0),MAX(MIN(AA$20,'01_Input'!$K$67)-'01_Input'!$J$67,0)*'01_Input'!$M$67))+IF('01_Input'!$P$67="Forfait",IF(AA$20&gt;='01_Input'!$N$67,'01_Input'!$Q$67,0),IF('01_Input'!$P$67="Palier",IF(AND(AA$20&gt;='01_Input'!$N$67,AA$20&lt;'01_Input'!$O$67),'01_Input'!$Q$67,0),MAX(MIN(AA$20,'01_Input'!$O$67)-'01_Input'!$N$67,0)*'01_Input'!$Q$67))+IF('01_Input'!$T$67="Forfait",IF(AA$20&gt;='01_Input'!$R$67,'01_Input'!$U$67,0),IF('01_Input'!$T$67="Palier",IF(AND(AA$20&gt;='01_Input'!$R$67,AA$20&lt;'01_Input'!$S$67),'01_Input'!$U$67,0),MAX(MIN(AA$20,'01_Input'!$S$67)-'01_Input'!$R$67,0)*'01_Input'!$U$67))+IF('01_Input'!$X$67="Forfait",IF(AA$20&gt;='01_Input'!$V$67,'01_Input'!$Y$67,0),IF('01_Input'!$X$67="Palier",IF(AND(AA$20&gt;='01_Input'!$V$67,AA$20&lt;'01_Input'!$W$67),'01_Input'!$Y$67,0),MAX(MIN(AA$20,'01_Input'!$W$67)-'01_Input'!$V$67,0)*'01_Input'!$Y$67))+IF('01_Input'!$AB$67="Forfait",IF(AA$20&gt;='01_Input'!$Z$67,'01_Input'!$AC$67,0),IF('01_Input'!$AB$67="Palier",IF(AND(AA$20&gt;='01_Input'!$Z$67,AA$20&lt;'01_Input'!$AA$67),'01_Input'!$AC$67,0),MAX(MIN(AA$20,'01_Input'!$AA$67)-'01_Input'!$Z$67,0)*'01_Input'!$AC$67)))))))))</f>
        <v>0</v>
      </c>
      <c r="AB35" s="25">
        <f>IF('01_Input'!$C$67="Non",0,MIN('01_Input'!$I$67,MAX('01_Input'!$H$67,IF('01_Input'!$G$67="Résiduel vs Gestion",0,IF('01_Input'!$G$67="Taux Classe sélectionnée",Distrib_Global_Classe_Selectionnee*AB$20,IF('01_Input'!$G$67="Frais KYC (paliers de 100M€)",MAX(0,Nb_Investisseurs-Nb_KYC_Gratuites_Par_Tranche*(FLOOR(AB$20/Taille_Tranche_KYC,1)+1))*Cout_Par_KYC_Supplementaire,(IF('01_Input'!$L$67="Forfait",IF(AB$20&gt;='01_Input'!$J$67,'01_Input'!$M$67,0),IF('01_Input'!$L$67="Palier",IF(AND(AB$20&gt;='01_Input'!$J$67,AB$20&lt;'01_Input'!$K$67),'01_Input'!$M$67,0),MAX(MIN(AB$20,'01_Input'!$K$67)-'01_Input'!$J$67,0)*'01_Input'!$M$67))+IF('01_Input'!$P$67="Forfait",IF(AB$20&gt;='01_Input'!$N$67,'01_Input'!$Q$67,0),IF('01_Input'!$P$67="Palier",IF(AND(AB$20&gt;='01_Input'!$N$67,AB$20&lt;'01_Input'!$O$67),'01_Input'!$Q$67,0),MAX(MIN(AB$20,'01_Input'!$O$67)-'01_Input'!$N$67,0)*'01_Input'!$Q$67))+IF('01_Input'!$T$67="Forfait",IF(AB$20&gt;='01_Input'!$R$67,'01_Input'!$U$67,0),IF('01_Input'!$T$67="Palier",IF(AND(AB$20&gt;='01_Input'!$R$67,AB$20&lt;'01_Input'!$S$67),'01_Input'!$U$67,0),MAX(MIN(AB$20,'01_Input'!$S$67)-'01_Input'!$R$67,0)*'01_Input'!$U$67))+IF('01_Input'!$X$67="Forfait",IF(AB$20&gt;='01_Input'!$V$67,'01_Input'!$Y$67,0),IF('01_Input'!$X$67="Palier",IF(AND(AB$20&gt;='01_Input'!$V$67,AB$20&lt;'01_Input'!$W$67),'01_Input'!$Y$67,0),MAX(MIN(AB$20,'01_Input'!$W$67)-'01_Input'!$V$67,0)*'01_Input'!$Y$67))+IF('01_Input'!$AB$67="Forfait",IF(AB$20&gt;='01_Input'!$Z$67,'01_Input'!$AC$67,0),IF('01_Input'!$AB$67="Palier",IF(AND(AB$20&gt;='01_Input'!$Z$67,AB$20&lt;'01_Input'!$AA$67),'01_Input'!$AC$67,0),MAX(MIN(AB$20,'01_Input'!$AA$67)-'01_Input'!$Z$67,0)*'01_Input'!$AC$67)))))))))</f>
        <v>0</v>
      </c>
      <c r="AC35" s="25">
        <f>IF('01_Input'!$C$67="Non",0,MIN('01_Input'!$I$67,MAX('01_Input'!$H$67,IF('01_Input'!$G$67="Résiduel vs Gestion",0,IF('01_Input'!$G$67="Taux Classe sélectionnée",Distrib_Global_Classe_Selectionnee*AC$20,IF('01_Input'!$G$67="Frais KYC (paliers de 100M€)",MAX(0,Nb_Investisseurs-Nb_KYC_Gratuites_Par_Tranche*(FLOOR(AC$20/Taille_Tranche_KYC,1)+1))*Cout_Par_KYC_Supplementaire,(IF('01_Input'!$L$67="Forfait",IF(AC$20&gt;='01_Input'!$J$67,'01_Input'!$M$67,0),IF('01_Input'!$L$67="Palier",IF(AND(AC$20&gt;='01_Input'!$J$67,AC$20&lt;'01_Input'!$K$67),'01_Input'!$M$67,0),MAX(MIN(AC$20,'01_Input'!$K$67)-'01_Input'!$J$67,0)*'01_Input'!$M$67))+IF('01_Input'!$P$67="Forfait",IF(AC$20&gt;='01_Input'!$N$67,'01_Input'!$Q$67,0),IF('01_Input'!$P$67="Palier",IF(AND(AC$20&gt;='01_Input'!$N$67,AC$20&lt;'01_Input'!$O$67),'01_Input'!$Q$67,0),MAX(MIN(AC$20,'01_Input'!$O$67)-'01_Input'!$N$67,0)*'01_Input'!$Q$67))+IF('01_Input'!$T$67="Forfait",IF(AC$20&gt;='01_Input'!$R$67,'01_Input'!$U$67,0),IF('01_Input'!$T$67="Palier",IF(AND(AC$20&gt;='01_Input'!$R$67,AC$20&lt;'01_Input'!$S$67),'01_Input'!$U$67,0),MAX(MIN(AC$20,'01_Input'!$S$67)-'01_Input'!$R$67,0)*'01_Input'!$U$67))+IF('01_Input'!$X$67="Forfait",IF(AC$20&gt;='01_Input'!$V$67,'01_Input'!$Y$67,0),IF('01_Input'!$X$67="Palier",IF(AND(AC$20&gt;='01_Input'!$V$67,AC$20&lt;'01_Input'!$W$67),'01_Input'!$Y$67,0),MAX(MIN(AC$20,'01_Input'!$W$67)-'01_Input'!$V$67,0)*'01_Input'!$Y$67))+IF('01_Input'!$AB$67="Forfait",IF(AC$20&gt;='01_Input'!$Z$67,'01_Input'!$AC$67,0),IF('01_Input'!$AB$67="Palier",IF(AND(AC$20&gt;='01_Input'!$Z$67,AC$20&lt;'01_Input'!$AA$67),'01_Input'!$AC$67,0),MAX(MIN(AC$20,'01_Input'!$AA$67)-'01_Input'!$Z$67,0)*'01_Input'!$AC$67)))))))))</f>
        <v>0</v>
      </c>
      <c r="AD35" s="25">
        <f>IF('01_Input'!$C$67="Non",0,MIN('01_Input'!$I$67,MAX('01_Input'!$H$67,IF('01_Input'!$G$67="Résiduel vs Gestion",0,IF('01_Input'!$G$67="Taux Classe sélectionnée",Distrib_Global_Classe_Selectionnee*AD$20,IF('01_Input'!$G$67="Frais KYC (paliers de 100M€)",MAX(0,Nb_Investisseurs-Nb_KYC_Gratuites_Par_Tranche*(FLOOR(AD$20/Taille_Tranche_KYC,1)+1))*Cout_Par_KYC_Supplementaire,(IF('01_Input'!$L$67="Forfait",IF(AD$20&gt;='01_Input'!$J$67,'01_Input'!$M$67,0),IF('01_Input'!$L$67="Palier",IF(AND(AD$20&gt;='01_Input'!$J$67,AD$20&lt;'01_Input'!$K$67),'01_Input'!$M$67,0),MAX(MIN(AD$20,'01_Input'!$K$67)-'01_Input'!$J$67,0)*'01_Input'!$M$67))+IF('01_Input'!$P$67="Forfait",IF(AD$20&gt;='01_Input'!$N$67,'01_Input'!$Q$67,0),IF('01_Input'!$P$67="Palier",IF(AND(AD$20&gt;='01_Input'!$N$67,AD$20&lt;'01_Input'!$O$67),'01_Input'!$Q$67,0),MAX(MIN(AD$20,'01_Input'!$O$67)-'01_Input'!$N$67,0)*'01_Input'!$Q$67))+IF('01_Input'!$T$67="Forfait",IF(AD$20&gt;='01_Input'!$R$67,'01_Input'!$U$67,0),IF('01_Input'!$T$67="Palier",IF(AND(AD$20&gt;='01_Input'!$R$67,AD$20&lt;'01_Input'!$S$67),'01_Input'!$U$67,0),MAX(MIN(AD$20,'01_Input'!$S$67)-'01_Input'!$R$67,0)*'01_Input'!$U$67))+IF('01_Input'!$X$67="Forfait",IF(AD$20&gt;='01_Input'!$V$67,'01_Input'!$Y$67,0),IF('01_Input'!$X$67="Palier",IF(AND(AD$20&gt;='01_Input'!$V$67,AD$20&lt;'01_Input'!$W$67),'01_Input'!$Y$67,0),MAX(MIN(AD$20,'01_Input'!$W$67)-'01_Input'!$V$67,0)*'01_Input'!$Y$67))+IF('01_Input'!$AB$67="Forfait",IF(AD$20&gt;='01_Input'!$Z$67,'01_Input'!$AC$67,0),IF('01_Input'!$AB$67="Palier",IF(AND(AD$20&gt;='01_Input'!$Z$67,AD$20&lt;'01_Input'!$AA$67),'01_Input'!$AC$67,0),MAX(MIN(AD$20,'01_Input'!$AA$67)-'01_Input'!$Z$67,0)*'01_Input'!$AC$67)))))))))</f>
        <v>0</v>
      </c>
      <c r="AE35" s="25">
        <f>IF('01_Input'!$C$67="Non",0,MIN('01_Input'!$I$67,MAX('01_Input'!$H$67,IF('01_Input'!$G$67="Résiduel vs Gestion",0,IF('01_Input'!$G$67="Taux Classe sélectionnée",Distrib_Global_Classe_Selectionnee*AE$20,IF('01_Input'!$G$67="Frais KYC (paliers de 100M€)",MAX(0,Nb_Investisseurs-Nb_KYC_Gratuites_Par_Tranche*(FLOOR(AE$20/Taille_Tranche_KYC,1)+1))*Cout_Par_KYC_Supplementaire,(IF('01_Input'!$L$67="Forfait",IF(AE$20&gt;='01_Input'!$J$67,'01_Input'!$M$67,0),IF('01_Input'!$L$67="Palier",IF(AND(AE$20&gt;='01_Input'!$J$67,AE$20&lt;'01_Input'!$K$67),'01_Input'!$M$67,0),MAX(MIN(AE$20,'01_Input'!$K$67)-'01_Input'!$J$67,0)*'01_Input'!$M$67))+IF('01_Input'!$P$67="Forfait",IF(AE$20&gt;='01_Input'!$N$67,'01_Input'!$Q$67,0),IF('01_Input'!$P$67="Palier",IF(AND(AE$20&gt;='01_Input'!$N$67,AE$20&lt;'01_Input'!$O$67),'01_Input'!$Q$67,0),MAX(MIN(AE$20,'01_Input'!$O$67)-'01_Input'!$N$67,0)*'01_Input'!$Q$67))+IF('01_Input'!$T$67="Forfait",IF(AE$20&gt;='01_Input'!$R$67,'01_Input'!$U$67,0),IF('01_Input'!$T$67="Palier",IF(AND(AE$20&gt;='01_Input'!$R$67,AE$20&lt;'01_Input'!$S$67),'01_Input'!$U$67,0),MAX(MIN(AE$20,'01_Input'!$S$67)-'01_Input'!$R$67,0)*'01_Input'!$U$67))+IF('01_Input'!$X$67="Forfait",IF(AE$20&gt;='01_Input'!$V$67,'01_Input'!$Y$67,0),IF('01_Input'!$X$67="Palier",IF(AND(AE$20&gt;='01_Input'!$V$67,AE$20&lt;'01_Input'!$W$67),'01_Input'!$Y$67,0),MAX(MIN(AE$20,'01_Input'!$W$67)-'01_Input'!$V$67,0)*'01_Input'!$Y$67))+IF('01_Input'!$AB$67="Forfait",IF(AE$20&gt;='01_Input'!$Z$67,'01_Input'!$AC$67,0),IF('01_Input'!$AB$67="Palier",IF(AND(AE$20&gt;='01_Input'!$Z$67,AE$20&lt;'01_Input'!$AA$67),'01_Input'!$AC$67,0),MAX(MIN(AE$20,'01_Input'!$AA$67)-'01_Input'!$Z$67,0)*'01_Input'!$AC$67)))))))))</f>
        <v>0</v>
      </c>
      <c r="AF35" s="25">
        <f>IF('01_Input'!$C$67="Non",0,MIN('01_Input'!$I$67,MAX('01_Input'!$H$67,IF('01_Input'!$G$67="Résiduel vs Gestion",0,IF('01_Input'!$G$67="Taux Classe sélectionnée",Distrib_Global_Classe_Selectionnee*AF$20,IF('01_Input'!$G$67="Frais KYC (paliers de 100M€)",MAX(0,Nb_Investisseurs-Nb_KYC_Gratuites_Par_Tranche*(FLOOR(AF$20/Taille_Tranche_KYC,1)+1))*Cout_Par_KYC_Supplementaire,(IF('01_Input'!$L$67="Forfait",IF(AF$20&gt;='01_Input'!$J$67,'01_Input'!$M$67,0),IF('01_Input'!$L$67="Palier",IF(AND(AF$20&gt;='01_Input'!$J$67,AF$20&lt;'01_Input'!$K$67),'01_Input'!$M$67,0),MAX(MIN(AF$20,'01_Input'!$K$67)-'01_Input'!$J$67,0)*'01_Input'!$M$67))+IF('01_Input'!$P$67="Forfait",IF(AF$20&gt;='01_Input'!$N$67,'01_Input'!$Q$67,0),IF('01_Input'!$P$67="Palier",IF(AND(AF$20&gt;='01_Input'!$N$67,AF$20&lt;'01_Input'!$O$67),'01_Input'!$Q$67,0),MAX(MIN(AF$20,'01_Input'!$O$67)-'01_Input'!$N$67,0)*'01_Input'!$Q$67))+IF('01_Input'!$T$67="Forfait",IF(AF$20&gt;='01_Input'!$R$67,'01_Input'!$U$67,0),IF('01_Input'!$T$67="Palier",IF(AND(AF$20&gt;='01_Input'!$R$67,AF$20&lt;'01_Input'!$S$67),'01_Input'!$U$67,0),MAX(MIN(AF$20,'01_Input'!$S$67)-'01_Input'!$R$67,0)*'01_Input'!$U$67))+IF('01_Input'!$X$67="Forfait",IF(AF$20&gt;='01_Input'!$V$67,'01_Input'!$Y$67,0),IF('01_Input'!$X$67="Palier",IF(AND(AF$20&gt;='01_Input'!$V$67,AF$20&lt;'01_Input'!$W$67),'01_Input'!$Y$67,0),MAX(MIN(AF$20,'01_Input'!$W$67)-'01_Input'!$V$67,0)*'01_Input'!$Y$67))+IF('01_Input'!$AB$67="Forfait",IF(AF$20&gt;='01_Input'!$Z$67,'01_Input'!$AC$67,0),IF('01_Input'!$AB$67="Palier",IF(AND(AF$20&gt;='01_Input'!$Z$67,AF$20&lt;'01_Input'!$AA$67),'01_Input'!$AC$67,0),MAX(MIN(AF$20,'01_Input'!$AA$67)-'01_Input'!$Z$67,0)*'01_Input'!$AC$67)))))))))</f>
        <v>0</v>
      </c>
      <c r="AG35" s="25">
        <f>IF('01_Input'!$C$67="Non",0,MIN('01_Input'!$I$67,MAX('01_Input'!$H$67,IF('01_Input'!$G$67="Résiduel vs Gestion",0,IF('01_Input'!$G$67="Taux Classe sélectionnée",Distrib_Global_Classe_Selectionnee*AG$20,IF('01_Input'!$G$67="Frais KYC (paliers de 100M€)",MAX(0,Nb_Investisseurs-Nb_KYC_Gratuites_Par_Tranche*(FLOOR(AG$20/Taille_Tranche_KYC,1)+1))*Cout_Par_KYC_Supplementaire,(IF('01_Input'!$L$67="Forfait",IF(AG$20&gt;='01_Input'!$J$67,'01_Input'!$M$67,0),IF('01_Input'!$L$67="Palier",IF(AND(AG$20&gt;='01_Input'!$J$67,AG$20&lt;'01_Input'!$K$67),'01_Input'!$M$67,0),MAX(MIN(AG$20,'01_Input'!$K$67)-'01_Input'!$J$67,0)*'01_Input'!$M$67))+IF('01_Input'!$P$67="Forfait",IF(AG$20&gt;='01_Input'!$N$67,'01_Input'!$Q$67,0),IF('01_Input'!$P$67="Palier",IF(AND(AG$20&gt;='01_Input'!$N$67,AG$20&lt;'01_Input'!$O$67),'01_Input'!$Q$67,0),MAX(MIN(AG$20,'01_Input'!$O$67)-'01_Input'!$N$67,0)*'01_Input'!$Q$67))+IF('01_Input'!$T$67="Forfait",IF(AG$20&gt;='01_Input'!$R$67,'01_Input'!$U$67,0),IF('01_Input'!$T$67="Palier",IF(AND(AG$20&gt;='01_Input'!$R$67,AG$20&lt;'01_Input'!$S$67),'01_Input'!$U$67,0),MAX(MIN(AG$20,'01_Input'!$S$67)-'01_Input'!$R$67,0)*'01_Input'!$U$67))+IF('01_Input'!$X$67="Forfait",IF(AG$20&gt;='01_Input'!$V$67,'01_Input'!$Y$67,0),IF('01_Input'!$X$67="Palier",IF(AND(AG$20&gt;='01_Input'!$V$67,AG$20&lt;'01_Input'!$W$67),'01_Input'!$Y$67,0),MAX(MIN(AG$20,'01_Input'!$W$67)-'01_Input'!$V$67,0)*'01_Input'!$Y$67))+IF('01_Input'!$AB$67="Forfait",IF(AG$20&gt;='01_Input'!$Z$67,'01_Input'!$AC$67,0),IF('01_Input'!$AB$67="Palier",IF(AND(AG$20&gt;='01_Input'!$Z$67,AG$20&lt;'01_Input'!$AA$67),'01_Input'!$AC$67,0),MAX(MIN(AG$20,'01_Input'!$AA$67)-'01_Input'!$Z$67,0)*'01_Input'!$AC$67)))))))))</f>
        <v>0</v>
      </c>
      <c r="AH35" s="25">
        <f>IF('01_Input'!$C$67="Non",0,MIN('01_Input'!$I$67,MAX('01_Input'!$H$67,IF('01_Input'!$G$67="Résiduel vs Gestion",0,IF('01_Input'!$G$67="Taux Classe sélectionnée",Distrib_Global_Classe_Selectionnee*AH$20,IF('01_Input'!$G$67="Frais KYC (paliers de 100M€)",MAX(0,Nb_Investisseurs-Nb_KYC_Gratuites_Par_Tranche*(FLOOR(AH$20/Taille_Tranche_KYC,1)+1))*Cout_Par_KYC_Supplementaire,(IF('01_Input'!$L$67="Forfait",IF(AH$20&gt;='01_Input'!$J$67,'01_Input'!$M$67,0),IF('01_Input'!$L$67="Palier",IF(AND(AH$20&gt;='01_Input'!$J$67,AH$20&lt;'01_Input'!$K$67),'01_Input'!$M$67,0),MAX(MIN(AH$20,'01_Input'!$K$67)-'01_Input'!$J$67,0)*'01_Input'!$M$67))+IF('01_Input'!$P$67="Forfait",IF(AH$20&gt;='01_Input'!$N$67,'01_Input'!$Q$67,0),IF('01_Input'!$P$67="Palier",IF(AND(AH$20&gt;='01_Input'!$N$67,AH$20&lt;'01_Input'!$O$67),'01_Input'!$Q$67,0),MAX(MIN(AH$20,'01_Input'!$O$67)-'01_Input'!$N$67,0)*'01_Input'!$Q$67))+IF('01_Input'!$T$67="Forfait",IF(AH$20&gt;='01_Input'!$R$67,'01_Input'!$U$67,0),IF('01_Input'!$T$67="Palier",IF(AND(AH$20&gt;='01_Input'!$R$67,AH$20&lt;'01_Input'!$S$67),'01_Input'!$U$67,0),MAX(MIN(AH$20,'01_Input'!$S$67)-'01_Input'!$R$67,0)*'01_Input'!$U$67))+IF('01_Input'!$X$67="Forfait",IF(AH$20&gt;='01_Input'!$V$67,'01_Input'!$Y$67,0),IF('01_Input'!$X$67="Palier",IF(AND(AH$20&gt;='01_Input'!$V$67,AH$20&lt;'01_Input'!$W$67),'01_Input'!$Y$67,0),MAX(MIN(AH$20,'01_Input'!$W$67)-'01_Input'!$V$67,0)*'01_Input'!$Y$67))+IF('01_Input'!$AB$67="Forfait",IF(AH$20&gt;='01_Input'!$Z$67,'01_Input'!$AC$67,0),IF('01_Input'!$AB$67="Palier",IF(AND(AH$20&gt;='01_Input'!$Z$67,AH$20&lt;'01_Input'!$AA$67),'01_Input'!$AC$67,0),MAX(MIN(AH$20,'01_Input'!$AA$67)-'01_Input'!$Z$67,0)*'01_Input'!$AC$67)))))))))</f>
        <v>0</v>
      </c>
      <c r="AI35" s="25">
        <f>IF('01_Input'!$C$67="Non",0,MIN('01_Input'!$I$67,MAX('01_Input'!$H$67,IF('01_Input'!$G$67="Résiduel vs Gestion",0,IF('01_Input'!$G$67="Taux Classe sélectionnée",Distrib_Global_Classe_Selectionnee*AI$20,IF('01_Input'!$G$67="Frais KYC (paliers de 100M€)",MAX(0,Nb_Investisseurs-Nb_KYC_Gratuites_Par_Tranche*(FLOOR(AI$20/Taille_Tranche_KYC,1)+1))*Cout_Par_KYC_Supplementaire,(IF('01_Input'!$L$67="Forfait",IF(AI$20&gt;='01_Input'!$J$67,'01_Input'!$M$67,0),IF('01_Input'!$L$67="Palier",IF(AND(AI$20&gt;='01_Input'!$J$67,AI$20&lt;'01_Input'!$K$67),'01_Input'!$M$67,0),MAX(MIN(AI$20,'01_Input'!$K$67)-'01_Input'!$J$67,0)*'01_Input'!$M$67))+IF('01_Input'!$P$67="Forfait",IF(AI$20&gt;='01_Input'!$N$67,'01_Input'!$Q$67,0),IF('01_Input'!$P$67="Palier",IF(AND(AI$20&gt;='01_Input'!$N$67,AI$20&lt;'01_Input'!$O$67),'01_Input'!$Q$67,0),MAX(MIN(AI$20,'01_Input'!$O$67)-'01_Input'!$N$67,0)*'01_Input'!$Q$67))+IF('01_Input'!$T$67="Forfait",IF(AI$20&gt;='01_Input'!$R$67,'01_Input'!$U$67,0),IF('01_Input'!$T$67="Palier",IF(AND(AI$20&gt;='01_Input'!$R$67,AI$20&lt;'01_Input'!$S$67),'01_Input'!$U$67,0),MAX(MIN(AI$20,'01_Input'!$S$67)-'01_Input'!$R$67,0)*'01_Input'!$U$67))+IF('01_Input'!$X$67="Forfait",IF(AI$20&gt;='01_Input'!$V$67,'01_Input'!$Y$67,0),IF('01_Input'!$X$67="Palier",IF(AND(AI$20&gt;='01_Input'!$V$67,AI$20&lt;'01_Input'!$W$67),'01_Input'!$Y$67,0),MAX(MIN(AI$20,'01_Input'!$W$67)-'01_Input'!$V$67,0)*'01_Input'!$Y$67))+IF('01_Input'!$AB$67="Forfait",IF(AI$20&gt;='01_Input'!$Z$67,'01_Input'!$AC$67,0),IF('01_Input'!$AB$67="Palier",IF(AND(AI$20&gt;='01_Input'!$Z$67,AI$20&lt;'01_Input'!$AA$67),'01_Input'!$AC$67,0),MAX(MIN(AI$20,'01_Input'!$AA$67)-'01_Input'!$Z$67,0)*'01_Input'!$AC$67)))))))))</f>
        <v>0</v>
      </c>
      <c r="AJ35" s="25">
        <f>IF('01_Input'!$C$67="Non",0,MIN('01_Input'!$I$67,MAX('01_Input'!$H$67,IF('01_Input'!$G$67="Résiduel vs Gestion",0,IF('01_Input'!$G$67="Taux Classe sélectionnée",Distrib_Global_Classe_Selectionnee*AJ$20,IF('01_Input'!$G$67="Frais KYC (paliers de 100M€)",MAX(0,Nb_Investisseurs-Nb_KYC_Gratuites_Par_Tranche*(FLOOR(AJ$20/Taille_Tranche_KYC,1)+1))*Cout_Par_KYC_Supplementaire,(IF('01_Input'!$L$67="Forfait",IF(AJ$20&gt;='01_Input'!$J$67,'01_Input'!$M$67,0),IF('01_Input'!$L$67="Palier",IF(AND(AJ$20&gt;='01_Input'!$J$67,AJ$20&lt;'01_Input'!$K$67),'01_Input'!$M$67,0),MAX(MIN(AJ$20,'01_Input'!$K$67)-'01_Input'!$J$67,0)*'01_Input'!$M$67))+IF('01_Input'!$P$67="Forfait",IF(AJ$20&gt;='01_Input'!$N$67,'01_Input'!$Q$67,0),IF('01_Input'!$P$67="Palier",IF(AND(AJ$20&gt;='01_Input'!$N$67,AJ$20&lt;'01_Input'!$O$67),'01_Input'!$Q$67,0),MAX(MIN(AJ$20,'01_Input'!$O$67)-'01_Input'!$N$67,0)*'01_Input'!$Q$67))+IF('01_Input'!$T$67="Forfait",IF(AJ$20&gt;='01_Input'!$R$67,'01_Input'!$U$67,0),IF('01_Input'!$T$67="Palier",IF(AND(AJ$20&gt;='01_Input'!$R$67,AJ$20&lt;'01_Input'!$S$67),'01_Input'!$U$67,0),MAX(MIN(AJ$20,'01_Input'!$S$67)-'01_Input'!$R$67,0)*'01_Input'!$U$67))+IF('01_Input'!$X$67="Forfait",IF(AJ$20&gt;='01_Input'!$V$67,'01_Input'!$Y$67,0),IF('01_Input'!$X$67="Palier",IF(AND(AJ$20&gt;='01_Input'!$V$67,AJ$20&lt;'01_Input'!$W$67),'01_Input'!$Y$67,0),MAX(MIN(AJ$20,'01_Input'!$W$67)-'01_Input'!$V$67,0)*'01_Input'!$Y$67))+IF('01_Input'!$AB$67="Forfait",IF(AJ$20&gt;='01_Input'!$Z$67,'01_Input'!$AC$67,0),IF('01_Input'!$AB$67="Palier",IF(AND(AJ$20&gt;='01_Input'!$Z$67,AJ$20&lt;'01_Input'!$AA$67),'01_Input'!$AC$67,0),MAX(MIN(AJ$20,'01_Input'!$AA$67)-'01_Input'!$Z$67,0)*'01_Input'!$AC$67)))))))))</f>
        <v>0</v>
      </c>
      <c r="AK35" s="25">
        <f>IF('01_Input'!$C$67="Non",0,MIN('01_Input'!$I$67,MAX('01_Input'!$H$67,IF('01_Input'!$G$67="Résiduel vs Gestion",0,IF('01_Input'!$G$67="Taux Classe sélectionnée",Distrib_Global_Classe_Selectionnee*AK$20,IF('01_Input'!$G$67="Frais KYC (paliers de 100M€)",MAX(0,Nb_Investisseurs-Nb_KYC_Gratuites_Par_Tranche*(FLOOR(AK$20/Taille_Tranche_KYC,1)+1))*Cout_Par_KYC_Supplementaire,(IF('01_Input'!$L$67="Forfait",IF(AK$20&gt;='01_Input'!$J$67,'01_Input'!$M$67,0),IF('01_Input'!$L$67="Palier",IF(AND(AK$20&gt;='01_Input'!$J$67,AK$20&lt;'01_Input'!$K$67),'01_Input'!$M$67,0),MAX(MIN(AK$20,'01_Input'!$K$67)-'01_Input'!$J$67,0)*'01_Input'!$M$67))+IF('01_Input'!$P$67="Forfait",IF(AK$20&gt;='01_Input'!$N$67,'01_Input'!$Q$67,0),IF('01_Input'!$P$67="Palier",IF(AND(AK$20&gt;='01_Input'!$N$67,AK$20&lt;'01_Input'!$O$67),'01_Input'!$Q$67,0),MAX(MIN(AK$20,'01_Input'!$O$67)-'01_Input'!$N$67,0)*'01_Input'!$Q$67))+IF('01_Input'!$T$67="Forfait",IF(AK$20&gt;='01_Input'!$R$67,'01_Input'!$U$67,0),IF('01_Input'!$T$67="Palier",IF(AND(AK$20&gt;='01_Input'!$R$67,AK$20&lt;'01_Input'!$S$67),'01_Input'!$U$67,0),MAX(MIN(AK$20,'01_Input'!$S$67)-'01_Input'!$R$67,0)*'01_Input'!$U$67))+IF('01_Input'!$X$67="Forfait",IF(AK$20&gt;='01_Input'!$V$67,'01_Input'!$Y$67,0),IF('01_Input'!$X$67="Palier",IF(AND(AK$20&gt;='01_Input'!$V$67,AK$20&lt;'01_Input'!$W$67),'01_Input'!$Y$67,0),MAX(MIN(AK$20,'01_Input'!$W$67)-'01_Input'!$V$67,0)*'01_Input'!$Y$67))+IF('01_Input'!$AB$67="Forfait",IF(AK$20&gt;='01_Input'!$Z$67,'01_Input'!$AC$67,0),IF('01_Input'!$AB$67="Palier",IF(AND(AK$20&gt;='01_Input'!$Z$67,AK$20&lt;'01_Input'!$AA$67),'01_Input'!$AC$67,0),MAX(MIN(AK$20,'01_Input'!$AA$67)-'01_Input'!$Z$67,0)*'01_Input'!$AC$67)))))))))</f>
        <v>0</v>
      </c>
      <c r="AL35" s="25">
        <f>IF('01_Input'!$C$67="Non",0,MIN('01_Input'!$I$67,MAX('01_Input'!$H$67,IF('01_Input'!$G$67="Résiduel vs Gestion",0,IF('01_Input'!$G$67="Taux Classe sélectionnée",Distrib_Global_Classe_Selectionnee*AL$20,IF('01_Input'!$G$67="Frais KYC (paliers de 100M€)",MAX(0,Nb_Investisseurs-Nb_KYC_Gratuites_Par_Tranche*(FLOOR(AL$20/Taille_Tranche_KYC,1)+1))*Cout_Par_KYC_Supplementaire,(IF('01_Input'!$L$67="Forfait",IF(AL$20&gt;='01_Input'!$J$67,'01_Input'!$M$67,0),IF('01_Input'!$L$67="Palier",IF(AND(AL$20&gt;='01_Input'!$J$67,AL$20&lt;'01_Input'!$K$67),'01_Input'!$M$67,0),MAX(MIN(AL$20,'01_Input'!$K$67)-'01_Input'!$J$67,0)*'01_Input'!$M$67))+IF('01_Input'!$P$67="Forfait",IF(AL$20&gt;='01_Input'!$N$67,'01_Input'!$Q$67,0),IF('01_Input'!$P$67="Palier",IF(AND(AL$20&gt;='01_Input'!$N$67,AL$20&lt;'01_Input'!$O$67),'01_Input'!$Q$67,0),MAX(MIN(AL$20,'01_Input'!$O$67)-'01_Input'!$N$67,0)*'01_Input'!$Q$67))+IF('01_Input'!$T$67="Forfait",IF(AL$20&gt;='01_Input'!$R$67,'01_Input'!$U$67,0),IF('01_Input'!$T$67="Palier",IF(AND(AL$20&gt;='01_Input'!$R$67,AL$20&lt;'01_Input'!$S$67),'01_Input'!$U$67,0),MAX(MIN(AL$20,'01_Input'!$S$67)-'01_Input'!$R$67,0)*'01_Input'!$U$67))+IF('01_Input'!$X$67="Forfait",IF(AL$20&gt;='01_Input'!$V$67,'01_Input'!$Y$67,0),IF('01_Input'!$X$67="Palier",IF(AND(AL$20&gt;='01_Input'!$V$67,AL$20&lt;'01_Input'!$W$67),'01_Input'!$Y$67,0),MAX(MIN(AL$20,'01_Input'!$W$67)-'01_Input'!$V$67,0)*'01_Input'!$Y$67))+IF('01_Input'!$AB$67="Forfait",IF(AL$20&gt;='01_Input'!$Z$67,'01_Input'!$AC$67,0),IF('01_Input'!$AB$67="Palier",IF(AND(AL$20&gt;='01_Input'!$Z$67,AL$20&lt;'01_Input'!$AA$67),'01_Input'!$AC$67,0),MAX(MIN(AL$20,'01_Input'!$AA$67)-'01_Input'!$Z$67,0)*'01_Input'!$AC$67)))))))))</f>
        <v>0</v>
      </c>
      <c r="AM35" s="25">
        <f>IF('01_Input'!$C$67="Non",0,MIN('01_Input'!$I$67,MAX('01_Input'!$H$67,IF('01_Input'!$G$67="Résiduel vs Gestion",0,IF('01_Input'!$G$67="Taux Classe sélectionnée",Distrib_Global_Classe_Selectionnee*AM$20,IF('01_Input'!$G$67="Frais KYC (paliers de 100M€)",MAX(0,Nb_Investisseurs-Nb_KYC_Gratuites_Par_Tranche*(FLOOR(AM$20/Taille_Tranche_KYC,1)+1))*Cout_Par_KYC_Supplementaire,(IF('01_Input'!$L$67="Forfait",IF(AM$20&gt;='01_Input'!$J$67,'01_Input'!$M$67,0),IF('01_Input'!$L$67="Palier",IF(AND(AM$20&gt;='01_Input'!$J$67,AM$20&lt;'01_Input'!$K$67),'01_Input'!$M$67,0),MAX(MIN(AM$20,'01_Input'!$K$67)-'01_Input'!$J$67,0)*'01_Input'!$M$67))+IF('01_Input'!$P$67="Forfait",IF(AM$20&gt;='01_Input'!$N$67,'01_Input'!$Q$67,0),IF('01_Input'!$P$67="Palier",IF(AND(AM$20&gt;='01_Input'!$N$67,AM$20&lt;'01_Input'!$O$67),'01_Input'!$Q$67,0),MAX(MIN(AM$20,'01_Input'!$O$67)-'01_Input'!$N$67,0)*'01_Input'!$Q$67))+IF('01_Input'!$T$67="Forfait",IF(AM$20&gt;='01_Input'!$R$67,'01_Input'!$U$67,0),IF('01_Input'!$T$67="Palier",IF(AND(AM$20&gt;='01_Input'!$R$67,AM$20&lt;'01_Input'!$S$67),'01_Input'!$U$67,0),MAX(MIN(AM$20,'01_Input'!$S$67)-'01_Input'!$R$67,0)*'01_Input'!$U$67))+IF('01_Input'!$X$67="Forfait",IF(AM$20&gt;='01_Input'!$V$67,'01_Input'!$Y$67,0),IF('01_Input'!$X$67="Palier",IF(AND(AM$20&gt;='01_Input'!$V$67,AM$20&lt;'01_Input'!$W$67),'01_Input'!$Y$67,0),MAX(MIN(AM$20,'01_Input'!$W$67)-'01_Input'!$V$67,0)*'01_Input'!$Y$67))+IF('01_Input'!$AB$67="Forfait",IF(AM$20&gt;='01_Input'!$Z$67,'01_Input'!$AC$67,0),IF('01_Input'!$AB$67="Palier",IF(AND(AM$20&gt;='01_Input'!$Z$67,AM$20&lt;'01_Input'!$AA$67),'01_Input'!$AC$67,0),MAX(MIN(AM$20,'01_Input'!$AA$67)-'01_Input'!$Z$67,0)*'01_Input'!$AC$67)))))))))</f>
        <v>0</v>
      </c>
      <c r="AN35" s="25">
        <f>IF('01_Input'!$C$67="Non",0,MIN('01_Input'!$I$67,MAX('01_Input'!$H$67,IF('01_Input'!$G$67="Résiduel vs Gestion",0,IF('01_Input'!$G$67="Taux Classe sélectionnée",Distrib_Global_Classe_Selectionnee*AN$20,IF('01_Input'!$G$67="Frais KYC (paliers de 100M€)",MAX(0,Nb_Investisseurs-Nb_KYC_Gratuites_Par_Tranche*(FLOOR(AN$20/Taille_Tranche_KYC,1)+1))*Cout_Par_KYC_Supplementaire,(IF('01_Input'!$L$67="Forfait",IF(AN$20&gt;='01_Input'!$J$67,'01_Input'!$M$67,0),IF('01_Input'!$L$67="Palier",IF(AND(AN$20&gt;='01_Input'!$J$67,AN$20&lt;'01_Input'!$K$67),'01_Input'!$M$67,0),MAX(MIN(AN$20,'01_Input'!$K$67)-'01_Input'!$J$67,0)*'01_Input'!$M$67))+IF('01_Input'!$P$67="Forfait",IF(AN$20&gt;='01_Input'!$N$67,'01_Input'!$Q$67,0),IF('01_Input'!$P$67="Palier",IF(AND(AN$20&gt;='01_Input'!$N$67,AN$20&lt;'01_Input'!$O$67),'01_Input'!$Q$67,0),MAX(MIN(AN$20,'01_Input'!$O$67)-'01_Input'!$N$67,0)*'01_Input'!$Q$67))+IF('01_Input'!$T$67="Forfait",IF(AN$20&gt;='01_Input'!$R$67,'01_Input'!$U$67,0),IF('01_Input'!$T$67="Palier",IF(AND(AN$20&gt;='01_Input'!$R$67,AN$20&lt;'01_Input'!$S$67),'01_Input'!$U$67,0),MAX(MIN(AN$20,'01_Input'!$S$67)-'01_Input'!$R$67,0)*'01_Input'!$U$67))+IF('01_Input'!$X$67="Forfait",IF(AN$20&gt;='01_Input'!$V$67,'01_Input'!$Y$67,0),IF('01_Input'!$X$67="Palier",IF(AND(AN$20&gt;='01_Input'!$V$67,AN$20&lt;'01_Input'!$W$67),'01_Input'!$Y$67,0),MAX(MIN(AN$20,'01_Input'!$W$67)-'01_Input'!$V$67,0)*'01_Input'!$Y$67))+IF('01_Input'!$AB$67="Forfait",IF(AN$20&gt;='01_Input'!$Z$67,'01_Input'!$AC$67,0),IF('01_Input'!$AB$67="Palier",IF(AND(AN$20&gt;='01_Input'!$Z$67,AN$20&lt;'01_Input'!$AA$67),'01_Input'!$AC$67,0),MAX(MIN(AN$20,'01_Input'!$AA$67)-'01_Input'!$Z$67,0)*'01_Input'!$AC$67)))))))))</f>
        <v>0</v>
      </c>
      <c r="AO35" s="25">
        <f>IF('01_Input'!$C$67="Non",0,MIN('01_Input'!$I$67,MAX('01_Input'!$H$67,IF('01_Input'!$G$67="Résiduel vs Gestion",0,IF('01_Input'!$G$67="Taux Classe sélectionnée",Distrib_Global_Classe_Selectionnee*AO$20,IF('01_Input'!$G$67="Frais KYC (paliers de 100M€)",MAX(0,Nb_Investisseurs-Nb_KYC_Gratuites_Par_Tranche*(FLOOR(AO$20/Taille_Tranche_KYC,1)+1))*Cout_Par_KYC_Supplementaire,(IF('01_Input'!$L$67="Forfait",IF(AO$20&gt;='01_Input'!$J$67,'01_Input'!$M$67,0),IF('01_Input'!$L$67="Palier",IF(AND(AO$20&gt;='01_Input'!$J$67,AO$20&lt;'01_Input'!$K$67),'01_Input'!$M$67,0),MAX(MIN(AO$20,'01_Input'!$K$67)-'01_Input'!$J$67,0)*'01_Input'!$M$67))+IF('01_Input'!$P$67="Forfait",IF(AO$20&gt;='01_Input'!$N$67,'01_Input'!$Q$67,0),IF('01_Input'!$P$67="Palier",IF(AND(AO$20&gt;='01_Input'!$N$67,AO$20&lt;'01_Input'!$O$67),'01_Input'!$Q$67,0),MAX(MIN(AO$20,'01_Input'!$O$67)-'01_Input'!$N$67,0)*'01_Input'!$Q$67))+IF('01_Input'!$T$67="Forfait",IF(AO$20&gt;='01_Input'!$R$67,'01_Input'!$U$67,0),IF('01_Input'!$T$67="Palier",IF(AND(AO$20&gt;='01_Input'!$R$67,AO$20&lt;'01_Input'!$S$67),'01_Input'!$U$67,0),MAX(MIN(AO$20,'01_Input'!$S$67)-'01_Input'!$R$67,0)*'01_Input'!$U$67))+IF('01_Input'!$X$67="Forfait",IF(AO$20&gt;='01_Input'!$V$67,'01_Input'!$Y$67,0),IF('01_Input'!$X$67="Palier",IF(AND(AO$20&gt;='01_Input'!$V$67,AO$20&lt;'01_Input'!$W$67),'01_Input'!$Y$67,0),MAX(MIN(AO$20,'01_Input'!$W$67)-'01_Input'!$V$67,0)*'01_Input'!$Y$67))+IF('01_Input'!$AB$67="Forfait",IF(AO$20&gt;='01_Input'!$Z$67,'01_Input'!$AC$67,0),IF('01_Input'!$AB$67="Palier",IF(AND(AO$20&gt;='01_Input'!$Z$67,AO$20&lt;'01_Input'!$AA$67),'01_Input'!$AC$67,0),MAX(MIN(AO$20,'01_Input'!$AA$67)-'01_Input'!$Z$67,0)*'01_Input'!$AC$67)))))))))</f>
        <v>0</v>
      </c>
      <c r="AP35" s="25">
        <f>IF('01_Input'!$C$67="Non",0,MIN('01_Input'!$I$67,MAX('01_Input'!$H$67,IF('01_Input'!$G$67="Résiduel vs Gestion",0,IF('01_Input'!$G$67="Taux Classe sélectionnée",Distrib_Global_Classe_Selectionnee*AP$20,IF('01_Input'!$G$67="Frais KYC (paliers de 100M€)",MAX(0,Nb_Investisseurs-Nb_KYC_Gratuites_Par_Tranche*(FLOOR(AP$20/Taille_Tranche_KYC,1)+1))*Cout_Par_KYC_Supplementaire,(IF('01_Input'!$L$67="Forfait",IF(AP$20&gt;='01_Input'!$J$67,'01_Input'!$M$67,0),IF('01_Input'!$L$67="Palier",IF(AND(AP$20&gt;='01_Input'!$J$67,AP$20&lt;'01_Input'!$K$67),'01_Input'!$M$67,0),MAX(MIN(AP$20,'01_Input'!$K$67)-'01_Input'!$J$67,0)*'01_Input'!$M$67))+IF('01_Input'!$P$67="Forfait",IF(AP$20&gt;='01_Input'!$N$67,'01_Input'!$Q$67,0),IF('01_Input'!$P$67="Palier",IF(AND(AP$20&gt;='01_Input'!$N$67,AP$20&lt;'01_Input'!$O$67),'01_Input'!$Q$67,0),MAX(MIN(AP$20,'01_Input'!$O$67)-'01_Input'!$N$67,0)*'01_Input'!$Q$67))+IF('01_Input'!$T$67="Forfait",IF(AP$20&gt;='01_Input'!$R$67,'01_Input'!$U$67,0),IF('01_Input'!$T$67="Palier",IF(AND(AP$20&gt;='01_Input'!$R$67,AP$20&lt;'01_Input'!$S$67),'01_Input'!$U$67,0),MAX(MIN(AP$20,'01_Input'!$S$67)-'01_Input'!$R$67,0)*'01_Input'!$U$67))+IF('01_Input'!$X$67="Forfait",IF(AP$20&gt;='01_Input'!$V$67,'01_Input'!$Y$67,0),IF('01_Input'!$X$67="Palier",IF(AND(AP$20&gt;='01_Input'!$V$67,AP$20&lt;'01_Input'!$W$67),'01_Input'!$Y$67,0),MAX(MIN(AP$20,'01_Input'!$W$67)-'01_Input'!$V$67,0)*'01_Input'!$Y$67))+IF('01_Input'!$AB$67="Forfait",IF(AP$20&gt;='01_Input'!$Z$67,'01_Input'!$AC$67,0),IF('01_Input'!$AB$67="Palier",IF(AND(AP$20&gt;='01_Input'!$Z$67,AP$20&lt;'01_Input'!$AA$67),'01_Input'!$AC$67,0),MAX(MIN(AP$20,'01_Input'!$AA$67)-'01_Input'!$Z$67,0)*'01_Input'!$AC$67)))))))))</f>
        <v>0</v>
      </c>
      <c r="AQ35" s="25">
        <f>IF('01_Input'!$C$67="Non",0,MIN('01_Input'!$I$67,MAX('01_Input'!$H$67,IF('01_Input'!$G$67="Résiduel vs Gestion",0,IF('01_Input'!$G$67="Taux Classe sélectionnée",Distrib_Global_Classe_Selectionnee*AQ$20,IF('01_Input'!$G$67="Frais KYC (paliers de 100M€)",MAX(0,Nb_Investisseurs-Nb_KYC_Gratuites_Par_Tranche*(FLOOR(AQ$20/Taille_Tranche_KYC,1)+1))*Cout_Par_KYC_Supplementaire,(IF('01_Input'!$L$67="Forfait",IF(AQ$20&gt;='01_Input'!$J$67,'01_Input'!$M$67,0),IF('01_Input'!$L$67="Palier",IF(AND(AQ$20&gt;='01_Input'!$J$67,AQ$20&lt;'01_Input'!$K$67),'01_Input'!$M$67,0),MAX(MIN(AQ$20,'01_Input'!$K$67)-'01_Input'!$J$67,0)*'01_Input'!$M$67))+IF('01_Input'!$P$67="Forfait",IF(AQ$20&gt;='01_Input'!$N$67,'01_Input'!$Q$67,0),IF('01_Input'!$P$67="Palier",IF(AND(AQ$20&gt;='01_Input'!$N$67,AQ$20&lt;'01_Input'!$O$67),'01_Input'!$Q$67,0),MAX(MIN(AQ$20,'01_Input'!$O$67)-'01_Input'!$N$67,0)*'01_Input'!$Q$67))+IF('01_Input'!$T$67="Forfait",IF(AQ$20&gt;='01_Input'!$R$67,'01_Input'!$U$67,0),IF('01_Input'!$T$67="Palier",IF(AND(AQ$20&gt;='01_Input'!$R$67,AQ$20&lt;'01_Input'!$S$67),'01_Input'!$U$67,0),MAX(MIN(AQ$20,'01_Input'!$S$67)-'01_Input'!$R$67,0)*'01_Input'!$U$67))+IF('01_Input'!$X$67="Forfait",IF(AQ$20&gt;='01_Input'!$V$67,'01_Input'!$Y$67,0),IF('01_Input'!$X$67="Palier",IF(AND(AQ$20&gt;='01_Input'!$V$67,AQ$20&lt;'01_Input'!$W$67),'01_Input'!$Y$67,0),MAX(MIN(AQ$20,'01_Input'!$W$67)-'01_Input'!$V$67,0)*'01_Input'!$Y$67))+IF('01_Input'!$AB$67="Forfait",IF(AQ$20&gt;='01_Input'!$Z$67,'01_Input'!$AC$67,0),IF('01_Input'!$AB$67="Palier",IF(AND(AQ$20&gt;='01_Input'!$Z$67,AQ$20&lt;'01_Input'!$AA$67),'01_Input'!$AC$67,0),MAX(MIN(AQ$20,'01_Input'!$AA$67)-'01_Input'!$Z$67,0)*'01_Input'!$AC$67)))))))))</f>
        <v>0</v>
      </c>
      <c r="AR35" s="25">
        <f>IF('01_Input'!$C$67="Non",0,MIN('01_Input'!$I$67,MAX('01_Input'!$H$67,IF('01_Input'!$G$67="Résiduel vs Gestion",0,IF('01_Input'!$G$67="Taux Classe sélectionnée",Distrib_Global_Classe_Selectionnee*AR$20,IF('01_Input'!$G$67="Frais KYC (paliers de 100M€)",MAX(0,Nb_Investisseurs-Nb_KYC_Gratuites_Par_Tranche*(FLOOR(AR$20/Taille_Tranche_KYC,1)+1))*Cout_Par_KYC_Supplementaire,(IF('01_Input'!$L$67="Forfait",IF(AR$20&gt;='01_Input'!$J$67,'01_Input'!$M$67,0),IF('01_Input'!$L$67="Palier",IF(AND(AR$20&gt;='01_Input'!$J$67,AR$20&lt;'01_Input'!$K$67),'01_Input'!$M$67,0),MAX(MIN(AR$20,'01_Input'!$K$67)-'01_Input'!$J$67,0)*'01_Input'!$M$67))+IF('01_Input'!$P$67="Forfait",IF(AR$20&gt;='01_Input'!$N$67,'01_Input'!$Q$67,0),IF('01_Input'!$P$67="Palier",IF(AND(AR$20&gt;='01_Input'!$N$67,AR$20&lt;'01_Input'!$O$67),'01_Input'!$Q$67,0),MAX(MIN(AR$20,'01_Input'!$O$67)-'01_Input'!$N$67,0)*'01_Input'!$Q$67))+IF('01_Input'!$T$67="Forfait",IF(AR$20&gt;='01_Input'!$R$67,'01_Input'!$U$67,0),IF('01_Input'!$T$67="Palier",IF(AND(AR$20&gt;='01_Input'!$R$67,AR$20&lt;'01_Input'!$S$67),'01_Input'!$U$67,0),MAX(MIN(AR$20,'01_Input'!$S$67)-'01_Input'!$R$67,0)*'01_Input'!$U$67))+IF('01_Input'!$X$67="Forfait",IF(AR$20&gt;='01_Input'!$V$67,'01_Input'!$Y$67,0),IF('01_Input'!$X$67="Palier",IF(AND(AR$20&gt;='01_Input'!$V$67,AR$20&lt;'01_Input'!$W$67),'01_Input'!$Y$67,0),MAX(MIN(AR$20,'01_Input'!$W$67)-'01_Input'!$V$67,0)*'01_Input'!$Y$67))+IF('01_Input'!$AB$67="Forfait",IF(AR$20&gt;='01_Input'!$Z$67,'01_Input'!$AC$67,0),IF('01_Input'!$AB$67="Palier",IF(AND(AR$20&gt;='01_Input'!$Z$67,AR$20&lt;'01_Input'!$AA$67),'01_Input'!$AC$67,0),MAX(MIN(AR$20,'01_Input'!$AA$67)-'01_Input'!$Z$67,0)*'01_Input'!$AC$67)))))))))</f>
        <v>0</v>
      </c>
      <c r="AS35" s="25">
        <f>IF('01_Input'!$C$67="Non",0,MIN('01_Input'!$I$67,MAX('01_Input'!$H$67,IF('01_Input'!$G$67="Résiduel vs Gestion",0,IF('01_Input'!$G$67="Taux Classe sélectionnée",Distrib_Global_Classe_Selectionnee*AS$20,IF('01_Input'!$G$67="Frais KYC (paliers de 100M€)",MAX(0,Nb_Investisseurs-Nb_KYC_Gratuites_Par_Tranche*(FLOOR(AS$20/Taille_Tranche_KYC,1)+1))*Cout_Par_KYC_Supplementaire,(IF('01_Input'!$L$67="Forfait",IF(AS$20&gt;='01_Input'!$J$67,'01_Input'!$M$67,0),IF('01_Input'!$L$67="Palier",IF(AND(AS$20&gt;='01_Input'!$J$67,AS$20&lt;'01_Input'!$K$67),'01_Input'!$M$67,0),MAX(MIN(AS$20,'01_Input'!$K$67)-'01_Input'!$J$67,0)*'01_Input'!$M$67))+IF('01_Input'!$P$67="Forfait",IF(AS$20&gt;='01_Input'!$N$67,'01_Input'!$Q$67,0),IF('01_Input'!$P$67="Palier",IF(AND(AS$20&gt;='01_Input'!$N$67,AS$20&lt;'01_Input'!$O$67),'01_Input'!$Q$67,0),MAX(MIN(AS$20,'01_Input'!$O$67)-'01_Input'!$N$67,0)*'01_Input'!$Q$67))+IF('01_Input'!$T$67="Forfait",IF(AS$20&gt;='01_Input'!$R$67,'01_Input'!$U$67,0),IF('01_Input'!$T$67="Palier",IF(AND(AS$20&gt;='01_Input'!$R$67,AS$20&lt;'01_Input'!$S$67),'01_Input'!$U$67,0),MAX(MIN(AS$20,'01_Input'!$S$67)-'01_Input'!$R$67,0)*'01_Input'!$U$67))+IF('01_Input'!$X$67="Forfait",IF(AS$20&gt;='01_Input'!$V$67,'01_Input'!$Y$67,0),IF('01_Input'!$X$67="Palier",IF(AND(AS$20&gt;='01_Input'!$V$67,AS$20&lt;'01_Input'!$W$67),'01_Input'!$Y$67,0),MAX(MIN(AS$20,'01_Input'!$W$67)-'01_Input'!$V$67,0)*'01_Input'!$Y$67))+IF('01_Input'!$AB$67="Forfait",IF(AS$20&gt;='01_Input'!$Z$67,'01_Input'!$AC$67,0),IF('01_Input'!$AB$67="Palier",IF(AND(AS$20&gt;='01_Input'!$Z$67,AS$20&lt;'01_Input'!$AA$67),'01_Input'!$AC$67,0),MAX(MIN(AS$20,'01_Input'!$AA$67)-'01_Input'!$Z$67,0)*'01_Input'!$AC$67)))))))))</f>
        <v>0</v>
      </c>
      <c r="AT35" s="25">
        <f>IF('01_Input'!$C$67="Non",0,MIN('01_Input'!$I$67,MAX('01_Input'!$H$67,IF('01_Input'!$G$67="Résiduel vs Gestion",0,IF('01_Input'!$G$67="Taux Classe sélectionnée",Distrib_Global_Classe_Selectionnee*AT$20,IF('01_Input'!$G$67="Frais KYC (paliers de 100M€)",MAX(0,Nb_Investisseurs-Nb_KYC_Gratuites_Par_Tranche*(FLOOR(AT$20/Taille_Tranche_KYC,1)+1))*Cout_Par_KYC_Supplementaire,(IF('01_Input'!$L$67="Forfait",IF(AT$20&gt;='01_Input'!$J$67,'01_Input'!$M$67,0),IF('01_Input'!$L$67="Palier",IF(AND(AT$20&gt;='01_Input'!$J$67,AT$20&lt;'01_Input'!$K$67),'01_Input'!$M$67,0),MAX(MIN(AT$20,'01_Input'!$K$67)-'01_Input'!$J$67,0)*'01_Input'!$M$67))+IF('01_Input'!$P$67="Forfait",IF(AT$20&gt;='01_Input'!$N$67,'01_Input'!$Q$67,0),IF('01_Input'!$P$67="Palier",IF(AND(AT$20&gt;='01_Input'!$N$67,AT$20&lt;'01_Input'!$O$67),'01_Input'!$Q$67,0),MAX(MIN(AT$20,'01_Input'!$O$67)-'01_Input'!$N$67,0)*'01_Input'!$Q$67))+IF('01_Input'!$T$67="Forfait",IF(AT$20&gt;='01_Input'!$R$67,'01_Input'!$U$67,0),IF('01_Input'!$T$67="Palier",IF(AND(AT$20&gt;='01_Input'!$R$67,AT$20&lt;'01_Input'!$S$67),'01_Input'!$U$67,0),MAX(MIN(AT$20,'01_Input'!$S$67)-'01_Input'!$R$67,0)*'01_Input'!$U$67))+IF('01_Input'!$X$67="Forfait",IF(AT$20&gt;='01_Input'!$V$67,'01_Input'!$Y$67,0),IF('01_Input'!$X$67="Palier",IF(AND(AT$20&gt;='01_Input'!$V$67,AT$20&lt;'01_Input'!$W$67),'01_Input'!$Y$67,0),MAX(MIN(AT$20,'01_Input'!$W$67)-'01_Input'!$V$67,0)*'01_Input'!$Y$67))+IF('01_Input'!$AB$67="Forfait",IF(AT$20&gt;='01_Input'!$Z$67,'01_Input'!$AC$67,0),IF('01_Input'!$AB$67="Palier",IF(AND(AT$20&gt;='01_Input'!$Z$67,AT$20&lt;'01_Input'!$AA$67),'01_Input'!$AC$67,0),MAX(MIN(AT$20,'01_Input'!$AA$67)-'01_Input'!$Z$67,0)*'01_Input'!$AC$67)))))))))</f>
        <v>0</v>
      </c>
      <c r="AU35" s="25">
        <f>IF('01_Input'!$C$67="Non",0,MIN('01_Input'!$I$67,MAX('01_Input'!$H$67,IF('01_Input'!$G$67="Résiduel vs Gestion",0,IF('01_Input'!$G$67="Taux Classe sélectionnée",Distrib_Global_Classe_Selectionnee*AU$20,IF('01_Input'!$G$67="Frais KYC (paliers de 100M€)",MAX(0,Nb_Investisseurs-Nb_KYC_Gratuites_Par_Tranche*(FLOOR(AU$20/Taille_Tranche_KYC,1)+1))*Cout_Par_KYC_Supplementaire,(IF('01_Input'!$L$67="Forfait",IF(AU$20&gt;='01_Input'!$J$67,'01_Input'!$M$67,0),IF('01_Input'!$L$67="Palier",IF(AND(AU$20&gt;='01_Input'!$J$67,AU$20&lt;'01_Input'!$K$67),'01_Input'!$M$67,0),MAX(MIN(AU$20,'01_Input'!$K$67)-'01_Input'!$J$67,0)*'01_Input'!$M$67))+IF('01_Input'!$P$67="Forfait",IF(AU$20&gt;='01_Input'!$N$67,'01_Input'!$Q$67,0),IF('01_Input'!$P$67="Palier",IF(AND(AU$20&gt;='01_Input'!$N$67,AU$20&lt;'01_Input'!$O$67),'01_Input'!$Q$67,0),MAX(MIN(AU$20,'01_Input'!$O$67)-'01_Input'!$N$67,0)*'01_Input'!$Q$67))+IF('01_Input'!$T$67="Forfait",IF(AU$20&gt;='01_Input'!$R$67,'01_Input'!$U$67,0),IF('01_Input'!$T$67="Palier",IF(AND(AU$20&gt;='01_Input'!$R$67,AU$20&lt;'01_Input'!$S$67),'01_Input'!$U$67,0),MAX(MIN(AU$20,'01_Input'!$S$67)-'01_Input'!$R$67,0)*'01_Input'!$U$67))+IF('01_Input'!$X$67="Forfait",IF(AU$20&gt;='01_Input'!$V$67,'01_Input'!$Y$67,0),IF('01_Input'!$X$67="Palier",IF(AND(AU$20&gt;='01_Input'!$V$67,AU$20&lt;'01_Input'!$W$67),'01_Input'!$Y$67,0),MAX(MIN(AU$20,'01_Input'!$W$67)-'01_Input'!$V$67,0)*'01_Input'!$Y$67))+IF('01_Input'!$AB$67="Forfait",IF(AU$20&gt;='01_Input'!$Z$67,'01_Input'!$AC$67,0),IF('01_Input'!$AB$67="Palier",IF(AND(AU$20&gt;='01_Input'!$Z$67,AU$20&lt;'01_Input'!$AA$67),'01_Input'!$AC$67,0),MAX(MIN(AU$20,'01_Input'!$AA$67)-'01_Input'!$Z$67,0)*'01_Input'!$AC$67)))))))))</f>
        <v>0</v>
      </c>
      <c r="AV35" s="25">
        <f>IF('01_Input'!$C$67="Non",0,MIN('01_Input'!$I$67,MAX('01_Input'!$H$67,IF('01_Input'!$G$67="Résiduel vs Gestion",0,IF('01_Input'!$G$67="Taux Classe sélectionnée",Distrib_Global_Classe_Selectionnee*AV$20,IF('01_Input'!$G$67="Frais KYC (paliers de 100M€)",MAX(0,Nb_Investisseurs-Nb_KYC_Gratuites_Par_Tranche*(FLOOR(AV$20/Taille_Tranche_KYC,1)+1))*Cout_Par_KYC_Supplementaire,(IF('01_Input'!$L$67="Forfait",IF(AV$20&gt;='01_Input'!$J$67,'01_Input'!$M$67,0),IF('01_Input'!$L$67="Palier",IF(AND(AV$20&gt;='01_Input'!$J$67,AV$20&lt;'01_Input'!$K$67),'01_Input'!$M$67,0),MAX(MIN(AV$20,'01_Input'!$K$67)-'01_Input'!$J$67,0)*'01_Input'!$M$67))+IF('01_Input'!$P$67="Forfait",IF(AV$20&gt;='01_Input'!$N$67,'01_Input'!$Q$67,0),IF('01_Input'!$P$67="Palier",IF(AND(AV$20&gt;='01_Input'!$N$67,AV$20&lt;'01_Input'!$O$67),'01_Input'!$Q$67,0),MAX(MIN(AV$20,'01_Input'!$O$67)-'01_Input'!$N$67,0)*'01_Input'!$Q$67))+IF('01_Input'!$T$67="Forfait",IF(AV$20&gt;='01_Input'!$R$67,'01_Input'!$U$67,0),IF('01_Input'!$T$67="Palier",IF(AND(AV$20&gt;='01_Input'!$R$67,AV$20&lt;'01_Input'!$S$67),'01_Input'!$U$67,0),MAX(MIN(AV$20,'01_Input'!$S$67)-'01_Input'!$R$67,0)*'01_Input'!$U$67))+IF('01_Input'!$X$67="Forfait",IF(AV$20&gt;='01_Input'!$V$67,'01_Input'!$Y$67,0),IF('01_Input'!$X$67="Palier",IF(AND(AV$20&gt;='01_Input'!$V$67,AV$20&lt;'01_Input'!$W$67),'01_Input'!$Y$67,0),MAX(MIN(AV$20,'01_Input'!$W$67)-'01_Input'!$V$67,0)*'01_Input'!$Y$67))+IF('01_Input'!$AB$67="Forfait",IF(AV$20&gt;='01_Input'!$Z$67,'01_Input'!$AC$67,0),IF('01_Input'!$AB$67="Palier",IF(AND(AV$20&gt;='01_Input'!$Z$67,AV$20&lt;'01_Input'!$AA$67),'01_Input'!$AC$67,0),MAX(MIN(AV$20,'01_Input'!$AA$67)-'01_Input'!$Z$67,0)*'01_Input'!$AC$67)))))))))</f>
        <v>0</v>
      </c>
      <c r="AW35" s="25">
        <f>IF('01_Input'!$C$67="Non",0,MIN('01_Input'!$I$67,MAX('01_Input'!$H$67,IF('01_Input'!$G$67="Résiduel vs Gestion",0,IF('01_Input'!$G$67="Taux Classe sélectionnée",Distrib_Global_Classe_Selectionnee*AW$20,IF('01_Input'!$G$67="Frais KYC (paliers de 100M€)",MAX(0,Nb_Investisseurs-Nb_KYC_Gratuites_Par_Tranche*(FLOOR(AW$20/Taille_Tranche_KYC,1)+1))*Cout_Par_KYC_Supplementaire,(IF('01_Input'!$L$67="Forfait",IF(AW$20&gt;='01_Input'!$J$67,'01_Input'!$M$67,0),IF('01_Input'!$L$67="Palier",IF(AND(AW$20&gt;='01_Input'!$J$67,AW$20&lt;'01_Input'!$K$67),'01_Input'!$M$67,0),MAX(MIN(AW$20,'01_Input'!$K$67)-'01_Input'!$J$67,0)*'01_Input'!$M$67))+IF('01_Input'!$P$67="Forfait",IF(AW$20&gt;='01_Input'!$N$67,'01_Input'!$Q$67,0),IF('01_Input'!$P$67="Palier",IF(AND(AW$20&gt;='01_Input'!$N$67,AW$20&lt;'01_Input'!$O$67),'01_Input'!$Q$67,0),MAX(MIN(AW$20,'01_Input'!$O$67)-'01_Input'!$N$67,0)*'01_Input'!$Q$67))+IF('01_Input'!$T$67="Forfait",IF(AW$20&gt;='01_Input'!$R$67,'01_Input'!$U$67,0),IF('01_Input'!$T$67="Palier",IF(AND(AW$20&gt;='01_Input'!$R$67,AW$20&lt;'01_Input'!$S$67),'01_Input'!$U$67,0),MAX(MIN(AW$20,'01_Input'!$S$67)-'01_Input'!$R$67,0)*'01_Input'!$U$67))+IF('01_Input'!$X$67="Forfait",IF(AW$20&gt;='01_Input'!$V$67,'01_Input'!$Y$67,0),IF('01_Input'!$X$67="Palier",IF(AND(AW$20&gt;='01_Input'!$V$67,AW$20&lt;'01_Input'!$W$67),'01_Input'!$Y$67,0),MAX(MIN(AW$20,'01_Input'!$W$67)-'01_Input'!$V$67,0)*'01_Input'!$Y$67))+IF('01_Input'!$AB$67="Forfait",IF(AW$20&gt;='01_Input'!$Z$67,'01_Input'!$AC$67,0),IF('01_Input'!$AB$67="Palier",IF(AND(AW$20&gt;='01_Input'!$Z$67,AW$20&lt;'01_Input'!$AA$67),'01_Input'!$AC$67,0),MAX(MIN(AW$20,'01_Input'!$AA$67)-'01_Input'!$Z$67,0)*'01_Input'!$AC$67)))))))))</f>
        <v>0</v>
      </c>
      <c r="AX35" s="25">
        <f>IF('01_Input'!$C$67="Non",0,MIN('01_Input'!$I$67,MAX('01_Input'!$H$67,IF('01_Input'!$G$67="Résiduel vs Gestion",0,IF('01_Input'!$G$67="Taux Classe sélectionnée",Distrib_Global_Classe_Selectionnee*AX$20,IF('01_Input'!$G$67="Frais KYC (paliers de 100M€)",MAX(0,Nb_Investisseurs-Nb_KYC_Gratuites_Par_Tranche*(FLOOR(AX$20/Taille_Tranche_KYC,1)+1))*Cout_Par_KYC_Supplementaire,(IF('01_Input'!$L$67="Forfait",IF(AX$20&gt;='01_Input'!$J$67,'01_Input'!$M$67,0),IF('01_Input'!$L$67="Palier",IF(AND(AX$20&gt;='01_Input'!$J$67,AX$20&lt;'01_Input'!$K$67),'01_Input'!$M$67,0),MAX(MIN(AX$20,'01_Input'!$K$67)-'01_Input'!$J$67,0)*'01_Input'!$M$67))+IF('01_Input'!$P$67="Forfait",IF(AX$20&gt;='01_Input'!$N$67,'01_Input'!$Q$67,0),IF('01_Input'!$P$67="Palier",IF(AND(AX$20&gt;='01_Input'!$N$67,AX$20&lt;'01_Input'!$O$67),'01_Input'!$Q$67,0),MAX(MIN(AX$20,'01_Input'!$O$67)-'01_Input'!$N$67,0)*'01_Input'!$Q$67))+IF('01_Input'!$T$67="Forfait",IF(AX$20&gt;='01_Input'!$R$67,'01_Input'!$U$67,0),IF('01_Input'!$T$67="Palier",IF(AND(AX$20&gt;='01_Input'!$R$67,AX$20&lt;'01_Input'!$S$67),'01_Input'!$U$67,0),MAX(MIN(AX$20,'01_Input'!$S$67)-'01_Input'!$R$67,0)*'01_Input'!$U$67))+IF('01_Input'!$X$67="Forfait",IF(AX$20&gt;='01_Input'!$V$67,'01_Input'!$Y$67,0),IF('01_Input'!$X$67="Palier",IF(AND(AX$20&gt;='01_Input'!$V$67,AX$20&lt;'01_Input'!$W$67),'01_Input'!$Y$67,0),MAX(MIN(AX$20,'01_Input'!$W$67)-'01_Input'!$V$67,0)*'01_Input'!$Y$67))+IF('01_Input'!$AB$67="Forfait",IF(AX$20&gt;='01_Input'!$Z$67,'01_Input'!$AC$67,0),IF('01_Input'!$AB$67="Palier",IF(AND(AX$20&gt;='01_Input'!$Z$67,AX$20&lt;'01_Input'!$AA$67),'01_Input'!$AC$67,0),MAX(MIN(AX$20,'01_Input'!$AA$67)-'01_Input'!$Z$67,0)*'01_Input'!$AC$67)))))))))</f>
        <v>0</v>
      </c>
      <c r="AY35" s="25">
        <f>IF('01_Input'!$C$67="Non",0,MIN('01_Input'!$I$67,MAX('01_Input'!$H$67,IF('01_Input'!$G$67="Résiduel vs Gestion",0,IF('01_Input'!$G$67="Taux Classe sélectionnée",Distrib_Global_Classe_Selectionnee*AY$20,IF('01_Input'!$G$67="Frais KYC (paliers de 100M€)",MAX(0,Nb_Investisseurs-Nb_KYC_Gratuites_Par_Tranche*(FLOOR(AY$20/Taille_Tranche_KYC,1)+1))*Cout_Par_KYC_Supplementaire,(IF('01_Input'!$L$67="Forfait",IF(AY$20&gt;='01_Input'!$J$67,'01_Input'!$M$67,0),IF('01_Input'!$L$67="Palier",IF(AND(AY$20&gt;='01_Input'!$J$67,AY$20&lt;'01_Input'!$K$67),'01_Input'!$M$67,0),MAX(MIN(AY$20,'01_Input'!$K$67)-'01_Input'!$J$67,0)*'01_Input'!$M$67))+IF('01_Input'!$P$67="Forfait",IF(AY$20&gt;='01_Input'!$N$67,'01_Input'!$Q$67,0),IF('01_Input'!$P$67="Palier",IF(AND(AY$20&gt;='01_Input'!$N$67,AY$20&lt;'01_Input'!$O$67),'01_Input'!$Q$67,0),MAX(MIN(AY$20,'01_Input'!$O$67)-'01_Input'!$N$67,0)*'01_Input'!$Q$67))+IF('01_Input'!$T$67="Forfait",IF(AY$20&gt;='01_Input'!$R$67,'01_Input'!$U$67,0),IF('01_Input'!$T$67="Palier",IF(AND(AY$20&gt;='01_Input'!$R$67,AY$20&lt;'01_Input'!$S$67),'01_Input'!$U$67,0),MAX(MIN(AY$20,'01_Input'!$S$67)-'01_Input'!$R$67,0)*'01_Input'!$U$67))+IF('01_Input'!$X$67="Forfait",IF(AY$20&gt;='01_Input'!$V$67,'01_Input'!$Y$67,0),IF('01_Input'!$X$67="Palier",IF(AND(AY$20&gt;='01_Input'!$V$67,AY$20&lt;'01_Input'!$W$67),'01_Input'!$Y$67,0),MAX(MIN(AY$20,'01_Input'!$W$67)-'01_Input'!$V$67,0)*'01_Input'!$Y$67))+IF('01_Input'!$AB$67="Forfait",IF(AY$20&gt;='01_Input'!$Z$67,'01_Input'!$AC$67,0),IF('01_Input'!$AB$67="Palier",IF(AND(AY$20&gt;='01_Input'!$Z$67,AY$20&lt;'01_Input'!$AA$67),'01_Input'!$AC$67,0),MAX(MIN(AY$20,'01_Input'!$AA$67)-'01_Input'!$Z$67,0)*'01_Input'!$AC$67)))))))))</f>
        <v>0</v>
      </c>
      <c r="AZ35" s="25">
        <f>IF('01_Input'!$C$67="Non",0,MIN('01_Input'!$I$67,MAX('01_Input'!$H$67,IF('01_Input'!$G$67="Résiduel vs Gestion",0,IF('01_Input'!$G$67="Taux Classe sélectionnée",Distrib_Global_Classe_Selectionnee*AZ$20,IF('01_Input'!$G$67="Frais KYC (paliers de 100M€)",MAX(0,Nb_Investisseurs-Nb_KYC_Gratuites_Par_Tranche*(FLOOR(AZ$20/Taille_Tranche_KYC,1)+1))*Cout_Par_KYC_Supplementaire,(IF('01_Input'!$L$67="Forfait",IF(AZ$20&gt;='01_Input'!$J$67,'01_Input'!$M$67,0),IF('01_Input'!$L$67="Palier",IF(AND(AZ$20&gt;='01_Input'!$J$67,AZ$20&lt;'01_Input'!$K$67),'01_Input'!$M$67,0),MAX(MIN(AZ$20,'01_Input'!$K$67)-'01_Input'!$J$67,0)*'01_Input'!$M$67))+IF('01_Input'!$P$67="Forfait",IF(AZ$20&gt;='01_Input'!$N$67,'01_Input'!$Q$67,0),IF('01_Input'!$P$67="Palier",IF(AND(AZ$20&gt;='01_Input'!$N$67,AZ$20&lt;'01_Input'!$O$67),'01_Input'!$Q$67,0),MAX(MIN(AZ$20,'01_Input'!$O$67)-'01_Input'!$N$67,0)*'01_Input'!$Q$67))+IF('01_Input'!$T$67="Forfait",IF(AZ$20&gt;='01_Input'!$R$67,'01_Input'!$U$67,0),IF('01_Input'!$T$67="Palier",IF(AND(AZ$20&gt;='01_Input'!$R$67,AZ$20&lt;'01_Input'!$S$67),'01_Input'!$U$67,0),MAX(MIN(AZ$20,'01_Input'!$S$67)-'01_Input'!$R$67,0)*'01_Input'!$U$67))+IF('01_Input'!$X$67="Forfait",IF(AZ$20&gt;='01_Input'!$V$67,'01_Input'!$Y$67,0),IF('01_Input'!$X$67="Palier",IF(AND(AZ$20&gt;='01_Input'!$V$67,AZ$20&lt;'01_Input'!$W$67),'01_Input'!$Y$67,0),MAX(MIN(AZ$20,'01_Input'!$W$67)-'01_Input'!$V$67,0)*'01_Input'!$Y$67))+IF('01_Input'!$AB$67="Forfait",IF(AZ$20&gt;='01_Input'!$Z$67,'01_Input'!$AC$67,0),IF('01_Input'!$AB$67="Palier",IF(AND(AZ$20&gt;='01_Input'!$Z$67,AZ$20&lt;'01_Input'!$AA$67),'01_Input'!$AC$67,0),MAX(MIN(AZ$20,'01_Input'!$AA$67)-'01_Input'!$Z$67,0)*'01_Input'!$AC$67)))))))))</f>
        <v>0</v>
      </c>
      <c r="BA35" s="25">
        <f>IF('01_Input'!$C$67="Non",0,MIN('01_Input'!$I$67,MAX('01_Input'!$H$67,IF('01_Input'!$G$67="Résiduel vs Gestion",0,IF('01_Input'!$G$67="Taux Classe sélectionnée",Distrib_Global_Classe_Selectionnee*BA$20,IF('01_Input'!$G$67="Frais KYC (paliers de 100M€)",MAX(0,Nb_Investisseurs-Nb_KYC_Gratuites_Par_Tranche*(FLOOR(BA$20/Taille_Tranche_KYC,1)+1))*Cout_Par_KYC_Supplementaire,(IF('01_Input'!$L$67="Forfait",IF(BA$20&gt;='01_Input'!$J$67,'01_Input'!$M$67,0),IF('01_Input'!$L$67="Palier",IF(AND(BA$20&gt;='01_Input'!$J$67,BA$20&lt;'01_Input'!$K$67),'01_Input'!$M$67,0),MAX(MIN(BA$20,'01_Input'!$K$67)-'01_Input'!$J$67,0)*'01_Input'!$M$67))+IF('01_Input'!$P$67="Forfait",IF(BA$20&gt;='01_Input'!$N$67,'01_Input'!$Q$67,0),IF('01_Input'!$P$67="Palier",IF(AND(BA$20&gt;='01_Input'!$N$67,BA$20&lt;'01_Input'!$O$67),'01_Input'!$Q$67,0),MAX(MIN(BA$20,'01_Input'!$O$67)-'01_Input'!$N$67,0)*'01_Input'!$Q$67))+IF('01_Input'!$T$67="Forfait",IF(BA$20&gt;='01_Input'!$R$67,'01_Input'!$U$67,0),IF('01_Input'!$T$67="Palier",IF(AND(BA$20&gt;='01_Input'!$R$67,BA$20&lt;'01_Input'!$S$67),'01_Input'!$U$67,0),MAX(MIN(BA$20,'01_Input'!$S$67)-'01_Input'!$R$67,0)*'01_Input'!$U$67))+IF('01_Input'!$X$67="Forfait",IF(BA$20&gt;='01_Input'!$V$67,'01_Input'!$Y$67,0),IF('01_Input'!$X$67="Palier",IF(AND(BA$20&gt;='01_Input'!$V$67,BA$20&lt;'01_Input'!$W$67),'01_Input'!$Y$67,0),MAX(MIN(BA$20,'01_Input'!$W$67)-'01_Input'!$V$67,0)*'01_Input'!$Y$67))+IF('01_Input'!$AB$67="Forfait",IF(BA$20&gt;='01_Input'!$Z$67,'01_Input'!$AC$67,0),IF('01_Input'!$AB$67="Palier",IF(AND(BA$20&gt;='01_Input'!$Z$67,BA$20&lt;'01_Input'!$AA$67),'01_Input'!$AC$67,0),MAX(MIN(BA$20,'01_Input'!$AA$67)-'01_Input'!$Z$67,0)*'01_Input'!$AC$67)))))))))</f>
        <v>0</v>
      </c>
      <c r="BB35" s="25">
        <f>IF('01_Input'!$C$67="Non",0,MIN('01_Input'!$I$67,MAX('01_Input'!$H$67,IF('01_Input'!$G$67="Résiduel vs Gestion",0,IF('01_Input'!$G$67="Taux Classe sélectionnée",Distrib_Global_Classe_Selectionnee*BB$20,IF('01_Input'!$G$67="Frais KYC (paliers de 100M€)",MAX(0,Nb_Investisseurs-Nb_KYC_Gratuites_Par_Tranche*(FLOOR(BB$20/Taille_Tranche_KYC,1)+1))*Cout_Par_KYC_Supplementaire,(IF('01_Input'!$L$67="Forfait",IF(BB$20&gt;='01_Input'!$J$67,'01_Input'!$M$67,0),IF('01_Input'!$L$67="Palier",IF(AND(BB$20&gt;='01_Input'!$J$67,BB$20&lt;'01_Input'!$K$67),'01_Input'!$M$67,0),MAX(MIN(BB$20,'01_Input'!$K$67)-'01_Input'!$J$67,0)*'01_Input'!$M$67))+IF('01_Input'!$P$67="Forfait",IF(BB$20&gt;='01_Input'!$N$67,'01_Input'!$Q$67,0),IF('01_Input'!$P$67="Palier",IF(AND(BB$20&gt;='01_Input'!$N$67,BB$20&lt;'01_Input'!$O$67),'01_Input'!$Q$67,0),MAX(MIN(BB$20,'01_Input'!$O$67)-'01_Input'!$N$67,0)*'01_Input'!$Q$67))+IF('01_Input'!$T$67="Forfait",IF(BB$20&gt;='01_Input'!$R$67,'01_Input'!$U$67,0),IF('01_Input'!$T$67="Palier",IF(AND(BB$20&gt;='01_Input'!$R$67,BB$20&lt;'01_Input'!$S$67),'01_Input'!$U$67,0),MAX(MIN(BB$20,'01_Input'!$S$67)-'01_Input'!$R$67,0)*'01_Input'!$U$67))+IF('01_Input'!$X$67="Forfait",IF(BB$20&gt;='01_Input'!$V$67,'01_Input'!$Y$67,0),IF('01_Input'!$X$67="Palier",IF(AND(BB$20&gt;='01_Input'!$V$67,BB$20&lt;'01_Input'!$W$67),'01_Input'!$Y$67,0),MAX(MIN(BB$20,'01_Input'!$W$67)-'01_Input'!$V$67,0)*'01_Input'!$Y$67))+IF('01_Input'!$AB$67="Forfait",IF(BB$20&gt;='01_Input'!$Z$67,'01_Input'!$AC$67,0),IF('01_Input'!$AB$67="Palier",IF(AND(BB$20&gt;='01_Input'!$Z$67,BB$20&lt;'01_Input'!$AA$67),'01_Input'!$AC$67,0),MAX(MIN(BB$20,'01_Input'!$AA$67)-'01_Input'!$Z$67,0)*'01_Input'!$AC$67)))))))))</f>
        <v>0</v>
      </c>
      <c r="BC35" s="25">
        <f>IF('01_Input'!$C$67="Non",0,MIN('01_Input'!$I$67,MAX('01_Input'!$H$67,IF('01_Input'!$G$67="Résiduel vs Gestion",0,IF('01_Input'!$G$67="Taux Classe sélectionnée",Distrib_Global_Classe_Selectionnee*BC$20,IF('01_Input'!$G$67="Frais KYC (paliers de 100M€)",MAX(0,Nb_Investisseurs-Nb_KYC_Gratuites_Par_Tranche*(FLOOR(BC$20/Taille_Tranche_KYC,1)+1))*Cout_Par_KYC_Supplementaire,(IF('01_Input'!$L$67="Forfait",IF(BC$20&gt;='01_Input'!$J$67,'01_Input'!$M$67,0),IF('01_Input'!$L$67="Palier",IF(AND(BC$20&gt;='01_Input'!$J$67,BC$20&lt;'01_Input'!$K$67),'01_Input'!$M$67,0),MAX(MIN(BC$20,'01_Input'!$K$67)-'01_Input'!$J$67,0)*'01_Input'!$M$67))+IF('01_Input'!$P$67="Forfait",IF(BC$20&gt;='01_Input'!$N$67,'01_Input'!$Q$67,0),IF('01_Input'!$P$67="Palier",IF(AND(BC$20&gt;='01_Input'!$N$67,BC$20&lt;'01_Input'!$O$67),'01_Input'!$Q$67,0),MAX(MIN(BC$20,'01_Input'!$O$67)-'01_Input'!$N$67,0)*'01_Input'!$Q$67))+IF('01_Input'!$T$67="Forfait",IF(BC$20&gt;='01_Input'!$R$67,'01_Input'!$U$67,0),IF('01_Input'!$T$67="Palier",IF(AND(BC$20&gt;='01_Input'!$R$67,BC$20&lt;'01_Input'!$S$67),'01_Input'!$U$67,0),MAX(MIN(BC$20,'01_Input'!$S$67)-'01_Input'!$R$67,0)*'01_Input'!$U$67))+IF('01_Input'!$X$67="Forfait",IF(BC$20&gt;='01_Input'!$V$67,'01_Input'!$Y$67,0),IF('01_Input'!$X$67="Palier",IF(AND(BC$20&gt;='01_Input'!$V$67,BC$20&lt;'01_Input'!$W$67),'01_Input'!$Y$67,0),MAX(MIN(BC$20,'01_Input'!$W$67)-'01_Input'!$V$67,0)*'01_Input'!$Y$67))+IF('01_Input'!$AB$67="Forfait",IF(BC$20&gt;='01_Input'!$Z$67,'01_Input'!$AC$67,0),IF('01_Input'!$AB$67="Palier",IF(AND(BC$20&gt;='01_Input'!$Z$67,BC$20&lt;'01_Input'!$AA$67),'01_Input'!$AC$67,0),MAX(MIN(BC$20,'01_Input'!$AA$67)-'01_Input'!$Z$67,0)*'01_Input'!$AC$67)))))))))</f>
        <v>0</v>
      </c>
      <c r="BD35" s="25">
        <f>IF('01_Input'!$C$67="Non",0,MIN('01_Input'!$I$67,MAX('01_Input'!$H$67,IF('01_Input'!$G$67="Résiduel vs Gestion",0,IF('01_Input'!$G$67="Taux Classe sélectionnée",Distrib_Global_Classe_Selectionnee*BD$20,IF('01_Input'!$G$67="Frais KYC (paliers de 100M€)",MAX(0,Nb_Investisseurs-Nb_KYC_Gratuites_Par_Tranche*(FLOOR(BD$20/Taille_Tranche_KYC,1)+1))*Cout_Par_KYC_Supplementaire,(IF('01_Input'!$L$67="Forfait",IF(BD$20&gt;='01_Input'!$J$67,'01_Input'!$M$67,0),IF('01_Input'!$L$67="Palier",IF(AND(BD$20&gt;='01_Input'!$J$67,BD$20&lt;'01_Input'!$K$67),'01_Input'!$M$67,0),MAX(MIN(BD$20,'01_Input'!$K$67)-'01_Input'!$J$67,0)*'01_Input'!$M$67))+IF('01_Input'!$P$67="Forfait",IF(BD$20&gt;='01_Input'!$N$67,'01_Input'!$Q$67,0),IF('01_Input'!$P$67="Palier",IF(AND(BD$20&gt;='01_Input'!$N$67,BD$20&lt;'01_Input'!$O$67),'01_Input'!$Q$67,0),MAX(MIN(BD$20,'01_Input'!$O$67)-'01_Input'!$N$67,0)*'01_Input'!$Q$67))+IF('01_Input'!$T$67="Forfait",IF(BD$20&gt;='01_Input'!$R$67,'01_Input'!$U$67,0),IF('01_Input'!$T$67="Palier",IF(AND(BD$20&gt;='01_Input'!$R$67,BD$20&lt;'01_Input'!$S$67),'01_Input'!$U$67,0),MAX(MIN(BD$20,'01_Input'!$S$67)-'01_Input'!$R$67,0)*'01_Input'!$U$67))+IF('01_Input'!$X$67="Forfait",IF(BD$20&gt;='01_Input'!$V$67,'01_Input'!$Y$67,0),IF('01_Input'!$X$67="Palier",IF(AND(BD$20&gt;='01_Input'!$V$67,BD$20&lt;'01_Input'!$W$67),'01_Input'!$Y$67,0),MAX(MIN(BD$20,'01_Input'!$W$67)-'01_Input'!$V$67,0)*'01_Input'!$Y$67))+IF('01_Input'!$AB$67="Forfait",IF(BD$20&gt;='01_Input'!$Z$67,'01_Input'!$AC$67,0),IF('01_Input'!$AB$67="Palier",IF(AND(BD$20&gt;='01_Input'!$Z$67,BD$20&lt;'01_Input'!$AA$67),'01_Input'!$AC$67,0),MAX(MIN(BD$20,'01_Input'!$AA$67)-'01_Input'!$Z$67,0)*'01_Input'!$AC$67)))))))))</f>
        <v>0</v>
      </c>
      <c r="BE35" s="25">
        <f>IF('01_Input'!$C$67="Non",0,MIN('01_Input'!$I$67,MAX('01_Input'!$H$67,IF('01_Input'!$G$67="Résiduel vs Gestion",0,IF('01_Input'!$G$67="Taux Classe sélectionnée",Distrib_Global_Classe_Selectionnee*BE$20,IF('01_Input'!$G$67="Frais KYC (paliers de 100M€)",MAX(0,Nb_Investisseurs-Nb_KYC_Gratuites_Par_Tranche*(FLOOR(BE$20/Taille_Tranche_KYC,1)+1))*Cout_Par_KYC_Supplementaire,(IF('01_Input'!$L$67="Forfait",IF(BE$20&gt;='01_Input'!$J$67,'01_Input'!$M$67,0),IF('01_Input'!$L$67="Palier",IF(AND(BE$20&gt;='01_Input'!$J$67,BE$20&lt;'01_Input'!$K$67),'01_Input'!$M$67,0),MAX(MIN(BE$20,'01_Input'!$K$67)-'01_Input'!$J$67,0)*'01_Input'!$M$67))+IF('01_Input'!$P$67="Forfait",IF(BE$20&gt;='01_Input'!$N$67,'01_Input'!$Q$67,0),IF('01_Input'!$P$67="Palier",IF(AND(BE$20&gt;='01_Input'!$N$67,BE$20&lt;'01_Input'!$O$67),'01_Input'!$Q$67,0),MAX(MIN(BE$20,'01_Input'!$O$67)-'01_Input'!$N$67,0)*'01_Input'!$Q$67))+IF('01_Input'!$T$67="Forfait",IF(BE$20&gt;='01_Input'!$R$67,'01_Input'!$U$67,0),IF('01_Input'!$T$67="Palier",IF(AND(BE$20&gt;='01_Input'!$R$67,BE$20&lt;'01_Input'!$S$67),'01_Input'!$U$67,0),MAX(MIN(BE$20,'01_Input'!$S$67)-'01_Input'!$R$67,0)*'01_Input'!$U$67))+IF('01_Input'!$X$67="Forfait",IF(BE$20&gt;='01_Input'!$V$67,'01_Input'!$Y$67,0),IF('01_Input'!$X$67="Palier",IF(AND(BE$20&gt;='01_Input'!$V$67,BE$20&lt;'01_Input'!$W$67),'01_Input'!$Y$67,0),MAX(MIN(BE$20,'01_Input'!$W$67)-'01_Input'!$V$67,0)*'01_Input'!$Y$67))+IF('01_Input'!$AB$67="Forfait",IF(BE$20&gt;='01_Input'!$Z$67,'01_Input'!$AC$67,0),IF('01_Input'!$AB$67="Palier",IF(AND(BE$20&gt;='01_Input'!$Z$67,BE$20&lt;'01_Input'!$AA$67),'01_Input'!$AC$67,0),MAX(MIN(BE$20,'01_Input'!$AA$67)-'01_Input'!$Z$67,0)*'01_Input'!$AC$67)))))))))</f>
        <v>0</v>
      </c>
      <c r="BF35" s="25">
        <f>IF('01_Input'!$C$67="Non",0,MIN('01_Input'!$I$67,MAX('01_Input'!$H$67,IF('01_Input'!$G$67="Résiduel vs Gestion",0,IF('01_Input'!$G$67="Taux Classe sélectionnée",Distrib_Global_Classe_Selectionnee*BF$20,IF('01_Input'!$G$67="Frais KYC (paliers de 100M€)",MAX(0,Nb_Investisseurs-Nb_KYC_Gratuites_Par_Tranche*(FLOOR(BF$20/Taille_Tranche_KYC,1)+1))*Cout_Par_KYC_Supplementaire,(IF('01_Input'!$L$67="Forfait",IF(BF$20&gt;='01_Input'!$J$67,'01_Input'!$M$67,0),IF('01_Input'!$L$67="Palier",IF(AND(BF$20&gt;='01_Input'!$J$67,BF$20&lt;'01_Input'!$K$67),'01_Input'!$M$67,0),MAX(MIN(BF$20,'01_Input'!$K$67)-'01_Input'!$J$67,0)*'01_Input'!$M$67))+IF('01_Input'!$P$67="Forfait",IF(BF$20&gt;='01_Input'!$N$67,'01_Input'!$Q$67,0),IF('01_Input'!$P$67="Palier",IF(AND(BF$20&gt;='01_Input'!$N$67,BF$20&lt;'01_Input'!$O$67),'01_Input'!$Q$67,0),MAX(MIN(BF$20,'01_Input'!$O$67)-'01_Input'!$N$67,0)*'01_Input'!$Q$67))+IF('01_Input'!$T$67="Forfait",IF(BF$20&gt;='01_Input'!$R$67,'01_Input'!$U$67,0),IF('01_Input'!$T$67="Palier",IF(AND(BF$20&gt;='01_Input'!$R$67,BF$20&lt;'01_Input'!$S$67),'01_Input'!$U$67,0),MAX(MIN(BF$20,'01_Input'!$S$67)-'01_Input'!$R$67,0)*'01_Input'!$U$67))+IF('01_Input'!$X$67="Forfait",IF(BF$20&gt;='01_Input'!$V$67,'01_Input'!$Y$67,0),IF('01_Input'!$X$67="Palier",IF(AND(BF$20&gt;='01_Input'!$V$67,BF$20&lt;'01_Input'!$W$67),'01_Input'!$Y$67,0),MAX(MIN(BF$20,'01_Input'!$W$67)-'01_Input'!$V$67,0)*'01_Input'!$Y$67))+IF('01_Input'!$AB$67="Forfait",IF(BF$20&gt;='01_Input'!$Z$67,'01_Input'!$AC$67,0),IF('01_Input'!$AB$67="Palier",IF(AND(BF$20&gt;='01_Input'!$Z$67,BF$20&lt;'01_Input'!$AA$67),'01_Input'!$AC$67,0),MAX(MIN(BF$20,'01_Input'!$AA$67)-'01_Input'!$Z$67,0)*'01_Input'!$AC$67)))))))))</f>
        <v>0</v>
      </c>
      <c r="BG35" s="25">
        <f>IF('01_Input'!$C$67="Non",0,MIN('01_Input'!$I$67,MAX('01_Input'!$H$67,IF('01_Input'!$G$67="Résiduel vs Gestion",0,IF('01_Input'!$G$67="Taux Classe sélectionnée",Distrib_Global_Classe_Selectionnee*BG$20,IF('01_Input'!$G$67="Frais KYC (paliers de 100M€)",MAX(0,Nb_Investisseurs-Nb_KYC_Gratuites_Par_Tranche*(FLOOR(BG$20/Taille_Tranche_KYC,1)+1))*Cout_Par_KYC_Supplementaire,(IF('01_Input'!$L$67="Forfait",IF(BG$20&gt;='01_Input'!$J$67,'01_Input'!$M$67,0),IF('01_Input'!$L$67="Palier",IF(AND(BG$20&gt;='01_Input'!$J$67,BG$20&lt;'01_Input'!$K$67),'01_Input'!$M$67,0),MAX(MIN(BG$20,'01_Input'!$K$67)-'01_Input'!$J$67,0)*'01_Input'!$M$67))+IF('01_Input'!$P$67="Forfait",IF(BG$20&gt;='01_Input'!$N$67,'01_Input'!$Q$67,0),IF('01_Input'!$P$67="Palier",IF(AND(BG$20&gt;='01_Input'!$N$67,BG$20&lt;'01_Input'!$O$67),'01_Input'!$Q$67,0),MAX(MIN(BG$20,'01_Input'!$O$67)-'01_Input'!$N$67,0)*'01_Input'!$Q$67))+IF('01_Input'!$T$67="Forfait",IF(BG$20&gt;='01_Input'!$R$67,'01_Input'!$U$67,0),IF('01_Input'!$T$67="Palier",IF(AND(BG$20&gt;='01_Input'!$R$67,BG$20&lt;'01_Input'!$S$67),'01_Input'!$U$67,0),MAX(MIN(BG$20,'01_Input'!$S$67)-'01_Input'!$R$67,0)*'01_Input'!$U$67))+IF('01_Input'!$X$67="Forfait",IF(BG$20&gt;='01_Input'!$V$67,'01_Input'!$Y$67,0),IF('01_Input'!$X$67="Palier",IF(AND(BG$20&gt;='01_Input'!$V$67,BG$20&lt;'01_Input'!$W$67),'01_Input'!$Y$67,0),MAX(MIN(BG$20,'01_Input'!$W$67)-'01_Input'!$V$67,0)*'01_Input'!$Y$67))+IF('01_Input'!$AB$67="Forfait",IF(BG$20&gt;='01_Input'!$Z$67,'01_Input'!$AC$67,0),IF('01_Input'!$AB$67="Palier",IF(AND(BG$20&gt;='01_Input'!$Z$67,BG$20&lt;'01_Input'!$AA$67),'01_Input'!$AC$67,0),MAX(MIN(BG$20,'01_Input'!$AA$67)-'01_Input'!$Z$67,0)*'01_Input'!$AC$67)))))))))</f>
        <v>0</v>
      </c>
      <c r="BH35" s="25">
        <f>IF('01_Input'!$C$67="Non",0,MIN('01_Input'!$I$67,MAX('01_Input'!$H$67,IF('01_Input'!$G$67="Résiduel vs Gestion",0,IF('01_Input'!$G$67="Taux Classe sélectionnée",Distrib_Global_Classe_Selectionnee*BH$20,IF('01_Input'!$G$67="Frais KYC (paliers de 100M€)",MAX(0,Nb_Investisseurs-Nb_KYC_Gratuites_Par_Tranche*(FLOOR(BH$20/Taille_Tranche_KYC,1)+1))*Cout_Par_KYC_Supplementaire,(IF('01_Input'!$L$67="Forfait",IF(BH$20&gt;='01_Input'!$J$67,'01_Input'!$M$67,0),IF('01_Input'!$L$67="Palier",IF(AND(BH$20&gt;='01_Input'!$J$67,BH$20&lt;'01_Input'!$K$67),'01_Input'!$M$67,0),MAX(MIN(BH$20,'01_Input'!$K$67)-'01_Input'!$J$67,0)*'01_Input'!$M$67))+IF('01_Input'!$P$67="Forfait",IF(BH$20&gt;='01_Input'!$N$67,'01_Input'!$Q$67,0),IF('01_Input'!$P$67="Palier",IF(AND(BH$20&gt;='01_Input'!$N$67,BH$20&lt;'01_Input'!$O$67),'01_Input'!$Q$67,0),MAX(MIN(BH$20,'01_Input'!$O$67)-'01_Input'!$N$67,0)*'01_Input'!$Q$67))+IF('01_Input'!$T$67="Forfait",IF(BH$20&gt;='01_Input'!$R$67,'01_Input'!$U$67,0),IF('01_Input'!$T$67="Palier",IF(AND(BH$20&gt;='01_Input'!$R$67,BH$20&lt;'01_Input'!$S$67),'01_Input'!$U$67,0),MAX(MIN(BH$20,'01_Input'!$S$67)-'01_Input'!$R$67,0)*'01_Input'!$U$67))+IF('01_Input'!$X$67="Forfait",IF(BH$20&gt;='01_Input'!$V$67,'01_Input'!$Y$67,0),IF('01_Input'!$X$67="Palier",IF(AND(BH$20&gt;='01_Input'!$V$67,BH$20&lt;'01_Input'!$W$67),'01_Input'!$Y$67,0),MAX(MIN(BH$20,'01_Input'!$W$67)-'01_Input'!$V$67,0)*'01_Input'!$Y$67))+IF('01_Input'!$AB$67="Forfait",IF(BH$20&gt;='01_Input'!$Z$67,'01_Input'!$AC$67,0),IF('01_Input'!$AB$67="Palier",IF(AND(BH$20&gt;='01_Input'!$Z$67,BH$20&lt;'01_Input'!$AA$67),'01_Input'!$AC$67,0),MAX(MIN(BH$20,'01_Input'!$AA$67)-'01_Input'!$Z$67,0)*'01_Input'!$AC$67)))))))))</f>
        <v>0</v>
      </c>
      <c r="BI35" s="25">
        <f>IF('01_Input'!$C$67="Non",0,MIN('01_Input'!$I$67,MAX('01_Input'!$H$67,IF('01_Input'!$G$67="Résiduel vs Gestion",0,IF('01_Input'!$G$67="Taux Classe sélectionnée",Distrib_Global_Classe_Selectionnee*BI$20,IF('01_Input'!$G$67="Frais KYC (paliers de 100M€)",MAX(0,Nb_Investisseurs-Nb_KYC_Gratuites_Par_Tranche*(FLOOR(BI$20/Taille_Tranche_KYC,1)+1))*Cout_Par_KYC_Supplementaire,(IF('01_Input'!$L$67="Forfait",IF(BI$20&gt;='01_Input'!$J$67,'01_Input'!$M$67,0),IF('01_Input'!$L$67="Palier",IF(AND(BI$20&gt;='01_Input'!$J$67,BI$20&lt;'01_Input'!$K$67),'01_Input'!$M$67,0),MAX(MIN(BI$20,'01_Input'!$K$67)-'01_Input'!$J$67,0)*'01_Input'!$M$67))+IF('01_Input'!$P$67="Forfait",IF(BI$20&gt;='01_Input'!$N$67,'01_Input'!$Q$67,0),IF('01_Input'!$P$67="Palier",IF(AND(BI$20&gt;='01_Input'!$N$67,BI$20&lt;'01_Input'!$O$67),'01_Input'!$Q$67,0),MAX(MIN(BI$20,'01_Input'!$O$67)-'01_Input'!$N$67,0)*'01_Input'!$Q$67))+IF('01_Input'!$T$67="Forfait",IF(BI$20&gt;='01_Input'!$R$67,'01_Input'!$U$67,0),IF('01_Input'!$T$67="Palier",IF(AND(BI$20&gt;='01_Input'!$R$67,BI$20&lt;'01_Input'!$S$67),'01_Input'!$U$67,0),MAX(MIN(BI$20,'01_Input'!$S$67)-'01_Input'!$R$67,0)*'01_Input'!$U$67))+IF('01_Input'!$X$67="Forfait",IF(BI$20&gt;='01_Input'!$V$67,'01_Input'!$Y$67,0),IF('01_Input'!$X$67="Palier",IF(AND(BI$20&gt;='01_Input'!$V$67,BI$20&lt;'01_Input'!$W$67),'01_Input'!$Y$67,0),MAX(MIN(BI$20,'01_Input'!$W$67)-'01_Input'!$V$67,0)*'01_Input'!$Y$67))+IF('01_Input'!$AB$67="Forfait",IF(BI$20&gt;='01_Input'!$Z$67,'01_Input'!$AC$67,0),IF('01_Input'!$AB$67="Palier",IF(AND(BI$20&gt;='01_Input'!$Z$67,BI$20&lt;'01_Input'!$AA$67),'01_Input'!$AC$67,0),MAX(MIN(BI$20,'01_Input'!$AA$67)-'01_Input'!$Z$67,0)*'01_Input'!$AC$67)))))))))</f>
        <v>0</v>
      </c>
      <c r="BJ35" s="25">
        <f>IF('01_Input'!$C$67="Non",0,MIN('01_Input'!$I$67,MAX('01_Input'!$H$67,IF('01_Input'!$G$67="Résiduel vs Gestion",0,IF('01_Input'!$G$67="Taux Classe sélectionnée",Distrib_Global_Classe_Selectionnee*BJ$20,IF('01_Input'!$G$67="Frais KYC (paliers de 100M€)",MAX(0,Nb_Investisseurs-Nb_KYC_Gratuites_Par_Tranche*(FLOOR(BJ$20/Taille_Tranche_KYC,1)+1))*Cout_Par_KYC_Supplementaire,(IF('01_Input'!$L$67="Forfait",IF(BJ$20&gt;='01_Input'!$J$67,'01_Input'!$M$67,0),IF('01_Input'!$L$67="Palier",IF(AND(BJ$20&gt;='01_Input'!$J$67,BJ$20&lt;'01_Input'!$K$67),'01_Input'!$M$67,0),MAX(MIN(BJ$20,'01_Input'!$K$67)-'01_Input'!$J$67,0)*'01_Input'!$M$67))+IF('01_Input'!$P$67="Forfait",IF(BJ$20&gt;='01_Input'!$N$67,'01_Input'!$Q$67,0),IF('01_Input'!$P$67="Palier",IF(AND(BJ$20&gt;='01_Input'!$N$67,BJ$20&lt;'01_Input'!$O$67),'01_Input'!$Q$67,0),MAX(MIN(BJ$20,'01_Input'!$O$67)-'01_Input'!$N$67,0)*'01_Input'!$Q$67))+IF('01_Input'!$T$67="Forfait",IF(BJ$20&gt;='01_Input'!$R$67,'01_Input'!$U$67,0),IF('01_Input'!$T$67="Palier",IF(AND(BJ$20&gt;='01_Input'!$R$67,BJ$20&lt;'01_Input'!$S$67),'01_Input'!$U$67,0),MAX(MIN(BJ$20,'01_Input'!$S$67)-'01_Input'!$R$67,0)*'01_Input'!$U$67))+IF('01_Input'!$X$67="Forfait",IF(BJ$20&gt;='01_Input'!$V$67,'01_Input'!$Y$67,0),IF('01_Input'!$X$67="Palier",IF(AND(BJ$20&gt;='01_Input'!$V$67,BJ$20&lt;'01_Input'!$W$67),'01_Input'!$Y$67,0),MAX(MIN(BJ$20,'01_Input'!$W$67)-'01_Input'!$V$67,0)*'01_Input'!$Y$67))+IF('01_Input'!$AB$67="Forfait",IF(BJ$20&gt;='01_Input'!$Z$67,'01_Input'!$AC$67,0),IF('01_Input'!$AB$67="Palier",IF(AND(BJ$20&gt;='01_Input'!$Z$67,BJ$20&lt;'01_Input'!$AA$67),'01_Input'!$AC$67,0),MAX(MIN(BJ$20,'01_Input'!$AA$67)-'01_Input'!$Z$67,0)*'01_Input'!$AC$67)))))))))</f>
        <v>0</v>
      </c>
      <c r="BK35" s="25">
        <f>IF('01_Input'!$C$67="Non",0,MIN('01_Input'!$I$67,MAX('01_Input'!$H$67,IF('01_Input'!$G$67="Résiduel vs Gestion",0,IF('01_Input'!$G$67="Taux Classe sélectionnée",Distrib_Global_Classe_Selectionnee*BK$20,IF('01_Input'!$G$67="Frais KYC (paliers de 100M€)",MAX(0,Nb_Investisseurs-Nb_KYC_Gratuites_Par_Tranche*(FLOOR(BK$20/Taille_Tranche_KYC,1)+1))*Cout_Par_KYC_Supplementaire,(IF('01_Input'!$L$67="Forfait",IF(BK$20&gt;='01_Input'!$J$67,'01_Input'!$M$67,0),IF('01_Input'!$L$67="Palier",IF(AND(BK$20&gt;='01_Input'!$J$67,BK$20&lt;'01_Input'!$K$67),'01_Input'!$M$67,0),MAX(MIN(BK$20,'01_Input'!$K$67)-'01_Input'!$J$67,0)*'01_Input'!$M$67))+IF('01_Input'!$P$67="Forfait",IF(BK$20&gt;='01_Input'!$N$67,'01_Input'!$Q$67,0),IF('01_Input'!$P$67="Palier",IF(AND(BK$20&gt;='01_Input'!$N$67,BK$20&lt;'01_Input'!$O$67),'01_Input'!$Q$67,0),MAX(MIN(BK$20,'01_Input'!$O$67)-'01_Input'!$N$67,0)*'01_Input'!$Q$67))+IF('01_Input'!$T$67="Forfait",IF(BK$20&gt;='01_Input'!$R$67,'01_Input'!$U$67,0),IF('01_Input'!$T$67="Palier",IF(AND(BK$20&gt;='01_Input'!$R$67,BK$20&lt;'01_Input'!$S$67),'01_Input'!$U$67,0),MAX(MIN(BK$20,'01_Input'!$S$67)-'01_Input'!$R$67,0)*'01_Input'!$U$67))+IF('01_Input'!$X$67="Forfait",IF(BK$20&gt;='01_Input'!$V$67,'01_Input'!$Y$67,0),IF('01_Input'!$X$67="Palier",IF(AND(BK$20&gt;='01_Input'!$V$67,BK$20&lt;'01_Input'!$W$67),'01_Input'!$Y$67,0),MAX(MIN(BK$20,'01_Input'!$W$67)-'01_Input'!$V$67,0)*'01_Input'!$Y$67))+IF('01_Input'!$AB$67="Forfait",IF(BK$20&gt;='01_Input'!$Z$67,'01_Input'!$AC$67,0),IF('01_Input'!$AB$67="Palier",IF(AND(BK$20&gt;='01_Input'!$Z$67,BK$20&lt;'01_Input'!$AA$67),'01_Input'!$AC$67,0),MAX(MIN(BK$20,'01_Input'!$AA$67)-'01_Input'!$Z$67,0)*'01_Input'!$AC$67)))))))))</f>
        <v>0</v>
      </c>
      <c r="BL35" s="25">
        <f>IF('01_Input'!$C$67="Non",0,MIN('01_Input'!$I$67,MAX('01_Input'!$H$67,IF('01_Input'!$G$67="Résiduel vs Gestion",0,IF('01_Input'!$G$67="Taux Classe sélectionnée",Distrib_Global_Classe_Selectionnee*BL$20,IF('01_Input'!$G$67="Frais KYC (paliers de 100M€)",MAX(0,Nb_Investisseurs-Nb_KYC_Gratuites_Par_Tranche*(FLOOR(BL$20/Taille_Tranche_KYC,1)+1))*Cout_Par_KYC_Supplementaire,(IF('01_Input'!$L$67="Forfait",IF(BL$20&gt;='01_Input'!$J$67,'01_Input'!$M$67,0),IF('01_Input'!$L$67="Palier",IF(AND(BL$20&gt;='01_Input'!$J$67,BL$20&lt;'01_Input'!$K$67),'01_Input'!$M$67,0),MAX(MIN(BL$20,'01_Input'!$K$67)-'01_Input'!$J$67,0)*'01_Input'!$M$67))+IF('01_Input'!$P$67="Forfait",IF(BL$20&gt;='01_Input'!$N$67,'01_Input'!$Q$67,0),IF('01_Input'!$P$67="Palier",IF(AND(BL$20&gt;='01_Input'!$N$67,BL$20&lt;'01_Input'!$O$67),'01_Input'!$Q$67,0),MAX(MIN(BL$20,'01_Input'!$O$67)-'01_Input'!$N$67,0)*'01_Input'!$Q$67))+IF('01_Input'!$T$67="Forfait",IF(BL$20&gt;='01_Input'!$R$67,'01_Input'!$U$67,0),IF('01_Input'!$T$67="Palier",IF(AND(BL$20&gt;='01_Input'!$R$67,BL$20&lt;'01_Input'!$S$67),'01_Input'!$U$67,0),MAX(MIN(BL$20,'01_Input'!$S$67)-'01_Input'!$R$67,0)*'01_Input'!$U$67))+IF('01_Input'!$X$67="Forfait",IF(BL$20&gt;='01_Input'!$V$67,'01_Input'!$Y$67,0),IF('01_Input'!$X$67="Palier",IF(AND(BL$20&gt;='01_Input'!$V$67,BL$20&lt;'01_Input'!$W$67),'01_Input'!$Y$67,0),MAX(MIN(BL$20,'01_Input'!$W$67)-'01_Input'!$V$67,0)*'01_Input'!$Y$67))+IF('01_Input'!$AB$67="Forfait",IF(BL$20&gt;='01_Input'!$Z$67,'01_Input'!$AC$67,0),IF('01_Input'!$AB$67="Palier",IF(AND(BL$20&gt;='01_Input'!$Z$67,BL$20&lt;'01_Input'!$AA$67),'01_Input'!$AC$67,0),MAX(MIN(BL$20,'01_Input'!$AA$67)-'01_Input'!$Z$67,0)*'01_Input'!$AC$67)))))))))</f>
        <v>0</v>
      </c>
      <c r="BM35" s="25">
        <f>IF('01_Input'!$C$67="Non",0,MIN('01_Input'!$I$67,MAX('01_Input'!$H$67,IF('01_Input'!$G$67="Résiduel vs Gestion",0,IF('01_Input'!$G$67="Taux Classe sélectionnée",Distrib_Global_Classe_Selectionnee*BM$20,IF('01_Input'!$G$67="Frais KYC (paliers de 100M€)",MAX(0,Nb_Investisseurs-Nb_KYC_Gratuites_Par_Tranche*(FLOOR(BM$20/Taille_Tranche_KYC,1)+1))*Cout_Par_KYC_Supplementaire,(IF('01_Input'!$L$67="Forfait",IF(BM$20&gt;='01_Input'!$J$67,'01_Input'!$M$67,0),IF('01_Input'!$L$67="Palier",IF(AND(BM$20&gt;='01_Input'!$J$67,BM$20&lt;'01_Input'!$K$67),'01_Input'!$M$67,0),MAX(MIN(BM$20,'01_Input'!$K$67)-'01_Input'!$J$67,0)*'01_Input'!$M$67))+IF('01_Input'!$P$67="Forfait",IF(BM$20&gt;='01_Input'!$N$67,'01_Input'!$Q$67,0),IF('01_Input'!$P$67="Palier",IF(AND(BM$20&gt;='01_Input'!$N$67,BM$20&lt;'01_Input'!$O$67),'01_Input'!$Q$67,0),MAX(MIN(BM$20,'01_Input'!$O$67)-'01_Input'!$N$67,0)*'01_Input'!$Q$67))+IF('01_Input'!$T$67="Forfait",IF(BM$20&gt;='01_Input'!$R$67,'01_Input'!$U$67,0),IF('01_Input'!$T$67="Palier",IF(AND(BM$20&gt;='01_Input'!$R$67,BM$20&lt;'01_Input'!$S$67),'01_Input'!$U$67,0),MAX(MIN(BM$20,'01_Input'!$S$67)-'01_Input'!$R$67,0)*'01_Input'!$U$67))+IF('01_Input'!$X$67="Forfait",IF(BM$20&gt;='01_Input'!$V$67,'01_Input'!$Y$67,0),IF('01_Input'!$X$67="Palier",IF(AND(BM$20&gt;='01_Input'!$V$67,BM$20&lt;'01_Input'!$W$67),'01_Input'!$Y$67,0),MAX(MIN(BM$20,'01_Input'!$W$67)-'01_Input'!$V$67,0)*'01_Input'!$Y$67))+IF('01_Input'!$AB$67="Forfait",IF(BM$20&gt;='01_Input'!$Z$67,'01_Input'!$AC$67,0),IF('01_Input'!$AB$67="Palier",IF(AND(BM$20&gt;='01_Input'!$Z$67,BM$20&lt;'01_Input'!$AA$67),'01_Input'!$AC$67,0),MAX(MIN(BM$20,'01_Input'!$AA$67)-'01_Input'!$Z$67,0)*'01_Input'!$AC$67)))))))))</f>
        <v>0</v>
      </c>
      <c r="BN35" s="25">
        <f>IF('01_Input'!$C$67="Non",0,MIN('01_Input'!$I$67,MAX('01_Input'!$H$67,IF('01_Input'!$G$67="Résiduel vs Gestion",0,IF('01_Input'!$G$67="Taux Classe sélectionnée",Distrib_Global_Classe_Selectionnee*BN$20,IF('01_Input'!$G$67="Frais KYC (paliers de 100M€)",MAX(0,Nb_Investisseurs-Nb_KYC_Gratuites_Par_Tranche*(FLOOR(BN$20/Taille_Tranche_KYC,1)+1))*Cout_Par_KYC_Supplementaire,(IF('01_Input'!$L$67="Forfait",IF(BN$20&gt;='01_Input'!$J$67,'01_Input'!$M$67,0),IF('01_Input'!$L$67="Palier",IF(AND(BN$20&gt;='01_Input'!$J$67,BN$20&lt;'01_Input'!$K$67),'01_Input'!$M$67,0),MAX(MIN(BN$20,'01_Input'!$K$67)-'01_Input'!$J$67,0)*'01_Input'!$M$67))+IF('01_Input'!$P$67="Forfait",IF(BN$20&gt;='01_Input'!$N$67,'01_Input'!$Q$67,0),IF('01_Input'!$P$67="Palier",IF(AND(BN$20&gt;='01_Input'!$N$67,BN$20&lt;'01_Input'!$O$67),'01_Input'!$Q$67,0),MAX(MIN(BN$20,'01_Input'!$O$67)-'01_Input'!$N$67,0)*'01_Input'!$Q$67))+IF('01_Input'!$T$67="Forfait",IF(BN$20&gt;='01_Input'!$R$67,'01_Input'!$U$67,0),IF('01_Input'!$T$67="Palier",IF(AND(BN$20&gt;='01_Input'!$R$67,BN$20&lt;'01_Input'!$S$67),'01_Input'!$U$67,0),MAX(MIN(BN$20,'01_Input'!$S$67)-'01_Input'!$R$67,0)*'01_Input'!$U$67))+IF('01_Input'!$X$67="Forfait",IF(BN$20&gt;='01_Input'!$V$67,'01_Input'!$Y$67,0),IF('01_Input'!$X$67="Palier",IF(AND(BN$20&gt;='01_Input'!$V$67,BN$20&lt;'01_Input'!$W$67),'01_Input'!$Y$67,0),MAX(MIN(BN$20,'01_Input'!$W$67)-'01_Input'!$V$67,0)*'01_Input'!$Y$67))+IF('01_Input'!$AB$67="Forfait",IF(BN$20&gt;='01_Input'!$Z$67,'01_Input'!$AC$67,0),IF('01_Input'!$AB$67="Palier",IF(AND(BN$20&gt;='01_Input'!$Z$67,BN$20&lt;'01_Input'!$AA$67),'01_Input'!$AC$67,0),MAX(MIN(BN$20,'01_Input'!$AA$67)-'01_Input'!$Z$67,0)*'01_Input'!$AC$67)))))))))</f>
        <v>0</v>
      </c>
      <c r="BO35" s="25">
        <f>IF('01_Input'!$C$67="Non",0,MIN('01_Input'!$I$67,MAX('01_Input'!$H$67,IF('01_Input'!$G$67="Résiduel vs Gestion",0,IF('01_Input'!$G$67="Taux Classe sélectionnée",Distrib_Global_Classe_Selectionnee*BO$20,IF('01_Input'!$G$67="Frais KYC (paliers de 100M€)",MAX(0,Nb_Investisseurs-Nb_KYC_Gratuites_Par_Tranche*(FLOOR(BO$20/Taille_Tranche_KYC,1)+1))*Cout_Par_KYC_Supplementaire,(IF('01_Input'!$L$67="Forfait",IF(BO$20&gt;='01_Input'!$J$67,'01_Input'!$M$67,0),IF('01_Input'!$L$67="Palier",IF(AND(BO$20&gt;='01_Input'!$J$67,BO$20&lt;'01_Input'!$K$67),'01_Input'!$M$67,0),MAX(MIN(BO$20,'01_Input'!$K$67)-'01_Input'!$J$67,0)*'01_Input'!$M$67))+IF('01_Input'!$P$67="Forfait",IF(BO$20&gt;='01_Input'!$N$67,'01_Input'!$Q$67,0),IF('01_Input'!$P$67="Palier",IF(AND(BO$20&gt;='01_Input'!$N$67,BO$20&lt;'01_Input'!$O$67),'01_Input'!$Q$67,0),MAX(MIN(BO$20,'01_Input'!$O$67)-'01_Input'!$N$67,0)*'01_Input'!$Q$67))+IF('01_Input'!$T$67="Forfait",IF(BO$20&gt;='01_Input'!$R$67,'01_Input'!$U$67,0),IF('01_Input'!$T$67="Palier",IF(AND(BO$20&gt;='01_Input'!$R$67,BO$20&lt;'01_Input'!$S$67),'01_Input'!$U$67,0),MAX(MIN(BO$20,'01_Input'!$S$67)-'01_Input'!$R$67,0)*'01_Input'!$U$67))+IF('01_Input'!$X$67="Forfait",IF(BO$20&gt;='01_Input'!$V$67,'01_Input'!$Y$67,0),IF('01_Input'!$X$67="Palier",IF(AND(BO$20&gt;='01_Input'!$V$67,BO$20&lt;'01_Input'!$W$67),'01_Input'!$Y$67,0),MAX(MIN(BO$20,'01_Input'!$W$67)-'01_Input'!$V$67,0)*'01_Input'!$Y$67))+IF('01_Input'!$AB$67="Forfait",IF(BO$20&gt;='01_Input'!$Z$67,'01_Input'!$AC$67,0),IF('01_Input'!$AB$67="Palier",IF(AND(BO$20&gt;='01_Input'!$Z$67,BO$20&lt;'01_Input'!$AA$67),'01_Input'!$AC$67,0),MAX(MIN(BO$20,'01_Input'!$AA$67)-'01_Input'!$Z$67,0)*'01_Input'!$AC$67)))))))))</f>
        <v>0</v>
      </c>
      <c r="BP35" s="25">
        <f>IF('01_Input'!$C$67="Non",0,MIN('01_Input'!$I$67,MAX('01_Input'!$H$67,IF('01_Input'!$G$67="Résiduel vs Gestion",0,IF('01_Input'!$G$67="Taux Classe sélectionnée",Distrib_Global_Classe_Selectionnee*BP$20,IF('01_Input'!$G$67="Frais KYC (paliers de 100M€)",MAX(0,Nb_Investisseurs-Nb_KYC_Gratuites_Par_Tranche*(FLOOR(BP$20/Taille_Tranche_KYC,1)+1))*Cout_Par_KYC_Supplementaire,(IF('01_Input'!$L$67="Forfait",IF(BP$20&gt;='01_Input'!$J$67,'01_Input'!$M$67,0),IF('01_Input'!$L$67="Palier",IF(AND(BP$20&gt;='01_Input'!$J$67,BP$20&lt;'01_Input'!$K$67),'01_Input'!$M$67,0),MAX(MIN(BP$20,'01_Input'!$K$67)-'01_Input'!$J$67,0)*'01_Input'!$M$67))+IF('01_Input'!$P$67="Forfait",IF(BP$20&gt;='01_Input'!$N$67,'01_Input'!$Q$67,0),IF('01_Input'!$P$67="Palier",IF(AND(BP$20&gt;='01_Input'!$N$67,BP$20&lt;'01_Input'!$O$67),'01_Input'!$Q$67,0),MAX(MIN(BP$20,'01_Input'!$O$67)-'01_Input'!$N$67,0)*'01_Input'!$Q$67))+IF('01_Input'!$T$67="Forfait",IF(BP$20&gt;='01_Input'!$R$67,'01_Input'!$U$67,0),IF('01_Input'!$T$67="Palier",IF(AND(BP$20&gt;='01_Input'!$R$67,BP$20&lt;'01_Input'!$S$67),'01_Input'!$U$67,0),MAX(MIN(BP$20,'01_Input'!$S$67)-'01_Input'!$R$67,0)*'01_Input'!$U$67))+IF('01_Input'!$X$67="Forfait",IF(BP$20&gt;='01_Input'!$V$67,'01_Input'!$Y$67,0),IF('01_Input'!$X$67="Palier",IF(AND(BP$20&gt;='01_Input'!$V$67,BP$20&lt;'01_Input'!$W$67),'01_Input'!$Y$67,0),MAX(MIN(BP$20,'01_Input'!$W$67)-'01_Input'!$V$67,0)*'01_Input'!$Y$67))+IF('01_Input'!$AB$67="Forfait",IF(BP$20&gt;='01_Input'!$Z$67,'01_Input'!$AC$67,0),IF('01_Input'!$AB$67="Palier",IF(AND(BP$20&gt;='01_Input'!$Z$67,BP$20&lt;'01_Input'!$AA$67),'01_Input'!$AC$67,0),MAX(MIN(BP$20,'01_Input'!$AA$67)-'01_Input'!$Z$67,0)*'01_Input'!$AC$67)))))))))</f>
        <v>0</v>
      </c>
      <c r="BQ35" s="25">
        <f>IF('01_Input'!$C$67="Non",0,MIN('01_Input'!$I$67,MAX('01_Input'!$H$67,IF('01_Input'!$G$67="Résiduel vs Gestion",0,IF('01_Input'!$G$67="Taux Classe sélectionnée",Distrib_Global_Classe_Selectionnee*BQ$20,IF('01_Input'!$G$67="Frais KYC (paliers de 100M€)",MAX(0,Nb_Investisseurs-Nb_KYC_Gratuites_Par_Tranche*(FLOOR(BQ$20/Taille_Tranche_KYC,1)+1))*Cout_Par_KYC_Supplementaire,(IF('01_Input'!$L$67="Forfait",IF(BQ$20&gt;='01_Input'!$J$67,'01_Input'!$M$67,0),IF('01_Input'!$L$67="Palier",IF(AND(BQ$20&gt;='01_Input'!$J$67,BQ$20&lt;'01_Input'!$K$67),'01_Input'!$M$67,0),MAX(MIN(BQ$20,'01_Input'!$K$67)-'01_Input'!$J$67,0)*'01_Input'!$M$67))+IF('01_Input'!$P$67="Forfait",IF(BQ$20&gt;='01_Input'!$N$67,'01_Input'!$Q$67,0),IF('01_Input'!$P$67="Palier",IF(AND(BQ$20&gt;='01_Input'!$N$67,BQ$20&lt;'01_Input'!$O$67),'01_Input'!$Q$67,0),MAX(MIN(BQ$20,'01_Input'!$O$67)-'01_Input'!$N$67,0)*'01_Input'!$Q$67))+IF('01_Input'!$T$67="Forfait",IF(BQ$20&gt;='01_Input'!$R$67,'01_Input'!$U$67,0),IF('01_Input'!$T$67="Palier",IF(AND(BQ$20&gt;='01_Input'!$R$67,BQ$20&lt;'01_Input'!$S$67),'01_Input'!$U$67,0),MAX(MIN(BQ$20,'01_Input'!$S$67)-'01_Input'!$R$67,0)*'01_Input'!$U$67))+IF('01_Input'!$X$67="Forfait",IF(BQ$20&gt;='01_Input'!$V$67,'01_Input'!$Y$67,0),IF('01_Input'!$X$67="Palier",IF(AND(BQ$20&gt;='01_Input'!$V$67,BQ$20&lt;'01_Input'!$W$67),'01_Input'!$Y$67,0),MAX(MIN(BQ$20,'01_Input'!$W$67)-'01_Input'!$V$67,0)*'01_Input'!$Y$67))+IF('01_Input'!$AB$67="Forfait",IF(BQ$20&gt;='01_Input'!$Z$67,'01_Input'!$AC$67,0),IF('01_Input'!$AB$67="Palier",IF(AND(BQ$20&gt;='01_Input'!$Z$67,BQ$20&lt;'01_Input'!$AA$67),'01_Input'!$AC$67,0),MAX(MIN(BQ$20,'01_Input'!$AA$67)-'01_Input'!$Z$67,0)*'01_Input'!$AC$67)))))))))</f>
        <v>0</v>
      </c>
      <c r="BR35" s="25">
        <f>IF('01_Input'!$C$67="Non",0,MIN('01_Input'!$I$67,MAX('01_Input'!$H$67,IF('01_Input'!$G$67="Résiduel vs Gestion",0,IF('01_Input'!$G$67="Taux Classe sélectionnée",Distrib_Global_Classe_Selectionnee*BR$20,IF('01_Input'!$G$67="Frais KYC (paliers de 100M€)",MAX(0,Nb_Investisseurs-Nb_KYC_Gratuites_Par_Tranche*(FLOOR(BR$20/Taille_Tranche_KYC,1)+1))*Cout_Par_KYC_Supplementaire,(IF('01_Input'!$L$67="Forfait",IF(BR$20&gt;='01_Input'!$J$67,'01_Input'!$M$67,0),IF('01_Input'!$L$67="Palier",IF(AND(BR$20&gt;='01_Input'!$J$67,BR$20&lt;'01_Input'!$K$67),'01_Input'!$M$67,0),MAX(MIN(BR$20,'01_Input'!$K$67)-'01_Input'!$J$67,0)*'01_Input'!$M$67))+IF('01_Input'!$P$67="Forfait",IF(BR$20&gt;='01_Input'!$N$67,'01_Input'!$Q$67,0),IF('01_Input'!$P$67="Palier",IF(AND(BR$20&gt;='01_Input'!$N$67,BR$20&lt;'01_Input'!$O$67),'01_Input'!$Q$67,0),MAX(MIN(BR$20,'01_Input'!$O$67)-'01_Input'!$N$67,0)*'01_Input'!$Q$67))+IF('01_Input'!$T$67="Forfait",IF(BR$20&gt;='01_Input'!$R$67,'01_Input'!$U$67,0),IF('01_Input'!$T$67="Palier",IF(AND(BR$20&gt;='01_Input'!$R$67,BR$20&lt;'01_Input'!$S$67),'01_Input'!$U$67,0),MAX(MIN(BR$20,'01_Input'!$S$67)-'01_Input'!$R$67,0)*'01_Input'!$U$67))+IF('01_Input'!$X$67="Forfait",IF(BR$20&gt;='01_Input'!$V$67,'01_Input'!$Y$67,0),IF('01_Input'!$X$67="Palier",IF(AND(BR$20&gt;='01_Input'!$V$67,BR$20&lt;'01_Input'!$W$67),'01_Input'!$Y$67,0),MAX(MIN(BR$20,'01_Input'!$W$67)-'01_Input'!$V$67,0)*'01_Input'!$Y$67))+IF('01_Input'!$AB$67="Forfait",IF(BR$20&gt;='01_Input'!$Z$67,'01_Input'!$AC$67,0),IF('01_Input'!$AB$67="Palier",IF(AND(BR$20&gt;='01_Input'!$Z$67,BR$20&lt;'01_Input'!$AA$67),'01_Input'!$AC$67,0),MAX(MIN(BR$20,'01_Input'!$AA$67)-'01_Input'!$Z$67,0)*'01_Input'!$AC$67)))))))))</f>
        <v>0</v>
      </c>
      <c r="BS35" s="25">
        <f>IF('01_Input'!$C$67="Non",0,MIN('01_Input'!$I$67,MAX('01_Input'!$H$67,IF('01_Input'!$G$67="Résiduel vs Gestion",0,IF('01_Input'!$G$67="Taux Classe sélectionnée",Distrib_Global_Classe_Selectionnee*BS$20,IF('01_Input'!$G$67="Frais KYC (paliers de 100M€)",MAX(0,Nb_Investisseurs-Nb_KYC_Gratuites_Par_Tranche*(FLOOR(BS$20/Taille_Tranche_KYC,1)+1))*Cout_Par_KYC_Supplementaire,(IF('01_Input'!$L$67="Forfait",IF(BS$20&gt;='01_Input'!$J$67,'01_Input'!$M$67,0),IF('01_Input'!$L$67="Palier",IF(AND(BS$20&gt;='01_Input'!$J$67,BS$20&lt;'01_Input'!$K$67),'01_Input'!$M$67,0),MAX(MIN(BS$20,'01_Input'!$K$67)-'01_Input'!$J$67,0)*'01_Input'!$M$67))+IF('01_Input'!$P$67="Forfait",IF(BS$20&gt;='01_Input'!$N$67,'01_Input'!$Q$67,0),IF('01_Input'!$P$67="Palier",IF(AND(BS$20&gt;='01_Input'!$N$67,BS$20&lt;'01_Input'!$O$67),'01_Input'!$Q$67,0),MAX(MIN(BS$20,'01_Input'!$O$67)-'01_Input'!$N$67,0)*'01_Input'!$Q$67))+IF('01_Input'!$T$67="Forfait",IF(BS$20&gt;='01_Input'!$R$67,'01_Input'!$U$67,0),IF('01_Input'!$T$67="Palier",IF(AND(BS$20&gt;='01_Input'!$R$67,BS$20&lt;'01_Input'!$S$67),'01_Input'!$U$67,0),MAX(MIN(BS$20,'01_Input'!$S$67)-'01_Input'!$R$67,0)*'01_Input'!$U$67))+IF('01_Input'!$X$67="Forfait",IF(BS$20&gt;='01_Input'!$V$67,'01_Input'!$Y$67,0),IF('01_Input'!$X$67="Palier",IF(AND(BS$20&gt;='01_Input'!$V$67,BS$20&lt;'01_Input'!$W$67),'01_Input'!$Y$67,0),MAX(MIN(BS$20,'01_Input'!$W$67)-'01_Input'!$V$67,0)*'01_Input'!$Y$67))+IF('01_Input'!$AB$67="Forfait",IF(BS$20&gt;='01_Input'!$Z$67,'01_Input'!$AC$67,0),IF('01_Input'!$AB$67="Palier",IF(AND(BS$20&gt;='01_Input'!$Z$67,BS$20&lt;'01_Input'!$AA$67),'01_Input'!$AC$67,0),MAX(MIN(BS$20,'01_Input'!$AA$67)-'01_Input'!$Z$67,0)*'01_Input'!$AC$67)))))))))</f>
        <v>0</v>
      </c>
      <c r="BT35" s="25">
        <f>IF('01_Input'!$C$67="Non",0,MIN('01_Input'!$I$67,MAX('01_Input'!$H$67,IF('01_Input'!$G$67="Résiduel vs Gestion",0,IF('01_Input'!$G$67="Taux Classe sélectionnée",Distrib_Global_Classe_Selectionnee*BT$20,IF('01_Input'!$G$67="Frais KYC (paliers de 100M€)",MAX(0,Nb_Investisseurs-Nb_KYC_Gratuites_Par_Tranche*(FLOOR(BT$20/Taille_Tranche_KYC,1)+1))*Cout_Par_KYC_Supplementaire,(IF('01_Input'!$L$67="Forfait",IF(BT$20&gt;='01_Input'!$J$67,'01_Input'!$M$67,0),IF('01_Input'!$L$67="Palier",IF(AND(BT$20&gt;='01_Input'!$J$67,BT$20&lt;'01_Input'!$K$67),'01_Input'!$M$67,0),MAX(MIN(BT$20,'01_Input'!$K$67)-'01_Input'!$J$67,0)*'01_Input'!$M$67))+IF('01_Input'!$P$67="Forfait",IF(BT$20&gt;='01_Input'!$N$67,'01_Input'!$Q$67,0),IF('01_Input'!$P$67="Palier",IF(AND(BT$20&gt;='01_Input'!$N$67,BT$20&lt;'01_Input'!$O$67),'01_Input'!$Q$67,0),MAX(MIN(BT$20,'01_Input'!$O$67)-'01_Input'!$N$67,0)*'01_Input'!$Q$67))+IF('01_Input'!$T$67="Forfait",IF(BT$20&gt;='01_Input'!$R$67,'01_Input'!$U$67,0),IF('01_Input'!$T$67="Palier",IF(AND(BT$20&gt;='01_Input'!$R$67,BT$20&lt;'01_Input'!$S$67),'01_Input'!$U$67,0),MAX(MIN(BT$20,'01_Input'!$S$67)-'01_Input'!$R$67,0)*'01_Input'!$U$67))+IF('01_Input'!$X$67="Forfait",IF(BT$20&gt;='01_Input'!$V$67,'01_Input'!$Y$67,0),IF('01_Input'!$X$67="Palier",IF(AND(BT$20&gt;='01_Input'!$V$67,BT$20&lt;'01_Input'!$W$67),'01_Input'!$Y$67,0),MAX(MIN(BT$20,'01_Input'!$W$67)-'01_Input'!$V$67,0)*'01_Input'!$Y$67))+IF('01_Input'!$AB$67="Forfait",IF(BT$20&gt;='01_Input'!$Z$67,'01_Input'!$AC$67,0),IF('01_Input'!$AB$67="Palier",IF(AND(BT$20&gt;='01_Input'!$Z$67,BT$20&lt;'01_Input'!$AA$67),'01_Input'!$AC$67,0),MAX(MIN(BT$20,'01_Input'!$AA$67)-'01_Input'!$Z$67,0)*'01_Input'!$AC$67)))))))))</f>
        <v>0</v>
      </c>
      <c r="BU35" s="25">
        <f>IF('01_Input'!$C$67="Non",0,MIN('01_Input'!$I$67,MAX('01_Input'!$H$67,IF('01_Input'!$G$67="Résiduel vs Gestion",0,IF('01_Input'!$G$67="Taux Classe sélectionnée",Distrib_Global_Classe_Selectionnee*BU$20,IF('01_Input'!$G$67="Frais KYC (paliers de 100M€)",MAX(0,Nb_Investisseurs-Nb_KYC_Gratuites_Par_Tranche*(FLOOR(BU$20/Taille_Tranche_KYC,1)+1))*Cout_Par_KYC_Supplementaire,(IF('01_Input'!$L$67="Forfait",IF(BU$20&gt;='01_Input'!$J$67,'01_Input'!$M$67,0),IF('01_Input'!$L$67="Palier",IF(AND(BU$20&gt;='01_Input'!$J$67,BU$20&lt;'01_Input'!$K$67),'01_Input'!$M$67,0),MAX(MIN(BU$20,'01_Input'!$K$67)-'01_Input'!$J$67,0)*'01_Input'!$M$67))+IF('01_Input'!$P$67="Forfait",IF(BU$20&gt;='01_Input'!$N$67,'01_Input'!$Q$67,0),IF('01_Input'!$P$67="Palier",IF(AND(BU$20&gt;='01_Input'!$N$67,BU$20&lt;'01_Input'!$O$67),'01_Input'!$Q$67,0),MAX(MIN(BU$20,'01_Input'!$O$67)-'01_Input'!$N$67,0)*'01_Input'!$Q$67))+IF('01_Input'!$T$67="Forfait",IF(BU$20&gt;='01_Input'!$R$67,'01_Input'!$U$67,0),IF('01_Input'!$T$67="Palier",IF(AND(BU$20&gt;='01_Input'!$R$67,BU$20&lt;'01_Input'!$S$67),'01_Input'!$U$67,0),MAX(MIN(BU$20,'01_Input'!$S$67)-'01_Input'!$R$67,0)*'01_Input'!$U$67))+IF('01_Input'!$X$67="Forfait",IF(BU$20&gt;='01_Input'!$V$67,'01_Input'!$Y$67,0),IF('01_Input'!$X$67="Palier",IF(AND(BU$20&gt;='01_Input'!$V$67,BU$20&lt;'01_Input'!$W$67),'01_Input'!$Y$67,0),MAX(MIN(BU$20,'01_Input'!$W$67)-'01_Input'!$V$67,0)*'01_Input'!$Y$67))+IF('01_Input'!$AB$67="Forfait",IF(BU$20&gt;='01_Input'!$Z$67,'01_Input'!$AC$67,0),IF('01_Input'!$AB$67="Palier",IF(AND(BU$20&gt;='01_Input'!$Z$67,BU$20&lt;'01_Input'!$AA$67),'01_Input'!$AC$67,0),MAX(MIN(BU$20,'01_Input'!$AA$67)-'01_Input'!$Z$67,0)*'01_Input'!$AC$67)))))))))</f>
        <v>0</v>
      </c>
      <c r="BV35" s="25">
        <f>IF('01_Input'!$C$67="Non",0,MIN('01_Input'!$I$67,MAX('01_Input'!$H$67,IF('01_Input'!$G$67="Résiduel vs Gestion",0,IF('01_Input'!$G$67="Taux Classe sélectionnée",Distrib_Global_Classe_Selectionnee*BV$20,IF('01_Input'!$G$67="Frais KYC (paliers de 100M€)",MAX(0,Nb_Investisseurs-Nb_KYC_Gratuites_Par_Tranche*(FLOOR(BV$20/Taille_Tranche_KYC,1)+1))*Cout_Par_KYC_Supplementaire,(IF('01_Input'!$L$67="Forfait",IF(BV$20&gt;='01_Input'!$J$67,'01_Input'!$M$67,0),IF('01_Input'!$L$67="Palier",IF(AND(BV$20&gt;='01_Input'!$J$67,BV$20&lt;'01_Input'!$K$67),'01_Input'!$M$67,0),MAX(MIN(BV$20,'01_Input'!$K$67)-'01_Input'!$J$67,0)*'01_Input'!$M$67))+IF('01_Input'!$P$67="Forfait",IF(BV$20&gt;='01_Input'!$N$67,'01_Input'!$Q$67,0),IF('01_Input'!$P$67="Palier",IF(AND(BV$20&gt;='01_Input'!$N$67,BV$20&lt;'01_Input'!$O$67),'01_Input'!$Q$67,0),MAX(MIN(BV$20,'01_Input'!$O$67)-'01_Input'!$N$67,0)*'01_Input'!$Q$67))+IF('01_Input'!$T$67="Forfait",IF(BV$20&gt;='01_Input'!$R$67,'01_Input'!$U$67,0),IF('01_Input'!$T$67="Palier",IF(AND(BV$20&gt;='01_Input'!$R$67,BV$20&lt;'01_Input'!$S$67),'01_Input'!$U$67,0),MAX(MIN(BV$20,'01_Input'!$S$67)-'01_Input'!$R$67,0)*'01_Input'!$U$67))+IF('01_Input'!$X$67="Forfait",IF(BV$20&gt;='01_Input'!$V$67,'01_Input'!$Y$67,0),IF('01_Input'!$X$67="Palier",IF(AND(BV$20&gt;='01_Input'!$V$67,BV$20&lt;'01_Input'!$W$67),'01_Input'!$Y$67,0),MAX(MIN(BV$20,'01_Input'!$W$67)-'01_Input'!$V$67,0)*'01_Input'!$Y$67))+IF('01_Input'!$AB$67="Forfait",IF(BV$20&gt;='01_Input'!$Z$67,'01_Input'!$AC$67,0),IF('01_Input'!$AB$67="Palier",IF(AND(BV$20&gt;='01_Input'!$Z$67,BV$20&lt;'01_Input'!$AA$67),'01_Input'!$AC$67,0),MAX(MIN(BV$20,'01_Input'!$AA$67)-'01_Input'!$Z$67,0)*'01_Input'!$AC$67)))))))))</f>
        <v>0</v>
      </c>
      <c r="BW35" s="25">
        <f>IF('01_Input'!$C$67="Non",0,MIN('01_Input'!$I$67,MAX('01_Input'!$H$67,IF('01_Input'!$G$67="Résiduel vs Gestion",0,IF('01_Input'!$G$67="Taux Classe sélectionnée",Distrib_Global_Classe_Selectionnee*BW$20,IF('01_Input'!$G$67="Frais KYC (paliers de 100M€)",MAX(0,Nb_Investisseurs-Nb_KYC_Gratuites_Par_Tranche*(FLOOR(BW$20/Taille_Tranche_KYC,1)+1))*Cout_Par_KYC_Supplementaire,(IF('01_Input'!$L$67="Forfait",IF(BW$20&gt;='01_Input'!$J$67,'01_Input'!$M$67,0),IF('01_Input'!$L$67="Palier",IF(AND(BW$20&gt;='01_Input'!$J$67,BW$20&lt;'01_Input'!$K$67),'01_Input'!$M$67,0),MAX(MIN(BW$20,'01_Input'!$K$67)-'01_Input'!$J$67,0)*'01_Input'!$M$67))+IF('01_Input'!$P$67="Forfait",IF(BW$20&gt;='01_Input'!$N$67,'01_Input'!$Q$67,0),IF('01_Input'!$P$67="Palier",IF(AND(BW$20&gt;='01_Input'!$N$67,BW$20&lt;'01_Input'!$O$67),'01_Input'!$Q$67,0),MAX(MIN(BW$20,'01_Input'!$O$67)-'01_Input'!$N$67,0)*'01_Input'!$Q$67))+IF('01_Input'!$T$67="Forfait",IF(BW$20&gt;='01_Input'!$R$67,'01_Input'!$U$67,0),IF('01_Input'!$T$67="Palier",IF(AND(BW$20&gt;='01_Input'!$R$67,BW$20&lt;'01_Input'!$S$67),'01_Input'!$U$67,0),MAX(MIN(BW$20,'01_Input'!$S$67)-'01_Input'!$R$67,0)*'01_Input'!$U$67))+IF('01_Input'!$X$67="Forfait",IF(BW$20&gt;='01_Input'!$V$67,'01_Input'!$Y$67,0),IF('01_Input'!$X$67="Palier",IF(AND(BW$20&gt;='01_Input'!$V$67,BW$20&lt;'01_Input'!$W$67),'01_Input'!$Y$67,0),MAX(MIN(BW$20,'01_Input'!$W$67)-'01_Input'!$V$67,0)*'01_Input'!$Y$67))+IF('01_Input'!$AB$67="Forfait",IF(BW$20&gt;='01_Input'!$Z$67,'01_Input'!$AC$67,0),IF('01_Input'!$AB$67="Palier",IF(AND(BW$20&gt;='01_Input'!$Z$67,BW$20&lt;'01_Input'!$AA$67),'01_Input'!$AC$67,0),MAX(MIN(BW$20,'01_Input'!$AA$67)-'01_Input'!$Z$67,0)*'01_Input'!$AC$67)))))))))</f>
        <v>0</v>
      </c>
      <c r="BX35" s="25">
        <f>IF('01_Input'!$C$67="Non",0,MIN('01_Input'!$I$67,MAX('01_Input'!$H$67,IF('01_Input'!$G$67="Résiduel vs Gestion",0,IF('01_Input'!$G$67="Taux Classe sélectionnée",Distrib_Global_Classe_Selectionnee*BX$20,IF('01_Input'!$G$67="Frais KYC (paliers de 100M€)",MAX(0,Nb_Investisseurs-Nb_KYC_Gratuites_Par_Tranche*(FLOOR(BX$20/Taille_Tranche_KYC,1)+1))*Cout_Par_KYC_Supplementaire,(IF('01_Input'!$L$67="Forfait",IF(BX$20&gt;='01_Input'!$J$67,'01_Input'!$M$67,0),IF('01_Input'!$L$67="Palier",IF(AND(BX$20&gt;='01_Input'!$J$67,BX$20&lt;'01_Input'!$K$67),'01_Input'!$M$67,0),MAX(MIN(BX$20,'01_Input'!$K$67)-'01_Input'!$J$67,0)*'01_Input'!$M$67))+IF('01_Input'!$P$67="Forfait",IF(BX$20&gt;='01_Input'!$N$67,'01_Input'!$Q$67,0),IF('01_Input'!$P$67="Palier",IF(AND(BX$20&gt;='01_Input'!$N$67,BX$20&lt;'01_Input'!$O$67),'01_Input'!$Q$67,0),MAX(MIN(BX$20,'01_Input'!$O$67)-'01_Input'!$N$67,0)*'01_Input'!$Q$67))+IF('01_Input'!$T$67="Forfait",IF(BX$20&gt;='01_Input'!$R$67,'01_Input'!$U$67,0),IF('01_Input'!$T$67="Palier",IF(AND(BX$20&gt;='01_Input'!$R$67,BX$20&lt;'01_Input'!$S$67),'01_Input'!$U$67,0),MAX(MIN(BX$20,'01_Input'!$S$67)-'01_Input'!$R$67,0)*'01_Input'!$U$67))+IF('01_Input'!$X$67="Forfait",IF(BX$20&gt;='01_Input'!$V$67,'01_Input'!$Y$67,0),IF('01_Input'!$X$67="Palier",IF(AND(BX$20&gt;='01_Input'!$V$67,BX$20&lt;'01_Input'!$W$67),'01_Input'!$Y$67,0),MAX(MIN(BX$20,'01_Input'!$W$67)-'01_Input'!$V$67,0)*'01_Input'!$Y$67))+IF('01_Input'!$AB$67="Forfait",IF(BX$20&gt;='01_Input'!$Z$67,'01_Input'!$AC$67,0),IF('01_Input'!$AB$67="Palier",IF(AND(BX$20&gt;='01_Input'!$Z$67,BX$20&lt;'01_Input'!$AA$67),'01_Input'!$AC$67,0),MAX(MIN(BX$20,'01_Input'!$AA$67)-'01_Input'!$Z$67,0)*'01_Input'!$AC$67)))))))))</f>
        <v>0</v>
      </c>
      <c r="BY35" s="25">
        <f>IF('01_Input'!$C$67="Non",0,MIN('01_Input'!$I$67,MAX('01_Input'!$H$67,IF('01_Input'!$G$67="Résiduel vs Gestion",0,IF('01_Input'!$G$67="Taux Classe sélectionnée",Distrib_Global_Classe_Selectionnee*BY$20,IF('01_Input'!$G$67="Frais KYC (paliers de 100M€)",MAX(0,Nb_Investisseurs-Nb_KYC_Gratuites_Par_Tranche*(FLOOR(BY$20/Taille_Tranche_KYC,1)+1))*Cout_Par_KYC_Supplementaire,(IF('01_Input'!$L$67="Forfait",IF(BY$20&gt;='01_Input'!$J$67,'01_Input'!$M$67,0),IF('01_Input'!$L$67="Palier",IF(AND(BY$20&gt;='01_Input'!$J$67,BY$20&lt;'01_Input'!$K$67),'01_Input'!$M$67,0),MAX(MIN(BY$20,'01_Input'!$K$67)-'01_Input'!$J$67,0)*'01_Input'!$M$67))+IF('01_Input'!$P$67="Forfait",IF(BY$20&gt;='01_Input'!$N$67,'01_Input'!$Q$67,0),IF('01_Input'!$P$67="Palier",IF(AND(BY$20&gt;='01_Input'!$N$67,BY$20&lt;'01_Input'!$O$67),'01_Input'!$Q$67,0),MAX(MIN(BY$20,'01_Input'!$O$67)-'01_Input'!$N$67,0)*'01_Input'!$Q$67))+IF('01_Input'!$T$67="Forfait",IF(BY$20&gt;='01_Input'!$R$67,'01_Input'!$U$67,0),IF('01_Input'!$T$67="Palier",IF(AND(BY$20&gt;='01_Input'!$R$67,BY$20&lt;'01_Input'!$S$67),'01_Input'!$U$67,0),MAX(MIN(BY$20,'01_Input'!$S$67)-'01_Input'!$R$67,0)*'01_Input'!$U$67))+IF('01_Input'!$X$67="Forfait",IF(BY$20&gt;='01_Input'!$V$67,'01_Input'!$Y$67,0),IF('01_Input'!$X$67="Palier",IF(AND(BY$20&gt;='01_Input'!$V$67,BY$20&lt;'01_Input'!$W$67),'01_Input'!$Y$67,0),MAX(MIN(BY$20,'01_Input'!$W$67)-'01_Input'!$V$67,0)*'01_Input'!$Y$67))+IF('01_Input'!$AB$67="Forfait",IF(BY$20&gt;='01_Input'!$Z$67,'01_Input'!$AC$67,0),IF('01_Input'!$AB$67="Palier",IF(AND(BY$20&gt;='01_Input'!$Z$67,BY$20&lt;'01_Input'!$AA$67),'01_Input'!$AC$67,0),MAX(MIN(BY$20,'01_Input'!$AA$67)-'01_Input'!$Z$67,0)*'01_Input'!$AC$67)))))))))</f>
        <v>0</v>
      </c>
      <c r="BZ35" s="25">
        <f>IF('01_Input'!$C$67="Non",0,MIN('01_Input'!$I$67,MAX('01_Input'!$H$67,IF('01_Input'!$G$67="Résiduel vs Gestion",0,IF('01_Input'!$G$67="Taux Classe sélectionnée",Distrib_Global_Classe_Selectionnee*BZ$20,IF('01_Input'!$G$67="Frais KYC (paliers de 100M€)",MAX(0,Nb_Investisseurs-Nb_KYC_Gratuites_Par_Tranche*(FLOOR(BZ$20/Taille_Tranche_KYC,1)+1))*Cout_Par_KYC_Supplementaire,(IF('01_Input'!$L$67="Forfait",IF(BZ$20&gt;='01_Input'!$J$67,'01_Input'!$M$67,0),IF('01_Input'!$L$67="Palier",IF(AND(BZ$20&gt;='01_Input'!$J$67,BZ$20&lt;'01_Input'!$K$67),'01_Input'!$M$67,0),MAX(MIN(BZ$20,'01_Input'!$K$67)-'01_Input'!$J$67,0)*'01_Input'!$M$67))+IF('01_Input'!$P$67="Forfait",IF(BZ$20&gt;='01_Input'!$N$67,'01_Input'!$Q$67,0),IF('01_Input'!$P$67="Palier",IF(AND(BZ$20&gt;='01_Input'!$N$67,BZ$20&lt;'01_Input'!$O$67),'01_Input'!$Q$67,0),MAX(MIN(BZ$20,'01_Input'!$O$67)-'01_Input'!$N$67,0)*'01_Input'!$Q$67))+IF('01_Input'!$T$67="Forfait",IF(BZ$20&gt;='01_Input'!$R$67,'01_Input'!$U$67,0),IF('01_Input'!$T$67="Palier",IF(AND(BZ$20&gt;='01_Input'!$R$67,BZ$20&lt;'01_Input'!$S$67),'01_Input'!$U$67,0),MAX(MIN(BZ$20,'01_Input'!$S$67)-'01_Input'!$R$67,0)*'01_Input'!$U$67))+IF('01_Input'!$X$67="Forfait",IF(BZ$20&gt;='01_Input'!$V$67,'01_Input'!$Y$67,0),IF('01_Input'!$X$67="Palier",IF(AND(BZ$20&gt;='01_Input'!$V$67,BZ$20&lt;'01_Input'!$W$67),'01_Input'!$Y$67,0),MAX(MIN(BZ$20,'01_Input'!$W$67)-'01_Input'!$V$67,0)*'01_Input'!$Y$67))+IF('01_Input'!$AB$67="Forfait",IF(BZ$20&gt;='01_Input'!$Z$67,'01_Input'!$AC$67,0),IF('01_Input'!$AB$67="Palier",IF(AND(BZ$20&gt;='01_Input'!$Z$67,BZ$20&lt;'01_Input'!$AA$67),'01_Input'!$AC$67,0),MAX(MIN(BZ$20,'01_Input'!$AA$67)-'01_Input'!$Z$67,0)*'01_Input'!$AC$67)))))))))</f>
        <v>0</v>
      </c>
      <c r="CA35" s="25">
        <f>IF('01_Input'!$C$67="Non",0,MIN('01_Input'!$I$67,MAX('01_Input'!$H$67,IF('01_Input'!$G$67="Résiduel vs Gestion",0,IF('01_Input'!$G$67="Taux Classe sélectionnée",Distrib_Global_Classe_Selectionnee*CA$20,IF('01_Input'!$G$67="Frais KYC (paliers de 100M€)",MAX(0,Nb_Investisseurs-Nb_KYC_Gratuites_Par_Tranche*(FLOOR(CA$20/Taille_Tranche_KYC,1)+1))*Cout_Par_KYC_Supplementaire,(IF('01_Input'!$L$67="Forfait",IF(CA$20&gt;='01_Input'!$J$67,'01_Input'!$M$67,0),IF('01_Input'!$L$67="Palier",IF(AND(CA$20&gt;='01_Input'!$J$67,CA$20&lt;'01_Input'!$K$67),'01_Input'!$M$67,0),MAX(MIN(CA$20,'01_Input'!$K$67)-'01_Input'!$J$67,0)*'01_Input'!$M$67))+IF('01_Input'!$P$67="Forfait",IF(CA$20&gt;='01_Input'!$N$67,'01_Input'!$Q$67,0),IF('01_Input'!$P$67="Palier",IF(AND(CA$20&gt;='01_Input'!$N$67,CA$20&lt;'01_Input'!$O$67),'01_Input'!$Q$67,0),MAX(MIN(CA$20,'01_Input'!$O$67)-'01_Input'!$N$67,0)*'01_Input'!$Q$67))+IF('01_Input'!$T$67="Forfait",IF(CA$20&gt;='01_Input'!$R$67,'01_Input'!$U$67,0),IF('01_Input'!$T$67="Palier",IF(AND(CA$20&gt;='01_Input'!$R$67,CA$20&lt;'01_Input'!$S$67),'01_Input'!$U$67,0),MAX(MIN(CA$20,'01_Input'!$S$67)-'01_Input'!$R$67,0)*'01_Input'!$U$67))+IF('01_Input'!$X$67="Forfait",IF(CA$20&gt;='01_Input'!$V$67,'01_Input'!$Y$67,0),IF('01_Input'!$X$67="Palier",IF(AND(CA$20&gt;='01_Input'!$V$67,CA$20&lt;'01_Input'!$W$67),'01_Input'!$Y$67,0),MAX(MIN(CA$20,'01_Input'!$W$67)-'01_Input'!$V$67,0)*'01_Input'!$Y$67))+IF('01_Input'!$AB$67="Forfait",IF(CA$20&gt;='01_Input'!$Z$67,'01_Input'!$AC$67,0),IF('01_Input'!$AB$67="Palier",IF(AND(CA$20&gt;='01_Input'!$Z$67,CA$20&lt;'01_Input'!$AA$67),'01_Input'!$AC$67,0),MAX(MIN(CA$20,'01_Input'!$AA$67)-'01_Input'!$Z$67,0)*'01_Input'!$AC$67)))))))))</f>
        <v>0</v>
      </c>
      <c r="CB35" s="25">
        <f>IF('01_Input'!$C$67="Non",0,MIN('01_Input'!$I$67,MAX('01_Input'!$H$67,IF('01_Input'!$G$67="Résiduel vs Gestion",0,IF('01_Input'!$G$67="Taux Classe sélectionnée",Distrib_Global_Classe_Selectionnee*CB$20,IF('01_Input'!$G$67="Frais KYC (paliers de 100M€)",MAX(0,Nb_Investisseurs-Nb_KYC_Gratuites_Par_Tranche*(FLOOR(CB$20/Taille_Tranche_KYC,1)+1))*Cout_Par_KYC_Supplementaire,(IF('01_Input'!$L$67="Forfait",IF(CB$20&gt;='01_Input'!$J$67,'01_Input'!$M$67,0),IF('01_Input'!$L$67="Palier",IF(AND(CB$20&gt;='01_Input'!$J$67,CB$20&lt;'01_Input'!$K$67),'01_Input'!$M$67,0),MAX(MIN(CB$20,'01_Input'!$K$67)-'01_Input'!$J$67,0)*'01_Input'!$M$67))+IF('01_Input'!$P$67="Forfait",IF(CB$20&gt;='01_Input'!$N$67,'01_Input'!$Q$67,0),IF('01_Input'!$P$67="Palier",IF(AND(CB$20&gt;='01_Input'!$N$67,CB$20&lt;'01_Input'!$O$67),'01_Input'!$Q$67,0),MAX(MIN(CB$20,'01_Input'!$O$67)-'01_Input'!$N$67,0)*'01_Input'!$Q$67))+IF('01_Input'!$T$67="Forfait",IF(CB$20&gt;='01_Input'!$R$67,'01_Input'!$U$67,0),IF('01_Input'!$T$67="Palier",IF(AND(CB$20&gt;='01_Input'!$R$67,CB$20&lt;'01_Input'!$S$67),'01_Input'!$U$67,0),MAX(MIN(CB$20,'01_Input'!$S$67)-'01_Input'!$R$67,0)*'01_Input'!$U$67))+IF('01_Input'!$X$67="Forfait",IF(CB$20&gt;='01_Input'!$V$67,'01_Input'!$Y$67,0),IF('01_Input'!$X$67="Palier",IF(AND(CB$20&gt;='01_Input'!$V$67,CB$20&lt;'01_Input'!$W$67),'01_Input'!$Y$67,0),MAX(MIN(CB$20,'01_Input'!$W$67)-'01_Input'!$V$67,0)*'01_Input'!$Y$67))+IF('01_Input'!$AB$67="Forfait",IF(CB$20&gt;='01_Input'!$Z$67,'01_Input'!$AC$67,0),IF('01_Input'!$AB$67="Palier",IF(AND(CB$20&gt;='01_Input'!$Z$67,CB$20&lt;'01_Input'!$AA$67),'01_Input'!$AC$67,0),MAX(MIN(CB$20,'01_Input'!$AA$67)-'01_Input'!$Z$67,0)*'01_Input'!$AC$67)))))))))</f>
        <v>0</v>
      </c>
      <c r="CC35" s="25">
        <f>IF('01_Input'!$C$67="Non",0,MIN('01_Input'!$I$67,MAX('01_Input'!$H$67,IF('01_Input'!$G$67="Résiduel vs Gestion",0,IF('01_Input'!$G$67="Taux Classe sélectionnée",Distrib_Global_Classe_Selectionnee*CC$20,IF('01_Input'!$G$67="Frais KYC (paliers de 100M€)",MAX(0,Nb_Investisseurs-Nb_KYC_Gratuites_Par_Tranche*(FLOOR(CC$20/Taille_Tranche_KYC,1)+1))*Cout_Par_KYC_Supplementaire,(IF('01_Input'!$L$67="Forfait",IF(CC$20&gt;='01_Input'!$J$67,'01_Input'!$M$67,0),IF('01_Input'!$L$67="Palier",IF(AND(CC$20&gt;='01_Input'!$J$67,CC$20&lt;'01_Input'!$K$67),'01_Input'!$M$67,0),MAX(MIN(CC$20,'01_Input'!$K$67)-'01_Input'!$J$67,0)*'01_Input'!$M$67))+IF('01_Input'!$P$67="Forfait",IF(CC$20&gt;='01_Input'!$N$67,'01_Input'!$Q$67,0),IF('01_Input'!$P$67="Palier",IF(AND(CC$20&gt;='01_Input'!$N$67,CC$20&lt;'01_Input'!$O$67),'01_Input'!$Q$67,0),MAX(MIN(CC$20,'01_Input'!$O$67)-'01_Input'!$N$67,0)*'01_Input'!$Q$67))+IF('01_Input'!$T$67="Forfait",IF(CC$20&gt;='01_Input'!$R$67,'01_Input'!$U$67,0),IF('01_Input'!$T$67="Palier",IF(AND(CC$20&gt;='01_Input'!$R$67,CC$20&lt;'01_Input'!$S$67),'01_Input'!$U$67,0),MAX(MIN(CC$20,'01_Input'!$S$67)-'01_Input'!$R$67,0)*'01_Input'!$U$67))+IF('01_Input'!$X$67="Forfait",IF(CC$20&gt;='01_Input'!$V$67,'01_Input'!$Y$67,0),IF('01_Input'!$X$67="Palier",IF(AND(CC$20&gt;='01_Input'!$V$67,CC$20&lt;'01_Input'!$W$67),'01_Input'!$Y$67,0),MAX(MIN(CC$20,'01_Input'!$W$67)-'01_Input'!$V$67,0)*'01_Input'!$Y$67))+IF('01_Input'!$AB$67="Forfait",IF(CC$20&gt;='01_Input'!$Z$67,'01_Input'!$AC$67,0),IF('01_Input'!$AB$67="Palier",IF(AND(CC$20&gt;='01_Input'!$Z$67,CC$20&lt;'01_Input'!$AA$67),'01_Input'!$AC$67,0),MAX(MIN(CC$20,'01_Input'!$AA$67)-'01_Input'!$Z$67,0)*'01_Input'!$AC$67)))))))))</f>
        <v>0</v>
      </c>
      <c r="CD35" s="25">
        <f>IF('01_Input'!$C$67="Non",0,MIN('01_Input'!$I$67,MAX('01_Input'!$H$67,IF('01_Input'!$G$67="Résiduel vs Gestion",0,IF('01_Input'!$G$67="Taux Classe sélectionnée",Distrib_Global_Classe_Selectionnee*CD$20,IF('01_Input'!$G$67="Frais KYC (paliers de 100M€)",MAX(0,Nb_Investisseurs-Nb_KYC_Gratuites_Par_Tranche*(FLOOR(CD$20/Taille_Tranche_KYC,1)+1))*Cout_Par_KYC_Supplementaire,(IF('01_Input'!$L$67="Forfait",IF(CD$20&gt;='01_Input'!$J$67,'01_Input'!$M$67,0),IF('01_Input'!$L$67="Palier",IF(AND(CD$20&gt;='01_Input'!$J$67,CD$20&lt;'01_Input'!$K$67),'01_Input'!$M$67,0),MAX(MIN(CD$20,'01_Input'!$K$67)-'01_Input'!$J$67,0)*'01_Input'!$M$67))+IF('01_Input'!$P$67="Forfait",IF(CD$20&gt;='01_Input'!$N$67,'01_Input'!$Q$67,0),IF('01_Input'!$P$67="Palier",IF(AND(CD$20&gt;='01_Input'!$N$67,CD$20&lt;'01_Input'!$O$67),'01_Input'!$Q$67,0),MAX(MIN(CD$20,'01_Input'!$O$67)-'01_Input'!$N$67,0)*'01_Input'!$Q$67))+IF('01_Input'!$T$67="Forfait",IF(CD$20&gt;='01_Input'!$R$67,'01_Input'!$U$67,0),IF('01_Input'!$T$67="Palier",IF(AND(CD$20&gt;='01_Input'!$R$67,CD$20&lt;'01_Input'!$S$67),'01_Input'!$U$67,0),MAX(MIN(CD$20,'01_Input'!$S$67)-'01_Input'!$R$67,0)*'01_Input'!$U$67))+IF('01_Input'!$X$67="Forfait",IF(CD$20&gt;='01_Input'!$V$67,'01_Input'!$Y$67,0),IF('01_Input'!$X$67="Palier",IF(AND(CD$20&gt;='01_Input'!$V$67,CD$20&lt;'01_Input'!$W$67),'01_Input'!$Y$67,0),MAX(MIN(CD$20,'01_Input'!$W$67)-'01_Input'!$V$67,0)*'01_Input'!$Y$67))+IF('01_Input'!$AB$67="Forfait",IF(CD$20&gt;='01_Input'!$Z$67,'01_Input'!$AC$67,0),IF('01_Input'!$AB$67="Palier",IF(AND(CD$20&gt;='01_Input'!$Z$67,CD$20&lt;'01_Input'!$AA$67),'01_Input'!$AC$67,0),MAX(MIN(CD$20,'01_Input'!$AA$67)-'01_Input'!$Z$67,0)*'01_Input'!$AC$67)))))))))</f>
        <v>0</v>
      </c>
      <c r="CE35" s="25">
        <f>IF('01_Input'!$C$67="Non",0,MIN('01_Input'!$I$67,MAX('01_Input'!$H$67,IF('01_Input'!$G$67="Résiduel vs Gestion",0,IF('01_Input'!$G$67="Taux Classe sélectionnée",Distrib_Global_Classe_Selectionnee*CE$20,IF('01_Input'!$G$67="Frais KYC (paliers de 100M€)",MAX(0,Nb_Investisseurs-Nb_KYC_Gratuites_Par_Tranche*(FLOOR(CE$20/Taille_Tranche_KYC,1)+1))*Cout_Par_KYC_Supplementaire,(IF('01_Input'!$L$67="Forfait",IF(CE$20&gt;='01_Input'!$J$67,'01_Input'!$M$67,0),IF('01_Input'!$L$67="Palier",IF(AND(CE$20&gt;='01_Input'!$J$67,CE$20&lt;'01_Input'!$K$67),'01_Input'!$M$67,0),MAX(MIN(CE$20,'01_Input'!$K$67)-'01_Input'!$J$67,0)*'01_Input'!$M$67))+IF('01_Input'!$P$67="Forfait",IF(CE$20&gt;='01_Input'!$N$67,'01_Input'!$Q$67,0),IF('01_Input'!$P$67="Palier",IF(AND(CE$20&gt;='01_Input'!$N$67,CE$20&lt;'01_Input'!$O$67),'01_Input'!$Q$67,0),MAX(MIN(CE$20,'01_Input'!$O$67)-'01_Input'!$N$67,0)*'01_Input'!$Q$67))+IF('01_Input'!$T$67="Forfait",IF(CE$20&gt;='01_Input'!$R$67,'01_Input'!$U$67,0),IF('01_Input'!$T$67="Palier",IF(AND(CE$20&gt;='01_Input'!$R$67,CE$20&lt;'01_Input'!$S$67),'01_Input'!$U$67,0),MAX(MIN(CE$20,'01_Input'!$S$67)-'01_Input'!$R$67,0)*'01_Input'!$U$67))+IF('01_Input'!$X$67="Forfait",IF(CE$20&gt;='01_Input'!$V$67,'01_Input'!$Y$67,0),IF('01_Input'!$X$67="Palier",IF(AND(CE$20&gt;='01_Input'!$V$67,CE$20&lt;'01_Input'!$W$67),'01_Input'!$Y$67,0),MAX(MIN(CE$20,'01_Input'!$W$67)-'01_Input'!$V$67,0)*'01_Input'!$Y$67))+IF('01_Input'!$AB$67="Forfait",IF(CE$20&gt;='01_Input'!$Z$67,'01_Input'!$AC$67,0),IF('01_Input'!$AB$67="Palier",IF(AND(CE$20&gt;='01_Input'!$Z$67,CE$20&lt;'01_Input'!$AA$67),'01_Input'!$AC$67,0),MAX(MIN(CE$20,'01_Input'!$AA$67)-'01_Input'!$Z$67,0)*'01_Input'!$AC$67)))))))))</f>
        <v>0</v>
      </c>
      <c r="CF35" s="25">
        <f>IF('01_Input'!$C$67="Non",0,MIN('01_Input'!$I$67,MAX('01_Input'!$H$67,IF('01_Input'!$G$67="Résiduel vs Gestion",0,IF('01_Input'!$G$67="Taux Classe sélectionnée",Distrib_Global_Classe_Selectionnee*CF$20,IF('01_Input'!$G$67="Frais KYC (paliers de 100M€)",MAX(0,Nb_Investisseurs-Nb_KYC_Gratuites_Par_Tranche*(FLOOR(CF$20/Taille_Tranche_KYC,1)+1))*Cout_Par_KYC_Supplementaire,(IF('01_Input'!$L$67="Forfait",IF(CF$20&gt;='01_Input'!$J$67,'01_Input'!$M$67,0),IF('01_Input'!$L$67="Palier",IF(AND(CF$20&gt;='01_Input'!$J$67,CF$20&lt;'01_Input'!$K$67),'01_Input'!$M$67,0),MAX(MIN(CF$20,'01_Input'!$K$67)-'01_Input'!$J$67,0)*'01_Input'!$M$67))+IF('01_Input'!$P$67="Forfait",IF(CF$20&gt;='01_Input'!$N$67,'01_Input'!$Q$67,0),IF('01_Input'!$P$67="Palier",IF(AND(CF$20&gt;='01_Input'!$N$67,CF$20&lt;'01_Input'!$O$67),'01_Input'!$Q$67,0),MAX(MIN(CF$20,'01_Input'!$O$67)-'01_Input'!$N$67,0)*'01_Input'!$Q$67))+IF('01_Input'!$T$67="Forfait",IF(CF$20&gt;='01_Input'!$R$67,'01_Input'!$U$67,0),IF('01_Input'!$T$67="Palier",IF(AND(CF$20&gt;='01_Input'!$R$67,CF$20&lt;'01_Input'!$S$67),'01_Input'!$U$67,0),MAX(MIN(CF$20,'01_Input'!$S$67)-'01_Input'!$R$67,0)*'01_Input'!$U$67))+IF('01_Input'!$X$67="Forfait",IF(CF$20&gt;='01_Input'!$V$67,'01_Input'!$Y$67,0),IF('01_Input'!$X$67="Palier",IF(AND(CF$20&gt;='01_Input'!$V$67,CF$20&lt;'01_Input'!$W$67),'01_Input'!$Y$67,0),MAX(MIN(CF$20,'01_Input'!$W$67)-'01_Input'!$V$67,0)*'01_Input'!$Y$67))+IF('01_Input'!$AB$67="Forfait",IF(CF$20&gt;='01_Input'!$Z$67,'01_Input'!$AC$67,0),IF('01_Input'!$AB$67="Palier",IF(AND(CF$20&gt;='01_Input'!$Z$67,CF$20&lt;'01_Input'!$AA$67),'01_Input'!$AC$67,0),MAX(MIN(CF$20,'01_Input'!$AA$67)-'01_Input'!$Z$67,0)*'01_Input'!$AC$67)))))))))</f>
        <v>0</v>
      </c>
      <c r="CG35" s="25">
        <f>IF('01_Input'!$C$67="Non",0,MIN('01_Input'!$I$67,MAX('01_Input'!$H$67,IF('01_Input'!$G$67="Résiduel vs Gestion",0,IF('01_Input'!$G$67="Taux Classe sélectionnée",Distrib_Global_Classe_Selectionnee*CG$20,IF('01_Input'!$G$67="Frais KYC (paliers de 100M€)",MAX(0,Nb_Investisseurs-Nb_KYC_Gratuites_Par_Tranche*(FLOOR(CG$20/Taille_Tranche_KYC,1)+1))*Cout_Par_KYC_Supplementaire,(IF('01_Input'!$L$67="Forfait",IF(CG$20&gt;='01_Input'!$J$67,'01_Input'!$M$67,0),IF('01_Input'!$L$67="Palier",IF(AND(CG$20&gt;='01_Input'!$J$67,CG$20&lt;'01_Input'!$K$67),'01_Input'!$M$67,0),MAX(MIN(CG$20,'01_Input'!$K$67)-'01_Input'!$J$67,0)*'01_Input'!$M$67))+IF('01_Input'!$P$67="Forfait",IF(CG$20&gt;='01_Input'!$N$67,'01_Input'!$Q$67,0),IF('01_Input'!$P$67="Palier",IF(AND(CG$20&gt;='01_Input'!$N$67,CG$20&lt;'01_Input'!$O$67),'01_Input'!$Q$67,0),MAX(MIN(CG$20,'01_Input'!$O$67)-'01_Input'!$N$67,0)*'01_Input'!$Q$67))+IF('01_Input'!$T$67="Forfait",IF(CG$20&gt;='01_Input'!$R$67,'01_Input'!$U$67,0),IF('01_Input'!$T$67="Palier",IF(AND(CG$20&gt;='01_Input'!$R$67,CG$20&lt;'01_Input'!$S$67),'01_Input'!$U$67,0),MAX(MIN(CG$20,'01_Input'!$S$67)-'01_Input'!$R$67,0)*'01_Input'!$U$67))+IF('01_Input'!$X$67="Forfait",IF(CG$20&gt;='01_Input'!$V$67,'01_Input'!$Y$67,0),IF('01_Input'!$X$67="Palier",IF(AND(CG$20&gt;='01_Input'!$V$67,CG$20&lt;'01_Input'!$W$67),'01_Input'!$Y$67,0),MAX(MIN(CG$20,'01_Input'!$W$67)-'01_Input'!$V$67,0)*'01_Input'!$Y$67))+IF('01_Input'!$AB$67="Forfait",IF(CG$20&gt;='01_Input'!$Z$67,'01_Input'!$AC$67,0),IF('01_Input'!$AB$67="Palier",IF(AND(CG$20&gt;='01_Input'!$Z$67,CG$20&lt;'01_Input'!$AA$67),'01_Input'!$AC$67,0),MAX(MIN(CG$20,'01_Input'!$AA$67)-'01_Input'!$Z$67,0)*'01_Input'!$AC$67)))))))))</f>
        <v>0</v>
      </c>
      <c r="CH35" s="25">
        <f>IF('01_Input'!$C$67="Non",0,MIN('01_Input'!$I$67,MAX('01_Input'!$H$67,IF('01_Input'!$G$67="Résiduel vs Gestion",0,IF('01_Input'!$G$67="Taux Classe sélectionnée",Distrib_Global_Classe_Selectionnee*CH$20,IF('01_Input'!$G$67="Frais KYC (paliers de 100M€)",MAX(0,Nb_Investisseurs-Nb_KYC_Gratuites_Par_Tranche*(FLOOR(CH$20/Taille_Tranche_KYC,1)+1))*Cout_Par_KYC_Supplementaire,(IF('01_Input'!$L$67="Forfait",IF(CH$20&gt;='01_Input'!$J$67,'01_Input'!$M$67,0),IF('01_Input'!$L$67="Palier",IF(AND(CH$20&gt;='01_Input'!$J$67,CH$20&lt;'01_Input'!$K$67),'01_Input'!$M$67,0),MAX(MIN(CH$20,'01_Input'!$K$67)-'01_Input'!$J$67,0)*'01_Input'!$M$67))+IF('01_Input'!$P$67="Forfait",IF(CH$20&gt;='01_Input'!$N$67,'01_Input'!$Q$67,0),IF('01_Input'!$P$67="Palier",IF(AND(CH$20&gt;='01_Input'!$N$67,CH$20&lt;'01_Input'!$O$67),'01_Input'!$Q$67,0),MAX(MIN(CH$20,'01_Input'!$O$67)-'01_Input'!$N$67,0)*'01_Input'!$Q$67))+IF('01_Input'!$T$67="Forfait",IF(CH$20&gt;='01_Input'!$R$67,'01_Input'!$U$67,0),IF('01_Input'!$T$67="Palier",IF(AND(CH$20&gt;='01_Input'!$R$67,CH$20&lt;'01_Input'!$S$67),'01_Input'!$U$67,0),MAX(MIN(CH$20,'01_Input'!$S$67)-'01_Input'!$R$67,0)*'01_Input'!$U$67))+IF('01_Input'!$X$67="Forfait",IF(CH$20&gt;='01_Input'!$V$67,'01_Input'!$Y$67,0),IF('01_Input'!$X$67="Palier",IF(AND(CH$20&gt;='01_Input'!$V$67,CH$20&lt;'01_Input'!$W$67),'01_Input'!$Y$67,0),MAX(MIN(CH$20,'01_Input'!$W$67)-'01_Input'!$V$67,0)*'01_Input'!$Y$67))+IF('01_Input'!$AB$67="Forfait",IF(CH$20&gt;='01_Input'!$Z$67,'01_Input'!$AC$67,0),IF('01_Input'!$AB$67="Palier",IF(AND(CH$20&gt;='01_Input'!$Z$67,CH$20&lt;'01_Input'!$AA$67),'01_Input'!$AC$67,0),MAX(MIN(CH$20,'01_Input'!$AA$67)-'01_Input'!$Z$67,0)*'01_Input'!$AC$67)))))))))</f>
        <v>0</v>
      </c>
      <c r="CI35" s="25">
        <f>IF('01_Input'!$C$67="Non",0,MIN('01_Input'!$I$67,MAX('01_Input'!$H$67,IF('01_Input'!$G$67="Résiduel vs Gestion",0,IF('01_Input'!$G$67="Taux Classe sélectionnée",Distrib_Global_Classe_Selectionnee*CI$20,IF('01_Input'!$G$67="Frais KYC (paliers de 100M€)",MAX(0,Nb_Investisseurs-Nb_KYC_Gratuites_Par_Tranche*(FLOOR(CI$20/Taille_Tranche_KYC,1)+1))*Cout_Par_KYC_Supplementaire,(IF('01_Input'!$L$67="Forfait",IF(CI$20&gt;='01_Input'!$J$67,'01_Input'!$M$67,0),IF('01_Input'!$L$67="Palier",IF(AND(CI$20&gt;='01_Input'!$J$67,CI$20&lt;'01_Input'!$K$67),'01_Input'!$M$67,0),MAX(MIN(CI$20,'01_Input'!$K$67)-'01_Input'!$J$67,0)*'01_Input'!$M$67))+IF('01_Input'!$P$67="Forfait",IF(CI$20&gt;='01_Input'!$N$67,'01_Input'!$Q$67,0),IF('01_Input'!$P$67="Palier",IF(AND(CI$20&gt;='01_Input'!$N$67,CI$20&lt;'01_Input'!$O$67),'01_Input'!$Q$67,0),MAX(MIN(CI$20,'01_Input'!$O$67)-'01_Input'!$N$67,0)*'01_Input'!$Q$67))+IF('01_Input'!$T$67="Forfait",IF(CI$20&gt;='01_Input'!$R$67,'01_Input'!$U$67,0),IF('01_Input'!$T$67="Palier",IF(AND(CI$20&gt;='01_Input'!$R$67,CI$20&lt;'01_Input'!$S$67),'01_Input'!$U$67,0),MAX(MIN(CI$20,'01_Input'!$S$67)-'01_Input'!$R$67,0)*'01_Input'!$U$67))+IF('01_Input'!$X$67="Forfait",IF(CI$20&gt;='01_Input'!$V$67,'01_Input'!$Y$67,0),IF('01_Input'!$X$67="Palier",IF(AND(CI$20&gt;='01_Input'!$V$67,CI$20&lt;'01_Input'!$W$67),'01_Input'!$Y$67,0),MAX(MIN(CI$20,'01_Input'!$W$67)-'01_Input'!$V$67,0)*'01_Input'!$Y$67))+IF('01_Input'!$AB$67="Forfait",IF(CI$20&gt;='01_Input'!$Z$67,'01_Input'!$AC$67,0),IF('01_Input'!$AB$67="Palier",IF(AND(CI$20&gt;='01_Input'!$Z$67,CI$20&lt;'01_Input'!$AA$67),'01_Input'!$AC$67,0),MAX(MIN(CI$20,'01_Input'!$AA$67)-'01_Input'!$Z$67,0)*'01_Input'!$AC$67)))))))))</f>
        <v>0</v>
      </c>
      <c r="CJ35" s="25">
        <f>IF('01_Input'!$C$67="Non",0,MIN('01_Input'!$I$67,MAX('01_Input'!$H$67,IF('01_Input'!$G$67="Résiduel vs Gestion",0,IF('01_Input'!$G$67="Taux Classe sélectionnée",Distrib_Global_Classe_Selectionnee*CJ$20,IF('01_Input'!$G$67="Frais KYC (paliers de 100M€)",MAX(0,Nb_Investisseurs-Nb_KYC_Gratuites_Par_Tranche*(FLOOR(CJ$20/Taille_Tranche_KYC,1)+1))*Cout_Par_KYC_Supplementaire,(IF('01_Input'!$L$67="Forfait",IF(CJ$20&gt;='01_Input'!$J$67,'01_Input'!$M$67,0),IF('01_Input'!$L$67="Palier",IF(AND(CJ$20&gt;='01_Input'!$J$67,CJ$20&lt;'01_Input'!$K$67),'01_Input'!$M$67,0),MAX(MIN(CJ$20,'01_Input'!$K$67)-'01_Input'!$J$67,0)*'01_Input'!$M$67))+IF('01_Input'!$P$67="Forfait",IF(CJ$20&gt;='01_Input'!$N$67,'01_Input'!$Q$67,0),IF('01_Input'!$P$67="Palier",IF(AND(CJ$20&gt;='01_Input'!$N$67,CJ$20&lt;'01_Input'!$O$67),'01_Input'!$Q$67,0),MAX(MIN(CJ$20,'01_Input'!$O$67)-'01_Input'!$N$67,0)*'01_Input'!$Q$67))+IF('01_Input'!$T$67="Forfait",IF(CJ$20&gt;='01_Input'!$R$67,'01_Input'!$U$67,0),IF('01_Input'!$T$67="Palier",IF(AND(CJ$20&gt;='01_Input'!$R$67,CJ$20&lt;'01_Input'!$S$67),'01_Input'!$U$67,0),MAX(MIN(CJ$20,'01_Input'!$S$67)-'01_Input'!$R$67,0)*'01_Input'!$U$67))+IF('01_Input'!$X$67="Forfait",IF(CJ$20&gt;='01_Input'!$V$67,'01_Input'!$Y$67,0),IF('01_Input'!$X$67="Palier",IF(AND(CJ$20&gt;='01_Input'!$V$67,CJ$20&lt;'01_Input'!$W$67),'01_Input'!$Y$67,0),MAX(MIN(CJ$20,'01_Input'!$W$67)-'01_Input'!$V$67,0)*'01_Input'!$Y$67))+IF('01_Input'!$AB$67="Forfait",IF(CJ$20&gt;='01_Input'!$Z$67,'01_Input'!$AC$67,0),IF('01_Input'!$AB$67="Palier",IF(AND(CJ$20&gt;='01_Input'!$Z$67,CJ$20&lt;'01_Input'!$AA$67),'01_Input'!$AC$67,0),MAX(MIN(CJ$20,'01_Input'!$AA$67)-'01_Input'!$Z$67,0)*'01_Input'!$AC$67)))))))))</f>
        <v>0</v>
      </c>
      <c r="CK35" s="25">
        <f>IF('01_Input'!$C$67="Non",0,MIN('01_Input'!$I$67,MAX('01_Input'!$H$67,IF('01_Input'!$G$67="Résiduel vs Gestion",0,IF('01_Input'!$G$67="Taux Classe sélectionnée",Distrib_Global_Classe_Selectionnee*CK$20,IF('01_Input'!$G$67="Frais KYC (paliers de 100M€)",MAX(0,Nb_Investisseurs-Nb_KYC_Gratuites_Par_Tranche*(FLOOR(CK$20/Taille_Tranche_KYC,1)+1))*Cout_Par_KYC_Supplementaire,(IF('01_Input'!$L$67="Forfait",IF(CK$20&gt;='01_Input'!$J$67,'01_Input'!$M$67,0),IF('01_Input'!$L$67="Palier",IF(AND(CK$20&gt;='01_Input'!$J$67,CK$20&lt;'01_Input'!$K$67),'01_Input'!$M$67,0),MAX(MIN(CK$20,'01_Input'!$K$67)-'01_Input'!$J$67,0)*'01_Input'!$M$67))+IF('01_Input'!$P$67="Forfait",IF(CK$20&gt;='01_Input'!$N$67,'01_Input'!$Q$67,0),IF('01_Input'!$P$67="Palier",IF(AND(CK$20&gt;='01_Input'!$N$67,CK$20&lt;'01_Input'!$O$67),'01_Input'!$Q$67,0),MAX(MIN(CK$20,'01_Input'!$O$67)-'01_Input'!$N$67,0)*'01_Input'!$Q$67))+IF('01_Input'!$T$67="Forfait",IF(CK$20&gt;='01_Input'!$R$67,'01_Input'!$U$67,0),IF('01_Input'!$T$67="Palier",IF(AND(CK$20&gt;='01_Input'!$R$67,CK$20&lt;'01_Input'!$S$67),'01_Input'!$U$67,0),MAX(MIN(CK$20,'01_Input'!$S$67)-'01_Input'!$R$67,0)*'01_Input'!$U$67))+IF('01_Input'!$X$67="Forfait",IF(CK$20&gt;='01_Input'!$V$67,'01_Input'!$Y$67,0),IF('01_Input'!$X$67="Palier",IF(AND(CK$20&gt;='01_Input'!$V$67,CK$20&lt;'01_Input'!$W$67),'01_Input'!$Y$67,0),MAX(MIN(CK$20,'01_Input'!$W$67)-'01_Input'!$V$67,0)*'01_Input'!$Y$67))+IF('01_Input'!$AB$67="Forfait",IF(CK$20&gt;='01_Input'!$Z$67,'01_Input'!$AC$67,0),IF('01_Input'!$AB$67="Palier",IF(AND(CK$20&gt;='01_Input'!$Z$67,CK$20&lt;'01_Input'!$AA$67),'01_Input'!$AC$67,0),MAX(MIN(CK$20,'01_Input'!$AA$67)-'01_Input'!$Z$67,0)*'01_Input'!$AC$67)))))))))</f>
        <v>0</v>
      </c>
      <c r="CL35" s="25">
        <f>IF('01_Input'!$C$67="Non",0,MIN('01_Input'!$I$67,MAX('01_Input'!$H$67,IF('01_Input'!$G$67="Résiduel vs Gestion",0,IF('01_Input'!$G$67="Taux Classe sélectionnée",Distrib_Global_Classe_Selectionnee*CL$20,IF('01_Input'!$G$67="Frais KYC (paliers de 100M€)",MAX(0,Nb_Investisseurs-Nb_KYC_Gratuites_Par_Tranche*(FLOOR(CL$20/Taille_Tranche_KYC,1)+1))*Cout_Par_KYC_Supplementaire,(IF('01_Input'!$L$67="Forfait",IF(CL$20&gt;='01_Input'!$J$67,'01_Input'!$M$67,0),IF('01_Input'!$L$67="Palier",IF(AND(CL$20&gt;='01_Input'!$J$67,CL$20&lt;'01_Input'!$K$67),'01_Input'!$M$67,0),MAX(MIN(CL$20,'01_Input'!$K$67)-'01_Input'!$J$67,0)*'01_Input'!$M$67))+IF('01_Input'!$P$67="Forfait",IF(CL$20&gt;='01_Input'!$N$67,'01_Input'!$Q$67,0),IF('01_Input'!$P$67="Palier",IF(AND(CL$20&gt;='01_Input'!$N$67,CL$20&lt;'01_Input'!$O$67),'01_Input'!$Q$67,0),MAX(MIN(CL$20,'01_Input'!$O$67)-'01_Input'!$N$67,0)*'01_Input'!$Q$67))+IF('01_Input'!$T$67="Forfait",IF(CL$20&gt;='01_Input'!$R$67,'01_Input'!$U$67,0),IF('01_Input'!$T$67="Palier",IF(AND(CL$20&gt;='01_Input'!$R$67,CL$20&lt;'01_Input'!$S$67),'01_Input'!$U$67,0),MAX(MIN(CL$20,'01_Input'!$S$67)-'01_Input'!$R$67,0)*'01_Input'!$U$67))+IF('01_Input'!$X$67="Forfait",IF(CL$20&gt;='01_Input'!$V$67,'01_Input'!$Y$67,0),IF('01_Input'!$X$67="Palier",IF(AND(CL$20&gt;='01_Input'!$V$67,CL$20&lt;'01_Input'!$W$67),'01_Input'!$Y$67,0),MAX(MIN(CL$20,'01_Input'!$W$67)-'01_Input'!$V$67,0)*'01_Input'!$Y$67))+IF('01_Input'!$AB$67="Forfait",IF(CL$20&gt;='01_Input'!$Z$67,'01_Input'!$AC$67,0),IF('01_Input'!$AB$67="Palier",IF(AND(CL$20&gt;='01_Input'!$Z$67,CL$20&lt;'01_Input'!$AA$67),'01_Input'!$AC$67,0),MAX(MIN(CL$20,'01_Input'!$AA$67)-'01_Input'!$Z$67,0)*'01_Input'!$AC$67)))))))))</f>
        <v>0</v>
      </c>
      <c r="CM35" s="25">
        <f>IF('01_Input'!$C$67="Non",0,MIN('01_Input'!$I$67,MAX('01_Input'!$H$67,IF('01_Input'!$G$67="Résiduel vs Gestion",0,IF('01_Input'!$G$67="Taux Classe sélectionnée",Distrib_Global_Classe_Selectionnee*CM$20,IF('01_Input'!$G$67="Frais KYC (paliers de 100M€)",MAX(0,Nb_Investisseurs-Nb_KYC_Gratuites_Par_Tranche*(FLOOR(CM$20/Taille_Tranche_KYC,1)+1))*Cout_Par_KYC_Supplementaire,(IF('01_Input'!$L$67="Forfait",IF(CM$20&gt;='01_Input'!$J$67,'01_Input'!$M$67,0),IF('01_Input'!$L$67="Palier",IF(AND(CM$20&gt;='01_Input'!$J$67,CM$20&lt;'01_Input'!$K$67),'01_Input'!$M$67,0),MAX(MIN(CM$20,'01_Input'!$K$67)-'01_Input'!$J$67,0)*'01_Input'!$M$67))+IF('01_Input'!$P$67="Forfait",IF(CM$20&gt;='01_Input'!$N$67,'01_Input'!$Q$67,0),IF('01_Input'!$P$67="Palier",IF(AND(CM$20&gt;='01_Input'!$N$67,CM$20&lt;'01_Input'!$O$67),'01_Input'!$Q$67,0),MAX(MIN(CM$20,'01_Input'!$O$67)-'01_Input'!$N$67,0)*'01_Input'!$Q$67))+IF('01_Input'!$T$67="Forfait",IF(CM$20&gt;='01_Input'!$R$67,'01_Input'!$U$67,0),IF('01_Input'!$T$67="Palier",IF(AND(CM$20&gt;='01_Input'!$R$67,CM$20&lt;'01_Input'!$S$67),'01_Input'!$U$67,0),MAX(MIN(CM$20,'01_Input'!$S$67)-'01_Input'!$R$67,0)*'01_Input'!$U$67))+IF('01_Input'!$X$67="Forfait",IF(CM$20&gt;='01_Input'!$V$67,'01_Input'!$Y$67,0),IF('01_Input'!$X$67="Palier",IF(AND(CM$20&gt;='01_Input'!$V$67,CM$20&lt;'01_Input'!$W$67),'01_Input'!$Y$67,0),MAX(MIN(CM$20,'01_Input'!$W$67)-'01_Input'!$V$67,0)*'01_Input'!$Y$67))+IF('01_Input'!$AB$67="Forfait",IF(CM$20&gt;='01_Input'!$Z$67,'01_Input'!$AC$67,0),IF('01_Input'!$AB$67="Palier",IF(AND(CM$20&gt;='01_Input'!$Z$67,CM$20&lt;'01_Input'!$AA$67),'01_Input'!$AC$67,0),MAX(MIN(CM$20,'01_Input'!$AA$67)-'01_Input'!$Z$67,0)*'01_Input'!$AC$67)))))))))</f>
        <v>0</v>
      </c>
      <c r="CN35" s="25">
        <f>IF('01_Input'!$C$67="Non",0,MIN('01_Input'!$I$67,MAX('01_Input'!$H$67,IF('01_Input'!$G$67="Résiduel vs Gestion",0,IF('01_Input'!$G$67="Taux Classe sélectionnée",Distrib_Global_Classe_Selectionnee*CN$20,IF('01_Input'!$G$67="Frais KYC (paliers de 100M€)",MAX(0,Nb_Investisseurs-Nb_KYC_Gratuites_Par_Tranche*(FLOOR(CN$20/Taille_Tranche_KYC,1)+1))*Cout_Par_KYC_Supplementaire,(IF('01_Input'!$L$67="Forfait",IF(CN$20&gt;='01_Input'!$J$67,'01_Input'!$M$67,0),IF('01_Input'!$L$67="Palier",IF(AND(CN$20&gt;='01_Input'!$J$67,CN$20&lt;'01_Input'!$K$67),'01_Input'!$M$67,0),MAX(MIN(CN$20,'01_Input'!$K$67)-'01_Input'!$J$67,0)*'01_Input'!$M$67))+IF('01_Input'!$P$67="Forfait",IF(CN$20&gt;='01_Input'!$N$67,'01_Input'!$Q$67,0),IF('01_Input'!$P$67="Palier",IF(AND(CN$20&gt;='01_Input'!$N$67,CN$20&lt;'01_Input'!$O$67),'01_Input'!$Q$67,0),MAX(MIN(CN$20,'01_Input'!$O$67)-'01_Input'!$N$67,0)*'01_Input'!$Q$67))+IF('01_Input'!$T$67="Forfait",IF(CN$20&gt;='01_Input'!$R$67,'01_Input'!$U$67,0),IF('01_Input'!$T$67="Palier",IF(AND(CN$20&gt;='01_Input'!$R$67,CN$20&lt;'01_Input'!$S$67),'01_Input'!$U$67,0),MAX(MIN(CN$20,'01_Input'!$S$67)-'01_Input'!$R$67,0)*'01_Input'!$U$67))+IF('01_Input'!$X$67="Forfait",IF(CN$20&gt;='01_Input'!$V$67,'01_Input'!$Y$67,0),IF('01_Input'!$X$67="Palier",IF(AND(CN$20&gt;='01_Input'!$V$67,CN$20&lt;'01_Input'!$W$67),'01_Input'!$Y$67,0),MAX(MIN(CN$20,'01_Input'!$W$67)-'01_Input'!$V$67,0)*'01_Input'!$Y$67))+IF('01_Input'!$AB$67="Forfait",IF(CN$20&gt;='01_Input'!$Z$67,'01_Input'!$AC$67,0),IF('01_Input'!$AB$67="Palier",IF(AND(CN$20&gt;='01_Input'!$Z$67,CN$20&lt;'01_Input'!$AA$67),'01_Input'!$AC$67,0),MAX(MIN(CN$20,'01_Input'!$AA$67)-'01_Input'!$Z$67,0)*'01_Input'!$AC$67)))))))))</f>
        <v>0</v>
      </c>
      <c r="CO35" s="25">
        <f>IF('01_Input'!$C$67="Non",0,MIN('01_Input'!$I$67,MAX('01_Input'!$H$67,IF('01_Input'!$G$67="Résiduel vs Gestion",0,IF('01_Input'!$G$67="Taux Classe sélectionnée",Distrib_Global_Classe_Selectionnee*CO$20,IF('01_Input'!$G$67="Frais KYC (paliers de 100M€)",MAX(0,Nb_Investisseurs-Nb_KYC_Gratuites_Par_Tranche*(FLOOR(CO$20/Taille_Tranche_KYC,1)+1))*Cout_Par_KYC_Supplementaire,(IF('01_Input'!$L$67="Forfait",IF(CO$20&gt;='01_Input'!$J$67,'01_Input'!$M$67,0),IF('01_Input'!$L$67="Palier",IF(AND(CO$20&gt;='01_Input'!$J$67,CO$20&lt;'01_Input'!$K$67),'01_Input'!$M$67,0),MAX(MIN(CO$20,'01_Input'!$K$67)-'01_Input'!$J$67,0)*'01_Input'!$M$67))+IF('01_Input'!$P$67="Forfait",IF(CO$20&gt;='01_Input'!$N$67,'01_Input'!$Q$67,0),IF('01_Input'!$P$67="Palier",IF(AND(CO$20&gt;='01_Input'!$N$67,CO$20&lt;'01_Input'!$O$67),'01_Input'!$Q$67,0),MAX(MIN(CO$20,'01_Input'!$O$67)-'01_Input'!$N$67,0)*'01_Input'!$Q$67))+IF('01_Input'!$T$67="Forfait",IF(CO$20&gt;='01_Input'!$R$67,'01_Input'!$U$67,0),IF('01_Input'!$T$67="Palier",IF(AND(CO$20&gt;='01_Input'!$R$67,CO$20&lt;'01_Input'!$S$67),'01_Input'!$U$67,0),MAX(MIN(CO$20,'01_Input'!$S$67)-'01_Input'!$R$67,0)*'01_Input'!$U$67))+IF('01_Input'!$X$67="Forfait",IF(CO$20&gt;='01_Input'!$V$67,'01_Input'!$Y$67,0),IF('01_Input'!$X$67="Palier",IF(AND(CO$20&gt;='01_Input'!$V$67,CO$20&lt;'01_Input'!$W$67),'01_Input'!$Y$67,0),MAX(MIN(CO$20,'01_Input'!$W$67)-'01_Input'!$V$67,0)*'01_Input'!$Y$67))+IF('01_Input'!$AB$67="Forfait",IF(CO$20&gt;='01_Input'!$Z$67,'01_Input'!$AC$67,0),IF('01_Input'!$AB$67="Palier",IF(AND(CO$20&gt;='01_Input'!$Z$67,CO$20&lt;'01_Input'!$AA$67),'01_Input'!$AC$67,0),MAX(MIN(CO$20,'01_Input'!$AA$67)-'01_Input'!$Z$67,0)*'01_Input'!$AC$67)))))))))</f>
        <v>0</v>
      </c>
      <c r="CP35" s="25">
        <f>IF('01_Input'!$C$67="Non",0,MIN('01_Input'!$I$67,MAX('01_Input'!$H$67,IF('01_Input'!$G$67="Résiduel vs Gestion",0,IF('01_Input'!$G$67="Taux Classe sélectionnée",Distrib_Global_Classe_Selectionnee*CP$20,IF('01_Input'!$G$67="Frais KYC (paliers de 100M€)",MAX(0,Nb_Investisseurs-Nb_KYC_Gratuites_Par_Tranche*(FLOOR(CP$20/Taille_Tranche_KYC,1)+1))*Cout_Par_KYC_Supplementaire,(IF('01_Input'!$L$67="Forfait",IF(CP$20&gt;='01_Input'!$J$67,'01_Input'!$M$67,0),IF('01_Input'!$L$67="Palier",IF(AND(CP$20&gt;='01_Input'!$J$67,CP$20&lt;'01_Input'!$K$67),'01_Input'!$M$67,0),MAX(MIN(CP$20,'01_Input'!$K$67)-'01_Input'!$J$67,0)*'01_Input'!$M$67))+IF('01_Input'!$P$67="Forfait",IF(CP$20&gt;='01_Input'!$N$67,'01_Input'!$Q$67,0),IF('01_Input'!$P$67="Palier",IF(AND(CP$20&gt;='01_Input'!$N$67,CP$20&lt;'01_Input'!$O$67),'01_Input'!$Q$67,0),MAX(MIN(CP$20,'01_Input'!$O$67)-'01_Input'!$N$67,0)*'01_Input'!$Q$67))+IF('01_Input'!$T$67="Forfait",IF(CP$20&gt;='01_Input'!$R$67,'01_Input'!$U$67,0),IF('01_Input'!$T$67="Palier",IF(AND(CP$20&gt;='01_Input'!$R$67,CP$20&lt;'01_Input'!$S$67),'01_Input'!$U$67,0),MAX(MIN(CP$20,'01_Input'!$S$67)-'01_Input'!$R$67,0)*'01_Input'!$U$67))+IF('01_Input'!$X$67="Forfait",IF(CP$20&gt;='01_Input'!$V$67,'01_Input'!$Y$67,0),IF('01_Input'!$X$67="Palier",IF(AND(CP$20&gt;='01_Input'!$V$67,CP$20&lt;'01_Input'!$W$67),'01_Input'!$Y$67,0),MAX(MIN(CP$20,'01_Input'!$W$67)-'01_Input'!$V$67,0)*'01_Input'!$Y$67))+IF('01_Input'!$AB$67="Forfait",IF(CP$20&gt;='01_Input'!$Z$67,'01_Input'!$AC$67,0),IF('01_Input'!$AB$67="Palier",IF(AND(CP$20&gt;='01_Input'!$Z$67,CP$20&lt;'01_Input'!$AA$67),'01_Input'!$AC$67,0),MAX(MIN(CP$20,'01_Input'!$AA$67)-'01_Input'!$Z$67,0)*'01_Input'!$AC$67)))))))))</f>
        <v>0</v>
      </c>
      <c r="CQ35" s="25">
        <f>IF('01_Input'!$C$67="Non",0,MIN('01_Input'!$I$67,MAX('01_Input'!$H$67,IF('01_Input'!$G$67="Résiduel vs Gestion",0,IF('01_Input'!$G$67="Taux Classe sélectionnée",Distrib_Global_Classe_Selectionnee*CQ$20,IF('01_Input'!$G$67="Frais KYC (paliers de 100M€)",MAX(0,Nb_Investisseurs-Nb_KYC_Gratuites_Par_Tranche*(FLOOR(CQ$20/Taille_Tranche_KYC,1)+1))*Cout_Par_KYC_Supplementaire,(IF('01_Input'!$L$67="Forfait",IF(CQ$20&gt;='01_Input'!$J$67,'01_Input'!$M$67,0),IF('01_Input'!$L$67="Palier",IF(AND(CQ$20&gt;='01_Input'!$J$67,CQ$20&lt;'01_Input'!$K$67),'01_Input'!$M$67,0),MAX(MIN(CQ$20,'01_Input'!$K$67)-'01_Input'!$J$67,0)*'01_Input'!$M$67))+IF('01_Input'!$P$67="Forfait",IF(CQ$20&gt;='01_Input'!$N$67,'01_Input'!$Q$67,0),IF('01_Input'!$P$67="Palier",IF(AND(CQ$20&gt;='01_Input'!$N$67,CQ$20&lt;'01_Input'!$O$67),'01_Input'!$Q$67,0),MAX(MIN(CQ$20,'01_Input'!$O$67)-'01_Input'!$N$67,0)*'01_Input'!$Q$67))+IF('01_Input'!$T$67="Forfait",IF(CQ$20&gt;='01_Input'!$R$67,'01_Input'!$U$67,0),IF('01_Input'!$T$67="Palier",IF(AND(CQ$20&gt;='01_Input'!$R$67,CQ$20&lt;'01_Input'!$S$67),'01_Input'!$U$67,0),MAX(MIN(CQ$20,'01_Input'!$S$67)-'01_Input'!$R$67,0)*'01_Input'!$U$67))+IF('01_Input'!$X$67="Forfait",IF(CQ$20&gt;='01_Input'!$V$67,'01_Input'!$Y$67,0),IF('01_Input'!$X$67="Palier",IF(AND(CQ$20&gt;='01_Input'!$V$67,CQ$20&lt;'01_Input'!$W$67),'01_Input'!$Y$67,0),MAX(MIN(CQ$20,'01_Input'!$W$67)-'01_Input'!$V$67,0)*'01_Input'!$Y$67))+IF('01_Input'!$AB$67="Forfait",IF(CQ$20&gt;='01_Input'!$Z$67,'01_Input'!$AC$67,0),IF('01_Input'!$AB$67="Palier",IF(AND(CQ$20&gt;='01_Input'!$Z$67,CQ$20&lt;'01_Input'!$AA$67),'01_Input'!$AC$67,0),MAX(MIN(CQ$20,'01_Input'!$AA$67)-'01_Input'!$Z$67,0)*'01_Input'!$AC$67)))))))))</f>
        <v>0</v>
      </c>
      <c r="CR35" s="25">
        <f>IF('01_Input'!$C$67="Non",0,MIN('01_Input'!$I$67,MAX('01_Input'!$H$67,IF('01_Input'!$G$67="Résiduel vs Gestion",0,IF('01_Input'!$G$67="Taux Classe sélectionnée",Distrib_Global_Classe_Selectionnee*CR$20,IF('01_Input'!$G$67="Frais KYC (paliers de 100M€)",MAX(0,Nb_Investisseurs-Nb_KYC_Gratuites_Par_Tranche*(FLOOR(CR$20/Taille_Tranche_KYC,1)+1))*Cout_Par_KYC_Supplementaire,(IF('01_Input'!$L$67="Forfait",IF(CR$20&gt;='01_Input'!$J$67,'01_Input'!$M$67,0),IF('01_Input'!$L$67="Palier",IF(AND(CR$20&gt;='01_Input'!$J$67,CR$20&lt;'01_Input'!$K$67),'01_Input'!$M$67,0),MAX(MIN(CR$20,'01_Input'!$K$67)-'01_Input'!$J$67,0)*'01_Input'!$M$67))+IF('01_Input'!$P$67="Forfait",IF(CR$20&gt;='01_Input'!$N$67,'01_Input'!$Q$67,0),IF('01_Input'!$P$67="Palier",IF(AND(CR$20&gt;='01_Input'!$N$67,CR$20&lt;'01_Input'!$O$67),'01_Input'!$Q$67,0),MAX(MIN(CR$20,'01_Input'!$O$67)-'01_Input'!$N$67,0)*'01_Input'!$Q$67))+IF('01_Input'!$T$67="Forfait",IF(CR$20&gt;='01_Input'!$R$67,'01_Input'!$U$67,0),IF('01_Input'!$T$67="Palier",IF(AND(CR$20&gt;='01_Input'!$R$67,CR$20&lt;'01_Input'!$S$67),'01_Input'!$U$67,0),MAX(MIN(CR$20,'01_Input'!$S$67)-'01_Input'!$R$67,0)*'01_Input'!$U$67))+IF('01_Input'!$X$67="Forfait",IF(CR$20&gt;='01_Input'!$V$67,'01_Input'!$Y$67,0),IF('01_Input'!$X$67="Palier",IF(AND(CR$20&gt;='01_Input'!$V$67,CR$20&lt;'01_Input'!$W$67),'01_Input'!$Y$67,0),MAX(MIN(CR$20,'01_Input'!$W$67)-'01_Input'!$V$67,0)*'01_Input'!$Y$67))+IF('01_Input'!$AB$67="Forfait",IF(CR$20&gt;='01_Input'!$Z$67,'01_Input'!$AC$67,0),IF('01_Input'!$AB$67="Palier",IF(AND(CR$20&gt;='01_Input'!$Z$67,CR$20&lt;'01_Input'!$AA$67),'01_Input'!$AC$67,0),MAX(MIN(CR$20,'01_Input'!$AA$67)-'01_Input'!$Z$67,0)*'01_Input'!$AC$67)))))))))</f>
        <v>0</v>
      </c>
      <c r="CS35" s="25">
        <f>IF('01_Input'!$C$67="Non",0,MIN('01_Input'!$I$67,MAX('01_Input'!$H$67,IF('01_Input'!$G$67="Résiduel vs Gestion",0,IF('01_Input'!$G$67="Taux Classe sélectionnée",Distrib_Global_Classe_Selectionnee*CS$20,IF('01_Input'!$G$67="Frais KYC (paliers de 100M€)",MAX(0,Nb_Investisseurs-Nb_KYC_Gratuites_Par_Tranche*(FLOOR(CS$20/Taille_Tranche_KYC,1)+1))*Cout_Par_KYC_Supplementaire,(IF('01_Input'!$L$67="Forfait",IF(CS$20&gt;='01_Input'!$J$67,'01_Input'!$M$67,0),IF('01_Input'!$L$67="Palier",IF(AND(CS$20&gt;='01_Input'!$J$67,CS$20&lt;'01_Input'!$K$67),'01_Input'!$M$67,0),MAX(MIN(CS$20,'01_Input'!$K$67)-'01_Input'!$J$67,0)*'01_Input'!$M$67))+IF('01_Input'!$P$67="Forfait",IF(CS$20&gt;='01_Input'!$N$67,'01_Input'!$Q$67,0),IF('01_Input'!$P$67="Palier",IF(AND(CS$20&gt;='01_Input'!$N$67,CS$20&lt;'01_Input'!$O$67),'01_Input'!$Q$67,0),MAX(MIN(CS$20,'01_Input'!$O$67)-'01_Input'!$N$67,0)*'01_Input'!$Q$67))+IF('01_Input'!$T$67="Forfait",IF(CS$20&gt;='01_Input'!$R$67,'01_Input'!$U$67,0),IF('01_Input'!$T$67="Palier",IF(AND(CS$20&gt;='01_Input'!$R$67,CS$20&lt;'01_Input'!$S$67),'01_Input'!$U$67,0),MAX(MIN(CS$20,'01_Input'!$S$67)-'01_Input'!$R$67,0)*'01_Input'!$U$67))+IF('01_Input'!$X$67="Forfait",IF(CS$20&gt;='01_Input'!$V$67,'01_Input'!$Y$67,0),IF('01_Input'!$X$67="Palier",IF(AND(CS$20&gt;='01_Input'!$V$67,CS$20&lt;'01_Input'!$W$67),'01_Input'!$Y$67,0),MAX(MIN(CS$20,'01_Input'!$W$67)-'01_Input'!$V$67,0)*'01_Input'!$Y$67))+IF('01_Input'!$AB$67="Forfait",IF(CS$20&gt;='01_Input'!$Z$67,'01_Input'!$AC$67,0),IF('01_Input'!$AB$67="Palier",IF(AND(CS$20&gt;='01_Input'!$Z$67,CS$20&lt;'01_Input'!$AA$67),'01_Input'!$AC$67,0),MAX(MIN(CS$20,'01_Input'!$AA$67)-'01_Input'!$Z$67,0)*'01_Input'!$AC$67)))))))))</f>
        <v>0</v>
      </c>
      <c r="CT35" s="25">
        <f>IF('01_Input'!$C$67="Non",0,MIN('01_Input'!$I$67,MAX('01_Input'!$H$67,IF('01_Input'!$G$67="Résiduel vs Gestion",0,IF('01_Input'!$G$67="Taux Classe sélectionnée",Distrib_Global_Classe_Selectionnee*CT$20,IF('01_Input'!$G$67="Frais KYC (paliers de 100M€)",MAX(0,Nb_Investisseurs-Nb_KYC_Gratuites_Par_Tranche*(FLOOR(CT$20/Taille_Tranche_KYC,1)+1))*Cout_Par_KYC_Supplementaire,(IF('01_Input'!$L$67="Forfait",IF(CT$20&gt;='01_Input'!$J$67,'01_Input'!$M$67,0),IF('01_Input'!$L$67="Palier",IF(AND(CT$20&gt;='01_Input'!$J$67,CT$20&lt;'01_Input'!$K$67),'01_Input'!$M$67,0),MAX(MIN(CT$20,'01_Input'!$K$67)-'01_Input'!$J$67,0)*'01_Input'!$M$67))+IF('01_Input'!$P$67="Forfait",IF(CT$20&gt;='01_Input'!$N$67,'01_Input'!$Q$67,0),IF('01_Input'!$P$67="Palier",IF(AND(CT$20&gt;='01_Input'!$N$67,CT$20&lt;'01_Input'!$O$67),'01_Input'!$Q$67,0),MAX(MIN(CT$20,'01_Input'!$O$67)-'01_Input'!$N$67,0)*'01_Input'!$Q$67))+IF('01_Input'!$T$67="Forfait",IF(CT$20&gt;='01_Input'!$R$67,'01_Input'!$U$67,0),IF('01_Input'!$T$67="Palier",IF(AND(CT$20&gt;='01_Input'!$R$67,CT$20&lt;'01_Input'!$S$67),'01_Input'!$U$67,0),MAX(MIN(CT$20,'01_Input'!$S$67)-'01_Input'!$R$67,0)*'01_Input'!$U$67))+IF('01_Input'!$X$67="Forfait",IF(CT$20&gt;='01_Input'!$V$67,'01_Input'!$Y$67,0),IF('01_Input'!$X$67="Palier",IF(AND(CT$20&gt;='01_Input'!$V$67,CT$20&lt;'01_Input'!$W$67),'01_Input'!$Y$67,0),MAX(MIN(CT$20,'01_Input'!$W$67)-'01_Input'!$V$67,0)*'01_Input'!$Y$67))+IF('01_Input'!$AB$67="Forfait",IF(CT$20&gt;='01_Input'!$Z$67,'01_Input'!$AC$67,0),IF('01_Input'!$AB$67="Palier",IF(AND(CT$20&gt;='01_Input'!$Z$67,CT$20&lt;'01_Input'!$AA$67),'01_Input'!$AC$67,0),MAX(MIN(CT$20,'01_Input'!$AA$67)-'01_Input'!$Z$67,0)*'01_Input'!$AC$67)))))))))</f>
        <v>0</v>
      </c>
      <c r="CU35" s="25">
        <f>IF('01_Input'!$C$67="Non",0,MIN('01_Input'!$I$67,MAX('01_Input'!$H$67,IF('01_Input'!$G$67="Résiduel vs Gestion",0,IF('01_Input'!$G$67="Taux Classe sélectionnée",Distrib_Global_Classe_Selectionnee*CU$20,IF('01_Input'!$G$67="Frais KYC (paliers de 100M€)",MAX(0,Nb_Investisseurs-Nb_KYC_Gratuites_Par_Tranche*(FLOOR(CU$20/Taille_Tranche_KYC,1)+1))*Cout_Par_KYC_Supplementaire,(IF('01_Input'!$L$67="Forfait",IF(CU$20&gt;='01_Input'!$J$67,'01_Input'!$M$67,0),IF('01_Input'!$L$67="Palier",IF(AND(CU$20&gt;='01_Input'!$J$67,CU$20&lt;'01_Input'!$K$67),'01_Input'!$M$67,0),MAX(MIN(CU$20,'01_Input'!$K$67)-'01_Input'!$J$67,0)*'01_Input'!$M$67))+IF('01_Input'!$P$67="Forfait",IF(CU$20&gt;='01_Input'!$N$67,'01_Input'!$Q$67,0),IF('01_Input'!$P$67="Palier",IF(AND(CU$20&gt;='01_Input'!$N$67,CU$20&lt;'01_Input'!$O$67),'01_Input'!$Q$67,0),MAX(MIN(CU$20,'01_Input'!$O$67)-'01_Input'!$N$67,0)*'01_Input'!$Q$67))+IF('01_Input'!$T$67="Forfait",IF(CU$20&gt;='01_Input'!$R$67,'01_Input'!$U$67,0),IF('01_Input'!$T$67="Palier",IF(AND(CU$20&gt;='01_Input'!$R$67,CU$20&lt;'01_Input'!$S$67),'01_Input'!$U$67,0),MAX(MIN(CU$20,'01_Input'!$S$67)-'01_Input'!$R$67,0)*'01_Input'!$U$67))+IF('01_Input'!$X$67="Forfait",IF(CU$20&gt;='01_Input'!$V$67,'01_Input'!$Y$67,0),IF('01_Input'!$X$67="Palier",IF(AND(CU$20&gt;='01_Input'!$V$67,CU$20&lt;'01_Input'!$W$67),'01_Input'!$Y$67,0),MAX(MIN(CU$20,'01_Input'!$W$67)-'01_Input'!$V$67,0)*'01_Input'!$Y$67))+IF('01_Input'!$AB$67="Forfait",IF(CU$20&gt;='01_Input'!$Z$67,'01_Input'!$AC$67,0),IF('01_Input'!$AB$67="Palier",IF(AND(CU$20&gt;='01_Input'!$Z$67,CU$20&lt;'01_Input'!$AA$67),'01_Input'!$AC$67,0),MAX(MIN(CU$20,'01_Input'!$AA$67)-'01_Input'!$Z$67,0)*'01_Input'!$AC$67)))))))))</f>
        <v>0</v>
      </c>
      <c r="CV35" s="25">
        <f>IF('01_Input'!$C$67="Non",0,MIN('01_Input'!$I$67,MAX('01_Input'!$H$67,IF('01_Input'!$G$67="Résiduel vs Gestion",0,IF('01_Input'!$G$67="Taux Classe sélectionnée",Distrib_Global_Classe_Selectionnee*CV$20,IF('01_Input'!$G$67="Frais KYC (paliers de 100M€)",MAX(0,Nb_Investisseurs-Nb_KYC_Gratuites_Par_Tranche*(FLOOR(CV$20/Taille_Tranche_KYC,1)+1))*Cout_Par_KYC_Supplementaire,(IF('01_Input'!$L$67="Forfait",IF(CV$20&gt;='01_Input'!$J$67,'01_Input'!$M$67,0),IF('01_Input'!$L$67="Palier",IF(AND(CV$20&gt;='01_Input'!$J$67,CV$20&lt;'01_Input'!$K$67),'01_Input'!$M$67,0),MAX(MIN(CV$20,'01_Input'!$K$67)-'01_Input'!$J$67,0)*'01_Input'!$M$67))+IF('01_Input'!$P$67="Forfait",IF(CV$20&gt;='01_Input'!$N$67,'01_Input'!$Q$67,0),IF('01_Input'!$P$67="Palier",IF(AND(CV$20&gt;='01_Input'!$N$67,CV$20&lt;'01_Input'!$O$67),'01_Input'!$Q$67,0),MAX(MIN(CV$20,'01_Input'!$O$67)-'01_Input'!$N$67,0)*'01_Input'!$Q$67))+IF('01_Input'!$T$67="Forfait",IF(CV$20&gt;='01_Input'!$R$67,'01_Input'!$U$67,0),IF('01_Input'!$T$67="Palier",IF(AND(CV$20&gt;='01_Input'!$R$67,CV$20&lt;'01_Input'!$S$67),'01_Input'!$U$67,0),MAX(MIN(CV$20,'01_Input'!$S$67)-'01_Input'!$R$67,0)*'01_Input'!$U$67))+IF('01_Input'!$X$67="Forfait",IF(CV$20&gt;='01_Input'!$V$67,'01_Input'!$Y$67,0),IF('01_Input'!$X$67="Palier",IF(AND(CV$20&gt;='01_Input'!$V$67,CV$20&lt;'01_Input'!$W$67),'01_Input'!$Y$67,0),MAX(MIN(CV$20,'01_Input'!$W$67)-'01_Input'!$V$67,0)*'01_Input'!$Y$67))+IF('01_Input'!$AB$67="Forfait",IF(CV$20&gt;='01_Input'!$Z$67,'01_Input'!$AC$67,0),IF('01_Input'!$AB$67="Palier",IF(AND(CV$20&gt;='01_Input'!$Z$67,CV$20&lt;'01_Input'!$AA$67),'01_Input'!$AC$67,0),MAX(MIN(CV$20,'01_Input'!$AA$67)-'01_Input'!$Z$67,0)*'01_Input'!$AC$67)))))))))</f>
        <v>0</v>
      </c>
      <c r="CW35" s="25">
        <f>IF('01_Input'!$C$67="Non",0,MIN('01_Input'!$I$67,MAX('01_Input'!$H$67,IF('01_Input'!$G$67="Résiduel vs Gestion",0,IF('01_Input'!$G$67="Taux Classe sélectionnée",Distrib_Global_Classe_Selectionnee*CW$20,IF('01_Input'!$G$67="Frais KYC (paliers de 100M€)",MAX(0,Nb_Investisseurs-Nb_KYC_Gratuites_Par_Tranche*(FLOOR(CW$20/Taille_Tranche_KYC,1)+1))*Cout_Par_KYC_Supplementaire,(IF('01_Input'!$L$67="Forfait",IF(CW$20&gt;='01_Input'!$J$67,'01_Input'!$M$67,0),IF('01_Input'!$L$67="Palier",IF(AND(CW$20&gt;='01_Input'!$J$67,CW$20&lt;'01_Input'!$K$67),'01_Input'!$M$67,0),MAX(MIN(CW$20,'01_Input'!$K$67)-'01_Input'!$J$67,0)*'01_Input'!$M$67))+IF('01_Input'!$P$67="Forfait",IF(CW$20&gt;='01_Input'!$N$67,'01_Input'!$Q$67,0),IF('01_Input'!$P$67="Palier",IF(AND(CW$20&gt;='01_Input'!$N$67,CW$20&lt;'01_Input'!$O$67),'01_Input'!$Q$67,0),MAX(MIN(CW$20,'01_Input'!$O$67)-'01_Input'!$N$67,0)*'01_Input'!$Q$67))+IF('01_Input'!$T$67="Forfait",IF(CW$20&gt;='01_Input'!$R$67,'01_Input'!$U$67,0),IF('01_Input'!$T$67="Palier",IF(AND(CW$20&gt;='01_Input'!$R$67,CW$20&lt;'01_Input'!$S$67),'01_Input'!$U$67,0),MAX(MIN(CW$20,'01_Input'!$S$67)-'01_Input'!$R$67,0)*'01_Input'!$U$67))+IF('01_Input'!$X$67="Forfait",IF(CW$20&gt;='01_Input'!$V$67,'01_Input'!$Y$67,0),IF('01_Input'!$X$67="Palier",IF(AND(CW$20&gt;='01_Input'!$V$67,CW$20&lt;'01_Input'!$W$67),'01_Input'!$Y$67,0),MAX(MIN(CW$20,'01_Input'!$W$67)-'01_Input'!$V$67,0)*'01_Input'!$Y$67))+IF('01_Input'!$AB$67="Forfait",IF(CW$20&gt;='01_Input'!$Z$67,'01_Input'!$AC$67,0),IF('01_Input'!$AB$67="Palier",IF(AND(CW$20&gt;='01_Input'!$Z$67,CW$20&lt;'01_Input'!$AA$67),'01_Input'!$AC$67,0),MAX(MIN(CW$20,'01_Input'!$AA$67)-'01_Input'!$Z$67,0)*'01_Input'!$AC$67)))))))))</f>
        <v>0</v>
      </c>
      <c r="CX35" s="25">
        <f>IF('01_Input'!$C$67="Non",0,MIN('01_Input'!$I$67,MAX('01_Input'!$H$67,IF('01_Input'!$G$67="Résiduel vs Gestion",0,IF('01_Input'!$G$67="Taux Classe sélectionnée",Distrib_Global_Classe_Selectionnee*CX$20,IF('01_Input'!$G$67="Frais KYC (paliers de 100M€)",MAX(0,Nb_Investisseurs-Nb_KYC_Gratuites_Par_Tranche*(FLOOR(CX$20/Taille_Tranche_KYC,1)+1))*Cout_Par_KYC_Supplementaire,(IF('01_Input'!$L$67="Forfait",IF(CX$20&gt;='01_Input'!$J$67,'01_Input'!$M$67,0),IF('01_Input'!$L$67="Palier",IF(AND(CX$20&gt;='01_Input'!$J$67,CX$20&lt;'01_Input'!$K$67),'01_Input'!$M$67,0),MAX(MIN(CX$20,'01_Input'!$K$67)-'01_Input'!$J$67,0)*'01_Input'!$M$67))+IF('01_Input'!$P$67="Forfait",IF(CX$20&gt;='01_Input'!$N$67,'01_Input'!$Q$67,0),IF('01_Input'!$P$67="Palier",IF(AND(CX$20&gt;='01_Input'!$N$67,CX$20&lt;'01_Input'!$O$67),'01_Input'!$Q$67,0),MAX(MIN(CX$20,'01_Input'!$O$67)-'01_Input'!$N$67,0)*'01_Input'!$Q$67))+IF('01_Input'!$T$67="Forfait",IF(CX$20&gt;='01_Input'!$R$67,'01_Input'!$U$67,0),IF('01_Input'!$T$67="Palier",IF(AND(CX$20&gt;='01_Input'!$R$67,CX$20&lt;'01_Input'!$S$67),'01_Input'!$U$67,0),MAX(MIN(CX$20,'01_Input'!$S$67)-'01_Input'!$R$67,0)*'01_Input'!$U$67))+IF('01_Input'!$X$67="Forfait",IF(CX$20&gt;='01_Input'!$V$67,'01_Input'!$Y$67,0),IF('01_Input'!$X$67="Palier",IF(AND(CX$20&gt;='01_Input'!$V$67,CX$20&lt;'01_Input'!$W$67),'01_Input'!$Y$67,0),MAX(MIN(CX$20,'01_Input'!$W$67)-'01_Input'!$V$67,0)*'01_Input'!$Y$67))+IF('01_Input'!$AB$67="Forfait",IF(CX$20&gt;='01_Input'!$Z$67,'01_Input'!$AC$67,0),IF('01_Input'!$AB$67="Palier",IF(AND(CX$20&gt;='01_Input'!$Z$67,CX$20&lt;'01_Input'!$AA$67),'01_Input'!$AC$67,0),MAX(MIN(CX$20,'01_Input'!$AA$67)-'01_Input'!$Z$67,0)*'01_Input'!$AC$67)))))))))</f>
        <v>0</v>
      </c>
      <c r="CY35" s="25">
        <f>IF('01_Input'!$C$67="Non",0,MIN('01_Input'!$I$67,MAX('01_Input'!$H$67,IF('01_Input'!$G$67="Résiduel vs Gestion",0,IF('01_Input'!$G$67="Taux Classe sélectionnée",Distrib_Global_Classe_Selectionnee*CY$20,IF('01_Input'!$G$67="Frais KYC (paliers de 100M€)",MAX(0,Nb_Investisseurs-Nb_KYC_Gratuites_Par_Tranche*(FLOOR(CY$20/Taille_Tranche_KYC,1)+1))*Cout_Par_KYC_Supplementaire,(IF('01_Input'!$L$67="Forfait",IF(CY$20&gt;='01_Input'!$J$67,'01_Input'!$M$67,0),IF('01_Input'!$L$67="Palier",IF(AND(CY$20&gt;='01_Input'!$J$67,CY$20&lt;'01_Input'!$K$67),'01_Input'!$M$67,0),MAX(MIN(CY$20,'01_Input'!$K$67)-'01_Input'!$J$67,0)*'01_Input'!$M$67))+IF('01_Input'!$P$67="Forfait",IF(CY$20&gt;='01_Input'!$N$67,'01_Input'!$Q$67,0),IF('01_Input'!$P$67="Palier",IF(AND(CY$20&gt;='01_Input'!$N$67,CY$20&lt;'01_Input'!$O$67),'01_Input'!$Q$67,0),MAX(MIN(CY$20,'01_Input'!$O$67)-'01_Input'!$N$67,0)*'01_Input'!$Q$67))+IF('01_Input'!$T$67="Forfait",IF(CY$20&gt;='01_Input'!$R$67,'01_Input'!$U$67,0),IF('01_Input'!$T$67="Palier",IF(AND(CY$20&gt;='01_Input'!$R$67,CY$20&lt;'01_Input'!$S$67),'01_Input'!$U$67,0),MAX(MIN(CY$20,'01_Input'!$S$67)-'01_Input'!$R$67,0)*'01_Input'!$U$67))+IF('01_Input'!$X$67="Forfait",IF(CY$20&gt;='01_Input'!$V$67,'01_Input'!$Y$67,0),IF('01_Input'!$X$67="Palier",IF(AND(CY$20&gt;='01_Input'!$V$67,CY$20&lt;'01_Input'!$W$67),'01_Input'!$Y$67,0),MAX(MIN(CY$20,'01_Input'!$W$67)-'01_Input'!$V$67,0)*'01_Input'!$Y$67))+IF('01_Input'!$AB$67="Forfait",IF(CY$20&gt;='01_Input'!$Z$67,'01_Input'!$AC$67,0),IF('01_Input'!$AB$67="Palier",IF(AND(CY$20&gt;='01_Input'!$Z$67,CY$20&lt;'01_Input'!$AA$67),'01_Input'!$AC$67,0),MAX(MIN(CY$20,'01_Input'!$AA$67)-'01_Input'!$Z$67,0)*'01_Input'!$AC$67)))))))))</f>
        <v>0</v>
      </c>
      <c r="CZ35" s="25">
        <f>IF('01_Input'!$C$67="Non",0,MIN('01_Input'!$I$67,MAX('01_Input'!$H$67,IF('01_Input'!$G$67="Résiduel vs Gestion",0,IF('01_Input'!$G$67="Taux Classe sélectionnée",Distrib_Global_Classe_Selectionnee*CZ$20,IF('01_Input'!$G$67="Frais KYC (paliers de 100M€)",MAX(0,Nb_Investisseurs-Nb_KYC_Gratuites_Par_Tranche*(FLOOR(CZ$20/Taille_Tranche_KYC,1)+1))*Cout_Par_KYC_Supplementaire,(IF('01_Input'!$L$67="Forfait",IF(CZ$20&gt;='01_Input'!$J$67,'01_Input'!$M$67,0),IF('01_Input'!$L$67="Palier",IF(AND(CZ$20&gt;='01_Input'!$J$67,CZ$20&lt;'01_Input'!$K$67),'01_Input'!$M$67,0),MAX(MIN(CZ$20,'01_Input'!$K$67)-'01_Input'!$J$67,0)*'01_Input'!$M$67))+IF('01_Input'!$P$67="Forfait",IF(CZ$20&gt;='01_Input'!$N$67,'01_Input'!$Q$67,0),IF('01_Input'!$P$67="Palier",IF(AND(CZ$20&gt;='01_Input'!$N$67,CZ$20&lt;'01_Input'!$O$67),'01_Input'!$Q$67,0),MAX(MIN(CZ$20,'01_Input'!$O$67)-'01_Input'!$N$67,0)*'01_Input'!$Q$67))+IF('01_Input'!$T$67="Forfait",IF(CZ$20&gt;='01_Input'!$R$67,'01_Input'!$U$67,0),IF('01_Input'!$T$67="Palier",IF(AND(CZ$20&gt;='01_Input'!$R$67,CZ$20&lt;'01_Input'!$S$67),'01_Input'!$U$67,0),MAX(MIN(CZ$20,'01_Input'!$S$67)-'01_Input'!$R$67,0)*'01_Input'!$U$67))+IF('01_Input'!$X$67="Forfait",IF(CZ$20&gt;='01_Input'!$V$67,'01_Input'!$Y$67,0),IF('01_Input'!$X$67="Palier",IF(AND(CZ$20&gt;='01_Input'!$V$67,CZ$20&lt;'01_Input'!$W$67),'01_Input'!$Y$67,0),MAX(MIN(CZ$20,'01_Input'!$W$67)-'01_Input'!$V$67,0)*'01_Input'!$Y$67))+IF('01_Input'!$AB$67="Forfait",IF(CZ$20&gt;='01_Input'!$Z$67,'01_Input'!$AC$67,0),IF('01_Input'!$AB$67="Palier",IF(AND(CZ$20&gt;='01_Input'!$Z$67,CZ$20&lt;'01_Input'!$AA$67),'01_Input'!$AC$67,0),MAX(MIN(CZ$20,'01_Input'!$AA$67)-'01_Input'!$Z$67,0)*'01_Input'!$AC$67)))))))))</f>
        <v>0</v>
      </c>
      <c r="DA35" s="25">
        <f>IF('01_Input'!$C$67="Non",0,MIN('01_Input'!$I$67,MAX('01_Input'!$H$67,IF('01_Input'!$G$67="Résiduel vs Gestion",0,IF('01_Input'!$G$67="Taux Classe sélectionnée",Distrib_Global_Classe_Selectionnee*DA$20,IF('01_Input'!$G$67="Frais KYC (paliers de 100M€)",MAX(0,Nb_Investisseurs-Nb_KYC_Gratuites_Par_Tranche*(FLOOR(DA$20/Taille_Tranche_KYC,1)+1))*Cout_Par_KYC_Supplementaire,(IF('01_Input'!$L$67="Forfait",IF(DA$20&gt;='01_Input'!$J$67,'01_Input'!$M$67,0),IF('01_Input'!$L$67="Palier",IF(AND(DA$20&gt;='01_Input'!$J$67,DA$20&lt;'01_Input'!$K$67),'01_Input'!$M$67,0),MAX(MIN(DA$20,'01_Input'!$K$67)-'01_Input'!$J$67,0)*'01_Input'!$M$67))+IF('01_Input'!$P$67="Forfait",IF(DA$20&gt;='01_Input'!$N$67,'01_Input'!$Q$67,0),IF('01_Input'!$P$67="Palier",IF(AND(DA$20&gt;='01_Input'!$N$67,DA$20&lt;'01_Input'!$O$67),'01_Input'!$Q$67,0),MAX(MIN(DA$20,'01_Input'!$O$67)-'01_Input'!$N$67,0)*'01_Input'!$Q$67))+IF('01_Input'!$T$67="Forfait",IF(DA$20&gt;='01_Input'!$R$67,'01_Input'!$U$67,0),IF('01_Input'!$T$67="Palier",IF(AND(DA$20&gt;='01_Input'!$R$67,DA$20&lt;'01_Input'!$S$67),'01_Input'!$U$67,0),MAX(MIN(DA$20,'01_Input'!$S$67)-'01_Input'!$R$67,0)*'01_Input'!$U$67))+IF('01_Input'!$X$67="Forfait",IF(DA$20&gt;='01_Input'!$V$67,'01_Input'!$Y$67,0),IF('01_Input'!$X$67="Palier",IF(AND(DA$20&gt;='01_Input'!$V$67,DA$20&lt;'01_Input'!$W$67),'01_Input'!$Y$67,0),MAX(MIN(DA$20,'01_Input'!$W$67)-'01_Input'!$V$67,0)*'01_Input'!$Y$67))+IF('01_Input'!$AB$67="Forfait",IF(DA$20&gt;='01_Input'!$Z$67,'01_Input'!$AC$67,0),IF('01_Input'!$AB$67="Palier",IF(AND(DA$20&gt;='01_Input'!$Z$67,DA$20&lt;'01_Input'!$AA$67),'01_Input'!$AC$67,0),MAX(MIN(DA$20,'01_Input'!$AA$67)-'01_Input'!$Z$67,0)*'01_Input'!$AC$67)))))))))</f>
        <v>0</v>
      </c>
      <c r="DB35" s="25">
        <f>IF('01_Input'!$C$67="Non",0,MIN('01_Input'!$I$67,MAX('01_Input'!$H$67,IF('01_Input'!$G$67="Résiduel vs Gestion",0,IF('01_Input'!$G$67="Taux Classe sélectionnée",Distrib_Global_Classe_Selectionnee*DB$20,IF('01_Input'!$G$67="Frais KYC (paliers de 100M€)",MAX(0,Nb_Investisseurs-Nb_KYC_Gratuites_Par_Tranche*(FLOOR(DB$20/Taille_Tranche_KYC,1)+1))*Cout_Par_KYC_Supplementaire,(IF('01_Input'!$L$67="Forfait",IF(DB$20&gt;='01_Input'!$J$67,'01_Input'!$M$67,0),IF('01_Input'!$L$67="Palier",IF(AND(DB$20&gt;='01_Input'!$J$67,DB$20&lt;'01_Input'!$K$67),'01_Input'!$M$67,0),MAX(MIN(DB$20,'01_Input'!$K$67)-'01_Input'!$J$67,0)*'01_Input'!$M$67))+IF('01_Input'!$P$67="Forfait",IF(DB$20&gt;='01_Input'!$N$67,'01_Input'!$Q$67,0),IF('01_Input'!$P$67="Palier",IF(AND(DB$20&gt;='01_Input'!$N$67,DB$20&lt;'01_Input'!$O$67),'01_Input'!$Q$67,0),MAX(MIN(DB$20,'01_Input'!$O$67)-'01_Input'!$N$67,0)*'01_Input'!$Q$67))+IF('01_Input'!$T$67="Forfait",IF(DB$20&gt;='01_Input'!$R$67,'01_Input'!$U$67,0),IF('01_Input'!$T$67="Palier",IF(AND(DB$20&gt;='01_Input'!$R$67,DB$20&lt;'01_Input'!$S$67),'01_Input'!$U$67,0),MAX(MIN(DB$20,'01_Input'!$S$67)-'01_Input'!$R$67,0)*'01_Input'!$U$67))+IF('01_Input'!$X$67="Forfait",IF(DB$20&gt;='01_Input'!$V$67,'01_Input'!$Y$67,0),IF('01_Input'!$X$67="Palier",IF(AND(DB$20&gt;='01_Input'!$V$67,DB$20&lt;'01_Input'!$W$67),'01_Input'!$Y$67,0),MAX(MIN(DB$20,'01_Input'!$W$67)-'01_Input'!$V$67,0)*'01_Input'!$Y$67))+IF('01_Input'!$AB$67="Forfait",IF(DB$20&gt;='01_Input'!$Z$67,'01_Input'!$AC$67,0),IF('01_Input'!$AB$67="Palier",IF(AND(DB$20&gt;='01_Input'!$Z$67,DB$20&lt;'01_Input'!$AA$67),'01_Input'!$AC$67,0),MAX(MIN(DB$20,'01_Input'!$AA$67)-'01_Input'!$Z$67,0)*'01_Input'!$AC$67)))))))))</f>
        <v>0</v>
      </c>
      <c r="DC35" s="25">
        <f>IF('01_Input'!$C$67="Non",0,MIN('01_Input'!$I$67,MAX('01_Input'!$H$67,IF('01_Input'!$G$67="Résiduel vs Gestion",0,IF('01_Input'!$G$67="Taux Classe sélectionnée",Distrib_Global_Classe_Selectionnee*DC$20,IF('01_Input'!$G$67="Frais KYC (paliers de 100M€)",MAX(0,Nb_Investisseurs-Nb_KYC_Gratuites_Par_Tranche*(FLOOR(DC$20/Taille_Tranche_KYC,1)+1))*Cout_Par_KYC_Supplementaire,(IF('01_Input'!$L$67="Forfait",IF(DC$20&gt;='01_Input'!$J$67,'01_Input'!$M$67,0),IF('01_Input'!$L$67="Palier",IF(AND(DC$20&gt;='01_Input'!$J$67,DC$20&lt;'01_Input'!$K$67),'01_Input'!$M$67,0),MAX(MIN(DC$20,'01_Input'!$K$67)-'01_Input'!$J$67,0)*'01_Input'!$M$67))+IF('01_Input'!$P$67="Forfait",IF(DC$20&gt;='01_Input'!$N$67,'01_Input'!$Q$67,0),IF('01_Input'!$P$67="Palier",IF(AND(DC$20&gt;='01_Input'!$N$67,DC$20&lt;'01_Input'!$O$67),'01_Input'!$Q$67,0),MAX(MIN(DC$20,'01_Input'!$O$67)-'01_Input'!$N$67,0)*'01_Input'!$Q$67))+IF('01_Input'!$T$67="Forfait",IF(DC$20&gt;='01_Input'!$R$67,'01_Input'!$U$67,0),IF('01_Input'!$T$67="Palier",IF(AND(DC$20&gt;='01_Input'!$R$67,DC$20&lt;'01_Input'!$S$67),'01_Input'!$U$67,0),MAX(MIN(DC$20,'01_Input'!$S$67)-'01_Input'!$R$67,0)*'01_Input'!$U$67))+IF('01_Input'!$X$67="Forfait",IF(DC$20&gt;='01_Input'!$V$67,'01_Input'!$Y$67,0),IF('01_Input'!$X$67="Palier",IF(AND(DC$20&gt;='01_Input'!$V$67,DC$20&lt;'01_Input'!$W$67),'01_Input'!$Y$67,0),MAX(MIN(DC$20,'01_Input'!$W$67)-'01_Input'!$V$67,0)*'01_Input'!$Y$67))+IF('01_Input'!$AB$67="Forfait",IF(DC$20&gt;='01_Input'!$Z$67,'01_Input'!$AC$67,0),IF('01_Input'!$AB$67="Palier",IF(AND(DC$20&gt;='01_Input'!$Z$67,DC$20&lt;'01_Input'!$AA$67),'01_Input'!$AC$67,0),MAX(MIN(DC$20,'01_Input'!$AA$67)-'01_Input'!$Z$67,0)*'01_Input'!$AC$67)))))))))</f>
        <v>0</v>
      </c>
      <c r="DD35" s="25">
        <f>IF('01_Input'!$C$67="Non",0,MIN('01_Input'!$I$67,MAX('01_Input'!$H$67,IF('01_Input'!$G$67="Résiduel vs Gestion",0,IF('01_Input'!$G$67="Taux Classe sélectionnée",Distrib_Global_Classe_Selectionnee*DD$20,IF('01_Input'!$G$67="Frais KYC (paliers de 100M€)",MAX(0,Nb_Investisseurs-Nb_KYC_Gratuites_Par_Tranche*(FLOOR(DD$20/Taille_Tranche_KYC,1)+1))*Cout_Par_KYC_Supplementaire,(IF('01_Input'!$L$67="Forfait",IF(DD$20&gt;='01_Input'!$J$67,'01_Input'!$M$67,0),IF('01_Input'!$L$67="Palier",IF(AND(DD$20&gt;='01_Input'!$J$67,DD$20&lt;'01_Input'!$K$67),'01_Input'!$M$67,0),MAX(MIN(DD$20,'01_Input'!$K$67)-'01_Input'!$J$67,0)*'01_Input'!$M$67))+IF('01_Input'!$P$67="Forfait",IF(DD$20&gt;='01_Input'!$N$67,'01_Input'!$Q$67,0),IF('01_Input'!$P$67="Palier",IF(AND(DD$20&gt;='01_Input'!$N$67,DD$20&lt;'01_Input'!$O$67),'01_Input'!$Q$67,0),MAX(MIN(DD$20,'01_Input'!$O$67)-'01_Input'!$N$67,0)*'01_Input'!$Q$67))+IF('01_Input'!$T$67="Forfait",IF(DD$20&gt;='01_Input'!$R$67,'01_Input'!$U$67,0),IF('01_Input'!$T$67="Palier",IF(AND(DD$20&gt;='01_Input'!$R$67,DD$20&lt;'01_Input'!$S$67),'01_Input'!$U$67,0),MAX(MIN(DD$20,'01_Input'!$S$67)-'01_Input'!$R$67,0)*'01_Input'!$U$67))+IF('01_Input'!$X$67="Forfait",IF(DD$20&gt;='01_Input'!$V$67,'01_Input'!$Y$67,0),IF('01_Input'!$X$67="Palier",IF(AND(DD$20&gt;='01_Input'!$V$67,DD$20&lt;'01_Input'!$W$67),'01_Input'!$Y$67,0),MAX(MIN(DD$20,'01_Input'!$W$67)-'01_Input'!$V$67,0)*'01_Input'!$Y$67))+IF('01_Input'!$AB$67="Forfait",IF(DD$20&gt;='01_Input'!$Z$67,'01_Input'!$AC$67,0),IF('01_Input'!$AB$67="Palier",IF(AND(DD$20&gt;='01_Input'!$Z$67,DD$20&lt;'01_Input'!$AA$67),'01_Input'!$AC$67,0),MAX(MIN(DD$20,'01_Input'!$AA$67)-'01_Input'!$Z$67,0)*'01_Input'!$AC$67)))))))))</f>
        <v>0</v>
      </c>
      <c r="DE35" s="25">
        <f>IF('01_Input'!$C$67="Non",0,MIN('01_Input'!$I$67,MAX('01_Input'!$H$67,IF('01_Input'!$G$67="Résiduel vs Gestion",0,IF('01_Input'!$G$67="Taux Classe sélectionnée",Distrib_Global_Classe_Selectionnee*DE$20,IF('01_Input'!$G$67="Frais KYC (paliers de 100M€)",MAX(0,Nb_Investisseurs-Nb_KYC_Gratuites_Par_Tranche*(FLOOR(DE$20/Taille_Tranche_KYC,1)+1))*Cout_Par_KYC_Supplementaire,(IF('01_Input'!$L$67="Forfait",IF(DE$20&gt;='01_Input'!$J$67,'01_Input'!$M$67,0),IF('01_Input'!$L$67="Palier",IF(AND(DE$20&gt;='01_Input'!$J$67,DE$20&lt;'01_Input'!$K$67),'01_Input'!$M$67,0),MAX(MIN(DE$20,'01_Input'!$K$67)-'01_Input'!$J$67,0)*'01_Input'!$M$67))+IF('01_Input'!$P$67="Forfait",IF(DE$20&gt;='01_Input'!$N$67,'01_Input'!$Q$67,0),IF('01_Input'!$P$67="Palier",IF(AND(DE$20&gt;='01_Input'!$N$67,DE$20&lt;'01_Input'!$O$67),'01_Input'!$Q$67,0),MAX(MIN(DE$20,'01_Input'!$O$67)-'01_Input'!$N$67,0)*'01_Input'!$Q$67))+IF('01_Input'!$T$67="Forfait",IF(DE$20&gt;='01_Input'!$R$67,'01_Input'!$U$67,0),IF('01_Input'!$T$67="Palier",IF(AND(DE$20&gt;='01_Input'!$R$67,DE$20&lt;'01_Input'!$S$67),'01_Input'!$U$67,0),MAX(MIN(DE$20,'01_Input'!$S$67)-'01_Input'!$R$67,0)*'01_Input'!$U$67))+IF('01_Input'!$X$67="Forfait",IF(DE$20&gt;='01_Input'!$V$67,'01_Input'!$Y$67,0),IF('01_Input'!$X$67="Palier",IF(AND(DE$20&gt;='01_Input'!$V$67,DE$20&lt;'01_Input'!$W$67),'01_Input'!$Y$67,0),MAX(MIN(DE$20,'01_Input'!$W$67)-'01_Input'!$V$67,0)*'01_Input'!$Y$67))+IF('01_Input'!$AB$67="Forfait",IF(DE$20&gt;='01_Input'!$Z$67,'01_Input'!$AC$67,0),IF('01_Input'!$AB$67="Palier",IF(AND(DE$20&gt;='01_Input'!$Z$67,DE$20&lt;'01_Input'!$AA$67),'01_Input'!$AC$67,0),MAX(MIN(DE$20,'01_Input'!$AA$67)-'01_Input'!$Z$67,0)*'01_Input'!$AC$67)))))))))</f>
        <v>0</v>
      </c>
      <c r="DF35" s="25">
        <f>IF('01_Input'!$C$67="Non",0,MIN('01_Input'!$I$67,MAX('01_Input'!$H$67,IF('01_Input'!$G$67="Résiduel vs Gestion",0,IF('01_Input'!$G$67="Taux Classe sélectionnée",Distrib_Global_Classe_Selectionnee*DF$20,IF('01_Input'!$G$67="Frais KYC (paliers de 100M€)",MAX(0,Nb_Investisseurs-Nb_KYC_Gratuites_Par_Tranche*(FLOOR(DF$20/Taille_Tranche_KYC,1)+1))*Cout_Par_KYC_Supplementaire,(IF('01_Input'!$L$67="Forfait",IF(DF$20&gt;='01_Input'!$J$67,'01_Input'!$M$67,0),IF('01_Input'!$L$67="Palier",IF(AND(DF$20&gt;='01_Input'!$J$67,DF$20&lt;'01_Input'!$K$67),'01_Input'!$M$67,0),MAX(MIN(DF$20,'01_Input'!$K$67)-'01_Input'!$J$67,0)*'01_Input'!$M$67))+IF('01_Input'!$P$67="Forfait",IF(DF$20&gt;='01_Input'!$N$67,'01_Input'!$Q$67,0),IF('01_Input'!$P$67="Palier",IF(AND(DF$20&gt;='01_Input'!$N$67,DF$20&lt;'01_Input'!$O$67),'01_Input'!$Q$67,0),MAX(MIN(DF$20,'01_Input'!$O$67)-'01_Input'!$N$67,0)*'01_Input'!$Q$67))+IF('01_Input'!$T$67="Forfait",IF(DF$20&gt;='01_Input'!$R$67,'01_Input'!$U$67,0),IF('01_Input'!$T$67="Palier",IF(AND(DF$20&gt;='01_Input'!$R$67,DF$20&lt;'01_Input'!$S$67),'01_Input'!$U$67,0),MAX(MIN(DF$20,'01_Input'!$S$67)-'01_Input'!$R$67,0)*'01_Input'!$U$67))+IF('01_Input'!$X$67="Forfait",IF(DF$20&gt;='01_Input'!$V$67,'01_Input'!$Y$67,0),IF('01_Input'!$X$67="Palier",IF(AND(DF$20&gt;='01_Input'!$V$67,DF$20&lt;'01_Input'!$W$67),'01_Input'!$Y$67,0),MAX(MIN(DF$20,'01_Input'!$W$67)-'01_Input'!$V$67,0)*'01_Input'!$Y$67))+IF('01_Input'!$AB$67="Forfait",IF(DF$20&gt;='01_Input'!$Z$67,'01_Input'!$AC$67,0),IF('01_Input'!$AB$67="Palier",IF(AND(DF$20&gt;='01_Input'!$Z$67,DF$20&lt;'01_Input'!$AA$67),'01_Input'!$AC$67,0),MAX(MIN(DF$20,'01_Input'!$AA$67)-'01_Input'!$Z$67,0)*'01_Input'!$AC$67)))))))))</f>
        <v>0</v>
      </c>
      <c r="DG35" s="25">
        <f>IF('01_Input'!$C$67="Non",0,MIN('01_Input'!$I$67,MAX('01_Input'!$H$67,IF('01_Input'!$G$67="Résiduel vs Gestion",0,IF('01_Input'!$G$67="Taux Classe sélectionnée",Distrib_Global_Classe_Selectionnee*DG$20,IF('01_Input'!$G$67="Frais KYC (paliers de 100M€)",MAX(0,Nb_Investisseurs-Nb_KYC_Gratuites_Par_Tranche*(FLOOR(DG$20/Taille_Tranche_KYC,1)+1))*Cout_Par_KYC_Supplementaire,(IF('01_Input'!$L$67="Forfait",IF(DG$20&gt;='01_Input'!$J$67,'01_Input'!$M$67,0),IF('01_Input'!$L$67="Palier",IF(AND(DG$20&gt;='01_Input'!$J$67,DG$20&lt;'01_Input'!$K$67),'01_Input'!$M$67,0),MAX(MIN(DG$20,'01_Input'!$K$67)-'01_Input'!$J$67,0)*'01_Input'!$M$67))+IF('01_Input'!$P$67="Forfait",IF(DG$20&gt;='01_Input'!$N$67,'01_Input'!$Q$67,0),IF('01_Input'!$P$67="Palier",IF(AND(DG$20&gt;='01_Input'!$N$67,DG$20&lt;'01_Input'!$O$67),'01_Input'!$Q$67,0),MAX(MIN(DG$20,'01_Input'!$O$67)-'01_Input'!$N$67,0)*'01_Input'!$Q$67))+IF('01_Input'!$T$67="Forfait",IF(DG$20&gt;='01_Input'!$R$67,'01_Input'!$U$67,0),IF('01_Input'!$T$67="Palier",IF(AND(DG$20&gt;='01_Input'!$R$67,DG$20&lt;'01_Input'!$S$67),'01_Input'!$U$67,0),MAX(MIN(DG$20,'01_Input'!$S$67)-'01_Input'!$R$67,0)*'01_Input'!$U$67))+IF('01_Input'!$X$67="Forfait",IF(DG$20&gt;='01_Input'!$V$67,'01_Input'!$Y$67,0),IF('01_Input'!$X$67="Palier",IF(AND(DG$20&gt;='01_Input'!$V$67,DG$20&lt;'01_Input'!$W$67),'01_Input'!$Y$67,0),MAX(MIN(DG$20,'01_Input'!$W$67)-'01_Input'!$V$67,0)*'01_Input'!$Y$67))+IF('01_Input'!$AB$67="Forfait",IF(DG$20&gt;='01_Input'!$Z$67,'01_Input'!$AC$67,0),IF('01_Input'!$AB$67="Palier",IF(AND(DG$20&gt;='01_Input'!$Z$67,DG$20&lt;'01_Input'!$AA$67),'01_Input'!$AC$67,0),MAX(MIN(DG$20,'01_Input'!$AA$67)-'01_Input'!$Z$67,0)*'01_Input'!$AC$67)))))))))</f>
        <v>0</v>
      </c>
      <c r="DH35" s="25">
        <f>IF('01_Input'!$C$67="Non",0,MIN('01_Input'!$I$67,MAX('01_Input'!$H$67,IF('01_Input'!$G$67="Résiduel vs Gestion",0,IF('01_Input'!$G$67="Taux Classe sélectionnée",Distrib_Global_Classe_Selectionnee*DH$20,IF('01_Input'!$G$67="Frais KYC (paliers de 100M€)",MAX(0,Nb_Investisseurs-Nb_KYC_Gratuites_Par_Tranche*(FLOOR(DH$20/Taille_Tranche_KYC,1)+1))*Cout_Par_KYC_Supplementaire,(IF('01_Input'!$L$67="Forfait",IF(DH$20&gt;='01_Input'!$J$67,'01_Input'!$M$67,0),IF('01_Input'!$L$67="Palier",IF(AND(DH$20&gt;='01_Input'!$J$67,DH$20&lt;'01_Input'!$K$67),'01_Input'!$M$67,0),MAX(MIN(DH$20,'01_Input'!$K$67)-'01_Input'!$J$67,0)*'01_Input'!$M$67))+IF('01_Input'!$P$67="Forfait",IF(DH$20&gt;='01_Input'!$N$67,'01_Input'!$Q$67,0),IF('01_Input'!$P$67="Palier",IF(AND(DH$20&gt;='01_Input'!$N$67,DH$20&lt;'01_Input'!$O$67),'01_Input'!$Q$67,0),MAX(MIN(DH$20,'01_Input'!$O$67)-'01_Input'!$N$67,0)*'01_Input'!$Q$67))+IF('01_Input'!$T$67="Forfait",IF(DH$20&gt;='01_Input'!$R$67,'01_Input'!$U$67,0),IF('01_Input'!$T$67="Palier",IF(AND(DH$20&gt;='01_Input'!$R$67,DH$20&lt;'01_Input'!$S$67),'01_Input'!$U$67,0),MAX(MIN(DH$20,'01_Input'!$S$67)-'01_Input'!$R$67,0)*'01_Input'!$U$67))+IF('01_Input'!$X$67="Forfait",IF(DH$20&gt;='01_Input'!$V$67,'01_Input'!$Y$67,0),IF('01_Input'!$X$67="Palier",IF(AND(DH$20&gt;='01_Input'!$V$67,DH$20&lt;'01_Input'!$W$67),'01_Input'!$Y$67,0),MAX(MIN(DH$20,'01_Input'!$W$67)-'01_Input'!$V$67,0)*'01_Input'!$Y$67))+IF('01_Input'!$AB$67="Forfait",IF(DH$20&gt;='01_Input'!$Z$67,'01_Input'!$AC$67,0),IF('01_Input'!$AB$67="Palier",IF(AND(DH$20&gt;='01_Input'!$Z$67,DH$20&lt;'01_Input'!$AA$67),'01_Input'!$AC$67,0),MAX(MIN(DH$20,'01_Input'!$AA$67)-'01_Input'!$Z$67,0)*'01_Input'!$AC$67)))))))))</f>
        <v>0</v>
      </c>
      <c r="DI35" s="25">
        <f>IF('01_Input'!$C$67="Non",0,MIN('01_Input'!$I$67,MAX('01_Input'!$H$67,IF('01_Input'!$G$67="Résiduel vs Gestion",0,IF('01_Input'!$G$67="Taux Classe sélectionnée",Distrib_Global_Classe_Selectionnee*DI$20,IF('01_Input'!$G$67="Frais KYC (paliers de 100M€)",MAX(0,Nb_Investisseurs-Nb_KYC_Gratuites_Par_Tranche*(FLOOR(DI$20/Taille_Tranche_KYC,1)+1))*Cout_Par_KYC_Supplementaire,(IF('01_Input'!$L$67="Forfait",IF(DI$20&gt;='01_Input'!$J$67,'01_Input'!$M$67,0),IF('01_Input'!$L$67="Palier",IF(AND(DI$20&gt;='01_Input'!$J$67,DI$20&lt;'01_Input'!$K$67),'01_Input'!$M$67,0),MAX(MIN(DI$20,'01_Input'!$K$67)-'01_Input'!$J$67,0)*'01_Input'!$M$67))+IF('01_Input'!$P$67="Forfait",IF(DI$20&gt;='01_Input'!$N$67,'01_Input'!$Q$67,0),IF('01_Input'!$P$67="Palier",IF(AND(DI$20&gt;='01_Input'!$N$67,DI$20&lt;'01_Input'!$O$67),'01_Input'!$Q$67,0),MAX(MIN(DI$20,'01_Input'!$O$67)-'01_Input'!$N$67,0)*'01_Input'!$Q$67))+IF('01_Input'!$T$67="Forfait",IF(DI$20&gt;='01_Input'!$R$67,'01_Input'!$U$67,0),IF('01_Input'!$T$67="Palier",IF(AND(DI$20&gt;='01_Input'!$R$67,DI$20&lt;'01_Input'!$S$67),'01_Input'!$U$67,0),MAX(MIN(DI$20,'01_Input'!$S$67)-'01_Input'!$R$67,0)*'01_Input'!$U$67))+IF('01_Input'!$X$67="Forfait",IF(DI$20&gt;='01_Input'!$V$67,'01_Input'!$Y$67,0),IF('01_Input'!$X$67="Palier",IF(AND(DI$20&gt;='01_Input'!$V$67,DI$20&lt;'01_Input'!$W$67),'01_Input'!$Y$67,0),MAX(MIN(DI$20,'01_Input'!$W$67)-'01_Input'!$V$67,0)*'01_Input'!$Y$67))+IF('01_Input'!$AB$67="Forfait",IF(DI$20&gt;='01_Input'!$Z$67,'01_Input'!$AC$67,0),IF('01_Input'!$AB$67="Palier",IF(AND(DI$20&gt;='01_Input'!$Z$67,DI$20&lt;'01_Input'!$AA$67),'01_Input'!$AC$67,0),MAX(MIN(DI$20,'01_Input'!$AA$67)-'01_Input'!$Z$67,0)*'01_Input'!$AC$67)))))))))</f>
        <v>0</v>
      </c>
      <c r="DJ35" s="25">
        <f>IF('01_Input'!$C$67="Non",0,MIN('01_Input'!$I$67,MAX('01_Input'!$H$67,IF('01_Input'!$G$67="Résiduel vs Gestion",0,IF('01_Input'!$G$67="Taux Classe sélectionnée",Distrib_Global_Classe_Selectionnee*DJ$20,IF('01_Input'!$G$67="Frais KYC (paliers de 100M€)",MAX(0,Nb_Investisseurs-Nb_KYC_Gratuites_Par_Tranche*(FLOOR(DJ$20/Taille_Tranche_KYC,1)+1))*Cout_Par_KYC_Supplementaire,(IF('01_Input'!$L$67="Forfait",IF(DJ$20&gt;='01_Input'!$J$67,'01_Input'!$M$67,0),IF('01_Input'!$L$67="Palier",IF(AND(DJ$20&gt;='01_Input'!$J$67,DJ$20&lt;'01_Input'!$K$67),'01_Input'!$M$67,0),MAX(MIN(DJ$20,'01_Input'!$K$67)-'01_Input'!$J$67,0)*'01_Input'!$M$67))+IF('01_Input'!$P$67="Forfait",IF(DJ$20&gt;='01_Input'!$N$67,'01_Input'!$Q$67,0),IF('01_Input'!$P$67="Palier",IF(AND(DJ$20&gt;='01_Input'!$N$67,DJ$20&lt;'01_Input'!$O$67),'01_Input'!$Q$67,0),MAX(MIN(DJ$20,'01_Input'!$O$67)-'01_Input'!$N$67,0)*'01_Input'!$Q$67))+IF('01_Input'!$T$67="Forfait",IF(DJ$20&gt;='01_Input'!$R$67,'01_Input'!$U$67,0),IF('01_Input'!$T$67="Palier",IF(AND(DJ$20&gt;='01_Input'!$R$67,DJ$20&lt;'01_Input'!$S$67),'01_Input'!$U$67,0),MAX(MIN(DJ$20,'01_Input'!$S$67)-'01_Input'!$R$67,0)*'01_Input'!$U$67))+IF('01_Input'!$X$67="Forfait",IF(DJ$20&gt;='01_Input'!$V$67,'01_Input'!$Y$67,0),IF('01_Input'!$X$67="Palier",IF(AND(DJ$20&gt;='01_Input'!$V$67,DJ$20&lt;'01_Input'!$W$67),'01_Input'!$Y$67,0),MAX(MIN(DJ$20,'01_Input'!$W$67)-'01_Input'!$V$67,0)*'01_Input'!$Y$67))+IF('01_Input'!$AB$67="Forfait",IF(DJ$20&gt;='01_Input'!$Z$67,'01_Input'!$AC$67,0),IF('01_Input'!$AB$67="Palier",IF(AND(DJ$20&gt;='01_Input'!$Z$67,DJ$20&lt;'01_Input'!$AA$67),'01_Input'!$AC$67,0),MAX(MIN(DJ$20,'01_Input'!$AA$67)-'01_Input'!$Z$67,0)*'01_Input'!$AC$67)))))))))</f>
        <v>0</v>
      </c>
      <c r="DK35" s="25">
        <f>IF('01_Input'!$C$67="Non",0,MIN('01_Input'!$I$67,MAX('01_Input'!$H$67,IF('01_Input'!$G$67="Résiduel vs Gestion",0,IF('01_Input'!$G$67="Taux Classe sélectionnée",Distrib_Global_Classe_Selectionnee*DK$20,IF('01_Input'!$G$67="Frais KYC (paliers de 100M€)",MAX(0,Nb_Investisseurs-Nb_KYC_Gratuites_Par_Tranche*(FLOOR(DK$20/Taille_Tranche_KYC,1)+1))*Cout_Par_KYC_Supplementaire,(IF('01_Input'!$L$67="Forfait",IF(DK$20&gt;='01_Input'!$J$67,'01_Input'!$M$67,0),IF('01_Input'!$L$67="Palier",IF(AND(DK$20&gt;='01_Input'!$J$67,DK$20&lt;'01_Input'!$K$67),'01_Input'!$M$67,0),MAX(MIN(DK$20,'01_Input'!$K$67)-'01_Input'!$J$67,0)*'01_Input'!$M$67))+IF('01_Input'!$P$67="Forfait",IF(DK$20&gt;='01_Input'!$N$67,'01_Input'!$Q$67,0),IF('01_Input'!$P$67="Palier",IF(AND(DK$20&gt;='01_Input'!$N$67,DK$20&lt;'01_Input'!$O$67),'01_Input'!$Q$67,0),MAX(MIN(DK$20,'01_Input'!$O$67)-'01_Input'!$N$67,0)*'01_Input'!$Q$67))+IF('01_Input'!$T$67="Forfait",IF(DK$20&gt;='01_Input'!$R$67,'01_Input'!$U$67,0),IF('01_Input'!$T$67="Palier",IF(AND(DK$20&gt;='01_Input'!$R$67,DK$20&lt;'01_Input'!$S$67),'01_Input'!$U$67,0),MAX(MIN(DK$20,'01_Input'!$S$67)-'01_Input'!$R$67,0)*'01_Input'!$U$67))+IF('01_Input'!$X$67="Forfait",IF(DK$20&gt;='01_Input'!$V$67,'01_Input'!$Y$67,0),IF('01_Input'!$X$67="Palier",IF(AND(DK$20&gt;='01_Input'!$V$67,DK$20&lt;'01_Input'!$W$67),'01_Input'!$Y$67,0),MAX(MIN(DK$20,'01_Input'!$W$67)-'01_Input'!$V$67,0)*'01_Input'!$Y$67))+IF('01_Input'!$AB$67="Forfait",IF(DK$20&gt;='01_Input'!$Z$67,'01_Input'!$AC$67,0),IF('01_Input'!$AB$67="Palier",IF(AND(DK$20&gt;='01_Input'!$Z$67,DK$20&lt;'01_Input'!$AA$67),'01_Input'!$AC$67,0),MAX(MIN(DK$20,'01_Input'!$AA$67)-'01_Input'!$Z$67,0)*'01_Input'!$AC$67)))))))))</f>
        <v>0</v>
      </c>
      <c r="DL35" s="25">
        <f>IF('01_Input'!$C$67="Non",0,MIN('01_Input'!$I$67,MAX('01_Input'!$H$67,IF('01_Input'!$G$67="Résiduel vs Gestion",0,IF('01_Input'!$G$67="Taux Classe sélectionnée",Distrib_Global_Classe_Selectionnee*DL$20,IF('01_Input'!$G$67="Frais KYC (paliers de 100M€)",MAX(0,Nb_Investisseurs-Nb_KYC_Gratuites_Par_Tranche*(FLOOR(DL$20/Taille_Tranche_KYC,1)+1))*Cout_Par_KYC_Supplementaire,(IF('01_Input'!$L$67="Forfait",IF(DL$20&gt;='01_Input'!$J$67,'01_Input'!$M$67,0),IF('01_Input'!$L$67="Palier",IF(AND(DL$20&gt;='01_Input'!$J$67,DL$20&lt;'01_Input'!$K$67),'01_Input'!$M$67,0),MAX(MIN(DL$20,'01_Input'!$K$67)-'01_Input'!$J$67,0)*'01_Input'!$M$67))+IF('01_Input'!$P$67="Forfait",IF(DL$20&gt;='01_Input'!$N$67,'01_Input'!$Q$67,0),IF('01_Input'!$P$67="Palier",IF(AND(DL$20&gt;='01_Input'!$N$67,DL$20&lt;'01_Input'!$O$67),'01_Input'!$Q$67,0),MAX(MIN(DL$20,'01_Input'!$O$67)-'01_Input'!$N$67,0)*'01_Input'!$Q$67))+IF('01_Input'!$T$67="Forfait",IF(DL$20&gt;='01_Input'!$R$67,'01_Input'!$U$67,0),IF('01_Input'!$T$67="Palier",IF(AND(DL$20&gt;='01_Input'!$R$67,DL$20&lt;'01_Input'!$S$67),'01_Input'!$U$67,0),MAX(MIN(DL$20,'01_Input'!$S$67)-'01_Input'!$R$67,0)*'01_Input'!$U$67))+IF('01_Input'!$X$67="Forfait",IF(DL$20&gt;='01_Input'!$V$67,'01_Input'!$Y$67,0),IF('01_Input'!$X$67="Palier",IF(AND(DL$20&gt;='01_Input'!$V$67,DL$20&lt;'01_Input'!$W$67),'01_Input'!$Y$67,0),MAX(MIN(DL$20,'01_Input'!$W$67)-'01_Input'!$V$67,0)*'01_Input'!$Y$67))+IF('01_Input'!$AB$67="Forfait",IF(DL$20&gt;='01_Input'!$Z$67,'01_Input'!$AC$67,0),IF('01_Input'!$AB$67="Palier",IF(AND(DL$20&gt;='01_Input'!$Z$67,DL$20&lt;'01_Input'!$AA$67),'01_Input'!$AC$67,0),MAX(MIN(DL$20,'01_Input'!$AA$67)-'01_Input'!$Z$67,0)*'01_Input'!$AC$67)))))))))</f>
        <v>0</v>
      </c>
      <c r="DM35" s="25">
        <f>IF('01_Input'!$C$67="Non",0,MIN('01_Input'!$I$67,MAX('01_Input'!$H$67,IF('01_Input'!$G$67="Résiduel vs Gestion",0,IF('01_Input'!$G$67="Taux Classe sélectionnée",Distrib_Global_Classe_Selectionnee*DM$20,IF('01_Input'!$G$67="Frais KYC (paliers de 100M€)",MAX(0,Nb_Investisseurs-Nb_KYC_Gratuites_Par_Tranche*(FLOOR(DM$20/Taille_Tranche_KYC,1)+1))*Cout_Par_KYC_Supplementaire,(IF('01_Input'!$L$67="Forfait",IF(DM$20&gt;='01_Input'!$J$67,'01_Input'!$M$67,0),IF('01_Input'!$L$67="Palier",IF(AND(DM$20&gt;='01_Input'!$J$67,DM$20&lt;'01_Input'!$K$67),'01_Input'!$M$67,0),MAX(MIN(DM$20,'01_Input'!$K$67)-'01_Input'!$J$67,0)*'01_Input'!$M$67))+IF('01_Input'!$P$67="Forfait",IF(DM$20&gt;='01_Input'!$N$67,'01_Input'!$Q$67,0),IF('01_Input'!$P$67="Palier",IF(AND(DM$20&gt;='01_Input'!$N$67,DM$20&lt;'01_Input'!$O$67),'01_Input'!$Q$67,0),MAX(MIN(DM$20,'01_Input'!$O$67)-'01_Input'!$N$67,0)*'01_Input'!$Q$67))+IF('01_Input'!$T$67="Forfait",IF(DM$20&gt;='01_Input'!$R$67,'01_Input'!$U$67,0),IF('01_Input'!$T$67="Palier",IF(AND(DM$20&gt;='01_Input'!$R$67,DM$20&lt;'01_Input'!$S$67),'01_Input'!$U$67,0),MAX(MIN(DM$20,'01_Input'!$S$67)-'01_Input'!$R$67,0)*'01_Input'!$U$67))+IF('01_Input'!$X$67="Forfait",IF(DM$20&gt;='01_Input'!$V$67,'01_Input'!$Y$67,0),IF('01_Input'!$X$67="Palier",IF(AND(DM$20&gt;='01_Input'!$V$67,DM$20&lt;'01_Input'!$W$67),'01_Input'!$Y$67,0),MAX(MIN(DM$20,'01_Input'!$W$67)-'01_Input'!$V$67,0)*'01_Input'!$Y$67))+IF('01_Input'!$AB$67="Forfait",IF(DM$20&gt;='01_Input'!$Z$67,'01_Input'!$AC$67,0),IF('01_Input'!$AB$67="Palier",IF(AND(DM$20&gt;='01_Input'!$Z$67,DM$20&lt;'01_Input'!$AA$67),'01_Input'!$AC$67,0),MAX(MIN(DM$20,'01_Input'!$AA$67)-'01_Input'!$Z$67,0)*'01_Input'!$AC$67)))))))))</f>
        <v>0</v>
      </c>
      <c r="DN35" s="25">
        <f>IF('01_Input'!$C$67="Non",0,MIN('01_Input'!$I$67,MAX('01_Input'!$H$67,IF('01_Input'!$G$67="Résiduel vs Gestion",0,IF('01_Input'!$G$67="Taux Classe sélectionnée",Distrib_Global_Classe_Selectionnee*DN$20,IF('01_Input'!$G$67="Frais KYC (paliers de 100M€)",MAX(0,Nb_Investisseurs-Nb_KYC_Gratuites_Par_Tranche*(FLOOR(DN$20/Taille_Tranche_KYC,1)+1))*Cout_Par_KYC_Supplementaire,(IF('01_Input'!$L$67="Forfait",IF(DN$20&gt;='01_Input'!$J$67,'01_Input'!$M$67,0),IF('01_Input'!$L$67="Palier",IF(AND(DN$20&gt;='01_Input'!$J$67,DN$20&lt;'01_Input'!$K$67),'01_Input'!$M$67,0),MAX(MIN(DN$20,'01_Input'!$K$67)-'01_Input'!$J$67,0)*'01_Input'!$M$67))+IF('01_Input'!$P$67="Forfait",IF(DN$20&gt;='01_Input'!$N$67,'01_Input'!$Q$67,0),IF('01_Input'!$P$67="Palier",IF(AND(DN$20&gt;='01_Input'!$N$67,DN$20&lt;'01_Input'!$O$67),'01_Input'!$Q$67,0),MAX(MIN(DN$20,'01_Input'!$O$67)-'01_Input'!$N$67,0)*'01_Input'!$Q$67))+IF('01_Input'!$T$67="Forfait",IF(DN$20&gt;='01_Input'!$R$67,'01_Input'!$U$67,0),IF('01_Input'!$T$67="Palier",IF(AND(DN$20&gt;='01_Input'!$R$67,DN$20&lt;'01_Input'!$S$67),'01_Input'!$U$67,0),MAX(MIN(DN$20,'01_Input'!$S$67)-'01_Input'!$R$67,0)*'01_Input'!$U$67))+IF('01_Input'!$X$67="Forfait",IF(DN$20&gt;='01_Input'!$V$67,'01_Input'!$Y$67,0),IF('01_Input'!$X$67="Palier",IF(AND(DN$20&gt;='01_Input'!$V$67,DN$20&lt;'01_Input'!$W$67),'01_Input'!$Y$67,0),MAX(MIN(DN$20,'01_Input'!$W$67)-'01_Input'!$V$67,0)*'01_Input'!$Y$67))+IF('01_Input'!$AB$67="Forfait",IF(DN$20&gt;='01_Input'!$Z$67,'01_Input'!$AC$67,0),IF('01_Input'!$AB$67="Palier",IF(AND(DN$20&gt;='01_Input'!$Z$67,DN$20&lt;'01_Input'!$AA$67),'01_Input'!$AC$67,0),MAX(MIN(DN$20,'01_Input'!$AA$67)-'01_Input'!$Z$67,0)*'01_Input'!$AC$67)))))))))</f>
        <v>0</v>
      </c>
      <c r="DO35" s="25">
        <f>IF('01_Input'!$C$67="Non",0,MIN('01_Input'!$I$67,MAX('01_Input'!$H$67,IF('01_Input'!$G$67="Résiduel vs Gestion",0,IF('01_Input'!$G$67="Taux Classe sélectionnée",Distrib_Global_Classe_Selectionnee*DO$20,IF('01_Input'!$G$67="Frais KYC (paliers de 100M€)",MAX(0,Nb_Investisseurs-Nb_KYC_Gratuites_Par_Tranche*(FLOOR(DO$20/Taille_Tranche_KYC,1)+1))*Cout_Par_KYC_Supplementaire,(IF('01_Input'!$L$67="Forfait",IF(DO$20&gt;='01_Input'!$J$67,'01_Input'!$M$67,0),IF('01_Input'!$L$67="Palier",IF(AND(DO$20&gt;='01_Input'!$J$67,DO$20&lt;'01_Input'!$K$67),'01_Input'!$M$67,0),MAX(MIN(DO$20,'01_Input'!$K$67)-'01_Input'!$J$67,0)*'01_Input'!$M$67))+IF('01_Input'!$P$67="Forfait",IF(DO$20&gt;='01_Input'!$N$67,'01_Input'!$Q$67,0),IF('01_Input'!$P$67="Palier",IF(AND(DO$20&gt;='01_Input'!$N$67,DO$20&lt;'01_Input'!$O$67),'01_Input'!$Q$67,0),MAX(MIN(DO$20,'01_Input'!$O$67)-'01_Input'!$N$67,0)*'01_Input'!$Q$67))+IF('01_Input'!$T$67="Forfait",IF(DO$20&gt;='01_Input'!$R$67,'01_Input'!$U$67,0),IF('01_Input'!$T$67="Palier",IF(AND(DO$20&gt;='01_Input'!$R$67,DO$20&lt;'01_Input'!$S$67),'01_Input'!$U$67,0),MAX(MIN(DO$20,'01_Input'!$S$67)-'01_Input'!$R$67,0)*'01_Input'!$U$67))+IF('01_Input'!$X$67="Forfait",IF(DO$20&gt;='01_Input'!$V$67,'01_Input'!$Y$67,0),IF('01_Input'!$X$67="Palier",IF(AND(DO$20&gt;='01_Input'!$V$67,DO$20&lt;'01_Input'!$W$67),'01_Input'!$Y$67,0),MAX(MIN(DO$20,'01_Input'!$W$67)-'01_Input'!$V$67,0)*'01_Input'!$Y$67))+IF('01_Input'!$AB$67="Forfait",IF(DO$20&gt;='01_Input'!$Z$67,'01_Input'!$AC$67,0),IF('01_Input'!$AB$67="Palier",IF(AND(DO$20&gt;='01_Input'!$Z$67,DO$20&lt;'01_Input'!$AA$67),'01_Input'!$AC$67,0),MAX(MIN(DO$20,'01_Input'!$AA$67)-'01_Input'!$Z$67,0)*'01_Input'!$AC$67)))))))))</f>
        <v>0</v>
      </c>
      <c r="DP35" s="25">
        <f>IF('01_Input'!$C$67="Non",0,MIN('01_Input'!$I$67,MAX('01_Input'!$H$67,IF('01_Input'!$G$67="Résiduel vs Gestion",0,IF('01_Input'!$G$67="Taux Classe sélectionnée",Distrib_Global_Classe_Selectionnee*DP$20,IF('01_Input'!$G$67="Frais KYC (paliers de 100M€)",MAX(0,Nb_Investisseurs-Nb_KYC_Gratuites_Par_Tranche*(FLOOR(DP$20/Taille_Tranche_KYC,1)+1))*Cout_Par_KYC_Supplementaire,(IF('01_Input'!$L$67="Forfait",IF(DP$20&gt;='01_Input'!$J$67,'01_Input'!$M$67,0),IF('01_Input'!$L$67="Palier",IF(AND(DP$20&gt;='01_Input'!$J$67,DP$20&lt;'01_Input'!$K$67),'01_Input'!$M$67,0),MAX(MIN(DP$20,'01_Input'!$K$67)-'01_Input'!$J$67,0)*'01_Input'!$M$67))+IF('01_Input'!$P$67="Forfait",IF(DP$20&gt;='01_Input'!$N$67,'01_Input'!$Q$67,0),IF('01_Input'!$P$67="Palier",IF(AND(DP$20&gt;='01_Input'!$N$67,DP$20&lt;'01_Input'!$O$67),'01_Input'!$Q$67,0),MAX(MIN(DP$20,'01_Input'!$O$67)-'01_Input'!$N$67,0)*'01_Input'!$Q$67))+IF('01_Input'!$T$67="Forfait",IF(DP$20&gt;='01_Input'!$R$67,'01_Input'!$U$67,0),IF('01_Input'!$T$67="Palier",IF(AND(DP$20&gt;='01_Input'!$R$67,DP$20&lt;'01_Input'!$S$67),'01_Input'!$U$67,0),MAX(MIN(DP$20,'01_Input'!$S$67)-'01_Input'!$R$67,0)*'01_Input'!$U$67))+IF('01_Input'!$X$67="Forfait",IF(DP$20&gt;='01_Input'!$V$67,'01_Input'!$Y$67,0),IF('01_Input'!$X$67="Palier",IF(AND(DP$20&gt;='01_Input'!$V$67,DP$20&lt;'01_Input'!$W$67),'01_Input'!$Y$67,0),MAX(MIN(DP$20,'01_Input'!$W$67)-'01_Input'!$V$67,0)*'01_Input'!$Y$67))+IF('01_Input'!$AB$67="Forfait",IF(DP$20&gt;='01_Input'!$Z$67,'01_Input'!$AC$67,0),IF('01_Input'!$AB$67="Palier",IF(AND(DP$20&gt;='01_Input'!$Z$67,DP$20&lt;'01_Input'!$AA$67),'01_Input'!$AC$67,0),MAX(MIN(DP$20,'01_Input'!$AA$67)-'01_Input'!$Z$67,0)*'01_Input'!$AC$67)))))))))</f>
        <v>0</v>
      </c>
      <c r="DQ35" s="25">
        <f>IF('01_Input'!$C$67="Non",0,MIN('01_Input'!$I$67,MAX('01_Input'!$H$67,IF('01_Input'!$G$67="Résiduel vs Gestion",0,IF('01_Input'!$G$67="Taux Classe sélectionnée",Distrib_Global_Classe_Selectionnee*DQ$20,IF('01_Input'!$G$67="Frais KYC (paliers de 100M€)",MAX(0,Nb_Investisseurs-Nb_KYC_Gratuites_Par_Tranche*(FLOOR(DQ$20/Taille_Tranche_KYC,1)+1))*Cout_Par_KYC_Supplementaire,(IF('01_Input'!$L$67="Forfait",IF(DQ$20&gt;='01_Input'!$J$67,'01_Input'!$M$67,0),IF('01_Input'!$L$67="Palier",IF(AND(DQ$20&gt;='01_Input'!$J$67,DQ$20&lt;'01_Input'!$K$67),'01_Input'!$M$67,0),MAX(MIN(DQ$20,'01_Input'!$K$67)-'01_Input'!$J$67,0)*'01_Input'!$M$67))+IF('01_Input'!$P$67="Forfait",IF(DQ$20&gt;='01_Input'!$N$67,'01_Input'!$Q$67,0),IF('01_Input'!$P$67="Palier",IF(AND(DQ$20&gt;='01_Input'!$N$67,DQ$20&lt;'01_Input'!$O$67),'01_Input'!$Q$67,0),MAX(MIN(DQ$20,'01_Input'!$O$67)-'01_Input'!$N$67,0)*'01_Input'!$Q$67))+IF('01_Input'!$T$67="Forfait",IF(DQ$20&gt;='01_Input'!$R$67,'01_Input'!$U$67,0),IF('01_Input'!$T$67="Palier",IF(AND(DQ$20&gt;='01_Input'!$R$67,DQ$20&lt;'01_Input'!$S$67),'01_Input'!$U$67,0),MAX(MIN(DQ$20,'01_Input'!$S$67)-'01_Input'!$R$67,0)*'01_Input'!$U$67))+IF('01_Input'!$X$67="Forfait",IF(DQ$20&gt;='01_Input'!$V$67,'01_Input'!$Y$67,0),IF('01_Input'!$X$67="Palier",IF(AND(DQ$20&gt;='01_Input'!$V$67,DQ$20&lt;'01_Input'!$W$67),'01_Input'!$Y$67,0),MAX(MIN(DQ$20,'01_Input'!$W$67)-'01_Input'!$V$67,0)*'01_Input'!$Y$67))+IF('01_Input'!$AB$67="Forfait",IF(DQ$20&gt;='01_Input'!$Z$67,'01_Input'!$AC$67,0),IF('01_Input'!$AB$67="Palier",IF(AND(DQ$20&gt;='01_Input'!$Z$67,DQ$20&lt;'01_Input'!$AA$67),'01_Input'!$AC$67,0),MAX(MIN(DQ$20,'01_Input'!$AA$67)-'01_Input'!$Z$67,0)*'01_Input'!$AC$67)))))))))</f>
        <v>0</v>
      </c>
      <c r="DR35" s="25">
        <f>IF('01_Input'!$C$67="Non",0,MIN('01_Input'!$I$67,MAX('01_Input'!$H$67,IF('01_Input'!$G$67="Résiduel vs Gestion",0,IF('01_Input'!$G$67="Taux Classe sélectionnée",Distrib_Global_Classe_Selectionnee*DR$20,IF('01_Input'!$G$67="Frais KYC (paliers de 100M€)",MAX(0,Nb_Investisseurs-Nb_KYC_Gratuites_Par_Tranche*(FLOOR(DR$20/Taille_Tranche_KYC,1)+1))*Cout_Par_KYC_Supplementaire,(IF('01_Input'!$L$67="Forfait",IF(DR$20&gt;='01_Input'!$J$67,'01_Input'!$M$67,0),IF('01_Input'!$L$67="Palier",IF(AND(DR$20&gt;='01_Input'!$J$67,DR$20&lt;'01_Input'!$K$67),'01_Input'!$M$67,0),MAX(MIN(DR$20,'01_Input'!$K$67)-'01_Input'!$J$67,0)*'01_Input'!$M$67))+IF('01_Input'!$P$67="Forfait",IF(DR$20&gt;='01_Input'!$N$67,'01_Input'!$Q$67,0),IF('01_Input'!$P$67="Palier",IF(AND(DR$20&gt;='01_Input'!$N$67,DR$20&lt;'01_Input'!$O$67),'01_Input'!$Q$67,0),MAX(MIN(DR$20,'01_Input'!$O$67)-'01_Input'!$N$67,0)*'01_Input'!$Q$67))+IF('01_Input'!$T$67="Forfait",IF(DR$20&gt;='01_Input'!$R$67,'01_Input'!$U$67,0),IF('01_Input'!$T$67="Palier",IF(AND(DR$20&gt;='01_Input'!$R$67,DR$20&lt;'01_Input'!$S$67),'01_Input'!$U$67,0),MAX(MIN(DR$20,'01_Input'!$S$67)-'01_Input'!$R$67,0)*'01_Input'!$U$67))+IF('01_Input'!$X$67="Forfait",IF(DR$20&gt;='01_Input'!$V$67,'01_Input'!$Y$67,0),IF('01_Input'!$X$67="Palier",IF(AND(DR$20&gt;='01_Input'!$V$67,DR$20&lt;'01_Input'!$W$67),'01_Input'!$Y$67,0),MAX(MIN(DR$20,'01_Input'!$W$67)-'01_Input'!$V$67,0)*'01_Input'!$Y$67))+IF('01_Input'!$AB$67="Forfait",IF(DR$20&gt;='01_Input'!$Z$67,'01_Input'!$AC$67,0),IF('01_Input'!$AB$67="Palier",IF(AND(DR$20&gt;='01_Input'!$Z$67,DR$20&lt;'01_Input'!$AA$67),'01_Input'!$AC$67,0),MAX(MIN(DR$20,'01_Input'!$AA$67)-'01_Input'!$Z$67,0)*'01_Input'!$AC$67)))))))))</f>
        <v>0</v>
      </c>
      <c r="DS35" s="25">
        <f>IF('01_Input'!$C$67="Non",0,MIN('01_Input'!$I$67,MAX('01_Input'!$H$67,IF('01_Input'!$G$67="Résiduel vs Gestion",0,IF('01_Input'!$G$67="Taux Classe sélectionnée",Distrib_Global_Classe_Selectionnee*DS$20,IF('01_Input'!$G$67="Frais KYC (paliers de 100M€)",MAX(0,Nb_Investisseurs-Nb_KYC_Gratuites_Par_Tranche*(FLOOR(DS$20/Taille_Tranche_KYC,1)+1))*Cout_Par_KYC_Supplementaire,(IF('01_Input'!$L$67="Forfait",IF(DS$20&gt;='01_Input'!$J$67,'01_Input'!$M$67,0),IF('01_Input'!$L$67="Palier",IF(AND(DS$20&gt;='01_Input'!$J$67,DS$20&lt;'01_Input'!$K$67),'01_Input'!$M$67,0),MAX(MIN(DS$20,'01_Input'!$K$67)-'01_Input'!$J$67,0)*'01_Input'!$M$67))+IF('01_Input'!$P$67="Forfait",IF(DS$20&gt;='01_Input'!$N$67,'01_Input'!$Q$67,0),IF('01_Input'!$P$67="Palier",IF(AND(DS$20&gt;='01_Input'!$N$67,DS$20&lt;'01_Input'!$O$67),'01_Input'!$Q$67,0),MAX(MIN(DS$20,'01_Input'!$O$67)-'01_Input'!$N$67,0)*'01_Input'!$Q$67))+IF('01_Input'!$T$67="Forfait",IF(DS$20&gt;='01_Input'!$R$67,'01_Input'!$U$67,0),IF('01_Input'!$T$67="Palier",IF(AND(DS$20&gt;='01_Input'!$R$67,DS$20&lt;'01_Input'!$S$67),'01_Input'!$U$67,0),MAX(MIN(DS$20,'01_Input'!$S$67)-'01_Input'!$R$67,0)*'01_Input'!$U$67))+IF('01_Input'!$X$67="Forfait",IF(DS$20&gt;='01_Input'!$V$67,'01_Input'!$Y$67,0),IF('01_Input'!$X$67="Palier",IF(AND(DS$20&gt;='01_Input'!$V$67,DS$20&lt;'01_Input'!$W$67),'01_Input'!$Y$67,0),MAX(MIN(DS$20,'01_Input'!$W$67)-'01_Input'!$V$67,0)*'01_Input'!$Y$67))+IF('01_Input'!$AB$67="Forfait",IF(DS$20&gt;='01_Input'!$Z$67,'01_Input'!$AC$67,0),IF('01_Input'!$AB$67="Palier",IF(AND(DS$20&gt;='01_Input'!$Z$67,DS$20&lt;'01_Input'!$AA$67),'01_Input'!$AC$67,0),MAX(MIN(DS$20,'01_Input'!$AA$67)-'01_Input'!$Z$67,0)*'01_Input'!$AC$67)))))))))</f>
        <v>0</v>
      </c>
      <c r="DT35" s="25">
        <f>IF('01_Input'!$C$67="Non",0,MIN('01_Input'!$I$67,MAX('01_Input'!$H$67,IF('01_Input'!$G$67="Résiduel vs Gestion",0,IF('01_Input'!$G$67="Taux Classe sélectionnée",Distrib_Global_Classe_Selectionnee*DT$20,IF('01_Input'!$G$67="Frais KYC (paliers de 100M€)",MAX(0,Nb_Investisseurs-Nb_KYC_Gratuites_Par_Tranche*(FLOOR(DT$20/Taille_Tranche_KYC,1)+1))*Cout_Par_KYC_Supplementaire,(IF('01_Input'!$L$67="Forfait",IF(DT$20&gt;='01_Input'!$J$67,'01_Input'!$M$67,0),IF('01_Input'!$L$67="Palier",IF(AND(DT$20&gt;='01_Input'!$J$67,DT$20&lt;'01_Input'!$K$67),'01_Input'!$M$67,0),MAX(MIN(DT$20,'01_Input'!$K$67)-'01_Input'!$J$67,0)*'01_Input'!$M$67))+IF('01_Input'!$P$67="Forfait",IF(DT$20&gt;='01_Input'!$N$67,'01_Input'!$Q$67,0),IF('01_Input'!$P$67="Palier",IF(AND(DT$20&gt;='01_Input'!$N$67,DT$20&lt;'01_Input'!$O$67),'01_Input'!$Q$67,0),MAX(MIN(DT$20,'01_Input'!$O$67)-'01_Input'!$N$67,0)*'01_Input'!$Q$67))+IF('01_Input'!$T$67="Forfait",IF(DT$20&gt;='01_Input'!$R$67,'01_Input'!$U$67,0),IF('01_Input'!$T$67="Palier",IF(AND(DT$20&gt;='01_Input'!$R$67,DT$20&lt;'01_Input'!$S$67),'01_Input'!$U$67,0),MAX(MIN(DT$20,'01_Input'!$S$67)-'01_Input'!$R$67,0)*'01_Input'!$U$67))+IF('01_Input'!$X$67="Forfait",IF(DT$20&gt;='01_Input'!$V$67,'01_Input'!$Y$67,0),IF('01_Input'!$X$67="Palier",IF(AND(DT$20&gt;='01_Input'!$V$67,DT$20&lt;'01_Input'!$W$67),'01_Input'!$Y$67,0),MAX(MIN(DT$20,'01_Input'!$W$67)-'01_Input'!$V$67,0)*'01_Input'!$Y$67))+IF('01_Input'!$AB$67="Forfait",IF(DT$20&gt;='01_Input'!$Z$67,'01_Input'!$AC$67,0),IF('01_Input'!$AB$67="Palier",IF(AND(DT$20&gt;='01_Input'!$Z$67,DT$20&lt;'01_Input'!$AA$67),'01_Input'!$AC$67,0),MAX(MIN(DT$20,'01_Input'!$AA$67)-'01_Input'!$Z$67,0)*'01_Input'!$AC$67)))))))))</f>
        <v>0</v>
      </c>
      <c r="DU35" s="25">
        <f>IF('01_Input'!$C$67="Non",0,MIN('01_Input'!$I$67,MAX('01_Input'!$H$67,IF('01_Input'!$G$67="Résiduel vs Gestion",0,IF('01_Input'!$G$67="Taux Classe sélectionnée",Distrib_Global_Classe_Selectionnee*DU$20,IF('01_Input'!$G$67="Frais KYC (paliers de 100M€)",MAX(0,Nb_Investisseurs-Nb_KYC_Gratuites_Par_Tranche*(FLOOR(DU$20/Taille_Tranche_KYC,1)+1))*Cout_Par_KYC_Supplementaire,(IF('01_Input'!$L$67="Forfait",IF(DU$20&gt;='01_Input'!$J$67,'01_Input'!$M$67,0),IF('01_Input'!$L$67="Palier",IF(AND(DU$20&gt;='01_Input'!$J$67,DU$20&lt;'01_Input'!$K$67),'01_Input'!$M$67,0),MAX(MIN(DU$20,'01_Input'!$K$67)-'01_Input'!$J$67,0)*'01_Input'!$M$67))+IF('01_Input'!$P$67="Forfait",IF(DU$20&gt;='01_Input'!$N$67,'01_Input'!$Q$67,0),IF('01_Input'!$P$67="Palier",IF(AND(DU$20&gt;='01_Input'!$N$67,DU$20&lt;'01_Input'!$O$67),'01_Input'!$Q$67,0),MAX(MIN(DU$20,'01_Input'!$O$67)-'01_Input'!$N$67,0)*'01_Input'!$Q$67))+IF('01_Input'!$T$67="Forfait",IF(DU$20&gt;='01_Input'!$R$67,'01_Input'!$U$67,0),IF('01_Input'!$T$67="Palier",IF(AND(DU$20&gt;='01_Input'!$R$67,DU$20&lt;'01_Input'!$S$67),'01_Input'!$U$67,0),MAX(MIN(DU$20,'01_Input'!$S$67)-'01_Input'!$R$67,0)*'01_Input'!$U$67))+IF('01_Input'!$X$67="Forfait",IF(DU$20&gt;='01_Input'!$V$67,'01_Input'!$Y$67,0),IF('01_Input'!$X$67="Palier",IF(AND(DU$20&gt;='01_Input'!$V$67,DU$20&lt;'01_Input'!$W$67),'01_Input'!$Y$67,0),MAX(MIN(DU$20,'01_Input'!$W$67)-'01_Input'!$V$67,0)*'01_Input'!$Y$67))+IF('01_Input'!$AB$67="Forfait",IF(DU$20&gt;='01_Input'!$Z$67,'01_Input'!$AC$67,0),IF('01_Input'!$AB$67="Palier",IF(AND(DU$20&gt;='01_Input'!$Z$67,DU$20&lt;'01_Input'!$AA$67),'01_Input'!$AC$67,0),MAX(MIN(DU$20,'01_Input'!$AA$67)-'01_Input'!$Z$67,0)*'01_Input'!$AC$67)))))))))</f>
        <v>0</v>
      </c>
      <c r="DV35" s="25">
        <f>IF('01_Input'!$C$67="Non",0,MIN('01_Input'!$I$67,MAX('01_Input'!$H$67,IF('01_Input'!$G$67="Résiduel vs Gestion",0,IF('01_Input'!$G$67="Taux Classe sélectionnée",Distrib_Global_Classe_Selectionnee*DV$20,IF('01_Input'!$G$67="Frais KYC (paliers de 100M€)",MAX(0,Nb_Investisseurs-Nb_KYC_Gratuites_Par_Tranche*(FLOOR(DV$20/Taille_Tranche_KYC,1)+1))*Cout_Par_KYC_Supplementaire,(IF('01_Input'!$L$67="Forfait",IF(DV$20&gt;='01_Input'!$J$67,'01_Input'!$M$67,0),IF('01_Input'!$L$67="Palier",IF(AND(DV$20&gt;='01_Input'!$J$67,DV$20&lt;'01_Input'!$K$67),'01_Input'!$M$67,0),MAX(MIN(DV$20,'01_Input'!$K$67)-'01_Input'!$J$67,0)*'01_Input'!$M$67))+IF('01_Input'!$P$67="Forfait",IF(DV$20&gt;='01_Input'!$N$67,'01_Input'!$Q$67,0),IF('01_Input'!$P$67="Palier",IF(AND(DV$20&gt;='01_Input'!$N$67,DV$20&lt;'01_Input'!$O$67),'01_Input'!$Q$67,0),MAX(MIN(DV$20,'01_Input'!$O$67)-'01_Input'!$N$67,0)*'01_Input'!$Q$67))+IF('01_Input'!$T$67="Forfait",IF(DV$20&gt;='01_Input'!$R$67,'01_Input'!$U$67,0),IF('01_Input'!$T$67="Palier",IF(AND(DV$20&gt;='01_Input'!$R$67,DV$20&lt;'01_Input'!$S$67),'01_Input'!$U$67,0),MAX(MIN(DV$20,'01_Input'!$S$67)-'01_Input'!$R$67,0)*'01_Input'!$U$67))+IF('01_Input'!$X$67="Forfait",IF(DV$20&gt;='01_Input'!$V$67,'01_Input'!$Y$67,0),IF('01_Input'!$X$67="Palier",IF(AND(DV$20&gt;='01_Input'!$V$67,DV$20&lt;'01_Input'!$W$67),'01_Input'!$Y$67,0),MAX(MIN(DV$20,'01_Input'!$W$67)-'01_Input'!$V$67,0)*'01_Input'!$Y$67))+IF('01_Input'!$AB$67="Forfait",IF(DV$20&gt;='01_Input'!$Z$67,'01_Input'!$AC$67,0),IF('01_Input'!$AB$67="Palier",IF(AND(DV$20&gt;='01_Input'!$Z$67,DV$20&lt;'01_Input'!$AA$67),'01_Input'!$AC$67,0),MAX(MIN(DV$20,'01_Input'!$AA$67)-'01_Input'!$Z$67,0)*'01_Input'!$AC$67)))))))))</f>
        <v>0</v>
      </c>
      <c r="DW35" s="25">
        <f>IF('01_Input'!$C$67="Non",0,MIN('01_Input'!$I$67,MAX('01_Input'!$H$67,IF('01_Input'!$G$67="Résiduel vs Gestion",0,IF('01_Input'!$G$67="Taux Classe sélectionnée",Distrib_Global_Classe_Selectionnee*DW$20,IF('01_Input'!$G$67="Frais KYC (paliers de 100M€)",MAX(0,Nb_Investisseurs-Nb_KYC_Gratuites_Par_Tranche*(FLOOR(DW$20/Taille_Tranche_KYC,1)+1))*Cout_Par_KYC_Supplementaire,(IF('01_Input'!$L$67="Forfait",IF(DW$20&gt;='01_Input'!$J$67,'01_Input'!$M$67,0),IF('01_Input'!$L$67="Palier",IF(AND(DW$20&gt;='01_Input'!$J$67,DW$20&lt;'01_Input'!$K$67),'01_Input'!$M$67,0),MAX(MIN(DW$20,'01_Input'!$K$67)-'01_Input'!$J$67,0)*'01_Input'!$M$67))+IF('01_Input'!$P$67="Forfait",IF(DW$20&gt;='01_Input'!$N$67,'01_Input'!$Q$67,0),IF('01_Input'!$P$67="Palier",IF(AND(DW$20&gt;='01_Input'!$N$67,DW$20&lt;'01_Input'!$O$67),'01_Input'!$Q$67,0),MAX(MIN(DW$20,'01_Input'!$O$67)-'01_Input'!$N$67,0)*'01_Input'!$Q$67))+IF('01_Input'!$T$67="Forfait",IF(DW$20&gt;='01_Input'!$R$67,'01_Input'!$U$67,0),IF('01_Input'!$T$67="Palier",IF(AND(DW$20&gt;='01_Input'!$R$67,DW$20&lt;'01_Input'!$S$67),'01_Input'!$U$67,0),MAX(MIN(DW$20,'01_Input'!$S$67)-'01_Input'!$R$67,0)*'01_Input'!$U$67))+IF('01_Input'!$X$67="Forfait",IF(DW$20&gt;='01_Input'!$V$67,'01_Input'!$Y$67,0),IF('01_Input'!$X$67="Palier",IF(AND(DW$20&gt;='01_Input'!$V$67,DW$20&lt;'01_Input'!$W$67),'01_Input'!$Y$67,0),MAX(MIN(DW$20,'01_Input'!$W$67)-'01_Input'!$V$67,0)*'01_Input'!$Y$67))+IF('01_Input'!$AB$67="Forfait",IF(DW$20&gt;='01_Input'!$Z$67,'01_Input'!$AC$67,0),IF('01_Input'!$AB$67="Palier",IF(AND(DW$20&gt;='01_Input'!$Z$67,DW$20&lt;'01_Input'!$AA$67),'01_Input'!$AC$67,0),MAX(MIN(DW$20,'01_Input'!$AA$67)-'01_Input'!$Z$67,0)*'01_Input'!$AC$67)))))))))</f>
        <v>0</v>
      </c>
      <c r="DX35" s="25">
        <f>IF('01_Input'!$C$67="Non",0,MIN('01_Input'!$I$67,MAX('01_Input'!$H$67,IF('01_Input'!$G$67="Résiduel vs Gestion",0,IF('01_Input'!$G$67="Taux Classe sélectionnée",Distrib_Global_Classe_Selectionnee*DX$20,IF('01_Input'!$G$67="Frais KYC (paliers de 100M€)",MAX(0,Nb_Investisseurs-Nb_KYC_Gratuites_Par_Tranche*(FLOOR(DX$20/Taille_Tranche_KYC,1)+1))*Cout_Par_KYC_Supplementaire,(IF('01_Input'!$L$67="Forfait",IF(DX$20&gt;='01_Input'!$J$67,'01_Input'!$M$67,0),IF('01_Input'!$L$67="Palier",IF(AND(DX$20&gt;='01_Input'!$J$67,DX$20&lt;'01_Input'!$K$67),'01_Input'!$M$67,0),MAX(MIN(DX$20,'01_Input'!$K$67)-'01_Input'!$J$67,0)*'01_Input'!$M$67))+IF('01_Input'!$P$67="Forfait",IF(DX$20&gt;='01_Input'!$N$67,'01_Input'!$Q$67,0),IF('01_Input'!$P$67="Palier",IF(AND(DX$20&gt;='01_Input'!$N$67,DX$20&lt;'01_Input'!$O$67),'01_Input'!$Q$67,0),MAX(MIN(DX$20,'01_Input'!$O$67)-'01_Input'!$N$67,0)*'01_Input'!$Q$67))+IF('01_Input'!$T$67="Forfait",IF(DX$20&gt;='01_Input'!$R$67,'01_Input'!$U$67,0),IF('01_Input'!$T$67="Palier",IF(AND(DX$20&gt;='01_Input'!$R$67,DX$20&lt;'01_Input'!$S$67),'01_Input'!$U$67,0),MAX(MIN(DX$20,'01_Input'!$S$67)-'01_Input'!$R$67,0)*'01_Input'!$U$67))+IF('01_Input'!$X$67="Forfait",IF(DX$20&gt;='01_Input'!$V$67,'01_Input'!$Y$67,0),IF('01_Input'!$X$67="Palier",IF(AND(DX$20&gt;='01_Input'!$V$67,DX$20&lt;'01_Input'!$W$67),'01_Input'!$Y$67,0),MAX(MIN(DX$20,'01_Input'!$W$67)-'01_Input'!$V$67,0)*'01_Input'!$Y$67))+IF('01_Input'!$AB$67="Forfait",IF(DX$20&gt;='01_Input'!$Z$67,'01_Input'!$AC$67,0),IF('01_Input'!$AB$67="Palier",IF(AND(DX$20&gt;='01_Input'!$Z$67,DX$20&lt;'01_Input'!$AA$67),'01_Input'!$AC$67,0),MAX(MIN(DX$20,'01_Input'!$AA$67)-'01_Input'!$Z$67,0)*'01_Input'!$AC$67)))))))))</f>
        <v>0</v>
      </c>
      <c r="DY35" s="25">
        <f>IF('01_Input'!$C$67="Non",0,MIN('01_Input'!$I$67,MAX('01_Input'!$H$67,IF('01_Input'!$G$67="Résiduel vs Gestion",0,IF('01_Input'!$G$67="Taux Classe sélectionnée",Distrib_Global_Classe_Selectionnee*DY$20,IF('01_Input'!$G$67="Frais KYC (paliers de 100M€)",MAX(0,Nb_Investisseurs-Nb_KYC_Gratuites_Par_Tranche*(FLOOR(DY$20/Taille_Tranche_KYC,1)+1))*Cout_Par_KYC_Supplementaire,(IF('01_Input'!$L$67="Forfait",IF(DY$20&gt;='01_Input'!$J$67,'01_Input'!$M$67,0),IF('01_Input'!$L$67="Palier",IF(AND(DY$20&gt;='01_Input'!$J$67,DY$20&lt;'01_Input'!$K$67),'01_Input'!$M$67,0),MAX(MIN(DY$20,'01_Input'!$K$67)-'01_Input'!$J$67,0)*'01_Input'!$M$67))+IF('01_Input'!$P$67="Forfait",IF(DY$20&gt;='01_Input'!$N$67,'01_Input'!$Q$67,0),IF('01_Input'!$P$67="Palier",IF(AND(DY$20&gt;='01_Input'!$N$67,DY$20&lt;'01_Input'!$O$67),'01_Input'!$Q$67,0),MAX(MIN(DY$20,'01_Input'!$O$67)-'01_Input'!$N$67,0)*'01_Input'!$Q$67))+IF('01_Input'!$T$67="Forfait",IF(DY$20&gt;='01_Input'!$R$67,'01_Input'!$U$67,0),IF('01_Input'!$T$67="Palier",IF(AND(DY$20&gt;='01_Input'!$R$67,DY$20&lt;'01_Input'!$S$67),'01_Input'!$U$67,0),MAX(MIN(DY$20,'01_Input'!$S$67)-'01_Input'!$R$67,0)*'01_Input'!$U$67))+IF('01_Input'!$X$67="Forfait",IF(DY$20&gt;='01_Input'!$V$67,'01_Input'!$Y$67,0),IF('01_Input'!$X$67="Palier",IF(AND(DY$20&gt;='01_Input'!$V$67,DY$20&lt;'01_Input'!$W$67),'01_Input'!$Y$67,0),MAX(MIN(DY$20,'01_Input'!$W$67)-'01_Input'!$V$67,0)*'01_Input'!$Y$67))+IF('01_Input'!$AB$67="Forfait",IF(DY$20&gt;='01_Input'!$Z$67,'01_Input'!$AC$67,0),IF('01_Input'!$AB$67="Palier",IF(AND(DY$20&gt;='01_Input'!$Z$67,DY$20&lt;'01_Input'!$AA$67),'01_Input'!$AC$67,0),MAX(MIN(DY$20,'01_Input'!$AA$67)-'01_Input'!$Z$67,0)*'01_Input'!$AC$67)))))))))</f>
        <v>0</v>
      </c>
      <c r="DZ35" s="25">
        <f>IF('01_Input'!$C$67="Non",0,MIN('01_Input'!$I$67,MAX('01_Input'!$H$67,IF('01_Input'!$G$67="Résiduel vs Gestion",0,IF('01_Input'!$G$67="Taux Classe sélectionnée",Distrib_Global_Classe_Selectionnee*DZ$20,IF('01_Input'!$G$67="Frais KYC (paliers de 100M€)",MAX(0,Nb_Investisseurs-Nb_KYC_Gratuites_Par_Tranche*(FLOOR(DZ$20/Taille_Tranche_KYC,1)+1))*Cout_Par_KYC_Supplementaire,(IF('01_Input'!$L$67="Forfait",IF(DZ$20&gt;='01_Input'!$J$67,'01_Input'!$M$67,0),IF('01_Input'!$L$67="Palier",IF(AND(DZ$20&gt;='01_Input'!$J$67,DZ$20&lt;'01_Input'!$K$67),'01_Input'!$M$67,0),MAX(MIN(DZ$20,'01_Input'!$K$67)-'01_Input'!$J$67,0)*'01_Input'!$M$67))+IF('01_Input'!$P$67="Forfait",IF(DZ$20&gt;='01_Input'!$N$67,'01_Input'!$Q$67,0),IF('01_Input'!$P$67="Palier",IF(AND(DZ$20&gt;='01_Input'!$N$67,DZ$20&lt;'01_Input'!$O$67),'01_Input'!$Q$67,0),MAX(MIN(DZ$20,'01_Input'!$O$67)-'01_Input'!$N$67,0)*'01_Input'!$Q$67))+IF('01_Input'!$T$67="Forfait",IF(DZ$20&gt;='01_Input'!$R$67,'01_Input'!$U$67,0),IF('01_Input'!$T$67="Palier",IF(AND(DZ$20&gt;='01_Input'!$R$67,DZ$20&lt;'01_Input'!$S$67),'01_Input'!$U$67,0),MAX(MIN(DZ$20,'01_Input'!$S$67)-'01_Input'!$R$67,0)*'01_Input'!$U$67))+IF('01_Input'!$X$67="Forfait",IF(DZ$20&gt;='01_Input'!$V$67,'01_Input'!$Y$67,0),IF('01_Input'!$X$67="Palier",IF(AND(DZ$20&gt;='01_Input'!$V$67,DZ$20&lt;'01_Input'!$W$67),'01_Input'!$Y$67,0),MAX(MIN(DZ$20,'01_Input'!$W$67)-'01_Input'!$V$67,0)*'01_Input'!$Y$67))+IF('01_Input'!$AB$67="Forfait",IF(DZ$20&gt;='01_Input'!$Z$67,'01_Input'!$AC$67,0),IF('01_Input'!$AB$67="Palier",IF(AND(DZ$20&gt;='01_Input'!$Z$67,DZ$20&lt;'01_Input'!$AA$67),'01_Input'!$AC$67,0),MAX(MIN(DZ$20,'01_Input'!$AA$67)-'01_Input'!$Z$67,0)*'01_Input'!$AC$67)))))))))</f>
        <v>0</v>
      </c>
      <c r="EA35" s="25">
        <f>IF('01_Input'!$C$67="Non",0,MIN('01_Input'!$I$67,MAX('01_Input'!$H$67,IF('01_Input'!$G$67="Résiduel vs Gestion",0,IF('01_Input'!$G$67="Taux Classe sélectionnée",Distrib_Global_Classe_Selectionnee*EA$20,IF('01_Input'!$G$67="Frais KYC (paliers de 100M€)",MAX(0,Nb_Investisseurs-Nb_KYC_Gratuites_Par_Tranche*(FLOOR(EA$20/Taille_Tranche_KYC,1)+1))*Cout_Par_KYC_Supplementaire,(IF('01_Input'!$L$67="Forfait",IF(EA$20&gt;='01_Input'!$J$67,'01_Input'!$M$67,0),IF('01_Input'!$L$67="Palier",IF(AND(EA$20&gt;='01_Input'!$J$67,EA$20&lt;'01_Input'!$K$67),'01_Input'!$M$67,0),MAX(MIN(EA$20,'01_Input'!$K$67)-'01_Input'!$J$67,0)*'01_Input'!$M$67))+IF('01_Input'!$P$67="Forfait",IF(EA$20&gt;='01_Input'!$N$67,'01_Input'!$Q$67,0),IF('01_Input'!$P$67="Palier",IF(AND(EA$20&gt;='01_Input'!$N$67,EA$20&lt;'01_Input'!$O$67),'01_Input'!$Q$67,0),MAX(MIN(EA$20,'01_Input'!$O$67)-'01_Input'!$N$67,0)*'01_Input'!$Q$67))+IF('01_Input'!$T$67="Forfait",IF(EA$20&gt;='01_Input'!$R$67,'01_Input'!$U$67,0),IF('01_Input'!$T$67="Palier",IF(AND(EA$20&gt;='01_Input'!$R$67,EA$20&lt;'01_Input'!$S$67),'01_Input'!$U$67,0),MAX(MIN(EA$20,'01_Input'!$S$67)-'01_Input'!$R$67,0)*'01_Input'!$U$67))+IF('01_Input'!$X$67="Forfait",IF(EA$20&gt;='01_Input'!$V$67,'01_Input'!$Y$67,0),IF('01_Input'!$X$67="Palier",IF(AND(EA$20&gt;='01_Input'!$V$67,EA$20&lt;'01_Input'!$W$67),'01_Input'!$Y$67,0),MAX(MIN(EA$20,'01_Input'!$W$67)-'01_Input'!$V$67,0)*'01_Input'!$Y$67))+IF('01_Input'!$AB$67="Forfait",IF(EA$20&gt;='01_Input'!$Z$67,'01_Input'!$AC$67,0),IF('01_Input'!$AB$67="Palier",IF(AND(EA$20&gt;='01_Input'!$Z$67,EA$20&lt;'01_Input'!$AA$67),'01_Input'!$AC$67,0),MAX(MIN(EA$20,'01_Input'!$AA$67)-'01_Input'!$Z$67,0)*'01_Input'!$AC$67)))))))))</f>
        <v>0</v>
      </c>
      <c r="EB35" s="25">
        <f>IF('01_Input'!$C$67="Non",0,MIN('01_Input'!$I$67,MAX('01_Input'!$H$67,IF('01_Input'!$G$67="Résiduel vs Gestion",0,IF('01_Input'!$G$67="Taux Classe sélectionnée",Distrib_Global_Classe_Selectionnee*EB$20,IF('01_Input'!$G$67="Frais KYC (paliers de 100M€)",MAX(0,Nb_Investisseurs-Nb_KYC_Gratuites_Par_Tranche*(FLOOR(EB$20/Taille_Tranche_KYC,1)+1))*Cout_Par_KYC_Supplementaire,(IF('01_Input'!$L$67="Forfait",IF(EB$20&gt;='01_Input'!$J$67,'01_Input'!$M$67,0),IF('01_Input'!$L$67="Palier",IF(AND(EB$20&gt;='01_Input'!$J$67,EB$20&lt;'01_Input'!$K$67),'01_Input'!$M$67,0),MAX(MIN(EB$20,'01_Input'!$K$67)-'01_Input'!$J$67,0)*'01_Input'!$M$67))+IF('01_Input'!$P$67="Forfait",IF(EB$20&gt;='01_Input'!$N$67,'01_Input'!$Q$67,0),IF('01_Input'!$P$67="Palier",IF(AND(EB$20&gt;='01_Input'!$N$67,EB$20&lt;'01_Input'!$O$67),'01_Input'!$Q$67,0),MAX(MIN(EB$20,'01_Input'!$O$67)-'01_Input'!$N$67,0)*'01_Input'!$Q$67))+IF('01_Input'!$T$67="Forfait",IF(EB$20&gt;='01_Input'!$R$67,'01_Input'!$U$67,0),IF('01_Input'!$T$67="Palier",IF(AND(EB$20&gt;='01_Input'!$R$67,EB$20&lt;'01_Input'!$S$67),'01_Input'!$U$67,0),MAX(MIN(EB$20,'01_Input'!$S$67)-'01_Input'!$R$67,0)*'01_Input'!$U$67))+IF('01_Input'!$X$67="Forfait",IF(EB$20&gt;='01_Input'!$V$67,'01_Input'!$Y$67,0),IF('01_Input'!$X$67="Palier",IF(AND(EB$20&gt;='01_Input'!$V$67,EB$20&lt;'01_Input'!$W$67),'01_Input'!$Y$67,0),MAX(MIN(EB$20,'01_Input'!$W$67)-'01_Input'!$V$67,0)*'01_Input'!$Y$67))+IF('01_Input'!$AB$67="Forfait",IF(EB$20&gt;='01_Input'!$Z$67,'01_Input'!$AC$67,0),IF('01_Input'!$AB$67="Palier",IF(AND(EB$20&gt;='01_Input'!$Z$67,EB$20&lt;'01_Input'!$AA$67),'01_Input'!$AC$67,0),MAX(MIN(EB$20,'01_Input'!$AA$67)-'01_Input'!$Z$67,0)*'01_Input'!$AC$67)))))))))</f>
        <v>0</v>
      </c>
      <c r="EC35" s="25">
        <f>IF('01_Input'!$C$67="Non",0,MIN('01_Input'!$I$67,MAX('01_Input'!$H$67,IF('01_Input'!$G$67="Résiduel vs Gestion",0,IF('01_Input'!$G$67="Taux Classe sélectionnée",Distrib_Global_Classe_Selectionnee*EC$20,IF('01_Input'!$G$67="Frais KYC (paliers de 100M€)",MAX(0,Nb_Investisseurs-Nb_KYC_Gratuites_Par_Tranche*(FLOOR(EC$20/Taille_Tranche_KYC,1)+1))*Cout_Par_KYC_Supplementaire,(IF('01_Input'!$L$67="Forfait",IF(EC$20&gt;='01_Input'!$J$67,'01_Input'!$M$67,0),IF('01_Input'!$L$67="Palier",IF(AND(EC$20&gt;='01_Input'!$J$67,EC$20&lt;'01_Input'!$K$67),'01_Input'!$M$67,0),MAX(MIN(EC$20,'01_Input'!$K$67)-'01_Input'!$J$67,0)*'01_Input'!$M$67))+IF('01_Input'!$P$67="Forfait",IF(EC$20&gt;='01_Input'!$N$67,'01_Input'!$Q$67,0),IF('01_Input'!$P$67="Palier",IF(AND(EC$20&gt;='01_Input'!$N$67,EC$20&lt;'01_Input'!$O$67),'01_Input'!$Q$67,0),MAX(MIN(EC$20,'01_Input'!$O$67)-'01_Input'!$N$67,0)*'01_Input'!$Q$67))+IF('01_Input'!$T$67="Forfait",IF(EC$20&gt;='01_Input'!$R$67,'01_Input'!$U$67,0),IF('01_Input'!$T$67="Palier",IF(AND(EC$20&gt;='01_Input'!$R$67,EC$20&lt;'01_Input'!$S$67),'01_Input'!$U$67,0),MAX(MIN(EC$20,'01_Input'!$S$67)-'01_Input'!$R$67,0)*'01_Input'!$U$67))+IF('01_Input'!$X$67="Forfait",IF(EC$20&gt;='01_Input'!$V$67,'01_Input'!$Y$67,0),IF('01_Input'!$X$67="Palier",IF(AND(EC$20&gt;='01_Input'!$V$67,EC$20&lt;'01_Input'!$W$67),'01_Input'!$Y$67,0),MAX(MIN(EC$20,'01_Input'!$W$67)-'01_Input'!$V$67,0)*'01_Input'!$Y$67))+IF('01_Input'!$AB$67="Forfait",IF(EC$20&gt;='01_Input'!$Z$67,'01_Input'!$AC$67,0),IF('01_Input'!$AB$67="Palier",IF(AND(EC$20&gt;='01_Input'!$Z$67,EC$20&lt;'01_Input'!$AA$67),'01_Input'!$AC$67,0),MAX(MIN(EC$20,'01_Input'!$AA$67)-'01_Input'!$Z$67,0)*'01_Input'!$AC$67)))))))))</f>
        <v>0</v>
      </c>
      <c r="ED35" s="25">
        <f>IF('01_Input'!$C$67="Non",0,MIN('01_Input'!$I$67,MAX('01_Input'!$H$67,IF('01_Input'!$G$67="Résiduel vs Gestion",0,IF('01_Input'!$G$67="Taux Classe sélectionnée",Distrib_Global_Classe_Selectionnee*ED$20,IF('01_Input'!$G$67="Frais KYC (paliers de 100M€)",MAX(0,Nb_Investisseurs-Nb_KYC_Gratuites_Par_Tranche*(FLOOR(ED$20/Taille_Tranche_KYC,1)+1))*Cout_Par_KYC_Supplementaire,(IF('01_Input'!$L$67="Forfait",IF(ED$20&gt;='01_Input'!$J$67,'01_Input'!$M$67,0),IF('01_Input'!$L$67="Palier",IF(AND(ED$20&gt;='01_Input'!$J$67,ED$20&lt;'01_Input'!$K$67),'01_Input'!$M$67,0),MAX(MIN(ED$20,'01_Input'!$K$67)-'01_Input'!$J$67,0)*'01_Input'!$M$67))+IF('01_Input'!$P$67="Forfait",IF(ED$20&gt;='01_Input'!$N$67,'01_Input'!$Q$67,0),IF('01_Input'!$P$67="Palier",IF(AND(ED$20&gt;='01_Input'!$N$67,ED$20&lt;'01_Input'!$O$67),'01_Input'!$Q$67,0),MAX(MIN(ED$20,'01_Input'!$O$67)-'01_Input'!$N$67,0)*'01_Input'!$Q$67))+IF('01_Input'!$T$67="Forfait",IF(ED$20&gt;='01_Input'!$R$67,'01_Input'!$U$67,0),IF('01_Input'!$T$67="Palier",IF(AND(ED$20&gt;='01_Input'!$R$67,ED$20&lt;'01_Input'!$S$67),'01_Input'!$U$67,0),MAX(MIN(ED$20,'01_Input'!$S$67)-'01_Input'!$R$67,0)*'01_Input'!$U$67))+IF('01_Input'!$X$67="Forfait",IF(ED$20&gt;='01_Input'!$V$67,'01_Input'!$Y$67,0),IF('01_Input'!$X$67="Palier",IF(AND(ED$20&gt;='01_Input'!$V$67,ED$20&lt;'01_Input'!$W$67),'01_Input'!$Y$67,0),MAX(MIN(ED$20,'01_Input'!$W$67)-'01_Input'!$V$67,0)*'01_Input'!$Y$67))+IF('01_Input'!$AB$67="Forfait",IF(ED$20&gt;='01_Input'!$Z$67,'01_Input'!$AC$67,0),IF('01_Input'!$AB$67="Palier",IF(AND(ED$20&gt;='01_Input'!$Z$67,ED$20&lt;'01_Input'!$AA$67),'01_Input'!$AC$67,0),MAX(MIN(ED$20,'01_Input'!$AA$67)-'01_Input'!$Z$67,0)*'01_Input'!$AC$67)))))))))</f>
        <v>0</v>
      </c>
      <c r="EE35" s="25">
        <f>IF('01_Input'!$C$67="Non",0,MIN('01_Input'!$I$67,MAX('01_Input'!$H$67,IF('01_Input'!$G$67="Résiduel vs Gestion",0,IF('01_Input'!$G$67="Taux Classe sélectionnée",Distrib_Global_Classe_Selectionnee*EE$20,IF('01_Input'!$G$67="Frais KYC (paliers de 100M€)",MAX(0,Nb_Investisseurs-Nb_KYC_Gratuites_Par_Tranche*(FLOOR(EE$20/Taille_Tranche_KYC,1)+1))*Cout_Par_KYC_Supplementaire,(IF('01_Input'!$L$67="Forfait",IF(EE$20&gt;='01_Input'!$J$67,'01_Input'!$M$67,0),IF('01_Input'!$L$67="Palier",IF(AND(EE$20&gt;='01_Input'!$J$67,EE$20&lt;'01_Input'!$K$67),'01_Input'!$M$67,0),MAX(MIN(EE$20,'01_Input'!$K$67)-'01_Input'!$J$67,0)*'01_Input'!$M$67))+IF('01_Input'!$P$67="Forfait",IF(EE$20&gt;='01_Input'!$N$67,'01_Input'!$Q$67,0),IF('01_Input'!$P$67="Palier",IF(AND(EE$20&gt;='01_Input'!$N$67,EE$20&lt;'01_Input'!$O$67),'01_Input'!$Q$67,0),MAX(MIN(EE$20,'01_Input'!$O$67)-'01_Input'!$N$67,0)*'01_Input'!$Q$67))+IF('01_Input'!$T$67="Forfait",IF(EE$20&gt;='01_Input'!$R$67,'01_Input'!$U$67,0),IF('01_Input'!$T$67="Palier",IF(AND(EE$20&gt;='01_Input'!$R$67,EE$20&lt;'01_Input'!$S$67),'01_Input'!$U$67,0),MAX(MIN(EE$20,'01_Input'!$S$67)-'01_Input'!$R$67,0)*'01_Input'!$U$67))+IF('01_Input'!$X$67="Forfait",IF(EE$20&gt;='01_Input'!$V$67,'01_Input'!$Y$67,0),IF('01_Input'!$X$67="Palier",IF(AND(EE$20&gt;='01_Input'!$V$67,EE$20&lt;'01_Input'!$W$67),'01_Input'!$Y$67,0),MAX(MIN(EE$20,'01_Input'!$W$67)-'01_Input'!$V$67,0)*'01_Input'!$Y$67))+IF('01_Input'!$AB$67="Forfait",IF(EE$20&gt;='01_Input'!$Z$67,'01_Input'!$AC$67,0),IF('01_Input'!$AB$67="Palier",IF(AND(EE$20&gt;='01_Input'!$Z$67,EE$20&lt;'01_Input'!$AA$67),'01_Input'!$AC$67,0),MAX(MIN(EE$20,'01_Input'!$AA$67)-'01_Input'!$Z$67,0)*'01_Input'!$AC$67)))))))))</f>
        <v>0</v>
      </c>
      <c r="EF35" s="25">
        <f>IF('01_Input'!$C$67="Non",0,MIN('01_Input'!$I$67,MAX('01_Input'!$H$67,IF('01_Input'!$G$67="Résiduel vs Gestion",0,IF('01_Input'!$G$67="Taux Classe sélectionnée",Distrib_Global_Classe_Selectionnee*EF$20,IF('01_Input'!$G$67="Frais KYC (paliers de 100M€)",MAX(0,Nb_Investisseurs-Nb_KYC_Gratuites_Par_Tranche*(FLOOR(EF$20/Taille_Tranche_KYC,1)+1))*Cout_Par_KYC_Supplementaire,(IF('01_Input'!$L$67="Forfait",IF(EF$20&gt;='01_Input'!$J$67,'01_Input'!$M$67,0),IF('01_Input'!$L$67="Palier",IF(AND(EF$20&gt;='01_Input'!$J$67,EF$20&lt;'01_Input'!$K$67),'01_Input'!$M$67,0),MAX(MIN(EF$20,'01_Input'!$K$67)-'01_Input'!$J$67,0)*'01_Input'!$M$67))+IF('01_Input'!$P$67="Forfait",IF(EF$20&gt;='01_Input'!$N$67,'01_Input'!$Q$67,0),IF('01_Input'!$P$67="Palier",IF(AND(EF$20&gt;='01_Input'!$N$67,EF$20&lt;'01_Input'!$O$67),'01_Input'!$Q$67,0),MAX(MIN(EF$20,'01_Input'!$O$67)-'01_Input'!$N$67,0)*'01_Input'!$Q$67))+IF('01_Input'!$T$67="Forfait",IF(EF$20&gt;='01_Input'!$R$67,'01_Input'!$U$67,0),IF('01_Input'!$T$67="Palier",IF(AND(EF$20&gt;='01_Input'!$R$67,EF$20&lt;'01_Input'!$S$67),'01_Input'!$U$67,0),MAX(MIN(EF$20,'01_Input'!$S$67)-'01_Input'!$R$67,0)*'01_Input'!$U$67))+IF('01_Input'!$X$67="Forfait",IF(EF$20&gt;='01_Input'!$V$67,'01_Input'!$Y$67,0),IF('01_Input'!$X$67="Palier",IF(AND(EF$20&gt;='01_Input'!$V$67,EF$20&lt;'01_Input'!$W$67),'01_Input'!$Y$67,0),MAX(MIN(EF$20,'01_Input'!$W$67)-'01_Input'!$V$67,0)*'01_Input'!$Y$67))+IF('01_Input'!$AB$67="Forfait",IF(EF$20&gt;='01_Input'!$Z$67,'01_Input'!$AC$67,0),IF('01_Input'!$AB$67="Palier",IF(AND(EF$20&gt;='01_Input'!$Z$67,EF$20&lt;'01_Input'!$AA$67),'01_Input'!$AC$67,0),MAX(MIN(EF$20,'01_Input'!$AA$67)-'01_Input'!$Z$67,0)*'01_Input'!$AC$67)))))))))</f>
        <v>0</v>
      </c>
      <c r="EG35" s="25">
        <f>IF('01_Input'!$C$67="Non",0,MIN('01_Input'!$I$67,MAX('01_Input'!$H$67,IF('01_Input'!$G$67="Résiduel vs Gestion",0,IF('01_Input'!$G$67="Taux Classe sélectionnée",Distrib_Global_Classe_Selectionnee*EG$20,IF('01_Input'!$G$67="Frais KYC (paliers de 100M€)",MAX(0,Nb_Investisseurs-Nb_KYC_Gratuites_Par_Tranche*(FLOOR(EG$20/Taille_Tranche_KYC,1)+1))*Cout_Par_KYC_Supplementaire,(IF('01_Input'!$L$67="Forfait",IF(EG$20&gt;='01_Input'!$J$67,'01_Input'!$M$67,0),IF('01_Input'!$L$67="Palier",IF(AND(EG$20&gt;='01_Input'!$J$67,EG$20&lt;'01_Input'!$K$67),'01_Input'!$M$67,0),MAX(MIN(EG$20,'01_Input'!$K$67)-'01_Input'!$J$67,0)*'01_Input'!$M$67))+IF('01_Input'!$P$67="Forfait",IF(EG$20&gt;='01_Input'!$N$67,'01_Input'!$Q$67,0),IF('01_Input'!$P$67="Palier",IF(AND(EG$20&gt;='01_Input'!$N$67,EG$20&lt;'01_Input'!$O$67),'01_Input'!$Q$67,0),MAX(MIN(EG$20,'01_Input'!$O$67)-'01_Input'!$N$67,0)*'01_Input'!$Q$67))+IF('01_Input'!$T$67="Forfait",IF(EG$20&gt;='01_Input'!$R$67,'01_Input'!$U$67,0),IF('01_Input'!$T$67="Palier",IF(AND(EG$20&gt;='01_Input'!$R$67,EG$20&lt;'01_Input'!$S$67),'01_Input'!$U$67,0),MAX(MIN(EG$20,'01_Input'!$S$67)-'01_Input'!$R$67,0)*'01_Input'!$U$67))+IF('01_Input'!$X$67="Forfait",IF(EG$20&gt;='01_Input'!$V$67,'01_Input'!$Y$67,0),IF('01_Input'!$X$67="Palier",IF(AND(EG$20&gt;='01_Input'!$V$67,EG$20&lt;'01_Input'!$W$67),'01_Input'!$Y$67,0),MAX(MIN(EG$20,'01_Input'!$W$67)-'01_Input'!$V$67,0)*'01_Input'!$Y$67))+IF('01_Input'!$AB$67="Forfait",IF(EG$20&gt;='01_Input'!$Z$67,'01_Input'!$AC$67,0),IF('01_Input'!$AB$67="Palier",IF(AND(EG$20&gt;='01_Input'!$Z$67,EG$20&lt;'01_Input'!$AA$67),'01_Input'!$AC$67,0),MAX(MIN(EG$20,'01_Input'!$AA$67)-'01_Input'!$Z$67,0)*'01_Input'!$AC$67)))))))))</f>
        <v>0</v>
      </c>
      <c r="EH35" s="25">
        <f>IF('01_Input'!$C$67="Non",0,MIN('01_Input'!$I$67,MAX('01_Input'!$H$67,IF('01_Input'!$G$67="Résiduel vs Gestion",0,IF('01_Input'!$G$67="Taux Classe sélectionnée",Distrib_Global_Classe_Selectionnee*EH$20,IF('01_Input'!$G$67="Frais KYC (paliers de 100M€)",MAX(0,Nb_Investisseurs-Nb_KYC_Gratuites_Par_Tranche*(FLOOR(EH$20/Taille_Tranche_KYC,1)+1))*Cout_Par_KYC_Supplementaire,(IF('01_Input'!$L$67="Forfait",IF(EH$20&gt;='01_Input'!$J$67,'01_Input'!$M$67,0),IF('01_Input'!$L$67="Palier",IF(AND(EH$20&gt;='01_Input'!$J$67,EH$20&lt;'01_Input'!$K$67),'01_Input'!$M$67,0),MAX(MIN(EH$20,'01_Input'!$K$67)-'01_Input'!$J$67,0)*'01_Input'!$M$67))+IF('01_Input'!$P$67="Forfait",IF(EH$20&gt;='01_Input'!$N$67,'01_Input'!$Q$67,0),IF('01_Input'!$P$67="Palier",IF(AND(EH$20&gt;='01_Input'!$N$67,EH$20&lt;'01_Input'!$O$67),'01_Input'!$Q$67,0),MAX(MIN(EH$20,'01_Input'!$O$67)-'01_Input'!$N$67,0)*'01_Input'!$Q$67))+IF('01_Input'!$T$67="Forfait",IF(EH$20&gt;='01_Input'!$R$67,'01_Input'!$U$67,0),IF('01_Input'!$T$67="Palier",IF(AND(EH$20&gt;='01_Input'!$R$67,EH$20&lt;'01_Input'!$S$67),'01_Input'!$U$67,0),MAX(MIN(EH$20,'01_Input'!$S$67)-'01_Input'!$R$67,0)*'01_Input'!$U$67))+IF('01_Input'!$X$67="Forfait",IF(EH$20&gt;='01_Input'!$V$67,'01_Input'!$Y$67,0),IF('01_Input'!$X$67="Palier",IF(AND(EH$20&gt;='01_Input'!$V$67,EH$20&lt;'01_Input'!$W$67),'01_Input'!$Y$67,0),MAX(MIN(EH$20,'01_Input'!$W$67)-'01_Input'!$V$67,0)*'01_Input'!$Y$67))+IF('01_Input'!$AB$67="Forfait",IF(EH$20&gt;='01_Input'!$Z$67,'01_Input'!$AC$67,0),IF('01_Input'!$AB$67="Palier",IF(AND(EH$20&gt;='01_Input'!$Z$67,EH$20&lt;'01_Input'!$AA$67),'01_Input'!$AC$67,0),MAX(MIN(EH$20,'01_Input'!$AA$67)-'01_Input'!$Z$67,0)*'01_Input'!$AC$67)))))))))</f>
        <v>0</v>
      </c>
      <c r="EI35" s="25">
        <f>IF('01_Input'!$C$67="Non",0,MIN('01_Input'!$I$67,MAX('01_Input'!$H$67,IF('01_Input'!$G$67="Résiduel vs Gestion",0,IF('01_Input'!$G$67="Taux Classe sélectionnée",Distrib_Global_Classe_Selectionnee*EI$20,IF('01_Input'!$G$67="Frais KYC (paliers de 100M€)",MAX(0,Nb_Investisseurs-Nb_KYC_Gratuites_Par_Tranche*(FLOOR(EI$20/Taille_Tranche_KYC,1)+1))*Cout_Par_KYC_Supplementaire,(IF('01_Input'!$L$67="Forfait",IF(EI$20&gt;='01_Input'!$J$67,'01_Input'!$M$67,0),IF('01_Input'!$L$67="Palier",IF(AND(EI$20&gt;='01_Input'!$J$67,EI$20&lt;'01_Input'!$K$67),'01_Input'!$M$67,0),MAX(MIN(EI$20,'01_Input'!$K$67)-'01_Input'!$J$67,0)*'01_Input'!$M$67))+IF('01_Input'!$P$67="Forfait",IF(EI$20&gt;='01_Input'!$N$67,'01_Input'!$Q$67,0),IF('01_Input'!$P$67="Palier",IF(AND(EI$20&gt;='01_Input'!$N$67,EI$20&lt;'01_Input'!$O$67),'01_Input'!$Q$67,0),MAX(MIN(EI$20,'01_Input'!$O$67)-'01_Input'!$N$67,0)*'01_Input'!$Q$67))+IF('01_Input'!$T$67="Forfait",IF(EI$20&gt;='01_Input'!$R$67,'01_Input'!$U$67,0),IF('01_Input'!$T$67="Palier",IF(AND(EI$20&gt;='01_Input'!$R$67,EI$20&lt;'01_Input'!$S$67),'01_Input'!$U$67,0),MAX(MIN(EI$20,'01_Input'!$S$67)-'01_Input'!$R$67,0)*'01_Input'!$U$67))+IF('01_Input'!$X$67="Forfait",IF(EI$20&gt;='01_Input'!$V$67,'01_Input'!$Y$67,0),IF('01_Input'!$X$67="Palier",IF(AND(EI$20&gt;='01_Input'!$V$67,EI$20&lt;'01_Input'!$W$67),'01_Input'!$Y$67,0),MAX(MIN(EI$20,'01_Input'!$W$67)-'01_Input'!$V$67,0)*'01_Input'!$Y$67))+IF('01_Input'!$AB$67="Forfait",IF(EI$20&gt;='01_Input'!$Z$67,'01_Input'!$AC$67,0),IF('01_Input'!$AB$67="Palier",IF(AND(EI$20&gt;='01_Input'!$Z$67,EI$20&lt;'01_Input'!$AA$67),'01_Input'!$AC$67,0),MAX(MIN(EI$20,'01_Input'!$AA$67)-'01_Input'!$Z$67,0)*'01_Input'!$AC$67)))))))))</f>
        <v>0</v>
      </c>
      <c r="EJ35" s="25">
        <f>IF('01_Input'!$C$67="Non",0,MIN('01_Input'!$I$67,MAX('01_Input'!$H$67,IF('01_Input'!$G$67="Résiduel vs Gestion",0,IF('01_Input'!$G$67="Taux Classe sélectionnée",Distrib_Global_Classe_Selectionnee*EJ$20,IF('01_Input'!$G$67="Frais KYC (paliers de 100M€)",MAX(0,Nb_Investisseurs-Nb_KYC_Gratuites_Par_Tranche*(FLOOR(EJ$20/Taille_Tranche_KYC,1)+1))*Cout_Par_KYC_Supplementaire,(IF('01_Input'!$L$67="Forfait",IF(EJ$20&gt;='01_Input'!$J$67,'01_Input'!$M$67,0),IF('01_Input'!$L$67="Palier",IF(AND(EJ$20&gt;='01_Input'!$J$67,EJ$20&lt;'01_Input'!$K$67),'01_Input'!$M$67,0),MAX(MIN(EJ$20,'01_Input'!$K$67)-'01_Input'!$J$67,0)*'01_Input'!$M$67))+IF('01_Input'!$P$67="Forfait",IF(EJ$20&gt;='01_Input'!$N$67,'01_Input'!$Q$67,0),IF('01_Input'!$P$67="Palier",IF(AND(EJ$20&gt;='01_Input'!$N$67,EJ$20&lt;'01_Input'!$O$67),'01_Input'!$Q$67,0),MAX(MIN(EJ$20,'01_Input'!$O$67)-'01_Input'!$N$67,0)*'01_Input'!$Q$67))+IF('01_Input'!$T$67="Forfait",IF(EJ$20&gt;='01_Input'!$R$67,'01_Input'!$U$67,0),IF('01_Input'!$T$67="Palier",IF(AND(EJ$20&gt;='01_Input'!$R$67,EJ$20&lt;'01_Input'!$S$67),'01_Input'!$U$67,0),MAX(MIN(EJ$20,'01_Input'!$S$67)-'01_Input'!$R$67,0)*'01_Input'!$U$67))+IF('01_Input'!$X$67="Forfait",IF(EJ$20&gt;='01_Input'!$V$67,'01_Input'!$Y$67,0),IF('01_Input'!$X$67="Palier",IF(AND(EJ$20&gt;='01_Input'!$V$67,EJ$20&lt;'01_Input'!$W$67),'01_Input'!$Y$67,0),MAX(MIN(EJ$20,'01_Input'!$W$67)-'01_Input'!$V$67,0)*'01_Input'!$Y$67))+IF('01_Input'!$AB$67="Forfait",IF(EJ$20&gt;='01_Input'!$Z$67,'01_Input'!$AC$67,0),IF('01_Input'!$AB$67="Palier",IF(AND(EJ$20&gt;='01_Input'!$Z$67,EJ$20&lt;'01_Input'!$AA$67),'01_Input'!$AC$67,0),MAX(MIN(EJ$20,'01_Input'!$AA$67)-'01_Input'!$Z$67,0)*'01_Input'!$AC$67)))))))))</f>
        <v>0</v>
      </c>
      <c r="EK35" s="25">
        <f>IF('01_Input'!$C$67="Non",0,MIN('01_Input'!$I$67,MAX('01_Input'!$H$67,IF('01_Input'!$G$67="Résiduel vs Gestion",0,IF('01_Input'!$G$67="Taux Classe sélectionnée",Distrib_Global_Classe_Selectionnee*EK$20,IF('01_Input'!$G$67="Frais KYC (paliers de 100M€)",MAX(0,Nb_Investisseurs-Nb_KYC_Gratuites_Par_Tranche*(FLOOR(EK$20/Taille_Tranche_KYC,1)+1))*Cout_Par_KYC_Supplementaire,(IF('01_Input'!$L$67="Forfait",IF(EK$20&gt;='01_Input'!$J$67,'01_Input'!$M$67,0),IF('01_Input'!$L$67="Palier",IF(AND(EK$20&gt;='01_Input'!$J$67,EK$20&lt;'01_Input'!$K$67),'01_Input'!$M$67,0),MAX(MIN(EK$20,'01_Input'!$K$67)-'01_Input'!$J$67,0)*'01_Input'!$M$67))+IF('01_Input'!$P$67="Forfait",IF(EK$20&gt;='01_Input'!$N$67,'01_Input'!$Q$67,0),IF('01_Input'!$P$67="Palier",IF(AND(EK$20&gt;='01_Input'!$N$67,EK$20&lt;'01_Input'!$O$67),'01_Input'!$Q$67,0),MAX(MIN(EK$20,'01_Input'!$O$67)-'01_Input'!$N$67,0)*'01_Input'!$Q$67))+IF('01_Input'!$T$67="Forfait",IF(EK$20&gt;='01_Input'!$R$67,'01_Input'!$U$67,0),IF('01_Input'!$T$67="Palier",IF(AND(EK$20&gt;='01_Input'!$R$67,EK$20&lt;'01_Input'!$S$67),'01_Input'!$U$67,0),MAX(MIN(EK$20,'01_Input'!$S$67)-'01_Input'!$R$67,0)*'01_Input'!$U$67))+IF('01_Input'!$X$67="Forfait",IF(EK$20&gt;='01_Input'!$V$67,'01_Input'!$Y$67,0),IF('01_Input'!$X$67="Palier",IF(AND(EK$20&gt;='01_Input'!$V$67,EK$20&lt;'01_Input'!$W$67),'01_Input'!$Y$67,0),MAX(MIN(EK$20,'01_Input'!$W$67)-'01_Input'!$V$67,0)*'01_Input'!$Y$67))+IF('01_Input'!$AB$67="Forfait",IF(EK$20&gt;='01_Input'!$Z$67,'01_Input'!$AC$67,0),IF('01_Input'!$AB$67="Palier",IF(AND(EK$20&gt;='01_Input'!$Z$67,EK$20&lt;'01_Input'!$AA$67),'01_Input'!$AC$67,0),MAX(MIN(EK$20,'01_Input'!$AA$67)-'01_Input'!$Z$67,0)*'01_Input'!$AC$67)))))))))</f>
        <v>0</v>
      </c>
      <c r="EL35" s="25">
        <f>IF('01_Input'!$C$67="Non",0,MIN('01_Input'!$I$67,MAX('01_Input'!$H$67,IF('01_Input'!$G$67="Résiduel vs Gestion",0,IF('01_Input'!$G$67="Taux Classe sélectionnée",Distrib_Global_Classe_Selectionnee*EL$20,IF('01_Input'!$G$67="Frais KYC (paliers de 100M€)",MAX(0,Nb_Investisseurs-Nb_KYC_Gratuites_Par_Tranche*(FLOOR(EL$20/Taille_Tranche_KYC,1)+1))*Cout_Par_KYC_Supplementaire,(IF('01_Input'!$L$67="Forfait",IF(EL$20&gt;='01_Input'!$J$67,'01_Input'!$M$67,0),IF('01_Input'!$L$67="Palier",IF(AND(EL$20&gt;='01_Input'!$J$67,EL$20&lt;'01_Input'!$K$67),'01_Input'!$M$67,0),MAX(MIN(EL$20,'01_Input'!$K$67)-'01_Input'!$J$67,0)*'01_Input'!$M$67))+IF('01_Input'!$P$67="Forfait",IF(EL$20&gt;='01_Input'!$N$67,'01_Input'!$Q$67,0),IF('01_Input'!$P$67="Palier",IF(AND(EL$20&gt;='01_Input'!$N$67,EL$20&lt;'01_Input'!$O$67),'01_Input'!$Q$67,0),MAX(MIN(EL$20,'01_Input'!$O$67)-'01_Input'!$N$67,0)*'01_Input'!$Q$67))+IF('01_Input'!$T$67="Forfait",IF(EL$20&gt;='01_Input'!$R$67,'01_Input'!$U$67,0),IF('01_Input'!$T$67="Palier",IF(AND(EL$20&gt;='01_Input'!$R$67,EL$20&lt;'01_Input'!$S$67),'01_Input'!$U$67,0),MAX(MIN(EL$20,'01_Input'!$S$67)-'01_Input'!$R$67,0)*'01_Input'!$U$67))+IF('01_Input'!$X$67="Forfait",IF(EL$20&gt;='01_Input'!$V$67,'01_Input'!$Y$67,0),IF('01_Input'!$X$67="Palier",IF(AND(EL$20&gt;='01_Input'!$V$67,EL$20&lt;'01_Input'!$W$67),'01_Input'!$Y$67,0),MAX(MIN(EL$20,'01_Input'!$W$67)-'01_Input'!$V$67,0)*'01_Input'!$Y$67))+IF('01_Input'!$AB$67="Forfait",IF(EL$20&gt;='01_Input'!$Z$67,'01_Input'!$AC$67,0),IF('01_Input'!$AB$67="Palier",IF(AND(EL$20&gt;='01_Input'!$Z$67,EL$20&lt;'01_Input'!$AA$67),'01_Input'!$AC$67,0),MAX(MIN(EL$20,'01_Input'!$AA$67)-'01_Input'!$Z$67,0)*'01_Input'!$AC$67)))))))))</f>
        <v>0</v>
      </c>
      <c r="EM35" s="25">
        <f>IF('01_Input'!$C$67="Non",0,MIN('01_Input'!$I$67,MAX('01_Input'!$H$67,IF('01_Input'!$G$67="Résiduel vs Gestion",0,IF('01_Input'!$G$67="Taux Classe sélectionnée",Distrib_Global_Classe_Selectionnee*EM$20,IF('01_Input'!$G$67="Frais KYC (paliers de 100M€)",MAX(0,Nb_Investisseurs-Nb_KYC_Gratuites_Par_Tranche*(FLOOR(EM$20/Taille_Tranche_KYC,1)+1))*Cout_Par_KYC_Supplementaire,(IF('01_Input'!$L$67="Forfait",IF(EM$20&gt;='01_Input'!$J$67,'01_Input'!$M$67,0),IF('01_Input'!$L$67="Palier",IF(AND(EM$20&gt;='01_Input'!$J$67,EM$20&lt;'01_Input'!$K$67),'01_Input'!$M$67,0),MAX(MIN(EM$20,'01_Input'!$K$67)-'01_Input'!$J$67,0)*'01_Input'!$M$67))+IF('01_Input'!$P$67="Forfait",IF(EM$20&gt;='01_Input'!$N$67,'01_Input'!$Q$67,0),IF('01_Input'!$P$67="Palier",IF(AND(EM$20&gt;='01_Input'!$N$67,EM$20&lt;'01_Input'!$O$67),'01_Input'!$Q$67,0),MAX(MIN(EM$20,'01_Input'!$O$67)-'01_Input'!$N$67,0)*'01_Input'!$Q$67))+IF('01_Input'!$T$67="Forfait",IF(EM$20&gt;='01_Input'!$R$67,'01_Input'!$U$67,0),IF('01_Input'!$T$67="Palier",IF(AND(EM$20&gt;='01_Input'!$R$67,EM$20&lt;'01_Input'!$S$67),'01_Input'!$U$67,0),MAX(MIN(EM$20,'01_Input'!$S$67)-'01_Input'!$R$67,0)*'01_Input'!$U$67))+IF('01_Input'!$X$67="Forfait",IF(EM$20&gt;='01_Input'!$V$67,'01_Input'!$Y$67,0),IF('01_Input'!$X$67="Palier",IF(AND(EM$20&gt;='01_Input'!$V$67,EM$20&lt;'01_Input'!$W$67),'01_Input'!$Y$67,0),MAX(MIN(EM$20,'01_Input'!$W$67)-'01_Input'!$V$67,0)*'01_Input'!$Y$67))+IF('01_Input'!$AB$67="Forfait",IF(EM$20&gt;='01_Input'!$Z$67,'01_Input'!$AC$67,0),IF('01_Input'!$AB$67="Palier",IF(AND(EM$20&gt;='01_Input'!$Z$67,EM$20&lt;'01_Input'!$AA$67),'01_Input'!$AC$67,0),MAX(MIN(EM$20,'01_Input'!$AA$67)-'01_Input'!$Z$67,0)*'01_Input'!$AC$67)))))))))</f>
        <v>0</v>
      </c>
      <c r="EN35" s="25">
        <f>IF('01_Input'!$C$67="Non",0,MIN('01_Input'!$I$67,MAX('01_Input'!$H$67,IF('01_Input'!$G$67="Résiduel vs Gestion",0,IF('01_Input'!$G$67="Taux Classe sélectionnée",Distrib_Global_Classe_Selectionnee*EN$20,IF('01_Input'!$G$67="Frais KYC (paliers de 100M€)",MAX(0,Nb_Investisseurs-Nb_KYC_Gratuites_Par_Tranche*(FLOOR(EN$20/Taille_Tranche_KYC,1)+1))*Cout_Par_KYC_Supplementaire,(IF('01_Input'!$L$67="Forfait",IF(EN$20&gt;='01_Input'!$J$67,'01_Input'!$M$67,0),IF('01_Input'!$L$67="Palier",IF(AND(EN$20&gt;='01_Input'!$J$67,EN$20&lt;'01_Input'!$K$67),'01_Input'!$M$67,0),MAX(MIN(EN$20,'01_Input'!$K$67)-'01_Input'!$J$67,0)*'01_Input'!$M$67))+IF('01_Input'!$P$67="Forfait",IF(EN$20&gt;='01_Input'!$N$67,'01_Input'!$Q$67,0),IF('01_Input'!$P$67="Palier",IF(AND(EN$20&gt;='01_Input'!$N$67,EN$20&lt;'01_Input'!$O$67),'01_Input'!$Q$67,0),MAX(MIN(EN$20,'01_Input'!$O$67)-'01_Input'!$N$67,0)*'01_Input'!$Q$67))+IF('01_Input'!$T$67="Forfait",IF(EN$20&gt;='01_Input'!$R$67,'01_Input'!$U$67,0),IF('01_Input'!$T$67="Palier",IF(AND(EN$20&gt;='01_Input'!$R$67,EN$20&lt;'01_Input'!$S$67),'01_Input'!$U$67,0),MAX(MIN(EN$20,'01_Input'!$S$67)-'01_Input'!$R$67,0)*'01_Input'!$U$67))+IF('01_Input'!$X$67="Forfait",IF(EN$20&gt;='01_Input'!$V$67,'01_Input'!$Y$67,0),IF('01_Input'!$X$67="Palier",IF(AND(EN$20&gt;='01_Input'!$V$67,EN$20&lt;'01_Input'!$W$67),'01_Input'!$Y$67,0),MAX(MIN(EN$20,'01_Input'!$W$67)-'01_Input'!$V$67,0)*'01_Input'!$Y$67))+IF('01_Input'!$AB$67="Forfait",IF(EN$20&gt;='01_Input'!$Z$67,'01_Input'!$AC$67,0),IF('01_Input'!$AB$67="Palier",IF(AND(EN$20&gt;='01_Input'!$Z$67,EN$20&lt;'01_Input'!$AA$67),'01_Input'!$AC$67,0),MAX(MIN(EN$20,'01_Input'!$AA$67)-'01_Input'!$Z$67,0)*'01_Input'!$AC$67)))))))))</f>
        <v>0</v>
      </c>
      <c r="EO35" s="25">
        <f>IF('01_Input'!$C$67="Non",0,MIN('01_Input'!$I$67,MAX('01_Input'!$H$67,IF('01_Input'!$G$67="Résiduel vs Gestion",0,IF('01_Input'!$G$67="Taux Classe sélectionnée",Distrib_Global_Classe_Selectionnee*EO$20,IF('01_Input'!$G$67="Frais KYC (paliers de 100M€)",MAX(0,Nb_Investisseurs-Nb_KYC_Gratuites_Par_Tranche*(FLOOR(EO$20/Taille_Tranche_KYC,1)+1))*Cout_Par_KYC_Supplementaire,(IF('01_Input'!$L$67="Forfait",IF(EO$20&gt;='01_Input'!$J$67,'01_Input'!$M$67,0),IF('01_Input'!$L$67="Palier",IF(AND(EO$20&gt;='01_Input'!$J$67,EO$20&lt;'01_Input'!$K$67),'01_Input'!$M$67,0),MAX(MIN(EO$20,'01_Input'!$K$67)-'01_Input'!$J$67,0)*'01_Input'!$M$67))+IF('01_Input'!$P$67="Forfait",IF(EO$20&gt;='01_Input'!$N$67,'01_Input'!$Q$67,0),IF('01_Input'!$P$67="Palier",IF(AND(EO$20&gt;='01_Input'!$N$67,EO$20&lt;'01_Input'!$O$67),'01_Input'!$Q$67,0),MAX(MIN(EO$20,'01_Input'!$O$67)-'01_Input'!$N$67,0)*'01_Input'!$Q$67))+IF('01_Input'!$T$67="Forfait",IF(EO$20&gt;='01_Input'!$R$67,'01_Input'!$U$67,0),IF('01_Input'!$T$67="Palier",IF(AND(EO$20&gt;='01_Input'!$R$67,EO$20&lt;'01_Input'!$S$67),'01_Input'!$U$67,0),MAX(MIN(EO$20,'01_Input'!$S$67)-'01_Input'!$R$67,0)*'01_Input'!$U$67))+IF('01_Input'!$X$67="Forfait",IF(EO$20&gt;='01_Input'!$V$67,'01_Input'!$Y$67,0),IF('01_Input'!$X$67="Palier",IF(AND(EO$20&gt;='01_Input'!$V$67,EO$20&lt;'01_Input'!$W$67),'01_Input'!$Y$67,0),MAX(MIN(EO$20,'01_Input'!$W$67)-'01_Input'!$V$67,0)*'01_Input'!$Y$67))+IF('01_Input'!$AB$67="Forfait",IF(EO$20&gt;='01_Input'!$Z$67,'01_Input'!$AC$67,0),IF('01_Input'!$AB$67="Palier",IF(AND(EO$20&gt;='01_Input'!$Z$67,EO$20&lt;'01_Input'!$AA$67),'01_Input'!$AC$67,0),MAX(MIN(EO$20,'01_Input'!$AA$67)-'01_Input'!$Z$67,0)*'01_Input'!$AC$67)))))))))</f>
        <v>0</v>
      </c>
      <c r="EP35" s="25">
        <f>IF('01_Input'!$C$67="Non",0,MIN('01_Input'!$I$67,MAX('01_Input'!$H$67,IF('01_Input'!$G$67="Résiduel vs Gestion",0,IF('01_Input'!$G$67="Taux Classe sélectionnée",Distrib_Global_Classe_Selectionnee*EP$20,IF('01_Input'!$G$67="Frais KYC (paliers de 100M€)",MAX(0,Nb_Investisseurs-Nb_KYC_Gratuites_Par_Tranche*(FLOOR(EP$20/Taille_Tranche_KYC,1)+1))*Cout_Par_KYC_Supplementaire,(IF('01_Input'!$L$67="Forfait",IF(EP$20&gt;='01_Input'!$J$67,'01_Input'!$M$67,0),IF('01_Input'!$L$67="Palier",IF(AND(EP$20&gt;='01_Input'!$J$67,EP$20&lt;'01_Input'!$K$67),'01_Input'!$M$67,0),MAX(MIN(EP$20,'01_Input'!$K$67)-'01_Input'!$J$67,0)*'01_Input'!$M$67))+IF('01_Input'!$P$67="Forfait",IF(EP$20&gt;='01_Input'!$N$67,'01_Input'!$Q$67,0),IF('01_Input'!$P$67="Palier",IF(AND(EP$20&gt;='01_Input'!$N$67,EP$20&lt;'01_Input'!$O$67),'01_Input'!$Q$67,0),MAX(MIN(EP$20,'01_Input'!$O$67)-'01_Input'!$N$67,0)*'01_Input'!$Q$67))+IF('01_Input'!$T$67="Forfait",IF(EP$20&gt;='01_Input'!$R$67,'01_Input'!$U$67,0),IF('01_Input'!$T$67="Palier",IF(AND(EP$20&gt;='01_Input'!$R$67,EP$20&lt;'01_Input'!$S$67),'01_Input'!$U$67,0),MAX(MIN(EP$20,'01_Input'!$S$67)-'01_Input'!$R$67,0)*'01_Input'!$U$67))+IF('01_Input'!$X$67="Forfait",IF(EP$20&gt;='01_Input'!$V$67,'01_Input'!$Y$67,0),IF('01_Input'!$X$67="Palier",IF(AND(EP$20&gt;='01_Input'!$V$67,EP$20&lt;'01_Input'!$W$67),'01_Input'!$Y$67,0),MAX(MIN(EP$20,'01_Input'!$W$67)-'01_Input'!$V$67,0)*'01_Input'!$Y$67))+IF('01_Input'!$AB$67="Forfait",IF(EP$20&gt;='01_Input'!$Z$67,'01_Input'!$AC$67,0),IF('01_Input'!$AB$67="Palier",IF(AND(EP$20&gt;='01_Input'!$Z$67,EP$20&lt;'01_Input'!$AA$67),'01_Input'!$AC$67,0),MAX(MIN(EP$20,'01_Input'!$AA$67)-'01_Input'!$Z$67,0)*'01_Input'!$AC$67)))))))))</f>
        <v>0</v>
      </c>
      <c r="EQ35" s="25">
        <f>IF('01_Input'!$C$67="Non",0,MIN('01_Input'!$I$67,MAX('01_Input'!$H$67,IF('01_Input'!$G$67="Résiduel vs Gestion",0,IF('01_Input'!$G$67="Taux Classe sélectionnée",Distrib_Global_Classe_Selectionnee*EQ$20,IF('01_Input'!$G$67="Frais KYC (paliers de 100M€)",MAX(0,Nb_Investisseurs-Nb_KYC_Gratuites_Par_Tranche*(FLOOR(EQ$20/Taille_Tranche_KYC,1)+1))*Cout_Par_KYC_Supplementaire,(IF('01_Input'!$L$67="Forfait",IF(EQ$20&gt;='01_Input'!$J$67,'01_Input'!$M$67,0),IF('01_Input'!$L$67="Palier",IF(AND(EQ$20&gt;='01_Input'!$J$67,EQ$20&lt;'01_Input'!$K$67),'01_Input'!$M$67,0),MAX(MIN(EQ$20,'01_Input'!$K$67)-'01_Input'!$J$67,0)*'01_Input'!$M$67))+IF('01_Input'!$P$67="Forfait",IF(EQ$20&gt;='01_Input'!$N$67,'01_Input'!$Q$67,0),IF('01_Input'!$P$67="Palier",IF(AND(EQ$20&gt;='01_Input'!$N$67,EQ$20&lt;'01_Input'!$O$67),'01_Input'!$Q$67,0),MAX(MIN(EQ$20,'01_Input'!$O$67)-'01_Input'!$N$67,0)*'01_Input'!$Q$67))+IF('01_Input'!$T$67="Forfait",IF(EQ$20&gt;='01_Input'!$R$67,'01_Input'!$U$67,0),IF('01_Input'!$T$67="Palier",IF(AND(EQ$20&gt;='01_Input'!$R$67,EQ$20&lt;'01_Input'!$S$67),'01_Input'!$U$67,0),MAX(MIN(EQ$20,'01_Input'!$S$67)-'01_Input'!$R$67,0)*'01_Input'!$U$67))+IF('01_Input'!$X$67="Forfait",IF(EQ$20&gt;='01_Input'!$V$67,'01_Input'!$Y$67,0),IF('01_Input'!$X$67="Palier",IF(AND(EQ$20&gt;='01_Input'!$V$67,EQ$20&lt;'01_Input'!$W$67),'01_Input'!$Y$67,0),MAX(MIN(EQ$20,'01_Input'!$W$67)-'01_Input'!$V$67,0)*'01_Input'!$Y$67))+IF('01_Input'!$AB$67="Forfait",IF(EQ$20&gt;='01_Input'!$Z$67,'01_Input'!$AC$67,0),IF('01_Input'!$AB$67="Palier",IF(AND(EQ$20&gt;='01_Input'!$Z$67,EQ$20&lt;'01_Input'!$AA$67),'01_Input'!$AC$67,0),MAX(MIN(EQ$20,'01_Input'!$AA$67)-'01_Input'!$Z$67,0)*'01_Input'!$AC$67)))))))))</f>
        <v>0</v>
      </c>
      <c r="ER35" s="25">
        <f>IF('01_Input'!$C$67="Non",0,MIN('01_Input'!$I$67,MAX('01_Input'!$H$67,IF('01_Input'!$G$67="Résiduel vs Gestion",0,IF('01_Input'!$G$67="Taux Classe sélectionnée",Distrib_Global_Classe_Selectionnee*ER$20,IF('01_Input'!$G$67="Frais KYC (paliers de 100M€)",MAX(0,Nb_Investisseurs-Nb_KYC_Gratuites_Par_Tranche*(FLOOR(ER$20/Taille_Tranche_KYC,1)+1))*Cout_Par_KYC_Supplementaire,(IF('01_Input'!$L$67="Forfait",IF(ER$20&gt;='01_Input'!$J$67,'01_Input'!$M$67,0),IF('01_Input'!$L$67="Palier",IF(AND(ER$20&gt;='01_Input'!$J$67,ER$20&lt;'01_Input'!$K$67),'01_Input'!$M$67,0),MAX(MIN(ER$20,'01_Input'!$K$67)-'01_Input'!$J$67,0)*'01_Input'!$M$67))+IF('01_Input'!$P$67="Forfait",IF(ER$20&gt;='01_Input'!$N$67,'01_Input'!$Q$67,0),IF('01_Input'!$P$67="Palier",IF(AND(ER$20&gt;='01_Input'!$N$67,ER$20&lt;'01_Input'!$O$67),'01_Input'!$Q$67,0),MAX(MIN(ER$20,'01_Input'!$O$67)-'01_Input'!$N$67,0)*'01_Input'!$Q$67))+IF('01_Input'!$T$67="Forfait",IF(ER$20&gt;='01_Input'!$R$67,'01_Input'!$U$67,0),IF('01_Input'!$T$67="Palier",IF(AND(ER$20&gt;='01_Input'!$R$67,ER$20&lt;'01_Input'!$S$67),'01_Input'!$U$67,0),MAX(MIN(ER$20,'01_Input'!$S$67)-'01_Input'!$R$67,0)*'01_Input'!$U$67))+IF('01_Input'!$X$67="Forfait",IF(ER$20&gt;='01_Input'!$V$67,'01_Input'!$Y$67,0),IF('01_Input'!$X$67="Palier",IF(AND(ER$20&gt;='01_Input'!$V$67,ER$20&lt;'01_Input'!$W$67),'01_Input'!$Y$67,0),MAX(MIN(ER$20,'01_Input'!$W$67)-'01_Input'!$V$67,0)*'01_Input'!$Y$67))+IF('01_Input'!$AB$67="Forfait",IF(ER$20&gt;='01_Input'!$Z$67,'01_Input'!$AC$67,0),IF('01_Input'!$AB$67="Palier",IF(AND(ER$20&gt;='01_Input'!$Z$67,ER$20&lt;'01_Input'!$AA$67),'01_Input'!$AC$67,0),MAX(MIN(ER$20,'01_Input'!$AA$67)-'01_Input'!$Z$67,0)*'01_Input'!$AC$67)))))))))</f>
        <v>0</v>
      </c>
      <c r="ES35" s="25">
        <f>IF('01_Input'!$C$67="Non",0,MIN('01_Input'!$I$67,MAX('01_Input'!$H$67,IF('01_Input'!$G$67="Résiduel vs Gestion",0,IF('01_Input'!$G$67="Taux Classe sélectionnée",Distrib_Global_Classe_Selectionnee*ES$20,IF('01_Input'!$G$67="Frais KYC (paliers de 100M€)",MAX(0,Nb_Investisseurs-Nb_KYC_Gratuites_Par_Tranche*(FLOOR(ES$20/Taille_Tranche_KYC,1)+1))*Cout_Par_KYC_Supplementaire,(IF('01_Input'!$L$67="Forfait",IF(ES$20&gt;='01_Input'!$J$67,'01_Input'!$M$67,0),IF('01_Input'!$L$67="Palier",IF(AND(ES$20&gt;='01_Input'!$J$67,ES$20&lt;'01_Input'!$K$67),'01_Input'!$M$67,0),MAX(MIN(ES$20,'01_Input'!$K$67)-'01_Input'!$J$67,0)*'01_Input'!$M$67))+IF('01_Input'!$P$67="Forfait",IF(ES$20&gt;='01_Input'!$N$67,'01_Input'!$Q$67,0),IF('01_Input'!$P$67="Palier",IF(AND(ES$20&gt;='01_Input'!$N$67,ES$20&lt;'01_Input'!$O$67),'01_Input'!$Q$67,0),MAX(MIN(ES$20,'01_Input'!$O$67)-'01_Input'!$N$67,0)*'01_Input'!$Q$67))+IF('01_Input'!$T$67="Forfait",IF(ES$20&gt;='01_Input'!$R$67,'01_Input'!$U$67,0),IF('01_Input'!$T$67="Palier",IF(AND(ES$20&gt;='01_Input'!$R$67,ES$20&lt;'01_Input'!$S$67),'01_Input'!$U$67,0),MAX(MIN(ES$20,'01_Input'!$S$67)-'01_Input'!$R$67,0)*'01_Input'!$U$67))+IF('01_Input'!$X$67="Forfait",IF(ES$20&gt;='01_Input'!$V$67,'01_Input'!$Y$67,0),IF('01_Input'!$X$67="Palier",IF(AND(ES$20&gt;='01_Input'!$V$67,ES$20&lt;'01_Input'!$W$67),'01_Input'!$Y$67,0),MAX(MIN(ES$20,'01_Input'!$W$67)-'01_Input'!$V$67,0)*'01_Input'!$Y$67))+IF('01_Input'!$AB$67="Forfait",IF(ES$20&gt;='01_Input'!$Z$67,'01_Input'!$AC$67,0),IF('01_Input'!$AB$67="Palier",IF(AND(ES$20&gt;='01_Input'!$Z$67,ES$20&lt;'01_Input'!$AA$67),'01_Input'!$AC$67,0),MAX(MIN(ES$20,'01_Input'!$AA$67)-'01_Input'!$Z$67,0)*'01_Input'!$AC$67)))))))))</f>
        <v>0</v>
      </c>
      <c r="ET35" s="25">
        <f>IF('01_Input'!$C$67="Non",0,MIN('01_Input'!$I$67,MAX('01_Input'!$H$67,IF('01_Input'!$G$67="Résiduel vs Gestion",0,IF('01_Input'!$G$67="Taux Classe sélectionnée",Distrib_Global_Classe_Selectionnee*ET$20,IF('01_Input'!$G$67="Frais KYC (paliers de 100M€)",MAX(0,Nb_Investisseurs-Nb_KYC_Gratuites_Par_Tranche*(FLOOR(ET$20/Taille_Tranche_KYC,1)+1))*Cout_Par_KYC_Supplementaire,(IF('01_Input'!$L$67="Forfait",IF(ET$20&gt;='01_Input'!$J$67,'01_Input'!$M$67,0),IF('01_Input'!$L$67="Palier",IF(AND(ET$20&gt;='01_Input'!$J$67,ET$20&lt;'01_Input'!$K$67),'01_Input'!$M$67,0),MAX(MIN(ET$20,'01_Input'!$K$67)-'01_Input'!$J$67,0)*'01_Input'!$M$67))+IF('01_Input'!$P$67="Forfait",IF(ET$20&gt;='01_Input'!$N$67,'01_Input'!$Q$67,0),IF('01_Input'!$P$67="Palier",IF(AND(ET$20&gt;='01_Input'!$N$67,ET$20&lt;'01_Input'!$O$67),'01_Input'!$Q$67,0),MAX(MIN(ET$20,'01_Input'!$O$67)-'01_Input'!$N$67,0)*'01_Input'!$Q$67))+IF('01_Input'!$T$67="Forfait",IF(ET$20&gt;='01_Input'!$R$67,'01_Input'!$U$67,0),IF('01_Input'!$T$67="Palier",IF(AND(ET$20&gt;='01_Input'!$R$67,ET$20&lt;'01_Input'!$S$67),'01_Input'!$U$67,0),MAX(MIN(ET$20,'01_Input'!$S$67)-'01_Input'!$R$67,0)*'01_Input'!$U$67))+IF('01_Input'!$X$67="Forfait",IF(ET$20&gt;='01_Input'!$V$67,'01_Input'!$Y$67,0),IF('01_Input'!$X$67="Palier",IF(AND(ET$20&gt;='01_Input'!$V$67,ET$20&lt;'01_Input'!$W$67),'01_Input'!$Y$67,0),MAX(MIN(ET$20,'01_Input'!$W$67)-'01_Input'!$V$67,0)*'01_Input'!$Y$67))+IF('01_Input'!$AB$67="Forfait",IF(ET$20&gt;='01_Input'!$Z$67,'01_Input'!$AC$67,0),IF('01_Input'!$AB$67="Palier",IF(AND(ET$20&gt;='01_Input'!$Z$67,ET$20&lt;'01_Input'!$AA$67),'01_Input'!$AC$67,0),MAX(MIN(ET$20,'01_Input'!$AA$67)-'01_Input'!$Z$67,0)*'01_Input'!$AC$67)))))))))</f>
        <v>0</v>
      </c>
      <c r="EU35" s="25">
        <f>IF('01_Input'!$C$67="Non",0,MIN('01_Input'!$I$67,MAX('01_Input'!$H$67,IF('01_Input'!$G$67="Résiduel vs Gestion",0,IF('01_Input'!$G$67="Taux Classe sélectionnée",Distrib_Global_Classe_Selectionnee*EU$20,IF('01_Input'!$G$67="Frais KYC (paliers de 100M€)",MAX(0,Nb_Investisseurs-Nb_KYC_Gratuites_Par_Tranche*(FLOOR(EU$20/Taille_Tranche_KYC,1)+1))*Cout_Par_KYC_Supplementaire,(IF('01_Input'!$L$67="Forfait",IF(EU$20&gt;='01_Input'!$J$67,'01_Input'!$M$67,0),IF('01_Input'!$L$67="Palier",IF(AND(EU$20&gt;='01_Input'!$J$67,EU$20&lt;'01_Input'!$K$67),'01_Input'!$M$67,0),MAX(MIN(EU$20,'01_Input'!$K$67)-'01_Input'!$J$67,0)*'01_Input'!$M$67))+IF('01_Input'!$P$67="Forfait",IF(EU$20&gt;='01_Input'!$N$67,'01_Input'!$Q$67,0),IF('01_Input'!$P$67="Palier",IF(AND(EU$20&gt;='01_Input'!$N$67,EU$20&lt;'01_Input'!$O$67),'01_Input'!$Q$67,0),MAX(MIN(EU$20,'01_Input'!$O$67)-'01_Input'!$N$67,0)*'01_Input'!$Q$67))+IF('01_Input'!$T$67="Forfait",IF(EU$20&gt;='01_Input'!$R$67,'01_Input'!$U$67,0),IF('01_Input'!$T$67="Palier",IF(AND(EU$20&gt;='01_Input'!$R$67,EU$20&lt;'01_Input'!$S$67),'01_Input'!$U$67,0),MAX(MIN(EU$20,'01_Input'!$S$67)-'01_Input'!$R$67,0)*'01_Input'!$U$67))+IF('01_Input'!$X$67="Forfait",IF(EU$20&gt;='01_Input'!$V$67,'01_Input'!$Y$67,0),IF('01_Input'!$X$67="Palier",IF(AND(EU$20&gt;='01_Input'!$V$67,EU$20&lt;'01_Input'!$W$67),'01_Input'!$Y$67,0),MAX(MIN(EU$20,'01_Input'!$W$67)-'01_Input'!$V$67,0)*'01_Input'!$Y$67))+IF('01_Input'!$AB$67="Forfait",IF(EU$20&gt;='01_Input'!$Z$67,'01_Input'!$AC$67,0),IF('01_Input'!$AB$67="Palier",IF(AND(EU$20&gt;='01_Input'!$Z$67,EU$20&lt;'01_Input'!$AA$67),'01_Input'!$AC$67,0),MAX(MIN(EU$20,'01_Input'!$AA$67)-'01_Input'!$Z$67,0)*'01_Input'!$AC$67)))))))))</f>
        <v>0</v>
      </c>
      <c r="EV35" s="25">
        <f>IF('01_Input'!$C$67="Non",0,MIN('01_Input'!$I$67,MAX('01_Input'!$H$67,IF('01_Input'!$G$67="Résiduel vs Gestion",0,IF('01_Input'!$G$67="Taux Classe sélectionnée",Distrib_Global_Classe_Selectionnee*EV$20,IF('01_Input'!$G$67="Frais KYC (paliers de 100M€)",MAX(0,Nb_Investisseurs-Nb_KYC_Gratuites_Par_Tranche*(FLOOR(EV$20/Taille_Tranche_KYC,1)+1))*Cout_Par_KYC_Supplementaire,(IF('01_Input'!$L$67="Forfait",IF(EV$20&gt;='01_Input'!$J$67,'01_Input'!$M$67,0),IF('01_Input'!$L$67="Palier",IF(AND(EV$20&gt;='01_Input'!$J$67,EV$20&lt;'01_Input'!$K$67),'01_Input'!$M$67,0),MAX(MIN(EV$20,'01_Input'!$K$67)-'01_Input'!$J$67,0)*'01_Input'!$M$67))+IF('01_Input'!$P$67="Forfait",IF(EV$20&gt;='01_Input'!$N$67,'01_Input'!$Q$67,0),IF('01_Input'!$P$67="Palier",IF(AND(EV$20&gt;='01_Input'!$N$67,EV$20&lt;'01_Input'!$O$67),'01_Input'!$Q$67,0),MAX(MIN(EV$20,'01_Input'!$O$67)-'01_Input'!$N$67,0)*'01_Input'!$Q$67))+IF('01_Input'!$T$67="Forfait",IF(EV$20&gt;='01_Input'!$R$67,'01_Input'!$U$67,0),IF('01_Input'!$T$67="Palier",IF(AND(EV$20&gt;='01_Input'!$R$67,EV$20&lt;'01_Input'!$S$67),'01_Input'!$U$67,0),MAX(MIN(EV$20,'01_Input'!$S$67)-'01_Input'!$R$67,0)*'01_Input'!$U$67))+IF('01_Input'!$X$67="Forfait",IF(EV$20&gt;='01_Input'!$V$67,'01_Input'!$Y$67,0),IF('01_Input'!$X$67="Palier",IF(AND(EV$20&gt;='01_Input'!$V$67,EV$20&lt;'01_Input'!$W$67),'01_Input'!$Y$67,0),MAX(MIN(EV$20,'01_Input'!$W$67)-'01_Input'!$V$67,0)*'01_Input'!$Y$67))+IF('01_Input'!$AB$67="Forfait",IF(EV$20&gt;='01_Input'!$Z$67,'01_Input'!$AC$67,0),IF('01_Input'!$AB$67="Palier",IF(AND(EV$20&gt;='01_Input'!$Z$67,EV$20&lt;'01_Input'!$AA$67),'01_Input'!$AC$67,0),MAX(MIN(EV$20,'01_Input'!$AA$67)-'01_Input'!$Z$67,0)*'01_Input'!$AC$67)))))))))</f>
        <v>0</v>
      </c>
      <c r="EW35" s="25">
        <f>IF('01_Input'!$C$67="Non",0,MIN('01_Input'!$I$67,MAX('01_Input'!$H$67,IF('01_Input'!$G$67="Résiduel vs Gestion",0,IF('01_Input'!$G$67="Taux Classe sélectionnée",Distrib_Global_Classe_Selectionnee*EW$20,IF('01_Input'!$G$67="Frais KYC (paliers de 100M€)",MAX(0,Nb_Investisseurs-Nb_KYC_Gratuites_Par_Tranche*(FLOOR(EW$20/Taille_Tranche_KYC,1)+1))*Cout_Par_KYC_Supplementaire,(IF('01_Input'!$L$67="Forfait",IF(EW$20&gt;='01_Input'!$J$67,'01_Input'!$M$67,0),IF('01_Input'!$L$67="Palier",IF(AND(EW$20&gt;='01_Input'!$J$67,EW$20&lt;'01_Input'!$K$67),'01_Input'!$M$67,0),MAX(MIN(EW$20,'01_Input'!$K$67)-'01_Input'!$J$67,0)*'01_Input'!$M$67))+IF('01_Input'!$P$67="Forfait",IF(EW$20&gt;='01_Input'!$N$67,'01_Input'!$Q$67,0),IF('01_Input'!$P$67="Palier",IF(AND(EW$20&gt;='01_Input'!$N$67,EW$20&lt;'01_Input'!$O$67),'01_Input'!$Q$67,0),MAX(MIN(EW$20,'01_Input'!$O$67)-'01_Input'!$N$67,0)*'01_Input'!$Q$67))+IF('01_Input'!$T$67="Forfait",IF(EW$20&gt;='01_Input'!$R$67,'01_Input'!$U$67,0),IF('01_Input'!$T$67="Palier",IF(AND(EW$20&gt;='01_Input'!$R$67,EW$20&lt;'01_Input'!$S$67),'01_Input'!$U$67,0),MAX(MIN(EW$20,'01_Input'!$S$67)-'01_Input'!$R$67,0)*'01_Input'!$U$67))+IF('01_Input'!$X$67="Forfait",IF(EW$20&gt;='01_Input'!$V$67,'01_Input'!$Y$67,0),IF('01_Input'!$X$67="Palier",IF(AND(EW$20&gt;='01_Input'!$V$67,EW$20&lt;'01_Input'!$W$67),'01_Input'!$Y$67,0),MAX(MIN(EW$20,'01_Input'!$W$67)-'01_Input'!$V$67,0)*'01_Input'!$Y$67))+IF('01_Input'!$AB$67="Forfait",IF(EW$20&gt;='01_Input'!$Z$67,'01_Input'!$AC$67,0),IF('01_Input'!$AB$67="Palier",IF(AND(EW$20&gt;='01_Input'!$Z$67,EW$20&lt;'01_Input'!$AA$67),'01_Input'!$AC$67,0),MAX(MIN(EW$20,'01_Input'!$AA$67)-'01_Input'!$Z$67,0)*'01_Input'!$AC$67)))))))))</f>
        <v>0</v>
      </c>
      <c r="EX35" s="25">
        <f>IF('01_Input'!$C$67="Non",0,MIN('01_Input'!$I$67,MAX('01_Input'!$H$67,IF('01_Input'!$G$67="Résiduel vs Gestion",0,IF('01_Input'!$G$67="Taux Classe sélectionnée",Distrib_Global_Classe_Selectionnee*EX$20,IF('01_Input'!$G$67="Frais KYC (paliers de 100M€)",MAX(0,Nb_Investisseurs-Nb_KYC_Gratuites_Par_Tranche*(FLOOR(EX$20/Taille_Tranche_KYC,1)+1))*Cout_Par_KYC_Supplementaire,(IF('01_Input'!$L$67="Forfait",IF(EX$20&gt;='01_Input'!$J$67,'01_Input'!$M$67,0),IF('01_Input'!$L$67="Palier",IF(AND(EX$20&gt;='01_Input'!$J$67,EX$20&lt;'01_Input'!$K$67),'01_Input'!$M$67,0),MAX(MIN(EX$20,'01_Input'!$K$67)-'01_Input'!$J$67,0)*'01_Input'!$M$67))+IF('01_Input'!$P$67="Forfait",IF(EX$20&gt;='01_Input'!$N$67,'01_Input'!$Q$67,0),IF('01_Input'!$P$67="Palier",IF(AND(EX$20&gt;='01_Input'!$N$67,EX$20&lt;'01_Input'!$O$67),'01_Input'!$Q$67,0),MAX(MIN(EX$20,'01_Input'!$O$67)-'01_Input'!$N$67,0)*'01_Input'!$Q$67))+IF('01_Input'!$T$67="Forfait",IF(EX$20&gt;='01_Input'!$R$67,'01_Input'!$U$67,0),IF('01_Input'!$T$67="Palier",IF(AND(EX$20&gt;='01_Input'!$R$67,EX$20&lt;'01_Input'!$S$67),'01_Input'!$U$67,0),MAX(MIN(EX$20,'01_Input'!$S$67)-'01_Input'!$R$67,0)*'01_Input'!$U$67))+IF('01_Input'!$X$67="Forfait",IF(EX$20&gt;='01_Input'!$V$67,'01_Input'!$Y$67,0),IF('01_Input'!$X$67="Palier",IF(AND(EX$20&gt;='01_Input'!$V$67,EX$20&lt;'01_Input'!$W$67),'01_Input'!$Y$67,0),MAX(MIN(EX$20,'01_Input'!$W$67)-'01_Input'!$V$67,0)*'01_Input'!$Y$67))+IF('01_Input'!$AB$67="Forfait",IF(EX$20&gt;='01_Input'!$Z$67,'01_Input'!$AC$67,0),IF('01_Input'!$AB$67="Palier",IF(AND(EX$20&gt;='01_Input'!$Z$67,EX$20&lt;'01_Input'!$AA$67),'01_Input'!$AC$67,0),MAX(MIN(EX$20,'01_Input'!$AA$67)-'01_Input'!$Z$67,0)*'01_Input'!$AC$67)))))))))</f>
        <v>0</v>
      </c>
    </row>
    <row r="36" ht="15.75" customHeight="1">
      <c r="B36" s="68" t="str">
        <f>IF('01_Input'!D68="","(inactif)",'01_Input'!D68)</f>
        <v>Dépositaire — Admission Euroclear (par ISIN)</v>
      </c>
      <c r="C36" s="68" t="str">
        <f>IF('01_Input'!E68="","",'01_Input'!E68)</f>
        <v>Dépositaire (BFCM)</v>
      </c>
      <c r="D36" s="86" t="str">
        <f>'01_Input'!C68</f>
        <v>Non</v>
      </c>
      <c r="E36" s="83">
        <f>IF('01_Input'!$C$68="Non",0,MIN('01_Input'!$I$68,MAX('01_Input'!$H$68,IF('01_Input'!$G$68="Résiduel vs Gestion",0,IF('01_Input'!$G$68="Taux Classe sélectionnée",Distrib_Global_Classe_Selectionnee*E$20,IF('01_Input'!$G$68="Frais KYC (paliers de 100M€)",MAX(0,Nb_Investisseurs-Nb_KYC_Gratuites_Par_Tranche*(FLOOR(E$20/Taille_Tranche_KYC,1)+1))*Cout_Par_KYC_Supplementaire,(IF('01_Input'!$L$68="Forfait",IF(E$20&gt;='01_Input'!$J$68,'01_Input'!$M$68,0),IF('01_Input'!$L$68="Palier",IF(AND(E$20&gt;='01_Input'!$J$68,E$20&lt;'01_Input'!$K$68),'01_Input'!$M$68,0),MAX(MIN(E$20,'01_Input'!$K$68)-'01_Input'!$J$68,0)*'01_Input'!$M$68))+IF('01_Input'!$P$68="Forfait",IF(E$20&gt;='01_Input'!$N$68,'01_Input'!$Q$68,0),IF('01_Input'!$P$68="Palier",IF(AND(E$20&gt;='01_Input'!$N$68,E$20&lt;'01_Input'!$O$68),'01_Input'!$Q$68,0),MAX(MIN(E$20,'01_Input'!$O$68)-'01_Input'!$N$68,0)*'01_Input'!$Q$68))+IF('01_Input'!$T$68="Forfait",IF(E$20&gt;='01_Input'!$R$68,'01_Input'!$U$68,0),IF('01_Input'!$T$68="Palier",IF(AND(E$20&gt;='01_Input'!$R$68,E$20&lt;'01_Input'!$S$68),'01_Input'!$U$68,0),MAX(MIN(E$20,'01_Input'!$S$68)-'01_Input'!$R$68,0)*'01_Input'!$U$68))+IF('01_Input'!$X$68="Forfait",IF(E$20&gt;='01_Input'!$V$68,'01_Input'!$Y$68,0),IF('01_Input'!$X$68="Palier",IF(AND(E$20&gt;='01_Input'!$V$68,E$20&lt;'01_Input'!$W$68),'01_Input'!$Y$68,0),MAX(MIN(E$20,'01_Input'!$W$68)-'01_Input'!$V$68,0)*'01_Input'!$Y$68))+IF('01_Input'!$AB$68="Forfait",IF(E$20&gt;='01_Input'!$Z$68,'01_Input'!$AC$68,0),IF('01_Input'!$AB$68="Palier",IF(AND(E$20&gt;='01_Input'!$Z$68,E$20&lt;'01_Input'!$AA$68),'01_Input'!$AC$68,0),MAX(MIN(E$20,'01_Input'!$AA$68)-'01_Input'!$Z$68,0)*'01_Input'!$AC$68)))))))))</f>
        <v>0</v>
      </c>
      <c r="F36" s="83">
        <f>IF('01_Input'!$C$68="Non",0,MIN('01_Input'!$I$68,MAX('01_Input'!$H$68,IF('01_Input'!$G$68="Résiduel vs Gestion",0,IF('01_Input'!$G$68="Taux Classe sélectionnée",Distrib_Global_Classe_Selectionnee*F$20,IF('01_Input'!$G$68="Frais KYC (paliers de 100M€)",MAX(0,Nb_Investisseurs-Nb_KYC_Gratuites_Par_Tranche*(FLOOR(F$20/Taille_Tranche_KYC,1)+1))*Cout_Par_KYC_Supplementaire,(IF('01_Input'!$L$68="Forfait",IF(F$20&gt;='01_Input'!$J$68,'01_Input'!$M$68,0),IF('01_Input'!$L$68="Palier",IF(AND(F$20&gt;='01_Input'!$J$68,F$20&lt;'01_Input'!$K$68),'01_Input'!$M$68,0),MAX(MIN(F$20,'01_Input'!$K$68)-'01_Input'!$J$68,0)*'01_Input'!$M$68))+IF('01_Input'!$P$68="Forfait",IF(F$20&gt;='01_Input'!$N$68,'01_Input'!$Q$68,0),IF('01_Input'!$P$68="Palier",IF(AND(F$20&gt;='01_Input'!$N$68,F$20&lt;'01_Input'!$O$68),'01_Input'!$Q$68,0),MAX(MIN(F$20,'01_Input'!$O$68)-'01_Input'!$N$68,0)*'01_Input'!$Q$68))+IF('01_Input'!$T$68="Forfait",IF(F$20&gt;='01_Input'!$R$68,'01_Input'!$U$68,0),IF('01_Input'!$T$68="Palier",IF(AND(F$20&gt;='01_Input'!$R$68,F$20&lt;'01_Input'!$S$68),'01_Input'!$U$68,0),MAX(MIN(F$20,'01_Input'!$S$68)-'01_Input'!$R$68,0)*'01_Input'!$U$68))+IF('01_Input'!$X$68="Forfait",IF(F$20&gt;='01_Input'!$V$68,'01_Input'!$Y$68,0),IF('01_Input'!$X$68="Palier",IF(AND(F$20&gt;='01_Input'!$V$68,F$20&lt;'01_Input'!$W$68),'01_Input'!$Y$68,0),MAX(MIN(F$20,'01_Input'!$W$68)-'01_Input'!$V$68,0)*'01_Input'!$Y$68))+IF('01_Input'!$AB$68="Forfait",IF(F$20&gt;='01_Input'!$Z$68,'01_Input'!$AC$68,0),IF('01_Input'!$AB$68="Palier",IF(AND(F$20&gt;='01_Input'!$Z$68,F$20&lt;'01_Input'!$AA$68),'01_Input'!$AC$68,0),MAX(MIN(F$20,'01_Input'!$AA$68)-'01_Input'!$Z$68,0)*'01_Input'!$AC$68)))))))))</f>
        <v>0</v>
      </c>
      <c r="G36" s="83">
        <f>IF('01_Input'!$C$68="Non",0,MIN('01_Input'!$I$68,MAX('01_Input'!$H$68,IF('01_Input'!$G$68="Résiduel vs Gestion",0,IF('01_Input'!$G$68="Taux Classe sélectionnée",Distrib_Global_Classe_Selectionnee*G$20,IF('01_Input'!$G$68="Frais KYC (paliers de 100M€)",MAX(0,Nb_Investisseurs-Nb_KYC_Gratuites_Par_Tranche*(FLOOR(G$20/Taille_Tranche_KYC,1)+1))*Cout_Par_KYC_Supplementaire,(IF('01_Input'!$L$68="Forfait",IF(G$20&gt;='01_Input'!$J$68,'01_Input'!$M$68,0),IF('01_Input'!$L$68="Palier",IF(AND(G$20&gt;='01_Input'!$J$68,G$20&lt;'01_Input'!$K$68),'01_Input'!$M$68,0),MAX(MIN(G$20,'01_Input'!$K$68)-'01_Input'!$J$68,0)*'01_Input'!$M$68))+IF('01_Input'!$P$68="Forfait",IF(G$20&gt;='01_Input'!$N$68,'01_Input'!$Q$68,0),IF('01_Input'!$P$68="Palier",IF(AND(G$20&gt;='01_Input'!$N$68,G$20&lt;'01_Input'!$O$68),'01_Input'!$Q$68,0),MAX(MIN(G$20,'01_Input'!$O$68)-'01_Input'!$N$68,0)*'01_Input'!$Q$68))+IF('01_Input'!$T$68="Forfait",IF(G$20&gt;='01_Input'!$R$68,'01_Input'!$U$68,0),IF('01_Input'!$T$68="Palier",IF(AND(G$20&gt;='01_Input'!$R$68,G$20&lt;'01_Input'!$S$68),'01_Input'!$U$68,0),MAX(MIN(G$20,'01_Input'!$S$68)-'01_Input'!$R$68,0)*'01_Input'!$U$68))+IF('01_Input'!$X$68="Forfait",IF(G$20&gt;='01_Input'!$V$68,'01_Input'!$Y$68,0),IF('01_Input'!$X$68="Palier",IF(AND(G$20&gt;='01_Input'!$V$68,G$20&lt;'01_Input'!$W$68),'01_Input'!$Y$68,0),MAX(MIN(G$20,'01_Input'!$W$68)-'01_Input'!$V$68,0)*'01_Input'!$Y$68))+IF('01_Input'!$AB$68="Forfait",IF(G$20&gt;='01_Input'!$Z$68,'01_Input'!$AC$68,0),IF('01_Input'!$AB$68="Palier",IF(AND(G$20&gt;='01_Input'!$Z$68,G$20&lt;'01_Input'!$AA$68),'01_Input'!$AC$68,0),MAX(MIN(G$20,'01_Input'!$AA$68)-'01_Input'!$Z$68,0)*'01_Input'!$AC$68)))))))))</f>
        <v>0</v>
      </c>
      <c r="H36" s="83">
        <f>IF('01_Input'!$C$68="Non",0,MIN('01_Input'!$I$68,MAX('01_Input'!$H$68,IF('01_Input'!$G$68="Résiduel vs Gestion",0,IF('01_Input'!$G$68="Taux Classe sélectionnée",Distrib_Global_Classe_Selectionnee*H$20,IF('01_Input'!$G$68="Frais KYC (paliers de 100M€)",MAX(0,Nb_Investisseurs-Nb_KYC_Gratuites_Par_Tranche*(FLOOR(H$20/Taille_Tranche_KYC,1)+1))*Cout_Par_KYC_Supplementaire,(IF('01_Input'!$L$68="Forfait",IF(H$20&gt;='01_Input'!$J$68,'01_Input'!$M$68,0),IF('01_Input'!$L$68="Palier",IF(AND(H$20&gt;='01_Input'!$J$68,H$20&lt;'01_Input'!$K$68),'01_Input'!$M$68,0),MAX(MIN(H$20,'01_Input'!$K$68)-'01_Input'!$J$68,0)*'01_Input'!$M$68))+IF('01_Input'!$P$68="Forfait",IF(H$20&gt;='01_Input'!$N$68,'01_Input'!$Q$68,0),IF('01_Input'!$P$68="Palier",IF(AND(H$20&gt;='01_Input'!$N$68,H$20&lt;'01_Input'!$O$68),'01_Input'!$Q$68,0),MAX(MIN(H$20,'01_Input'!$O$68)-'01_Input'!$N$68,0)*'01_Input'!$Q$68))+IF('01_Input'!$T$68="Forfait",IF(H$20&gt;='01_Input'!$R$68,'01_Input'!$U$68,0),IF('01_Input'!$T$68="Palier",IF(AND(H$20&gt;='01_Input'!$R$68,H$20&lt;'01_Input'!$S$68),'01_Input'!$U$68,0),MAX(MIN(H$20,'01_Input'!$S$68)-'01_Input'!$R$68,0)*'01_Input'!$U$68))+IF('01_Input'!$X$68="Forfait",IF(H$20&gt;='01_Input'!$V$68,'01_Input'!$Y$68,0),IF('01_Input'!$X$68="Palier",IF(AND(H$20&gt;='01_Input'!$V$68,H$20&lt;'01_Input'!$W$68),'01_Input'!$Y$68,0),MAX(MIN(H$20,'01_Input'!$W$68)-'01_Input'!$V$68,0)*'01_Input'!$Y$68))+IF('01_Input'!$AB$68="Forfait",IF(H$20&gt;='01_Input'!$Z$68,'01_Input'!$AC$68,0),IF('01_Input'!$AB$68="Palier",IF(AND(H$20&gt;='01_Input'!$Z$68,H$20&lt;'01_Input'!$AA$68),'01_Input'!$AC$68,0),MAX(MIN(H$20,'01_Input'!$AA$68)-'01_Input'!$Z$68,0)*'01_Input'!$AC$68)))))))))</f>
        <v>0</v>
      </c>
      <c r="I36" s="83">
        <f>IF('01_Input'!$C$68="Non",0,MIN('01_Input'!$I$68,MAX('01_Input'!$H$68,IF('01_Input'!$G$68="Résiduel vs Gestion",0,IF('01_Input'!$G$68="Taux Classe sélectionnée",Distrib_Global_Classe_Selectionnee*I$20,IF('01_Input'!$G$68="Frais KYC (paliers de 100M€)",MAX(0,Nb_Investisseurs-Nb_KYC_Gratuites_Par_Tranche*(FLOOR(I$20/Taille_Tranche_KYC,1)+1))*Cout_Par_KYC_Supplementaire,(IF('01_Input'!$L$68="Forfait",IF(I$20&gt;='01_Input'!$J$68,'01_Input'!$M$68,0),IF('01_Input'!$L$68="Palier",IF(AND(I$20&gt;='01_Input'!$J$68,I$20&lt;'01_Input'!$K$68),'01_Input'!$M$68,0),MAX(MIN(I$20,'01_Input'!$K$68)-'01_Input'!$J$68,0)*'01_Input'!$M$68))+IF('01_Input'!$P$68="Forfait",IF(I$20&gt;='01_Input'!$N$68,'01_Input'!$Q$68,0),IF('01_Input'!$P$68="Palier",IF(AND(I$20&gt;='01_Input'!$N$68,I$20&lt;'01_Input'!$O$68),'01_Input'!$Q$68,0),MAX(MIN(I$20,'01_Input'!$O$68)-'01_Input'!$N$68,0)*'01_Input'!$Q$68))+IF('01_Input'!$T$68="Forfait",IF(I$20&gt;='01_Input'!$R$68,'01_Input'!$U$68,0),IF('01_Input'!$T$68="Palier",IF(AND(I$20&gt;='01_Input'!$R$68,I$20&lt;'01_Input'!$S$68),'01_Input'!$U$68,0),MAX(MIN(I$20,'01_Input'!$S$68)-'01_Input'!$R$68,0)*'01_Input'!$U$68))+IF('01_Input'!$X$68="Forfait",IF(I$20&gt;='01_Input'!$V$68,'01_Input'!$Y$68,0),IF('01_Input'!$X$68="Palier",IF(AND(I$20&gt;='01_Input'!$V$68,I$20&lt;'01_Input'!$W$68),'01_Input'!$Y$68,0),MAX(MIN(I$20,'01_Input'!$W$68)-'01_Input'!$V$68,0)*'01_Input'!$Y$68))+IF('01_Input'!$AB$68="Forfait",IF(I$20&gt;='01_Input'!$Z$68,'01_Input'!$AC$68,0),IF('01_Input'!$AB$68="Palier",IF(AND(I$20&gt;='01_Input'!$Z$68,I$20&lt;'01_Input'!$AA$68),'01_Input'!$AC$68,0),MAX(MIN(I$20,'01_Input'!$AA$68)-'01_Input'!$Z$68,0)*'01_Input'!$AC$68)))))))))</f>
        <v>0</v>
      </c>
      <c r="J36" s="83">
        <f>IF('01_Input'!$C$68="Non",0,MIN('01_Input'!$I$68,MAX('01_Input'!$H$68,IF('01_Input'!$G$68="Résiduel vs Gestion",0,IF('01_Input'!$G$68="Taux Classe sélectionnée",Distrib_Global_Classe_Selectionnee*J$20,IF('01_Input'!$G$68="Frais KYC (paliers de 100M€)",MAX(0,Nb_Investisseurs-Nb_KYC_Gratuites_Par_Tranche*(FLOOR(J$20/Taille_Tranche_KYC,1)+1))*Cout_Par_KYC_Supplementaire,(IF('01_Input'!$L$68="Forfait",IF(J$20&gt;='01_Input'!$J$68,'01_Input'!$M$68,0),IF('01_Input'!$L$68="Palier",IF(AND(J$20&gt;='01_Input'!$J$68,J$20&lt;'01_Input'!$K$68),'01_Input'!$M$68,0),MAX(MIN(J$20,'01_Input'!$K$68)-'01_Input'!$J$68,0)*'01_Input'!$M$68))+IF('01_Input'!$P$68="Forfait",IF(J$20&gt;='01_Input'!$N$68,'01_Input'!$Q$68,0),IF('01_Input'!$P$68="Palier",IF(AND(J$20&gt;='01_Input'!$N$68,J$20&lt;'01_Input'!$O$68),'01_Input'!$Q$68,0),MAX(MIN(J$20,'01_Input'!$O$68)-'01_Input'!$N$68,0)*'01_Input'!$Q$68))+IF('01_Input'!$T$68="Forfait",IF(J$20&gt;='01_Input'!$R$68,'01_Input'!$U$68,0),IF('01_Input'!$T$68="Palier",IF(AND(J$20&gt;='01_Input'!$R$68,J$20&lt;'01_Input'!$S$68),'01_Input'!$U$68,0),MAX(MIN(J$20,'01_Input'!$S$68)-'01_Input'!$R$68,0)*'01_Input'!$U$68))+IF('01_Input'!$X$68="Forfait",IF(J$20&gt;='01_Input'!$V$68,'01_Input'!$Y$68,0),IF('01_Input'!$X$68="Palier",IF(AND(J$20&gt;='01_Input'!$V$68,J$20&lt;'01_Input'!$W$68),'01_Input'!$Y$68,0),MAX(MIN(J$20,'01_Input'!$W$68)-'01_Input'!$V$68,0)*'01_Input'!$Y$68))+IF('01_Input'!$AB$68="Forfait",IF(J$20&gt;='01_Input'!$Z$68,'01_Input'!$AC$68,0),IF('01_Input'!$AB$68="Palier",IF(AND(J$20&gt;='01_Input'!$Z$68,J$20&lt;'01_Input'!$AA$68),'01_Input'!$AC$68,0),MAX(MIN(J$20,'01_Input'!$AA$68)-'01_Input'!$Z$68,0)*'01_Input'!$AC$68)))))))))</f>
        <v>0</v>
      </c>
      <c r="K36" s="83">
        <f>IF('01_Input'!$C$68="Non",0,MIN('01_Input'!$I$68,MAX('01_Input'!$H$68,IF('01_Input'!$G$68="Résiduel vs Gestion",0,IF('01_Input'!$G$68="Taux Classe sélectionnée",Distrib_Global_Classe_Selectionnee*K$20,IF('01_Input'!$G$68="Frais KYC (paliers de 100M€)",MAX(0,Nb_Investisseurs-Nb_KYC_Gratuites_Par_Tranche*(FLOOR(K$20/Taille_Tranche_KYC,1)+1))*Cout_Par_KYC_Supplementaire,(IF('01_Input'!$L$68="Forfait",IF(K$20&gt;='01_Input'!$J$68,'01_Input'!$M$68,0),IF('01_Input'!$L$68="Palier",IF(AND(K$20&gt;='01_Input'!$J$68,K$20&lt;'01_Input'!$K$68),'01_Input'!$M$68,0),MAX(MIN(K$20,'01_Input'!$K$68)-'01_Input'!$J$68,0)*'01_Input'!$M$68))+IF('01_Input'!$P$68="Forfait",IF(K$20&gt;='01_Input'!$N$68,'01_Input'!$Q$68,0),IF('01_Input'!$P$68="Palier",IF(AND(K$20&gt;='01_Input'!$N$68,K$20&lt;'01_Input'!$O$68),'01_Input'!$Q$68,0),MAX(MIN(K$20,'01_Input'!$O$68)-'01_Input'!$N$68,0)*'01_Input'!$Q$68))+IF('01_Input'!$T$68="Forfait",IF(K$20&gt;='01_Input'!$R$68,'01_Input'!$U$68,0),IF('01_Input'!$T$68="Palier",IF(AND(K$20&gt;='01_Input'!$R$68,K$20&lt;'01_Input'!$S$68),'01_Input'!$U$68,0),MAX(MIN(K$20,'01_Input'!$S$68)-'01_Input'!$R$68,0)*'01_Input'!$U$68))+IF('01_Input'!$X$68="Forfait",IF(K$20&gt;='01_Input'!$V$68,'01_Input'!$Y$68,0),IF('01_Input'!$X$68="Palier",IF(AND(K$20&gt;='01_Input'!$V$68,K$20&lt;'01_Input'!$W$68),'01_Input'!$Y$68,0),MAX(MIN(K$20,'01_Input'!$W$68)-'01_Input'!$V$68,0)*'01_Input'!$Y$68))+IF('01_Input'!$AB$68="Forfait",IF(K$20&gt;='01_Input'!$Z$68,'01_Input'!$AC$68,0),IF('01_Input'!$AB$68="Palier",IF(AND(K$20&gt;='01_Input'!$Z$68,K$20&lt;'01_Input'!$AA$68),'01_Input'!$AC$68,0),MAX(MIN(K$20,'01_Input'!$AA$68)-'01_Input'!$Z$68,0)*'01_Input'!$AC$68)))))))))</f>
        <v>0</v>
      </c>
      <c r="L36" s="83">
        <f>IF('01_Input'!$C$68="Non",0,MIN('01_Input'!$I$68,MAX('01_Input'!$H$68,IF('01_Input'!$G$68="Résiduel vs Gestion",0,IF('01_Input'!$G$68="Taux Classe sélectionnée",Distrib_Global_Classe_Selectionnee*L$20,IF('01_Input'!$G$68="Frais KYC (paliers de 100M€)",MAX(0,Nb_Investisseurs-Nb_KYC_Gratuites_Par_Tranche*(FLOOR(L$20/Taille_Tranche_KYC,1)+1))*Cout_Par_KYC_Supplementaire,(IF('01_Input'!$L$68="Forfait",IF(L$20&gt;='01_Input'!$J$68,'01_Input'!$M$68,0),IF('01_Input'!$L$68="Palier",IF(AND(L$20&gt;='01_Input'!$J$68,L$20&lt;'01_Input'!$K$68),'01_Input'!$M$68,0),MAX(MIN(L$20,'01_Input'!$K$68)-'01_Input'!$J$68,0)*'01_Input'!$M$68))+IF('01_Input'!$P$68="Forfait",IF(L$20&gt;='01_Input'!$N$68,'01_Input'!$Q$68,0),IF('01_Input'!$P$68="Palier",IF(AND(L$20&gt;='01_Input'!$N$68,L$20&lt;'01_Input'!$O$68),'01_Input'!$Q$68,0),MAX(MIN(L$20,'01_Input'!$O$68)-'01_Input'!$N$68,0)*'01_Input'!$Q$68))+IF('01_Input'!$T$68="Forfait",IF(L$20&gt;='01_Input'!$R$68,'01_Input'!$U$68,0),IF('01_Input'!$T$68="Palier",IF(AND(L$20&gt;='01_Input'!$R$68,L$20&lt;'01_Input'!$S$68),'01_Input'!$U$68,0),MAX(MIN(L$20,'01_Input'!$S$68)-'01_Input'!$R$68,0)*'01_Input'!$U$68))+IF('01_Input'!$X$68="Forfait",IF(L$20&gt;='01_Input'!$V$68,'01_Input'!$Y$68,0),IF('01_Input'!$X$68="Palier",IF(AND(L$20&gt;='01_Input'!$V$68,L$20&lt;'01_Input'!$W$68),'01_Input'!$Y$68,0),MAX(MIN(L$20,'01_Input'!$W$68)-'01_Input'!$V$68,0)*'01_Input'!$Y$68))+IF('01_Input'!$AB$68="Forfait",IF(L$20&gt;='01_Input'!$Z$68,'01_Input'!$AC$68,0),IF('01_Input'!$AB$68="Palier",IF(AND(L$20&gt;='01_Input'!$Z$68,L$20&lt;'01_Input'!$AA$68),'01_Input'!$AC$68,0),MAX(MIN(L$20,'01_Input'!$AA$68)-'01_Input'!$Z$68,0)*'01_Input'!$AC$68)))))))))</f>
        <v>0</v>
      </c>
      <c r="M36" s="83">
        <f>IF('01_Input'!$C$68="Non",0,MIN('01_Input'!$I$68,MAX('01_Input'!$H$68,IF('01_Input'!$G$68="Résiduel vs Gestion",0,IF('01_Input'!$G$68="Taux Classe sélectionnée",Distrib_Global_Classe_Selectionnee*M$20,IF('01_Input'!$G$68="Frais KYC (paliers de 100M€)",MAX(0,Nb_Investisseurs-Nb_KYC_Gratuites_Par_Tranche*(FLOOR(M$20/Taille_Tranche_KYC,1)+1))*Cout_Par_KYC_Supplementaire,(IF('01_Input'!$L$68="Forfait",IF(M$20&gt;='01_Input'!$J$68,'01_Input'!$M$68,0),IF('01_Input'!$L$68="Palier",IF(AND(M$20&gt;='01_Input'!$J$68,M$20&lt;'01_Input'!$K$68),'01_Input'!$M$68,0),MAX(MIN(M$20,'01_Input'!$K$68)-'01_Input'!$J$68,0)*'01_Input'!$M$68))+IF('01_Input'!$P$68="Forfait",IF(M$20&gt;='01_Input'!$N$68,'01_Input'!$Q$68,0),IF('01_Input'!$P$68="Palier",IF(AND(M$20&gt;='01_Input'!$N$68,M$20&lt;'01_Input'!$O$68),'01_Input'!$Q$68,0),MAX(MIN(M$20,'01_Input'!$O$68)-'01_Input'!$N$68,0)*'01_Input'!$Q$68))+IF('01_Input'!$T$68="Forfait",IF(M$20&gt;='01_Input'!$R$68,'01_Input'!$U$68,0),IF('01_Input'!$T$68="Palier",IF(AND(M$20&gt;='01_Input'!$R$68,M$20&lt;'01_Input'!$S$68),'01_Input'!$U$68,0),MAX(MIN(M$20,'01_Input'!$S$68)-'01_Input'!$R$68,0)*'01_Input'!$U$68))+IF('01_Input'!$X$68="Forfait",IF(M$20&gt;='01_Input'!$V$68,'01_Input'!$Y$68,0),IF('01_Input'!$X$68="Palier",IF(AND(M$20&gt;='01_Input'!$V$68,M$20&lt;'01_Input'!$W$68),'01_Input'!$Y$68,0),MAX(MIN(M$20,'01_Input'!$W$68)-'01_Input'!$V$68,0)*'01_Input'!$Y$68))+IF('01_Input'!$AB$68="Forfait",IF(M$20&gt;='01_Input'!$Z$68,'01_Input'!$AC$68,0),IF('01_Input'!$AB$68="Palier",IF(AND(M$20&gt;='01_Input'!$Z$68,M$20&lt;'01_Input'!$AA$68),'01_Input'!$AC$68,0),MAX(MIN(M$20,'01_Input'!$AA$68)-'01_Input'!$Z$68,0)*'01_Input'!$AC$68)))))))))</f>
        <v>0</v>
      </c>
      <c r="N36" s="83">
        <f>IF('01_Input'!$C$68="Non",0,MIN('01_Input'!$I$68,MAX('01_Input'!$H$68,IF('01_Input'!$G$68="Résiduel vs Gestion",0,IF('01_Input'!$G$68="Taux Classe sélectionnée",Distrib_Global_Classe_Selectionnee*N$20,IF('01_Input'!$G$68="Frais KYC (paliers de 100M€)",MAX(0,Nb_Investisseurs-Nb_KYC_Gratuites_Par_Tranche*(FLOOR(N$20/Taille_Tranche_KYC,1)+1))*Cout_Par_KYC_Supplementaire,(IF('01_Input'!$L$68="Forfait",IF(N$20&gt;='01_Input'!$J$68,'01_Input'!$M$68,0),IF('01_Input'!$L$68="Palier",IF(AND(N$20&gt;='01_Input'!$J$68,N$20&lt;'01_Input'!$K$68),'01_Input'!$M$68,0),MAX(MIN(N$20,'01_Input'!$K$68)-'01_Input'!$J$68,0)*'01_Input'!$M$68))+IF('01_Input'!$P$68="Forfait",IF(N$20&gt;='01_Input'!$N$68,'01_Input'!$Q$68,0),IF('01_Input'!$P$68="Palier",IF(AND(N$20&gt;='01_Input'!$N$68,N$20&lt;'01_Input'!$O$68),'01_Input'!$Q$68,0),MAX(MIN(N$20,'01_Input'!$O$68)-'01_Input'!$N$68,0)*'01_Input'!$Q$68))+IF('01_Input'!$T$68="Forfait",IF(N$20&gt;='01_Input'!$R$68,'01_Input'!$U$68,0),IF('01_Input'!$T$68="Palier",IF(AND(N$20&gt;='01_Input'!$R$68,N$20&lt;'01_Input'!$S$68),'01_Input'!$U$68,0),MAX(MIN(N$20,'01_Input'!$S$68)-'01_Input'!$R$68,0)*'01_Input'!$U$68))+IF('01_Input'!$X$68="Forfait",IF(N$20&gt;='01_Input'!$V$68,'01_Input'!$Y$68,0),IF('01_Input'!$X$68="Palier",IF(AND(N$20&gt;='01_Input'!$V$68,N$20&lt;'01_Input'!$W$68),'01_Input'!$Y$68,0),MAX(MIN(N$20,'01_Input'!$W$68)-'01_Input'!$V$68,0)*'01_Input'!$Y$68))+IF('01_Input'!$AB$68="Forfait",IF(N$20&gt;='01_Input'!$Z$68,'01_Input'!$AC$68,0),IF('01_Input'!$AB$68="Palier",IF(AND(N$20&gt;='01_Input'!$Z$68,N$20&lt;'01_Input'!$AA$68),'01_Input'!$AC$68,0),MAX(MIN(N$20,'01_Input'!$AA$68)-'01_Input'!$Z$68,0)*'01_Input'!$AC$68)))))))))</f>
        <v>0</v>
      </c>
      <c r="O36" s="83">
        <f>IF('01_Input'!$C$68="Non",0,MIN('01_Input'!$I$68,MAX('01_Input'!$H$68,IF('01_Input'!$G$68="Résiduel vs Gestion",0,IF('01_Input'!$G$68="Taux Classe sélectionnée",Distrib_Global_Classe_Selectionnee*O$20,IF('01_Input'!$G$68="Frais KYC (paliers de 100M€)",MAX(0,Nb_Investisseurs-Nb_KYC_Gratuites_Par_Tranche*(FLOOR(O$20/Taille_Tranche_KYC,1)+1))*Cout_Par_KYC_Supplementaire,(IF('01_Input'!$L$68="Forfait",IF(O$20&gt;='01_Input'!$J$68,'01_Input'!$M$68,0),IF('01_Input'!$L$68="Palier",IF(AND(O$20&gt;='01_Input'!$J$68,O$20&lt;'01_Input'!$K$68),'01_Input'!$M$68,0),MAX(MIN(O$20,'01_Input'!$K$68)-'01_Input'!$J$68,0)*'01_Input'!$M$68))+IF('01_Input'!$P$68="Forfait",IF(O$20&gt;='01_Input'!$N$68,'01_Input'!$Q$68,0),IF('01_Input'!$P$68="Palier",IF(AND(O$20&gt;='01_Input'!$N$68,O$20&lt;'01_Input'!$O$68),'01_Input'!$Q$68,0),MAX(MIN(O$20,'01_Input'!$O$68)-'01_Input'!$N$68,0)*'01_Input'!$Q$68))+IF('01_Input'!$T$68="Forfait",IF(O$20&gt;='01_Input'!$R$68,'01_Input'!$U$68,0),IF('01_Input'!$T$68="Palier",IF(AND(O$20&gt;='01_Input'!$R$68,O$20&lt;'01_Input'!$S$68),'01_Input'!$U$68,0),MAX(MIN(O$20,'01_Input'!$S$68)-'01_Input'!$R$68,0)*'01_Input'!$U$68))+IF('01_Input'!$X$68="Forfait",IF(O$20&gt;='01_Input'!$V$68,'01_Input'!$Y$68,0),IF('01_Input'!$X$68="Palier",IF(AND(O$20&gt;='01_Input'!$V$68,O$20&lt;'01_Input'!$W$68),'01_Input'!$Y$68,0),MAX(MIN(O$20,'01_Input'!$W$68)-'01_Input'!$V$68,0)*'01_Input'!$Y$68))+IF('01_Input'!$AB$68="Forfait",IF(O$20&gt;='01_Input'!$Z$68,'01_Input'!$AC$68,0),IF('01_Input'!$AB$68="Palier",IF(AND(O$20&gt;='01_Input'!$Z$68,O$20&lt;'01_Input'!$AA$68),'01_Input'!$AC$68,0),MAX(MIN(O$20,'01_Input'!$AA$68)-'01_Input'!$Z$68,0)*'01_Input'!$AC$68)))))))))</f>
        <v>0</v>
      </c>
      <c r="P36" s="83">
        <f>IF('01_Input'!$C$68="Non",0,MIN('01_Input'!$I$68,MAX('01_Input'!$H$68,IF('01_Input'!$G$68="Résiduel vs Gestion",0,IF('01_Input'!$G$68="Taux Classe sélectionnée",Distrib_Global_Classe_Selectionnee*P$20,IF('01_Input'!$G$68="Frais KYC (paliers de 100M€)",MAX(0,Nb_Investisseurs-Nb_KYC_Gratuites_Par_Tranche*(FLOOR(P$20/Taille_Tranche_KYC,1)+1))*Cout_Par_KYC_Supplementaire,(IF('01_Input'!$L$68="Forfait",IF(P$20&gt;='01_Input'!$J$68,'01_Input'!$M$68,0),IF('01_Input'!$L$68="Palier",IF(AND(P$20&gt;='01_Input'!$J$68,P$20&lt;'01_Input'!$K$68),'01_Input'!$M$68,0),MAX(MIN(P$20,'01_Input'!$K$68)-'01_Input'!$J$68,0)*'01_Input'!$M$68))+IF('01_Input'!$P$68="Forfait",IF(P$20&gt;='01_Input'!$N$68,'01_Input'!$Q$68,0),IF('01_Input'!$P$68="Palier",IF(AND(P$20&gt;='01_Input'!$N$68,P$20&lt;'01_Input'!$O$68),'01_Input'!$Q$68,0),MAX(MIN(P$20,'01_Input'!$O$68)-'01_Input'!$N$68,0)*'01_Input'!$Q$68))+IF('01_Input'!$T$68="Forfait",IF(P$20&gt;='01_Input'!$R$68,'01_Input'!$U$68,0),IF('01_Input'!$T$68="Palier",IF(AND(P$20&gt;='01_Input'!$R$68,P$20&lt;'01_Input'!$S$68),'01_Input'!$U$68,0),MAX(MIN(P$20,'01_Input'!$S$68)-'01_Input'!$R$68,0)*'01_Input'!$U$68))+IF('01_Input'!$X$68="Forfait",IF(P$20&gt;='01_Input'!$V$68,'01_Input'!$Y$68,0),IF('01_Input'!$X$68="Palier",IF(AND(P$20&gt;='01_Input'!$V$68,P$20&lt;'01_Input'!$W$68),'01_Input'!$Y$68,0),MAX(MIN(P$20,'01_Input'!$W$68)-'01_Input'!$V$68,0)*'01_Input'!$Y$68))+IF('01_Input'!$AB$68="Forfait",IF(P$20&gt;='01_Input'!$Z$68,'01_Input'!$AC$68,0),IF('01_Input'!$AB$68="Palier",IF(AND(P$20&gt;='01_Input'!$Z$68,P$20&lt;'01_Input'!$AA$68),'01_Input'!$AC$68,0),MAX(MIN(P$20,'01_Input'!$AA$68)-'01_Input'!$Z$68,0)*'01_Input'!$AC$68)))))))))</f>
        <v>0</v>
      </c>
      <c r="Q36" s="83">
        <f>IF('01_Input'!$C$68="Non",0,MIN('01_Input'!$I$68,MAX('01_Input'!$H$68,IF('01_Input'!$G$68="Résiduel vs Gestion",0,IF('01_Input'!$G$68="Taux Classe sélectionnée",Distrib_Global_Classe_Selectionnee*Q$20,IF('01_Input'!$G$68="Frais KYC (paliers de 100M€)",MAX(0,Nb_Investisseurs-Nb_KYC_Gratuites_Par_Tranche*(FLOOR(Q$20/Taille_Tranche_KYC,1)+1))*Cout_Par_KYC_Supplementaire,(IF('01_Input'!$L$68="Forfait",IF(Q$20&gt;='01_Input'!$J$68,'01_Input'!$M$68,0),IF('01_Input'!$L$68="Palier",IF(AND(Q$20&gt;='01_Input'!$J$68,Q$20&lt;'01_Input'!$K$68),'01_Input'!$M$68,0),MAX(MIN(Q$20,'01_Input'!$K$68)-'01_Input'!$J$68,0)*'01_Input'!$M$68))+IF('01_Input'!$P$68="Forfait",IF(Q$20&gt;='01_Input'!$N$68,'01_Input'!$Q$68,0),IF('01_Input'!$P$68="Palier",IF(AND(Q$20&gt;='01_Input'!$N$68,Q$20&lt;'01_Input'!$O$68),'01_Input'!$Q$68,0),MAX(MIN(Q$20,'01_Input'!$O$68)-'01_Input'!$N$68,0)*'01_Input'!$Q$68))+IF('01_Input'!$T$68="Forfait",IF(Q$20&gt;='01_Input'!$R$68,'01_Input'!$U$68,0),IF('01_Input'!$T$68="Palier",IF(AND(Q$20&gt;='01_Input'!$R$68,Q$20&lt;'01_Input'!$S$68),'01_Input'!$U$68,0),MAX(MIN(Q$20,'01_Input'!$S$68)-'01_Input'!$R$68,0)*'01_Input'!$U$68))+IF('01_Input'!$X$68="Forfait",IF(Q$20&gt;='01_Input'!$V$68,'01_Input'!$Y$68,0),IF('01_Input'!$X$68="Palier",IF(AND(Q$20&gt;='01_Input'!$V$68,Q$20&lt;'01_Input'!$W$68),'01_Input'!$Y$68,0),MAX(MIN(Q$20,'01_Input'!$W$68)-'01_Input'!$V$68,0)*'01_Input'!$Y$68))+IF('01_Input'!$AB$68="Forfait",IF(Q$20&gt;='01_Input'!$Z$68,'01_Input'!$AC$68,0),IF('01_Input'!$AB$68="Palier",IF(AND(Q$20&gt;='01_Input'!$Z$68,Q$20&lt;'01_Input'!$AA$68),'01_Input'!$AC$68,0),MAX(MIN(Q$20,'01_Input'!$AA$68)-'01_Input'!$Z$68,0)*'01_Input'!$AC$68)))))))))</f>
        <v>0</v>
      </c>
      <c r="R36" s="83">
        <f>IF('01_Input'!$C$68="Non",0,MIN('01_Input'!$I$68,MAX('01_Input'!$H$68,IF('01_Input'!$G$68="Résiduel vs Gestion",0,IF('01_Input'!$G$68="Taux Classe sélectionnée",Distrib_Global_Classe_Selectionnee*R$20,IF('01_Input'!$G$68="Frais KYC (paliers de 100M€)",MAX(0,Nb_Investisseurs-Nb_KYC_Gratuites_Par_Tranche*(FLOOR(R$20/Taille_Tranche_KYC,1)+1))*Cout_Par_KYC_Supplementaire,(IF('01_Input'!$L$68="Forfait",IF(R$20&gt;='01_Input'!$J$68,'01_Input'!$M$68,0),IF('01_Input'!$L$68="Palier",IF(AND(R$20&gt;='01_Input'!$J$68,R$20&lt;'01_Input'!$K$68),'01_Input'!$M$68,0),MAX(MIN(R$20,'01_Input'!$K$68)-'01_Input'!$J$68,0)*'01_Input'!$M$68))+IF('01_Input'!$P$68="Forfait",IF(R$20&gt;='01_Input'!$N$68,'01_Input'!$Q$68,0),IF('01_Input'!$P$68="Palier",IF(AND(R$20&gt;='01_Input'!$N$68,R$20&lt;'01_Input'!$O$68),'01_Input'!$Q$68,0),MAX(MIN(R$20,'01_Input'!$O$68)-'01_Input'!$N$68,0)*'01_Input'!$Q$68))+IF('01_Input'!$T$68="Forfait",IF(R$20&gt;='01_Input'!$R$68,'01_Input'!$U$68,0),IF('01_Input'!$T$68="Palier",IF(AND(R$20&gt;='01_Input'!$R$68,R$20&lt;'01_Input'!$S$68),'01_Input'!$U$68,0),MAX(MIN(R$20,'01_Input'!$S$68)-'01_Input'!$R$68,0)*'01_Input'!$U$68))+IF('01_Input'!$X$68="Forfait",IF(R$20&gt;='01_Input'!$V$68,'01_Input'!$Y$68,0),IF('01_Input'!$X$68="Palier",IF(AND(R$20&gt;='01_Input'!$V$68,R$20&lt;'01_Input'!$W$68),'01_Input'!$Y$68,0),MAX(MIN(R$20,'01_Input'!$W$68)-'01_Input'!$V$68,0)*'01_Input'!$Y$68))+IF('01_Input'!$AB$68="Forfait",IF(R$20&gt;='01_Input'!$Z$68,'01_Input'!$AC$68,0),IF('01_Input'!$AB$68="Palier",IF(AND(R$20&gt;='01_Input'!$Z$68,R$20&lt;'01_Input'!$AA$68),'01_Input'!$AC$68,0),MAX(MIN(R$20,'01_Input'!$AA$68)-'01_Input'!$Z$68,0)*'01_Input'!$AC$68)))))))))</f>
        <v>0</v>
      </c>
      <c r="S36" s="83">
        <f>IF('01_Input'!$C$68="Non",0,MIN('01_Input'!$I$68,MAX('01_Input'!$H$68,IF('01_Input'!$G$68="Résiduel vs Gestion",0,IF('01_Input'!$G$68="Taux Classe sélectionnée",Distrib_Global_Classe_Selectionnee*S$20,IF('01_Input'!$G$68="Frais KYC (paliers de 100M€)",MAX(0,Nb_Investisseurs-Nb_KYC_Gratuites_Par_Tranche*(FLOOR(S$20/Taille_Tranche_KYC,1)+1))*Cout_Par_KYC_Supplementaire,(IF('01_Input'!$L$68="Forfait",IF(S$20&gt;='01_Input'!$J$68,'01_Input'!$M$68,0),IF('01_Input'!$L$68="Palier",IF(AND(S$20&gt;='01_Input'!$J$68,S$20&lt;'01_Input'!$K$68),'01_Input'!$M$68,0),MAX(MIN(S$20,'01_Input'!$K$68)-'01_Input'!$J$68,0)*'01_Input'!$M$68))+IF('01_Input'!$P$68="Forfait",IF(S$20&gt;='01_Input'!$N$68,'01_Input'!$Q$68,0),IF('01_Input'!$P$68="Palier",IF(AND(S$20&gt;='01_Input'!$N$68,S$20&lt;'01_Input'!$O$68),'01_Input'!$Q$68,0),MAX(MIN(S$20,'01_Input'!$O$68)-'01_Input'!$N$68,0)*'01_Input'!$Q$68))+IF('01_Input'!$T$68="Forfait",IF(S$20&gt;='01_Input'!$R$68,'01_Input'!$U$68,0),IF('01_Input'!$T$68="Palier",IF(AND(S$20&gt;='01_Input'!$R$68,S$20&lt;'01_Input'!$S$68),'01_Input'!$U$68,0),MAX(MIN(S$20,'01_Input'!$S$68)-'01_Input'!$R$68,0)*'01_Input'!$U$68))+IF('01_Input'!$X$68="Forfait",IF(S$20&gt;='01_Input'!$V$68,'01_Input'!$Y$68,0),IF('01_Input'!$X$68="Palier",IF(AND(S$20&gt;='01_Input'!$V$68,S$20&lt;'01_Input'!$W$68),'01_Input'!$Y$68,0),MAX(MIN(S$20,'01_Input'!$W$68)-'01_Input'!$V$68,0)*'01_Input'!$Y$68))+IF('01_Input'!$AB$68="Forfait",IF(S$20&gt;='01_Input'!$Z$68,'01_Input'!$AC$68,0),IF('01_Input'!$AB$68="Palier",IF(AND(S$20&gt;='01_Input'!$Z$68,S$20&lt;'01_Input'!$AA$68),'01_Input'!$AC$68,0),MAX(MIN(S$20,'01_Input'!$AA$68)-'01_Input'!$Z$68,0)*'01_Input'!$AC$68)))))))))</f>
        <v>0</v>
      </c>
      <c r="T36" s="83">
        <f>IF('01_Input'!$C$68="Non",0,MIN('01_Input'!$I$68,MAX('01_Input'!$H$68,IF('01_Input'!$G$68="Résiduel vs Gestion",0,IF('01_Input'!$G$68="Taux Classe sélectionnée",Distrib_Global_Classe_Selectionnee*T$20,IF('01_Input'!$G$68="Frais KYC (paliers de 100M€)",MAX(0,Nb_Investisseurs-Nb_KYC_Gratuites_Par_Tranche*(FLOOR(T$20/Taille_Tranche_KYC,1)+1))*Cout_Par_KYC_Supplementaire,(IF('01_Input'!$L$68="Forfait",IF(T$20&gt;='01_Input'!$J$68,'01_Input'!$M$68,0),IF('01_Input'!$L$68="Palier",IF(AND(T$20&gt;='01_Input'!$J$68,T$20&lt;'01_Input'!$K$68),'01_Input'!$M$68,0),MAX(MIN(T$20,'01_Input'!$K$68)-'01_Input'!$J$68,0)*'01_Input'!$M$68))+IF('01_Input'!$P$68="Forfait",IF(T$20&gt;='01_Input'!$N$68,'01_Input'!$Q$68,0),IF('01_Input'!$P$68="Palier",IF(AND(T$20&gt;='01_Input'!$N$68,T$20&lt;'01_Input'!$O$68),'01_Input'!$Q$68,0),MAX(MIN(T$20,'01_Input'!$O$68)-'01_Input'!$N$68,0)*'01_Input'!$Q$68))+IF('01_Input'!$T$68="Forfait",IF(T$20&gt;='01_Input'!$R$68,'01_Input'!$U$68,0),IF('01_Input'!$T$68="Palier",IF(AND(T$20&gt;='01_Input'!$R$68,T$20&lt;'01_Input'!$S$68),'01_Input'!$U$68,0),MAX(MIN(T$20,'01_Input'!$S$68)-'01_Input'!$R$68,0)*'01_Input'!$U$68))+IF('01_Input'!$X$68="Forfait",IF(T$20&gt;='01_Input'!$V$68,'01_Input'!$Y$68,0),IF('01_Input'!$X$68="Palier",IF(AND(T$20&gt;='01_Input'!$V$68,T$20&lt;'01_Input'!$W$68),'01_Input'!$Y$68,0),MAX(MIN(T$20,'01_Input'!$W$68)-'01_Input'!$V$68,0)*'01_Input'!$Y$68))+IF('01_Input'!$AB$68="Forfait",IF(T$20&gt;='01_Input'!$Z$68,'01_Input'!$AC$68,0),IF('01_Input'!$AB$68="Palier",IF(AND(T$20&gt;='01_Input'!$Z$68,T$20&lt;'01_Input'!$AA$68),'01_Input'!$AC$68,0),MAX(MIN(T$20,'01_Input'!$AA$68)-'01_Input'!$Z$68,0)*'01_Input'!$AC$68)))))))))</f>
        <v>0</v>
      </c>
      <c r="U36" s="83">
        <f>IF('01_Input'!$C$68="Non",0,MIN('01_Input'!$I$68,MAX('01_Input'!$H$68,IF('01_Input'!$G$68="Résiduel vs Gestion",0,IF('01_Input'!$G$68="Taux Classe sélectionnée",Distrib_Global_Classe_Selectionnee*U$20,IF('01_Input'!$G$68="Frais KYC (paliers de 100M€)",MAX(0,Nb_Investisseurs-Nb_KYC_Gratuites_Par_Tranche*(FLOOR(U$20/Taille_Tranche_KYC,1)+1))*Cout_Par_KYC_Supplementaire,(IF('01_Input'!$L$68="Forfait",IF(U$20&gt;='01_Input'!$J$68,'01_Input'!$M$68,0),IF('01_Input'!$L$68="Palier",IF(AND(U$20&gt;='01_Input'!$J$68,U$20&lt;'01_Input'!$K$68),'01_Input'!$M$68,0),MAX(MIN(U$20,'01_Input'!$K$68)-'01_Input'!$J$68,0)*'01_Input'!$M$68))+IF('01_Input'!$P$68="Forfait",IF(U$20&gt;='01_Input'!$N$68,'01_Input'!$Q$68,0),IF('01_Input'!$P$68="Palier",IF(AND(U$20&gt;='01_Input'!$N$68,U$20&lt;'01_Input'!$O$68),'01_Input'!$Q$68,0),MAX(MIN(U$20,'01_Input'!$O$68)-'01_Input'!$N$68,0)*'01_Input'!$Q$68))+IF('01_Input'!$T$68="Forfait",IF(U$20&gt;='01_Input'!$R$68,'01_Input'!$U$68,0),IF('01_Input'!$T$68="Palier",IF(AND(U$20&gt;='01_Input'!$R$68,U$20&lt;'01_Input'!$S$68),'01_Input'!$U$68,0),MAX(MIN(U$20,'01_Input'!$S$68)-'01_Input'!$R$68,0)*'01_Input'!$U$68))+IF('01_Input'!$X$68="Forfait",IF(U$20&gt;='01_Input'!$V$68,'01_Input'!$Y$68,0),IF('01_Input'!$X$68="Palier",IF(AND(U$20&gt;='01_Input'!$V$68,U$20&lt;'01_Input'!$W$68),'01_Input'!$Y$68,0),MAX(MIN(U$20,'01_Input'!$W$68)-'01_Input'!$V$68,0)*'01_Input'!$Y$68))+IF('01_Input'!$AB$68="Forfait",IF(U$20&gt;='01_Input'!$Z$68,'01_Input'!$AC$68,0),IF('01_Input'!$AB$68="Palier",IF(AND(U$20&gt;='01_Input'!$Z$68,U$20&lt;'01_Input'!$AA$68),'01_Input'!$AC$68,0),MAX(MIN(U$20,'01_Input'!$AA$68)-'01_Input'!$Z$68,0)*'01_Input'!$AC$68)))))))))</f>
        <v>0</v>
      </c>
      <c r="V36" s="83">
        <f>IF('01_Input'!$C$68="Non",0,MIN('01_Input'!$I$68,MAX('01_Input'!$H$68,IF('01_Input'!$G$68="Résiduel vs Gestion",0,IF('01_Input'!$G$68="Taux Classe sélectionnée",Distrib_Global_Classe_Selectionnee*V$20,IF('01_Input'!$G$68="Frais KYC (paliers de 100M€)",MAX(0,Nb_Investisseurs-Nb_KYC_Gratuites_Par_Tranche*(FLOOR(V$20/Taille_Tranche_KYC,1)+1))*Cout_Par_KYC_Supplementaire,(IF('01_Input'!$L$68="Forfait",IF(V$20&gt;='01_Input'!$J$68,'01_Input'!$M$68,0),IF('01_Input'!$L$68="Palier",IF(AND(V$20&gt;='01_Input'!$J$68,V$20&lt;'01_Input'!$K$68),'01_Input'!$M$68,0),MAX(MIN(V$20,'01_Input'!$K$68)-'01_Input'!$J$68,0)*'01_Input'!$M$68))+IF('01_Input'!$P$68="Forfait",IF(V$20&gt;='01_Input'!$N$68,'01_Input'!$Q$68,0),IF('01_Input'!$P$68="Palier",IF(AND(V$20&gt;='01_Input'!$N$68,V$20&lt;'01_Input'!$O$68),'01_Input'!$Q$68,0),MAX(MIN(V$20,'01_Input'!$O$68)-'01_Input'!$N$68,0)*'01_Input'!$Q$68))+IF('01_Input'!$T$68="Forfait",IF(V$20&gt;='01_Input'!$R$68,'01_Input'!$U$68,0),IF('01_Input'!$T$68="Palier",IF(AND(V$20&gt;='01_Input'!$R$68,V$20&lt;'01_Input'!$S$68),'01_Input'!$U$68,0),MAX(MIN(V$20,'01_Input'!$S$68)-'01_Input'!$R$68,0)*'01_Input'!$U$68))+IF('01_Input'!$X$68="Forfait",IF(V$20&gt;='01_Input'!$V$68,'01_Input'!$Y$68,0),IF('01_Input'!$X$68="Palier",IF(AND(V$20&gt;='01_Input'!$V$68,V$20&lt;'01_Input'!$W$68),'01_Input'!$Y$68,0),MAX(MIN(V$20,'01_Input'!$W$68)-'01_Input'!$V$68,0)*'01_Input'!$Y$68))+IF('01_Input'!$AB$68="Forfait",IF(V$20&gt;='01_Input'!$Z$68,'01_Input'!$AC$68,0),IF('01_Input'!$AB$68="Palier",IF(AND(V$20&gt;='01_Input'!$Z$68,V$20&lt;'01_Input'!$AA$68),'01_Input'!$AC$68,0),MAX(MIN(V$20,'01_Input'!$AA$68)-'01_Input'!$Z$68,0)*'01_Input'!$AC$68)))))))))</f>
        <v>0</v>
      </c>
      <c r="W36" s="83">
        <f>IF('01_Input'!$C$68="Non",0,MIN('01_Input'!$I$68,MAX('01_Input'!$H$68,IF('01_Input'!$G$68="Résiduel vs Gestion",0,IF('01_Input'!$G$68="Taux Classe sélectionnée",Distrib_Global_Classe_Selectionnee*W$20,IF('01_Input'!$G$68="Frais KYC (paliers de 100M€)",MAX(0,Nb_Investisseurs-Nb_KYC_Gratuites_Par_Tranche*(FLOOR(W$20/Taille_Tranche_KYC,1)+1))*Cout_Par_KYC_Supplementaire,(IF('01_Input'!$L$68="Forfait",IF(W$20&gt;='01_Input'!$J$68,'01_Input'!$M$68,0),IF('01_Input'!$L$68="Palier",IF(AND(W$20&gt;='01_Input'!$J$68,W$20&lt;'01_Input'!$K$68),'01_Input'!$M$68,0),MAX(MIN(W$20,'01_Input'!$K$68)-'01_Input'!$J$68,0)*'01_Input'!$M$68))+IF('01_Input'!$P$68="Forfait",IF(W$20&gt;='01_Input'!$N$68,'01_Input'!$Q$68,0),IF('01_Input'!$P$68="Palier",IF(AND(W$20&gt;='01_Input'!$N$68,W$20&lt;'01_Input'!$O$68),'01_Input'!$Q$68,0),MAX(MIN(W$20,'01_Input'!$O$68)-'01_Input'!$N$68,0)*'01_Input'!$Q$68))+IF('01_Input'!$T$68="Forfait",IF(W$20&gt;='01_Input'!$R$68,'01_Input'!$U$68,0),IF('01_Input'!$T$68="Palier",IF(AND(W$20&gt;='01_Input'!$R$68,W$20&lt;'01_Input'!$S$68),'01_Input'!$U$68,0),MAX(MIN(W$20,'01_Input'!$S$68)-'01_Input'!$R$68,0)*'01_Input'!$U$68))+IF('01_Input'!$X$68="Forfait",IF(W$20&gt;='01_Input'!$V$68,'01_Input'!$Y$68,0),IF('01_Input'!$X$68="Palier",IF(AND(W$20&gt;='01_Input'!$V$68,W$20&lt;'01_Input'!$W$68),'01_Input'!$Y$68,0),MAX(MIN(W$20,'01_Input'!$W$68)-'01_Input'!$V$68,0)*'01_Input'!$Y$68))+IF('01_Input'!$AB$68="Forfait",IF(W$20&gt;='01_Input'!$Z$68,'01_Input'!$AC$68,0),IF('01_Input'!$AB$68="Palier",IF(AND(W$20&gt;='01_Input'!$Z$68,W$20&lt;'01_Input'!$AA$68),'01_Input'!$AC$68,0),MAX(MIN(W$20,'01_Input'!$AA$68)-'01_Input'!$Z$68,0)*'01_Input'!$AC$68)))))))))</f>
        <v>0</v>
      </c>
      <c r="X36" s="83">
        <f>IF('01_Input'!$C$68="Non",0,MIN('01_Input'!$I$68,MAX('01_Input'!$H$68,IF('01_Input'!$G$68="Résiduel vs Gestion",0,IF('01_Input'!$G$68="Taux Classe sélectionnée",Distrib_Global_Classe_Selectionnee*X$20,IF('01_Input'!$G$68="Frais KYC (paliers de 100M€)",MAX(0,Nb_Investisseurs-Nb_KYC_Gratuites_Par_Tranche*(FLOOR(X$20/Taille_Tranche_KYC,1)+1))*Cout_Par_KYC_Supplementaire,(IF('01_Input'!$L$68="Forfait",IF(X$20&gt;='01_Input'!$J$68,'01_Input'!$M$68,0),IF('01_Input'!$L$68="Palier",IF(AND(X$20&gt;='01_Input'!$J$68,X$20&lt;'01_Input'!$K$68),'01_Input'!$M$68,0),MAX(MIN(X$20,'01_Input'!$K$68)-'01_Input'!$J$68,0)*'01_Input'!$M$68))+IF('01_Input'!$P$68="Forfait",IF(X$20&gt;='01_Input'!$N$68,'01_Input'!$Q$68,0),IF('01_Input'!$P$68="Palier",IF(AND(X$20&gt;='01_Input'!$N$68,X$20&lt;'01_Input'!$O$68),'01_Input'!$Q$68,0),MAX(MIN(X$20,'01_Input'!$O$68)-'01_Input'!$N$68,0)*'01_Input'!$Q$68))+IF('01_Input'!$T$68="Forfait",IF(X$20&gt;='01_Input'!$R$68,'01_Input'!$U$68,0),IF('01_Input'!$T$68="Palier",IF(AND(X$20&gt;='01_Input'!$R$68,X$20&lt;'01_Input'!$S$68),'01_Input'!$U$68,0),MAX(MIN(X$20,'01_Input'!$S$68)-'01_Input'!$R$68,0)*'01_Input'!$U$68))+IF('01_Input'!$X$68="Forfait",IF(X$20&gt;='01_Input'!$V$68,'01_Input'!$Y$68,0),IF('01_Input'!$X$68="Palier",IF(AND(X$20&gt;='01_Input'!$V$68,X$20&lt;'01_Input'!$W$68),'01_Input'!$Y$68,0),MAX(MIN(X$20,'01_Input'!$W$68)-'01_Input'!$V$68,0)*'01_Input'!$Y$68))+IF('01_Input'!$AB$68="Forfait",IF(X$20&gt;='01_Input'!$Z$68,'01_Input'!$AC$68,0),IF('01_Input'!$AB$68="Palier",IF(AND(X$20&gt;='01_Input'!$Z$68,X$20&lt;'01_Input'!$AA$68),'01_Input'!$AC$68,0),MAX(MIN(X$20,'01_Input'!$AA$68)-'01_Input'!$Z$68,0)*'01_Input'!$AC$68)))))))))</f>
        <v>0</v>
      </c>
      <c r="Y36" s="83">
        <f>IF('01_Input'!$C$68="Non",0,MIN('01_Input'!$I$68,MAX('01_Input'!$H$68,IF('01_Input'!$G$68="Résiduel vs Gestion",0,IF('01_Input'!$G$68="Taux Classe sélectionnée",Distrib_Global_Classe_Selectionnee*Y$20,IF('01_Input'!$G$68="Frais KYC (paliers de 100M€)",MAX(0,Nb_Investisseurs-Nb_KYC_Gratuites_Par_Tranche*(FLOOR(Y$20/Taille_Tranche_KYC,1)+1))*Cout_Par_KYC_Supplementaire,(IF('01_Input'!$L$68="Forfait",IF(Y$20&gt;='01_Input'!$J$68,'01_Input'!$M$68,0),IF('01_Input'!$L$68="Palier",IF(AND(Y$20&gt;='01_Input'!$J$68,Y$20&lt;'01_Input'!$K$68),'01_Input'!$M$68,0),MAX(MIN(Y$20,'01_Input'!$K$68)-'01_Input'!$J$68,0)*'01_Input'!$M$68))+IF('01_Input'!$P$68="Forfait",IF(Y$20&gt;='01_Input'!$N$68,'01_Input'!$Q$68,0),IF('01_Input'!$P$68="Palier",IF(AND(Y$20&gt;='01_Input'!$N$68,Y$20&lt;'01_Input'!$O$68),'01_Input'!$Q$68,0),MAX(MIN(Y$20,'01_Input'!$O$68)-'01_Input'!$N$68,0)*'01_Input'!$Q$68))+IF('01_Input'!$T$68="Forfait",IF(Y$20&gt;='01_Input'!$R$68,'01_Input'!$U$68,0),IF('01_Input'!$T$68="Palier",IF(AND(Y$20&gt;='01_Input'!$R$68,Y$20&lt;'01_Input'!$S$68),'01_Input'!$U$68,0),MAX(MIN(Y$20,'01_Input'!$S$68)-'01_Input'!$R$68,0)*'01_Input'!$U$68))+IF('01_Input'!$X$68="Forfait",IF(Y$20&gt;='01_Input'!$V$68,'01_Input'!$Y$68,0),IF('01_Input'!$X$68="Palier",IF(AND(Y$20&gt;='01_Input'!$V$68,Y$20&lt;'01_Input'!$W$68),'01_Input'!$Y$68,0),MAX(MIN(Y$20,'01_Input'!$W$68)-'01_Input'!$V$68,0)*'01_Input'!$Y$68))+IF('01_Input'!$AB$68="Forfait",IF(Y$20&gt;='01_Input'!$Z$68,'01_Input'!$AC$68,0),IF('01_Input'!$AB$68="Palier",IF(AND(Y$20&gt;='01_Input'!$Z$68,Y$20&lt;'01_Input'!$AA$68),'01_Input'!$AC$68,0),MAX(MIN(Y$20,'01_Input'!$AA$68)-'01_Input'!$Z$68,0)*'01_Input'!$AC$68)))))))))</f>
        <v>0</v>
      </c>
      <c r="Z36" s="83">
        <f>IF('01_Input'!$C$68="Non",0,MIN('01_Input'!$I$68,MAX('01_Input'!$H$68,IF('01_Input'!$G$68="Résiduel vs Gestion",0,IF('01_Input'!$G$68="Taux Classe sélectionnée",Distrib_Global_Classe_Selectionnee*Z$20,IF('01_Input'!$G$68="Frais KYC (paliers de 100M€)",MAX(0,Nb_Investisseurs-Nb_KYC_Gratuites_Par_Tranche*(FLOOR(Z$20/Taille_Tranche_KYC,1)+1))*Cout_Par_KYC_Supplementaire,(IF('01_Input'!$L$68="Forfait",IF(Z$20&gt;='01_Input'!$J$68,'01_Input'!$M$68,0),IF('01_Input'!$L$68="Palier",IF(AND(Z$20&gt;='01_Input'!$J$68,Z$20&lt;'01_Input'!$K$68),'01_Input'!$M$68,0),MAX(MIN(Z$20,'01_Input'!$K$68)-'01_Input'!$J$68,0)*'01_Input'!$M$68))+IF('01_Input'!$P$68="Forfait",IF(Z$20&gt;='01_Input'!$N$68,'01_Input'!$Q$68,0),IF('01_Input'!$P$68="Palier",IF(AND(Z$20&gt;='01_Input'!$N$68,Z$20&lt;'01_Input'!$O$68),'01_Input'!$Q$68,0),MAX(MIN(Z$20,'01_Input'!$O$68)-'01_Input'!$N$68,0)*'01_Input'!$Q$68))+IF('01_Input'!$T$68="Forfait",IF(Z$20&gt;='01_Input'!$R$68,'01_Input'!$U$68,0),IF('01_Input'!$T$68="Palier",IF(AND(Z$20&gt;='01_Input'!$R$68,Z$20&lt;'01_Input'!$S$68),'01_Input'!$U$68,0),MAX(MIN(Z$20,'01_Input'!$S$68)-'01_Input'!$R$68,0)*'01_Input'!$U$68))+IF('01_Input'!$X$68="Forfait",IF(Z$20&gt;='01_Input'!$V$68,'01_Input'!$Y$68,0),IF('01_Input'!$X$68="Palier",IF(AND(Z$20&gt;='01_Input'!$V$68,Z$20&lt;'01_Input'!$W$68),'01_Input'!$Y$68,0),MAX(MIN(Z$20,'01_Input'!$W$68)-'01_Input'!$V$68,0)*'01_Input'!$Y$68))+IF('01_Input'!$AB$68="Forfait",IF(Z$20&gt;='01_Input'!$Z$68,'01_Input'!$AC$68,0),IF('01_Input'!$AB$68="Palier",IF(AND(Z$20&gt;='01_Input'!$Z$68,Z$20&lt;'01_Input'!$AA$68),'01_Input'!$AC$68,0),MAX(MIN(Z$20,'01_Input'!$AA$68)-'01_Input'!$Z$68,0)*'01_Input'!$AC$68)))))))))</f>
        <v>0</v>
      </c>
      <c r="AA36" s="83">
        <f>IF('01_Input'!$C$68="Non",0,MIN('01_Input'!$I$68,MAX('01_Input'!$H$68,IF('01_Input'!$G$68="Résiduel vs Gestion",0,IF('01_Input'!$G$68="Taux Classe sélectionnée",Distrib_Global_Classe_Selectionnee*AA$20,IF('01_Input'!$G$68="Frais KYC (paliers de 100M€)",MAX(0,Nb_Investisseurs-Nb_KYC_Gratuites_Par_Tranche*(FLOOR(AA$20/Taille_Tranche_KYC,1)+1))*Cout_Par_KYC_Supplementaire,(IF('01_Input'!$L$68="Forfait",IF(AA$20&gt;='01_Input'!$J$68,'01_Input'!$M$68,0),IF('01_Input'!$L$68="Palier",IF(AND(AA$20&gt;='01_Input'!$J$68,AA$20&lt;'01_Input'!$K$68),'01_Input'!$M$68,0),MAX(MIN(AA$20,'01_Input'!$K$68)-'01_Input'!$J$68,0)*'01_Input'!$M$68))+IF('01_Input'!$P$68="Forfait",IF(AA$20&gt;='01_Input'!$N$68,'01_Input'!$Q$68,0),IF('01_Input'!$P$68="Palier",IF(AND(AA$20&gt;='01_Input'!$N$68,AA$20&lt;'01_Input'!$O$68),'01_Input'!$Q$68,0),MAX(MIN(AA$20,'01_Input'!$O$68)-'01_Input'!$N$68,0)*'01_Input'!$Q$68))+IF('01_Input'!$T$68="Forfait",IF(AA$20&gt;='01_Input'!$R$68,'01_Input'!$U$68,0),IF('01_Input'!$T$68="Palier",IF(AND(AA$20&gt;='01_Input'!$R$68,AA$20&lt;'01_Input'!$S$68),'01_Input'!$U$68,0),MAX(MIN(AA$20,'01_Input'!$S$68)-'01_Input'!$R$68,0)*'01_Input'!$U$68))+IF('01_Input'!$X$68="Forfait",IF(AA$20&gt;='01_Input'!$V$68,'01_Input'!$Y$68,0),IF('01_Input'!$X$68="Palier",IF(AND(AA$20&gt;='01_Input'!$V$68,AA$20&lt;'01_Input'!$W$68),'01_Input'!$Y$68,0),MAX(MIN(AA$20,'01_Input'!$W$68)-'01_Input'!$V$68,0)*'01_Input'!$Y$68))+IF('01_Input'!$AB$68="Forfait",IF(AA$20&gt;='01_Input'!$Z$68,'01_Input'!$AC$68,0),IF('01_Input'!$AB$68="Palier",IF(AND(AA$20&gt;='01_Input'!$Z$68,AA$20&lt;'01_Input'!$AA$68),'01_Input'!$AC$68,0),MAX(MIN(AA$20,'01_Input'!$AA$68)-'01_Input'!$Z$68,0)*'01_Input'!$AC$68)))))))))</f>
        <v>0</v>
      </c>
      <c r="AB36" s="83">
        <f>IF('01_Input'!$C$68="Non",0,MIN('01_Input'!$I$68,MAX('01_Input'!$H$68,IF('01_Input'!$G$68="Résiduel vs Gestion",0,IF('01_Input'!$G$68="Taux Classe sélectionnée",Distrib_Global_Classe_Selectionnee*AB$20,IF('01_Input'!$G$68="Frais KYC (paliers de 100M€)",MAX(0,Nb_Investisseurs-Nb_KYC_Gratuites_Par_Tranche*(FLOOR(AB$20/Taille_Tranche_KYC,1)+1))*Cout_Par_KYC_Supplementaire,(IF('01_Input'!$L$68="Forfait",IF(AB$20&gt;='01_Input'!$J$68,'01_Input'!$M$68,0),IF('01_Input'!$L$68="Palier",IF(AND(AB$20&gt;='01_Input'!$J$68,AB$20&lt;'01_Input'!$K$68),'01_Input'!$M$68,0),MAX(MIN(AB$20,'01_Input'!$K$68)-'01_Input'!$J$68,0)*'01_Input'!$M$68))+IF('01_Input'!$P$68="Forfait",IF(AB$20&gt;='01_Input'!$N$68,'01_Input'!$Q$68,0),IF('01_Input'!$P$68="Palier",IF(AND(AB$20&gt;='01_Input'!$N$68,AB$20&lt;'01_Input'!$O$68),'01_Input'!$Q$68,0),MAX(MIN(AB$20,'01_Input'!$O$68)-'01_Input'!$N$68,0)*'01_Input'!$Q$68))+IF('01_Input'!$T$68="Forfait",IF(AB$20&gt;='01_Input'!$R$68,'01_Input'!$U$68,0),IF('01_Input'!$T$68="Palier",IF(AND(AB$20&gt;='01_Input'!$R$68,AB$20&lt;'01_Input'!$S$68),'01_Input'!$U$68,0),MAX(MIN(AB$20,'01_Input'!$S$68)-'01_Input'!$R$68,0)*'01_Input'!$U$68))+IF('01_Input'!$X$68="Forfait",IF(AB$20&gt;='01_Input'!$V$68,'01_Input'!$Y$68,0),IF('01_Input'!$X$68="Palier",IF(AND(AB$20&gt;='01_Input'!$V$68,AB$20&lt;'01_Input'!$W$68),'01_Input'!$Y$68,0),MAX(MIN(AB$20,'01_Input'!$W$68)-'01_Input'!$V$68,0)*'01_Input'!$Y$68))+IF('01_Input'!$AB$68="Forfait",IF(AB$20&gt;='01_Input'!$Z$68,'01_Input'!$AC$68,0),IF('01_Input'!$AB$68="Palier",IF(AND(AB$20&gt;='01_Input'!$Z$68,AB$20&lt;'01_Input'!$AA$68),'01_Input'!$AC$68,0),MAX(MIN(AB$20,'01_Input'!$AA$68)-'01_Input'!$Z$68,0)*'01_Input'!$AC$68)))))))))</f>
        <v>0</v>
      </c>
      <c r="AC36" s="83">
        <f>IF('01_Input'!$C$68="Non",0,MIN('01_Input'!$I$68,MAX('01_Input'!$H$68,IF('01_Input'!$G$68="Résiduel vs Gestion",0,IF('01_Input'!$G$68="Taux Classe sélectionnée",Distrib_Global_Classe_Selectionnee*AC$20,IF('01_Input'!$G$68="Frais KYC (paliers de 100M€)",MAX(0,Nb_Investisseurs-Nb_KYC_Gratuites_Par_Tranche*(FLOOR(AC$20/Taille_Tranche_KYC,1)+1))*Cout_Par_KYC_Supplementaire,(IF('01_Input'!$L$68="Forfait",IF(AC$20&gt;='01_Input'!$J$68,'01_Input'!$M$68,0),IF('01_Input'!$L$68="Palier",IF(AND(AC$20&gt;='01_Input'!$J$68,AC$20&lt;'01_Input'!$K$68),'01_Input'!$M$68,0),MAX(MIN(AC$20,'01_Input'!$K$68)-'01_Input'!$J$68,0)*'01_Input'!$M$68))+IF('01_Input'!$P$68="Forfait",IF(AC$20&gt;='01_Input'!$N$68,'01_Input'!$Q$68,0),IF('01_Input'!$P$68="Palier",IF(AND(AC$20&gt;='01_Input'!$N$68,AC$20&lt;'01_Input'!$O$68),'01_Input'!$Q$68,0),MAX(MIN(AC$20,'01_Input'!$O$68)-'01_Input'!$N$68,0)*'01_Input'!$Q$68))+IF('01_Input'!$T$68="Forfait",IF(AC$20&gt;='01_Input'!$R$68,'01_Input'!$U$68,0),IF('01_Input'!$T$68="Palier",IF(AND(AC$20&gt;='01_Input'!$R$68,AC$20&lt;'01_Input'!$S$68),'01_Input'!$U$68,0),MAX(MIN(AC$20,'01_Input'!$S$68)-'01_Input'!$R$68,0)*'01_Input'!$U$68))+IF('01_Input'!$X$68="Forfait",IF(AC$20&gt;='01_Input'!$V$68,'01_Input'!$Y$68,0),IF('01_Input'!$X$68="Palier",IF(AND(AC$20&gt;='01_Input'!$V$68,AC$20&lt;'01_Input'!$W$68),'01_Input'!$Y$68,0),MAX(MIN(AC$20,'01_Input'!$W$68)-'01_Input'!$V$68,0)*'01_Input'!$Y$68))+IF('01_Input'!$AB$68="Forfait",IF(AC$20&gt;='01_Input'!$Z$68,'01_Input'!$AC$68,0),IF('01_Input'!$AB$68="Palier",IF(AND(AC$20&gt;='01_Input'!$Z$68,AC$20&lt;'01_Input'!$AA$68),'01_Input'!$AC$68,0),MAX(MIN(AC$20,'01_Input'!$AA$68)-'01_Input'!$Z$68,0)*'01_Input'!$AC$68)))))))))</f>
        <v>0</v>
      </c>
      <c r="AD36" s="83">
        <f>IF('01_Input'!$C$68="Non",0,MIN('01_Input'!$I$68,MAX('01_Input'!$H$68,IF('01_Input'!$G$68="Résiduel vs Gestion",0,IF('01_Input'!$G$68="Taux Classe sélectionnée",Distrib_Global_Classe_Selectionnee*AD$20,IF('01_Input'!$G$68="Frais KYC (paliers de 100M€)",MAX(0,Nb_Investisseurs-Nb_KYC_Gratuites_Par_Tranche*(FLOOR(AD$20/Taille_Tranche_KYC,1)+1))*Cout_Par_KYC_Supplementaire,(IF('01_Input'!$L$68="Forfait",IF(AD$20&gt;='01_Input'!$J$68,'01_Input'!$M$68,0),IF('01_Input'!$L$68="Palier",IF(AND(AD$20&gt;='01_Input'!$J$68,AD$20&lt;'01_Input'!$K$68),'01_Input'!$M$68,0),MAX(MIN(AD$20,'01_Input'!$K$68)-'01_Input'!$J$68,0)*'01_Input'!$M$68))+IF('01_Input'!$P$68="Forfait",IF(AD$20&gt;='01_Input'!$N$68,'01_Input'!$Q$68,0),IF('01_Input'!$P$68="Palier",IF(AND(AD$20&gt;='01_Input'!$N$68,AD$20&lt;'01_Input'!$O$68),'01_Input'!$Q$68,0),MAX(MIN(AD$20,'01_Input'!$O$68)-'01_Input'!$N$68,0)*'01_Input'!$Q$68))+IF('01_Input'!$T$68="Forfait",IF(AD$20&gt;='01_Input'!$R$68,'01_Input'!$U$68,0),IF('01_Input'!$T$68="Palier",IF(AND(AD$20&gt;='01_Input'!$R$68,AD$20&lt;'01_Input'!$S$68),'01_Input'!$U$68,0),MAX(MIN(AD$20,'01_Input'!$S$68)-'01_Input'!$R$68,0)*'01_Input'!$U$68))+IF('01_Input'!$X$68="Forfait",IF(AD$20&gt;='01_Input'!$V$68,'01_Input'!$Y$68,0),IF('01_Input'!$X$68="Palier",IF(AND(AD$20&gt;='01_Input'!$V$68,AD$20&lt;'01_Input'!$W$68),'01_Input'!$Y$68,0),MAX(MIN(AD$20,'01_Input'!$W$68)-'01_Input'!$V$68,0)*'01_Input'!$Y$68))+IF('01_Input'!$AB$68="Forfait",IF(AD$20&gt;='01_Input'!$Z$68,'01_Input'!$AC$68,0),IF('01_Input'!$AB$68="Palier",IF(AND(AD$20&gt;='01_Input'!$Z$68,AD$20&lt;'01_Input'!$AA$68),'01_Input'!$AC$68,0),MAX(MIN(AD$20,'01_Input'!$AA$68)-'01_Input'!$Z$68,0)*'01_Input'!$AC$68)))))))))</f>
        <v>0</v>
      </c>
      <c r="AE36" s="83">
        <f>IF('01_Input'!$C$68="Non",0,MIN('01_Input'!$I$68,MAX('01_Input'!$H$68,IF('01_Input'!$G$68="Résiduel vs Gestion",0,IF('01_Input'!$G$68="Taux Classe sélectionnée",Distrib_Global_Classe_Selectionnee*AE$20,IF('01_Input'!$G$68="Frais KYC (paliers de 100M€)",MAX(0,Nb_Investisseurs-Nb_KYC_Gratuites_Par_Tranche*(FLOOR(AE$20/Taille_Tranche_KYC,1)+1))*Cout_Par_KYC_Supplementaire,(IF('01_Input'!$L$68="Forfait",IF(AE$20&gt;='01_Input'!$J$68,'01_Input'!$M$68,0),IF('01_Input'!$L$68="Palier",IF(AND(AE$20&gt;='01_Input'!$J$68,AE$20&lt;'01_Input'!$K$68),'01_Input'!$M$68,0),MAX(MIN(AE$20,'01_Input'!$K$68)-'01_Input'!$J$68,0)*'01_Input'!$M$68))+IF('01_Input'!$P$68="Forfait",IF(AE$20&gt;='01_Input'!$N$68,'01_Input'!$Q$68,0),IF('01_Input'!$P$68="Palier",IF(AND(AE$20&gt;='01_Input'!$N$68,AE$20&lt;'01_Input'!$O$68),'01_Input'!$Q$68,0),MAX(MIN(AE$20,'01_Input'!$O$68)-'01_Input'!$N$68,0)*'01_Input'!$Q$68))+IF('01_Input'!$T$68="Forfait",IF(AE$20&gt;='01_Input'!$R$68,'01_Input'!$U$68,0),IF('01_Input'!$T$68="Palier",IF(AND(AE$20&gt;='01_Input'!$R$68,AE$20&lt;'01_Input'!$S$68),'01_Input'!$U$68,0),MAX(MIN(AE$20,'01_Input'!$S$68)-'01_Input'!$R$68,0)*'01_Input'!$U$68))+IF('01_Input'!$X$68="Forfait",IF(AE$20&gt;='01_Input'!$V$68,'01_Input'!$Y$68,0),IF('01_Input'!$X$68="Palier",IF(AND(AE$20&gt;='01_Input'!$V$68,AE$20&lt;'01_Input'!$W$68),'01_Input'!$Y$68,0),MAX(MIN(AE$20,'01_Input'!$W$68)-'01_Input'!$V$68,0)*'01_Input'!$Y$68))+IF('01_Input'!$AB$68="Forfait",IF(AE$20&gt;='01_Input'!$Z$68,'01_Input'!$AC$68,0),IF('01_Input'!$AB$68="Palier",IF(AND(AE$20&gt;='01_Input'!$Z$68,AE$20&lt;'01_Input'!$AA$68),'01_Input'!$AC$68,0),MAX(MIN(AE$20,'01_Input'!$AA$68)-'01_Input'!$Z$68,0)*'01_Input'!$AC$68)))))))))</f>
        <v>0</v>
      </c>
      <c r="AF36" s="83">
        <f>IF('01_Input'!$C$68="Non",0,MIN('01_Input'!$I$68,MAX('01_Input'!$H$68,IF('01_Input'!$G$68="Résiduel vs Gestion",0,IF('01_Input'!$G$68="Taux Classe sélectionnée",Distrib_Global_Classe_Selectionnee*AF$20,IF('01_Input'!$G$68="Frais KYC (paliers de 100M€)",MAX(0,Nb_Investisseurs-Nb_KYC_Gratuites_Par_Tranche*(FLOOR(AF$20/Taille_Tranche_KYC,1)+1))*Cout_Par_KYC_Supplementaire,(IF('01_Input'!$L$68="Forfait",IF(AF$20&gt;='01_Input'!$J$68,'01_Input'!$M$68,0),IF('01_Input'!$L$68="Palier",IF(AND(AF$20&gt;='01_Input'!$J$68,AF$20&lt;'01_Input'!$K$68),'01_Input'!$M$68,0),MAX(MIN(AF$20,'01_Input'!$K$68)-'01_Input'!$J$68,0)*'01_Input'!$M$68))+IF('01_Input'!$P$68="Forfait",IF(AF$20&gt;='01_Input'!$N$68,'01_Input'!$Q$68,0),IF('01_Input'!$P$68="Palier",IF(AND(AF$20&gt;='01_Input'!$N$68,AF$20&lt;'01_Input'!$O$68),'01_Input'!$Q$68,0),MAX(MIN(AF$20,'01_Input'!$O$68)-'01_Input'!$N$68,0)*'01_Input'!$Q$68))+IF('01_Input'!$T$68="Forfait",IF(AF$20&gt;='01_Input'!$R$68,'01_Input'!$U$68,0),IF('01_Input'!$T$68="Palier",IF(AND(AF$20&gt;='01_Input'!$R$68,AF$20&lt;'01_Input'!$S$68),'01_Input'!$U$68,0),MAX(MIN(AF$20,'01_Input'!$S$68)-'01_Input'!$R$68,0)*'01_Input'!$U$68))+IF('01_Input'!$X$68="Forfait",IF(AF$20&gt;='01_Input'!$V$68,'01_Input'!$Y$68,0),IF('01_Input'!$X$68="Palier",IF(AND(AF$20&gt;='01_Input'!$V$68,AF$20&lt;'01_Input'!$W$68),'01_Input'!$Y$68,0),MAX(MIN(AF$20,'01_Input'!$W$68)-'01_Input'!$V$68,0)*'01_Input'!$Y$68))+IF('01_Input'!$AB$68="Forfait",IF(AF$20&gt;='01_Input'!$Z$68,'01_Input'!$AC$68,0),IF('01_Input'!$AB$68="Palier",IF(AND(AF$20&gt;='01_Input'!$Z$68,AF$20&lt;'01_Input'!$AA$68),'01_Input'!$AC$68,0),MAX(MIN(AF$20,'01_Input'!$AA$68)-'01_Input'!$Z$68,0)*'01_Input'!$AC$68)))))))))</f>
        <v>0</v>
      </c>
      <c r="AG36" s="83">
        <f>IF('01_Input'!$C$68="Non",0,MIN('01_Input'!$I$68,MAX('01_Input'!$H$68,IF('01_Input'!$G$68="Résiduel vs Gestion",0,IF('01_Input'!$G$68="Taux Classe sélectionnée",Distrib_Global_Classe_Selectionnee*AG$20,IF('01_Input'!$G$68="Frais KYC (paliers de 100M€)",MAX(0,Nb_Investisseurs-Nb_KYC_Gratuites_Par_Tranche*(FLOOR(AG$20/Taille_Tranche_KYC,1)+1))*Cout_Par_KYC_Supplementaire,(IF('01_Input'!$L$68="Forfait",IF(AG$20&gt;='01_Input'!$J$68,'01_Input'!$M$68,0),IF('01_Input'!$L$68="Palier",IF(AND(AG$20&gt;='01_Input'!$J$68,AG$20&lt;'01_Input'!$K$68),'01_Input'!$M$68,0),MAX(MIN(AG$20,'01_Input'!$K$68)-'01_Input'!$J$68,0)*'01_Input'!$M$68))+IF('01_Input'!$P$68="Forfait",IF(AG$20&gt;='01_Input'!$N$68,'01_Input'!$Q$68,0),IF('01_Input'!$P$68="Palier",IF(AND(AG$20&gt;='01_Input'!$N$68,AG$20&lt;'01_Input'!$O$68),'01_Input'!$Q$68,0),MAX(MIN(AG$20,'01_Input'!$O$68)-'01_Input'!$N$68,0)*'01_Input'!$Q$68))+IF('01_Input'!$T$68="Forfait",IF(AG$20&gt;='01_Input'!$R$68,'01_Input'!$U$68,0),IF('01_Input'!$T$68="Palier",IF(AND(AG$20&gt;='01_Input'!$R$68,AG$20&lt;'01_Input'!$S$68),'01_Input'!$U$68,0),MAX(MIN(AG$20,'01_Input'!$S$68)-'01_Input'!$R$68,0)*'01_Input'!$U$68))+IF('01_Input'!$X$68="Forfait",IF(AG$20&gt;='01_Input'!$V$68,'01_Input'!$Y$68,0),IF('01_Input'!$X$68="Palier",IF(AND(AG$20&gt;='01_Input'!$V$68,AG$20&lt;'01_Input'!$W$68),'01_Input'!$Y$68,0),MAX(MIN(AG$20,'01_Input'!$W$68)-'01_Input'!$V$68,0)*'01_Input'!$Y$68))+IF('01_Input'!$AB$68="Forfait",IF(AG$20&gt;='01_Input'!$Z$68,'01_Input'!$AC$68,0),IF('01_Input'!$AB$68="Palier",IF(AND(AG$20&gt;='01_Input'!$Z$68,AG$20&lt;'01_Input'!$AA$68),'01_Input'!$AC$68,0),MAX(MIN(AG$20,'01_Input'!$AA$68)-'01_Input'!$Z$68,0)*'01_Input'!$AC$68)))))))))</f>
        <v>0</v>
      </c>
      <c r="AH36" s="83">
        <f>IF('01_Input'!$C$68="Non",0,MIN('01_Input'!$I$68,MAX('01_Input'!$H$68,IF('01_Input'!$G$68="Résiduel vs Gestion",0,IF('01_Input'!$G$68="Taux Classe sélectionnée",Distrib_Global_Classe_Selectionnee*AH$20,IF('01_Input'!$G$68="Frais KYC (paliers de 100M€)",MAX(0,Nb_Investisseurs-Nb_KYC_Gratuites_Par_Tranche*(FLOOR(AH$20/Taille_Tranche_KYC,1)+1))*Cout_Par_KYC_Supplementaire,(IF('01_Input'!$L$68="Forfait",IF(AH$20&gt;='01_Input'!$J$68,'01_Input'!$M$68,0),IF('01_Input'!$L$68="Palier",IF(AND(AH$20&gt;='01_Input'!$J$68,AH$20&lt;'01_Input'!$K$68),'01_Input'!$M$68,0),MAX(MIN(AH$20,'01_Input'!$K$68)-'01_Input'!$J$68,0)*'01_Input'!$M$68))+IF('01_Input'!$P$68="Forfait",IF(AH$20&gt;='01_Input'!$N$68,'01_Input'!$Q$68,0),IF('01_Input'!$P$68="Palier",IF(AND(AH$20&gt;='01_Input'!$N$68,AH$20&lt;'01_Input'!$O$68),'01_Input'!$Q$68,0),MAX(MIN(AH$20,'01_Input'!$O$68)-'01_Input'!$N$68,0)*'01_Input'!$Q$68))+IF('01_Input'!$T$68="Forfait",IF(AH$20&gt;='01_Input'!$R$68,'01_Input'!$U$68,0),IF('01_Input'!$T$68="Palier",IF(AND(AH$20&gt;='01_Input'!$R$68,AH$20&lt;'01_Input'!$S$68),'01_Input'!$U$68,0),MAX(MIN(AH$20,'01_Input'!$S$68)-'01_Input'!$R$68,0)*'01_Input'!$U$68))+IF('01_Input'!$X$68="Forfait",IF(AH$20&gt;='01_Input'!$V$68,'01_Input'!$Y$68,0),IF('01_Input'!$X$68="Palier",IF(AND(AH$20&gt;='01_Input'!$V$68,AH$20&lt;'01_Input'!$W$68),'01_Input'!$Y$68,0),MAX(MIN(AH$20,'01_Input'!$W$68)-'01_Input'!$V$68,0)*'01_Input'!$Y$68))+IF('01_Input'!$AB$68="Forfait",IF(AH$20&gt;='01_Input'!$Z$68,'01_Input'!$AC$68,0),IF('01_Input'!$AB$68="Palier",IF(AND(AH$20&gt;='01_Input'!$Z$68,AH$20&lt;'01_Input'!$AA$68),'01_Input'!$AC$68,0),MAX(MIN(AH$20,'01_Input'!$AA$68)-'01_Input'!$Z$68,0)*'01_Input'!$AC$68)))))))))</f>
        <v>0</v>
      </c>
      <c r="AI36" s="83">
        <f>IF('01_Input'!$C$68="Non",0,MIN('01_Input'!$I$68,MAX('01_Input'!$H$68,IF('01_Input'!$G$68="Résiduel vs Gestion",0,IF('01_Input'!$G$68="Taux Classe sélectionnée",Distrib_Global_Classe_Selectionnee*AI$20,IF('01_Input'!$G$68="Frais KYC (paliers de 100M€)",MAX(0,Nb_Investisseurs-Nb_KYC_Gratuites_Par_Tranche*(FLOOR(AI$20/Taille_Tranche_KYC,1)+1))*Cout_Par_KYC_Supplementaire,(IF('01_Input'!$L$68="Forfait",IF(AI$20&gt;='01_Input'!$J$68,'01_Input'!$M$68,0),IF('01_Input'!$L$68="Palier",IF(AND(AI$20&gt;='01_Input'!$J$68,AI$20&lt;'01_Input'!$K$68),'01_Input'!$M$68,0),MAX(MIN(AI$20,'01_Input'!$K$68)-'01_Input'!$J$68,0)*'01_Input'!$M$68))+IF('01_Input'!$P$68="Forfait",IF(AI$20&gt;='01_Input'!$N$68,'01_Input'!$Q$68,0),IF('01_Input'!$P$68="Palier",IF(AND(AI$20&gt;='01_Input'!$N$68,AI$20&lt;'01_Input'!$O$68),'01_Input'!$Q$68,0),MAX(MIN(AI$20,'01_Input'!$O$68)-'01_Input'!$N$68,0)*'01_Input'!$Q$68))+IF('01_Input'!$T$68="Forfait",IF(AI$20&gt;='01_Input'!$R$68,'01_Input'!$U$68,0),IF('01_Input'!$T$68="Palier",IF(AND(AI$20&gt;='01_Input'!$R$68,AI$20&lt;'01_Input'!$S$68),'01_Input'!$U$68,0),MAX(MIN(AI$20,'01_Input'!$S$68)-'01_Input'!$R$68,0)*'01_Input'!$U$68))+IF('01_Input'!$X$68="Forfait",IF(AI$20&gt;='01_Input'!$V$68,'01_Input'!$Y$68,0),IF('01_Input'!$X$68="Palier",IF(AND(AI$20&gt;='01_Input'!$V$68,AI$20&lt;'01_Input'!$W$68),'01_Input'!$Y$68,0),MAX(MIN(AI$20,'01_Input'!$W$68)-'01_Input'!$V$68,0)*'01_Input'!$Y$68))+IF('01_Input'!$AB$68="Forfait",IF(AI$20&gt;='01_Input'!$Z$68,'01_Input'!$AC$68,0),IF('01_Input'!$AB$68="Palier",IF(AND(AI$20&gt;='01_Input'!$Z$68,AI$20&lt;'01_Input'!$AA$68),'01_Input'!$AC$68,0),MAX(MIN(AI$20,'01_Input'!$AA$68)-'01_Input'!$Z$68,0)*'01_Input'!$AC$68)))))))))</f>
        <v>0</v>
      </c>
      <c r="AJ36" s="83">
        <f>IF('01_Input'!$C$68="Non",0,MIN('01_Input'!$I$68,MAX('01_Input'!$H$68,IF('01_Input'!$G$68="Résiduel vs Gestion",0,IF('01_Input'!$G$68="Taux Classe sélectionnée",Distrib_Global_Classe_Selectionnee*AJ$20,IF('01_Input'!$G$68="Frais KYC (paliers de 100M€)",MAX(0,Nb_Investisseurs-Nb_KYC_Gratuites_Par_Tranche*(FLOOR(AJ$20/Taille_Tranche_KYC,1)+1))*Cout_Par_KYC_Supplementaire,(IF('01_Input'!$L$68="Forfait",IF(AJ$20&gt;='01_Input'!$J$68,'01_Input'!$M$68,0),IF('01_Input'!$L$68="Palier",IF(AND(AJ$20&gt;='01_Input'!$J$68,AJ$20&lt;'01_Input'!$K$68),'01_Input'!$M$68,0),MAX(MIN(AJ$20,'01_Input'!$K$68)-'01_Input'!$J$68,0)*'01_Input'!$M$68))+IF('01_Input'!$P$68="Forfait",IF(AJ$20&gt;='01_Input'!$N$68,'01_Input'!$Q$68,0),IF('01_Input'!$P$68="Palier",IF(AND(AJ$20&gt;='01_Input'!$N$68,AJ$20&lt;'01_Input'!$O$68),'01_Input'!$Q$68,0),MAX(MIN(AJ$20,'01_Input'!$O$68)-'01_Input'!$N$68,0)*'01_Input'!$Q$68))+IF('01_Input'!$T$68="Forfait",IF(AJ$20&gt;='01_Input'!$R$68,'01_Input'!$U$68,0),IF('01_Input'!$T$68="Palier",IF(AND(AJ$20&gt;='01_Input'!$R$68,AJ$20&lt;'01_Input'!$S$68),'01_Input'!$U$68,0),MAX(MIN(AJ$20,'01_Input'!$S$68)-'01_Input'!$R$68,0)*'01_Input'!$U$68))+IF('01_Input'!$X$68="Forfait",IF(AJ$20&gt;='01_Input'!$V$68,'01_Input'!$Y$68,0),IF('01_Input'!$X$68="Palier",IF(AND(AJ$20&gt;='01_Input'!$V$68,AJ$20&lt;'01_Input'!$W$68),'01_Input'!$Y$68,0),MAX(MIN(AJ$20,'01_Input'!$W$68)-'01_Input'!$V$68,0)*'01_Input'!$Y$68))+IF('01_Input'!$AB$68="Forfait",IF(AJ$20&gt;='01_Input'!$Z$68,'01_Input'!$AC$68,0),IF('01_Input'!$AB$68="Palier",IF(AND(AJ$20&gt;='01_Input'!$Z$68,AJ$20&lt;'01_Input'!$AA$68),'01_Input'!$AC$68,0),MAX(MIN(AJ$20,'01_Input'!$AA$68)-'01_Input'!$Z$68,0)*'01_Input'!$AC$68)))))))))</f>
        <v>0</v>
      </c>
      <c r="AK36" s="83">
        <f>IF('01_Input'!$C$68="Non",0,MIN('01_Input'!$I$68,MAX('01_Input'!$H$68,IF('01_Input'!$G$68="Résiduel vs Gestion",0,IF('01_Input'!$G$68="Taux Classe sélectionnée",Distrib_Global_Classe_Selectionnee*AK$20,IF('01_Input'!$G$68="Frais KYC (paliers de 100M€)",MAX(0,Nb_Investisseurs-Nb_KYC_Gratuites_Par_Tranche*(FLOOR(AK$20/Taille_Tranche_KYC,1)+1))*Cout_Par_KYC_Supplementaire,(IF('01_Input'!$L$68="Forfait",IF(AK$20&gt;='01_Input'!$J$68,'01_Input'!$M$68,0),IF('01_Input'!$L$68="Palier",IF(AND(AK$20&gt;='01_Input'!$J$68,AK$20&lt;'01_Input'!$K$68),'01_Input'!$M$68,0),MAX(MIN(AK$20,'01_Input'!$K$68)-'01_Input'!$J$68,0)*'01_Input'!$M$68))+IF('01_Input'!$P$68="Forfait",IF(AK$20&gt;='01_Input'!$N$68,'01_Input'!$Q$68,0),IF('01_Input'!$P$68="Palier",IF(AND(AK$20&gt;='01_Input'!$N$68,AK$20&lt;'01_Input'!$O$68),'01_Input'!$Q$68,0),MAX(MIN(AK$20,'01_Input'!$O$68)-'01_Input'!$N$68,0)*'01_Input'!$Q$68))+IF('01_Input'!$T$68="Forfait",IF(AK$20&gt;='01_Input'!$R$68,'01_Input'!$U$68,0),IF('01_Input'!$T$68="Palier",IF(AND(AK$20&gt;='01_Input'!$R$68,AK$20&lt;'01_Input'!$S$68),'01_Input'!$U$68,0),MAX(MIN(AK$20,'01_Input'!$S$68)-'01_Input'!$R$68,0)*'01_Input'!$U$68))+IF('01_Input'!$X$68="Forfait",IF(AK$20&gt;='01_Input'!$V$68,'01_Input'!$Y$68,0),IF('01_Input'!$X$68="Palier",IF(AND(AK$20&gt;='01_Input'!$V$68,AK$20&lt;'01_Input'!$W$68),'01_Input'!$Y$68,0),MAX(MIN(AK$20,'01_Input'!$W$68)-'01_Input'!$V$68,0)*'01_Input'!$Y$68))+IF('01_Input'!$AB$68="Forfait",IF(AK$20&gt;='01_Input'!$Z$68,'01_Input'!$AC$68,0),IF('01_Input'!$AB$68="Palier",IF(AND(AK$20&gt;='01_Input'!$Z$68,AK$20&lt;'01_Input'!$AA$68),'01_Input'!$AC$68,0),MAX(MIN(AK$20,'01_Input'!$AA$68)-'01_Input'!$Z$68,0)*'01_Input'!$AC$68)))))))))</f>
        <v>0</v>
      </c>
      <c r="AL36" s="83">
        <f>IF('01_Input'!$C$68="Non",0,MIN('01_Input'!$I$68,MAX('01_Input'!$H$68,IF('01_Input'!$G$68="Résiduel vs Gestion",0,IF('01_Input'!$G$68="Taux Classe sélectionnée",Distrib_Global_Classe_Selectionnee*AL$20,IF('01_Input'!$G$68="Frais KYC (paliers de 100M€)",MAX(0,Nb_Investisseurs-Nb_KYC_Gratuites_Par_Tranche*(FLOOR(AL$20/Taille_Tranche_KYC,1)+1))*Cout_Par_KYC_Supplementaire,(IF('01_Input'!$L$68="Forfait",IF(AL$20&gt;='01_Input'!$J$68,'01_Input'!$M$68,0),IF('01_Input'!$L$68="Palier",IF(AND(AL$20&gt;='01_Input'!$J$68,AL$20&lt;'01_Input'!$K$68),'01_Input'!$M$68,0),MAX(MIN(AL$20,'01_Input'!$K$68)-'01_Input'!$J$68,0)*'01_Input'!$M$68))+IF('01_Input'!$P$68="Forfait",IF(AL$20&gt;='01_Input'!$N$68,'01_Input'!$Q$68,0),IF('01_Input'!$P$68="Palier",IF(AND(AL$20&gt;='01_Input'!$N$68,AL$20&lt;'01_Input'!$O$68),'01_Input'!$Q$68,0),MAX(MIN(AL$20,'01_Input'!$O$68)-'01_Input'!$N$68,0)*'01_Input'!$Q$68))+IF('01_Input'!$T$68="Forfait",IF(AL$20&gt;='01_Input'!$R$68,'01_Input'!$U$68,0),IF('01_Input'!$T$68="Palier",IF(AND(AL$20&gt;='01_Input'!$R$68,AL$20&lt;'01_Input'!$S$68),'01_Input'!$U$68,0),MAX(MIN(AL$20,'01_Input'!$S$68)-'01_Input'!$R$68,0)*'01_Input'!$U$68))+IF('01_Input'!$X$68="Forfait",IF(AL$20&gt;='01_Input'!$V$68,'01_Input'!$Y$68,0),IF('01_Input'!$X$68="Palier",IF(AND(AL$20&gt;='01_Input'!$V$68,AL$20&lt;'01_Input'!$W$68),'01_Input'!$Y$68,0),MAX(MIN(AL$20,'01_Input'!$W$68)-'01_Input'!$V$68,0)*'01_Input'!$Y$68))+IF('01_Input'!$AB$68="Forfait",IF(AL$20&gt;='01_Input'!$Z$68,'01_Input'!$AC$68,0),IF('01_Input'!$AB$68="Palier",IF(AND(AL$20&gt;='01_Input'!$Z$68,AL$20&lt;'01_Input'!$AA$68),'01_Input'!$AC$68,0),MAX(MIN(AL$20,'01_Input'!$AA$68)-'01_Input'!$Z$68,0)*'01_Input'!$AC$68)))))))))</f>
        <v>0</v>
      </c>
      <c r="AM36" s="83">
        <f>IF('01_Input'!$C$68="Non",0,MIN('01_Input'!$I$68,MAX('01_Input'!$H$68,IF('01_Input'!$G$68="Résiduel vs Gestion",0,IF('01_Input'!$G$68="Taux Classe sélectionnée",Distrib_Global_Classe_Selectionnee*AM$20,IF('01_Input'!$G$68="Frais KYC (paliers de 100M€)",MAX(0,Nb_Investisseurs-Nb_KYC_Gratuites_Par_Tranche*(FLOOR(AM$20/Taille_Tranche_KYC,1)+1))*Cout_Par_KYC_Supplementaire,(IF('01_Input'!$L$68="Forfait",IF(AM$20&gt;='01_Input'!$J$68,'01_Input'!$M$68,0),IF('01_Input'!$L$68="Palier",IF(AND(AM$20&gt;='01_Input'!$J$68,AM$20&lt;'01_Input'!$K$68),'01_Input'!$M$68,0),MAX(MIN(AM$20,'01_Input'!$K$68)-'01_Input'!$J$68,0)*'01_Input'!$M$68))+IF('01_Input'!$P$68="Forfait",IF(AM$20&gt;='01_Input'!$N$68,'01_Input'!$Q$68,0),IF('01_Input'!$P$68="Palier",IF(AND(AM$20&gt;='01_Input'!$N$68,AM$20&lt;'01_Input'!$O$68),'01_Input'!$Q$68,0),MAX(MIN(AM$20,'01_Input'!$O$68)-'01_Input'!$N$68,0)*'01_Input'!$Q$68))+IF('01_Input'!$T$68="Forfait",IF(AM$20&gt;='01_Input'!$R$68,'01_Input'!$U$68,0),IF('01_Input'!$T$68="Palier",IF(AND(AM$20&gt;='01_Input'!$R$68,AM$20&lt;'01_Input'!$S$68),'01_Input'!$U$68,0),MAX(MIN(AM$20,'01_Input'!$S$68)-'01_Input'!$R$68,0)*'01_Input'!$U$68))+IF('01_Input'!$X$68="Forfait",IF(AM$20&gt;='01_Input'!$V$68,'01_Input'!$Y$68,0),IF('01_Input'!$X$68="Palier",IF(AND(AM$20&gt;='01_Input'!$V$68,AM$20&lt;'01_Input'!$W$68),'01_Input'!$Y$68,0),MAX(MIN(AM$20,'01_Input'!$W$68)-'01_Input'!$V$68,0)*'01_Input'!$Y$68))+IF('01_Input'!$AB$68="Forfait",IF(AM$20&gt;='01_Input'!$Z$68,'01_Input'!$AC$68,0),IF('01_Input'!$AB$68="Palier",IF(AND(AM$20&gt;='01_Input'!$Z$68,AM$20&lt;'01_Input'!$AA$68),'01_Input'!$AC$68,0),MAX(MIN(AM$20,'01_Input'!$AA$68)-'01_Input'!$Z$68,0)*'01_Input'!$AC$68)))))))))</f>
        <v>0</v>
      </c>
      <c r="AN36" s="83">
        <f>IF('01_Input'!$C$68="Non",0,MIN('01_Input'!$I$68,MAX('01_Input'!$H$68,IF('01_Input'!$G$68="Résiduel vs Gestion",0,IF('01_Input'!$G$68="Taux Classe sélectionnée",Distrib_Global_Classe_Selectionnee*AN$20,IF('01_Input'!$G$68="Frais KYC (paliers de 100M€)",MAX(0,Nb_Investisseurs-Nb_KYC_Gratuites_Par_Tranche*(FLOOR(AN$20/Taille_Tranche_KYC,1)+1))*Cout_Par_KYC_Supplementaire,(IF('01_Input'!$L$68="Forfait",IF(AN$20&gt;='01_Input'!$J$68,'01_Input'!$M$68,0),IF('01_Input'!$L$68="Palier",IF(AND(AN$20&gt;='01_Input'!$J$68,AN$20&lt;'01_Input'!$K$68),'01_Input'!$M$68,0),MAX(MIN(AN$20,'01_Input'!$K$68)-'01_Input'!$J$68,0)*'01_Input'!$M$68))+IF('01_Input'!$P$68="Forfait",IF(AN$20&gt;='01_Input'!$N$68,'01_Input'!$Q$68,0),IF('01_Input'!$P$68="Palier",IF(AND(AN$20&gt;='01_Input'!$N$68,AN$20&lt;'01_Input'!$O$68),'01_Input'!$Q$68,0),MAX(MIN(AN$20,'01_Input'!$O$68)-'01_Input'!$N$68,0)*'01_Input'!$Q$68))+IF('01_Input'!$T$68="Forfait",IF(AN$20&gt;='01_Input'!$R$68,'01_Input'!$U$68,0),IF('01_Input'!$T$68="Palier",IF(AND(AN$20&gt;='01_Input'!$R$68,AN$20&lt;'01_Input'!$S$68),'01_Input'!$U$68,0),MAX(MIN(AN$20,'01_Input'!$S$68)-'01_Input'!$R$68,0)*'01_Input'!$U$68))+IF('01_Input'!$X$68="Forfait",IF(AN$20&gt;='01_Input'!$V$68,'01_Input'!$Y$68,0),IF('01_Input'!$X$68="Palier",IF(AND(AN$20&gt;='01_Input'!$V$68,AN$20&lt;'01_Input'!$W$68),'01_Input'!$Y$68,0),MAX(MIN(AN$20,'01_Input'!$W$68)-'01_Input'!$V$68,0)*'01_Input'!$Y$68))+IF('01_Input'!$AB$68="Forfait",IF(AN$20&gt;='01_Input'!$Z$68,'01_Input'!$AC$68,0),IF('01_Input'!$AB$68="Palier",IF(AND(AN$20&gt;='01_Input'!$Z$68,AN$20&lt;'01_Input'!$AA$68),'01_Input'!$AC$68,0),MAX(MIN(AN$20,'01_Input'!$AA$68)-'01_Input'!$Z$68,0)*'01_Input'!$AC$68)))))))))</f>
        <v>0</v>
      </c>
      <c r="AO36" s="83">
        <f>IF('01_Input'!$C$68="Non",0,MIN('01_Input'!$I$68,MAX('01_Input'!$H$68,IF('01_Input'!$G$68="Résiduel vs Gestion",0,IF('01_Input'!$G$68="Taux Classe sélectionnée",Distrib_Global_Classe_Selectionnee*AO$20,IF('01_Input'!$G$68="Frais KYC (paliers de 100M€)",MAX(0,Nb_Investisseurs-Nb_KYC_Gratuites_Par_Tranche*(FLOOR(AO$20/Taille_Tranche_KYC,1)+1))*Cout_Par_KYC_Supplementaire,(IF('01_Input'!$L$68="Forfait",IF(AO$20&gt;='01_Input'!$J$68,'01_Input'!$M$68,0),IF('01_Input'!$L$68="Palier",IF(AND(AO$20&gt;='01_Input'!$J$68,AO$20&lt;'01_Input'!$K$68),'01_Input'!$M$68,0),MAX(MIN(AO$20,'01_Input'!$K$68)-'01_Input'!$J$68,0)*'01_Input'!$M$68))+IF('01_Input'!$P$68="Forfait",IF(AO$20&gt;='01_Input'!$N$68,'01_Input'!$Q$68,0),IF('01_Input'!$P$68="Palier",IF(AND(AO$20&gt;='01_Input'!$N$68,AO$20&lt;'01_Input'!$O$68),'01_Input'!$Q$68,0),MAX(MIN(AO$20,'01_Input'!$O$68)-'01_Input'!$N$68,0)*'01_Input'!$Q$68))+IF('01_Input'!$T$68="Forfait",IF(AO$20&gt;='01_Input'!$R$68,'01_Input'!$U$68,0),IF('01_Input'!$T$68="Palier",IF(AND(AO$20&gt;='01_Input'!$R$68,AO$20&lt;'01_Input'!$S$68),'01_Input'!$U$68,0),MAX(MIN(AO$20,'01_Input'!$S$68)-'01_Input'!$R$68,0)*'01_Input'!$U$68))+IF('01_Input'!$X$68="Forfait",IF(AO$20&gt;='01_Input'!$V$68,'01_Input'!$Y$68,0),IF('01_Input'!$X$68="Palier",IF(AND(AO$20&gt;='01_Input'!$V$68,AO$20&lt;'01_Input'!$W$68),'01_Input'!$Y$68,0),MAX(MIN(AO$20,'01_Input'!$W$68)-'01_Input'!$V$68,0)*'01_Input'!$Y$68))+IF('01_Input'!$AB$68="Forfait",IF(AO$20&gt;='01_Input'!$Z$68,'01_Input'!$AC$68,0),IF('01_Input'!$AB$68="Palier",IF(AND(AO$20&gt;='01_Input'!$Z$68,AO$20&lt;'01_Input'!$AA$68),'01_Input'!$AC$68,0),MAX(MIN(AO$20,'01_Input'!$AA$68)-'01_Input'!$Z$68,0)*'01_Input'!$AC$68)))))))))</f>
        <v>0</v>
      </c>
      <c r="AP36" s="83">
        <f>IF('01_Input'!$C$68="Non",0,MIN('01_Input'!$I$68,MAX('01_Input'!$H$68,IF('01_Input'!$G$68="Résiduel vs Gestion",0,IF('01_Input'!$G$68="Taux Classe sélectionnée",Distrib_Global_Classe_Selectionnee*AP$20,IF('01_Input'!$G$68="Frais KYC (paliers de 100M€)",MAX(0,Nb_Investisseurs-Nb_KYC_Gratuites_Par_Tranche*(FLOOR(AP$20/Taille_Tranche_KYC,1)+1))*Cout_Par_KYC_Supplementaire,(IF('01_Input'!$L$68="Forfait",IF(AP$20&gt;='01_Input'!$J$68,'01_Input'!$M$68,0),IF('01_Input'!$L$68="Palier",IF(AND(AP$20&gt;='01_Input'!$J$68,AP$20&lt;'01_Input'!$K$68),'01_Input'!$M$68,0),MAX(MIN(AP$20,'01_Input'!$K$68)-'01_Input'!$J$68,0)*'01_Input'!$M$68))+IF('01_Input'!$P$68="Forfait",IF(AP$20&gt;='01_Input'!$N$68,'01_Input'!$Q$68,0),IF('01_Input'!$P$68="Palier",IF(AND(AP$20&gt;='01_Input'!$N$68,AP$20&lt;'01_Input'!$O$68),'01_Input'!$Q$68,0),MAX(MIN(AP$20,'01_Input'!$O$68)-'01_Input'!$N$68,0)*'01_Input'!$Q$68))+IF('01_Input'!$T$68="Forfait",IF(AP$20&gt;='01_Input'!$R$68,'01_Input'!$U$68,0),IF('01_Input'!$T$68="Palier",IF(AND(AP$20&gt;='01_Input'!$R$68,AP$20&lt;'01_Input'!$S$68),'01_Input'!$U$68,0),MAX(MIN(AP$20,'01_Input'!$S$68)-'01_Input'!$R$68,0)*'01_Input'!$U$68))+IF('01_Input'!$X$68="Forfait",IF(AP$20&gt;='01_Input'!$V$68,'01_Input'!$Y$68,0),IF('01_Input'!$X$68="Palier",IF(AND(AP$20&gt;='01_Input'!$V$68,AP$20&lt;'01_Input'!$W$68),'01_Input'!$Y$68,0),MAX(MIN(AP$20,'01_Input'!$W$68)-'01_Input'!$V$68,0)*'01_Input'!$Y$68))+IF('01_Input'!$AB$68="Forfait",IF(AP$20&gt;='01_Input'!$Z$68,'01_Input'!$AC$68,0),IF('01_Input'!$AB$68="Palier",IF(AND(AP$20&gt;='01_Input'!$Z$68,AP$20&lt;'01_Input'!$AA$68),'01_Input'!$AC$68,0),MAX(MIN(AP$20,'01_Input'!$AA$68)-'01_Input'!$Z$68,0)*'01_Input'!$AC$68)))))))))</f>
        <v>0</v>
      </c>
      <c r="AQ36" s="83">
        <f>IF('01_Input'!$C$68="Non",0,MIN('01_Input'!$I$68,MAX('01_Input'!$H$68,IF('01_Input'!$G$68="Résiduel vs Gestion",0,IF('01_Input'!$G$68="Taux Classe sélectionnée",Distrib_Global_Classe_Selectionnee*AQ$20,IF('01_Input'!$G$68="Frais KYC (paliers de 100M€)",MAX(0,Nb_Investisseurs-Nb_KYC_Gratuites_Par_Tranche*(FLOOR(AQ$20/Taille_Tranche_KYC,1)+1))*Cout_Par_KYC_Supplementaire,(IF('01_Input'!$L$68="Forfait",IF(AQ$20&gt;='01_Input'!$J$68,'01_Input'!$M$68,0),IF('01_Input'!$L$68="Palier",IF(AND(AQ$20&gt;='01_Input'!$J$68,AQ$20&lt;'01_Input'!$K$68),'01_Input'!$M$68,0),MAX(MIN(AQ$20,'01_Input'!$K$68)-'01_Input'!$J$68,0)*'01_Input'!$M$68))+IF('01_Input'!$P$68="Forfait",IF(AQ$20&gt;='01_Input'!$N$68,'01_Input'!$Q$68,0),IF('01_Input'!$P$68="Palier",IF(AND(AQ$20&gt;='01_Input'!$N$68,AQ$20&lt;'01_Input'!$O$68),'01_Input'!$Q$68,0),MAX(MIN(AQ$20,'01_Input'!$O$68)-'01_Input'!$N$68,0)*'01_Input'!$Q$68))+IF('01_Input'!$T$68="Forfait",IF(AQ$20&gt;='01_Input'!$R$68,'01_Input'!$U$68,0),IF('01_Input'!$T$68="Palier",IF(AND(AQ$20&gt;='01_Input'!$R$68,AQ$20&lt;'01_Input'!$S$68),'01_Input'!$U$68,0),MAX(MIN(AQ$20,'01_Input'!$S$68)-'01_Input'!$R$68,0)*'01_Input'!$U$68))+IF('01_Input'!$X$68="Forfait",IF(AQ$20&gt;='01_Input'!$V$68,'01_Input'!$Y$68,0),IF('01_Input'!$X$68="Palier",IF(AND(AQ$20&gt;='01_Input'!$V$68,AQ$20&lt;'01_Input'!$W$68),'01_Input'!$Y$68,0),MAX(MIN(AQ$20,'01_Input'!$W$68)-'01_Input'!$V$68,0)*'01_Input'!$Y$68))+IF('01_Input'!$AB$68="Forfait",IF(AQ$20&gt;='01_Input'!$Z$68,'01_Input'!$AC$68,0),IF('01_Input'!$AB$68="Palier",IF(AND(AQ$20&gt;='01_Input'!$Z$68,AQ$20&lt;'01_Input'!$AA$68),'01_Input'!$AC$68,0),MAX(MIN(AQ$20,'01_Input'!$AA$68)-'01_Input'!$Z$68,0)*'01_Input'!$AC$68)))))))))</f>
        <v>0</v>
      </c>
      <c r="AR36" s="83">
        <f>IF('01_Input'!$C$68="Non",0,MIN('01_Input'!$I$68,MAX('01_Input'!$H$68,IF('01_Input'!$G$68="Résiduel vs Gestion",0,IF('01_Input'!$G$68="Taux Classe sélectionnée",Distrib_Global_Classe_Selectionnee*AR$20,IF('01_Input'!$G$68="Frais KYC (paliers de 100M€)",MAX(0,Nb_Investisseurs-Nb_KYC_Gratuites_Par_Tranche*(FLOOR(AR$20/Taille_Tranche_KYC,1)+1))*Cout_Par_KYC_Supplementaire,(IF('01_Input'!$L$68="Forfait",IF(AR$20&gt;='01_Input'!$J$68,'01_Input'!$M$68,0),IF('01_Input'!$L$68="Palier",IF(AND(AR$20&gt;='01_Input'!$J$68,AR$20&lt;'01_Input'!$K$68),'01_Input'!$M$68,0),MAX(MIN(AR$20,'01_Input'!$K$68)-'01_Input'!$J$68,0)*'01_Input'!$M$68))+IF('01_Input'!$P$68="Forfait",IF(AR$20&gt;='01_Input'!$N$68,'01_Input'!$Q$68,0),IF('01_Input'!$P$68="Palier",IF(AND(AR$20&gt;='01_Input'!$N$68,AR$20&lt;'01_Input'!$O$68),'01_Input'!$Q$68,0),MAX(MIN(AR$20,'01_Input'!$O$68)-'01_Input'!$N$68,0)*'01_Input'!$Q$68))+IF('01_Input'!$T$68="Forfait",IF(AR$20&gt;='01_Input'!$R$68,'01_Input'!$U$68,0),IF('01_Input'!$T$68="Palier",IF(AND(AR$20&gt;='01_Input'!$R$68,AR$20&lt;'01_Input'!$S$68),'01_Input'!$U$68,0),MAX(MIN(AR$20,'01_Input'!$S$68)-'01_Input'!$R$68,0)*'01_Input'!$U$68))+IF('01_Input'!$X$68="Forfait",IF(AR$20&gt;='01_Input'!$V$68,'01_Input'!$Y$68,0),IF('01_Input'!$X$68="Palier",IF(AND(AR$20&gt;='01_Input'!$V$68,AR$20&lt;'01_Input'!$W$68),'01_Input'!$Y$68,0),MAX(MIN(AR$20,'01_Input'!$W$68)-'01_Input'!$V$68,0)*'01_Input'!$Y$68))+IF('01_Input'!$AB$68="Forfait",IF(AR$20&gt;='01_Input'!$Z$68,'01_Input'!$AC$68,0),IF('01_Input'!$AB$68="Palier",IF(AND(AR$20&gt;='01_Input'!$Z$68,AR$20&lt;'01_Input'!$AA$68),'01_Input'!$AC$68,0),MAX(MIN(AR$20,'01_Input'!$AA$68)-'01_Input'!$Z$68,0)*'01_Input'!$AC$68)))))))))</f>
        <v>0</v>
      </c>
      <c r="AS36" s="83">
        <f>IF('01_Input'!$C$68="Non",0,MIN('01_Input'!$I$68,MAX('01_Input'!$H$68,IF('01_Input'!$G$68="Résiduel vs Gestion",0,IF('01_Input'!$G$68="Taux Classe sélectionnée",Distrib_Global_Classe_Selectionnee*AS$20,IF('01_Input'!$G$68="Frais KYC (paliers de 100M€)",MAX(0,Nb_Investisseurs-Nb_KYC_Gratuites_Par_Tranche*(FLOOR(AS$20/Taille_Tranche_KYC,1)+1))*Cout_Par_KYC_Supplementaire,(IF('01_Input'!$L$68="Forfait",IF(AS$20&gt;='01_Input'!$J$68,'01_Input'!$M$68,0),IF('01_Input'!$L$68="Palier",IF(AND(AS$20&gt;='01_Input'!$J$68,AS$20&lt;'01_Input'!$K$68),'01_Input'!$M$68,0),MAX(MIN(AS$20,'01_Input'!$K$68)-'01_Input'!$J$68,0)*'01_Input'!$M$68))+IF('01_Input'!$P$68="Forfait",IF(AS$20&gt;='01_Input'!$N$68,'01_Input'!$Q$68,0),IF('01_Input'!$P$68="Palier",IF(AND(AS$20&gt;='01_Input'!$N$68,AS$20&lt;'01_Input'!$O$68),'01_Input'!$Q$68,0),MAX(MIN(AS$20,'01_Input'!$O$68)-'01_Input'!$N$68,0)*'01_Input'!$Q$68))+IF('01_Input'!$T$68="Forfait",IF(AS$20&gt;='01_Input'!$R$68,'01_Input'!$U$68,0),IF('01_Input'!$T$68="Palier",IF(AND(AS$20&gt;='01_Input'!$R$68,AS$20&lt;'01_Input'!$S$68),'01_Input'!$U$68,0),MAX(MIN(AS$20,'01_Input'!$S$68)-'01_Input'!$R$68,0)*'01_Input'!$U$68))+IF('01_Input'!$X$68="Forfait",IF(AS$20&gt;='01_Input'!$V$68,'01_Input'!$Y$68,0),IF('01_Input'!$X$68="Palier",IF(AND(AS$20&gt;='01_Input'!$V$68,AS$20&lt;'01_Input'!$W$68),'01_Input'!$Y$68,0),MAX(MIN(AS$20,'01_Input'!$W$68)-'01_Input'!$V$68,0)*'01_Input'!$Y$68))+IF('01_Input'!$AB$68="Forfait",IF(AS$20&gt;='01_Input'!$Z$68,'01_Input'!$AC$68,0),IF('01_Input'!$AB$68="Palier",IF(AND(AS$20&gt;='01_Input'!$Z$68,AS$20&lt;'01_Input'!$AA$68),'01_Input'!$AC$68,0),MAX(MIN(AS$20,'01_Input'!$AA$68)-'01_Input'!$Z$68,0)*'01_Input'!$AC$68)))))))))</f>
        <v>0</v>
      </c>
      <c r="AT36" s="83">
        <f>IF('01_Input'!$C$68="Non",0,MIN('01_Input'!$I$68,MAX('01_Input'!$H$68,IF('01_Input'!$G$68="Résiduel vs Gestion",0,IF('01_Input'!$G$68="Taux Classe sélectionnée",Distrib_Global_Classe_Selectionnee*AT$20,IF('01_Input'!$G$68="Frais KYC (paliers de 100M€)",MAX(0,Nb_Investisseurs-Nb_KYC_Gratuites_Par_Tranche*(FLOOR(AT$20/Taille_Tranche_KYC,1)+1))*Cout_Par_KYC_Supplementaire,(IF('01_Input'!$L$68="Forfait",IF(AT$20&gt;='01_Input'!$J$68,'01_Input'!$M$68,0),IF('01_Input'!$L$68="Palier",IF(AND(AT$20&gt;='01_Input'!$J$68,AT$20&lt;'01_Input'!$K$68),'01_Input'!$M$68,0),MAX(MIN(AT$20,'01_Input'!$K$68)-'01_Input'!$J$68,0)*'01_Input'!$M$68))+IF('01_Input'!$P$68="Forfait",IF(AT$20&gt;='01_Input'!$N$68,'01_Input'!$Q$68,0),IF('01_Input'!$P$68="Palier",IF(AND(AT$20&gt;='01_Input'!$N$68,AT$20&lt;'01_Input'!$O$68),'01_Input'!$Q$68,0),MAX(MIN(AT$20,'01_Input'!$O$68)-'01_Input'!$N$68,0)*'01_Input'!$Q$68))+IF('01_Input'!$T$68="Forfait",IF(AT$20&gt;='01_Input'!$R$68,'01_Input'!$U$68,0),IF('01_Input'!$T$68="Palier",IF(AND(AT$20&gt;='01_Input'!$R$68,AT$20&lt;'01_Input'!$S$68),'01_Input'!$U$68,0),MAX(MIN(AT$20,'01_Input'!$S$68)-'01_Input'!$R$68,0)*'01_Input'!$U$68))+IF('01_Input'!$X$68="Forfait",IF(AT$20&gt;='01_Input'!$V$68,'01_Input'!$Y$68,0),IF('01_Input'!$X$68="Palier",IF(AND(AT$20&gt;='01_Input'!$V$68,AT$20&lt;'01_Input'!$W$68),'01_Input'!$Y$68,0),MAX(MIN(AT$20,'01_Input'!$W$68)-'01_Input'!$V$68,0)*'01_Input'!$Y$68))+IF('01_Input'!$AB$68="Forfait",IF(AT$20&gt;='01_Input'!$Z$68,'01_Input'!$AC$68,0),IF('01_Input'!$AB$68="Palier",IF(AND(AT$20&gt;='01_Input'!$Z$68,AT$20&lt;'01_Input'!$AA$68),'01_Input'!$AC$68,0),MAX(MIN(AT$20,'01_Input'!$AA$68)-'01_Input'!$Z$68,0)*'01_Input'!$AC$68)))))))))</f>
        <v>0</v>
      </c>
      <c r="AU36" s="83">
        <f>IF('01_Input'!$C$68="Non",0,MIN('01_Input'!$I$68,MAX('01_Input'!$H$68,IF('01_Input'!$G$68="Résiduel vs Gestion",0,IF('01_Input'!$G$68="Taux Classe sélectionnée",Distrib_Global_Classe_Selectionnee*AU$20,IF('01_Input'!$G$68="Frais KYC (paliers de 100M€)",MAX(0,Nb_Investisseurs-Nb_KYC_Gratuites_Par_Tranche*(FLOOR(AU$20/Taille_Tranche_KYC,1)+1))*Cout_Par_KYC_Supplementaire,(IF('01_Input'!$L$68="Forfait",IF(AU$20&gt;='01_Input'!$J$68,'01_Input'!$M$68,0),IF('01_Input'!$L$68="Palier",IF(AND(AU$20&gt;='01_Input'!$J$68,AU$20&lt;'01_Input'!$K$68),'01_Input'!$M$68,0),MAX(MIN(AU$20,'01_Input'!$K$68)-'01_Input'!$J$68,0)*'01_Input'!$M$68))+IF('01_Input'!$P$68="Forfait",IF(AU$20&gt;='01_Input'!$N$68,'01_Input'!$Q$68,0),IF('01_Input'!$P$68="Palier",IF(AND(AU$20&gt;='01_Input'!$N$68,AU$20&lt;'01_Input'!$O$68),'01_Input'!$Q$68,0),MAX(MIN(AU$20,'01_Input'!$O$68)-'01_Input'!$N$68,0)*'01_Input'!$Q$68))+IF('01_Input'!$T$68="Forfait",IF(AU$20&gt;='01_Input'!$R$68,'01_Input'!$U$68,0),IF('01_Input'!$T$68="Palier",IF(AND(AU$20&gt;='01_Input'!$R$68,AU$20&lt;'01_Input'!$S$68),'01_Input'!$U$68,0),MAX(MIN(AU$20,'01_Input'!$S$68)-'01_Input'!$R$68,0)*'01_Input'!$U$68))+IF('01_Input'!$X$68="Forfait",IF(AU$20&gt;='01_Input'!$V$68,'01_Input'!$Y$68,0),IF('01_Input'!$X$68="Palier",IF(AND(AU$20&gt;='01_Input'!$V$68,AU$20&lt;'01_Input'!$W$68),'01_Input'!$Y$68,0),MAX(MIN(AU$20,'01_Input'!$W$68)-'01_Input'!$V$68,0)*'01_Input'!$Y$68))+IF('01_Input'!$AB$68="Forfait",IF(AU$20&gt;='01_Input'!$Z$68,'01_Input'!$AC$68,0),IF('01_Input'!$AB$68="Palier",IF(AND(AU$20&gt;='01_Input'!$Z$68,AU$20&lt;'01_Input'!$AA$68),'01_Input'!$AC$68,0),MAX(MIN(AU$20,'01_Input'!$AA$68)-'01_Input'!$Z$68,0)*'01_Input'!$AC$68)))))))))</f>
        <v>0</v>
      </c>
      <c r="AV36" s="83">
        <f>IF('01_Input'!$C$68="Non",0,MIN('01_Input'!$I$68,MAX('01_Input'!$H$68,IF('01_Input'!$G$68="Résiduel vs Gestion",0,IF('01_Input'!$G$68="Taux Classe sélectionnée",Distrib_Global_Classe_Selectionnee*AV$20,IF('01_Input'!$G$68="Frais KYC (paliers de 100M€)",MAX(0,Nb_Investisseurs-Nb_KYC_Gratuites_Par_Tranche*(FLOOR(AV$20/Taille_Tranche_KYC,1)+1))*Cout_Par_KYC_Supplementaire,(IF('01_Input'!$L$68="Forfait",IF(AV$20&gt;='01_Input'!$J$68,'01_Input'!$M$68,0),IF('01_Input'!$L$68="Palier",IF(AND(AV$20&gt;='01_Input'!$J$68,AV$20&lt;'01_Input'!$K$68),'01_Input'!$M$68,0),MAX(MIN(AV$20,'01_Input'!$K$68)-'01_Input'!$J$68,0)*'01_Input'!$M$68))+IF('01_Input'!$P$68="Forfait",IF(AV$20&gt;='01_Input'!$N$68,'01_Input'!$Q$68,0),IF('01_Input'!$P$68="Palier",IF(AND(AV$20&gt;='01_Input'!$N$68,AV$20&lt;'01_Input'!$O$68),'01_Input'!$Q$68,0),MAX(MIN(AV$20,'01_Input'!$O$68)-'01_Input'!$N$68,0)*'01_Input'!$Q$68))+IF('01_Input'!$T$68="Forfait",IF(AV$20&gt;='01_Input'!$R$68,'01_Input'!$U$68,0),IF('01_Input'!$T$68="Palier",IF(AND(AV$20&gt;='01_Input'!$R$68,AV$20&lt;'01_Input'!$S$68),'01_Input'!$U$68,0),MAX(MIN(AV$20,'01_Input'!$S$68)-'01_Input'!$R$68,0)*'01_Input'!$U$68))+IF('01_Input'!$X$68="Forfait",IF(AV$20&gt;='01_Input'!$V$68,'01_Input'!$Y$68,0),IF('01_Input'!$X$68="Palier",IF(AND(AV$20&gt;='01_Input'!$V$68,AV$20&lt;'01_Input'!$W$68),'01_Input'!$Y$68,0),MAX(MIN(AV$20,'01_Input'!$W$68)-'01_Input'!$V$68,0)*'01_Input'!$Y$68))+IF('01_Input'!$AB$68="Forfait",IF(AV$20&gt;='01_Input'!$Z$68,'01_Input'!$AC$68,0),IF('01_Input'!$AB$68="Palier",IF(AND(AV$20&gt;='01_Input'!$Z$68,AV$20&lt;'01_Input'!$AA$68),'01_Input'!$AC$68,0),MAX(MIN(AV$20,'01_Input'!$AA$68)-'01_Input'!$Z$68,0)*'01_Input'!$AC$68)))))))))</f>
        <v>0</v>
      </c>
      <c r="AW36" s="83">
        <f>IF('01_Input'!$C$68="Non",0,MIN('01_Input'!$I$68,MAX('01_Input'!$H$68,IF('01_Input'!$G$68="Résiduel vs Gestion",0,IF('01_Input'!$G$68="Taux Classe sélectionnée",Distrib_Global_Classe_Selectionnee*AW$20,IF('01_Input'!$G$68="Frais KYC (paliers de 100M€)",MAX(0,Nb_Investisseurs-Nb_KYC_Gratuites_Par_Tranche*(FLOOR(AW$20/Taille_Tranche_KYC,1)+1))*Cout_Par_KYC_Supplementaire,(IF('01_Input'!$L$68="Forfait",IF(AW$20&gt;='01_Input'!$J$68,'01_Input'!$M$68,0),IF('01_Input'!$L$68="Palier",IF(AND(AW$20&gt;='01_Input'!$J$68,AW$20&lt;'01_Input'!$K$68),'01_Input'!$M$68,0),MAX(MIN(AW$20,'01_Input'!$K$68)-'01_Input'!$J$68,0)*'01_Input'!$M$68))+IF('01_Input'!$P$68="Forfait",IF(AW$20&gt;='01_Input'!$N$68,'01_Input'!$Q$68,0),IF('01_Input'!$P$68="Palier",IF(AND(AW$20&gt;='01_Input'!$N$68,AW$20&lt;'01_Input'!$O$68),'01_Input'!$Q$68,0),MAX(MIN(AW$20,'01_Input'!$O$68)-'01_Input'!$N$68,0)*'01_Input'!$Q$68))+IF('01_Input'!$T$68="Forfait",IF(AW$20&gt;='01_Input'!$R$68,'01_Input'!$U$68,0),IF('01_Input'!$T$68="Palier",IF(AND(AW$20&gt;='01_Input'!$R$68,AW$20&lt;'01_Input'!$S$68),'01_Input'!$U$68,0),MAX(MIN(AW$20,'01_Input'!$S$68)-'01_Input'!$R$68,0)*'01_Input'!$U$68))+IF('01_Input'!$X$68="Forfait",IF(AW$20&gt;='01_Input'!$V$68,'01_Input'!$Y$68,0),IF('01_Input'!$X$68="Palier",IF(AND(AW$20&gt;='01_Input'!$V$68,AW$20&lt;'01_Input'!$W$68),'01_Input'!$Y$68,0),MAX(MIN(AW$20,'01_Input'!$W$68)-'01_Input'!$V$68,0)*'01_Input'!$Y$68))+IF('01_Input'!$AB$68="Forfait",IF(AW$20&gt;='01_Input'!$Z$68,'01_Input'!$AC$68,0),IF('01_Input'!$AB$68="Palier",IF(AND(AW$20&gt;='01_Input'!$Z$68,AW$20&lt;'01_Input'!$AA$68),'01_Input'!$AC$68,0),MAX(MIN(AW$20,'01_Input'!$AA$68)-'01_Input'!$Z$68,0)*'01_Input'!$AC$68)))))))))</f>
        <v>0</v>
      </c>
      <c r="AX36" s="83">
        <f>IF('01_Input'!$C$68="Non",0,MIN('01_Input'!$I$68,MAX('01_Input'!$H$68,IF('01_Input'!$G$68="Résiduel vs Gestion",0,IF('01_Input'!$G$68="Taux Classe sélectionnée",Distrib_Global_Classe_Selectionnee*AX$20,IF('01_Input'!$G$68="Frais KYC (paliers de 100M€)",MAX(0,Nb_Investisseurs-Nb_KYC_Gratuites_Par_Tranche*(FLOOR(AX$20/Taille_Tranche_KYC,1)+1))*Cout_Par_KYC_Supplementaire,(IF('01_Input'!$L$68="Forfait",IF(AX$20&gt;='01_Input'!$J$68,'01_Input'!$M$68,0),IF('01_Input'!$L$68="Palier",IF(AND(AX$20&gt;='01_Input'!$J$68,AX$20&lt;'01_Input'!$K$68),'01_Input'!$M$68,0),MAX(MIN(AX$20,'01_Input'!$K$68)-'01_Input'!$J$68,0)*'01_Input'!$M$68))+IF('01_Input'!$P$68="Forfait",IF(AX$20&gt;='01_Input'!$N$68,'01_Input'!$Q$68,0),IF('01_Input'!$P$68="Palier",IF(AND(AX$20&gt;='01_Input'!$N$68,AX$20&lt;'01_Input'!$O$68),'01_Input'!$Q$68,0),MAX(MIN(AX$20,'01_Input'!$O$68)-'01_Input'!$N$68,0)*'01_Input'!$Q$68))+IF('01_Input'!$T$68="Forfait",IF(AX$20&gt;='01_Input'!$R$68,'01_Input'!$U$68,0),IF('01_Input'!$T$68="Palier",IF(AND(AX$20&gt;='01_Input'!$R$68,AX$20&lt;'01_Input'!$S$68),'01_Input'!$U$68,0),MAX(MIN(AX$20,'01_Input'!$S$68)-'01_Input'!$R$68,0)*'01_Input'!$U$68))+IF('01_Input'!$X$68="Forfait",IF(AX$20&gt;='01_Input'!$V$68,'01_Input'!$Y$68,0),IF('01_Input'!$X$68="Palier",IF(AND(AX$20&gt;='01_Input'!$V$68,AX$20&lt;'01_Input'!$W$68),'01_Input'!$Y$68,0),MAX(MIN(AX$20,'01_Input'!$W$68)-'01_Input'!$V$68,0)*'01_Input'!$Y$68))+IF('01_Input'!$AB$68="Forfait",IF(AX$20&gt;='01_Input'!$Z$68,'01_Input'!$AC$68,0),IF('01_Input'!$AB$68="Palier",IF(AND(AX$20&gt;='01_Input'!$Z$68,AX$20&lt;'01_Input'!$AA$68),'01_Input'!$AC$68,0),MAX(MIN(AX$20,'01_Input'!$AA$68)-'01_Input'!$Z$68,0)*'01_Input'!$AC$68)))))))))</f>
        <v>0</v>
      </c>
      <c r="AY36" s="83">
        <f>IF('01_Input'!$C$68="Non",0,MIN('01_Input'!$I$68,MAX('01_Input'!$H$68,IF('01_Input'!$G$68="Résiduel vs Gestion",0,IF('01_Input'!$G$68="Taux Classe sélectionnée",Distrib_Global_Classe_Selectionnee*AY$20,IF('01_Input'!$G$68="Frais KYC (paliers de 100M€)",MAX(0,Nb_Investisseurs-Nb_KYC_Gratuites_Par_Tranche*(FLOOR(AY$20/Taille_Tranche_KYC,1)+1))*Cout_Par_KYC_Supplementaire,(IF('01_Input'!$L$68="Forfait",IF(AY$20&gt;='01_Input'!$J$68,'01_Input'!$M$68,0),IF('01_Input'!$L$68="Palier",IF(AND(AY$20&gt;='01_Input'!$J$68,AY$20&lt;'01_Input'!$K$68),'01_Input'!$M$68,0),MAX(MIN(AY$20,'01_Input'!$K$68)-'01_Input'!$J$68,0)*'01_Input'!$M$68))+IF('01_Input'!$P$68="Forfait",IF(AY$20&gt;='01_Input'!$N$68,'01_Input'!$Q$68,0),IF('01_Input'!$P$68="Palier",IF(AND(AY$20&gt;='01_Input'!$N$68,AY$20&lt;'01_Input'!$O$68),'01_Input'!$Q$68,0),MAX(MIN(AY$20,'01_Input'!$O$68)-'01_Input'!$N$68,0)*'01_Input'!$Q$68))+IF('01_Input'!$T$68="Forfait",IF(AY$20&gt;='01_Input'!$R$68,'01_Input'!$U$68,0),IF('01_Input'!$T$68="Palier",IF(AND(AY$20&gt;='01_Input'!$R$68,AY$20&lt;'01_Input'!$S$68),'01_Input'!$U$68,0),MAX(MIN(AY$20,'01_Input'!$S$68)-'01_Input'!$R$68,0)*'01_Input'!$U$68))+IF('01_Input'!$X$68="Forfait",IF(AY$20&gt;='01_Input'!$V$68,'01_Input'!$Y$68,0),IF('01_Input'!$X$68="Palier",IF(AND(AY$20&gt;='01_Input'!$V$68,AY$20&lt;'01_Input'!$W$68),'01_Input'!$Y$68,0),MAX(MIN(AY$20,'01_Input'!$W$68)-'01_Input'!$V$68,0)*'01_Input'!$Y$68))+IF('01_Input'!$AB$68="Forfait",IF(AY$20&gt;='01_Input'!$Z$68,'01_Input'!$AC$68,0),IF('01_Input'!$AB$68="Palier",IF(AND(AY$20&gt;='01_Input'!$Z$68,AY$20&lt;'01_Input'!$AA$68),'01_Input'!$AC$68,0),MAX(MIN(AY$20,'01_Input'!$AA$68)-'01_Input'!$Z$68,0)*'01_Input'!$AC$68)))))))))</f>
        <v>0</v>
      </c>
      <c r="AZ36" s="83">
        <f>IF('01_Input'!$C$68="Non",0,MIN('01_Input'!$I$68,MAX('01_Input'!$H$68,IF('01_Input'!$G$68="Résiduel vs Gestion",0,IF('01_Input'!$G$68="Taux Classe sélectionnée",Distrib_Global_Classe_Selectionnee*AZ$20,IF('01_Input'!$G$68="Frais KYC (paliers de 100M€)",MAX(0,Nb_Investisseurs-Nb_KYC_Gratuites_Par_Tranche*(FLOOR(AZ$20/Taille_Tranche_KYC,1)+1))*Cout_Par_KYC_Supplementaire,(IF('01_Input'!$L$68="Forfait",IF(AZ$20&gt;='01_Input'!$J$68,'01_Input'!$M$68,0),IF('01_Input'!$L$68="Palier",IF(AND(AZ$20&gt;='01_Input'!$J$68,AZ$20&lt;'01_Input'!$K$68),'01_Input'!$M$68,0),MAX(MIN(AZ$20,'01_Input'!$K$68)-'01_Input'!$J$68,0)*'01_Input'!$M$68))+IF('01_Input'!$P$68="Forfait",IF(AZ$20&gt;='01_Input'!$N$68,'01_Input'!$Q$68,0),IF('01_Input'!$P$68="Palier",IF(AND(AZ$20&gt;='01_Input'!$N$68,AZ$20&lt;'01_Input'!$O$68),'01_Input'!$Q$68,0),MAX(MIN(AZ$20,'01_Input'!$O$68)-'01_Input'!$N$68,0)*'01_Input'!$Q$68))+IF('01_Input'!$T$68="Forfait",IF(AZ$20&gt;='01_Input'!$R$68,'01_Input'!$U$68,0),IF('01_Input'!$T$68="Palier",IF(AND(AZ$20&gt;='01_Input'!$R$68,AZ$20&lt;'01_Input'!$S$68),'01_Input'!$U$68,0),MAX(MIN(AZ$20,'01_Input'!$S$68)-'01_Input'!$R$68,0)*'01_Input'!$U$68))+IF('01_Input'!$X$68="Forfait",IF(AZ$20&gt;='01_Input'!$V$68,'01_Input'!$Y$68,0),IF('01_Input'!$X$68="Palier",IF(AND(AZ$20&gt;='01_Input'!$V$68,AZ$20&lt;'01_Input'!$W$68),'01_Input'!$Y$68,0),MAX(MIN(AZ$20,'01_Input'!$W$68)-'01_Input'!$V$68,0)*'01_Input'!$Y$68))+IF('01_Input'!$AB$68="Forfait",IF(AZ$20&gt;='01_Input'!$Z$68,'01_Input'!$AC$68,0),IF('01_Input'!$AB$68="Palier",IF(AND(AZ$20&gt;='01_Input'!$Z$68,AZ$20&lt;'01_Input'!$AA$68),'01_Input'!$AC$68,0),MAX(MIN(AZ$20,'01_Input'!$AA$68)-'01_Input'!$Z$68,0)*'01_Input'!$AC$68)))))))))</f>
        <v>0</v>
      </c>
      <c r="BA36" s="83">
        <f>IF('01_Input'!$C$68="Non",0,MIN('01_Input'!$I$68,MAX('01_Input'!$H$68,IF('01_Input'!$G$68="Résiduel vs Gestion",0,IF('01_Input'!$G$68="Taux Classe sélectionnée",Distrib_Global_Classe_Selectionnee*BA$20,IF('01_Input'!$G$68="Frais KYC (paliers de 100M€)",MAX(0,Nb_Investisseurs-Nb_KYC_Gratuites_Par_Tranche*(FLOOR(BA$20/Taille_Tranche_KYC,1)+1))*Cout_Par_KYC_Supplementaire,(IF('01_Input'!$L$68="Forfait",IF(BA$20&gt;='01_Input'!$J$68,'01_Input'!$M$68,0),IF('01_Input'!$L$68="Palier",IF(AND(BA$20&gt;='01_Input'!$J$68,BA$20&lt;'01_Input'!$K$68),'01_Input'!$M$68,0),MAX(MIN(BA$20,'01_Input'!$K$68)-'01_Input'!$J$68,0)*'01_Input'!$M$68))+IF('01_Input'!$P$68="Forfait",IF(BA$20&gt;='01_Input'!$N$68,'01_Input'!$Q$68,0),IF('01_Input'!$P$68="Palier",IF(AND(BA$20&gt;='01_Input'!$N$68,BA$20&lt;'01_Input'!$O$68),'01_Input'!$Q$68,0),MAX(MIN(BA$20,'01_Input'!$O$68)-'01_Input'!$N$68,0)*'01_Input'!$Q$68))+IF('01_Input'!$T$68="Forfait",IF(BA$20&gt;='01_Input'!$R$68,'01_Input'!$U$68,0),IF('01_Input'!$T$68="Palier",IF(AND(BA$20&gt;='01_Input'!$R$68,BA$20&lt;'01_Input'!$S$68),'01_Input'!$U$68,0),MAX(MIN(BA$20,'01_Input'!$S$68)-'01_Input'!$R$68,0)*'01_Input'!$U$68))+IF('01_Input'!$X$68="Forfait",IF(BA$20&gt;='01_Input'!$V$68,'01_Input'!$Y$68,0),IF('01_Input'!$X$68="Palier",IF(AND(BA$20&gt;='01_Input'!$V$68,BA$20&lt;'01_Input'!$W$68),'01_Input'!$Y$68,0),MAX(MIN(BA$20,'01_Input'!$W$68)-'01_Input'!$V$68,0)*'01_Input'!$Y$68))+IF('01_Input'!$AB$68="Forfait",IF(BA$20&gt;='01_Input'!$Z$68,'01_Input'!$AC$68,0),IF('01_Input'!$AB$68="Palier",IF(AND(BA$20&gt;='01_Input'!$Z$68,BA$20&lt;'01_Input'!$AA$68),'01_Input'!$AC$68,0),MAX(MIN(BA$20,'01_Input'!$AA$68)-'01_Input'!$Z$68,0)*'01_Input'!$AC$68)))))))))</f>
        <v>0</v>
      </c>
      <c r="BB36" s="83">
        <f>IF('01_Input'!$C$68="Non",0,MIN('01_Input'!$I$68,MAX('01_Input'!$H$68,IF('01_Input'!$G$68="Résiduel vs Gestion",0,IF('01_Input'!$G$68="Taux Classe sélectionnée",Distrib_Global_Classe_Selectionnee*BB$20,IF('01_Input'!$G$68="Frais KYC (paliers de 100M€)",MAX(0,Nb_Investisseurs-Nb_KYC_Gratuites_Par_Tranche*(FLOOR(BB$20/Taille_Tranche_KYC,1)+1))*Cout_Par_KYC_Supplementaire,(IF('01_Input'!$L$68="Forfait",IF(BB$20&gt;='01_Input'!$J$68,'01_Input'!$M$68,0),IF('01_Input'!$L$68="Palier",IF(AND(BB$20&gt;='01_Input'!$J$68,BB$20&lt;'01_Input'!$K$68),'01_Input'!$M$68,0),MAX(MIN(BB$20,'01_Input'!$K$68)-'01_Input'!$J$68,0)*'01_Input'!$M$68))+IF('01_Input'!$P$68="Forfait",IF(BB$20&gt;='01_Input'!$N$68,'01_Input'!$Q$68,0),IF('01_Input'!$P$68="Palier",IF(AND(BB$20&gt;='01_Input'!$N$68,BB$20&lt;'01_Input'!$O$68),'01_Input'!$Q$68,0),MAX(MIN(BB$20,'01_Input'!$O$68)-'01_Input'!$N$68,0)*'01_Input'!$Q$68))+IF('01_Input'!$T$68="Forfait",IF(BB$20&gt;='01_Input'!$R$68,'01_Input'!$U$68,0),IF('01_Input'!$T$68="Palier",IF(AND(BB$20&gt;='01_Input'!$R$68,BB$20&lt;'01_Input'!$S$68),'01_Input'!$U$68,0),MAX(MIN(BB$20,'01_Input'!$S$68)-'01_Input'!$R$68,0)*'01_Input'!$U$68))+IF('01_Input'!$X$68="Forfait",IF(BB$20&gt;='01_Input'!$V$68,'01_Input'!$Y$68,0),IF('01_Input'!$X$68="Palier",IF(AND(BB$20&gt;='01_Input'!$V$68,BB$20&lt;'01_Input'!$W$68),'01_Input'!$Y$68,0),MAX(MIN(BB$20,'01_Input'!$W$68)-'01_Input'!$V$68,0)*'01_Input'!$Y$68))+IF('01_Input'!$AB$68="Forfait",IF(BB$20&gt;='01_Input'!$Z$68,'01_Input'!$AC$68,0),IF('01_Input'!$AB$68="Palier",IF(AND(BB$20&gt;='01_Input'!$Z$68,BB$20&lt;'01_Input'!$AA$68),'01_Input'!$AC$68,0),MAX(MIN(BB$20,'01_Input'!$AA$68)-'01_Input'!$Z$68,0)*'01_Input'!$AC$68)))))))))</f>
        <v>0</v>
      </c>
      <c r="BC36" s="83">
        <f>IF('01_Input'!$C$68="Non",0,MIN('01_Input'!$I$68,MAX('01_Input'!$H$68,IF('01_Input'!$G$68="Résiduel vs Gestion",0,IF('01_Input'!$G$68="Taux Classe sélectionnée",Distrib_Global_Classe_Selectionnee*BC$20,IF('01_Input'!$G$68="Frais KYC (paliers de 100M€)",MAX(0,Nb_Investisseurs-Nb_KYC_Gratuites_Par_Tranche*(FLOOR(BC$20/Taille_Tranche_KYC,1)+1))*Cout_Par_KYC_Supplementaire,(IF('01_Input'!$L$68="Forfait",IF(BC$20&gt;='01_Input'!$J$68,'01_Input'!$M$68,0),IF('01_Input'!$L$68="Palier",IF(AND(BC$20&gt;='01_Input'!$J$68,BC$20&lt;'01_Input'!$K$68),'01_Input'!$M$68,0),MAX(MIN(BC$20,'01_Input'!$K$68)-'01_Input'!$J$68,0)*'01_Input'!$M$68))+IF('01_Input'!$P$68="Forfait",IF(BC$20&gt;='01_Input'!$N$68,'01_Input'!$Q$68,0),IF('01_Input'!$P$68="Palier",IF(AND(BC$20&gt;='01_Input'!$N$68,BC$20&lt;'01_Input'!$O$68),'01_Input'!$Q$68,0),MAX(MIN(BC$20,'01_Input'!$O$68)-'01_Input'!$N$68,0)*'01_Input'!$Q$68))+IF('01_Input'!$T$68="Forfait",IF(BC$20&gt;='01_Input'!$R$68,'01_Input'!$U$68,0),IF('01_Input'!$T$68="Palier",IF(AND(BC$20&gt;='01_Input'!$R$68,BC$20&lt;'01_Input'!$S$68),'01_Input'!$U$68,0),MAX(MIN(BC$20,'01_Input'!$S$68)-'01_Input'!$R$68,0)*'01_Input'!$U$68))+IF('01_Input'!$X$68="Forfait",IF(BC$20&gt;='01_Input'!$V$68,'01_Input'!$Y$68,0),IF('01_Input'!$X$68="Palier",IF(AND(BC$20&gt;='01_Input'!$V$68,BC$20&lt;'01_Input'!$W$68),'01_Input'!$Y$68,0),MAX(MIN(BC$20,'01_Input'!$W$68)-'01_Input'!$V$68,0)*'01_Input'!$Y$68))+IF('01_Input'!$AB$68="Forfait",IF(BC$20&gt;='01_Input'!$Z$68,'01_Input'!$AC$68,0),IF('01_Input'!$AB$68="Palier",IF(AND(BC$20&gt;='01_Input'!$Z$68,BC$20&lt;'01_Input'!$AA$68),'01_Input'!$AC$68,0),MAX(MIN(BC$20,'01_Input'!$AA$68)-'01_Input'!$Z$68,0)*'01_Input'!$AC$68)))))))))</f>
        <v>0</v>
      </c>
      <c r="BD36" s="83">
        <f>IF('01_Input'!$C$68="Non",0,MIN('01_Input'!$I$68,MAX('01_Input'!$H$68,IF('01_Input'!$G$68="Résiduel vs Gestion",0,IF('01_Input'!$G$68="Taux Classe sélectionnée",Distrib_Global_Classe_Selectionnee*BD$20,IF('01_Input'!$G$68="Frais KYC (paliers de 100M€)",MAX(0,Nb_Investisseurs-Nb_KYC_Gratuites_Par_Tranche*(FLOOR(BD$20/Taille_Tranche_KYC,1)+1))*Cout_Par_KYC_Supplementaire,(IF('01_Input'!$L$68="Forfait",IF(BD$20&gt;='01_Input'!$J$68,'01_Input'!$M$68,0),IF('01_Input'!$L$68="Palier",IF(AND(BD$20&gt;='01_Input'!$J$68,BD$20&lt;'01_Input'!$K$68),'01_Input'!$M$68,0),MAX(MIN(BD$20,'01_Input'!$K$68)-'01_Input'!$J$68,0)*'01_Input'!$M$68))+IF('01_Input'!$P$68="Forfait",IF(BD$20&gt;='01_Input'!$N$68,'01_Input'!$Q$68,0),IF('01_Input'!$P$68="Palier",IF(AND(BD$20&gt;='01_Input'!$N$68,BD$20&lt;'01_Input'!$O$68),'01_Input'!$Q$68,0),MAX(MIN(BD$20,'01_Input'!$O$68)-'01_Input'!$N$68,0)*'01_Input'!$Q$68))+IF('01_Input'!$T$68="Forfait",IF(BD$20&gt;='01_Input'!$R$68,'01_Input'!$U$68,0),IF('01_Input'!$T$68="Palier",IF(AND(BD$20&gt;='01_Input'!$R$68,BD$20&lt;'01_Input'!$S$68),'01_Input'!$U$68,0),MAX(MIN(BD$20,'01_Input'!$S$68)-'01_Input'!$R$68,0)*'01_Input'!$U$68))+IF('01_Input'!$X$68="Forfait",IF(BD$20&gt;='01_Input'!$V$68,'01_Input'!$Y$68,0),IF('01_Input'!$X$68="Palier",IF(AND(BD$20&gt;='01_Input'!$V$68,BD$20&lt;'01_Input'!$W$68),'01_Input'!$Y$68,0),MAX(MIN(BD$20,'01_Input'!$W$68)-'01_Input'!$V$68,0)*'01_Input'!$Y$68))+IF('01_Input'!$AB$68="Forfait",IF(BD$20&gt;='01_Input'!$Z$68,'01_Input'!$AC$68,0),IF('01_Input'!$AB$68="Palier",IF(AND(BD$20&gt;='01_Input'!$Z$68,BD$20&lt;'01_Input'!$AA$68),'01_Input'!$AC$68,0),MAX(MIN(BD$20,'01_Input'!$AA$68)-'01_Input'!$Z$68,0)*'01_Input'!$AC$68)))))))))</f>
        <v>0</v>
      </c>
      <c r="BE36" s="83">
        <f>IF('01_Input'!$C$68="Non",0,MIN('01_Input'!$I$68,MAX('01_Input'!$H$68,IF('01_Input'!$G$68="Résiduel vs Gestion",0,IF('01_Input'!$G$68="Taux Classe sélectionnée",Distrib_Global_Classe_Selectionnee*BE$20,IF('01_Input'!$G$68="Frais KYC (paliers de 100M€)",MAX(0,Nb_Investisseurs-Nb_KYC_Gratuites_Par_Tranche*(FLOOR(BE$20/Taille_Tranche_KYC,1)+1))*Cout_Par_KYC_Supplementaire,(IF('01_Input'!$L$68="Forfait",IF(BE$20&gt;='01_Input'!$J$68,'01_Input'!$M$68,0),IF('01_Input'!$L$68="Palier",IF(AND(BE$20&gt;='01_Input'!$J$68,BE$20&lt;'01_Input'!$K$68),'01_Input'!$M$68,0),MAX(MIN(BE$20,'01_Input'!$K$68)-'01_Input'!$J$68,0)*'01_Input'!$M$68))+IF('01_Input'!$P$68="Forfait",IF(BE$20&gt;='01_Input'!$N$68,'01_Input'!$Q$68,0),IF('01_Input'!$P$68="Palier",IF(AND(BE$20&gt;='01_Input'!$N$68,BE$20&lt;'01_Input'!$O$68),'01_Input'!$Q$68,0),MAX(MIN(BE$20,'01_Input'!$O$68)-'01_Input'!$N$68,0)*'01_Input'!$Q$68))+IF('01_Input'!$T$68="Forfait",IF(BE$20&gt;='01_Input'!$R$68,'01_Input'!$U$68,0),IF('01_Input'!$T$68="Palier",IF(AND(BE$20&gt;='01_Input'!$R$68,BE$20&lt;'01_Input'!$S$68),'01_Input'!$U$68,0),MAX(MIN(BE$20,'01_Input'!$S$68)-'01_Input'!$R$68,0)*'01_Input'!$U$68))+IF('01_Input'!$X$68="Forfait",IF(BE$20&gt;='01_Input'!$V$68,'01_Input'!$Y$68,0),IF('01_Input'!$X$68="Palier",IF(AND(BE$20&gt;='01_Input'!$V$68,BE$20&lt;'01_Input'!$W$68),'01_Input'!$Y$68,0),MAX(MIN(BE$20,'01_Input'!$W$68)-'01_Input'!$V$68,0)*'01_Input'!$Y$68))+IF('01_Input'!$AB$68="Forfait",IF(BE$20&gt;='01_Input'!$Z$68,'01_Input'!$AC$68,0),IF('01_Input'!$AB$68="Palier",IF(AND(BE$20&gt;='01_Input'!$Z$68,BE$20&lt;'01_Input'!$AA$68),'01_Input'!$AC$68,0),MAX(MIN(BE$20,'01_Input'!$AA$68)-'01_Input'!$Z$68,0)*'01_Input'!$AC$68)))))))))</f>
        <v>0</v>
      </c>
      <c r="BF36" s="83">
        <f>IF('01_Input'!$C$68="Non",0,MIN('01_Input'!$I$68,MAX('01_Input'!$H$68,IF('01_Input'!$G$68="Résiduel vs Gestion",0,IF('01_Input'!$G$68="Taux Classe sélectionnée",Distrib_Global_Classe_Selectionnee*BF$20,IF('01_Input'!$G$68="Frais KYC (paliers de 100M€)",MAX(0,Nb_Investisseurs-Nb_KYC_Gratuites_Par_Tranche*(FLOOR(BF$20/Taille_Tranche_KYC,1)+1))*Cout_Par_KYC_Supplementaire,(IF('01_Input'!$L$68="Forfait",IF(BF$20&gt;='01_Input'!$J$68,'01_Input'!$M$68,0),IF('01_Input'!$L$68="Palier",IF(AND(BF$20&gt;='01_Input'!$J$68,BF$20&lt;'01_Input'!$K$68),'01_Input'!$M$68,0),MAX(MIN(BF$20,'01_Input'!$K$68)-'01_Input'!$J$68,0)*'01_Input'!$M$68))+IF('01_Input'!$P$68="Forfait",IF(BF$20&gt;='01_Input'!$N$68,'01_Input'!$Q$68,0),IF('01_Input'!$P$68="Palier",IF(AND(BF$20&gt;='01_Input'!$N$68,BF$20&lt;'01_Input'!$O$68),'01_Input'!$Q$68,0),MAX(MIN(BF$20,'01_Input'!$O$68)-'01_Input'!$N$68,0)*'01_Input'!$Q$68))+IF('01_Input'!$T$68="Forfait",IF(BF$20&gt;='01_Input'!$R$68,'01_Input'!$U$68,0),IF('01_Input'!$T$68="Palier",IF(AND(BF$20&gt;='01_Input'!$R$68,BF$20&lt;'01_Input'!$S$68),'01_Input'!$U$68,0),MAX(MIN(BF$20,'01_Input'!$S$68)-'01_Input'!$R$68,0)*'01_Input'!$U$68))+IF('01_Input'!$X$68="Forfait",IF(BF$20&gt;='01_Input'!$V$68,'01_Input'!$Y$68,0),IF('01_Input'!$X$68="Palier",IF(AND(BF$20&gt;='01_Input'!$V$68,BF$20&lt;'01_Input'!$W$68),'01_Input'!$Y$68,0),MAX(MIN(BF$20,'01_Input'!$W$68)-'01_Input'!$V$68,0)*'01_Input'!$Y$68))+IF('01_Input'!$AB$68="Forfait",IF(BF$20&gt;='01_Input'!$Z$68,'01_Input'!$AC$68,0),IF('01_Input'!$AB$68="Palier",IF(AND(BF$20&gt;='01_Input'!$Z$68,BF$20&lt;'01_Input'!$AA$68),'01_Input'!$AC$68,0),MAX(MIN(BF$20,'01_Input'!$AA$68)-'01_Input'!$Z$68,0)*'01_Input'!$AC$68)))))))))</f>
        <v>0</v>
      </c>
      <c r="BG36" s="83">
        <f>IF('01_Input'!$C$68="Non",0,MIN('01_Input'!$I$68,MAX('01_Input'!$H$68,IF('01_Input'!$G$68="Résiduel vs Gestion",0,IF('01_Input'!$G$68="Taux Classe sélectionnée",Distrib_Global_Classe_Selectionnee*BG$20,IF('01_Input'!$G$68="Frais KYC (paliers de 100M€)",MAX(0,Nb_Investisseurs-Nb_KYC_Gratuites_Par_Tranche*(FLOOR(BG$20/Taille_Tranche_KYC,1)+1))*Cout_Par_KYC_Supplementaire,(IF('01_Input'!$L$68="Forfait",IF(BG$20&gt;='01_Input'!$J$68,'01_Input'!$M$68,0),IF('01_Input'!$L$68="Palier",IF(AND(BG$20&gt;='01_Input'!$J$68,BG$20&lt;'01_Input'!$K$68),'01_Input'!$M$68,0),MAX(MIN(BG$20,'01_Input'!$K$68)-'01_Input'!$J$68,0)*'01_Input'!$M$68))+IF('01_Input'!$P$68="Forfait",IF(BG$20&gt;='01_Input'!$N$68,'01_Input'!$Q$68,0),IF('01_Input'!$P$68="Palier",IF(AND(BG$20&gt;='01_Input'!$N$68,BG$20&lt;'01_Input'!$O$68),'01_Input'!$Q$68,0),MAX(MIN(BG$20,'01_Input'!$O$68)-'01_Input'!$N$68,0)*'01_Input'!$Q$68))+IF('01_Input'!$T$68="Forfait",IF(BG$20&gt;='01_Input'!$R$68,'01_Input'!$U$68,0),IF('01_Input'!$T$68="Palier",IF(AND(BG$20&gt;='01_Input'!$R$68,BG$20&lt;'01_Input'!$S$68),'01_Input'!$U$68,0),MAX(MIN(BG$20,'01_Input'!$S$68)-'01_Input'!$R$68,0)*'01_Input'!$U$68))+IF('01_Input'!$X$68="Forfait",IF(BG$20&gt;='01_Input'!$V$68,'01_Input'!$Y$68,0),IF('01_Input'!$X$68="Palier",IF(AND(BG$20&gt;='01_Input'!$V$68,BG$20&lt;'01_Input'!$W$68),'01_Input'!$Y$68,0),MAX(MIN(BG$20,'01_Input'!$W$68)-'01_Input'!$V$68,0)*'01_Input'!$Y$68))+IF('01_Input'!$AB$68="Forfait",IF(BG$20&gt;='01_Input'!$Z$68,'01_Input'!$AC$68,0),IF('01_Input'!$AB$68="Palier",IF(AND(BG$20&gt;='01_Input'!$Z$68,BG$20&lt;'01_Input'!$AA$68),'01_Input'!$AC$68,0),MAX(MIN(BG$20,'01_Input'!$AA$68)-'01_Input'!$Z$68,0)*'01_Input'!$AC$68)))))))))</f>
        <v>0</v>
      </c>
      <c r="BH36" s="83">
        <f>IF('01_Input'!$C$68="Non",0,MIN('01_Input'!$I$68,MAX('01_Input'!$H$68,IF('01_Input'!$G$68="Résiduel vs Gestion",0,IF('01_Input'!$G$68="Taux Classe sélectionnée",Distrib_Global_Classe_Selectionnee*BH$20,IF('01_Input'!$G$68="Frais KYC (paliers de 100M€)",MAX(0,Nb_Investisseurs-Nb_KYC_Gratuites_Par_Tranche*(FLOOR(BH$20/Taille_Tranche_KYC,1)+1))*Cout_Par_KYC_Supplementaire,(IF('01_Input'!$L$68="Forfait",IF(BH$20&gt;='01_Input'!$J$68,'01_Input'!$M$68,0),IF('01_Input'!$L$68="Palier",IF(AND(BH$20&gt;='01_Input'!$J$68,BH$20&lt;'01_Input'!$K$68),'01_Input'!$M$68,0),MAX(MIN(BH$20,'01_Input'!$K$68)-'01_Input'!$J$68,0)*'01_Input'!$M$68))+IF('01_Input'!$P$68="Forfait",IF(BH$20&gt;='01_Input'!$N$68,'01_Input'!$Q$68,0),IF('01_Input'!$P$68="Palier",IF(AND(BH$20&gt;='01_Input'!$N$68,BH$20&lt;'01_Input'!$O$68),'01_Input'!$Q$68,0),MAX(MIN(BH$20,'01_Input'!$O$68)-'01_Input'!$N$68,0)*'01_Input'!$Q$68))+IF('01_Input'!$T$68="Forfait",IF(BH$20&gt;='01_Input'!$R$68,'01_Input'!$U$68,0),IF('01_Input'!$T$68="Palier",IF(AND(BH$20&gt;='01_Input'!$R$68,BH$20&lt;'01_Input'!$S$68),'01_Input'!$U$68,0),MAX(MIN(BH$20,'01_Input'!$S$68)-'01_Input'!$R$68,0)*'01_Input'!$U$68))+IF('01_Input'!$X$68="Forfait",IF(BH$20&gt;='01_Input'!$V$68,'01_Input'!$Y$68,0),IF('01_Input'!$X$68="Palier",IF(AND(BH$20&gt;='01_Input'!$V$68,BH$20&lt;'01_Input'!$W$68),'01_Input'!$Y$68,0),MAX(MIN(BH$20,'01_Input'!$W$68)-'01_Input'!$V$68,0)*'01_Input'!$Y$68))+IF('01_Input'!$AB$68="Forfait",IF(BH$20&gt;='01_Input'!$Z$68,'01_Input'!$AC$68,0),IF('01_Input'!$AB$68="Palier",IF(AND(BH$20&gt;='01_Input'!$Z$68,BH$20&lt;'01_Input'!$AA$68),'01_Input'!$AC$68,0),MAX(MIN(BH$20,'01_Input'!$AA$68)-'01_Input'!$Z$68,0)*'01_Input'!$AC$68)))))))))</f>
        <v>0</v>
      </c>
      <c r="BI36" s="83">
        <f>IF('01_Input'!$C$68="Non",0,MIN('01_Input'!$I$68,MAX('01_Input'!$H$68,IF('01_Input'!$G$68="Résiduel vs Gestion",0,IF('01_Input'!$G$68="Taux Classe sélectionnée",Distrib_Global_Classe_Selectionnee*BI$20,IF('01_Input'!$G$68="Frais KYC (paliers de 100M€)",MAX(0,Nb_Investisseurs-Nb_KYC_Gratuites_Par_Tranche*(FLOOR(BI$20/Taille_Tranche_KYC,1)+1))*Cout_Par_KYC_Supplementaire,(IF('01_Input'!$L$68="Forfait",IF(BI$20&gt;='01_Input'!$J$68,'01_Input'!$M$68,0),IF('01_Input'!$L$68="Palier",IF(AND(BI$20&gt;='01_Input'!$J$68,BI$20&lt;'01_Input'!$K$68),'01_Input'!$M$68,0),MAX(MIN(BI$20,'01_Input'!$K$68)-'01_Input'!$J$68,0)*'01_Input'!$M$68))+IF('01_Input'!$P$68="Forfait",IF(BI$20&gt;='01_Input'!$N$68,'01_Input'!$Q$68,0),IF('01_Input'!$P$68="Palier",IF(AND(BI$20&gt;='01_Input'!$N$68,BI$20&lt;'01_Input'!$O$68),'01_Input'!$Q$68,0),MAX(MIN(BI$20,'01_Input'!$O$68)-'01_Input'!$N$68,0)*'01_Input'!$Q$68))+IF('01_Input'!$T$68="Forfait",IF(BI$20&gt;='01_Input'!$R$68,'01_Input'!$U$68,0),IF('01_Input'!$T$68="Palier",IF(AND(BI$20&gt;='01_Input'!$R$68,BI$20&lt;'01_Input'!$S$68),'01_Input'!$U$68,0),MAX(MIN(BI$20,'01_Input'!$S$68)-'01_Input'!$R$68,0)*'01_Input'!$U$68))+IF('01_Input'!$X$68="Forfait",IF(BI$20&gt;='01_Input'!$V$68,'01_Input'!$Y$68,0),IF('01_Input'!$X$68="Palier",IF(AND(BI$20&gt;='01_Input'!$V$68,BI$20&lt;'01_Input'!$W$68),'01_Input'!$Y$68,0),MAX(MIN(BI$20,'01_Input'!$W$68)-'01_Input'!$V$68,0)*'01_Input'!$Y$68))+IF('01_Input'!$AB$68="Forfait",IF(BI$20&gt;='01_Input'!$Z$68,'01_Input'!$AC$68,0),IF('01_Input'!$AB$68="Palier",IF(AND(BI$20&gt;='01_Input'!$Z$68,BI$20&lt;'01_Input'!$AA$68),'01_Input'!$AC$68,0),MAX(MIN(BI$20,'01_Input'!$AA$68)-'01_Input'!$Z$68,0)*'01_Input'!$AC$68)))))))))</f>
        <v>0</v>
      </c>
      <c r="BJ36" s="83">
        <f>IF('01_Input'!$C$68="Non",0,MIN('01_Input'!$I$68,MAX('01_Input'!$H$68,IF('01_Input'!$G$68="Résiduel vs Gestion",0,IF('01_Input'!$G$68="Taux Classe sélectionnée",Distrib_Global_Classe_Selectionnee*BJ$20,IF('01_Input'!$G$68="Frais KYC (paliers de 100M€)",MAX(0,Nb_Investisseurs-Nb_KYC_Gratuites_Par_Tranche*(FLOOR(BJ$20/Taille_Tranche_KYC,1)+1))*Cout_Par_KYC_Supplementaire,(IF('01_Input'!$L$68="Forfait",IF(BJ$20&gt;='01_Input'!$J$68,'01_Input'!$M$68,0),IF('01_Input'!$L$68="Palier",IF(AND(BJ$20&gt;='01_Input'!$J$68,BJ$20&lt;'01_Input'!$K$68),'01_Input'!$M$68,0),MAX(MIN(BJ$20,'01_Input'!$K$68)-'01_Input'!$J$68,0)*'01_Input'!$M$68))+IF('01_Input'!$P$68="Forfait",IF(BJ$20&gt;='01_Input'!$N$68,'01_Input'!$Q$68,0),IF('01_Input'!$P$68="Palier",IF(AND(BJ$20&gt;='01_Input'!$N$68,BJ$20&lt;'01_Input'!$O$68),'01_Input'!$Q$68,0),MAX(MIN(BJ$20,'01_Input'!$O$68)-'01_Input'!$N$68,0)*'01_Input'!$Q$68))+IF('01_Input'!$T$68="Forfait",IF(BJ$20&gt;='01_Input'!$R$68,'01_Input'!$U$68,0),IF('01_Input'!$T$68="Palier",IF(AND(BJ$20&gt;='01_Input'!$R$68,BJ$20&lt;'01_Input'!$S$68),'01_Input'!$U$68,0),MAX(MIN(BJ$20,'01_Input'!$S$68)-'01_Input'!$R$68,0)*'01_Input'!$U$68))+IF('01_Input'!$X$68="Forfait",IF(BJ$20&gt;='01_Input'!$V$68,'01_Input'!$Y$68,0),IF('01_Input'!$X$68="Palier",IF(AND(BJ$20&gt;='01_Input'!$V$68,BJ$20&lt;'01_Input'!$W$68),'01_Input'!$Y$68,0),MAX(MIN(BJ$20,'01_Input'!$W$68)-'01_Input'!$V$68,0)*'01_Input'!$Y$68))+IF('01_Input'!$AB$68="Forfait",IF(BJ$20&gt;='01_Input'!$Z$68,'01_Input'!$AC$68,0),IF('01_Input'!$AB$68="Palier",IF(AND(BJ$20&gt;='01_Input'!$Z$68,BJ$20&lt;'01_Input'!$AA$68),'01_Input'!$AC$68,0),MAX(MIN(BJ$20,'01_Input'!$AA$68)-'01_Input'!$Z$68,0)*'01_Input'!$AC$68)))))))))</f>
        <v>0</v>
      </c>
      <c r="BK36" s="83">
        <f>IF('01_Input'!$C$68="Non",0,MIN('01_Input'!$I$68,MAX('01_Input'!$H$68,IF('01_Input'!$G$68="Résiduel vs Gestion",0,IF('01_Input'!$G$68="Taux Classe sélectionnée",Distrib_Global_Classe_Selectionnee*BK$20,IF('01_Input'!$G$68="Frais KYC (paliers de 100M€)",MAX(0,Nb_Investisseurs-Nb_KYC_Gratuites_Par_Tranche*(FLOOR(BK$20/Taille_Tranche_KYC,1)+1))*Cout_Par_KYC_Supplementaire,(IF('01_Input'!$L$68="Forfait",IF(BK$20&gt;='01_Input'!$J$68,'01_Input'!$M$68,0),IF('01_Input'!$L$68="Palier",IF(AND(BK$20&gt;='01_Input'!$J$68,BK$20&lt;'01_Input'!$K$68),'01_Input'!$M$68,0),MAX(MIN(BK$20,'01_Input'!$K$68)-'01_Input'!$J$68,0)*'01_Input'!$M$68))+IF('01_Input'!$P$68="Forfait",IF(BK$20&gt;='01_Input'!$N$68,'01_Input'!$Q$68,0),IF('01_Input'!$P$68="Palier",IF(AND(BK$20&gt;='01_Input'!$N$68,BK$20&lt;'01_Input'!$O$68),'01_Input'!$Q$68,0),MAX(MIN(BK$20,'01_Input'!$O$68)-'01_Input'!$N$68,0)*'01_Input'!$Q$68))+IF('01_Input'!$T$68="Forfait",IF(BK$20&gt;='01_Input'!$R$68,'01_Input'!$U$68,0),IF('01_Input'!$T$68="Palier",IF(AND(BK$20&gt;='01_Input'!$R$68,BK$20&lt;'01_Input'!$S$68),'01_Input'!$U$68,0),MAX(MIN(BK$20,'01_Input'!$S$68)-'01_Input'!$R$68,0)*'01_Input'!$U$68))+IF('01_Input'!$X$68="Forfait",IF(BK$20&gt;='01_Input'!$V$68,'01_Input'!$Y$68,0),IF('01_Input'!$X$68="Palier",IF(AND(BK$20&gt;='01_Input'!$V$68,BK$20&lt;'01_Input'!$W$68),'01_Input'!$Y$68,0),MAX(MIN(BK$20,'01_Input'!$W$68)-'01_Input'!$V$68,0)*'01_Input'!$Y$68))+IF('01_Input'!$AB$68="Forfait",IF(BK$20&gt;='01_Input'!$Z$68,'01_Input'!$AC$68,0),IF('01_Input'!$AB$68="Palier",IF(AND(BK$20&gt;='01_Input'!$Z$68,BK$20&lt;'01_Input'!$AA$68),'01_Input'!$AC$68,0),MAX(MIN(BK$20,'01_Input'!$AA$68)-'01_Input'!$Z$68,0)*'01_Input'!$AC$68)))))))))</f>
        <v>0</v>
      </c>
      <c r="BL36" s="83">
        <f>IF('01_Input'!$C$68="Non",0,MIN('01_Input'!$I$68,MAX('01_Input'!$H$68,IF('01_Input'!$G$68="Résiduel vs Gestion",0,IF('01_Input'!$G$68="Taux Classe sélectionnée",Distrib_Global_Classe_Selectionnee*BL$20,IF('01_Input'!$G$68="Frais KYC (paliers de 100M€)",MAX(0,Nb_Investisseurs-Nb_KYC_Gratuites_Par_Tranche*(FLOOR(BL$20/Taille_Tranche_KYC,1)+1))*Cout_Par_KYC_Supplementaire,(IF('01_Input'!$L$68="Forfait",IF(BL$20&gt;='01_Input'!$J$68,'01_Input'!$M$68,0),IF('01_Input'!$L$68="Palier",IF(AND(BL$20&gt;='01_Input'!$J$68,BL$20&lt;'01_Input'!$K$68),'01_Input'!$M$68,0),MAX(MIN(BL$20,'01_Input'!$K$68)-'01_Input'!$J$68,0)*'01_Input'!$M$68))+IF('01_Input'!$P$68="Forfait",IF(BL$20&gt;='01_Input'!$N$68,'01_Input'!$Q$68,0),IF('01_Input'!$P$68="Palier",IF(AND(BL$20&gt;='01_Input'!$N$68,BL$20&lt;'01_Input'!$O$68),'01_Input'!$Q$68,0),MAX(MIN(BL$20,'01_Input'!$O$68)-'01_Input'!$N$68,0)*'01_Input'!$Q$68))+IF('01_Input'!$T$68="Forfait",IF(BL$20&gt;='01_Input'!$R$68,'01_Input'!$U$68,0),IF('01_Input'!$T$68="Palier",IF(AND(BL$20&gt;='01_Input'!$R$68,BL$20&lt;'01_Input'!$S$68),'01_Input'!$U$68,0),MAX(MIN(BL$20,'01_Input'!$S$68)-'01_Input'!$R$68,0)*'01_Input'!$U$68))+IF('01_Input'!$X$68="Forfait",IF(BL$20&gt;='01_Input'!$V$68,'01_Input'!$Y$68,0),IF('01_Input'!$X$68="Palier",IF(AND(BL$20&gt;='01_Input'!$V$68,BL$20&lt;'01_Input'!$W$68),'01_Input'!$Y$68,0),MAX(MIN(BL$20,'01_Input'!$W$68)-'01_Input'!$V$68,0)*'01_Input'!$Y$68))+IF('01_Input'!$AB$68="Forfait",IF(BL$20&gt;='01_Input'!$Z$68,'01_Input'!$AC$68,0),IF('01_Input'!$AB$68="Palier",IF(AND(BL$20&gt;='01_Input'!$Z$68,BL$20&lt;'01_Input'!$AA$68),'01_Input'!$AC$68,0),MAX(MIN(BL$20,'01_Input'!$AA$68)-'01_Input'!$Z$68,0)*'01_Input'!$AC$68)))))))))</f>
        <v>0</v>
      </c>
      <c r="BM36" s="83">
        <f>IF('01_Input'!$C$68="Non",0,MIN('01_Input'!$I$68,MAX('01_Input'!$H$68,IF('01_Input'!$G$68="Résiduel vs Gestion",0,IF('01_Input'!$G$68="Taux Classe sélectionnée",Distrib_Global_Classe_Selectionnee*BM$20,IF('01_Input'!$G$68="Frais KYC (paliers de 100M€)",MAX(0,Nb_Investisseurs-Nb_KYC_Gratuites_Par_Tranche*(FLOOR(BM$20/Taille_Tranche_KYC,1)+1))*Cout_Par_KYC_Supplementaire,(IF('01_Input'!$L$68="Forfait",IF(BM$20&gt;='01_Input'!$J$68,'01_Input'!$M$68,0),IF('01_Input'!$L$68="Palier",IF(AND(BM$20&gt;='01_Input'!$J$68,BM$20&lt;'01_Input'!$K$68),'01_Input'!$M$68,0),MAX(MIN(BM$20,'01_Input'!$K$68)-'01_Input'!$J$68,0)*'01_Input'!$M$68))+IF('01_Input'!$P$68="Forfait",IF(BM$20&gt;='01_Input'!$N$68,'01_Input'!$Q$68,0),IF('01_Input'!$P$68="Palier",IF(AND(BM$20&gt;='01_Input'!$N$68,BM$20&lt;'01_Input'!$O$68),'01_Input'!$Q$68,0),MAX(MIN(BM$20,'01_Input'!$O$68)-'01_Input'!$N$68,0)*'01_Input'!$Q$68))+IF('01_Input'!$T$68="Forfait",IF(BM$20&gt;='01_Input'!$R$68,'01_Input'!$U$68,0),IF('01_Input'!$T$68="Palier",IF(AND(BM$20&gt;='01_Input'!$R$68,BM$20&lt;'01_Input'!$S$68),'01_Input'!$U$68,0),MAX(MIN(BM$20,'01_Input'!$S$68)-'01_Input'!$R$68,0)*'01_Input'!$U$68))+IF('01_Input'!$X$68="Forfait",IF(BM$20&gt;='01_Input'!$V$68,'01_Input'!$Y$68,0),IF('01_Input'!$X$68="Palier",IF(AND(BM$20&gt;='01_Input'!$V$68,BM$20&lt;'01_Input'!$W$68),'01_Input'!$Y$68,0),MAX(MIN(BM$20,'01_Input'!$W$68)-'01_Input'!$V$68,0)*'01_Input'!$Y$68))+IF('01_Input'!$AB$68="Forfait",IF(BM$20&gt;='01_Input'!$Z$68,'01_Input'!$AC$68,0),IF('01_Input'!$AB$68="Palier",IF(AND(BM$20&gt;='01_Input'!$Z$68,BM$20&lt;'01_Input'!$AA$68),'01_Input'!$AC$68,0),MAX(MIN(BM$20,'01_Input'!$AA$68)-'01_Input'!$Z$68,0)*'01_Input'!$AC$68)))))))))</f>
        <v>0</v>
      </c>
      <c r="BN36" s="83">
        <f>IF('01_Input'!$C$68="Non",0,MIN('01_Input'!$I$68,MAX('01_Input'!$H$68,IF('01_Input'!$G$68="Résiduel vs Gestion",0,IF('01_Input'!$G$68="Taux Classe sélectionnée",Distrib_Global_Classe_Selectionnee*BN$20,IF('01_Input'!$G$68="Frais KYC (paliers de 100M€)",MAX(0,Nb_Investisseurs-Nb_KYC_Gratuites_Par_Tranche*(FLOOR(BN$20/Taille_Tranche_KYC,1)+1))*Cout_Par_KYC_Supplementaire,(IF('01_Input'!$L$68="Forfait",IF(BN$20&gt;='01_Input'!$J$68,'01_Input'!$M$68,0),IF('01_Input'!$L$68="Palier",IF(AND(BN$20&gt;='01_Input'!$J$68,BN$20&lt;'01_Input'!$K$68),'01_Input'!$M$68,0),MAX(MIN(BN$20,'01_Input'!$K$68)-'01_Input'!$J$68,0)*'01_Input'!$M$68))+IF('01_Input'!$P$68="Forfait",IF(BN$20&gt;='01_Input'!$N$68,'01_Input'!$Q$68,0),IF('01_Input'!$P$68="Palier",IF(AND(BN$20&gt;='01_Input'!$N$68,BN$20&lt;'01_Input'!$O$68),'01_Input'!$Q$68,0),MAX(MIN(BN$20,'01_Input'!$O$68)-'01_Input'!$N$68,0)*'01_Input'!$Q$68))+IF('01_Input'!$T$68="Forfait",IF(BN$20&gt;='01_Input'!$R$68,'01_Input'!$U$68,0),IF('01_Input'!$T$68="Palier",IF(AND(BN$20&gt;='01_Input'!$R$68,BN$20&lt;'01_Input'!$S$68),'01_Input'!$U$68,0),MAX(MIN(BN$20,'01_Input'!$S$68)-'01_Input'!$R$68,0)*'01_Input'!$U$68))+IF('01_Input'!$X$68="Forfait",IF(BN$20&gt;='01_Input'!$V$68,'01_Input'!$Y$68,0),IF('01_Input'!$X$68="Palier",IF(AND(BN$20&gt;='01_Input'!$V$68,BN$20&lt;'01_Input'!$W$68),'01_Input'!$Y$68,0),MAX(MIN(BN$20,'01_Input'!$W$68)-'01_Input'!$V$68,0)*'01_Input'!$Y$68))+IF('01_Input'!$AB$68="Forfait",IF(BN$20&gt;='01_Input'!$Z$68,'01_Input'!$AC$68,0),IF('01_Input'!$AB$68="Palier",IF(AND(BN$20&gt;='01_Input'!$Z$68,BN$20&lt;'01_Input'!$AA$68),'01_Input'!$AC$68,0),MAX(MIN(BN$20,'01_Input'!$AA$68)-'01_Input'!$Z$68,0)*'01_Input'!$AC$68)))))))))</f>
        <v>0</v>
      </c>
      <c r="BO36" s="83">
        <f>IF('01_Input'!$C$68="Non",0,MIN('01_Input'!$I$68,MAX('01_Input'!$H$68,IF('01_Input'!$G$68="Résiduel vs Gestion",0,IF('01_Input'!$G$68="Taux Classe sélectionnée",Distrib_Global_Classe_Selectionnee*BO$20,IF('01_Input'!$G$68="Frais KYC (paliers de 100M€)",MAX(0,Nb_Investisseurs-Nb_KYC_Gratuites_Par_Tranche*(FLOOR(BO$20/Taille_Tranche_KYC,1)+1))*Cout_Par_KYC_Supplementaire,(IF('01_Input'!$L$68="Forfait",IF(BO$20&gt;='01_Input'!$J$68,'01_Input'!$M$68,0),IF('01_Input'!$L$68="Palier",IF(AND(BO$20&gt;='01_Input'!$J$68,BO$20&lt;'01_Input'!$K$68),'01_Input'!$M$68,0),MAX(MIN(BO$20,'01_Input'!$K$68)-'01_Input'!$J$68,0)*'01_Input'!$M$68))+IF('01_Input'!$P$68="Forfait",IF(BO$20&gt;='01_Input'!$N$68,'01_Input'!$Q$68,0),IF('01_Input'!$P$68="Palier",IF(AND(BO$20&gt;='01_Input'!$N$68,BO$20&lt;'01_Input'!$O$68),'01_Input'!$Q$68,0),MAX(MIN(BO$20,'01_Input'!$O$68)-'01_Input'!$N$68,0)*'01_Input'!$Q$68))+IF('01_Input'!$T$68="Forfait",IF(BO$20&gt;='01_Input'!$R$68,'01_Input'!$U$68,0),IF('01_Input'!$T$68="Palier",IF(AND(BO$20&gt;='01_Input'!$R$68,BO$20&lt;'01_Input'!$S$68),'01_Input'!$U$68,0),MAX(MIN(BO$20,'01_Input'!$S$68)-'01_Input'!$R$68,0)*'01_Input'!$U$68))+IF('01_Input'!$X$68="Forfait",IF(BO$20&gt;='01_Input'!$V$68,'01_Input'!$Y$68,0),IF('01_Input'!$X$68="Palier",IF(AND(BO$20&gt;='01_Input'!$V$68,BO$20&lt;'01_Input'!$W$68),'01_Input'!$Y$68,0),MAX(MIN(BO$20,'01_Input'!$W$68)-'01_Input'!$V$68,0)*'01_Input'!$Y$68))+IF('01_Input'!$AB$68="Forfait",IF(BO$20&gt;='01_Input'!$Z$68,'01_Input'!$AC$68,0),IF('01_Input'!$AB$68="Palier",IF(AND(BO$20&gt;='01_Input'!$Z$68,BO$20&lt;'01_Input'!$AA$68),'01_Input'!$AC$68,0),MAX(MIN(BO$20,'01_Input'!$AA$68)-'01_Input'!$Z$68,0)*'01_Input'!$AC$68)))))))))</f>
        <v>0</v>
      </c>
      <c r="BP36" s="83">
        <f>IF('01_Input'!$C$68="Non",0,MIN('01_Input'!$I$68,MAX('01_Input'!$H$68,IF('01_Input'!$G$68="Résiduel vs Gestion",0,IF('01_Input'!$G$68="Taux Classe sélectionnée",Distrib_Global_Classe_Selectionnee*BP$20,IF('01_Input'!$G$68="Frais KYC (paliers de 100M€)",MAX(0,Nb_Investisseurs-Nb_KYC_Gratuites_Par_Tranche*(FLOOR(BP$20/Taille_Tranche_KYC,1)+1))*Cout_Par_KYC_Supplementaire,(IF('01_Input'!$L$68="Forfait",IF(BP$20&gt;='01_Input'!$J$68,'01_Input'!$M$68,0),IF('01_Input'!$L$68="Palier",IF(AND(BP$20&gt;='01_Input'!$J$68,BP$20&lt;'01_Input'!$K$68),'01_Input'!$M$68,0),MAX(MIN(BP$20,'01_Input'!$K$68)-'01_Input'!$J$68,0)*'01_Input'!$M$68))+IF('01_Input'!$P$68="Forfait",IF(BP$20&gt;='01_Input'!$N$68,'01_Input'!$Q$68,0),IF('01_Input'!$P$68="Palier",IF(AND(BP$20&gt;='01_Input'!$N$68,BP$20&lt;'01_Input'!$O$68),'01_Input'!$Q$68,0),MAX(MIN(BP$20,'01_Input'!$O$68)-'01_Input'!$N$68,0)*'01_Input'!$Q$68))+IF('01_Input'!$T$68="Forfait",IF(BP$20&gt;='01_Input'!$R$68,'01_Input'!$U$68,0),IF('01_Input'!$T$68="Palier",IF(AND(BP$20&gt;='01_Input'!$R$68,BP$20&lt;'01_Input'!$S$68),'01_Input'!$U$68,0),MAX(MIN(BP$20,'01_Input'!$S$68)-'01_Input'!$R$68,0)*'01_Input'!$U$68))+IF('01_Input'!$X$68="Forfait",IF(BP$20&gt;='01_Input'!$V$68,'01_Input'!$Y$68,0),IF('01_Input'!$X$68="Palier",IF(AND(BP$20&gt;='01_Input'!$V$68,BP$20&lt;'01_Input'!$W$68),'01_Input'!$Y$68,0),MAX(MIN(BP$20,'01_Input'!$W$68)-'01_Input'!$V$68,0)*'01_Input'!$Y$68))+IF('01_Input'!$AB$68="Forfait",IF(BP$20&gt;='01_Input'!$Z$68,'01_Input'!$AC$68,0),IF('01_Input'!$AB$68="Palier",IF(AND(BP$20&gt;='01_Input'!$Z$68,BP$20&lt;'01_Input'!$AA$68),'01_Input'!$AC$68,0),MAX(MIN(BP$20,'01_Input'!$AA$68)-'01_Input'!$Z$68,0)*'01_Input'!$AC$68)))))))))</f>
        <v>0</v>
      </c>
      <c r="BQ36" s="83">
        <f>IF('01_Input'!$C$68="Non",0,MIN('01_Input'!$I$68,MAX('01_Input'!$H$68,IF('01_Input'!$G$68="Résiduel vs Gestion",0,IF('01_Input'!$G$68="Taux Classe sélectionnée",Distrib_Global_Classe_Selectionnee*BQ$20,IF('01_Input'!$G$68="Frais KYC (paliers de 100M€)",MAX(0,Nb_Investisseurs-Nb_KYC_Gratuites_Par_Tranche*(FLOOR(BQ$20/Taille_Tranche_KYC,1)+1))*Cout_Par_KYC_Supplementaire,(IF('01_Input'!$L$68="Forfait",IF(BQ$20&gt;='01_Input'!$J$68,'01_Input'!$M$68,0),IF('01_Input'!$L$68="Palier",IF(AND(BQ$20&gt;='01_Input'!$J$68,BQ$20&lt;'01_Input'!$K$68),'01_Input'!$M$68,0),MAX(MIN(BQ$20,'01_Input'!$K$68)-'01_Input'!$J$68,0)*'01_Input'!$M$68))+IF('01_Input'!$P$68="Forfait",IF(BQ$20&gt;='01_Input'!$N$68,'01_Input'!$Q$68,0),IF('01_Input'!$P$68="Palier",IF(AND(BQ$20&gt;='01_Input'!$N$68,BQ$20&lt;'01_Input'!$O$68),'01_Input'!$Q$68,0),MAX(MIN(BQ$20,'01_Input'!$O$68)-'01_Input'!$N$68,0)*'01_Input'!$Q$68))+IF('01_Input'!$T$68="Forfait",IF(BQ$20&gt;='01_Input'!$R$68,'01_Input'!$U$68,0),IF('01_Input'!$T$68="Palier",IF(AND(BQ$20&gt;='01_Input'!$R$68,BQ$20&lt;'01_Input'!$S$68),'01_Input'!$U$68,0),MAX(MIN(BQ$20,'01_Input'!$S$68)-'01_Input'!$R$68,0)*'01_Input'!$U$68))+IF('01_Input'!$X$68="Forfait",IF(BQ$20&gt;='01_Input'!$V$68,'01_Input'!$Y$68,0),IF('01_Input'!$X$68="Palier",IF(AND(BQ$20&gt;='01_Input'!$V$68,BQ$20&lt;'01_Input'!$W$68),'01_Input'!$Y$68,0),MAX(MIN(BQ$20,'01_Input'!$W$68)-'01_Input'!$V$68,0)*'01_Input'!$Y$68))+IF('01_Input'!$AB$68="Forfait",IF(BQ$20&gt;='01_Input'!$Z$68,'01_Input'!$AC$68,0),IF('01_Input'!$AB$68="Palier",IF(AND(BQ$20&gt;='01_Input'!$Z$68,BQ$20&lt;'01_Input'!$AA$68),'01_Input'!$AC$68,0),MAX(MIN(BQ$20,'01_Input'!$AA$68)-'01_Input'!$Z$68,0)*'01_Input'!$AC$68)))))))))</f>
        <v>0</v>
      </c>
      <c r="BR36" s="83">
        <f>IF('01_Input'!$C$68="Non",0,MIN('01_Input'!$I$68,MAX('01_Input'!$H$68,IF('01_Input'!$G$68="Résiduel vs Gestion",0,IF('01_Input'!$G$68="Taux Classe sélectionnée",Distrib_Global_Classe_Selectionnee*BR$20,IF('01_Input'!$G$68="Frais KYC (paliers de 100M€)",MAX(0,Nb_Investisseurs-Nb_KYC_Gratuites_Par_Tranche*(FLOOR(BR$20/Taille_Tranche_KYC,1)+1))*Cout_Par_KYC_Supplementaire,(IF('01_Input'!$L$68="Forfait",IF(BR$20&gt;='01_Input'!$J$68,'01_Input'!$M$68,0),IF('01_Input'!$L$68="Palier",IF(AND(BR$20&gt;='01_Input'!$J$68,BR$20&lt;'01_Input'!$K$68),'01_Input'!$M$68,0),MAX(MIN(BR$20,'01_Input'!$K$68)-'01_Input'!$J$68,0)*'01_Input'!$M$68))+IF('01_Input'!$P$68="Forfait",IF(BR$20&gt;='01_Input'!$N$68,'01_Input'!$Q$68,0),IF('01_Input'!$P$68="Palier",IF(AND(BR$20&gt;='01_Input'!$N$68,BR$20&lt;'01_Input'!$O$68),'01_Input'!$Q$68,0),MAX(MIN(BR$20,'01_Input'!$O$68)-'01_Input'!$N$68,0)*'01_Input'!$Q$68))+IF('01_Input'!$T$68="Forfait",IF(BR$20&gt;='01_Input'!$R$68,'01_Input'!$U$68,0),IF('01_Input'!$T$68="Palier",IF(AND(BR$20&gt;='01_Input'!$R$68,BR$20&lt;'01_Input'!$S$68),'01_Input'!$U$68,0),MAX(MIN(BR$20,'01_Input'!$S$68)-'01_Input'!$R$68,0)*'01_Input'!$U$68))+IF('01_Input'!$X$68="Forfait",IF(BR$20&gt;='01_Input'!$V$68,'01_Input'!$Y$68,0),IF('01_Input'!$X$68="Palier",IF(AND(BR$20&gt;='01_Input'!$V$68,BR$20&lt;'01_Input'!$W$68),'01_Input'!$Y$68,0),MAX(MIN(BR$20,'01_Input'!$W$68)-'01_Input'!$V$68,0)*'01_Input'!$Y$68))+IF('01_Input'!$AB$68="Forfait",IF(BR$20&gt;='01_Input'!$Z$68,'01_Input'!$AC$68,0),IF('01_Input'!$AB$68="Palier",IF(AND(BR$20&gt;='01_Input'!$Z$68,BR$20&lt;'01_Input'!$AA$68),'01_Input'!$AC$68,0),MAX(MIN(BR$20,'01_Input'!$AA$68)-'01_Input'!$Z$68,0)*'01_Input'!$AC$68)))))))))</f>
        <v>0</v>
      </c>
      <c r="BS36" s="83">
        <f>IF('01_Input'!$C$68="Non",0,MIN('01_Input'!$I$68,MAX('01_Input'!$H$68,IF('01_Input'!$G$68="Résiduel vs Gestion",0,IF('01_Input'!$G$68="Taux Classe sélectionnée",Distrib_Global_Classe_Selectionnee*BS$20,IF('01_Input'!$G$68="Frais KYC (paliers de 100M€)",MAX(0,Nb_Investisseurs-Nb_KYC_Gratuites_Par_Tranche*(FLOOR(BS$20/Taille_Tranche_KYC,1)+1))*Cout_Par_KYC_Supplementaire,(IF('01_Input'!$L$68="Forfait",IF(BS$20&gt;='01_Input'!$J$68,'01_Input'!$M$68,0),IF('01_Input'!$L$68="Palier",IF(AND(BS$20&gt;='01_Input'!$J$68,BS$20&lt;'01_Input'!$K$68),'01_Input'!$M$68,0),MAX(MIN(BS$20,'01_Input'!$K$68)-'01_Input'!$J$68,0)*'01_Input'!$M$68))+IF('01_Input'!$P$68="Forfait",IF(BS$20&gt;='01_Input'!$N$68,'01_Input'!$Q$68,0),IF('01_Input'!$P$68="Palier",IF(AND(BS$20&gt;='01_Input'!$N$68,BS$20&lt;'01_Input'!$O$68),'01_Input'!$Q$68,0),MAX(MIN(BS$20,'01_Input'!$O$68)-'01_Input'!$N$68,0)*'01_Input'!$Q$68))+IF('01_Input'!$T$68="Forfait",IF(BS$20&gt;='01_Input'!$R$68,'01_Input'!$U$68,0),IF('01_Input'!$T$68="Palier",IF(AND(BS$20&gt;='01_Input'!$R$68,BS$20&lt;'01_Input'!$S$68),'01_Input'!$U$68,0),MAX(MIN(BS$20,'01_Input'!$S$68)-'01_Input'!$R$68,0)*'01_Input'!$U$68))+IF('01_Input'!$X$68="Forfait",IF(BS$20&gt;='01_Input'!$V$68,'01_Input'!$Y$68,0),IF('01_Input'!$X$68="Palier",IF(AND(BS$20&gt;='01_Input'!$V$68,BS$20&lt;'01_Input'!$W$68),'01_Input'!$Y$68,0),MAX(MIN(BS$20,'01_Input'!$W$68)-'01_Input'!$V$68,0)*'01_Input'!$Y$68))+IF('01_Input'!$AB$68="Forfait",IF(BS$20&gt;='01_Input'!$Z$68,'01_Input'!$AC$68,0),IF('01_Input'!$AB$68="Palier",IF(AND(BS$20&gt;='01_Input'!$Z$68,BS$20&lt;'01_Input'!$AA$68),'01_Input'!$AC$68,0),MAX(MIN(BS$20,'01_Input'!$AA$68)-'01_Input'!$Z$68,0)*'01_Input'!$AC$68)))))))))</f>
        <v>0</v>
      </c>
      <c r="BT36" s="83">
        <f>IF('01_Input'!$C$68="Non",0,MIN('01_Input'!$I$68,MAX('01_Input'!$H$68,IF('01_Input'!$G$68="Résiduel vs Gestion",0,IF('01_Input'!$G$68="Taux Classe sélectionnée",Distrib_Global_Classe_Selectionnee*BT$20,IF('01_Input'!$G$68="Frais KYC (paliers de 100M€)",MAX(0,Nb_Investisseurs-Nb_KYC_Gratuites_Par_Tranche*(FLOOR(BT$20/Taille_Tranche_KYC,1)+1))*Cout_Par_KYC_Supplementaire,(IF('01_Input'!$L$68="Forfait",IF(BT$20&gt;='01_Input'!$J$68,'01_Input'!$M$68,0),IF('01_Input'!$L$68="Palier",IF(AND(BT$20&gt;='01_Input'!$J$68,BT$20&lt;'01_Input'!$K$68),'01_Input'!$M$68,0),MAX(MIN(BT$20,'01_Input'!$K$68)-'01_Input'!$J$68,0)*'01_Input'!$M$68))+IF('01_Input'!$P$68="Forfait",IF(BT$20&gt;='01_Input'!$N$68,'01_Input'!$Q$68,0),IF('01_Input'!$P$68="Palier",IF(AND(BT$20&gt;='01_Input'!$N$68,BT$20&lt;'01_Input'!$O$68),'01_Input'!$Q$68,0),MAX(MIN(BT$20,'01_Input'!$O$68)-'01_Input'!$N$68,0)*'01_Input'!$Q$68))+IF('01_Input'!$T$68="Forfait",IF(BT$20&gt;='01_Input'!$R$68,'01_Input'!$U$68,0),IF('01_Input'!$T$68="Palier",IF(AND(BT$20&gt;='01_Input'!$R$68,BT$20&lt;'01_Input'!$S$68),'01_Input'!$U$68,0),MAX(MIN(BT$20,'01_Input'!$S$68)-'01_Input'!$R$68,0)*'01_Input'!$U$68))+IF('01_Input'!$X$68="Forfait",IF(BT$20&gt;='01_Input'!$V$68,'01_Input'!$Y$68,0),IF('01_Input'!$X$68="Palier",IF(AND(BT$20&gt;='01_Input'!$V$68,BT$20&lt;'01_Input'!$W$68),'01_Input'!$Y$68,0),MAX(MIN(BT$20,'01_Input'!$W$68)-'01_Input'!$V$68,0)*'01_Input'!$Y$68))+IF('01_Input'!$AB$68="Forfait",IF(BT$20&gt;='01_Input'!$Z$68,'01_Input'!$AC$68,0),IF('01_Input'!$AB$68="Palier",IF(AND(BT$20&gt;='01_Input'!$Z$68,BT$20&lt;'01_Input'!$AA$68),'01_Input'!$AC$68,0),MAX(MIN(BT$20,'01_Input'!$AA$68)-'01_Input'!$Z$68,0)*'01_Input'!$AC$68)))))))))</f>
        <v>0</v>
      </c>
      <c r="BU36" s="83">
        <f>IF('01_Input'!$C$68="Non",0,MIN('01_Input'!$I$68,MAX('01_Input'!$H$68,IF('01_Input'!$G$68="Résiduel vs Gestion",0,IF('01_Input'!$G$68="Taux Classe sélectionnée",Distrib_Global_Classe_Selectionnee*BU$20,IF('01_Input'!$G$68="Frais KYC (paliers de 100M€)",MAX(0,Nb_Investisseurs-Nb_KYC_Gratuites_Par_Tranche*(FLOOR(BU$20/Taille_Tranche_KYC,1)+1))*Cout_Par_KYC_Supplementaire,(IF('01_Input'!$L$68="Forfait",IF(BU$20&gt;='01_Input'!$J$68,'01_Input'!$M$68,0),IF('01_Input'!$L$68="Palier",IF(AND(BU$20&gt;='01_Input'!$J$68,BU$20&lt;'01_Input'!$K$68),'01_Input'!$M$68,0),MAX(MIN(BU$20,'01_Input'!$K$68)-'01_Input'!$J$68,0)*'01_Input'!$M$68))+IF('01_Input'!$P$68="Forfait",IF(BU$20&gt;='01_Input'!$N$68,'01_Input'!$Q$68,0),IF('01_Input'!$P$68="Palier",IF(AND(BU$20&gt;='01_Input'!$N$68,BU$20&lt;'01_Input'!$O$68),'01_Input'!$Q$68,0),MAX(MIN(BU$20,'01_Input'!$O$68)-'01_Input'!$N$68,0)*'01_Input'!$Q$68))+IF('01_Input'!$T$68="Forfait",IF(BU$20&gt;='01_Input'!$R$68,'01_Input'!$U$68,0),IF('01_Input'!$T$68="Palier",IF(AND(BU$20&gt;='01_Input'!$R$68,BU$20&lt;'01_Input'!$S$68),'01_Input'!$U$68,0),MAX(MIN(BU$20,'01_Input'!$S$68)-'01_Input'!$R$68,0)*'01_Input'!$U$68))+IF('01_Input'!$X$68="Forfait",IF(BU$20&gt;='01_Input'!$V$68,'01_Input'!$Y$68,0),IF('01_Input'!$X$68="Palier",IF(AND(BU$20&gt;='01_Input'!$V$68,BU$20&lt;'01_Input'!$W$68),'01_Input'!$Y$68,0),MAX(MIN(BU$20,'01_Input'!$W$68)-'01_Input'!$V$68,0)*'01_Input'!$Y$68))+IF('01_Input'!$AB$68="Forfait",IF(BU$20&gt;='01_Input'!$Z$68,'01_Input'!$AC$68,0),IF('01_Input'!$AB$68="Palier",IF(AND(BU$20&gt;='01_Input'!$Z$68,BU$20&lt;'01_Input'!$AA$68),'01_Input'!$AC$68,0),MAX(MIN(BU$20,'01_Input'!$AA$68)-'01_Input'!$Z$68,0)*'01_Input'!$AC$68)))))))))</f>
        <v>0</v>
      </c>
      <c r="BV36" s="83">
        <f>IF('01_Input'!$C$68="Non",0,MIN('01_Input'!$I$68,MAX('01_Input'!$H$68,IF('01_Input'!$G$68="Résiduel vs Gestion",0,IF('01_Input'!$G$68="Taux Classe sélectionnée",Distrib_Global_Classe_Selectionnee*BV$20,IF('01_Input'!$G$68="Frais KYC (paliers de 100M€)",MAX(0,Nb_Investisseurs-Nb_KYC_Gratuites_Par_Tranche*(FLOOR(BV$20/Taille_Tranche_KYC,1)+1))*Cout_Par_KYC_Supplementaire,(IF('01_Input'!$L$68="Forfait",IF(BV$20&gt;='01_Input'!$J$68,'01_Input'!$M$68,0),IF('01_Input'!$L$68="Palier",IF(AND(BV$20&gt;='01_Input'!$J$68,BV$20&lt;'01_Input'!$K$68),'01_Input'!$M$68,0),MAX(MIN(BV$20,'01_Input'!$K$68)-'01_Input'!$J$68,0)*'01_Input'!$M$68))+IF('01_Input'!$P$68="Forfait",IF(BV$20&gt;='01_Input'!$N$68,'01_Input'!$Q$68,0),IF('01_Input'!$P$68="Palier",IF(AND(BV$20&gt;='01_Input'!$N$68,BV$20&lt;'01_Input'!$O$68),'01_Input'!$Q$68,0),MAX(MIN(BV$20,'01_Input'!$O$68)-'01_Input'!$N$68,0)*'01_Input'!$Q$68))+IF('01_Input'!$T$68="Forfait",IF(BV$20&gt;='01_Input'!$R$68,'01_Input'!$U$68,0),IF('01_Input'!$T$68="Palier",IF(AND(BV$20&gt;='01_Input'!$R$68,BV$20&lt;'01_Input'!$S$68),'01_Input'!$U$68,0),MAX(MIN(BV$20,'01_Input'!$S$68)-'01_Input'!$R$68,0)*'01_Input'!$U$68))+IF('01_Input'!$X$68="Forfait",IF(BV$20&gt;='01_Input'!$V$68,'01_Input'!$Y$68,0),IF('01_Input'!$X$68="Palier",IF(AND(BV$20&gt;='01_Input'!$V$68,BV$20&lt;'01_Input'!$W$68),'01_Input'!$Y$68,0),MAX(MIN(BV$20,'01_Input'!$W$68)-'01_Input'!$V$68,0)*'01_Input'!$Y$68))+IF('01_Input'!$AB$68="Forfait",IF(BV$20&gt;='01_Input'!$Z$68,'01_Input'!$AC$68,0),IF('01_Input'!$AB$68="Palier",IF(AND(BV$20&gt;='01_Input'!$Z$68,BV$20&lt;'01_Input'!$AA$68),'01_Input'!$AC$68,0),MAX(MIN(BV$20,'01_Input'!$AA$68)-'01_Input'!$Z$68,0)*'01_Input'!$AC$68)))))))))</f>
        <v>0</v>
      </c>
      <c r="BW36" s="83">
        <f>IF('01_Input'!$C$68="Non",0,MIN('01_Input'!$I$68,MAX('01_Input'!$H$68,IF('01_Input'!$G$68="Résiduel vs Gestion",0,IF('01_Input'!$G$68="Taux Classe sélectionnée",Distrib_Global_Classe_Selectionnee*BW$20,IF('01_Input'!$G$68="Frais KYC (paliers de 100M€)",MAX(0,Nb_Investisseurs-Nb_KYC_Gratuites_Par_Tranche*(FLOOR(BW$20/Taille_Tranche_KYC,1)+1))*Cout_Par_KYC_Supplementaire,(IF('01_Input'!$L$68="Forfait",IF(BW$20&gt;='01_Input'!$J$68,'01_Input'!$M$68,0),IF('01_Input'!$L$68="Palier",IF(AND(BW$20&gt;='01_Input'!$J$68,BW$20&lt;'01_Input'!$K$68),'01_Input'!$M$68,0),MAX(MIN(BW$20,'01_Input'!$K$68)-'01_Input'!$J$68,0)*'01_Input'!$M$68))+IF('01_Input'!$P$68="Forfait",IF(BW$20&gt;='01_Input'!$N$68,'01_Input'!$Q$68,0),IF('01_Input'!$P$68="Palier",IF(AND(BW$20&gt;='01_Input'!$N$68,BW$20&lt;'01_Input'!$O$68),'01_Input'!$Q$68,0),MAX(MIN(BW$20,'01_Input'!$O$68)-'01_Input'!$N$68,0)*'01_Input'!$Q$68))+IF('01_Input'!$T$68="Forfait",IF(BW$20&gt;='01_Input'!$R$68,'01_Input'!$U$68,0),IF('01_Input'!$T$68="Palier",IF(AND(BW$20&gt;='01_Input'!$R$68,BW$20&lt;'01_Input'!$S$68),'01_Input'!$U$68,0),MAX(MIN(BW$20,'01_Input'!$S$68)-'01_Input'!$R$68,0)*'01_Input'!$U$68))+IF('01_Input'!$X$68="Forfait",IF(BW$20&gt;='01_Input'!$V$68,'01_Input'!$Y$68,0),IF('01_Input'!$X$68="Palier",IF(AND(BW$20&gt;='01_Input'!$V$68,BW$20&lt;'01_Input'!$W$68),'01_Input'!$Y$68,0),MAX(MIN(BW$20,'01_Input'!$W$68)-'01_Input'!$V$68,0)*'01_Input'!$Y$68))+IF('01_Input'!$AB$68="Forfait",IF(BW$20&gt;='01_Input'!$Z$68,'01_Input'!$AC$68,0),IF('01_Input'!$AB$68="Palier",IF(AND(BW$20&gt;='01_Input'!$Z$68,BW$20&lt;'01_Input'!$AA$68),'01_Input'!$AC$68,0),MAX(MIN(BW$20,'01_Input'!$AA$68)-'01_Input'!$Z$68,0)*'01_Input'!$AC$68)))))))))</f>
        <v>0</v>
      </c>
      <c r="BX36" s="83">
        <f>IF('01_Input'!$C$68="Non",0,MIN('01_Input'!$I$68,MAX('01_Input'!$H$68,IF('01_Input'!$G$68="Résiduel vs Gestion",0,IF('01_Input'!$G$68="Taux Classe sélectionnée",Distrib_Global_Classe_Selectionnee*BX$20,IF('01_Input'!$G$68="Frais KYC (paliers de 100M€)",MAX(0,Nb_Investisseurs-Nb_KYC_Gratuites_Par_Tranche*(FLOOR(BX$20/Taille_Tranche_KYC,1)+1))*Cout_Par_KYC_Supplementaire,(IF('01_Input'!$L$68="Forfait",IF(BX$20&gt;='01_Input'!$J$68,'01_Input'!$M$68,0),IF('01_Input'!$L$68="Palier",IF(AND(BX$20&gt;='01_Input'!$J$68,BX$20&lt;'01_Input'!$K$68),'01_Input'!$M$68,0),MAX(MIN(BX$20,'01_Input'!$K$68)-'01_Input'!$J$68,0)*'01_Input'!$M$68))+IF('01_Input'!$P$68="Forfait",IF(BX$20&gt;='01_Input'!$N$68,'01_Input'!$Q$68,0),IF('01_Input'!$P$68="Palier",IF(AND(BX$20&gt;='01_Input'!$N$68,BX$20&lt;'01_Input'!$O$68),'01_Input'!$Q$68,0),MAX(MIN(BX$20,'01_Input'!$O$68)-'01_Input'!$N$68,0)*'01_Input'!$Q$68))+IF('01_Input'!$T$68="Forfait",IF(BX$20&gt;='01_Input'!$R$68,'01_Input'!$U$68,0),IF('01_Input'!$T$68="Palier",IF(AND(BX$20&gt;='01_Input'!$R$68,BX$20&lt;'01_Input'!$S$68),'01_Input'!$U$68,0),MAX(MIN(BX$20,'01_Input'!$S$68)-'01_Input'!$R$68,0)*'01_Input'!$U$68))+IF('01_Input'!$X$68="Forfait",IF(BX$20&gt;='01_Input'!$V$68,'01_Input'!$Y$68,0),IF('01_Input'!$X$68="Palier",IF(AND(BX$20&gt;='01_Input'!$V$68,BX$20&lt;'01_Input'!$W$68),'01_Input'!$Y$68,0),MAX(MIN(BX$20,'01_Input'!$W$68)-'01_Input'!$V$68,0)*'01_Input'!$Y$68))+IF('01_Input'!$AB$68="Forfait",IF(BX$20&gt;='01_Input'!$Z$68,'01_Input'!$AC$68,0),IF('01_Input'!$AB$68="Palier",IF(AND(BX$20&gt;='01_Input'!$Z$68,BX$20&lt;'01_Input'!$AA$68),'01_Input'!$AC$68,0),MAX(MIN(BX$20,'01_Input'!$AA$68)-'01_Input'!$Z$68,0)*'01_Input'!$AC$68)))))))))</f>
        <v>0</v>
      </c>
      <c r="BY36" s="83">
        <f>IF('01_Input'!$C$68="Non",0,MIN('01_Input'!$I$68,MAX('01_Input'!$H$68,IF('01_Input'!$G$68="Résiduel vs Gestion",0,IF('01_Input'!$G$68="Taux Classe sélectionnée",Distrib_Global_Classe_Selectionnee*BY$20,IF('01_Input'!$G$68="Frais KYC (paliers de 100M€)",MAX(0,Nb_Investisseurs-Nb_KYC_Gratuites_Par_Tranche*(FLOOR(BY$20/Taille_Tranche_KYC,1)+1))*Cout_Par_KYC_Supplementaire,(IF('01_Input'!$L$68="Forfait",IF(BY$20&gt;='01_Input'!$J$68,'01_Input'!$M$68,0),IF('01_Input'!$L$68="Palier",IF(AND(BY$20&gt;='01_Input'!$J$68,BY$20&lt;'01_Input'!$K$68),'01_Input'!$M$68,0),MAX(MIN(BY$20,'01_Input'!$K$68)-'01_Input'!$J$68,0)*'01_Input'!$M$68))+IF('01_Input'!$P$68="Forfait",IF(BY$20&gt;='01_Input'!$N$68,'01_Input'!$Q$68,0),IF('01_Input'!$P$68="Palier",IF(AND(BY$20&gt;='01_Input'!$N$68,BY$20&lt;'01_Input'!$O$68),'01_Input'!$Q$68,0),MAX(MIN(BY$20,'01_Input'!$O$68)-'01_Input'!$N$68,0)*'01_Input'!$Q$68))+IF('01_Input'!$T$68="Forfait",IF(BY$20&gt;='01_Input'!$R$68,'01_Input'!$U$68,0),IF('01_Input'!$T$68="Palier",IF(AND(BY$20&gt;='01_Input'!$R$68,BY$20&lt;'01_Input'!$S$68),'01_Input'!$U$68,0),MAX(MIN(BY$20,'01_Input'!$S$68)-'01_Input'!$R$68,0)*'01_Input'!$U$68))+IF('01_Input'!$X$68="Forfait",IF(BY$20&gt;='01_Input'!$V$68,'01_Input'!$Y$68,0),IF('01_Input'!$X$68="Palier",IF(AND(BY$20&gt;='01_Input'!$V$68,BY$20&lt;'01_Input'!$W$68),'01_Input'!$Y$68,0),MAX(MIN(BY$20,'01_Input'!$W$68)-'01_Input'!$V$68,0)*'01_Input'!$Y$68))+IF('01_Input'!$AB$68="Forfait",IF(BY$20&gt;='01_Input'!$Z$68,'01_Input'!$AC$68,0),IF('01_Input'!$AB$68="Palier",IF(AND(BY$20&gt;='01_Input'!$Z$68,BY$20&lt;'01_Input'!$AA$68),'01_Input'!$AC$68,0),MAX(MIN(BY$20,'01_Input'!$AA$68)-'01_Input'!$Z$68,0)*'01_Input'!$AC$68)))))))))</f>
        <v>0</v>
      </c>
      <c r="BZ36" s="83">
        <f>IF('01_Input'!$C$68="Non",0,MIN('01_Input'!$I$68,MAX('01_Input'!$H$68,IF('01_Input'!$G$68="Résiduel vs Gestion",0,IF('01_Input'!$G$68="Taux Classe sélectionnée",Distrib_Global_Classe_Selectionnee*BZ$20,IF('01_Input'!$G$68="Frais KYC (paliers de 100M€)",MAX(0,Nb_Investisseurs-Nb_KYC_Gratuites_Par_Tranche*(FLOOR(BZ$20/Taille_Tranche_KYC,1)+1))*Cout_Par_KYC_Supplementaire,(IF('01_Input'!$L$68="Forfait",IF(BZ$20&gt;='01_Input'!$J$68,'01_Input'!$M$68,0),IF('01_Input'!$L$68="Palier",IF(AND(BZ$20&gt;='01_Input'!$J$68,BZ$20&lt;'01_Input'!$K$68),'01_Input'!$M$68,0),MAX(MIN(BZ$20,'01_Input'!$K$68)-'01_Input'!$J$68,0)*'01_Input'!$M$68))+IF('01_Input'!$P$68="Forfait",IF(BZ$20&gt;='01_Input'!$N$68,'01_Input'!$Q$68,0),IF('01_Input'!$P$68="Palier",IF(AND(BZ$20&gt;='01_Input'!$N$68,BZ$20&lt;'01_Input'!$O$68),'01_Input'!$Q$68,0),MAX(MIN(BZ$20,'01_Input'!$O$68)-'01_Input'!$N$68,0)*'01_Input'!$Q$68))+IF('01_Input'!$T$68="Forfait",IF(BZ$20&gt;='01_Input'!$R$68,'01_Input'!$U$68,0),IF('01_Input'!$T$68="Palier",IF(AND(BZ$20&gt;='01_Input'!$R$68,BZ$20&lt;'01_Input'!$S$68),'01_Input'!$U$68,0),MAX(MIN(BZ$20,'01_Input'!$S$68)-'01_Input'!$R$68,0)*'01_Input'!$U$68))+IF('01_Input'!$X$68="Forfait",IF(BZ$20&gt;='01_Input'!$V$68,'01_Input'!$Y$68,0),IF('01_Input'!$X$68="Palier",IF(AND(BZ$20&gt;='01_Input'!$V$68,BZ$20&lt;'01_Input'!$W$68),'01_Input'!$Y$68,0),MAX(MIN(BZ$20,'01_Input'!$W$68)-'01_Input'!$V$68,0)*'01_Input'!$Y$68))+IF('01_Input'!$AB$68="Forfait",IF(BZ$20&gt;='01_Input'!$Z$68,'01_Input'!$AC$68,0),IF('01_Input'!$AB$68="Palier",IF(AND(BZ$20&gt;='01_Input'!$Z$68,BZ$20&lt;'01_Input'!$AA$68),'01_Input'!$AC$68,0),MAX(MIN(BZ$20,'01_Input'!$AA$68)-'01_Input'!$Z$68,0)*'01_Input'!$AC$68)))))))))</f>
        <v>0</v>
      </c>
      <c r="CA36" s="83">
        <f>IF('01_Input'!$C$68="Non",0,MIN('01_Input'!$I$68,MAX('01_Input'!$H$68,IF('01_Input'!$G$68="Résiduel vs Gestion",0,IF('01_Input'!$G$68="Taux Classe sélectionnée",Distrib_Global_Classe_Selectionnee*CA$20,IF('01_Input'!$G$68="Frais KYC (paliers de 100M€)",MAX(0,Nb_Investisseurs-Nb_KYC_Gratuites_Par_Tranche*(FLOOR(CA$20/Taille_Tranche_KYC,1)+1))*Cout_Par_KYC_Supplementaire,(IF('01_Input'!$L$68="Forfait",IF(CA$20&gt;='01_Input'!$J$68,'01_Input'!$M$68,0),IF('01_Input'!$L$68="Palier",IF(AND(CA$20&gt;='01_Input'!$J$68,CA$20&lt;'01_Input'!$K$68),'01_Input'!$M$68,0),MAX(MIN(CA$20,'01_Input'!$K$68)-'01_Input'!$J$68,0)*'01_Input'!$M$68))+IF('01_Input'!$P$68="Forfait",IF(CA$20&gt;='01_Input'!$N$68,'01_Input'!$Q$68,0),IF('01_Input'!$P$68="Palier",IF(AND(CA$20&gt;='01_Input'!$N$68,CA$20&lt;'01_Input'!$O$68),'01_Input'!$Q$68,0),MAX(MIN(CA$20,'01_Input'!$O$68)-'01_Input'!$N$68,0)*'01_Input'!$Q$68))+IF('01_Input'!$T$68="Forfait",IF(CA$20&gt;='01_Input'!$R$68,'01_Input'!$U$68,0),IF('01_Input'!$T$68="Palier",IF(AND(CA$20&gt;='01_Input'!$R$68,CA$20&lt;'01_Input'!$S$68),'01_Input'!$U$68,0),MAX(MIN(CA$20,'01_Input'!$S$68)-'01_Input'!$R$68,0)*'01_Input'!$U$68))+IF('01_Input'!$X$68="Forfait",IF(CA$20&gt;='01_Input'!$V$68,'01_Input'!$Y$68,0),IF('01_Input'!$X$68="Palier",IF(AND(CA$20&gt;='01_Input'!$V$68,CA$20&lt;'01_Input'!$W$68),'01_Input'!$Y$68,0),MAX(MIN(CA$20,'01_Input'!$W$68)-'01_Input'!$V$68,0)*'01_Input'!$Y$68))+IF('01_Input'!$AB$68="Forfait",IF(CA$20&gt;='01_Input'!$Z$68,'01_Input'!$AC$68,0),IF('01_Input'!$AB$68="Palier",IF(AND(CA$20&gt;='01_Input'!$Z$68,CA$20&lt;'01_Input'!$AA$68),'01_Input'!$AC$68,0),MAX(MIN(CA$20,'01_Input'!$AA$68)-'01_Input'!$Z$68,0)*'01_Input'!$AC$68)))))))))</f>
        <v>0</v>
      </c>
      <c r="CB36" s="83">
        <f>IF('01_Input'!$C$68="Non",0,MIN('01_Input'!$I$68,MAX('01_Input'!$H$68,IF('01_Input'!$G$68="Résiduel vs Gestion",0,IF('01_Input'!$G$68="Taux Classe sélectionnée",Distrib_Global_Classe_Selectionnee*CB$20,IF('01_Input'!$G$68="Frais KYC (paliers de 100M€)",MAX(0,Nb_Investisseurs-Nb_KYC_Gratuites_Par_Tranche*(FLOOR(CB$20/Taille_Tranche_KYC,1)+1))*Cout_Par_KYC_Supplementaire,(IF('01_Input'!$L$68="Forfait",IF(CB$20&gt;='01_Input'!$J$68,'01_Input'!$M$68,0),IF('01_Input'!$L$68="Palier",IF(AND(CB$20&gt;='01_Input'!$J$68,CB$20&lt;'01_Input'!$K$68),'01_Input'!$M$68,0),MAX(MIN(CB$20,'01_Input'!$K$68)-'01_Input'!$J$68,0)*'01_Input'!$M$68))+IF('01_Input'!$P$68="Forfait",IF(CB$20&gt;='01_Input'!$N$68,'01_Input'!$Q$68,0),IF('01_Input'!$P$68="Palier",IF(AND(CB$20&gt;='01_Input'!$N$68,CB$20&lt;'01_Input'!$O$68),'01_Input'!$Q$68,0),MAX(MIN(CB$20,'01_Input'!$O$68)-'01_Input'!$N$68,0)*'01_Input'!$Q$68))+IF('01_Input'!$T$68="Forfait",IF(CB$20&gt;='01_Input'!$R$68,'01_Input'!$U$68,0),IF('01_Input'!$T$68="Palier",IF(AND(CB$20&gt;='01_Input'!$R$68,CB$20&lt;'01_Input'!$S$68),'01_Input'!$U$68,0),MAX(MIN(CB$20,'01_Input'!$S$68)-'01_Input'!$R$68,0)*'01_Input'!$U$68))+IF('01_Input'!$X$68="Forfait",IF(CB$20&gt;='01_Input'!$V$68,'01_Input'!$Y$68,0),IF('01_Input'!$X$68="Palier",IF(AND(CB$20&gt;='01_Input'!$V$68,CB$20&lt;'01_Input'!$W$68),'01_Input'!$Y$68,0),MAX(MIN(CB$20,'01_Input'!$W$68)-'01_Input'!$V$68,0)*'01_Input'!$Y$68))+IF('01_Input'!$AB$68="Forfait",IF(CB$20&gt;='01_Input'!$Z$68,'01_Input'!$AC$68,0),IF('01_Input'!$AB$68="Palier",IF(AND(CB$20&gt;='01_Input'!$Z$68,CB$20&lt;'01_Input'!$AA$68),'01_Input'!$AC$68,0),MAX(MIN(CB$20,'01_Input'!$AA$68)-'01_Input'!$Z$68,0)*'01_Input'!$AC$68)))))))))</f>
        <v>0</v>
      </c>
      <c r="CC36" s="83">
        <f>IF('01_Input'!$C$68="Non",0,MIN('01_Input'!$I$68,MAX('01_Input'!$H$68,IF('01_Input'!$G$68="Résiduel vs Gestion",0,IF('01_Input'!$G$68="Taux Classe sélectionnée",Distrib_Global_Classe_Selectionnee*CC$20,IF('01_Input'!$G$68="Frais KYC (paliers de 100M€)",MAX(0,Nb_Investisseurs-Nb_KYC_Gratuites_Par_Tranche*(FLOOR(CC$20/Taille_Tranche_KYC,1)+1))*Cout_Par_KYC_Supplementaire,(IF('01_Input'!$L$68="Forfait",IF(CC$20&gt;='01_Input'!$J$68,'01_Input'!$M$68,0),IF('01_Input'!$L$68="Palier",IF(AND(CC$20&gt;='01_Input'!$J$68,CC$20&lt;'01_Input'!$K$68),'01_Input'!$M$68,0),MAX(MIN(CC$20,'01_Input'!$K$68)-'01_Input'!$J$68,0)*'01_Input'!$M$68))+IF('01_Input'!$P$68="Forfait",IF(CC$20&gt;='01_Input'!$N$68,'01_Input'!$Q$68,0),IF('01_Input'!$P$68="Palier",IF(AND(CC$20&gt;='01_Input'!$N$68,CC$20&lt;'01_Input'!$O$68),'01_Input'!$Q$68,0),MAX(MIN(CC$20,'01_Input'!$O$68)-'01_Input'!$N$68,0)*'01_Input'!$Q$68))+IF('01_Input'!$T$68="Forfait",IF(CC$20&gt;='01_Input'!$R$68,'01_Input'!$U$68,0),IF('01_Input'!$T$68="Palier",IF(AND(CC$20&gt;='01_Input'!$R$68,CC$20&lt;'01_Input'!$S$68),'01_Input'!$U$68,0),MAX(MIN(CC$20,'01_Input'!$S$68)-'01_Input'!$R$68,0)*'01_Input'!$U$68))+IF('01_Input'!$X$68="Forfait",IF(CC$20&gt;='01_Input'!$V$68,'01_Input'!$Y$68,0),IF('01_Input'!$X$68="Palier",IF(AND(CC$20&gt;='01_Input'!$V$68,CC$20&lt;'01_Input'!$W$68),'01_Input'!$Y$68,0),MAX(MIN(CC$20,'01_Input'!$W$68)-'01_Input'!$V$68,0)*'01_Input'!$Y$68))+IF('01_Input'!$AB$68="Forfait",IF(CC$20&gt;='01_Input'!$Z$68,'01_Input'!$AC$68,0),IF('01_Input'!$AB$68="Palier",IF(AND(CC$20&gt;='01_Input'!$Z$68,CC$20&lt;'01_Input'!$AA$68),'01_Input'!$AC$68,0),MAX(MIN(CC$20,'01_Input'!$AA$68)-'01_Input'!$Z$68,0)*'01_Input'!$AC$68)))))))))</f>
        <v>0</v>
      </c>
      <c r="CD36" s="83">
        <f>IF('01_Input'!$C$68="Non",0,MIN('01_Input'!$I$68,MAX('01_Input'!$H$68,IF('01_Input'!$G$68="Résiduel vs Gestion",0,IF('01_Input'!$G$68="Taux Classe sélectionnée",Distrib_Global_Classe_Selectionnee*CD$20,IF('01_Input'!$G$68="Frais KYC (paliers de 100M€)",MAX(0,Nb_Investisseurs-Nb_KYC_Gratuites_Par_Tranche*(FLOOR(CD$20/Taille_Tranche_KYC,1)+1))*Cout_Par_KYC_Supplementaire,(IF('01_Input'!$L$68="Forfait",IF(CD$20&gt;='01_Input'!$J$68,'01_Input'!$M$68,0),IF('01_Input'!$L$68="Palier",IF(AND(CD$20&gt;='01_Input'!$J$68,CD$20&lt;'01_Input'!$K$68),'01_Input'!$M$68,0),MAX(MIN(CD$20,'01_Input'!$K$68)-'01_Input'!$J$68,0)*'01_Input'!$M$68))+IF('01_Input'!$P$68="Forfait",IF(CD$20&gt;='01_Input'!$N$68,'01_Input'!$Q$68,0),IF('01_Input'!$P$68="Palier",IF(AND(CD$20&gt;='01_Input'!$N$68,CD$20&lt;'01_Input'!$O$68),'01_Input'!$Q$68,0),MAX(MIN(CD$20,'01_Input'!$O$68)-'01_Input'!$N$68,0)*'01_Input'!$Q$68))+IF('01_Input'!$T$68="Forfait",IF(CD$20&gt;='01_Input'!$R$68,'01_Input'!$U$68,0),IF('01_Input'!$T$68="Palier",IF(AND(CD$20&gt;='01_Input'!$R$68,CD$20&lt;'01_Input'!$S$68),'01_Input'!$U$68,0),MAX(MIN(CD$20,'01_Input'!$S$68)-'01_Input'!$R$68,0)*'01_Input'!$U$68))+IF('01_Input'!$X$68="Forfait",IF(CD$20&gt;='01_Input'!$V$68,'01_Input'!$Y$68,0),IF('01_Input'!$X$68="Palier",IF(AND(CD$20&gt;='01_Input'!$V$68,CD$20&lt;'01_Input'!$W$68),'01_Input'!$Y$68,0),MAX(MIN(CD$20,'01_Input'!$W$68)-'01_Input'!$V$68,0)*'01_Input'!$Y$68))+IF('01_Input'!$AB$68="Forfait",IF(CD$20&gt;='01_Input'!$Z$68,'01_Input'!$AC$68,0),IF('01_Input'!$AB$68="Palier",IF(AND(CD$20&gt;='01_Input'!$Z$68,CD$20&lt;'01_Input'!$AA$68),'01_Input'!$AC$68,0),MAX(MIN(CD$20,'01_Input'!$AA$68)-'01_Input'!$Z$68,0)*'01_Input'!$AC$68)))))))))</f>
        <v>0</v>
      </c>
      <c r="CE36" s="83">
        <f>IF('01_Input'!$C$68="Non",0,MIN('01_Input'!$I$68,MAX('01_Input'!$H$68,IF('01_Input'!$G$68="Résiduel vs Gestion",0,IF('01_Input'!$G$68="Taux Classe sélectionnée",Distrib_Global_Classe_Selectionnee*CE$20,IF('01_Input'!$G$68="Frais KYC (paliers de 100M€)",MAX(0,Nb_Investisseurs-Nb_KYC_Gratuites_Par_Tranche*(FLOOR(CE$20/Taille_Tranche_KYC,1)+1))*Cout_Par_KYC_Supplementaire,(IF('01_Input'!$L$68="Forfait",IF(CE$20&gt;='01_Input'!$J$68,'01_Input'!$M$68,0),IF('01_Input'!$L$68="Palier",IF(AND(CE$20&gt;='01_Input'!$J$68,CE$20&lt;'01_Input'!$K$68),'01_Input'!$M$68,0),MAX(MIN(CE$20,'01_Input'!$K$68)-'01_Input'!$J$68,0)*'01_Input'!$M$68))+IF('01_Input'!$P$68="Forfait",IF(CE$20&gt;='01_Input'!$N$68,'01_Input'!$Q$68,0),IF('01_Input'!$P$68="Palier",IF(AND(CE$20&gt;='01_Input'!$N$68,CE$20&lt;'01_Input'!$O$68),'01_Input'!$Q$68,0),MAX(MIN(CE$20,'01_Input'!$O$68)-'01_Input'!$N$68,0)*'01_Input'!$Q$68))+IF('01_Input'!$T$68="Forfait",IF(CE$20&gt;='01_Input'!$R$68,'01_Input'!$U$68,0),IF('01_Input'!$T$68="Palier",IF(AND(CE$20&gt;='01_Input'!$R$68,CE$20&lt;'01_Input'!$S$68),'01_Input'!$U$68,0),MAX(MIN(CE$20,'01_Input'!$S$68)-'01_Input'!$R$68,0)*'01_Input'!$U$68))+IF('01_Input'!$X$68="Forfait",IF(CE$20&gt;='01_Input'!$V$68,'01_Input'!$Y$68,0),IF('01_Input'!$X$68="Palier",IF(AND(CE$20&gt;='01_Input'!$V$68,CE$20&lt;'01_Input'!$W$68),'01_Input'!$Y$68,0),MAX(MIN(CE$20,'01_Input'!$W$68)-'01_Input'!$V$68,0)*'01_Input'!$Y$68))+IF('01_Input'!$AB$68="Forfait",IF(CE$20&gt;='01_Input'!$Z$68,'01_Input'!$AC$68,0),IF('01_Input'!$AB$68="Palier",IF(AND(CE$20&gt;='01_Input'!$Z$68,CE$20&lt;'01_Input'!$AA$68),'01_Input'!$AC$68,0),MAX(MIN(CE$20,'01_Input'!$AA$68)-'01_Input'!$Z$68,0)*'01_Input'!$AC$68)))))))))</f>
        <v>0</v>
      </c>
      <c r="CF36" s="83">
        <f>IF('01_Input'!$C$68="Non",0,MIN('01_Input'!$I$68,MAX('01_Input'!$H$68,IF('01_Input'!$G$68="Résiduel vs Gestion",0,IF('01_Input'!$G$68="Taux Classe sélectionnée",Distrib_Global_Classe_Selectionnee*CF$20,IF('01_Input'!$G$68="Frais KYC (paliers de 100M€)",MAX(0,Nb_Investisseurs-Nb_KYC_Gratuites_Par_Tranche*(FLOOR(CF$20/Taille_Tranche_KYC,1)+1))*Cout_Par_KYC_Supplementaire,(IF('01_Input'!$L$68="Forfait",IF(CF$20&gt;='01_Input'!$J$68,'01_Input'!$M$68,0),IF('01_Input'!$L$68="Palier",IF(AND(CF$20&gt;='01_Input'!$J$68,CF$20&lt;'01_Input'!$K$68),'01_Input'!$M$68,0),MAX(MIN(CF$20,'01_Input'!$K$68)-'01_Input'!$J$68,0)*'01_Input'!$M$68))+IF('01_Input'!$P$68="Forfait",IF(CF$20&gt;='01_Input'!$N$68,'01_Input'!$Q$68,0),IF('01_Input'!$P$68="Palier",IF(AND(CF$20&gt;='01_Input'!$N$68,CF$20&lt;'01_Input'!$O$68),'01_Input'!$Q$68,0),MAX(MIN(CF$20,'01_Input'!$O$68)-'01_Input'!$N$68,0)*'01_Input'!$Q$68))+IF('01_Input'!$T$68="Forfait",IF(CF$20&gt;='01_Input'!$R$68,'01_Input'!$U$68,0),IF('01_Input'!$T$68="Palier",IF(AND(CF$20&gt;='01_Input'!$R$68,CF$20&lt;'01_Input'!$S$68),'01_Input'!$U$68,0),MAX(MIN(CF$20,'01_Input'!$S$68)-'01_Input'!$R$68,0)*'01_Input'!$U$68))+IF('01_Input'!$X$68="Forfait",IF(CF$20&gt;='01_Input'!$V$68,'01_Input'!$Y$68,0),IF('01_Input'!$X$68="Palier",IF(AND(CF$20&gt;='01_Input'!$V$68,CF$20&lt;'01_Input'!$W$68),'01_Input'!$Y$68,0),MAX(MIN(CF$20,'01_Input'!$W$68)-'01_Input'!$V$68,0)*'01_Input'!$Y$68))+IF('01_Input'!$AB$68="Forfait",IF(CF$20&gt;='01_Input'!$Z$68,'01_Input'!$AC$68,0),IF('01_Input'!$AB$68="Palier",IF(AND(CF$20&gt;='01_Input'!$Z$68,CF$20&lt;'01_Input'!$AA$68),'01_Input'!$AC$68,0),MAX(MIN(CF$20,'01_Input'!$AA$68)-'01_Input'!$Z$68,0)*'01_Input'!$AC$68)))))))))</f>
        <v>0</v>
      </c>
      <c r="CG36" s="83">
        <f>IF('01_Input'!$C$68="Non",0,MIN('01_Input'!$I$68,MAX('01_Input'!$H$68,IF('01_Input'!$G$68="Résiduel vs Gestion",0,IF('01_Input'!$G$68="Taux Classe sélectionnée",Distrib_Global_Classe_Selectionnee*CG$20,IF('01_Input'!$G$68="Frais KYC (paliers de 100M€)",MAX(0,Nb_Investisseurs-Nb_KYC_Gratuites_Par_Tranche*(FLOOR(CG$20/Taille_Tranche_KYC,1)+1))*Cout_Par_KYC_Supplementaire,(IF('01_Input'!$L$68="Forfait",IF(CG$20&gt;='01_Input'!$J$68,'01_Input'!$M$68,0),IF('01_Input'!$L$68="Palier",IF(AND(CG$20&gt;='01_Input'!$J$68,CG$20&lt;'01_Input'!$K$68),'01_Input'!$M$68,0),MAX(MIN(CG$20,'01_Input'!$K$68)-'01_Input'!$J$68,0)*'01_Input'!$M$68))+IF('01_Input'!$P$68="Forfait",IF(CG$20&gt;='01_Input'!$N$68,'01_Input'!$Q$68,0),IF('01_Input'!$P$68="Palier",IF(AND(CG$20&gt;='01_Input'!$N$68,CG$20&lt;'01_Input'!$O$68),'01_Input'!$Q$68,0),MAX(MIN(CG$20,'01_Input'!$O$68)-'01_Input'!$N$68,0)*'01_Input'!$Q$68))+IF('01_Input'!$T$68="Forfait",IF(CG$20&gt;='01_Input'!$R$68,'01_Input'!$U$68,0),IF('01_Input'!$T$68="Palier",IF(AND(CG$20&gt;='01_Input'!$R$68,CG$20&lt;'01_Input'!$S$68),'01_Input'!$U$68,0),MAX(MIN(CG$20,'01_Input'!$S$68)-'01_Input'!$R$68,0)*'01_Input'!$U$68))+IF('01_Input'!$X$68="Forfait",IF(CG$20&gt;='01_Input'!$V$68,'01_Input'!$Y$68,0),IF('01_Input'!$X$68="Palier",IF(AND(CG$20&gt;='01_Input'!$V$68,CG$20&lt;'01_Input'!$W$68),'01_Input'!$Y$68,0),MAX(MIN(CG$20,'01_Input'!$W$68)-'01_Input'!$V$68,0)*'01_Input'!$Y$68))+IF('01_Input'!$AB$68="Forfait",IF(CG$20&gt;='01_Input'!$Z$68,'01_Input'!$AC$68,0),IF('01_Input'!$AB$68="Palier",IF(AND(CG$20&gt;='01_Input'!$Z$68,CG$20&lt;'01_Input'!$AA$68),'01_Input'!$AC$68,0),MAX(MIN(CG$20,'01_Input'!$AA$68)-'01_Input'!$Z$68,0)*'01_Input'!$AC$68)))))))))</f>
        <v>0</v>
      </c>
      <c r="CH36" s="83">
        <f>IF('01_Input'!$C$68="Non",0,MIN('01_Input'!$I$68,MAX('01_Input'!$H$68,IF('01_Input'!$G$68="Résiduel vs Gestion",0,IF('01_Input'!$G$68="Taux Classe sélectionnée",Distrib_Global_Classe_Selectionnee*CH$20,IF('01_Input'!$G$68="Frais KYC (paliers de 100M€)",MAX(0,Nb_Investisseurs-Nb_KYC_Gratuites_Par_Tranche*(FLOOR(CH$20/Taille_Tranche_KYC,1)+1))*Cout_Par_KYC_Supplementaire,(IF('01_Input'!$L$68="Forfait",IF(CH$20&gt;='01_Input'!$J$68,'01_Input'!$M$68,0),IF('01_Input'!$L$68="Palier",IF(AND(CH$20&gt;='01_Input'!$J$68,CH$20&lt;'01_Input'!$K$68),'01_Input'!$M$68,0),MAX(MIN(CH$20,'01_Input'!$K$68)-'01_Input'!$J$68,0)*'01_Input'!$M$68))+IF('01_Input'!$P$68="Forfait",IF(CH$20&gt;='01_Input'!$N$68,'01_Input'!$Q$68,0),IF('01_Input'!$P$68="Palier",IF(AND(CH$20&gt;='01_Input'!$N$68,CH$20&lt;'01_Input'!$O$68),'01_Input'!$Q$68,0),MAX(MIN(CH$20,'01_Input'!$O$68)-'01_Input'!$N$68,0)*'01_Input'!$Q$68))+IF('01_Input'!$T$68="Forfait",IF(CH$20&gt;='01_Input'!$R$68,'01_Input'!$U$68,0),IF('01_Input'!$T$68="Palier",IF(AND(CH$20&gt;='01_Input'!$R$68,CH$20&lt;'01_Input'!$S$68),'01_Input'!$U$68,0),MAX(MIN(CH$20,'01_Input'!$S$68)-'01_Input'!$R$68,0)*'01_Input'!$U$68))+IF('01_Input'!$X$68="Forfait",IF(CH$20&gt;='01_Input'!$V$68,'01_Input'!$Y$68,0),IF('01_Input'!$X$68="Palier",IF(AND(CH$20&gt;='01_Input'!$V$68,CH$20&lt;'01_Input'!$W$68),'01_Input'!$Y$68,0),MAX(MIN(CH$20,'01_Input'!$W$68)-'01_Input'!$V$68,0)*'01_Input'!$Y$68))+IF('01_Input'!$AB$68="Forfait",IF(CH$20&gt;='01_Input'!$Z$68,'01_Input'!$AC$68,0),IF('01_Input'!$AB$68="Palier",IF(AND(CH$20&gt;='01_Input'!$Z$68,CH$20&lt;'01_Input'!$AA$68),'01_Input'!$AC$68,0),MAX(MIN(CH$20,'01_Input'!$AA$68)-'01_Input'!$Z$68,0)*'01_Input'!$AC$68)))))))))</f>
        <v>0</v>
      </c>
      <c r="CI36" s="83">
        <f>IF('01_Input'!$C$68="Non",0,MIN('01_Input'!$I$68,MAX('01_Input'!$H$68,IF('01_Input'!$G$68="Résiduel vs Gestion",0,IF('01_Input'!$G$68="Taux Classe sélectionnée",Distrib_Global_Classe_Selectionnee*CI$20,IF('01_Input'!$G$68="Frais KYC (paliers de 100M€)",MAX(0,Nb_Investisseurs-Nb_KYC_Gratuites_Par_Tranche*(FLOOR(CI$20/Taille_Tranche_KYC,1)+1))*Cout_Par_KYC_Supplementaire,(IF('01_Input'!$L$68="Forfait",IF(CI$20&gt;='01_Input'!$J$68,'01_Input'!$M$68,0),IF('01_Input'!$L$68="Palier",IF(AND(CI$20&gt;='01_Input'!$J$68,CI$20&lt;'01_Input'!$K$68),'01_Input'!$M$68,0),MAX(MIN(CI$20,'01_Input'!$K$68)-'01_Input'!$J$68,0)*'01_Input'!$M$68))+IF('01_Input'!$P$68="Forfait",IF(CI$20&gt;='01_Input'!$N$68,'01_Input'!$Q$68,0),IF('01_Input'!$P$68="Palier",IF(AND(CI$20&gt;='01_Input'!$N$68,CI$20&lt;'01_Input'!$O$68),'01_Input'!$Q$68,0),MAX(MIN(CI$20,'01_Input'!$O$68)-'01_Input'!$N$68,0)*'01_Input'!$Q$68))+IF('01_Input'!$T$68="Forfait",IF(CI$20&gt;='01_Input'!$R$68,'01_Input'!$U$68,0),IF('01_Input'!$T$68="Palier",IF(AND(CI$20&gt;='01_Input'!$R$68,CI$20&lt;'01_Input'!$S$68),'01_Input'!$U$68,0),MAX(MIN(CI$20,'01_Input'!$S$68)-'01_Input'!$R$68,0)*'01_Input'!$U$68))+IF('01_Input'!$X$68="Forfait",IF(CI$20&gt;='01_Input'!$V$68,'01_Input'!$Y$68,0),IF('01_Input'!$X$68="Palier",IF(AND(CI$20&gt;='01_Input'!$V$68,CI$20&lt;'01_Input'!$W$68),'01_Input'!$Y$68,0),MAX(MIN(CI$20,'01_Input'!$W$68)-'01_Input'!$V$68,0)*'01_Input'!$Y$68))+IF('01_Input'!$AB$68="Forfait",IF(CI$20&gt;='01_Input'!$Z$68,'01_Input'!$AC$68,0),IF('01_Input'!$AB$68="Palier",IF(AND(CI$20&gt;='01_Input'!$Z$68,CI$20&lt;'01_Input'!$AA$68),'01_Input'!$AC$68,0),MAX(MIN(CI$20,'01_Input'!$AA$68)-'01_Input'!$Z$68,0)*'01_Input'!$AC$68)))))))))</f>
        <v>0</v>
      </c>
      <c r="CJ36" s="83">
        <f>IF('01_Input'!$C$68="Non",0,MIN('01_Input'!$I$68,MAX('01_Input'!$H$68,IF('01_Input'!$G$68="Résiduel vs Gestion",0,IF('01_Input'!$G$68="Taux Classe sélectionnée",Distrib_Global_Classe_Selectionnee*CJ$20,IF('01_Input'!$G$68="Frais KYC (paliers de 100M€)",MAX(0,Nb_Investisseurs-Nb_KYC_Gratuites_Par_Tranche*(FLOOR(CJ$20/Taille_Tranche_KYC,1)+1))*Cout_Par_KYC_Supplementaire,(IF('01_Input'!$L$68="Forfait",IF(CJ$20&gt;='01_Input'!$J$68,'01_Input'!$M$68,0),IF('01_Input'!$L$68="Palier",IF(AND(CJ$20&gt;='01_Input'!$J$68,CJ$20&lt;'01_Input'!$K$68),'01_Input'!$M$68,0),MAX(MIN(CJ$20,'01_Input'!$K$68)-'01_Input'!$J$68,0)*'01_Input'!$M$68))+IF('01_Input'!$P$68="Forfait",IF(CJ$20&gt;='01_Input'!$N$68,'01_Input'!$Q$68,0),IF('01_Input'!$P$68="Palier",IF(AND(CJ$20&gt;='01_Input'!$N$68,CJ$20&lt;'01_Input'!$O$68),'01_Input'!$Q$68,0),MAX(MIN(CJ$20,'01_Input'!$O$68)-'01_Input'!$N$68,0)*'01_Input'!$Q$68))+IF('01_Input'!$T$68="Forfait",IF(CJ$20&gt;='01_Input'!$R$68,'01_Input'!$U$68,0),IF('01_Input'!$T$68="Palier",IF(AND(CJ$20&gt;='01_Input'!$R$68,CJ$20&lt;'01_Input'!$S$68),'01_Input'!$U$68,0),MAX(MIN(CJ$20,'01_Input'!$S$68)-'01_Input'!$R$68,0)*'01_Input'!$U$68))+IF('01_Input'!$X$68="Forfait",IF(CJ$20&gt;='01_Input'!$V$68,'01_Input'!$Y$68,0),IF('01_Input'!$X$68="Palier",IF(AND(CJ$20&gt;='01_Input'!$V$68,CJ$20&lt;'01_Input'!$W$68),'01_Input'!$Y$68,0),MAX(MIN(CJ$20,'01_Input'!$W$68)-'01_Input'!$V$68,0)*'01_Input'!$Y$68))+IF('01_Input'!$AB$68="Forfait",IF(CJ$20&gt;='01_Input'!$Z$68,'01_Input'!$AC$68,0),IF('01_Input'!$AB$68="Palier",IF(AND(CJ$20&gt;='01_Input'!$Z$68,CJ$20&lt;'01_Input'!$AA$68),'01_Input'!$AC$68,0),MAX(MIN(CJ$20,'01_Input'!$AA$68)-'01_Input'!$Z$68,0)*'01_Input'!$AC$68)))))))))</f>
        <v>0</v>
      </c>
      <c r="CK36" s="83">
        <f>IF('01_Input'!$C$68="Non",0,MIN('01_Input'!$I$68,MAX('01_Input'!$H$68,IF('01_Input'!$G$68="Résiduel vs Gestion",0,IF('01_Input'!$G$68="Taux Classe sélectionnée",Distrib_Global_Classe_Selectionnee*CK$20,IF('01_Input'!$G$68="Frais KYC (paliers de 100M€)",MAX(0,Nb_Investisseurs-Nb_KYC_Gratuites_Par_Tranche*(FLOOR(CK$20/Taille_Tranche_KYC,1)+1))*Cout_Par_KYC_Supplementaire,(IF('01_Input'!$L$68="Forfait",IF(CK$20&gt;='01_Input'!$J$68,'01_Input'!$M$68,0),IF('01_Input'!$L$68="Palier",IF(AND(CK$20&gt;='01_Input'!$J$68,CK$20&lt;'01_Input'!$K$68),'01_Input'!$M$68,0),MAX(MIN(CK$20,'01_Input'!$K$68)-'01_Input'!$J$68,0)*'01_Input'!$M$68))+IF('01_Input'!$P$68="Forfait",IF(CK$20&gt;='01_Input'!$N$68,'01_Input'!$Q$68,0),IF('01_Input'!$P$68="Palier",IF(AND(CK$20&gt;='01_Input'!$N$68,CK$20&lt;'01_Input'!$O$68),'01_Input'!$Q$68,0),MAX(MIN(CK$20,'01_Input'!$O$68)-'01_Input'!$N$68,0)*'01_Input'!$Q$68))+IF('01_Input'!$T$68="Forfait",IF(CK$20&gt;='01_Input'!$R$68,'01_Input'!$U$68,0),IF('01_Input'!$T$68="Palier",IF(AND(CK$20&gt;='01_Input'!$R$68,CK$20&lt;'01_Input'!$S$68),'01_Input'!$U$68,0),MAX(MIN(CK$20,'01_Input'!$S$68)-'01_Input'!$R$68,0)*'01_Input'!$U$68))+IF('01_Input'!$X$68="Forfait",IF(CK$20&gt;='01_Input'!$V$68,'01_Input'!$Y$68,0),IF('01_Input'!$X$68="Palier",IF(AND(CK$20&gt;='01_Input'!$V$68,CK$20&lt;'01_Input'!$W$68),'01_Input'!$Y$68,0),MAX(MIN(CK$20,'01_Input'!$W$68)-'01_Input'!$V$68,0)*'01_Input'!$Y$68))+IF('01_Input'!$AB$68="Forfait",IF(CK$20&gt;='01_Input'!$Z$68,'01_Input'!$AC$68,0),IF('01_Input'!$AB$68="Palier",IF(AND(CK$20&gt;='01_Input'!$Z$68,CK$20&lt;'01_Input'!$AA$68),'01_Input'!$AC$68,0),MAX(MIN(CK$20,'01_Input'!$AA$68)-'01_Input'!$Z$68,0)*'01_Input'!$AC$68)))))))))</f>
        <v>0</v>
      </c>
      <c r="CL36" s="83">
        <f>IF('01_Input'!$C$68="Non",0,MIN('01_Input'!$I$68,MAX('01_Input'!$H$68,IF('01_Input'!$G$68="Résiduel vs Gestion",0,IF('01_Input'!$G$68="Taux Classe sélectionnée",Distrib_Global_Classe_Selectionnee*CL$20,IF('01_Input'!$G$68="Frais KYC (paliers de 100M€)",MAX(0,Nb_Investisseurs-Nb_KYC_Gratuites_Par_Tranche*(FLOOR(CL$20/Taille_Tranche_KYC,1)+1))*Cout_Par_KYC_Supplementaire,(IF('01_Input'!$L$68="Forfait",IF(CL$20&gt;='01_Input'!$J$68,'01_Input'!$M$68,0),IF('01_Input'!$L$68="Palier",IF(AND(CL$20&gt;='01_Input'!$J$68,CL$20&lt;'01_Input'!$K$68),'01_Input'!$M$68,0),MAX(MIN(CL$20,'01_Input'!$K$68)-'01_Input'!$J$68,0)*'01_Input'!$M$68))+IF('01_Input'!$P$68="Forfait",IF(CL$20&gt;='01_Input'!$N$68,'01_Input'!$Q$68,0),IF('01_Input'!$P$68="Palier",IF(AND(CL$20&gt;='01_Input'!$N$68,CL$20&lt;'01_Input'!$O$68),'01_Input'!$Q$68,0),MAX(MIN(CL$20,'01_Input'!$O$68)-'01_Input'!$N$68,0)*'01_Input'!$Q$68))+IF('01_Input'!$T$68="Forfait",IF(CL$20&gt;='01_Input'!$R$68,'01_Input'!$U$68,0),IF('01_Input'!$T$68="Palier",IF(AND(CL$20&gt;='01_Input'!$R$68,CL$20&lt;'01_Input'!$S$68),'01_Input'!$U$68,0),MAX(MIN(CL$20,'01_Input'!$S$68)-'01_Input'!$R$68,0)*'01_Input'!$U$68))+IF('01_Input'!$X$68="Forfait",IF(CL$20&gt;='01_Input'!$V$68,'01_Input'!$Y$68,0),IF('01_Input'!$X$68="Palier",IF(AND(CL$20&gt;='01_Input'!$V$68,CL$20&lt;'01_Input'!$W$68),'01_Input'!$Y$68,0),MAX(MIN(CL$20,'01_Input'!$W$68)-'01_Input'!$V$68,0)*'01_Input'!$Y$68))+IF('01_Input'!$AB$68="Forfait",IF(CL$20&gt;='01_Input'!$Z$68,'01_Input'!$AC$68,0),IF('01_Input'!$AB$68="Palier",IF(AND(CL$20&gt;='01_Input'!$Z$68,CL$20&lt;'01_Input'!$AA$68),'01_Input'!$AC$68,0),MAX(MIN(CL$20,'01_Input'!$AA$68)-'01_Input'!$Z$68,0)*'01_Input'!$AC$68)))))))))</f>
        <v>0</v>
      </c>
      <c r="CM36" s="83">
        <f>IF('01_Input'!$C$68="Non",0,MIN('01_Input'!$I$68,MAX('01_Input'!$H$68,IF('01_Input'!$G$68="Résiduel vs Gestion",0,IF('01_Input'!$G$68="Taux Classe sélectionnée",Distrib_Global_Classe_Selectionnee*CM$20,IF('01_Input'!$G$68="Frais KYC (paliers de 100M€)",MAX(0,Nb_Investisseurs-Nb_KYC_Gratuites_Par_Tranche*(FLOOR(CM$20/Taille_Tranche_KYC,1)+1))*Cout_Par_KYC_Supplementaire,(IF('01_Input'!$L$68="Forfait",IF(CM$20&gt;='01_Input'!$J$68,'01_Input'!$M$68,0),IF('01_Input'!$L$68="Palier",IF(AND(CM$20&gt;='01_Input'!$J$68,CM$20&lt;'01_Input'!$K$68),'01_Input'!$M$68,0),MAX(MIN(CM$20,'01_Input'!$K$68)-'01_Input'!$J$68,0)*'01_Input'!$M$68))+IF('01_Input'!$P$68="Forfait",IF(CM$20&gt;='01_Input'!$N$68,'01_Input'!$Q$68,0),IF('01_Input'!$P$68="Palier",IF(AND(CM$20&gt;='01_Input'!$N$68,CM$20&lt;'01_Input'!$O$68),'01_Input'!$Q$68,0),MAX(MIN(CM$20,'01_Input'!$O$68)-'01_Input'!$N$68,0)*'01_Input'!$Q$68))+IF('01_Input'!$T$68="Forfait",IF(CM$20&gt;='01_Input'!$R$68,'01_Input'!$U$68,0),IF('01_Input'!$T$68="Palier",IF(AND(CM$20&gt;='01_Input'!$R$68,CM$20&lt;'01_Input'!$S$68),'01_Input'!$U$68,0),MAX(MIN(CM$20,'01_Input'!$S$68)-'01_Input'!$R$68,0)*'01_Input'!$U$68))+IF('01_Input'!$X$68="Forfait",IF(CM$20&gt;='01_Input'!$V$68,'01_Input'!$Y$68,0),IF('01_Input'!$X$68="Palier",IF(AND(CM$20&gt;='01_Input'!$V$68,CM$20&lt;'01_Input'!$W$68),'01_Input'!$Y$68,0),MAX(MIN(CM$20,'01_Input'!$W$68)-'01_Input'!$V$68,0)*'01_Input'!$Y$68))+IF('01_Input'!$AB$68="Forfait",IF(CM$20&gt;='01_Input'!$Z$68,'01_Input'!$AC$68,0),IF('01_Input'!$AB$68="Palier",IF(AND(CM$20&gt;='01_Input'!$Z$68,CM$20&lt;'01_Input'!$AA$68),'01_Input'!$AC$68,0),MAX(MIN(CM$20,'01_Input'!$AA$68)-'01_Input'!$Z$68,0)*'01_Input'!$AC$68)))))))))</f>
        <v>0</v>
      </c>
      <c r="CN36" s="83">
        <f>IF('01_Input'!$C$68="Non",0,MIN('01_Input'!$I$68,MAX('01_Input'!$H$68,IF('01_Input'!$G$68="Résiduel vs Gestion",0,IF('01_Input'!$G$68="Taux Classe sélectionnée",Distrib_Global_Classe_Selectionnee*CN$20,IF('01_Input'!$G$68="Frais KYC (paliers de 100M€)",MAX(0,Nb_Investisseurs-Nb_KYC_Gratuites_Par_Tranche*(FLOOR(CN$20/Taille_Tranche_KYC,1)+1))*Cout_Par_KYC_Supplementaire,(IF('01_Input'!$L$68="Forfait",IF(CN$20&gt;='01_Input'!$J$68,'01_Input'!$M$68,0),IF('01_Input'!$L$68="Palier",IF(AND(CN$20&gt;='01_Input'!$J$68,CN$20&lt;'01_Input'!$K$68),'01_Input'!$M$68,0),MAX(MIN(CN$20,'01_Input'!$K$68)-'01_Input'!$J$68,0)*'01_Input'!$M$68))+IF('01_Input'!$P$68="Forfait",IF(CN$20&gt;='01_Input'!$N$68,'01_Input'!$Q$68,0),IF('01_Input'!$P$68="Palier",IF(AND(CN$20&gt;='01_Input'!$N$68,CN$20&lt;'01_Input'!$O$68),'01_Input'!$Q$68,0),MAX(MIN(CN$20,'01_Input'!$O$68)-'01_Input'!$N$68,0)*'01_Input'!$Q$68))+IF('01_Input'!$T$68="Forfait",IF(CN$20&gt;='01_Input'!$R$68,'01_Input'!$U$68,0),IF('01_Input'!$T$68="Palier",IF(AND(CN$20&gt;='01_Input'!$R$68,CN$20&lt;'01_Input'!$S$68),'01_Input'!$U$68,0),MAX(MIN(CN$20,'01_Input'!$S$68)-'01_Input'!$R$68,0)*'01_Input'!$U$68))+IF('01_Input'!$X$68="Forfait",IF(CN$20&gt;='01_Input'!$V$68,'01_Input'!$Y$68,0),IF('01_Input'!$X$68="Palier",IF(AND(CN$20&gt;='01_Input'!$V$68,CN$20&lt;'01_Input'!$W$68),'01_Input'!$Y$68,0),MAX(MIN(CN$20,'01_Input'!$W$68)-'01_Input'!$V$68,0)*'01_Input'!$Y$68))+IF('01_Input'!$AB$68="Forfait",IF(CN$20&gt;='01_Input'!$Z$68,'01_Input'!$AC$68,0),IF('01_Input'!$AB$68="Palier",IF(AND(CN$20&gt;='01_Input'!$Z$68,CN$20&lt;'01_Input'!$AA$68),'01_Input'!$AC$68,0),MAX(MIN(CN$20,'01_Input'!$AA$68)-'01_Input'!$Z$68,0)*'01_Input'!$AC$68)))))))))</f>
        <v>0</v>
      </c>
      <c r="CO36" s="83">
        <f>IF('01_Input'!$C$68="Non",0,MIN('01_Input'!$I$68,MAX('01_Input'!$H$68,IF('01_Input'!$G$68="Résiduel vs Gestion",0,IF('01_Input'!$G$68="Taux Classe sélectionnée",Distrib_Global_Classe_Selectionnee*CO$20,IF('01_Input'!$G$68="Frais KYC (paliers de 100M€)",MAX(0,Nb_Investisseurs-Nb_KYC_Gratuites_Par_Tranche*(FLOOR(CO$20/Taille_Tranche_KYC,1)+1))*Cout_Par_KYC_Supplementaire,(IF('01_Input'!$L$68="Forfait",IF(CO$20&gt;='01_Input'!$J$68,'01_Input'!$M$68,0),IF('01_Input'!$L$68="Palier",IF(AND(CO$20&gt;='01_Input'!$J$68,CO$20&lt;'01_Input'!$K$68),'01_Input'!$M$68,0),MAX(MIN(CO$20,'01_Input'!$K$68)-'01_Input'!$J$68,0)*'01_Input'!$M$68))+IF('01_Input'!$P$68="Forfait",IF(CO$20&gt;='01_Input'!$N$68,'01_Input'!$Q$68,0),IF('01_Input'!$P$68="Palier",IF(AND(CO$20&gt;='01_Input'!$N$68,CO$20&lt;'01_Input'!$O$68),'01_Input'!$Q$68,0),MAX(MIN(CO$20,'01_Input'!$O$68)-'01_Input'!$N$68,0)*'01_Input'!$Q$68))+IF('01_Input'!$T$68="Forfait",IF(CO$20&gt;='01_Input'!$R$68,'01_Input'!$U$68,0),IF('01_Input'!$T$68="Palier",IF(AND(CO$20&gt;='01_Input'!$R$68,CO$20&lt;'01_Input'!$S$68),'01_Input'!$U$68,0),MAX(MIN(CO$20,'01_Input'!$S$68)-'01_Input'!$R$68,0)*'01_Input'!$U$68))+IF('01_Input'!$X$68="Forfait",IF(CO$20&gt;='01_Input'!$V$68,'01_Input'!$Y$68,0),IF('01_Input'!$X$68="Palier",IF(AND(CO$20&gt;='01_Input'!$V$68,CO$20&lt;'01_Input'!$W$68),'01_Input'!$Y$68,0),MAX(MIN(CO$20,'01_Input'!$W$68)-'01_Input'!$V$68,0)*'01_Input'!$Y$68))+IF('01_Input'!$AB$68="Forfait",IF(CO$20&gt;='01_Input'!$Z$68,'01_Input'!$AC$68,0),IF('01_Input'!$AB$68="Palier",IF(AND(CO$20&gt;='01_Input'!$Z$68,CO$20&lt;'01_Input'!$AA$68),'01_Input'!$AC$68,0),MAX(MIN(CO$20,'01_Input'!$AA$68)-'01_Input'!$Z$68,0)*'01_Input'!$AC$68)))))))))</f>
        <v>0</v>
      </c>
      <c r="CP36" s="83">
        <f>IF('01_Input'!$C$68="Non",0,MIN('01_Input'!$I$68,MAX('01_Input'!$H$68,IF('01_Input'!$G$68="Résiduel vs Gestion",0,IF('01_Input'!$G$68="Taux Classe sélectionnée",Distrib_Global_Classe_Selectionnee*CP$20,IF('01_Input'!$G$68="Frais KYC (paliers de 100M€)",MAX(0,Nb_Investisseurs-Nb_KYC_Gratuites_Par_Tranche*(FLOOR(CP$20/Taille_Tranche_KYC,1)+1))*Cout_Par_KYC_Supplementaire,(IF('01_Input'!$L$68="Forfait",IF(CP$20&gt;='01_Input'!$J$68,'01_Input'!$M$68,0),IF('01_Input'!$L$68="Palier",IF(AND(CP$20&gt;='01_Input'!$J$68,CP$20&lt;'01_Input'!$K$68),'01_Input'!$M$68,0),MAX(MIN(CP$20,'01_Input'!$K$68)-'01_Input'!$J$68,0)*'01_Input'!$M$68))+IF('01_Input'!$P$68="Forfait",IF(CP$20&gt;='01_Input'!$N$68,'01_Input'!$Q$68,0),IF('01_Input'!$P$68="Palier",IF(AND(CP$20&gt;='01_Input'!$N$68,CP$20&lt;'01_Input'!$O$68),'01_Input'!$Q$68,0),MAX(MIN(CP$20,'01_Input'!$O$68)-'01_Input'!$N$68,0)*'01_Input'!$Q$68))+IF('01_Input'!$T$68="Forfait",IF(CP$20&gt;='01_Input'!$R$68,'01_Input'!$U$68,0),IF('01_Input'!$T$68="Palier",IF(AND(CP$20&gt;='01_Input'!$R$68,CP$20&lt;'01_Input'!$S$68),'01_Input'!$U$68,0),MAX(MIN(CP$20,'01_Input'!$S$68)-'01_Input'!$R$68,0)*'01_Input'!$U$68))+IF('01_Input'!$X$68="Forfait",IF(CP$20&gt;='01_Input'!$V$68,'01_Input'!$Y$68,0),IF('01_Input'!$X$68="Palier",IF(AND(CP$20&gt;='01_Input'!$V$68,CP$20&lt;'01_Input'!$W$68),'01_Input'!$Y$68,0),MAX(MIN(CP$20,'01_Input'!$W$68)-'01_Input'!$V$68,0)*'01_Input'!$Y$68))+IF('01_Input'!$AB$68="Forfait",IF(CP$20&gt;='01_Input'!$Z$68,'01_Input'!$AC$68,0),IF('01_Input'!$AB$68="Palier",IF(AND(CP$20&gt;='01_Input'!$Z$68,CP$20&lt;'01_Input'!$AA$68),'01_Input'!$AC$68,0),MAX(MIN(CP$20,'01_Input'!$AA$68)-'01_Input'!$Z$68,0)*'01_Input'!$AC$68)))))))))</f>
        <v>0</v>
      </c>
      <c r="CQ36" s="83">
        <f>IF('01_Input'!$C$68="Non",0,MIN('01_Input'!$I$68,MAX('01_Input'!$H$68,IF('01_Input'!$G$68="Résiduel vs Gestion",0,IF('01_Input'!$G$68="Taux Classe sélectionnée",Distrib_Global_Classe_Selectionnee*CQ$20,IF('01_Input'!$G$68="Frais KYC (paliers de 100M€)",MAX(0,Nb_Investisseurs-Nb_KYC_Gratuites_Par_Tranche*(FLOOR(CQ$20/Taille_Tranche_KYC,1)+1))*Cout_Par_KYC_Supplementaire,(IF('01_Input'!$L$68="Forfait",IF(CQ$20&gt;='01_Input'!$J$68,'01_Input'!$M$68,0),IF('01_Input'!$L$68="Palier",IF(AND(CQ$20&gt;='01_Input'!$J$68,CQ$20&lt;'01_Input'!$K$68),'01_Input'!$M$68,0),MAX(MIN(CQ$20,'01_Input'!$K$68)-'01_Input'!$J$68,0)*'01_Input'!$M$68))+IF('01_Input'!$P$68="Forfait",IF(CQ$20&gt;='01_Input'!$N$68,'01_Input'!$Q$68,0),IF('01_Input'!$P$68="Palier",IF(AND(CQ$20&gt;='01_Input'!$N$68,CQ$20&lt;'01_Input'!$O$68),'01_Input'!$Q$68,0),MAX(MIN(CQ$20,'01_Input'!$O$68)-'01_Input'!$N$68,0)*'01_Input'!$Q$68))+IF('01_Input'!$T$68="Forfait",IF(CQ$20&gt;='01_Input'!$R$68,'01_Input'!$U$68,0),IF('01_Input'!$T$68="Palier",IF(AND(CQ$20&gt;='01_Input'!$R$68,CQ$20&lt;'01_Input'!$S$68),'01_Input'!$U$68,0),MAX(MIN(CQ$20,'01_Input'!$S$68)-'01_Input'!$R$68,0)*'01_Input'!$U$68))+IF('01_Input'!$X$68="Forfait",IF(CQ$20&gt;='01_Input'!$V$68,'01_Input'!$Y$68,0),IF('01_Input'!$X$68="Palier",IF(AND(CQ$20&gt;='01_Input'!$V$68,CQ$20&lt;'01_Input'!$W$68),'01_Input'!$Y$68,0),MAX(MIN(CQ$20,'01_Input'!$W$68)-'01_Input'!$V$68,0)*'01_Input'!$Y$68))+IF('01_Input'!$AB$68="Forfait",IF(CQ$20&gt;='01_Input'!$Z$68,'01_Input'!$AC$68,0),IF('01_Input'!$AB$68="Palier",IF(AND(CQ$20&gt;='01_Input'!$Z$68,CQ$20&lt;'01_Input'!$AA$68),'01_Input'!$AC$68,0),MAX(MIN(CQ$20,'01_Input'!$AA$68)-'01_Input'!$Z$68,0)*'01_Input'!$AC$68)))))))))</f>
        <v>0</v>
      </c>
      <c r="CR36" s="83">
        <f>IF('01_Input'!$C$68="Non",0,MIN('01_Input'!$I$68,MAX('01_Input'!$H$68,IF('01_Input'!$G$68="Résiduel vs Gestion",0,IF('01_Input'!$G$68="Taux Classe sélectionnée",Distrib_Global_Classe_Selectionnee*CR$20,IF('01_Input'!$G$68="Frais KYC (paliers de 100M€)",MAX(0,Nb_Investisseurs-Nb_KYC_Gratuites_Par_Tranche*(FLOOR(CR$20/Taille_Tranche_KYC,1)+1))*Cout_Par_KYC_Supplementaire,(IF('01_Input'!$L$68="Forfait",IF(CR$20&gt;='01_Input'!$J$68,'01_Input'!$M$68,0),IF('01_Input'!$L$68="Palier",IF(AND(CR$20&gt;='01_Input'!$J$68,CR$20&lt;'01_Input'!$K$68),'01_Input'!$M$68,0),MAX(MIN(CR$20,'01_Input'!$K$68)-'01_Input'!$J$68,0)*'01_Input'!$M$68))+IF('01_Input'!$P$68="Forfait",IF(CR$20&gt;='01_Input'!$N$68,'01_Input'!$Q$68,0),IF('01_Input'!$P$68="Palier",IF(AND(CR$20&gt;='01_Input'!$N$68,CR$20&lt;'01_Input'!$O$68),'01_Input'!$Q$68,0),MAX(MIN(CR$20,'01_Input'!$O$68)-'01_Input'!$N$68,0)*'01_Input'!$Q$68))+IF('01_Input'!$T$68="Forfait",IF(CR$20&gt;='01_Input'!$R$68,'01_Input'!$U$68,0),IF('01_Input'!$T$68="Palier",IF(AND(CR$20&gt;='01_Input'!$R$68,CR$20&lt;'01_Input'!$S$68),'01_Input'!$U$68,0),MAX(MIN(CR$20,'01_Input'!$S$68)-'01_Input'!$R$68,0)*'01_Input'!$U$68))+IF('01_Input'!$X$68="Forfait",IF(CR$20&gt;='01_Input'!$V$68,'01_Input'!$Y$68,0),IF('01_Input'!$X$68="Palier",IF(AND(CR$20&gt;='01_Input'!$V$68,CR$20&lt;'01_Input'!$W$68),'01_Input'!$Y$68,0),MAX(MIN(CR$20,'01_Input'!$W$68)-'01_Input'!$V$68,0)*'01_Input'!$Y$68))+IF('01_Input'!$AB$68="Forfait",IF(CR$20&gt;='01_Input'!$Z$68,'01_Input'!$AC$68,0),IF('01_Input'!$AB$68="Palier",IF(AND(CR$20&gt;='01_Input'!$Z$68,CR$20&lt;'01_Input'!$AA$68),'01_Input'!$AC$68,0),MAX(MIN(CR$20,'01_Input'!$AA$68)-'01_Input'!$Z$68,0)*'01_Input'!$AC$68)))))))))</f>
        <v>0</v>
      </c>
      <c r="CS36" s="83">
        <f>IF('01_Input'!$C$68="Non",0,MIN('01_Input'!$I$68,MAX('01_Input'!$H$68,IF('01_Input'!$G$68="Résiduel vs Gestion",0,IF('01_Input'!$G$68="Taux Classe sélectionnée",Distrib_Global_Classe_Selectionnee*CS$20,IF('01_Input'!$G$68="Frais KYC (paliers de 100M€)",MAX(0,Nb_Investisseurs-Nb_KYC_Gratuites_Par_Tranche*(FLOOR(CS$20/Taille_Tranche_KYC,1)+1))*Cout_Par_KYC_Supplementaire,(IF('01_Input'!$L$68="Forfait",IF(CS$20&gt;='01_Input'!$J$68,'01_Input'!$M$68,0),IF('01_Input'!$L$68="Palier",IF(AND(CS$20&gt;='01_Input'!$J$68,CS$20&lt;'01_Input'!$K$68),'01_Input'!$M$68,0),MAX(MIN(CS$20,'01_Input'!$K$68)-'01_Input'!$J$68,0)*'01_Input'!$M$68))+IF('01_Input'!$P$68="Forfait",IF(CS$20&gt;='01_Input'!$N$68,'01_Input'!$Q$68,0),IF('01_Input'!$P$68="Palier",IF(AND(CS$20&gt;='01_Input'!$N$68,CS$20&lt;'01_Input'!$O$68),'01_Input'!$Q$68,0),MAX(MIN(CS$20,'01_Input'!$O$68)-'01_Input'!$N$68,0)*'01_Input'!$Q$68))+IF('01_Input'!$T$68="Forfait",IF(CS$20&gt;='01_Input'!$R$68,'01_Input'!$U$68,0),IF('01_Input'!$T$68="Palier",IF(AND(CS$20&gt;='01_Input'!$R$68,CS$20&lt;'01_Input'!$S$68),'01_Input'!$U$68,0),MAX(MIN(CS$20,'01_Input'!$S$68)-'01_Input'!$R$68,0)*'01_Input'!$U$68))+IF('01_Input'!$X$68="Forfait",IF(CS$20&gt;='01_Input'!$V$68,'01_Input'!$Y$68,0),IF('01_Input'!$X$68="Palier",IF(AND(CS$20&gt;='01_Input'!$V$68,CS$20&lt;'01_Input'!$W$68),'01_Input'!$Y$68,0),MAX(MIN(CS$20,'01_Input'!$W$68)-'01_Input'!$V$68,0)*'01_Input'!$Y$68))+IF('01_Input'!$AB$68="Forfait",IF(CS$20&gt;='01_Input'!$Z$68,'01_Input'!$AC$68,0),IF('01_Input'!$AB$68="Palier",IF(AND(CS$20&gt;='01_Input'!$Z$68,CS$20&lt;'01_Input'!$AA$68),'01_Input'!$AC$68,0),MAX(MIN(CS$20,'01_Input'!$AA$68)-'01_Input'!$Z$68,0)*'01_Input'!$AC$68)))))))))</f>
        <v>0</v>
      </c>
      <c r="CT36" s="83">
        <f>IF('01_Input'!$C$68="Non",0,MIN('01_Input'!$I$68,MAX('01_Input'!$H$68,IF('01_Input'!$G$68="Résiduel vs Gestion",0,IF('01_Input'!$G$68="Taux Classe sélectionnée",Distrib_Global_Classe_Selectionnee*CT$20,IF('01_Input'!$G$68="Frais KYC (paliers de 100M€)",MAX(0,Nb_Investisseurs-Nb_KYC_Gratuites_Par_Tranche*(FLOOR(CT$20/Taille_Tranche_KYC,1)+1))*Cout_Par_KYC_Supplementaire,(IF('01_Input'!$L$68="Forfait",IF(CT$20&gt;='01_Input'!$J$68,'01_Input'!$M$68,0),IF('01_Input'!$L$68="Palier",IF(AND(CT$20&gt;='01_Input'!$J$68,CT$20&lt;'01_Input'!$K$68),'01_Input'!$M$68,0),MAX(MIN(CT$20,'01_Input'!$K$68)-'01_Input'!$J$68,0)*'01_Input'!$M$68))+IF('01_Input'!$P$68="Forfait",IF(CT$20&gt;='01_Input'!$N$68,'01_Input'!$Q$68,0),IF('01_Input'!$P$68="Palier",IF(AND(CT$20&gt;='01_Input'!$N$68,CT$20&lt;'01_Input'!$O$68),'01_Input'!$Q$68,0),MAX(MIN(CT$20,'01_Input'!$O$68)-'01_Input'!$N$68,0)*'01_Input'!$Q$68))+IF('01_Input'!$T$68="Forfait",IF(CT$20&gt;='01_Input'!$R$68,'01_Input'!$U$68,0),IF('01_Input'!$T$68="Palier",IF(AND(CT$20&gt;='01_Input'!$R$68,CT$20&lt;'01_Input'!$S$68),'01_Input'!$U$68,0),MAX(MIN(CT$20,'01_Input'!$S$68)-'01_Input'!$R$68,0)*'01_Input'!$U$68))+IF('01_Input'!$X$68="Forfait",IF(CT$20&gt;='01_Input'!$V$68,'01_Input'!$Y$68,0),IF('01_Input'!$X$68="Palier",IF(AND(CT$20&gt;='01_Input'!$V$68,CT$20&lt;'01_Input'!$W$68),'01_Input'!$Y$68,0),MAX(MIN(CT$20,'01_Input'!$W$68)-'01_Input'!$V$68,0)*'01_Input'!$Y$68))+IF('01_Input'!$AB$68="Forfait",IF(CT$20&gt;='01_Input'!$Z$68,'01_Input'!$AC$68,0),IF('01_Input'!$AB$68="Palier",IF(AND(CT$20&gt;='01_Input'!$Z$68,CT$20&lt;'01_Input'!$AA$68),'01_Input'!$AC$68,0),MAX(MIN(CT$20,'01_Input'!$AA$68)-'01_Input'!$Z$68,0)*'01_Input'!$AC$68)))))))))</f>
        <v>0</v>
      </c>
      <c r="CU36" s="83">
        <f>IF('01_Input'!$C$68="Non",0,MIN('01_Input'!$I$68,MAX('01_Input'!$H$68,IF('01_Input'!$G$68="Résiduel vs Gestion",0,IF('01_Input'!$G$68="Taux Classe sélectionnée",Distrib_Global_Classe_Selectionnee*CU$20,IF('01_Input'!$G$68="Frais KYC (paliers de 100M€)",MAX(0,Nb_Investisseurs-Nb_KYC_Gratuites_Par_Tranche*(FLOOR(CU$20/Taille_Tranche_KYC,1)+1))*Cout_Par_KYC_Supplementaire,(IF('01_Input'!$L$68="Forfait",IF(CU$20&gt;='01_Input'!$J$68,'01_Input'!$M$68,0),IF('01_Input'!$L$68="Palier",IF(AND(CU$20&gt;='01_Input'!$J$68,CU$20&lt;'01_Input'!$K$68),'01_Input'!$M$68,0),MAX(MIN(CU$20,'01_Input'!$K$68)-'01_Input'!$J$68,0)*'01_Input'!$M$68))+IF('01_Input'!$P$68="Forfait",IF(CU$20&gt;='01_Input'!$N$68,'01_Input'!$Q$68,0),IF('01_Input'!$P$68="Palier",IF(AND(CU$20&gt;='01_Input'!$N$68,CU$20&lt;'01_Input'!$O$68),'01_Input'!$Q$68,0),MAX(MIN(CU$20,'01_Input'!$O$68)-'01_Input'!$N$68,0)*'01_Input'!$Q$68))+IF('01_Input'!$T$68="Forfait",IF(CU$20&gt;='01_Input'!$R$68,'01_Input'!$U$68,0),IF('01_Input'!$T$68="Palier",IF(AND(CU$20&gt;='01_Input'!$R$68,CU$20&lt;'01_Input'!$S$68),'01_Input'!$U$68,0),MAX(MIN(CU$20,'01_Input'!$S$68)-'01_Input'!$R$68,0)*'01_Input'!$U$68))+IF('01_Input'!$X$68="Forfait",IF(CU$20&gt;='01_Input'!$V$68,'01_Input'!$Y$68,0),IF('01_Input'!$X$68="Palier",IF(AND(CU$20&gt;='01_Input'!$V$68,CU$20&lt;'01_Input'!$W$68),'01_Input'!$Y$68,0),MAX(MIN(CU$20,'01_Input'!$W$68)-'01_Input'!$V$68,0)*'01_Input'!$Y$68))+IF('01_Input'!$AB$68="Forfait",IF(CU$20&gt;='01_Input'!$Z$68,'01_Input'!$AC$68,0),IF('01_Input'!$AB$68="Palier",IF(AND(CU$20&gt;='01_Input'!$Z$68,CU$20&lt;'01_Input'!$AA$68),'01_Input'!$AC$68,0),MAX(MIN(CU$20,'01_Input'!$AA$68)-'01_Input'!$Z$68,0)*'01_Input'!$AC$68)))))))))</f>
        <v>0</v>
      </c>
      <c r="CV36" s="83">
        <f>IF('01_Input'!$C$68="Non",0,MIN('01_Input'!$I$68,MAX('01_Input'!$H$68,IF('01_Input'!$G$68="Résiduel vs Gestion",0,IF('01_Input'!$G$68="Taux Classe sélectionnée",Distrib_Global_Classe_Selectionnee*CV$20,IF('01_Input'!$G$68="Frais KYC (paliers de 100M€)",MAX(0,Nb_Investisseurs-Nb_KYC_Gratuites_Par_Tranche*(FLOOR(CV$20/Taille_Tranche_KYC,1)+1))*Cout_Par_KYC_Supplementaire,(IF('01_Input'!$L$68="Forfait",IF(CV$20&gt;='01_Input'!$J$68,'01_Input'!$M$68,0),IF('01_Input'!$L$68="Palier",IF(AND(CV$20&gt;='01_Input'!$J$68,CV$20&lt;'01_Input'!$K$68),'01_Input'!$M$68,0),MAX(MIN(CV$20,'01_Input'!$K$68)-'01_Input'!$J$68,0)*'01_Input'!$M$68))+IF('01_Input'!$P$68="Forfait",IF(CV$20&gt;='01_Input'!$N$68,'01_Input'!$Q$68,0),IF('01_Input'!$P$68="Palier",IF(AND(CV$20&gt;='01_Input'!$N$68,CV$20&lt;'01_Input'!$O$68),'01_Input'!$Q$68,0),MAX(MIN(CV$20,'01_Input'!$O$68)-'01_Input'!$N$68,0)*'01_Input'!$Q$68))+IF('01_Input'!$T$68="Forfait",IF(CV$20&gt;='01_Input'!$R$68,'01_Input'!$U$68,0),IF('01_Input'!$T$68="Palier",IF(AND(CV$20&gt;='01_Input'!$R$68,CV$20&lt;'01_Input'!$S$68),'01_Input'!$U$68,0),MAX(MIN(CV$20,'01_Input'!$S$68)-'01_Input'!$R$68,0)*'01_Input'!$U$68))+IF('01_Input'!$X$68="Forfait",IF(CV$20&gt;='01_Input'!$V$68,'01_Input'!$Y$68,0),IF('01_Input'!$X$68="Palier",IF(AND(CV$20&gt;='01_Input'!$V$68,CV$20&lt;'01_Input'!$W$68),'01_Input'!$Y$68,0),MAX(MIN(CV$20,'01_Input'!$W$68)-'01_Input'!$V$68,0)*'01_Input'!$Y$68))+IF('01_Input'!$AB$68="Forfait",IF(CV$20&gt;='01_Input'!$Z$68,'01_Input'!$AC$68,0),IF('01_Input'!$AB$68="Palier",IF(AND(CV$20&gt;='01_Input'!$Z$68,CV$20&lt;'01_Input'!$AA$68),'01_Input'!$AC$68,0),MAX(MIN(CV$20,'01_Input'!$AA$68)-'01_Input'!$Z$68,0)*'01_Input'!$AC$68)))))))))</f>
        <v>0</v>
      </c>
      <c r="CW36" s="83">
        <f>IF('01_Input'!$C$68="Non",0,MIN('01_Input'!$I$68,MAX('01_Input'!$H$68,IF('01_Input'!$G$68="Résiduel vs Gestion",0,IF('01_Input'!$G$68="Taux Classe sélectionnée",Distrib_Global_Classe_Selectionnee*CW$20,IF('01_Input'!$G$68="Frais KYC (paliers de 100M€)",MAX(0,Nb_Investisseurs-Nb_KYC_Gratuites_Par_Tranche*(FLOOR(CW$20/Taille_Tranche_KYC,1)+1))*Cout_Par_KYC_Supplementaire,(IF('01_Input'!$L$68="Forfait",IF(CW$20&gt;='01_Input'!$J$68,'01_Input'!$M$68,0),IF('01_Input'!$L$68="Palier",IF(AND(CW$20&gt;='01_Input'!$J$68,CW$20&lt;'01_Input'!$K$68),'01_Input'!$M$68,0),MAX(MIN(CW$20,'01_Input'!$K$68)-'01_Input'!$J$68,0)*'01_Input'!$M$68))+IF('01_Input'!$P$68="Forfait",IF(CW$20&gt;='01_Input'!$N$68,'01_Input'!$Q$68,0),IF('01_Input'!$P$68="Palier",IF(AND(CW$20&gt;='01_Input'!$N$68,CW$20&lt;'01_Input'!$O$68),'01_Input'!$Q$68,0),MAX(MIN(CW$20,'01_Input'!$O$68)-'01_Input'!$N$68,0)*'01_Input'!$Q$68))+IF('01_Input'!$T$68="Forfait",IF(CW$20&gt;='01_Input'!$R$68,'01_Input'!$U$68,0),IF('01_Input'!$T$68="Palier",IF(AND(CW$20&gt;='01_Input'!$R$68,CW$20&lt;'01_Input'!$S$68),'01_Input'!$U$68,0),MAX(MIN(CW$20,'01_Input'!$S$68)-'01_Input'!$R$68,0)*'01_Input'!$U$68))+IF('01_Input'!$X$68="Forfait",IF(CW$20&gt;='01_Input'!$V$68,'01_Input'!$Y$68,0),IF('01_Input'!$X$68="Palier",IF(AND(CW$20&gt;='01_Input'!$V$68,CW$20&lt;'01_Input'!$W$68),'01_Input'!$Y$68,0),MAX(MIN(CW$20,'01_Input'!$W$68)-'01_Input'!$V$68,0)*'01_Input'!$Y$68))+IF('01_Input'!$AB$68="Forfait",IF(CW$20&gt;='01_Input'!$Z$68,'01_Input'!$AC$68,0),IF('01_Input'!$AB$68="Palier",IF(AND(CW$20&gt;='01_Input'!$Z$68,CW$20&lt;'01_Input'!$AA$68),'01_Input'!$AC$68,0),MAX(MIN(CW$20,'01_Input'!$AA$68)-'01_Input'!$Z$68,0)*'01_Input'!$AC$68)))))))))</f>
        <v>0</v>
      </c>
      <c r="CX36" s="83">
        <f>IF('01_Input'!$C$68="Non",0,MIN('01_Input'!$I$68,MAX('01_Input'!$H$68,IF('01_Input'!$G$68="Résiduel vs Gestion",0,IF('01_Input'!$G$68="Taux Classe sélectionnée",Distrib_Global_Classe_Selectionnee*CX$20,IF('01_Input'!$G$68="Frais KYC (paliers de 100M€)",MAX(0,Nb_Investisseurs-Nb_KYC_Gratuites_Par_Tranche*(FLOOR(CX$20/Taille_Tranche_KYC,1)+1))*Cout_Par_KYC_Supplementaire,(IF('01_Input'!$L$68="Forfait",IF(CX$20&gt;='01_Input'!$J$68,'01_Input'!$M$68,0),IF('01_Input'!$L$68="Palier",IF(AND(CX$20&gt;='01_Input'!$J$68,CX$20&lt;'01_Input'!$K$68),'01_Input'!$M$68,0),MAX(MIN(CX$20,'01_Input'!$K$68)-'01_Input'!$J$68,0)*'01_Input'!$M$68))+IF('01_Input'!$P$68="Forfait",IF(CX$20&gt;='01_Input'!$N$68,'01_Input'!$Q$68,0),IF('01_Input'!$P$68="Palier",IF(AND(CX$20&gt;='01_Input'!$N$68,CX$20&lt;'01_Input'!$O$68),'01_Input'!$Q$68,0),MAX(MIN(CX$20,'01_Input'!$O$68)-'01_Input'!$N$68,0)*'01_Input'!$Q$68))+IF('01_Input'!$T$68="Forfait",IF(CX$20&gt;='01_Input'!$R$68,'01_Input'!$U$68,0),IF('01_Input'!$T$68="Palier",IF(AND(CX$20&gt;='01_Input'!$R$68,CX$20&lt;'01_Input'!$S$68),'01_Input'!$U$68,0),MAX(MIN(CX$20,'01_Input'!$S$68)-'01_Input'!$R$68,0)*'01_Input'!$U$68))+IF('01_Input'!$X$68="Forfait",IF(CX$20&gt;='01_Input'!$V$68,'01_Input'!$Y$68,0),IF('01_Input'!$X$68="Palier",IF(AND(CX$20&gt;='01_Input'!$V$68,CX$20&lt;'01_Input'!$W$68),'01_Input'!$Y$68,0),MAX(MIN(CX$20,'01_Input'!$W$68)-'01_Input'!$V$68,0)*'01_Input'!$Y$68))+IF('01_Input'!$AB$68="Forfait",IF(CX$20&gt;='01_Input'!$Z$68,'01_Input'!$AC$68,0),IF('01_Input'!$AB$68="Palier",IF(AND(CX$20&gt;='01_Input'!$Z$68,CX$20&lt;'01_Input'!$AA$68),'01_Input'!$AC$68,0),MAX(MIN(CX$20,'01_Input'!$AA$68)-'01_Input'!$Z$68,0)*'01_Input'!$AC$68)))))))))</f>
        <v>0</v>
      </c>
      <c r="CY36" s="83">
        <f>IF('01_Input'!$C$68="Non",0,MIN('01_Input'!$I$68,MAX('01_Input'!$H$68,IF('01_Input'!$G$68="Résiduel vs Gestion",0,IF('01_Input'!$G$68="Taux Classe sélectionnée",Distrib_Global_Classe_Selectionnee*CY$20,IF('01_Input'!$G$68="Frais KYC (paliers de 100M€)",MAX(0,Nb_Investisseurs-Nb_KYC_Gratuites_Par_Tranche*(FLOOR(CY$20/Taille_Tranche_KYC,1)+1))*Cout_Par_KYC_Supplementaire,(IF('01_Input'!$L$68="Forfait",IF(CY$20&gt;='01_Input'!$J$68,'01_Input'!$M$68,0),IF('01_Input'!$L$68="Palier",IF(AND(CY$20&gt;='01_Input'!$J$68,CY$20&lt;'01_Input'!$K$68),'01_Input'!$M$68,0),MAX(MIN(CY$20,'01_Input'!$K$68)-'01_Input'!$J$68,0)*'01_Input'!$M$68))+IF('01_Input'!$P$68="Forfait",IF(CY$20&gt;='01_Input'!$N$68,'01_Input'!$Q$68,0),IF('01_Input'!$P$68="Palier",IF(AND(CY$20&gt;='01_Input'!$N$68,CY$20&lt;'01_Input'!$O$68),'01_Input'!$Q$68,0),MAX(MIN(CY$20,'01_Input'!$O$68)-'01_Input'!$N$68,0)*'01_Input'!$Q$68))+IF('01_Input'!$T$68="Forfait",IF(CY$20&gt;='01_Input'!$R$68,'01_Input'!$U$68,0),IF('01_Input'!$T$68="Palier",IF(AND(CY$20&gt;='01_Input'!$R$68,CY$20&lt;'01_Input'!$S$68),'01_Input'!$U$68,0),MAX(MIN(CY$20,'01_Input'!$S$68)-'01_Input'!$R$68,0)*'01_Input'!$U$68))+IF('01_Input'!$X$68="Forfait",IF(CY$20&gt;='01_Input'!$V$68,'01_Input'!$Y$68,0),IF('01_Input'!$X$68="Palier",IF(AND(CY$20&gt;='01_Input'!$V$68,CY$20&lt;'01_Input'!$W$68),'01_Input'!$Y$68,0),MAX(MIN(CY$20,'01_Input'!$W$68)-'01_Input'!$V$68,0)*'01_Input'!$Y$68))+IF('01_Input'!$AB$68="Forfait",IF(CY$20&gt;='01_Input'!$Z$68,'01_Input'!$AC$68,0),IF('01_Input'!$AB$68="Palier",IF(AND(CY$20&gt;='01_Input'!$Z$68,CY$20&lt;'01_Input'!$AA$68),'01_Input'!$AC$68,0),MAX(MIN(CY$20,'01_Input'!$AA$68)-'01_Input'!$Z$68,0)*'01_Input'!$AC$68)))))))))</f>
        <v>0</v>
      </c>
      <c r="CZ36" s="83">
        <f>IF('01_Input'!$C$68="Non",0,MIN('01_Input'!$I$68,MAX('01_Input'!$H$68,IF('01_Input'!$G$68="Résiduel vs Gestion",0,IF('01_Input'!$G$68="Taux Classe sélectionnée",Distrib_Global_Classe_Selectionnee*CZ$20,IF('01_Input'!$G$68="Frais KYC (paliers de 100M€)",MAX(0,Nb_Investisseurs-Nb_KYC_Gratuites_Par_Tranche*(FLOOR(CZ$20/Taille_Tranche_KYC,1)+1))*Cout_Par_KYC_Supplementaire,(IF('01_Input'!$L$68="Forfait",IF(CZ$20&gt;='01_Input'!$J$68,'01_Input'!$M$68,0),IF('01_Input'!$L$68="Palier",IF(AND(CZ$20&gt;='01_Input'!$J$68,CZ$20&lt;'01_Input'!$K$68),'01_Input'!$M$68,0),MAX(MIN(CZ$20,'01_Input'!$K$68)-'01_Input'!$J$68,0)*'01_Input'!$M$68))+IF('01_Input'!$P$68="Forfait",IF(CZ$20&gt;='01_Input'!$N$68,'01_Input'!$Q$68,0),IF('01_Input'!$P$68="Palier",IF(AND(CZ$20&gt;='01_Input'!$N$68,CZ$20&lt;'01_Input'!$O$68),'01_Input'!$Q$68,0),MAX(MIN(CZ$20,'01_Input'!$O$68)-'01_Input'!$N$68,0)*'01_Input'!$Q$68))+IF('01_Input'!$T$68="Forfait",IF(CZ$20&gt;='01_Input'!$R$68,'01_Input'!$U$68,0),IF('01_Input'!$T$68="Palier",IF(AND(CZ$20&gt;='01_Input'!$R$68,CZ$20&lt;'01_Input'!$S$68),'01_Input'!$U$68,0),MAX(MIN(CZ$20,'01_Input'!$S$68)-'01_Input'!$R$68,0)*'01_Input'!$U$68))+IF('01_Input'!$X$68="Forfait",IF(CZ$20&gt;='01_Input'!$V$68,'01_Input'!$Y$68,0),IF('01_Input'!$X$68="Palier",IF(AND(CZ$20&gt;='01_Input'!$V$68,CZ$20&lt;'01_Input'!$W$68),'01_Input'!$Y$68,0),MAX(MIN(CZ$20,'01_Input'!$W$68)-'01_Input'!$V$68,0)*'01_Input'!$Y$68))+IF('01_Input'!$AB$68="Forfait",IF(CZ$20&gt;='01_Input'!$Z$68,'01_Input'!$AC$68,0),IF('01_Input'!$AB$68="Palier",IF(AND(CZ$20&gt;='01_Input'!$Z$68,CZ$20&lt;'01_Input'!$AA$68),'01_Input'!$AC$68,0),MAX(MIN(CZ$20,'01_Input'!$AA$68)-'01_Input'!$Z$68,0)*'01_Input'!$AC$68)))))))))</f>
        <v>0</v>
      </c>
      <c r="DA36" s="83">
        <f>IF('01_Input'!$C$68="Non",0,MIN('01_Input'!$I$68,MAX('01_Input'!$H$68,IF('01_Input'!$G$68="Résiduel vs Gestion",0,IF('01_Input'!$G$68="Taux Classe sélectionnée",Distrib_Global_Classe_Selectionnee*DA$20,IF('01_Input'!$G$68="Frais KYC (paliers de 100M€)",MAX(0,Nb_Investisseurs-Nb_KYC_Gratuites_Par_Tranche*(FLOOR(DA$20/Taille_Tranche_KYC,1)+1))*Cout_Par_KYC_Supplementaire,(IF('01_Input'!$L$68="Forfait",IF(DA$20&gt;='01_Input'!$J$68,'01_Input'!$M$68,0),IF('01_Input'!$L$68="Palier",IF(AND(DA$20&gt;='01_Input'!$J$68,DA$20&lt;'01_Input'!$K$68),'01_Input'!$M$68,0),MAX(MIN(DA$20,'01_Input'!$K$68)-'01_Input'!$J$68,0)*'01_Input'!$M$68))+IF('01_Input'!$P$68="Forfait",IF(DA$20&gt;='01_Input'!$N$68,'01_Input'!$Q$68,0),IF('01_Input'!$P$68="Palier",IF(AND(DA$20&gt;='01_Input'!$N$68,DA$20&lt;'01_Input'!$O$68),'01_Input'!$Q$68,0),MAX(MIN(DA$20,'01_Input'!$O$68)-'01_Input'!$N$68,0)*'01_Input'!$Q$68))+IF('01_Input'!$T$68="Forfait",IF(DA$20&gt;='01_Input'!$R$68,'01_Input'!$U$68,0),IF('01_Input'!$T$68="Palier",IF(AND(DA$20&gt;='01_Input'!$R$68,DA$20&lt;'01_Input'!$S$68),'01_Input'!$U$68,0),MAX(MIN(DA$20,'01_Input'!$S$68)-'01_Input'!$R$68,0)*'01_Input'!$U$68))+IF('01_Input'!$X$68="Forfait",IF(DA$20&gt;='01_Input'!$V$68,'01_Input'!$Y$68,0),IF('01_Input'!$X$68="Palier",IF(AND(DA$20&gt;='01_Input'!$V$68,DA$20&lt;'01_Input'!$W$68),'01_Input'!$Y$68,0),MAX(MIN(DA$20,'01_Input'!$W$68)-'01_Input'!$V$68,0)*'01_Input'!$Y$68))+IF('01_Input'!$AB$68="Forfait",IF(DA$20&gt;='01_Input'!$Z$68,'01_Input'!$AC$68,0),IF('01_Input'!$AB$68="Palier",IF(AND(DA$20&gt;='01_Input'!$Z$68,DA$20&lt;'01_Input'!$AA$68),'01_Input'!$AC$68,0),MAX(MIN(DA$20,'01_Input'!$AA$68)-'01_Input'!$Z$68,0)*'01_Input'!$AC$68)))))))))</f>
        <v>0</v>
      </c>
      <c r="DB36" s="83">
        <f>IF('01_Input'!$C$68="Non",0,MIN('01_Input'!$I$68,MAX('01_Input'!$H$68,IF('01_Input'!$G$68="Résiduel vs Gestion",0,IF('01_Input'!$G$68="Taux Classe sélectionnée",Distrib_Global_Classe_Selectionnee*DB$20,IF('01_Input'!$G$68="Frais KYC (paliers de 100M€)",MAX(0,Nb_Investisseurs-Nb_KYC_Gratuites_Par_Tranche*(FLOOR(DB$20/Taille_Tranche_KYC,1)+1))*Cout_Par_KYC_Supplementaire,(IF('01_Input'!$L$68="Forfait",IF(DB$20&gt;='01_Input'!$J$68,'01_Input'!$M$68,0),IF('01_Input'!$L$68="Palier",IF(AND(DB$20&gt;='01_Input'!$J$68,DB$20&lt;'01_Input'!$K$68),'01_Input'!$M$68,0),MAX(MIN(DB$20,'01_Input'!$K$68)-'01_Input'!$J$68,0)*'01_Input'!$M$68))+IF('01_Input'!$P$68="Forfait",IF(DB$20&gt;='01_Input'!$N$68,'01_Input'!$Q$68,0),IF('01_Input'!$P$68="Palier",IF(AND(DB$20&gt;='01_Input'!$N$68,DB$20&lt;'01_Input'!$O$68),'01_Input'!$Q$68,0),MAX(MIN(DB$20,'01_Input'!$O$68)-'01_Input'!$N$68,0)*'01_Input'!$Q$68))+IF('01_Input'!$T$68="Forfait",IF(DB$20&gt;='01_Input'!$R$68,'01_Input'!$U$68,0),IF('01_Input'!$T$68="Palier",IF(AND(DB$20&gt;='01_Input'!$R$68,DB$20&lt;'01_Input'!$S$68),'01_Input'!$U$68,0),MAX(MIN(DB$20,'01_Input'!$S$68)-'01_Input'!$R$68,0)*'01_Input'!$U$68))+IF('01_Input'!$X$68="Forfait",IF(DB$20&gt;='01_Input'!$V$68,'01_Input'!$Y$68,0),IF('01_Input'!$X$68="Palier",IF(AND(DB$20&gt;='01_Input'!$V$68,DB$20&lt;'01_Input'!$W$68),'01_Input'!$Y$68,0),MAX(MIN(DB$20,'01_Input'!$W$68)-'01_Input'!$V$68,0)*'01_Input'!$Y$68))+IF('01_Input'!$AB$68="Forfait",IF(DB$20&gt;='01_Input'!$Z$68,'01_Input'!$AC$68,0),IF('01_Input'!$AB$68="Palier",IF(AND(DB$20&gt;='01_Input'!$Z$68,DB$20&lt;'01_Input'!$AA$68),'01_Input'!$AC$68,0),MAX(MIN(DB$20,'01_Input'!$AA$68)-'01_Input'!$Z$68,0)*'01_Input'!$AC$68)))))))))</f>
        <v>0</v>
      </c>
      <c r="DC36" s="83">
        <f>IF('01_Input'!$C$68="Non",0,MIN('01_Input'!$I$68,MAX('01_Input'!$H$68,IF('01_Input'!$G$68="Résiduel vs Gestion",0,IF('01_Input'!$G$68="Taux Classe sélectionnée",Distrib_Global_Classe_Selectionnee*DC$20,IF('01_Input'!$G$68="Frais KYC (paliers de 100M€)",MAX(0,Nb_Investisseurs-Nb_KYC_Gratuites_Par_Tranche*(FLOOR(DC$20/Taille_Tranche_KYC,1)+1))*Cout_Par_KYC_Supplementaire,(IF('01_Input'!$L$68="Forfait",IF(DC$20&gt;='01_Input'!$J$68,'01_Input'!$M$68,0),IF('01_Input'!$L$68="Palier",IF(AND(DC$20&gt;='01_Input'!$J$68,DC$20&lt;'01_Input'!$K$68),'01_Input'!$M$68,0),MAX(MIN(DC$20,'01_Input'!$K$68)-'01_Input'!$J$68,0)*'01_Input'!$M$68))+IF('01_Input'!$P$68="Forfait",IF(DC$20&gt;='01_Input'!$N$68,'01_Input'!$Q$68,0),IF('01_Input'!$P$68="Palier",IF(AND(DC$20&gt;='01_Input'!$N$68,DC$20&lt;'01_Input'!$O$68),'01_Input'!$Q$68,0),MAX(MIN(DC$20,'01_Input'!$O$68)-'01_Input'!$N$68,0)*'01_Input'!$Q$68))+IF('01_Input'!$T$68="Forfait",IF(DC$20&gt;='01_Input'!$R$68,'01_Input'!$U$68,0),IF('01_Input'!$T$68="Palier",IF(AND(DC$20&gt;='01_Input'!$R$68,DC$20&lt;'01_Input'!$S$68),'01_Input'!$U$68,0),MAX(MIN(DC$20,'01_Input'!$S$68)-'01_Input'!$R$68,0)*'01_Input'!$U$68))+IF('01_Input'!$X$68="Forfait",IF(DC$20&gt;='01_Input'!$V$68,'01_Input'!$Y$68,0),IF('01_Input'!$X$68="Palier",IF(AND(DC$20&gt;='01_Input'!$V$68,DC$20&lt;'01_Input'!$W$68),'01_Input'!$Y$68,0),MAX(MIN(DC$20,'01_Input'!$W$68)-'01_Input'!$V$68,0)*'01_Input'!$Y$68))+IF('01_Input'!$AB$68="Forfait",IF(DC$20&gt;='01_Input'!$Z$68,'01_Input'!$AC$68,0),IF('01_Input'!$AB$68="Palier",IF(AND(DC$20&gt;='01_Input'!$Z$68,DC$20&lt;'01_Input'!$AA$68),'01_Input'!$AC$68,0),MAX(MIN(DC$20,'01_Input'!$AA$68)-'01_Input'!$Z$68,0)*'01_Input'!$AC$68)))))))))</f>
        <v>0</v>
      </c>
      <c r="DD36" s="83">
        <f>IF('01_Input'!$C$68="Non",0,MIN('01_Input'!$I$68,MAX('01_Input'!$H$68,IF('01_Input'!$G$68="Résiduel vs Gestion",0,IF('01_Input'!$G$68="Taux Classe sélectionnée",Distrib_Global_Classe_Selectionnee*DD$20,IF('01_Input'!$G$68="Frais KYC (paliers de 100M€)",MAX(0,Nb_Investisseurs-Nb_KYC_Gratuites_Par_Tranche*(FLOOR(DD$20/Taille_Tranche_KYC,1)+1))*Cout_Par_KYC_Supplementaire,(IF('01_Input'!$L$68="Forfait",IF(DD$20&gt;='01_Input'!$J$68,'01_Input'!$M$68,0),IF('01_Input'!$L$68="Palier",IF(AND(DD$20&gt;='01_Input'!$J$68,DD$20&lt;'01_Input'!$K$68),'01_Input'!$M$68,0),MAX(MIN(DD$20,'01_Input'!$K$68)-'01_Input'!$J$68,0)*'01_Input'!$M$68))+IF('01_Input'!$P$68="Forfait",IF(DD$20&gt;='01_Input'!$N$68,'01_Input'!$Q$68,0),IF('01_Input'!$P$68="Palier",IF(AND(DD$20&gt;='01_Input'!$N$68,DD$20&lt;'01_Input'!$O$68),'01_Input'!$Q$68,0),MAX(MIN(DD$20,'01_Input'!$O$68)-'01_Input'!$N$68,0)*'01_Input'!$Q$68))+IF('01_Input'!$T$68="Forfait",IF(DD$20&gt;='01_Input'!$R$68,'01_Input'!$U$68,0),IF('01_Input'!$T$68="Palier",IF(AND(DD$20&gt;='01_Input'!$R$68,DD$20&lt;'01_Input'!$S$68),'01_Input'!$U$68,0),MAX(MIN(DD$20,'01_Input'!$S$68)-'01_Input'!$R$68,0)*'01_Input'!$U$68))+IF('01_Input'!$X$68="Forfait",IF(DD$20&gt;='01_Input'!$V$68,'01_Input'!$Y$68,0),IF('01_Input'!$X$68="Palier",IF(AND(DD$20&gt;='01_Input'!$V$68,DD$20&lt;'01_Input'!$W$68),'01_Input'!$Y$68,0),MAX(MIN(DD$20,'01_Input'!$W$68)-'01_Input'!$V$68,0)*'01_Input'!$Y$68))+IF('01_Input'!$AB$68="Forfait",IF(DD$20&gt;='01_Input'!$Z$68,'01_Input'!$AC$68,0),IF('01_Input'!$AB$68="Palier",IF(AND(DD$20&gt;='01_Input'!$Z$68,DD$20&lt;'01_Input'!$AA$68),'01_Input'!$AC$68,0),MAX(MIN(DD$20,'01_Input'!$AA$68)-'01_Input'!$Z$68,0)*'01_Input'!$AC$68)))))))))</f>
        <v>0</v>
      </c>
      <c r="DE36" s="83">
        <f>IF('01_Input'!$C$68="Non",0,MIN('01_Input'!$I$68,MAX('01_Input'!$H$68,IF('01_Input'!$G$68="Résiduel vs Gestion",0,IF('01_Input'!$G$68="Taux Classe sélectionnée",Distrib_Global_Classe_Selectionnee*DE$20,IF('01_Input'!$G$68="Frais KYC (paliers de 100M€)",MAX(0,Nb_Investisseurs-Nb_KYC_Gratuites_Par_Tranche*(FLOOR(DE$20/Taille_Tranche_KYC,1)+1))*Cout_Par_KYC_Supplementaire,(IF('01_Input'!$L$68="Forfait",IF(DE$20&gt;='01_Input'!$J$68,'01_Input'!$M$68,0),IF('01_Input'!$L$68="Palier",IF(AND(DE$20&gt;='01_Input'!$J$68,DE$20&lt;'01_Input'!$K$68),'01_Input'!$M$68,0),MAX(MIN(DE$20,'01_Input'!$K$68)-'01_Input'!$J$68,0)*'01_Input'!$M$68))+IF('01_Input'!$P$68="Forfait",IF(DE$20&gt;='01_Input'!$N$68,'01_Input'!$Q$68,0),IF('01_Input'!$P$68="Palier",IF(AND(DE$20&gt;='01_Input'!$N$68,DE$20&lt;'01_Input'!$O$68),'01_Input'!$Q$68,0),MAX(MIN(DE$20,'01_Input'!$O$68)-'01_Input'!$N$68,0)*'01_Input'!$Q$68))+IF('01_Input'!$T$68="Forfait",IF(DE$20&gt;='01_Input'!$R$68,'01_Input'!$U$68,0),IF('01_Input'!$T$68="Palier",IF(AND(DE$20&gt;='01_Input'!$R$68,DE$20&lt;'01_Input'!$S$68),'01_Input'!$U$68,0),MAX(MIN(DE$20,'01_Input'!$S$68)-'01_Input'!$R$68,0)*'01_Input'!$U$68))+IF('01_Input'!$X$68="Forfait",IF(DE$20&gt;='01_Input'!$V$68,'01_Input'!$Y$68,0),IF('01_Input'!$X$68="Palier",IF(AND(DE$20&gt;='01_Input'!$V$68,DE$20&lt;'01_Input'!$W$68),'01_Input'!$Y$68,0),MAX(MIN(DE$20,'01_Input'!$W$68)-'01_Input'!$V$68,0)*'01_Input'!$Y$68))+IF('01_Input'!$AB$68="Forfait",IF(DE$20&gt;='01_Input'!$Z$68,'01_Input'!$AC$68,0),IF('01_Input'!$AB$68="Palier",IF(AND(DE$20&gt;='01_Input'!$Z$68,DE$20&lt;'01_Input'!$AA$68),'01_Input'!$AC$68,0),MAX(MIN(DE$20,'01_Input'!$AA$68)-'01_Input'!$Z$68,0)*'01_Input'!$AC$68)))))))))</f>
        <v>0</v>
      </c>
      <c r="DF36" s="83">
        <f>IF('01_Input'!$C$68="Non",0,MIN('01_Input'!$I$68,MAX('01_Input'!$H$68,IF('01_Input'!$G$68="Résiduel vs Gestion",0,IF('01_Input'!$G$68="Taux Classe sélectionnée",Distrib_Global_Classe_Selectionnee*DF$20,IF('01_Input'!$G$68="Frais KYC (paliers de 100M€)",MAX(0,Nb_Investisseurs-Nb_KYC_Gratuites_Par_Tranche*(FLOOR(DF$20/Taille_Tranche_KYC,1)+1))*Cout_Par_KYC_Supplementaire,(IF('01_Input'!$L$68="Forfait",IF(DF$20&gt;='01_Input'!$J$68,'01_Input'!$M$68,0),IF('01_Input'!$L$68="Palier",IF(AND(DF$20&gt;='01_Input'!$J$68,DF$20&lt;'01_Input'!$K$68),'01_Input'!$M$68,0),MAX(MIN(DF$20,'01_Input'!$K$68)-'01_Input'!$J$68,0)*'01_Input'!$M$68))+IF('01_Input'!$P$68="Forfait",IF(DF$20&gt;='01_Input'!$N$68,'01_Input'!$Q$68,0),IF('01_Input'!$P$68="Palier",IF(AND(DF$20&gt;='01_Input'!$N$68,DF$20&lt;'01_Input'!$O$68),'01_Input'!$Q$68,0),MAX(MIN(DF$20,'01_Input'!$O$68)-'01_Input'!$N$68,0)*'01_Input'!$Q$68))+IF('01_Input'!$T$68="Forfait",IF(DF$20&gt;='01_Input'!$R$68,'01_Input'!$U$68,0),IF('01_Input'!$T$68="Palier",IF(AND(DF$20&gt;='01_Input'!$R$68,DF$20&lt;'01_Input'!$S$68),'01_Input'!$U$68,0),MAX(MIN(DF$20,'01_Input'!$S$68)-'01_Input'!$R$68,0)*'01_Input'!$U$68))+IF('01_Input'!$X$68="Forfait",IF(DF$20&gt;='01_Input'!$V$68,'01_Input'!$Y$68,0),IF('01_Input'!$X$68="Palier",IF(AND(DF$20&gt;='01_Input'!$V$68,DF$20&lt;'01_Input'!$W$68),'01_Input'!$Y$68,0),MAX(MIN(DF$20,'01_Input'!$W$68)-'01_Input'!$V$68,0)*'01_Input'!$Y$68))+IF('01_Input'!$AB$68="Forfait",IF(DF$20&gt;='01_Input'!$Z$68,'01_Input'!$AC$68,0),IF('01_Input'!$AB$68="Palier",IF(AND(DF$20&gt;='01_Input'!$Z$68,DF$20&lt;'01_Input'!$AA$68),'01_Input'!$AC$68,0),MAX(MIN(DF$20,'01_Input'!$AA$68)-'01_Input'!$Z$68,0)*'01_Input'!$AC$68)))))))))</f>
        <v>0</v>
      </c>
      <c r="DG36" s="83">
        <f>IF('01_Input'!$C$68="Non",0,MIN('01_Input'!$I$68,MAX('01_Input'!$H$68,IF('01_Input'!$G$68="Résiduel vs Gestion",0,IF('01_Input'!$G$68="Taux Classe sélectionnée",Distrib_Global_Classe_Selectionnee*DG$20,IF('01_Input'!$G$68="Frais KYC (paliers de 100M€)",MAX(0,Nb_Investisseurs-Nb_KYC_Gratuites_Par_Tranche*(FLOOR(DG$20/Taille_Tranche_KYC,1)+1))*Cout_Par_KYC_Supplementaire,(IF('01_Input'!$L$68="Forfait",IF(DG$20&gt;='01_Input'!$J$68,'01_Input'!$M$68,0),IF('01_Input'!$L$68="Palier",IF(AND(DG$20&gt;='01_Input'!$J$68,DG$20&lt;'01_Input'!$K$68),'01_Input'!$M$68,0),MAX(MIN(DG$20,'01_Input'!$K$68)-'01_Input'!$J$68,0)*'01_Input'!$M$68))+IF('01_Input'!$P$68="Forfait",IF(DG$20&gt;='01_Input'!$N$68,'01_Input'!$Q$68,0),IF('01_Input'!$P$68="Palier",IF(AND(DG$20&gt;='01_Input'!$N$68,DG$20&lt;'01_Input'!$O$68),'01_Input'!$Q$68,0),MAX(MIN(DG$20,'01_Input'!$O$68)-'01_Input'!$N$68,0)*'01_Input'!$Q$68))+IF('01_Input'!$T$68="Forfait",IF(DG$20&gt;='01_Input'!$R$68,'01_Input'!$U$68,0),IF('01_Input'!$T$68="Palier",IF(AND(DG$20&gt;='01_Input'!$R$68,DG$20&lt;'01_Input'!$S$68),'01_Input'!$U$68,0),MAX(MIN(DG$20,'01_Input'!$S$68)-'01_Input'!$R$68,0)*'01_Input'!$U$68))+IF('01_Input'!$X$68="Forfait",IF(DG$20&gt;='01_Input'!$V$68,'01_Input'!$Y$68,0),IF('01_Input'!$X$68="Palier",IF(AND(DG$20&gt;='01_Input'!$V$68,DG$20&lt;'01_Input'!$W$68),'01_Input'!$Y$68,0),MAX(MIN(DG$20,'01_Input'!$W$68)-'01_Input'!$V$68,0)*'01_Input'!$Y$68))+IF('01_Input'!$AB$68="Forfait",IF(DG$20&gt;='01_Input'!$Z$68,'01_Input'!$AC$68,0),IF('01_Input'!$AB$68="Palier",IF(AND(DG$20&gt;='01_Input'!$Z$68,DG$20&lt;'01_Input'!$AA$68),'01_Input'!$AC$68,0),MAX(MIN(DG$20,'01_Input'!$AA$68)-'01_Input'!$Z$68,0)*'01_Input'!$AC$68)))))))))</f>
        <v>0</v>
      </c>
      <c r="DH36" s="83">
        <f>IF('01_Input'!$C$68="Non",0,MIN('01_Input'!$I$68,MAX('01_Input'!$H$68,IF('01_Input'!$G$68="Résiduel vs Gestion",0,IF('01_Input'!$G$68="Taux Classe sélectionnée",Distrib_Global_Classe_Selectionnee*DH$20,IF('01_Input'!$G$68="Frais KYC (paliers de 100M€)",MAX(0,Nb_Investisseurs-Nb_KYC_Gratuites_Par_Tranche*(FLOOR(DH$20/Taille_Tranche_KYC,1)+1))*Cout_Par_KYC_Supplementaire,(IF('01_Input'!$L$68="Forfait",IF(DH$20&gt;='01_Input'!$J$68,'01_Input'!$M$68,0),IF('01_Input'!$L$68="Palier",IF(AND(DH$20&gt;='01_Input'!$J$68,DH$20&lt;'01_Input'!$K$68),'01_Input'!$M$68,0),MAX(MIN(DH$20,'01_Input'!$K$68)-'01_Input'!$J$68,0)*'01_Input'!$M$68))+IF('01_Input'!$P$68="Forfait",IF(DH$20&gt;='01_Input'!$N$68,'01_Input'!$Q$68,0),IF('01_Input'!$P$68="Palier",IF(AND(DH$20&gt;='01_Input'!$N$68,DH$20&lt;'01_Input'!$O$68),'01_Input'!$Q$68,0),MAX(MIN(DH$20,'01_Input'!$O$68)-'01_Input'!$N$68,0)*'01_Input'!$Q$68))+IF('01_Input'!$T$68="Forfait",IF(DH$20&gt;='01_Input'!$R$68,'01_Input'!$U$68,0),IF('01_Input'!$T$68="Palier",IF(AND(DH$20&gt;='01_Input'!$R$68,DH$20&lt;'01_Input'!$S$68),'01_Input'!$U$68,0),MAX(MIN(DH$20,'01_Input'!$S$68)-'01_Input'!$R$68,0)*'01_Input'!$U$68))+IF('01_Input'!$X$68="Forfait",IF(DH$20&gt;='01_Input'!$V$68,'01_Input'!$Y$68,0),IF('01_Input'!$X$68="Palier",IF(AND(DH$20&gt;='01_Input'!$V$68,DH$20&lt;'01_Input'!$W$68),'01_Input'!$Y$68,0),MAX(MIN(DH$20,'01_Input'!$W$68)-'01_Input'!$V$68,0)*'01_Input'!$Y$68))+IF('01_Input'!$AB$68="Forfait",IF(DH$20&gt;='01_Input'!$Z$68,'01_Input'!$AC$68,0),IF('01_Input'!$AB$68="Palier",IF(AND(DH$20&gt;='01_Input'!$Z$68,DH$20&lt;'01_Input'!$AA$68),'01_Input'!$AC$68,0),MAX(MIN(DH$20,'01_Input'!$AA$68)-'01_Input'!$Z$68,0)*'01_Input'!$AC$68)))))))))</f>
        <v>0</v>
      </c>
      <c r="DI36" s="83">
        <f>IF('01_Input'!$C$68="Non",0,MIN('01_Input'!$I$68,MAX('01_Input'!$H$68,IF('01_Input'!$G$68="Résiduel vs Gestion",0,IF('01_Input'!$G$68="Taux Classe sélectionnée",Distrib_Global_Classe_Selectionnee*DI$20,IF('01_Input'!$G$68="Frais KYC (paliers de 100M€)",MAX(0,Nb_Investisseurs-Nb_KYC_Gratuites_Par_Tranche*(FLOOR(DI$20/Taille_Tranche_KYC,1)+1))*Cout_Par_KYC_Supplementaire,(IF('01_Input'!$L$68="Forfait",IF(DI$20&gt;='01_Input'!$J$68,'01_Input'!$M$68,0),IF('01_Input'!$L$68="Palier",IF(AND(DI$20&gt;='01_Input'!$J$68,DI$20&lt;'01_Input'!$K$68),'01_Input'!$M$68,0),MAX(MIN(DI$20,'01_Input'!$K$68)-'01_Input'!$J$68,0)*'01_Input'!$M$68))+IF('01_Input'!$P$68="Forfait",IF(DI$20&gt;='01_Input'!$N$68,'01_Input'!$Q$68,0),IF('01_Input'!$P$68="Palier",IF(AND(DI$20&gt;='01_Input'!$N$68,DI$20&lt;'01_Input'!$O$68),'01_Input'!$Q$68,0),MAX(MIN(DI$20,'01_Input'!$O$68)-'01_Input'!$N$68,0)*'01_Input'!$Q$68))+IF('01_Input'!$T$68="Forfait",IF(DI$20&gt;='01_Input'!$R$68,'01_Input'!$U$68,0),IF('01_Input'!$T$68="Palier",IF(AND(DI$20&gt;='01_Input'!$R$68,DI$20&lt;'01_Input'!$S$68),'01_Input'!$U$68,0),MAX(MIN(DI$20,'01_Input'!$S$68)-'01_Input'!$R$68,0)*'01_Input'!$U$68))+IF('01_Input'!$X$68="Forfait",IF(DI$20&gt;='01_Input'!$V$68,'01_Input'!$Y$68,0),IF('01_Input'!$X$68="Palier",IF(AND(DI$20&gt;='01_Input'!$V$68,DI$20&lt;'01_Input'!$W$68),'01_Input'!$Y$68,0),MAX(MIN(DI$20,'01_Input'!$W$68)-'01_Input'!$V$68,0)*'01_Input'!$Y$68))+IF('01_Input'!$AB$68="Forfait",IF(DI$20&gt;='01_Input'!$Z$68,'01_Input'!$AC$68,0),IF('01_Input'!$AB$68="Palier",IF(AND(DI$20&gt;='01_Input'!$Z$68,DI$20&lt;'01_Input'!$AA$68),'01_Input'!$AC$68,0),MAX(MIN(DI$20,'01_Input'!$AA$68)-'01_Input'!$Z$68,0)*'01_Input'!$AC$68)))))))))</f>
        <v>0</v>
      </c>
      <c r="DJ36" s="83">
        <f>IF('01_Input'!$C$68="Non",0,MIN('01_Input'!$I$68,MAX('01_Input'!$H$68,IF('01_Input'!$G$68="Résiduel vs Gestion",0,IF('01_Input'!$G$68="Taux Classe sélectionnée",Distrib_Global_Classe_Selectionnee*DJ$20,IF('01_Input'!$G$68="Frais KYC (paliers de 100M€)",MAX(0,Nb_Investisseurs-Nb_KYC_Gratuites_Par_Tranche*(FLOOR(DJ$20/Taille_Tranche_KYC,1)+1))*Cout_Par_KYC_Supplementaire,(IF('01_Input'!$L$68="Forfait",IF(DJ$20&gt;='01_Input'!$J$68,'01_Input'!$M$68,0),IF('01_Input'!$L$68="Palier",IF(AND(DJ$20&gt;='01_Input'!$J$68,DJ$20&lt;'01_Input'!$K$68),'01_Input'!$M$68,0),MAX(MIN(DJ$20,'01_Input'!$K$68)-'01_Input'!$J$68,0)*'01_Input'!$M$68))+IF('01_Input'!$P$68="Forfait",IF(DJ$20&gt;='01_Input'!$N$68,'01_Input'!$Q$68,0),IF('01_Input'!$P$68="Palier",IF(AND(DJ$20&gt;='01_Input'!$N$68,DJ$20&lt;'01_Input'!$O$68),'01_Input'!$Q$68,0),MAX(MIN(DJ$20,'01_Input'!$O$68)-'01_Input'!$N$68,0)*'01_Input'!$Q$68))+IF('01_Input'!$T$68="Forfait",IF(DJ$20&gt;='01_Input'!$R$68,'01_Input'!$U$68,0),IF('01_Input'!$T$68="Palier",IF(AND(DJ$20&gt;='01_Input'!$R$68,DJ$20&lt;'01_Input'!$S$68),'01_Input'!$U$68,0),MAX(MIN(DJ$20,'01_Input'!$S$68)-'01_Input'!$R$68,0)*'01_Input'!$U$68))+IF('01_Input'!$X$68="Forfait",IF(DJ$20&gt;='01_Input'!$V$68,'01_Input'!$Y$68,0),IF('01_Input'!$X$68="Palier",IF(AND(DJ$20&gt;='01_Input'!$V$68,DJ$20&lt;'01_Input'!$W$68),'01_Input'!$Y$68,0),MAX(MIN(DJ$20,'01_Input'!$W$68)-'01_Input'!$V$68,0)*'01_Input'!$Y$68))+IF('01_Input'!$AB$68="Forfait",IF(DJ$20&gt;='01_Input'!$Z$68,'01_Input'!$AC$68,0),IF('01_Input'!$AB$68="Palier",IF(AND(DJ$20&gt;='01_Input'!$Z$68,DJ$20&lt;'01_Input'!$AA$68),'01_Input'!$AC$68,0),MAX(MIN(DJ$20,'01_Input'!$AA$68)-'01_Input'!$Z$68,0)*'01_Input'!$AC$68)))))))))</f>
        <v>0</v>
      </c>
      <c r="DK36" s="83">
        <f>IF('01_Input'!$C$68="Non",0,MIN('01_Input'!$I$68,MAX('01_Input'!$H$68,IF('01_Input'!$G$68="Résiduel vs Gestion",0,IF('01_Input'!$G$68="Taux Classe sélectionnée",Distrib_Global_Classe_Selectionnee*DK$20,IF('01_Input'!$G$68="Frais KYC (paliers de 100M€)",MAX(0,Nb_Investisseurs-Nb_KYC_Gratuites_Par_Tranche*(FLOOR(DK$20/Taille_Tranche_KYC,1)+1))*Cout_Par_KYC_Supplementaire,(IF('01_Input'!$L$68="Forfait",IF(DK$20&gt;='01_Input'!$J$68,'01_Input'!$M$68,0),IF('01_Input'!$L$68="Palier",IF(AND(DK$20&gt;='01_Input'!$J$68,DK$20&lt;'01_Input'!$K$68),'01_Input'!$M$68,0),MAX(MIN(DK$20,'01_Input'!$K$68)-'01_Input'!$J$68,0)*'01_Input'!$M$68))+IF('01_Input'!$P$68="Forfait",IF(DK$20&gt;='01_Input'!$N$68,'01_Input'!$Q$68,0),IF('01_Input'!$P$68="Palier",IF(AND(DK$20&gt;='01_Input'!$N$68,DK$20&lt;'01_Input'!$O$68),'01_Input'!$Q$68,0),MAX(MIN(DK$20,'01_Input'!$O$68)-'01_Input'!$N$68,0)*'01_Input'!$Q$68))+IF('01_Input'!$T$68="Forfait",IF(DK$20&gt;='01_Input'!$R$68,'01_Input'!$U$68,0),IF('01_Input'!$T$68="Palier",IF(AND(DK$20&gt;='01_Input'!$R$68,DK$20&lt;'01_Input'!$S$68),'01_Input'!$U$68,0),MAX(MIN(DK$20,'01_Input'!$S$68)-'01_Input'!$R$68,0)*'01_Input'!$U$68))+IF('01_Input'!$X$68="Forfait",IF(DK$20&gt;='01_Input'!$V$68,'01_Input'!$Y$68,0),IF('01_Input'!$X$68="Palier",IF(AND(DK$20&gt;='01_Input'!$V$68,DK$20&lt;'01_Input'!$W$68),'01_Input'!$Y$68,0),MAX(MIN(DK$20,'01_Input'!$W$68)-'01_Input'!$V$68,0)*'01_Input'!$Y$68))+IF('01_Input'!$AB$68="Forfait",IF(DK$20&gt;='01_Input'!$Z$68,'01_Input'!$AC$68,0),IF('01_Input'!$AB$68="Palier",IF(AND(DK$20&gt;='01_Input'!$Z$68,DK$20&lt;'01_Input'!$AA$68),'01_Input'!$AC$68,0),MAX(MIN(DK$20,'01_Input'!$AA$68)-'01_Input'!$Z$68,0)*'01_Input'!$AC$68)))))))))</f>
        <v>0</v>
      </c>
      <c r="DL36" s="83">
        <f>IF('01_Input'!$C$68="Non",0,MIN('01_Input'!$I$68,MAX('01_Input'!$H$68,IF('01_Input'!$G$68="Résiduel vs Gestion",0,IF('01_Input'!$G$68="Taux Classe sélectionnée",Distrib_Global_Classe_Selectionnee*DL$20,IF('01_Input'!$G$68="Frais KYC (paliers de 100M€)",MAX(0,Nb_Investisseurs-Nb_KYC_Gratuites_Par_Tranche*(FLOOR(DL$20/Taille_Tranche_KYC,1)+1))*Cout_Par_KYC_Supplementaire,(IF('01_Input'!$L$68="Forfait",IF(DL$20&gt;='01_Input'!$J$68,'01_Input'!$M$68,0),IF('01_Input'!$L$68="Palier",IF(AND(DL$20&gt;='01_Input'!$J$68,DL$20&lt;'01_Input'!$K$68),'01_Input'!$M$68,0),MAX(MIN(DL$20,'01_Input'!$K$68)-'01_Input'!$J$68,0)*'01_Input'!$M$68))+IF('01_Input'!$P$68="Forfait",IF(DL$20&gt;='01_Input'!$N$68,'01_Input'!$Q$68,0),IF('01_Input'!$P$68="Palier",IF(AND(DL$20&gt;='01_Input'!$N$68,DL$20&lt;'01_Input'!$O$68),'01_Input'!$Q$68,0),MAX(MIN(DL$20,'01_Input'!$O$68)-'01_Input'!$N$68,0)*'01_Input'!$Q$68))+IF('01_Input'!$T$68="Forfait",IF(DL$20&gt;='01_Input'!$R$68,'01_Input'!$U$68,0),IF('01_Input'!$T$68="Palier",IF(AND(DL$20&gt;='01_Input'!$R$68,DL$20&lt;'01_Input'!$S$68),'01_Input'!$U$68,0),MAX(MIN(DL$20,'01_Input'!$S$68)-'01_Input'!$R$68,0)*'01_Input'!$U$68))+IF('01_Input'!$X$68="Forfait",IF(DL$20&gt;='01_Input'!$V$68,'01_Input'!$Y$68,0),IF('01_Input'!$X$68="Palier",IF(AND(DL$20&gt;='01_Input'!$V$68,DL$20&lt;'01_Input'!$W$68),'01_Input'!$Y$68,0),MAX(MIN(DL$20,'01_Input'!$W$68)-'01_Input'!$V$68,0)*'01_Input'!$Y$68))+IF('01_Input'!$AB$68="Forfait",IF(DL$20&gt;='01_Input'!$Z$68,'01_Input'!$AC$68,0),IF('01_Input'!$AB$68="Palier",IF(AND(DL$20&gt;='01_Input'!$Z$68,DL$20&lt;'01_Input'!$AA$68),'01_Input'!$AC$68,0),MAX(MIN(DL$20,'01_Input'!$AA$68)-'01_Input'!$Z$68,0)*'01_Input'!$AC$68)))))))))</f>
        <v>0</v>
      </c>
      <c r="DM36" s="83">
        <f>IF('01_Input'!$C$68="Non",0,MIN('01_Input'!$I$68,MAX('01_Input'!$H$68,IF('01_Input'!$G$68="Résiduel vs Gestion",0,IF('01_Input'!$G$68="Taux Classe sélectionnée",Distrib_Global_Classe_Selectionnee*DM$20,IF('01_Input'!$G$68="Frais KYC (paliers de 100M€)",MAX(0,Nb_Investisseurs-Nb_KYC_Gratuites_Par_Tranche*(FLOOR(DM$20/Taille_Tranche_KYC,1)+1))*Cout_Par_KYC_Supplementaire,(IF('01_Input'!$L$68="Forfait",IF(DM$20&gt;='01_Input'!$J$68,'01_Input'!$M$68,0),IF('01_Input'!$L$68="Palier",IF(AND(DM$20&gt;='01_Input'!$J$68,DM$20&lt;'01_Input'!$K$68),'01_Input'!$M$68,0),MAX(MIN(DM$20,'01_Input'!$K$68)-'01_Input'!$J$68,0)*'01_Input'!$M$68))+IF('01_Input'!$P$68="Forfait",IF(DM$20&gt;='01_Input'!$N$68,'01_Input'!$Q$68,0),IF('01_Input'!$P$68="Palier",IF(AND(DM$20&gt;='01_Input'!$N$68,DM$20&lt;'01_Input'!$O$68),'01_Input'!$Q$68,0),MAX(MIN(DM$20,'01_Input'!$O$68)-'01_Input'!$N$68,0)*'01_Input'!$Q$68))+IF('01_Input'!$T$68="Forfait",IF(DM$20&gt;='01_Input'!$R$68,'01_Input'!$U$68,0),IF('01_Input'!$T$68="Palier",IF(AND(DM$20&gt;='01_Input'!$R$68,DM$20&lt;'01_Input'!$S$68),'01_Input'!$U$68,0),MAX(MIN(DM$20,'01_Input'!$S$68)-'01_Input'!$R$68,0)*'01_Input'!$U$68))+IF('01_Input'!$X$68="Forfait",IF(DM$20&gt;='01_Input'!$V$68,'01_Input'!$Y$68,0),IF('01_Input'!$X$68="Palier",IF(AND(DM$20&gt;='01_Input'!$V$68,DM$20&lt;'01_Input'!$W$68),'01_Input'!$Y$68,0),MAX(MIN(DM$20,'01_Input'!$W$68)-'01_Input'!$V$68,0)*'01_Input'!$Y$68))+IF('01_Input'!$AB$68="Forfait",IF(DM$20&gt;='01_Input'!$Z$68,'01_Input'!$AC$68,0),IF('01_Input'!$AB$68="Palier",IF(AND(DM$20&gt;='01_Input'!$Z$68,DM$20&lt;'01_Input'!$AA$68),'01_Input'!$AC$68,0),MAX(MIN(DM$20,'01_Input'!$AA$68)-'01_Input'!$Z$68,0)*'01_Input'!$AC$68)))))))))</f>
        <v>0</v>
      </c>
      <c r="DN36" s="83">
        <f>IF('01_Input'!$C$68="Non",0,MIN('01_Input'!$I$68,MAX('01_Input'!$H$68,IF('01_Input'!$G$68="Résiduel vs Gestion",0,IF('01_Input'!$G$68="Taux Classe sélectionnée",Distrib_Global_Classe_Selectionnee*DN$20,IF('01_Input'!$G$68="Frais KYC (paliers de 100M€)",MAX(0,Nb_Investisseurs-Nb_KYC_Gratuites_Par_Tranche*(FLOOR(DN$20/Taille_Tranche_KYC,1)+1))*Cout_Par_KYC_Supplementaire,(IF('01_Input'!$L$68="Forfait",IF(DN$20&gt;='01_Input'!$J$68,'01_Input'!$M$68,0),IF('01_Input'!$L$68="Palier",IF(AND(DN$20&gt;='01_Input'!$J$68,DN$20&lt;'01_Input'!$K$68),'01_Input'!$M$68,0),MAX(MIN(DN$20,'01_Input'!$K$68)-'01_Input'!$J$68,0)*'01_Input'!$M$68))+IF('01_Input'!$P$68="Forfait",IF(DN$20&gt;='01_Input'!$N$68,'01_Input'!$Q$68,0),IF('01_Input'!$P$68="Palier",IF(AND(DN$20&gt;='01_Input'!$N$68,DN$20&lt;'01_Input'!$O$68),'01_Input'!$Q$68,0),MAX(MIN(DN$20,'01_Input'!$O$68)-'01_Input'!$N$68,0)*'01_Input'!$Q$68))+IF('01_Input'!$T$68="Forfait",IF(DN$20&gt;='01_Input'!$R$68,'01_Input'!$U$68,0),IF('01_Input'!$T$68="Palier",IF(AND(DN$20&gt;='01_Input'!$R$68,DN$20&lt;'01_Input'!$S$68),'01_Input'!$U$68,0),MAX(MIN(DN$20,'01_Input'!$S$68)-'01_Input'!$R$68,0)*'01_Input'!$U$68))+IF('01_Input'!$X$68="Forfait",IF(DN$20&gt;='01_Input'!$V$68,'01_Input'!$Y$68,0),IF('01_Input'!$X$68="Palier",IF(AND(DN$20&gt;='01_Input'!$V$68,DN$20&lt;'01_Input'!$W$68),'01_Input'!$Y$68,0),MAX(MIN(DN$20,'01_Input'!$W$68)-'01_Input'!$V$68,0)*'01_Input'!$Y$68))+IF('01_Input'!$AB$68="Forfait",IF(DN$20&gt;='01_Input'!$Z$68,'01_Input'!$AC$68,0),IF('01_Input'!$AB$68="Palier",IF(AND(DN$20&gt;='01_Input'!$Z$68,DN$20&lt;'01_Input'!$AA$68),'01_Input'!$AC$68,0),MAX(MIN(DN$20,'01_Input'!$AA$68)-'01_Input'!$Z$68,0)*'01_Input'!$AC$68)))))))))</f>
        <v>0</v>
      </c>
      <c r="DO36" s="83">
        <f>IF('01_Input'!$C$68="Non",0,MIN('01_Input'!$I$68,MAX('01_Input'!$H$68,IF('01_Input'!$G$68="Résiduel vs Gestion",0,IF('01_Input'!$G$68="Taux Classe sélectionnée",Distrib_Global_Classe_Selectionnee*DO$20,IF('01_Input'!$G$68="Frais KYC (paliers de 100M€)",MAX(0,Nb_Investisseurs-Nb_KYC_Gratuites_Par_Tranche*(FLOOR(DO$20/Taille_Tranche_KYC,1)+1))*Cout_Par_KYC_Supplementaire,(IF('01_Input'!$L$68="Forfait",IF(DO$20&gt;='01_Input'!$J$68,'01_Input'!$M$68,0),IF('01_Input'!$L$68="Palier",IF(AND(DO$20&gt;='01_Input'!$J$68,DO$20&lt;'01_Input'!$K$68),'01_Input'!$M$68,0),MAX(MIN(DO$20,'01_Input'!$K$68)-'01_Input'!$J$68,0)*'01_Input'!$M$68))+IF('01_Input'!$P$68="Forfait",IF(DO$20&gt;='01_Input'!$N$68,'01_Input'!$Q$68,0),IF('01_Input'!$P$68="Palier",IF(AND(DO$20&gt;='01_Input'!$N$68,DO$20&lt;'01_Input'!$O$68),'01_Input'!$Q$68,0),MAX(MIN(DO$20,'01_Input'!$O$68)-'01_Input'!$N$68,0)*'01_Input'!$Q$68))+IF('01_Input'!$T$68="Forfait",IF(DO$20&gt;='01_Input'!$R$68,'01_Input'!$U$68,0),IF('01_Input'!$T$68="Palier",IF(AND(DO$20&gt;='01_Input'!$R$68,DO$20&lt;'01_Input'!$S$68),'01_Input'!$U$68,0),MAX(MIN(DO$20,'01_Input'!$S$68)-'01_Input'!$R$68,0)*'01_Input'!$U$68))+IF('01_Input'!$X$68="Forfait",IF(DO$20&gt;='01_Input'!$V$68,'01_Input'!$Y$68,0),IF('01_Input'!$X$68="Palier",IF(AND(DO$20&gt;='01_Input'!$V$68,DO$20&lt;'01_Input'!$W$68),'01_Input'!$Y$68,0),MAX(MIN(DO$20,'01_Input'!$W$68)-'01_Input'!$V$68,0)*'01_Input'!$Y$68))+IF('01_Input'!$AB$68="Forfait",IF(DO$20&gt;='01_Input'!$Z$68,'01_Input'!$AC$68,0),IF('01_Input'!$AB$68="Palier",IF(AND(DO$20&gt;='01_Input'!$Z$68,DO$20&lt;'01_Input'!$AA$68),'01_Input'!$AC$68,0),MAX(MIN(DO$20,'01_Input'!$AA$68)-'01_Input'!$Z$68,0)*'01_Input'!$AC$68)))))))))</f>
        <v>0</v>
      </c>
      <c r="DP36" s="83">
        <f>IF('01_Input'!$C$68="Non",0,MIN('01_Input'!$I$68,MAX('01_Input'!$H$68,IF('01_Input'!$G$68="Résiduel vs Gestion",0,IF('01_Input'!$G$68="Taux Classe sélectionnée",Distrib_Global_Classe_Selectionnee*DP$20,IF('01_Input'!$G$68="Frais KYC (paliers de 100M€)",MAX(0,Nb_Investisseurs-Nb_KYC_Gratuites_Par_Tranche*(FLOOR(DP$20/Taille_Tranche_KYC,1)+1))*Cout_Par_KYC_Supplementaire,(IF('01_Input'!$L$68="Forfait",IF(DP$20&gt;='01_Input'!$J$68,'01_Input'!$M$68,0),IF('01_Input'!$L$68="Palier",IF(AND(DP$20&gt;='01_Input'!$J$68,DP$20&lt;'01_Input'!$K$68),'01_Input'!$M$68,0),MAX(MIN(DP$20,'01_Input'!$K$68)-'01_Input'!$J$68,0)*'01_Input'!$M$68))+IF('01_Input'!$P$68="Forfait",IF(DP$20&gt;='01_Input'!$N$68,'01_Input'!$Q$68,0),IF('01_Input'!$P$68="Palier",IF(AND(DP$20&gt;='01_Input'!$N$68,DP$20&lt;'01_Input'!$O$68),'01_Input'!$Q$68,0),MAX(MIN(DP$20,'01_Input'!$O$68)-'01_Input'!$N$68,0)*'01_Input'!$Q$68))+IF('01_Input'!$T$68="Forfait",IF(DP$20&gt;='01_Input'!$R$68,'01_Input'!$U$68,0),IF('01_Input'!$T$68="Palier",IF(AND(DP$20&gt;='01_Input'!$R$68,DP$20&lt;'01_Input'!$S$68),'01_Input'!$U$68,0),MAX(MIN(DP$20,'01_Input'!$S$68)-'01_Input'!$R$68,0)*'01_Input'!$U$68))+IF('01_Input'!$X$68="Forfait",IF(DP$20&gt;='01_Input'!$V$68,'01_Input'!$Y$68,0),IF('01_Input'!$X$68="Palier",IF(AND(DP$20&gt;='01_Input'!$V$68,DP$20&lt;'01_Input'!$W$68),'01_Input'!$Y$68,0),MAX(MIN(DP$20,'01_Input'!$W$68)-'01_Input'!$V$68,0)*'01_Input'!$Y$68))+IF('01_Input'!$AB$68="Forfait",IF(DP$20&gt;='01_Input'!$Z$68,'01_Input'!$AC$68,0),IF('01_Input'!$AB$68="Palier",IF(AND(DP$20&gt;='01_Input'!$Z$68,DP$20&lt;'01_Input'!$AA$68),'01_Input'!$AC$68,0),MAX(MIN(DP$20,'01_Input'!$AA$68)-'01_Input'!$Z$68,0)*'01_Input'!$AC$68)))))))))</f>
        <v>0</v>
      </c>
      <c r="DQ36" s="83">
        <f>IF('01_Input'!$C$68="Non",0,MIN('01_Input'!$I$68,MAX('01_Input'!$H$68,IF('01_Input'!$G$68="Résiduel vs Gestion",0,IF('01_Input'!$G$68="Taux Classe sélectionnée",Distrib_Global_Classe_Selectionnee*DQ$20,IF('01_Input'!$G$68="Frais KYC (paliers de 100M€)",MAX(0,Nb_Investisseurs-Nb_KYC_Gratuites_Par_Tranche*(FLOOR(DQ$20/Taille_Tranche_KYC,1)+1))*Cout_Par_KYC_Supplementaire,(IF('01_Input'!$L$68="Forfait",IF(DQ$20&gt;='01_Input'!$J$68,'01_Input'!$M$68,0),IF('01_Input'!$L$68="Palier",IF(AND(DQ$20&gt;='01_Input'!$J$68,DQ$20&lt;'01_Input'!$K$68),'01_Input'!$M$68,0),MAX(MIN(DQ$20,'01_Input'!$K$68)-'01_Input'!$J$68,0)*'01_Input'!$M$68))+IF('01_Input'!$P$68="Forfait",IF(DQ$20&gt;='01_Input'!$N$68,'01_Input'!$Q$68,0),IF('01_Input'!$P$68="Palier",IF(AND(DQ$20&gt;='01_Input'!$N$68,DQ$20&lt;'01_Input'!$O$68),'01_Input'!$Q$68,0),MAX(MIN(DQ$20,'01_Input'!$O$68)-'01_Input'!$N$68,0)*'01_Input'!$Q$68))+IF('01_Input'!$T$68="Forfait",IF(DQ$20&gt;='01_Input'!$R$68,'01_Input'!$U$68,0),IF('01_Input'!$T$68="Palier",IF(AND(DQ$20&gt;='01_Input'!$R$68,DQ$20&lt;'01_Input'!$S$68),'01_Input'!$U$68,0),MAX(MIN(DQ$20,'01_Input'!$S$68)-'01_Input'!$R$68,0)*'01_Input'!$U$68))+IF('01_Input'!$X$68="Forfait",IF(DQ$20&gt;='01_Input'!$V$68,'01_Input'!$Y$68,0),IF('01_Input'!$X$68="Palier",IF(AND(DQ$20&gt;='01_Input'!$V$68,DQ$20&lt;'01_Input'!$W$68),'01_Input'!$Y$68,0),MAX(MIN(DQ$20,'01_Input'!$W$68)-'01_Input'!$V$68,0)*'01_Input'!$Y$68))+IF('01_Input'!$AB$68="Forfait",IF(DQ$20&gt;='01_Input'!$Z$68,'01_Input'!$AC$68,0),IF('01_Input'!$AB$68="Palier",IF(AND(DQ$20&gt;='01_Input'!$Z$68,DQ$20&lt;'01_Input'!$AA$68),'01_Input'!$AC$68,0),MAX(MIN(DQ$20,'01_Input'!$AA$68)-'01_Input'!$Z$68,0)*'01_Input'!$AC$68)))))))))</f>
        <v>0</v>
      </c>
      <c r="DR36" s="83">
        <f>IF('01_Input'!$C$68="Non",0,MIN('01_Input'!$I$68,MAX('01_Input'!$H$68,IF('01_Input'!$G$68="Résiduel vs Gestion",0,IF('01_Input'!$G$68="Taux Classe sélectionnée",Distrib_Global_Classe_Selectionnee*DR$20,IF('01_Input'!$G$68="Frais KYC (paliers de 100M€)",MAX(0,Nb_Investisseurs-Nb_KYC_Gratuites_Par_Tranche*(FLOOR(DR$20/Taille_Tranche_KYC,1)+1))*Cout_Par_KYC_Supplementaire,(IF('01_Input'!$L$68="Forfait",IF(DR$20&gt;='01_Input'!$J$68,'01_Input'!$M$68,0),IF('01_Input'!$L$68="Palier",IF(AND(DR$20&gt;='01_Input'!$J$68,DR$20&lt;'01_Input'!$K$68),'01_Input'!$M$68,0),MAX(MIN(DR$20,'01_Input'!$K$68)-'01_Input'!$J$68,0)*'01_Input'!$M$68))+IF('01_Input'!$P$68="Forfait",IF(DR$20&gt;='01_Input'!$N$68,'01_Input'!$Q$68,0),IF('01_Input'!$P$68="Palier",IF(AND(DR$20&gt;='01_Input'!$N$68,DR$20&lt;'01_Input'!$O$68),'01_Input'!$Q$68,0),MAX(MIN(DR$20,'01_Input'!$O$68)-'01_Input'!$N$68,0)*'01_Input'!$Q$68))+IF('01_Input'!$T$68="Forfait",IF(DR$20&gt;='01_Input'!$R$68,'01_Input'!$U$68,0),IF('01_Input'!$T$68="Palier",IF(AND(DR$20&gt;='01_Input'!$R$68,DR$20&lt;'01_Input'!$S$68),'01_Input'!$U$68,0),MAX(MIN(DR$20,'01_Input'!$S$68)-'01_Input'!$R$68,0)*'01_Input'!$U$68))+IF('01_Input'!$X$68="Forfait",IF(DR$20&gt;='01_Input'!$V$68,'01_Input'!$Y$68,0),IF('01_Input'!$X$68="Palier",IF(AND(DR$20&gt;='01_Input'!$V$68,DR$20&lt;'01_Input'!$W$68),'01_Input'!$Y$68,0),MAX(MIN(DR$20,'01_Input'!$W$68)-'01_Input'!$V$68,0)*'01_Input'!$Y$68))+IF('01_Input'!$AB$68="Forfait",IF(DR$20&gt;='01_Input'!$Z$68,'01_Input'!$AC$68,0),IF('01_Input'!$AB$68="Palier",IF(AND(DR$20&gt;='01_Input'!$Z$68,DR$20&lt;'01_Input'!$AA$68),'01_Input'!$AC$68,0),MAX(MIN(DR$20,'01_Input'!$AA$68)-'01_Input'!$Z$68,0)*'01_Input'!$AC$68)))))))))</f>
        <v>0</v>
      </c>
      <c r="DS36" s="83">
        <f>IF('01_Input'!$C$68="Non",0,MIN('01_Input'!$I$68,MAX('01_Input'!$H$68,IF('01_Input'!$G$68="Résiduel vs Gestion",0,IF('01_Input'!$G$68="Taux Classe sélectionnée",Distrib_Global_Classe_Selectionnee*DS$20,IF('01_Input'!$G$68="Frais KYC (paliers de 100M€)",MAX(0,Nb_Investisseurs-Nb_KYC_Gratuites_Par_Tranche*(FLOOR(DS$20/Taille_Tranche_KYC,1)+1))*Cout_Par_KYC_Supplementaire,(IF('01_Input'!$L$68="Forfait",IF(DS$20&gt;='01_Input'!$J$68,'01_Input'!$M$68,0),IF('01_Input'!$L$68="Palier",IF(AND(DS$20&gt;='01_Input'!$J$68,DS$20&lt;'01_Input'!$K$68),'01_Input'!$M$68,0),MAX(MIN(DS$20,'01_Input'!$K$68)-'01_Input'!$J$68,0)*'01_Input'!$M$68))+IF('01_Input'!$P$68="Forfait",IF(DS$20&gt;='01_Input'!$N$68,'01_Input'!$Q$68,0),IF('01_Input'!$P$68="Palier",IF(AND(DS$20&gt;='01_Input'!$N$68,DS$20&lt;'01_Input'!$O$68),'01_Input'!$Q$68,0),MAX(MIN(DS$20,'01_Input'!$O$68)-'01_Input'!$N$68,0)*'01_Input'!$Q$68))+IF('01_Input'!$T$68="Forfait",IF(DS$20&gt;='01_Input'!$R$68,'01_Input'!$U$68,0),IF('01_Input'!$T$68="Palier",IF(AND(DS$20&gt;='01_Input'!$R$68,DS$20&lt;'01_Input'!$S$68),'01_Input'!$U$68,0),MAX(MIN(DS$20,'01_Input'!$S$68)-'01_Input'!$R$68,0)*'01_Input'!$U$68))+IF('01_Input'!$X$68="Forfait",IF(DS$20&gt;='01_Input'!$V$68,'01_Input'!$Y$68,0),IF('01_Input'!$X$68="Palier",IF(AND(DS$20&gt;='01_Input'!$V$68,DS$20&lt;'01_Input'!$W$68),'01_Input'!$Y$68,0),MAX(MIN(DS$20,'01_Input'!$W$68)-'01_Input'!$V$68,0)*'01_Input'!$Y$68))+IF('01_Input'!$AB$68="Forfait",IF(DS$20&gt;='01_Input'!$Z$68,'01_Input'!$AC$68,0),IF('01_Input'!$AB$68="Palier",IF(AND(DS$20&gt;='01_Input'!$Z$68,DS$20&lt;'01_Input'!$AA$68),'01_Input'!$AC$68,0),MAX(MIN(DS$20,'01_Input'!$AA$68)-'01_Input'!$Z$68,0)*'01_Input'!$AC$68)))))))))</f>
        <v>0</v>
      </c>
      <c r="DT36" s="83">
        <f>IF('01_Input'!$C$68="Non",0,MIN('01_Input'!$I$68,MAX('01_Input'!$H$68,IF('01_Input'!$G$68="Résiduel vs Gestion",0,IF('01_Input'!$G$68="Taux Classe sélectionnée",Distrib_Global_Classe_Selectionnee*DT$20,IF('01_Input'!$G$68="Frais KYC (paliers de 100M€)",MAX(0,Nb_Investisseurs-Nb_KYC_Gratuites_Par_Tranche*(FLOOR(DT$20/Taille_Tranche_KYC,1)+1))*Cout_Par_KYC_Supplementaire,(IF('01_Input'!$L$68="Forfait",IF(DT$20&gt;='01_Input'!$J$68,'01_Input'!$M$68,0),IF('01_Input'!$L$68="Palier",IF(AND(DT$20&gt;='01_Input'!$J$68,DT$20&lt;'01_Input'!$K$68),'01_Input'!$M$68,0),MAX(MIN(DT$20,'01_Input'!$K$68)-'01_Input'!$J$68,0)*'01_Input'!$M$68))+IF('01_Input'!$P$68="Forfait",IF(DT$20&gt;='01_Input'!$N$68,'01_Input'!$Q$68,0),IF('01_Input'!$P$68="Palier",IF(AND(DT$20&gt;='01_Input'!$N$68,DT$20&lt;'01_Input'!$O$68),'01_Input'!$Q$68,0),MAX(MIN(DT$20,'01_Input'!$O$68)-'01_Input'!$N$68,0)*'01_Input'!$Q$68))+IF('01_Input'!$T$68="Forfait",IF(DT$20&gt;='01_Input'!$R$68,'01_Input'!$U$68,0),IF('01_Input'!$T$68="Palier",IF(AND(DT$20&gt;='01_Input'!$R$68,DT$20&lt;'01_Input'!$S$68),'01_Input'!$U$68,0),MAX(MIN(DT$20,'01_Input'!$S$68)-'01_Input'!$R$68,0)*'01_Input'!$U$68))+IF('01_Input'!$X$68="Forfait",IF(DT$20&gt;='01_Input'!$V$68,'01_Input'!$Y$68,0),IF('01_Input'!$X$68="Palier",IF(AND(DT$20&gt;='01_Input'!$V$68,DT$20&lt;'01_Input'!$W$68),'01_Input'!$Y$68,0),MAX(MIN(DT$20,'01_Input'!$W$68)-'01_Input'!$V$68,0)*'01_Input'!$Y$68))+IF('01_Input'!$AB$68="Forfait",IF(DT$20&gt;='01_Input'!$Z$68,'01_Input'!$AC$68,0),IF('01_Input'!$AB$68="Palier",IF(AND(DT$20&gt;='01_Input'!$Z$68,DT$20&lt;'01_Input'!$AA$68),'01_Input'!$AC$68,0),MAX(MIN(DT$20,'01_Input'!$AA$68)-'01_Input'!$Z$68,0)*'01_Input'!$AC$68)))))))))</f>
        <v>0</v>
      </c>
      <c r="DU36" s="83">
        <f>IF('01_Input'!$C$68="Non",0,MIN('01_Input'!$I$68,MAX('01_Input'!$H$68,IF('01_Input'!$G$68="Résiduel vs Gestion",0,IF('01_Input'!$G$68="Taux Classe sélectionnée",Distrib_Global_Classe_Selectionnee*DU$20,IF('01_Input'!$G$68="Frais KYC (paliers de 100M€)",MAX(0,Nb_Investisseurs-Nb_KYC_Gratuites_Par_Tranche*(FLOOR(DU$20/Taille_Tranche_KYC,1)+1))*Cout_Par_KYC_Supplementaire,(IF('01_Input'!$L$68="Forfait",IF(DU$20&gt;='01_Input'!$J$68,'01_Input'!$M$68,0),IF('01_Input'!$L$68="Palier",IF(AND(DU$20&gt;='01_Input'!$J$68,DU$20&lt;'01_Input'!$K$68),'01_Input'!$M$68,0),MAX(MIN(DU$20,'01_Input'!$K$68)-'01_Input'!$J$68,0)*'01_Input'!$M$68))+IF('01_Input'!$P$68="Forfait",IF(DU$20&gt;='01_Input'!$N$68,'01_Input'!$Q$68,0),IF('01_Input'!$P$68="Palier",IF(AND(DU$20&gt;='01_Input'!$N$68,DU$20&lt;'01_Input'!$O$68),'01_Input'!$Q$68,0),MAX(MIN(DU$20,'01_Input'!$O$68)-'01_Input'!$N$68,0)*'01_Input'!$Q$68))+IF('01_Input'!$T$68="Forfait",IF(DU$20&gt;='01_Input'!$R$68,'01_Input'!$U$68,0),IF('01_Input'!$T$68="Palier",IF(AND(DU$20&gt;='01_Input'!$R$68,DU$20&lt;'01_Input'!$S$68),'01_Input'!$U$68,0),MAX(MIN(DU$20,'01_Input'!$S$68)-'01_Input'!$R$68,0)*'01_Input'!$U$68))+IF('01_Input'!$X$68="Forfait",IF(DU$20&gt;='01_Input'!$V$68,'01_Input'!$Y$68,0),IF('01_Input'!$X$68="Palier",IF(AND(DU$20&gt;='01_Input'!$V$68,DU$20&lt;'01_Input'!$W$68),'01_Input'!$Y$68,0),MAX(MIN(DU$20,'01_Input'!$W$68)-'01_Input'!$V$68,0)*'01_Input'!$Y$68))+IF('01_Input'!$AB$68="Forfait",IF(DU$20&gt;='01_Input'!$Z$68,'01_Input'!$AC$68,0),IF('01_Input'!$AB$68="Palier",IF(AND(DU$20&gt;='01_Input'!$Z$68,DU$20&lt;'01_Input'!$AA$68),'01_Input'!$AC$68,0),MAX(MIN(DU$20,'01_Input'!$AA$68)-'01_Input'!$Z$68,0)*'01_Input'!$AC$68)))))))))</f>
        <v>0</v>
      </c>
      <c r="DV36" s="83">
        <f>IF('01_Input'!$C$68="Non",0,MIN('01_Input'!$I$68,MAX('01_Input'!$H$68,IF('01_Input'!$G$68="Résiduel vs Gestion",0,IF('01_Input'!$G$68="Taux Classe sélectionnée",Distrib_Global_Classe_Selectionnee*DV$20,IF('01_Input'!$G$68="Frais KYC (paliers de 100M€)",MAX(0,Nb_Investisseurs-Nb_KYC_Gratuites_Par_Tranche*(FLOOR(DV$20/Taille_Tranche_KYC,1)+1))*Cout_Par_KYC_Supplementaire,(IF('01_Input'!$L$68="Forfait",IF(DV$20&gt;='01_Input'!$J$68,'01_Input'!$M$68,0),IF('01_Input'!$L$68="Palier",IF(AND(DV$20&gt;='01_Input'!$J$68,DV$20&lt;'01_Input'!$K$68),'01_Input'!$M$68,0),MAX(MIN(DV$20,'01_Input'!$K$68)-'01_Input'!$J$68,0)*'01_Input'!$M$68))+IF('01_Input'!$P$68="Forfait",IF(DV$20&gt;='01_Input'!$N$68,'01_Input'!$Q$68,0),IF('01_Input'!$P$68="Palier",IF(AND(DV$20&gt;='01_Input'!$N$68,DV$20&lt;'01_Input'!$O$68),'01_Input'!$Q$68,0),MAX(MIN(DV$20,'01_Input'!$O$68)-'01_Input'!$N$68,0)*'01_Input'!$Q$68))+IF('01_Input'!$T$68="Forfait",IF(DV$20&gt;='01_Input'!$R$68,'01_Input'!$U$68,0),IF('01_Input'!$T$68="Palier",IF(AND(DV$20&gt;='01_Input'!$R$68,DV$20&lt;'01_Input'!$S$68),'01_Input'!$U$68,0),MAX(MIN(DV$20,'01_Input'!$S$68)-'01_Input'!$R$68,0)*'01_Input'!$U$68))+IF('01_Input'!$X$68="Forfait",IF(DV$20&gt;='01_Input'!$V$68,'01_Input'!$Y$68,0),IF('01_Input'!$X$68="Palier",IF(AND(DV$20&gt;='01_Input'!$V$68,DV$20&lt;'01_Input'!$W$68),'01_Input'!$Y$68,0),MAX(MIN(DV$20,'01_Input'!$W$68)-'01_Input'!$V$68,0)*'01_Input'!$Y$68))+IF('01_Input'!$AB$68="Forfait",IF(DV$20&gt;='01_Input'!$Z$68,'01_Input'!$AC$68,0),IF('01_Input'!$AB$68="Palier",IF(AND(DV$20&gt;='01_Input'!$Z$68,DV$20&lt;'01_Input'!$AA$68),'01_Input'!$AC$68,0),MAX(MIN(DV$20,'01_Input'!$AA$68)-'01_Input'!$Z$68,0)*'01_Input'!$AC$68)))))))))</f>
        <v>0</v>
      </c>
      <c r="DW36" s="83">
        <f>IF('01_Input'!$C$68="Non",0,MIN('01_Input'!$I$68,MAX('01_Input'!$H$68,IF('01_Input'!$G$68="Résiduel vs Gestion",0,IF('01_Input'!$G$68="Taux Classe sélectionnée",Distrib_Global_Classe_Selectionnee*DW$20,IF('01_Input'!$G$68="Frais KYC (paliers de 100M€)",MAX(0,Nb_Investisseurs-Nb_KYC_Gratuites_Par_Tranche*(FLOOR(DW$20/Taille_Tranche_KYC,1)+1))*Cout_Par_KYC_Supplementaire,(IF('01_Input'!$L$68="Forfait",IF(DW$20&gt;='01_Input'!$J$68,'01_Input'!$M$68,0),IF('01_Input'!$L$68="Palier",IF(AND(DW$20&gt;='01_Input'!$J$68,DW$20&lt;'01_Input'!$K$68),'01_Input'!$M$68,0),MAX(MIN(DW$20,'01_Input'!$K$68)-'01_Input'!$J$68,0)*'01_Input'!$M$68))+IF('01_Input'!$P$68="Forfait",IF(DW$20&gt;='01_Input'!$N$68,'01_Input'!$Q$68,0),IF('01_Input'!$P$68="Palier",IF(AND(DW$20&gt;='01_Input'!$N$68,DW$20&lt;'01_Input'!$O$68),'01_Input'!$Q$68,0),MAX(MIN(DW$20,'01_Input'!$O$68)-'01_Input'!$N$68,0)*'01_Input'!$Q$68))+IF('01_Input'!$T$68="Forfait",IF(DW$20&gt;='01_Input'!$R$68,'01_Input'!$U$68,0),IF('01_Input'!$T$68="Palier",IF(AND(DW$20&gt;='01_Input'!$R$68,DW$20&lt;'01_Input'!$S$68),'01_Input'!$U$68,0),MAX(MIN(DW$20,'01_Input'!$S$68)-'01_Input'!$R$68,0)*'01_Input'!$U$68))+IF('01_Input'!$X$68="Forfait",IF(DW$20&gt;='01_Input'!$V$68,'01_Input'!$Y$68,0),IF('01_Input'!$X$68="Palier",IF(AND(DW$20&gt;='01_Input'!$V$68,DW$20&lt;'01_Input'!$W$68),'01_Input'!$Y$68,0),MAX(MIN(DW$20,'01_Input'!$W$68)-'01_Input'!$V$68,0)*'01_Input'!$Y$68))+IF('01_Input'!$AB$68="Forfait",IF(DW$20&gt;='01_Input'!$Z$68,'01_Input'!$AC$68,0),IF('01_Input'!$AB$68="Palier",IF(AND(DW$20&gt;='01_Input'!$Z$68,DW$20&lt;'01_Input'!$AA$68),'01_Input'!$AC$68,0),MAX(MIN(DW$20,'01_Input'!$AA$68)-'01_Input'!$Z$68,0)*'01_Input'!$AC$68)))))))))</f>
        <v>0</v>
      </c>
      <c r="DX36" s="83">
        <f>IF('01_Input'!$C$68="Non",0,MIN('01_Input'!$I$68,MAX('01_Input'!$H$68,IF('01_Input'!$G$68="Résiduel vs Gestion",0,IF('01_Input'!$G$68="Taux Classe sélectionnée",Distrib_Global_Classe_Selectionnee*DX$20,IF('01_Input'!$G$68="Frais KYC (paliers de 100M€)",MAX(0,Nb_Investisseurs-Nb_KYC_Gratuites_Par_Tranche*(FLOOR(DX$20/Taille_Tranche_KYC,1)+1))*Cout_Par_KYC_Supplementaire,(IF('01_Input'!$L$68="Forfait",IF(DX$20&gt;='01_Input'!$J$68,'01_Input'!$M$68,0),IF('01_Input'!$L$68="Palier",IF(AND(DX$20&gt;='01_Input'!$J$68,DX$20&lt;'01_Input'!$K$68),'01_Input'!$M$68,0),MAX(MIN(DX$20,'01_Input'!$K$68)-'01_Input'!$J$68,0)*'01_Input'!$M$68))+IF('01_Input'!$P$68="Forfait",IF(DX$20&gt;='01_Input'!$N$68,'01_Input'!$Q$68,0),IF('01_Input'!$P$68="Palier",IF(AND(DX$20&gt;='01_Input'!$N$68,DX$20&lt;'01_Input'!$O$68),'01_Input'!$Q$68,0),MAX(MIN(DX$20,'01_Input'!$O$68)-'01_Input'!$N$68,0)*'01_Input'!$Q$68))+IF('01_Input'!$T$68="Forfait",IF(DX$20&gt;='01_Input'!$R$68,'01_Input'!$U$68,0),IF('01_Input'!$T$68="Palier",IF(AND(DX$20&gt;='01_Input'!$R$68,DX$20&lt;'01_Input'!$S$68),'01_Input'!$U$68,0),MAX(MIN(DX$20,'01_Input'!$S$68)-'01_Input'!$R$68,0)*'01_Input'!$U$68))+IF('01_Input'!$X$68="Forfait",IF(DX$20&gt;='01_Input'!$V$68,'01_Input'!$Y$68,0),IF('01_Input'!$X$68="Palier",IF(AND(DX$20&gt;='01_Input'!$V$68,DX$20&lt;'01_Input'!$W$68),'01_Input'!$Y$68,0),MAX(MIN(DX$20,'01_Input'!$W$68)-'01_Input'!$V$68,0)*'01_Input'!$Y$68))+IF('01_Input'!$AB$68="Forfait",IF(DX$20&gt;='01_Input'!$Z$68,'01_Input'!$AC$68,0),IF('01_Input'!$AB$68="Palier",IF(AND(DX$20&gt;='01_Input'!$Z$68,DX$20&lt;'01_Input'!$AA$68),'01_Input'!$AC$68,0),MAX(MIN(DX$20,'01_Input'!$AA$68)-'01_Input'!$Z$68,0)*'01_Input'!$AC$68)))))))))</f>
        <v>0</v>
      </c>
      <c r="DY36" s="83">
        <f>IF('01_Input'!$C$68="Non",0,MIN('01_Input'!$I$68,MAX('01_Input'!$H$68,IF('01_Input'!$G$68="Résiduel vs Gestion",0,IF('01_Input'!$G$68="Taux Classe sélectionnée",Distrib_Global_Classe_Selectionnee*DY$20,IF('01_Input'!$G$68="Frais KYC (paliers de 100M€)",MAX(0,Nb_Investisseurs-Nb_KYC_Gratuites_Par_Tranche*(FLOOR(DY$20/Taille_Tranche_KYC,1)+1))*Cout_Par_KYC_Supplementaire,(IF('01_Input'!$L$68="Forfait",IF(DY$20&gt;='01_Input'!$J$68,'01_Input'!$M$68,0),IF('01_Input'!$L$68="Palier",IF(AND(DY$20&gt;='01_Input'!$J$68,DY$20&lt;'01_Input'!$K$68),'01_Input'!$M$68,0),MAX(MIN(DY$20,'01_Input'!$K$68)-'01_Input'!$J$68,0)*'01_Input'!$M$68))+IF('01_Input'!$P$68="Forfait",IF(DY$20&gt;='01_Input'!$N$68,'01_Input'!$Q$68,0),IF('01_Input'!$P$68="Palier",IF(AND(DY$20&gt;='01_Input'!$N$68,DY$20&lt;'01_Input'!$O$68),'01_Input'!$Q$68,0),MAX(MIN(DY$20,'01_Input'!$O$68)-'01_Input'!$N$68,0)*'01_Input'!$Q$68))+IF('01_Input'!$T$68="Forfait",IF(DY$20&gt;='01_Input'!$R$68,'01_Input'!$U$68,0),IF('01_Input'!$T$68="Palier",IF(AND(DY$20&gt;='01_Input'!$R$68,DY$20&lt;'01_Input'!$S$68),'01_Input'!$U$68,0),MAX(MIN(DY$20,'01_Input'!$S$68)-'01_Input'!$R$68,0)*'01_Input'!$U$68))+IF('01_Input'!$X$68="Forfait",IF(DY$20&gt;='01_Input'!$V$68,'01_Input'!$Y$68,0),IF('01_Input'!$X$68="Palier",IF(AND(DY$20&gt;='01_Input'!$V$68,DY$20&lt;'01_Input'!$W$68),'01_Input'!$Y$68,0),MAX(MIN(DY$20,'01_Input'!$W$68)-'01_Input'!$V$68,0)*'01_Input'!$Y$68))+IF('01_Input'!$AB$68="Forfait",IF(DY$20&gt;='01_Input'!$Z$68,'01_Input'!$AC$68,0),IF('01_Input'!$AB$68="Palier",IF(AND(DY$20&gt;='01_Input'!$Z$68,DY$20&lt;'01_Input'!$AA$68),'01_Input'!$AC$68,0),MAX(MIN(DY$20,'01_Input'!$AA$68)-'01_Input'!$Z$68,0)*'01_Input'!$AC$68)))))))))</f>
        <v>0</v>
      </c>
      <c r="DZ36" s="83">
        <f>IF('01_Input'!$C$68="Non",0,MIN('01_Input'!$I$68,MAX('01_Input'!$H$68,IF('01_Input'!$G$68="Résiduel vs Gestion",0,IF('01_Input'!$G$68="Taux Classe sélectionnée",Distrib_Global_Classe_Selectionnee*DZ$20,IF('01_Input'!$G$68="Frais KYC (paliers de 100M€)",MAX(0,Nb_Investisseurs-Nb_KYC_Gratuites_Par_Tranche*(FLOOR(DZ$20/Taille_Tranche_KYC,1)+1))*Cout_Par_KYC_Supplementaire,(IF('01_Input'!$L$68="Forfait",IF(DZ$20&gt;='01_Input'!$J$68,'01_Input'!$M$68,0),IF('01_Input'!$L$68="Palier",IF(AND(DZ$20&gt;='01_Input'!$J$68,DZ$20&lt;'01_Input'!$K$68),'01_Input'!$M$68,0),MAX(MIN(DZ$20,'01_Input'!$K$68)-'01_Input'!$J$68,0)*'01_Input'!$M$68))+IF('01_Input'!$P$68="Forfait",IF(DZ$20&gt;='01_Input'!$N$68,'01_Input'!$Q$68,0),IF('01_Input'!$P$68="Palier",IF(AND(DZ$20&gt;='01_Input'!$N$68,DZ$20&lt;'01_Input'!$O$68),'01_Input'!$Q$68,0),MAX(MIN(DZ$20,'01_Input'!$O$68)-'01_Input'!$N$68,0)*'01_Input'!$Q$68))+IF('01_Input'!$T$68="Forfait",IF(DZ$20&gt;='01_Input'!$R$68,'01_Input'!$U$68,0),IF('01_Input'!$T$68="Palier",IF(AND(DZ$20&gt;='01_Input'!$R$68,DZ$20&lt;'01_Input'!$S$68),'01_Input'!$U$68,0),MAX(MIN(DZ$20,'01_Input'!$S$68)-'01_Input'!$R$68,0)*'01_Input'!$U$68))+IF('01_Input'!$X$68="Forfait",IF(DZ$20&gt;='01_Input'!$V$68,'01_Input'!$Y$68,0),IF('01_Input'!$X$68="Palier",IF(AND(DZ$20&gt;='01_Input'!$V$68,DZ$20&lt;'01_Input'!$W$68),'01_Input'!$Y$68,0),MAX(MIN(DZ$20,'01_Input'!$W$68)-'01_Input'!$V$68,0)*'01_Input'!$Y$68))+IF('01_Input'!$AB$68="Forfait",IF(DZ$20&gt;='01_Input'!$Z$68,'01_Input'!$AC$68,0),IF('01_Input'!$AB$68="Palier",IF(AND(DZ$20&gt;='01_Input'!$Z$68,DZ$20&lt;'01_Input'!$AA$68),'01_Input'!$AC$68,0),MAX(MIN(DZ$20,'01_Input'!$AA$68)-'01_Input'!$Z$68,0)*'01_Input'!$AC$68)))))))))</f>
        <v>0</v>
      </c>
      <c r="EA36" s="83">
        <f>IF('01_Input'!$C$68="Non",0,MIN('01_Input'!$I$68,MAX('01_Input'!$H$68,IF('01_Input'!$G$68="Résiduel vs Gestion",0,IF('01_Input'!$G$68="Taux Classe sélectionnée",Distrib_Global_Classe_Selectionnee*EA$20,IF('01_Input'!$G$68="Frais KYC (paliers de 100M€)",MAX(0,Nb_Investisseurs-Nb_KYC_Gratuites_Par_Tranche*(FLOOR(EA$20/Taille_Tranche_KYC,1)+1))*Cout_Par_KYC_Supplementaire,(IF('01_Input'!$L$68="Forfait",IF(EA$20&gt;='01_Input'!$J$68,'01_Input'!$M$68,0),IF('01_Input'!$L$68="Palier",IF(AND(EA$20&gt;='01_Input'!$J$68,EA$20&lt;'01_Input'!$K$68),'01_Input'!$M$68,0),MAX(MIN(EA$20,'01_Input'!$K$68)-'01_Input'!$J$68,0)*'01_Input'!$M$68))+IF('01_Input'!$P$68="Forfait",IF(EA$20&gt;='01_Input'!$N$68,'01_Input'!$Q$68,0),IF('01_Input'!$P$68="Palier",IF(AND(EA$20&gt;='01_Input'!$N$68,EA$20&lt;'01_Input'!$O$68),'01_Input'!$Q$68,0),MAX(MIN(EA$20,'01_Input'!$O$68)-'01_Input'!$N$68,0)*'01_Input'!$Q$68))+IF('01_Input'!$T$68="Forfait",IF(EA$20&gt;='01_Input'!$R$68,'01_Input'!$U$68,0),IF('01_Input'!$T$68="Palier",IF(AND(EA$20&gt;='01_Input'!$R$68,EA$20&lt;'01_Input'!$S$68),'01_Input'!$U$68,0),MAX(MIN(EA$20,'01_Input'!$S$68)-'01_Input'!$R$68,0)*'01_Input'!$U$68))+IF('01_Input'!$X$68="Forfait",IF(EA$20&gt;='01_Input'!$V$68,'01_Input'!$Y$68,0),IF('01_Input'!$X$68="Palier",IF(AND(EA$20&gt;='01_Input'!$V$68,EA$20&lt;'01_Input'!$W$68),'01_Input'!$Y$68,0),MAX(MIN(EA$20,'01_Input'!$W$68)-'01_Input'!$V$68,0)*'01_Input'!$Y$68))+IF('01_Input'!$AB$68="Forfait",IF(EA$20&gt;='01_Input'!$Z$68,'01_Input'!$AC$68,0),IF('01_Input'!$AB$68="Palier",IF(AND(EA$20&gt;='01_Input'!$Z$68,EA$20&lt;'01_Input'!$AA$68),'01_Input'!$AC$68,0),MAX(MIN(EA$20,'01_Input'!$AA$68)-'01_Input'!$Z$68,0)*'01_Input'!$AC$68)))))))))</f>
        <v>0</v>
      </c>
      <c r="EB36" s="83">
        <f>IF('01_Input'!$C$68="Non",0,MIN('01_Input'!$I$68,MAX('01_Input'!$H$68,IF('01_Input'!$G$68="Résiduel vs Gestion",0,IF('01_Input'!$G$68="Taux Classe sélectionnée",Distrib_Global_Classe_Selectionnee*EB$20,IF('01_Input'!$G$68="Frais KYC (paliers de 100M€)",MAX(0,Nb_Investisseurs-Nb_KYC_Gratuites_Par_Tranche*(FLOOR(EB$20/Taille_Tranche_KYC,1)+1))*Cout_Par_KYC_Supplementaire,(IF('01_Input'!$L$68="Forfait",IF(EB$20&gt;='01_Input'!$J$68,'01_Input'!$M$68,0),IF('01_Input'!$L$68="Palier",IF(AND(EB$20&gt;='01_Input'!$J$68,EB$20&lt;'01_Input'!$K$68),'01_Input'!$M$68,0),MAX(MIN(EB$20,'01_Input'!$K$68)-'01_Input'!$J$68,0)*'01_Input'!$M$68))+IF('01_Input'!$P$68="Forfait",IF(EB$20&gt;='01_Input'!$N$68,'01_Input'!$Q$68,0),IF('01_Input'!$P$68="Palier",IF(AND(EB$20&gt;='01_Input'!$N$68,EB$20&lt;'01_Input'!$O$68),'01_Input'!$Q$68,0),MAX(MIN(EB$20,'01_Input'!$O$68)-'01_Input'!$N$68,0)*'01_Input'!$Q$68))+IF('01_Input'!$T$68="Forfait",IF(EB$20&gt;='01_Input'!$R$68,'01_Input'!$U$68,0),IF('01_Input'!$T$68="Palier",IF(AND(EB$20&gt;='01_Input'!$R$68,EB$20&lt;'01_Input'!$S$68),'01_Input'!$U$68,0),MAX(MIN(EB$20,'01_Input'!$S$68)-'01_Input'!$R$68,0)*'01_Input'!$U$68))+IF('01_Input'!$X$68="Forfait",IF(EB$20&gt;='01_Input'!$V$68,'01_Input'!$Y$68,0),IF('01_Input'!$X$68="Palier",IF(AND(EB$20&gt;='01_Input'!$V$68,EB$20&lt;'01_Input'!$W$68),'01_Input'!$Y$68,0),MAX(MIN(EB$20,'01_Input'!$W$68)-'01_Input'!$V$68,0)*'01_Input'!$Y$68))+IF('01_Input'!$AB$68="Forfait",IF(EB$20&gt;='01_Input'!$Z$68,'01_Input'!$AC$68,0),IF('01_Input'!$AB$68="Palier",IF(AND(EB$20&gt;='01_Input'!$Z$68,EB$20&lt;'01_Input'!$AA$68),'01_Input'!$AC$68,0),MAX(MIN(EB$20,'01_Input'!$AA$68)-'01_Input'!$Z$68,0)*'01_Input'!$AC$68)))))))))</f>
        <v>0</v>
      </c>
      <c r="EC36" s="83">
        <f>IF('01_Input'!$C$68="Non",0,MIN('01_Input'!$I$68,MAX('01_Input'!$H$68,IF('01_Input'!$G$68="Résiduel vs Gestion",0,IF('01_Input'!$G$68="Taux Classe sélectionnée",Distrib_Global_Classe_Selectionnee*EC$20,IF('01_Input'!$G$68="Frais KYC (paliers de 100M€)",MAX(0,Nb_Investisseurs-Nb_KYC_Gratuites_Par_Tranche*(FLOOR(EC$20/Taille_Tranche_KYC,1)+1))*Cout_Par_KYC_Supplementaire,(IF('01_Input'!$L$68="Forfait",IF(EC$20&gt;='01_Input'!$J$68,'01_Input'!$M$68,0),IF('01_Input'!$L$68="Palier",IF(AND(EC$20&gt;='01_Input'!$J$68,EC$20&lt;'01_Input'!$K$68),'01_Input'!$M$68,0),MAX(MIN(EC$20,'01_Input'!$K$68)-'01_Input'!$J$68,0)*'01_Input'!$M$68))+IF('01_Input'!$P$68="Forfait",IF(EC$20&gt;='01_Input'!$N$68,'01_Input'!$Q$68,0),IF('01_Input'!$P$68="Palier",IF(AND(EC$20&gt;='01_Input'!$N$68,EC$20&lt;'01_Input'!$O$68),'01_Input'!$Q$68,0),MAX(MIN(EC$20,'01_Input'!$O$68)-'01_Input'!$N$68,0)*'01_Input'!$Q$68))+IF('01_Input'!$T$68="Forfait",IF(EC$20&gt;='01_Input'!$R$68,'01_Input'!$U$68,0),IF('01_Input'!$T$68="Palier",IF(AND(EC$20&gt;='01_Input'!$R$68,EC$20&lt;'01_Input'!$S$68),'01_Input'!$U$68,0),MAX(MIN(EC$20,'01_Input'!$S$68)-'01_Input'!$R$68,0)*'01_Input'!$U$68))+IF('01_Input'!$X$68="Forfait",IF(EC$20&gt;='01_Input'!$V$68,'01_Input'!$Y$68,0),IF('01_Input'!$X$68="Palier",IF(AND(EC$20&gt;='01_Input'!$V$68,EC$20&lt;'01_Input'!$W$68),'01_Input'!$Y$68,0),MAX(MIN(EC$20,'01_Input'!$W$68)-'01_Input'!$V$68,0)*'01_Input'!$Y$68))+IF('01_Input'!$AB$68="Forfait",IF(EC$20&gt;='01_Input'!$Z$68,'01_Input'!$AC$68,0),IF('01_Input'!$AB$68="Palier",IF(AND(EC$20&gt;='01_Input'!$Z$68,EC$20&lt;'01_Input'!$AA$68),'01_Input'!$AC$68,0),MAX(MIN(EC$20,'01_Input'!$AA$68)-'01_Input'!$Z$68,0)*'01_Input'!$AC$68)))))))))</f>
        <v>0</v>
      </c>
      <c r="ED36" s="83">
        <f>IF('01_Input'!$C$68="Non",0,MIN('01_Input'!$I$68,MAX('01_Input'!$H$68,IF('01_Input'!$G$68="Résiduel vs Gestion",0,IF('01_Input'!$G$68="Taux Classe sélectionnée",Distrib_Global_Classe_Selectionnee*ED$20,IF('01_Input'!$G$68="Frais KYC (paliers de 100M€)",MAX(0,Nb_Investisseurs-Nb_KYC_Gratuites_Par_Tranche*(FLOOR(ED$20/Taille_Tranche_KYC,1)+1))*Cout_Par_KYC_Supplementaire,(IF('01_Input'!$L$68="Forfait",IF(ED$20&gt;='01_Input'!$J$68,'01_Input'!$M$68,0),IF('01_Input'!$L$68="Palier",IF(AND(ED$20&gt;='01_Input'!$J$68,ED$20&lt;'01_Input'!$K$68),'01_Input'!$M$68,0),MAX(MIN(ED$20,'01_Input'!$K$68)-'01_Input'!$J$68,0)*'01_Input'!$M$68))+IF('01_Input'!$P$68="Forfait",IF(ED$20&gt;='01_Input'!$N$68,'01_Input'!$Q$68,0),IF('01_Input'!$P$68="Palier",IF(AND(ED$20&gt;='01_Input'!$N$68,ED$20&lt;'01_Input'!$O$68),'01_Input'!$Q$68,0),MAX(MIN(ED$20,'01_Input'!$O$68)-'01_Input'!$N$68,0)*'01_Input'!$Q$68))+IF('01_Input'!$T$68="Forfait",IF(ED$20&gt;='01_Input'!$R$68,'01_Input'!$U$68,0),IF('01_Input'!$T$68="Palier",IF(AND(ED$20&gt;='01_Input'!$R$68,ED$20&lt;'01_Input'!$S$68),'01_Input'!$U$68,0),MAX(MIN(ED$20,'01_Input'!$S$68)-'01_Input'!$R$68,0)*'01_Input'!$U$68))+IF('01_Input'!$X$68="Forfait",IF(ED$20&gt;='01_Input'!$V$68,'01_Input'!$Y$68,0),IF('01_Input'!$X$68="Palier",IF(AND(ED$20&gt;='01_Input'!$V$68,ED$20&lt;'01_Input'!$W$68),'01_Input'!$Y$68,0),MAX(MIN(ED$20,'01_Input'!$W$68)-'01_Input'!$V$68,0)*'01_Input'!$Y$68))+IF('01_Input'!$AB$68="Forfait",IF(ED$20&gt;='01_Input'!$Z$68,'01_Input'!$AC$68,0),IF('01_Input'!$AB$68="Palier",IF(AND(ED$20&gt;='01_Input'!$Z$68,ED$20&lt;'01_Input'!$AA$68),'01_Input'!$AC$68,0),MAX(MIN(ED$20,'01_Input'!$AA$68)-'01_Input'!$Z$68,0)*'01_Input'!$AC$68)))))))))</f>
        <v>0</v>
      </c>
      <c r="EE36" s="83">
        <f>IF('01_Input'!$C$68="Non",0,MIN('01_Input'!$I$68,MAX('01_Input'!$H$68,IF('01_Input'!$G$68="Résiduel vs Gestion",0,IF('01_Input'!$G$68="Taux Classe sélectionnée",Distrib_Global_Classe_Selectionnee*EE$20,IF('01_Input'!$G$68="Frais KYC (paliers de 100M€)",MAX(0,Nb_Investisseurs-Nb_KYC_Gratuites_Par_Tranche*(FLOOR(EE$20/Taille_Tranche_KYC,1)+1))*Cout_Par_KYC_Supplementaire,(IF('01_Input'!$L$68="Forfait",IF(EE$20&gt;='01_Input'!$J$68,'01_Input'!$M$68,0),IF('01_Input'!$L$68="Palier",IF(AND(EE$20&gt;='01_Input'!$J$68,EE$20&lt;'01_Input'!$K$68),'01_Input'!$M$68,0),MAX(MIN(EE$20,'01_Input'!$K$68)-'01_Input'!$J$68,0)*'01_Input'!$M$68))+IF('01_Input'!$P$68="Forfait",IF(EE$20&gt;='01_Input'!$N$68,'01_Input'!$Q$68,0),IF('01_Input'!$P$68="Palier",IF(AND(EE$20&gt;='01_Input'!$N$68,EE$20&lt;'01_Input'!$O$68),'01_Input'!$Q$68,0),MAX(MIN(EE$20,'01_Input'!$O$68)-'01_Input'!$N$68,0)*'01_Input'!$Q$68))+IF('01_Input'!$T$68="Forfait",IF(EE$20&gt;='01_Input'!$R$68,'01_Input'!$U$68,0),IF('01_Input'!$T$68="Palier",IF(AND(EE$20&gt;='01_Input'!$R$68,EE$20&lt;'01_Input'!$S$68),'01_Input'!$U$68,0),MAX(MIN(EE$20,'01_Input'!$S$68)-'01_Input'!$R$68,0)*'01_Input'!$U$68))+IF('01_Input'!$X$68="Forfait",IF(EE$20&gt;='01_Input'!$V$68,'01_Input'!$Y$68,0),IF('01_Input'!$X$68="Palier",IF(AND(EE$20&gt;='01_Input'!$V$68,EE$20&lt;'01_Input'!$W$68),'01_Input'!$Y$68,0),MAX(MIN(EE$20,'01_Input'!$W$68)-'01_Input'!$V$68,0)*'01_Input'!$Y$68))+IF('01_Input'!$AB$68="Forfait",IF(EE$20&gt;='01_Input'!$Z$68,'01_Input'!$AC$68,0),IF('01_Input'!$AB$68="Palier",IF(AND(EE$20&gt;='01_Input'!$Z$68,EE$20&lt;'01_Input'!$AA$68),'01_Input'!$AC$68,0),MAX(MIN(EE$20,'01_Input'!$AA$68)-'01_Input'!$Z$68,0)*'01_Input'!$AC$68)))))))))</f>
        <v>0</v>
      </c>
      <c r="EF36" s="83">
        <f>IF('01_Input'!$C$68="Non",0,MIN('01_Input'!$I$68,MAX('01_Input'!$H$68,IF('01_Input'!$G$68="Résiduel vs Gestion",0,IF('01_Input'!$G$68="Taux Classe sélectionnée",Distrib_Global_Classe_Selectionnee*EF$20,IF('01_Input'!$G$68="Frais KYC (paliers de 100M€)",MAX(0,Nb_Investisseurs-Nb_KYC_Gratuites_Par_Tranche*(FLOOR(EF$20/Taille_Tranche_KYC,1)+1))*Cout_Par_KYC_Supplementaire,(IF('01_Input'!$L$68="Forfait",IF(EF$20&gt;='01_Input'!$J$68,'01_Input'!$M$68,0),IF('01_Input'!$L$68="Palier",IF(AND(EF$20&gt;='01_Input'!$J$68,EF$20&lt;'01_Input'!$K$68),'01_Input'!$M$68,0),MAX(MIN(EF$20,'01_Input'!$K$68)-'01_Input'!$J$68,0)*'01_Input'!$M$68))+IF('01_Input'!$P$68="Forfait",IF(EF$20&gt;='01_Input'!$N$68,'01_Input'!$Q$68,0),IF('01_Input'!$P$68="Palier",IF(AND(EF$20&gt;='01_Input'!$N$68,EF$20&lt;'01_Input'!$O$68),'01_Input'!$Q$68,0),MAX(MIN(EF$20,'01_Input'!$O$68)-'01_Input'!$N$68,0)*'01_Input'!$Q$68))+IF('01_Input'!$T$68="Forfait",IF(EF$20&gt;='01_Input'!$R$68,'01_Input'!$U$68,0),IF('01_Input'!$T$68="Palier",IF(AND(EF$20&gt;='01_Input'!$R$68,EF$20&lt;'01_Input'!$S$68),'01_Input'!$U$68,0),MAX(MIN(EF$20,'01_Input'!$S$68)-'01_Input'!$R$68,0)*'01_Input'!$U$68))+IF('01_Input'!$X$68="Forfait",IF(EF$20&gt;='01_Input'!$V$68,'01_Input'!$Y$68,0),IF('01_Input'!$X$68="Palier",IF(AND(EF$20&gt;='01_Input'!$V$68,EF$20&lt;'01_Input'!$W$68),'01_Input'!$Y$68,0),MAX(MIN(EF$20,'01_Input'!$W$68)-'01_Input'!$V$68,0)*'01_Input'!$Y$68))+IF('01_Input'!$AB$68="Forfait",IF(EF$20&gt;='01_Input'!$Z$68,'01_Input'!$AC$68,0),IF('01_Input'!$AB$68="Palier",IF(AND(EF$20&gt;='01_Input'!$Z$68,EF$20&lt;'01_Input'!$AA$68),'01_Input'!$AC$68,0),MAX(MIN(EF$20,'01_Input'!$AA$68)-'01_Input'!$Z$68,0)*'01_Input'!$AC$68)))))))))</f>
        <v>0</v>
      </c>
      <c r="EG36" s="83">
        <f>IF('01_Input'!$C$68="Non",0,MIN('01_Input'!$I$68,MAX('01_Input'!$H$68,IF('01_Input'!$G$68="Résiduel vs Gestion",0,IF('01_Input'!$G$68="Taux Classe sélectionnée",Distrib_Global_Classe_Selectionnee*EG$20,IF('01_Input'!$G$68="Frais KYC (paliers de 100M€)",MAX(0,Nb_Investisseurs-Nb_KYC_Gratuites_Par_Tranche*(FLOOR(EG$20/Taille_Tranche_KYC,1)+1))*Cout_Par_KYC_Supplementaire,(IF('01_Input'!$L$68="Forfait",IF(EG$20&gt;='01_Input'!$J$68,'01_Input'!$M$68,0),IF('01_Input'!$L$68="Palier",IF(AND(EG$20&gt;='01_Input'!$J$68,EG$20&lt;'01_Input'!$K$68),'01_Input'!$M$68,0),MAX(MIN(EG$20,'01_Input'!$K$68)-'01_Input'!$J$68,0)*'01_Input'!$M$68))+IF('01_Input'!$P$68="Forfait",IF(EG$20&gt;='01_Input'!$N$68,'01_Input'!$Q$68,0),IF('01_Input'!$P$68="Palier",IF(AND(EG$20&gt;='01_Input'!$N$68,EG$20&lt;'01_Input'!$O$68),'01_Input'!$Q$68,0),MAX(MIN(EG$20,'01_Input'!$O$68)-'01_Input'!$N$68,0)*'01_Input'!$Q$68))+IF('01_Input'!$T$68="Forfait",IF(EG$20&gt;='01_Input'!$R$68,'01_Input'!$U$68,0),IF('01_Input'!$T$68="Palier",IF(AND(EG$20&gt;='01_Input'!$R$68,EG$20&lt;'01_Input'!$S$68),'01_Input'!$U$68,0),MAX(MIN(EG$20,'01_Input'!$S$68)-'01_Input'!$R$68,0)*'01_Input'!$U$68))+IF('01_Input'!$X$68="Forfait",IF(EG$20&gt;='01_Input'!$V$68,'01_Input'!$Y$68,0),IF('01_Input'!$X$68="Palier",IF(AND(EG$20&gt;='01_Input'!$V$68,EG$20&lt;'01_Input'!$W$68),'01_Input'!$Y$68,0),MAX(MIN(EG$20,'01_Input'!$W$68)-'01_Input'!$V$68,0)*'01_Input'!$Y$68))+IF('01_Input'!$AB$68="Forfait",IF(EG$20&gt;='01_Input'!$Z$68,'01_Input'!$AC$68,0),IF('01_Input'!$AB$68="Palier",IF(AND(EG$20&gt;='01_Input'!$Z$68,EG$20&lt;'01_Input'!$AA$68),'01_Input'!$AC$68,0),MAX(MIN(EG$20,'01_Input'!$AA$68)-'01_Input'!$Z$68,0)*'01_Input'!$AC$68)))))))))</f>
        <v>0</v>
      </c>
      <c r="EH36" s="83">
        <f>IF('01_Input'!$C$68="Non",0,MIN('01_Input'!$I$68,MAX('01_Input'!$H$68,IF('01_Input'!$G$68="Résiduel vs Gestion",0,IF('01_Input'!$G$68="Taux Classe sélectionnée",Distrib_Global_Classe_Selectionnee*EH$20,IF('01_Input'!$G$68="Frais KYC (paliers de 100M€)",MAX(0,Nb_Investisseurs-Nb_KYC_Gratuites_Par_Tranche*(FLOOR(EH$20/Taille_Tranche_KYC,1)+1))*Cout_Par_KYC_Supplementaire,(IF('01_Input'!$L$68="Forfait",IF(EH$20&gt;='01_Input'!$J$68,'01_Input'!$M$68,0),IF('01_Input'!$L$68="Palier",IF(AND(EH$20&gt;='01_Input'!$J$68,EH$20&lt;'01_Input'!$K$68),'01_Input'!$M$68,0),MAX(MIN(EH$20,'01_Input'!$K$68)-'01_Input'!$J$68,0)*'01_Input'!$M$68))+IF('01_Input'!$P$68="Forfait",IF(EH$20&gt;='01_Input'!$N$68,'01_Input'!$Q$68,0),IF('01_Input'!$P$68="Palier",IF(AND(EH$20&gt;='01_Input'!$N$68,EH$20&lt;'01_Input'!$O$68),'01_Input'!$Q$68,0),MAX(MIN(EH$20,'01_Input'!$O$68)-'01_Input'!$N$68,0)*'01_Input'!$Q$68))+IF('01_Input'!$T$68="Forfait",IF(EH$20&gt;='01_Input'!$R$68,'01_Input'!$U$68,0),IF('01_Input'!$T$68="Palier",IF(AND(EH$20&gt;='01_Input'!$R$68,EH$20&lt;'01_Input'!$S$68),'01_Input'!$U$68,0),MAX(MIN(EH$20,'01_Input'!$S$68)-'01_Input'!$R$68,0)*'01_Input'!$U$68))+IF('01_Input'!$X$68="Forfait",IF(EH$20&gt;='01_Input'!$V$68,'01_Input'!$Y$68,0),IF('01_Input'!$X$68="Palier",IF(AND(EH$20&gt;='01_Input'!$V$68,EH$20&lt;'01_Input'!$W$68),'01_Input'!$Y$68,0),MAX(MIN(EH$20,'01_Input'!$W$68)-'01_Input'!$V$68,0)*'01_Input'!$Y$68))+IF('01_Input'!$AB$68="Forfait",IF(EH$20&gt;='01_Input'!$Z$68,'01_Input'!$AC$68,0),IF('01_Input'!$AB$68="Palier",IF(AND(EH$20&gt;='01_Input'!$Z$68,EH$20&lt;'01_Input'!$AA$68),'01_Input'!$AC$68,0),MAX(MIN(EH$20,'01_Input'!$AA$68)-'01_Input'!$Z$68,0)*'01_Input'!$AC$68)))))))))</f>
        <v>0</v>
      </c>
      <c r="EI36" s="83">
        <f>IF('01_Input'!$C$68="Non",0,MIN('01_Input'!$I$68,MAX('01_Input'!$H$68,IF('01_Input'!$G$68="Résiduel vs Gestion",0,IF('01_Input'!$G$68="Taux Classe sélectionnée",Distrib_Global_Classe_Selectionnee*EI$20,IF('01_Input'!$G$68="Frais KYC (paliers de 100M€)",MAX(0,Nb_Investisseurs-Nb_KYC_Gratuites_Par_Tranche*(FLOOR(EI$20/Taille_Tranche_KYC,1)+1))*Cout_Par_KYC_Supplementaire,(IF('01_Input'!$L$68="Forfait",IF(EI$20&gt;='01_Input'!$J$68,'01_Input'!$M$68,0),IF('01_Input'!$L$68="Palier",IF(AND(EI$20&gt;='01_Input'!$J$68,EI$20&lt;'01_Input'!$K$68),'01_Input'!$M$68,0),MAX(MIN(EI$20,'01_Input'!$K$68)-'01_Input'!$J$68,0)*'01_Input'!$M$68))+IF('01_Input'!$P$68="Forfait",IF(EI$20&gt;='01_Input'!$N$68,'01_Input'!$Q$68,0),IF('01_Input'!$P$68="Palier",IF(AND(EI$20&gt;='01_Input'!$N$68,EI$20&lt;'01_Input'!$O$68),'01_Input'!$Q$68,0),MAX(MIN(EI$20,'01_Input'!$O$68)-'01_Input'!$N$68,0)*'01_Input'!$Q$68))+IF('01_Input'!$T$68="Forfait",IF(EI$20&gt;='01_Input'!$R$68,'01_Input'!$U$68,0),IF('01_Input'!$T$68="Palier",IF(AND(EI$20&gt;='01_Input'!$R$68,EI$20&lt;'01_Input'!$S$68),'01_Input'!$U$68,0),MAX(MIN(EI$20,'01_Input'!$S$68)-'01_Input'!$R$68,0)*'01_Input'!$U$68))+IF('01_Input'!$X$68="Forfait",IF(EI$20&gt;='01_Input'!$V$68,'01_Input'!$Y$68,0),IF('01_Input'!$X$68="Palier",IF(AND(EI$20&gt;='01_Input'!$V$68,EI$20&lt;'01_Input'!$W$68),'01_Input'!$Y$68,0),MAX(MIN(EI$20,'01_Input'!$W$68)-'01_Input'!$V$68,0)*'01_Input'!$Y$68))+IF('01_Input'!$AB$68="Forfait",IF(EI$20&gt;='01_Input'!$Z$68,'01_Input'!$AC$68,0),IF('01_Input'!$AB$68="Palier",IF(AND(EI$20&gt;='01_Input'!$Z$68,EI$20&lt;'01_Input'!$AA$68),'01_Input'!$AC$68,0),MAX(MIN(EI$20,'01_Input'!$AA$68)-'01_Input'!$Z$68,0)*'01_Input'!$AC$68)))))))))</f>
        <v>0</v>
      </c>
      <c r="EJ36" s="83">
        <f>IF('01_Input'!$C$68="Non",0,MIN('01_Input'!$I$68,MAX('01_Input'!$H$68,IF('01_Input'!$G$68="Résiduel vs Gestion",0,IF('01_Input'!$G$68="Taux Classe sélectionnée",Distrib_Global_Classe_Selectionnee*EJ$20,IF('01_Input'!$G$68="Frais KYC (paliers de 100M€)",MAX(0,Nb_Investisseurs-Nb_KYC_Gratuites_Par_Tranche*(FLOOR(EJ$20/Taille_Tranche_KYC,1)+1))*Cout_Par_KYC_Supplementaire,(IF('01_Input'!$L$68="Forfait",IF(EJ$20&gt;='01_Input'!$J$68,'01_Input'!$M$68,0),IF('01_Input'!$L$68="Palier",IF(AND(EJ$20&gt;='01_Input'!$J$68,EJ$20&lt;'01_Input'!$K$68),'01_Input'!$M$68,0),MAX(MIN(EJ$20,'01_Input'!$K$68)-'01_Input'!$J$68,0)*'01_Input'!$M$68))+IF('01_Input'!$P$68="Forfait",IF(EJ$20&gt;='01_Input'!$N$68,'01_Input'!$Q$68,0),IF('01_Input'!$P$68="Palier",IF(AND(EJ$20&gt;='01_Input'!$N$68,EJ$20&lt;'01_Input'!$O$68),'01_Input'!$Q$68,0),MAX(MIN(EJ$20,'01_Input'!$O$68)-'01_Input'!$N$68,0)*'01_Input'!$Q$68))+IF('01_Input'!$T$68="Forfait",IF(EJ$20&gt;='01_Input'!$R$68,'01_Input'!$U$68,0),IF('01_Input'!$T$68="Palier",IF(AND(EJ$20&gt;='01_Input'!$R$68,EJ$20&lt;'01_Input'!$S$68),'01_Input'!$U$68,0),MAX(MIN(EJ$20,'01_Input'!$S$68)-'01_Input'!$R$68,0)*'01_Input'!$U$68))+IF('01_Input'!$X$68="Forfait",IF(EJ$20&gt;='01_Input'!$V$68,'01_Input'!$Y$68,0),IF('01_Input'!$X$68="Palier",IF(AND(EJ$20&gt;='01_Input'!$V$68,EJ$20&lt;'01_Input'!$W$68),'01_Input'!$Y$68,0),MAX(MIN(EJ$20,'01_Input'!$W$68)-'01_Input'!$V$68,0)*'01_Input'!$Y$68))+IF('01_Input'!$AB$68="Forfait",IF(EJ$20&gt;='01_Input'!$Z$68,'01_Input'!$AC$68,0),IF('01_Input'!$AB$68="Palier",IF(AND(EJ$20&gt;='01_Input'!$Z$68,EJ$20&lt;'01_Input'!$AA$68),'01_Input'!$AC$68,0),MAX(MIN(EJ$20,'01_Input'!$AA$68)-'01_Input'!$Z$68,0)*'01_Input'!$AC$68)))))))))</f>
        <v>0</v>
      </c>
      <c r="EK36" s="83">
        <f>IF('01_Input'!$C$68="Non",0,MIN('01_Input'!$I$68,MAX('01_Input'!$H$68,IF('01_Input'!$G$68="Résiduel vs Gestion",0,IF('01_Input'!$G$68="Taux Classe sélectionnée",Distrib_Global_Classe_Selectionnee*EK$20,IF('01_Input'!$G$68="Frais KYC (paliers de 100M€)",MAX(0,Nb_Investisseurs-Nb_KYC_Gratuites_Par_Tranche*(FLOOR(EK$20/Taille_Tranche_KYC,1)+1))*Cout_Par_KYC_Supplementaire,(IF('01_Input'!$L$68="Forfait",IF(EK$20&gt;='01_Input'!$J$68,'01_Input'!$M$68,0),IF('01_Input'!$L$68="Palier",IF(AND(EK$20&gt;='01_Input'!$J$68,EK$20&lt;'01_Input'!$K$68),'01_Input'!$M$68,0),MAX(MIN(EK$20,'01_Input'!$K$68)-'01_Input'!$J$68,0)*'01_Input'!$M$68))+IF('01_Input'!$P$68="Forfait",IF(EK$20&gt;='01_Input'!$N$68,'01_Input'!$Q$68,0),IF('01_Input'!$P$68="Palier",IF(AND(EK$20&gt;='01_Input'!$N$68,EK$20&lt;'01_Input'!$O$68),'01_Input'!$Q$68,0),MAX(MIN(EK$20,'01_Input'!$O$68)-'01_Input'!$N$68,0)*'01_Input'!$Q$68))+IF('01_Input'!$T$68="Forfait",IF(EK$20&gt;='01_Input'!$R$68,'01_Input'!$U$68,0),IF('01_Input'!$T$68="Palier",IF(AND(EK$20&gt;='01_Input'!$R$68,EK$20&lt;'01_Input'!$S$68),'01_Input'!$U$68,0),MAX(MIN(EK$20,'01_Input'!$S$68)-'01_Input'!$R$68,0)*'01_Input'!$U$68))+IF('01_Input'!$X$68="Forfait",IF(EK$20&gt;='01_Input'!$V$68,'01_Input'!$Y$68,0),IF('01_Input'!$X$68="Palier",IF(AND(EK$20&gt;='01_Input'!$V$68,EK$20&lt;'01_Input'!$W$68),'01_Input'!$Y$68,0),MAX(MIN(EK$20,'01_Input'!$W$68)-'01_Input'!$V$68,0)*'01_Input'!$Y$68))+IF('01_Input'!$AB$68="Forfait",IF(EK$20&gt;='01_Input'!$Z$68,'01_Input'!$AC$68,0),IF('01_Input'!$AB$68="Palier",IF(AND(EK$20&gt;='01_Input'!$Z$68,EK$20&lt;'01_Input'!$AA$68),'01_Input'!$AC$68,0),MAX(MIN(EK$20,'01_Input'!$AA$68)-'01_Input'!$Z$68,0)*'01_Input'!$AC$68)))))))))</f>
        <v>0</v>
      </c>
      <c r="EL36" s="83">
        <f>IF('01_Input'!$C$68="Non",0,MIN('01_Input'!$I$68,MAX('01_Input'!$H$68,IF('01_Input'!$G$68="Résiduel vs Gestion",0,IF('01_Input'!$G$68="Taux Classe sélectionnée",Distrib_Global_Classe_Selectionnee*EL$20,IF('01_Input'!$G$68="Frais KYC (paliers de 100M€)",MAX(0,Nb_Investisseurs-Nb_KYC_Gratuites_Par_Tranche*(FLOOR(EL$20/Taille_Tranche_KYC,1)+1))*Cout_Par_KYC_Supplementaire,(IF('01_Input'!$L$68="Forfait",IF(EL$20&gt;='01_Input'!$J$68,'01_Input'!$M$68,0),IF('01_Input'!$L$68="Palier",IF(AND(EL$20&gt;='01_Input'!$J$68,EL$20&lt;'01_Input'!$K$68),'01_Input'!$M$68,0),MAX(MIN(EL$20,'01_Input'!$K$68)-'01_Input'!$J$68,0)*'01_Input'!$M$68))+IF('01_Input'!$P$68="Forfait",IF(EL$20&gt;='01_Input'!$N$68,'01_Input'!$Q$68,0),IF('01_Input'!$P$68="Palier",IF(AND(EL$20&gt;='01_Input'!$N$68,EL$20&lt;'01_Input'!$O$68),'01_Input'!$Q$68,0),MAX(MIN(EL$20,'01_Input'!$O$68)-'01_Input'!$N$68,0)*'01_Input'!$Q$68))+IF('01_Input'!$T$68="Forfait",IF(EL$20&gt;='01_Input'!$R$68,'01_Input'!$U$68,0),IF('01_Input'!$T$68="Palier",IF(AND(EL$20&gt;='01_Input'!$R$68,EL$20&lt;'01_Input'!$S$68),'01_Input'!$U$68,0),MAX(MIN(EL$20,'01_Input'!$S$68)-'01_Input'!$R$68,0)*'01_Input'!$U$68))+IF('01_Input'!$X$68="Forfait",IF(EL$20&gt;='01_Input'!$V$68,'01_Input'!$Y$68,0),IF('01_Input'!$X$68="Palier",IF(AND(EL$20&gt;='01_Input'!$V$68,EL$20&lt;'01_Input'!$W$68),'01_Input'!$Y$68,0),MAX(MIN(EL$20,'01_Input'!$W$68)-'01_Input'!$V$68,0)*'01_Input'!$Y$68))+IF('01_Input'!$AB$68="Forfait",IF(EL$20&gt;='01_Input'!$Z$68,'01_Input'!$AC$68,0),IF('01_Input'!$AB$68="Palier",IF(AND(EL$20&gt;='01_Input'!$Z$68,EL$20&lt;'01_Input'!$AA$68),'01_Input'!$AC$68,0),MAX(MIN(EL$20,'01_Input'!$AA$68)-'01_Input'!$Z$68,0)*'01_Input'!$AC$68)))))))))</f>
        <v>0</v>
      </c>
      <c r="EM36" s="83">
        <f>IF('01_Input'!$C$68="Non",0,MIN('01_Input'!$I$68,MAX('01_Input'!$H$68,IF('01_Input'!$G$68="Résiduel vs Gestion",0,IF('01_Input'!$G$68="Taux Classe sélectionnée",Distrib_Global_Classe_Selectionnee*EM$20,IF('01_Input'!$G$68="Frais KYC (paliers de 100M€)",MAX(0,Nb_Investisseurs-Nb_KYC_Gratuites_Par_Tranche*(FLOOR(EM$20/Taille_Tranche_KYC,1)+1))*Cout_Par_KYC_Supplementaire,(IF('01_Input'!$L$68="Forfait",IF(EM$20&gt;='01_Input'!$J$68,'01_Input'!$M$68,0),IF('01_Input'!$L$68="Palier",IF(AND(EM$20&gt;='01_Input'!$J$68,EM$20&lt;'01_Input'!$K$68),'01_Input'!$M$68,0),MAX(MIN(EM$20,'01_Input'!$K$68)-'01_Input'!$J$68,0)*'01_Input'!$M$68))+IF('01_Input'!$P$68="Forfait",IF(EM$20&gt;='01_Input'!$N$68,'01_Input'!$Q$68,0),IF('01_Input'!$P$68="Palier",IF(AND(EM$20&gt;='01_Input'!$N$68,EM$20&lt;'01_Input'!$O$68),'01_Input'!$Q$68,0),MAX(MIN(EM$20,'01_Input'!$O$68)-'01_Input'!$N$68,0)*'01_Input'!$Q$68))+IF('01_Input'!$T$68="Forfait",IF(EM$20&gt;='01_Input'!$R$68,'01_Input'!$U$68,0),IF('01_Input'!$T$68="Palier",IF(AND(EM$20&gt;='01_Input'!$R$68,EM$20&lt;'01_Input'!$S$68),'01_Input'!$U$68,0),MAX(MIN(EM$20,'01_Input'!$S$68)-'01_Input'!$R$68,0)*'01_Input'!$U$68))+IF('01_Input'!$X$68="Forfait",IF(EM$20&gt;='01_Input'!$V$68,'01_Input'!$Y$68,0),IF('01_Input'!$X$68="Palier",IF(AND(EM$20&gt;='01_Input'!$V$68,EM$20&lt;'01_Input'!$W$68),'01_Input'!$Y$68,0),MAX(MIN(EM$20,'01_Input'!$W$68)-'01_Input'!$V$68,0)*'01_Input'!$Y$68))+IF('01_Input'!$AB$68="Forfait",IF(EM$20&gt;='01_Input'!$Z$68,'01_Input'!$AC$68,0),IF('01_Input'!$AB$68="Palier",IF(AND(EM$20&gt;='01_Input'!$Z$68,EM$20&lt;'01_Input'!$AA$68),'01_Input'!$AC$68,0),MAX(MIN(EM$20,'01_Input'!$AA$68)-'01_Input'!$Z$68,0)*'01_Input'!$AC$68)))))))))</f>
        <v>0</v>
      </c>
      <c r="EN36" s="83">
        <f>IF('01_Input'!$C$68="Non",0,MIN('01_Input'!$I$68,MAX('01_Input'!$H$68,IF('01_Input'!$G$68="Résiduel vs Gestion",0,IF('01_Input'!$G$68="Taux Classe sélectionnée",Distrib_Global_Classe_Selectionnee*EN$20,IF('01_Input'!$G$68="Frais KYC (paliers de 100M€)",MAX(0,Nb_Investisseurs-Nb_KYC_Gratuites_Par_Tranche*(FLOOR(EN$20/Taille_Tranche_KYC,1)+1))*Cout_Par_KYC_Supplementaire,(IF('01_Input'!$L$68="Forfait",IF(EN$20&gt;='01_Input'!$J$68,'01_Input'!$M$68,0),IF('01_Input'!$L$68="Palier",IF(AND(EN$20&gt;='01_Input'!$J$68,EN$20&lt;'01_Input'!$K$68),'01_Input'!$M$68,0),MAX(MIN(EN$20,'01_Input'!$K$68)-'01_Input'!$J$68,0)*'01_Input'!$M$68))+IF('01_Input'!$P$68="Forfait",IF(EN$20&gt;='01_Input'!$N$68,'01_Input'!$Q$68,0),IF('01_Input'!$P$68="Palier",IF(AND(EN$20&gt;='01_Input'!$N$68,EN$20&lt;'01_Input'!$O$68),'01_Input'!$Q$68,0),MAX(MIN(EN$20,'01_Input'!$O$68)-'01_Input'!$N$68,0)*'01_Input'!$Q$68))+IF('01_Input'!$T$68="Forfait",IF(EN$20&gt;='01_Input'!$R$68,'01_Input'!$U$68,0),IF('01_Input'!$T$68="Palier",IF(AND(EN$20&gt;='01_Input'!$R$68,EN$20&lt;'01_Input'!$S$68),'01_Input'!$U$68,0),MAX(MIN(EN$20,'01_Input'!$S$68)-'01_Input'!$R$68,0)*'01_Input'!$U$68))+IF('01_Input'!$X$68="Forfait",IF(EN$20&gt;='01_Input'!$V$68,'01_Input'!$Y$68,0),IF('01_Input'!$X$68="Palier",IF(AND(EN$20&gt;='01_Input'!$V$68,EN$20&lt;'01_Input'!$W$68),'01_Input'!$Y$68,0),MAX(MIN(EN$20,'01_Input'!$W$68)-'01_Input'!$V$68,0)*'01_Input'!$Y$68))+IF('01_Input'!$AB$68="Forfait",IF(EN$20&gt;='01_Input'!$Z$68,'01_Input'!$AC$68,0),IF('01_Input'!$AB$68="Palier",IF(AND(EN$20&gt;='01_Input'!$Z$68,EN$20&lt;'01_Input'!$AA$68),'01_Input'!$AC$68,0),MAX(MIN(EN$20,'01_Input'!$AA$68)-'01_Input'!$Z$68,0)*'01_Input'!$AC$68)))))))))</f>
        <v>0</v>
      </c>
      <c r="EO36" s="83">
        <f>IF('01_Input'!$C$68="Non",0,MIN('01_Input'!$I$68,MAX('01_Input'!$H$68,IF('01_Input'!$G$68="Résiduel vs Gestion",0,IF('01_Input'!$G$68="Taux Classe sélectionnée",Distrib_Global_Classe_Selectionnee*EO$20,IF('01_Input'!$G$68="Frais KYC (paliers de 100M€)",MAX(0,Nb_Investisseurs-Nb_KYC_Gratuites_Par_Tranche*(FLOOR(EO$20/Taille_Tranche_KYC,1)+1))*Cout_Par_KYC_Supplementaire,(IF('01_Input'!$L$68="Forfait",IF(EO$20&gt;='01_Input'!$J$68,'01_Input'!$M$68,0),IF('01_Input'!$L$68="Palier",IF(AND(EO$20&gt;='01_Input'!$J$68,EO$20&lt;'01_Input'!$K$68),'01_Input'!$M$68,0),MAX(MIN(EO$20,'01_Input'!$K$68)-'01_Input'!$J$68,0)*'01_Input'!$M$68))+IF('01_Input'!$P$68="Forfait",IF(EO$20&gt;='01_Input'!$N$68,'01_Input'!$Q$68,0),IF('01_Input'!$P$68="Palier",IF(AND(EO$20&gt;='01_Input'!$N$68,EO$20&lt;'01_Input'!$O$68),'01_Input'!$Q$68,0),MAX(MIN(EO$20,'01_Input'!$O$68)-'01_Input'!$N$68,0)*'01_Input'!$Q$68))+IF('01_Input'!$T$68="Forfait",IF(EO$20&gt;='01_Input'!$R$68,'01_Input'!$U$68,0),IF('01_Input'!$T$68="Palier",IF(AND(EO$20&gt;='01_Input'!$R$68,EO$20&lt;'01_Input'!$S$68),'01_Input'!$U$68,0),MAX(MIN(EO$20,'01_Input'!$S$68)-'01_Input'!$R$68,0)*'01_Input'!$U$68))+IF('01_Input'!$X$68="Forfait",IF(EO$20&gt;='01_Input'!$V$68,'01_Input'!$Y$68,0),IF('01_Input'!$X$68="Palier",IF(AND(EO$20&gt;='01_Input'!$V$68,EO$20&lt;'01_Input'!$W$68),'01_Input'!$Y$68,0),MAX(MIN(EO$20,'01_Input'!$W$68)-'01_Input'!$V$68,0)*'01_Input'!$Y$68))+IF('01_Input'!$AB$68="Forfait",IF(EO$20&gt;='01_Input'!$Z$68,'01_Input'!$AC$68,0),IF('01_Input'!$AB$68="Palier",IF(AND(EO$20&gt;='01_Input'!$Z$68,EO$20&lt;'01_Input'!$AA$68),'01_Input'!$AC$68,0),MAX(MIN(EO$20,'01_Input'!$AA$68)-'01_Input'!$Z$68,0)*'01_Input'!$AC$68)))))))))</f>
        <v>0</v>
      </c>
      <c r="EP36" s="83">
        <f>IF('01_Input'!$C$68="Non",0,MIN('01_Input'!$I$68,MAX('01_Input'!$H$68,IF('01_Input'!$G$68="Résiduel vs Gestion",0,IF('01_Input'!$G$68="Taux Classe sélectionnée",Distrib_Global_Classe_Selectionnee*EP$20,IF('01_Input'!$G$68="Frais KYC (paliers de 100M€)",MAX(0,Nb_Investisseurs-Nb_KYC_Gratuites_Par_Tranche*(FLOOR(EP$20/Taille_Tranche_KYC,1)+1))*Cout_Par_KYC_Supplementaire,(IF('01_Input'!$L$68="Forfait",IF(EP$20&gt;='01_Input'!$J$68,'01_Input'!$M$68,0),IF('01_Input'!$L$68="Palier",IF(AND(EP$20&gt;='01_Input'!$J$68,EP$20&lt;'01_Input'!$K$68),'01_Input'!$M$68,0),MAX(MIN(EP$20,'01_Input'!$K$68)-'01_Input'!$J$68,0)*'01_Input'!$M$68))+IF('01_Input'!$P$68="Forfait",IF(EP$20&gt;='01_Input'!$N$68,'01_Input'!$Q$68,0),IF('01_Input'!$P$68="Palier",IF(AND(EP$20&gt;='01_Input'!$N$68,EP$20&lt;'01_Input'!$O$68),'01_Input'!$Q$68,0),MAX(MIN(EP$20,'01_Input'!$O$68)-'01_Input'!$N$68,0)*'01_Input'!$Q$68))+IF('01_Input'!$T$68="Forfait",IF(EP$20&gt;='01_Input'!$R$68,'01_Input'!$U$68,0),IF('01_Input'!$T$68="Palier",IF(AND(EP$20&gt;='01_Input'!$R$68,EP$20&lt;'01_Input'!$S$68),'01_Input'!$U$68,0),MAX(MIN(EP$20,'01_Input'!$S$68)-'01_Input'!$R$68,0)*'01_Input'!$U$68))+IF('01_Input'!$X$68="Forfait",IF(EP$20&gt;='01_Input'!$V$68,'01_Input'!$Y$68,0),IF('01_Input'!$X$68="Palier",IF(AND(EP$20&gt;='01_Input'!$V$68,EP$20&lt;'01_Input'!$W$68),'01_Input'!$Y$68,0),MAX(MIN(EP$20,'01_Input'!$W$68)-'01_Input'!$V$68,0)*'01_Input'!$Y$68))+IF('01_Input'!$AB$68="Forfait",IF(EP$20&gt;='01_Input'!$Z$68,'01_Input'!$AC$68,0),IF('01_Input'!$AB$68="Palier",IF(AND(EP$20&gt;='01_Input'!$Z$68,EP$20&lt;'01_Input'!$AA$68),'01_Input'!$AC$68,0),MAX(MIN(EP$20,'01_Input'!$AA$68)-'01_Input'!$Z$68,0)*'01_Input'!$AC$68)))))))))</f>
        <v>0</v>
      </c>
      <c r="EQ36" s="83">
        <f>IF('01_Input'!$C$68="Non",0,MIN('01_Input'!$I$68,MAX('01_Input'!$H$68,IF('01_Input'!$G$68="Résiduel vs Gestion",0,IF('01_Input'!$G$68="Taux Classe sélectionnée",Distrib_Global_Classe_Selectionnee*EQ$20,IF('01_Input'!$G$68="Frais KYC (paliers de 100M€)",MAX(0,Nb_Investisseurs-Nb_KYC_Gratuites_Par_Tranche*(FLOOR(EQ$20/Taille_Tranche_KYC,1)+1))*Cout_Par_KYC_Supplementaire,(IF('01_Input'!$L$68="Forfait",IF(EQ$20&gt;='01_Input'!$J$68,'01_Input'!$M$68,0),IF('01_Input'!$L$68="Palier",IF(AND(EQ$20&gt;='01_Input'!$J$68,EQ$20&lt;'01_Input'!$K$68),'01_Input'!$M$68,0),MAX(MIN(EQ$20,'01_Input'!$K$68)-'01_Input'!$J$68,0)*'01_Input'!$M$68))+IF('01_Input'!$P$68="Forfait",IF(EQ$20&gt;='01_Input'!$N$68,'01_Input'!$Q$68,0),IF('01_Input'!$P$68="Palier",IF(AND(EQ$20&gt;='01_Input'!$N$68,EQ$20&lt;'01_Input'!$O$68),'01_Input'!$Q$68,0),MAX(MIN(EQ$20,'01_Input'!$O$68)-'01_Input'!$N$68,0)*'01_Input'!$Q$68))+IF('01_Input'!$T$68="Forfait",IF(EQ$20&gt;='01_Input'!$R$68,'01_Input'!$U$68,0),IF('01_Input'!$T$68="Palier",IF(AND(EQ$20&gt;='01_Input'!$R$68,EQ$20&lt;'01_Input'!$S$68),'01_Input'!$U$68,0),MAX(MIN(EQ$20,'01_Input'!$S$68)-'01_Input'!$R$68,0)*'01_Input'!$U$68))+IF('01_Input'!$X$68="Forfait",IF(EQ$20&gt;='01_Input'!$V$68,'01_Input'!$Y$68,0),IF('01_Input'!$X$68="Palier",IF(AND(EQ$20&gt;='01_Input'!$V$68,EQ$20&lt;'01_Input'!$W$68),'01_Input'!$Y$68,0),MAX(MIN(EQ$20,'01_Input'!$W$68)-'01_Input'!$V$68,0)*'01_Input'!$Y$68))+IF('01_Input'!$AB$68="Forfait",IF(EQ$20&gt;='01_Input'!$Z$68,'01_Input'!$AC$68,0),IF('01_Input'!$AB$68="Palier",IF(AND(EQ$20&gt;='01_Input'!$Z$68,EQ$20&lt;'01_Input'!$AA$68),'01_Input'!$AC$68,0),MAX(MIN(EQ$20,'01_Input'!$AA$68)-'01_Input'!$Z$68,0)*'01_Input'!$AC$68)))))))))</f>
        <v>0</v>
      </c>
      <c r="ER36" s="83">
        <f>IF('01_Input'!$C$68="Non",0,MIN('01_Input'!$I$68,MAX('01_Input'!$H$68,IF('01_Input'!$G$68="Résiduel vs Gestion",0,IF('01_Input'!$G$68="Taux Classe sélectionnée",Distrib_Global_Classe_Selectionnee*ER$20,IF('01_Input'!$G$68="Frais KYC (paliers de 100M€)",MAX(0,Nb_Investisseurs-Nb_KYC_Gratuites_Par_Tranche*(FLOOR(ER$20/Taille_Tranche_KYC,1)+1))*Cout_Par_KYC_Supplementaire,(IF('01_Input'!$L$68="Forfait",IF(ER$20&gt;='01_Input'!$J$68,'01_Input'!$M$68,0),IF('01_Input'!$L$68="Palier",IF(AND(ER$20&gt;='01_Input'!$J$68,ER$20&lt;'01_Input'!$K$68),'01_Input'!$M$68,0),MAX(MIN(ER$20,'01_Input'!$K$68)-'01_Input'!$J$68,0)*'01_Input'!$M$68))+IF('01_Input'!$P$68="Forfait",IF(ER$20&gt;='01_Input'!$N$68,'01_Input'!$Q$68,0),IF('01_Input'!$P$68="Palier",IF(AND(ER$20&gt;='01_Input'!$N$68,ER$20&lt;'01_Input'!$O$68),'01_Input'!$Q$68,0),MAX(MIN(ER$20,'01_Input'!$O$68)-'01_Input'!$N$68,0)*'01_Input'!$Q$68))+IF('01_Input'!$T$68="Forfait",IF(ER$20&gt;='01_Input'!$R$68,'01_Input'!$U$68,0),IF('01_Input'!$T$68="Palier",IF(AND(ER$20&gt;='01_Input'!$R$68,ER$20&lt;'01_Input'!$S$68),'01_Input'!$U$68,0),MAX(MIN(ER$20,'01_Input'!$S$68)-'01_Input'!$R$68,0)*'01_Input'!$U$68))+IF('01_Input'!$X$68="Forfait",IF(ER$20&gt;='01_Input'!$V$68,'01_Input'!$Y$68,0),IF('01_Input'!$X$68="Palier",IF(AND(ER$20&gt;='01_Input'!$V$68,ER$20&lt;'01_Input'!$W$68),'01_Input'!$Y$68,0),MAX(MIN(ER$20,'01_Input'!$W$68)-'01_Input'!$V$68,0)*'01_Input'!$Y$68))+IF('01_Input'!$AB$68="Forfait",IF(ER$20&gt;='01_Input'!$Z$68,'01_Input'!$AC$68,0),IF('01_Input'!$AB$68="Palier",IF(AND(ER$20&gt;='01_Input'!$Z$68,ER$20&lt;'01_Input'!$AA$68),'01_Input'!$AC$68,0),MAX(MIN(ER$20,'01_Input'!$AA$68)-'01_Input'!$Z$68,0)*'01_Input'!$AC$68)))))))))</f>
        <v>0</v>
      </c>
      <c r="ES36" s="83">
        <f>IF('01_Input'!$C$68="Non",0,MIN('01_Input'!$I$68,MAX('01_Input'!$H$68,IF('01_Input'!$G$68="Résiduel vs Gestion",0,IF('01_Input'!$G$68="Taux Classe sélectionnée",Distrib_Global_Classe_Selectionnee*ES$20,IF('01_Input'!$G$68="Frais KYC (paliers de 100M€)",MAX(0,Nb_Investisseurs-Nb_KYC_Gratuites_Par_Tranche*(FLOOR(ES$20/Taille_Tranche_KYC,1)+1))*Cout_Par_KYC_Supplementaire,(IF('01_Input'!$L$68="Forfait",IF(ES$20&gt;='01_Input'!$J$68,'01_Input'!$M$68,0),IF('01_Input'!$L$68="Palier",IF(AND(ES$20&gt;='01_Input'!$J$68,ES$20&lt;'01_Input'!$K$68),'01_Input'!$M$68,0),MAX(MIN(ES$20,'01_Input'!$K$68)-'01_Input'!$J$68,0)*'01_Input'!$M$68))+IF('01_Input'!$P$68="Forfait",IF(ES$20&gt;='01_Input'!$N$68,'01_Input'!$Q$68,0),IF('01_Input'!$P$68="Palier",IF(AND(ES$20&gt;='01_Input'!$N$68,ES$20&lt;'01_Input'!$O$68),'01_Input'!$Q$68,0),MAX(MIN(ES$20,'01_Input'!$O$68)-'01_Input'!$N$68,0)*'01_Input'!$Q$68))+IF('01_Input'!$T$68="Forfait",IF(ES$20&gt;='01_Input'!$R$68,'01_Input'!$U$68,0),IF('01_Input'!$T$68="Palier",IF(AND(ES$20&gt;='01_Input'!$R$68,ES$20&lt;'01_Input'!$S$68),'01_Input'!$U$68,0),MAX(MIN(ES$20,'01_Input'!$S$68)-'01_Input'!$R$68,0)*'01_Input'!$U$68))+IF('01_Input'!$X$68="Forfait",IF(ES$20&gt;='01_Input'!$V$68,'01_Input'!$Y$68,0),IF('01_Input'!$X$68="Palier",IF(AND(ES$20&gt;='01_Input'!$V$68,ES$20&lt;'01_Input'!$W$68),'01_Input'!$Y$68,0),MAX(MIN(ES$20,'01_Input'!$W$68)-'01_Input'!$V$68,0)*'01_Input'!$Y$68))+IF('01_Input'!$AB$68="Forfait",IF(ES$20&gt;='01_Input'!$Z$68,'01_Input'!$AC$68,0),IF('01_Input'!$AB$68="Palier",IF(AND(ES$20&gt;='01_Input'!$Z$68,ES$20&lt;'01_Input'!$AA$68),'01_Input'!$AC$68,0),MAX(MIN(ES$20,'01_Input'!$AA$68)-'01_Input'!$Z$68,0)*'01_Input'!$AC$68)))))))))</f>
        <v>0</v>
      </c>
      <c r="ET36" s="83">
        <f>IF('01_Input'!$C$68="Non",0,MIN('01_Input'!$I$68,MAX('01_Input'!$H$68,IF('01_Input'!$G$68="Résiduel vs Gestion",0,IF('01_Input'!$G$68="Taux Classe sélectionnée",Distrib_Global_Classe_Selectionnee*ET$20,IF('01_Input'!$G$68="Frais KYC (paliers de 100M€)",MAX(0,Nb_Investisseurs-Nb_KYC_Gratuites_Par_Tranche*(FLOOR(ET$20/Taille_Tranche_KYC,1)+1))*Cout_Par_KYC_Supplementaire,(IF('01_Input'!$L$68="Forfait",IF(ET$20&gt;='01_Input'!$J$68,'01_Input'!$M$68,0),IF('01_Input'!$L$68="Palier",IF(AND(ET$20&gt;='01_Input'!$J$68,ET$20&lt;'01_Input'!$K$68),'01_Input'!$M$68,0),MAX(MIN(ET$20,'01_Input'!$K$68)-'01_Input'!$J$68,0)*'01_Input'!$M$68))+IF('01_Input'!$P$68="Forfait",IF(ET$20&gt;='01_Input'!$N$68,'01_Input'!$Q$68,0),IF('01_Input'!$P$68="Palier",IF(AND(ET$20&gt;='01_Input'!$N$68,ET$20&lt;'01_Input'!$O$68),'01_Input'!$Q$68,0),MAX(MIN(ET$20,'01_Input'!$O$68)-'01_Input'!$N$68,0)*'01_Input'!$Q$68))+IF('01_Input'!$T$68="Forfait",IF(ET$20&gt;='01_Input'!$R$68,'01_Input'!$U$68,0),IF('01_Input'!$T$68="Palier",IF(AND(ET$20&gt;='01_Input'!$R$68,ET$20&lt;'01_Input'!$S$68),'01_Input'!$U$68,0),MAX(MIN(ET$20,'01_Input'!$S$68)-'01_Input'!$R$68,0)*'01_Input'!$U$68))+IF('01_Input'!$X$68="Forfait",IF(ET$20&gt;='01_Input'!$V$68,'01_Input'!$Y$68,0),IF('01_Input'!$X$68="Palier",IF(AND(ET$20&gt;='01_Input'!$V$68,ET$20&lt;'01_Input'!$W$68),'01_Input'!$Y$68,0),MAX(MIN(ET$20,'01_Input'!$W$68)-'01_Input'!$V$68,0)*'01_Input'!$Y$68))+IF('01_Input'!$AB$68="Forfait",IF(ET$20&gt;='01_Input'!$Z$68,'01_Input'!$AC$68,0),IF('01_Input'!$AB$68="Palier",IF(AND(ET$20&gt;='01_Input'!$Z$68,ET$20&lt;'01_Input'!$AA$68),'01_Input'!$AC$68,0),MAX(MIN(ET$20,'01_Input'!$AA$68)-'01_Input'!$Z$68,0)*'01_Input'!$AC$68)))))))))</f>
        <v>0</v>
      </c>
      <c r="EU36" s="83">
        <f>IF('01_Input'!$C$68="Non",0,MIN('01_Input'!$I$68,MAX('01_Input'!$H$68,IF('01_Input'!$G$68="Résiduel vs Gestion",0,IF('01_Input'!$G$68="Taux Classe sélectionnée",Distrib_Global_Classe_Selectionnee*EU$20,IF('01_Input'!$G$68="Frais KYC (paliers de 100M€)",MAX(0,Nb_Investisseurs-Nb_KYC_Gratuites_Par_Tranche*(FLOOR(EU$20/Taille_Tranche_KYC,1)+1))*Cout_Par_KYC_Supplementaire,(IF('01_Input'!$L$68="Forfait",IF(EU$20&gt;='01_Input'!$J$68,'01_Input'!$M$68,0),IF('01_Input'!$L$68="Palier",IF(AND(EU$20&gt;='01_Input'!$J$68,EU$20&lt;'01_Input'!$K$68),'01_Input'!$M$68,0),MAX(MIN(EU$20,'01_Input'!$K$68)-'01_Input'!$J$68,0)*'01_Input'!$M$68))+IF('01_Input'!$P$68="Forfait",IF(EU$20&gt;='01_Input'!$N$68,'01_Input'!$Q$68,0),IF('01_Input'!$P$68="Palier",IF(AND(EU$20&gt;='01_Input'!$N$68,EU$20&lt;'01_Input'!$O$68),'01_Input'!$Q$68,0),MAX(MIN(EU$20,'01_Input'!$O$68)-'01_Input'!$N$68,0)*'01_Input'!$Q$68))+IF('01_Input'!$T$68="Forfait",IF(EU$20&gt;='01_Input'!$R$68,'01_Input'!$U$68,0),IF('01_Input'!$T$68="Palier",IF(AND(EU$20&gt;='01_Input'!$R$68,EU$20&lt;'01_Input'!$S$68),'01_Input'!$U$68,0),MAX(MIN(EU$20,'01_Input'!$S$68)-'01_Input'!$R$68,0)*'01_Input'!$U$68))+IF('01_Input'!$X$68="Forfait",IF(EU$20&gt;='01_Input'!$V$68,'01_Input'!$Y$68,0),IF('01_Input'!$X$68="Palier",IF(AND(EU$20&gt;='01_Input'!$V$68,EU$20&lt;'01_Input'!$W$68),'01_Input'!$Y$68,0),MAX(MIN(EU$20,'01_Input'!$W$68)-'01_Input'!$V$68,0)*'01_Input'!$Y$68))+IF('01_Input'!$AB$68="Forfait",IF(EU$20&gt;='01_Input'!$Z$68,'01_Input'!$AC$68,0),IF('01_Input'!$AB$68="Palier",IF(AND(EU$20&gt;='01_Input'!$Z$68,EU$20&lt;'01_Input'!$AA$68),'01_Input'!$AC$68,0),MAX(MIN(EU$20,'01_Input'!$AA$68)-'01_Input'!$Z$68,0)*'01_Input'!$AC$68)))))))))</f>
        <v>0</v>
      </c>
      <c r="EV36" s="83">
        <f>IF('01_Input'!$C$68="Non",0,MIN('01_Input'!$I$68,MAX('01_Input'!$H$68,IF('01_Input'!$G$68="Résiduel vs Gestion",0,IF('01_Input'!$G$68="Taux Classe sélectionnée",Distrib_Global_Classe_Selectionnee*EV$20,IF('01_Input'!$G$68="Frais KYC (paliers de 100M€)",MAX(0,Nb_Investisseurs-Nb_KYC_Gratuites_Par_Tranche*(FLOOR(EV$20/Taille_Tranche_KYC,1)+1))*Cout_Par_KYC_Supplementaire,(IF('01_Input'!$L$68="Forfait",IF(EV$20&gt;='01_Input'!$J$68,'01_Input'!$M$68,0),IF('01_Input'!$L$68="Palier",IF(AND(EV$20&gt;='01_Input'!$J$68,EV$20&lt;'01_Input'!$K$68),'01_Input'!$M$68,0),MAX(MIN(EV$20,'01_Input'!$K$68)-'01_Input'!$J$68,0)*'01_Input'!$M$68))+IF('01_Input'!$P$68="Forfait",IF(EV$20&gt;='01_Input'!$N$68,'01_Input'!$Q$68,0),IF('01_Input'!$P$68="Palier",IF(AND(EV$20&gt;='01_Input'!$N$68,EV$20&lt;'01_Input'!$O$68),'01_Input'!$Q$68,0),MAX(MIN(EV$20,'01_Input'!$O$68)-'01_Input'!$N$68,0)*'01_Input'!$Q$68))+IF('01_Input'!$T$68="Forfait",IF(EV$20&gt;='01_Input'!$R$68,'01_Input'!$U$68,0),IF('01_Input'!$T$68="Palier",IF(AND(EV$20&gt;='01_Input'!$R$68,EV$20&lt;'01_Input'!$S$68),'01_Input'!$U$68,0),MAX(MIN(EV$20,'01_Input'!$S$68)-'01_Input'!$R$68,0)*'01_Input'!$U$68))+IF('01_Input'!$X$68="Forfait",IF(EV$20&gt;='01_Input'!$V$68,'01_Input'!$Y$68,0),IF('01_Input'!$X$68="Palier",IF(AND(EV$20&gt;='01_Input'!$V$68,EV$20&lt;'01_Input'!$W$68),'01_Input'!$Y$68,0),MAX(MIN(EV$20,'01_Input'!$W$68)-'01_Input'!$V$68,0)*'01_Input'!$Y$68))+IF('01_Input'!$AB$68="Forfait",IF(EV$20&gt;='01_Input'!$Z$68,'01_Input'!$AC$68,0),IF('01_Input'!$AB$68="Palier",IF(AND(EV$20&gt;='01_Input'!$Z$68,EV$20&lt;'01_Input'!$AA$68),'01_Input'!$AC$68,0),MAX(MIN(EV$20,'01_Input'!$AA$68)-'01_Input'!$Z$68,0)*'01_Input'!$AC$68)))))))))</f>
        <v>0</v>
      </c>
      <c r="EW36" s="83">
        <f>IF('01_Input'!$C$68="Non",0,MIN('01_Input'!$I$68,MAX('01_Input'!$H$68,IF('01_Input'!$G$68="Résiduel vs Gestion",0,IF('01_Input'!$G$68="Taux Classe sélectionnée",Distrib_Global_Classe_Selectionnee*EW$20,IF('01_Input'!$G$68="Frais KYC (paliers de 100M€)",MAX(0,Nb_Investisseurs-Nb_KYC_Gratuites_Par_Tranche*(FLOOR(EW$20/Taille_Tranche_KYC,1)+1))*Cout_Par_KYC_Supplementaire,(IF('01_Input'!$L$68="Forfait",IF(EW$20&gt;='01_Input'!$J$68,'01_Input'!$M$68,0),IF('01_Input'!$L$68="Palier",IF(AND(EW$20&gt;='01_Input'!$J$68,EW$20&lt;'01_Input'!$K$68),'01_Input'!$M$68,0),MAX(MIN(EW$20,'01_Input'!$K$68)-'01_Input'!$J$68,0)*'01_Input'!$M$68))+IF('01_Input'!$P$68="Forfait",IF(EW$20&gt;='01_Input'!$N$68,'01_Input'!$Q$68,0),IF('01_Input'!$P$68="Palier",IF(AND(EW$20&gt;='01_Input'!$N$68,EW$20&lt;'01_Input'!$O$68),'01_Input'!$Q$68,0),MAX(MIN(EW$20,'01_Input'!$O$68)-'01_Input'!$N$68,0)*'01_Input'!$Q$68))+IF('01_Input'!$T$68="Forfait",IF(EW$20&gt;='01_Input'!$R$68,'01_Input'!$U$68,0),IF('01_Input'!$T$68="Palier",IF(AND(EW$20&gt;='01_Input'!$R$68,EW$20&lt;'01_Input'!$S$68),'01_Input'!$U$68,0),MAX(MIN(EW$20,'01_Input'!$S$68)-'01_Input'!$R$68,0)*'01_Input'!$U$68))+IF('01_Input'!$X$68="Forfait",IF(EW$20&gt;='01_Input'!$V$68,'01_Input'!$Y$68,0),IF('01_Input'!$X$68="Palier",IF(AND(EW$20&gt;='01_Input'!$V$68,EW$20&lt;'01_Input'!$W$68),'01_Input'!$Y$68,0),MAX(MIN(EW$20,'01_Input'!$W$68)-'01_Input'!$V$68,0)*'01_Input'!$Y$68))+IF('01_Input'!$AB$68="Forfait",IF(EW$20&gt;='01_Input'!$Z$68,'01_Input'!$AC$68,0),IF('01_Input'!$AB$68="Palier",IF(AND(EW$20&gt;='01_Input'!$Z$68,EW$20&lt;'01_Input'!$AA$68),'01_Input'!$AC$68,0),MAX(MIN(EW$20,'01_Input'!$AA$68)-'01_Input'!$Z$68,0)*'01_Input'!$AC$68)))))))))</f>
        <v>0</v>
      </c>
      <c r="EX36" s="83">
        <f>IF('01_Input'!$C$68="Non",0,MIN('01_Input'!$I$68,MAX('01_Input'!$H$68,IF('01_Input'!$G$68="Résiduel vs Gestion",0,IF('01_Input'!$G$68="Taux Classe sélectionnée",Distrib_Global_Classe_Selectionnee*EX$20,IF('01_Input'!$G$68="Frais KYC (paliers de 100M€)",MAX(0,Nb_Investisseurs-Nb_KYC_Gratuites_Par_Tranche*(FLOOR(EX$20/Taille_Tranche_KYC,1)+1))*Cout_Par_KYC_Supplementaire,(IF('01_Input'!$L$68="Forfait",IF(EX$20&gt;='01_Input'!$J$68,'01_Input'!$M$68,0),IF('01_Input'!$L$68="Palier",IF(AND(EX$20&gt;='01_Input'!$J$68,EX$20&lt;'01_Input'!$K$68),'01_Input'!$M$68,0),MAX(MIN(EX$20,'01_Input'!$K$68)-'01_Input'!$J$68,0)*'01_Input'!$M$68))+IF('01_Input'!$P$68="Forfait",IF(EX$20&gt;='01_Input'!$N$68,'01_Input'!$Q$68,0),IF('01_Input'!$P$68="Palier",IF(AND(EX$20&gt;='01_Input'!$N$68,EX$20&lt;'01_Input'!$O$68),'01_Input'!$Q$68,0),MAX(MIN(EX$20,'01_Input'!$O$68)-'01_Input'!$N$68,0)*'01_Input'!$Q$68))+IF('01_Input'!$T$68="Forfait",IF(EX$20&gt;='01_Input'!$R$68,'01_Input'!$U$68,0),IF('01_Input'!$T$68="Palier",IF(AND(EX$20&gt;='01_Input'!$R$68,EX$20&lt;'01_Input'!$S$68),'01_Input'!$U$68,0),MAX(MIN(EX$20,'01_Input'!$S$68)-'01_Input'!$R$68,0)*'01_Input'!$U$68))+IF('01_Input'!$X$68="Forfait",IF(EX$20&gt;='01_Input'!$V$68,'01_Input'!$Y$68,0),IF('01_Input'!$X$68="Palier",IF(AND(EX$20&gt;='01_Input'!$V$68,EX$20&lt;'01_Input'!$W$68),'01_Input'!$Y$68,0),MAX(MIN(EX$20,'01_Input'!$W$68)-'01_Input'!$V$68,0)*'01_Input'!$Y$68))+IF('01_Input'!$AB$68="Forfait",IF(EX$20&gt;='01_Input'!$Z$68,'01_Input'!$AC$68,0),IF('01_Input'!$AB$68="Palier",IF(AND(EX$20&gt;='01_Input'!$Z$68,EX$20&lt;'01_Input'!$AA$68),'01_Input'!$AC$68,0),MAX(MIN(EX$20,'01_Input'!$AA$68)-'01_Input'!$Z$68,0)*'01_Input'!$AC$68)))))))))</f>
        <v>0</v>
      </c>
    </row>
    <row r="37" ht="15.75" customHeight="1">
      <c r="B37" s="40" t="str">
        <f>IF('01_Input'!D69="","(inactif)",'01_Input'!D69)</f>
        <v>Reporting — Solvabilité II (optionnel)</v>
      </c>
      <c r="C37" s="40" t="str">
        <f>IF('01_Input'!E69="","",'01_Input'!E69)</f>
        <v>Prestataire reporting</v>
      </c>
      <c r="D37" s="51" t="str">
        <f>'01_Input'!C69</f>
        <v>Non</v>
      </c>
      <c r="E37" s="25">
        <f>IF('01_Input'!$C$69="Non",0,MIN('01_Input'!$I$69,MAX('01_Input'!$H$69,IF('01_Input'!$G$69="Résiduel vs Gestion",0,IF('01_Input'!$G$69="Taux Classe sélectionnée",Distrib_Global_Classe_Selectionnee*E$20,IF('01_Input'!$G$69="Frais KYC (paliers de 100M€)",MAX(0,Nb_Investisseurs-Nb_KYC_Gratuites_Par_Tranche*(FLOOR(E$20/Taille_Tranche_KYC,1)+1))*Cout_Par_KYC_Supplementaire,(IF('01_Input'!$L$69="Forfait",IF(E$20&gt;='01_Input'!$J$69,'01_Input'!$M$69,0),IF('01_Input'!$L$69="Palier",IF(AND(E$20&gt;='01_Input'!$J$69,E$20&lt;'01_Input'!$K$69),'01_Input'!$M$69,0),MAX(MIN(E$20,'01_Input'!$K$69)-'01_Input'!$J$69,0)*'01_Input'!$M$69))+IF('01_Input'!$P$69="Forfait",IF(E$20&gt;='01_Input'!$N$69,'01_Input'!$Q$69,0),IF('01_Input'!$P$69="Palier",IF(AND(E$20&gt;='01_Input'!$N$69,E$20&lt;'01_Input'!$O$69),'01_Input'!$Q$69,0),MAX(MIN(E$20,'01_Input'!$O$69)-'01_Input'!$N$69,0)*'01_Input'!$Q$69))+IF('01_Input'!$T$69="Forfait",IF(E$20&gt;='01_Input'!$R$69,'01_Input'!$U$69,0),IF('01_Input'!$T$69="Palier",IF(AND(E$20&gt;='01_Input'!$R$69,E$20&lt;'01_Input'!$S$69),'01_Input'!$U$69,0),MAX(MIN(E$20,'01_Input'!$S$69)-'01_Input'!$R$69,0)*'01_Input'!$U$69))+IF('01_Input'!$X$69="Forfait",IF(E$20&gt;='01_Input'!$V$69,'01_Input'!$Y$69,0),IF('01_Input'!$X$69="Palier",IF(AND(E$20&gt;='01_Input'!$V$69,E$20&lt;'01_Input'!$W$69),'01_Input'!$Y$69,0),MAX(MIN(E$20,'01_Input'!$W$69)-'01_Input'!$V$69,0)*'01_Input'!$Y$69))+IF('01_Input'!$AB$69="Forfait",IF(E$20&gt;='01_Input'!$Z$69,'01_Input'!$AC$69,0),IF('01_Input'!$AB$69="Palier",IF(AND(E$20&gt;='01_Input'!$Z$69,E$20&lt;'01_Input'!$AA$69),'01_Input'!$AC$69,0),MAX(MIN(E$20,'01_Input'!$AA$69)-'01_Input'!$Z$69,0)*'01_Input'!$AC$69)))))))))</f>
        <v>0</v>
      </c>
      <c r="F37" s="25">
        <f>IF('01_Input'!$C$69="Non",0,MIN('01_Input'!$I$69,MAX('01_Input'!$H$69,IF('01_Input'!$G$69="Résiduel vs Gestion",0,IF('01_Input'!$G$69="Taux Classe sélectionnée",Distrib_Global_Classe_Selectionnee*F$20,IF('01_Input'!$G$69="Frais KYC (paliers de 100M€)",MAX(0,Nb_Investisseurs-Nb_KYC_Gratuites_Par_Tranche*(FLOOR(F$20/Taille_Tranche_KYC,1)+1))*Cout_Par_KYC_Supplementaire,(IF('01_Input'!$L$69="Forfait",IF(F$20&gt;='01_Input'!$J$69,'01_Input'!$M$69,0),IF('01_Input'!$L$69="Palier",IF(AND(F$20&gt;='01_Input'!$J$69,F$20&lt;'01_Input'!$K$69),'01_Input'!$M$69,0),MAX(MIN(F$20,'01_Input'!$K$69)-'01_Input'!$J$69,0)*'01_Input'!$M$69))+IF('01_Input'!$P$69="Forfait",IF(F$20&gt;='01_Input'!$N$69,'01_Input'!$Q$69,0),IF('01_Input'!$P$69="Palier",IF(AND(F$20&gt;='01_Input'!$N$69,F$20&lt;'01_Input'!$O$69),'01_Input'!$Q$69,0),MAX(MIN(F$20,'01_Input'!$O$69)-'01_Input'!$N$69,0)*'01_Input'!$Q$69))+IF('01_Input'!$T$69="Forfait",IF(F$20&gt;='01_Input'!$R$69,'01_Input'!$U$69,0),IF('01_Input'!$T$69="Palier",IF(AND(F$20&gt;='01_Input'!$R$69,F$20&lt;'01_Input'!$S$69),'01_Input'!$U$69,0),MAX(MIN(F$20,'01_Input'!$S$69)-'01_Input'!$R$69,0)*'01_Input'!$U$69))+IF('01_Input'!$X$69="Forfait",IF(F$20&gt;='01_Input'!$V$69,'01_Input'!$Y$69,0),IF('01_Input'!$X$69="Palier",IF(AND(F$20&gt;='01_Input'!$V$69,F$20&lt;'01_Input'!$W$69),'01_Input'!$Y$69,0),MAX(MIN(F$20,'01_Input'!$W$69)-'01_Input'!$V$69,0)*'01_Input'!$Y$69))+IF('01_Input'!$AB$69="Forfait",IF(F$20&gt;='01_Input'!$Z$69,'01_Input'!$AC$69,0),IF('01_Input'!$AB$69="Palier",IF(AND(F$20&gt;='01_Input'!$Z$69,F$20&lt;'01_Input'!$AA$69),'01_Input'!$AC$69,0),MAX(MIN(F$20,'01_Input'!$AA$69)-'01_Input'!$Z$69,0)*'01_Input'!$AC$69)))))))))</f>
        <v>0</v>
      </c>
      <c r="G37" s="25">
        <f>IF('01_Input'!$C$69="Non",0,MIN('01_Input'!$I$69,MAX('01_Input'!$H$69,IF('01_Input'!$G$69="Résiduel vs Gestion",0,IF('01_Input'!$G$69="Taux Classe sélectionnée",Distrib_Global_Classe_Selectionnee*G$20,IF('01_Input'!$G$69="Frais KYC (paliers de 100M€)",MAX(0,Nb_Investisseurs-Nb_KYC_Gratuites_Par_Tranche*(FLOOR(G$20/Taille_Tranche_KYC,1)+1))*Cout_Par_KYC_Supplementaire,(IF('01_Input'!$L$69="Forfait",IF(G$20&gt;='01_Input'!$J$69,'01_Input'!$M$69,0),IF('01_Input'!$L$69="Palier",IF(AND(G$20&gt;='01_Input'!$J$69,G$20&lt;'01_Input'!$K$69),'01_Input'!$M$69,0),MAX(MIN(G$20,'01_Input'!$K$69)-'01_Input'!$J$69,0)*'01_Input'!$M$69))+IF('01_Input'!$P$69="Forfait",IF(G$20&gt;='01_Input'!$N$69,'01_Input'!$Q$69,0),IF('01_Input'!$P$69="Palier",IF(AND(G$20&gt;='01_Input'!$N$69,G$20&lt;'01_Input'!$O$69),'01_Input'!$Q$69,0),MAX(MIN(G$20,'01_Input'!$O$69)-'01_Input'!$N$69,0)*'01_Input'!$Q$69))+IF('01_Input'!$T$69="Forfait",IF(G$20&gt;='01_Input'!$R$69,'01_Input'!$U$69,0),IF('01_Input'!$T$69="Palier",IF(AND(G$20&gt;='01_Input'!$R$69,G$20&lt;'01_Input'!$S$69),'01_Input'!$U$69,0),MAX(MIN(G$20,'01_Input'!$S$69)-'01_Input'!$R$69,0)*'01_Input'!$U$69))+IF('01_Input'!$X$69="Forfait",IF(G$20&gt;='01_Input'!$V$69,'01_Input'!$Y$69,0),IF('01_Input'!$X$69="Palier",IF(AND(G$20&gt;='01_Input'!$V$69,G$20&lt;'01_Input'!$W$69),'01_Input'!$Y$69,0),MAX(MIN(G$20,'01_Input'!$W$69)-'01_Input'!$V$69,0)*'01_Input'!$Y$69))+IF('01_Input'!$AB$69="Forfait",IF(G$20&gt;='01_Input'!$Z$69,'01_Input'!$AC$69,0),IF('01_Input'!$AB$69="Palier",IF(AND(G$20&gt;='01_Input'!$Z$69,G$20&lt;'01_Input'!$AA$69),'01_Input'!$AC$69,0),MAX(MIN(G$20,'01_Input'!$AA$69)-'01_Input'!$Z$69,0)*'01_Input'!$AC$69)))))))))</f>
        <v>0</v>
      </c>
      <c r="H37" s="25">
        <f>IF('01_Input'!$C$69="Non",0,MIN('01_Input'!$I$69,MAX('01_Input'!$H$69,IF('01_Input'!$G$69="Résiduel vs Gestion",0,IF('01_Input'!$G$69="Taux Classe sélectionnée",Distrib_Global_Classe_Selectionnee*H$20,IF('01_Input'!$G$69="Frais KYC (paliers de 100M€)",MAX(0,Nb_Investisseurs-Nb_KYC_Gratuites_Par_Tranche*(FLOOR(H$20/Taille_Tranche_KYC,1)+1))*Cout_Par_KYC_Supplementaire,(IF('01_Input'!$L$69="Forfait",IF(H$20&gt;='01_Input'!$J$69,'01_Input'!$M$69,0),IF('01_Input'!$L$69="Palier",IF(AND(H$20&gt;='01_Input'!$J$69,H$20&lt;'01_Input'!$K$69),'01_Input'!$M$69,0),MAX(MIN(H$20,'01_Input'!$K$69)-'01_Input'!$J$69,0)*'01_Input'!$M$69))+IF('01_Input'!$P$69="Forfait",IF(H$20&gt;='01_Input'!$N$69,'01_Input'!$Q$69,0),IF('01_Input'!$P$69="Palier",IF(AND(H$20&gt;='01_Input'!$N$69,H$20&lt;'01_Input'!$O$69),'01_Input'!$Q$69,0),MAX(MIN(H$20,'01_Input'!$O$69)-'01_Input'!$N$69,0)*'01_Input'!$Q$69))+IF('01_Input'!$T$69="Forfait",IF(H$20&gt;='01_Input'!$R$69,'01_Input'!$U$69,0),IF('01_Input'!$T$69="Palier",IF(AND(H$20&gt;='01_Input'!$R$69,H$20&lt;'01_Input'!$S$69),'01_Input'!$U$69,0),MAX(MIN(H$20,'01_Input'!$S$69)-'01_Input'!$R$69,0)*'01_Input'!$U$69))+IF('01_Input'!$X$69="Forfait",IF(H$20&gt;='01_Input'!$V$69,'01_Input'!$Y$69,0),IF('01_Input'!$X$69="Palier",IF(AND(H$20&gt;='01_Input'!$V$69,H$20&lt;'01_Input'!$W$69),'01_Input'!$Y$69,0),MAX(MIN(H$20,'01_Input'!$W$69)-'01_Input'!$V$69,0)*'01_Input'!$Y$69))+IF('01_Input'!$AB$69="Forfait",IF(H$20&gt;='01_Input'!$Z$69,'01_Input'!$AC$69,0),IF('01_Input'!$AB$69="Palier",IF(AND(H$20&gt;='01_Input'!$Z$69,H$20&lt;'01_Input'!$AA$69),'01_Input'!$AC$69,0),MAX(MIN(H$20,'01_Input'!$AA$69)-'01_Input'!$Z$69,0)*'01_Input'!$AC$69)))))))))</f>
        <v>0</v>
      </c>
      <c r="I37" s="25">
        <f>IF('01_Input'!$C$69="Non",0,MIN('01_Input'!$I$69,MAX('01_Input'!$H$69,IF('01_Input'!$G$69="Résiduel vs Gestion",0,IF('01_Input'!$G$69="Taux Classe sélectionnée",Distrib_Global_Classe_Selectionnee*I$20,IF('01_Input'!$G$69="Frais KYC (paliers de 100M€)",MAX(0,Nb_Investisseurs-Nb_KYC_Gratuites_Par_Tranche*(FLOOR(I$20/Taille_Tranche_KYC,1)+1))*Cout_Par_KYC_Supplementaire,(IF('01_Input'!$L$69="Forfait",IF(I$20&gt;='01_Input'!$J$69,'01_Input'!$M$69,0),IF('01_Input'!$L$69="Palier",IF(AND(I$20&gt;='01_Input'!$J$69,I$20&lt;'01_Input'!$K$69),'01_Input'!$M$69,0),MAX(MIN(I$20,'01_Input'!$K$69)-'01_Input'!$J$69,0)*'01_Input'!$M$69))+IF('01_Input'!$P$69="Forfait",IF(I$20&gt;='01_Input'!$N$69,'01_Input'!$Q$69,0),IF('01_Input'!$P$69="Palier",IF(AND(I$20&gt;='01_Input'!$N$69,I$20&lt;'01_Input'!$O$69),'01_Input'!$Q$69,0),MAX(MIN(I$20,'01_Input'!$O$69)-'01_Input'!$N$69,0)*'01_Input'!$Q$69))+IF('01_Input'!$T$69="Forfait",IF(I$20&gt;='01_Input'!$R$69,'01_Input'!$U$69,0),IF('01_Input'!$T$69="Palier",IF(AND(I$20&gt;='01_Input'!$R$69,I$20&lt;'01_Input'!$S$69),'01_Input'!$U$69,0),MAX(MIN(I$20,'01_Input'!$S$69)-'01_Input'!$R$69,0)*'01_Input'!$U$69))+IF('01_Input'!$X$69="Forfait",IF(I$20&gt;='01_Input'!$V$69,'01_Input'!$Y$69,0),IF('01_Input'!$X$69="Palier",IF(AND(I$20&gt;='01_Input'!$V$69,I$20&lt;'01_Input'!$W$69),'01_Input'!$Y$69,0),MAX(MIN(I$20,'01_Input'!$W$69)-'01_Input'!$V$69,0)*'01_Input'!$Y$69))+IF('01_Input'!$AB$69="Forfait",IF(I$20&gt;='01_Input'!$Z$69,'01_Input'!$AC$69,0),IF('01_Input'!$AB$69="Palier",IF(AND(I$20&gt;='01_Input'!$Z$69,I$20&lt;'01_Input'!$AA$69),'01_Input'!$AC$69,0),MAX(MIN(I$20,'01_Input'!$AA$69)-'01_Input'!$Z$69,0)*'01_Input'!$AC$69)))))))))</f>
        <v>0</v>
      </c>
      <c r="J37" s="25">
        <f>IF('01_Input'!$C$69="Non",0,MIN('01_Input'!$I$69,MAX('01_Input'!$H$69,IF('01_Input'!$G$69="Résiduel vs Gestion",0,IF('01_Input'!$G$69="Taux Classe sélectionnée",Distrib_Global_Classe_Selectionnee*J$20,IF('01_Input'!$G$69="Frais KYC (paliers de 100M€)",MAX(0,Nb_Investisseurs-Nb_KYC_Gratuites_Par_Tranche*(FLOOR(J$20/Taille_Tranche_KYC,1)+1))*Cout_Par_KYC_Supplementaire,(IF('01_Input'!$L$69="Forfait",IF(J$20&gt;='01_Input'!$J$69,'01_Input'!$M$69,0),IF('01_Input'!$L$69="Palier",IF(AND(J$20&gt;='01_Input'!$J$69,J$20&lt;'01_Input'!$K$69),'01_Input'!$M$69,0),MAX(MIN(J$20,'01_Input'!$K$69)-'01_Input'!$J$69,0)*'01_Input'!$M$69))+IF('01_Input'!$P$69="Forfait",IF(J$20&gt;='01_Input'!$N$69,'01_Input'!$Q$69,0),IF('01_Input'!$P$69="Palier",IF(AND(J$20&gt;='01_Input'!$N$69,J$20&lt;'01_Input'!$O$69),'01_Input'!$Q$69,0),MAX(MIN(J$20,'01_Input'!$O$69)-'01_Input'!$N$69,0)*'01_Input'!$Q$69))+IF('01_Input'!$T$69="Forfait",IF(J$20&gt;='01_Input'!$R$69,'01_Input'!$U$69,0),IF('01_Input'!$T$69="Palier",IF(AND(J$20&gt;='01_Input'!$R$69,J$20&lt;'01_Input'!$S$69),'01_Input'!$U$69,0),MAX(MIN(J$20,'01_Input'!$S$69)-'01_Input'!$R$69,0)*'01_Input'!$U$69))+IF('01_Input'!$X$69="Forfait",IF(J$20&gt;='01_Input'!$V$69,'01_Input'!$Y$69,0),IF('01_Input'!$X$69="Palier",IF(AND(J$20&gt;='01_Input'!$V$69,J$20&lt;'01_Input'!$W$69),'01_Input'!$Y$69,0),MAX(MIN(J$20,'01_Input'!$W$69)-'01_Input'!$V$69,0)*'01_Input'!$Y$69))+IF('01_Input'!$AB$69="Forfait",IF(J$20&gt;='01_Input'!$Z$69,'01_Input'!$AC$69,0),IF('01_Input'!$AB$69="Palier",IF(AND(J$20&gt;='01_Input'!$Z$69,J$20&lt;'01_Input'!$AA$69),'01_Input'!$AC$69,0),MAX(MIN(J$20,'01_Input'!$AA$69)-'01_Input'!$Z$69,0)*'01_Input'!$AC$69)))))))))</f>
        <v>0</v>
      </c>
      <c r="K37" s="25">
        <f>IF('01_Input'!$C$69="Non",0,MIN('01_Input'!$I$69,MAX('01_Input'!$H$69,IF('01_Input'!$G$69="Résiduel vs Gestion",0,IF('01_Input'!$G$69="Taux Classe sélectionnée",Distrib_Global_Classe_Selectionnee*K$20,IF('01_Input'!$G$69="Frais KYC (paliers de 100M€)",MAX(0,Nb_Investisseurs-Nb_KYC_Gratuites_Par_Tranche*(FLOOR(K$20/Taille_Tranche_KYC,1)+1))*Cout_Par_KYC_Supplementaire,(IF('01_Input'!$L$69="Forfait",IF(K$20&gt;='01_Input'!$J$69,'01_Input'!$M$69,0),IF('01_Input'!$L$69="Palier",IF(AND(K$20&gt;='01_Input'!$J$69,K$20&lt;'01_Input'!$K$69),'01_Input'!$M$69,0),MAX(MIN(K$20,'01_Input'!$K$69)-'01_Input'!$J$69,0)*'01_Input'!$M$69))+IF('01_Input'!$P$69="Forfait",IF(K$20&gt;='01_Input'!$N$69,'01_Input'!$Q$69,0),IF('01_Input'!$P$69="Palier",IF(AND(K$20&gt;='01_Input'!$N$69,K$20&lt;'01_Input'!$O$69),'01_Input'!$Q$69,0),MAX(MIN(K$20,'01_Input'!$O$69)-'01_Input'!$N$69,0)*'01_Input'!$Q$69))+IF('01_Input'!$T$69="Forfait",IF(K$20&gt;='01_Input'!$R$69,'01_Input'!$U$69,0),IF('01_Input'!$T$69="Palier",IF(AND(K$20&gt;='01_Input'!$R$69,K$20&lt;'01_Input'!$S$69),'01_Input'!$U$69,0),MAX(MIN(K$20,'01_Input'!$S$69)-'01_Input'!$R$69,0)*'01_Input'!$U$69))+IF('01_Input'!$X$69="Forfait",IF(K$20&gt;='01_Input'!$V$69,'01_Input'!$Y$69,0),IF('01_Input'!$X$69="Palier",IF(AND(K$20&gt;='01_Input'!$V$69,K$20&lt;'01_Input'!$W$69),'01_Input'!$Y$69,0),MAX(MIN(K$20,'01_Input'!$W$69)-'01_Input'!$V$69,0)*'01_Input'!$Y$69))+IF('01_Input'!$AB$69="Forfait",IF(K$20&gt;='01_Input'!$Z$69,'01_Input'!$AC$69,0),IF('01_Input'!$AB$69="Palier",IF(AND(K$20&gt;='01_Input'!$Z$69,K$20&lt;'01_Input'!$AA$69),'01_Input'!$AC$69,0),MAX(MIN(K$20,'01_Input'!$AA$69)-'01_Input'!$Z$69,0)*'01_Input'!$AC$69)))))))))</f>
        <v>0</v>
      </c>
      <c r="L37" s="25">
        <f>IF('01_Input'!$C$69="Non",0,MIN('01_Input'!$I$69,MAX('01_Input'!$H$69,IF('01_Input'!$G$69="Résiduel vs Gestion",0,IF('01_Input'!$G$69="Taux Classe sélectionnée",Distrib_Global_Classe_Selectionnee*L$20,IF('01_Input'!$G$69="Frais KYC (paliers de 100M€)",MAX(0,Nb_Investisseurs-Nb_KYC_Gratuites_Par_Tranche*(FLOOR(L$20/Taille_Tranche_KYC,1)+1))*Cout_Par_KYC_Supplementaire,(IF('01_Input'!$L$69="Forfait",IF(L$20&gt;='01_Input'!$J$69,'01_Input'!$M$69,0),IF('01_Input'!$L$69="Palier",IF(AND(L$20&gt;='01_Input'!$J$69,L$20&lt;'01_Input'!$K$69),'01_Input'!$M$69,0),MAX(MIN(L$20,'01_Input'!$K$69)-'01_Input'!$J$69,0)*'01_Input'!$M$69))+IF('01_Input'!$P$69="Forfait",IF(L$20&gt;='01_Input'!$N$69,'01_Input'!$Q$69,0),IF('01_Input'!$P$69="Palier",IF(AND(L$20&gt;='01_Input'!$N$69,L$20&lt;'01_Input'!$O$69),'01_Input'!$Q$69,0),MAX(MIN(L$20,'01_Input'!$O$69)-'01_Input'!$N$69,0)*'01_Input'!$Q$69))+IF('01_Input'!$T$69="Forfait",IF(L$20&gt;='01_Input'!$R$69,'01_Input'!$U$69,0),IF('01_Input'!$T$69="Palier",IF(AND(L$20&gt;='01_Input'!$R$69,L$20&lt;'01_Input'!$S$69),'01_Input'!$U$69,0),MAX(MIN(L$20,'01_Input'!$S$69)-'01_Input'!$R$69,0)*'01_Input'!$U$69))+IF('01_Input'!$X$69="Forfait",IF(L$20&gt;='01_Input'!$V$69,'01_Input'!$Y$69,0),IF('01_Input'!$X$69="Palier",IF(AND(L$20&gt;='01_Input'!$V$69,L$20&lt;'01_Input'!$W$69),'01_Input'!$Y$69,0),MAX(MIN(L$20,'01_Input'!$W$69)-'01_Input'!$V$69,0)*'01_Input'!$Y$69))+IF('01_Input'!$AB$69="Forfait",IF(L$20&gt;='01_Input'!$Z$69,'01_Input'!$AC$69,0),IF('01_Input'!$AB$69="Palier",IF(AND(L$20&gt;='01_Input'!$Z$69,L$20&lt;'01_Input'!$AA$69),'01_Input'!$AC$69,0),MAX(MIN(L$20,'01_Input'!$AA$69)-'01_Input'!$Z$69,0)*'01_Input'!$AC$69)))))))))</f>
        <v>0</v>
      </c>
      <c r="M37" s="25">
        <f>IF('01_Input'!$C$69="Non",0,MIN('01_Input'!$I$69,MAX('01_Input'!$H$69,IF('01_Input'!$G$69="Résiduel vs Gestion",0,IF('01_Input'!$G$69="Taux Classe sélectionnée",Distrib_Global_Classe_Selectionnee*M$20,IF('01_Input'!$G$69="Frais KYC (paliers de 100M€)",MAX(0,Nb_Investisseurs-Nb_KYC_Gratuites_Par_Tranche*(FLOOR(M$20/Taille_Tranche_KYC,1)+1))*Cout_Par_KYC_Supplementaire,(IF('01_Input'!$L$69="Forfait",IF(M$20&gt;='01_Input'!$J$69,'01_Input'!$M$69,0),IF('01_Input'!$L$69="Palier",IF(AND(M$20&gt;='01_Input'!$J$69,M$20&lt;'01_Input'!$K$69),'01_Input'!$M$69,0),MAX(MIN(M$20,'01_Input'!$K$69)-'01_Input'!$J$69,0)*'01_Input'!$M$69))+IF('01_Input'!$P$69="Forfait",IF(M$20&gt;='01_Input'!$N$69,'01_Input'!$Q$69,0),IF('01_Input'!$P$69="Palier",IF(AND(M$20&gt;='01_Input'!$N$69,M$20&lt;'01_Input'!$O$69),'01_Input'!$Q$69,0),MAX(MIN(M$20,'01_Input'!$O$69)-'01_Input'!$N$69,0)*'01_Input'!$Q$69))+IF('01_Input'!$T$69="Forfait",IF(M$20&gt;='01_Input'!$R$69,'01_Input'!$U$69,0),IF('01_Input'!$T$69="Palier",IF(AND(M$20&gt;='01_Input'!$R$69,M$20&lt;'01_Input'!$S$69),'01_Input'!$U$69,0),MAX(MIN(M$20,'01_Input'!$S$69)-'01_Input'!$R$69,0)*'01_Input'!$U$69))+IF('01_Input'!$X$69="Forfait",IF(M$20&gt;='01_Input'!$V$69,'01_Input'!$Y$69,0),IF('01_Input'!$X$69="Palier",IF(AND(M$20&gt;='01_Input'!$V$69,M$20&lt;'01_Input'!$W$69),'01_Input'!$Y$69,0),MAX(MIN(M$20,'01_Input'!$W$69)-'01_Input'!$V$69,0)*'01_Input'!$Y$69))+IF('01_Input'!$AB$69="Forfait",IF(M$20&gt;='01_Input'!$Z$69,'01_Input'!$AC$69,0),IF('01_Input'!$AB$69="Palier",IF(AND(M$20&gt;='01_Input'!$Z$69,M$20&lt;'01_Input'!$AA$69),'01_Input'!$AC$69,0),MAX(MIN(M$20,'01_Input'!$AA$69)-'01_Input'!$Z$69,0)*'01_Input'!$AC$69)))))))))</f>
        <v>0</v>
      </c>
      <c r="N37" s="25">
        <f>IF('01_Input'!$C$69="Non",0,MIN('01_Input'!$I$69,MAX('01_Input'!$H$69,IF('01_Input'!$G$69="Résiduel vs Gestion",0,IF('01_Input'!$G$69="Taux Classe sélectionnée",Distrib_Global_Classe_Selectionnee*N$20,IF('01_Input'!$G$69="Frais KYC (paliers de 100M€)",MAX(0,Nb_Investisseurs-Nb_KYC_Gratuites_Par_Tranche*(FLOOR(N$20/Taille_Tranche_KYC,1)+1))*Cout_Par_KYC_Supplementaire,(IF('01_Input'!$L$69="Forfait",IF(N$20&gt;='01_Input'!$J$69,'01_Input'!$M$69,0),IF('01_Input'!$L$69="Palier",IF(AND(N$20&gt;='01_Input'!$J$69,N$20&lt;'01_Input'!$K$69),'01_Input'!$M$69,0),MAX(MIN(N$20,'01_Input'!$K$69)-'01_Input'!$J$69,0)*'01_Input'!$M$69))+IF('01_Input'!$P$69="Forfait",IF(N$20&gt;='01_Input'!$N$69,'01_Input'!$Q$69,0),IF('01_Input'!$P$69="Palier",IF(AND(N$20&gt;='01_Input'!$N$69,N$20&lt;'01_Input'!$O$69),'01_Input'!$Q$69,0),MAX(MIN(N$20,'01_Input'!$O$69)-'01_Input'!$N$69,0)*'01_Input'!$Q$69))+IF('01_Input'!$T$69="Forfait",IF(N$20&gt;='01_Input'!$R$69,'01_Input'!$U$69,0),IF('01_Input'!$T$69="Palier",IF(AND(N$20&gt;='01_Input'!$R$69,N$20&lt;'01_Input'!$S$69),'01_Input'!$U$69,0),MAX(MIN(N$20,'01_Input'!$S$69)-'01_Input'!$R$69,0)*'01_Input'!$U$69))+IF('01_Input'!$X$69="Forfait",IF(N$20&gt;='01_Input'!$V$69,'01_Input'!$Y$69,0),IF('01_Input'!$X$69="Palier",IF(AND(N$20&gt;='01_Input'!$V$69,N$20&lt;'01_Input'!$W$69),'01_Input'!$Y$69,0),MAX(MIN(N$20,'01_Input'!$W$69)-'01_Input'!$V$69,0)*'01_Input'!$Y$69))+IF('01_Input'!$AB$69="Forfait",IF(N$20&gt;='01_Input'!$Z$69,'01_Input'!$AC$69,0),IF('01_Input'!$AB$69="Palier",IF(AND(N$20&gt;='01_Input'!$Z$69,N$20&lt;'01_Input'!$AA$69),'01_Input'!$AC$69,0),MAX(MIN(N$20,'01_Input'!$AA$69)-'01_Input'!$Z$69,0)*'01_Input'!$AC$69)))))))))</f>
        <v>0</v>
      </c>
      <c r="O37" s="25">
        <f>IF('01_Input'!$C$69="Non",0,MIN('01_Input'!$I$69,MAX('01_Input'!$H$69,IF('01_Input'!$G$69="Résiduel vs Gestion",0,IF('01_Input'!$G$69="Taux Classe sélectionnée",Distrib_Global_Classe_Selectionnee*O$20,IF('01_Input'!$G$69="Frais KYC (paliers de 100M€)",MAX(0,Nb_Investisseurs-Nb_KYC_Gratuites_Par_Tranche*(FLOOR(O$20/Taille_Tranche_KYC,1)+1))*Cout_Par_KYC_Supplementaire,(IF('01_Input'!$L$69="Forfait",IF(O$20&gt;='01_Input'!$J$69,'01_Input'!$M$69,0),IF('01_Input'!$L$69="Palier",IF(AND(O$20&gt;='01_Input'!$J$69,O$20&lt;'01_Input'!$K$69),'01_Input'!$M$69,0),MAX(MIN(O$20,'01_Input'!$K$69)-'01_Input'!$J$69,0)*'01_Input'!$M$69))+IF('01_Input'!$P$69="Forfait",IF(O$20&gt;='01_Input'!$N$69,'01_Input'!$Q$69,0),IF('01_Input'!$P$69="Palier",IF(AND(O$20&gt;='01_Input'!$N$69,O$20&lt;'01_Input'!$O$69),'01_Input'!$Q$69,0),MAX(MIN(O$20,'01_Input'!$O$69)-'01_Input'!$N$69,0)*'01_Input'!$Q$69))+IF('01_Input'!$T$69="Forfait",IF(O$20&gt;='01_Input'!$R$69,'01_Input'!$U$69,0),IF('01_Input'!$T$69="Palier",IF(AND(O$20&gt;='01_Input'!$R$69,O$20&lt;'01_Input'!$S$69),'01_Input'!$U$69,0),MAX(MIN(O$20,'01_Input'!$S$69)-'01_Input'!$R$69,0)*'01_Input'!$U$69))+IF('01_Input'!$X$69="Forfait",IF(O$20&gt;='01_Input'!$V$69,'01_Input'!$Y$69,0),IF('01_Input'!$X$69="Palier",IF(AND(O$20&gt;='01_Input'!$V$69,O$20&lt;'01_Input'!$W$69),'01_Input'!$Y$69,0),MAX(MIN(O$20,'01_Input'!$W$69)-'01_Input'!$V$69,0)*'01_Input'!$Y$69))+IF('01_Input'!$AB$69="Forfait",IF(O$20&gt;='01_Input'!$Z$69,'01_Input'!$AC$69,0),IF('01_Input'!$AB$69="Palier",IF(AND(O$20&gt;='01_Input'!$Z$69,O$20&lt;'01_Input'!$AA$69),'01_Input'!$AC$69,0),MAX(MIN(O$20,'01_Input'!$AA$69)-'01_Input'!$Z$69,0)*'01_Input'!$AC$69)))))))))</f>
        <v>0</v>
      </c>
      <c r="P37" s="25">
        <f>IF('01_Input'!$C$69="Non",0,MIN('01_Input'!$I$69,MAX('01_Input'!$H$69,IF('01_Input'!$G$69="Résiduel vs Gestion",0,IF('01_Input'!$G$69="Taux Classe sélectionnée",Distrib_Global_Classe_Selectionnee*P$20,IF('01_Input'!$G$69="Frais KYC (paliers de 100M€)",MAX(0,Nb_Investisseurs-Nb_KYC_Gratuites_Par_Tranche*(FLOOR(P$20/Taille_Tranche_KYC,1)+1))*Cout_Par_KYC_Supplementaire,(IF('01_Input'!$L$69="Forfait",IF(P$20&gt;='01_Input'!$J$69,'01_Input'!$M$69,0),IF('01_Input'!$L$69="Palier",IF(AND(P$20&gt;='01_Input'!$J$69,P$20&lt;'01_Input'!$K$69),'01_Input'!$M$69,0),MAX(MIN(P$20,'01_Input'!$K$69)-'01_Input'!$J$69,0)*'01_Input'!$M$69))+IF('01_Input'!$P$69="Forfait",IF(P$20&gt;='01_Input'!$N$69,'01_Input'!$Q$69,0),IF('01_Input'!$P$69="Palier",IF(AND(P$20&gt;='01_Input'!$N$69,P$20&lt;'01_Input'!$O$69),'01_Input'!$Q$69,0),MAX(MIN(P$20,'01_Input'!$O$69)-'01_Input'!$N$69,0)*'01_Input'!$Q$69))+IF('01_Input'!$T$69="Forfait",IF(P$20&gt;='01_Input'!$R$69,'01_Input'!$U$69,0),IF('01_Input'!$T$69="Palier",IF(AND(P$20&gt;='01_Input'!$R$69,P$20&lt;'01_Input'!$S$69),'01_Input'!$U$69,0),MAX(MIN(P$20,'01_Input'!$S$69)-'01_Input'!$R$69,0)*'01_Input'!$U$69))+IF('01_Input'!$X$69="Forfait",IF(P$20&gt;='01_Input'!$V$69,'01_Input'!$Y$69,0),IF('01_Input'!$X$69="Palier",IF(AND(P$20&gt;='01_Input'!$V$69,P$20&lt;'01_Input'!$W$69),'01_Input'!$Y$69,0),MAX(MIN(P$20,'01_Input'!$W$69)-'01_Input'!$V$69,0)*'01_Input'!$Y$69))+IF('01_Input'!$AB$69="Forfait",IF(P$20&gt;='01_Input'!$Z$69,'01_Input'!$AC$69,0),IF('01_Input'!$AB$69="Palier",IF(AND(P$20&gt;='01_Input'!$Z$69,P$20&lt;'01_Input'!$AA$69),'01_Input'!$AC$69,0),MAX(MIN(P$20,'01_Input'!$AA$69)-'01_Input'!$Z$69,0)*'01_Input'!$AC$69)))))))))</f>
        <v>0</v>
      </c>
      <c r="Q37" s="25">
        <f>IF('01_Input'!$C$69="Non",0,MIN('01_Input'!$I$69,MAX('01_Input'!$H$69,IF('01_Input'!$G$69="Résiduel vs Gestion",0,IF('01_Input'!$G$69="Taux Classe sélectionnée",Distrib_Global_Classe_Selectionnee*Q$20,IF('01_Input'!$G$69="Frais KYC (paliers de 100M€)",MAX(0,Nb_Investisseurs-Nb_KYC_Gratuites_Par_Tranche*(FLOOR(Q$20/Taille_Tranche_KYC,1)+1))*Cout_Par_KYC_Supplementaire,(IF('01_Input'!$L$69="Forfait",IF(Q$20&gt;='01_Input'!$J$69,'01_Input'!$M$69,0),IF('01_Input'!$L$69="Palier",IF(AND(Q$20&gt;='01_Input'!$J$69,Q$20&lt;'01_Input'!$K$69),'01_Input'!$M$69,0),MAX(MIN(Q$20,'01_Input'!$K$69)-'01_Input'!$J$69,0)*'01_Input'!$M$69))+IF('01_Input'!$P$69="Forfait",IF(Q$20&gt;='01_Input'!$N$69,'01_Input'!$Q$69,0),IF('01_Input'!$P$69="Palier",IF(AND(Q$20&gt;='01_Input'!$N$69,Q$20&lt;'01_Input'!$O$69),'01_Input'!$Q$69,0),MAX(MIN(Q$20,'01_Input'!$O$69)-'01_Input'!$N$69,0)*'01_Input'!$Q$69))+IF('01_Input'!$T$69="Forfait",IF(Q$20&gt;='01_Input'!$R$69,'01_Input'!$U$69,0),IF('01_Input'!$T$69="Palier",IF(AND(Q$20&gt;='01_Input'!$R$69,Q$20&lt;'01_Input'!$S$69),'01_Input'!$U$69,0),MAX(MIN(Q$20,'01_Input'!$S$69)-'01_Input'!$R$69,0)*'01_Input'!$U$69))+IF('01_Input'!$X$69="Forfait",IF(Q$20&gt;='01_Input'!$V$69,'01_Input'!$Y$69,0),IF('01_Input'!$X$69="Palier",IF(AND(Q$20&gt;='01_Input'!$V$69,Q$20&lt;'01_Input'!$W$69),'01_Input'!$Y$69,0),MAX(MIN(Q$20,'01_Input'!$W$69)-'01_Input'!$V$69,0)*'01_Input'!$Y$69))+IF('01_Input'!$AB$69="Forfait",IF(Q$20&gt;='01_Input'!$Z$69,'01_Input'!$AC$69,0),IF('01_Input'!$AB$69="Palier",IF(AND(Q$20&gt;='01_Input'!$Z$69,Q$20&lt;'01_Input'!$AA$69),'01_Input'!$AC$69,0),MAX(MIN(Q$20,'01_Input'!$AA$69)-'01_Input'!$Z$69,0)*'01_Input'!$AC$69)))))))))</f>
        <v>0</v>
      </c>
      <c r="R37" s="25">
        <f>IF('01_Input'!$C$69="Non",0,MIN('01_Input'!$I$69,MAX('01_Input'!$H$69,IF('01_Input'!$G$69="Résiduel vs Gestion",0,IF('01_Input'!$G$69="Taux Classe sélectionnée",Distrib_Global_Classe_Selectionnee*R$20,IF('01_Input'!$G$69="Frais KYC (paliers de 100M€)",MAX(0,Nb_Investisseurs-Nb_KYC_Gratuites_Par_Tranche*(FLOOR(R$20/Taille_Tranche_KYC,1)+1))*Cout_Par_KYC_Supplementaire,(IF('01_Input'!$L$69="Forfait",IF(R$20&gt;='01_Input'!$J$69,'01_Input'!$M$69,0),IF('01_Input'!$L$69="Palier",IF(AND(R$20&gt;='01_Input'!$J$69,R$20&lt;'01_Input'!$K$69),'01_Input'!$M$69,0),MAX(MIN(R$20,'01_Input'!$K$69)-'01_Input'!$J$69,0)*'01_Input'!$M$69))+IF('01_Input'!$P$69="Forfait",IF(R$20&gt;='01_Input'!$N$69,'01_Input'!$Q$69,0),IF('01_Input'!$P$69="Palier",IF(AND(R$20&gt;='01_Input'!$N$69,R$20&lt;'01_Input'!$O$69),'01_Input'!$Q$69,0),MAX(MIN(R$20,'01_Input'!$O$69)-'01_Input'!$N$69,0)*'01_Input'!$Q$69))+IF('01_Input'!$T$69="Forfait",IF(R$20&gt;='01_Input'!$R$69,'01_Input'!$U$69,0),IF('01_Input'!$T$69="Palier",IF(AND(R$20&gt;='01_Input'!$R$69,R$20&lt;'01_Input'!$S$69),'01_Input'!$U$69,0),MAX(MIN(R$20,'01_Input'!$S$69)-'01_Input'!$R$69,0)*'01_Input'!$U$69))+IF('01_Input'!$X$69="Forfait",IF(R$20&gt;='01_Input'!$V$69,'01_Input'!$Y$69,0),IF('01_Input'!$X$69="Palier",IF(AND(R$20&gt;='01_Input'!$V$69,R$20&lt;'01_Input'!$W$69),'01_Input'!$Y$69,0),MAX(MIN(R$20,'01_Input'!$W$69)-'01_Input'!$V$69,0)*'01_Input'!$Y$69))+IF('01_Input'!$AB$69="Forfait",IF(R$20&gt;='01_Input'!$Z$69,'01_Input'!$AC$69,0),IF('01_Input'!$AB$69="Palier",IF(AND(R$20&gt;='01_Input'!$Z$69,R$20&lt;'01_Input'!$AA$69),'01_Input'!$AC$69,0),MAX(MIN(R$20,'01_Input'!$AA$69)-'01_Input'!$Z$69,0)*'01_Input'!$AC$69)))))))))</f>
        <v>0</v>
      </c>
      <c r="S37" s="25">
        <f>IF('01_Input'!$C$69="Non",0,MIN('01_Input'!$I$69,MAX('01_Input'!$H$69,IF('01_Input'!$G$69="Résiduel vs Gestion",0,IF('01_Input'!$G$69="Taux Classe sélectionnée",Distrib_Global_Classe_Selectionnee*S$20,IF('01_Input'!$G$69="Frais KYC (paliers de 100M€)",MAX(0,Nb_Investisseurs-Nb_KYC_Gratuites_Par_Tranche*(FLOOR(S$20/Taille_Tranche_KYC,1)+1))*Cout_Par_KYC_Supplementaire,(IF('01_Input'!$L$69="Forfait",IF(S$20&gt;='01_Input'!$J$69,'01_Input'!$M$69,0),IF('01_Input'!$L$69="Palier",IF(AND(S$20&gt;='01_Input'!$J$69,S$20&lt;'01_Input'!$K$69),'01_Input'!$M$69,0),MAX(MIN(S$20,'01_Input'!$K$69)-'01_Input'!$J$69,0)*'01_Input'!$M$69))+IF('01_Input'!$P$69="Forfait",IF(S$20&gt;='01_Input'!$N$69,'01_Input'!$Q$69,0),IF('01_Input'!$P$69="Palier",IF(AND(S$20&gt;='01_Input'!$N$69,S$20&lt;'01_Input'!$O$69),'01_Input'!$Q$69,0),MAX(MIN(S$20,'01_Input'!$O$69)-'01_Input'!$N$69,0)*'01_Input'!$Q$69))+IF('01_Input'!$T$69="Forfait",IF(S$20&gt;='01_Input'!$R$69,'01_Input'!$U$69,0),IF('01_Input'!$T$69="Palier",IF(AND(S$20&gt;='01_Input'!$R$69,S$20&lt;'01_Input'!$S$69),'01_Input'!$U$69,0),MAX(MIN(S$20,'01_Input'!$S$69)-'01_Input'!$R$69,0)*'01_Input'!$U$69))+IF('01_Input'!$X$69="Forfait",IF(S$20&gt;='01_Input'!$V$69,'01_Input'!$Y$69,0),IF('01_Input'!$X$69="Palier",IF(AND(S$20&gt;='01_Input'!$V$69,S$20&lt;'01_Input'!$W$69),'01_Input'!$Y$69,0),MAX(MIN(S$20,'01_Input'!$W$69)-'01_Input'!$V$69,0)*'01_Input'!$Y$69))+IF('01_Input'!$AB$69="Forfait",IF(S$20&gt;='01_Input'!$Z$69,'01_Input'!$AC$69,0),IF('01_Input'!$AB$69="Palier",IF(AND(S$20&gt;='01_Input'!$Z$69,S$20&lt;'01_Input'!$AA$69),'01_Input'!$AC$69,0),MAX(MIN(S$20,'01_Input'!$AA$69)-'01_Input'!$Z$69,0)*'01_Input'!$AC$69)))))))))</f>
        <v>0</v>
      </c>
      <c r="T37" s="25">
        <f>IF('01_Input'!$C$69="Non",0,MIN('01_Input'!$I$69,MAX('01_Input'!$H$69,IF('01_Input'!$G$69="Résiduel vs Gestion",0,IF('01_Input'!$G$69="Taux Classe sélectionnée",Distrib_Global_Classe_Selectionnee*T$20,IF('01_Input'!$G$69="Frais KYC (paliers de 100M€)",MAX(0,Nb_Investisseurs-Nb_KYC_Gratuites_Par_Tranche*(FLOOR(T$20/Taille_Tranche_KYC,1)+1))*Cout_Par_KYC_Supplementaire,(IF('01_Input'!$L$69="Forfait",IF(T$20&gt;='01_Input'!$J$69,'01_Input'!$M$69,0),IF('01_Input'!$L$69="Palier",IF(AND(T$20&gt;='01_Input'!$J$69,T$20&lt;'01_Input'!$K$69),'01_Input'!$M$69,0),MAX(MIN(T$20,'01_Input'!$K$69)-'01_Input'!$J$69,0)*'01_Input'!$M$69))+IF('01_Input'!$P$69="Forfait",IF(T$20&gt;='01_Input'!$N$69,'01_Input'!$Q$69,0),IF('01_Input'!$P$69="Palier",IF(AND(T$20&gt;='01_Input'!$N$69,T$20&lt;'01_Input'!$O$69),'01_Input'!$Q$69,0),MAX(MIN(T$20,'01_Input'!$O$69)-'01_Input'!$N$69,0)*'01_Input'!$Q$69))+IF('01_Input'!$T$69="Forfait",IF(T$20&gt;='01_Input'!$R$69,'01_Input'!$U$69,0),IF('01_Input'!$T$69="Palier",IF(AND(T$20&gt;='01_Input'!$R$69,T$20&lt;'01_Input'!$S$69),'01_Input'!$U$69,0),MAX(MIN(T$20,'01_Input'!$S$69)-'01_Input'!$R$69,0)*'01_Input'!$U$69))+IF('01_Input'!$X$69="Forfait",IF(T$20&gt;='01_Input'!$V$69,'01_Input'!$Y$69,0),IF('01_Input'!$X$69="Palier",IF(AND(T$20&gt;='01_Input'!$V$69,T$20&lt;'01_Input'!$W$69),'01_Input'!$Y$69,0),MAX(MIN(T$20,'01_Input'!$W$69)-'01_Input'!$V$69,0)*'01_Input'!$Y$69))+IF('01_Input'!$AB$69="Forfait",IF(T$20&gt;='01_Input'!$Z$69,'01_Input'!$AC$69,0),IF('01_Input'!$AB$69="Palier",IF(AND(T$20&gt;='01_Input'!$Z$69,T$20&lt;'01_Input'!$AA$69),'01_Input'!$AC$69,0),MAX(MIN(T$20,'01_Input'!$AA$69)-'01_Input'!$Z$69,0)*'01_Input'!$AC$69)))))))))</f>
        <v>0</v>
      </c>
      <c r="U37" s="25">
        <f>IF('01_Input'!$C$69="Non",0,MIN('01_Input'!$I$69,MAX('01_Input'!$H$69,IF('01_Input'!$G$69="Résiduel vs Gestion",0,IF('01_Input'!$G$69="Taux Classe sélectionnée",Distrib_Global_Classe_Selectionnee*U$20,IF('01_Input'!$G$69="Frais KYC (paliers de 100M€)",MAX(0,Nb_Investisseurs-Nb_KYC_Gratuites_Par_Tranche*(FLOOR(U$20/Taille_Tranche_KYC,1)+1))*Cout_Par_KYC_Supplementaire,(IF('01_Input'!$L$69="Forfait",IF(U$20&gt;='01_Input'!$J$69,'01_Input'!$M$69,0),IF('01_Input'!$L$69="Palier",IF(AND(U$20&gt;='01_Input'!$J$69,U$20&lt;'01_Input'!$K$69),'01_Input'!$M$69,0),MAX(MIN(U$20,'01_Input'!$K$69)-'01_Input'!$J$69,0)*'01_Input'!$M$69))+IF('01_Input'!$P$69="Forfait",IF(U$20&gt;='01_Input'!$N$69,'01_Input'!$Q$69,0),IF('01_Input'!$P$69="Palier",IF(AND(U$20&gt;='01_Input'!$N$69,U$20&lt;'01_Input'!$O$69),'01_Input'!$Q$69,0),MAX(MIN(U$20,'01_Input'!$O$69)-'01_Input'!$N$69,0)*'01_Input'!$Q$69))+IF('01_Input'!$T$69="Forfait",IF(U$20&gt;='01_Input'!$R$69,'01_Input'!$U$69,0),IF('01_Input'!$T$69="Palier",IF(AND(U$20&gt;='01_Input'!$R$69,U$20&lt;'01_Input'!$S$69),'01_Input'!$U$69,0),MAX(MIN(U$20,'01_Input'!$S$69)-'01_Input'!$R$69,0)*'01_Input'!$U$69))+IF('01_Input'!$X$69="Forfait",IF(U$20&gt;='01_Input'!$V$69,'01_Input'!$Y$69,0),IF('01_Input'!$X$69="Palier",IF(AND(U$20&gt;='01_Input'!$V$69,U$20&lt;'01_Input'!$W$69),'01_Input'!$Y$69,0),MAX(MIN(U$20,'01_Input'!$W$69)-'01_Input'!$V$69,0)*'01_Input'!$Y$69))+IF('01_Input'!$AB$69="Forfait",IF(U$20&gt;='01_Input'!$Z$69,'01_Input'!$AC$69,0),IF('01_Input'!$AB$69="Palier",IF(AND(U$20&gt;='01_Input'!$Z$69,U$20&lt;'01_Input'!$AA$69),'01_Input'!$AC$69,0),MAX(MIN(U$20,'01_Input'!$AA$69)-'01_Input'!$Z$69,0)*'01_Input'!$AC$69)))))))))</f>
        <v>0</v>
      </c>
      <c r="V37" s="25">
        <f>IF('01_Input'!$C$69="Non",0,MIN('01_Input'!$I$69,MAX('01_Input'!$H$69,IF('01_Input'!$G$69="Résiduel vs Gestion",0,IF('01_Input'!$G$69="Taux Classe sélectionnée",Distrib_Global_Classe_Selectionnee*V$20,IF('01_Input'!$G$69="Frais KYC (paliers de 100M€)",MAX(0,Nb_Investisseurs-Nb_KYC_Gratuites_Par_Tranche*(FLOOR(V$20/Taille_Tranche_KYC,1)+1))*Cout_Par_KYC_Supplementaire,(IF('01_Input'!$L$69="Forfait",IF(V$20&gt;='01_Input'!$J$69,'01_Input'!$M$69,0),IF('01_Input'!$L$69="Palier",IF(AND(V$20&gt;='01_Input'!$J$69,V$20&lt;'01_Input'!$K$69),'01_Input'!$M$69,0),MAX(MIN(V$20,'01_Input'!$K$69)-'01_Input'!$J$69,0)*'01_Input'!$M$69))+IF('01_Input'!$P$69="Forfait",IF(V$20&gt;='01_Input'!$N$69,'01_Input'!$Q$69,0),IF('01_Input'!$P$69="Palier",IF(AND(V$20&gt;='01_Input'!$N$69,V$20&lt;'01_Input'!$O$69),'01_Input'!$Q$69,0),MAX(MIN(V$20,'01_Input'!$O$69)-'01_Input'!$N$69,0)*'01_Input'!$Q$69))+IF('01_Input'!$T$69="Forfait",IF(V$20&gt;='01_Input'!$R$69,'01_Input'!$U$69,0),IF('01_Input'!$T$69="Palier",IF(AND(V$20&gt;='01_Input'!$R$69,V$20&lt;'01_Input'!$S$69),'01_Input'!$U$69,0),MAX(MIN(V$20,'01_Input'!$S$69)-'01_Input'!$R$69,0)*'01_Input'!$U$69))+IF('01_Input'!$X$69="Forfait",IF(V$20&gt;='01_Input'!$V$69,'01_Input'!$Y$69,0),IF('01_Input'!$X$69="Palier",IF(AND(V$20&gt;='01_Input'!$V$69,V$20&lt;'01_Input'!$W$69),'01_Input'!$Y$69,0),MAX(MIN(V$20,'01_Input'!$W$69)-'01_Input'!$V$69,0)*'01_Input'!$Y$69))+IF('01_Input'!$AB$69="Forfait",IF(V$20&gt;='01_Input'!$Z$69,'01_Input'!$AC$69,0),IF('01_Input'!$AB$69="Palier",IF(AND(V$20&gt;='01_Input'!$Z$69,V$20&lt;'01_Input'!$AA$69),'01_Input'!$AC$69,0),MAX(MIN(V$20,'01_Input'!$AA$69)-'01_Input'!$Z$69,0)*'01_Input'!$AC$69)))))))))</f>
        <v>0</v>
      </c>
      <c r="W37" s="25">
        <f>IF('01_Input'!$C$69="Non",0,MIN('01_Input'!$I$69,MAX('01_Input'!$H$69,IF('01_Input'!$G$69="Résiduel vs Gestion",0,IF('01_Input'!$G$69="Taux Classe sélectionnée",Distrib_Global_Classe_Selectionnee*W$20,IF('01_Input'!$G$69="Frais KYC (paliers de 100M€)",MAX(0,Nb_Investisseurs-Nb_KYC_Gratuites_Par_Tranche*(FLOOR(W$20/Taille_Tranche_KYC,1)+1))*Cout_Par_KYC_Supplementaire,(IF('01_Input'!$L$69="Forfait",IF(W$20&gt;='01_Input'!$J$69,'01_Input'!$M$69,0),IF('01_Input'!$L$69="Palier",IF(AND(W$20&gt;='01_Input'!$J$69,W$20&lt;'01_Input'!$K$69),'01_Input'!$M$69,0),MAX(MIN(W$20,'01_Input'!$K$69)-'01_Input'!$J$69,0)*'01_Input'!$M$69))+IF('01_Input'!$P$69="Forfait",IF(W$20&gt;='01_Input'!$N$69,'01_Input'!$Q$69,0),IF('01_Input'!$P$69="Palier",IF(AND(W$20&gt;='01_Input'!$N$69,W$20&lt;'01_Input'!$O$69),'01_Input'!$Q$69,0),MAX(MIN(W$20,'01_Input'!$O$69)-'01_Input'!$N$69,0)*'01_Input'!$Q$69))+IF('01_Input'!$T$69="Forfait",IF(W$20&gt;='01_Input'!$R$69,'01_Input'!$U$69,0),IF('01_Input'!$T$69="Palier",IF(AND(W$20&gt;='01_Input'!$R$69,W$20&lt;'01_Input'!$S$69),'01_Input'!$U$69,0),MAX(MIN(W$20,'01_Input'!$S$69)-'01_Input'!$R$69,0)*'01_Input'!$U$69))+IF('01_Input'!$X$69="Forfait",IF(W$20&gt;='01_Input'!$V$69,'01_Input'!$Y$69,0),IF('01_Input'!$X$69="Palier",IF(AND(W$20&gt;='01_Input'!$V$69,W$20&lt;'01_Input'!$W$69),'01_Input'!$Y$69,0),MAX(MIN(W$20,'01_Input'!$W$69)-'01_Input'!$V$69,0)*'01_Input'!$Y$69))+IF('01_Input'!$AB$69="Forfait",IF(W$20&gt;='01_Input'!$Z$69,'01_Input'!$AC$69,0),IF('01_Input'!$AB$69="Palier",IF(AND(W$20&gt;='01_Input'!$Z$69,W$20&lt;'01_Input'!$AA$69),'01_Input'!$AC$69,0),MAX(MIN(W$20,'01_Input'!$AA$69)-'01_Input'!$Z$69,0)*'01_Input'!$AC$69)))))))))</f>
        <v>0</v>
      </c>
      <c r="X37" s="25">
        <f>IF('01_Input'!$C$69="Non",0,MIN('01_Input'!$I$69,MAX('01_Input'!$H$69,IF('01_Input'!$G$69="Résiduel vs Gestion",0,IF('01_Input'!$G$69="Taux Classe sélectionnée",Distrib_Global_Classe_Selectionnee*X$20,IF('01_Input'!$G$69="Frais KYC (paliers de 100M€)",MAX(0,Nb_Investisseurs-Nb_KYC_Gratuites_Par_Tranche*(FLOOR(X$20/Taille_Tranche_KYC,1)+1))*Cout_Par_KYC_Supplementaire,(IF('01_Input'!$L$69="Forfait",IF(X$20&gt;='01_Input'!$J$69,'01_Input'!$M$69,0),IF('01_Input'!$L$69="Palier",IF(AND(X$20&gt;='01_Input'!$J$69,X$20&lt;'01_Input'!$K$69),'01_Input'!$M$69,0),MAX(MIN(X$20,'01_Input'!$K$69)-'01_Input'!$J$69,0)*'01_Input'!$M$69))+IF('01_Input'!$P$69="Forfait",IF(X$20&gt;='01_Input'!$N$69,'01_Input'!$Q$69,0),IF('01_Input'!$P$69="Palier",IF(AND(X$20&gt;='01_Input'!$N$69,X$20&lt;'01_Input'!$O$69),'01_Input'!$Q$69,0),MAX(MIN(X$20,'01_Input'!$O$69)-'01_Input'!$N$69,0)*'01_Input'!$Q$69))+IF('01_Input'!$T$69="Forfait",IF(X$20&gt;='01_Input'!$R$69,'01_Input'!$U$69,0),IF('01_Input'!$T$69="Palier",IF(AND(X$20&gt;='01_Input'!$R$69,X$20&lt;'01_Input'!$S$69),'01_Input'!$U$69,0),MAX(MIN(X$20,'01_Input'!$S$69)-'01_Input'!$R$69,0)*'01_Input'!$U$69))+IF('01_Input'!$X$69="Forfait",IF(X$20&gt;='01_Input'!$V$69,'01_Input'!$Y$69,0),IF('01_Input'!$X$69="Palier",IF(AND(X$20&gt;='01_Input'!$V$69,X$20&lt;'01_Input'!$W$69),'01_Input'!$Y$69,0),MAX(MIN(X$20,'01_Input'!$W$69)-'01_Input'!$V$69,0)*'01_Input'!$Y$69))+IF('01_Input'!$AB$69="Forfait",IF(X$20&gt;='01_Input'!$Z$69,'01_Input'!$AC$69,0),IF('01_Input'!$AB$69="Palier",IF(AND(X$20&gt;='01_Input'!$Z$69,X$20&lt;'01_Input'!$AA$69),'01_Input'!$AC$69,0),MAX(MIN(X$20,'01_Input'!$AA$69)-'01_Input'!$Z$69,0)*'01_Input'!$AC$69)))))))))</f>
        <v>0</v>
      </c>
      <c r="Y37" s="25">
        <f>IF('01_Input'!$C$69="Non",0,MIN('01_Input'!$I$69,MAX('01_Input'!$H$69,IF('01_Input'!$G$69="Résiduel vs Gestion",0,IF('01_Input'!$G$69="Taux Classe sélectionnée",Distrib_Global_Classe_Selectionnee*Y$20,IF('01_Input'!$G$69="Frais KYC (paliers de 100M€)",MAX(0,Nb_Investisseurs-Nb_KYC_Gratuites_Par_Tranche*(FLOOR(Y$20/Taille_Tranche_KYC,1)+1))*Cout_Par_KYC_Supplementaire,(IF('01_Input'!$L$69="Forfait",IF(Y$20&gt;='01_Input'!$J$69,'01_Input'!$M$69,0),IF('01_Input'!$L$69="Palier",IF(AND(Y$20&gt;='01_Input'!$J$69,Y$20&lt;'01_Input'!$K$69),'01_Input'!$M$69,0),MAX(MIN(Y$20,'01_Input'!$K$69)-'01_Input'!$J$69,0)*'01_Input'!$M$69))+IF('01_Input'!$P$69="Forfait",IF(Y$20&gt;='01_Input'!$N$69,'01_Input'!$Q$69,0),IF('01_Input'!$P$69="Palier",IF(AND(Y$20&gt;='01_Input'!$N$69,Y$20&lt;'01_Input'!$O$69),'01_Input'!$Q$69,0),MAX(MIN(Y$20,'01_Input'!$O$69)-'01_Input'!$N$69,0)*'01_Input'!$Q$69))+IF('01_Input'!$T$69="Forfait",IF(Y$20&gt;='01_Input'!$R$69,'01_Input'!$U$69,0),IF('01_Input'!$T$69="Palier",IF(AND(Y$20&gt;='01_Input'!$R$69,Y$20&lt;'01_Input'!$S$69),'01_Input'!$U$69,0),MAX(MIN(Y$20,'01_Input'!$S$69)-'01_Input'!$R$69,0)*'01_Input'!$U$69))+IF('01_Input'!$X$69="Forfait",IF(Y$20&gt;='01_Input'!$V$69,'01_Input'!$Y$69,0),IF('01_Input'!$X$69="Palier",IF(AND(Y$20&gt;='01_Input'!$V$69,Y$20&lt;'01_Input'!$W$69),'01_Input'!$Y$69,0),MAX(MIN(Y$20,'01_Input'!$W$69)-'01_Input'!$V$69,0)*'01_Input'!$Y$69))+IF('01_Input'!$AB$69="Forfait",IF(Y$20&gt;='01_Input'!$Z$69,'01_Input'!$AC$69,0),IF('01_Input'!$AB$69="Palier",IF(AND(Y$20&gt;='01_Input'!$Z$69,Y$20&lt;'01_Input'!$AA$69),'01_Input'!$AC$69,0),MAX(MIN(Y$20,'01_Input'!$AA$69)-'01_Input'!$Z$69,0)*'01_Input'!$AC$69)))))))))</f>
        <v>0</v>
      </c>
      <c r="Z37" s="25">
        <f>IF('01_Input'!$C$69="Non",0,MIN('01_Input'!$I$69,MAX('01_Input'!$H$69,IF('01_Input'!$G$69="Résiduel vs Gestion",0,IF('01_Input'!$G$69="Taux Classe sélectionnée",Distrib_Global_Classe_Selectionnee*Z$20,IF('01_Input'!$G$69="Frais KYC (paliers de 100M€)",MAX(0,Nb_Investisseurs-Nb_KYC_Gratuites_Par_Tranche*(FLOOR(Z$20/Taille_Tranche_KYC,1)+1))*Cout_Par_KYC_Supplementaire,(IF('01_Input'!$L$69="Forfait",IF(Z$20&gt;='01_Input'!$J$69,'01_Input'!$M$69,0),IF('01_Input'!$L$69="Palier",IF(AND(Z$20&gt;='01_Input'!$J$69,Z$20&lt;'01_Input'!$K$69),'01_Input'!$M$69,0),MAX(MIN(Z$20,'01_Input'!$K$69)-'01_Input'!$J$69,0)*'01_Input'!$M$69))+IF('01_Input'!$P$69="Forfait",IF(Z$20&gt;='01_Input'!$N$69,'01_Input'!$Q$69,0),IF('01_Input'!$P$69="Palier",IF(AND(Z$20&gt;='01_Input'!$N$69,Z$20&lt;'01_Input'!$O$69),'01_Input'!$Q$69,0),MAX(MIN(Z$20,'01_Input'!$O$69)-'01_Input'!$N$69,0)*'01_Input'!$Q$69))+IF('01_Input'!$T$69="Forfait",IF(Z$20&gt;='01_Input'!$R$69,'01_Input'!$U$69,0),IF('01_Input'!$T$69="Palier",IF(AND(Z$20&gt;='01_Input'!$R$69,Z$20&lt;'01_Input'!$S$69),'01_Input'!$U$69,0),MAX(MIN(Z$20,'01_Input'!$S$69)-'01_Input'!$R$69,0)*'01_Input'!$U$69))+IF('01_Input'!$X$69="Forfait",IF(Z$20&gt;='01_Input'!$V$69,'01_Input'!$Y$69,0),IF('01_Input'!$X$69="Palier",IF(AND(Z$20&gt;='01_Input'!$V$69,Z$20&lt;'01_Input'!$W$69),'01_Input'!$Y$69,0),MAX(MIN(Z$20,'01_Input'!$W$69)-'01_Input'!$V$69,0)*'01_Input'!$Y$69))+IF('01_Input'!$AB$69="Forfait",IF(Z$20&gt;='01_Input'!$Z$69,'01_Input'!$AC$69,0),IF('01_Input'!$AB$69="Palier",IF(AND(Z$20&gt;='01_Input'!$Z$69,Z$20&lt;'01_Input'!$AA$69),'01_Input'!$AC$69,0),MAX(MIN(Z$20,'01_Input'!$AA$69)-'01_Input'!$Z$69,0)*'01_Input'!$AC$69)))))))))</f>
        <v>0</v>
      </c>
      <c r="AA37" s="25">
        <f>IF('01_Input'!$C$69="Non",0,MIN('01_Input'!$I$69,MAX('01_Input'!$H$69,IF('01_Input'!$G$69="Résiduel vs Gestion",0,IF('01_Input'!$G$69="Taux Classe sélectionnée",Distrib_Global_Classe_Selectionnee*AA$20,IF('01_Input'!$G$69="Frais KYC (paliers de 100M€)",MAX(0,Nb_Investisseurs-Nb_KYC_Gratuites_Par_Tranche*(FLOOR(AA$20/Taille_Tranche_KYC,1)+1))*Cout_Par_KYC_Supplementaire,(IF('01_Input'!$L$69="Forfait",IF(AA$20&gt;='01_Input'!$J$69,'01_Input'!$M$69,0),IF('01_Input'!$L$69="Palier",IF(AND(AA$20&gt;='01_Input'!$J$69,AA$20&lt;'01_Input'!$K$69),'01_Input'!$M$69,0),MAX(MIN(AA$20,'01_Input'!$K$69)-'01_Input'!$J$69,0)*'01_Input'!$M$69))+IF('01_Input'!$P$69="Forfait",IF(AA$20&gt;='01_Input'!$N$69,'01_Input'!$Q$69,0),IF('01_Input'!$P$69="Palier",IF(AND(AA$20&gt;='01_Input'!$N$69,AA$20&lt;'01_Input'!$O$69),'01_Input'!$Q$69,0),MAX(MIN(AA$20,'01_Input'!$O$69)-'01_Input'!$N$69,0)*'01_Input'!$Q$69))+IF('01_Input'!$T$69="Forfait",IF(AA$20&gt;='01_Input'!$R$69,'01_Input'!$U$69,0),IF('01_Input'!$T$69="Palier",IF(AND(AA$20&gt;='01_Input'!$R$69,AA$20&lt;'01_Input'!$S$69),'01_Input'!$U$69,0),MAX(MIN(AA$20,'01_Input'!$S$69)-'01_Input'!$R$69,0)*'01_Input'!$U$69))+IF('01_Input'!$X$69="Forfait",IF(AA$20&gt;='01_Input'!$V$69,'01_Input'!$Y$69,0),IF('01_Input'!$X$69="Palier",IF(AND(AA$20&gt;='01_Input'!$V$69,AA$20&lt;'01_Input'!$W$69),'01_Input'!$Y$69,0),MAX(MIN(AA$20,'01_Input'!$W$69)-'01_Input'!$V$69,0)*'01_Input'!$Y$69))+IF('01_Input'!$AB$69="Forfait",IF(AA$20&gt;='01_Input'!$Z$69,'01_Input'!$AC$69,0),IF('01_Input'!$AB$69="Palier",IF(AND(AA$20&gt;='01_Input'!$Z$69,AA$20&lt;'01_Input'!$AA$69),'01_Input'!$AC$69,0),MAX(MIN(AA$20,'01_Input'!$AA$69)-'01_Input'!$Z$69,0)*'01_Input'!$AC$69)))))))))</f>
        <v>0</v>
      </c>
      <c r="AB37" s="25">
        <f>IF('01_Input'!$C$69="Non",0,MIN('01_Input'!$I$69,MAX('01_Input'!$H$69,IF('01_Input'!$G$69="Résiduel vs Gestion",0,IF('01_Input'!$G$69="Taux Classe sélectionnée",Distrib_Global_Classe_Selectionnee*AB$20,IF('01_Input'!$G$69="Frais KYC (paliers de 100M€)",MAX(0,Nb_Investisseurs-Nb_KYC_Gratuites_Par_Tranche*(FLOOR(AB$20/Taille_Tranche_KYC,1)+1))*Cout_Par_KYC_Supplementaire,(IF('01_Input'!$L$69="Forfait",IF(AB$20&gt;='01_Input'!$J$69,'01_Input'!$M$69,0),IF('01_Input'!$L$69="Palier",IF(AND(AB$20&gt;='01_Input'!$J$69,AB$20&lt;'01_Input'!$K$69),'01_Input'!$M$69,0),MAX(MIN(AB$20,'01_Input'!$K$69)-'01_Input'!$J$69,0)*'01_Input'!$M$69))+IF('01_Input'!$P$69="Forfait",IF(AB$20&gt;='01_Input'!$N$69,'01_Input'!$Q$69,0),IF('01_Input'!$P$69="Palier",IF(AND(AB$20&gt;='01_Input'!$N$69,AB$20&lt;'01_Input'!$O$69),'01_Input'!$Q$69,0),MAX(MIN(AB$20,'01_Input'!$O$69)-'01_Input'!$N$69,0)*'01_Input'!$Q$69))+IF('01_Input'!$T$69="Forfait",IF(AB$20&gt;='01_Input'!$R$69,'01_Input'!$U$69,0),IF('01_Input'!$T$69="Palier",IF(AND(AB$20&gt;='01_Input'!$R$69,AB$20&lt;'01_Input'!$S$69),'01_Input'!$U$69,0),MAX(MIN(AB$20,'01_Input'!$S$69)-'01_Input'!$R$69,0)*'01_Input'!$U$69))+IF('01_Input'!$X$69="Forfait",IF(AB$20&gt;='01_Input'!$V$69,'01_Input'!$Y$69,0),IF('01_Input'!$X$69="Palier",IF(AND(AB$20&gt;='01_Input'!$V$69,AB$20&lt;'01_Input'!$W$69),'01_Input'!$Y$69,0),MAX(MIN(AB$20,'01_Input'!$W$69)-'01_Input'!$V$69,0)*'01_Input'!$Y$69))+IF('01_Input'!$AB$69="Forfait",IF(AB$20&gt;='01_Input'!$Z$69,'01_Input'!$AC$69,0),IF('01_Input'!$AB$69="Palier",IF(AND(AB$20&gt;='01_Input'!$Z$69,AB$20&lt;'01_Input'!$AA$69),'01_Input'!$AC$69,0),MAX(MIN(AB$20,'01_Input'!$AA$69)-'01_Input'!$Z$69,0)*'01_Input'!$AC$69)))))))))</f>
        <v>0</v>
      </c>
      <c r="AC37" s="25">
        <f>IF('01_Input'!$C$69="Non",0,MIN('01_Input'!$I$69,MAX('01_Input'!$H$69,IF('01_Input'!$G$69="Résiduel vs Gestion",0,IF('01_Input'!$G$69="Taux Classe sélectionnée",Distrib_Global_Classe_Selectionnee*AC$20,IF('01_Input'!$G$69="Frais KYC (paliers de 100M€)",MAX(0,Nb_Investisseurs-Nb_KYC_Gratuites_Par_Tranche*(FLOOR(AC$20/Taille_Tranche_KYC,1)+1))*Cout_Par_KYC_Supplementaire,(IF('01_Input'!$L$69="Forfait",IF(AC$20&gt;='01_Input'!$J$69,'01_Input'!$M$69,0),IF('01_Input'!$L$69="Palier",IF(AND(AC$20&gt;='01_Input'!$J$69,AC$20&lt;'01_Input'!$K$69),'01_Input'!$M$69,0),MAX(MIN(AC$20,'01_Input'!$K$69)-'01_Input'!$J$69,0)*'01_Input'!$M$69))+IF('01_Input'!$P$69="Forfait",IF(AC$20&gt;='01_Input'!$N$69,'01_Input'!$Q$69,0),IF('01_Input'!$P$69="Palier",IF(AND(AC$20&gt;='01_Input'!$N$69,AC$20&lt;'01_Input'!$O$69),'01_Input'!$Q$69,0),MAX(MIN(AC$20,'01_Input'!$O$69)-'01_Input'!$N$69,0)*'01_Input'!$Q$69))+IF('01_Input'!$T$69="Forfait",IF(AC$20&gt;='01_Input'!$R$69,'01_Input'!$U$69,0),IF('01_Input'!$T$69="Palier",IF(AND(AC$20&gt;='01_Input'!$R$69,AC$20&lt;'01_Input'!$S$69),'01_Input'!$U$69,0),MAX(MIN(AC$20,'01_Input'!$S$69)-'01_Input'!$R$69,0)*'01_Input'!$U$69))+IF('01_Input'!$X$69="Forfait",IF(AC$20&gt;='01_Input'!$V$69,'01_Input'!$Y$69,0),IF('01_Input'!$X$69="Palier",IF(AND(AC$20&gt;='01_Input'!$V$69,AC$20&lt;'01_Input'!$W$69),'01_Input'!$Y$69,0),MAX(MIN(AC$20,'01_Input'!$W$69)-'01_Input'!$V$69,0)*'01_Input'!$Y$69))+IF('01_Input'!$AB$69="Forfait",IF(AC$20&gt;='01_Input'!$Z$69,'01_Input'!$AC$69,0),IF('01_Input'!$AB$69="Palier",IF(AND(AC$20&gt;='01_Input'!$Z$69,AC$20&lt;'01_Input'!$AA$69),'01_Input'!$AC$69,0),MAX(MIN(AC$20,'01_Input'!$AA$69)-'01_Input'!$Z$69,0)*'01_Input'!$AC$69)))))))))</f>
        <v>0</v>
      </c>
      <c r="AD37" s="25">
        <f>IF('01_Input'!$C$69="Non",0,MIN('01_Input'!$I$69,MAX('01_Input'!$H$69,IF('01_Input'!$G$69="Résiduel vs Gestion",0,IF('01_Input'!$G$69="Taux Classe sélectionnée",Distrib_Global_Classe_Selectionnee*AD$20,IF('01_Input'!$G$69="Frais KYC (paliers de 100M€)",MAX(0,Nb_Investisseurs-Nb_KYC_Gratuites_Par_Tranche*(FLOOR(AD$20/Taille_Tranche_KYC,1)+1))*Cout_Par_KYC_Supplementaire,(IF('01_Input'!$L$69="Forfait",IF(AD$20&gt;='01_Input'!$J$69,'01_Input'!$M$69,0),IF('01_Input'!$L$69="Palier",IF(AND(AD$20&gt;='01_Input'!$J$69,AD$20&lt;'01_Input'!$K$69),'01_Input'!$M$69,0),MAX(MIN(AD$20,'01_Input'!$K$69)-'01_Input'!$J$69,0)*'01_Input'!$M$69))+IF('01_Input'!$P$69="Forfait",IF(AD$20&gt;='01_Input'!$N$69,'01_Input'!$Q$69,0),IF('01_Input'!$P$69="Palier",IF(AND(AD$20&gt;='01_Input'!$N$69,AD$20&lt;'01_Input'!$O$69),'01_Input'!$Q$69,0),MAX(MIN(AD$20,'01_Input'!$O$69)-'01_Input'!$N$69,0)*'01_Input'!$Q$69))+IF('01_Input'!$T$69="Forfait",IF(AD$20&gt;='01_Input'!$R$69,'01_Input'!$U$69,0),IF('01_Input'!$T$69="Palier",IF(AND(AD$20&gt;='01_Input'!$R$69,AD$20&lt;'01_Input'!$S$69),'01_Input'!$U$69,0),MAX(MIN(AD$20,'01_Input'!$S$69)-'01_Input'!$R$69,0)*'01_Input'!$U$69))+IF('01_Input'!$X$69="Forfait",IF(AD$20&gt;='01_Input'!$V$69,'01_Input'!$Y$69,0),IF('01_Input'!$X$69="Palier",IF(AND(AD$20&gt;='01_Input'!$V$69,AD$20&lt;'01_Input'!$W$69),'01_Input'!$Y$69,0),MAX(MIN(AD$20,'01_Input'!$W$69)-'01_Input'!$V$69,0)*'01_Input'!$Y$69))+IF('01_Input'!$AB$69="Forfait",IF(AD$20&gt;='01_Input'!$Z$69,'01_Input'!$AC$69,0),IF('01_Input'!$AB$69="Palier",IF(AND(AD$20&gt;='01_Input'!$Z$69,AD$20&lt;'01_Input'!$AA$69),'01_Input'!$AC$69,0),MAX(MIN(AD$20,'01_Input'!$AA$69)-'01_Input'!$Z$69,0)*'01_Input'!$AC$69)))))))))</f>
        <v>0</v>
      </c>
      <c r="AE37" s="25">
        <f>IF('01_Input'!$C$69="Non",0,MIN('01_Input'!$I$69,MAX('01_Input'!$H$69,IF('01_Input'!$G$69="Résiduel vs Gestion",0,IF('01_Input'!$G$69="Taux Classe sélectionnée",Distrib_Global_Classe_Selectionnee*AE$20,IF('01_Input'!$G$69="Frais KYC (paliers de 100M€)",MAX(0,Nb_Investisseurs-Nb_KYC_Gratuites_Par_Tranche*(FLOOR(AE$20/Taille_Tranche_KYC,1)+1))*Cout_Par_KYC_Supplementaire,(IF('01_Input'!$L$69="Forfait",IF(AE$20&gt;='01_Input'!$J$69,'01_Input'!$M$69,0),IF('01_Input'!$L$69="Palier",IF(AND(AE$20&gt;='01_Input'!$J$69,AE$20&lt;'01_Input'!$K$69),'01_Input'!$M$69,0),MAX(MIN(AE$20,'01_Input'!$K$69)-'01_Input'!$J$69,0)*'01_Input'!$M$69))+IF('01_Input'!$P$69="Forfait",IF(AE$20&gt;='01_Input'!$N$69,'01_Input'!$Q$69,0),IF('01_Input'!$P$69="Palier",IF(AND(AE$20&gt;='01_Input'!$N$69,AE$20&lt;'01_Input'!$O$69),'01_Input'!$Q$69,0),MAX(MIN(AE$20,'01_Input'!$O$69)-'01_Input'!$N$69,0)*'01_Input'!$Q$69))+IF('01_Input'!$T$69="Forfait",IF(AE$20&gt;='01_Input'!$R$69,'01_Input'!$U$69,0),IF('01_Input'!$T$69="Palier",IF(AND(AE$20&gt;='01_Input'!$R$69,AE$20&lt;'01_Input'!$S$69),'01_Input'!$U$69,0),MAX(MIN(AE$20,'01_Input'!$S$69)-'01_Input'!$R$69,0)*'01_Input'!$U$69))+IF('01_Input'!$X$69="Forfait",IF(AE$20&gt;='01_Input'!$V$69,'01_Input'!$Y$69,0),IF('01_Input'!$X$69="Palier",IF(AND(AE$20&gt;='01_Input'!$V$69,AE$20&lt;'01_Input'!$W$69),'01_Input'!$Y$69,0),MAX(MIN(AE$20,'01_Input'!$W$69)-'01_Input'!$V$69,0)*'01_Input'!$Y$69))+IF('01_Input'!$AB$69="Forfait",IF(AE$20&gt;='01_Input'!$Z$69,'01_Input'!$AC$69,0),IF('01_Input'!$AB$69="Palier",IF(AND(AE$20&gt;='01_Input'!$Z$69,AE$20&lt;'01_Input'!$AA$69),'01_Input'!$AC$69,0),MAX(MIN(AE$20,'01_Input'!$AA$69)-'01_Input'!$Z$69,0)*'01_Input'!$AC$69)))))))))</f>
        <v>0</v>
      </c>
      <c r="AF37" s="25">
        <f>IF('01_Input'!$C$69="Non",0,MIN('01_Input'!$I$69,MAX('01_Input'!$H$69,IF('01_Input'!$G$69="Résiduel vs Gestion",0,IF('01_Input'!$G$69="Taux Classe sélectionnée",Distrib_Global_Classe_Selectionnee*AF$20,IF('01_Input'!$G$69="Frais KYC (paliers de 100M€)",MAX(0,Nb_Investisseurs-Nb_KYC_Gratuites_Par_Tranche*(FLOOR(AF$20/Taille_Tranche_KYC,1)+1))*Cout_Par_KYC_Supplementaire,(IF('01_Input'!$L$69="Forfait",IF(AF$20&gt;='01_Input'!$J$69,'01_Input'!$M$69,0),IF('01_Input'!$L$69="Palier",IF(AND(AF$20&gt;='01_Input'!$J$69,AF$20&lt;'01_Input'!$K$69),'01_Input'!$M$69,0),MAX(MIN(AF$20,'01_Input'!$K$69)-'01_Input'!$J$69,0)*'01_Input'!$M$69))+IF('01_Input'!$P$69="Forfait",IF(AF$20&gt;='01_Input'!$N$69,'01_Input'!$Q$69,0),IF('01_Input'!$P$69="Palier",IF(AND(AF$20&gt;='01_Input'!$N$69,AF$20&lt;'01_Input'!$O$69),'01_Input'!$Q$69,0),MAX(MIN(AF$20,'01_Input'!$O$69)-'01_Input'!$N$69,0)*'01_Input'!$Q$69))+IF('01_Input'!$T$69="Forfait",IF(AF$20&gt;='01_Input'!$R$69,'01_Input'!$U$69,0),IF('01_Input'!$T$69="Palier",IF(AND(AF$20&gt;='01_Input'!$R$69,AF$20&lt;'01_Input'!$S$69),'01_Input'!$U$69,0),MAX(MIN(AF$20,'01_Input'!$S$69)-'01_Input'!$R$69,0)*'01_Input'!$U$69))+IF('01_Input'!$X$69="Forfait",IF(AF$20&gt;='01_Input'!$V$69,'01_Input'!$Y$69,0),IF('01_Input'!$X$69="Palier",IF(AND(AF$20&gt;='01_Input'!$V$69,AF$20&lt;'01_Input'!$W$69),'01_Input'!$Y$69,0),MAX(MIN(AF$20,'01_Input'!$W$69)-'01_Input'!$V$69,0)*'01_Input'!$Y$69))+IF('01_Input'!$AB$69="Forfait",IF(AF$20&gt;='01_Input'!$Z$69,'01_Input'!$AC$69,0),IF('01_Input'!$AB$69="Palier",IF(AND(AF$20&gt;='01_Input'!$Z$69,AF$20&lt;'01_Input'!$AA$69),'01_Input'!$AC$69,0),MAX(MIN(AF$20,'01_Input'!$AA$69)-'01_Input'!$Z$69,0)*'01_Input'!$AC$69)))))))))</f>
        <v>0</v>
      </c>
      <c r="AG37" s="25">
        <f>IF('01_Input'!$C$69="Non",0,MIN('01_Input'!$I$69,MAX('01_Input'!$H$69,IF('01_Input'!$G$69="Résiduel vs Gestion",0,IF('01_Input'!$G$69="Taux Classe sélectionnée",Distrib_Global_Classe_Selectionnee*AG$20,IF('01_Input'!$G$69="Frais KYC (paliers de 100M€)",MAX(0,Nb_Investisseurs-Nb_KYC_Gratuites_Par_Tranche*(FLOOR(AG$20/Taille_Tranche_KYC,1)+1))*Cout_Par_KYC_Supplementaire,(IF('01_Input'!$L$69="Forfait",IF(AG$20&gt;='01_Input'!$J$69,'01_Input'!$M$69,0),IF('01_Input'!$L$69="Palier",IF(AND(AG$20&gt;='01_Input'!$J$69,AG$20&lt;'01_Input'!$K$69),'01_Input'!$M$69,0),MAX(MIN(AG$20,'01_Input'!$K$69)-'01_Input'!$J$69,0)*'01_Input'!$M$69))+IF('01_Input'!$P$69="Forfait",IF(AG$20&gt;='01_Input'!$N$69,'01_Input'!$Q$69,0),IF('01_Input'!$P$69="Palier",IF(AND(AG$20&gt;='01_Input'!$N$69,AG$20&lt;'01_Input'!$O$69),'01_Input'!$Q$69,0),MAX(MIN(AG$20,'01_Input'!$O$69)-'01_Input'!$N$69,0)*'01_Input'!$Q$69))+IF('01_Input'!$T$69="Forfait",IF(AG$20&gt;='01_Input'!$R$69,'01_Input'!$U$69,0),IF('01_Input'!$T$69="Palier",IF(AND(AG$20&gt;='01_Input'!$R$69,AG$20&lt;'01_Input'!$S$69),'01_Input'!$U$69,0),MAX(MIN(AG$20,'01_Input'!$S$69)-'01_Input'!$R$69,0)*'01_Input'!$U$69))+IF('01_Input'!$X$69="Forfait",IF(AG$20&gt;='01_Input'!$V$69,'01_Input'!$Y$69,0),IF('01_Input'!$X$69="Palier",IF(AND(AG$20&gt;='01_Input'!$V$69,AG$20&lt;'01_Input'!$W$69),'01_Input'!$Y$69,0),MAX(MIN(AG$20,'01_Input'!$W$69)-'01_Input'!$V$69,0)*'01_Input'!$Y$69))+IF('01_Input'!$AB$69="Forfait",IF(AG$20&gt;='01_Input'!$Z$69,'01_Input'!$AC$69,0),IF('01_Input'!$AB$69="Palier",IF(AND(AG$20&gt;='01_Input'!$Z$69,AG$20&lt;'01_Input'!$AA$69),'01_Input'!$AC$69,0),MAX(MIN(AG$20,'01_Input'!$AA$69)-'01_Input'!$Z$69,0)*'01_Input'!$AC$69)))))))))</f>
        <v>0</v>
      </c>
      <c r="AH37" s="25">
        <f>IF('01_Input'!$C$69="Non",0,MIN('01_Input'!$I$69,MAX('01_Input'!$H$69,IF('01_Input'!$G$69="Résiduel vs Gestion",0,IF('01_Input'!$G$69="Taux Classe sélectionnée",Distrib_Global_Classe_Selectionnee*AH$20,IF('01_Input'!$G$69="Frais KYC (paliers de 100M€)",MAX(0,Nb_Investisseurs-Nb_KYC_Gratuites_Par_Tranche*(FLOOR(AH$20/Taille_Tranche_KYC,1)+1))*Cout_Par_KYC_Supplementaire,(IF('01_Input'!$L$69="Forfait",IF(AH$20&gt;='01_Input'!$J$69,'01_Input'!$M$69,0),IF('01_Input'!$L$69="Palier",IF(AND(AH$20&gt;='01_Input'!$J$69,AH$20&lt;'01_Input'!$K$69),'01_Input'!$M$69,0),MAX(MIN(AH$20,'01_Input'!$K$69)-'01_Input'!$J$69,0)*'01_Input'!$M$69))+IF('01_Input'!$P$69="Forfait",IF(AH$20&gt;='01_Input'!$N$69,'01_Input'!$Q$69,0),IF('01_Input'!$P$69="Palier",IF(AND(AH$20&gt;='01_Input'!$N$69,AH$20&lt;'01_Input'!$O$69),'01_Input'!$Q$69,0),MAX(MIN(AH$20,'01_Input'!$O$69)-'01_Input'!$N$69,0)*'01_Input'!$Q$69))+IF('01_Input'!$T$69="Forfait",IF(AH$20&gt;='01_Input'!$R$69,'01_Input'!$U$69,0),IF('01_Input'!$T$69="Palier",IF(AND(AH$20&gt;='01_Input'!$R$69,AH$20&lt;'01_Input'!$S$69),'01_Input'!$U$69,0),MAX(MIN(AH$20,'01_Input'!$S$69)-'01_Input'!$R$69,0)*'01_Input'!$U$69))+IF('01_Input'!$X$69="Forfait",IF(AH$20&gt;='01_Input'!$V$69,'01_Input'!$Y$69,0),IF('01_Input'!$X$69="Palier",IF(AND(AH$20&gt;='01_Input'!$V$69,AH$20&lt;'01_Input'!$W$69),'01_Input'!$Y$69,0),MAX(MIN(AH$20,'01_Input'!$W$69)-'01_Input'!$V$69,0)*'01_Input'!$Y$69))+IF('01_Input'!$AB$69="Forfait",IF(AH$20&gt;='01_Input'!$Z$69,'01_Input'!$AC$69,0),IF('01_Input'!$AB$69="Palier",IF(AND(AH$20&gt;='01_Input'!$Z$69,AH$20&lt;'01_Input'!$AA$69),'01_Input'!$AC$69,0),MAX(MIN(AH$20,'01_Input'!$AA$69)-'01_Input'!$Z$69,0)*'01_Input'!$AC$69)))))))))</f>
        <v>0</v>
      </c>
      <c r="AI37" s="25">
        <f>IF('01_Input'!$C$69="Non",0,MIN('01_Input'!$I$69,MAX('01_Input'!$H$69,IF('01_Input'!$G$69="Résiduel vs Gestion",0,IF('01_Input'!$G$69="Taux Classe sélectionnée",Distrib_Global_Classe_Selectionnee*AI$20,IF('01_Input'!$G$69="Frais KYC (paliers de 100M€)",MAX(0,Nb_Investisseurs-Nb_KYC_Gratuites_Par_Tranche*(FLOOR(AI$20/Taille_Tranche_KYC,1)+1))*Cout_Par_KYC_Supplementaire,(IF('01_Input'!$L$69="Forfait",IF(AI$20&gt;='01_Input'!$J$69,'01_Input'!$M$69,0),IF('01_Input'!$L$69="Palier",IF(AND(AI$20&gt;='01_Input'!$J$69,AI$20&lt;'01_Input'!$K$69),'01_Input'!$M$69,0),MAX(MIN(AI$20,'01_Input'!$K$69)-'01_Input'!$J$69,0)*'01_Input'!$M$69))+IF('01_Input'!$P$69="Forfait",IF(AI$20&gt;='01_Input'!$N$69,'01_Input'!$Q$69,0),IF('01_Input'!$P$69="Palier",IF(AND(AI$20&gt;='01_Input'!$N$69,AI$20&lt;'01_Input'!$O$69),'01_Input'!$Q$69,0),MAX(MIN(AI$20,'01_Input'!$O$69)-'01_Input'!$N$69,0)*'01_Input'!$Q$69))+IF('01_Input'!$T$69="Forfait",IF(AI$20&gt;='01_Input'!$R$69,'01_Input'!$U$69,0),IF('01_Input'!$T$69="Palier",IF(AND(AI$20&gt;='01_Input'!$R$69,AI$20&lt;'01_Input'!$S$69),'01_Input'!$U$69,0),MAX(MIN(AI$20,'01_Input'!$S$69)-'01_Input'!$R$69,0)*'01_Input'!$U$69))+IF('01_Input'!$X$69="Forfait",IF(AI$20&gt;='01_Input'!$V$69,'01_Input'!$Y$69,0),IF('01_Input'!$X$69="Palier",IF(AND(AI$20&gt;='01_Input'!$V$69,AI$20&lt;'01_Input'!$W$69),'01_Input'!$Y$69,0),MAX(MIN(AI$20,'01_Input'!$W$69)-'01_Input'!$V$69,0)*'01_Input'!$Y$69))+IF('01_Input'!$AB$69="Forfait",IF(AI$20&gt;='01_Input'!$Z$69,'01_Input'!$AC$69,0),IF('01_Input'!$AB$69="Palier",IF(AND(AI$20&gt;='01_Input'!$Z$69,AI$20&lt;'01_Input'!$AA$69),'01_Input'!$AC$69,0),MAX(MIN(AI$20,'01_Input'!$AA$69)-'01_Input'!$Z$69,0)*'01_Input'!$AC$69)))))))))</f>
        <v>0</v>
      </c>
      <c r="AJ37" s="25">
        <f>IF('01_Input'!$C$69="Non",0,MIN('01_Input'!$I$69,MAX('01_Input'!$H$69,IF('01_Input'!$G$69="Résiduel vs Gestion",0,IF('01_Input'!$G$69="Taux Classe sélectionnée",Distrib_Global_Classe_Selectionnee*AJ$20,IF('01_Input'!$G$69="Frais KYC (paliers de 100M€)",MAX(0,Nb_Investisseurs-Nb_KYC_Gratuites_Par_Tranche*(FLOOR(AJ$20/Taille_Tranche_KYC,1)+1))*Cout_Par_KYC_Supplementaire,(IF('01_Input'!$L$69="Forfait",IF(AJ$20&gt;='01_Input'!$J$69,'01_Input'!$M$69,0),IF('01_Input'!$L$69="Palier",IF(AND(AJ$20&gt;='01_Input'!$J$69,AJ$20&lt;'01_Input'!$K$69),'01_Input'!$M$69,0),MAX(MIN(AJ$20,'01_Input'!$K$69)-'01_Input'!$J$69,0)*'01_Input'!$M$69))+IF('01_Input'!$P$69="Forfait",IF(AJ$20&gt;='01_Input'!$N$69,'01_Input'!$Q$69,0),IF('01_Input'!$P$69="Palier",IF(AND(AJ$20&gt;='01_Input'!$N$69,AJ$20&lt;'01_Input'!$O$69),'01_Input'!$Q$69,0),MAX(MIN(AJ$20,'01_Input'!$O$69)-'01_Input'!$N$69,0)*'01_Input'!$Q$69))+IF('01_Input'!$T$69="Forfait",IF(AJ$20&gt;='01_Input'!$R$69,'01_Input'!$U$69,0),IF('01_Input'!$T$69="Palier",IF(AND(AJ$20&gt;='01_Input'!$R$69,AJ$20&lt;'01_Input'!$S$69),'01_Input'!$U$69,0),MAX(MIN(AJ$20,'01_Input'!$S$69)-'01_Input'!$R$69,0)*'01_Input'!$U$69))+IF('01_Input'!$X$69="Forfait",IF(AJ$20&gt;='01_Input'!$V$69,'01_Input'!$Y$69,0),IF('01_Input'!$X$69="Palier",IF(AND(AJ$20&gt;='01_Input'!$V$69,AJ$20&lt;'01_Input'!$W$69),'01_Input'!$Y$69,0),MAX(MIN(AJ$20,'01_Input'!$W$69)-'01_Input'!$V$69,0)*'01_Input'!$Y$69))+IF('01_Input'!$AB$69="Forfait",IF(AJ$20&gt;='01_Input'!$Z$69,'01_Input'!$AC$69,0),IF('01_Input'!$AB$69="Palier",IF(AND(AJ$20&gt;='01_Input'!$Z$69,AJ$20&lt;'01_Input'!$AA$69),'01_Input'!$AC$69,0),MAX(MIN(AJ$20,'01_Input'!$AA$69)-'01_Input'!$Z$69,0)*'01_Input'!$AC$69)))))))))</f>
        <v>0</v>
      </c>
      <c r="AK37" s="25">
        <f>IF('01_Input'!$C$69="Non",0,MIN('01_Input'!$I$69,MAX('01_Input'!$H$69,IF('01_Input'!$G$69="Résiduel vs Gestion",0,IF('01_Input'!$G$69="Taux Classe sélectionnée",Distrib_Global_Classe_Selectionnee*AK$20,IF('01_Input'!$G$69="Frais KYC (paliers de 100M€)",MAX(0,Nb_Investisseurs-Nb_KYC_Gratuites_Par_Tranche*(FLOOR(AK$20/Taille_Tranche_KYC,1)+1))*Cout_Par_KYC_Supplementaire,(IF('01_Input'!$L$69="Forfait",IF(AK$20&gt;='01_Input'!$J$69,'01_Input'!$M$69,0),IF('01_Input'!$L$69="Palier",IF(AND(AK$20&gt;='01_Input'!$J$69,AK$20&lt;'01_Input'!$K$69),'01_Input'!$M$69,0),MAX(MIN(AK$20,'01_Input'!$K$69)-'01_Input'!$J$69,0)*'01_Input'!$M$69))+IF('01_Input'!$P$69="Forfait",IF(AK$20&gt;='01_Input'!$N$69,'01_Input'!$Q$69,0),IF('01_Input'!$P$69="Palier",IF(AND(AK$20&gt;='01_Input'!$N$69,AK$20&lt;'01_Input'!$O$69),'01_Input'!$Q$69,0),MAX(MIN(AK$20,'01_Input'!$O$69)-'01_Input'!$N$69,0)*'01_Input'!$Q$69))+IF('01_Input'!$T$69="Forfait",IF(AK$20&gt;='01_Input'!$R$69,'01_Input'!$U$69,0),IF('01_Input'!$T$69="Palier",IF(AND(AK$20&gt;='01_Input'!$R$69,AK$20&lt;'01_Input'!$S$69),'01_Input'!$U$69,0),MAX(MIN(AK$20,'01_Input'!$S$69)-'01_Input'!$R$69,0)*'01_Input'!$U$69))+IF('01_Input'!$X$69="Forfait",IF(AK$20&gt;='01_Input'!$V$69,'01_Input'!$Y$69,0),IF('01_Input'!$X$69="Palier",IF(AND(AK$20&gt;='01_Input'!$V$69,AK$20&lt;'01_Input'!$W$69),'01_Input'!$Y$69,0),MAX(MIN(AK$20,'01_Input'!$W$69)-'01_Input'!$V$69,0)*'01_Input'!$Y$69))+IF('01_Input'!$AB$69="Forfait",IF(AK$20&gt;='01_Input'!$Z$69,'01_Input'!$AC$69,0),IF('01_Input'!$AB$69="Palier",IF(AND(AK$20&gt;='01_Input'!$Z$69,AK$20&lt;'01_Input'!$AA$69),'01_Input'!$AC$69,0),MAX(MIN(AK$20,'01_Input'!$AA$69)-'01_Input'!$Z$69,0)*'01_Input'!$AC$69)))))))))</f>
        <v>0</v>
      </c>
      <c r="AL37" s="25">
        <f>IF('01_Input'!$C$69="Non",0,MIN('01_Input'!$I$69,MAX('01_Input'!$H$69,IF('01_Input'!$G$69="Résiduel vs Gestion",0,IF('01_Input'!$G$69="Taux Classe sélectionnée",Distrib_Global_Classe_Selectionnee*AL$20,IF('01_Input'!$G$69="Frais KYC (paliers de 100M€)",MAX(0,Nb_Investisseurs-Nb_KYC_Gratuites_Par_Tranche*(FLOOR(AL$20/Taille_Tranche_KYC,1)+1))*Cout_Par_KYC_Supplementaire,(IF('01_Input'!$L$69="Forfait",IF(AL$20&gt;='01_Input'!$J$69,'01_Input'!$M$69,0),IF('01_Input'!$L$69="Palier",IF(AND(AL$20&gt;='01_Input'!$J$69,AL$20&lt;'01_Input'!$K$69),'01_Input'!$M$69,0),MAX(MIN(AL$20,'01_Input'!$K$69)-'01_Input'!$J$69,0)*'01_Input'!$M$69))+IF('01_Input'!$P$69="Forfait",IF(AL$20&gt;='01_Input'!$N$69,'01_Input'!$Q$69,0),IF('01_Input'!$P$69="Palier",IF(AND(AL$20&gt;='01_Input'!$N$69,AL$20&lt;'01_Input'!$O$69),'01_Input'!$Q$69,0),MAX(MIN(AL$20,'01_Input'!$O$69)-'01_Input'!$N$69,0)*'01_Input'!$Q$69))+IF('01_Input'!$T$69="Forfait",IF(AL$20&gt;='01_Input'!$R$69,'01_Input'!$U$69,0),IF('01_Input'!$T$69="Palier",IF(AND(AL$20&gt;='01_Input'!$R$69,AL$20&lt;'01_Input'!$S$69),'01_Input'!$U$69,0),MAX(MIN(AL$20,'01_Input'!$S$69)-'01_Input'!$R$69,0)*'01_Input'!$U$69))+IF('01_Input'!$X$69="Forfait",IF(AL$20&gt;='01_Input'!$V$69,'01_Input'!$Y$69,0),IF('01_Input'!$X$69="Palier",IF(AND(AL$20&gt;='01_Input'!$V$69,AL$20&lt;'01_Input'!$W$69),'01_Input'!$Y$69,0),MAX(MIN(AL$20,'01_Input'!$W$69)-'01_Input'!$V$69,0)*'01_Input'!$Y$69))+IF('01_Input'!$AB$69="Forfait",IF(AL$20&gt;='01_Input'!$Z$69,'01_Input'!$AC$69,0),IF('01_Input'!$AB$69="Palier",IF(AND(AL$20&gt;='01_Input'!$Z$69,AL$20&lt;'01_Input'!$AA$69),'01_Input'!$AC$69,0),MAX(MIN(AL$20,'01_Input'!$AA$69)-'01_Input'!$Z$69,0)*'01_Input'!$AC$69)))))))))</f>
        <v>0</v>
      </c>
      <c r="AM37" s="25">
        <f>IF('01_Input'!$C$69="Non",0,MIN('01_Input'!$I$69,MAX('01_Input'!$H$69,IF('01_Input'!$G$69="Résiduel vs Gestion",0,IF('01_Input'!$G$69="Taux Classe sélectionnée",Distrib_Global_Classe_Selectionnee*AM$20,IF('01_Input'!$G$69="Frais KYC (paliers de 100M€)",MAX(0,Nb_Investisseurs-Nb_KYC_Gratuites_Par_Tranche*(FLOOR(AM$20/Taille_Tranche_KYC,1)+1))*Cout_Par_KYC_Supplementaire,(IF('01_Input'!$L$69="Forfait",IF(AM$20&gt;='01_Input'!$J$69,'01_Input'!$M$69,0),IF('01_Input'!$L$69="Palier",IF(AND(AM$20&gt;='01_Input'!$J$69,AM$20&lt;'01_Input'!$K$69),'01_Input'!$M$69,0),MAX(MIN(AM$20,'01_Input'!$K$69)-'01_Input'!$J$69,0)*'01_Input'!$M$69))+IF('01_Input'!$P$69="Forfait",IF(AM$20&gt;='01_Input'!$N$69,'01_Input'!$Q$69,0),IF('01_Input'!$P$69="Palier",IF(AND(AM$20&gt;='01_Input'!$N$69,AM$20&lt;'01_Input'!$O$69),'01_Input'!$Q$69,0),MAX(MIN(AM$20,'01_Input'!$O$69)-'01_Input'!$N$69,0)*'01_Input'!$Q$69))+IF('01_Input'!$T$69="Forfait",IF(AM$20&gt;='01_Input'!$R$69,'01_Input'!$U$69,0),IF('01_Input'!$T$69="Palier",IF(AND(AM$20&gt;='01_Input'!$R$69,AM$20&lt;'01_Input'!$S$69),'01_Input'!$U$69,0),MAX(MIN(AM$20,'01_Input'!$S$69)-'01_Input'!$R$69,0)*'01_Input'!$U$69))+IF('01_Input'!$X$69="Forfait",IF(AM$20&gt;='01_Input'!$V$69,'01_Input'!$Y$69,0),IF('01_Input'!$X$69="Palier",IF(AND(AM$20&gt;='01_Input'!$V$69,AM$20&lt;'01_Input'!$W$69),'01_Input'!$Y$69,0),MAX(MIN(AM$20,'01_Input'!$W$69)-'01_Input'!$V$69,0)*'01_Input'!$Y$69))+IF('01_Input'!$AB$69="Forfait",IF(AM$20&gt;='01_Input'!$Z$69,'01_Input'!$AC$69,0),IF('01_Input'!$AB$69="Palier",IF(AND(AM$20&gt;='01_Input'!$Z$69,AM$20&lt;'01_Input'!$AA$69),'01_Input'!$AC$69,0),MAX(MIN(AM$20,'01_Input'!$AA$69)-'01_Input'!$Z$69,0)*'01_Input'!$AC$69)))))))))</f>
        <v>0</v>
      </c>
      <c r="AN37" s="25">
        <f>IF('01_Input'!$C$69="Non",0,MIN('01_Input'!$I$69,MAX('01_Input'!$H$69,IF('01_Input'!$G$69="Résiduel vs Gestion",0,IF('01_Input'!$G$69="Taux Classe sélectionnée",Distrib_Global_Classe_Selectionnee*AN$20,IF('01_Input'!$G$69="Frais KYC (paliers de 100M€)",MAX(0,Nb_Investisseurs-Nb_KYC_Gratuites_Par_Tranche*(FLOOR(AN$20/Taille_Tranche_KYC,1)+1))*Cout_Par_KYC_Supplementaire,(IF('01_Input'!$L$69="Forfait",IF(AN$20&gt;='01_Input'!$J$69,'01_Input'!$M$69,0),IF('01_Input'!$L$69="Palier",IF(AND(AN$20&gt;='01_Input'!$J$69,AN$20&lt;'01_Input'!$K$69),'01_Input'!$M$69,0),MAX(MIN(AN$20,'01_Input'!$K$69)-'01_Input'!$J$69,0)*'01_Input'!$M$69))+IF('01_Input'!$P$69="Forfait",IF(AN$20&gt;='01_Input'!$N$69,'01_Input'!$Q$69,0),IF('01_Input'!$P$69="Palier",IF(AND(AN$20&gt;='01_Input'!$N$69,AN$20&lt;'01_Input'!$O$69),'01_Input'!$Q$69,0),MAX(MIN(AN$20,'01_Input'!$O$69)-'01_Input'!$N$69,0)*'01_Input'!$Q$69))+IF('01_Input'!$T$69="Forfait",IF(AN$20&gt;='01_Input'!$R$69,'01_Input'!$U$69,0),IF('01_Input'!$T$69="Palier",IF(AND(AN$20&gt;='01_Input'!$R$69,AN$20&lt;'01_Input'!$S$69),'01_Input'!$U$69,0),MAX(MIN(AN$20,'01_Input'!$S$69)-'01_Input'!$R$69,0)*'01_Input'!$U$69))+IF('01_Input'!$X$69="Forfait",IF(AN$20&gt;='01_Input'!$V$69,'01_Input'!$Y$69,0),IF('01_Input'!$X$69="Palier",IF(AND(AN$20&gt;='01_Input'!$V$69,AN$20&lt;'01_Input'!$W$69),'01_Input'!$Y$69,0),MAX(MIN(AN$20,'01_Input'!$W$69)-'01_Input'!$V$69,0)*'01_Input'!$Y$69))+IF('01_Input'!$AB$69="Forfait",IF(AN$20&gt;='01_Input'!$Z$69,'01_Input'!$AC$69,0),IF('01_Input'!$AB$69="Palier",IF(AND(AN$20&gt;='01_Input'!$Z$69,AN$20&lt;'01_Input'!$AA$69),'01_Input'!$AC$69,0),MAX(MIN(AN$20,'01_Input'!$AA$69)-'01_Input'!$Z$69,0)*'01_Input'!$AC$69)))))))))</f>
        <v>0</v>
      </c>
      <c r="AO37" s="25">
        <f>IF('01_Input'!$C$69="Non",0,MIN('01_Input'!$I$69,MAX('01_Input'!$H$69,IF('01_Input'!$G$69="Résiduel vs Gestion",0,IF('01_Input'!$G$69="Taux Classe sélectionnée",Distrib_Global_Classe_Selectionnee*AO$20,IF('01_Input'!$G$69="Frais KYC (paliers de 100M€)",MAX(0,Nb_Investisseurs-Nb_KYC_Gratuites_Par_Tranche*(FLOOR(AO$20/Taille_Tranche_KYC,1)+1))*Cout_Par_KYC_Supplementaire,(IF('01_Input'!$L$69="Forfait",IF(AO$20&gt;='01_Input'!$J$69,'01_Input'!$M$69,0),IF('01_Input'!$L$69="Palier",IF(AND(AO$20&gt;='01_Input'!$J$69,AO$20&lt;'01_Input'!$K$69),'01_Input'!$M$69,0),MAX(MIN(AO$20,'01_Input'!$K$69)-'01_Input'!$J$69,0)*'01_Input'!$M$69))+IF('01_Input'!$P$69="Forfait",IF(AO$20&gt;='01_Input'!$N$69,'01_Input'!$Q$69,0),IF('01_Input'!$P$69="Palier",IF(AND(AO$20&gt;='01_Input'!$N$69,AO$20&lt;'01_Input'!$O$69),'01_Input'!$Q$69,0),MAX(MIN(AO$20,'01_Input'!$O$69)-'01_Input'!$N$69,0)*'01_Input'!$Q$69))+IF('01_Input'!$T$69="Forfait",IF(AO$20&gt;='01_Input'!$R$69,'01_Input'!$U$69,0),IF('01_Input'!$T$69="Palier",IF(AND(AO$20&gt;='01_Input'!$R$69,AO$20&lt;'01_Input'!$S$69),'01_Input'!$U$69,0),MAX(MIN(AO$20,'01_Input'!$S$69)-'01_Input'!$R$69,0)*'01_Input'!$U$69))+IF('01_Input'!$X$69="Forfait",IF(AO$20&gt;='01_Input'!$V$69,'01_Input'!$Y$69,0),IF('01_Input'!$X$69="Palier",IF(AND(AO$20&gt;='01_Input'!$V$69,AO$20&lt;'01_Input'!$W$69),'01_Input'!$Y$69,0),MAX(MIN(AO$20,'01_Input'!$W$69)-'01_Input'!$V$69,0)*'01_Input'!$Y$69))+IF('01_Input'!$AB$69="Forfait",IF(AO$20&gt;='01_Input'!$Z$69,'01_Input'!$AC$69,0),IF('01_Input'!$AB$69="Palier",IF(AND(AO$20&gt;='01_Input'!$Z$69,AO$20&lt;'01_Input'!$AA$69),'01_Input'!$AC$69,0),MAX(MIN(AO$20,'01_Input'!$AA$69)-'01_Input'!$Z$69,0)*'01_Input'!$AC$69)))))))))</f>
        <v>0</v>
      </c>
      <c r="AP37" s="25">
        <f>IF('01_Input'!$C$69="Non",0,MIN('01_Input'!$I$69,MAX('01_Input'!$H$69,IF('01_Input'!$G$69="Résiduel vs Gestion",0,IF('01_Input'!$G$69="Taux Classe sélectionnée",Distrib_Global_Classe_Selectionnee*AP$20,IF('01_Input'!$G$69="Frais KYC (paliers de 100M€)",MAX(0,Nb_Investisseurs-Nb_KYC_Gratuites_Par_Tranche*(FLOOR(AP$20/Taille_Tranche_KYC,1)+1))*Cout_Par_KYC_Supplementaire,(IF('01_Input'!$L$69="Forfait",IF(AP$20&gt;='01_Input'!$J$69,'01_Input'!$M$69,0),IF('01_Input'!$L$69="Palier",IF(AND(AP$20&gt;='01_Input'!$J$69,AP$20&lt;'01_Input'!$K$69),'01_Input'!$M$69,0),MAX(MIN(AP$20,'01_Input'!$K$69)-'01_Input'!$J$69,0)*'01_Input'!$M$69))+IF('01_Input'!$P$69="Forfait",IF(AP$20&gt;='01_Input'!$N$69,'01_Input'!$Q$69,0),IF('01_Input'!$P$69="Palier",IF(AND(AP$20&gt;='01_Input'!$N$69,AP$20&lt;'01_Input'!$O$69),'01_Input'!$Q$69,0),MAX(MIN(AP$20,'01_Input'!$O$69)-'01_Input'!$N$69,0)*'01_Input'!$Q$69))+IF('01_Input'!$T$69="Forfait",IF(AP$20&gt;='01_Input'!$R$69,'01_Input'!$U$69,0),IF('01_Input'!$T$69="Palier",IF(AND(AP$20&gt;='01_Input'!$R$69,AP$20&lt;'01_Input'!$S$69),'01_Input'!$U$69,0),MAX(MIN(AP$20,'01_Input'!$S$69)-'01_Input'!$R$69,0)*'01_Input'!$U$69))+IF('01_Input'!$X$69="Forfait",IF(AP$20&gt;='01_Input'!$V$69,'01_Input'!$Y$69,0),IF('01_Input'!$X$69="Palier",IF(AND(AP$20&gt;='01_Input'!$V$69,AP$20&lt;'01_Input'!$W$69),'01_Input'!$Y$69,0),MAX(MIN(AP$20,'01_Input'!$W$69)-'01_Input'!$V$69,0)*'01_Input'!$Y$69))+IF('01_Input'!$AB$69="Forfait",IF(AP$20&gt;='01_Input'!$Z$69,'01_Input'!$AC$69,0),IF('01_Input'!$AB$69="Palier",IF(AND(AP$20&gt;='01_Input'!$Z$69,AP$20&lt;'01_Input'!$AA$69),'01_Input'!$AC$69,0),MAX(MIN(AP$20,'01_Input'!$AA$69)-'01_Input'!$Z$69,0)*'01_Input'!$AC$69)))))))))</f>
        <v>0</v>
      </c>
      <c r="AQ37" s="25">
        <f>IF('01_Input'!$C$69="Non",0,MIN('01_Input'!$I$69,MAX('01_Input'!$H$69,IF('01_Input'!$G$69="Résiduel vs Gestion",0,IF('01_Input'!$G$69="Taux Classe sélectionnée",Distrib_Global_Classe_Selectionnee*AQ$20,IF('01_Input'!$G$69="Frais KYC (paliers de 100M€)",MAX(0,Nb_Investisseurs-Nb_KYC_Gratuites_Par_Tranche*(FLOOR(AQ$20/Taille_Tranche_KYC,1)+1))*Cout_Par_KYC_Supplementaire,(IF('01_Input'!$L$69="Forfait",IF(AQ$20&gt;='01_Input'!$J$69,'01_Input'!$M$69,0),IF('01_Input'!$L$69="Palier",IF(AND(AQ$20&gt;='01_Input'!$J$69,AQ$20&lt;'01_Input'!$K$69),'01_Input'!$M$69,0),MAX(MIN(AQ$20,'01_Input'!$K$69)-'01_Input'!$J$69,0)*'01_Input'!$M$69))+IF('01_Input'!$P$69="Forfait",IF(AQ$20&gt;='01_Input'!$N$69,'01_Input'!$Q$69,0),IF('01_Input'!$P$69="Palier",IF(AND(AQ$20&gt;='01_Input'!$N$69,AQ$20&lt;'01_Input'!$O$69),'01_Input'!$Q$69,0),MAX(MIN(AQ$20,'01_Input'!$O$69)-'01_Input'!$N$69,0)*'01_Input'!$Q$69))+IF('01_Input'!$T$69="Forfait",IF(AQ$20&gt;='01_Input'!$R$69,'01_Input'!$U$69,0),IF('01_Input'!$T$69="Palier",IF(AND(AQ$20&gt;='01_Input'!$R$69,AQ$20&lt;'01_Input'!$S$69),'01_Input'!$U$69,0),MAX(MIN(AQ$20,'01_Input'!$S$69)-'01_Input'!$R$69,0)*'01_Input'!$U$69))+IF('01_Input'!$X$69="Forfait",IF(AQ$20&gt;='01_Input'!$V$69,'01_Input'!$Y$69,0),IF('01_Input'!$X$69="Palier",IF(AND(AQ$20&gt;='01_Input'!$V$69,AQ$20&lt;'01_Input'!$W$69),'01_Input'!$Y$69,0),MAX(MIN(AQ$20,'01_Input'!$W$69)-'01_Input'!$V$69,0)*'01_Input'!$Y$69))+IF('01_Input'!$AB$69="Forfait",IF(AQ$20&gt;='01_Input'!$Z$69,'01_Input'!$AC$69,0),IF('01_Input'!$AB$69="Palier",IF(AND(AQ$20&gt;='01_Input'!$Z$69,AQ$20&lt;'01_Input'!$AA$69),'01_Input'!$AC$69,0),MAX(MIN(AQ$20,'01_Input'!$AA$69)-'01_Input'!$Z$69,0)*'01_Input'!$AC$69)))))))))</f>
        <v>0</v>
      </c>
      <c r="AR37" s="25">
        <f>IF('01_Input'!$C$69="Non",0,MIN('01_Input'!$I$69,MAX('01_Input'!$H$69,IF('01_Input'!$G$69="Résiduel vs Gestion",0,IF('01_Input'!$G$69="Taux Classe sélectionnée",Distrib_Global_Classe_Selectionnee*AR$20,IF('01_Input'!$G$69="Frais KYC (paliers de 100M€)",MAX(0,Nb_Investisseurs-Nb_KYC_Gratuites_Par_Tranche*(FLOOR(AR$20/Taille_Tranche_KYC,1)+1))*Cout_Par_KYC_Supplementaire,(IF('01_Input'!$L$69="Forfait",IF(AR$20&gt;='01_Input'!$J$69,'01_Input'!$M$69,0),IF('01_Input'!$L$69="Palier",IF(AND(AR$20&gt;='01_Input'!$J$69,AR$20&lt;'01_Input'!$K$69),'01_Input'!$M$69,0),MAX(MIN(AR$20,'01_Input'!$K$69)-'01_Input'!$J$69,0)*'01_Input'!$M$69))+IF('01_Input'!$P$69="Forfait",IF(AR$20&gt;='01_Input'!$N$69,'01_Input'!$Q$69,0),IF('01_Input'!$P$69="Palier",IF(AND(AR$20&gt;='01_Input'!$N$69,AR$20&lt;'01_Input'!$O$69),'01_Input'!$Q$69,0),MAX(MIN(AR$20,'01_Input'!$O$69)-'01_Input'!$N$69,0)*'01_Input'!$Q$69))+IF('01_Input'!$T$69="Forfait",IF(AR$20&gt;='01_Input'!$R$69,'01_Input'!$U$69,0),IF('01_Input'!$T$69="Palier",IF(AND(AR$20&gt;='01_Input'!$R$69,AR$20&lt;'01_Input'!$S$69),'01_Input'!$U$69,0),MAX(MIN(AR$20,'01_Input'!$S$69)-'01_Input'!$R$69,0)*'01_Input'!$U$69))+IF('01_Input'!$X$69="Forfait",IF(AR$20&gt;='01_Input'!$V$69,'01_Input'!$Y$69,0),IF('01_Input'!$X$69="Palier",IF(AND(AR$20&gt;='01_Input'!$V$69,AR$20&lt;'01_Input'!$W$69),'01_Input'!$Y$69,0),MAX(MIN(AR$20,'01_Input'!$W$69)-'01_Input'!$V$69,0)*'01_Input'!$Y$69))+IF('01_Input'!$AB$69="Forfait",IF(AR$20&gt;='01_Input'!$Z$69,'01_Input'!$AC$69,0),IF('01_Input'!$AB$69="Palier",IF(AND(AR$20&gt;='01_Input'!$Z$69,AR$20&lt;'01_Input'!$AA$69),'01_Input'!$AC$69,0),MAX(MIN(AR$20,'01_Input'!$AA$69)-'01_Input'!$Z$69,0)*'01_Input'!$AC$69)))))))))</f>
        <v>0</v>
      </c>
      <c r="AS37" s="25">
        <f>IF('01_Input'!$C$69="Non",0,MIN('01_Input'!$I$69,MAX('01_Input'!$H$69,IF('01_Input'!$G$69="Résiduel vs Gestion",0,IF('01_Input'!$G$69="Taux Classe sélectionnée",Distrib_Global_Classe_Selectionnee*AS$20,IF('01_Input'!$G$69="Frais KYC (paliers de 100M€)",MAX(0,Nb_Investisseurs-Nb_KYC_Gratuites_Par_Tranche*(FLOOR(AS$20/Taille_Tranche_KYC,1)+1))*Cout_Par_KYC_Supplementaire,(IF('01_Input'!$L$69="Forfait",IF(AS$20&gt;='01_Input'!$J$69,'01_Input'!$M$69,0),IF('01_Input'!$L$69="Palier",IF(AND(AS$20&gt;='01_Input'!$J$69,AS$20&lt;'01_Input'!$K$69),'01_Input'!$M$69,0),MAX(MIN(AS$20,'01_Input'!$K$69)-'01_Input'!$J$69,0)*'01_Input'!$M$69))+IF('01_Input'!$P$69="Forfait",IF(AS$20&gt;='01_Input'!$N$69,'01_Input'!$Q$69,0),IF('01_Input'!$P$69="Palier",IF(AND(AS$20&gt;='01_Input'!$N$69,AS$20&lt;'01_Input'!$O$69),'01_Input'!$Q$69,0),MAX(MIN(AS$20,'01_Input'!$O$69)-'01_Input'!$N$69,0)*'01_Input'!$Q$69))+IF('01_Input'!$T$69="Forfait",IF(AS$20&gt;='01_Input'!$R$69,'01_Input'!$U$69,0),IF('01_Input'!$T$69="Palier",IF(AND(AS$20&gt;='01_Input'!$R$69,AS$20&lt;'01_Input'!$S$69),'01_Input'!$U$69,0),MAX(MIN(AS$20,'01_Input'!$S$69)-'01_Input'!$R$69,0)*'01_Input'!$U$69))+IF('01_Input'!$X$69="Forfait",IF(AS$20&gt;='01_Input'!$V$69,'01_Input'!$Y$69,0),IF('01_Input'!$X$69="Palier",IF(AND(AS$20&gt;='01_Input'!$V$69,AS$20&lt;'01_Input'!$W$69),'01_Input'!$Y$69,0),MAX(MIN(AS$20,'01_Input'!$W$69)-'01_Input'!$V$69,0)*'01_Input'!$Y$69))+IF('01_Input'!$AB$69="Forfait",IF(AS$20&gt;='01_Input'!$Z$69,'01_Input'!$AC$69,0),IF('01_Input'!$AB$69="Palier",IF(AND(AS$20&gt;='01_Input'!$Z$69,AS$20&lt;'01_Input'!$AA$69),'01_Input'!$AC$69,0),MAX(MIN(AS$20,'01_Input'!$AA$69)-'01_Input'!$Z$69,0)*'01_Input'!$AC$69)))))))))</f>
        <v>0</v>
      </c>
      <c r="AT37" s="25">
        <f>IF('01_Input'!$C$69="Non",0,MIN('01_Input'!$I$69,MAX('01_Input'!$H$69,IF('01_Input'!$G$69="Résiduel vs Gestion",0,IF('01_Input'!$G$69="Taux Classe sélectionnée",Distrib_Global_Classe_Selectionnee*AT$20,IF('01_Input'!$G$69="Frais KYC (paliers de 100M€)",MAX(0,Nb_Investisseurs-Nb_KYC_Gratuites_Par_Tranche*(FLOOR(AT$20/Taille_Tranche_KYC,1)+1))*Cout_Par_KYC_Supplementaire,(IF('01_Input'!$L$69="Forfait",IF(AT$20&gt;='01_Input'!$J$69,'01_Input'!$M$69,0),IF('01_Input'!$L$69="Palier",IF(AND(AT$20&gt;='01_Input'!$J$69,AT$20&lt;'01_Input'!$K$69),'01_Input'!$M$69,0),MAX(MIN(AT$20,'01_Input'!$K$69)-'01_Input'!$J$69,0)*'01_Input'!$M$69))+IF('01_Input'!$P$69="Forfait",IF(AT$20&gt;='01_Input'!$N$69,'01_Input'!$Q$69,0),IF('01_Input'!$P$69="Palier",IF(AND(AT$20&gt;='01_Input'!$N$69,AT$20&lt;'01_Input'!$O$69),'01_Input'!$Q$69,0),MAX(MIN(AT$20,'01_Input'!$O$69)-'01_Input'!$N$69,0)*'01_Input'!$Q$69))+IF('01_Input'!$T$69="Forfait",IF(AT$20&gt;='01_Input'!$R$69,'01_Input'!$U$69,0),IF('01_Input'!$T$69="Palier",IF(AND(AT$20&gt;='01_Input'!$R$69,AT$20&lt;'01_Input'!$S$69),'01_Input'!$U$69,0),MAX(MIN(AT$20,'01_Input'!$S$69)-'01_Input'!$R$69,0)*'01_Input'!$U$69))+IF('01_Input'!$X$69="Forfait",IF(AT$20&gt;='01_Input'!$V$69,'01_Input'!$Y$69,0),IF('01_Input'!$X$69="Palier",IF(AND(AT$20&gt;='01_Input'!$V$69,AT$20&lt;'01_Input'!$W$69),'01_Input'!$Y$69,0),MAX(MIN(AT$20,'01_Input'!$W$69)-'01_Input'!$V$69,0)*'01_Input'!$Y$69))+IF('01_Input'!$AB$69="Forfait",IF(AT$20&gt;='01_Input'!$Z$69,'01_Input'!$AC$69,0),IF('01_Input'!$AB$69="Palier",IF(AND(AT$20&gt;='01_Input'!$Z$69,AT$20&lt;'01_Input'!$AA$69),'01_Input'!$AC$69,0),MAX(MIN(AT$20,'01_Input'!$AA$69)-'01_Input'!$Z$69,0)*'01_Input'!$AC$69)))))))))</f>
        <v>0</v>
      </c>
      <c r="AU37" s="25">
        <f>IF('01_Input'!$C$69="Non",0,MIN('01_Input'!$I$69,MAX('01_Input'!$H$69,IF('01_Input'!$G$69="Résiduel vs Gestion",0,IF('01_Input'!$G$69="Taux Classe sélectionnée",Distrib_Global_Classe_Selectionnee*AU$20,IF('01_Input'!$G$69="Frais KYC (paliers de 100M€)",MAX(0,Nb_Investisseurs-Nb_KYC_Gratuites_Par_Tranche*(FLOOR(AU$20/Taille_Tranche_KYC,1)+1))*Cout_Par_KYC_Supplementaire,(IF('01_Input'!$L$69="Forfait",IF(AU$20&gt;='01_Input'!$J$69,'01_Input'!$M$69,0),IF('01_Input'!$L$69="Palier",IF(AND(AU$20&gt;='01_Input'!$J$69,AU$20&lt;'01_Input'!$K$69),'01_Input'!$M$69,0),MAX(MIN(AU$20,'01_Input'!$K$69)-'01_Input'!$J$69,0)*'01_Input'!$M$69))+IF('01_Input'!$P$69="Forfait",IF(AU$20&gt;='01_Input'!$N$69,'01_Input'!$Q$69,0),IF('01_Input'!$P$69="Palier",IF(AND(AU$20&gt;='01_Input'!$N$69,AU$20&lt;'01_Input'!$O$69),'01_Input'!$Q$69,0),MAX(MIN(AU$20,'01_Input'!$O$69)-'01_Input'!$N$69,0)*'01_Input'!$Q$69))+IF('01_Input'!$T$69="Forfait",IF(AU$20&gt;='01_Input'!$R$69,'01_Input'!$U$69,0),IF('01_Input'!$T$69="Palier",IF(AND(AU$20&gt;='01_Input'!$R$69,AU$20&lt;'01_Input'!$S$69),'01_Input'!$U$69,0),MAX(MIN(AU$20,'01_Input'!$S$69)-'01_Input'!$R$69,0)*'01_Input'!$U$69))+IF('01_Input'!$X$69="Forfait",IF(AU$20&gt;='01_Input'!$V$69,'01_Input'!$Y$69,0),IF('01_Input'!$X$69="Palier",IF(AND(AU$20&gt;='01_Input'!$V$69,AU$20&lt;'01_Input'!$W$69),'01_Input'!$Y$69,0),MAX(MIN(AU$20,'01_Input'!$W$69)-'01_Input'!$V$69,0)*'01_Input'!$Y$69))+IF('01_Input'!$AB$69="Forfait",IF(AU$20&gt;='01_Input'!$Z$69,'01_Input'!$AC$69,0),IF('01_Input'!$AB$69="Palier",IF(AND(AU$20&gt;='01_Input'!$Z$69,AU$20&lt;'01_Input'!$AA$69),'01_Input'!$AC$69,0),MAX(MIN(AU$20,'01_Input'!$AA$69)-'01_Input'!$Z$69,0)*'01_Input'!$AC$69)))))))))</f>
        <v>0</v>
      </c>
      <c r="AV37" s="25">
        <f>IF('01_Input'!$C$69="Non",0,MIN('01_Input'!$I$69,MAX('01_Input'!$H$69,IF('01_Input'!$G$69="Résiduel vs Gestion",0,IF('01_Input'!$G$69="Taux Classe sélectionnée",Distrib_Global_Classe_Selectionnee*AV$20,IF('01_Input'!$G$69="Frais KYC (paliers de 100M€)",MAX(0,Nb_Investisseurs-Nb_KYC_Gratuites_Par_Tranche*(FLOOR(AV$20/Taille_Tranche_KYC,1)+1))*Cout_Par_KYC_Supplementaire,(IF('01_Input'!$L$69="Forfait",IF(AV$20&gt;='01_Input'!$J$69,'01_Input'!$M$69,0),IF('01_Input'!$L$69="Palier",IF(AND(AV$20&gt;='01_Input'!$J$69,AV$20&lt;'01_Input'!$K$69),'01_Input'!$M$69,0),MAX(MIN(AV$20,'01_Input'!$K$69)-'01_Input'!$J$69,0)*'01_Input'!$M$69))+IF('01_Input'!$P$69="Forfait",IF(AV$20&gt;='01_Input'!$N$69,'01_Input'!$Q$69,0),IF('01_Input'!$P$69="Palier",IF(AND(AV$20&gt;='01_Input'!$N$69,AV$20&lt;'01_Input'!$O$69),'01_Input'!$Q$69,0),MAX(MIN(AV$20,'01_Input'!$O$69)-'01_Input'!$N$69,0)*'01_Input'!$Q$69))+IF('01_Input'!$T$69="Forfait",IF(AV$20&gt;='01_Input'!$R$69,'01_Input'!$U$69,0),IF('01_Input'!$T$69="Palier",IF(AND(AV$20&gt;='01_Input'!$R$69,AV$20&lt;'01_Input'!$S$69),'01_Input'!$U$69,0),MAX(MIN(AV$20,'01_Input'!$S$69)-'01_Input'!$R$69,0)*'01_Input'!$U$69))+IF('01_Input'!$X$69="Forfait",IF(AV$20&gt;='01_Input'!$V$69,'01_Input'!$Y$69,0),IF('01_Input'!$X$69="Palier",IF(AND(AV$20&gt;='01_Input'!$V$69,AV$20&lt;'01_Input'!$W$69),'01_Input'!$Y$69,0),MAX(MIN(AV$20,'01_Input'!$W$69)-'01_Input'!$V$69,0)*'01_Input'!$Y$69))+IF('01_Input'!$AB$69="Forfait",IF(AV$20&gt;='01_Input'!$Z$69,'01_Input'!$AC$69,0),IF('01_Input'!$AB$69="Palier",IF(AND(AV$20&gt;='01_Input'!$Z$69,AV$20&lt;'01_Input'!$AA$69),'01_Input'!$AC$69,0),MAX(MIN(AV$20,'01_Input'!$AA$69)-'01_Input'!$Z$69,0)*'01_Input'!$AC$69)))))))))</f>
        <v>0</v>
      </c>
      <c r="AW37" s="25">
        <f>IF('01_Input'!$C$69="Non",0,MIN('01_Input'!$I$69,MAX('01_Input'!$H$69,IF('01_Input'!$G$69="Résiduel vs Gestion",0,IF('01_Input'!$G$69="Taux Classe sélectionnée",Distrib_Global_Classe_Selectionnee*AW$20,IF('01_Input'!$G$69="Frais KYC (paliers de 100M€)",MAX(0,Nb_Investisseurs-Nb_KYC_Gratuites_Par_Tranche*(FLOOR(AW$20/Taille_Tranche_KYC,1)+1))*Cout_Par_KYC_Supplementaire,(IF('01_Input'!$L$69="Forfait",IF(AW$20&gt;='01_Input'!$J$69,'01_Input'!$M$69,0),IF('01_Input'!$L$69="Palier",IF(AND(AW$20&gt;='01_Input'!$J$69,AW$20&lt;'01_Input'!$K$69),'01_Input'!$M$69,0),MAX(MIN(AW$20,'01_Input'!$K$69)-'01_Input'!$J$69,0)*'01_Input'!$M$69))+IF('01_Input'!$P$69="Forfait",IF(AW$20&gt;='01_Input'!$N$69,'01_Input'!$Q$69,0),IF('01_Input'!$P$69="Palier",IF(AND(AW$20&gt;='01_Input'!$N$69,AW$20&lt;'01_Input'!$O$69),'01_Input'!$Q$69,0),MAX(MIN(AW$20,'01_Input'!$O$69)-'01_Input'!$N$69,0)*'01_Input'!$Q$69))+IF('01_Input'!$T$69="Forfait",IF(AW$20&gt;='01_Input'!$R$69,'01_Input'!$U$69,0),IF('01_Input'!$T$69="Palier",IF(AND(AW$20&gt;='01_Input'!$R$69,AW$20&lt;'01_Input'!$S$69),'01_Input'!$U$69,0),MAX(MIN(AW$20,'01_Input'!$S$69)-'01_Input'!$R$69,0)*'01_Input'!$U$69))+IF('01_Input'!$X$69="Forfait",IF(AW$20&gt;='01_Input'!$V$69,'01_Input'!$Y$69,0),IF('01_Input'!$X$69="Palier",IF(AND(AW$20&gt;='01_Input'!$V$69,AW$20&lt;'01_Input'!$W$69),'01_Input'!$Y$69,0),MAX(MIN(AW$20,'01_Input'!$W$69)-'01_Input'!$V$69,0)*'01_Input'!$Y$69))+IF('01_Input'!$AB$69="Forfait",IF(AW$20&gt;='01_Input'!$Z$69,'01_Input'!$AC$69,0),IF('01_Input'!$AB$69="Palier",IF(AND(AW$20&gt;='01_Input'!$Z$69,AW$20&lt;'01_Input'!$AA$69),'01_Input'!$AC$69,0),MAX(MIN(AW$20,'01_Input'!$AA$69)-'01_Input'!$Z$69,0)*'01_Input'!$AC$69)))))))))</f>
        <v>0</v>
      </c>
      <c r="AX37" s="25">
        <f>IF('01_Input'!$C$69="Non",0,MIN('01_Input'!$I$69,MAX('01_Input'!$H$69,IF('01_Input'!$G$69="Résiduel vs Gestion",0,IF('01_Input'!$G$69="Taux Classe sélectionnée",Distrib_Global_Classe_Selectionnee*AX$20,IF('01_Input'!$G$69="Frais KYC (paliers de 100M€)",MAX(0,Nb_Investisseurs-Nb_KYC_Gratuites_Par_Tranche*(FLOOR(AX$20/Taille_Tranche_KYC,1)+1))*Cout_Par_KYC_Supplementaire,(IF('01_Input'!$L$69="Forfait",IF(AX$20&gt;='01_Input'!$J$69,'01_Input'!$M$69,0),IF('01_Input'!$L$69="Palier",IF(AND(AX$20&gt;='01_Input'!$J$69,AX$20&lt;'01_Input'!$K$69),'01_Input'!$M$69,0),MAX(MIN(AX$20,'01_Input'!$K$69)-'01_Input'!$J$69,0)*'01_Input'!$M$69))+IF('01_Input'!$P$69="Forfait",IF(AX$20&gt;='01_Input'!$N$69,'01_Input'!$Q$69,0),IF('01_Input'!$P$69="Palier",IF(AND(AX$20&gt;='01_Input'!$N$69,AX$20&lt;'01_Input'!$O$69),'01_Input'!$Q$69,0),MAX(MIN(AX$20,'01_Input'!$O$69)-'01_Input'!$N$69,0)*'01_Input'!$Q$69))+IF('01_Input'!$T$69="Forfait",IF(AX$20&gt;='01_Input'!$R$69,'01_Input'!$U$69,0),IF('01_Input'!$T$69="Palier",IF(AND(AX$20&gt;='01_Input'!$R$69,AX$20&lt;'01_Input'!$S$69),'01_Input'!$U$69,0),MAX(MIN(AX$20,'01_Input'!$S$69)-'01_Input'!$R$69,0)*'01_Input'!$U$69))+IF('01_Input'!$X$69="Forfait",IF(AX$20&gt;='01_Input'!$V$69,'01_Input'!$Y$69,0),IF('01_Input'!$X$69="Palier",IF(AND(AX$20&gt;='01_Input'!$V$69,AX$20&lt;'01_Input'!$W$69),'01_Input'!$Y$69,0),MAX(MIN(AX$20,'01_Input'!$W$69)-'01_Input'!$V$69,0)*'01_Input'!$Y$69))+IF('01_Input'!$AB$69="Forfait",IF(AX$20&gt;='01_Input'!$Z$69,'01_Input'!$AC$69,0),IF('01_Input'!$AB$69="Palier",IF(AND(AX$20&gt;='01_Input'!$Z$69,AX$20&lt;'01_Input'!$AA$69),'01_Input'!$AC$69,0),MAX(MIN(AX$20,'01_Input'!$AA$69)-'01_Input'!$Z$69,0)*'01_Input'!$AC$69)))))))))</f>
        <v>0</v>
      </c>
      <c r="AY37" s="25">
        <f>IF('01_Input'!$C$69="Non",0,MIN('01_Input'!$I$69,MAX('01_Input'!$H$69,IF('01_Input'!$G$69="Résiduel vs Gestion",0,IF('01_Input'!$G$69="Taux Classe sélectionnée",Distrib_Global_Classe_Selectionnee*AY$20,IF('01_Input'!$G$69="Frais KYC (paliers de 100M€)",MAX(0,Nb_Investisseurs-Nb_KYC_Gratuites_Par_Tranche*(FLOOR(AY$20/Taille_Tranche_KYC,1)+1))*Cout_Par_KYC_Supplementaire,(IF('01_Input'!$L$69="Forfait",IF(AY$20&gt;='01_Input'!$J$69,'01_Input'!$M$69,0),IF('01_Input'!$L$69="Palier",IF(AND(AY$20&gt;='01_Input'!$J$69,AY$20&lt;'01_Input'!$K$69),'01_Input'!$M$69,0),MAX(MIN(AY$20,'01_Input'!$K$69)-'01_Input'!$J$69,0)*'01_Input'!$M$69))+IF('01_Input'!$P$69="Forfait",IF(AY$20&gt;='01_Input'!$N$69,'01_Input'!$Q$69,0),IF('01_Input'!$P$69="Palier",IF(AND(AY$20&gt;='01_Input'!$N$69,AY$20&lt;'01_Input'!$O$69),'01_Input'!$Q$69,0),MAX(MIN(AY$20,'01_Input'!$O$69)-'01_Input'!$N$69,0)*'01_Input'!$Q$69))+IF('01_Input'!$T$69="Forfait",IF(AY$20&gt;='01_Input'!$R$69,'01_Input'!$U$69,0),IF('01_Input'!$T$69="Palier",IF(AND(AY$20&gt;='01_Input'!$R$69,AY$20&lt;'01_Input'!$S$69),'01_Input'!$U$69,0),MAX(MIN(AY$20,'01_Input'!$S$69)-'01_Input'!$R$69,0)*'01_Input'!$U$69))+IF('01_Input'!$X$69="Forfait",IF(AY$20&gt;='01_Input'!$V$69,'01_Input'!$Y$69,0),IF('01_Input'!$X$69="Palier",IF(AND(AY$20&gt;='01_Input'!$V$69,AY$20&lt;'01_Input'!$W$69),'01_Input'!$Y$69,0),MAX(MIN(AY$20,'01_Input'!$W$69)-'01_Input'!$V$69,0)*'01_Input'!$Y$69))+IF('01_Input'!$AB$69="Forfait",IF(AY$20&gt;='01_Input'!$Z$69,'01_Input'!$AC$69,0),IF('01_Input'!$AB$69="Palier",IF(AND(AY$20&gt;='01_Input'!$Z$69,AY$20&lt;'01_Input'!$AA$69),'01_Input'!$AC$69,0),MAX(MIN(AY$20,'01_Input'!$AA$69)-'01_Input'!$Z$69,0)*'01_Input'!$AC$69)))))))))</f>
        <v>0</v>
      </c>
      <c r="AZ37" s="25">
        <f>IF('01_Input'!$C$69="Non",0,MIN('01_Input'!$I$69,MAX('01_Input'!$H$69,IF('01_Input'!$G$69="Résiduel vs Gestion",0,IF('01_Input'!$G$69="Taux Classe sélectionnée",Distrib_Global_Classe_Selectionnee*AZ$20,IF('01_Input'!$G$69="Frais KYC (paliers de 100M€)",MAX(0,Nb_Investisseurs-Nb_KYC_Gratuites_Par_Tranche*(FLOOR(AZ$20/Taille_Tranche_KYC,1)+1))*Cout_Par_KYC_Supplementaire,(IF('01_Input'!$L$69="Forfait",IF(AZ$20&gt;='01_Input'!$J$69,'01_Input'!$M$69,0),IF('01_Input'!$L$69="Palier",IF(AND(AZ$20&gt;='01_Input'!$J$69,AZ$20&lt;'01_Input'!$K$69),'01_Input'!$M$69,0),MAX(MIN(AZ$20,'01_Input'!$K$69)-'01_Input'!$J$69,0)*'01_Input'!$M$69))+IF('01_Input'!$P$69="Forfait",IF(AZ$20&gt;='01_Input'!$N$69,'01_Input'!$Q$69,0),IF('01_Input'!$P$69="Palier",IF(AND(AZ$20&gt;='01_Input'!$N$69,AZ$20&lt;'01_Input'!$O$69),'01_Input'!$Q$69,0),MAX(MIN(AZ$20,'01_Input'!$O$69)-'01_Input'!$N$69,0)*'01_Input'!$Q$69))+IF('01_Input'!$T$69="Forfait",IF(AZ$20&gt;='01_Input'!$R$69,'01_Input'!$U$69,0),IF('01_Input'!$T$69="Palier",IF(AND(AZ$20&gt;='01_Input'!$R$69,AZ$20&lt;'01_Input'!$S$69),'01_Input'!$U$69,0),MAX(MIN(AZ$20,'01_Input'!$S$69)-'01_Input'!$R$69,0)*'01_Input'!$U$69))+IF('01_Input'!$X$69="Forfait",IF(AZ$20&gt;='01_Input'!$V$69,'01_Input'!$Y$69,0),IF('01_Input'!$X$69="Palier",IF(AND(AZ$20&gt;='01_Input'!$V$69,AZ$20&lt;'01_Input'!$W$69),'01_Input'!$Y$69,0),MAX(MIN(AZ$20,'01_Input'!$W$69)-'01_Input'!$V$69,0)*'01_Input'!$Y$69))+IF('01_Input'!$AB$69="Forfait",IF(AZ$20&gt;='01_Input'!$Z$69,'01_Input'!$AC$69,0),IF('01_Input'!$AB$69="Palier",IF(AND(AZ$20&gt;='01_Input'!$Z$69,AZ$20&lt;'01_Input'!$AA$69),'01_Input'!$AC$69,0),MAX(MIN(AZ$20,'01_Input'!$AA$69)-'01_Input'!$Z$69,0)*'01_Input'!$AC$69)))))))))</f>
        <v>0</v>
      </c>
      <c r="BA37" s="25">
        <f>IF('01_Input'!$C$69="Non",0,MIN('01_Input'!$I$69,MAX('01_Input'!$H$69,IF('01_Input'!$G$69="Résiduel vs Gestion",0,IF('01_Input'!$G$69="Taux Classe sélectionnée",Distrib_Global_Classe_Selectionnee*BA$20,IF('01_Input'!$G$69="Frais KYC (paliers de 100M€)",MAX(0,Nb_Investisseurs-Nb_KYC_Gratuites_Par_Tranche*(FLOOR(BA$20/Taille_Tranche_KYC,1)+1))*Cout_Par_KYC_Supplementaire,(IF('01_Input'!$L$69="Forfait",IF(BA$20&gt;='01_Input'!$J$69,'01_Input'!$M$69,0),IF('01_Input'!$L$69="Palier",IF(AND(BA$20&gt;='01_Input'!$J$69,BA$20&lt;'01_Input'!$K$69),'01_Input'!$M$69,0),MAX(MIN(BA$20,'01_Input'!$K$69)-'01_Input'!$J$69,0)*'01_Input'!$M$69))+IF('01_Input'!$P$69="Forfait",IF(BA$20&gt;='01_Input'!$N$69,'01_Input'!$Q$69,0),IF('01_Input'!$P$69="Palier",IF(AND(BA$20&gt;='01_Input'!$N$69,BA$20&lt;'01_Input'!$O$69),'01_Input'!$Q$69,0),MAX(MIN(BA$20,'01_Input'!$O$69)-'01_Input'!$N$69,0)*'01_Input'!$Q$69))+IF('01_Input'!$T$69="Forfait",IF(BA$20&gt;='01_Input'!$R$69,'01_Input'!$U$69,0),IF('01_Input'!$T$69="Palier",IF(AND(BA$20&gt;='01_Input'!$R$69,BA$20&lt;'01_Input'!$S$69),'01_Input'!$U$69,0),MAX(MIN(BA$20,'01_Input'!$S$69)-'01_Input'!$R$69,0)*'01_Input'!$U$69))+IF('01_Input'!$X$69="Forfait",IF(BA$20&gt;='01_Input'!$V$69,'01_Input'!$Y$69,0),IF('01_Input'!$X$69="Palier",IF(AND(BA$20&gt;='01_Input'!$V$69,BA$20&lt;'01_Input'!$W$69),'01_Input'!$Y$69,0),MAX(MIN(BA$20,'01_Input'!$W$69)-'01_Input'!$V$69,0)*'01_Input'!$Y$69))+IF('01_Input'!$AB$69="Forfait",IF(BA$20&gt;='01_Input'!$Z$69,'01_Input'!$AC$69,0),IF('01_Input'!$AB$69="Palier",IF(AND(BA$20&gt;='01_Input'!$Z$69,BA$20&lt;'01_Input'!$AA$69),'01_Input'!$AC$69,0),MAX(MIN(BA$20,'01_Input'!$AA$69)-'01_Input'!$Z$69,0)*'01_Input'!$AC$69)))))))))</f>
        <v>0</v>
      </c>
      <c r="BB37" s="25">
        <f>IF('01_Input'!$C$69="Non",0,MIN('01_Input'!$I$69,MAX('01_Input'!$H$69,IF('01_Input'!$G$69="Résiduel vs Gestion",0,IF('01_Input'!$G$69="Taux Classe sélectionnée",Distrib_Global_Classe_Selectionnee*BB$20,IF('01_Input'!$G$69="Frais KYC (paliers de 100M€)",MAX(0,Nb_Investisseurs-Nb_KYC_Gratuites_Par_Tranche*(FLOOR(BB$20/Taille_Tranche_KYC,1)+1))*Cout_Par_KYC_Supplementaire,(IF('01_Input'!$L$69="Forfait",IF(BB$20&gt;='01_Input'!$J$69,'01_Input'!$M$69,0),IF('01_Input'!$L$69="Palier",IF(AND(BB$20&gt;='01_Input'!$J$69,BB$20&lt;'01_Input'!$K$69),'01_Input'!$M$69,0),MAX(MIN(BB$20,'01_Input'!$K$69)-'01_Input'!$J$69,0)*'01_Input'!$M$69))+IF('01_Input'!$P$69="Forfait",IF(BB$20&gt;='01_Input'!$N$69,'01_Input'!$Q$69,0),IF('01_Input'!$P$69="Palier",IF(AND(BB$20&gt;='01_Input'!$N$69,BB$20&lt;'01_Input'!$O$69),'01_Input'!$Q$69,0),MAX(MIN(BB$20,'01_Input'!$O$69)-'01_Input'!$N$69,0)*'01_Input'!$Q$69))+IF('01_Input'!$T$69="Forfait",IF(BB$20&gt;='01_Input'!$R$69,'01_Input'!$U$69,0),IF('01_Input'!$T$69="Palier",IF(AND(BB$20&gt;='01_Input'!$R$69,BB$20&lt;'01_Input'!$S$69),'01_Input'!$U$69,0),MAX(MIN(BB$20,'01_Input'!$S$69)-'01_Input'!$R$69,0)*'01_Input'!$U$69))+IF('01_Input'!$X$69="Forfait",IF(BB$20&gt;='01_Input'!$V$69,'01_Input'!$Y$69,0),IF('01_Input'!$X$69="Palier",IF(AND(BB$20&gt;='01_Input'!$V$69,BB$20&lt;'01_Input'!$W$69),'01_Input'!$Y$69,0),MAX(MIN(BB$20,'01_Input'!$W$69)-'01_Input'!$V$69,0)*'01_Input'!$Y$69))+IF('01_Input'!$AB$69="Forfait",IF(BB$20&gt;='01_Input'!$Z$69,'01_Input'!$AC$69,0),IF('01_Input'!$AB$69="Palier",IF(AND(BB$20&gt;='01_Input'!$Z$69,BB$20&lt;'01_Input'!$AA$69),'01_Input'!$AC$69,0),MAX(MIN(BB$20,'01_Input'!$AA$69)-'01_Input'!$Z$69,0)*'01_Input'!$AC$69)))))))))</f>
        <v>0</v>
      </c>
      <c r="BC37" s="25">
        <f>IF('01_Input'!$C$69="Non",0,MIN('01_Input'!$I$69,MAX('01_Input'!$H$69,IF('01_Input'!$G$69="Résiduel vs Gestion",0,IF('01_Input'!$G$69="Taux Classe sélectionnée",Distrib_Global_Classe_Selectionnee*BC$20,IF('01_Input'!$G$69="Frais KYC (paliers de 100M€)",MAX(0,Nb_Investisseurs-Nb_KYC_Gratuites_Par_Tranche*(FLOOR(BC$20/Taille_Tranche_KYC,1)+1))*Cout_Par_KYC_Supplementaire,(IF('01_Input'!$L$69="Forfait",IF(BC$20&gt;='01_Input'!$J$69,'01_Input'!$M$69,0),IF('01_Input'!$L$69="Palier",IF(AND(BC$20&gt;='01_Input'!$J$69,BC$20&lt;'01_Input'!$K$69),'01_Input'!$M$69,0),MAX(MIN(BC$20,'01_Input'!$K$69)-'01_Input'!$J$69,0)*'01_Input'!$M$69))+IF('01_Input'!$P$69="Forfait",IF(BC$20&gt;='01_Input'!$N$69,'01_Input'!$Q$69,0),IF('01_Input'!$P$69="Palier",IF(AND(BC$20&gt;='01_Input'!$N$69,BC$20&lt;'01_Input'!$O$69),'01_Input'!$Q$69,0),MAX(MIN(BC$20,'01_Input'!$O$69)-'01_Input'!$N$69,0)*'01_Input'!$Q$69))+IF('01_Input'!$T$69="Forfait",IF(BC$20&gt;='01_Input'!$R$69,'01_Input'!$U$69,0),IF('01_Input'!$T$69="Palier",IF(AND(BC$20&gt;='01_Input'!$R$69,BC$20&lt;'01_Input'!$S$69),'01_Input'!$U$69,0),MAX(MIN(BC$20,'01_Input'!$S$69)-'01_Input'!$R$69,0)*'01_Input'!$U$69))+IF('01_Input'!$X$69="Forfait",IF(BC$20&gt;='01_Input'!$V$69,'01_Input'!$Y$69,0),IF('01_Input'!$X$69="Palier",IF(AND(BC$20&gt;='01_Input'!$V$69,BC$20&lt;'01_Input'!$W$69),'01_Input'!$Y$69,0),MAX(MIN(BC$20,'01_Input'!$W$69)-'01_Input'!$V$69,0)*'01_Input'!$Y$69))+IF('01_Input'!$AB$69="Forfait",IF(BC$20&gt;='01_Input'!$Z$69,'01_Input'!$AC$69,0),IF('01_Input'!$AB$69="Palier",IF(AND(BC$20&gt;='01_Input'!$Z$69,BC$20&lt;'01_Input'!$AA$69),'01_Input'!$AC$69,0),MAX(MIN(BC$20,'01_Input'!$AA$69)-'01_Input'!$Z$69,0)*'01_Input'!$AC$69)))))))))</f>
        <v>0</v>
      </c>
      <c r="BD37" s="25">
        <f>IF('01_Input'!$C$69="Non",0,MIN('01_Input'!$I$69,MAX('01_Input'!$H$69,IF('01_Input'!$G$69="Résiduel vs Gestion",0,IF('01_Input'!$G$69="Taux Classe sélectionnée",Distrib_Global_Classe_Selectionnee*BD$20,IF('01_Input'!$G$69="Frais KYC (paliers de 100M€)",MAX(0,Nb_Investisseurs-Nb_KYC_Gratuites_Par_Tranche*(FLOOR(BD$20/Taille_Tranche_KYC,1)+1))*Cout_Par_KYC_Supplementaire,(IF('01_Input'!$L$69="Forfait",IF(BD$20&gt;='01_Input'!$J$69,'01_Input'!$M$69,0),IF('01_Input'!$L$69="Palier",IF(AND(BD$20&gt;='01_Input'!$J$69,BD$20&lt;'01_Input'!$K$69),'01_Input'!$M$69,0),MAX(MIN(BD$20,'01_Input'!$K$69)-'01_Input'!$J$69,0)*'01_Input'!$M$69))+IF('01_Input'!$P$69="Forfait",IF(BD$20&gt;='01_Input'!$N$69,'01_Input'!$Q$69,0),IF('01_Input'!$P$69="Palier",IF(AND(BD$20&gt;='01_Input'!$N$69,BD$20&lt;'01_Input'!$O$69),'01_Input'!$Q$69,0),MAX(MIN(BD$20,'01_Input'!$O$69)-'01_Input'!$N$69,0)*'01_Input'!$Q$69))+IF('01_Input'!$T$69="Forfait",IF(BD$20&gt;='01_Input'!$R$69,'01_Input'!$U$69,0),IF('01_Input'!$T$69="Palier",IF(AND(BD$20&gt;='01_Input'!$R$69,BD$20&lt;'01_Input'!$S$69),'01_Input'!$U$69,0),MAX(MIN(BD$20,'01_Input'!$S$69)-'01_Input'!$R$69,0)*'01_Input'!$U$69))+IF('01_Input'!$X$69="Forfait",IF(BD$20&gt;='01_Input'!$V$69,'01_Input'!$Y$69,0),IF('01_Input'!$X$69="Palier",IF(AND(BD$20&gt;='01_Input'!$V$69,BD$20&lt;'01_Input'!$W$69),'01_Input'!$Y$69,0),MAX(MIN(BD$20,'01_Input'!$W$69)-'01_Input'!$V$69,0)*'01_Input'!$Y$69))+IF('01_Input'!$AB$69="Forfait",IF(BD$20&gt;='01_Input'!$Z$69,'01_Input'!$AC$69,0),IF('01_Input'!$AB$69="Palier",IF(AND(BD$20&gt;='01_Input'!$Z$69,BD$20&lt;'01_Input'!$AA$69),'01_Input'!$AC$69,0),MAX(MIN(BD$20,'01_Input'!$AA$69)-'01_Input'!$Z$69,0)*'01_Input'!$AC$69)))))))))</f>
        <v>0</v>
      </c>
      <c r="BE37" s="25">
        <f>IF('01_Input'!$C$69="Non",0,MIN('01_Input'!$I$69,MAX('01_Input'!$H$69,IF('01_Input'!$G$69="Résiduel vs Gestion",0,IF('01_Input'!$G$69="Taux Classe sélectionnée",Distrib_Global_Classe_Selectionnee*BE$20,IF('01_Input'!$G$69="Frais KYC (paliers de 100M€)",MAX(0,Nb_Investisseurs-Nb_KYC_Gratuites_Par_Tranche*(FLOOR(BE$20/Taille_Tranche_KYC,1)+1))*Cout_Par_KYC_Supplementaire,(IF('01_Input'!$L$69="Forfait",IF(BE$20&gt;='01_Input'!$J$69,'01_Input'!$M$69,0),IF('01_Input'!$L$69="Palier",IF(AND(BE$20&gt;='01_Input'!$J$69,BE$20&lt;'01_Input'!$K$69),'01_Input'!$M$69,0),MAX(MIN(BE$20,'01_Input'!$K$69)-'01_Input'!$J$69,0)*'01_Input'!$M$69))+IF('01_Input'!$P$69="Forfait",IF(BE$20&gt;='01_Input'!$N$69,'01_Input'!$Q$69,0),IF('01_Input'!$P$69="Palier",IF(AND(BE$20&gt;='01_Input'!$N$69,BE$20&lt;'01_Input'!$O$69),'01_Input'!$Q$69,0),MAX(MIN(BE$20,'01_Input'!$O$69)-'01_Input'!$N$69,0)*'01_Input'!$Q$69))+IF('01_Input'!$T$69="Forfait",IF(BE$20&gt;='01_Input'!$R$69,'01_Input'!$U$69,0),IF('01_Input'!$T$69="Palier",IF(AND(BE$20&gt;='01_Input'!$R$69,BE$20&lt;'01_Input'!$S$69),'01_Input'!$U$69,0),MAX(MIN(BE$20,'01_Input'!$S$69)-'01_Input'!$R$69,0)*'01_Input'!$U$69))+IF('01_Input'!$X$69="Forfait",IF(BE$20&gt;='01_Input'!$V$69,'01_Input'!$Y$69,0),IF('01_Input'!$X$69="Palier",IF(AND(BE$20&gt;='01_Input'!$V$69,BE$20&lt;'01_Input'!$W$69),'01_Input'!$Y$69,0),MAX(MIN(BE$20,'01_Input'!$W$69)-'01_Input'!$V$69,0)*'01_Input'!$Y$69))+IF('01_Input'!$AB$69="Forfait",IF(BE$20&gt;='01_Input'!$Z$69,'01_Input'!$AC$69,0),IF('01_Input'!$AB$69="Palier",IF(AND(BE$20&gt;='01_Input'!$Z$69,BE$20&lt;'01_Input'!$AA$69),'01_Input'!$AC$69,0),MAX(MIN(BE$20,'01_Input'!$AA$69)-'01_Input'!$Z$69,0)*'01_Input'!$AC$69)))))))))</f>
        <v>0</v>
      </c>
      <c r="BF37" s="25">
        <f>IF('01_Input'!$C$69="Non",0,MIN('01_Input'!$I$69,MAX('01_Input'!$H$69,IF('01_Input'!$G$69="Résiduel vs Gestion",0,IF('01_Input'!$G$69="Taux Classe sélectionnée",Distrib_Global_Classe_Selectionnee*BF$20,IF('01_Input'!$G$69="Frais KYC (paliers de 100M€)",MAX(0,Nb_Investisseurs-Nb_KYC_Gratuites_Par_Tranche*(FLOOR(BF$20/Taille_Tranche_KYC,1)+1))*Cout_Par_KYC_Supplementaire,(IF('01_Input'!$L$69="Forfait",IF(BF$20&gt;='01_Input'!$J$69,'01_Input'!$M$69,0),IF('01_Input'!$L$69="Palier",IF(AND(BF$20&gt;='01_Input'!$J$69,BF$20&lt;'01_Input'!$K$69),'01_Input'!$M$69,0),MAX(MIN(BF$20,'01_Input'!$K$69)-'01_Input'!$J$69,0)*'01_Input'!$M$69))+IF('01_Input'!$P$69="Forfait",IF(BF$20&gt;='01_Input'!$N$69,'01_Input'!$Q$69,0),IF('01_Input'!$P$69="Palier",IF(AND(BF$20&gt;='01_Input'!$N$69,BF$20&lt;'01_Input'!$O$69),'01_Input'!$Q$69,0),MAX(MIN(BF$20,'01_Input'!$O$69)-'01_Input'!$N$69,0)*'01_Input'!$Q$69))+IF('01_Input'!$T$69="Forfait",IF(BF$20&gt;='01_Input'!$R$69,'01_Input'!$U$69,0),IF('01_Input'!$T$69="Palier",IF(AND(BF$20&gt;='01_Input'!$R$69,BF$20&lt;'01_Input'!$S$69),'01_Input'!$U$69,0),MAX(MIN(BF$20,'01_Input'!$S$69)-'01_Input'!$R$69,0)*'01_Input'!$U$69))+IF('01_Input'!$X$69="Forfait",IF(BF$20&gt;='01_Input'!$V$69,'01_Input'!$Y$69,0),IF('01_Input'!$X$69="Palier",IF(AND(BF$20&gt;='01_Input'!$V$69,BF$20&lt;'01_Input'!$W$69),'01_Input'!$Y$69,0),MAX(MIN(BF$20,'01_Input'!$W$69)-'01_Input'!$V$69,0)*'01_Input'!$Y$69))+IF('01_Input'!$AB$69="Forfait",IF(BF$20&gt;='01_Input'!$Z$69,'01_Input'!$AC$69,0),IF('01_Input'!$AB$69="Palier",IF(AND(BF$20&gt;='01_Input'!$Z$69,BF$20&lt;'01_Input'!$AA$69),'01_Input'!$AC$69,0),MAX(MIN(BF$20,'01_Input'!$AA$69)-'01_Input'!$Z$69,0)*'01_Input'!$AC$69)))))))))</f>
        <v>0</v>
      </c>
      <c r="BG37" s="25">
        <f>IF('01_Input'!$C$69="Non",0,MIN('01_Input'!$I$69,MAX('01_Input'!$H$69,IF('01_Input'!$G$69="Résiduel vs Gestion",0,IF('01_Input'!$G$69="Taux Classe sélectionnée",Distrib_Global_Classe_Selectionnee*BG$20,IF('01_Input'!$G$69="Frais KYC (paliers de 100M€)",MAX(0,Nb_Investisseurs-Nb_KYC_Gratuites_Par_Tranche*(FLOOR(BG$20/Taille_Tranche_KYC,1)+1))*Cout_Par_KYC_Supplementaire,(IF('01_Input'!$L$69="Forfait",IF(BG$20&gt;='01_Input'!$J$69,'01_Input'!$M$69,0),IF('01_Input'!$L$69="Palier",IF(AND(BG$20&gt;='01_Input'!$J$69,BG$20&lt;'01_Input'!$K$69),'01_Input'!$M$69,0),MAX(MIN(BG$20,'01_Input'!$K$69)-'01_Input'!$J$69,0)*'01_Input'!$M$69))+IF('01_Input'!$P$69="Forfait",IF(BG$20&gt;='01_Input'!$N$69,'01_Input'!$Q$69,0),IF('01_Input'!$P$69="Palier",IF(AND(BG$20&gt;='01_Input'!$N$69,BG$20&lt;'01_Input'!$O$69),'01_Input'!$Q$69,0),MAX(MIN(BG$20,'01_Input'!$O$69)-'01_Input'!$N$69,0)*'01_Input'!$Q$69))+IF('01_Input'!$T$69="Forfait",IF(BG$20&gt;='01_Input'!$R$69,'01_Input'!$U$69,0),IF('01_Input'!$T$69="Palier",IF(AND(BG$20&gt;='01_Input'!$R$69,BG$20&lt;'01_Input'!$S$69),'01_Input'!$U$69,0),MAX(MIN(BG$20,'01_Input'!$S$69)-'01_Input'!$R$69,0)*'01_Input'!$U$69))+IF('01_Input'!$X$69="Forfait",IF(BG$20&gt;='01_Input'!$V$69,'01_Input'!$Y$69,0),IF('01_Input'!$X$69="Palier",IF(AND(BG$20&gt;='01_Input'!$V$69,BG$20&lt;'01_Input'!$W$69),'01_Input'!$Y$69,0),MAX(MIN(BG$20,'01_Input'!$W$69)-'01_Input'!$V$69,0)*'01_Input'!$Y$69))+IF('01_Input'!$AB$69="Forfait",IF(BG$20&gt;='01_Input'!$Z$69,'01_Input'!$AC$69,0),IF('01_Input'!$AB$69="Palier",IF(AND(BG$20&gt;='01_Input'!$Z$69,BG$20&lt;'01_Input'!$AA$69),'01_Input'!$AC$69,0),MAX(MIN(BG$20,'01_Input'!$AA$69)-'01_Input'!$Z$69,0)*'01_Input'!$AC$69)))))))))</f>
        <v>0</v>
      </c>
      <c r="BH37" s="25">
        <f>IF('01_Input'!$C$69="Non",0,MIN('01_Input'!$I$69,MAX('01_Input'!$H$69,IF('01_Input'!$G$69="Résiduel vs Gestion",0,IF('01_Input'!$G$69="Taux Classe sélectionnée",Distrib_Global_Classe_Selectionnee*BH$20,IF('01_Input'!$G$69="Frais KYC (paliers de 100M€)",MAX(0,Nb_Investisseurs-Nb_KYC_Gratuites_Par_Tranche*(FLOOR(BH$20/Taille_Tranche_KYC,1)+1))*Cout_Par_KYC_Supplementaire,(IF('01_Input'!$L$69="Forfait",IF(BH$20&gt;='01_Input'!$J$69,'01_Input'!$M$69,0),IF('01_Input'!$L$69="Palier",IF(AND(BH$20&gt;='01_Input'!$J$69,BH$20&lt;'01_Input'!$K$69),'01_Input'!$M$69,0),MAX(MIN(BH$20,'01_Input'!$K$69)-'01_Input'!$J$69,0)*'01_Input'!$M$69))+IF('01_Input'!$P$69="Forfait",IF(BH$20&gt;='01_Input'!$N$69,'01_Input'!$Q$69,0),IF('01_Input'!$P$69="Palier",IF(AND(BH$20&gt;='01_Input'!$N$69,BH$20&lt;'01_Input'!$O$69),'01_Input'!$Q$69,0),MAX(MIN(BH$20,'01_Input'!$O$69)-'01_Input'!$N$69,0)*'01_Input'!$Q$69))+IF('01_Input'!$T$69="Forfait",IF(BH$20&gt;='01_Input'!$R$69,'01_Input'!$U$69,0),IF('01_Input'!$T$69="Palier",IF(AND(BH$20&gt;='01_Input'!$R$69,BH$20&lt;'01_Input'!$S$69),'01_Input'!$U$69,0),MAX(MIN(BH$20,'01_Input'!$S$69)-'01_Input'!$R$69,0)*'01_Input'!$U$69))+IF('01_Input'!$X$69="Forfait",IF(BH$20&gt;='01_Input'!$V$69,'01_Input'!$Y$69,0),IF('01_Input'!$X$69="Palier",IF(AND(BH$20&gt;='01_Input'!$V$69,BH$20&lt;'01_Input'!$W$69),'01_Input'!$Y$69,0),MAX(MIN(BH$20,'01_Input'!$W$69)-'01_Input'!$V$69,0)*'01_Input'!$Y$69))+IF('01_Input'!$AB$69="Forfait",IF(BH$20&gt;='01_Input'!$Z$69,'01_Input'!$AC$69,0),IF('01_Input'!$AB$69="Palier",IF(AND(BH$20&gt;='01_Input'!$Z$69,BH$20&lt;'01_Input'!$AA$69),'01_Input'!$AC$69,0),MAX(MIN(BH$20,'01_Input'!$AA$69)-'01_Input'!$Z$69,0)*'01_Input'!$AC$69)))))))))</f>
        <v>0</v>
      </c>
      <c r="BI37" s="25">
        <f>IF('01_Input'!$C$69="Non",0,MIN('01_Input'!$I$69,MAX('01_Input'!$H$69,IF('01_Input'!$G$69="Résiduel vs Gestion",0,IF('01_Input'!$G$69="Taux Classe sélectionnée",Distrib_Global_Classe_Selectionnee*BI$20,IF('01_Input'!$G$69="Frais KYC (paliers de 100M€)",MAX(0,Nb_Investisseurs-Nb_KYC_Gratuites_Par_Tranche*(FLOOR(BI$20/Taille_Tranche_KYC,1)+1))*Cout_Par_KYC_Supplementaire,(IF('01_Input'!$L$69="Forfait",IF(BI$20&gt;='01_Input'!$J$69,'01_Input'!$M$69,0),IF('01_Input'!$L$69="Palier",IF(AND(BI$20&gt;='01_Input'!$J$69,BI$20&lt;'01_Input'!$K$69),'01_Input'!$M$69,0),MAX(MIN(BI$20,'01_Input'!$K$69)-'01_Input'!$J$69,0)*'01_Input'!$M$69))+IF('01_Input'!$P$69="Forfait",IF(BI$20&gt;='01_Input'!$N$69,'01_Input'!$Q$69,0),IF('01_Input'!$P$69="Palier",IF(AND(BI$20&gt;='01_Input'!$N$69,BI$20&lt;'01_Input'!$O$69),'01_Input'!$Q$69,0),MAX(MIN(BI$20,'01_Input'!$O$69)-'01_Input'!$N$69,0)*'01_Input'!$Q$69))+IF('01_Input'!$T$69="Forfait",IF(BI$20&gt;='01_Input'!$R$69,'01_Input'!$U$69,0),IF('01_Input'!$T$69="Palier",IF(AND(BI$20&gt;='01_Input'!$R$69,BI$20&lt;'01_Input'!$S$69),'01_Input'!$U$69,0),MAX(MIN(BI$20,'01_Input'!$S$69)-'01_Input'!$R$69,0)*'01_Input'!$U$69))+IF('01_Input'!$X$69="Forfait",IF(BI$20&gt;='01_Input'!$V$69,'01_Input'!$Y$69,0),IF('01_Input'!$X$69="Palier",IF(AND(BI$20&gt;='01_Input'!$V$69,BI$20&lt;'01_Input'!$W$69),'01_Input'!$Y$69,0),MAX(MIN(BI$20,'01_Input'!$W$69)-'01_Input'!$V$69,0)*'01_Input'!$Y$69))+IF('01_Input'!$AB$69="Forfait",IF(BI$20&gt;='01_Input'!$Z$69,'01_Input'!$AC$69,0),IF('01_Input'!$AB$69="Palier",IF(AND(BI$20&gt;='01_Input'!$Z$69,BI$20&lt;'01_Input'!$AA$69),'01_Input'!$AC$69,0),MAX(MIN(BI$20,'01_Input'!$AA$69)-'01_Input'!$Z$69,0)*'01_Input'!$AC$69)))))))))</f>
        <v>0</v>
      </c>
      <c r="BJ37" s="25">
        <f>IF('01_Input'!$C$69="Non",0,MIN('01_Input'!$I$69,MAX('01_Input'!$H$69,IF('01_Input'!$G$69="Résiduel vs Gestion",0,IF('01_Input'!$G$69="Taux Classe sélectionnée",Distrib_Global_Classe_Selectionnee*BJ$20,IF('01_Input'!$G$69="Frais KYC (paliers de 100M€)",MAX(0,Nb_Investisseurs-Nb_KYC_Gratuites_Par_Tranche*(FLOOR(BJ$20/Taille_Tranche_KYC,1)+1))*Cout_Par_KYC_Supplementaire,(IF('01_Input'!$L$69="Forfait",IF(BJ$20&gt;='01_Input'!$J$69,'01_Input'!$M$69,0),IF('01_Input'!$L$69="Palier",IF(AND(BJ$20&gt;='01_Input'!$J$69,BJ$20&lt;'01_Input'!$K$69),'01_Input'!$M$69,0),MAX(MIN(BJ$20,'01_Input'!$K$69)-'01_Input'!$J$69,0)*'01_Input'!$M$69))+IF('01_Input'!$P$69="Forfait",IF(BJ$20&gt;='01_Input'!$N$69,'01_Input'!$Q$69,0),IF('01_Input'!$P$69="Palier",IF(AND(BJ$20&gt;='01_Input'!$N$69,BJ$20&lt;'01_Input'!$O$69),'01_Input'!$Q$69,0),MAX(MIN(BJ$20,'01_Input'!$O$69)-'01_Input'!$N$69,0)*'01_Input'!$Q$69))+IF('01_Input'!$T$69="Forfait",IF(BJ$20&gt;='01_Input'!$R$69,'01_Input'!$U$69,0),IF('01_Input'!$T$69="Palier",IF(AND(BJ$20&gt;='01_Input'!$R$69,BJ$20&lt;'01_Input'!$S$69),'01_Input'!$U$69,0),MAX(MIN(BJ$20,'01_Input'!$S$69)-'01_Input'!$R$69,0)*'01_Input'!$U$69))+IF('01_Input'!$X$69="Forfait",IF(BJ$20&gt;='01_Input'!$V$69,'01_Input'!$Y$69,0),IF('01_Input'!$X$69="Palier",IF(AND(BJ$20&gt;='01_Input'!$V$69,BJ$20&lt;'01_Input'!$W$69),'01_Input'!$Y$69,0),MAX(MIN(BJ$20,'01_Input'!$W$69)-'01_Input'!$V$69,0)*'01_Input'!$Y$69))+IF('01_Input'!$AB$69="Forfait",IF(BJ$20&gt;='01_Input'!$Z$69,'01_Input'!$AC$69,0),IF('01_Input'!$AB$69="Palier",IF(AND(BJ$20&gt;='01_Input'!$Z$69,BJ$20&lt;'01_Input'!$AA$69),'01_Input'!$AC$69,0),MAX(MIN(BJ$20,'01_Input'!$AA$69)-'01_Input'!$Z$69,0)*'01_Input'!$AC$69)))))))))</f>
        <v>0</v>
      </c>
      <c r="BK37" s="25">
        <f>IF('01_Input'!$C$69="Non",0,MIN('01_Input'!$I$69,MAX('01_Input'!$H$69,IF('01_Input'!$G$69="Résiduel vs Gestion",0,IF('01_Input'!$G$69="Taux Classe sélectionnée",Distrib_Global_Classe_Selectionnee*BK$20,IF('01_Input'!$G$69="Frais KYC (paliers de 100M€)",MAX(0,Nb_Investisseurs-Nb_KYC_Gratuites_Par_Tranche*(FLOOR(BK$20/Taille_Tranche_KYC,1)+1))*Cout_Par_KYC_Supplementaire,(IF('01_Input'!$L$69="Forfait",IF(BK$20&gt;='01_Input'!$J$69,'01_Input'!$M$69,0),IF('01_Input'!$L$69="Palier",IF(AND(BK$20&gt;='01_Input'!$J$69,BK$20&lt;'01_Input'!$K$69),'01_Input'!$M$69,0),MAX(MIN(BK$20,'01_Input'!$K$69)-'01_Input'!$J$69,0)*'01_Input'!$M$69))+IF('01_Input'!$P$69="Forfait",IF(BK$20&gt;='01_Input'!$N$69,'01_Input'!$Q$69,0),IF('01_Input'!$P$69="Palier",IF(AND(BK$20&gt;='01_Input'!$N$69,BK$20&lt;'01_Input'!$O$69),'01_Input'!$Q$69,0),MAX(MIN(BK$20,'01_Input'!$O$69)-'01_Input'!$N$69,0)*'01_Input'!$Q$69))+IF('01_Input'!$T$69="Forfait",IF(BK$20&gt;='01_Input'!$R$69,'01_Input'!$U$69,0),IF('01_Input'!$T$69="Palier",IF(AND(BK$20&gt;='01_Input'!$R$69,BK$20&lt;'01_Input'!$S$69),'01_Input'!$U$69,0),MAX(MIN(BK$20,'01_Input'!$S$69)-'01_Input'!$R$69,0)*'01_Input'!$U$69))+IF('01_Input'!$X$69="Forfait",IF(BK$20&gt;='01_Input'!$V$69,'01_Input'!$Y$69,0),IF('01_Input'!$X$69="Palier",IF(AND(BK$20&gt;='01_Input'!$V$69,BK$20&lt;'01_Input'!$W$69),'01_Input'!$Y$69,0),MAX(MIN(BK$20,'01_Input'!$W$69)-'01_Input'!$V$69,0)*'01_Input'!$Y$69))+IF('01_Input'!$AB$69="Forfait",IF(BK$20&gt;='01_Input'!$Z$69,'01_Input'!$AC$69,0),IF('01_Input'!$AB$69="Palier",IF(AND(BK$20&gt;='01_Input'!$Z$69,BK$20&lt;'01_Input'!$AA$69),'01_Input'!$AC$69,0),MAX(MIN(BK$20,'01_Input'!$AA$69)-'01_Input'!$Z$69,0)*'01_Input'!$AC$69)))))))))</f>
        <v>0</v>
      </c>
      <c r="BL37" s="25">
        <f>IF('01_Input'!$C$69="Non",0,MIN('01_Input'!$I$69,MAX('01_Input'!$H$69,IF('01_Input'!$G$69="Résiduel vs Gestion",0,IF('01_Input'!$G$69="Taux Classe sélectionnée",Distrib_Global_Classe_Selectionnee*BL$20,IF('01_Input'!$G$69="Frais KYC (paliers de 100M€)",MAX(0,Nb_Investisseurs-Nb_KYC_Gratuites_Par_Tranche*(FLOOR(BL$20/Taille_Tranche_KYC,1)+1))*Cout_Par_KYC_Supplementaire,(IF('01_Input'!$L$69="Forfait",IF(BL$20&gt;='01_Input'!$J$69,'01_Input'!$M$69,0),IF('01_Input'!$L$69="Palier",IF(AND(BL$20&gt;='01_Input'!$J$69,BL$20&lt;'01_Input'!$K$69),'01_Input'!$M$69,0),MAX(MIN(BL$20,'01_Input'!$K$69)-'01_Input'!$J$69,0)*'01_Input'!$M$69))+IF('01_Input'!$P$69="Forfait",IF(BL$20&gt;='01_Input'!$N$69,'01_Input'!$Q$69,0),IF('01_Input'!$P$69="Palier",IF(AND(BL$20&gt;='01_Input'!$N$69,BL$20&lt;'01_Input'!$O$69),'01_Input'!$Q$69,0),MAX(MIN(BL$20,'01_Input'!$O$69)-'01_Input'!$N$69,0)*'01_Input'!$Q$69))+IF('01_Input'!$T$69="Forfait",IF(BL$20&gt;='01_Input'!$R$69,'01_Input'!$U$69,0),IF('01_Input'!$T$69="Palier",IF(AND(BL$20&gt;='01_Input'!$R$69,BL$20&lt;'01_Input'!$S$69),'01_Input'!$U$69,0),MAX(MIN(BL$20,'01_Input'!$S$69)-'01_Input'!$R$69,0)*'01_Input'!$U$69))+IF('01_Input'!$X$69="Forfait",IF(BL$20&gt;='01_Input'!$V$69,'01_Input'!$Y$69,0),IF('01_Input'!$X$69="Palier",IF(AND(BL$20&gt;='01_Input'!$V$69,BL$20&lt;'01_Input'!$W$69),'01_Input'!$Y$69,0),MAX(MIN(BL$20,'01_Input'!$W$69)-'01_Input'!$V$69,0)*'01_Input'!$Y$69))+IF('01_Input'!$AB$69="Forfait",IF(BL$20&gt;='01_Input'!$Z$69,'01_Input'!$AC$69,0),IF('01_Input'!$AB$69="Palier",IF(AND(BL$20&gt;='01_Input'!$Z$69,BL$20&lt;'01_Input'!$AA$69),'01_Input'!$AC$69,0),MAX(MIN(BL$20,'01_Input'!$AA$69)-'01_Input'!$Z$69,0)*'01_Input'!$AC$69)))))))))</f>
        <v>0</v>
      </c>
      <c r="BM37" s="25">
        <f>IF('01_Input'!$C$69="Non",0,MIN('01_Input'!$I$69,MAX('01_Input'!$H$69,IF('01_Input'!$G$69="Résiduel vs Gestion",0,IF('01_Input'!$G$69="Taux Classe sélectionnée",Distrib_Global_Classe_Selectionnee*BM$20,IF('01_Input'!$G$69="Frais KYC (paliers de 100M€)",MAX(0,Nb_Investisseurs-Nb_KYC_Gratuites_Par_Tranche*(FLOOR(BM$20/Taille_Tranche_KYC,1)+1))*Cout_Par_KYC_Supplementaire,(IF('01_Input'!$L$69="Forfait",IF(BM$20&gt;='01_Input'!$J$69,'01_Input'!$M$69,0),IF('01_Input'!$L$69="Palier",IF(AND(BM$20&gt;='01_Input'!$J$69,BM$20&lt;'01_Input'!$K$69),'01_Input'!$M$69,0),MAX(MIN(BM$20,'01_Input'!$K$69)-'01_Input'!$J$69,0)*'01_Input'!$M$69))+IF('01_Input'!$P$69="Forfait",IF(BM$20&gt;='01_Input'!$N$69,'01_Input'!$Q$69,0),IF('01_Input'!$P$69="Palier",IF(AND(BM$20&gt;='01_Input'!$N$69,BM$20&lt;'01_Input'!$O$69),'01_Input'!$Q$69,0),MAX(MIN(BM$20,'01_Input'!$O$69)-'01_Input'!$N$69,0)*'01_Input'!$Q$69))+IF('01_Input'!$T$69="Forfait",IF(BM$20&gt;='01_Input'!$R$69,'01_Input'!$U$69,0),IF('01_Input'!$T$69="Palier",IF(AND(BM$20&gt;='01_Input'!$R$69,BM$20&lt;'01_Input'!$S$69),'01_Input'!$U$69,0),MAX(MIN(BM$20,'01_Input'!$S$69)-'01_Input'!$R$69,0)*'01_Input'!$U$69))+IF('01_Input'!$X$69="Forfait",IF(BM$20&gt;='01_Input'!$V$69,'01_Input'!$Y$69,0),IF('01_Input'!$X$69="Palier",IF(AND(BM$20&gt;='01_Input'!$V$69,BM$20&lt;'01_Input'!$W$69),'01_Input'!$Y$69,0),MAX(MIN(BM$20,'01_Input'!$W$69)-'01_Input'!$V$69,0)*'01_Input'!$Y$69))+IF('01_Input'!$AB$69="Forfait",IF(BM$20&gt;='01_Input'!$Z$69,'01_Input'!$AC$69,0),IF('01_Input'!$AB$69="Palier",IF(AND(BM$20&gt;='01_Input'!$Z$69,BM$20&lt;'01_Input'!$AA$69),'01_Input'!$AC$69,0),MAX(MIN(BM$20,'01_Input'!$AA$69)-'01_Input'!$Z$69,0)*'01_Input'!$AC$69)))))))))</f>
        <v>0</v>
      </c>
      <c r="BN37" s="25">
        <f>IF('01_Input'!$C$69="Non",0,MIN('01_Input'!$I$69,MAX('01_Input'!$H$69,IF('01_Input'!$G$69="Résiduel vs Gestion",0,IF('01_Input'!$G$69="Taux Classe sélectionnée",Distrib_Global_Classe_Selectionnee*BN$20,IF('01_Input'!$G$69="Frais KYC (paliers de 100M€)",MAX(0,Nb_Investisseurs-Nb_KYC_Gratuites_Par_Tranche*(FLOOR(BN$20/Taille_Tranche_KYC,1)+1))*Cout_Par_KYC_Supplementaire,(IF('01_Input'!$L$69="Forfait",IF(BN$20&gt;='01_Input'!$J$69,'01_Input'!$M$69,0),IF('01_Input'!$L$69="Palier",IF(AND(BN$20&gt;='01_Input'!$J$69,BN$20&lt;'01_Input'!$K$69),'01_Input'!$M$69,0),MAX(MIN(BN$20,'01_Input'!$K$69)-'01_Input'!$J$69,0)*'01_Input'!$M$69))+IF('01_Input'!$P$69="Forfait",IF(BN$20&gt;='01_Input'!$N$69,'01_Input'!$Q$69,0),IF('01_Input'!$P$69="Palier",IF(AND(BN$20&gt;='01_Input'!$N$69,BN$20&lt;'01_Input'!$O$69),'01_Input'!$Q$69,0),MAX(MIN(BN$20,'01_Input'!$O$69)-'01_Input'!$N$69,0)*'01_Input'!$Q$69))+IF('01_Input'!$T$69="Forfait",IF(BN$20&gt;='01_Input'!$R$69,'01_Input'!$U$69,0),IF('01_Input'!$T$69="Palier",IF(AND(BN$20&gt;='01_Input'!$R$69,BN$20&lt;'01_Input'!$S$69),'01_Input'!$U$69,0),MAX(MIN(BN$20,'01_Input'!$S$69)-'01_Input'!$R$69,0)*'01_Input'!$U$69))+IF('01_Input'!$X$69="Forfait",IF(BN$20&gt;='01_Input'!$V$69,'01_Input'!$Y$69,0),IF('01_Input'!$X$69="Palier",IF(AND(BN$20&gt;='01_Input'!$V$69,BN$20&lt;'01_Input'!$W$69),'01_Input'!$Y$69,0),MAX(MIN(BN$20,'01_Input'!$W$69)-'01_Input'!$V$69,0)*'01_Input'!$Y$69))+IF('01_Input'!$AB$69="Forfait",IF(BN$20&gt;='01_Input'!$Z$69,'01_Input'!$AC$69,0),IF('01_Input'!$AB$69="Palier",IF(AND(BN$20&gt;='01_Input'!$Z$69,BN$20&lt;'01_Input'!$AA$69),'01_Input'!$AC$69,0),MAX(MIN(BN$20,'01_Input'!$AA$69)-'01_Input'!$Z$69,0)*'01_Input'!$AC$69)))))))))</f>
        <v>0</v>
      </c>
      <c r="BO37" s="25">
        <f>IF('01_Input'!$C$69="Non",0,MIN('01_Input'!$I$69,MAX('01_Input'!$H$69,IF('01_Input'!$G$69="Résiduel vs Gestion",0,IF('01_Input'!$G$69="Taux Classe sélectionnée",Distrib_Global_Classe_Selectionnee*BO$20,IF('01_Input'!$G$69="Frais KYC (paliers de 100M€)",MAX(0,Nb_Investisseurs-Nb_KYC_Gratuites_Par_Tranche*(FLOOR(BO$20/Taille_Tranche_KYC,1)+1))*Cout_Par_KYC_Supplementaire,(IF('01_Input'!$L$69="Forfait",IF(BO$20&gt;='01_Input'!$J$69,'01_Input'!$M$69,0),IF('01_Input'!$L$69="Palier",IF(AND(BO$20&gt;='01_Input'!$J$69,BO$20&lt;'01_Input'!$K$69),'01_Input'!$M$69,0),MAX(MIN(BO$20,'01_Input'!$K$69)-'01_Input'!$J$69,0)*'01_Input'!$M$69))+IF('01_Input'!$P$69="Forfait",IF(BO$20&gt;='01_Input'!$N$69,'01_Input'!$Q$69,0),IF('01_Input'!$P$69="Palier",IF(AND(BO$20&gt;='01_Input'!$N$69,BO$20&lt;'01_Input'!$O$69),'01_Input'!$Q$69,0),MAX(MIN(BO$20,'01_Input'!$O$69)-'01_Input'!$N$69,0)*'01_Input'!$Q$69))+IF('01_Input'!$T$69="Forfait",IF(BO$20&gt;='01_Input'!$R$69,'01_Input'!$U$69,0),IF('01_Input'!$T$69="Palier",IF(AND(BO$20&gt;='01_Input'!$R$69,BO$20&lt;'01_Input'!$S$69),'01_Input'!$U$69,0),MAX(MIN(BO$20,'01_Input'!$S$69)-'01_Input'!$R$69,0)*'01_Input'!$U$69))+IF('01_Input'!$X$69="Forfait",IF(BO$20&gt;='01_Input'!$V$69,'01_Input'!$Y$69,0),IF('01_Input'!$X$69="Palier",IF(AND(BO$20&gt;='01_Input'!$V$69,BO$20&lt;'01_Input'!$W$69),'01_Input'!$Y$69,0),MAX(MIN(BO$20,'01_Input'!$W$69)-'01_Input'!$V$69,0)*'01_Input'!$Y$69))+IF('01_Input'!$AB$69="Forfait",IF(BO$20&gt;='01_Input'!$Z$69,'01_Input'!$AC$69,0),IF('01_Input'!$AB$69="Palier",IF(AND(BO$20&gt;='01_Input'!$Z$69,BO$20&lt;'01_Input'!$AA$69),'01_Input'!$AC$69,0),MAX(MIN(BO$20,'01_Input'!$AA$69)-'01_Input'!$Z$69,0)*'01_Input'!$AC$69)))))))))</f>
        <v>0</v>
      </c>
      <c r="BP37" s="25">
        <f>IF('01_Input'!$C$69="Non",0,MIN('01_Input'!$I$69,MAX('01_Input'!$H$69,IF('01_Input'!$G$69="Résiduel vs Gestion",0,IF('01_Input'!$G$69="Taux Classe sélectionnée",Distrib_Global_Classe_Selectionnee*BP$20,IF('01_Input'!$G$69="Frais KYC (paliers de 100M€)",MAX(0,Nb_Investisseurs-Nb_KYC_Gratuites_Par_Tranche*(FLOOR(BP$20/Taille_Tranche_KYC,1)+1))*Cout_Par_KYC_Supplementaire,(IF('01_Input'!$L$69="Forfait",IF(BP$20&gt;='01_Input'!$J$69,'01_Input'!$M$69,0),IF('01_Input'!$L$69="Palier",IF(AND(BP$20&gt;='01_Input'!$J$69,BP$20&lt;'01_Input'!$K$69),'01_Input'!$M$69,0),MAX(MIN(BP$20,'01_Input'!$K$69)-'01_Input'!$J$69,0)*'01_Input'!$M$69))+IF('01_Input'!$P$69="Forfait",IF(BP$20&gt;='01_Input'!$N$69,'01_Input'!$Q$69,0),IF('01_Input'!$P$69="Palier",IF(AND(BP$20&gt;='01_Input'!$N$69,BP$20&lt;'01_Input'!$O$69),'01_Input'!$Q$69,0),MAX(MIN(BP$20,'01_Input'!$O$69)-'01_Input'!$N$69,0)*'01_Input'!$Q$69))+IF('01_Input'!$T$69="Forfait",IF(BP$20&gt;='01_Input'!$R$69,'01_Input'!$U$69,0),IF('01_Input'!$T$69="Palier",IF(AND(BP$20&gt;='01_Input'!$R$69,BP$20&lt;'01_Input'!$S$69),'01_Input'!$U$69,0),MAX(MIN(BP$20,'01_Input'!$S$69)-'01_Input'!$R$69,0)*'01_Input'!$U$69))+IF('01_Input'!$X$69="Forfait",IF(BP$20&gt;='01_Input'!$V$69,'01_Input'!$Y$69,0),IF('01_Input'!$X$69="Palier",IF(AND(BP$20&gt;='01_Input'!$V$69,BP$20&lt;'01_Input'!$W$69),'01_Input'!$Y$69,0),MAX(MIN(BP$20,'01_Input'!$W$69)-'01_Input'!$V$69,0)*'01_Input'!$Y$69))+IF('01_Input'!$AB$69="Forfait",IF(BP$20&gt;='01_Input'!$Z$69,'01_Input'!$AC$69,0),IF('01_Input'!$AB$69="Palier",IF(AND(BP$20&gt;='01_Input'!$Z$69,BP$20&lt;'01_Input'!$AA$69),'01_Input'!$AC$69,0),MAX(MIN(BP$20,'01_Input'!$AA$69)-'01_Input'!$Z$69,0)*'01_Input'!$AC$69)))))))))</f>
        <v>0</v>
      </c>
      <c r="BQ37" s="25">
        <f>IF('01_Input'!$C$69="Non",0,MIN('01_Input'!$I$69,MAX('01_Input'!$H$69,IF('01_Input'!$G$69="Résiduel vs Gestion",0,IF('01_Input'!$G$69="Taux Classe sélectionnée",Distrib_Global_Classe_Selectionnee*BQ$20,IF('01_Input'!$G$69="Frais KYC (paliers de 100M€)",MAX(0,Nb_Investisseurs-Nb_KYC_Gratuites_Par_Tranche*(FLOOR(BQ$20/Taille_Tranche_KYC,1)+1))*Cout_Par_KYC_Supplementaire,(IF('01_Input'!$L$69="Forfait",IF(BQ$20&gt;='01_Input'!$J$69,'01_Input'!$M$69,0),IF('01_Input'!$L$69="Palier",IF(AND(BQ$20&gt;='01_Input'!$J$69,BQ$20&lt;'01_Input'!$K$69),'01_Input'!$M$69,0),MAX(MIN(BQ$20,'01_Input'!$K$69)-'01_Input'!$J$69,0)*'01_Input'!$M$69))+IF('01_Input'!$P$69="Forfait",IF(BQ$20&gt;='01_Input'!$N$69,'01_Input'!$Q$69,0),IF('01_Input'!$P$69="Palier",IF(AND(BQ$20&gt;='01_Input'!$N$69,BQ$20&lt;'01_Input'!$O$69),'01_Input'!$Q$69,0),MAX(MIN(BQ$20,'01_Input'!$O$69)-'01_Input'!$N$69,0)*'01_Input'!$Q$69))+IF('01_Input'!$T$69="Forfait",IF(BQ$20&gt;='01_Input'!$R$69,'01_Input'!$U$69,0),IF('01_Input'!$T$69="Palier",IF(AND(BQ$20&gt;='01_Input'!$R$69,BQ$20&lt;'01_Input'!$S$69),'01_Input'!$U$69,0),MAX(MIN(BQ$20,'01_Input'!$S$69)-'01_Input'!$R$69,0)*'01_Input'!$U$69))+IF('01_Input'!$X$69="Forfait",IF(BQ$20&gt;='01_Input'!$V$69,'01_Input'!$Y$69,0),IF('01_Input'!$X$69="Palier",IF(AND(BQ$20&gt;='01_Input'!$V$69,BQ$20&lt;'01_Input'!$W$69),'01_Input'!$Y$69,0),MAX(MIN(BQ$20,'01_Input'!$W$69)-'01_Input'!$V$69,0)*'01_Input'!$Y$69))+IF('01_Input'!$AB$69="Forfait",IF(BQ$20&gt;='01_Input'!$Z$69,'01_Input'!$AC$69,0),IF('01_Input'!$AB$69="Palier",IF(AND(BQ$20&gt;='01_Input'!$Z$69,BQ$20&lt;'01_Input'!$AA$69),'01_Input'!$AC$69,0),MAX(MIN(BQ$20,'01_Input'!$AA$69)-'01_Input'!$Z$69,0)*'01_Input'!$AC$69)))))))))</f>
        <v>0</v>
      </c>
      <c r="BR37" s="25">
        <f>IF('01_Input'!$C$69="Non",0,MIN('01_Input'!$I$69,MAX('01_Input'!$H$69,IF('01_Input'!$G$69="Résiduel vs Gestion",0,IF('01_Input'!$G$69="Taux Classe sélectionnée",Distrib_Global_Classe_Selectionnee*BR$20,IF('01_Input'!$G$69="Frais KYC (paliers de 100M€)",MAX(0,Nb_Investisseurs-Nb_KYC_Gratuites_Par_Tranche*(FLOOR(BR$20/Taille_Tranche_KYC,1)+1))*Cout_Par_KYC_Supplementaire,(IF('01_Input'!$L$69="Forfait",IF(BR$20&gt;='01_Input'!$J$69,'01_Input'!$M$69,0),IF('01_Input'!$L$69="Palier",IF(AND(BR$20&gt;='01_Input'!$J$69,BR$20&lt;'01_Input'!$K$69),'01_Input'!$M$69,0),MAX(MIN(BR$20,'01_Input'!$K$69)-'01_Input'!$J$69,0)*'01_Input'!$M$69))+IF('01_Input'!$P$69="Forfait",IF(BR$20&gt;='01_Input'!$N$69,'01_Input'!$Q$69,0),IF('01_Input'!$P$69="Palier",IF(AND(BR$20&gt;='01_Input'!$N$69,BR$20&lt;'01_Input'!$O$69),'01_Input'!$Q$69,0),MAX(MIN(BR$20,'01_Input'!$O$69)-'01_Input'!$N$69,0)*'01_Input'!$Q$69))+IF('01_Input'!$T$69="Forfait",IF(BR$20&gt;='01_Input'!$R$69,'01_Input'!$U$69,0),IF('01_Input'!$T$69="Palier",IF(AND(BR$20&gt;='01_Input'!$R$69,BR$20&lt;'01_Input'!$S$69),'01_Input'!$U$69,0),MAX(MIN(BR$20,'01_Input'!$S$69)-'01_Input'!$R$69,0)*'01_Input'!$U$69))+IF('01_Input'!$X$69="Forfait",IF(BR$20&gt;='01_Input'!$V$69,'01_Input'!$Y$69,0),IF('01_Input'!$X$69="Palier",IF(AND(BR$20&gt;='01_Input'!$V$69,BR$20&lt;'01_Input'!$W$69),'01_Input'!$Y$69,0),MAX(MIN(BR$20,'01_Input'!$W$69)-'01_Input'!$V$69,0)*'01_Input'!$Y$69))+IF('01_Input'!$AB$69="Forfait",IF(BR$20&gt;='01_Input'!$Z$69,'01_Input'!$AC$69,0),IF('01_Input'!$AB$69="Palier",IF(AND(BR$20&gt;='01_Input'!$Z$69,BR$20&lt;'01_Input'!$AA$69),'01_Input'!$AC$69,0),MAX(MIN(BR$20,'01_Input'!$AA$69)-'01_Input'!$Z$69,0)*'01_Input'!$AC$69)))))))))</f>
        <v>0</v>
      </c>
      <c r="BS37" s="25">
        <f>IF('01_Input'!$C$69="Non",0,MIN('01_Input'!$I$69,MAX('01_Input'!$H$69,IF('01_Input'!$G$69="Résiduel vs Gestion",0,IF('01_Input'!$G$69="Taux Classe sélectionnée",Distrib_Global_Classe_Selectionnee*BS$20,IF('01_Input'!$G$69="Frais KYC (paliers de 100M€)",MAX(0,Nb_Investisseurs-Nb_KYC_Gratuites_Par_Tranche*(FLOOR(BS$20/Taille_Tranche_KYC,1)+1))*Cout_Par_KYC_Supplementaire,(IF('01_Input'!$L$69="Forfait",IF(BS$20&gt;='01_Input'!$J$69,'01_Input'!$M$69,0),IF('01_Input'!$L$69="Palier",IF(AND(BS$20&gt;='01_Input'!$J$69,BS$20&lt;'01_Input'!$K$69),'01_Input'!$M$69,0),MAX(MIN(BS$20,'01_Input'!$K$69)-'01_Input'!$J$69,0)*'01_Input'!$M$69))+IF('01_Input'!$P$69="Forfait",IF(BS$20&gt;='01_Input'!$N$69,'01_Input'!$Q$69,0),IF('01_Input'!$P$69="Palier",IF(AND(BS$20&gt;='01_Input'!$N$69,BS$20&lt;'01_Input'!$O$69),'01_Input'!$Q$69,0),MAX(MIN(BS$20,'01_Input'!$O$69)-'01_Input'!$N$69,0)*'01_Input'!$Q$69))+IF('01_Input'!$T$69="Forfait",IF(BS$20&gt;='01_Input'!$R$69,'01_Input'!$U$69,0),IF('01_Input'!$T$69="Palier",IF(AND(BS$20&gt;='01_Input'!$R$69,BS$20&lt;'01_Input'!$S$69),'01_Input'!$U$69,0),MAX(MIN(BS$20,'01_Input'!$S$69)-'01_Input'!$R$69,0)*'01_Input'!$U$69))+IF('01_Input'!$X$69="Forfait",IF(BS$20&gt;='01_Input'!$V$69,'01_Input'!$Y$69,0),IF('01_Input'!$X$69="Palier",IF(AND(BS$20&gt;='01_Input'!$V$69,BS$20&lt;'01_Input'!$W$69),'01_Input'!$Y$69,0),MAX(MIN(BS$20,'01_Input'!$W$69)-'01_Input'!$V$69,0)*'01_Input'!$Y$69))+IF('01_Input'!$AB$69="Forfait",IF(BS$20&gt;='01_Input'!$Z$69,'01_Input'!$AC$69,0),IF('01_Input'!$AB$69="Palier",IF(AND(BS$20&gt;='01_Input'!$Z$69,BS$20&lt;'01_Input'!$AA$69),'01_Input'!$AC$69,0),MAX(MIN(BS$20,'01_Input'!$AA$69)-'01_Input'!$Z$69,0)*'01_Input'!$AC$69)))))))))</f>
        <v>0</v>
      </c>
      <c r="BT37" s="25">
        <f>IF('01_Input'!$C$69="Non",0,MIN('01_Input'!$I$69,MAX('01_Input'!$H$69,IF('01_Input'!$G$69="Résiduel vs Gestion",0,IF('01_Input'!$G$69="Taux Classe sélectionnée",Distrib_Global_Classe_Selectionnee*BT$20,IF('01_Input'!$G$69="Frais KYC (paliers de 100M€)",MAX(0,Nb_Investisseurs-Nb_KYC_Gratuites_Par_Tranche*(FLOOR(BT$20/Taille_Tranche_KYC,1)+1))*Cout_Par_KYC_Supplementaire,(IF('01_Input'!$L$69="Forfait",IF(BT$20&gt;='01_Input'!$J$69,'01_Input'!$M$69,0),IF('01_Input'!$L$69="Palier",IF(AND(BT$20&gt;='01_Input'!$J$69,BT$20&lt;'01_Input'!$K$69),'01_Input'!$M$69,0),MAX(MIN(BT$20,'01_Input'!$K$69)-'01_Input'!$J$69,0)*'01_Input'!$M$69))+IF('01_Input'!$P$69="Forfait",IF(BT$20&gt;='01_Input'!$N$69,'01_Input'!$Q$69,0),IF('01_Input'!$P$69="Palier",IF(AND(BT$20&gt;='01_Input'!$N$69,BT$20&lt;'01_Input'!$O$69),'01_Input'!$Q$69,0),MAX(MIN(BT$20,'01_Input'!$O$69)-'01_Input'!$N$69,0)*'01_Input'!$Q$69))+IF('01_Input'!$T$69="Forfait",IF(BT$20&gt;='01_Input'!$R$69,'01_Input'!$U$69,0),IF('01_Input'!$T$69="Palier",IF(AND(BT$20&gt;='01_Input'!$R$69,BT$20&lt;'01_Input'!$S$69),'01_Input'!$U$69,0),MAX(MIN(BT$20,'01_Input'!$S$69)-'01_Input'!$R$69,0)*'01_Input'!$U$69))+IF('01_Input'!$X$69="Forfait",IF(BT$20&gt;='01_Input'!$V$69,'01_Input'!$Y$69,0),IF('01_Input'!$X$69="Palier",IF(AND(BT$20&gt;='01_Input'!$V$69,BT$20&lt;'01_Input'!$W$69),'01_Input'!$Y$69,0),MAX(MIN(BT$20,'01_Input'!$W$69)-'01_Input'!$V$69,0)*'01_Input'!$Y$69))+IF('01_Input'!$AB$69="Forfait",IF(BT$20&gt;='01_Input'!$Z$69,'01_Input'!$AC$69,0),IF('01_Input'!$AB$69="Palier",IF(AND(BT$20&gt;='01_Input'!$Z$69,BT$20&lt;'01_Input'!$AA$69),'01_Input'!$AC$69,0),MAX(MIN(BT$20,'01_Input'!$AA$69)-'01_Input'!$Z$69,0)*'01_Input'!$AC$69)))))))))</f>
        <v>0</v>
      </c>
      <c r="BU37" s="25">
        <f>IF('01_Input'!$C$69="Non",0,MIN('01_Input'!$I$69,MAX('01_Input'!$H$69,IF('01_Input'!$G$69="Résiduel vs Gestion",0,IF('01_Input'!$G$69="Taux Classe sélectionnée",Distrib_Global_Classe_Selectionnee*BU$20,IF('01_Input'!$G$69="Frais KYC (paliers de 100M€)",MAX(0,Nb_Investisseurs-Nb_KYC_Gratuites_Par_Tranche*(FLOOR(BU$20/Taille_Tranche_KYC,1)+1))*Cout_Par_KYC_Supplementaire,(IF('01_Input'!$L$69="Forfait",IF(BU$20&gt;='01_Input'!$J$69,'01_Input'!$M$69,0),IF('01_Input'!$L$69="Palier",IF(AND(BU$20&gt;='01_Input'!$J$69,BU$20&lt;'01_Input'!$K$69),'01_Input'!$M$69,0),MAX(MIN(BU$20,'01_Input'!$K$69)-'01_Input'!$J$69,0)*'01_Input'!$M$69))+IF('01_Input'!$P$69="Forfait",IF(BU$20&gt;='01_Input'!$N$69,'01_Input'!$Q$69,0),IF('01_Input'!$P$69="Palier",IF(AND(BU$20&gt;='01_Input'!$N$69,BU$20&lt;'01_Input'!$O$69),'01_Input'!$Q$69,0),MAX(MIN(BU$20,'01_Input'!$O$69)-'01_Input'!$N$69,0)*'01_Input'!$Q$69))+IF('01_Input'!$T$69="Forfait",IF(BU$20&gt;='01_Input'!$R$69,'01_Input'!$U$69,0),IF('01_Input'!$T$69="Palier",IF(AND(BU$20&gt;='01_Input'!$R$69,BU$20&lt;'01_Input'!$S$69),'01_Input'!$U$69,0),MAX(MIN(BU$20,'01_Input'!$S$69)-'01_Input'!$R$69,0)*'01_Input'!$U$69))+IF('01_Input'!$X$69="Forfait",IF(BU$20&gt;='01_Input'!$V$69,'01_Input'!$Y$69,0),IF('01_Input'!$X$69="Palier",IF(AND(BU$20&gt;='01_Input'!$V$69,BU$20&lt;'01_Input'!$W$69),'01_Input'!$Y$69,0),MAX(MIN(BU$20,'01_Input'!$W$69)-'01_Input'!$V$69,0)*'01_Input'!$Y$69))+IF('01_Input'!$AB$69="Forfait",IF(BU$20&gt;='01_Input'!$Z$69,'01_Input'!$AC$69,0),IF('01_Input'!$AB$69="Palier",IF(AND(BU$20&gt;='01_Input'!$Z$69,BU$20&lt;'01_Input'!$AA$69),'01_Input'!$AC$69,0),MAX(MIN(BU$20,'01_Input'!$AA$69)-'01_Input'!$Z$69,0)*'01_Input'!$AC$69)))))))))</f>
        <v>0</v>
      </c>
      <c r="BV37" s="25">
        <f>IF('01_Input'!$C$69="Non",0,MIN('01_Input'!$I$69,MAX('01_Input'!$H$69,IF('01_Input'!$G$69="Résiduel vs Gestion",0,IF('01_Input'!$G$69="Taux Classe sélectionnée",Distrib_Global_Classe_Selectionnee*BV$20,IF('01_Input'!$G$69="Frais KYC (paliers de 100M€)",MAX(0,Nb_Investisseurs-Nb_KYC_Gratuites_Par_Tranche*(FLOOR(BV$20/Taille_Tranche_KYC,1)+1))*Cout_Par_KYC_Supplementaire,(IF('01_Input'!$L$69="Forfait",IF(BV$20&gt;='01_Input'!$J$69,'01_Input'!$M$69,0),IF('01_Input'!$L$69="Palier",IF(AND(BV$20&gt;='01_Input'!$J$69,BV$20&lt;'01_Input'!$K$69),'01_Input'!$M$69,0),MAX(MIN(BV$20,'01_Input'!$K$69)-'01_Input'!$J$69,0)*'01_Input'!$M$69))+IF('01_Input'!$P$69="Forfait",IF(BV$20&gt;='01_Input'!$N$69,'01_Input'!$Q$69,0),IF('01_Input'!$P$69="Palier",IF(AND(BV$20&gt;='01_Input'!$N$69,BV$20&lt;'01_Input'!$O$69),'01_Input'!$Q$69,0),MAX(MIN(BV$20,'01_Input'!$O$69)-'01_Input'!$N$69,0)*'01_Input'!$Q$69))+IF('01_Input'!$T$69="Forfait",IF(BV$20&gt;='01_Input'!$R$69,'01_Input'!$U$69,0),IF('01_Input'!$T$69="Palier",IF(AND(BV$20&gt;='01_Input'!$R$69,BV$20&lt;'01_Input'!$S$69),'01_Input'!$U$69,0),MAX(MIN(BV$20,'01_Input'!$S$69)-'01_Input'!$R$69,0)*'01_Input'!$U$69))+IF('01_Input'!$X$69="Forfait",IF(BV$20&gt;='01_Input'!$V$69,'01_Input'!$Y$69,0),IF('01_Input'!$X$69="Palier",IF(AND(BV$20&gt;='01_Input'!$V$69,BV$20&lt;'01_Input'!$W$69),'01_Input'!$Y$69,0),MAX(MIN(BV$20,'01_Input'!$W$69)-'01_Input'!$V$69,0)*'01_Input'!$Y$69))+IF('01_Input'!$AB$69="Forfait",IF(BV$20&gt;='01_Input'!$Z$69,'01_Input'!$AC$69,0),IF('01_Input'!$AB$69="Palier",IF(AND(BV$20&gt;='01_Input'!$Z$69,BV$20&lt;'01_Input'!$AA$69),'01_Input'!$AC$69,0),MAX(MIN(BV$20,'01_Input'!$AA$69)-'01_Input'!$Z$69,0)*'01_Input'!$AC$69)))))))))</f>
        <v>0</v>
      </c>
      <c r="BW37" s="25">
        <f>IF('01_Input'!$C$69="Non",0,MIN('01_Input'!$I$69,MAX('01_Input'!$H$69,IF('01_Input'!$G$69="Résiduel vs Gestion",0,IF('01_Input'!$G$69="Taux Classe sélectionnée",Distrib_Global_Classe_Selectionnee*BW$20,IF('01_Input'!$G$69="Frais KYC (paliers de 100M€)",MAX(0,Nb_Investisseurs-Nb_KYC_Gratuites_Par_Tranche*(FLOOR(BW$20/Taille_Tranche_KYC,1)+1))*Cout_Par_KYC_Supplementaire,(IF('01_Input'!$L$69="Forfait",IF(BW$20&gt;='01_Input'!$J$69,'01_Input'!$M$69,0),IF('01_Input'!$L$69="Palier",IF(AND(BW$20&gt;='01_Input'!$J$69,BW$20&lt;'01_Input'!$K$69),'01_Input'!$M$69,0),MAX(MIN(BW$20,'01_Input'!$K$69)-'01_Input'!$J$69,0)*'01_Input'!$M$69))+IF('01_Input'!$P$69="Forfait",IF(BW$20&gt;='01_Input'!$N$69,'01_Input'!$Q$69,0),IF('01_Input'!$P$69="Palier",IF(AND(BW$20&gt;='01_Input'!$N$69,BW$20&lt;'01_Input'!$O$69),'01_Input'!$Q$69,0),MAX(MIN(BW$20,'01_Input'!$O$69)-'01_Input'!$N$69,0)*'01_Input'!$Q$69))+IF('01_Input'!$T$69="Forfait",IF(BW$20&gt;='01_Input'!$R$69,'01_Input'!$U$69,0),IF('01_Input'!$T$69="Palier",IF(AND(BW$20&gt;='01_Input'!$R$69,BW$20&lt;'01_Input'!$S$69),'01_Input'!$U$69,0),MAX(MIN(BW$20,'01_Input'!$S$69)-'01_Input'!$R$69,0)*'01_Input'!$U$69))+IF('01_Input'!$X$69="Forfait",IF(BW$20&gt;='01_Input'!$V$69,'01_Input'!$Y$69,0),IF('01_Input'!$X$69="Palier",IF(AND(BW$20&gt;='01_Input'!$V$69,BW$20&lt;'01_Input'!$W$69),'01_Input'!$Y$69,0),MAX(MIN(BW$20,'01_Input'!$W$69)-'01_Input'!$V$69,0)*'01_Input'!$Y$69))+IF('01_Input'!$AB$69="Forfait",IF(BW$20&gt;='01_Input'!$Z$69,'01_Input'!$AC$69,0),IF('01_Input'!$AB$69="Palier",IF(AND(BW$20&gt;='01_Input'!$Z$69,BW$20&lt;'01_Input'!$AA$69),'01_Input'!$AC$69,0),MAX(MIN(BW$20,'01_Input'!$AA$69)-'01_Input'!$Z$69,0)*'01_Input'!$AC$69)))))))))</f>
        <v>0</v>
      </c>
      <c r="BX37" s="25">
        <f>IF('01_Input'!$C$69="Non",0,MIN('01_Input'!$I$69,MAX('01_Input'!$H$69,IF('01_Input'!$G$69="Résiduel vs Gestion",0,IF('01_Input'!$G$69="Taux Classe sélectionnée",Distrib_Global_Classe_Selectionnee*BX$20,IF('01_Input'!$G$69="Frais KYC (paliers de 100M€)",MAX(0,Nb_Investisseurs-Nb_KYC_Gratuites_Par_Tranche*(FLOOR(BX$20/Taille_Tranche_KYC,1)+1))*Cout_Par_KYC_Supplementaire,(IF('01_Input'!$L$69="Forfait",IF(BX$20&gt;='01_Input'!$J$69,'01_Input'!$M$69,0),IF('01_Input'!$L$69="Palier",IF(AND(BX$20&gt;='01_Input'!$J$69,BX$20&lt;'01_Input'!$K$69),'01_Input'!$M$69,0),MAX(MIN(BX$20,'01_Input'!$K$69)-'01_Input'!$J$69,0)*'01_Input'!$M$69))+IF('01_Input'!$P$69="Forfait",IF(BX$20&gt;='01_Input'!$N$69,'01_Input'!$Q$69,0),IF('01_Input'!$P$69="Palier",IF(AND(BX$20&gt;='01_Input'!$N$69,BX$20&lt;'01_Input'!$O$69),'01_Input'!$Q$69,0),MAX(MIN(BX$20,'01_Input'!$O$69)-'01_Input'!$N$69,0)*'01_Input'!$Q$69))+IF('01_Input'!$T$69="Forfait",IF(BX$20&gt;='01_Input'!$R$69,'01_Input'!$U$69,0),IF('01_Input'!$T$69="Palier",IF(AND(BX$20&gt;='01_Input'!$R$69,BX$20&lt;'01_Input'!$S$69),'01_Input'!$U$69,0),MAX(MIN(BX$20,'01_Input'!$S$69)-'01_Input'!$R$69,0)*'01_Input'!$U$69))+IF('01_Input'!$X$69="Forfait",IF(BX$20&gt;='01_Input'!$V$69,'01_Input'!$Y$69,0),IF('01_Input'!$X$69="Palier",IF(AND(BX$20&gt;='01_Input'!$V$69,BX$20&lt;'01_Input'!$W$69),'01_Input'!$Y$69,0),MAX(MIN(BX$20,'01_Input'!$W$69)-'01_Input'!$V$69,0)*'01_Input'!$Y$69))+IF('01_Input'!$AB$69="Forfait",IF(BX$20&gt;='01_Input'!$Z$69,'01_Input'!$AC$69,0),IF('01_Input'!$AB$69="Palier",IF(AND(BX$20&gt;='01_Input'!$Z$69,BX$20&lt;'01_Input'!$AA$69),'01_Input'!$AC$69,0),MAX(MIN(BX$20,'01_Input'!$AA$69)-'01_Input'!$Z$69,0)*'01_Input'!$AC$69)))))))))</f>
        <v>0</v>
      </c>
      <c r="BY37" s="25">
        <f>IF('01_Input'!$C$69="Non",0,MIN('01_Input'!$I$69,MAX('01_Input'!$H$69,IF('01_Input'!$G$69="Résiduel vs Gestion",0,IF('01_Input'!$G$69="Taux Classe sélectionnée",Distrib_Global_Classe_Selectionnee*BY$20,IF('01_Input'!$G$69="Frais KYC (paliers de 100M€)",MAX(0,Nb_Investisseurs-Nb_KYC_Gratuites_Par_Tranche*(FLOOR(BY$20/Taille_Tranche_KYC,1)+1))*Cout_Par_KYC_Supplementaire,(IF('01_Input'!$L$69="Forfait",IF(BY$20&gt;='01_Input'!$J$69,'01_Input'!$M$69,0),IF('01_Input'!$L$69="Palier",IF(AND(BY$20&gt;='01_Input'!$J$69,BY$20&lt;'01_Input'!$K$69),'01_Input'!$M$69,0),MAX(MIN(BY$20,'01_Input'!$K$69)-'01_Input'!$J$69,0)*'01_Input'!$M$69))+IF('01_Input'!$P$69="Forfait",IF(BY$20&gt;='01_Input'!$N$69,'01_Input'!$Q$69,0),IF('01_Input'!$P$69="Palier",IF(AND(BY$20&gt;='01_Input'!$N$69,BY$20&lt;'01_Input'!$O$69),'01_Input'!$Q$69,0),MAX(MIN(BY$20,'01_Input'!$O$69)-'01_Input'!$N$69,0)*'01_Input'!$Q$69))+IF('01_Input'!$T$69="Forfait",IF(BY$20&gt;='01_Input'!$R$69,'01_Input'!$U$69,0),IF('01_Input'!$T$69="Palier",IF(AND(BY$20&gt;='01_Input'!$R$69,BY$20&lt;'01_Input'!$S$69),'01_Input'!$U$69,0),MAX(MIN(BY$20,'01_Input'!$S$69)-'01_Input'!$R$69,0)*'01_Input'!$U$69))+IF('01_Input'!$X$69="Forfait",IF(BY$20&gt;='01_Input'!$V$69,'01_Input'!$Y$69,0),IF('01_Input'!$X$69="Palier",IF(AND(BY$20&gt;='01_Input'!$V$69,BY$20&lt;'01_Input'!$W$69),'01_Input'!$Y$69,0),MAX(MIN(BY$20,'01_Input'!$W$69)-'01_Input'!$V$69,0)*'01_Input'!$Y$69))+IF('01_Input'!$AB$69="Forfait",IF(BY$20&gt;='01_Input'!$Z$69,'01_Input'!$AC$69,0),IF('01_Input'!$AB$69="Palier",IF(AND(BY$20&gt;='01_Input'!$Z$69,BY$20&lt;'01_Input'!$AA$69),'01_Input'!$AC$69,0),MAX(MIN(BY$20,'01_Input'!$AA$69)-'01_Input'!$Z$69,0)*'01_Input'!$AC$69)))))))))</f>
        <v>0</v>
      </c>
      <c r="BZ37" s="25">
        <f>IF('01_Input'!$C$69="Non",0,MIN('01_Input'!$I$69,MAX('01_Input'!$H$69,IF('01_Input'!$G$69="Résiduel vs Gestion",0,IF('01_Input'!$G$69="Taux Classe sélectionnée",Distrib_Global_Classe_Selectionnee*BZ$20,IF('01_Input'!$G$69="Frais KYC (paliers de 100M€)",MAX(0,Nb_Investisseurs-Nb_KYC_Gratuites_Par_Tranche*(FLOOR(BZ$20/Taille_Tranche_KYC,1)+1))*Cout_Par_KYC_Supplementaire,(IF('01_Input'!$L$69="Forfait",IF(BZ$20&gt;='01_Input'!$J$69,'01_Input'!$M$69,0),IF('01_Input'!$L$69="Palier",IF(AND(BZ$20&gt;='01_Input'!$J$69,BZ$20&lt;'01_Input'!$K$69),'01_Input'!$M$69,0),MAX(MIN(BZ$20,'01_Input'!$K$69)-'01_Input'!$J$69,0)*'01_Input'!$M$69))+IF('01_Input'!$P$69="Forfait",IF(BZ$20&gt;='01_Input'!$N$69,'01_Input'!$Q$69,0),IF('01_Input'!$P$69="Palier",IF(AND(BZ$20&gt;='01_Input'!$N$69,BZ$20&lt;'01_Input'!$O$69),'01_Input'!$Q$69,0),MAX(MIN(BZ$20,'01_Input'!$O$69)-'01_Input'!$N$69,0)*'01_Input'!$Q$69))+IF('01_Input'!$T$69="Forfait",IF(BZ$20&gt;='01_Input'!$R$69,'01_Input'!$U$69,0),IF('01_Input'!$T$69="Palier",IF(AND(BZ$20&gt;='01_Input'!$R$69,BZ$20&lt;'01_Input'!$S$69),'01_Input'!$U$69,0),MAX(MIN(BZ$20,'01_Input'!$S$69)-'01_Input'!$R$69,0)*'01_Input'!$U$69))+IF('01_Input'!$X$69="Forfait",IF(BZ$20&gt;='01_Input'!$V$69,'01_Input'!$Y$69,0),IF('01_Input'!$X$69="Palier",IF(AND(BZ$20&gt;='01_Input'!$V$69,BZ$20&lt;'01_Input'!$W$69),'01_Input'!$Y$69,0),MAX(MIN(BZ$20,'01_Input'!$W$69)-'01_Input'!$V$69,0)*'01_Input'!$Y$69))+IF('01_Input'!$AB$69="Forfait",IF(BZ$20&gt;='01_Input'!$Z$69,'01_Input'!$AC$69,0),IF('01_Input'!$AB$69="Palier",IF(AND(BZ$20&gt;='01_Input'!$Z$69,BZ$20&lt;'01_Input'!$AA$69),'01_Input'!$AC$69,0),MAX(MIN(BZ$20,'01_Input'!$AA$69)-'01_Input'!$Z$69,0)*'01_Input'!$AC$69)))))))))</f>
        <v>0</v>
      </c>
      <c r="CA37" s="25">
        <f>IF('01_Input'!$C$69="Non",0,MIN('01_Input'!$I$69,MAX('01_Input'!$H$69,IF('01_Input'!$G$69="Résiduel vs Gestion",0,IF('01_Input'!$G$69="Taux Classe sélectionnée",Distrib_Global_Classe_Selectionnee*CA$20,IF('01_Input'!$G$69="Frais KYC (paliers de 100M€)",MAX(0,Nb_Investisseurs-Nb_KYC_Gratuites_Par_Tranche*(FLOOR(CA$20/Taille_Tranche_KYC,1)+1))*Cout_Par_KYC_Supplementaire,(IF('01_Input'!$L$69="Forfait",IF(CA$20&gt;='01_Input'!$J$69,'01_Input'!$M$69,0),IF('01_Input'!$L$69="Palier",IF(AND(CA$20&gt;='01_Input'!$J$69,CA$20&lt;'01_Input'!$K$69),'01_Input'!$M$69,0),MAX(MIN(CA$20,'01_Input'!$K$69)-'01_Input'!$J$69,0)*'01_Input'!$M$69))+IF('01_Input'!$P$69="Forfait",IF(CA$20&gt;='01_Input'!$N$69,'01_Input'!$Q$69,0),IF('01_Input'!$P$69="Palier",IF(AND(CA$20&gt;='01_Input'!$N$69,CA$20&lt;'01_Input'!$O$69),'01_Input'!$Q$69,0),MAX(MIN(CA$20,'01_Input'!$O$69)-'01_Input'!$N$69,0)*'01_Input'!$Q$69))+IF('01_Input'!$T$69="Forfait",IF(CA$20&gt;='01_Input'!$R$69,'01_Input'!$U$69,0),IF('01_Input'!$T$69="Palier",IF(AND(CA$20&gt;='01_Input'!$R$69,CA$20&lt;'01_Input'!$S$69),'01_Input'!$U$69,0),MAX(MIN(CA$20,'01_Input'!$S$69)-'01_Input'!$R$69,0)*'01_Input'!$U$69))+IF('01_Input'!$X$69="Forfait",IF(CA$20&gt;='01_Input'!$V$69,'01_Input'!$Y$69,0),IF('01_Input'!$X$69="Palier",IF(AND(CA$20&gt;='01_Input'!$V$69,CA$20&lt;'01_Input'!$W$69),'01_Input'!$Y$69,0),MAX(MIN(CA$20,'01_Input'!$W$69)-'01_Input'!$V$69,0)*'01_Input'!$Y$69))+IF('01_Input'!$AB$69="Forfait",IF(CA$20&gt;='01_Input'!$Z$69,'01_Input'!$AC$69,0),IF('01_Input'!$AB$69="Palier",IF(AND(CA$20&gt;='01_Input'!$Z$69,CA$20&lt;'01_Input'!$AA$69),'01_Input'!$AC$69,0),MAX(MIN(CA$20,'01_Input'!$AA$69)-'01_Input'!$Z$69,0)*'01_Input'!$AC$69)))))))))</f>
        <v>0</v>
      </c>
      <c r="CB37" s="25">
        <f>IF('01_Input'!$C$69="Non",0,MIN('01_Input'!$I$69,MAX('01_Input'!$H$69,IF('01_Input'!$G$69="Résiduel vs Gestion",0,IF('01_Input'!$G$69="Taux Classe sélectionnée",Distrib_Global_Classe_Selectionnee*CB$20,IF('01_Input'!$G$69="Frais KYC (paliers de 100M€)",MAX(0,Nb_Investisseurs-Nb_KYC_Gratuites_Par_Tranche*(FLOOR(CB$20/Taille_Tranche_KYC,1)+1))*Cout_Par_KYC_Supplementaire,(IF('01_Input'!$L$69="Forfait",IF(CB$20&gt;='01_Input'!$J$69,'01_Input'!$M$69,0),IF('01_Input'!$L$69="Palier",IF(AND(CB$20&gt;='01_Input'!$J$69,CB$20&lt;'01_Input'!$K$69),'01_Input'!$M$69,0),MAX(MIN(CB$20,'01_Input'!$K$69)-'01_Input'!$J$69,0)*'01_Input'!$M$69))+IF('01_Input'!$P$69="Forfait",IF(CB$20&gt;='01_Input'!$N$69,'01_Input'!$Q$69,0),IF('01_Input'!$P$69="Palier",IF(AND(CB$20&gt;='01_Input'!$N$69,CB$20&lt;'01_Input'!$O$69),'01_Input'!$Q$69,0),MAX(MIN(CB$20,'01_Input'!$O$69)-'01_Input'!$N$69,0)*'01_Input'!$Q$69))+IF('01_Input'!$T$69="Forfait",IF(CB$20&gt;='01_Input'!$R$69,'01_Input'!$U$69,0),IF('01_Input'!$T$69="Palier",IF(AND(CB$20&gt;='01_Input'!$R$69,CB$20&lt;'01_Input'!$S$69),'01_Input'!$U$69,0),MAX(MIN(CB$20,'01_Input'!$S$69)-'01_Input'!$R$69,0)*'01_Input'!$U$69))+IF('01_Input'!$X$69="Forfait",IF(CB$20&gt;='01_Input'!$V$69,'01_Input'!$Y$69,0),IF('01_Input'!$X$69="Palier",IF(AND(CB$20&gt;='01_Input'!$V$69,CB$20&lt;'01_Input'!$W$69),'01_Input'!$Y$69,0),MAX(MIN(CB$20,'01_Input'!$W$69)-'01_Input'!$V$69,0)*'01_Input'!$Y$69))+IF('01_Input'!$AB$69="Forfait",IF(CB$20&gt;='01_Input'!$Z$69,'01_Input'!$AC$69,0),IF('01_Input'!$AB$69="Palier",IF(AND(CB$20&gt;='01_Input'!$Z$69,CB$20&lt;'01_Input'!$AA$69),'01_Input'!$AC$69,0),MAX(MIN(CB$20,'01_Input'!$AA$69)-'01_Input'!$Z$69,0)*'01_Input'!$AC$69)))))))))</f>
        <v>0</v>
      </c>
      <c r="CC37" s="25">
        <f>IF('01_Input'!$C$69="Non",0,MIN('01_Input'!$I$69,MAX('01_Input'!$H$69,IF('01_Input'!$G$69="Résiduel vs Gestion",0,IF('01_Input'!$G$69="Taux Classe sélectionnée",Distrib_Global_Classe_Selectionnee*CC$20,IF('01_Input'!$G$69="Frais KYC (paliers de 100M€)",MAX(0,Nb_Investisseurs-Nb_KYC_Gratuites_Par_Tranche*(FLOOR(CC$20/Taille_Tranche_KYC,1)+1))*Cout_Par_KYC_Supplementaire,(IF('01_Input'!$L$69="Forfait",IF(CC$20&gt;='01_Input'!$J$69,'01_Input'!$M$69,0),IF('01_Input'!$L$69="Palier",IF(AND(CC$20&gt;='01_Input'!$J$69,CC$20&lt;'01_Input'!$K$69),'01_Input'!$M$69,0),MAX(MIN(CC$20,'01_Input'!$K$69)-'01_Input'!$J$69,0)*'01_Input'!$M$69))+IF('01_Input'!$P$69="Forfait",IF(CC$20&gt;='01_Input'!$N$69,'01_Input'!$Q$69,0),IF('01_Input'!$P$69="Palier",IF(AND(CC$20&gt;='01_Input'!$N$69,CC$20&lt;'01_Input'!$O$69),'01_Input'!$Q$69,0),MAX(MIN(CC$20,'01_Input'!$O$69)-'01_Input'!$N$69,0)*'01_Input'!$Q$69))+IF('01_Input'!$T$69="Forfait",IF(CC$20&gt;='01_Input'!$R$69,'01_Input'!$U$69,0),IF('01_Input'!$T$69="Palier",IF(AND(CC$20&gt;='01_Input'!$R$69,CC$20&lt;'01_Input'!$S$69),'01_Input'!$U$69,0),MAX(MIN(CC$20,'01_Input'!$S$69)-'01_Input'!$R$69,0)*'01_Input'!$U$69))+IF('01_Input'!$X$69="Forfait",IF(CC$20&gt;='01_Input'!$V$69,'01_Input'!$Y$69,0),IF('01_Input'!$X$69="Palier",IF(AND(CC$20&gt;='01_Input'!$V$69,CC$20&lt;'01_Input'!$W$69),'01_Input'!$Y$69,0),MAX(MIN(CC$20,'01_Input'!$W$69)-'01_Input'!$V$69,0)*'01_Input'!$Y$69))+IF('01_Input'!$AB$69="Forfait",IF(CC$20&gt;='01_Input'!$Z$69,'01_Input'!$AC$69,0),IF('01_Input'!$AB$69="Palier",IF(AND(CC$20&gt;='01_Input'!$Z$69,CC$20&lt;'01_Input'!$AA$69),'01_Input'!$AC$69,0),MAX(MIN(CC$20,'01_Input'!$AA$69)-'01_Input'!$Z$69,0)*'01_Input'!$AC$69)))))))))</f>
        <v>0</v>
      </c>
      <c r="CD37" s="25">
        <f>IF('01_Input'!$C$69="Non",0,MIN('01_Input'!$I$69,MAX('01_Input'!$H$69,IF('01_Input'!$G$69="Résiduel vs Gestion",0,IF('01_Input'!$G$69="Taux Classe sélectionnée",Distrib_Global_Classe_Selectionnee*CD$20,IF('01_Input'!$G$69="Frais KYC (paliers de 100M€)",MAX(0,Nb_Investisseurs-Nb_KYC_Gratuites_Par_Tranche*(FLOOR(CD$20/Taille_Tranche_KYC,1)+1))*Cout_Par_KYC_Supplementaire,(IF('01_Input'!$L$69="Forfait",IF(CD$20&gt;='01_Input'!$J$69,'01_Input'!$M$69,0),IF('01_Input'!$L$69="Palier",IF(AND(CD$20&gt;='01_Input'!$J$69,CD$20&lt;'01_Input'!$K$69),'01_Input'!$M$69,0),MAX(MIN(CD$20,'01_Input'!$K$69)-'01_Input'!$J$69,0)*'01_Input'!$M$69))+IF('01_Input'!$P$69="Forfait",IF(CD$20&gt;='01_Input'!$N$69,'01_Input'!$Q$69,0),IF('01_Input'!$P$69="Palier",IF(AND(CD$20&gt;='01_Input'!$N$69,CD$20&lt;'01_Input'!$O$69),'01_Input'!$Q$69,0),MAX(MIN(CD$20,'01_Input'!$O$69)-'01_Input'!$N$69,0)*'01_Input'!$Q$69))+IF('01_Input'!$T$69="Forfait",IF(CD$20&gt;='01_Input'!$R$69,'01_Input'!$U$69,0),IF('01_Input'!$T$69="Palier",IF(AND(CD$20&gt;='01_Input'!$R$69,CD$20&lt;'01_Input'!$S$69),'01_Input'!$U$69,0),MAX(MIN(CD$20,'01_Input'!$S$69)-'01_Input'!$R$69,0)*'01_Input'!$U$69))+IF('01_Input'!$X$69="Forfait",IF(CD$20&gt;='01_Input'!$V$69,'01_Input'!$Y$69,0),IF('01_Input'!$X$69="Palier",IF(AND(CD$20&gt;='01_Input'!$V$69,CD$20&lt;'01_Input'!$W$69),'01_Input'!$Y$69,0),MAX(MIN(CD$20,'01_Input'!$W$69)-'01_Input'!$V$69,0)*'01_Input'!$Y$69))+IF('01_Input'!$AB$69="Forfait",IF(CD$20&gt;='01_Input'!$Z$69,'01_Input'!$AC$69,0),IF('01_Input'!$AB$69="Palier",IF(AND(CD$20&gt;='01_Input'!$Z$69,CD$20&lt;'01_Input'!$AA$69),'01_Input'!$AC$69,0),MAX(MIN(CD$20,'01_Input'!$AA$69)-'01_Input'!$Z$69,0)*'01_Input'!$AC$69)))))))))</f>
        <v>0</v>
      </c>
      <c r="CE37" s="25">
        <f>IF('01_Input'!$C$69="Non",0,MIN('01_Input'!$I$69,MAX('01_Input'!$H$69,IF('01_Input'!$G$69="Résiduel vs Gestion",0,IF('01_Input'!$G$69="Taux Classe sélectionnée",Distrib_Global_Classe_Selectionnee*CE$20,IF('01_Input'!$G$69="Frais KYC (paliers de 100M€)",MAX(0,Nb_Investisseurs-Nb_KYC_Gratuites_Par_Tranche*(FLOOR(CE$20/Taille_Tranche_KYC,1)+1))*Cout_Par_KYC_Supplementaire,(IF('01_Input'!$L$69="Forfait",IF(CE$20&gt;='01_Input'!$J$69,'01_Input'!$M$69,0),IF('01_Input'!$L$69="Palier",IF(AND(CE$20&gt;='01_Input'!$J$69,CE$20&lt;'01_Input'!$K$69),'01_Input'!$M$69,0),MAX(MIN(CE$20,'01_Input'!$K$69)-'01_Input'!$J$69,0)*'01_Input'!$M$69))+IF('01_Input'!$P$69="Forfait",IF(CE$20&gt;='01_Input'!$N$69,'01_Input'!$Q$69,0),IF('01_Input'!$P$69="Palier",IF(AND(CE$20&gt;='01_Input'!$N$69,CE$20&lt;'01_Input'!$O$69),'01_Input'!$Q$69,0),MAX(MIN(CE$20,'01_Input'!$O$69)-'01_Input'!$N$69,0)*'01_Input'!$Q$69))+IF('01_Input'!$T$69="Forfait",IF(CE$20&gt;='01_Input'!$R$69,'01_Input'!$U$69,0),IF('01_Input'!$T$69="Palier",IF(AND(CE$20&gt;='01_Input'!$R$69,CE$20&lt;'01_Input'!$S$69),'01_Input'!$U$69,0),MAX(MIN(CE$20,'01_Input'!$S$69)-'01_Input'!$R$69,0)*'01_Input'!$U$69))+IF('01_Input'!$X$69="Forfait",IF(CE$20&gt;='01_Input'!$V$69,'01_Input'!$Y$69,0),IF('01_Input'!$X$69="Palier",IF(AND(CE$20&gt;='01_Input'!$V$69,CE$20&lt;'01_Input'!$W$69),'01_Input'!$Y$69,0),MAX(MIN(CE$20,'01_Input'!$W$69)-'01_Input'!$V$69,0)*'01_Input'!$Y$69))+IF('01_Input'!$AB$69="Forfait",IF(CE$20&gt;='01_Input'!$Z$69,'01_Input'!$AC$69,0),IF('01_Input'!$AB$69="Palier",IF(AND(CE$20&gt;='01_Input'!$Z$69,CE$20&lt;'01_Input'!$AA$69),'01_Input'!$AC$69,0),MAX(MIN(CE$20,'01_Input'!$AA$69)-'01_Input'!$Z$69,0)*'01_Input'!$AC$69)))))))))</f>
        <v>0</v>
      </c>
      <c r="CF37" s="25">
        <f>IF('01_Input'!$C$69="Non",0,MIN('01_Input'!$I$69,MAX('01_Input'!$H$69,IF('01_Input'!$G$69="Résiduel vs Gestion",0,IF('01_Input'!$G$69="Taux Classe sélectionnée",Distrib_Global_Classe_Selectionnee*CF$20,IF('01_Input'!$G$69="Frais KYC (paliers de 100M€)",MAX(0,Nb_Investisseurs-Nb_KYC_Gratuites_Par_Tranche*(FLOOR(CF$20/Taille_Tranche_KYC,1)+1))*Cout_Par_KYC_Supplementaire,(IF('01_Input'!$L$69="Forfait",IF(CF$20&gt;='01_Input'!$J$69,'01_Input'!$M$69,0),IF('01_Input'!$L$69="Palier",IF(AND(CF$20&gt;='01_Input'!$J$69,CF$20&lt;'01_Input'!$K$69),'01_Input'!$M$69,0),MAX(MIN(CF$20,'01_Input'!$K$69)-'01_Input'!$J$69,0)*'01_Input'!$M$69))+IF('01_Input'!$P$69="Forfait",IF(CF$20&gt;='01_Input'!$N$69,'01_Input'!$Q$69,0),IF('01_Input'!$P$69="Palier",IF(AND(CF$20&gt;='01_Input'!$N$69,CF$20&lt;'01_Input'!$O$69),'01_Input'!$Q$69,0),MAX(MIN(CF$20,'01_Input'!$O$69)-'01_Input'!$N$69,0)*'01_Input'!$Q$69))+IF('01_Input'!$T$69="Forfait",IF(CF$20&gt;='01_Input'!$R$69,'01_Input'!$U$69,0),IF('01_Input'!$T$69="Palier",IF(AND(CF$20&gt;='01_Input'!$R$69,CF$20&lt;'01_Input'!$S$69),'01_Input'!$U$69,0),MAX(MIN(CF$20,'01_Input'!$S$69)-'01_Input'!$R$69,0)*'01_Input'!$U$69))+IF('01_Input'!$X$69="Forfait",IF(CF$20&gt;='01_Input'!$V$69,'01_Input'!$Y$69,0),IF('01_Input'!$X$69="Palier",IF(AND(CF$20&gt;='01_Input'!$V$69,CF$20&lt;'01_Input'!$W$69),'01_Input'!$Y$69,0),MAX(MIN(CF$20,'01_Input'!$W$69)-'01_Input'!$V$69,0)*'01_Input'!$Y$69))+IF('01_Input'!$AB$69="Forfait",IF(CF$20&gt;='01_Input'!$Z$69,'01_Input'!$AC$69,0),IF('01_Input'!$AB$69="Palier",IF(AND(CF$20&gt;='01_Input'!$Z$69,CF$20&lt;'01_Input'!$AA$69),'01_Input'!$AC$69,0),MAX(MIN(CF$20,'01_Input'!$AA$69)-'01_Input'!$Z$69,0)*'01_Input'!$AC$69)))))))))</f>
        <v>0</v>
      </c>
      <c r="CG37" s="25">
        <f>IF('01_Input'!$C$69="Non",0,MIN('01_Input'!$I$69,MAX('01_Input'!$H$69,IF('01_Input'!$G$69="Résiduel vs Gestion",0,IF('01_Input'!$G$69="Taux Classe sélectionnée",Distrib_Global_Classe_Selectionnee*CG$20,IF('01_Input'!$G$69="Frais KYC (paliers de 100M€)",MAX(0,Nb_Investisseurs-Nb_KYC_Gratuites_Par_Tranche*(FLOOR(CG$20/Taille_Tranche_KYC,1)+1))*Cout_Par_KYC_Supplementaire,(IF('01_Input'!$L$69="Forfait",IF(CG$20&gt;='01_Input'!$J$69,'01_Input'!$M$69,0),IF('01_Input'!$L$69="Palier",IF(AND(CG$20&gt;='01_Input'!$J$69,CG$20&lt;'01_Input'!$K$69),'01_Input'!$M$69,0),MAX(MIN(CG$20,'01_Input'!$K$69)-'01_Input'!$J$69,0)*'01_Input'!$M$69))+IF('01_Input'!$P$69="Forfait",IF(CG$20&gt;='01_Input'!$N$69,'01_Input'!$Q$69,0),IF('01_Input'!$P$69="Palier",IF(AND(CG$20&gt;='01_Input'!$N$69,CG$20&lt;'01_Input'!$O$69),'01_Input'!$Q$69,0),MAX(MIN(CG$20,'01_Input'!$O$69)-'01_Input'!$N$69,0)*'01_Input'!$Q$69))+IF('01_Input'!$T$69="Forfait",IF(CG$20&gt;='01_Input'!$R$69,'01_Input'!$U$69,0),IF('01_Input'!$T$69="Palier",IF(AND(CG$20&gt;='01_Input'!$R$69,CG$20&lt;'01_Input'!$S$69),'01_Input'!$U$69,0),MAX(MIN(CG$20,'01_Input'!$S$69)-'01_Input'!$R$69,0)*'01_Input'!$U$69))+IF('01_Input'!$X$69="Forfait",IF(CG$20&gt;='01_Input'!$V$69,'01_Input'!$Y$69,0),IF('01_Input'!$X$69="Palier",IF(AND(CG$20&gt;='01_Input'!$V$69,CG$20&lt;'01_Input'!$W$69),'01_Input'!$Y$69,0),MAX(MIN(CG$20,'01_Input'!$W$69)-'01_Input'!$V$69,0)*'01_Input'!$Y$69))+IF('01_Input'!$AB$69="Forfait",IF(CG$20&gt;='01_Input'!$Z$69,'01_Input'!$AC$69,0),IF('01_Input'!$AB$69="Palier",IF(AND(CG$20&gt;='01_Input'!$Z$69,CG$20&lt;'01_Input'!$AA$69),'01_Input'!$AC$69,0),MAX(MIN(CG$20,'01_Input'!$AA$69)-'01_Input'!$Z$69,0)*'01_Input'!$AC$69)))))))))</f>
        <v>0</v>
      </c>
      <c r="CH37" s="25">
        <f>IF('01_Input'!$C$69="Non",0,MIN('01_Input'!$I$69,MAX('01_Input'!$H$69,IF('01_Input'!$G$69="Résiduel vs Gestion",0,IF('01_Input'!$G$69="Taux Classe sélectionnée",Distrib_Global_Classe_Selectionnee*CH$20,IF('01_Input'!$G$69="Frais KYC (paliers de 100M€)",MAX(0,Nb_Investisseurs-Nb_KYC_Gratuites_Par_Tranche*(FLOOR(CH$20/Taille_Tranche_KYC,1)+1))*Cout_Par_KYC_Supplementaire,(IF('01_Input'!$L$69="Forfait",IF(CH$20&gt;='01_Input'!$J$69,'01_Input'!$M$69,0),IF('01_Input'!$L$69="Palier",IF(AND(CH$20&gt;='01_Input'!$J$69,CH$20&lt;'01_Input'!$K$69),'01_Input'!$M$69,0),MAX(MIN(CH$20,'01_Input'!$K$69)-'01_Input'!$J$69,0)*'01_Input'!$M$69))+IF('01_Input'!$P$69="Forfait",IF(CH$20&gt;='01_Input'!$N$69,'01_Input'!$Q$69,0),IF('01_Input'!$P$69="Palier",IF(AND(CH$20&gt;='01_Input'!$N$69,CH$20&lt;'01_Input'!$O$69),'01_Input'!$Q$69,0),MAX(MIN(CH$20,'01_Input'!$O$69)-'01_Input'!$N$69,0)*'01_Input'!$Q$69))+IF('01_Input'!$T$69="Forfait",IF(CH$20&gt;='01_Input'!$R$69,'01_Input'!$U$69,0),IF('01_Input'!$T$69="Palier",IF(AND(CH$20&gt;='01_Input'!$R$69,CH$20&lt;'01_Input'!$S$69),'01_Input'!$U$69,0),MAX(MIN(CH$20,'01_Input'!$S$69)-'01_Input'!$R$69,0)*'01_Input'!$U$69))+IF('01_Input'!$X$69="Forfait",IF(CH$20&gt;='01_Input'!$V$69,'01_Input'!$Y$69,0),IF('01_Input'!$X$69="Palier",IF(AND(CH$20&gt;='01_Input'!$V$69,CH$20&lt;'01_Input'!$W$69),'01_Input'!$Y$69,0),MAX(MIN(CH$20,'01_Input'!$W$69)-'01_Input'!$V$69,0)*'01_Input'!$Y$69))+IF('01_Input'!$AB$69="Forfait",IF(CH$20&gt;='01_Input'!$Z$69,'01_Input'!$AC$69,0),IF('01_Input'!$AB$69="Palier",IF(AND(CH$20&gt;='01_Input'!$Z$69,CH$20&lt;'01_Input'!$AA$69),'01_Input'!$AC$69,0),MAX(MIN(CH$20,'01_Input'!$AA$69)-'01_Input'!$Z$69,0)*'01_Input'!$AC$69)))))))))</f>
        <v>0</v>
      </c>
      <c r="CI37" s="25">
        <f>IF('01_Input'!$C$69="Non",0,MIN('01_Input'!$I$69,MAX('01_Input'!$H$69,IF('01_Input'!$G$69="Résiduel vs Gestion",0,IF('01_Input'!$G$69="Taux Classe sélectionnée",Distrib_Global_Classe_Selectionnee*CI$20,IF('01_Input'!$G$69="Frais KYC (paliers de 100M€)",MAX(0,Nb_Investisseurs-Nb_KYC_Gratuites_Par_Tranche*(FLOOR(CI$20/Taille_Tranche_KYC,1)+1))*Cout_Par_KYC_Supplementaire,(IF('01_Input'!$L$69="Forfait",IF(CI$20&gt;='01_Input'!$J$69,'01_Input'!$M$69,0),IF('01_Input'!$L$69="Palier",IF(AND(CI$20&gt;='01_Input'!$J$69,CI$20&lt;'01_Input'!$K$69),'01_Input'!$M$69,0),MAX(MIN(CI$20,'01_Input'!$K$69)-'01_Input'!$J$69,0)*'01_Input'!$M$69))+IF('01_Input'!$P$69="Forfait",IF(CI$20&gt;='01_Input'!$N$69,'01_Input'!$Q$69,0),IF('01_Input'!$P$69="Palier",IF(AND(CI$20&gt;='01_Input'!$N$69,CI$20&lt;'01_Input'!$O$69),'01_Input'!$Q$69,0),MAX(MIN(CI$20,'01_Input'!$O$69)-'01_Input'!$N$69,0)*'01_Input'!$Q$69))+IF('01_Input'!$T$69="Forfait",IF(CI$20&gt;='01_Input'!$R$69,'01_Input'!$U$69,0),IF('01_Input'!$T$69="Palier",IF(AND(CI$20&gt;='01_Input'!$R$69,CI$20&lt;'01_Input'!$S$69),'01_Input'!$U$69,0),MAX(MIN(CI$20,'01_Input'!$S$69)-'01_Input'!$R$69,0)*'01_Input'!$U$69))+IF('01_Input'!$X$69="Forfait",IF(CI$20&gt;='01_Input'!$V$69,'01_Input'!$Y$69,0),IF('01_Input'!$X$69="Palier",IF(AND(CI$20&gt;='01_Input'!$V$69,CI$20&lt;'01_Input'!$W$69),'01_Input'!$Y$69,0),MAX(MIN(CI$20,'01_Input'!$W$69)-'01_Input'!$V$69,0)*'01_Input'!$Y$69))+IF('01_Input'!$AB$69="Forfait",IF(CI$20&gt;='01_Input'!$Z$69,'01_Input'!$AC$69,0),IF('01_Input'!$AB$69="Palier",IF(AND(CI$20&gt;='01_Input'!$Z$69,CI$20&lt;'01_Input'!$AA$69),'01_Input'!$AC$69,0),MAX(MIN(CI$20,'01_Input'!$AA$69)-'01_Input'!$Z$69,0)*'01_Input'!$AC$69)))))))))</f>
        <v>0</v>
      </c>
      <c r="CJ37" s="25">
        <f>IF('01_Input'!$C$69="Non",0,MIN('01_Input'!$I$69,MAX('01_Input'!$H$69,IF('01_Input'!$G$69="Résiduel vs Gestion",0,IF('01_Input'!$G$69="Taux Classe sélectionnée",Distrib_Global_Classe_Selectionnee*CJ$20,IF('01_Input'!$G$69="Frais KYC (paliers de 100M€)",MAX(0,Nb_Investisseurs-Nb_KYC_Gratuites_Par_Tranche*(FLOOR(CJ$20/Taille_Tranche_KYC,1)+1))*Cout_Par_KYC_Supplementaire,(IF('01_Input'!$L$69="Forfait",IF(CJ$20&gt;='01_Input'!$J$69,'01_Input'!$M$69,0),IF('01_Input'!$L$69="Palier",IF(AND(CJ$20&gt;='01_Input'!$J$69,CJ$20&lt;'01_Input'!$K$69),'01_Input'!$M$69,0),MAX(MIN(CJ$20,'01_Input'!$K$69)-'01_Input'!$J$69,0)*'01_Input'!$M$69))+IF('01_Input'!$P$69="Forfait",IF(CJ$20&gt;='01_Input'!$N$69,'01_Input'!$Q$69,0),IF('01_Input'!$P$69="Palier",IF(AND(CJ$20&gt;='01_Input'!$N$69,CJ$20&lt;'01_Input'!$O$69),'01_Input'!$Q$69,0),MAX(MIN(CJ$20,'01_Input'!$O$69)-'01_Input'!$N$69,0)*'01_Input'!$Q$69))+IF('01_Input'!$T$69="Forfait",IF(CJ$20&gt;='01_Input'!$R$69,'01_Input'!$U$69,0),IF('01_Input'!$T$69="Palier",IF(AND(CJ$20&gt;='01_Input'!$R$69,CJ$20&lt;'01_Input'!$S$69),'01_Input'!$U$69,0),MAX(MIN(CJ$20,'01_Input'!$S$69)-'01_Input'!$R$69,0)*'01_Input'!$U$69))+IF('01_Input'!$X$69="Forfait",IF(CJ$20&gt;='01_Input'!$V$69,'01_Input'!$Y$69,0),IF('01_Input'!$X$69="Palier",IF(AND(CJ$20&gt;='01_Input'!$V$69,CJ$20&lt;'01_Input'!$W$69),'01_Input'!$Y$69,0),MAX(MIN(CJ$20,'01_Input'!$W$69)-'01_Input'!$V$69,0)*'01_Input'!$Y$69))+IF('01_Input'!$AB$69="Forfait",IF(CJ$20&gt;='01_Input'!$Z$69,'01_Input'!$AC$69,0),IF('01_Input'!$AB$69="Palier",IF(AND(CJ$20&gt;='01_Input'!$Z$69,CJ$20&lt;'01_Input'!$AA$69),'01_Input'!$AC$69,0),MAX(MIN(CJ$20,'01_Input'!$AA$69)-'01_Input'!$Z$69,0)*'01_Input'!$AC$69)))))))))</f>
        <v>0</v>
      </c>
      <c r="CK37" s="25">
        <f>IF('01_Input'!$C$69="Non",0,MIN('01_Input'!$I$69,MAX('01_Input'!$H$69,IF('01_Input'!$G$69="Résiduel vs Gestion",0,IF('01_Input'!$G$69="Taux Classe sélectionnée",Distrib_Global_Classe_Selectionnee*CK$20,IF('01_Input'!$G$69="Frais KYC (paliers de 100M€)",MAX(0,Nb_Investisseurs-Nb_KYC_Gratuites_Par_Tranche*(FLOOR(CK$20/Taille_Tranche_KYC,1)+1))*Cout_Par_KYC_Supplementaire,(IF('01_Input'!$L$69="Forfait",IF(CK$20&gt;='01_Input'!$J$69,'01_Input'!$M$69,0),IF('01_Input'!$L$69="Palier",IF(AND(CK$20&gt;='01_Input'!$J$69,CK$20&lt;'01_Input'!$K$69),'01_Input'!$M$69,0),MAX(MIN(CK$20,'01_Input'!$K$69)-'01_Input'!$J$69,0)*'01_Input'!$M$69))+IF('01_Input'!$P$69="Forfait",IF(CK$20&gt;='01_Input'!$N$69,'01_Input'!$Q$69,0),IF('01_Input'!$P$69="Palier",IF(AND(CK$20&gt;='01_Input'!$N$69,CK$20&lt;'01_Input'!$O$69),'01_Input'!$Q$69,0),MAX(MIN(CK$20,'01_Input'!$O$69)-'01_Input'!$N$69,0)*'01_Input'!$Q$69))+IF('01_Input'!$T$69="Forfait",IF(CK$20&gt;='01_Input'!$R$69,'01_Input'!$U$69,0),IF('01_Input'!$T$69="Palier",IF(AND(CK$20&gt;='01_Input'!$R$69,CK$20&lt;'01_Input'!$S$69),'01_Input'!$U$69,0),MAX(MIN(CK$20,'01_Input'!$S$69)-'01_Input'!$R$69,0)*'01_Input'!$U$69))+IF('01_Input'!$X$69="Forfait",IF(CK$20&gt;='01_Input'!$V$69,'01_Input'!$Y$69,0),IF('01_Input'!$X$69="Palier",IF(AND(CK$20&gt;='01_Input'!$V$69,CK$20&lt;'01_Input'!$W$69),'01_Input'!$Y$69,0),MAX(MIN(CK$20,'01_Input'!$W$69)-'01_Input'!$V$69,0)*'01_Input'!$Y$69))+IF('01_Input'!$AB$69="Forfait",IF(CK$20&gt;='01_Input'!$Z$69,'01_Input'!$AC$69,0),IF('01_Input'!$AB$69="Palier",IF(AND(CK$20&gt;='01_Input'!$Z$69,CK$20&lt;'01_Input'!$AA$69),'01_Input'!$AC$69,0),MAX(MIN(CK$20,'01_Input'!$AA$69)-'01_Input'!$Z$69,0)*'01_Input'!$AC$69)))))))))</f>
        <v>0</v>
      </c>
      <c r="CL37" s="25">
        <f>IF('01_Input'!$C$69="Non",0,MIN('01_Input'!$I$69,MAX('01_Input'!$H$69,IF('01_Input'!$G$69="Résiduel vs Gestion",0,IF('01_Input'!$G$69="Taux Classe sélectionnée",Distrib_Global_Classe_Selectionnee*CL$20,IF('01_Input'!$G$69="Frais KYC (paliers de 100M€)",MAX(0,Nb_Investisseurs-Nb_KYC_Gratuites_Par_Tranche*(FLOOR(CL$20/Taille_Tranche_KYC,1)+1))*Cout_Par_KYC_Supplementaire,(IF('01_Input'!$L$69="Forfait",IF(CL$20&gt;='01_Input'!$J$69,'01_Input'!$M$69,0),IF('01_Input'!$L$69="Palier",IF(AND(CL$20&gt;='01_Input'!$J$69,CL$20&lt;'01_Input'!$K$69),'01_Input'!$M$69,0),MAX(MIN(CL$20,'01_Input'!$K$69)-'01_Input'!$J$69,0)*'01_Input'!$M$69))+IF('01_Input'!$P$69="Forfait",IF(CL$20&gt;='01_Input'!$N$69,'01_Input'!$Q$69,0),IF('01_Input'!$P$69="Palier",IF(AND(CL$20&gt;='01_Input'!$N$69,CL$20&lt;'01_Input'!$O$69),'01_Input'!$Q$69,0),MAX(MIN(CL$20,'01_Input'!$O$69)-'01_Input'!$N$69,0)*'01_Input'!$Q$69))+IF('01_Input'!$T$69="Forfait",IF(CL$20&gt;='01_Input'!$R$69,'01_Input'!$U$69,0),IF('01_Input'!$T$69="Palier",IF(AND(CL$20&gt;='01_Input'!$R$69,CL$20&lt;'01_Input'!$S$69),'01_Input'!$U$69,0),MAX(MIN(CL$20,'01_Input'!$S$69)-'01_Input'!$R$69,0)*'01_Input'!$U$69))+IF('01_Input'!$X$69="Forfait",IF(CL$20&gt;='01_Input'!$V$69,'01_Input'!$Y$69,0),IF('01_Input'!$X$69="Palier",IF(AND(CL$20&gt;='01_Input'!$V$69,CL$20&lt;'01_Input'!$W$69),'01_Input'!$Y$69,0),MAX(MIN(CL$20,'01_Input'!$W$69)-'01_Input'!$V$69,0)*'01_Input'!$Y$69))+IF('01_Input'!$AB$69="Forfait",IF(CL$20&gt;='01_Input'!$Z$69,'01_Input'!$AC$69,0),IF('01_Input'!$AB$69="Palier",IF(AND(CL$20&gt;='01_Input'!$Z$69,CL$20&lt;'01_Input'!$AA$69),'01_Input'!$AC$69,0),MAX(MIN(CL$20,'01_Input'!$AA$69)-'01_Input'!$Z$69,0)*'01_Input'!$AC$69)))))))))</f>
        <v>0</v>
      </c>
      <c r="CM37" s="25">
        <f>IF('01_Input'!$C$69="Non",0,MIN('01_Input'!$I$69,MAX('01_Input'!$H$69,IF('01_Input'!$G$69="Résiduel vs Gestion",0,IF('01_Input'!$G$69="Taux Classe sélectionnée",Distrib_Global_Classe_Selectionnee*CM$20,IF('01_Input'!$G$69="Frais KYC (paliers de 100M€)",MAX(0,Nb_Investisseurs-Nb_KYC_Gratuites_Par_Tranche*(FLOOR(CM$20/Taille_Tranche_KYC,1)+1))*Cout_Par_KYC_Supplementaire,(IF('01_Input'!$L$69="Forfait",IF(CM$20&gt;='01_Input'!$J$69,'01_Input'!$M$69,0),IF('01_Input'!$L$69="Palier",IF(AND(CM$20&gt;='01_Input'!$J$69,CM$20&lt;'01_Input'!$K$69),'01_Input'!$M$69,0),MAX(MIN(CM$20,'01_Input'!$K$69)-'01_Input'!$J$69,0)*'01_Input'!$M$69))+IF('01_Input'!$P$69="Forfait",IF(CM$20&gt;='01_Input'!$N$69,'01_Input'!$Q$69,0),IF('01_Input'!$P$69="Palier",IF(AND(CM$20&gt;='01_Input'!$N$69,CM$20&lt;'01_Input'!$O$69),'01_Input'!$Q$69,0),MAX(MIN(CM$20,'01_Input'!$O$69)-'01_Input'!$N$69,0)*'01_Input'!$Q$69))+IF('01_Input'!$T$69="Forfait",IF(CM$20&gt;='01_Input'!$R$69,'01_Input'!$U$69,0),IF('01_Input'!$T$69="Palier",IF(AND(CM$20&gt;='01_Input'!$R$69,CM$20&lt;'01_Input'!$S$69),'01_Input'!$U$69,0),MAX(MIN(CM$20,'01_Input'!$S$69)-'01_Input'!$R$69,0)*'01_Input'!$U$69))+IF('01_Input'!$X$69="Forfait",IF(CM$20&gt;='01_Input'!$V$69,'01_Input'!$Y$69,0),IF('01_Input'!$X$69="Palier",IF(AND(CM$20&gt;='01_Input'!$V$69,CM$20&lt;'01_Input'!$W$69),'01_Input'!$Y$69,0),MAX(MIN(CM$20,'01_Input'!$W$69)-'01_Input'!$V$69,0)*'01_Input'!$Y$69))+IF('01_Input'!$AB$69="Forfait",IF(CM$20&gt;='01_Input'!$Z$69,'01_Input'!$AC$69,0),IF('01_Input'!$AB$69="Palier",IF(AND(CM$20&gt;='01_Input'!$Z$69,CM$20&lt;'01_Input'!$AA$69),'01_Input'!$AC$69,0),MAX(MIN(CM$20,'01_Input'!$AA$69)-'01_Input'!$Z$69,0)*'01_Input'!$AC$69)))))))))</f>
        <v>0</v>
      </c>
      <c r="CN37" s="25">
        <f>IF('01_Input'!$C$69="Non",0,MIN('01_Input'!$I$69,MAX('01_Input'!$H$69,IF('01_Input'!$G$69="Résiduel vs Gestion",0,IF('01_Input'!$G$69="Taux Classe sélectionnée",Distrib_Global_Classe_Selectionnee*CN$20,IF('01_Input'!$G$69="Frais KYC (paliers de 100M€)",MAX(0,Nb_Investisseurs-Nb_KYC_Gratuites_Par_Tranche*(FLOOR(CN$20/Taille_Tranche_KYC,1)+1))*Cout_Par_KYC_Supplementaire,(IF('01_Input'!$L$69="Forfait",IF(CN$20&gt;='01_Input'!$J$69,'01_Input'!$M$69,0),IF('01_Input'!$L$69="Palier",IF(AND(CN$20&gt;='01_Input'!$J$69,CN$20&lt;'01_Input'!$K$69),'01_Input'!$M$69,0),MAX(MIN(CN$20,'01_Input'!$K$69)-'01_Input'!$J$69,0)*'01_Input'!$M$69))+IF('01_Input'!$P$69="Forfait",IF(CN$20&gt;='01_Input'!$N$69,'01_Input'!$Q$69,0),IF('01_Input'!$P$69="Palier",IF(AND(CN$20&gt;='01_Input'!$N$69,CN$20&lt;'01_Input'!$O$69),'01_Input'!$Q$69,0),MAX(MIN(CN$20,'01_Input'!$O$69)-'01_Input'!$N$69,0)*'01_Input'!$Q$69))+IF('01_Input'!$T$69="Forfait",IF(CN$20&gt;='01_Input'!$R$69,'01_Input'!$U$69,0),IF('01_Input'!$T$69="Palier",IF(AND(CN$20&gt;='01_Input'!$R$69,CN$20&lt;'01_Input'!$S$69),'01_Input'!$U$69,0),MAX(MIN(CN$20,'01_Input'!$S$69)-'01_Input'!$R$69,0)*'01_Input'!$U$69))+IF('01_Input'!$X$69="Forfait",IF(CN$20&gt;='01_Input'!$V$69,'01_Input'!$Y$69,0),IF('01_Input'!$X$69="Palier",IF(AND(CN$20&gt;='01_Input'!$V$69,CN$20&lt;'01_Input'!$W$69),'01_Input'!$Y$69,0),MAX(MIN(CN$20,'01_Input'!$W$69)-'01_Input'!$V$69,0)*'01_Input'!$Y$69))+IF('01_Input'!$AB$69="Forfait",IF(CN$20&gt;='01_Input'!$Z$69,'01_Input'!$AC$69,0),IF('01_Input'!$AB$69="Palier",IF(AND(CN$20&gt;='01_Input'!$Z$69,CN$20&lt;'01_Input'!$AA$69),'01_Input'!$AC$69,0),MAX(MIN(CN$20,'01_Input'!$AA$69)-'01_Input'!$Z$69,0)*'01_Input'!$AC$69)))))))))</f>
        <v>0</v>
      </c>
      <c r="CO37" s="25">
        <f>IF('01_Input'!$C$69="Non",0,MIN('01_Input'!$I$69,MAX('01_Input'!$H$69,IF('01_Input'!$G$69="Résiduel vs Gestion",0,IF('01_Input'!$G$69="Taux Classe sélectionnée",Distrib_Global_Classe_Selectionnee*CO$20,IF('01_Input'!$G$69="Frais KYC (paliers de 100M€)",MAX(0,Nb_Investisseurs-Nb_KYC_Gratuites_Par_Tranche*(FLOOR(CO$20/Taille_Tranche_KYC,1)+1))*Cout_Par_KYC_Supplementaire,(IF('01_Input'!$L$69="Forfait",IF(CO$20&gt;='01_Input'!$J$69,'01_Input'!$M$69,0),IF('01_Input'!$L$69="Palier",IF(AND(CO$20&gt;='01_Input'!$J$69,CO$20&lt;'01_Input'!$K$69),'01_Input'!$M$69,0),MAX(MIN(CO$20,'01_Input'!$K$69)-'01_Input'!$J$69,0)*'01_Input'!$M$69))+IF('01_Input'!$P$69="Forfait",IF(CO$20&gt;='01_Input'!$N$69,'01_Input'!$Q$69,0),IF('01_Input'!$P$69="Palier",IF(AND(CO$20&gt;='01_Input'!$N$69,CO$20&lt;'01_Input'!$O$69),'01_Input'!$Q$69,0),MAX(MIN(CO$20,'01_Input'!$O$69)-'01_Input'!$N$69,0)*'01_Input'!$Q$69))+IF('01_Input'!$T$69="Forfait",IF(CO$20&gt;='01_Input'!$R$69,'01_Input'!$U$69,0),IF('01_Input'!$T$69="Palier",IF(AND(CO$20&gt;='01_Input'!$R$69,CO$20&lt;'01_Input'!$S$69),'01_Input'!$U$69,0),MAX(MIN(CO$20,'01_Input'!$S$69)-'01_Input'!$R$69,0)*'01_Input'!$U$69))+IF('01_Input'!$X$69="Forfait",IF(CO$20&gt;='01_Input'!$V$69,'01_Input'!$Y$69,0),IF('01_Input'!$X$69="Palier",IF(AND(CO$20&gt;='01_Input'!$V$69,CO$20&lt;'01_Input'!$W$69),'01_Input'!$Y$69,0),MAX(MIN(CO$20,'01_Input'!$W$69)-'01_Input'!$V$69,0)*'01_Input'!$Y$69))+IF('01_Input'!$AB$69="Forfait",IF(CO$20&gt;='01_Input'!$Z$69,'01_Input'!$AC$69,0),IF('01_Input'!$AB$69="Palier",IF(AND(CO$20&gt;='01_Input'!$Z$69,CO$20&lt;'01_Input'!$AA$69),'01_Input'!$AC$69,0),MAX(MIN(CO$20,'01_Input'!$AA$69)-'01_Input'!$Z$69,0)*'01_Input'!$AC$69)))))))))</f>
        <v>0</v>
      </c>
      <c r="CP37" s="25">
        <f>IF('01_Input'!$C$69="Non",0,MIN('01_Input'!$I$69,MAX('01_Input'!$H$69,IF('01_Input'!$G$69="Résiduel vs Gestion",0,IF('01_Input'!$G$69="Taux Classe sélectionnée",Distrib_Global_Classe_Selectionnee*CP$20,IF('01_Input'!$G$69="Frais KYC (paliers de 100M€)",MAX(0,Nb_Investisseurs-Nb_KYC_Gratuites_Par_Tranche*(FLOOR(CP$20/Taille_Tranche_KYC,1)+1))*Cout_Par_KYC_Supplementaire,(IF('01_Input'!$L$69="Forfait",IF(CP$20&gt;='01_Input'!$J$69,'01_Input'!$M$69,0),IF('01_Input'!$L$69="Palier",IF(AND(CP$20&gt;='01_Input'!$J$69,CP$20&lt;'01_Input'!$K$69),'01_Input'!$M$69,0),MAX(MIN(CP$20,'01_Input'!$K$69)-'01_Input'!$J$69,0)*'01_Input'!$M$69))+IF('01_Input'!$P$69="Forfait",IF(CP$20&gt;='01_Input'!$N$69,'01_Input'!$Q$69,0),IF('01_Input'!$P$69="Palier",IF(AND(CP$20&gt;='01_Input'!$N$69,CP$20&lt;'01_Input'!$O$69),'01_Input'!$Q$69,0),MAX(MIN(CP$20,'01_Input'!$O$69)-'01_Input'!$N$69,0)*'01_Input'!$Q$69))+IF('01_Input'!$T$69="Forfait",IF(CP$20&gt;='01_Input'!$R$69,'01_Input'!$U$69,0),IF('01_Input'!$T$69="Palier",IF(AND(CP$20&gt;='01_Input'!$R$69,CP$20&lt;'01_Input'!$S$69),'01_Input'!$U$69,0),MAX(MIN(CP$20,'01_Input'!$S$69)-'01_Input'!$R$69,0)*'01_Input'!$U$69))+IF('01_Input'!$X$69="Forfait",IF(CP$20&gt;='01_Input'!$V$69,'01_Input'!$Y$69,0),IF('01_Input'!$X$69="Palier",IF(AND(CP$20&gt;='01_Input'!$V$69,CP$20&lt;'01_Input'!$W$69),'01_Input'!$Y$69,0),MAX(MIN(CP$20,'01_Input'!$W$69)-'01_Input'!$V$69,0)*'01_Input'!$Y$69))+IF('01_Input'!$AB$69="Forfait",IF(CP$20&gt;='01_Input'!$Z$69,'01_Input'!$AC$69,0),IF('01_Input'!$AB$69="Palier",IF(AND(CP$20&gt;='01_Input'!$Z$69,CP$20&lt;'01_Input'!$AA$69),'01_Input'!$AC$69,0),MAX(MIN(CP$20,'01_Input'!$AA$69)-'01_Input'!$Z$69,0)*'01_Input'!$AC$69)))))))))</f>
        <v>0</v>
      </c>
      <c r="CQ37" s="25">
        <f>IF('01_Input'!$C$69="Non",0,MIN('01_Input'!$I$69,MAX('01_Input'!$H$69,IF('01_Input'!$G$69="Résiduel vs Gestion",0,IF('01_Input'!$G$69="Taux Classe sélectionnée",Distrib_Global_Classe_Selectionnee*CQ$20,IF('01_Input'!$G$69="Frais KYC (paliers de 100M€)",MAX(0,Nb_Investisseurs-Nb_KYC_Gratuites_Par_Tranche*(FLOOR(CQ$20/Taille_Tranche_KYC,1)+1))*Cout_Par_KYC_Supplementaire,(IF('01_Input'!$L$69="Forfait",IF(CQ$20&gt;='01_Input'!$J$69,'01_Input'!$M$69,0),IF('01_Input'!$L$69="Palier",IF(AND(CQ$20&gt;='01_Input'!$J$69,CQ$20&lt;'01_Input'!$K$69),'01_Input'!$M$69,0),MAX(MIN(CQ$20,'01_Input'!$K$69)-'01_Input'!$J$69,0)*'01_Input'!$M$69))+IF('01_Input'!$P$69="Forfait",IF(CQ$20&gt;='01_Input'!$N$69,'01_Input'!$Q$69,0),IF('01_Input'!$P$69="Palier",IF(AND(CQ$20&gt;='01_Input'!$N$69,CQ$20&lt;'01_Input'!$O$69),'01_Input'!$Q$69,0),MAX(MIN(CQ$20,'01_Input'!$O$69)-'01_Input'!$N$69,0)*'01_Input'!$Q$69))+IF('01_Input'!$T$69="Forfait",IF(CQ$20&gt;='01_Input'!$R$69,'01_Input'!$U$69,0),IF('01_Input'!$T$69="Palier",IF(AND(CQ$20&gt;='01_Input'!$R$69,CQ$20&lt;'01_Input'!$S$69),'01_Input'!$U$69,0),MAX(MIN(CQ$20,'01_Input'!$S$69)-'01_Input'!$R$69,0)*'01_Input'!$U$69))+IF('01_Input'!$X$69="Forfait",IF(CQ$20&gt;='01_Input'!$V$69,'01_Input'!$Y$69,0),IF('01_Input'!$X$69="Palier",IF(AND(CQ$20&gt;='01_Input'!$V$69,CQ$20&lt;'01_Input'!$W$69),'01_Input'!$Y$69,0),MAX(MIN(CQ$20,'01_Input'!$W$69)-'01_Input'!$V$69,0)*'01_Input'!$Y$69))+IF('01_Input'!$AB$69="Forfait",IF(CQ$20&gt;='01_Input'!$Z$69,'01_Input'!$AC$69,0),IF('01_Input'!$AB$69="Palier",IF(AND(CQ$20&gt;='01_Input'!$Z$69,CQ$20&lt;'01_Input'!$AA$69),'01_Input'!$AC$69,0),MAX(MIN(CQ$20,'01_Input'!$AA$69)-'01_Input'!$Z$69,0)*'01_Input'!$AC$69)))))))))</f>
        <v>0</v>
      </c>
      <c r="CR37" s="25">
        <f>IF('01_Input'!$C$69="Non",0,MIN('01_Input'!$I$69,MAX('01_Input'!$H$69,IF('01_Input'!$G$69="Résiduel vs Gestion",0,IF('01_Input'!$G$69="Taux Classe sélectionnée",Distrib_Global_Classe_Selectionnee*CR$20,IF('01_Input'!$G$69="Frais KYC (paliers de 100M€)",MAX(0,Nb_Investisseurs-Nb_KYC_Gratuites_Par_Tranche*(FLOOR(CR$20/Taille_Tranche_KYC,1)+1))*Cout_Par_KYC_Supplementaire,(IF('01_Input'!$L$69="Forfait",IF(CR$20&gt;='01_Input'!$J$69,'01_Input'!$M$69,0),IF('01_Input'!$L$69="Palier",IF(AND(CR$20&gt;='01_Input'!$J$69,CR$20&lt;'01_Input'!$K$69),'01_Input'!$M$69,0),MAX(MIN(CR$20,'01_Input'!$K$69)-'01_Input'!$J$69,0)*'01_Input'!$M$69))+IF('01_Input'!$P$69="Forfait",IF(CR$20&gt;='01_Input'!$N$69,'01_Input'!$Q$69,0),IF('01_Input'!$P$69="Palier",IF(AND(CR$20&gt;='01_Input'!$N$69,CR$20&lt;'01_Input'!$O$69),'01_Input'!$Q$69,0),MAX(MIN(CR$20,'01_Input'!$O$69)-'01_Input'!$N$69,0)*'01_Input'!$Q$69))+IF('01_Input'!$T$69="Forfait",IF(CR$20&gt;='01_Input'!$R$69,'01_Input'!$U$69,0),IF('01_Input'!$T$69="Palier",IF(AND(CR$20&gt;='01_Input'!$R$69,CR$20&lt;'01_Input'!$S$69),'01_Input'!$U$69,0),MAX(MIN(CR$20,'01_Input'!$S$69)-'01_Input'!$R$69,0)*'01_Input'!$U$69))+IF('01_Input'!$X$69="Forfait",IF(CR$20&gt;='01_Input'!$V$69,'01_Input'!$Y$69,0),IF('01_Input'!$X$69="Palier",IF(AND(CR$20&gt;='01_Input'!$V$69,CR$20&lt;'01_Input'!$W$69),'01_Input'!$Y$69,0),MAX(MIN(CR$20,'01_Input'!$W$69)-'01_Input'!$V$69,0)*'01_Input'!$Y$69))+IF('01_Input'!$AB$69="Forfait",IF(CR$20&gt;='01_Input'!$Z$69,'01_Input'!$AC$69,0),IF('01_Input'!$AB$69="Palier",IF(AND(CR$20&gt;='01_Input'!$Z$69,CR$20&lt;'01_Input'!$AA$69),'01_Input'!$AC$69,0),MAX(MIN(CR$20,'01_Input'!$AA$69)-'01_Input'!$Z$69,0)*'01_Input'!$AC$69)))))))))</f>
        <v>0</v>
      </c>
      <c r="CS37" s="25">
        <f>IF('01_Input'!$C$69="Non",0,MIN('01_Input'!$I$69,MAX('01_Input'!$H$69,IF('01_Input'!$G$69="Résiduel vs Gestion",0,IF('01_Input'!$G$69="Taux Classe sélectionnée",Distrib_Global_Classe_Selectionnee*CS$20,IF('01_Input'!$G$69="Frais KYC (paliers de 100M€)",MAX(0,Nb_Investisseurs-Nb_KYC_Gratuites_Par_Tranche*(FLOOR(CS$20/Taille_Tranche_KYC,1)+1))*Cout_Par_KYC_Supplementaire,(IF('01_Input'!$L$69="Forfait",IF(CS$20&gt;='01_Input'!$J$69,'01_Input'!$M$69,0),IF('01_Input'!$L$69="Palier",IF(AND(CS$20&gt;='01_Input'!$J$69,CS$20&lt;'01_Input'!$K$69),'01_Input'!$M$69,0),MAX(MIN(CS$20,'01_Input'!$K$69)-'01_Input'!$J$69,0)*'01_Input'!$M$69))+IF('01_Input'!$P$69="Forfait",IF(CS$20&gt;='01_Input'!$N$69,'01_Input'!$Q$69,0),IF('01_Input'!$P$69="Palier",IF(AND(CS$20&gt;='01_Input'!$N$69,CS$20&lt;'01_Input'!$O$69),'01_Input'!$Q$69,0),MAX(MIN(CS$20,'01_Input'!$O$69)-'01_Input'!$N$69,0)*'01_Input'!$Q$69))+IF('01_Input'!$T$69="Forfait",IF(CS$20&gt;='01_Input'!$R$69,'01_Input'!$U$69,0),IF('01_Input'!$T$69="Palier",IF(AND(CS$20&gt;='01_Input'!$R$69,CS$20&lt;'01_Input'!$S$69),'01_Input'!$U$69,0),MAX(MIN(CS$20,'01_Input'!$S$69)-'01_Input'!$R$69,0)*'01_Input'!$U$69))+IF('01_Input'!$X$69="Forfait",IF(CS$20&gt;='01_Input'!$V$69,'01_Input'!$Y$69,0),IF('01_Input'!$X$69="Palier",IF(AND(CS$20&gt;='01_Input'!$V$69,CS$20&lt;'01_Input'!$W$69),'01_Input'!$Y$69,0),MAX(MIN(CS$20,'01_Input'!$W$69)-'01_Input'!$V$69,0)*'01_Input'!$Y$69))+IF('01_Input'!$AB$69="Forfait",IF(CS$20&gt;='01_Input'!$Z$69,'01_Input'!$AC$69,0),IF('01_Input'!$AB$69="Palier",IF(AND(CS$20&gt;='01_Input'!$Z$69,CS$20&lt;'01_Input'!$AA$69),'01_Input'!$AC$69,0),MAX(MIN(CS$20,'01_Input'!$AA$69)-'01_Input'!$Z$69,0)*'01_Input'!$AC$69)))))))))</f>
        <v>0</v>
      </c>
      <c r="CT37" s="25">
        <f>IF('01_Input'!$C$69="Non",0,MIN('01_Input'!$I$69,MAX('01_Input'!$H$69,IF('01_Input'!$G$69="Résiduel vs Gestion",0,IF('01_Input'!$G$69="Taux Classe sélectionnée",Distrib_Global_Classe_Selectionnee*CT$20,IF('01_Input'!$G$69="Frais KYC (paliers de 100M€)",MAX(0,Nb_Investisseurs-Nb_KYC_Gratuites_Par_Tranche*(FLOOR(CT$20/Taille_Tranche_KYC,1)+1))*Cout_Par_KYC_Supplementaire,(IF('01_Input'!$L$69="Forfait",IF(CT$20&gt;='01_Input'!$J$69,'01_Input'!$M$69,0),IF('01_Input'!$L$69="Palier",IF(AND(CT$20&gt;='01_Input'!$J$69,CT$20&lt;'01_Input'!$K$69),'01_Input'!$M$69,0),MAX(MIN(CT$20,'01_Input'!$K$69)-'01_Input'!$J$69,0)*'01_Input'!$M$69))+IF('01_Input'!$P$69="Forfait",IF(CT$20&gt;='01_Input'!$N$69,'01_Input'!$Q$69,0),IF('01_Input'!$P$69="Palier",IF(AND(CT$20&gt;='01_Input'!$N$69,CT$20&lt;'01_Input'!$O$69),'01_Input'!$Q$69,0),MAX(MIN(CT$20,'01_Input'!$O$69)-'01_Input'!$N$69,0)*'01_Input'!$Q$69))+IF('01_Input'!$T$69="Forfait",IF(CT$20&gt;='01_Input'!$R$69,'01_Input'!$U$69,0),IF('01_Input'!$T$69="Palier",IF(AND(CT$20&gt;='01_Input'!$R$69,CT$20&lt;'01_Input'!$S$69),'01_Input'!$U$69,0),MAX(MIN(CT$20,'01_Input'!$S$69)-'01_Input'!$R$69,0)*'01_Input'!$U$69))+IF('01_Input'!$X$69="Forfait",IF(CT$20&gt;='01_Input'!$V$69,'01_Input'!$Y$69,0),IF('01_Input'!$X$69="Palier",IF(AND(CT$20&gt;='01_Input'!$V$69,CT$20&lt;'01_Input'!$W$69),'01_Input'!$Y$69,0),MAX(MIN(CT$20,'01_Input'!$W$69)-'01_Input'!$V$69,0)*'01_Input'!$Y$69))+IF('01_Input'!$AB$69="Forfait",IF(CT$20&gt;='01_Input'!$Z$69,'01_Input'!$AC$69,0),IF('01_Input'!$AB$69="Palier",IF(AND(CT$20&gt;='01_Input'!$Z$69,CT$20&lt;'01_Input'!$AA$69),'01_Input'!$AC$69,0),MAX(MIN(CT$20,'01_Input'!$AA$69)-'01_Input'!$Z$69,0)*'01_Input'!$AC$69)))))))))</f>
        <v>0</v>
      </c>
      <c r="CU37" s="25">
        <f>IF('01_Input'!$C$69="Non",0,MIN('01_Input'!$I$69,MAX('01_Input'!$H$69,IF('01_Input'!$G$69="Résiduel vs Gestion",0,IF('01_Input'!$G$69="Taux Classe sélectionnée",Distrib_Global_Classe_Selectionnee*CU$20,IF('01_Input'!$G$69="Frais KYC (paliers de 100M€)",MAX(0,Nb_Investisseurs-Nb_KYC_Gratuites_Par_Tranche*(FLOOR(CU$20/Taille_Tranche_KYC,1)+1))*Cout_Par_KYC_Supplementaire,(IF('01_Input'!$L$69="Forfait",IF(CU$20&gt;='01_Input'!$J$69,'01_Input'!$M$69,0),IF('01_Input'!$L$69="Palier",IF(AND(CU$20&gt;='01_Input'!$J$69,CU$20&lt;'01_Input'!$K$69),'01_Input'!$M$69,0),MAX(MIN(CU$20,'01_Input'!$K$69)-'01_Input'!$J$69,0)*'01_Input'!$M$69))+IF('01_Input'!$P$69="Forfait",IF(CU$20&gt;='01_Input'!$N$69,'01_Input'!$Q$69,0),IF('01_Input'!$P$69="Palier",IF(AND(CU$20&gt;='01_Input'!$N$69,CU$20&lt;'01_Input'!$O$69),'01_Input'!$Q$69,0),MAX(MIN(CU$20,'01_Input'!$O$69)-'01_Input'!$N$69,0)*'01_Input'!$Q$69))+IF('01_Input'!$T$69="Forfait",IF(CU$20&gt;='01_Input'!$R$69,'01_Input'!$U$69,0),IF('01_Input'!$T$69="Palier",IF(AND(CU$20&gt;='01_Input'!$R$69,CU$20&lt;'01_Input'!$S$69),'01_Input'!$U$69,0),MAX(MIN(CU$20,'01_Input'!$S$69)-'01_Input'!$R$69,0)*'01_Input'!$U$69))+IF('01_Input'!$X$69="Forfait",IF(CU$20&gt;='01_Input'!$V$69,'01_Input'!$Y$69,0),IF('01_Input'!$X$69="Palier",IF(AND(CU$20&gt;='01_Input'!$V$69,CU$20&lt;'01_Input'!$W$69),'01_Input'!$Y$69,0),MAX(MIN(CU$20,'01_Input'!$W$69)-'01_Input'!$V$69,0)*'01_Input'!$Y$69))+IF('01_Input'!$AB$69="Forfait",IF(CU$20&gt;='01_Input'!$Z$69,'01_Input'!$AC$69,0),IF('01_Input'!$AB$69="Palier",IF(AND(CU$20&gt;='01_Input'!$Z$69,CU$20&lt;'01_Input'!$AA$69),'01_Input'!$AC$69,0),MAX(MIN(CU$20,'01_Input'!$AA$69)-'01_Input'!$Z$69,0)*'01_Input'!$AC$69)))))))))</f>
        <v>0</v>
      </c>
      <c r="CV37" s="25">
        <f>IF('01_Input'!$C$69="Non",0,MIN('01_Input'!$I$69,MAX('01_Input'!$H$69,IF('01_Input'!$G$69="Résiduel vs Gestion",0,IF('01_Input'!$G$69="Taux Classe sélectionnée",Distrib_Global_Classe_Selectionnee*CV$20,IF('01_Input'!$G$69="Frais KYC (paliers de 100M€)",MAX(0,Nb_Investisseurs-Nb_KYC_Gratuites_Par_Tranche*(FLOOR(CV$20/Taille_Tranche_KYC,1)+1))*Cout_Par_KYC_Supplementaire,(IF('01_Input'!$L$69="Forfait",IF(CV$20&gt;='01_Input'!$J$69,'01_Input'!$M$69,0),IF('01_Input'!$L$69="Palier",IF(AND(CV$20&gt;='01_Input'!$J$69,CV$20&lt;'01_Input'!$K$69),'01_Input'!$M$69,0),MAX(MIN(CV$20,'01_Input'!$K$69)-'01_Input'!$J$69,0)*'01_Input'!$M$69))+IF('01_Input'!$P$69="Forfait",IF(CV$20&gt;='01_Input'!$N$69,'01_Input'!$Q$69,0),IF('01_Input'!$P$69="Palier",IF(AND(CV$20&gt;='01_Input'!$N$69,CV$20&lt;'01_Input'!$O$69),'01_Input'!$Q$69,0),MAX(MIN(CV$20,'01_Input'!$O$69)-'01_Input'!$N$69,0)*'01_Input'!$Q$69))+IF('01_Input'!$T$69="Forfait",IF(CV$20&gt;='01_Input'!$R$69,'01_Input'!$U$69,0),IF('01_Input'!$T$69="Palier",IF(AND(CV$20&gt;='01_Input'!$R$69,CV$20&lt;'01_Input'!$S$69),'01_Input'!$U$69,0),MAX(MIN(CV$20,'01_Input'!$S$69)-'01_Input'!$R$69,0)*'01_Input'!$U$69))+IF('01_Input'!$X$69="Forfait",IF(CV$20&gt;='01_Input'!$V$69,'01_Input'!$Y$69,0),IF('01_Input'!$X$69="Palier",IF(AND(CV$20&gt;='01_Input'!$V$69,CV$20&lt;'01_Input'!$W$69),'01_Input'!$Y$69,0),MAX(MIN(CV$20,'01_Input'!$W$69)-'01_Input'!$V$69,0)*'01_Input'!$Y$69))+IF('01_Input'!$AB$69="Forfait",IF(CV$20&gt;='01_Input'!$Z$69,'01_Input'!$AC$69,0),IF('01_Input'!$AB$69="Palier",IF(AND(CV$20&gt;='01_Input'!$Z$69,CV$20&lt;'01_Input'!$AA$69),'01_Input'!$AC$69,0),MAX(MIN(CV$20,'01_Input'!$AA$69)-'01_Input'!$Z$69,0)*'01_Input'!$AC$69)))))))))</f>
        <v>0</v>
      </c>
      <c r="CW37" s="25">
        <f>IF('01_Input'!$C$69="Non",0,MIN('01_Input'!$I$69,MAX('01_Input'!$H$69,IF('01_Input'!$G$69="Résiduel vs Gestion",0,IF('01_Input'!$G$69="Taux Classe sélectionnée",Distrib_Global_Classe_Selectionnee*CW$20,IF('01_Input'!$G$69="Frais KYC (paliers de 100M€)",MAX(0,Nb_Investisseurs-Nb_KYC_Gratuites_Par_Tranche*(FLOOR(CW$20/Taille_Tranche_KYC,1)+1))*Cout_Par_KYC_Supplementaire,(IF('01_Input'!$L$69="Forfait",IF(CW$20&gt;='01_Input'!$J$69,'01_Input'!$M$69,0),IF('01_Input'!$L$69="Palier",IF(AND(CW$20&gt;='01_Input'!$J$69,CW$20&lt;'01_Input'!$K$69),'01_Input'!$M$69,0),MAX(MIN(CW$20,'01_Input'!$K$69)-'01_Input'!$J$69,0)*'01_Input'!$M$69))+IF('01_Input'!$P$69="Forfait",IF(CW$20&gt;='01_Input'!$N$69,'01_Input'!$Q$69,0),IF('01_Input'!$P$69="Palier",IF(AND(CW$20&gt;='01_Input'!$N$69,CW$20&lt;'01_Input'!$O$69),'01_Input'!$Q$69,0),MAX(MIN(CW$20,'01_Input'!$O$69)-'01_Input'!$N$69,0)*'01_Input'!$Q$69))+IF('01_Input'!$T$69="Forfait",IF(CW$20&gt;='01_Input'!$R$69,'01_Input'!$U$69,0),IF('01_Input'!$T$69="Palier",IF(AND(CW$20&gt;='01_Input'!$R$69,CW$20&lt;'01_Input'!$S$69),'01_Input'!$U$69,0),MAX(MIN(CW$20,'01_Input'!$S$69)-'01_Input'!$R$69,0)*'01_Input'!$U$69))+IF('01_Input'!$X$69="Forfait",IF(CW$20&gt;='01_Input'!$V$69,'01_Input'!$Y$69,0),IF('01_Input'!$X$69="Palier",IF(AND(CW$20&gt;='01_Input'!$V$69,CW$20&lt;'01_Input'!$W$69),'01_Input'!$Y$69,0),MAX(MIN(CW$20,'01_Input'!$W$69)-'01_Input'!$V$69,0)*'01_Input'!$Y$69))+IF('01_Input'!$AB$69="Forfait",IF(CW$20&gt;='01_Input'!$Z$69,'01_Input'!$AC$69,0),IF('01_Input'!$AB$69="Palier",IF(AND(CW$20&gt;='01_Input'!$Z$69,CW$20&lt;'01_Input'!$AA$69),'01_Input'!$AC$69,0),MAX(MIN(CW$20,'01_Input'!$AA$69)-'01_Input'!$Z$69,0)*'01_Input'!$AC$69)))))))))</f>
        <v>0</v>
      </c>
      <c r="CX37" s="25">
        <f>IF('01_Input'!$C$69="Non",0,MIN('01_Input'!$I$69,MAX('01_Input'!$H$69,IF('01_Input'!$G$69="Résiduel vs Gestion",0,IF('01_Input'!$G$69="Taux Classe sélectionnée",Distrib_Global_Classe_Selectionnee*CX$20,IF('01_Input'!$G$69="Frais KYC (paliers de 100M€)",MAX(0,Nb_Investisseurs-Nb_KYC_Gratuites_Par_Tranche*(FLOOR(CX$20/Taille_Tranche_KYC,1)+1))*Cout_Par_KYC_Supplementaire,(IF('01_Input'!$L$69="Forfait",IF(CX$20&gt;='01_Input'!$J$69,'01_Input'!$M$69,0),IF('01_Input'!$L$69="Palier",IF(AND(CX$20&gt;='01_Input'!$J$69,CX$20&lt;'01_Input'!$K$69),'01_Input'!$M$69,0),MAX(MIN(CX$20,'01_Input'!$K$69)-'01_Input'!$J$69,0)*'01_Input'!$M$69))+IF('01_Input'!$P$69="Forfait",IF(CX$20&gt;='01_Input'!$N$69,'01_Input'!$Q$69,0),IF('01_Input'!$P$69="Palier",IF(AND(CX$20&gt;='01_Input'!$N$69,CX$20&lt;'01_Input'!$O$69),'01_Input'!$Q$69,0),MAX(MIN(CX$20,'01_Input'!$O$69)-'01_Input'!$N$69,0)*'01_Input'!$Q$69))+IF('01_Input'!$T$69="Forfait",IF(CX$20&gt;='01_Input'!$R$69,'01_Input'!$U$69,0),IF('01_Input'!$T$69="Palier",IF(AND(CX$20&gt;='01_Input'!$R$69,CX$20&lt;'01_Input'!$S$69),'01_Input'!$U$69,0),MAX(MIN(CX$20,'01_Input'!$S$69)-'01_Input'!$R$69,0)*'01_Input'!$U$69))+IF('01_Input'!$X$69="Forfait",IF(CX$20&gt;='01_Input'!$V$69,'01_Input'!$Y$69,0),IF('01_Input'!$X$69="Palier",IF(AND(CX$20&gt;='01_Input'!$V$69,CX$20&lt;'01_Input'!$W$69),'01_Input'!$Y$69,0),MAX(MIN(CX$20,'01_Input'!$W$69)-'01_Input'!$V$69,0)*'01_Input'!$Y$69))+IF('01_Input'!$AB$69="Forfait",IF(CX$20&gt;='01_Input'!$Z$69,'01_Input'!$AC$69,0),IF('01_Input'!$AB$69="Palier",IF(AND(CX$20&gt;='01_Input'!$Z$69,CX$20&lt;'01_Input'!$AA$69),'01_Input'!$AC$69,0),MAX(MIN(CX$20,'01_Input'!$AA$69)-'01_Input'!$Z$69,0)*'01_Input'!$AC$69)))))))))</f>
        <v>0</v>
      </c>
      <c r="CY37" s="25">
        <f>IF('01_Input'!$C$69="Non",0,MIN('01_Input'!$I$69,MAX('01_Input'!$H$69,IF('01_Input'!$G$69="Résiduel vs Gestion",0,IF('01_Input'!$G$69="Taux Classe sélectionnée",Distrib_Global_Classe_Selectionnee*CY$20,IF('01_Input'!$G$69="Frais KYC (paliers de 100M€)",MAX(0,Nb_Investisseurs-Nb_KYC_Gratuites_Par_Tranche*(FLOOR(CY$20/Taille_Tranche_KYC,1)+1))*Cout_Par_KYC_Supplementaire,(IF('01_Input'!$L$69="Forfait",IF(CY$20&gt;='01_Input'!$J$69,'01_Input'!$M$69,0),IF('01_Input'!$L$69="Palier",IF(AND(CY$20&gt;='01_Input'!$J$69,CY$20&lt;'01_Input'!$K$69),'01_Input'!$M$69,0),MAX(MIN(CY$20,'01_Input'!$K$69)-'01_Input'!$J$69,0)*'01_Input'!$M$69))+IF('01_Input'!$P$69="Forfait",IF(CY$20&gt;='01_Input'!$N$69,'01_Input'!$Q$69,0),IF('01_Input'!$P$69="Palier",IF(AND(CY$20&gt;='01_Input'!$N$69,CY$20&lt;'01_Input'!$O$69),'01_Input'!$Q$69,0),MAX(MIN(CY$20,'01_Input'!$O$69)-'01_Input'!$N$69,0)*'01_Input'!$Q$69))+IF('01_Input'!$T$69="Forfait",IF(CY$20&gt;='01_Input'!$R$69,'01_Input'!$U$69,0),IF('01_Input'!$T$69="Palier",IF(AND(CY$20&gt;='01_Input'!$R$69,CY$20&lt;'01_Input'!$S$69),'01_Input'!$U$69,0),MAX(MIN(CY$20,'01_Input'!$S$69)-'01_Input'!$R$69,0)*'01_Input'!$U$69))+IF('01_Input'!$X$69="Forfait",IF(CY$20&gt;='01_Input'!$V$69,'01_Input'!$Y$69,0),IF('01_Input'!$X$69="Palier",IF(AND(CY$20&gt;='01_Input'!$V$69,CY$20&lt;'01_Input'!$W$69),'01_Input'!$Y$69,0),MAX(MIN(CY$20,'01_Input'!$W$69)-'01_Input'!$V$69,0)*'01_Input'!$Y$69))+IF('01_Input'!$AB$69="Forfait",IF(CY$20&gt;='01_Input'!$Z$69,'01_Input'!$AC$69,0),IF('01_Input'!$AB$69="Palier",IF(AND(CY$20&gt;='01_Input'!$Z$69,CY$20&lt;'01_Input'!$AA$69),'01_Input'!$AC$69,0),MAX(MIN(CY$20,'01_Input'!$AA$69)-'01_Input'!$Z$69,0)*'01_Input'!$AC$69)))))))))</f>
        <v>0</v>
      </c>
      <c r="CZ37" s="25">
        <f>IF('01_Input'!$C$69="Non",0,MIN('01_Input'!$I$69,MAX('01_Input'!$H$69,IF('01_Input'!$G$69="Résiduel vs Gestion",0,IF('01_Input'!$G$69="Taux Classe sélectionnée",Distrib_Global_Classe_Selectionnee*CZ$20,IF('01_Input'!$G$69="Frais KYC (paliers de 100M€)",MAX(0,Nb_Investisseurs-Nb_KYC_Gratuites_Par_Tranche*(FLOOR(CZ$20/Taille_Tranche_KYC,1)+1))*Cout_Par_KYC_Supplementaire,(IF('01_Input'!$L$69="Forfait",IF(CZ$20&gt;='01_Input'!$J$69,'01_Input'!$M$69,0),IF('01_Input'!$L$69="Palier",IF(AND(CZ$20&gt;='01_Input'!$J$69,CZ$20&lt;'01_Input'!$K$69),'01_Input'!$M$69,0),MAX(MIN(CZ$20,'01_Input'!$K$69)-'01_Input'!$J$69,0)*'01_Input'!$M$69))+IF('01_Input'!$P$69="Forfait",IF(CZ$20&gt;='01_Input'!$N$69,'01_Input'!$Q$69,0),IF('01_Input'!$P$69="Palier",IF(AND(CZ$20&gt;='01_Input'!$N$69,CZ$20&lt;'01_Input'!$O$69),'01_Input'!$Q$69,0),MAX(MIN(CZ$20,'01_Input'!$O$69)-'01_Input'!$N$69,0)*'01_Input'!$Q$69))+IF('01_Input'!$T$69="Forfait",IF(CZ$20&gt;='01_Input'!$R$69,'01_Input'!$U$69,0),IF('01_Input'!$T$69="Palier",IF(AND(CZ$20&gt;='01_Input'!$R$69,CZ$20&lt;'01_Input'!$S$69),'01_Input'!$U$69,0),MAX(MIN(CZ$20,'01_Input'!$S$69)-'01_Input'!$R$69,0)*'01_Input'!$U$69))+IF('01_Input'!$X$69="Forfait",IF(CZ$20&gt;='01_Input'!$V$69,'01_Input'!$Y$69,0),IF('01_Input'!$X$69="Palier",IF(AND(CZ$20&gt;='01_Input'!$V$69,CZ$20&lt;'01_Input'!$W$69),'01_Input'!$Y$69,0),MAX(MIN(CZ$20,'01_Input'!$W$69)-'01_Input'!$V$69,0)*'01_Input'!$Y$69))+IF('01_Input'!$AB$69="Forfait",IF(CZ$20&gt;='01_Input'!$Z$69,'01_Input'!$AC$69,0),IF('01_Input'!$AB$69="Palier",IF(AND(CZ$20&gt;='01_Input'!$Z$69,CZ$20&lt;'01_Input'!$AA$69),'01_Input'!$AC$69,0),MAX(MIN(CZ$20,'01_Input'!$AA$69)-'01_Input'!$Z$69,0)*'01_Input'!$AC$69)))))))))</f>
        <v>0</v>
      </c>
      <c r="DA37" s="25">
        <f>IF('01_Input'!$C$69="Non",0,MIN('01_Input'!$I$69,MAX('01_Input'!$H$69,IF('01_Input'!$G$69="Résiduel vs Gestion",0,IF('01_Input'!$G$69="Taux Classe sélectionnée",Distrib_Global_Classe_Selectionnee*DA$20,IF('01_Input'!$G$69="Frais KYC (paliers de 100M€)",MAX(0,Nb_Investisseurs-Nb_KYC_Gratuites_Par_Tranche*(FLOOR(DA$20/Taille_Tranche_KYC,1)+1))*Cout_Par_KYC_Supplementaire,(IF('01_Input'!$L$69="Forfait",IF(DA$20&gt;='01_Input'!$J$69,'01_Input'!$M$69,0),IF('01_Input'!$L$69="Palier",IF(AND(DA$20&gt;='01_Input'!$J$69,DA$20&lt;'01_Input'!$K$69),'01_Input'!$M$69,0),MAX(MIN(DA$20,'01_Input'!$K$69)-'01_Input'!$J$69,0)*'01_Input'!$M$69))+IF('01_Input'!$P$69="Forfait",IF(DA$20&gt;='01_Input'!$N$69,'01_Input'!$Q$69,0),IF('01_Input'!$P$69="Palier",IF(AND(DA$20&gt;='01_Input'!$N$69,DA$20&lt;'01_Input'!$O$69),'01_Input'!$Q$69,0),MAX(MIN(DA$20,'01_Input'!$O$69)-'01_Input'!$N$69,0)*'01_Input'!$Q$69))+IF('01_Input'!$T$69="Forfait",IF(DA$20&gt;='01_Input'!$R$69,'01_Input'!$U$69,0),IF('01_Input'!$T$69="Palier",IF(AND(DA$20&gt;='01_Input'!$R$69,DA$20&lt;'01_Input'!$S$69),'01_Input'!$U$69,0),MAX(MIN(DA$20,'01_Input'!$S$69)-'01_Input'!$R$69,0)*'01_Input'!$U$69))+IF('01_Input'!$X$69="Forfait",IF(DA$20&gt;='01_Input'!$V$69,'01_Input'!$Y$69,0),IF('01_Input'!$X$69="Palier",IF(AND(DA$20&gt;='01_Input'!$V$69,DA$20&lt;'01_Input'!$W$69),'01_Input'!$Y$69,0),MAX(MIN(DA$20,'01_Input'!$W$69)-'01_Input'!$V$69,0)*'01_Input'!$Y$69))+IF('01_Input'!$AB$69="Forfait",IF(DA$20&gt;='01_Input'!$Z$69,'01_Input'!$AC$69,0),IF('01_Input'!$AB$69="Palier",IF(AND(DA$20&gt;='01_Input'!$Z$69,DA$20&lt;'01_Input'!$AA$69),'01_Input'!$AC$69,0),MAX(MIN(DA$20,'01_Input'!$AA$69)-'01_Input'!$Z$69,0)*'01_Input'!$AC$69)))))))))</f>
        <v>0</v>
      </c>
      <c r="DB37" s="25">
        <f>IF('01_Input'!$C$69="Non",0,MIN('01_Input'!$I$69,MAX('01_Input'!$H$69,IF('01_Input'!$G$69="Résiduel vs Gestion",0,IF('01_Input'!$G$69="Taux Classe sélectionnée",Distrib_Global_Classe_Selectionnee*DB$20,IF('01_Input'!$G$69="Frais KYC (paliers de 100M€)",MAX(0,Nb_Investisseurs-Nb_KYC_Gratuites_Par_Tranche*(FLOOR(DB$20/Taille_Tranche_KYC,1)+1))*Cout_Par_KYC_Supplementaire,(IF('01_Input'!$L$69="Forfait",IF(DB$20&gt;='01_Input'!$J$69,'01_Input'!$M$69,0),IF('01_Input'!$L$69="Palier",IF(AND(DB$20&gt;='01_Input'!$J$69,DB$20&lt;'01_Input'!$K$69),'01_Input'!$M$69,0),MAX(MIN(DB$20,'01_Input'!$K$69)-'01_Input'!$J$69,0)*'01_Input'!$M$69))+IF('01_Input'!$P$69="Forfait",IF(DB$20&gt;='01_Input'!$N$69,'01_Input'!$Q$69,0),IF('01_Input'!$P$69="Palier",IF(AND(DB$20&gt;='01_Input'!$N$69,DB$20&lt;'01_Input'!$O$69),'01_Input'!$Q$69,0),MAX(MIN(DB$20,'01_Input'!$O$69)-'01_Input'!$N$69,0)*'01_Input'!$Q$69))+IF('01_Input'!$T$69="Forfait",IF(DB$20&gt;='01_Input'!$R$69,'01_Input'!$U$69,0),IF('01_Input'!$T$69="Palier",IF(AND(DB$20&gt;='01_Input'!$R$69,DB$20&lt;'01_Input'!$S$69),'01_Input'!$U$69,0),MAX(MIN(DB$20,'01_Input'!$S$69)-'01_Input'!$R$69,0)*'01_Input'!$U$69))+IF('01_Input'!$X$69="Forfait",IF(DB$20&gt;='01_Input'!$V$69,'01_Input'!$Y$69,0),IF('01_Input'!$X$69="Palier",IF(AND(DB$20&gt;='01_Input'!$V$69,DB$20&lt;'01_Input'!$W$69),'01_Input'!$Y$69,0),MAX(MIN(DB$20,'01_Input'!$W$69)-'01_Input'!$V$69,0)*'01_Input'!$Y$69))+IF('01_Input'!$AB$69="Forfait",IF(DB$20&gt;='01_Input'!$Z$69,'01_Input'!$AC$69,0),IF('01_Input'!$AB$69="Palier",IF(AND(DB$20&gt;='01_Input'!$Z$69,DB$20&lt;'01_Input'!$AA$69),'01_Input'!$AC$69,0),MAX(MIN(DB$20,'01_Input'!$AA$69)-'01_Input'!$Z$69,0)*'01_Input'!$AC$69)))))))))</f>
        <v>0</v>
      </c>
      <c r="DC37" s="25">
        <f>IF('01_Input'!$C$69="Non",0,MIN('01_Input'!$I$69,MAX('01_Input'!$H$69,IF('01_Input'!$G$69="Résiduel vs Gestion",0,IF('01_Input'!$G$69="Taux Classe sélectionnée",Distrib_Global_Classe_Selectionnee*DC$20,IF('01_Input'!$G$69="Frais KYC (paliers de 100M€)",MAX(0,Nb_Investisseurs-Nb_KYC_Gratuites_Par_Tranche*(FLOOR(DC$20/Taille_Tranche_KYC,1)+1))*Cout_Par_KYC_Supplementaire,(IF('01_Input'!$L$69="Forfait",IF(DC$20&gt;='01_Input'!$J$69,'01_Input'!$M$69,0),IF('01_Input'!$L$69="Palier",IF(AND(DC$20&gt;='01_Input'!$J$69,DC$20&lt;'01_Input'!$K$69),'01_Input'!$M$69,0),MAX(MIN(DC$20,'01_Input'!$K$69)-'01_Input'!$J$69,0)*'01_Input'!$M$69))+IF('01_Input'!$P$69="Forfait",IF(DC$20&gt;='01_Input'!$N$69,'01_Input'!$Q$69,0),IF('01_Input'!$P$69="Palier",IF(AND(DC$20&gt;='01_Input'!$N$69,DC$20&lt;'01_Input'!$O$69),'01_Input'!$Q$69,0),MAX(MIN(DC$20,'01_Input'!$O$69)-'01_Input'!$N$69,0)*'01_Input'!$Q$69))+IF('01_Input'!$T$69="Forfait",IF(DC$20&gt;='01_Input'!$R$69,'01_Input'!$U$69,0),IF('01_Input'!$T$69="Palier",IF(AND(DC$20&gt;='01_Input'!$R$69,DC$20&lt;'01_Input'!$S$69),'01_Input'!$U$69,0),MAX(MIN(DC$20,'01_Input'!$S$69)-'01_Input'!$R$69,0)*'01_Input'!$U$69))+IF('01_Input'!$X$69="Forfait",IF(DC$20&gt;='01_Input'!$V$69,'01_Input'!$Y$69,0),IF('01_Input'!$X$69="Palier",IF(AND(DC$20&gt;='01_Input'!$V$69,DC$20&lt;'01_Input'!$W$69),'01_Input'!$Y$69,0),MAX(MIN(DC$20,'01_Input'!$W$69)-'01_Input'!$V$69,0)*'01_Input'!$Y$69))+IF('01_Input'!$AB$69="Forfait",IF(DC$20&gt;='01_Input'!$Z$69,'01_Input'!$AC$69,0),IF('01_Input'!$AB$69="Palier",IF(AND(DC$20&gt;='01_Input'!$Z$69,DC$20&lt;'01_Input'!$AA$69),'01_Input'!$AC$69,0),MAX(MIN(DC$20,'01_Input'!$AA$69)-'01_Input'!$Z$69,0)*'01_Input'!$AC$69)))))))))</f>
        <v>0</v>
      </c>
      <c r="DD37" s="25">
        <f>IF('01_Input'!$C$69="Non",0,MIN('01_Input'!$I$69,MAX('01_Input'!$H$69,IF('01_Input'!$G$69="Résiduel vs Gestion",0,IF('01_Input'!$G$69="Taux Classe sélectionnée",Distrib_Global_Classe_Selectionnee*DD$20,IF('01_Input'!$G$69="Frais KYC (paliers de 100M€)",MAX(0,Nb_Investisseurs-Nb_KYC_Gratuites_Par_Tranche*(FLOOR(DD$20/Taille_Tranche_KYC,1)+1))*Cout_Par_KYC_Supplementaire,(IF('01_Input'!$L$69="Forfait",IF(DD$20&gt;='01_Input'!$J$69,'01_Input'!$M$69,0),IF('01_Input'!$L$69="Palier",IF(AND(DD$20&gt;='01_Input'!$J$69,DD$20&lt;'01_Input'!$K$69),'01_Input'!$M$69,0),MAX(MIN(DD$20,'01_Input'!$K$69)-'01_Input'!$J$69,0)*'01_Input'!$M$69))+IF('01_Input'!$P$69="Forfait",IF(DD$20&gt;='01_Input'!$N$69,'01_Input'!$Q$69,0),IF('01_Input'!$P$69="Palier",IF(AND(DD$20&gt;='01_Input'!$N$69,DD$20&lt;'01_Input'!$O$69),'01_Input'!$Q$69,0),MAX(MIN(DD$20,'01_Input'!$O$69)-'01_Input'!$N$69,0)*'01_Input'!$Q$69))+IF('01_Input'!$T$69="Forfait",IF(DD$20&gt;='01_Input'!$R$69,'01_Input'!$U$69,0),IF('01_Input'!$T$69="Palier",IF(AND(DD$20&gt;='01_Input'!$R$69,DD$20&lt;'01_Input'!$S$69),'01_Input'!$U$69,0),MAX(MIN(DD$20,'01_Input'!$S$69)-'01_Input'!$R$69,0)*'01_Input'!$U$69))+IF('01_Input'!$X$69="Forfait",IF(DD$20&gt;='01_Input'!$V$69,'01_Input'!$Y$69,0),IF('01_Input'!$X$69="Palier",IF(AND(DD$20&gt;='01_Input'!$V$69,DD$20&lt;'01_Input'!$W$69),'01_Input'!$Y$69,0),MAX(MIN(DD$20,'01_Input'!$W$69)-'01_Input'!$V$69,0)*'01_Input'!$Y$69))+IF('01_Input'!$AB$69="Forfait",IF(DD$20&gt;='01_Input'!$Z$69,'01_Input'!$AC$69,0),IF('01_Input'!$AB$69="Palier",IF(AND(DD$20&gt;='01_Input'!$Z$69,DD$20&lt;'01_Input'!$AA$69),'01_Input'!$AC$69,0),MAX(MIN(DD$20,'01_Input'!$AA$69)-'01_Input'!$Z$69,0)*'01_Input'!$AC$69)))))))))</f>
        <v>0</v>
      </c>
      <c r="DE37" s="25">
        <f>IF('01_Input'!$C$69="Non",0,MIN('01_Input'!$I$69,MAX('01_Input'!$H$69,IF('01_Input'!$G$69="Résiduel vs Gestion",0,IF('01_Input'!$G$69="Taux Classe sélectionnée",Distrib_Global_Classe_Selectionnee*DE$20,IF('01_Input'!$G$69="Frais KYC (paliers de 100M€)",MAX(0,Nb_Investisseurs-Nb_KYC_Gratuites_Par_Tranche*(FLOOR(DE$20/Taille_Tranche_KYC,1)+1))*Cout_Par_KYC_Supplementaire,(IF('01_Input'!$L$69="Forfait",IF(DE$20&gt;='01_Input'!$J$69,'01_Input'!$M$69,0),IF('01_Input'!$L$69="Palier",IF(AND(DE$20&gt;='01_Input'!$J$69,DE$20&lt;'01_Input'!$K$69),'01_Input'!$M$69,0),MAX(MIN(DE$20,'01_Input'!$K$69)-'01_Input'!$J$69,0)*'01_Input'!$M$69))+IF('01_Input'!$P$69="Forfait",IF(DE$20&gt;='01_Input'!$N$69,'01_Input'!$Q$69,0),IF('01_Input'!$P$69="Palier",IF(AND(DE$20&gt;='01_Input'!$N$69,DE$20&lt;'01_Input'!$O$69),'01_Input'!$Q$69,0),MAX(MIN(DE$20,'01_Input'!$O$69)-'01_Input'!$N$69,0)*'01_Input'!$Q$69))+IF('01_Input'!$T$69="Forfait",IF(DE$20&gt;='01_Input'!$R$69,'01_Input'!$U$69,0),IF('01_Input'!$T$69="Palier",IF(AND(DE$20&gt;='01_Input'!$R$69,DE$20&lt;'01_Input'!$S$69),'01_Input'!$U$69,0),MAX(MIN(DE$20,'01_Input'!$S$69)-'01_Input'!$R$69,0)*'01_Input'!$U$69))+IF('01_Input'!$X$69="Forfait",IF(DE$20&gt;='01_Input'!$V$69,'01_Input'!$Y$69,0),IF('01_Input'!$X$69="Palier",IF(AND(DE$20&gt;='01_Input'!$V$69,DE$20&lt;'01_Input'!$W$69),'01_Input'!$Y$69,0),MAX(MIN(DE$20,'01_Input'!$W$69)-'01_Input'!$V$69,0)*'01_Input'!$Y$69))+IF('01_Input'!$AB$69="Forfait",IF(DE$20&gt;='01_Input'!$Z$69,'01_Input'!$AC$69,0),IF('01_Input'!$AB$69="Palier",IF(AND(DE$20&gt;='01_Input'!$Z$69,DE$20&lt;'01_Input'!$AA$69),'01_Input'!$AC$69,0),MAX(MIN(DE$20,'01_Input'!$AA$69)-'01_Input'!$Z$69,0)*'01_Input'!$AC$69)))))))))</f>
        <v>0</v>
      </c>
      <c r="DF37" s="25">
        <f>IF('01_Input'!$C$69="Non",0,MIN('01_Input'!$I$69,MAX('01_Input'!$H$69,IF('01_Input'!$G$69="Résiduel vs Gestion",0,IF('01_Input'!$G$69="Taux Classe sélectionnée",Distrib_Global_Classe_Selectionnee*DF$20,IF('01_Input'!$G$69="Frais KYC (paliers de 100M€)",MAX(0,Nb_Investisseurs-Nb_KYC_Gratuites_Par_Tranche*(FLOOR(DF$20/Taille_Tranche_KYC,1)+1))*Cout_Par_KYC_Supplementaire,(IF('01_Input'!$L$69="Forfait",IF(DF$20&gt;='01_Input'!$J$69,'01_Input'!$M$69,0),IF('01_Input'!$L$69="Palier",IF(AND(DF$20&gt;='01_Input'!$J$69,DF$20&lt;'01_Input'!$K$69),'01_Input'!$M$69,0),MAX(MIN(DF$20,'01_Input'!$K$69)-'01_Input'!$J$69,0)*'01_Input'!$M$69))+IF('01_Input'!$P$69="Forfait",IF(DF$20&gt;='01_Input'!$N$69,'01_Input'!$Q$69,0),IF('01_Input'!$P$69="Palier",IF(AND(DF$20&gt;='01_Input'!$N$69,DF$20&lt;'01_Input'!$O$69),'01_Input'!$Q$69,0),MAX(MIN(DF$20,'01_Input'!$O$69)-'01_Input'!$N$69,0)*'01_Input'!$Q$69))+IF('01_Input'!$T$69="Forfait",IF(DF$20&gt;='01_Input'!$R$69,'01_Input'!$U$69,0),IF('01_Input'!$T$69="Palier",IF(AND(DF$20&gt;='01_Input'!$R$69,DF$20&lt;'01_Input'!$S$69),'01_Input'!$U$69,0),MAX(MIN(DF$20,'01_Input'!$S$69)-'01_Input'!$R$69,0)*'01_Input'!$U$69))+IF('01_Input'!$X$69="Forfait",IF(DF$20&gt;='01_Input'!$V$69,'01_Input'!$Y$69,0),IF('01_Input'!$X$69="Palier",IF(AND(DF$20&gt;='01_Input'!$V$69,DF$20&lt;'01_Input'!$W$69),'01_Input'!$Y$69,0),MAX(MIN(DF$20,'01_Input'!$W$69)-'01_Input'!$V$69,0)*'01_Input'!$Y$69))+IF('01_Input'!$AB$69="Forfait",IF(DF$20&gt;='01_Input'!$Z$69,'01_Input'!$AC$69,0),IF('01_Input'!$AB$69="Palier",IF(AND(DF$20&gt;='01_Input'!$Z$69,DF$20&lt;'01_Input'!$AA$69),'01_Input'!$AC$69,0),MAX(MIN(DF$20,'01_Input'!$AA$69)-'01_Input'!$Z$69,0)*'01_Input'!$AC$69)))))))))</f>
        <v>0</v>
      </c>
      <c r="DG37" s="25">
        <f>IF('01_Input'!$C$69="Non",0,MIN('01_Input'!$I$69,MAX('01_Input'!$H$69,IF('01_Input'!$G$69="Résiduel vs Gestion",0,IF('01_Input'!$G$69="Taux Classe sélectionnée",Distrib_Global_Classe_Selectionnee*DG$20,IF('01_Input'!$G$69="Frais KYC (paliers de 100M€)",MAX(0,Nb_Investisseurs-Nb_KYC_Gratuites_Par_Tranche*(FLOOR(DG$20/Taille_Tranche_KYC,1)+1))*Cout_Par_KYC_Supplementaire,(IF('01_Input'!$L$69="Forfait",IF(DG$20&gt;='01_Input'!$J$69,'01_Input'!$M$69,0),IF('01_Input'!$L$69="Palier",IF(AND(DG$20&gt;='01_Input'!$J$69,DG$20&lt;'01_Input'!$K$69),'01_Input'!$M$69,0),MAX(MIN(DG$20,'01_Input'!$K$69)-'01_Input'!$J$69,0)*'01_Input'!$M$69))+IF('01_Input'!$P$69="Forfait",IF(DG$20&gt;='01_Input'!$N$69,'01_Input'!$Q$69,0),IF('01_Input'!$P$69="Palier",IF(AND(DG$20&gt;='01_Input'!$N$69,DG$20&lt;'01_Input'!$O$69),'01_Input'!$Q$69,0),MAX(MIN(DG$20,'01_Input'!$O$69)-'01_Input'!$N$69,0)*'01_Input'!$Q$69))+IF('01_Input'!$T$69="Forfait",IF(DG$20&gt;='01_Input'!$R$69,'01_Input'!$U$69,0),IF('01_Input'!$T$69="Palier",IF(AND(DG$20&gt;='01_Input'!$R$69,DG$20&lt;'01_Input'!$S$69),'01_Input'!$U$69,0),MAX(MIN(DG$20,'01_Input'!$S$69)-'01_Input'!$R$69,0)*'01_Input'!$U$69))+IF('01_Input'!$X$69="Forfait",IF(DG$20&gt;='01_Input'!$V$69,'01_Input'!$Y$69,0),IF('01_Input'!$X$69="Palier",IF(AND(DG$20&gt;='01_Input'!$V$69,DG$20&lt;'01_Input'!$W$69),'01_Input'!$Y$69,0),MAX(MIN(DG$20,'01_Input'!$W$69)-'01_Input'!$V$69,0)*'01_Input'!$Y$69))+IF('01_Input'!$AB$69="Forfait",IF(DG$20&gt;='01_Input'!$Z$69,'01_Input'!$AC$69,0),IF('01_Input'!$AB$69="Palier",IF(AND(DG$20&gt;='01_Input'!$Z$69,DG$20&lt;'01_Input'!$AA$69),'01_Input'!$AC$69,0),MAX(MIN(DG$20,'01_Input'!$AA$69)-'01_Input'!$Z$69,0)*'01_Input'!$AC$69)))))))))</f>
        <v>0</v>
      </c>
      <c r="DH37" s="25">
        <f>IF('01_Input'!$C$69="Non",0,MIN('01_Input'!$I$69,MAX('01_Input'!$H$69,IF('01_Input'!$G$69="Résiduel vs Gestion",0,IF('01_Input'!$G$69="Taux Classe sélectionnée",Distrib_Global_Classe_Selectionnee*DH$20,IF('01_Input'!$G$69="Frais KYC (paliers de 100M€)",MAX(0,Nb_Investisseurs-Nb_KYC_Gratuites_Par_Tranche*(FLOOR(DH$20/Taille_Tranche_KYC,1)+1))*Cout_Par_KYC_Supplementaire,(IF('01_Input'!$L$69="Forfait",IF(DH$20&gt;='01_Input'!$J$69,'01_Input'!$M$69,0),IF('01_Input'!$L$69="Palier",IF(AND(DH$20&gt;='01_Input'!$J$69,DH$20&lt;'01_Input'!$K$69),'01_Input'!$M$69,0),MAX(MIN(DH$20,'01_Input'!$K$69)-'01_Input'!$J$69,0)*'01_Input'!$M$69))+IF('01_Input'!$P$69="Forfait",IF(DH$20&gt;='01_Input'!$N$69,'01_Input'!$Q$69,0),IF('01_Input'!$P$69="Palier",IF(AND(DH$20&gt;='01_Input'!$N$69,DH$20&lt;'01_Input'!$O$69),'01_Input'!$Q$69,0),MAX(MIN(DH$20,'01_Input'!$O$69)-'01_Input'!$N$69,0)*'01_Input'!$Q$69))+IF('01_Input'!$T$69="Forfait",IF(DH$20&gt;='01_Input'!$R$69,'01_Input'!$U$69,0),IF('01_Input'!$T$69="Palier",IF(AND(DH$20&gt;='01_Input'!$R$69,DH$20&lt;'01_Input'!$S$69),'01_Input'!$U$69,0),MAX(MIN(DH$20,'01_Input'!$S$69)-'01_Input'!$R$69,0)*'01_Input'!$U$69))+IF('01_Input'!$X$69="Forfait",IF(DH$20&gt;='01_Input'!$V$69,'01_Input'!$Y$69,0),IF('01_Input'!$X$69="Palier",IF(AND(DH$20&gt;='01_Input'!$V$69,DH$20&lt;'01_Input'!$W$69),'01_Input'!$Y$69,0),MAX(MIN(DH$20,'01_Input'!$W$69)-'01_Input'!$V$69,0)*'01_Input'!$Y$69))+IF('01_Input'!$AB$69="Forfait",IF(DH$20&gt;='01_Input'!$Z$69,'01_Input'!$AC$69,0),IF('01_Input'!$AB$69="Palier",IF(AND(DH$20&gt;='01_Input'!$Z$69,DH$20&lt;'01_Input'!$AA$69),'01_Input'!$AC$69,0),MAX(MIN(DH$20,'01_Input'!$AA$69)-'01_Input'!$Z$69,0)*'01_Input'!$AC$69)))))))))</f>
        <v>0</v>
      </c>
      <c r="DI37" s="25">
        <f>IF('01_Input'!$C$69="Non",0,MIN('01_Input'!$I$69,MAX('01_Input'!$H$69,IF('01_Input'!$G$69="Résiduel vs Gestion",0,IF('01_Input'!$G$69="Taux Classe sélectionnée",Distrib_Global_Classe_Selectionnee*DI$20,IF('01_Input'!$G$69="Frais KYC (paliers de 100M€)",MAX(0,Nb_Investisseurs-Nb_KYC_Gratuites_Par_Tranche*(FLOOR(DI$20/Taille_Tranche_KYC,1)+1))*Cout_Par_KYC_Supplementaire,(IF('01_Input'!$L$69="Forfait",IF(DI$20&gt;='01_Input'!$J$69,'01_Input'!$M$69,0),IF('01_Input'!$L$69="Palier",IF(AND(DI$20&gt;='01_Input'!$J$69,DI$20&lt;'01_Input'!$K$69),'01_Input'!$M$69,0),MAX(MIN(DI$20,'01_Input'!$K$69)-'01_Input'!$J$69,0)*'01_Input'!$M$69))+IF('01_Input'!$P$69="Forfait",IF(DI$20&gt;='01_Input'!$N$69,'01_Input'!$Q$69,0),IF('01_Input'!$P$69="Palier",IF(AND(DI$20&gt;='01_Input'!$N$69,DI$20&lt;'01_Input'!$O$69),'01_Input'!$Q$69,0),MAX(MIN(DI$20,'01_Input'!$O$69)-'01_Input'!$N$69,0)*'01_Input'!$Q$69))+IF('01_Input'!$T$69="Forfait",IF(DI$20&gt;='01_Input'!$R$69,'01_Input'!$U$69,0),IF('01_Input'!$T$69="Palier",IF(AND(DI$20&gt;='01_Input'!$R$69,DI$20&lt;'01_Input'!$S$69),'01_Input'!$U$69,0),MAX(MIN(DI$20,'01_Input'!$S$69)-'01_Input'!$R$69,0)*'01_Input'!$U$69))+IF('01_Input'!$X$69="Forfait",IF(DI$20&gt;='01_Input'!$V$69,'01_Input'!$Y$69,0),IF('01_Input'!$X$69="Palier",IF(AND(DI$20&gt;='01_Input'!$V$69,DI$20&lt;'01_Input'!$W$69),'01_Input'!$Y$69,0),MAX(MIN(DI$20,'01_Input'!$W$69)-'01_Input'!$V$69,0)*'01_Input'!$Y$69))+IF('01_Input'!$AB$69="Forfait",IF(DI$20&gt;='01_Input'!$Z$69,'01_Input'!$AC$69,0),IF('01_Input'!$AB$69="Palier",IF(AND(DI$20&gt;='01_Input'!$Z$69,DI$20&lt;'01_Input'!$AA$69),'01_Input'!$AC$69,0),MAX(MIN(DI$20,'01_Input'!$AA$69)-'01_Input'!$Z$69,0)*'01_Input'!$AC$69)))))))))</f>
        <v>0</v>
      </c>
      <c r="DJ37" s="25">
        <f>IF('01_Input'!$C$69="Non",0,MIN('01_Input'!$I$69,MAX('01_Input'!$H$69,IF('01_Input'!$G$69="Résiduel vs Gestion",0,IF('01_Input'!$G$69="Taux Classe sélectionnée",Distrib_Global_Classe_Selectionnee*DJ$20,IF('01_Input'!$G$69="Frais KYC (paliers de 100M€)",MAX(0,Nb_Investisseurs-Nb_KYC_Gratuites_Par_Tranche*(FLOOR(DJ$20/Taille_Tranche_KYC,1)+1))*Cout_Par_KYC_Supplementaire,(IF('01_Input'!$L$69="Forfait",IF(DJ$20&gt;='01_Input'!$J$69,'01_Input'!$M$69,0),IF('01_Input'!$L$69="Palier",IF(AND(DJ$20&gt;='01_Input'!$J$69,DJ$20&lt;'01_Input'!$K$69),'01_Input'!$M$69,0),MAX(MIN(DJ$20,'01_Input'!$K$69)-'01_Input'!$J$69,0)*'01_Input'!$M$69))+IF('01_Input'!$P$69="Forfait",IF(DJ$20&gt;='01_Input'!$N$69,'01_Input'!$Q$69,0),IF('01_Input'!$P$69="Palier",IF(AND(DJ$20&gt;='01_Input'!$N$69,DJ$20&lt;'01_Input'!$O$69),'01_Input'!$Q$69,0),MAX(MIN(DJ$20,'01_Input'!$O$69)-'01_Input'!$N$69,0)*'01_Input'!$Q$69))+IF('01_Input'!$T$69="Forfait",IF(DJ$20&gt;='01_Input'!$R$69,'01_Input'!$U$69,0),IF('01_Input'!$T$69="Palier",IF(AND(DJ$20&gt;='01_Input'!$R$69,DJ$20&lt;'01_Input'!$S$69),'01_Input'!$U$69,0),MAX(MIN(DJ$20,'01_Input'!$S$69)-'01_Input'!$R$69,0)*'01_Input'!$U$69))+IF('01_Input'!$X$69="Forfait",IF(DJ$20&gt;='01_Input'!$V$69,'01_Input'!$Y$69,0),IF('01_Input'!$X$69="Palier",IF(AND(DJ$20&gt;='01_Input'!$V$69,DJ$20&lt;'01_Input'!$W$69),'01_Input'!$Y$69,0),MAX(MIN(DJ$20,'01_Input'!$W$69)-'01_Input'!$V$69,0)*'01_Input'!$Y$69))+IF('01_Input'!$AB$69="Forfait",IF(DJ$20&gt;='01_Input'!$Z$69,'01_Input'!$AC$69,0),IF('01_Input'!$AB$69="Palier",IF(AND(DJ$20&gt;='01_Input'!$Z$69,DJ$20&lt;'01_Input'!$AA$69),'01_Input'!$AC$69,0),MAX(MIN(DJ$20,'01_Input'!$AA$69)-'01_Input'!$Z$69,0)*'01_Input'!$AC$69)))))))))</f>
        <v>0</v>
      </c>
      <c r="DK37" s="25">
        <f>IF('01_Input'!$C$69="Non",0,MIN('01_Input'!$I$69,MAX('01_Input'!$H$69,IF('01_Input'!$G$69="Résiduel vs Gestion",0,IF('01_Input'!$G$69="Taux Classe sélectionnée",Distrib_Global_Classe_Selectionnee*DK$20,IF('01_Input'!$G$69="Frais KYC (paliers de 100M€)",MAX(0,Nb_Investisseurs-Nb_KYC_Gratuites_Par_Tranche*(FLOOR(DK$20/Taille_Tranche_KYC,1)+1))*Cout_Par_KYC_Supplementaire,(IF('01_Input'!$L$69="Forfait",IF(DK$20&gt;='01_Input'!$J$69,'01_Input'!$M$69,0),IF('01_Input'!$L$69="Palier",IF(AND(DK$20&gt;='01_Input'!$J$69,DK$20&lt;'01_Input'!$K$69),'01_Input'!$M$69,0),MAX(MIN(DK$20,'01_Input'!$K$69)-'01_Input'!$J$69,0)*'01_Input'!$M$69))+IF('01_Input'!$P$69="Forfait",IF(DK$20&gt;='01_Input'!$N$69,'01_Input'!$Q$69,0),IF('01_Input'!$P$69="Palier",IF(AND(DK$20&gt;='01_Input'!$N$69,DK$20&lt;'01_Input'!$O$69),'01_Input'!$Q$69,0),MAX(MIN(DK$20,'01_Input'!$O$69)-'01_Input'!$N$69,0)*'01_Input'!$Q$69))+IF('01_Input'!$T$69="Forfait",IF(DK$20&gt;='01_Input'!$R$69,'01_Input'!$U$69,0),IF('01_Input'!$T$69="Palier",IF(AND(DK$20&gt;='01_Input'!$R$69,DK$20&lt;'01_Input'!$S$69),'01_Input'!$U$69,0),MAX(MIN(DK$20,'01_Input'!$S$69)-'01_Input'!$R$69,0)*'01_Input'!$U$69))+IF('01_Input'!$X$69="Forfait",IF(DK$20&gt;='01_Input'!$V$69,'01_Input'!$Y$69,0),IF('01_Input'!$X$69="Palier",IF(AND(DK$20&gt;='01_Input'!$V$69,DK$20&lt;'01_Input'!$W$69),'01_Input'!$Y$69,0),MAX(MIN(DK$20,'01_Input'!$W$69)-'01_Input'!$V$69,0)*'01_Input'!$Y$69))+IF('01_Input'!$AB$69="Forfait",IF(DK$20&gt;='01_Input'!$Z$69,'01_Input'!$AC$69,0),IF('01_Input'!$AB$69="Palier",IF(AND(DK$20&gt;='01_Input'!$Z$69,DK$20&lt;'01_Input'!$AA$69),'01_Input'!$AC$69,0),MAX(MIN(DK$20,'01_Input'!$AA$69)-'01_Input'!$Z$69,0)*'01_Input'!$AC$69)))))))))</f>
        <v>0</v>
      </c>
      <c r="DL37" s="25">
        <f>IF('01_Input'!$C$69="Non",0,MIN('01_Input'!$I$69,MAX('01_Input'!$H$69,IF('01_Input'!$G$69="Résiduel vs Gestion",0,IF('01_Input'!$G$69="Taux Classe sélectionnée",Distrib_Global_Classe_Selectionnee*DL$20,IF('01_Input'!$G$69="Frais KYC (paliers de 100M€)",MAX(0,Nb_Investisseurs-Nb_KYC_Gratuites_Par_Tranche*(FLOOR(DL$20/Taille_Tranche_KYC,1)+1))*Cout_Par_KYC_Supplementaire,(IF('01_Input'!$L$69="Forfait",IF(DL$20&gt;='01_Input'!$J$69,'01_Input'!$M$69,0),IF('01_Input'!$L$69="Palier",IF(AND(DL$20&gt;='01_Input'!$J$69,DL$20&lt;'01_Input'!$K$69),'01_Input'!$M$69,0),MAX(MIN(DL$20,'01_Input'!$K$69)-'01_Input'!$J$69,0)*'01_Input'!$M$69))+IF('01_Input'!$P$69="Forfait",IF(DL$20&gt;='01_Input'!$N$69,'01_Input'!$Q$69,0),IF('01_Input'!$P$69="Palier",IF(AND(DL$20&gt;='01_Input'!$N$69,DL$20&lt;'01_Input'!$O$69),'01_Input'!$Q$69,0),MAX(MIN(DL$20,'01_Input'!$O$69)-'01_Input'!$N$69,0)*'01_Input'!$Q$69))+IF('01_Input'!$T$69="Forfait",IF(DL$20&gt;='01_Input'!$R$69,'01_Input'!$U$69,0),IF('01_Input'!$T$69="Palier",IF(AND(DL$20&gt;='01_Input'!$R$69,DL$20&lt;'01_Input'!$S$69),'01_Input'!$U$69,0),MAX(MIN(DL$20,'01_Input'!$S$69)-'01_Input'!$R$69,0)*'01_Input'!$U$69))+IF('01_Input'!$X$69="Forfait",IF(DL$20&gt;='01_Input'!$V$69,'01_Input'!$Y$69,0),IF('01_Input'!$X$69="Palier",IF(AND(DL$20&gt;='01_Input'!$V$69,DL$20&lt;'01_Input'!$W$69),'01_Input'!$Y$69,0),MAX(MIN(DL$20,'01_Input'!$W$69)-'01_Input'!$V$69,0)*'01_Input'!$Y$69))+IF('01_Input'!$AB$69="Forfait",IF(DL$20&gt;='01_Input'!$Z$69,'01_Input'!$AC$69,0),IF('01_Input'!$AB$69="Palier",IF(AND(DL$20&gt;='01_Input'!$Z$69,DL$20&lt;'01_Input'!$AA$69),'01_Input'!$AC$69,0),MAX(MIN(DL$20,'01_Input'!$AA$69)-'01_Input'!$Z$69,0)*'01_Input'!$AC$69)))))))))</f>
        <v>0</v>
      </c>
      <c r="DM37" s="25">
        <f>IF('01_Input'!$C$69="Non",0,MIN('01_Input'!$I$69,MAX('01_Input'!$H$69,IF('01_Input'!$G$69="Résiduel vs Gestion",0,IF('01_Input'!$G$69="Taux Classe sélectionnée",Distrib_Global_Classe_Selectionnee*DM$20,IF('01_Input'!$G$69="Frais KYC (paliers de 100M€)",MAX(0,Nb_Investisseurs-Nb_KYC_Gratuites_Par_Tranche*(FLOOR(DM$20/Taille_Tranche_KYC,1)+1))*Cout_Par_KYC_Supplementaire,(IF('01_Input'!$L$69="Forfait",IF(DM$20&gt;='01_Input'!$J$69,'01_Input'!$M$69,0),IF('01_Input'!$L$69="Palier",IF(AND(DM$20&gt;='01_Input'!$J$69,DM$20&lt;'01_Input'!$K$69),'01_Input'!$M$69,0),MAX(MIN(DM$20,'01_Input'!$K$69)-'01_Input'!$J$69,0)*'01_Input'!$M$69))+IF('01_Input'!$P$69="Forfait",IF(DM$20&gt;='01_Input'!$N$69,'01_Input'!$Q$69,0),IF('01_Input'!$P$69="Palier",IF(AND(DM$20&gt;='01_Input'!$N$69,DM$20&lt;'01_Input'!$O$69),'01_Input'!$Q$69,0),MAX(MIN(DM$20,'01_Input'!$O$69)-'01_Input'!$N$69,0)*'01_Input'!$Q$69))+IF('01_Input'!$T$69="Forfait",IF(DM$20&gt;='01_Input'!$R$69,'01_Input'!$U$69,0),IF('01_Input'!$T$69="Palier",IF(AND(DM$20&gt;='01_Input'!$R$69,DM$20&lt;'01_Input'!$S$69),'01_Input'!$U$69,0),MAX(MIN(DM$20,'01_Input'!$S$69)-'01_Input'!$R$69,0)*'01_Input'!$U$69))+IF('01_Input'!$X$69="Forfait",IF(DM$20&gt;='01_Input'!$V$69,'01_Input'!$Y$69,0),IF('01_Input'!$X$69="Palier",IF(AND(DM$20&gt;='01_Input'!$V$69,DM$20&lt;'01_Input'!$W$69),'01_Input'!$Y$69,0),MAX(MIN(DM$20,'01_Input'!$W$69)-'01_Input'!$V$69,0)*'01_Input'!$Y$69))+IF('01_Input'!$AB$69="Forfait",IF(DM$20&gt;='01_Input'!$Z$69,'01_Input'!$AC$69,0),IF('01_Input'!$AB$69="Palier",IF(AND(DM$20&gt;='01_Input'!$Z$69,DM$20&lt;'01_Input'!$AA$69),'01_Input'!$AC$69,0),MAX(MIN(DM$20,'01_Input'!$AA$69)-'01_Input'!$Z$69,0)*'01_Input'!$AC$69)))))))))</f>
        <v>0</v>
      </c>
      <c r="DN37" s="25">
        <f>IF('01_Input'!$C$69="Non",0,MIN('01_Input'!$I$69,MAX('01_Input'!$H$69,IF('01_Input'!$G$69="Résiduel vs Gestion",0,IF('01_Input'!$G$69="Taux Classe sélectionnée",Distrib_Global_Classe_Selectionnee*DN$20,IF('01_Input'!$G$69="Frais KYC (paliers de 100M€)",MAX(0,Nb_Investisseurs-Nb_KYC_Gratuites_Par_Tranche*(FLOOR(DN$20/Taille_Tranche_KYC,1)+1))*Cout_Par_KYC_Supplementaire,(IF('01_Input'!$L$69="Forfait",IF(DN$20&gt;='01_Input'!$J$69,'01_Input'!$M$69,0),IF('01_Input'!$L$69="Palier",IF(AND(DN$20&gt;='01_Input'!$J$69,DN$20&lt;'01_Input'!$K$69),'01_Input'!$M$69,0),MAX(MIN(DN$20,'01_Input'!$K$69)-'01_Input'!$J$69,0)*'01_Input'!$M$69))+IF('01_Input'!$P$69="Forfait",IF(DN$20&gt;='01_Input'!$N$69,'01_Input'!$Q$69,0),IF('01_Input'!$P$69="Palier",IF(AND(DN$20&gt;='01_Input'!$N$69,DN$20&lt;'01_Input'!$O$69),'01_Input'!$Q$69,0),MAX(MIN(DN$20,'01_Input'!$O$69)-'01_Input'!$N$69,0)*'01_Input'!$Q$69))+IF('01_Input'!$T$69="Forfait",IF(DN$20&gt;='01_Input'!$R$69,'01_Input'!$U$69,0),IF('01_Input'!$T$69="Palier",IF(AND(DN$20&gt;='01_Input'!$R$69,DN$20&lt;'01_Input'!$S$69),'01_Input'!$U$69,0),MAX(MIN(DN$20,'01_Input'!$S$69)-'01_Input'!$R$69,0)*'01_Input'!$U$69))+IF('01_Input'!$X$69="Forfait",IF(DN$20&gt;='01_Input'!$V$69,'01_Input'!$Y$69,0),IF('01_Input'!$X$69="Palier",IF(AND(DN$20&gt;='01_Input'!$V$69,DN$20&lt;'01_Input'!$W$69),'01_Input'!$Y$69,0),MAX(MIN(DN$20,'01_Input'!$W$69)-'01_Input'!$V$69,0)*'01_Input'!$Y$69))+IF('01_Input'!$AB$69="Forfait",IF(DN$20&gt;='01_Input'!$Z$69,'01_Input'!$AC$69,0),IF('01_Input'!$AB$69="Palier",IF(AND(DN$20&gt;='01_Input'!$Z$69,DN$20&lt;'01_Input'!$AA$69),'01_Input'!$AC$69,0),MAX(MIN(DN$20,'01_Input'!$AA$69)-'01_Input'!$Z$69,0)*'01_Input'!$AC$69)))))))))</f>
        <v>0</v>
      </c>
      <c r="DO37" s="25">
        <f>IF('01_Input'!$C$69="Non",0,MIN('01_Input'!$I$69,MAX('01_Input'!$H$69,IF('01_Input'!$G$69="Résiduel vs Gestion",0,IF('01_Input'!$G$69="Taux Classe sélectionnée",Distrib_Global_Classe_Selectionnee*DO$20,IF('01_Input'!$G$69="Frais KYC (paliers de 100M€)",MAX(0,Nb_Investisseurs-Nb_KYC_Gratuites_Par_Tranche*(FLOOR(DO$20/Taille_Tranche_KYC,1)+1))*Cout_Par_KYC_Supplementaire,(IF('01_Input'!$L$69="Forfait",IF(DO$20&gt;='01_Input'!$J$69,'01_Input'!$M$69,0),IF('01_Input'!$L$69="Palier",IF(AND(DO$20&gt;='01_Input'!$J$69,DO$20&lt;'01_Input'!$K$69),'01_Input'!$M$69,0),MAX(MIN(DO$20,'01_Input'!$K$69)-'01_Input'!$J$69,0)*'01_Input'!$M$69))+IF('01_Input'!$P$69="Forfait",IF(DO$20&gt;='01_Input'!$N$69,'01_Input'!$Q$69,0),IF('01_Input'!$P$69="Palier",IF(AND(DO$20&gt;='01_Input'!$N$69,DO$20&lt;'01_Input'!$O$69),'01_Input'!$Q$69,0),MAX(MIN(DO$20,'01_Input'!$O$69)-'01_Input'!$N$69,0)*'01_Input'!$Q$69))+IF('01_Input'!$T$69="Forfait",IF(DO$20&gt;='01_Input'!$R$69,'01_Input'!$U$69,0),IF('01_Input'!$T$69="Palier",IF(AND(DO$20&gt;='01_Input'!$R$69,DO$20&lt;'01_Input'!$S$69),'01_Input'!$U$69,0),MAX(MIN(DO$20,'01_Input'!$S$69)-'01_Input'!$R$69,0)*'01_Input'!$U$69))+IF('01_Input'!$X$69="Forfait",IF(DO$20&gt;='01_Input'!$V$69,'01_Input'!$Y$69,0),IF('01_Input'!$X$69="Palier",IF(AND(DO$20&gt;='01_Input'!$V$69,DO$20&lt;'01_Input'!$W$69),'01_Input'!$Y$69,0),MAX(MIN(DO$20,'01_Input'!$W$69)-'01_Input'!$V$69,0)*'01_Input'!$Y$69))+IF('01_Input'!$AB$69="Forfait",IF(DO$20&gt;='01_Input'!$Z$69,'01_Input'!$AC$69,0),IF('01_Input'!$AB$69="Palier",IF(AND(DO$20&gt;='01_Input'!$Z$69,DO$20&lt;'01_Input'!$AA$69),'01_Input'!$AC$69,0),MAX(MIN(DO$20,'01_Input'!$AA$69)-'01_Input'!$Z$69,0)*'01_Input'!$AC$69)))))))))</f>
        <v>0</v>
      </c>
      <c r="DP37" s="25">
        <f>IF('01_Input'!$C$69="Non",0,MIN('01_Input'!$I$69,MAX('01_Input'!$H$69,IF('01_Input'!$G$69="Résiduel vs Gestion",0,IF('01_Input'!$G$69="Taux Classe sélectionnée",Distrib_Global_Classe_Selectionnee*DP$20,IF('01_Input'!$G$69="Frais KYC (paliers de 100M€)",MAX(0,Nb_Investisseurs-Nb_KYC_Gratuites_Par_Tranche*(FLOOR(DP$20/Taille_Tranche_KYC,1)+1))*Cout_Par_KYC_Supplementaire,(IF('01_Input'!$L$69="Forfait",IF(DP$20&gt;='01_Input'!$J$69,'01_Input'!$M$69,0),IF('01_Input'!$L$69="Palier",IF(AND(DP$20&gt;='01_Input'!$J$69,DP$20&lt;'01_Input'!$K$69),'01_Input'!$M$69,0),MAX(MIN(DP$20,'01_Input'!$K$69)-'01_Input'!$J$69,0)*'01_Input'!$M$69))+IF('01_Input'!$P$69="Forfait",IF(DP$20&gt;='01_Input'!$N$69,'01_Input'!$Q$69,0),IF('01_Input'!$P$69="Palier",IF(AND(DP$20&gt;='01_Input'!$N$69,DP$20&lt;'01_Input'!$O$69),'01_Input'!$Q$69,0),MAX(MIN(DP$20,'01_Input'!$O$69)-'01_Input'!$N$69,0)*'01_Input'!$Q$69))+IF('01_Input'!$T$69="Forfait",IF(DP$20&gt;='01_Input'!$R$69,'01_Input'!$U$69,0),IF('01_Input'!$T$69="Palier",IF(AND(DP$20&gt;='01_Input'!$R$69,DP$20&lt;'01_Input'!$S$69),'01_Input'!$U$69,0),MAX(MIN(DP$20,'01_Input'!$S$69)-'01_Input'!$R$69,0)*'01_Input'!$U$69))+IF('01_Input'!$X$69="Forfait",IF(DP$20&gt;='01_Input'!$V$69,'01_Input'!$Y$69,0),IF('01_Input'!$X$69="Palier",IF(AND(DP$20&gt;='01_Input'!$V$69,DP$20&lt;'01_Input'!$W$69),'01_Input'!$Y$69,0),MAX(MIN(DP$20,'01_Input'!$W$69)-'01_Input'!$V$69,0)*'01_Input'!$Y$69))+IF('01_Input'!$AB$69="Forfait",IF(DP$20&gt;='01_Input'!$Z$69,'01_Input'!$AC$69,0),IF('01_Input'!$AB$69="Palier",IF(AND(DP$20&gt;='01_Input'!$Z$69,DP$20&lt;'01_Input'!$AA$69),'01_Input'!$AC$69,0),MAX(MIN(DP$20,'01_Input'!$AA$69)-'01_Input'!$Z$69,0)*'01_Input'!$AC$69)))))))))</f>
        <v>0</v>
      </c>
      <c r="DQ37" s="25">
        <f>IF('01_Input'!$C$69="Non",0,MIN('01_Input'!$I$69,MAX('01_Input'!$H$69,IF('01_Input'!$G$69="Résiduel vs Gestion",0,IF('01_Input'!$G$69="Taux Classe sélectionnée",Distrib_Global_Classe_Selectionnee*DQ$20,IF('01_Input'!$G$69="Frais KYC (paliers de 100M€)",MAX(0,Nb_Investisseurs-Nb_KYC_Gratuites_Par_Tranche*(FLOOR(DQ$20/Taille_Tranche_KYC,1)+1))*Cout_Par_KYC_Supplementaire,(IF('01_Input'!$L$69="Forfait",IF(DQ$20&gt;='01_Input'!$J$69,'01_Input'!$M$69,0),IF('01_Input'!$L$69="Palier",IF(AND(DQ$20&gt;='01_Input'!$J$69,DQ$20&lt;'01_Input'!$K$69),'01_Input'!$M$69,0),MAX(MIN(DQ$20,'01_Input'!$K$69)-'01_Input'!$J$69,0)*'01_Input'!$M$69))+IF('01_Input'!$P$69="Forfait",IF(DQ$20&gt;='01_Input'!$N$69,'01_Input'!$Q$69,0),IF('01_Input'!$P$69="Palier",IF(AND(DQ$20&gt;='01_Input'!$N$69,DQ$20&lt;'01_Input'!$O$69),'01_Input'!$Q$69,0),MAX(MIN(DQ$20,'01_Input'!$O$69)-'01_Input'!$N$69,0)*'01_Input'!$Q$69))+IF('01_Input'!$T$69="Forfait",IF(DQ$20&gt;='01_Input'!$R$69,'01_Input'!$U$69,0),IF('01_Input'!$T$69="Palier",IF(AND(DQ$20&gt;='01_Input'!$R$69,DQ$20&lt;'01_Input'!$S$69),'01_Input'!$U$69,0),MAX(MIN(DQ$20,'01_Input'!$S$69)-'01_Input'!$R$69,0)*'01_Input'!$U$69))+IF('01_Input'!$X$69="Forfait",IF(DQ$20&gt;='01_Input'!$V$69,'01_Input'!$Y$69,0),IF('01_Input'!$X$69="Palier",IF(AND(DQ$20&gt;='01_Input'!$V$69,DQ$20&lt;'01_Input'!$W$69),'01_Input'!$Y$69,0),MAX(MIN(DQ$20,'01_Input'!$W$69)-'01_Input'!$V$69,0)*'01_Input'!$Y$69))+IF('01_Input'!$AB$69="Forfait",IF(DQ$20&gt;='01_Input'!$Z$69,'01_Input'!$AC$69,0),IF('01_Input'!$AB$69="Palier",IF(AND(DQ$20&gt;='01_Input'!$Z$69,DQ$20&lt;'01_Input'!$AA$69),'01_Input'!$AC$69,0),MAX(MIN(DQ$20,'01_Input'!$AA$69)-'01_Input'!$Z$69,0)*'01_Input'!$AC$69)))))))))</f>
        <v>0</v>
      </c>
      <c r="DR37" s="25">
        <f>IF('01_Input'!$C$69="Non",0,MIN('01_Input'!$I$69,MAX('01_Input'!$H$69,IF('01_Input'!$G$69="Résiduel vs Gestion",0,IF('01_Input'!$G$69="Taux Classe sélectionnée",Distrib_Global_Classe_Selectionnee*DR$20,IF('01_Input'!$G$69="Frais KYC (paliers de 100M€)",MAX(0,Nb_Investisseurs-Nb_KYC_Gratuites_Par_Tranche*(FLOOR(DR$20/Taille_Tranche_KYC,1)+1))*Cout_Par_KYC_Supplementaire,(IF('01_Input'!$L$69="Forfait",IF(DR$20&gt;='01_Input'!$J$69,'01_Input'!$M$69,0),IF('01_Input'!$L$69="Palier",IF(AND(DR$20&gt;='01_Input'!$J$69,DR$20&lt;'01_Input'!$K$69),'01_Input'!$M$69,0),MAX(MIN(DR$20,'01_Input'!$K$69)-'01_Input'!$J$69,0)*'01_Input'!$M$69))+IF('01_Input'!$P$69="Forfait",IF(DR$20&gt;='01_Input'!$N$69,'01_Input'!$Q$69,0),IF('01_Input'!$P$69="Palier",IF(AND(DR$20&gt;='01_Input'!$N$69,DR$20&lt;'01_Input'!$O$69),'01_Input'!$Q$69,0),MAX(MIN(DR$20,'01_Input'!$O$69)-'01_Input'!$N$69,0)*'01_Input'!$Q$69))+IF('01_Input'!$T$69="Forfait",IF(DR$20&gt;='01_Input'!$R$69,'01_Input'!$U$69,0),IF('01_Input'!$T$69="Palier",IF(AND(DR$20&gt;='01_Input'!$R$69,DR$20&lt;'01_Input'!$S$69),'01_Input'!$U$69,0),MAX(MIN(DR$20,'01_Input'!$S$69)-'01_Input'!$R$69,0)*'01_Input'!$U$69))+IF('01_Input'!$X$69="Forfait",IF(DR$20&gt;='01_Input'!$V$69,'01_Input'!$Y$69,0),IF('01_Input'!$X$69="Palier",IF(AND(DR$20&gt;='01_Input'!$V$69,DR$20&lt;'01_Input'!$W$69),'01_Input'!$Y$69,0),MAX(MIN(DR$20,'01_Input'!$W$69)-'01_Input'!$V$69,0)*'01_Input'!$Y$69))+IF('01_Input'!$AB$69="Forfait",IF(DR$20&gt;='01_Input'!$Z$69,'01_Input'!$AC$69,0),IF('01_Input'!$AB$69="Palier",IF(AND(DR$20&gt;='01_Input'!$Z$69,DR$20&lt;'01_Input'!$AA$69),'01_Input'!$AC$69,0),MAX(MIN(DR$20,'01_Input'!$AA$69)-'01_Input'!$Z$69,0)*'01_Input'!$AC$69)))))))))</f>
        <v>0</v>
      </c>
      <c r="DS37" s="25">
        <f>IF('01_Input'!$C$69="Non",0,MIN('01_Input'!$I$69,MAX('01_Input'!$H$69,IF('01_Input'!$G$69="Résiduel vs Gestion",0,IF('01_Input'!$G$69="Taux Classe sélectionnée",Distrib_Global_Classe_Selectionnee*DS$20,IF('01_Input'!$G$69="Frais KYC (paliers de 100M€)",MAX(0,Nb_Investisseurs-Nb_KYC_Gratuites_Par_Tranche*(FLOOR(DS$20/Taille_Tranche_KYC,1)+1))*Cout_Par_KYC_Supplementaire,(IF('01_Input'!$L$69="Forfait",IF(DS$20&gt;='01_Input'!$J$69,'01_Input'!$M$69,0),IF('01_Input'!$L$69="Palier",IF(AND(DS$20&gt;='01_Input'!$J$69,DS$20&lt;'01_Input'!$K$69),'01_Input'!$M$69,0),MAX(MIN(DS$20,'01_Input'!$K$69)-'01_Input'!$J$69,0)*'01_Input'!$M$69))+IF('01_Input'!$P$69="Forfait",IF(DS$20&gt;='01_Input'!$N$69,'01_Input'!$Q$69,0),IF('01_Input'!$P$69="Palier",IF(AND(DS$20&gt;='01_Input'!$N$69,DS$20&lt;'01_Input'!$O$69),'01_Input'!$Q$69,0),MAX(MIN(DS$20,'01_Input'!$O$69)-'01_Input'!$N$69,0)*'01_Input'!$Q$69))+IF('01_Input'!$T$69="Forfait",IF(DS$20&gt;='01_Input'!$R$69,'01_Input'!$U$69,0),IF('01_Input'!$T$69="Palier",IF(AND(DS$20&gt;='01_Input'!$R$69,DS$20&lt;'01_Input'!$S$69),'01_Input'!$U$69,0),MAX(MIN(DS$20,'01_Input'!$S$69)-'01_Input'!$R$69,0)*'01_Input'!$U$69))+IF('01_Input'!$X$69="Forfait",IF(DS$20&gt;='01_Input'!$V$69,'01_Input'!$Y$69,0),IF('01_Input'!$X$69="Palier",IF(AND(DS$20&gt;='01_Input'!$V$69,DS$20&lt;'01_Input'!$W$69),'01_Input'!$Y$69,0),MAX(MIN(DS$20,'01_Input'!$W$69)-'01_Input'!$V$69,0)*'01_Input'!$Y$69))+IF('01_Input'!$AB$69="Forfait",IF(DS$20&gt;='01_Input'!$Z$69,'01_Input'!$AC$69,0),IF('01_Input'!$AB$69="Palier",IF(AND(DS$20&gt;='01_Input'!$Z$69,DS$20&lt;'01_Input'!$AA$69),'01_Input'!$AC$69,0),MAX(MIN(DS$20,'01_Input'!$AA$69)-'01_Input'!$Z$69,0)*'01_Input'!$AC$69)))))))))</f>
        <v>0</v>
      </c>
      <c r="DT37" s="25">
        <f>IF('01_Input'!$C$69="Non",0,MIN('01_Input'!$I$69,MAX('01_Input'!$H$69,IF('01_Input'!$G$69="Résiduel vs Gestion",0,IF('01_Input'!$G$69="Taux Classe sélectionnée",Distrib_Global_Classe_Selectionnee*DT$20,IF('01_Input'!$G$69="Frais KYC (paliers de 100M€)",MAX(0,Nb_Investisseurs-Nb_KYC_Gratuites_Par_Tranche*(FLOOR(DT$20/Taille_Tranche_KYC,1)+1))*Cout_Par_KYC_Supplementaire,(IF('01_Input'!$L$69="Forfait",IF(DT$20&gt;='01_Input'!$J$69,'01_Input'!$M$69,0),IF('01_Input'!$L$69="Palier",IF(AND(DT$20&gt;='01_Input'!$J$69,DT$20&lt;'01_Input'!$K$69),'01_Input'!$M$69,0),MAX(MIN(DT$20,'01_Input'!$K$69)-'01_Input'!$J$69,0)*'01_Input'!$M$69))+IF('01_Input'!$P$69="Forfait",IF(DT$20&gt;='01_Input'!$N$69,'01_Input'!$Q$69,0),IF('01_Input'!$P$69="Palier",IF(AND(DT$20&gt;='01_Input'!$N$69,DT$20&lt;'01_Input'!$O$69),'01_Input'!$Q$69,0),MAX(MIN(DT$20,'01_Input'!$O$69)-'01_Input'!$N$69,0)*'01_Input'!$Q$69))+IF('01_Input'!$T$69="Forfait",IF(DT$20&gt;='01_Input'!$R$69,'01_Input'!$U$69,0),IF('01_Input'!$T$69="Palier",IF(AND(DT$20&gt;='01_Input'!$R$69,DT$20&lt;'01_Input'!$S$69),'01_Input'!$U$69,0),MAX(MIN(DT$20,'01_Input'!$S$69)-'01_Input'!$R$69,0)*'01_Input'!$U$69))+IF('01_Input'!$X$69="Forfait",IF(DT$20&gt;='01_Input'!$V$69,'01_Input'!$Y$69,0),IF('01_Input'!$X$69="Palier",IF(AND(DT$20&gt;='01_Input'!$V$69,DT$20&lt;'01_Input'!$W$69),'01_Input'!$Y$69,0),MAX(MIN(DT$20,'01_Input'!$W$69)-'01_Input'!$V$69,0)*'01_Input'!$Y$69))+IF('01_Input'!$AB$69="Forfait",IF(DT$20&gt;='01_Input'!$Z$69,'01_Input'!$AC$69,0),IF('01_Input'!$AB$69="Palier",IF(AND(DT$20&gt;='01_Input'!$Z$69,DT$20&lt;'01_Input'!$AA$69),'01_Input'!$AC$69,0),MAX(MIN(DT$20,'01_Input'!$AA$69)-'01_Input'!$Z$69,0)*'01_Input'!$AC$69)))))))))</f>
        <v>0</v>
      </c>
      <c r="DU37" s="25">
        <f>IF('01_Input'!$C$69="Non",0,MIN('01_Input'!$I$69,MAX('01_Input'!$H$69,IF('01_Input'!$G$69="Résiduel vs Gestion",0,IF('01_Input'!$G$69="Taux Classe sélectionnée",Distrib_Global_Classe_Selectionnee*DU$20,IF('01_Input'!$G$69="Frais KYC (paliers de 100M€)",MAX(0,Nb_Investisseurs-Nb_KYC_Gratuites_Par_Tranche*(FLOOR(DU$20/Taille_Tranche_KYC,1)+1))*Cout_Par_KYC_Supplementaire,(IF('01_Input'!$L$69="Forfait",IF(DU$20&gt;='01_Input'!$J$69,'01_Input'!$M$69,0),IF('01_Input'!$L$69="Palier",IF(AND(DU$20&gt;='01_Input'!$J$69,DU$20&lt;'01_Input'!$K$69),'01_Input'!$M$69,0),MAX(MIN(DU$20,'01_Input'!$K$69)-'01_Input'!$J$69,0)*'01_Input'!$M$69))+IF('01_Input'!$P$69="Forfait",IF(DU$20&gt;='01_Input'!$N$69,'01_Input'!$Q$69,0),IF('01_Input'!$P$69="Palier",IF(AND(DU$20&gt;='01_Input'!$N$69,DU$20&lt;'01_Input'!$O$69),'01_Input'!$Q$69,0),MAX(MIN(DU$20,'01_Input'!$O$69)-'01_Input'!$N$69,0)*'01_Input'!$Q$69))+IF('01_Input'!$T$69="Forfait",IF(DU$20&gt;='01_Input'!$R$69,'01_Input'!$U$69,0),IF('01_Input'!$T$69="Palier",IF(AND(DU$20&gt;='01_Input'!$R$69,DU$20&lt;'01_Input'!$S$69),'01_Input'!$U$69,0),MAX(MIN(DU$20,'01_Input'!$S$69)-'01_Input'!$R$69,0)*'01_Input'!$U$69))+IF('01_Input'!$X$69="Forfait",IF(DU$20&gt;='01_Input'!$V$69,'01_Input'!$Y$69,0),IF('01_Input'!$X$69="Palier",IF(AND(DU$20&gt;='01_Input'!$V$69,DU$20&lt;'01_Input'!$W$69),'01_Input'!$Y$69,0),MAX(MIN(DU$20,'01_Input'!$W$69)-'01_Input'!$V$69,0)*'01_Input'!$Y$69))+IF('01_Input'!$AB$69="Forfait",IF(DU$20&gt;='01_Input'!$Z$69,'01_Input'!$AC$69,0),IF('01_Input'!$AB$69="Palier",IF(AND(DU$20&gt;='01_Input'!$Z$69,DU$20&lt;'01_Input'!$AA$69),'01_Input'!$AC$69,0),MAX(MIN(DU$20,'01_Input'!$AA$69)-'01_Input'!$Z$69,0)*'01_Input'!$AC$69)))))))))</f>
        <v>0</v>
      </c>
      <c r="DV37" s="25">
        <f>IF('01_Input'!$C$69="Non",0,MIN('01_Input'!$I$69,MAX('01_Input'!$H$69,IF('01_Input'!$G$69="Résiduel vs Gestion",0,IF('01_Input'!$G$69="Taux Classe sélectionnée",Distrib_Global_Classe_Selectionnee*DV$20,IF('01_Input'!$G$69="Frais KYC (paliers de 100M€)",MAX(0,Nb_Investisseurs-Nb_KYC_Gratuites_Par_Tranche*(FLOOR(DV$20/Taille_Tranche_KYC,1)+1))*Cout_Par_KYC_Supplementaire,(IF('01_Input'!$L$69="Forfait",IF(DV$20&gt;='01_Input'!$J$69,'01_Input'!$M$69,0),IF('01_Input'!$L$69="Palier",IF(AND(DV$20&gt;='01_Input'!$J$69,DV$20&lt;'01_Input'!$K$69),'01_Input'!$M$69,0),MAX(MIN(DV$20,'01_Input'!$K$69)-'01_Input'!$J$69,0)*'01_Input'!$M$69))+IF('01_Input'!$P$69="Forfait",IF(DV$20&gt;='01_Input'!$N$69,'01_Input'!$Q$69,0),IF('01_Input'!$P$69="Palier",IF(AND(DV$20&gt;='01_Input'!$N$69,DV$20&lt;'01_Input'!$O$69),'01_Input'!$Q$69,0),MAX(MIN(DV$20,'01_Input'!$O$69)-'01_Input'!$N$69,0)*'01_Input'!$Q$69))+IF('01_Input'!$T$69="Forfait",IF(DV$20&gt;='01_Input'!$R$69,'01_Input'!$U$69,0),IF('01_Input'!$T$69="Palier",IF(AND(DV$20&gt;='01_Input'!$R$69,DV$20&lt;'01_Input'!$S$69),'01_Input'!$U$69,0),MAX(MIN(DV$20,'01_Input'!$S$69)-'01_Input'!$R$69,0)*'01_Input'!$U$69))+IF('01_Input'!$X$69="Forfait",IF(DV$20&gt;='01_Input'!$V$69,'01_Input'!$Y$69,0),IF('01_Input'!$X$69="Palier",IF(AND(DV$20&gt;='01_Input'!$V$69,DV$20&lt;'01_Input'!$W$69),'01_Input'!$Y$69,0),MAX(MIN(DV$20,'01_Input'!$W$69)-'01_Input'!$V$69,0)*'01_Input'!$Y$69))+IF('01_Input'!$AB$69="Forfait",IF(DV$20&gt;='01_Input'!$Z$69,'01_Input'!$AC$69,0),IF('01_Input'!$AB$69="Palier",IF(AND(DV$20&gt;='01_Input'!$Z$69,DV$20&lt;'01_Input'!$AA$69),'01_Input'!$AC$69,0),MAX(MIN(DV$20,'01_Input'!$AA$69)-'01_Input'!$Z$69,0)*'01_Input'!$AC$69)))))))))</f>
        <v>0</v>
      </c>
      <c r="DW37" s="25">
        <f>IF('01_Input'!$C$69="Non",0,MIN('01_Input'!$I$69,MAX('01_Input'!$H$69,IF('01_Input'!$G$69="Résiduel vs Gestion",0,IF('01_Input'!$G$69="Taux Classe sélectionnée",Distrib_Global_Classe_Selectionnee*DW$20,IF('01_Input'!$G$69="Frais KYC (paliers de 100M€)",MAX(0,Nb_Investisseurs-Nb_KYC_Gratuites_Par_Tranche*(FLOOR(DW$20/Taille_Tranche_KYC,1)+1))*Cout_Par_KYC_Supplementaire,(IF('01_Input'!$L$69="Forfait",IF(DW$20&gt;='01_Input'!$J$69,'01_Input'!$M$69,0),IF('01_Input'!$L$69="Palier",IF(AND(DW$20&gt;='01_Input'!$J$69,DW$20&lt;'01_Input'!$K$69),'01_Input'!$M$69,0),MAX(MIN(DW$20,'01_Input'!$K$69)-'01_Input'!$J$69,0)*'01_Input'!$M$69))+IF('01_Input'!$P$69="Forfait",IF(DW$20&gt;='01_Input'!$N$69,'01_Input'!$Q$69,0),IF('01_Input'!$P$69="Palier",IF(AND(DW$20&gt;='01_Input'!$N$69,DW$20&lt;'01_Input'!$O$69),'01_Input'!$Q$69,0),MAX(MIN(DW$20,'01_Input'!$O$69)-'01_Input'!$N$69,0)*'01_Input'!$Q$69))+IF('01_Input'!$T$69="Forfait",IF(DW$20&gt;='01_Input'!$R$69,'01_Input'!$U$69,0),IF('01_Input'!$T$69="Palier",IF(AND(DW$20&gt;='01_Input'!$R$69,DW$20&lt;'01_Input'!$S$69),'01_Input'!$U$69,0),MAX(MIN(DW$20,'01_Input'!$S$69)-'01_Input'!$R$69,0)*'01_Input'!$U$69))+IF('01_Input'!$X$69="Forfait",IF(DW$20&gt;='01_Input'!$V$69,'01_Input'!$Y$69,0),IF('01_Input'!$X$69="Palier",IF(AND(DW$20&gt;='01_Input'!$V$69,DW$20&lt;'01_Input'!$W$69),'01_Input'!$Y$69,0),MAX(MIN(DW$20,'01_Input'!$W$69)-'01_Input'!$V$69,0)*'01_Input'!$Y$69))+IF('01_Input'!$AB$69="Forfait",IF(DW$20&gt;='01_Input'!$Z$69,'01_Input'!$AC$69,0),IF('01_Input'!$AB$69="Palier",IF(AND(DW$20&gt;='01_Input'!$Z$69,DW$20&lt;'01_Input'!$AA$69),'01_Input'!$AC$69,0),MAX(MIN(DW$20,'01_Input'!$AA$69)-'01_Input'!$Z$69,0)*'01_Input'!$AC$69)))))))))</f>
        <v>0</v>
      </c>
      <c r="DX37" s="25">
        <f>IF('01_Input'!$C$69="Non",0,MIN('01_Input'!$I$69,MAX('01_Input'!$H$69,IF('01_Input'!$G$69="Résiduel vs Gestion",0,IF('01_Input'!$G$69="Taux Classe sélectionnée",Distrib_Global_Classe_Selectionnee*DX$20,IF('01_Input'!$G$69="Frais KYC (paliers de 100M€)",MAX(0,Nb_Investisseurs-Nb_KYC_Gratuites_Par_Tranche*(FLOOR(DX$20/Taille_Tranche_KYC,1)+1))*Cout_Par_KYC_Supplementaire,(IF('01_Input'!$L$69="Forfait",IF(DX$20&gt;='01_Input'!$J$69,'01_Input'!$M$69,0),IF('01_Input'!$L$69="Palier",IF(AND(DX$20&gt;='01_Input'!$J$69,DX$20&lt;'01_Input'!$K$69),'01_Input'!$M$69,0),MAX(MIN(DX$20,'01_Input'!$K$69)-'01_Input'!$J$69,0)*'01_Input'!$M$69))+IF('01_Input'!$P$69="Forfait",IF(DX$20&gt;='01_Input'!$N$69,'01_Input'!$Q$69,0),IF('01_Input'!$P$69="Palier",IF(AND(DX$20&gt;='01_Input'!$N$69,DX$20&lt;'01_Input'!$O$69),'01_Input'!$Q$69,0),MAX(MIN(DX$20,'01_Input'!$O$69)-'01_Input'!$N$69,0)*'01_Input'!$Q$69))+IF('01_Input'!$T$69="Forfait",IF(DX$20&gt;='01_Input'!$R$69,'01_Input'!$U$69,0),IF('01_Input'!$T$69="Palier",IF(AND(DX$20&gt;='01_Input'!$R$69,DX$20&lt;'01_Input'!$S$69),'01_Input'!$U$69,0),MAX(MIN(DX$20,'01_Input'!$S$69)-'01_Input'!$R$69,0)*'01_Input'!$U$69))+IF('01_Input'!$X$69="Forfait",IF(DX$20&gt;='01_Input'!$V$69,'01_Input'!$Y$69,0),IF('01_Input'!$X$69="Palier",IF(AND(DX$20&gt;='01_Input'!$V$69,DX$20&lt;'01_Input'!$W$69),'01_Input'!$Y$69,0),MAX(MIN(DX$20,'01_Input'!$W$69)-'01_Input'!$V$69,0)*'01_Input'!$Y$69))+IF('01_Input'!$AB$69="Forfait",IF(DX$20&gt;='01_Input'!$Z$69,'01_Input'!$AC$69,0),IF('01_Input'!$AB$69="Palier",IF(AND(DX$20&gt;='01_Input'!$Z$69,DX$20&lt;'01_Input'!$AA$69),'01_Input'!$AC$69,0),MAX(MIN(DX$20,'01_Input'!$AA$69)-'01_Input'!$Z$69,0)*'01_Input'!$AC$69)))))))))</f>
        <v>0</v>
      </c>
      <c r="DY37" s="25">
        <f>IF('01_Input'!$C$69="Non",0,MIN('01_Input'!$I$69,MAX('01_Input'!$H$69,IF('01_Input'!$G$69="Résiduel vs Gestion",0,IF('01_Input'!$G$69="Taux Classe sélectionnée",Distrib_Global_Classe_Selectionnee*DY$20,IF('01_Input'!$G$69="Frais KYC (paliers de 100M€)",MAX(0,Nb_Investisseurs-Nb_KYC_Gratuites_Par_Tranche*(FLOOR(DY$20/Taille_Tranche_KYC,1)+1))*Cout_Par_KYC_Supplementaire,(IF('01_Input'!$L$69="Forfait",IF(DY$20&gt;='01_Input'!$J$69,'01_Input'!$M$69,0),IF('01_Input'!$L$69="Palier",IF(AND(DY$20&gt;='01_Input'!$J$69,DY$20&lt;'01_Input'!$K$69),'01_Input'!$M$69,0),MAX(MIN(DY$20,'01_Input'!$K$69)-'01_Input'!$J$69,0)*'01_Input'!$M$69))+IF('01_Input'!$P$69="Forfait",IF(DY$20&gt;='01_Input'!$N$69,'01_Input'!$Q$69,0),IF('01_Input'!$P$69="Palier",IF(AND(DY$20&gt;='01_Input'!$N$69,DY$20&lt;'01_Input'!$O$69),'01_Input'!$Q$69,0),MAX(MIN(DY$20,'01_Input'!$O$69)-'01_Input'!$N$69,0)*'01_Input'!$Q$69))+IF('01_Input'!$T$69="Forfait",IF(DY$20&gt;='01_Input'!$R$69,'01_Input'!$U$69,0),IF('01_Input'!$T$69="Palier",IF(AND(DY$20&gt;='01_Input'!$R$69,DY$20&lt;'01_Input'!$S$69),'01_Input'!$U$69,0),MAX(MIN(DY$20,'01_Input'!$S$69)-'01_Input'!$R$69,0)*'01_Input'!$U$69))+IF('01_Input'!$X$69="Forfait",IF(DY$20&gt;='01_Input'!$V$69,'01_Input'!$Y$69,0),IF('01_Input'!$X$69="Palier",IF(AND(DY$20&gt;='01_Input'!$V$69,DY$20&lt;'01_Input'!$W$69),'01_Input'!$Y$69,0),MAX(MIN(DY$20,'01_Input'!$W$69)-'01_Input'!$V$69,0)*'01_Input'!$Y$69))+IF('01_Input'!$AB$69="Forfait",IF(DY$20&gt;='01_Input'!$Z$69,'01_Input'!$AC$69,0),IF('01_Input'!$AB$69="Palier",IF(AND(DY$20&gt;='01_Input'!$Z$69,DY$20&lt;'01_Input'!$AA$69),'01_Input'!$AC$69,0),MAX(MIN(DY$20,'01_Input'!$AA$69)-'01_Input'!$Z$69,0)*'01_Input'!$AC$69)))))))))</f>
        <v>0</v>
      </c>
      <c r="DZ37" s="25">
        <f>IF('01_Input'!$C$69="Non",0,MIN('01_Input'!$I$69,MAX('01_Input'!$H$69,IF('01_Input'!$G$69="Résiduel vs Gestion",0,IF('01_Input'!$G$69="Taux Classe sélectionnée",Distrib_Global_Classe_Selectionnee*DZ$20,IF('01_Input'!$G$69="Frais KYC (paliers de 100M€)",MAX(0,Nb_Investisseurs-Nb_KYC_Gratuites_Par_Tranche*(FLOOR(DZ$20/Taille_Tranche_KYC,1)+1))*Cout_Par_KYC_Supplementaire,(IF('01_Input'!$L$69="Forfait",IF(DZ$20&gt;='01_Input'!$J$69,'01_Input'!$M$69,0),IF('01_Input'!$L$69="Palier",IF(AND(DZ$20&gt;='01_Input'!$J$69,DZ$20&lt;'01_Input'!$K$69),'01_Input'!$M$69,0),MAX(MIN(DZ$20,'01_Input'!$K$69)-'01_Input'!$J$69,0)*'01_Input'!$M$69))+IF('01_Input'!$P$69="Forfait",IF(DZ$20&gt;='01_Input'!$N$69,'01_Input'!$Q$69,0),IF('01_Input'!$P$69="Palier",IF(AND(DZ$20&gt;='01_Input'!$N$69,DZ$20&lt;'01_Input'!$O$69),'01_Input'!$Q$69,0),MAX(MIN(DZ$20,'01_Input'!$O$69)-'01_Input'!$N$69,0)*'01_Input'!$Q$69))+IF('01_Input'!$T$69="Forfait",IF(DZ$20&gt;='01_Input'!$R$69,'01_Input'!$U$69,0),IF('01_Input'!$T$69="Palier",IF(AND(DZ$20&gt;='01_Input'!$R$69,DZ$20&lt;'01_Input'!$S$69),'01_Input'!$U$69,0),MAX(MIN(DZ$20,'01_Input'!$S$69)-'01_Input'!$R$69,0)*'01_Input'!$U$69))+IF('01_Input'!$X$69="Forfait",IF(DZ$20&gt;='01_Input'!$V$69,'01_Input'!$Y$69,0),IF('01_Input'!$X$69="Palier",IF(AND(DZ$20&gt;='01_Input'!$V$69,DZ$20&lt;'01_Input'!$W$69),'01_Input'!$Y$69,0),MAX(MIN(DZ$20,'01_Input'!$W$69)-'01_Input'!$V$69,0)*'01_Input'!$Y$69))+IF('01_Input'!$AB$69="Forfait",IF(DZ$20&gt;='01_Input'!$Z$69,'01_Input'!$AC$69,0),IF('01_Input'!$AB$69="Palier",IF(AND(DZ$20&gt;='01_Input'!$Z$69,DZ$20&lt;'01_Input'!$AA$69),'01_Input'!$AC$69,0),MAX(MIN(DZ$20,'01_Input'!$AA$69)-'01_Input'!$Z$69,0)*'01_Input'!$AC$69)))))))))</f>
        <v>0</v>
      </c>
      <c r="EA37" s="25">
        <f>IF('01_Input'!$C$69="Non",0,MIN('01_Input'!$I$69,MAX('01_Input'!$H$69,IF('01_Input'!$G$69="Résiduel vs Gestion",0,IF('01_Input'!$G$69="Taux Classe sélectionnée",Distrib_Global_Classe_Selectionnee*EA$20,IF('01_Input'!$G$69="Frais KYC (paliers de 100M€)",MAX(0,Nb_Investisseurs-Nb_KYC_Gratuites_Par_Tranche*(FLOOR(EA$20/Taille_Tranche_KYC,1)+1))*Cout_Par_KYC_Supplementaire,(IF('01_Input'!$L$69="Forfait",IF(EA$20&gt;='01_Input'!$J$69,'01_Input'!$M$69,0),IF('01_Input'!$L$69="Palier",IF(AND(EA$20&gt;='01_Input'!$J$69,EA$20&lt;'01_Input'!$K$69),'01_Input'!$M$69,0),MAX(MIN(EA$20,'01_Input'!$K$69)-'01_Input'!$J$69,0)*'01_Input'!$M$69))+IF('01_Input'!$P$69="Forfait",IF(EA$20&gt;='01_Input'!$N$69,'01_Input'!$Q$69,0),IF('01_Input'!$P$69="Palier",IF(AND(EA$20&gt;='01_Input'!$N$69,EA$20&lt;'01_Input'!$O$69),'01_Input'!$Q$69,0),MAX(MIN(EA$20,'01_Input'!$O$69)-'01_Input'!$N$69,0)*'01_Input'!$Q$69))+IF('01_Input'!$T$69="Forfait",IF(EA$20&gt;='01_Input'!$R$69,'01_Input'!$U$69,0),IF('01_Input'!$T$69="Palier",IF(AND(EA$20&gt;='01_Input'!$R$69,EA$20&lt;'01_Input'!$S$69),'01_Input'!$U$69,0),MAX(MIN(EA$20,'01_Input'!$S$69)-'01_Input'!$R$69,0)*'01_Input'!$U$69))+IF('01_Input'!$X$69="Forfait",IF(EA$20&gt;='01_Input'!$V$69,'01_Input'!$Y$69,0),IF('01_Input'!$X$69="Palier",IF(AND(EA$20&gt;='01_Input'!$V$69,EA$20&lt;'01_Input'!$W$69),'01_Input'!$Y$69,0),MAX(MIN(EA$20,'01_Input'!$W$69)-'01_Input'!$V$69,0)*'01_Input'!$Y$69))+IF('01_Input'!$AB$69="Forfait",IF(EA$20&gt;='01_Input'!$Z$69,'01_Input'!$AC$69,0),IF('01_Input'!$AB$69="Palier",IF(AND(EA$20&gt;='01_Input'!$Z$69,EA$20&lt;'01_Input'!$AA$69),'01_Input'!$AC$69,0),MAX(MIN(EA$20,'01_Input'!$AA$69)-'01_Input'!$Z$69,0)*'01_Input'!$AC$69)))))))))</f>
        <v>0</v>
      </c>
      <c r="EB37" s="25">
        <f>IF('01_Input'!$C$69="Non",0,MIN('01_Input'!$I$69,MAX('01_Input'!$H$69,IF('01_Input'!$G$69="Résiduel vs Gestion",0,IF('01_Input'!$G$69="Taux Classe sélectionnée",Distrib_Global_Classe_Selectionnee*EB$20,IF('01_Input'!$G$69="Frais KYC (paliers de 100M€)",MAX(0,Nb_Investisseurs-Nb_KYC_Gratuites_Par_Tranche*(FLOOR(EB$20/Taille_Tranche_KYC,1)+1))*Cout_Par_KYC_Supplementaire,(IF('01_Input'!$L$69="Forfait",IF(EB$20&gt;='01_Input'!$J$69,'01_Input'!$M$69,0),IF('01_Input'!$L$69="Palier",IF(AND(EB$20&gt;='01_Input'!$J$69,EB$20&lt;'01_Input'!$K$69),'01_Input'!$M$69,0),MAX(MIN(EB$20,'01_Input'!$K$69)-'01_Input'!$J$69,0)*'01_Input'!$M$69))+IF('01_Input'!$P$69="Forfait",IF(EB$20&gt;='01_Input'!$N$69,'01_Input'!$Q$69,0),IF('01_Input'!$P$69="Palier",IF(AND(EB$20&gt;='01_Input'!$N$69,EB$20&lt;'01_Input'!$O$69),'01_Input'!$Q$69,0),MAX(MIN(EB$20,'01_Input'!$O$69)-'01_Input'!$N$69,0)*'01_Input'!$Q$69))+IF('01_Input'!$T$69="Forfait",IF(EB$20&gt;='01_Input'!$R$69,'01_Input'!$U$69,0),IF('01_Input'!$T$69="Palier",IF(AND(EB$20&gt;='01_Input'!$R$69,EB$20&lt;'01_Input'!$S$69),'01_Input'!$U$69,0),MAX(MIN(EB$20,'01_Input'!$S$69)-'01_Input'!$R$69,0)*'01_Input'!$U$69))+IF('01_Input'!$X$69="Forfait",IF(EB$20&gt;='01_Input'!$V$69,'01_Input'!$Y$69,0),IF('01_Input'!$X$69="Palier",IF(AND(EB$20&gt;='01_Input'!$V$69,EB$20&lt;'01_Input'!$W$69),'01_Input'!$Y$69,0),MAX(MIN(EB$20,'01_Input'!$W$69)-'01_Input'!$V$69,0)*'01_Input'!$Y$69))+IF('01_Input'!$AB$69="Forfait",IF(EB$20&gt;='01_Input'!$Z$69,'01_Input'!$AC$69,0),IF('01_Input'!$AB$69="Palier",IF(AND(EB$20&gt;='01_Input'!$Z$69,EB$20&lt;'01_Input'!$AA$69),'01_Input'!$AC$69,0),MAX(MIN(EB$20,'01_Input'!$AA$69)-'01_Input'!$Z$69,0)*'01_Input'!$AC$69)))))))))</f>
        <v>0</v>
      </c>
      <c r="EC37" s="25">
        <f>IF('01_Input'!$C$69="Non",0,MIN('01_Input'!$I$69,MAX('01_Input'!$H$69,IF('01_Input'!$G$69="Résiduel vs Gestion",0,IF('01_Input'!$G$69="Taux Classe sélectionnée",Distrib_Global_Classe_Selectionnee*EC$20,IF('01_Input'!$G$69="Frais KYC (paliers de 100M€)",MAX(0,Nb_Investisseurs-Nb_KYC_Gratuites_Par_Tranche*(FLOOR(EC$20/Taille_Tranche_KYC,1)+1))*Cout_Par_KYC_Supplementaire,(IF('01_Input'!$L$69="Forfait",IF(EC$20&gt;='01_Input'!$J$69,'01_Input'!$M$69,0),IF('01_Input'!$L$69="Palier",IF(AND(EC$20&gt;='01_Input'!$J$69,EC$20&lt;'01_Input'!$K$69),'01_Input'!$M$69,0),MAX(MIN(EC$20,'01_Input'!$K$69)-'01_Input'!$J$69,0)*'01_Input'!$M$69))+IF('01_Input'!$P$69="Forfait",IF(EC$20&gt;='01_Input'!$N$69,'01_Input'!$Q$69,0),IF('01_Input'!$P$69="Palier",IF(AND(EC$20&gt;='01_Input'!$N$69,EC$20&lt;'01_Input'!$O$69),'01_Input'!$Q$69,0),MAX(MIN(EC$20,'01_Input'!$O$69)-'01_Input'!$N$69,0)*'01_Input'!$Q$69))+IF('01_Input'!$T$69="Forfait",IF(EC$20&gt;='01_Input'!$R$69,'01_Input'!$U$69,0),IF('01_Input'!$T$69="Palier",IF(AND(EC$20&gt;='01_Input'!$R$69,EC$20&lt;'01_Input'!$S$69),'01_Input'!$U$69,0),MAX(MIN(EC$20,'01_Input'!$S$69)-'01_Input'!$R$69,0)*'01_Input'!$U$69))+IF('01_Input'!$X$69="Forfait",IF(EC$20&gt;='01_Input'!$V$69,'01_Input'!$Y$69,0),IF('01_Input'!$X$69="Palier",IF(AND(EC$20&gt;='01_Input'!$V$69,EC$20&lt;'01_Input'!$W$69),'01_Input'!$Y$69,0),MAX(MIN(EC$20,'01_Input'!$W$69)-'01_Input'!$V$69,0)*'01_Input'!$Y$69))+IF('01_Input'!$AB$69="Forfait",IF(EC$20&gt;='01_Input'!$Z$69,'01_Input'!$AC$69,0),IF('01_Input'!$AB$69="Palier",IF(AND(EC$20&gt;='01_Input'!$Z$69,EC$20&lt;'01_Input'!$AA$69),'01_Input'!$AC$69,0),MAX(MIN(EC$20,'01_Input'!$AA$69)-'01_Input'!$Z$69,0)*'01_Input'!$AC$69)))))))))</f>
        <v>0</v>
      </c>
      <c r="ED37" s="25">
        <f>IF('01_Input'!$C$69="Non",0,MIN('01_Input'!$I$69,MAX('01_Input'!$H$69,IF('01_Input'!$G$69="Résiduel vs Gestion",0,IF('01_Input'!$G$69="Taux Classe sélectionnée",Distrib_Global_Classe_Selectionnee*ED$20,IF('01_Input'!$G$69="Frais KYC (paliers de 100M€)",MAX(0,Nb_Investisseurs-Nb_KYC_Gratuites_Par_Tranche*(FLOOR(ED$20/Taille_Tranche_KYC,1)+1))*Cout_Par_KYC_Supplementaire,(IF('01_Input'!$L$69="Forfait",IF(ED$20&gt;='01_Input'!$J$69,'01_Input'!$M$69,0),IF('01_Input'!$L$69="Palier",IF(AND(ED$20&gt;='01_Input'!$J$69,ED$20&lt;'01_Input'!$K$69),'01_Input'!$M$69,0),MAX(MIN(ED$20,'01_Input'!$K$69)-'01_Input'!$J$69,0)*'01_Input'!$M$69))+IF('01_Input'!$P$69="Forfait",IF(ED$20&gt;='01_Input'!$N$69,'01_Input'!$Q$69,0),IF('01_Input'!$P$69="Palier",IF(AND(ED$20&gt;='01_Input'!$N$69,ED$20&lt;'01_Input'!$O$69),'01_Input'!$Q$69,0),MAX(MIN(ED$20,'01_Input'!$O$69)-'01_Input'!$N$69,0)*'01_Input'!$Q$69))+IF('01_Input'!$T$69="Forfait",IF(ED$20&gt;='01_Input'!$R$69,'01_Input'!$U$69,0),IF('01_Input'!$T$69="Palier",IF(AND(ED$20&gt;='01_Input'!$R$69,ED$20&lt;'01_Input'!$S$69),'01_Input'!$U$69,0),MAX(MIN(ED$20,'01_Input'!$S$69)-'01_Input'!$R$69,0)*'01_Input'!$U$69))+IF('01_Input'!$X$69="Forfait",IF(ED$20&gt;='01_Input'!$V$69,'01_Input'!$Y$69,0),IF('01_Input'!$X$69="Palier",IF(AND(ED$20&gt;='01_Input'!$V$69,ED$20&lt;'01_Input'!$W$69),'01_Input'!$Y$69,0),MAX(MIN(ED$20,'01_Input'!$W$69)-'01_Input'!$V$69,0)*'01_Input'!$Y$69))+IF('01_Input'!$AB$69="Forfait",IF(ED$20&gt;='01_Input'!$Z$69,'01_Input'!$AC$69,0),IF('01_Input'!$AB$69="Palier",IF(AND(ED$20&gt;='01_Input'!$Z$69,ED$20&lt;'01_Input'!$AA$69),'01_Input'!$AC$69,0),MAX(MIN(ED$20,'01_Input'!$AA$69)-'01_Input'!$Z$69,0)*'01_Input'!$AC$69)))))))))</f>
        <v>0</v>
      </c>
      <c r="EE37" s="25">
        <f>IF('01_Input'!$C$69="Non",0,MIN('01_Input'!$I$69,MAX('01_Input'!$H$69,IF('01_Input'!$G$69="Résiduel vs Gestion",0,IF('01_Input'!$G$69="Taux Classe sélectionnée",Distrib_Global_Classe_Selectionnee*EE$20,IF('01_Input'!$G$69="Frais KYC (paliers de 100M€)",MAX(0,Nb_Investisseurs-Nb_KYC_Gratuites_Par_Tranche*(FLOOR(EE$20/Taille_Tranche_KYC,1)+1))*Cout_Par_KYC_Supplementaire,(IF('01_Input'!$L$69="Forfait",IF(EE$20&gt;='01_Input'!$J$69,'01_Input'!$M$69,0),IF('01_Input'!$L$69="Palier",IF(AND(EE$20&gt;='01_Input'!$J$69,EE$20&lt;'01_Input'!$K$69),'01_Input'!$M$69,0),MAX(MIN(EE$20,'01_Input'!$K$69)-'01_Input'!$J$69,0)*'01_Input'!$M$69))+IF('01_Input'!$P$69="Forfait",IF(EE$20&gt;='01_Input'!$N$69,'01_Input'!$Q$69,0),IF('01_Input'!$P$69="Palier",IF(AND(EE$20&gt;='01_Input'!$N$69,EE$20&lt;'01_Input'!$O$69),'01_Input'!$Q$69,0),MAX(MIN(EE$20,'01_Input'!$O$69)-'01_Input'!$N$69,0)*'01_Input'!$Q$69))+IF('01_Input'!$T$69="Forfait",IF(EE$20&gt;='01_Input'!$R$69,'01_Input'!$U$69,0),IF('01_Input'!$T$69="Palier",IF(AND(EE$20&gt;='01_Input'!$R$69,EE$20&lt;'01_Input'!$S$69),'01_Input'!$U$69,0),MAX(MIN(EE$20,'01_Input'!$S$69)-'01_Input'!$R$69,0)*'01_Input'!$U$69))+IF('01_Input'!$X$69="Forfait",IF(EE$20&gt;='01_Input'!$V$69,'01_Input'!$Y$69,0),IF('01_Input'!$X$69="Palier",IF(AND(EE$20&gt;='01_Input'!$V$69,EE$20&lt;'01_Input'!$W$69),'01_Input'!$Y$69,0),MAX(MIN(EE$20,'01_Input'!$W$69)-'01_Input'!$V$69,0)*'01_Input'!$Y$69))+IF('01_Input'!$AB$69="Forfait",IF(EE$20&gt;='01_Input'!$Z$69,'01_Input'!$AC$69,0),IF('01_Input'!$AB$69="Palier",IF(AND(EE$20&gt;='01_Input'!$Z$69,EE$20&lt;'01_Input'!$AA$69),'01_Input'!$AC$69,0),MAX(MIN(EE$20,'01_Input'!$AA$69)-'01_Input'!$Z$69,0)*'01_Input'!$AC$69)))))))))</f>
        <v>0</v>
      </c>
      <c r="EF37" s="25">
        <f>IF('01_Input'!$C$69="Non",0,MIN('01_Input'!$I$69,MAX('01_Input'!$H$69,IF('01_Input'!$G$69="Résiduel vs Gestion",0,IF('01_Input'!$G$69="Taux Classe sélectionnée",Distrib_Global_Classe_Selectionnee*EF$20,IF('01_Input'!$G$69="Frais KYC (paliers de 100M€)",MAX(0,Nb_Investisseurs-Nb_KYC_Gratuites_Par_Tranche*(FLOOR(EF$20/Taille_Tranche_KYC,1)+1))*Cout_Par_KYC_Supplementaire,(IF('01_Input'!$L$69="Forfait",IF(EF$20&gt;='01_Input'!$J$69,'01_Input'!$M$69,0),IF('01_Input'!$L$69="Palier",IF(AND(EF$20&gt;='01_Input'!$J$69,EF$20&lt;'01_Input'!$K$69),'01_Input'!$M$69,0),MAX(MIN(EF$20,'01_Input'!$K$69)-'01_Input'!$J$69,0)*'01_Input'!$M$69))+IF('01_Input'!$P$69="Forfait",IF(EF$20&gt;='01_Input'!$N$69,'01_Input'!$Q$69,0),IF('01_Input'!$P$69="Palier",IF(AND(EF$20&gt;='01_Input'!$N$69,EF$20&lt;'01_Input'!$O$69),'01_Input'!$Q$69,0),MAX(MIN(EF$20,'01_Input'!$O$69)-'01_Input'!$N$69,0)*'01_Input'!$Q$69))+IF('01_Input'!$T$69="Forfait",IF(EF$20&gt;='01_Input'!$R$69,'01_Input'!$U$69,0),IF('01_Input'!$T$69="Palier",IF(AND(EF$20&gt;='01_Input'!$R$69,EF$20&lt;'01_Input'!$S$69),'01_Input'!$U$69,0),MAX(MIN(EF$20,'01_Input'!$S$69)-'01_Input'!$R$69,0)*'01_Input'!$U$69))+IF('01_Input'!$X$69="Forfait",IF(EF$20&gt;='01_Input'!$V$69,'01_Input'!$Y$69,0),IF('01_Input'!$X$69="Palier",IF(AND(EF$20&gt;='01_Input'!$V$69,EF$20&lt;'01_Input'!$W$69),'01_Input'!$Y$69,0),MAX(MIN(EF$20,'01_Input'!$W$69)-'01_Input'!$V$69,0)*'01_Input'!$Y$69))+IF('01_Input'!$AB$69="Forfait",IF(EF$20&gt;='01_Input'!$Z$69,'01_Input'!$AC$69,0),IF('01_Input'!$AB$69="Palier",IF(AND(EF$20&gt;='01_Input'!$Z$69,EF$20&lt;'01_Input'!$AA$69),'01_Input'!$AC$69,0),MAX(MIN(EF$20,'01_Input'!$AA$69)-'01_Input'!$Z$69,0)*'01_Input'!$AC$69)))))))))</f>
        <v>0</v>
      </c>
      <c r="EG37" s="25">
        <f>IF('01_Input'!$C$69="Non",0,MIN('01_Input'!$I$69,MAX('01_Input'!$H$69,IF('01_Input'!$G$69="Résiduel vs Gestion",0,IF('01_Input'!$G$69="Taux Classe sélectionnée",Distrib_Global_Classe_Selectionnee*EG$20,IF('01_Input'!$G$69="Frais KYC (paliers de 100M€)",MAX(0,Nb_Investisseurs-Nb_KYC_Gratuites_Par_Tranche*(FLOOR(EG$20/Taille_Tranche_KYC,1)+1))*Cout_Par_KYC_Supplementaire,(IF('01_Input'!$L$69="Forfait",IF(EG$20&gt;='01_Input'!$J$69,'01_Input'!$M$69,0),IF('01_Input'!$L$69="Palier",IF(AND(EG$20&gt;='01_Input'!$J$69,EG$20&lt;'01_Input'!$K$69),'01_Input'!$M$69,0),MAX(MIN(EG$20,'01_Input'!$K$69)-'01_Input'!$J$69,0)*'01_Input'!$M$69))+IF('01_Input'!$P$69="Forfait",IF(EG$20&gt;='01_Input'!$N$69,'01_Input'!$Q$69,0),IF('01_Input'!$P$69="Palier",IF(AND(EG$20&gt;='01_Input'!$N$69,EG$20&lt;'01_Input'!$O$69),'01_Input'!$Q$69,0),MAX(MIN(EG$20,'01_Input'!$O$69)-'01_Input'!$N$69,0)*'01_Input'!$Q$69))+IF('01_Input'!$T$69="Forfait",IF(EG$20&gt;='01_Input'!$R$69,'01_Input'!$U$69,0),IF('01_Input'!$T$69="Palier",IF(AND(EG$20&gt;='01_Input'!$R$69,EG$20&lt;'01_Input'!$S$69),'01_Input'!$U$69,0),MAX(MIN(EG$20,'01_Input'!$S$69)-'01_Input'!$R$69,0)*'01_Input'!$U$69))+IF('01_Input'!$X$69="Forfait",IF(EG$20&gt;='01_Input'!$V$69,'01_Input'!$Y$69,0),IF('01_Input'!$X$69="Palier",IF(AND(EG$20&gt;='01_Input'!$V$69,EG$20&lt;'01_Input'!$W$69),'01_Input'!$Y$69,0),MAX(MIN(EG$20,'01_Input'!$W$69)-'01_Input'!$V$69,0)*'01_Input'!$Y$69))+IF('01_Input'!$AB$69="Forfait",IF(EG$20&gt;='01_Input'!$Z$69,'01_Input'!$AC$69,0),IF('01_Input'!$AB$69="Palier",IF(AND(EG$20&gt;='01_Input'!$Z$69,EG$20&lt;'01_Input'!$AA$69),'01_Input'!$AC$69,0),MAX(MIN(EG$20,'01_Input'!$AA$69)-'01_Input'!$Z$69,0)*'01_Input'!$AC$69)))))))))</f>
        <v>0</v>
      </c>
      <c r="EH37" s="25">
        <f>IF('01_Input'!$C$69="Non",0,MIN('01_Input'!$I$69,MAX('01_Input'!$H$69,IF('01_Input'!$G$69="Résiduel vs Gestion",0,IF('01_Input'!$G$69="Taux Classe sélectionnée",Distrib_Global_Classe_Selectionnee*EH$20,IF('01_Input'!$G$69="Frais KYC (paliers de 100M€)",MAX(0,Nb_Investisseurs-Nb_KYC_Gratuites_Par_Tranche*(FLOOR(EH$20/Taille_Tranche_KYC,1)+1))*Cout_Par_KYC_Supplementaire,(IF('01_Input'!$L$69="Forfait",IF(EH$20&gt;='01_Input'!$J$69,'01_Input'!$M$69,0),IF('01_Input'!$L$69="Palier",IF(AND(EH$20&gt;='01_Input'!$J$69,EH$20&lt;'01_Input'!$K$69),'01_Input'!$M$69,0),MAX(MIN(EH$20,'01_Input'!$K$69)-'01_Input'!$J$69,0)*'01_Input'!$M$69))+IF('01_Input'!$P$69="Forfait",IF(EH$20&gt;='01_Input'!$N$69,'01_Input'!$Q$69,0),IF('01_Input'!$P$69="Palier",IF(AND(EH$20&gt;='01_Input'!$N$69,EH$20&lt;'01_Input'!$O$69),'01_Input'!$Q$69,0),MAX(MIN(EH$20,'01_Input'!$O$69)-'01_Input'!$N$69,0)*'01_Input'!$Q$69))+IF('01_Input'!$T$69="Forfait",IF(EH$20&gt;='01_Input'!$R$69,'01_Input'!$U$69,0),IF('01_Input'!$T$69="Palier",IF(AND(EH$20&gt;='01_Input'!$R$69,EH$20&lt;'01_Input'!$S$69),'01_Input'!$U$69,0),MAX(MIN(EH$20,'01_Input'!$S$69)-'01_Input'!$R$69,0)*'01_Input'!$U$69))+IF('01_Input'!$X$69="Forfait",IF(EH$20&gt;='01_Input'!$V$69,'01_Input'!$Y$69,0),IF('01_Input'!$X$69="Palier",IF(AND(EH$20&gt;='01_Input'!$V$69,EH$20&lt;'01_Input'!$W$69),'01_Input'!$Y$69,0),MAX(MIN(EH$20,'01_Input'!$W$69)-'01_Input'!$V$69,0)*'01_Input'!$Y$69))+IF('01_Input'!$AB$69="Forfait",IF(EH$20&gt;='01_Input'!$Z$69,'01_Input'!$AC$69,0),IF('01_Input'!$AB$69="Palier",IF(AND(EH$20&gt;='01_Input'!$Z$69,EH$20&lt;'01_Input'!$AA$69),'01_Input'!$AC$69,0),MAX(MIN(EH$20,'01_Input'!$AA$69)-'01_Input'!$Z$69,0)*'01_Input'!$AC$69)))))))))</f>
        <v>0</v>
      </c>
      <c r="EI37" s="25">
        <f>IF('01_Input'!$C$69="Non",0,MIN('01_Input'!$I$69,MAX('01_Input'!$H$69,IF('01_Input'!$G$69="Résiduel vs Gestion",0,IF('01_Input'!$G$69="Taux Classe sélectionnée",Distrib_Global_Classe_Selectionnee*EI$20,IF('01_Input'!$G$69="Frais KYC (paliers de 100M€)",MAX(0,Nb_Investisseurs-Nb_KYC_Gratuites_Par_Tranche*(FLOOR(EI$20/Taille_Tranche_KYC,1)+1))*Cout_Par_KYC_Supplementaire,(IF('01_Input'!$L$69="Forfait",IF(EI$20&gt;='01_Input'!$J$69,'01_Input'!$M$69,0),IF('01_Input'!$L$69="Palier",IF(AND(EI$20&gt;='01_Input'!$J$69,EI$20&lt;'01_Input'!$K$69),'01_Input'!$M$69,0),MAX(MIN(EI$20,'01_Input'!$K$69)-'01_Input'!$J$69,0)*'01_Input'!$M$69))+IF('01_Input'!$P$69="Forfait",IF(EI$20&gt;='01_Input'!$N$69,'01_Input'!$Q$69,0),IF('01_Input'!$P$69="Palier",IF(AND(EI$20&gt;='01_Input'!$N$69,EI$20&lt;'01_Input'!$O$69),'01_Input'!$Q$69,0),MAX(MIN(EI$20,'01_Input'!$O$69)-'01_Input'!$N$69,0)*'01_Input'!$Q$69))+IF('01_Input'!$T$69="Forfait",IF(EI$20&gt;='01_Input'!$R$69,'01_Input'!$U$69,0),IF('01_Input'!$T$69="Palier",IF(AND(EI$20&gt;='01_Input'!$R$69,EI$20&lt;'01_Input'!$S$69),'01_Input'!$U$69,0),MAX(MIN(EI$20,'01_Input'!$S$69)-'01_Input'!$R$69,0)*'01_Input'!$U$69))+IF('01_Input'!$X$69="Forfait",IF(EI$20&gt;='01_Input'!$V$69,'01_Input'!$Y$69,0),IF('01_Input'!$X$69="Palier",IF(AND(EI$20&gt;='01_Input'!$V$69,EI$20&lt;'01_Input'!$W$69),'01_Input'!$Y$69,0),MAX(MIN(EI$20,'01_Input'!$W$69)-'01_Input'!$V$69,0)*'01_Input'!$Y$69))+IF('01_Input'!$AB$69="Forfait",IF(EI$20&gt;='01_Input'!$Z$69,'01_Input'!$AC$69,0),IF('01_Input'!$AB$69="Palier",IF(AND(EI$20&gt;='01_Input'!$Z$69,EI$20&lt;'01_Input'!$AA$69),'01_Input'!$AC$69,0),MAX(MIN(EI$20,'01_Input'!$AA$69)-'01_Input'!$Z$69,0)*'01_Input'!$AC$69)))))))))</f>
        <v>0</v>
      </c>
      <c r="EJ37" s="25">
        <f>IF('01_Input'!$C$69="Non",0,MIN('01_Input'!$I$69,MAX('01_Input'!$H$69,IF('01_Input'!$G$69="Résiduel vs Gestion",0,IF('01_Input'!$G$69="Taux Classe sélectionnée",Distrib_Global_Classe_Selectionnee*EJ$20,IF('01_Input'!$G$69="Frais KYC (paliers de 100M€)",MAX(0,Nb_Investisseurs-Nb_KYC_Gratuites_Par_Tranche*(FLOOR(EJ$20/Taille_Tranche_KYC,1)+1))*Cout_Par_KYC_Supplementaire,(IF('01_Input'!$L$69="Forfait",IF(EJ$20&gt;='01_Input'!$J$69,'01_Input'!$M$69,0),IF('01_Input'!$L$69="Palier",IF(AND(EJ$20&gt;='01_Input'!$J$69,EJ$20&lt;'01_Input'!$K$69),'01_Input'!$M$69,0),MAX(MIN(EJ$20,'01_Input'!$K$69)-'01_Input'!$J$69,0)*'01_Input'!$M$69))+IF('01_Input'!$P$69="Forfait",IF(EJ$20&gt;='01_Input'!$N$69,'01_Input'!$Q$69,0),IF('01_Input'!$P$69="Palier",IF(AND(EJ$20&gt;='01_Input'!$N$69,EJ$20&lt;'01_Input'!$O$69),'01_Input'!$Q$69,0),MAX(MIN(EJ$20,'01_Input'!$O$69)-'01_Input'!$N$69,0)*'01_Input'!$Q$69))+IF('01_Input'!$T$69="Forfait",IF(EJ$20&gt;='01_Input'!$R$69,'01_Input'!$U$69,0),IF('01_Input'!$T$69="Palier",IF(AND(EJ$20&gt;='01_Input'!$R$69,EJ$20&lt;'01_Input'!$S$69),'01_Input'!$U$69,0),MAX(MIN(EJ$20,'01_Input'!$S$69)-'01_Input'!$R$69,0)*'01_Input'!$U$69))+IF('01_Input'!$X$69="Forfait",IF(EJ$20&gt;='01_Input'!$V$69,'01_Input'!$Y$69,0),IF('01_Input'!$X$69="Palier",IF(AND(EJ$20&gt;='01_Input'!$V$69,EJ$20&lt;'01_Input'!$W$69),'01_Input'!$Y$69,0),MAX(MIN(EJ$20,'01_Input'!$W$69)-'01_Input'!$V$69,0)*'01_Input'!$Y$69))+IF('01_Input'!$AB$69="Forfait",IF(EJ$20&gt;='01_Input'!$Z$69,'01_Input'!$AC$69,0),IF('01_Input'!$AB$69="Palier",IF(AND(EJ$20&gt;='01_Input'!$Z$69,EJ$20&lt;'01_Input'!$AA$69),'01_Input'!$AC$69,0),MAX(MIN(EJ$20,'01_Input'!$AA$69)-'01_Input'!$Z$69,0)*'01_Input'!$AC$69)))))))))</f>
        <v>0</v>
      </c>
      <c r="EK37" s="25">
        <f>IF('01_Input'!$C$69="Non",0,MIN('01_Input'!$I$69,MAX('01_Input'!$H$69,IF('01_Input'!$G$69="Résiduel vs Gestion",0,IF('01_Input'!$G$69="Taux Classe sélectionnée",Distrib_Global_Classe_Selectionnee*EK$20,IF('01_Input'!$G$69="Frais KYC (paliers de 100M€)",MAX(0,Nb_Investisseurs-Nb_KYC_Gratuites_Par_Tranche*(FLOOR(EK$20/Taille_Tranche_KYC,1)+1))*Cout_Par_KYC_Supplementaire,(IF('01_Input'!$L$69="Forfait",IF(EK$20&gt;='01_Input'!$J$69,'01_Input'!$M$69,0),IF('01_Input'!$L$69="Palier",IF(AND(EK$20&gt;='01_Input'!$J$69,EK$20&lt;'01_Input'!$K$69),'01_Input'!$M$69,0),MAX(MIN(EK$20,'01_Input'!$K$69)-'01_Input'!$J$69,0)*'01_Input'!$M$69))+IF('01_Input'!$P$69="Forfait",IF(EK$20&gt;='01_Input'!$N$69,'01_Input'!$Q$69,0),IF('01_Input'!$P$69="Palier",IF(AND(EK$20&gt;='01_Input'!$N$69,EK$20&lt;'01_Input'!$O$69),'01_Input'!$Q$69,0),MAX(MIN(EK$20,'01_Input'!$O$69)-'01_Input'!$N$69,0)*'01_Input'!$Q$69))+IF('01_Input'!$T$69="Forfait",IF(EK$20&gt;='01_Input'!$R$69,'01_Input'!$U$69,0),IF('01_Input'!$T$69="Palier",IF(AND(EK$20&gt;='01_Input'!$R$69,EK$20&lt;'01_Input'!$S$69),'01_Input'!$U$69,0),MAX(MIN(EK$20,'01_Input'!$S$69)-'01_Input'!$R$69,0)*'01_Input'!$U$69))+IF('01_Input'!$X$69="Forfait",IF(EK$20&gt;='01_Input'!$V$69,'01_Input'!$Y$69,0),IF('01_Input'!$X$69="Palier",IF(AND(EK$20&gt;='01_Input'!$V$69,EK$20&lt;'01_Input'!$W$69),'01_Input'!$Y$69,0),MAX(MIN(EK$20,'01_Input'!$W$69)-'01_Input'!$V$69,0)*'01_Input'!$Y$69))+IF('01_Input'!$AB$69="Forfait",IF(EK$20&gt;='01_Input'!$Z$69,'01_Input'!$AC$69,0),IF('01_Input'!$AB$69="Palier",IF(AND(EK$20&gt;='01_Input'!$Z$69,EK$20&lt;'01_Input'!$AA$69),'01_Input'!$AC$69,0),MAX(MIN(EK$20,'01_Input'!$AA$69)-'01_Input'!$Z$69,0)*'01_Input'!$AC$69)))))))))</f>
        <v>0</v>
      </c>
      <c r="EL37" s="25">
        <f>IF('01_Input'!$C$69="Non",0,MIN('01_Input'!$I$69,MAX('01_Input'!$H$69,IF('01_Input'!$G$69="Résiduel vs Gestion",0,IF('01_Input'!$G$69="Taux Classe sélectionnée",Distrib_Global_Classe_Selectionnee*EL$20,IF('01_Input'!$G$69="Frais KYC (paliers de 100M€)",MAX(0,Nb_Investisseurs-Nb_KYC_Gratuites_Par_Tranche*(FLOOR(EL$20/Taille_Tranche_KYC,1)+1))*Cout_Par_KYC_Supplementaire,(IF('01_Input'!$L$69="Forfait",IF(EL$20&gt;='01_Input'!$J$69,'01_Input'!$M$69,0),IF('01_Input'!$L$69="Palier",IF(AND(EL$20&gt;='01_Input'!$J$69,EL$20&lt;'01_Input'!$K$69),'01_Input'!$M$69,0),MAX(MIN(EL$20,'01_Input'!$K$69)-'01_Input'!$J$69,0)*'01_Input'!$M$69))+IF('01_Input'!$P$69="Forfait",IF(EL$20&gt;='01_Input'!$N$69,'01_Input'!$Q$69,0),IF('01_Input'!$P$69="Palier",IF(AND(EL$20&gt;='01_Input'!$N$69,EL$20&lt;'01_Input'!$O$69),'01_Input'!$Q$69,0),MAX(MIN(EL$20,'01_Input'!$O$69)-'01_Input'!$N$69,0)*'01_Input'!$Q$69))+IF('01_Input'!$T$69="Forfait",IF(EL$20&gt;='01_Input'!$R$69,'01_Input'!$U$69,0),IF('01_Input'!$T$69="Palier",IF(AND(EL$20&gt;='01_Input'!$R$69,EL$20&lt;'01_Input'!$S$69),'01_Input'!$U$69,0),MAX(MIN(EL$20,'01_Input'!$S$69)-'01_Input'!$R$69,0)*'01_Input'!$U$69))+IF('01_Input'!$X$69="Forfait",IF(EL$20&gt;='01_Input'!$V$69,'01_Input'!$Y$69,0),IF('01_Input'!$X$69="Palier",IF(AND(EL$20&gt;='01_Input'!$V$69,EL$20&lt;'01_Input'!$W$69),'01_Input'!$Y$69,0),MAX(MIN(EL$20,'01_Input'!$W$69)-'01_Input'!$V$69,0)*'01_Input'!$Y$69))+IF('01_Input'!$AB$69="Forfait",IF(EL$20&gt;='01_Input'!$Z$69,'01_Input'!$AC$69,0),IF('01_Input'!$AB$69="Palier",IF(AND(EL$20&gt;='01_Input'!$Z$69,EL$20&lt;'01_Input'!$AA$69),'01_Input'!$AC$69,0),MAX(MIN(EL$20,'01_Input'!$AA$69)-'01_Input'!$Z$69,0)*'01_Input'!$AC$69)))))))))</f>
        <v>0</v>
      </c>
      <c r="EM37" s="25">
        <f>IF('01_Input'!$C$69="Non",0,MIN('01_Input'!$I$69,MAX('01_Input'!$H$69,IF('01_Input'!$G$69="Résiduel vs Gestion",0,IF('01_Input'!$G$69="Taux Classe sélectionnée",Distrib_Global_Classe_Selectionnee*EM$20,IF('01_Input'!$G$69="Frais KYC (paliers de 100M€)",MAX(0,Nb_Investisseurs-Nb_KYC_Gratuites_Par_Tranche*(FLOOR(EM$20/Taille_Tranche_KYC,1)+1))*Cout_Par_KYC_Supplementaire,(IF('01_Input'!$L$69="Forfait",IF(EM$20&gt;='01_Input'!$J$69,'01_Input'!$M$69,0),IF('01_Input'!$L$69="Palier",IF(AND(EM$20&gt;='01_Input'!$J$69,EM$20&lt;'01_Input'!$K$69),'01_Input'!$M$69,0),MAX(MIN(EM$20,'01_Input'!$K$69)-'01_Input'!$J$69,0)*'01_Input'!$M$69))+IF('01_Input'!$P$69="Forfait",IF(EM$20&gt;='01_Input'!$N$69,'01_Input'!$Q$69,0),IF('01_Input'!$P$69="Palier",IF(AND(EM$20&gt;='01_Input'!$N$69,EM$20&lt;'01_Input'!$O$69),'01_Input'!$Q$69,0),MAX(MIN(EM$20,'01_Input'!$O$69)-'01_Input'!$N$69,0)*'01_Input'!$Q$69))+IF('01_Input'!$T$69="Forfait",IF(EM$20&gt;='01_Input'!$R$69,'01_Input'!$U$69,0),IF('01_Input'!$T$69="Palier",IF(AND(EM$20&gt;='01_Input'!$R$69,EM$20&lt;'01_Input'!$S$69),'01_Input'!$U$69,0),MAX(MIN(EM$20,'01_Input'!$S$69)-'01_Input'!$R$69,0)*'01_Input'!$U$69))+IF('01_Input'!$X$69="Forfait",IF(EM$20&gt;='01_Input'!$V$69,'01_Input'!$Y$69,0),IF('01_Input'!$X$69="Palier",IF(AND(EM$20&gt;='01_Input'!$V$69,EM$20&lt;'01_Input'!$W$69),'01_Input'!$Y$69,0),MAX(MIN(EM$20,'01_Input'!$W$69)-'01_Input'!$V$69,0)*'01_Input'!$Y$69))+IF('01_Input'!$AB$69="Forfait",IF(EM$20&gt;='01_Input'!$Z$69,'01_Input'!$AC$69,0),IF('01_Input'!$AB$69="Palier",IF(AND(EM$20&gt;='01_Input'!$Z$69,EM$20&lt;'01_Input'!$AA$69),'01_Input'!$AC$69,0),MAX(MIN(EM$20,'01_Input'!$AA$69)-'01_Input'!$Z$69,0)*'01_Input'!$AC$69)))))))))</f>
        <v>0</v>
      </c>
      <c r="EN37" s="25">
        <f>IF('01_Input'!$C$69="Non",0,MIN('01_Input'!$I$69,MAX('01_Input'!$H$69,IF('01_Input'!$G$69="Résiduel vs Gestion",0,IF('01_Input'!$G$69="Taux Classe sélectionnée",Distrib_Global_Classe_Selectionnee*EN$20,IF('01_Input'!$G$69="Frais KYC (paliers de 100M€)",MAX(0,Nb_Investisseurs-Nb_KYC_Gratuites_Par_Tranche*(FLOOR(EN$20/Taille_Tranche_KYC,1)+1))*Cout_Par_KYC_Supplementaire,(IF('01_Input'!$L$69="Forfait",IF(EN$20&gt;='01_Input'!$J$69,'01_Input'!$M$69,0),IF('01_Input'!$L$69="Palier",IF(AND(EN$20&gt;='01_Input'!$J$69,EN$20&lt;'01_Input'!$K$69),'01_Input'!$M$69,0),MAX(MIN(EN$20,'01_Input'!$K$69)-'01_Input'!$J$69,0)*'01_Input'!$M$69))+IF('01_Input'!$P$69="Forfait",IF(EN$20&gt;='01_Input'!$N$69,'01_Input'!$Q$69,0),IF('01_Input'!$P$69="Palier",IF(AND(EN$20&gt;='01_Input'!$N$69,EN$20&lt;'01_Input'!$O$69),'01_Input'!$Q$69,0),MAX(MIN(EN$20,'01_Input'!$O$69)-'01_Input'!$N$69,0)*'01_Input'!$Q$69))+IF('01_Input'!$T$69="Forfait",IF(EN$20&gt;='01_Input'!$R$69,'01_Input'!$U$69,0),IF('01_Input'!$T$69="Palier",IF(AND(EN$20&gt;='01_Input'!$R$69,EN$20&lt;'01_Input'!$S$69),'01_Input'!$U$69,0),MAX(MIN(EN$20,'01_Input'!$S$69)-'01_Input'!$R$69,0)*'01_Input'!$U$69))+IF('01_Input'!$X$69="Forfait",IF(EN$20&gt;='01_Input'!$V$69,'01_Input'!$Y$69,0),IF('01_Input'!$X$69="Palier",IF(AND(EN$20&gt;='01_Input'!$V$69,EN$20&lt;'01_Input'!$W$69),'01_Input'!$Y$69,0),MAX(MIN(EN$20,'01_Input'!$W$69)-'01_Input'!$V$69,0)*'01_Input'!$Y$69))+IF('01_Input'!$AB$69="Forfait",IF(EN$20&gt;='01_Input'!$Z$69,'01_Input'!$AC$69,0),IF('01_Input'!$AB$69="Palier",IF(AND(EN$20&gt;='01_Input'!$Z$69,EN$20&lt;'01_Input'!$AA$69),'01_Input'!$AC$69,0),MAX(MIN(EN$20,'01_Input'!$AA$69)-'01_Input'!$Z$69,0)*'01_Input'!$AC$69)))))))))</f>
        <v>0</v>
      </c>
      <c r="EO37" s="25">
        <f>IF('01_Input'!$C$69="Non",0,MIN('01_Input'!$I$69,MAX('01_Input'!$H$69,IF('01_Input'!$G$69="Résiduel vs Gestion",0,IF('01_Input'!$G$69="Taux Classe sélectionnée",Distrib_Global_Classe_Selectionnee*EO$20,IF('01_Input'!$G$69="Frais KYC (paliers de 100M€)",MAX(0,Nb_Investisseurs-Nb_KYC_Gratuites_Par_Tranche*(FLOOR(EO$20/Taille_Tranche_KYC,1)+1))*Cout_Par_KYC_Supplementaire,(IF('01_Input'!$L$69="Forfait",IF(EO$20&gt;='01_Input'!$J$69,'01_Input'!$M$69,0),IF('01_Input'!$L$69="Palier",IF(AND(EO$20&gt;='01_Input'!$J$69,EO$20&lt;'01_Input'!$K$69),'01_Input'!$M$69,0),MAX(MIN(EO$20,'01_Input'!$K$69)-'01_Input'!$J$69,0)*'01_Input'!$M$69))+IF('01_Input'!$P$69="Forfait",IF(EO$20&gt;='01_Input'!$N$69,'01_Input'!$Q$69,0),IF('01_Input'!$P$69="Palier",IF(AND(EO$20&gt;='01_Input'!$N$69,EO$20&lt;'01_Input'!$O$69),'01_Input'!$Q$69,0),MAX(MIN(EO$20,'01_Input'!$O$69)-'01_Input'!$N$69,0)*'01_Input'!$Q$69))+IF('01_Input'!$T$69="Forfait",IF(EO$20&gt;='01_Input'!$R$69,'01_Input'!$U$69,0),IF('01_Input'!$T$69="Palier",IF(AND(EO$20&gt;='01_Input'!$R$69,EO$20&lt;'01_Input'!$S$69),'01_Input'!$U$69,0),MAX(MIN(EO$20,'01_Input'!$S$69)-'01_Input'!$R$69,0)*'01_Input'!$U$69))+IF('01_Input'!$X$69="Forfait",IF(EO$20&gt;='01_Input'!$V$69,'01_Input'!$Y$69,0),IF('01_Input'!$X$69="Palier",IF(AND(EO$20&gt;='01_Input'!$V$69,EO$20&lt;'01_Input'!$W$69),'01_Input'!$Y$69,0),MAX(MIN(EO$20,'01_Input'!$W$69)-'01_Input'!$V$69,0)*'01_Input'!$Y$69))+IF('01_Input'!$AB$69="Forfait",IF(EO$20&gt;='01_Input'!$Z$69,'01_Input'!$AC$69,0),IF('01_Input'!$AB$69="Palier",IF(AND(EO$20&gt;='01_Input'!$Z$69,EO$20&lt;'01_Input'!$AA$69),'01_Input'!$AC$69,0),MAX(MIN(EO$20,'01_Input'!$AA$69)-'01_Input'!$Z$69,0)*'01_Input'!$AC$69)))))))))</f>
        <v>0</v>
      </c>
      <c r="EP37" s="25">
        <f>IF('01_Input'!$C$69="Non",0,MIN('01_Input'!$I$69,MAX('01_Input'!$H$69,IF('01_Input'!$G$69="Résiduel vs Gestion",0,IF('01_Input'!$G$69="Taux Classe sélectionnée",Distrib_Global_Classe_Selectionnee*EP$20,IF('01_Input'!$G$69="Frais KYC (paliers de 100M€)",MAX(0,Nb_Investisseurs-Nb_KYC_Gratuites_Par_Tranche*(FLOOR(EP$20/Taille_Tranche_KYC,1)+1))*Cout_Par_KYC_Supplementaire,(IF('01_Input'!$L$69="Forfait",IF(EP$20&gt;='01_Input'!$J$69,'01_Input'!$M$69,0),IF('01_Input'!$L$69="Palier",IF(AND(EP$20&gt;='01_Input'!$J$69,EP$20&lt;'01_Input'!$K$69),'01_Input'!$M$69,0),MAX(MIN(EP$20,'01_Input'!$K$69)-'01_Input'!$J$69,0)*'01_Input'!$M$69))+IF('01_Input'!$P$69="Forfait",IF(EP$20&gt;='01_Input'!$N$69,'01_Input'!$Q$69,0),IF('01_Input'!$P$69="Palier",IF(AND(EP$20&gt;='01_Input'!$N$69,EP$20&lt;'01_Input'!$O$69),'01_Input'!$Q$69,0),MAX(MIN(EP$20,'01_Input'!$O$69)-'01_Input'!$N$69,0)*'01_Input'!$Q$69))+IF('01_Input'!$T$69="Forfait",IF(EP$20&gt;='01_Input'!$R$69,'01_Input'!$U$69,0),IF('01_Input'!$T$69="Palier",IF(AND(EP$20&gt;='01_Input'!$R$69,EP$20&lt;'01_Input'!$S$69),'01_Input'!$U$69,0),MAX(MIN(EP$20,'01_Input'!$S$69)-'01_Input'!$R$69,0)*'01_Input'!$U$69))+IF('01_Input'!$X$69="Forfait",IF(EP$20&gt;='01_Input'!$V$69,'01_Input'!$Y$69,0),IF('01_Input'!$X$69="Palier",IF(AND(EP$20&gt;='01_Input'!$V$69,EP$20&lt;'01_Input'!$W$69),'01_Input'!$Y$69,0),MAX(MIN(EP$20,'01_Input'!$W$69)-'01_Input'!$V$69,0)*'01_Input'!$Y$69))+IF('01_Input'!$AB$69="Forfait",IF(EP$20&gt;='01_Input'!$Z$69,'01_Input'!$AC$69,0),IF('01_Input'!$AB$69="Palier",IF(AND(EP$20&gt;='01_Input'!$Z$69,EP$20&lt;'01_Input'!$AA$69),'01_Input'!$AC$69,0),MAX(MIN(EP$20,'01_Input'!$AA$69)-'01_Input'!$Z$69,0)*'01_Input'!$AC$69)))))))))</f>
        <v>0</v>
      </c>
      <c r="EQ37" s="25">
        <f>IF('01_Input'!$C$69="Non",0,MIN('01_Input'!$I$69,MAX('01_Input'!$H$69,IF('01_Input'!$G$69="Résiduel vs Gestion",0,IF('01_Input'!$G$69="Taux Classe sélectionnée",Distrib_Global_Classe_Selectionnee*EQ$20,IF('01_Input'!$G$69="Frais KYC (paliers de 100M€)",MAX(0,Nb_Investisseurs-Nb_KYC_Gratuites_Par_Tranche*(FLOOR(EQ$20/Taille_Tranche_KYC,1)+1))*Cout_Par_KYC_Supplementaire,(IF('01_Input'!$L$69="Forfait",IF(EQ$20&gt;='01_Input'!$J$69,'01_Input'!$M$69,0),IF('01_Input'!$L$69="Palier",IF(AND(EQ$20&gt;='01_Input'!$J$69,EQ$20&lt;'01_Input'!$K$69),'01_Input'!$M$69,0),MAX(MIN(EQ$20,'01_Input'!$K$69)-'01_Input'!$J$69,0)*'01_Input'!$M$69))+IF('01_Input'!$P$69="Forfait",IF(EQ$20&gt;='01_Input'!$N$69,'01_Input'!$Q$69,0),IF('01_Input'!$P$69="Palier",IF(AND(EQ$20&gt;='01_Input'!$N$69,EQ$20&lt;'01_Input'!$O$69),'01_Input'!$Q$69,0),MAX(MIN(EQ$20,'01_Input'!$O$69)-'01_Input'!$N$69,0)*'01_Input'!$Q$69))+IF('01_Input'!$T$69="Forfait",IF(EQ$20&gt;='01_Input'!$R$69,'01_Input'!$U$69,0),IF('01_Input'!$T$69="Palier",IF(AND(EQ$20&gt;='01_Input'!$R$69,EQ$20&lt;'01_Input'!$S$69),'01_Input'!$U$69,0),MAX(MIN(EQ$20,'01_Input'!$S$69)-'01_Input'!$R$69,0)*'01_Input'!$U$69))+IF('01_Input'!$X$69="Forfait",IF(EQ$20&gt;='01_Input'!$V$69,'01_Input'!$Y$69,0),IF('01_Input'!$X$69="Palier",IF(AND(EQ$20&gt;='01_Input'!$V$69,EQ$20&lt;'01_Input'!$W$69),'01_Input'!$Y$69,0),MAX(MIN(EQ$20,'01_Input'!$W$69)-'01_Input'!$V$69,0)*'01_Input'!$Y$69))+IF('01_Input'!$AB$69="Forfait",IF(EQ$20&gt;='01_Input'!$Z$69,'01_Input'!$AC$69,0),IF('01_Input'!$AB$69="Palier",IF(AND(EQ$20&gt;='01_Input'!$Z$69,EQ$20&lt;'01_Input'!$AA$69),'01_Input'!$AC$69,0),MAX(MIN(EQ$20,'01_Input'!$AA$69)-'01_Input'!$Z$69,0)*'01_Input'!$AC$69)))))))))</f>
        <v>0</v>
      </c>
      <c r="ER37" s="25">
        <f>IF('01_Input'!$C$69="Non",0,MIN('01_Input'!$I$69,MAX('01_Input'!$H$69,IF('01_Input'!$G$69="Résiduel vs Gestion",0,IF('01_Input'!$G$69="Taux Classe sélectionnée",Distrib_Global_Classe_Selectionnee*ER$20,IF('01_Input'!$G$69="Frais KYC (paliers de 100M€)",MAX(0,Nb_Investisseurs-Nb_KYC_Gratuites_Par_Tranche*(FLOOR(ER$20/Taille_Tranche_KYC,1)+1))*Cout_Par_KYC_Supplementaire,(IF('01_Input'!$L$69="Forfait",IF(ER$20&gt;='01_Input'!$J$69,'01_Input'!$M$69,0),IF('01_Input'!$L$69="Palier",IF(AND(ER$20&gt;='01_Input'!$J$69,ER$20&lt;'01_Input'!$K$69),'01_Input'!$M$69,0),MAX(MIN(ER$20,'01_Input'!$K$69)-'01_Input'!$J$69,0)*'01_Input'!$M$69))+IF('01_Input'!$P$69="Forfait",IF(ER$20&gt;='01_Input'!$N$69,'01_Input'!$Q$69,0),IF('01_Input'!$P$69="Palier",IF(AND(ER$20&gt;='01_Input'!$N$69,ER$20&lt;'01_Input'!$O$69),'01_Input'!$Q$69,0),MAX(MIN(ER$20,'01_Input'!$O$69)-'01_Input'!$N$69,0)*'01_Input'!$Q$69))+IF('01_Input'!$T$69="Forfait",IF(ER$20&gt;='01_Input'!$R$69,'01_Input'!$U$69,0),IF('01_Input'!$T$69="Palier",IF(AND(ER$20&gt;='01_Input'!$R$69,ER$20&lt;'01_Input'!$S$69),'01_Input'!$U$69,0),MAX(MIN(ER$20,'01_Input'!$S$69)-'01_Input'!$R$69,0)*'01_Input'!$U$69))+IF('01_Input'!$X$69="Forfait",IF(ER$20&gt;='01_Input'!$V$69,'01_Input'!$Y$69,0),IF('01_Input'!$X$69="Palier",IF(AND(ER$20&gt;='01_Input'!$V$69,ER$20&lt;'01_Input'!$W$69),'01_Input'!$Y$69,0),MAX(MIN(ER$20,'01_Input'!$W$69)-'01_Input'!$V$69,0)*'01_Input'!$Y$69))+IF('01_Input'!$AB$69="Forfait",IF(ER$20&gt;='01_Input'!$Z$69,'01_Input'!$AC$69,0),IF('01_Input'!$AB$69="Palier",IF(AND(ER$20&gt;='01_Input'!$Z$69,ER$20&lt;'01_Input'!$AA$69),'01_Input'!$AC$69,0),MAX(MIN(ER$20,'01_Input'!$AA$69)-'01_Input'!$Z$69,0)*'01_Input'!$AC$69)))))))))</f>
        <v>0</v>
      </c>
      <c r="ES37" s="25">
        <f>IF('01_Input'!$C$69="Non",0,MIN('01_Input'!$I$69,MAX('01_Input'!$H$69,IF('01_Input'!$G$69="Résiduel vs Gestion",0,IF('01_Input'!$G$69="Taux Classe sélectionnée",Distrib_Global_Classe_Selectionnee*ES$20,IF('01_Input'!$G$69="Frais KYC (paliers de 100M€)",MAX(0,Nb_Investisseurs-Nb_KYC_Gratuites_Par_Tranche*(FLOOR(ES$20/Taille_Tranche_KYC,1)+1))*Cout_Par_KYC_Supplementaire,(IF('01_Input'!$L$69="Forfait",IF(ES$20&gt;='01_Input'!$J$69,'01_Input'!$M$69,0),IF('01_Input'!$L$69="Palier",IF(AND(ES$20&gt;='01_Input'!$J$69,ES$20&lt;'01_Input'!$K$69),'01_Input'!$M$69,0),MAX(MIN(ES$20,'01_Input'!$K$69)-'01_Input'!$J$69,0)*'01_Input'!$M$69))+IF('01_Input'!$P$69="Forfait",IF(ES$20&gt;='01_Input'!$N$69,'01_Input'!$Q$69,0),IF('01_Input'!$P$69="Palier",IF(AND(ES$20&gt;='01_Input'!$N$69,ES$20&lt;'01_Input'!$O$69),'01_Input'!$Q$69,0),MAX(MIN(ES$20,'01_Input'!$O$69)-'01_Input'!$N$69,0)*'01_Input'!$Q$69))+IF('01_Input'!$T$69="Forfait",IF(ES$20&gt;='01_Input'!$R$69,'01_Input'!$U$69,0),IF('01_Input'!$T$69="Palier",IF(AND(ES$20&gt;='01_Input'!$R$69,ES$20&lt;'01_Input'!$S$69),'01_Input'!$U$69,0),MAX(MIN(ES$20,'01_Input'!$S$69)-'01_Input'!$R$69,0)*'01_Input'!$U$69))+IF('01_Input'!$X$69="Forfait",IF(ES$20&gt;='01_Input'!$V$69,'01_Input'!$Y$69,0),IF('01_Input'!$X$69="Palier",IF(AND(ES$20&gt;='01_Input'!$V$69,ES$20&lt;'01_Input'!$W$69),'01_Input'!$Y$69,0),MAX(MIN(ES$20,'01_Input'!$W$69)-'01_Input'!$V$69,0)*'01_Input'!$Y$69))+IF('01_Input'!$AB$69="Forfait",IF(ES$20&gt;='01_Input'!$Z$69,'01_Input'!$AC$69,0),IF('01_Input'!$AB$69="Palier",IF(AND(ES$20&gt;='01_Input'!$Z$69,ES$20&lt;'01_Input'!$AA$69),'01_Input'!$AC$69,0),MAX(MIN(ES$20,'01_Input'!$AA$69)-'01_Input'!$Z$69,0)*'01_Input'!$AC$69)))))))))</f>
        <v>0</v>
      </c>
      <c r="ET37" s="25">
        <f>IF('01_Input'!$C$69="Non",0,MIN('01_Input'!$I$69,MAX('01_Input'!$H$69,IF('01_Input'!$G$69="Résiduel vs Gestion",0,IF('01_Input'!$G$69="Taux Classe sélectionnée",Distrib_Global_Classe_Selectionnee*ET$20,IF('01_Input'!$G$69="Frais KYC (paliers de 100M€)",MAX(0,Nb_Investisseurs-Nb_KYC_Gratuites_Par_Tranche*(FLOOR(ET$20/Taille_Tranche_KYC,1)+1))*Cout_Par_KYC_Supplementaire,(IF('01_Input'!$L$69="Forfait",IF(ET$20&gt;='01_Input'!$J$69,'01_Input'!$M$69,0),IF('01_Input'!$L$69="Palier",IF(AND(ET$20&gt;='01_Input'!$J$69,ET$20&lt;'01_Input'!$K$69),'01_Input'!$M$69,0),MAX(MIN(ET$20,'01_Input'!$K$69)-'01_Input'!$J$69,0)*'01_Input'!$M$69))+IF('01_Input'!$P$69="Forfait",IF(ET$20&gt;='01_Input'!$N$69,'01_Input'!$Q$69,0),IF('01_Input'!$P$69="Palier",IF(AND(ET$20&gt;='01_Input'!$N$69,ET$20&lt;'01_Input'!$O$69),'01_Input'!$Q$69,0),MAX(MIN(ET$20,'01_Input'!$O$69)-'01_Input'!$N$69,0)*'01_Input'!$Q$69))+IF('01_Input'!$T$69="Forfait",IF(ET$20&gt;='01_Input'!$R$69,'01_Input'!$U$69,0),IF('01_Input'!$T$69="Palier",IF(AND(ET$20&gt;='01_Input'!$R$69,ET$20&lt;'01_Input'!$S$69),'01_Input'!$U$69,0),MAX(MIN(ET$20,'01_Input'!$S$69)-'01_Input'!$R$69,0)*'01_Input'!$U$69))+IF('01_Input'!$X$69="Forfait",IF(ET$20&gt;='01_Input'!$V$69,'01_Input'!$Y$69,0),IF('01_Input'!$X$69="Palier",IF(AND(ET$20&gt;='01_Input'!$V$69,ET$20&lt;'01_Input'!$W$69),'01_Input'!$Y$69,0),MAX(MIN(ET$20,'01_Input'!$W$69)-'01_Input'!$V$69,0)*'01_Input'!$Y$69))+IF('01_Input'!$AB$69="Forfait",IF(ET$20&gt;='01_Input'!$Z$69,'01_Input'!$AC$69,0),IF('01_Input'!$AB$69="Palier",IF(AND(ET$20&gt;='01_Input'!$Z$69,ET$20&lt;'01_Input'!$AA$69),'01_Input'!$AC$69,0),MAX(MIN(ET$20,'01_Input'!$AA$69)-'01_Input'!$Z$69,0)*'01_Input'!$AC$69)))))))))</f>
        <v>0</v>
      </c>
      <c r="EU37" s="25">
        <f>IF('01_Input'!$C$69="Non",0,MIN('01_Input'!$I$69,MAX('01_Input'!$H$69,IF('01_Input'!$G$69="Résiduel vs Gestion",0,IF('01_Input'!$G$69="Taux Classe sélectionnée",Distrib_Global_Classe_Selectionnee*EU$20,IF('01_Input'!$G$69="Frais KYC (paliers de 100M€)",MAX(0,Nb_Investisseurs-Nb_KYC_Gratuites_Par_Tranche*(FLOOR(EU$20/Taille_Tranche_KYC,1)+1))*Cout_Par_KYC_Supplementaire,(IF('01_Input'!$L$69="Forfait",IF(EU$20&gt;='01_Input'!$J$69,'01_Input'!$M$69,0),IF('01_Input'!$L$69="Palier",IF(AND(EU$20&gt;='01_Input'!$J$69,EU$20&lt;'01_Input'!$K$69),'01_Input'!$M$69,0),MAX(MIN(EU$20,'01_Input'!$K$69)-'01_Input'!$J$69,0)*'01_Input'!$M$69))+IF('01_Input'!$P$69="Forfait",IF(EU$20&gt;='01_Input'!$N$69,'01_Input'!$Q$69,0),IF('01_Input'!$P$69="Palier",IF(AND(EU$20&gt;='01_Input'!$N$69,EU$20&lt;'01_Input'!$O$69),'01_Input'!$Q$69,0),MAX(MIN(EU$20,'01_Input'!$O$69)-'01_Input'!$N$69,0)*'01_Input'!$Q$69))+IF('01_Input'!$T$69="Forfait",IF(EU$20&gt;='01_Input'!$R$69,'01_Input'!$U$69,0),IF('01_Input'!$T$69="Palier",IF(AND(EU$20&gt;='01_Input'!$R$69,EU$20&lt;'01_Input'!$S$69),'01_Input'!$U$69,0),MAX(MIN(EU$20,'01_Input'!$S$69)-'01_Input'!$R$69,0)*'01_Input'!$U$69))+IF('01_Input'!$X$69="Forfait",IF(EU$20&gt;='01_Input'!$V$69,'01_Input'!$Y$69,0),IF('01_Input'!$X$69="Palier",IF(AND(EU$20&gt;='01_Input'!$V$69,EU$20&lt;'01_Input'!$W$69),'01_Input'!$Y$69,0),MAX(MIN(EU$20,'01_Input'!$W$69)-'01_Input'!$V$69,0)*'01_Input'!$Y$69))+IF('01_Input'!$AB$69="Forfait",IF(EU$20&gt;='01_Input'!$Z$69,'01_Input'!$AC$69,0),IF('01_Input'!$AB$69="Palier",IF(AND(EU$20&gt;='01_Input'!$Z$69,EU$20&lt;'01_Input'!$AA$69),'01_Input'!$AC$69,0),MAX(MIN(EU$20,'01_Input'!$AA$69)-'01_Input'!$Z$69,0)*'01_Input'!$AC$69)))))))))</f>
        <v>0</v>
      </c>
      <c r="EV37" s="25">
        <f>IF('01_Input'!$C$69="Non",0,MIN('01_Input'!$I$69,MAX('01_Input'!$H$69,IF('01_Input'!$G$69="Résiduel vs Gestion",0,IF('01_Input'!$G$69="Taux Classe sélectionnée",Distrib_Global_Classe_Selectionnee*EV$20,IF('01_Input'!$G$69="Frais KYC (paliers de 100M€)",MAX(0,Nb_Investisseurs-Nb_KYC_Gratuites_Par_Tranche*(FLOOR(EV$20/Taille_Tranche_KYC,1)+1))*Cout_Par_KYC_Supplementaire,(IF('01_Input'!$L$69="Forfait",IF(EV$20&gt;='01_Input'!$J$69,'01_Input'!$M$69,0),IF('01_Input'!$L$69="Palier",IF(AND(EV$20&gt;='01_Input'!$J$69,EV$20&lt;'01_Input'!$K$69),'01_Input'!$M$69,0),MAX(MIN(EV$20,'01_Input'!$K$69)-'01_Input'!$J$69,0)*'01_Input'!$M$69))+IF('01_Input'!$P$69="Forfait",IF(EV$20&gt;='01_Input'!$N$69,'01_Input'!$Q$69,0),IF('01_Input'!$P$69="Palier",IF(AND(EV$20&gt;='01_Input'!$N$69,EV$20&lt;'01_Input'!$O$69),'01_Input'!$Q$69,0),MAX(MIN(EV$20,'01_Input'!$O$69)-'01_Input'!$N$69,0)*'01_Input'!$Q$69))+IF('01_Input'!$T$69="Forfait",IF(EV$20&gt;='01_Input'!$R$69,'01_Input'!$U$69,0),IF('01_Input'!$T$69="Palier",IF(AND(EV$20&gt;='01_Input'!$R$69,EV$20&lt;'01_Input'!$S$69),'01_Input'!$U$69,0),MAX(MIN(EV$20,'01_Input'!$S$69)-'01_Input'!$R$69,0)*'01_Input'!$U$69))+IF('01_Input'!$X$69="Forfait",IF(EV$20&gt;='01_Input'!$V$69,'01_Input'!$Y$69,0),IF('01_Input'!$X$69="Palier",IF(AND(EV$20&gt;='01_Input'!$V$69,EV$20&lt;'01_Input'!$W$69),'01_Input'!$Y$69,0),MAX(MIN(EV$20,'01_Input'!$W$69)-'01_Input'!$V$69,0)*'01_Input'!$Y$69))+IF('01_Input'!$AB$69="Forfait",IF(EV$20&gt;='01_Input'!$Z$69,'01_Input'!$AC$69,0),IF('01_Input'!$AB$69="Palier",IF(AND(EV$20&gt;='01_Input'!$Z$69,EV$20&lt;'01_Input'!$AA$69),'01_Input'!$AC$69,0),MAX(MIN(EV$20,'01_Input'!$AA$69)-'01_Input'!$Z$69,0)*'01_Input'!$AC$69)))))))))</f>
        <v>0</v>
      </c>
      <c r="EW37" s="25">
        <f>IF('01_Input'!$C$69="Non",0,MIN('01_Input'!$I$69,MAX('01_Input'!$H$69,IF('01_Input'!$G$69="Résiduel vs Gestion",0,IF('01_Input'!$G$69="Taux Classe sélectionnée",Distrib_Global_Classe_Selectionnee*EW$20,IF('01_Input'!$G$69="Frais KYC (paliers de 100M€)",MAX(0,Nb_Investisseurs-Nb_KYC_Gratuites_Par_Tranche*(FLOOR(EW$20/Taille_Tranche_KYC,1)+1))*Cout_Par_KYC_Supplementaire,(IF('01_Input'!$L$69="Forfait",IF(EW$20&gt;='01_Input'!$J$69,'01_Input'!$M$69,0),IF('01_Input'!$L$69="Palier",IF(AND(EW$20&gt;='01_Input'!$J$69,EW$20&lt;'01_Input'!$K$69),'01_Input'!$M$69,0),MAX(MIN(EW$20,'01_Input'!$K$69)-'01_Input'!$J$69,0)*'01_Input'!$M$69))+IF('01_Input'!$P$69="Forfait",IF(EW$20&gt;='01_Input'!$N$69,'01_Input'!$Q$69,0),IF('01_Input'!$P$69="Palier",IF(AND(EW$20&gt;='01_Input'!$N$69,EW$20&lt;'01_Input'!$O$69),'01_Input'!$Q$69,0),MAX(MIN(EW$20,'01_Input'!$O$69)-'01_Input'!$N$69,0)*'01_Input'!$Q$69))+IF('01_Input'!$T$69="Forfait",IF(EW$20&gt;='01_Input'!$R$69,'01_Input'!$U$69,0),IF('01_Input'!$T$69="Palier",IF(AND(EW$20&gt;='01_Input'!$R$69,EW$20&lt;'01_Input'!$S$69),'01_Input'!$U$69,0),MAX(MIN(EW$20,'01_Input'!$S$69)-'01_Input'!$R$69,0)*'01_Input'!$U$69))+IF('01_Input'!$X$69="Forfait",IF(EW$20&gt;='01_Input'!$V$69,'01_Input'!$Y$69,0),IF('01_Input'!$X$69="Palier",IF(AND(EW$20&gt;='01_Input'!$V$69,EW$20&lt;'01_Input'!$W$69),'01_Input'!$Y$69,0),MAX(MIN(EW$20,'01_Input'!$W$69)-'01_Input'!$V$69,0)*'01_Input'!$Y$69))+IF('01_Input'!$AB$69="Forfait",IF(EW$20&gt;='01_Input'!$Z$69,'01_Input'!$AC$69,0),IF('01_Input'!$AB$69="Palier",IF(AND(EW$20&gt;='01_Input'!$Z$69,EW$20&lt;'01_Input'!$AA$69),'01_Input'!$AC$69,0),MAX(MIN(EW$20,'01_Input'!$AA$69)-'01_Input'!$Z$69,0)*'01_Input'!$AC$69)))))))))</f>
        <v>0</v>
      </c>
      <c r="EX37" s="25">
        <f>IF('01_Input'!$C$69="Non",0,MIN('01_Input'!$I$69,MAX('01_Input'!$H$69,IF('01_Input'!$G$69="Résiduel vs Gestion",0,IF('01_Input'!$G$69="Taux Classe sélectionnée",Distrib_Global_Classe_Selectionnee*EX$20,IF('01_Input'!$G$69="Frais KYC (paliers de 100M€)",MAX(0,Nb_Investisseurs-Nb_KYC_Gratuites_Par_Tranche*(FLOOR(EX$20/Taille_Tranche_KYC,1)+1))*Cout_Par_KYC_Supplementaire,(IF('01_Input'!$L$69="Forfait",IF(EX$20&gt;='01_Input'!$J$69,'01_Input'!$M$69,0),IF('01_Input'!$L$69="Palier",IF(AND(EX$20&gt;='01_Input'!$J$69,EX$20&lt;'01_Input'!$K$69),'01_Input'!$M$69,0),MAX(MIN(EX$20,'01_Input'!$K$69)-'01_Input'!$J$69,0)*'01_Input'!$M$69))+IF('01_Input'!$P$69="Forfait",IF(EX$20&gt;='01_Input'!$N$69,'01_Input'!$Q$69,0),IF('01_Input'!$P$69="Palier",IF(AND(EX$20&gt;='01_Input'!$N$69,EX$20&lt;'01_Input'!$O$69),'01_Input'!$Q$69,0),MAX(MIN(EX$20,'01_Input'!$O$69)-'01_Input'!$N$69,0)*'01_Input'!$Q$69))+IF('01_Input'!$T$69="Forfait",IF(EX$20&gt;='01_Input'!$R$69,'01_Input'!$U$69,0),IF('01_Input'!$T$69="Palier",IF(AND(EX$20&gt;='01_Input'!$R$69,EX$20&lt;'01_Input'!$S$69),'01_Input'!$U$69,0),MAX(MIN(EX$20,'01_Input'!$S$69)-'01_Input'!$R$69,0)*'01_Input'!$U$69))+IF('01_Input'!$X$69="Forfait",IF(EX$20&gt;='01_Input'!$V$69,'01_Input'!$Y$69,0),IF('01_Input'!$X$69="Palier",IF(AND(EX$20&gt;='01_Input'!$V$69,EX$20&lt;'01_Input'!$W$69),'01_Input'!$Y$69,0),MAX(MIN(EX$20,'01_Input'!$W$69)-'01_Input'!$V$69,0)*'01_Input'!$Y$69))+IF('01_Input'!$AB$69="Forfait",IF(EX$20&gt;='01_Input'!$Z$69,'01_Input'!$AC$69,0),IF('01_Input'!$AB$69="Palier",IF(AND(EX$20&gt;='01_Input'!$Z$69,EX$20&lt;'01_Input'!$AA$69),'01_Input'!$AC$69,0),MAX(MIN(EX$20,'01_Input'!$AA$69)-'01_Input'!$Z$69,0)*'01_Input'!$AC$69)))))))))</f>
        <v>0</v>
      </c>
    </row>
    <row r="38" ht="15.75" customHeight="1">
      <c r="B38" s="68" t="str">
        <f>IF('01_Input'!D70="","(inactif)",'01_Input'!D70)</f>
        <v>(inactif)</v>
      </c>
      <c r="C38" s="68" t="str">
        <f>IF('01_Input'!E70="","",'01_Input'!E70)</f>
        <v/>
      </c>
      <c r="D38" s="86" t="str">
        <f>'01_Input'!C70</f>
        <v>Non</v>
      </c>
      <c r="E38" s="83">
        <f>IF('01_Input'!$C$70="Non",0,MIN('01_Input'!$I$70,MAX('01_Input'!$H$70,IF('01_Input'!$G$70="Résiduel vs Gestion",0,IF('01_Input'!$G$70="Taux Classe sélectionnée",Distrib_Global_Classe_Selectionnee*E$20,IF('01_Input'!$G$70="Frais KYC (paliers de 100M€)",MAX(0,Nb_Investisseurs-Nb_KYC_Gratuites_Par_Tranche*(FLOOR(E$20/Taille_Tranche_KYC,1)+1))*Cout_Par_KYC_Supplementaire,(IF('01_Input'!$L$70="Forfait",IF(E$20&gt;='01_Input'!$J$70,'01_Input'!$M$70,0),IF('01_Input'!$L$70="Palier",IF(AND(E$20&gt;='01_Input'!$J$70,E$20&lt;'01_Input'!$K$70),'01_Input'!$M$70,0),MAX(MIN(E$20,'01_Input'!$K$70)-'01_Input'!$J$70,0)*'01_Input'!$M$70))+IF('01_Input'!$P$70="Forfait",IF(E$20&gt;='01_Input'!$N$70,'01_Input'!$Q$70,0),IF('01_Input'!$P$70="Palier",IF(AND(E$20&gt;='01_Input'!$N$70,E$20&lt;'01_Input'!$O$70),'01_Input'!$Q$70,0),MAX(MIN(E$20,'01_Input'!$O$70)-'01_Input'!$N$70,0)*'01_Input'!$Q$70))+IF('01_Input'!$T$70="Forfait",IF(E$20&gt;='01_Input'!$R$70,'01_Input'!$U$70,0),IF('01_Input'!$T$70="Palier",IF(AND(E$20&gt;='01_Input'!$R$70,E$20&lt;'01_Input'!$S$70),'01_Input'!$U$70,0),MAX(MIN(E$20,'01_Input'!$S$70)-'01_Input'!$R$70,0)*'01_Input'!$U$70))+IF('01_Input'!$X$70="Forfait",IF(E$20&gt;='01_Input'!$V$70,'01_Input'!$Y$70,0),IF('01_Input'!$X$70="Palier",IF(AND(E$20&gt;='01_Input'!$V$70,E$20&lt;'01_Input'!$W$70),'01_Input'!$Y$70,0),MAX(MIN(E$20,'01_Input'!$W$70)-'01_Input'!$V$70,0)*'01_Input'!$Y$70))+IF('01_Input'!$AB$70="Forfait",IF(E$20&gt;='01_Input'!$Z$70,'01_Input'!$AC$70,0),IF('01_Input'!$AB$70="Palier",IF(AND(E$20&gt;='01_Input'!$Z$70,E$20&lt;'01_Input'!$AA$70),'01_Input'!$AC$70,0),MAX(MIN(E$20,'01_Input'!$AA$70)-'01_Input'!$Z$70,0)*'01_Input'!$AC$70)))))))))</f>
        <v>0</v>
      </c>
      <c r="F38" s="83">
        <f>IF('01_Input'!$C$70="Non",0,MIN('01_Input'!$I$70,MAX('01_Input'!$H$70,IF('01_Input'!$G$70="Résiduel vs Gestion",0,IF('01_Input'!$G$70="Taux Classe sélectionnée",Distrib_Global_Classe_Selectionnee*F$20,IF('01_Input'!$G$70="Frais KYC (paliers de 100M€)",MAX(0,Nb_Investisseurs-Nb_KYC_Gratuites_Par_Tranche*(FLOOR(F$20/Taille_Tranche_KYC,1)+1))*Cout_Par_KYC_Supplementaire,(IF('01_Input'!$L$70="Forfait",IF(F$20&gt;='01_Input'!$J$70,'01_Input'!$M$70,0),IF('01_Input'!$L$70="Palier",IF(AND(F$20&gt;='01_Input'!$J$70,F$20&lt;'01_Input'!$K$70),'01_Input'!$M$70,0),MAX(MIN(F$20,'01_Input'!$K$70)-'01_Input'!$J$70,0)*'01_Input'!$M$70))+IF('01_Input'!$P$70="Forfait",IF(F$20&gt;='01_Input'!$N$70,'01_Input'!$Q$70,0),IF('01_Input'!$P$70="Palier",IF(AND(F$20&gt;='01_Input'!$N$70,F$20&lt;'01_Input'!$O$70),'01_Input'!$Q$70,0),MAX(MIN(F$20,'01_Input'!$O$70)-'01_Input'!$N$70,0)*'01_Input'!$Q$70))+IF('01_Input'!$T$70="Forfait",IF(F$20&gt;='01_Input'!$R$70,'01_Input'!$U$70,0),IF('01_Input'!$T$70="Palier",IF(AND(F$20&gt;='01_Input'!$R$70,F$20&lt;'01_Input'!$S$70),'01_Input'!$U$70,0),MAX(MIN(F$20,'01_Input'!$S$70)-'01_Input'!$R$70,0)*'01_Input'!$U$70))+IF('01_Input'!$X$70="Forfait",IF(F$20&gt;='01_Input'!$V$70,'01_Input'!$Y$70,0),IF('01_Input'!$X$70="Palier",IF(AND(F$20&gt;='01_Input'!$V$70,F$20&lt;'01_Input'!$W$70),'01_Input'!$Y$70,0),MAX(MIN(F$20,'01_Input'!$W$70)-'01_Input'!$V$70,0)*'01_Input'!$Y$70))+IF('01_Input'!$AB$70="Forfait",IF(F$20&gt;='01_Input'!$Z$70,'01_Input'!$AC$70,0),IF('01_Input'!$AB$70="Palier",IF(AND(F$20&gt;='01_Input'!$Z$70,F$20&lt;'01_Input'!$AA$70),'01_Input'!$AC$70,0),MAX(MIN(F$20,'01_Input'!$AA$70)-'01_Input'!$Z$70,0)*'01_Input'!$AC$70)))))))))</f>
        <v>0</v>
      </c>
      <c r="G38" s="83">
        <f>IF('01_Input'!$C$70="Non",0,MIN('01_Input'!$I$70,MAX('01_Input'!$H$70,IF('01_Input'!$G$70="Résiduel vs Gestion",0,IF('01_Input'!$G$70="Taux Classe sélectionnée",Distrib_Global_Classe_Selectionnee*G$20,IF('01_Input'!$G$70="Frais KYC (paliers de 100M€)",MAX(0,Nb_Investisseurs-Nb_KYC_Gratuites_Par_Tranche*(FLOOR(G$20/Taille_Tranche_KYC,1)+1))*Cout_Par_KYC_Supplementaire,(IF('01_Input'!$L$70="Forfait",IF(G$20&gt;='01_Input'!$J$70,'01_Input'!$M$70,0),IF('01_Input'!$L$70="Palier",IF(AND(G$20&gt;='01_Input'!$J$70,G$20&lt;'01_Input'!$K$70),'01_Input'!$M$70,0),MAX(MIN(G$20,'01_Input'!$K$70)-'01_Input'!$J$70,0)*'01_Input'!$M$70))+IF('01_Input'!$P$70="Forfait",IF(G$20&gt;='01_Input'!$N$70,'01_Input'!$Q$70,0),IF('01_Input'!$P$70="Palier",IF(AND(G$20&gt;='01_Input'!$N$70,G$20&lt;'01_Input'!$O$70),'01_Input'!$Q$70,0),MAX(MIN(G$20,'01_Input'!$O$70)-'01_Input'!$N$70,0)*'01_Input'!$Q$70))+IF('01_Input'!$T$70="Forfait",IF(G$20&gt;='01_Input'!$R$70,'01_Input'!$U$70,0),IF('01_Input'!$T$70="Palier",IF(AND(G$20&gt;='01_Input'!$R$70,G$20&lt;'01_Input'!$S$70),'01_Input'!$U$70,0),MAX(MIN(G$20,'01_Input'!$S$70)-'01_Input'!$R$70,0)*'01_Input'!$U$70))+IF('01_Input'!$X$70="Forfait",IF(G$20&gt;='01_Input'!$V$70,'01_Input'!$Y$70,0),IF('01_Input'!$X$70="Palier",IF(AND(G$20&gt;='01_Input'!$V$70,G$20&lt;'01_Input'!$W$70),'01_Input'!$Y$70,0),MAX(MIN(G$20,'01_Input'!$W$70)-'01_Input'!$V$70,0)*'01_Input'!$Y$70))+IF('01_Input'!$AB$70="Forfait",IF(G$20&gt;='01_Input'!$Z$70,'01_Input'!$AC$70,0),IF('01_Input'!$AB$70="Palier",IF(AND(G$20&gt;='01_Input'!$Z$70,G$20&lt;'01_Input'!$AA$70),'01_Input'!$AC$70,0),MAX(MIN(G$20,'01_Input'!$AA$70)-'01_Input'!$Z$70,0)*'01_Input'!$AC$70)))))))))</f>
        <v>0</v>
      </c>
      <c r="H38" s="83">
        <f>IF('01_Input'!$C$70="Non",0,MIN('01_Input'!$I$70,MAX('01_Input'!$H$70,IF('01_Input'!$G$70="Résiduel vs Gestion",0,IF('01_Input'!$G$70="Taux Classe sélectionnée",Distrib_Global_Classe_Selectionnee*H$20,IF('01_Input'!$G$70="Frais KYC (paliers de 100M€)",MAX(0,Nb_Investisseurs-Nb_KYC_Gratuites_Par_Tranche*(FLOOR(H$20/Taille_Tranche_KYC,1)+1))*Cout_Par_KYC_Supplementaire,(IF('01_Input'!$L$70="Forfait",IF(H$20&gt;='01_Input'!$J$70,'01_Input'!$M$70,0),IF('01_Input'!$L$70="Palier",IF(AND(H$20&gt;='01_Input'!$J$70,H$20&lt;'01_Input'!$K$70),'01_Input'!$M$70,0),MAX(MIN(H$20,'01_Input'!$K$70)-'01_Input'!$J$70,0)*'01_Input'!$M$70))+IF('01_Input'!$P$70="Forfait",IF(H$20&gt;='01_Input'!$N$70,'01_Input'!$Q$70,0),IF('01_Input'!$P$70="Palier",IF(AND(H$20&gt;='01_Input'!$N$70,H$20&lt;'01_Input'!$O$70),'01_Input'!$Q$70,0),MAX(MIN(H$20,'01_Input'!$O$70)-'01_Input'!$N$70,0)*'01_Input'!$Q$70))+IF('01_Input'!$T$70="Forfait",IF(H$20&gt;='01_Input'!$R$70,'01_Input'!$U$70,0),IF('01_Input'!$T$70="Palier",IF(AND(H$20&gt;='01_Input'!$R$70,H$20&lt;'01_Input'!$S$70),'01_Input'!$U$70,0),MAX(MIN(H$20,'01_Input'!$S$70)-'01_Input'!$R$70,0)*'01_Input'!$U$70))+IF('01_Input'!$X$70="Forfait",IF(H$20&gt;='01_Input'!$V$70,'01_Input'!$Y$70,0),IF('01_Input'!$X$70="Palier",IF(AND(H$20&gt;='01_Input'!$V$70,H$20&lt;'01_Input'!$W$70),'01_Input'!$Y$70,0),MAX(MIN(H$20,'01_Input'!$W$70)-'01_Input'!$V$70,0)*'01_Input'!$Y$70))+IF('01_Input'!$AB$70="Forfait",IF(H$20&gt;='01_Input'!$Z$70,'01_Input'!$AC$70,0),IF('01_Input'!$AB$70="Palier",IF(AND(H$20&gt;='01_Input'!$Z$70,H$20&lt;'01_Input'!$AA$70),'01_Input'!$AC$70,0),MAX(MIN(H$20,'01_Input'!$AA$70)-'01_Input'!$Z$70,0)*'01_Input'!$AC$70)))))))))</f>
        <v>0</v>
      </c>
      <c r="I38" s="83">
        <f>IF('01_Input'!$C$70="Non",0,MIN('01_Input'!$I$70,MAX('01_Input'!$H$70,IF('01_Input'!$G$70="Résiduel vs Gestion",0,IF('01_Input'!$G$70="Taux Classe sélectionnée",Distrib_Global_Classe_Selectionnee*I$20,IF('01_Input'!$G$70="Frais KYC (paliers de 100M€)",MAX(0,Nb_Investisseurs-Nb_KYC_Gratuites_Par_Tranche*(FLOOR(I$20/Taille_Tranche_KYC,1)+1))*Cout_Par_KYC_Supplementaire,(IF('01_Input'!$L$70="Forfait",IF(I$20&gt;='01_Input'!$J$70,'01_Input'!$M$70,0),IF('01_Input'!$L$70="Palier",IF(AND(I$20&gt;='01_Input'!$J$70,I$20&lt;'01_Input'!$K$70),'01_Input'!$M$70,0),MAX(MIN(I$20,'01_Input'!$K$70)-'01_Input'!$J$70,0)*'01_Input'!$M$70))+IF('01_Input'!$P$70="Forfait",IF(I$20&gt;='01_Input'!$N$70,'01_Input'!$Q$70,0),IF('01_Input'!$P$70="Palier",IF(AND(I$20&gt;='01_Input'!$N$70,I$20&lt;'01_Input'!$O$70),'01_Input'!$Q$70,0),MAX(MIN(I$20,'01_Input'!$O$70)-'01_Input'!$N$70,0)*'01_Input'!$Q$70))+IF('01_Input'!$T$70="Forfait",IF(I$20&gt;='01_Input'!$R$70,'01_Input'!$U$70,0),IF('01_Input'!$T$70="Palier",IF(AND(I$20&gt;='01_Input'!$R$70,I$20&lt;'01_Input'!$S$70),'01_Input'!$U$70,0),MAX(MIN(I$20,'01_Input'!$S$70)-'01_Input'!$R$70,0)*'01_Input'!$U$70))+IF('01_Input'!$X$70="Forfait",IF(I$20&gt;='01_Input'!$V$70,'01_Input'!$Y$70,0),IF('01_Input'!$X$70="Palier",IF(AND(I$20&gt;='01_Input'!$V$70,I$20&lt;'01_Input'!$W$70),'01_Input'!$Y$70,0),MAX(MIN(I$20,'01_Input'!$W$70)-'01_Input'!$V$70,0)*'01_Input'!$Y$70))+IF('01_Input'!$AB$70="Forfait",IF(I$20&gt;='01_Input'!$Z$70,'01_Input'!$AC$70,0),IF('01_Input'!$AB$70="Palier",IF(AND(I$20&gt;='01_Input'!$Z$70,I$20&lt;'01_Input'!$AA$70),'01_Input'!$AC$70,0),MAX(MIN(I$20,'01_Input'!$AA$70)-'01_Input'!$Z$70,0)*'01_Input'!$AC$70)))))))))</f>
        <v>0</v>
      </c>
      <c r="J38" s="83">
        <f>IF('01_Input'!$C$70="Non",0,MIN('01_Input'!$I$70,MAX('01_Input'!$H$70,IF('01_Input'!$G$70="Résiduel vs Gestion",0,IF('01_Input'!$G$70="Taux Classe sélectionnée",Distrib_Global_Classe_Selectionnee*J$20,IF('01_Input'!$G$70="Frais KYC (paliers de 100M€)",MAX(0,Nb_Investisseurs-Nb_KYC_Gratuites_Par_Tranche*(FLOOR(J$20/Taille_Tranche_KYC,1)+1))*Cout_Par_KYC_Supplementaire,(IF('01_Input'!$L$70="Forfait",IF(J$20&gt;='01_Input'!$J$70,'01_Input'!$M$70,0),IF('01_Input'!$L$70="Palier",IF(AND(J$20&gt;='01_Input'!$J$70,J$20&lt;'01_Input'!$K$70),'01_Input'!$M$70,0),MAX(MIN(J$20,'01_Input'!$K$70)-'01_Input'!$J$70,0)*'01_Input'!$M$70))+IF('01_Input'!$P$70="Forfait",IF(J$20&gt;='01_Input'!$N$70,'01_Input'!$Q$70,0),IF('01_Input'!$P$70="Palier",IF(AND(J$20&gt;='01_Input'!$N$70,J$20&lt;'01_Input'!$O$70),'01_Input'!$Q$70,0),MAX(MIN(J$20,'01_Input'!$O$70)-'01_Input'!$N$70,0)*'01_Input'!$Q$70))+IF('01_Input'!$T$70="Forfait",IF(J$20&gt;='01_Input'!$R$70,'01_Input'!$U$70,0),IF('01_Input'!$T$70="Palier",IF(AND(J$20&gt;='01_Input'!$R$70,J$20&lt;'01_Input'!$S$70),'01_Input'!$U$70,0),MAX(MIN(J$20,'01_Input'!$S$70)-'01_Input'!$R$70,0)*'01_Input'!$U$70))+IF('01_Input'!$X$70="Forfait",IF(J$20&gt;='01_Input'!$V$70,'01_Input'!$Y$70,0),IF('01_Input'!$X$70="Palier",IF(AND(J$20&gt;='01_Input'!$V$70,J$20&lt;'01_Input'!$W$70),'01_Input'!$Y$70,0),MAX(MIN(J$20,'01_Input'!$W$70)-'01_Input'!$V$70,0)*'01_Input'!$Y$70))+IF('01_Input'!$AB$70="Forfait",IF(J$20&gt;='01_Input'!$Z$70,'01_Input'!$AC$70,0),IF('01_Input'!$AB$70="Palier",IF(AND(J$20&gt;='01_Input'!$Z$70,J$20&lt;'01_Input'!$AA$70),'01_Input'!$AC$70,0),MAX(MIN(J$20,'01_Input'!$AA$70)-'01_Input'!$Z$70,0)*'01_Input'!$AC$70)))))))))</f>
        <v>0</v>
      </c>
      <c r="K38" s="83">
        <f>IF('01_Input'!$C$70="Non",0,MIN('01_Input'!$I$70,MAX('01_Input'!$H$70,IF('01_Input'!$G$70="Résiduel vs Gestion",0,IF('01_Input'!$G$70="Taux Classe sélectionnée",Distrib_Global_Classe_Selectionnee*K$20,IF('01_Input'!$G$70="Frais KYC (paliers de 100M€)",MAX(0,Nb_Investisseurs-Nb_KYC_Gratuites_Par_Tranche*(FLOOR(K$20/Taille_Tranche_KYC,1)+1))*Cout_Par_KYC_Supplementaire,(IF('01_Input'!$L$70="Forfait",IF(K$20&gt;='01_Input'!$J$70,'01_Input'!$M$70,0),IF('01_Input'!$L$70="Palier",IF(AND(K$20&gt;='01_Input'!$J$70,K$20&lt;'01_Input'!$K$70),'01_Input'!$M$70,0),MAX(MIN(K$20,'01_Input'!$K$70)-'01_Input'!$J$70,0)*'01_Input'!$M$70))+IF('01_Input'!$P$70="Forfait",IF(K$20&gt;='01_Input'!$N$70,'01_Input'!$Q$70,0),IF('01_Input'!$P$70="Palier",IF(AND(K$20&gt;='01_Input'!$N$70,K$20&lt;'01_Input'!$O$70),'01_Input'!$Q$70,0),MAX(MIN(K$20,'01_Input'!$O$70)-'01_Input'!$N$70,0)*'01_Input'!$Q$70))+IF('01_Input'!$T$70="Forfait",IF(K$20&gt;='01_Input'!$R$70,'01_Input'!$U$70,0),IF('01_Input'!$T$70="Palier",IF(AND(K$20&gt;='01_Input'!$R$70,K$20&lt;'01_Input'!$S$70),'01_Input'!$U$70,0),MAX(MIN(K$20,'01_Input'!$S$70)-'01_Input'!$R$70,0)*'01_Input'!$U$70))+IF('01_Input'!$X$70="Forfait",IF(K$20&gt;='01_Input'!$V$70,'01_Input'!$Y$70,0),IF('01_Input'!$X$70="Palier",IF(AND(K$20&gt;='01_Input'!$V$70,K$20&lt;'01_Input'!$W$70),'01_Input'!$Y$70,0),MAX(MIN(K$20,'01_Input'!$W$70)-'01_Input'!$V$70,0)*'01_Input'!$Y$70))+IF('01_Input'!$AB$70="Forfait",IF(K$20&gt;='01_Input'!$Z$70,'01_Input'!$AC$70,0),IF('01_Input'!$AB$70="Palier",IF(AND(K$20&gt;='01_Input'!$Z$70,K$20&lt;'01_Input'!$AA$70),'01_Input'!$AC$70,0),MAX(MIN(K$20,'01_Input'!$AA$70)-'01_Input'!$Z$70,0)*'01_Input'!$AC$70)))))))))</f>
        <v>0</v>
      </c>
      <c r="L38" s="83">
        <f>IF('01_Input'!$C$70="Non",0,MIN('01_Input'!$I$70,MAX('01_Input'!$H$70,IF('01_Input'!$G$70="Résiduel vs Gestion",0,IF('01_Input'!$G$70="Taux Classe sélectionnée",Distrib_Global_Classe_Selectionnee*L$20,IF('01_Input'!$G$70="Frais KYC (paliers de 100M€)",MAX(0,Nb_Investisseurs-Nb_KYC_Gratuites_Par_Tranche*(FLOOR(L$20/Taille_Tranche_KYC,1)+1))*Cout_Par_KYC_Supplementaire,(IF('01_Input'!$L$70="Forfait",IF(L$20&gt;='01_Input'!$J$70,'01_Input'!$M$70,0),IF('01_Input'!$L$70="Palier",IF(AND(L$20&gt;='01_Input'!$J$70,L$20&lt;'01_Input'!$K$70),'01_Input'!$M$70,0),MAX(MIN(L$20,'01_Input'!$K$70)-'01_Input'!$J$70,0)*'01_Input'!$M$70))+IF('01_Input'!$P$70="Forfait",IF(L$20&gt;='01_Input'!$N$70,'01_Input'!$Q$70,0),IF('01_Input'!$P$70="Palier",IF(AND(L$20&gt;='01_Input'!$N$70,L$20&lt;'01_Input'!$O$70),'01_Input'!$Q$70,0),MAX(MIN(L$20,'01_Input'!$O$70)-'01_Input'!$N$70,0)*'01_Input'!$Q$70))+IF('01_Input'!$T$70="Forfait",IF(L$20&gt;='01_Input'!$R$70,'01_Input'!$U$70,0),IF('01_Input'!$T$70="Palier",IF(AND(L$20&gt;='01_Input'!$R$70,L$20&lt;'01_Input'!$S$70),'01_Input'!$U$70,0),MAX(MIN(L$20,'01_Input'!$S$70)-'01_Input'!$R$70,0)*'01_Input'!$U$70))+IF('01_Input'!$X$70="Forfait",IF(L$20&gt;='01_Input'!$V$70,'01_Input'!$Y$70,0),IF('01_Input'!$X$70="Palier",IF(AND(L$20&gt;='01_Input'!$V$70,L$20&lt;'01_Input'!$W$70),'01_Input'!$Y$70,0),MAX(MIN(L$20,'01_Input'!$W$70)-'01_Input'!$V$70,0)*'01_Input'!$Y$70))+IF('01_Input'!$AB$70="Forfait",IF(L$20&gt;='01_Input'!$Z$70,'01_Input'!$AC$70,0),IF('01_Input'!$AB$70="Palier",IF(AND(L$20&gt;='01_Input'!$Z$70,L$20&lt;'01_Input'!$AA$70),'01_Input'!$AC$70,0),MAX(MIN(L$20,'01_Input'!$AA$70)-'01_Input'!$Z$70,0)*'01_Input'!$AC$70)))))))))</f>
        <v>0</v>
      </c>
      <c r="M38" s="83">
        <f>IF('01_Input'!$C$70="Non",0,MIN('01_Input'!$I$70,MAX('01_Input'!$H$70,IF('01_Input'!$G$70="Résiduel vs Gestion",0,IF('01_Input'!$G$70="Taux Classe sélectionnée",Distrib_Global_Classe_Selectionnee*M$20,IF('01_Input'!$G$70="Frais KYC (paliers de 100M€)",MAX(0,Nb_Investisseurs-Nb_KYC_Gratuites_Par_Tranche*(FLOOR(M$20/Taille_Tranche_KYC,1)+1))*Cout_Par_KYC_Supplementaire,(IF('01_Input'!$L$70="Forfait",IF(M$20&gt;='01_Input'!$J$70,'01_Input'!$M$70,0),IF('01_Input'!$L$70="Palier",IF(AND(M$20&gt;='01_Input'!$J$70,M$20&lt;'01_Input'!$K$70),'01_Input'!$M$70,0),MAX(MIN(M$20,'01_Input'!$K$70)-'01_Input'!$J$70,0)*'01_Input'!$M$70))+IF('01_Input'!$P$70="Forfait",IF(M$20&gt;='01_Input'!$N$70,'01_Input'!$Q$70,0),IF('01_Input'!$P$70="Palier",IF(AND(M$20&gt;='01_Input'!$N$70,M$20&lt;'01_Input'!$O$70),'01_Input'!$Q$70,0),MAX(MIN(M$20,'01_Input'!$O$70)-'01_Input'!$N$70,0)*'01_Input'!$Q$70))+IF('01_Input'!$T$70="Forfait",IF(M$20&gt;='01_Input'!$R$70,'01_Input'!$U$70,0),IF('01_Input'!$T$70="Palier",IF(AND(M$20&gt;='01_Input'!$R$70,M$20&lt;'01_Input'!$S$70),'01_Input'!$U$70,0),MAX(MIN(M$20,'01_Input'!$S$70)-'01_Input'!$R$70,0)*'01_Input'!$U$70))+IF('01_Input'!$X$70="Forfait",IF(M$20&gt;='01_Input'!$V$70,'01_Input'!$Y$70,0),IF('01_Input'!$X$70="Palier",IF(AND(M$20&gt;='01_Input'!$V$70,M$20&lt;'01_Input'!$W$70),'01_Input'!$Y$70,0),MAX(MIN(M$20,'01_Input'!$W$70)-'01_Input'!$V$70,0)*'01_Input'!$Y$70))+IF('01_Input'!$AB$70="Forfait",IF(M$20&gt;='01_Input'!$Z$70,'01_Input'!$AC$70,0),IF('01_Input'!$AB$70="Palier",IF(AND(M$20&gt;='01_Input'!$Z$70,M$20&lt;'01_Input'!$AA$70),'01_Input'!$AC$70,0),MAX(MIN(M$20,'01_Input'!$AA$70)-'01_Input'!$Z$70,0)*'01_Input'!$AC$70)))))))))</f>
        <v>0</v>
      </c>
      <c r="N38" s="83">
        <f>IF('01_Input'!$C$70="Non",0,MIN('01_Input'!$I$70,MAX('01_Input'!$H$70,IF('01_Input'!$G$70="Résiduel vs Gestion",0,IF('01_Input'!$G$70="Taux Classe sélectionnée",Distrib_Global_Classe_Selectionnee*N$20,IF('01_Input'!$G$70="Frais KYC (paliers de 100M€)",MAX(0,Nb_Investisseurs-Nb_KYC_Gratuites_Par_Tranche*(FLOOR(N$20/Taille_Tranche_KYC,1)+1))*Cout_Par_KYC_Supplementaire,(IF('01_Input'!$L$70="Forfait",IF(N$20&gt;='01_Input'!$J$70,'01_Input'!$M$70,0),IF('01_Input'!$L$70="Palier",IF(AND(N$20&gt;='01_Input'!$J$70,N$20&lt;'01_Input'!$K$70),'01_Input'!$M$70,0),MAX(MIN(N$20,'01_Input'!$K$70)-'01_Input'!$J$70,0)*'01_Input'!$M$70))+IF('01_Input'!$P$70="Forfait",IF(N$20&gt;='01_Input'!$N$70,'01_Input'!$Q$70,0),IF('01_Input'!$P$70="Palier",IF(AND(N$20&gt;='01_Input'!$N$70,N$20&lt;'01_Input'!$O$70),'01_Input'!$Q$70,0),MAX(MIN(N$20,'01_Input'!$O$70)-'01_Input'!$N$70,0)*'01_Input'!$Q$70))+IF('01_Input'!$T$70="Forfait",IF(N$20&gt;='01_Input'!$R$70,'01_Input'!$U$70,0),IF('01_Input'!$T$70="Palier",IF(AND(N$20&gt;='01_Input'!$R$70,N$20&lt;'01_Input'!$S$70),'01_Input'!$U$70,0),MAX(MIN(N$20,'01_Input'!$S$70)-'01_Input'!$R$70,0)*'01_Input'!$U$70))+IF('01_Input'!$X$70="Forfait",IF(N$20&gt;='01_Input'!$V$70,'01_Input'!$Y$70,0),IF('01_Input'!$X$70="Palier",IF(AND(N$20&gt;='01_Input'!$V$70,N$20&lt;'01_Input'!$W$70),'01_Input'!$Y$70,0),MAX(MIN(N$20,'01_Input'!$W$70)-'01_Input'!$V$70,0)*'01_Input'!$Y$70))+IF('01_Input'!$AB$70="Forfait",IF(N$20&gt;='01_Input'!$Z$70,'01_Input'!$AC$70,0),IF('01_Input'!$AB$70="Palier",IF(AND(N$20&gt;='01_Input'!$Z$70,N$20&lt;'01_Input'!$AA$70),'01_Input'!$AC$70,0),MAX(MIN(N$20,'01_Input'!$AA$70)-'01_Input'!$Z$70,0)*'01_Input'!$AC$70)))))))))</f>
        <v>0</v>
      </c>
      <c r="O38" s="83">
        <f>IF('01_Input'!$C$70="Non",0,MIN('01_Input'!$I$70,MAX('01_Input'!$H$70,IF('01_Input'!$G$70="Résiduel vs Gestion",0,IF('01_Input'!$G$70="Taux Classe sélectionnée",Distrib_Global_Classe_Selectionnee*O$20,IF('01_Input'!$G$70="Frais KYC (paliers de 100M€)",MAX(0,Nb_Investisseurs-Nb_KYC_Gratuites_Par_Tranche*(FLOOR(O$20/Taille_Tranche_KYC,1)+1))*Cout_Par_KYC_Supplementaire,(IF('01_Input'!$L$70="Forfait",IF(O$20&gt;='01_Input'!$J$70,'01_Input'!$M$70,0),IF('01_Input'!$L$70="Palier",IF(AND(O$20&gt;='01_Input'!$J$70,O$20&lt;'01_Input'!$K$70),'01_Input'!$M$70,0),MAX(MIN(O$20,'01_Input'!$K$70)-'01_Input'!$J$70,0)*'01_Input'!$M$70))+IF('01_Input'!$P$70="Forfait",IF(O$20&gt;='01_Input'!$N$70,'01_Input'!$Q$70,0),IF('01_Input'!$P$70="Palier",IF(AND(O$20&gt;='01_Input'!$N$70,O$20&lt;'01_Input'!$O$70),'01_Input'!$Q$70,0),MAX(MIN(O$20,'01_Input'!$O$70)-'01_Input'!$N$70,0)*'01_Input'!$Q$70))+IF('01_Input'!$T$70="Forfait",IF(O$20&gt;='01_Input'!$R$70,'01_Input'!$U$70,0),IF('01_Input'!$T$70="Palier",IF(AND(O$20&gt;='01_Input'!$R$70,O$20&lt;'01_Input'!$S$70),'01_Input'!$U$70,0),MAX(MIN(O$20,'01_Input'!$S$70)-'01_Input'!$R$70,0)*'01_Input'!$U$70))+IF('01_Input'!$X$70="Forfait",IF(O$20&gt;='01_Input'!$V$70,'01_Input'!$Y$70,0),IF('01_Input'!$X$70="Palier",IF(AND(O$20&gt;='01_Input'!$V$70,O$20&lt;'01_Input'!$W$70),'01_Input'!$Y$70,0),MAX(MIN(O$20,'01_Input'!$W$70)-'01_Input'!$V$70,0)*'01_Input'!$Y$70))+IF('01_Input'!$AB$70="Forfait",IF(O$20&gt;='01_Input'!$Z$70,'01_Input'!$AC$70,0),IF('01_Input'!$AB$70="Palier",IF(AND(O$20&gt;='01_Input'!$Z$70,O$20&lt;'01_Input'!$AA$70),'01_Input'!$AC$70,0),MAX(MIN(O$20,'01_Input'!$AA$70)-'01_Input'!$Z$70,0)*'01_Input'!$AC$70)))))))))</f>
        <v>0</v>
      </c>
      <c r="P38" s="83">
        <f>IF('01_Input'!$C$70="Non",0,MIN('01_Input'!$I$70,MAX('01_Input'!$H$70,IF('01_Input'!$G$70="Résiduel vs Gestion",0,IF('01_Input'!$G$70="Taux Classe sélectionnée",Distrib_Global_Classe_Selectionnee*P$20,IF('01_Input'!$G$70="Frais KYC (paliers de 100M€)",MAX(0,Nb_Investisseurs-Nb_KYC_Gratuites_Par_Tranche*(FLOOR(P$20/Taille_Tranche_KYC,1)+1))*Cout_Par_KYC_Supplementaire,(IF('01_Input'!$L$70="Forfait",IF(P$20&gt;='01_Input'!$J$70,'01_Input'!$M$70,0),IF('01_Input'!$L$70="Palier",IF(AND(P$20&gt;='01_Input'!$J$70,P$20&lt;'01_Input'!$K$70),'01_Input'!$M$70,0),MAX(MIN(P$20,'01_Input'!$K$70)-'01_Input'!$J$70,0)*'01_Input'!$M$70))+IF('01_Input'!$P$70="Forfait",IF(P$20&gt;='01_Input'!$N$70,'01_Input'!$Q$70,0),IF('01_Input'!$P$70="Palier",IF(AND(P$20&gt;='01_Input'!$N$70,P$20&lt;'01_Input'!$O$70),'01_Input'!$Q$70,0),MAX(MIN(P$20,'01_Input'!$O$70)-'01_Input'!$N$70,0)*'01_Input'!$Q$70))+IF('01_Input'!$T$70="Forfait",IF(P$20&gt;='01_Input'!$R$70,'01_Input'!$U$70,0),IF('01_Input'!$T$70="Palier",IF(AND(P$20&gt;='01_Input'!$R$70,P$20&lt;'01_Input'!$S$70),'01_Input'!$U$70,0),MAX(MIN(P$20,'01_Input'!$S$70)-'01_Input'!$R$70,0)*'01_Input'!$U$70))+IF('01_Input'!$X$70="Forfait",IF(P$20&gt;='01_Input'!$V$70,'01_Input'!$Y$70,0),IF('01_Input'!$X$70="Palier",IF(AND(P$20&gt;='01_Input'!$V$70,P$20&lt;'01_Input'!$W$70),'01_Input'!$Y$70,0),MAX(MIN(P$20,'01_Input'!$W$70)-'01_Input'!$V$70,0)*'01_Input'!$Y$70))+IF('01_Input'!$AB$70="Forfait",IF(P$20&gt;='01_Input'!$Z$70,'01_Input'!$AC$70,0),IF('01_Input'!$AB$70="Palier",IF(AND(P$20&gt;='01_Input'!$Z$70,P$20&lt;'01_Input'!$AA$70),'01_Input'!$AC$70,0),MAX(MIN(P$20,'01_Input'!$AA$70)-'01_Input'!$Z$70,0)*'01_Input'!$AC$70)))))))))</f>
        <v>0</v>
      </c>
      <c r="Q38" s="83">
        <f>IF('01_Input'!$C$70="Non",0,MIN('01_Input'!$I$70,MAX('01_Input'!$H$70,IF('01_Input'!$G$70="Résiduel vs Gestion",0,IF('01_Input'!$G$70="Taux Classe sélectionnée",Distrib_Global_Classe_Selectionnee*Q$20,IF('01_Input'!$G$70="Frais KYC (paliers de 100M€)",MAX(0,Nb_Investisseurs-Nb_KYC_Gratuites_Par_Tranche*(FLOOR(Q$20/Taille_Tranche_KYC,1)+1))*Cout_Par_KYC_Supplementaire,(IF('01_Input'!$L$70="Forfait",IF(Q$20&gt;='01_Input'!$J$70,'01_Input'!$M$70,0),IF('01_Input'!$L$70="Palier",IF(AND(Q$20&gt;='01_Input'!$J$70,Q$20&lt;'01_Input'!$K$70),'01_Input'!$M$70,0),MAX(MIN(Q$20,'01_Input'!$K$70)-'01_Input'!$J$70,0)*'01_Input'!$M$70))+IF('01_Input'!$P$70="Forfait",IF(Q$20&gt;='01_Input'!$N$70,'01_Input'!$Q$70,0),IF('01_Input'!$P$70="Palier",IF(AND(Q$20&gt;='01_Input'!$N$70,Q$20&lt;'01_Input'!$O$70),'01_Input'!$Q$70,0),MAX(MIN(Q$20,'01_Input'!$O$70)-'01_Input'!$N$70,0)*'01_Input'!$Q$70))+IF('01_Input'!$T$70="Forfait",IF(Q$20&gt;='01_Input'!$R$70,'01_Input'!$U$70,0),IF('01_Input'!$T$70="Palier",IF(AND(Q$20&gt;='01_Input'!$R$70,Q$20&lt;'01_Input'!$S$70),'01_Input'!$U$70,0),MAX(MIN(Q$20,'01_Input'!$S$70)-'01_Input'!$R$70,0)*'01_Input'!$U$70))+IF('01_Input'!$X$70="Forfait",IF(Q$20&gt;='01_Input'!$V$70,'01_Input'!$Y$70,0),IF('01_Input'!$X$70="Palier",IF(AND(Q$20&gt;='01_Input'!$V$70,Q$20&lt;'01_Input'!$W$70),'01_Input'!$Y$70,0),MAX(MIN(Q$20,'01_Input'!$W$70)-'01_Input'!$V$70,0)*'01_Input'!$Y$70))+IF('01_Input'!$AB$70="Forfait",IF(Q$20&gt;='01_Input'!$Z$70,'01_Input'!$AC$70,0),IF('01_Input'!$AB$70="Palier",IF(AND(Q$20&gt;='01_Input'!$Z$70,Q$20&lt;'01_Input'!$AA$70),'01_Input'!$AC$70,0),MAX(MIN(Q$20,'01_Input'!$AA$70)-'01_Input'!$Z$70,0)*'01_Input'!$AC$70)))))))))</f>
        <v>0</v>
      </c>
      <c r="R38" s="83">
        <f>IF('01_Input'!$C$70="Non",0,MIN('01_Input'!$I$70,MAX('01_Input'!$H$70,IF('01_Input'!$G$70="Résiduel vs Gestion",0,IF('01_Input'!$G$70="Taux Classe sélectionnée",Distrib_Global_Classe_Selectionnee*R$20,IF('01_Input'!$G$70="Frais KYC (paliers de 100M€)",MAX(0,Nb_Investisseurs-Nb_KYC_Gratuites_Par_Tranche*(FLOOR(R$20/Taille_Tranche_KYC,1)+1))*Cout_Par_KYC_Supplementaire,(IF('01_Input'!$L$70="Forfait",IF(R$20&gt;='01_Input'!$J$70,'01_Input'!$M$70,0),IF('01_Input'!$L$70="Palier",IF(AND(R$20&gt;='01_Input'!$J$70,R$20&lt;'01_Input'!$K$70),'01_Input'!$M$70,0),MAX(MIN(R$20,'01_Input'!$K$70)-'01_Input'!$J$70,0)*'01_Input'!$M$70))+IF('01_Input'!$P$70="Forfait",IF(R$20&gt;='01_Input'!$N$70,'01_Input'!$Q$70,0),IF('01_Input'!$P$70="Palier",IF(AND(R$20&gt;='01_Input'!$N$70,R$20&lt;'01_Input'!$O$70),'01_Input'!$Q$70,0),MAX(MIN(R$20,'01_Input'!$O$70)-'01_Input'!$N$70,0)*'01_Input'!$Q$70))+IF('01_Input'!$T$70="Forfait",IF(R$20&gt;='01_Input'!$R$70,'01_Input'!$U$70,0),IF('01_Input'!$T$70="Palier",IF(AND(R$20&gt;='01_Input'!$R$70,R$20&lt;'01_Input'!$S$70),'01_Input'!$U$70,0),MAX(MIN(R$20,'01_Input'!$S$70)-'01_Input'!$R$70,0)*'01_Input'!$U$70))+IF('01_Input'!$X$70="Forfait",IF(R$20&gt;='01_Input'!$V$70,'01_Input'!$Y$70,0),IF('01_Input'!$X$70="Palier",IF(AND(R$20&gt;='01_Input'!$V$70,R$20&lt;'01_Input'!$W$70),'01_Input'!$Y$70,0),MAX(MIN(R$20,'01_Input'!$W$70)-'01_Input'!$V$70,0)*'01_Input'!$Y$70))+IF('01_Input'!$AB$70="Forfait",IF(R$20&gt;='01_Input'!$Z$70,'01_Input'!$AC$70,0),IF('01_Input'!$AB$70="Palier",IF(AND(R$20&gt;='01_Input'!$Z$70,R$20&lt;'01_Input'!$AA$70),'01_Input'!$AC$70,0),MAX(MIN(R$20,'01_Input'!$AA$70)-'01_Input'!$Z$70,0)*'01_Input'!$AC$70)))))))))</f>
        <v>0</v>
      </c>
      <c r="S38" s="83">
        <f>IF('01_Input'!$C$70="Non",0,MIN('01_Input'!$I$70,MAX('01_Input'!$H$70,IF('01_Input'!$G$70="Résiduel vs Gestion",0,IF('01_Input'!$G$70="Taux Classe sélectionnée",Distrib_Global_Classe_Selectionnee*S$20,IF('01_Input'!$G$70="Frais KYC (paliers de 100M€)",MAX(0,Nb_Investisseurs-Nb_KYC_Gratuites_Par_Tranche*(FLOOR(S$20/Taille_Tranche_KYC,1)+1))*Cout_Par_KYC_Supplementaire,(IF('01_Input'!$L$70="Forfait",IF(S$20&gt;='01_Input'!$J$70,'01_Input'!$M$70,0),IF('01_Input'!$L$70="Palier",IF(AND(S$20&gt;='01_Input'!$J$70,S$20&lt;'01_Input'!$K$70),'01_Input'!$M$70,0),MAX(MIN(S$20,'01_Input'!$K$70)-'01_Input'!$J$70,0)*'01_Input'!$M$70))+IF('01_Input'!$P$70="Forfait",IF(S$20&gt;='01_Input'!$N$70,'01_Input'!$Q$70,0),IF('01_Input'!$P$70="Palier",IF(AND(S$20&gt;='01_Input'!$N$70,S$20&lt;'01_Input'!$O$70),'01_Input'!$Q$70,0),MAX(MIN(S$20,'01_Input'!$O$70)-'01_Input'!$N$70,0)*'01_Input'!$Q$70))+IF('01_Input'!$T$70="Forfait",IF(S$20&gt;='01_Input'!$R$70,'01_Input'!$U$70,0),IF('01_Input'!$T$70="Palier",IF(AND(S$20&gt;='01_Input'!$R$70,S$20&lt;'01_Input'!$S$70),'01_Input'!$U$70,0),MAX(MIN(S$20,'01_Input'!$S$70)-'01_Input'!$R$70,0)*'01_Input'!$U$70))+IF('01_Input'!$X$70="Forfait",IF(S$20&gt;='01_Input'!$V$70,'01_Input'!$Y$70,0),IF('01_Input'!$X$70="Palier",IF(AND(S$20&gt;='01_Input'!$V$70,S$20&lt;'01_Input'!$W$70),'01_Input'!$Y$70,0),MAX(MIN(S$20,'01_Input'!$W$70)-'01_Input'!$V$70,0)*'01_Input'!$Y$70))+IF('01_Input'!$AB$70="Forfait",IF(S$20&gt;='01_Input'!$Z$70,'01_Input'!$AC$70,0),IF('01_Input'!$AB$70="Palier",IF(AND(S$20&gt;='01_Input'!$Z$70,S$20&lt;'01_Input'!$AA$70),'01_Input'!$AC$70,0),MAX(MIN(S$20,'01_Input'!$AA$70)-'01_Input'!$Z$70,0)*'01_Input'!$AC$70)))))))))</f>
        <v>0</v>
      </c>
      <c r="T38" s="83">
        <f>IF('01_Input'!$C$70="Non",0,MIN('01_Input'!$I$70,MAX('01_Input'!$H$70,IF('01_Input'!$G$70="Résiduel vs Gestion",0,IF('01_Input'!$G$70="Taux Classe sélectionnée",Distrib_Global_Classe_Selectionnee*T$20,IF('01_Input'!$G$70="Frais KYC (paliers de 100M€)",MAX(0,Nb_Investisseurs-Nb_KYC_Gratuites_Par_Tranche*(FLOOR(T$20/Taille_Tranche_KYC,1)+1))*Cout_Par_KYC_Supplementaire,(IF('01_Input'!$L$70="Forfait",IF(T$20&gt;='01_Input'!$J$70,'01_Input'!$M$70,0),IF('01_Input'!$L$70="Palier",IF(AND(T$20&gt;='01_Input'!$J$70,T$20&lt;'01_Input'!$K$70),'01_Input'!$M$70,0),MAX(MIN(T$20,'01_Input'!$K$70)-'01_Input'!$J$70,0)*'01_Input'!$M$70))+IF('01_Input'!$P$70="Forfait",IF(T$20&gt;='01_Input'!$N$70,'01_Input'!$Q$70,0),IF('01_Input'!$P$70="Palier",IF(AND(T$20&gt;='01_Input'!$N$70,T$20&lt;'01_Input'!$O$70),'01_Input'!$Q$70,0),MAX(MIN(T$20,'01_Input'!$O$70)-'01_Input'!$N$70,0)*'01_Input'!$Q$70))+IF('01_Input'!$T$70="Forfait",IF(T$20&gt;='01_Input'!$R$70,'01_Input'!$U$70,0),IF('01_Input'!$T$70="Palier",IF(AND(T$20&gt;='01_Input'!$R$70,T$20&lt;'01_Input'!$S$70),'01_Input'!$U$70,0),MAX(MIN(T$20,'01_Input'!$S$70)-'01_Input'!$R$70,0)*'01_Input'!$U$70))+IF('01_Input'!$X$70="Forfait",IF(T$20&gt;='01_Input'!$V$70,'01_Input'!$Y$70,0),IF('01_Input'!$X$70="Palier",IF(AND(T$20&gt;='01_Input'!$V$70,T$20&lt;'01_Input'!$W$70),'01_Input'!$Y$70,0),MAX(MIN(T$20,'01_Input'!$W$70)-'01_Input'!$V$70,0)*'01_Input'!$Y$70))+IF('01_Input'!$AB$70="Forfait",IF(T$20&gt;='01_Input'!$Z$70,'01_Input'!$AC$70,0),IF('01_Input'!$AB$70="Palier",IF(AND(T$20&gt;='01_Input'!$Z$70,T$20&lt;'01_Input'!$AA$70),'01_Input'!$AC$70,0),MAX(MIN(T$20,'01_Input'!$AA$70)-'01_Input'!$Z$70,0)*'01_Input'!$AC$70)))))))))</f>
        <v>0</v>
      </c>
      <c r="U38" s="83">
        <f>IF('01_Input'!$C$70="Non",0,MIN('01_Input'!$I$70,MAX('01_Input'!$H$70,IF('01_Input'!$G$70="Résiduel vs Gestion",0,IF('01_Input'!$G$70="Taux Classe sélectionnée",Distrib_Global_Classe_Selectionnee*U$20,IF('01_Input'!$G$70="Frais KYC (paliers de 100M€)",MAX(0,Nb_Investisseurs-Nb_KYC_Gratuites_Par_Tranche*(FLOOR(U$20/Taille_Tranche_KYC,1)+1))*Cout_Par_KYC_Supplementaire,(IF('01_Input'!$L$70="Forfait",IF(U$20&gt;='01_Input'!$J$70,'01_Input'!$M$70,0),IF('01_Input'!$L$70="Palier",IF(AND(U$20&gt;='01_Input'!$J$70,U$20&lt;'01_Input'!$K$70),'01_Input'!$M$70,0),MAX(MIN(U$20,'01_Input'!$K$70)-'01_Input'!$J$70,0)*'01_Input'!$M$70))+IF('01_Input'!$P$70="Forfait",IF(U$20&gt;='01_Input'!$N$70,'01_Input'!$Q$70,0),IF('01_Input'!$P$70="Palier",IF(AND(U$20&gt;='01_Input'!$N$70,U$20&lt;'01_Input'!$O$70),'01_Input'!$Q$70,0),MAX(MIN(U$20,'01_Input'!$O$70)-'01_Input'!$N$70,0)*'01_Input'!$Q$70))+IF('01_Input'!$T$70="Forfait",IF(U$20&gt;='01_Input'!$R$70,'01_Input'!$U$70,0),IF('01_Input'!$T$70="Palier",IF(AND(U$20&gt;='01_Input'!$R$70,U$20&lt;'01_Input'!$S$70),'01_Input'!$U$70,0),MAX(MIN(U$20,'01_Input'!$S$70)-'01_Input'!$R$70,0)*'01_Input'!$U$70))+IF('01_Input'!$X$70="Forfait",IF(U$20&gt;='01_Input'!$V$70,'01_Input'!$Y$70,0),IF('01_Input'!$X$70="Palier",IF(AND(U$20&gt;='01_Input'!$V$70,U$20&lt;'01_Input'!$W$70),'01_Input'!$Y$70,0),MAX(MIN(U$20,'01_Input'!$W$70)-'01_Input'!$V$70,0)*'01_Input'!$Y$70))+IF('01_Input'!$AB$70="Forfait",IF(U$20&gt;='01_Input'!$Z$70,'01_Input'!$AC$70,0),IF('01_Input'!$AB$70="Palier",IF(AND(U$20&gt;='01_Input'!$Z$70,U$20&lt;'01_Input'!$AA$70),'01_Input'!$AC$70,0),MAX(MIN(U$20,'01_Input'!$AA$70)-'01_Input'!$Z$70,0)*'01_Input'!$AC$70)))))))))</f>
        <v>0</v>
      </c>
      <c r="V38" s="83">
        <f>IF('01_Input'!$C$70="Non",0,MIN('01_Input'!$I$70,MAX('01_Input'!$H$70,IF('01_Input'!$G$70="Résiduel vs Gestion",0,IF('01_Input'!$G$70="Taux Classe sélectionnée",Distrib_Global_Classe_Selectionnee*V$20,IF('01_Input'!$G$70="Frais KYC (paliers de 100M€)",MAX(0,Nb_Investisseurs-Nb_KYC_Gratuites_Par_Tranche*(FLOOR(V$20/Taille_Tranche_KYC,1)+1))*Cout_Par_KYC_Supplementaire,(IF('01_Input'!$L$70="Forfait",IF(V$20&gt;='01_Input'!$J$70,'01_Input'!$M$70,0),IF('01_Input'!$L$70="Palier",IF(AND(V$20&gt;='01_Input'!$J$70,V$20&lt;'01_Input'!$K$70),'01_Input'!$M$70,0),MAX(MIN(V$20,'01_Input'!$K$70)-'01_Input'!$J$70,0)*'01_Input'!$M$70))+IF('01_Input'!$P$70="Forfait",IF(V$20&gt;='01_Input'!$N$70,'01_Input'!$Q$70,0),IF('01_Input'!$P$70="Palier",IF(AND(V$20&gt;='01_Input'!$N$70,V$20&lt;'01_Input'!$O$70),'01_Input'!$Q$70,0),MAX(MIN(V$20,'01_Input'!$O$70)-'01_Input'!$N$70,0)*'01_Input'!$Q$70))+IF('01_Input'!$T$70="Forfait",IF(V$20&gt;='01_Input'!$R$70,'01_Input'!$U$70,0),IF('01_Input'!$T$70="Palier",IF(AND(V$20&gt;='01_Input'!$R$70,V$20&lt;'01_Input'!$S$70),'01_Input'!$U$70,0),MAX(MIN(V$20,'01_Input'!$S$70)-'01_Input'!$R$70,0)*'01_Input'!$U$70))+IF('01_Input'!$X$70="Forfait",IF(V$20&gt;='01_Input'!$V$70,'01_Input'!$Y$70,0),IF('01_Input'!$X$70="Palier",IF(AND(V$20&gt;='01_Input'!$V$70,V$20&lt;'01_Input'!$W$70),'01_Input'!$Y$70,0),MAX(MIN(V$20,'01_Input'!$W$70)-'01_Input'!$V$70,0)*'01_Input'!$Y$70))+IF('01_Input'!$AB$70="Forfait",IF(V$20&gt;='01_Input'!$Z$70,'01_Input'!$AC$70,0),IF('01_Input'!$AB$70="Palier",IF(AND(V$20&gt;='01_Input'!$Z$70,V$20&lt;'01_Input'!$AA$70),'01_Input'!$AC$70,0),MAX(MIN(V$20,'01_Input'!$AA$70)-'01_Input'!$Z$70,0)*'01_Input'!$AC$70)))))))))</f>
        <v>0</v>
      </c>
      <c r="W38" s="83">
        <f>IF('01_Input'!$C$70="Non",0,MIN('01_Input'!$I$70,MAX('01_Input'!$H$70,IF('01_Input'!$G$70="Résiduel vs Gestion",0,IF('01_Input'!$G$70="Taux Classe sélectionnée",Distrib_Global_Classe_Selectionnee*W$20,IF('01_Input'!$G$70="Frais KYC (paliers de 100M€)",MAX(0,Nb_Investisseurs-Nb_KYC_Gratuites_Par_Tranche*(FLOOR(W$20/Taille_Tranche_KYC,1)+1))*Cout_Par_KYC_Supplementaire,(IF('01_Input'!$L$70="Forfait",IF(W$20&gt;='01_Input'!$J$70,'01_Input'!$M$70,0),IF('01_Input'!$L$70="Palier",IF(AND(W$20&gt;='01_Input'!$J$70,W$20&lt;'01_Input'!$K$70),'01_Input'!$M$70,0),MAX(MIN(W$20,'01_Input'!$K$70)-'01_Input'!$J$70,0)*'01_Input'!$M$70))+IF('01_Input'!$P$70="Forfait",IF(W$20&gt;='01_Input'!$N$70,'01_Input'!$Q$70,0),IF('01_Input'!$P$70="Palier",IF(AND(W$20&gt;='01_Input'!$N$70,W$20&lt;'01_Input'!$O$70),'01_Input'!$Q$70,0),MAX(MIN(W$20,'01_Input'!$O$70)-'01_Input'!$N$70,0)*'01_Input'!$Q$70))+IF('01_Input'!$T$70="Forfait",IF(W$20&gt;='01_Input'!$R$70,'01_Input'!$U$70,0),IF('01_Input'!$T$70="Palier",IF(AND(W$20&gt;='01_Input'!$R$70,W$20&lt;'01_Input'!$S$70),'01_Input'!$U$70,0),MAX(MIN(W$20,'01_Input'!$S$70)-'01_Input'!$R$70,0)*'01_Input'!$U$70))+IF('01_Input'!$X$70="Forfait",IF(W$20&gt;='01_Input'!$V$70,'01_Input'!$Y$70,0),IF('01_Input'!$X$70="Palier",IF(AND(W$20&gt;='01_Input'!$V$70,W$20&lt;'01_Input'!$W$70),'01_Input'!$Y$70,0),MAX(MIN(W$20,'01_Input'!$W$70)-'01_Input'!$V$70,0)*'01_Input'!$Y$70))+IF('01_Input'!$AB$70="Forfait",IF(W$20&gt;='01_Input'!$Z$70,'01_Input'!$AC$70,0),IF('01_Input'!$AB$70="Palier",IF(AND(W$20&gt;='01_Input'!$Z$70,W$20&lt;'01_Input'!$AA$70),'01_Input'!$AC$70,0),MAX(MIN(W$20,'01_Input'!$AA$70)-'01_Input'!$Z$70,0)*'01_Input'!$AC$70)))))))))</f>
        <v>0</v>
      </c>
      <c r="X38" s="83">
        <f>IF('01_Input'!$C$70="Non",0,MIN('01_Input'!$I$70,MAX('01_Input'!$H$70,IF('01_Input'!$G$70="Résiduel vs Gestion",0,IF('01_Input'!$G$70="Taux Classe sélectionnée",Distrib_Global_Classe_Selectionnee*X$20,IF('01_Input'!$G$70="Frais KYC (paliers de 100M€)",MAX(0,Nb_Investisseurs-Nb_KYC_Gratuites_Par_Tranche*(FLOOR(X$20/Taille_Tranche_KYC,1)+1))*Cout_Par_KYC_Supplementaire,(IF('01_Input'!$L$70="Forfait",IF(X$20&gt;='01_Input'!$J$70,'01_Input'!$M$70,0),IF('01_Input'!$L$70="Palier",IF(AND(X$20&gt;='01_Input'!$J$70,X$20&lt;'01_Input'!$K$70),'01_Input'!$M$70,0),MAX(MIN(X$20,'01_Input'!$K$70)-'01_Input'!$J$70,0)*'01_Input'!$M$70))+IF('01_Input'!$P$70="Forfait",IF(X$20&gt;='01_Input'!$N$70,'01_Input'!$Q$70,0),IF('01_Input'!$P$70="Palier",IF(AND(X$20&gt;='01_Input'!$N$70,X$20&lt;'01_Input'!$O$70),'01_Input'!$Q$70,0),MAX(MIN(X$20,'01_Input'!$O$70)-'01_Input'!$N$70,0)*'01_Input'!$Q$70))+IF('01_Input'!$T$70="Forfait",IF(X$20&gt;='01_Input'!$R$70,'01_Input'!$U$70,0),IF('01_Input'!$T$70="Palier",IF(AND(X$20&gt;='01_Input'!$R$70,X$20&lt;'01_Input'!$S$70),'01_Input'!$U$70,0),MAX(MIN(X$20,'01_Input'!$S$70)-'01_Input'!$R$70,0)*'01_Input'!$U$70))+IF('01_Input'!$X$70="Forfait",IF(X$20&gt;='01_Input'!$V$70,'01_Input'!$Y$70,0),IF('01_Input'!$X$70="Palier",IF(AND(X$20&gt;='01_Input'!$V$70,X$20&lt;'01_Input'!$W$70),'01_Input'!$Y$70,0),MAX(MIN(X$20,'01_Input'!$W$70)-'01_Input'!$V$70,0)*'01_Input'!$Y$70))+IF('01_Input'!$AB$70="Forfait",IF(X$20&gt;='01_Input'!$Z$70,'01_Input'!$AC$70,0),IF('01_Input'!$AB$70="Palier",IF(AND(X$20&gt;='01_Input'!$Z$70,X$20&lt;'01_Input'!$AA$70),'01_Input'!$AC$70,0),MAX(MIN(X$20,'01_Input'!$AA$70)-'01_Input'!$Z$70,0)*'01_Input'!$AC$70)))))))))</f>
        <v>0</v>
      </c>
      <c r="Y38" s="83">
        <f>IF('01_Input'!$C$70="Non",0,MIN('01_Input'!$I$70,MAX('01_Input'!$H$70,IF('01_Input'!$G$70="Résiduel vs Gestion",0,IF('01_Input'!$G$70="Taux Classe sélectionnée",Distrib_Global_Classe_Selectionnee*Y$20,IF('01_Input'!$G$70="Frais KYC (paliers de 100M€)",MAX(0,Nb_Investisseurs-Nb_KYC_Gratuites_Par_Tranche*(FLOOR(Y$20/Taille_Tranche_KYC,1)+1))*Cout_Par_KYC_Supplementaire,(IF('01_Input'!$L$70="Forfait",IF(Y$20&gt;='01_Input'!$J$70,'01_Input'!$M$70,0),IF('01_Input'!$L$70="Palier",IF(AND(Y$20&gt;='01_Input'!$J$70,Y$20&lt;'01_Input'!$K$70),'01_Input'!$M$70,0),MAX(MIN(Y$20,'01_Input'!$K$70)-'01_Input'!$J$70,0)*'01_Input'!$M$70))+IF('01_Input'!$P$70="Forfait",IF(Y$20&gt;='01_Input'!$N$70,'01_Input'!$Q$70,0),IF('01_Input'!$P$70="Palier",IF(AND(Y$20&gt;='01_Input'!$N$70,Y$20&lt;'01_Input'!$O$70),'01_Input'!$Q$70,0),MAX(MIN(Y$20,'01_Input'!$O$70)-'01_Input'!$N$70,0)*'01_Input'!$Q$70))+IF('01_Input'!$T$70="Forfait",IF(Y$20&gt;='01_Input'!$R$70,'01_Input'!$U$70,0),IF('01_Input'!$T$70="Palier",IF(AND(Y$20&gt;='01_Input'!$R$70,Y$20&lt;'01_Input'!$S$70),'01_Input'!$U$70,0),MAX(MIN(Y$20,'01_Input'!$S$70)-'01_Input'!$R$70,0)*'01_Input'!$U$70))+IF('01_Input'!$X$70="Forfait",IF(Y$20&gt;='01_Input'!$V$70,'01_Input'!$Y$70,0),IF('01_Input'!$X$70="Palier",IF(AND(Y$20&gt;='01_Input'!$V$70,Y$20&lt;'01_Input'!$W$70),'01_Input'!$Y$70,0),MAX(MIN(Y$20,'01_Input'!$W$70)-'01_Input'!$V$70,0)*'01_Input'!$Y$70))+IF('01_Input'!$AB$70="Forfait",IF(Y$20&gt;='01_Input'!$Z$70,'01_Input'!$AC$70,0),IF('01_Input'!$AB$70="Palier",IF(AND(Y$20&gt;='01_Input'!$Z$70,Y$20&lt;'01_Input'!$AA$70),'01_Input'!$AC$70,0),MAX(MIN(Y$20,'01_Input'!$AA$70)-'01_Input'!$Z$70,0)*'01_Input'!$AC$70)))))))))</f>
        <v>0</v>
      </c>
      <c r="Z38" s="83">
        <f>IF('01_Input'!$C$70="Non",0,MIN('01_Input'!$I$70,MAX('01_Input'!$H$70,IF('01_Input'!$G$70="Résiduel vs Gestion",0,IF('01_Input'!$G$70="Taux Classe sélectionnée",Distrib_Global_Classe_Selectionnee*Z$20,IF('01_Input'!$G$70="Frais KYC (paliers de 100M€)",MAX(0,Nb_Investisseurs-Nb_KYC_Gratuites_Par_Tranche*(FLOOR(Z$20/Taille_Tranche_KYC,1)+1))*Cout_Par_KYC_Supplementaire,(IF('01_Input'!$L$70="Forfait",IF(Z$20&gt;='01_Input'!$J$70,'01_Input'!$M$70,0),IF('01_Input'!$L$70="Palier",IF(AND(Z$20&gt;='01_Input'!$J$70,Z$20&lt;'01_Input'!$K$70),'01_Input'!$M$70,0),MAX(MIN(Z$20,'01_Input'!$K$70)-'01_Input'!$J$70,0)*'01_Input'!$M$70))+IF('01_Input'!$P$70="Forfait",IF(Z$20&gt;='01_Input'!$N$70,'01_Input'!$Q$70,0),IF('01_Input'!$P$70="Palier",IF(AND(Z$20&gt;='01_Input'!$N$70,Z$20&lt;'01_Input'!$O$70),'01_Input'!$Q$70,0),MAX(MIN(Z$20,'01_Input'!$O$70)-'01_Input'!$N$70,0)*'01_Input'!$Q$70))+IF('01_Input'!$T$70="Forfait",IF(Z$20&gt;='01_Input'!$R$70,'01_Input'!$U$70,0),IF('01_Input'!$T$70="Palier",IF(AND(Z$20&gt;='01_Input'!$R$70,Z$20&lt;'01_Input'!$S$70),'01_Input'!$U$70,0),MAX(MIN(Z$20,'01_Input'!$S$70)-'01_Input'!$R$70,0)*'01_Input'!$U$70))+IF('01_Input'!$X$70="Forfait",IF(Z$20&gt;='01_Input'!$V$70,'01_Input'!$Y$70,0),IF('01_Input'!$X$70="Palier",IF(AND(Z$20&gt;='01_Input'!$V$70,Z$20&lt;'01_Input'!$W$70),'01_Input'!$Y$70,0),MAX(MIN(Z$20,'01_Input'!$W$70)-'01_Input'!$V$70,0)*'01_Input'!$Y$70))+IF('01_Input'!$AB$70="Forfait",IF(Z$20&gt;='01_Input'!$Z$70,'01_Input'!$AC$70,0),IF('01_Input'!$AB$70="Palier",IF(AND(Z$20&gt;='01_Input'!$Z$70,Z$20&lt;'01_Input'!$AA$70),'01_Input'!$AC$70,0),MAX(MIN(Z$20,'01_Input'!$AA$70)-'01_Input'!$Z$70,0)*'01_Input'!$AC$70)))))))))</f>
        <v>0</v>
      </c>
      <c r="AA38" s="83">
        <f>IF('01_Input'!$C$70="Non",0,MIN('01_Input'!$I$70,MAX('01_Input'!$H$70,IF('01_Input'!$G$70="Résiduel vs Gestion",0,IF('01_Input'!$G$70="Taux Classe sélectionnée",Distrib_Global_Classe_Selectionnee*AA$20,IF('01_Input'!$G$70="Frais KYC (paliers de 100M€)",MAX(0,Nb_Investisseurs-Nb_KYC_Gratuites_Par_Tranche*(FLOOR(AA$20/Taille_Tranche_KYC,1)+1))*Cout_Par_KYC_Supplementaire,(IF('01_Input'!$L$70="Forfait",IF(AA$20&gt;='01_Input'!$J$70,'01_Input'!$M$70,0),IF('01_Input'!$L$70="Palier",IF(AND(AA$20&gt;='01_Input'!$J$70,AA$20&lt;'01_Input'!$K$70),'01_Input'!$M$70,0),MAX(MIN(AA$20,'01_Input'!$K$70)-'01_Input'!$J$70,0)*'01_Input'!$M$70))+IF('01_Input'!$P$70="Forfait",IF(AA$20&gt;='01_Input'!$N$70,'01_Input'!$Q$70,0),IF('01_Input'!$P$70="Palier",IF(AND(AA$20&gt;='01_Input'!$N$70,AA$20&lt;'01_Input'!$O$70),'01_Input'!$Q$70,0),MAX(MIN(AA$20,'01_Input'!$O$70)-'01_Input'!$N$70,0)*'01_Input'!$Q$70))+IF('01_Input'!$T$70="Forfait",IF(AA$20&gt;='01_Input'!$R$70,'01_Input'!$U$70,0),IF('01_Input'!$T$70="Palier",IF(AND(AA$20&gt;='01_Input'!$R$70,AA$20&lt;'01_Input'!$S$70),'01_Input'!$U$70,0),MAX(MIN(AA$20,'01_Input'!$S$70)-'01_Input'!$R$70,0)*'01_Input'!$U$70))+IF('01_Input'!$X$70="Forfait",IF(AA$20&gt;='01_Input'!$V$70,'01_Input'!$Y$70,0),IF('01_Input'!$X$70="Palier",IF(AND(AA$20&gt;='01_Input'!$V$70,AA$20&lt;'01_Input'!$W$70),'01_Input'!$Y$70,0),MAX(MIN(AA$20,'01_Input'!$W$70)-'01_Input'!$V$70,0)*'01_Input'!$Y$70))+IF('01_Input'!$AB$70="Forfait",IF(AA$20&gt;='01_Input'!$Z$70,'01_Input'!$AC$70,0),IF('01_Input'!$AB$70="Palier",IF(AND(AA$20&gt;='01_Input'!$Z$70,AA$20&lt;'01_Input'!$AA$70),'01_Input'!$AC$70,0),MAX(MIN(AA$20,'01_Input'!$AA$70)-'01_Input'!$Z$70,0)*'01_Input'!$AC$70)))))))))</f>
        <v>0</v>
      </c>
      <c r="AB38" s="83">
        <f>IF('01_Input'!$C$70="Non",0,MIN('01_Input'!$I$70,MAX('01_Input'!$H$70,IF('01_Input'!$G$70="Résiduel vs Gestion",0,IF('01_Input'!$G$70="Taux Classe sélectionnée",Distrib_Global_Classe_Selectionnee*AB$20,IF('01_Input'!$G$70="Frais KYC (paliers de 100M€)",MAX(0,Nb_Investisseurs-Nb_KYC_Gratuites_Par_Tranche*(FLOOR(AB$20/Taille_Tranche_KYC,1)+1))*Cout_Par_KYC_Supplementaire,(IF('01_Input'!$L$70="Forfait",IF(AB$20&gt;='01_Input'!$J$70,'01_Input'!$M$70,0),IF('01_Input'!$L$70="Palier",IF(AND(AB$20&gt;='01_Input'!$J$70,AB$20&lt;'01_Input'!$K$70),'01_Input'!$M$70,0),MAX(MIN(AB$20,'01_Input'!$K$70)-'01_Input'!$J$70,0)*'01_Input'!$M$70))+IF('01_Input'!$P$70="Forfait",IF(AB$20&gt;='01_Input'!$N$70,'01_Input'!$Q$70,0),IF('01_Input'!$P$70="Palier",IF(AND(AB$20&gt;='01_Input'!$N$70,AB$20&lt;'01_Input'!$O$70),'01_Input'!$Q$70,0),MAX(MIN(AB$20,'01_Input'!$O$70)-'01_Input'!$N$70,0)*'01_Input'!$Q$70))+IF('01_Input'!$T$70="Forfait",IF(AB$20&gt;='01_Input'!$R$70,'01_Input'!$U$70,0),IF('01_Input'!$T$70="Palier",IF(AND(AB$20&gt;='01_Input'!$R$70,AB$20&lt;'01_Input'!$S$70),'01_Input'!$U$70,0),MAX(MIN(AB$20,'01_Input'!$S$70)-'01_Input'!$R$70,0)*'01_Input'!$U$70))+IF('01_Input'!$X$70="Forfait",IF(AB$20&gt;='01_Input'!$V$70,'01_Input'!$Y$70,0),IF('01_Input'!$X$70="Palier",IF(AND(AB$20&gt;='01_Input'!$V$70,AB$20&lt;'01_Input'!$W$70),'01_Input'!$Y$70,0),MAX(MIN(AB$20,'01_Input'!$W$70)-'01_Input'!$V$70,0)*'01_Input'!$Y$70))+IF('01_Input'!$AB$70="Forfait",IF(AB$20&gt;='01_Input'!$Z$70,'01_Input'!$AC$70,0),IF('01_Input'!$AB$70="Palier",IF(AND(AB$20&gt;='01_Input'!$Z$70,AB$20&lt;'01_Input'!$AA$70),'01_Input'!$AC$70,0),MAX(MIN(AB$20,'01_Input'!$AA$70)-'01_Input'!$Z$70,0)*'01_Input'!$AC$70)))))))))</f>
        <v>0</v>
      </c>
      <c r="AC38" s="83">
        <f>IF('01_Input'!$C$70="Non",0,MIN('01_Input'!$I$70,MAX('01_Input'!$H$70,IF('01_Input'!$G$70="Résiduel vs Gestion",0,IF('01_Input'!$G$70="Taux Classe sélectionnée",Distrib_Global_Classe_Selectionnee*AC$20,IF('01_Input'!$G$70="Frais KYC (paliers de 100M€)",MAX(0,Nb_Investisseurs-Nb_KYC_Gratuites_Par_Tranche*(FLOOR(AC$20/Taille_Tranche_KYC,1)+1))*Cout_Par_KYC_Supplementaire,(IF('01_Input'!$L$70="Forfait",IF(AC$20&gt;='01_Input'!$J$70,'01_Input'!$M$70,0),IF('01_Input'!$L$70="Palier",IF(AND(AC$20&gt;='01_Input'!$J$70,AC$20&lt;'01_Input'!$K$70),'01_Input'!$M$70,0),MAX(MIN(AC$20,'01_Input'!$K$70)-'01_Input'!$J$70,0)*'01_Input'!$M$70))+IF('01_Input'!$P$70="Forfait",IF(AC$20&gt;='01_Input'!$N$70,'01_Input'!$Q$70,0),IF('01_Input'!$P$70="Palier",IF(AND(AC$20&gt;='01_Input'!$N$70,AC$20&lt;'01_Input'!$O$70),'01_Input'!$Q$70,0),MAX(MIN(AC$20,'01_Input'!$O$70)-'01_Input'!$N$70,0)*'01_Input'!$Q$70))+IF('01_Input'!$T$70="Forfait",IF(AC$20&gt;='01_Input'!$R$70,'01_Input'!$U$70,0),IF('01_Input'!$T$70="Palier",IF(AND(AC$20&gt;='01_Input'!$R$70,AC$20&lt;'01_Input'!$S$70),'01_Input'!$U$70,0),MAX(MIN(AC$20,'01_Input'!$S$70)-'01_Input'!$R$70,0)*'01_Input'!$U$70))+IF('01_Input'!$X$70="Forfait",IF(AC$20&gt;='01_Input'!$V$70,'01_Input'!$Y$70,0),IF('01_Input'!$X$70="Palier",IF(AND(AC$20&gt;='01_Input'!$V$70,AC$20&lt;'01_Input'!$W$70),'01_Input'!$Y$70,0),MAX(MIN(AC$20,'01_Input'!$W$70)-'01_Input'!$V$70,0)*'01_Input'!$Y$70))+IF('01_Input'!$AB$70="Forfait",IF(AC$20&gt;='01_Input'!$Z$70,'01_Input'!$AC$70,0),IF('01_Input'!$AB$70="Palier",IF(AND(AC$20&gt;='01_Input'!$Z$70,AC$20&lt;'01_Input'!$AA$70),'01_Input'!$AC$70,0),MAX(MIN(AC$20,'01_Input'!$AA$70)-'01_Input'!$Z$70,0)*'01_Input'!$AC$70)))))))))</f>
        <v>0</v>
      </c>
      <c r="AD38" s="83">
        <f>IF('01_Input'!$C$70="Non",0,MIN('01_Input'!$I$70,MAX('01_Input'!$H$70,IF('01_Input'!$G$70="Résiduel vs Gestion",0,IF('01_Input'!$G$70="Taux Classe sélectionnée",Distrib_Global_Classe_Selectionnee*AD$20,IF('01_Input'!$G$70="Frais KYC (paliers de 100M€)",MAX(0,Nb_Investisseurs-Nb_KYC_Gratuites_Par_Tranche*(FLOOR(AD$20/Taille_Tranche_KYC,1)+1))*Cout_Par_KYC_Supplementaire,(IF('01_Input'!$L$70="Forfait",IF(AD$20&gt;='01_Input'!$J$70,'01_Input'!$M$70,0),IF('01_Input'!$L$70="Palier",IF(AND(AD$20&gt;='01_Input'!$J$70,AD$20&lt;'01_Input'!$K$70),'01_Input'!$M$70,0),MAX(MIN(AD$20,'01_Input'!$K$70)-'01_Input'!$J$70,0)*'01_Input'!$M$70))+IF('01_Input'!$P$70="Forfait",IF(AD$20&gt;='01_Input'!$N$70,'01_Input'!$Q$70,0),IF('01_Input'!$P$70="Palier",IF(AND(AD$20&gt;='01_Input'!$N$70,AD$20&lt;'01_Input'!$O$70),'01_Input'!$Q$70,0),MAX(MIN(AD$20,'01_Input'!$O$70)-'01_Input'!$N$70,0)*'01_Input'!$Q$70))+IF('01_Input'!$T$70="Forfait",IF(AD$20&gt;='01_Input'!$R$70,'01_Input'!$U$70,0),IF('01_Input'!$T$70="Palier",IF(AND(AD$20&gt;='01_Input'!$R$70,AD$20&lt;'01_Input'!$S$70),'01_Input'!$U$70,0),MAX(MIN(AD$20,'01_Input'!$S$70)-'01_Input'!$R$70,0)*'01_Input'!$U$70))+IF('01_Input'!$X$70="Forfait",IF(AD$20&gt;='01_Input'!$V$70,'01_Input'!$Y$70,0),IF('01_Input'!$X$70="Palier",IF(AND(AD$20&gt;='01_Input'!$V$70,AD$20&lt;'01_Input'!$W$70),'01_Input'!$Y$70,0),MAX(MIN(AD$20,'01_Input'!$W$70)-'01_Input'!$V$70,0)*'01_Input'!$Y$70))+IF('01_Input'!$AB$70="Forfait",IF(AD$20&gt;='01_Input'!$Z$70,'01_Input'!$AC$70,0),IF('01_Input'!$AB$70="Palier",IF(AND(AD$20&gt;='01_Input'!$Z$70,AD$20&lt;'01_Input'!$AA$70),'01_Input'!$AC$70,0),MAX(MIN(AD$20,'01_Input'!$AA$70)-'01_Input'!$Z$70,0)*'01_Input'!$AC$70)))))))))</f>
        <v>0</v>
      </c>
      <c r="AE38" s="83">
        <f>IF('01_Input'!$C$70="Non",0,MIN('01_Input'!$I$70,MAX('01_Input'!$H$70,IF('01_Input'!$G$70="Résiduel vs Gestion",0,IF('01_Input'!$G$70="Taux Classe sélectionnée",Distrib_Global_Classe_Selectionnee*AE$20,IF('01_Input'!$G$70="Frais KYC (paliers de 100M€)",MAX(0,Nb_Investisseurs-Nb_KYC_Gratuites_Par_Tranche*(FLOOR(AE$20/Taille_Tranche_KYC,1)+1))*Cout_Par_KYC_Supplementaire,(IF('01_Input'!$L$70="Forfait",IF(AE$20&gt;='01_Input'!$J$70,'01_Input'!$M$70,0),IF('01_Input'!$L$70="Palier",IF(AND(AE$20&gt;='01_Input'!$J$70,AE$20&lt;'01_Input'!$K$70),'01_Input'!$M$70,0),MAX(MIN(AE$20,'01_Input'!$K$70)-'01_Input'!$J$70,0)*'01_Input'!$M$70))+IF('01_Input'!$P$70="Forfait",IF(AE$20&gt;='01_Input'!$N$70,'01_Input'!$Q$70,0),IF('01_Input'!$P$70="Palier",IF(AND(AE$20&gt;='01_Input'!$N$70,AE$20&lt;'01_Input'!$O$70),'01_Input'!$Q$70,0),MAX(MIN(AE$20,'01_Input'!$O$70)-'01_Input'!$N$70,0)*'01_Input'!$Q$70))+IF('01_Input'!$T$70="Forfait",IF(AE$20&gt;='01_Input'!$R$70,'01_Input'!$U$70,0),IF('01_Input'!$T$70="Palier",IF(AND(AE$20&gt;='01_Input'!$R$70,AE$20&lt;'01_Input'!$S$70),'01_Input'!$U$70,0),MAX(MIN(AE$20,'01_Input'!$S$70)-'01_Input'!$R$70,0)*'01_Input'!$U$70))+IF('01_Input'!$X$70="Forfait",IF(AE$20&gt;='01_Input'!$V$70,'01_Input'!$Y$70,0),IF('01_Input'!$X$70="Palier",IF(AND(AE$20&gt;='01_Input'!$V$70,AE$20&lt;'01_Input'!$W$70),'01_Input'!$Y$70,0),MAX(MIN(AE$20,'01_Input'!$W$70)-'01_Input'!$V$70,0)*'01_Input'!$Y$70))+IF('01_Input'!$AB$70="Forfait",IF(AE$20&gt;='01_Input'!$Z$70,'01_Input'!$AC$70,0),IF('01_Input'!$AB$70="Palier",IF(AND(AE$20&gt;='01_Input'!$Z$70,AE$20&lt;'01_Input'!$AA$70),'01_Input'!$AC$70,0),MAX(MIN(AE$20,'01_Input'!$AA$70)-'01_Input'!$Z$70,0)*'01_Input'!$AC$70)))))))))</f>
        <v>0</v>
      </c>
      <c r="AF38" s="83">
        <f>IF('01_Input'!$C$70="Non",0,MIN('01_Input'!$I$70,MAX('01_Input'!$H$70,IF('01_Input'!$G$70="Résiduel vs Gestion",0,IF('01_Input'!$G$70="Taux Classe sélectionnée",Distrib_Global_Classe_Selectionnee*AF$20,IF('01_Input'!$G$70="Frais KYC (paliers de 100M€)",MAX(0,Nb_Investisseurs-Nb_KYC_Gratuites_Par_Tranche*(FLOOR(AF$20/Taille_Tranche_KYC,1)+1))*Cout_Par_KYC_Supplementaire,(IF('01_Input'!$L$70="Forfait",IF(AF$20&gt;='01_Input'!$J$70,'01_Input'!$M$70,0),IF('01_Input'!$L$70="Palier",IF(AND(AF$20&gt;='01_Input'!$J$70,AF$20&lt;'01_Input'!$K$70),'01_Input'!$M$70,0),MAX(MIN(AF$20,'01_Input'!$K$70)-'01_Input'!$J$70,0)*'01_Input'!$M$70))+IF('01_Input'!$P$70="Forfait",IF(AF$20&gt;='01_Input'!$N$70,'01_Input'!$Q$70,0),IF('01_Input'!$P$70="Palier",IF(AND(AF$20&gt;='01_Input'!$N$70,AF$20&lt;'01_Input'!$O$70),'01_Input'!$Q$70,0),MAX(MIN(AF$20,'01_Input'!$O$70)-'01_Input'!$N$70,0)*'01_Input'!$Q$70))+IF('01_Input'!$T$70="Forfait",IF(AF$20&gt;='01_Input'!$R$70,'01_Input'!$U$70,0),IF('01_Input'!$T$70="Palier",IF(AND(AF$20&gt;='01_Input'!$R$70,AF$20&lt;'01_Input'!$S$70),'01_Input'!$U$70,0),MAX(MIN(AF$20,'01_Input'!$S$70)-'01_Input'!$R$70,0)*'01_Input'!$U$70))+IF('01_Input'!$X$70="Forfait",IF(AF$20&gt;='01_Input'!$V$70,'01_Input'!$Y$70,0),IF('01_Input'!$X$70="Palier",IF(AND(AF$20&gt;='01_Input'!$V$70,AF$20&lt;'01_Input'!$W$70),'01_Input'!$Y$70,0),MAX(MIN(AF$20,'01_Input'!$W$70)-'01_Input'!$V$70,0)*'01_Input'!$Y$70))+IF('01_Input'!$AB$70="Forfait",IF(AF$20&gt;='01_Input'!$Z$70,'01_Input'!$AC$70,0),IF('01_Input'!$AB$70="Palier",IF(AND(AF$20&gt;='01_Input'!$Z$70,AF$20&lt;'01_Input'!$AA$70),'01_Input'!$AC$70,0),MAX(MIN(AF$20,'01_Input'!$AA$70)-'01_Input'!$Z$70,0)*'01_Input'!$AC$70)))))))))</f>
        <v>0</v>
      </c>
      <c r="AG38" s="83">
        <f>IF('01_Input'!$C$70="Non",0,MIN('01_Input'!$I$70,MAX('01_Input'!$H$70,IF('01_Input'!$G$70="Résiduel vs Gestion",0,IF('01_Input'!$G$70="Taux Classe sélectionnée",Distrib_Global_Classe_Selectionnee*AG$20,IF('01_Input'!$G$70="Frais KYC (paliers de 100M€)",MAX(0,Nb_Investisseurs-Nb_KYC_Gratuites_Par_Tranche*(FLOOR(AG$20/Taille_Tranche_KYC,1)+1))*Cout_Par_KYC_Supplementaire,(IF('01_Input'!$L$70="Forfait",IF(AG$20&gt;='01_Input'!$J$70,'01_Input'!$M$70,0),IF('01_Input'!$L$70="Palier",IF(AND(AG$20&gt;='01_Input'!$J$70,AG$20&lt;'01_Input'!$K$70),'01_Input'!$M$70,0),MAX(MIN(AG$20,'01_Input'!$K$70)-'01_Input'!$J$70,0)*'01_Input'!$M$70))+IF('01_Input'!$P$70="Forfait",IF(AG$20&gt;='01_Input'!$N$70,'01_Input'!$Q$70,0),IF('01_Input'!$P$70="Palier",IF(AND(AG$20&gt;='01_Input'!$N$70,AG$20&lt;'01_Input'!$O$70),'01_Input'!$Q$70,0),MAX(MIN(AG$20,'01_Input'!$O$70)-'01_Input'!$N$70,0)*'01_Input'!$Q$70))+IF('01_Input'!$T$70="Forfait",IF(AG$20&gt;='01_Input'!$R$70,'01_Input'!$U$70,0),IF('01_Input'!$T$70="Palier",IF(AND(AG$20&gt;='01_Input'!$R$70,AG$20&lt;'01_Input'!$S$70),'01_Input'!$U$70,0),MAX(MIN(AG$20,'01_Input'!$S$70)-'01_Input'!$R$70,0)*'01_Input'!$U$70))+IF('01_Input'!$X$70="Forfait",IF(AG$20&gt;='01_Input'!$V$70,'01_Input'!$Y$70,0),IF('01_Input'!$X$70="Palier",IF(AND(AG$20&gt;='01_Input'!$V$70,AG$20&lt;'01_Input'!$W$70),'01_Input'!$Y$70,0),MAX(MIN(AG$20,'01_Input'!$W$70)-'01_Input'!$V$70,0)*'01_Input'!$Y$70))+IF('01_Input'!$AB$70="Forfait",IF(AG$20&gt;='01_Input'!$Z$70,'01_Input'!$AC$70,0),IF('01_Input'!$AB$70="Palier",IF(AND(AG$20&gt;='01_Input'!$Z$70,AG$20&lt;'01_Input'!$AA$70),'01_Input'!$AC$70,0),MAX(MIN(AG$20,'01_Input'!$AA$70)-'01_Input'!$Z$70,0)*'01_Input'!$AC$70)))))))))</f>
        <v>0</v>
      </c>
      <c r="AH38" s="83">
        <f>IF('01_Input'!$C$70="Non",0,MIN('01_Input'!$I$70,MAX('01_Input'!$H$70,IF('01_Input'!$G$70="Résiduel vs Gestion",0,IF('01_Input'!$G$70="Taux Classe sélectionnée",Distrib_Global_Classe_Selectionnee*AH$20,IF('01_Input'!$G$70="Frais KYC (paliers de 100M€)",MAX(0,Nb_Investisseurs-Nb_KYC_Gratuites_Par_Tranche*(FLOOR(AH$20/Taille_Tranche_KYC,1)+1))*Cout_Par_KYC_Supplementaire,(IF('01_Input'!$L$70="Forfait",IF(AH$20&gt;='01_Input'!$J$70,'01_Input'!$M$70,0),IF('01_Input'!$L$70="Palier",IF(AND(AH$20&gt;='01_Input'!$J$70,AH$20&lt;'01_Input'!$K$70),'01_Input'!$M$70,0),MAX(MIN(AH$20,'01_Input'!$K$70)-'01_Input'!$J$70,0)*'01_Input'!$M$70))+IF('01_Input'!$P$70="Forfait",IF(AH$20&gt;='01_Input'!$N$70,'01_Input'!$Q$70,0),IF('01_Input'!$P$70="Palier",IF(AND(AH$20&gt;='01_Input'!$N$70,AH$20&lt;'01_Input'!$O$70),'01_Input'!$Q$70,0),MAX(MIN(AH$20,'01_Input'!$O$70)-'01_Input'!$N$70,0)*'01_Input'!$Q$70))+IF('01_Input'!$T$70="Forfait",IF(AH$20&gt;='01_Input'!$R$70,'01_Input'!$U$70,0),IF('01_Input'!$T$70="Palier",IF(AND(AH$20&gt;='01_Input'!$R$70,AH$20&lt;'01_Input'!$S$70),'01_Input'!$U$70,0),MAX(MIN(AH$20,'01_Input'!$S$70)-'01_Input'!$R$70,0)*'01_Input'!$U$70))+IF('01_Input'!$X$70="Forfait",IF(AH$20&gt;='01_Input'!$V$70,'01_Input'!$Y$70,0),IF('01_Input'!$X$70="Palier",IF(AND(AH$20&gt;='01_Input'!$V$70,AH$20&lt;'01_Input'!$W$70),'01_Input'!$Y$70,0),MAX(MIN(AH$20,'01_Input'!$W$70)-'01_Input'!$V$70,0)*'01_Input'!$Y$70))+IF('01_Input'!$AB$70="Forfait",IF(AH$20&gt;='01_Input'!$Z$70,'01_Input'!$AC$70,0),IF('01_Input'!$AB$70="Palier",IF(AND(AH$20&gt;='01_Input'!$Z$70,AH$20&lt;'01_Input'!$AA$70),'01_Input'!$AC$70,0),MAX(MIN(AH$20,'01_Input'!$AA$70)-'01_Input'!$Z$70,0)*'01_Input'!$AC$70)))))))))</f>
        <v>0</v>
      </c>
      <c r="AI38" s="83">
        <f>IF('01_Input'!$C$70="Non",0,MIN('01_Input'!$I$70,MAX('01_Input'!$H$70,IF('01_Input'!$G$70="Résiduel vs Gestion",0,IF('01_Input'!$G$70="Taux Classe sélectionnée",Distrib_Global_Classe_Selectionnee*AI$20,IF('01_Input'!$G$70="Frais KYC (paliers de 100M€)",MAX(0,Nb_Investisseurs-Nb_KYC_Gratuites_Par_Tranche*(FLOOR(AI$20/Taille_Tranche_KYC,1)+1))*Cout_Par_KYC_Supplementaire,(IF('01_Input'!$L$70="Forfait",IF(AI$20&gt;='01_Input'!$J$70,'01_Input'!$M$70,0),IF('01_Input'!$L$70="Palier",IF(AND(AI$20&gt;='01_Input'!$J$70,AI$20&lt;'01_Input'!$K$70),'01_Input'!$M$70,0),MAX(MIN(AI$20,'01_Input'!$K$70)-'01_Input'!$J$70,0)*'01_Input'!$M$70))+IF('01_Input'!$P$70="Forfait",IF(AI$20&gt;='01_Input'!$N$70,'01_Input'!$Q$70,0),IF('01_Input'!$P$70="Palier",IF(AND(AI$20&gt;='01_Input'!$N$70,AI$20&lt;'01_Input'!$O$70),'01_Input'!$Q$70,0),MAX(MIN(AI$20,'01_Input'!$O$70)-'01_Input'!$N$70,0)*'01_Input'!$Q$70))+IF('01_Input'!$T$70="Forfait",IF(AI$20&gt;='01_Input'!$R$70,'01_Input'!$U$70,0),IF('01_Input'!$T$70="Palier",IF(AND(AI$20&gt;='01_Input'!$R$70,AI$20&lt;'01_Input'!$S$70),'01_Input'!$U$70,0),MAX(MIN(AI$20,'01_Input'!$S$70)-'01_Input'!$R$70,0)*'01_Input'!$U$70))+IF('01_Input'!$X$70="Forfait",IF(AI$20&gt;='01_Input'!$V$70,'01_Input'!$Y$70,0),IF('01_Input'!$X$70="Palier",IF(AND(AI$20&gt;='01_Input'!$V$70,AI$20&lt;'01_Input'!$W$70),'01_Input'!$Y$70,0),MAX(MIN(AI$20,'01_Input'!$W$70)-'01_Input'!$V$70,0)*'01_Input'!$Y$70))+IF('01_Input'!$AB$70="Forfait",IF(AI$20&gt;='01_Input'!$Z$70,'01_Input'!$AC$70,0),IF('01_Input'!$AB$70="Palier",IF(AND(AI$20&gt;='01_Input'!$Z$70,AI$20&lt;'01_Input'!$AA$70),'01_Input'!$AC$70,0),MAX(MIN(AI$20,'01_Input'!$AA$70)-'01_Input'!$Z$70,0)*'01_Input'!$AC$70)))))))))</f>
        <v>0</v>
      </c>
      <c r="AJ38" s="83">
        <f>IF('01_Input'!$C$70="Non",0,MIN('01_Input'!$I$70,MAX('01_Input'!$H$70,IF('01_Input'!$G$70="Résiduel vs Gestion",0,IF('01_Input'!$G$70="Taux Classe sélectionnée",Distrib_Global_Classe_Selectionnee*AJ$20,IF('01_Input'!$G$70="Frais KYC (paliers de 100M€)",MAX(0,Nb_Investisseurs-Nb_KYC_Gratuites_Par_Tranche*(FLOOR(AJ$20/Taille_Tranche_KYC,1)+1))*Cout_Par_KYC_Supplementaire,(IF('01_Input'!$L$70="Forfait",IF(AJ$20&gt;='01_Input'!$J$70,'01_Input'!$M$70,0),IF('01_Input'!$L$70="Palier",IF(AND(AJ$20&gt;='01_Input'!$J$70,AJ$20&lt;'01_Input'!$K$70),'01_Input'!$M$70,0),MAX(MIN(AJ$20,'01_Input'!$K$70)-'01_Input'!$J$70,0)*'01_Input'!$M$70))+IF('01_Input'!$P$70="Forfait",IF(AJ$20&gt;='01_Input'!$N$70,'01_Input'!$Q$70,0),IF('01_Input'!$P$70="Palier",IF(AND(AJ$20&gt;='01_Input'!$N$70,AJ$20&lt;'01_Input'!$O$70),'01_Input'!$Q$70,0),MAX(MIN(AJ$20,'01_Input'!$O$70)-'01_Input'!$N$70,0)*'01_Input'!$Q$70))+IF('01_Input'!$T$70="Forfait",IF(AJ$20&gt;='01_Input'!$R$70,'01_Input'!$U$70,0),IF('01_Input'!$T$70="Palier",IF(AND(AJ$20&gt;='01_Input'!$R$70,AJ$20&lt;'01_Input'!$S$70),'01_Input'!$U$70,0),MAX(MIN(AJ$20,'01_Input'!$S$70)-'01_Input'!$R$70,0)*'01_Input'!$U$70))+IF('01_Input'!$X$70="Forfait",IF(AJ$20&gt;='01_Input'!$V$70,'01_Input'!$Y$70,0),IF('01_Input'!$X$70="Palier",IF(AND(AJ$20&gt;='01_Input'!$V$70,AJ$20&lt;'01_Input'!$W$70),'01_Input'!$Y$70,0),MAX(MIN(AJ$20,'01_Input'!$W$70)-'01_Input'!$V$70,0)*'01_Input'!$Y$70))+IF('01_Input'!$AB$70="Forfait",IF(AJ$20&gt;='01_Input'!$Z$70,'01_Input'!$AC$70,0),IF('01_Input'!$AB$70="Palier",IF(AND(AJ$20&gt;='01_Input'!$Z$70,AJ$20&lt;'01_Input'!$AA$70),'01_Input'!$AC$70,0),MAX(MIN(AJ$20,'01_Input'!$AA$70)-'01_Input'!$Z$70,0)*'01_Input'!$AC$70)))))))))</f>
        <v>0</v>
      </c>
      <c r="AK38" s="83">
        <f>IF('01_Input'!$C$70="Non",0,MIN('01_Input'!$I$70,MAX('01_Input'!$H$70,IF('01_Input'!$G$70="Résiduel vs Gestion",0,IF('01_Input'!$G$70="Taux Classe sélectionnée",Distrib_Global_Classe_Selectionnee*AK$20,IF('01_Input'!$G$70="Frais KYC (paliers de 100M€)",MAX(0,Nb_Investisseurs-Nb_KYC_Gratuites_Par_Tranche*(FLOOR(AK$20/Taille_Tranche_KYC,1)+1))*Cout_Par_KYC_Supplementaire,(IF('01_Input'!$L$70="Forfait",IF(AK$20&gt;='01_Input'!$J$70,'01_Input'!$M$70,0),IF('01_Input'!$L$70="Palier",IF(AND(AK$20&gt;='01_Input'!$J$70,AK$20&lt;'01_Input'!$K$70),'01_Input'!$M$70,0),MAX(MIN(AK$20,'01_Input'!$K$70)-'01_Input'!$J$70,0)*'01_Input'!$M$70))+IF('01_Input'!$P$70="Forfait",IF(AK$20&gt;='01_Input'!$N$70,'01_Input'!$Q$70,0),IF('01_Input'!$P$70="Palier",IF(AND(AK$20&gt;='01_Input'!$N$70,AK$20&lt;'01_Input'!$O$70),'01_Input'!$Q$70,0),MAX(MIN(AK$20,'01_Input'!$O$70)-'01_Input'!$N$70,0)*'01_Input'!$Q$70))+IF('01_Input'!$T$70="Forfait",IF(AK$20&gt;='01_Input'!$R$70,'01_Input'!$U$70,0),IF('01_Input'!$T$70="Palier",IF(AND(AK$20&gt;='01_Input'!$R$70,AK$20&lt;'01_Input'!$S$70),'01_Input'!$U$70,0),MAX(MIN(AK$20,'01_Input'!$S$70)-'01_Input'!$R$70,0)*'01_Input'!$U$70))+IF('01_Input'!$X$70="Forfait",IF(AK$20&gt;='01_Input'!$V$70,'01_Input'!$Y$70,0),IF('01_Input'!$X$70="Palier",IF(AND(AK$20&gt;='01_Input'!$V$70,AK$20&lt;'01_Input'!$W$70),'01_Input'!$Y$70,0),MAX(MIN(AK$20,'01_Input'!$W$70)-'01_Input'!$V$70,0)*'01_Input'!$Y$70))+IF('01_Input'!$AB$70="Forfait",IF(AK$20&gt;='01_Input'!$Z$70,'01_Input'!$AC$70,0),IF('01_Input'!$AB$70="Palier",IF(AND(AK$20&gt;='01_Input'!$Z$70,AK$20&lt;'01_Input'!$AA$70),'01_Input'!$AC$70,0),MAX(MIN(AK$20,'01_Input'!$AA$70)-'01_Input'!$Z$70,0)*'01_Input'!$AC$70)))))))))</f>
        <v>0</v>
      </c>
      <c r="AL38" s="83">
        <f>IF('01_Input'!$C$70="Non",0,MIN('01_Input'!$I$70,MAX('01_Input'!$H$70,IF('01_Input'!$G$70="Résiduel vs Gestion",0,IF('01_Input'!$G$70="Taux Classe sélectionnée",Distrib_Global_Classe_Selectionnee*AL$20,IF('01_Input'!$G$70="Frais KYC (paliers de 100M€)",MAX(0,Nb_Investisseurs-Nb_KYC_Gratuites_Par_Tranche*(FLOOR(AL$20/Taille_Tranche_KYC,1)+1))*Cout_Par_KYC_Supplementaire,(IF('01_Input'!$L$70="Forfait",IF(AL$20&gt;='01_Input'!$J$70,'01_Input'!$M$70,0),IF('01_Input'!$L$70="Palier",IF(AND(AL$20&gt;='01_Input'!$J$70,AL$20&lt;'01_Input'!$K$70),'01_Input'!$M$70,0),MAX(MIN(AL$20,'01_Input'!$K$70)-'01_Input'!$J$70,0)*'01_Input'!$M$70))+IF('01_Input'!$P$70="Forfait",IF(AL$20&gt;='01_Input'!$N$70,'01_Input'!$Q$70,0),IF('01_Input'!$P$70="Palier",IF(AND(AL$20&gt;='01_Input'!$N$70,AL$20&lt;'01_Input'!$O$70),'01_Input'!$Q$70,0),MAX(MIN(AL$20,'01_Input'!$O$70)-'01_Input'!$N$70,0)*'01_Input'!$Q$70))+IF('01_Input'!$T$70="Forfait",IF(AL$20&gt;='01_Input'!$R$70,'01_Input'!$U$70,0),IF('01_Input'!$T$70="Palier",IF(AND(AL$20&gt;='01_Input'!$R$70,AL$20&lt;'01_Input'!$S$70),'01_Input'!$U$70,0),MAX(MIN(AL$20,'01_Input'!$S$70)-'01_Input'!$R$70,0)*'01_Input'!$U$70))+IF('01_Input'!$X$70="Forfait",IF(AL$20&gt;='01_Input'!$V$70,'01_Input'!$Y$70,0),IF('01_Input'!$X$70="Palier",IF(AND(AL$20&gt;='01_Input'!$V$70,AL$20&lt;'01_Input'!$W$70),'01_Input'!$Y$70,0),MAX(MIN(AL$20,'01_Input'!$W$70)-'01_Input'!$V$70,0)*'01_Input'!$Y$70))+IF('01_Input'!$AB$70="Forfait",IF(AL$20&gt;='01_Input'!$Z$70,'01_Input'!$AC$70,0),IF('01_Input'!$AB$70="Palier",IF(AND(AL$20&gt;='01_Input'!$Z$70,AL$20&lt;'01_Input'!$AA$70),'01_Input'!$AC$70,0),MAX(MIN(AL$20,'01_Input'!$AA$70)-'01_Input'!$Z$70,0)*'01_Input'!$AC$70)))))))))</f>
        <v>0</v>
      </c>
      <c r="AM38" s="83">
        <f>IF('01_Input'!$C$70="Non",0,MIN('01_Input'!$I$70,MAX('01_Input'!$H$70,IF('01_Input'!$G$70="Résiduel vs Gestion",0,IF('01_Input'!$G$70="Taux Classe sélectionnée",Distrib_Global_Classe_Selectionnee*AM$20,IF('01_Input'!$G$70="Frais KYC (paliers de 100M€)",MAX(0,Nb_Investisseurs-Nb_KYC_Gratuites_Par_Tranche*(FLOOR(AM$20/Taille_Tranche_KYC,1)+1))*Cout_Par_KYC_Supplementaire,(IF('01_Input'!$L$70="Forfait",IF(AM$20&gt;='01_Input'!$J$70,'01_Input'!$M$70,0),IF('01_Input'!$L$70="Palier",IF(AND(AM$20&gt;='01_Input'!$J$70,AM$20&lt;'01_Input'!$K$70),'01_Input'!$M$70,0),MAX(MIN(AM$20,'01_Input'!$K$70)-'01_Input'!$J$70,0)*'01_Input'!$M$70))+IF('01_Input'!$P$70="Forfait",IF(AM$20&gt;='01_Input'!$N$70,'01_Input'!$Q$70,0),IF('01_Input'!$P$70="Palier",IF(AND(AM$20&gt;='01_Input'!$N$70,AM$20&lt;'01_Input'!$O$70),'01_Input'!$Q$70,0),MAX(MIN(AM$20,'01_Input'!$O$70)-'01_Input'!$N$70,0)*'01_Input'!$Q$70))+IF('01_Input'!$T$70="Forfait",IF(AM$20&gt;='01_Input'!$R$70,'01_Input'!$U$70,0),IF('01_Input'!$T$70="Palier",IF(AND(AM$20&gt;='01_Input'!$R$70,AM$20&lt;'01_Input'!$S$70),'01_Input'!$U$70,0),MAX(MIN(AM$20,'01_Input'!$S$70)-'01_Input'!$R$70,0)*'01_Input'!$U$70))+IF('01_Input'!$X$70="Forfait",IF(AM$20&gt;='01_Input'!$V$70,'01_Input'!$Y$70,0),IF('01_Input'!$X$70="Palier",IF(AND(AM$20&gt;='01_Input'!$V$70,AM$20&lt;'01_Input'!$W$70),'01_Input'!$Y$70,0),MAX(MIN(AM$20,'01_Input'!$W$70)-'01_Input'!$V$70,0)*'01_Input'!$Y$70))+IF('01_Input'!$AB$70="Forfait",IF(AM$20&gt;='01_Input'!$Z$70,'01_Input'!$AC$70,0),IF('01_Input'!$AB$70="Palier",IF(AND(AM$20&gt;='01_Input'!$Z$70,AM$20&lt;'01_Input'!$AA$70),'01_Input'!$AC$70,0),MAX(MIN(AM$20,'01_Input'!$AA$70)-'01_Input'!$Z$70,0)*'01_Input'!$AC$70)))))))))</f>
        <v>0</v>
      </c>
      <c r="AN38" s="83">
        <f>IF('01_Input'!$C$70="Non",0,MIN('01_Input'!$I$70,MAX('01_Input'!$H$70,IF('01_Input'!$G$70="Résiduel vs Gestion",0,IF('01_Input'!$G$70="Taux Classe sélectionnée",Distrib_Global_Classe_Selectionnee*AN$20,IF('01_Input'!$G$70="Frais KYC (paliers de 100M€)",MAX(0,Nb_Investisseurs-Nb_KYC_Gratuites_Par_Tranche*(FLOOR(AN$20/Taille_Tranche_KYC,1)+1))*Cout_Par_KYC_Supplementaire,(IF('01_Input'!$L$70="Forfait",IF(AN$20&gt;='01_Input'!$J$70,'01_Input'!$M$70,0),IF('01_Input'!$L$70="Palier",IF(AND(AN$20&gt;='01_Input'!$J$70,AN$20&lt;'01_Input'!$K$70),'01_Input'!$M$70,0),MAX(MIN(AN$20,'01_Input'!$K$70)-'01_Input'!$J$70,0)*'01_Input'!$M$70))+IF('01_Input'!$P$70="Forfait",IF(AN$20&gt;='01_Input'!$N$70,'01_Input'!$Q$70,0),IF('01_Input'!$P$70="Palier",IF(AND(AN$20&gt;='01_Input'!$N$70,AN$20&lt;'01_Input'!$O$70),'01_Input'!$Q$70,0),MAX(MIN(AN$20,'01_Input'!$O$70)-'01_Input'!$N$70,0)*'01_Input'!$Q$70))+IF('01_Input'!$T$70="Forfait",IF(AN$20&gt;='01_Input'!$R$70,'01_Input'!$U$70,0),IF('01_Input'!$T$70="Palier",IF(AND(AN$20&gt;='01_Input'!$R$70,AN$20&lt;'01_Input'!$S$70),'01_Input'!$U$70,0),MAX(MIN(AN$20,'01_Input'!$S$70)-'01_Input'!$R$70,0)*'01_Input'!$U$70))+IF('01_Input'!$X$70="Forfait",IF(AN$20&gt;='01_Input'!$V$70,'01_Input'!$Y$70,0),IF('01_Input'!$X$70="Palier",IF(AND(AN$20&gt;='01_Input'!$V$70,AN$20&lt;'01_Input'!$W$70),'01_Input'!$Y$70,0),MAX(MIN(AN$20,'01_Input'!$W$70)-'01_Input'!$V$70,0)*'01_Input'!$Y$70))+IF('01_Input'!$AB$70="Forfait",IF(AN$20&gt;='01_Input'!$Z$70,'01_Input'!$AC$70,0),IF('01_Input'!$AB$70="Palier",IF(AND(AN$20&gt;='01_Input'!$Z$70,AN$20&lt;'01_Input'!$AA$70),'01_Input'!$AC$70,0),MAX(MIN(AN$20,'01_Input'!$AA$70)-'01_Input'!$Z$70,0)*'01_Input'!$AC$70)))))))))</f>
        <v>0</v>
      </c>
      <c r="AO38" s="83">
        <f>IF('01_Input'!$C$70="Non",0,MIN('01_Input'!$I$70,MAX('01_Input'!$H$70,IF('01_Input'!$G$70="Résiduel vs Gestion",0,IF('01_Input'!$G$70="Taux Classe sélectionnée",Distrib_Global_Classe_Selectionnee*AO$20,IF('01_Input'!$G$70="Frais KYC (paliers de 100M€)",MAX(0,Nb_Investisseurs-Nb_KYC_Gratuites_Par_Tranche*(FLOOR(AO$20/Taille_Tranche_KYC,1)+1))*Cout_Par_KYC_Supplementaire,(IF('01_Input'!$L$70="Forfait",IF(AO$20&gt;='01_Input'!$J$70,'01_Input'!$M$70,0),IF('01_Input'!$L$70="Palier",IF(AND(AO$20&gt;='01_Input'!$J$70,AO$20&lt;'01_Input'!$K$70),'01_Input'!$M$70,0),MAX(MIN(AO$20,'01_Input'!$K$70)-'01_Input'!$J$70,0)*'01_Input'!$M$70))+IF('01_Input'!$P$70="Forfait",IF(AO$20&gt;='01_Input'!$N$70,'01_Input'!$Q$70,0),IF('01_Input'!$P$70="Palier",IF(AND(AO$20&gt;='01_Input'!$N$70,AO$20&lt;'01_Input'!$O$70),'01_Input'!$Q$70,0),MAX(MIN(AO$20,'01_Input'!$O$70)-'01_Input'!$N$70,0)*'01_Input'!$Q$70))+IF('01_Input'!$T$70="Forfait",IF(AO$20&gt;='01_Input'!$R$70,'01_Input'!$U$70,0),IF('01_Input'!$T$70="Palier",IF(AND(AO$20&gt;='01_Input'!$R$70,AO$20&lt;'01_Input'!$S$70),'01_Input'!$U$70,0),MAX(MIN(AO$20,'01_Input'!$S$70)-'01_Input'!$R$70,0)*'01_Input'!$U$70))+IF('01_Input'!$X$70="Forfait",IF(AO$20&gt;='01_Input'!$V$70,'01_Input'!$Y$70,0),IF('01_Input'!$X$70="Palier",IF(AND(AO$20&gt;='01_Input'!$V$70,AO$20&lt;'01_Input'!$W$70),'01_Input'!$Y$70,0),MAX(MIN(AO$20,'01_Input'!$W$70)-'01_Input'!$V$70,0)*'01_Input'!$Y$70))+IF('01_Input'!$AB$70="Forfait",IF(AO$20&gt;='01_Input'!$Z$70,'01_Input'!$AC$70,0),IF('01_Input'!$AB$70="Palier",IF(AND(AO$20&gt;='01_Input'!$Z$70,AO$20&lt;'01_Input'!$AA$70),'01_Input'!$AC$70,0),MAX(MIN(AO$20,'01_Input'!$AA$70)-'01_Input'!$Z$70,0)*'01_Input'!$AC$70)))))))))</f>
        <v>0</v>
      </c>
      <c r="AP38" s="83">
        <f>IF('01_Input'!$C$70="Non",0,MIN('01_Input'!$I$70,MAX('01_Input'!$H$70,IF('01_Input'!$G$70="Résiduel vs Gestion",0,IF('01_Input'!$G$70="Taux Classe sélectionnée",Distrib_Global_Classe_Selectionnee*AP$20,IF('01_Input'!$G$70="Frais KYC (paliers de 100M€)",MAX(0,Nb_Investisseurs-Nb_KYC_Gratuites_Par_Tranche*(FLOOR(AP$20/Taille_Tranche_KYC,1)+1))*Cout_Par_KYC_Supplementaire,(IF('01_Input'!$L$70="Forfait",IF(AP$20&gt;='01_Input'!$J$70,'01_Input'!$M$70,0),IF('01_Input'!$L$70="Palier",IF(AND(AP$20&gt;='01_Input'!$J$70,AP$20&lt;'01_Input'!$K$70),'01_Input'!$M$70,0),MAX(MIN(AP$20,'01_Input'!$K$70)-'01_Input'!$J$70,0)*'01_Input'!$M$70))+IF('01_Input'!$P$70="Forfait",IF(AP$20&gt;='01_Input'!$N$70,'01_Input'!$Q$70,0),IF('01_Input'!$P$70="Palier",IF(AND(AP$20&gt;='01_Input'!$N$70,AP$20&lt;'01_Input'!$O$70),'01_Input'!$Q$70,0),MAX(MIN(AP$20,'01_Input'!$O$70)-'01_Input'!$N$70,0)*'01_Input'!$Q$70))+IF('01_Input'!$T$70="Forfait",IF(AP$20&gt;='01_Input'!$R$70,'01_Input'!$U$70,0),IF('01_Input'!$T$70="Palier",IF(AND(AP$20&gt;='01_Input'!$R$70,AP$20&lt;'01_Input'!$S$70),'01_Input'!$U$70,0),MAX(MIN(AP$20,'01_Input'!$S$70)-'01_Input'!$R$70,0)*'01_Input'!$U$70))+IF('01_Input'!$X$70="Forfait",IF(AP$20&gt;='01_Input'!$V$70,'01_Input'!$Y$70,0),IF('01_Input'!$X$70="Palier",IF(AND(AP$20&gt;='01_Input'!$V$70,AP$20&lt;'01_Input'!$W$70),'01_Input'!$Y$70,0),MAX(MIN(AP$20,'01_Input'!$W$70)-'01_Input'!$V$70,0)*'01_Input'!$Y$70))+IF('01_Input'!$AB$70="Forfait",IF(AP$20&gt;='01_Input'!$Z$70,'01_Input'!$AC$70,0),IF('01_Input'!$AB$70="Palier",IF(AND(AP$20&gt;='01_Input'!$Z$70,AP$20&lt;'01_Input'!$AA$70),'01_Input'!$AC$70,0),MAX(MIN(AP$20,'01_Input'!$AA$70)-'01_Input'!$Z$70,0)*'01_Input'!$AC$70)))))))))</f>
        <v>0</v>
      </c>
      <c r="AQ38" s="83">
        <f>IF('01_Input'!$C$70="Non",0,MIN('01_Input'!$I$70,MAX('01_Input'!$H$70,IF('01_Input'!$G$70="Résiduel vs Gestion",0,IF('01_Input'!$G$70="Taux Classe sélectionnée",Distrib_Global_Classe_Selectionnee*AQ$20,IF('01_Input'!$G$70="Frais KYC (paliers de 100M€)",MAX(0,Nb_Investisseurs-Nb_KYC_Gratuites_Par_Tranche*(FLOOR(AQ$20/Taille_Tranche_KYC,1)+1))*Cout_Par_KYC_Supplementaire,(IF('01_Input'!$L$70="Forfait",IF(AQ$20&gt;='01_Input'!$J$70,'01_Input'!$M$70,0),IF('01_Input'!$L$70="Palier",IF(AND(AQ$20&gt;='01_Input'!$J$70,AQ$20&lt;'01_Input'!$K$70),'01_Input'!$M$70,0),MAX(MIN(AQ$20,'01_Input'!$K$70)-'01_Input'!$J$70,0)*'01_Input'!$M$70))+IF('01_Input'!$P$70="Forfait",IF(AQ$20&gt;='01_Input'!$N$70,'01_Input'!$Q$70,0),IF('01_Input'!$P$70="Palier",IF(AND(AQ$20&gt;='01_Input'!$N$70,AQ$20&lt;'01_Input'!$O$70),'01_Input'!$Q$70,0),MAX(MIN(AQ$20,'01_Input'!$O$70)-'01_Input'!$N$70,0)*'01_Input'!$Q$70))+IF('01_Input'!$T$70="Forfait",IF(AQ$20&gt;='01_Input'!$R$70,'01_Input'!$U$70,0),IF('01_Input'!$T$70="Palier",IF(AND(AQ$20&gt;='01_Input'!$R$70,AQ$20&lt;'01_Input'!$S$70),'01_Input'!$U$70,0),MAX(MIN(AQ$20,'01_Input'!$S$70)-'01_Input'!$R$70,0)*'01_Input'!$U$70))+IF('01_Input'!$X$70="Forfait",IF(AQ$20&gt;='01_Input'!$V$70,'01_Input'!$Y$70,0),IF('01_Input'!$X$70="Palier",IF(AND(AQ$20&gt;='01_Input'!$V$70,AQ$20&lt;'01_Input'!$W$70),'01_Input'!$Y$70,0),MAX(MIN(AQ$20,'01_Input'!$W$70)-'01_Input'!$V$70,0)*'01_Input'!$Y$70))+IF('01_Input'!$AB$70="Forfait",IF(AQ$20&gt;='01_Input'!$Z$70,'01_Input'!$AC$70,0),IF('01_Input'!$AB$70="Palier",IF(AND(AQ$20&gt;='01_Input'!$Z$70,AQ$20&lt;'01_Input'!$AA$70),'01_Input'!$AC$70,0),MAX(MIN(AQ$20,'01_Input'!$AA$70)-'01_Input'!$Z$70,0)*'01_Input'!$AC$70)))))))))</f>
        <v>0</v>
      </c>
      <c r="AR38" s="83">
        <f>IF('01_Input'!$C$70="Non",0,MIN('01_Input'!$I$70,MAX('01_Input'!$H$70,IF('01_Input'!$G$70="Résiduel vs Gestion",0,IF('01_Input'!$G$70="Taux Classe sélectionnée",Distrib_Global_Classe_Selectionnee*AR$20,IF('01_Input'!$G$70="Frais KYC (paliers de 100M€)",MAX(0,Nb_Investisseurs-Nb_KYC_Gratuites_Par_Tranche*(FLOOR(AR$20/Taille_Tranche_KYC,1)+1))*Cout_Par_KYC_Supplementaire,(IF('01_Input'!$L$70="Forfait",IF(AR$20&gt;='01_Input'!$J$70,'01_Input'!$M$70,0),IF('01_Input'!$L$70="Palier",IF(AND(AR$20&gt;='01_Input'!$J$70,AR$20&lt;'01_Input'!$K$70),'01_Input'!$M$70,0),MAX(MIN(AR$20,'01_Input'!$K$70)-'01_Input'!$J$70,0)*'01_Input'!$M$70))+IF('01_Input'!$P$70="Forfait",IF(AR$20&gt;='01_Input'!$N$70,'01_Input'!$Q$70,0),IF('01_Input'!$P$70="Palier",IF(AND(AR$20&gt;='01_Input'!$N$70,AR$20&lt;'01_Input'!$O$70),'01_Input'!$Q$70,0),MAX(MIN(AR$20,'01_Input'!$O$70)-'01_Input'!$N$70,0)*'01_Input'!$Q$70))+IF('01_Input'!$T$70="Forfait",IF(AR$20&gt;='01_Input'!$R$70,'01_Input'!$U$70,0),IF('01_Input'!$T$70="Palier",IF(AND(AR$20&gt;='01_Input'!$R$70,AR$20&lt;'01_Input'!$S$70),'01_Input'!$U$70,0),MAX(MIN(AR$20,'01_Input'!$S$70)-'01_Input'!$R$70,0)*'01_Input'!$U$70))+IF('01_Input'!$X$70="Forfait",IF(AR$20&gt;='01_Input'!$V$70,'01_Input'!$Y$70,0),IF('01_Input'!$X$70="Palier",IF(AND(AR$20&gt;='01_Input'!$V$70,AR$20&lt;'01_Input'!$W$70),'01_Input'!$Y$70,0),MAX(MIN(AR$20,'01_Input'!$W$70)-'01_Input'!$V$70,0)*'01_Input'!$Y$70))+IF('01_Input'!$AB$70="Forfait",IF(AR$20&gt;='01_Input'!$Z$70,'01_Input'!$AC$70,0),IF('01_Input'!$AB$70="Palier",IF(AND(AR$20&gt;='01_Input'!$Z$70,AR$20&lt;'01_Input'!$AA$70),'01_Input'!$AC$70,0),MAX(MIN(AR$20,'01_Input'!$AA$70)-'01_Input'!$Z$70,0)*'01_Input'!$AC$70)))))))))</f>
        <v>0</v>
      </c>
      <c r="AS38" s="83">
        <f>IF('01_Input'!$C$70="Non",0,MIN('01_Input'!$I$70,MAX('01_Input'!$H$70,IF('01_Input'!$G$70="Résiduel vs Gestion",0,IF('01_Input'!$G$70="Taux Classe sélectionnée",Distrib_Global_Classe_Selectionnee*AS$20,IF('01_Input'!$G$70="Frais KYC (paliers de 100M€)",MAX(0,Nb_Investisseurs-Nb_KYC_Gratuites_Par_Tranche*(FLOOR(AS$20/Taille_Tranche_KYC,1)+1))*Cout_Par_KYC_Supplementaire,(IF('01_Input'!$L$70="Forfait",IF(AS$20&gt;='01_Input'!$J$70,'01_Input'!$M$70,0),IF('01_Input'!$L$70="Palier",IF(AND(AS$20&gt;='01_Input'!$J$70,AS$20&lt;'01_Input'!$K$70),'01_Input'!$M$70,0),MAX(MIN(AS$20,'01_Input'!$K$70)-'01_Input'!$J$70,0)*'01_Input'!$M$70))+IF('01_Input'!$P$70="Forfait",IF(AS$20&gt;='01_Input'!$N$70,'01_Input'!$Q$70,0),IF('01_Input'!$P$70="Palier",IF(AND(AS$20&gt;='01_Input'!$N$70,AS$20&lt;'01_Input'!$O$70),'01_Input'!$Q$70,0),MAX(MIN(AS$20,'01_Input'!$O$70)-'01_Input'!$N$70,0)*'01_Input'!$Q$70))+IF('01_Input'!$T$70="Forfait",IF(AS$20&gt;='01_Input'!$R$70,'01_Input'!$U$70,0),IF('01_Input'!$T$70="Palier",IF(AND(AS$20&gt;='01_Input'!$R$70,AS$20&lt;'01_Input'!$S$70),'01_Input'!$U$70,0),MAX(MIN(AS$20,'01_Input'!$S$70)-'01_Input'!$R$70,0)*'01_Input'!$U$70))+IF('01_Input'!$X$70="Forfait",IF(AS$20&gt;='01_Input'!$V$70,'01_Input'!$Y$70,0),IF('01_Input'!$X$70="Palier",IF(AND(AS$20&gt;='01_Input'!$V$70,AS$20&lt;'01_Input'!$W$70),'01_Input'!$Y$70,0),MAX(MIN(AS$20,'01_Input'!$W$70)-'01_Input'!$V$70,0)*'01_Input'!$Y$70))+IF('01_Input'!$AB$70="Forfait",IF(AS$20&gt;='01_Input'!$Z$70,'01_Input'!$AC$70,0),IF('01_Input'!$AB$70="Palier",IF(AND(AS$20&gt;='01_Input'!$Z$70,AS$20&lt;'01_Input'!$AA$70),'01_Input'!$AC$70,0),MAX(MIN(AS$20,'01_Input'!$AA$70)-'01_Input'!$Z$70,0)*'01_Input'!$AC$70)))))))))</f>
        <v>0</v>
      </c>
      <c r="AT38" s="83">
        <f>IF('01_Input'!$C$70="Non",0,MIN('01_Input'!$I$70,MAX('01_Input'!$H$70,IF('01_Input'!$G$70="Résiduel vs Gestion",0,IF('01_Input'!$G$70="Taux Classe sélectionnée",Distrib_Global_Classe_Selectionnee*AT$20,IF('01_Input'!$G$70="Frais KYC (paliers de 100M€)",MAX(0,Nb_Investisseurs-Nb_KYC_Gratuites_Par_Tranche*(FLOOR(AT$20/Taille_Tranche_KYC,1)+1))*Cout_Par_KYC_Supplementaire,(IF('01_Input'!$L$70="Forfait",IF(AT$20&gt;='01_Input'!$J$70,'01_Input'!$M$70,0),IF('01_Input'!$L$70="Palier",IF(AND(AT$20&gt;='01_Input'!$J$70,AT$20&lt;'01_Input'!$K$70),'01_Input'!$M$70,0),MAX(MIN(AT$20,'01_Input'!$K$70)-'01_Input'!$J$70,0)*'01_Input'!$M$70))+IF('01_Input'!$P$70="Forfait",IF(AT$20&gt;='01_Input'!$N$70,'01_Input'!$Q$70,0),IF('01_Input'!$P$70="Palier",IF(AND(AT$20&gt;='01_Input'!$N$70,AT$20&lt;'01_Input'!$O$70),'01_Input'!$Q$70,0),MAX(MIN(AT$20,'01_Input'!$O$70)-'01_Input'!$N$70,0)*'01_Input'!$Q$70))+IF('01_Input'!$T$70="Forfait",IF(AT$20&gt;='01_Input'!$R$70,'01_Input'!$U$70,0),IF('01_Input'!$T$70="Palier",IF(AND(AT$20&gt;='01_Input'!$R$70,AT$20&lt;'01_Input'!$S$70),'01_Input'!$U$70,0),MAX(MIN(AT$20,'01_Input'!$S$70)-'01_Input'!$R$70,0)*'01_Input'!$U$70))+IF('01_Input'!$X$70="Forfait",IF(AT$20&gt;='01_Input'!$V$70,'01_Input'!$Y$70,0),IF('01_Input'!$X$70="Palier",IF(AND(AT$20&gt;='01_Input'!$V$70,AT$20&lt;'01_Input'!$W$70),'01_Input'!$Y$70,0),MAX(MIN(AT$20,'01_Input'!$W$70)-'01_Input'!$V$70,0)*'01_Input'!$Y$70))+IF('01_Input'!$AB$70="Forfait",IF(AT$20&gt;='01_Input'!$Z$70,'01_Input'!$AC$70,0),IF('01_Input'!$AB$70="Palier",IF(AND(AT$20&gt;='01_Input'!$Z$70,AT$20&lt;'01_Input'!$AA$70),'01_Input'!$AC$70,0),MAX(MIN(AT$20,'01_Input'!$AA$70)-'01_Input'!$Z$70,0)*'01_Input'!$AC$70)))))))))</f>
        <v>0</v>
      </c>
      <c r="AU38" s="83">
        <f>IF('01_Input'!$C$70="Non",0,MIN('01_Input'!$I$70,MAX('01_Input'!$H$70,IF('01_Input'!$G$70="Résiduel vs Gestion",0,IF('01_Input'!$G$70="Taux Classe sélectionnée",Distrib_Global_Classe_Selectionnee*AU$20,IF('01_Input'!$G$70="Frais KYC (paliers de 100M€)",MAX(0,Nb_Investisseurs-Nb_KYC_Gratuites_Par_Tranche*(FLOOR(AU$20/Taille_Tranche_KYC,1)+1))*Cout_Par_KYC_Supplementaire,(IF('01_Input'!$L$70="Forfait",IF(AU$20&gt;='01_Input'!$J$70,'01_Input'!$M$70,0),IF('01_Input'!$L$70="Palier",IF(AND(AU$20&gt;='01_Input'!$J$70,AU$20&lt;'01_Input'!$K$70),'01_Input'!$M$70,0),MAX(MIN(AU$20,'01_Input'!$K$70)-'01_Input'!$J$70,0)*'01_Input'!$M$70))+IF('01_Input'!$P$70="Forfait",IF(AU$20&gt;='01_Input'!$N$70,'01_Input'!$Q$70,0),IF('01_Input'!$P$70="Palier",IF(AND(AU$20&gt;='01_Input'!$N$70,AU$20&lt;'01_Input'!$O$70),'01_Input'!$Q$70,0),MAX(MIN(AU$20,'01_Input'!$O$70)-'01_Input'!$N$70,0)*'01_Input'!$Q$70))+IF('01_Input'!$T$70="Forfait",IF(AU$20&gt;='01_Input'!$R$70,'01_Input'!$U$70,0),IF('01_Input'!$T$70="Palier",IF(AND(AU$20&gt;='01_Input'!$R$70,AU$20&lt;'01_Input'!$S$70),'01_Input'!$U$70,0),MAX(MIN(AU$20,'01_Input'!$S$70)-'01_Input'!$R$70,0)*'01_Input'!$U$70))+IF('01_Input'!$X$70="Forfait",IF(AU$20&gt;='01_Input'!$V$70,'01_Input'!$Y$70,0),IF('01_Input'!$X$70="Palier",IF(AND(AU$20&gt;='01_Input'!$V$70,AU$20&lt;'01_Input'!$W$70),'01_Input'!$Y$70,0),MAX(MIN(AU$20,'01_Input'!$W$70)-'01_Input'!$V$70,0)*'01_Input'!$Y$70))+IF('01_Input'!$AB$70="Forfait",IF(AU$20&gt;='01_Input'!$Z$70,'01_Input'!$AC$70,0),IF('01_Input'!$AB$70="Palier",IF(AND(AU$20&gt;='01_Input'!$Z$70,AU$20&lt;'01_Input'!$AA$70),'01_Input'!$AC$70,0),MAX(MIN(AU$20,'01_Input'!$AA$70)-'01_Input'!$Z$70,0)*'01_Input'!$AC$70)))))))))</f>
        <v>0</v>
      </c>
      <c r="AV38" s="83">
        <f>IF('01_Input'!$C$70="Non",0,MIN('01_Input'!$I$70,MAX('01_Input'!$H$70,IF('01_Input'!$G$70="Résiduel vs Gestion",0,IF('01_Input'!$G$70="Taux Classe sélectionnée",Distrib_Global_Classe_Selectionnee*AV$20,IF('01_Input'!$G$70="Frais KYC (paliers de 100M€)",MAX(0,Nb_Investisseurs-Nb_KYC_Gratuites_Par_Tranche*(FLOOR(AV$20/Taille_Tranche_KYC,1)+1))*Cout_Par_KYC_Supplementaire,(IF('01_Input'!$L$70="Forfait",IF(AV$20&gt;='01_Input'!$J$70,'01_Input'!$M$70,0),IF('01_Input'!$L$70="Palier",IF(AND(AV$20&gt;='01_Input'!$J$70,AV$20&lt;'01_Input'!$K$70),'01_Input'!$M$70,0),MAX(MIN(AV$20,'01_Input'!$K$70)-'01_Input'!$J$70,0)*'01_Input'!$M$70))+IF('01_Input'!$P$70="Forfait",IF(AV$20&gt;='01_Input'!$N$70,'01_Input'!$Q$70,0),IF('01_Input'!$P$70="Palier",IF(AND(AV$20&gt;='01_Input'!$N$70,AV$20&lt;'01_Input'!$O$70),'01_Input'!$Q$70,0),MAX(MIN(AV$20,'01_Input'!$O$70)-'01_Input'!$N$70,0)*'01_Input'!$Q$70))+IF('01_Input'!$T$70="Forfait",IF(AV$20&gt;='01_Input'!$R$70,'01_Input'!$U$70,0),IF('01_Input'!$T$70="Palier",IF(AND(AV$20&gt;='01_Input'!$R$70,AV$20&lt;'01_Input'!$S$70),'01_Input'!$U$70,0),MAX(MIN(AV$20,'01_Input'!$S$70)-'01_Input'!$R$70,0)*'01_Input'!$U$70))+IF('01_Input'!$X$70="Forfait",IF(AV$20&gt;='01_Input'!$V$70,'01_Input'!$Y$70,0),IF('01_Input'!$X$70="Palier",IF(AND(AV$20&gt;='01_Input'!$V$70,AV$20&lt;'01_Input'!$W$70),'01_Input'!$Y$70,0),MAX(MIN(AV$20,'01_Input'!$W$70)-'01_Input'!$V$70,0)*'01_Input'!$Y$70))+IF('01_Input'!$AB$70="Forfait",IF(AV$20&gt;='01_Input'!$Z$70,'01_Input'!$AC$70,0),IF('01_Input'!$AB$70="Palier",IF(AND(AV$20&gt;='01_Input'!$Z$70,AV$20&lt;'01_Input'!$AA$70),'01_Input'!$AC$70,0),MAX(MIN(AV$20,'01_Input'!$AA$70)-'01_Input'!$Z$70,0)*'01_Input'!$AC$70)))))))))</f>
        <v>0</v>
      </c>
      <c r="AW38" s="83">
        <f>IF('01_Input'!$C$70="Non",0,MIN('01_Input'!$I$70,MAX('01_Input'!$H$70,IF('01_Input'!$G$70="Résiduel vs Gestion",0,IF('01_Input'!$G$70="Taux Classe sélectionnée",Distrib_Global_Classe_Selectionnee*AW$20,IF('01_Input'!$G$70="Frais KYC (paliers de 100M€)",MAX(0,Nb_Investisseurs-Nb_KYC_Gratuites_Par_Tranche*(FLOOR(AW$20/Taille_Tranche_KYC,1)+1))*Cout_Par_KYC_Supplementaire,(IF('01_Input'!$L$70="Forfait",IF(AW$20&gt;='01_Input'!$J$70,'01_Input'!$M$70,0),IF('01_Input'!$L$70="Palier",IF(AND(AW$20&gt;='01_Input'!$J$70,AW$20&lt;'01_Input'!$K$70),'01_Input'!$M$70,0),MAX(MIN(AW$20,'01_Input'!$K$70)-'01_Input'!$J$70,0)*'01_Input'!$M$70))+IF('01_Input'!$P$70="Forfait",IF(AW$20&gt;='01_Input'!$N$70,'01_Input'!$Q$70,0),IF('01_Input'!$P$70="Palier",IF(AND(AW$20&gt;='01_Input'!$N$70,AW$20&lt;'01_Input'!$O$70),'01_Input'!$Q$70,0),MAX(MIN(AW$20,'01_Input'!$O$70)-'01_Input'!$N$70,0)*'01_Input'!$Q$70))+IF('01_Input'!$T$70="Forfait",IF(AW$20&gt;='01_Input'!$R$70,'01_Input'!$U$70,0),IF('01_Input'!$T$70="Palier",IF(AND(AW$20&gt;='01_Input'!$R$70,AW$20&lt;'01_Input'!$S$70),'01_Input'!$U$70,0),MAX(MIN(AW$20,'01_Input'!$S$70)-'01_Input'!$R$70,0)*'01_Input'!$U$70))+IF('01_Input'!$X$70="Forfait",IF(AW$20&gt;='01_Input'!$V$70,'01_Input'!$Y$70,0),IF('01_Input'!$X$70="Palier",IF(AND(AW$20&gt;='01_Input'!$V$70,AW$20&lt;'01_Input'!$W$70),'01_Input'!$Y$70,0),MAX(MIN(AW$20,'01_Input'!$W$70)-'01_Input'!$V$70,0)*'01_Input'!$Y$70))+IF('01_Input'!$AB$70="Forfait",IF(AW$20&gt;='01_Input'!$Z$70,'01_Input'!$AC$70,0),IF('01_Input'!$AB$70="Palier",IF(AND(AW$20&gt;='01_Input'!$Z$70,AW$20&lt;'01_Input'!$AA$70),'01_Input'!$AC$70,0),MAX(MIN(AW$20,'01_Input'!$AA$70)-'01_Input'!$Z$70,0)*'01_Input'!$AC$70)))))))))</f>
        <v>0</v>
      </c>
      <c r="AX38" s="83">
        <f>IF('01_Input'!$C$70="Non",0,MIN('01_Input'!$I$70,MAX('01_Input'!$H$70,IF('01_Input'!$G$70="Résiduel vs Gestion",0,IF('01_Input'!$G$70="Taux Classe sélectionnée",Distrib_Global_Classe_Selectionnee*AX$20,IF('01_Input'!$G$70="Frais KYC (paliers de 100M€)",MAX(0,Nb_Investisseurs-Nb_KYC_Gratuites_Par_Tranche*(FLOOR(AX$20/Taille_Tranche_KYC,1)+1))*Cout_Par_KYC_Supplementaire,(IF('01_Input'!$L$70="Forfait",IF(AX$20&gt;='01_Input'!$J$70,'01_Input'!$M$70,0),IF('01_Input'!$L$70="Palier",IF(AND(AX$20&gt;='01_Input'!$J$70,AX$20&lt;'01_Input'!$K$70),'01_Input'!$M$70,0),MAX(MIN(AX$20,'01_Input'!$K$70)-'01_Input'!$J$70,0)*'01_Input'!$M$70))+IF('01_Input'!$P$70="Forfait",IF(AX$20&gt;='01_Input'!$N$70,'01_Input'!$Q$70,0),IF('01_Input'!$P$70="Palier",IF(AND(AX$20&gt;='01_Input'!$N$70,AX$20&lt;'01_Input'!$O$70),'01_Input'!$Q$70,0),MAX(MIN(AX$20,'01_Input'!$O$70)-'01_Input'!$N$70,0)*'01_Input'!$Q$70))+IF('01_Input'!$T$70="Forfait",IF(AX$20&gt;='01_Input'!$R$70,'01_Input'!$U$70,0),IF('01_Input'!$T$70="Palier",IF(AND(AX$20&gt;='01_Input'!$R$70,AX$20&lt;'01_Input'!$S$70),'01_Input'!$U$70,0),MAX(MIN(AX$20,'01_Input'!$S$70)-'01_Input'!$R$70,0)*'01_Input'!$U$70))+IF('01_Input'!$X$70="Forfait",IF(AX$20&gt;='01_Input'!$V$70,'01_Input'!$Y$70,0),IF('01_Input'!$X$70="Palier",IF(AND(AX$20&gt;='01_Input'!$V$70,AX$20&lt;'01_Input'!$W$70),'01_Input'!$Y$70,0),MAX(MIN(AX$20,'01_Input'!$W$70)-'01_Input'!$V$70,0)*'01_Input'!$Y$70))+IF('01_Input'!$AB$70="Forfait",IF(AX$20&gt;='01_Input'!$Z$70,'01_Input'!$AC$70,0),IF('01_Input'!$AB$70="Palier",IF(AND(AX$20&gt;='01_Input'!$Z$70,AX$20&lt;'01_Input'!$AA$70),'01_Input'!$AC$70,0),MAX(MIN(AX$20,'01_Input'!$AA$70)-'01_Input'!$Z$70,0)*'01_Input'!$AC$70)))))))))</f>
        <v>0</v>
      </c>
      <c r="AY38" s="83">
        <f>IF('01_Input'!$C$70="Non",0,MIN('01_Input'!$I$70,MAX('01_Input'!$H$70,IF('01_Input'!$G$70="Résiduel vs Gestion",0,IF('01_Input'!$G$70="Taux Classe sélectionnée",Distrib_Global_Classe_Selectionnee*AY$20,IF('01_Input'!$G$70="Frais KYC (paliers de 100M€)",MAX(0,Nb_Investisseurs-Nb_KYC_Gratuites_Par_Tranche*(FLOOR(AY$20/Taille_Tranche_KYC,1)+1))*Cout_Par_KYC_Supplementaire,(IF('01_Input'!$L$70="Forfait",IF(AY$20&gt;='01_Input'!$J$70,'01_Input'!$M$70,0),IF('01_Input'!$L$70="Palier",IF(AND(AY$20&gt;='01_Input'!$J$70,AY$20&lt;'01_Input'!$K$70),'01_Input'!$M$70,0),MAX(MIN(AY$20,'01_Input'!$K$70)-'01_Input'!$J$70,0)*'01_Input'!$M$70))+IF('01_Input'!$P$70="Forfait",IF(AY$20&gt;='01_Input'!$N$70,'01_Input'!$Q$70,0),IF('01_Input'!$P$70="Palier",IF(AND(AY$20&gt;='01_Input'!$N$70,AY$20&lt;'01_Input'!$O$70),'01_Input'!$Q$70,0),MAX(MIN(AY$20,'01_Input'!$O$70)-'01_Input'!$N$70,0)*'01_Input'!$Q$70))+IF('01_Input'!$T$70="Forfait",IF(AY$20&gt;='01_Input'!$R$70,'01_Input'!$U$70,0),IF('01_Input'!$T$70="Palier",IF(AND(AY$20&gt;='01_Input'!$R$70,AY$20&lt;'01_Input'!$S$70),'01_Input'!$U$70,0),MAX(MIN(AY$20,'01_Input'!$S$70)-'01_Input'!$R$70,0)*'01_Input'!$U$70))+IF('01_Input'!$X$70="Forfait",IF(AY$20&gt;='01_Input'!$V$70,'01_Input'!$Y$70,0),IF('01_Input'!$X$70="Palier",IF(AND(AY$20&gt;='01_Input'!$V$70,AY$20&lt;'01_Input'!$W$70),'01_Input'!$Y$70,0),MAX(MIN(AY$20,'01_Input'!$W$70)-'01_Input'!$V$70,0)*'01_Input'!$Y$70))+IF('01_Input'!$AB$70="Forfait",IF(AY$20&gt;='01_Input'!$Z$70,'01_Input'!$AC$70,0),IF('01_Input'!$AB$70="Palier",IF(AND(AY$20&gt;='01_Input'!$Z$70,AY$20&lt;'01_Input'!$AA$70),'01_Input'!$AC$70,0),MAX(MIN(AY$20,'01_Input'!$AA$70)-'01_Input'!$Z$70,0)*'01_Input'!$AC$70)))))))))</f>
        <v>0</v>
      </c>
      <c r="AZ38" s="83">
        <f>IF('01_Input'!$C$70="Non",0,MIN('01_Input'!$I$70,MAX('01_Input'!$H$70,IF('01_Input'!$G$70="Résiduel vs Gestion",0,IF('01_Input'!$G$70="Taux Classe sélectionnée",Distrib_Global_Classe_Selectionnee*AZ$20,IF('01_Input'!$G$70="Frais KYC (paliers de 100M€)",MAX(0,Nb_Investisseurs-Nb_KYC_Gratuites_Par_Tranche*(FLOOR(AZ$20/Taille_Tranche_KYC,1)+1))*Cout_Par_KYC_Supplementaire,(IF('01_Input'!$L$70="Forfait",IF(AZ$20&gt;='01_Input'!$J$70,'01_Input'!$M$70,0),IF('01_Input'!$L$70="Palier",IF(AND(AZ$20&gt;='01_Input'!$J$70,AZ$20&lt;'01_Input'!$K$70),'01_Input'!$M$70,0),MAX(MIN(AZ$20,'01_Input'!$K$70)-'01_Input'!$J$70,0)*'01_Input'!$M$70))+IF('01_Input'!$P$70="Forfait",IF(AZ$20&gt;='01_Input'!$N$70,'01_Input'!$Q$70,0),IF('01_Input'!$P$70="Palier",IF(AND(AZ$20&gt;='01_Input'!$N$70,AZ$20&lt;'01_Input'!$O$70),'01_Input'!$Q$70,0),MAX(MIN(AZ$20,'01_Input'!$O$70)-'01_Input'!$N$70,0)*'01_Input'!$Q$70))+IF('01_Input'!$T$70="Forfait",IF(AZ$20&gt;='01_Input'!$R$70,'01_Input'!$U$70,0),IF('01_Input'!$T$70="Palier",IF(AND(AZ$20&gt;='01_Input'!$R$70,AZ$20&lt;'01_Input'!$S$70),'01_Input'!$U$70,0),MAX(MIN(AZ$20,'01_Input'!$S$70)-'01_Input'!$R$70,0)*'01_Input'!$U$70))+IF('01_Input'!$X$70="Forfait",IF(AZ$20&gt;='01_Input'!$V$70,'01_Input'!$Y$70,0),IF('01_Input'!$X$70="Palier",IF(AND(AZ$20&gt;='01_Input'!$V$70,AZ$20&lt;'01_Input'!$W$70),'01_Input'!$Y$70,0),MAX(MIN(AZ$20,'01_Input'!$W$70)-'01_Input'!$V$70,0)*'01_Input'!$Y$70))+IF('01_Input'!$AB$70="Forfait",IF(AZ$20&gt;='01_Input'!$Z$70,'01_Input'!$AC$70,0),IF('01_Input'!$AB$70="Palier",IF(AND(AZ$20&gt;='01_Input'!$Z$70,AZ$20&lt;'01_Input'!$AA$70),'01_Input'!$AC$70,0),MAX(MIN(AZ$20,'01_Input'!$AA$70)-'01_Input'!$Z$70,0)*'01_Input'!$AC$70)))))))))</f>
        <v>0</v>
      </c>
      <c r="BA38" s="83">
        <f>IF('01_Input'!$C$70="Non",0,MIN('01_Input'!$I$70,MAX('01_Input'!$H$70,IF('01_Input'!$G$70="Résiduel vs Gestion",0,IF('01_Input'!$G$70="Taux Classe sélectionnée",Distrib_Global_Classe_Selectionnee*BA$20,IF('01_Input'!$G$70="Frais KYC (paliers de 100M€)",MAX(0,Nb_Investisseurs-Nb_KYC_Gratuites_Par_Tranche*(FLOOR(BA$20/Taille_Tranche_KYC,1)+1))*Cout_Par_KYC_Supplementaire,(IF('01_Input'!$L$70="Forfait",IF(BA$20&gt;='01_Input'!$J$70,'01_Input'!$M$70,0),IF('01_Input'!$L$70="Palier",IF(AND(BA$20&gt;='01_Input'!$J$70,BA$20&lt;'01_Input'!$K$70),'01_Input'!$M$70,0),MAX(MIN(BA$20,'01_Input'!$K$70)-'01_Input'!$J$70,0)*'01_Input'!$M$70))+IF('01_Input'!$P$70="Forfait",IF(BA$20&gt;='01_Input'!$N$70,'01_Input'!$Q$70,0),IF('01_Input'!$P$70="Palier",IF(AND(BA$20&gt;='01_Input'!$N$70,BA$20&lt;'01_Input'!$O$70),'01_Input'!$Q$70,0),MAX(MIN(BA$20,'01_Input'!$O$70)-'01_Input'!$N$70,0)*'01_Input'!$Q$70))+IF('01_Input'!$T$70="Forfait",IF(BA$20&gt;='01_Input'!$R$70,'01_Input'!$U$70,0),IF('01_Input'!$T$70="Palier",IF(AND(BA$20&gt;='01_Input'!$R$70,BA$20&lt;'01_Input'!$S$70),'01_Input'!$U$70,0),MAX(MIN(BA$20,'01_Input'!$S$70)-'01_Input'!$R$70,0)*'01_Input'!$U$70))+IF('01_Input'!$X$70="Forfait",IF(BA$20&gt;='01_Input'!$V$70,'01_Input'!$Y$70,0),IF('01_Input'!$X$70="Palier",IF(AND(BA$20&gt;='01_Input'!$V$70,BA$20&lt;'01_Input'!$W$70),'01_Input'!$Y$70,0),MAX(MIN(BA$20,'01_Input'!$W$70)-'01_Input'!$V$70,0)*'01_Input'!$Y$70))+IF('01_Input'!$AB$70="Forfait",IF(BA$20&gt;='01_Input'!$Z$70,'01_Input'!$AC$70,0),IF('01_Input'!$AB$70="Palier",IF(AND(BA$20&gt;='01_Input'!$Z$70,BA$20&lt;'01_Input'!$AA$70),'01_Input'!$AC$70,0),MAX(MIN(BA$20,'01_Input'!$AA$70)-'01_Input'!$Z$70,0)*'01_Input'!$AC$70)))))))))</f>
        <v>0</v>
      </c>
      <c r="BB38" s="83">
        <f>IF('01_Input'!$C$70="Non",0,MIN('01_Input'!$I$70,MAX('01_Input'!$H$70,IF('01_Input'!$G$70="Résiduel vs Gestion",0,IF('01_Input'!$G$70="Taux Classe sélectionnée",Distrib_Global_Classe_Selectionnee*BB$20,IF('01_Input'!$G$70="Frais KYC (paliers de 100M€)",MAX(0,Nb_Investisseurs-Nb_KYC_Gratuites_Par_Tranche*(FLOOR(BB$20/Taille_Tranche_KYC,1)+1))*Cout_Par_KYC_Supplementaire,(IF('01_Input'!$L$70="Forfait",IF(BB$20&gt;='01_Input'!$J$70,'01_Input'!$M$70,0),IF('01_Input'!$L$70="Palier",IF(AND(BB$20&gt;='01_Input'!$J$70,BB$20&lt;'01_Input'!$K$70),'01_Input'!$M$70,0),MAX(MIN(BB$20,'01_Input'!$K$70)-'01_Input'!$J$70,0)*'01_Input'!$M$70))+IF('01_Input'!$P$70="Forfait",IF(BB$20&gt;='01_Input'!$N$70,'01_Input'!$Q$70,0),IF('01_Input'!$P$70="Palier",IF(AND(BB$20&gt;='01_Input'!$N$70,BB$20&lt;'01_Input'!$O$70),'01_Input'!$Q$70,0),MAX(MIN(BB$20,'01_Input'!$O$70)-'01_Input'!$N$70,0)*'01_Input'!$Q$70))+IF('01_Input'!$T$70="Forfait",IF(BB$20&gt;='01_Input'!$R$70,'01_Input'!$U$70,0),IF('01_Input'!$T$70="Palier",IF(AND(BB$20&gt;='01_Input'!$R$70,BB$20&lt;'01_Input'!$S$70),'01_Input'!$U$70,0),MAX(MIN(BB$20,'01_Input'!$S$70)-'01_Input'!$R$70,0)*'01_Input'!$U$70))+IF('01_Input'!$X$70="Forfait",IF(BB$20&gt;='01_Input'!$V$70,'01_Input'!$Y$70,0),IF('01_Input'!$X$70="Palier",IF(AND(BB$20&gt;='01_Input'!$V$70,BB$20&lt;'01_Input'!$W$70),'01_Input'!$Y$70,0),MAX(MIN(BB$20,'01_Input'!$W$70)-'01_Input'!$V$70,0)*'01_Input'!$Y$70))+IF('01_Input'!$AB$70="Forfait",IF(BB$20&gt;='01_Input'!$Z$70,'01_Input'!$AC$70,0),IF('01_Input'!$AB$70="Palier",IF(AND(BB$20&gt;='01_Input'!$Z$70,BB$20&lt;'01_Input'!$AA$70),'01_Input'!$AC$70,0),MAX(MIN(BB$20,'01_Input'!$AA$70)-'01_Input'!$Z$70,0)*'01_Input'!$AC$70)))))))))</f>
        <v>0</v>
      </c>
      <c r="BC38" s="83">
        <f>IF('01_Input'!$C$70="Non",0,MIN('01_Input'!$I$70,MAX('01_Input'!$H$70,IF('01_Input'!$G$70="Résiduel vs Gestion",0,IF('01_Input'!$G$70="Taux Classe sélectionnée",Distrib_Global_Classe_Selectionnee*BC$20,IF('01_Input'!$G$70="Frais KYC (paliers de 100M€)",MAX(0,Nb_Investisseurs-Nb_KYC_Gratuites_Par_Tranche*(FLOOR(BC$20/Taille_Tranche_KYC,1)+1))*Cout_Par_KYC_Supplementaire,(IF('01_Input'!$L$70="Forfait",IF(BC$20&gt;='01_Input'!$J$70,'01_Input'!$M$70,0),IF('01_Input'!$L$70="Palier",IF(AND(BC$20&gt;='01_Input'!$J$70,BC$20&lt;'01_Input'!$K$70),'01_Input'!$M$70,0),MAX(MIN(BC$20,'01_Input'!$K$70)-'01_Input'!$J$70,0)*'01_Input'!$M$70))+IF('01_Input'!$P$70="Forfait",IF(BC$20&gt;='01_Input'!$N$70,'01_Input'!$Q$70,0),IF('01_Input'!$P$70="Palier",IF(AND(BC$20&gt;='01_Input'!$N$70,BC$20&lt;'01_Input'!$O$70),'01_Input'!$Q$70,0),MAX(MIN(BC$20,'01_Input'!$O$70)-'01_Input'!$N$70,0)*'01_Input'!$Q$70))+IF('01_Input'!$T$70="Forfait",IF(BC$20&gt;='01_Input'!$R$70,'01_Input'!$U$70,0),IF('01_Input'!$T$70="Palier",IF(AND(BC$20&gt;='01_Input'!$R$70,BC$20&lt;'01_Input'!$S$70),'01_Input'!$U$70,0),MAX(MIN(BC$20,'01_Input'!$S$70)-'01_Input'!$R$70,0)*'01_Input'!$U$70))+IF('01_Input'!$X$70="Forfait",IF(BC$20&gt;='01_Input'!$V$70,'01_Input'!$Y$70,0),IF('01_Input'!$X$70="Palier",IF(AND(BC$20&gt;='01_Input'!$V$70,BC$20&lt;'01_Input'!$W$70),'01_Input'!$Y$70,0),MAX(MIN(BC$20,'01_Input'!$W$70)-'01_Input'!$V$70,0)*'01_Input'!$Y$70))+IF('01_Input'!$AB$70="Forfait",IF(BC$20&gt;='01_Input'!$Z$70,'01_Input'!$AC$70,0),IF('01_Input'!$AB$70="Palier",IF(AND(BC$20&gt;='01_Input'!$Z$70,BC$20&lt;'01_Input'!$AA$70),'01_Input'!$AC$70,0),MAX(MIN(BC$20,'01_Input'!$AA$70)-'01_Input'!$Z$70,0)*'01_Input'!$AC$70)))))))))</f>
        <v>0</v>
      </c>
      <c r="BD38" s="83">
        <f>IF('01_Input'!$C$70="Non",0,MIN('01_Input'!$I$70,MAX('01_Input'!$H$70,IF('01_Input'!$G$70="Résiduel vs Gestion",0,IF('01_Input'!$G$70="Taux Classe sélectionnée",Distrib_Global_Classe_Selectionnee*BD$20,IF('01_Input'!$G$70="Frais KYC (paliers de 100M€)",MAX(0,Nb_Investisseurs-Nb_KYC_Gratuites_Par_Tranche*(FLOOR(BD$20/Taille_Tranche_KYC,1)+1))*Cout_Par_KYC_Supplementaire,(IF('01_Input'!$L$70="Forfait",IF(BD$20&gt;='01_Input'!$J$70,'01_Input'!$M$70,0),IF('01_Input'!$L$70="Palier",IF(AND(BD$20&gt;='01_Input'!$J$70,BD$20&lt;'01_Input'!$K$70),'01_Input'!$M$70,0),MAX(MIN(BD$20,'01_Input'!$K$70)-'01_Input'!$J$70,0)*'01_Input'!$M$70))+IF('01_Input'!$P$70="Forfait",IF(BD$20&gt;='01_Input'!$N$70,'01_Input'!$Q$70,0),IF('01_Input'!$P$70="Palier",IF(AND(BD$20&gt;='01_Input'!$N$70,BD$20&lt;'01_Input'!$O$70),'01_Input'!$Q$70,0),MAX(MIN(BD$20,'01_Input'!$O$70)-'01_Input'!$N$70,0)*'01_Input'!$Q$70))+IF('01_Input'!$T$70="Forfait",IF(BD$20&gt;='01_Input'!$R$70,'01_Input'!$U$70,0),IF('01_Input'!$T$70="Palier",IF(AND(BD$20&gt;='01_Input'!$R$70,BD$20&lt;'01_Input'!$S$70),'01_Input'!$U$70,0),MAX(MIN(BD$20,'01_Input'!$S$70)-'01_Input'!$R$70,0)*'01_Input'!$U$70))+IF('01_Input'!$X$70="Forfait",IF(BD$20&gt;='01_Input'!$V$70,'01_Input'!$Y$70,0),IF('01_Input'!$X$70="Palier",IF(AND(BD$20&gt;='01_Input'!$V$70,BD$20&lt;'01_Input'!$W$70),'01_Input'!$Y$70,0),MAX(MIN(BD$20,'01_Input'!$W$70)-'01_Input'!$V$70,0)*'01_Input'!$Y$70))+IF('01_Input'!$AB$70="Forfait",IF(BD$20&gt;='01_Input'!$Z$70,'01_Input'!$AC$70,0),IF('01_Input'!$AB$70="Palier",IF(AND(BD$20&gt;='01_Input'!$Z$70,BD$20&lt;'01_Input'!$AA$70),'01_Input'!$AC$70,0),MAX(MIN(BD$20,'01_Input'!$AA$70)-'01_Input'!$Z$70,0)*'01_Input'!$AC$70)))))))))</f>
        <v>0</v>
      </c>
      <c r="BE38" s="83">
        <f>IF('01_Input'!$C$70="Non",0,MIN('01_Input'!$I$70,MAX('01_Input'!$H$70,IF('01_Input'!$G$70="Résiduel vs Gestion",0,IF('01_Input'!$G$70="Taux Classe sélectionnée",Distrib_Global_Classe_Selectionnee*BE$20,IF('01_Input'!$G$70="Frais KYC (paliers de 100M€)",MAX(0,Nb_Investisseurs-Nb_KYC_Gratuites_Par_Tranche*(FLOOR(BE$20/Taille_Tranche_KYC,1)+1))*Cout_Par_KYC_Supplementaire,(IF('01_Input'!$L$70="Forfait",IF(BE$20&gt;='01_Input'!$J$70,'01_Input'!$M$70,0),IF('01_Input'!$L$70="Palier",IF(AND(BE$20&gt;='01_Input'!$J$70,BE$20&lt;'01_Input'!$K$70),'01_Input'!$M$70,0),MAX(MIN(BE$20,'01_Input'!$K$70)-'01_Input'!$J$70,0)*'01_Input'!$M$70))+IF('01_Input'!$P$70="Forfait",IF(BE$20&gt;='01_Input'!$N$70,'01_Input'!$Q$70,0),IF('01_Input'!$P$70="Palier",IF(AND(BE$20&gt;='01_Input'!$N$70,BE$20&lt;'01_Input'!$O$70),'01_Input'!$Q$70,0),MAX(MIN(BE$20,'01_Input'!$O$70)-'01_Input'!$N$70,0)*'01_Input'!$Q$70))+IF('01_Input'!$T$70="Forfait",IF(BE$20&gt;='01_Input'!$R$70,'01_Input'!$U$70,0),IF('01_Input'!$T$70="Palier",IF(AND(BE$20&gt;='01_Input'!$R$70,BE$20&lt;'01_Input'!$S$70),'01_Input'!$U$70,0),MAX(MIN(BE$20,'01_Input'!$S$70)-'01_Input'!$R$70,0)*'01_Input'!$U$70))+IF('01_Input'!$X$70="Forfait",IF(BE$20&gt;='01_Input'!$V$70,'01_Input'!$Y$70,0),IF('01_Input'!$X$70="Palier",IF(AND(BE$20&gt;='01_Input'!$V$70,BE$20&lt;'01_Input'!$W$70),'01_Input'!$Y$70,0),MAX(MIN(BE$20,'01_Input'!$W$70)-'01_Input'!$V$70,0)*'01_Input'!$Y$70))+IF('01_Input'!$AB$70="Forfait",IF(BE$20&gt;='01_Input'!$Z$70,'01_Input'!$AC$70,0),IF('01_Input'!$AB$70="Palier",IF(AND(BE$20&gt;='01_Input'!$Z$70,BE$20&lt;'01_Input'!$AA$70),'01_Input'!$AC$70,0),MAX(MIN(BE$20,'01_Input'!$AA$70)-'01_Input'!$Z$70,0)*'01_Input'!$AC$70)))))))))</f>
        <v>0</v>
      </c>
      <c r="BF38" s="83">
        <f>IF('01_Input'!$C$70="Non",0,MIN('01_Input'!$I$70,MAX('01_Input'!$H$70,IF('01_Input'!$G$70="Résiduel vs Gestion",0,IF('01_Input'!$G$70="Taux Classe sélectionnée",Distrib_Global_Classe_Selectionnee*BF$20,IF('01_Input'!$G$70="Frais KYC (paliers de 100M€)",MAX(0,Nb_Investisseurs-Nb_KYC_Gratuites_Par_Tranche*(FLOOR(BF$20/Taille_Tranche_KYC,1)+1))*Cout_Par_KYC_Supplementaire,(IF('01_Input'!$L$70="Forfait",IF(BF$20&gt;='01_Input'!$J$70,'01_Input'!$M$70,0),IF('01_Input'!$L$70="Palier",IF(AND(BF$20&gt;='01_Input'!$J$70,BF$20&lt;'01_Input'!$K$70),'01_Input'!$M$70,0),MAX(MIN(BF$20,'01_Input'!$K$70)-'01_Input'!$J$70,0)*'01_Input'!$M$70))+IF('01_Input'!$P$70="Forfait",IF(BF$20&gt;='01_Input'!$N$70,'01_Input'!$Q$70,0),IF('01_Input'!$P$70="Palier",IF(AND(BF$20&gt;='01_Input'!$N$70,BF$20&lt;'01_Input'!$O$70),'01_Input'!$Q$70,0),MAX(MIN(BF$20,'01_Input'!$O$70)-'01_Input'!$N$70,0)*'01_Input'!$Q$70))+IF('01_Input'!$T$70="Forfait",IF(BF$20&gt;='01_Input'!$R$70,'01_Input'!$U$70,0),IF('01_Input'!$T$70="Palier",IF(AND(BF$20&gt;='01_Input'!$R$70,BF$20&lt;'01_Input'!$S$70),'01_Input'!$U$70,0),MAX(MIN(BF$20,'01_Input'!$S$70)-'01_Input'!$R$70,0)*'01_Input'!$U$70))+IF('01_Input'!$X$70="Forfait",IF(BF$20&gt;='01_Input'!$V$70,'01_Input'!$Y$70,0),IF('01_Input'!$X$70="Palier",IF(AND(BF$20&gt;='01_Input'!$V$70,BF$20&lt;'01_Input'!$W$70),'01_Input'!$Y$70,0),MAX(MIN(BF$20,'01_Input'!$W$70)-'01_Input'!$V$70,0)*'01_Input'!$Y$70))+IF('01_Input'!$AB$70="Forfait",IF(BF$20&gt;='01_Input'!$Z$70,'01_Input'!$AC$70,0),IF('01_Input'!$AB$70="Palier",IF(AND(BF$20&gt;='01_Input'!$Z$70,BF$20&lt;'01_Input'!$AA$70),'01_Input'!$AC$70,0),MAX(MIN(BF$20,'01_Input'!$AA$70)-'01_Input'!$Z$70,0)*'01_Input'!$AC$70)))))))))</f>
        <v>0</v>
      </c>
      <c r="BG38" s="83">
        <f>IF('01_Input'!$C$70="Non",0,MIN('01_Input'!$I$70,MAX('01_Input'!$H$70,IF('01_Input'!$G$70="Résiduel vs Gestion",0,IF('01_Input'!$G$70="Taux Classe sélectionnée",Distrib_Global_Classe_Selectionnee*BG$20,IF('01_Input'!$G$70="Frais KYC (paliers de 100M€)",MAX(0,Nb_Investisseurs-Nb_KYC_Gratuites_Par_Tranche*(FLOOR(BG$20/Taille_Tranche_KYC,1)+1))*Cout_Par_KYC_Supplementaire,(IF('01_Input'!$L$70="Forfait",IF(BG$20&gt;='01_Input'!$J$70,'01_Input'!$M$70,0),IF('01_Input'!$L$70="Palier",IF(AND(BG$20&gt;='01_Input'!$J$70,BG$20&lt;'01_Input'!$K$70),'01_Input'!$M$70,0),MAX(MIN(BG$20,'01_Input'!$K$70)-'01_Input'!$J$70,0)*'01_Input'!$M$70))+IF('01_Input'!$P$70="Forfait",IF(BG$20&gt;='01_Input'!$N$70,'01_Input'!$Q$70,0),IF('01_Input'!$P$70="Palier",IF(AND(BG$20&gt;='01_Input'!$N$70,BG$20&lt;'01_Input'!$O$70),'01_Input'!$Q$70,0),MAX(MIN(BG$20,'01_Input'!$O$70)-'01_Input'!$N$70,0)*'01_Input'!$Q$70))+IF('01_Input'!$T$70="Forfait",IF(BG$20&gt;='01_Input'!$R$70,'01_Input'!$U$70,0),IF('01_Input'!$T$70="Palier",IF(AND(BG$20&gt;='01_Input'!$R$70,BG$20&lt;'01_Input'!$S$70),'01_Input'!$U$70,0),MAX(MIN(BG$20,'01_Input'!$S$70)-'01_Input'!$R$70,0)*'01_Input'!$U$70))+IF('01_Input'!$X$70="Forfait",IF(BG$20&gt;='01_Input'!$V$70,'01_Input'!$Y$70,0),IF('01_Input'!$X$70="Palier",IF(AND(BG$20&gt;='01_Input'!$V$70,BG$20&lt;'01_Input'!$W$70),'01_Input'!$Y$70,0),MAX(MIN(BG$20,'01_Input'!$W$70)-'01_Input'!$V$70,0)*'01_Input'!$Y$70))+IF('01_Input'!$AB$70="Forfait",IF(BG$20&gt;='01_Input'!$Z$70,'01_Input'!$AC$70,0),IF('01_Input'!$AB$70="Palier",IF(AND(BG$20&gt;='01_Input'!$Z$70,BG$20&lt;'01_Input'!$AA$70),'01_Input'!$AC$70,0),MAX(MIN(BG$20,'01_Input'!$AA$70)-'01_Input'!$Z$70,0)*'01_Input'!$AC$70)))))))))</f>
        <v>0</v>
      </c>
      <c r="BH38" s="83">
        <f>IF('01_Input'!$C$70="Non",0,MIN('01_Input'!$I$70,MAX('01_Input'!$H$70,IF('01_Input'!$G$70="Résiduel vs Gestion",0,IF('01_Input'!$G$70="Taux Classe sélectionnée",Distrib_Global_Classe_Selectionnee*BH$20,IF('01_Input'!$G$70="Frais KYC (paliers de 100M€)",MAX(0,Nb_Investisseurs-Nb_KYC_Gratuites_Par_Tranche*(FLOOR(BH$20/Taille_Tranche_KYC,1)+1))*Cout_Par_KYC_Supplementaire,(IF('01_Input'!$L$70="Forfait",IF(BH$20&gt;='01_Input'!$J$70,'01_Input'!$M$70,0),IF('01_Input'!$L$70="Palier",IF(AND(BH$20&gt;='01_Input'!$J$70,BH$20&lt;'01_Input'!$K$70),'01_Input'!$M$70,0),MAX(MIN(BH$20,'01_Input'!$K$70)-'01_Input'!$J$70,0)*'01_Input'!$M$70))+IF('01_Input'!$P$70="Forfait",IF(BH$20&gt;='01_Input'!$N$70,'01_Input'!$Q$70,0),IF('01_Input'!$P$70="Palier",IF(AND(BH$20&gt;='01_Input'!$N$70,BH$20&lt;'01_Input'!$O$70),'01_Input'!$Q$70,0),MAX(MIN(BH$20,'01_Input'!$O$70)-'01_Input'!$N$70,0)*'01_Input'!$Q$70))+IF('01_Input'!$T$70="Forfait",IF(BH$20&gt;='01_Input'!$R$70,'01_Input'!$U$70,0),IF('01_Input'!$T$70="Palier",IF(AND(BH$20&gt;='01_Input'!$R$70,BH$20&lt;'01_Input'!$S$70),'01_Input'!$U$70,0),MAX(MIN(BH$20,'01_Input'!$S$70)-'01_Input'!$R$70,0)*'01_Input'!$U$70))+IF('01_Input'!$X$70="Forfait",IF(BH$20&gt;='01_Input'!$V$70,'01_Input'!$Y$70,0),IF('01_Input'!$X$70="Palier",IF(AND(BH$20&gt;='01_Input'!$V$70,BH$20&lt;'01_Input'!$W$70),'01_Input'!$Y$70,0),MAX(MIN(BH$20,'01_Input'!$W$70)-'01_Input'!$V$70,0)*'01_Input'!$Y$70))+IF('01_Input'!$AB$70="Forfait",IF(BH$20&gt;='01_Input'!$Z$70,'01_Input'!$AC$70,0),IF('01_Input'!$AB$70="Palier",IF(AND(BH$20&gt;='01_Input'!$Z$70,BH$20&lt;'01_Input'!$AA$70),'01_Input'!$AC$70,0),MAX(MIN(BH$20,'01_Input'!$AA$70)-'01_Input'!$Z$70,0)*'01_Input'!$AC$70)))))))))</f>
        <v>0</v>
      </c>
      <c r="BI38" s="83">
        <f>IF('01_Input'!$C$70="Non",0,MIN('01_Input'!$I$70,MAX('01_Input'!$H$70,IF('01_Input'!$G$70="Résiduel vs Gestion",0,IF('01_Input'!$G$70="Taux Classe sélectionnée",Distrib_Global_Classe_Selectionnee*BI$20,IF('01_Input'!$G$70="Frais KYC (paliers de 100M€)",MAX(0,Nb_Investisseurs-Nb_KYC_Gratuites_Par_Tranche*(FLOOR(BI$20/Taille_Tranche_KYC,1)+1))*Cout_Par_KYC_Supplementaire,(IF('01_Input'!$L$70="Forfait",IF(BI$20&gt;='01_Input'!$J$70,'01_Input'!$M$70,0),IF('01_Input'!$L$70="Palier",IF(AND(BI$20&gt;='01_Input'!$J$70,BI$20&lt;'01_Input'!$K$70),'01_Input'!$M$70,0),MAX(MIN(BI$20,'01_Input'!$K$70)-'01_Input'!$J$70,0)*'01_Input'!$M$70))+IF('01_Input'!$P$70="Forfait",IF(BI$20&gt;='01_Input'!$N$70,'01_Input'!$Q$70,0),IF('01_Input'!$P$70="Palier",IF(AND(BI$20&gt;='01_Input'!$N$70,BI$20&lt;'01_Input'!$O$70),'01_Input'!$Q$70,0),MAX(MIN(BI$20,'01_Input'!$O$70)-'01_Input'!$N$70,0)*'01_Input'!$Q$70))+IF('01_Input'!$T$70="Forfait",IF(BI$20&gt;='01_Input'!$R$70,'01_Input'!$U$70,0),IF('01_Input'!$T$70="Palier",IF(AND(BI$20&gt;='01_Input'!$R$70,BI$20&lt;'01_Input'!$S$70),'01_Input'!$U$70,0),MAX(MIN(BI$20,'01_Input'!$S$70)-'01_Input'!$R$70,0)*'01_Input'!$U$70))+IF('01_Input'!$X$70="Forfait",IF(BI$20&gt;='01_Input'!$V$70,'01_Input'!$Y$70,0),IF('01_Input'!$X$70="Palier",IF(AND(BI$20&gt;='01_Input'!$V$70,BI$20&lt;'01_Input'!$W$70),'01_Input'!$Y$70,0),MAX(MIN(BI$20,'01_Input'!$W$70)-'01_Input'!$V$70,0)*'01_Input'!$Y$70))+IF('01_Input'!$AB$70="Forfait",IF(BI$20&gt;='01_Input'!$Z$70,'01_Input'!$AC$70,0),IF('01_Input'!$AB$70="Palier",IF(AND(BI$20&gt;='01_Input'!$Z$70,BI$20&lt;'01_Input'!$AA$70),'01_Input'!$AC$70,0),MAX(MIN(BI$20,'01_Input'!$AA$70)-'01_Input'!$Z$70,0)*'01_Input'!$AC$70)))))))))</f>
        <v>0</v>
      </c>
      <c r="BJ38" s="83">
        <f>IF('01_Input'!$C$70="Non",0,MIN('01_Input'!$I$70,MAX('01_Input'!$H$70,IF('01_Input'!$G$70="Résiduel vs Gestion",0,IF('01_Input'!$G$70="Taux Classe sélectionnée",Distrib_Global_Classe_Selectionnee*BJ$20,IF('01_Input'!$G$70="Frais KYC (paliers de 100M€)",MAX(0,Nb_Investisseurs-Nb_KYC_Gratuites_Par_Tranche*(FLOOR(BJ$20/Taille_Tranche_KYC,1)+1))*Cout_Par_KYC_Supplementaire,(IF('01_Input'!$L$70="Forfait",IF(BJ$20&gt;='01_Input'!$J$70,'01_Input'!$M$70,0),IF('01_Input'!$L$70="Palier",IF(AND(BJ$20&gt;='01_Input'!$J$70,BJ$20&lt;'01_Input'!$K$70),'01_Input'!$M$70,0),MAX(MIN(BJ$20,'01_Input'!$K$70)-'01_Input'!$J$70,0)*'01_Input'!$M$70))+IF('01_Input'!$P$70="Forfait",IF(BJ$20&gt;='01_Input'!$N$70,'01_Input'!$Q$70,0),IF('01_Input'!$P$70="Palier",IF(AND(BJ$20&gt;='01_Input'!$N$70,BJ$20&lt;'01_Input'!$O$70),'01_Input'!$Q$70,0),MAX(MIN(BJ$20,'01_Input'!$O$70)-'01_Input'!$N$70,0)*'01_Input'!$Q$70))+IF('01_Input'!$T$70="Forfait",IF(BJ$20&gt;='01_Input'!$R$70,'01_Input'!$U$70,0),IF('01_Input'!$T$70="Palier",IF(AND(BJ$20&gt;='01_Input'!$R$70,BJ$20&lt;'01_Input'!$S$70),'01_Input'!$U$70,0),MAX(MIN(BJ$20,'01_Input'!$S$70)-'01_Input'!$R$70,0)*'01_Input'!$U$70))+IF('01_Input'!$X$70="Forfait",IF(BJ$20&gt;='01_Input'!$V$70,'01_Input'!$Y$70,0),IF('01_Input'!$X$70="Palier",IF(AND(BJ$20&gt;='01_Input'!$V$70,BJ$20&lt;'01_Input'!$W$70),'01_Input'!$Y$70,0),MAX(MIN(BJ$20,'01_Input'!$W$70)-'01_Input'!$V$70,0)*'01_Input'!$Y$70))+IF('01_Input'!$AB$70="Forfait",IF(BJ$20&gt;='01_Input'!$Z$70,'01_Input'!$AC$70,0),IF('01_Input'!$AB$70="Palier",IF(AND(BJ$20&gt;='01_Input'!$Z$70,BJ$20&lt;'01_Input'!$AA$70),'01_Input'!$AC$70,0),MAX(MIN(BJ$20,'01_Input'!$AA$70)-'01_Input'!$Z$70,0)*'01_Input'!$AC$70)))))))))</f>
        <v>0</v>
      </c>
      <c r="BK38" s="83">
        <f>IF('01_Input'!$C$70="Non",0,MIN('01_Input'!$I$70,MAX('01_Input'!$H$70,IF('01_Input'!$G$70="Résiduel vs Gestion",0,IF('01_Input'!$G$70="Taux Classe sélectionnée",Distrib_Global_Classe_Selectionnee*BK$20,IF('01_Input'!$G$70="Frais KYC (paliers de 100M€)",MAX(0,Nb_Investisseurs-Nb_KYC_Gratuites_Par_Tranche*(FLOOR(BK$20/Taille_Tranche_KYC,1)+1))*Cout_Par_KYC_Supplementaire,(IF('01_Input'!$L$70="Forfait",IF(BK$20&gt;='01_Input'!$J$70,'01_Input'!$M$70,0),IF('01_Input'!$L$70="Palier",IF(AND(BK$20&gt;='01_Input'!$J$70,BK$20&lt;'01_Input'!$K$70),'01_Input'!$M$70,0),MAX(MIN(BK$20,'01_Input'!$K$70)-'01_Input'!$J$70,0)*'01_Input'!$M$70))+IF('01_Input'!$P$70="Forfait",IF(BK$20&gt;='01_Input'!$N$70,'01_Input'!$Q$70,0),IF('01_Input'!$P$70="Palier",IF(AND(BK$20&gt;='01_Input'!$N$70,BK$20&lt;'01_Input'!$O$70),'01_Input'!$Q$70,0),MAX(MIN(BK$20,'01_Input'!$O$70)-'01_Input'!$N$70,0)*'01_Input'!$Q$70))+IF('01_Input'!$T$70="Forfait",IF(BK$20&gt;='01_Input'!$R$70,'01_Input'!$U$70,0),IF('01_Input'!$T$70="Palier",IF(AND(BK$20&gt;='01_Input'!$R$70,BK$20&lt;'01_Input'!$S$70),'01_Input'!$U$70,0),MAX(MIN(BK$20,'01_Input'!$S$70)-'01_Input'!$R$70,0)*'01_Input'!$U$70))+IF('01_Input'!$X$70="Forfait",IF(BK$20&gt;='01_Input'!$V$70,'01_Input'!$Y$70,0),IF('01_Input'!$X$70="Palier",IF(AND(BK$20&gt;='01_Input'!$V$70,BK$20&lt;'01_Input'!$W$70),'01_Input'!$Y$70,0),MAX(MIN(BK$20,'01_Input'!$W$70)-'01_Input'!$V$70,0)*'01_Input'!$Y$70))+IF('01_Input'!$AB$70="Forfait",IF(BK$20&gt;='01_Input'!$Z$70,'01_Input'!$AC$70,0),IF('01_Input'!$AB$70="Palier",IF(AND(BK$20&gt;='01_Input'!$Z$70,BK$20&lt;'01_Input'!$AA$70),'01_Input'!$AC$70,0),MAX(MIN(BK$20,'01_Input'!$AA$70)-'01_Input'!$Z$70,0)*'01_Input'!$AC$70)))))))))</f>
        <v>0</v>
      </c>
      <c r="BL38" s="83">
        <f>IF('01_Input'!$C$70="Non",0,MIN('01_Input'!$I$70,MAX('01_Input'!$H$70,IF('01_Input'!$G$70="Résiduel vs Gestion",0,IF('01_Input'!$G$70="Taux Classe sélectionnée",Distrib_Global_Classe_Selectionnee*BL$20,IF('01_Input'!$G$70="Frais KYC (paliers de 100M€)",MAX(0,Nb_Investisseurs-Nb_KYC_Gratuites_Par_Tranche*(FLOOR(BL$20/Taille_Tranche_KYC,1)+1))*Cout_Par_KYC_Supplementaire,(IF('01_Input'!$L$70="Forfait",IF(BL$20&gt;='01_Input'!$J$70,'01_Input'!$M$70,0),IF('01_Input'!$L$70="Palier",IF(AND(BL$20&gt;='01_Input'!$J$70,BL$20&lt;'01_Input'!$K$70),'01_Input'!$M$70,0),MAX(MIN(BL$20,'01_Input'!$K$70)-'01_Input'!$J$70,0)*'01_Input'!$M$70))+IF('01_Input'!$P$70="Forfait",IF(BL$20&gt;='01_Input'!$N$70,'01_Input'!$Q$70,0),IF('01_Input'!$P$70="Palier",IF(AND(BL$20&gt;='01_Input'!$N$70,BL$20&lt;'01_Input'!$O$70),'01_Input'!$Q$70,0),MAX(MIN(BL$20,'01_Input'!$O$70)-'01_Input'!$N$70,0)*'01_Input'!$Q$70))+IF('01_Input'!$T$70="Forfait",IF(BL$20&gt;='01_Input'!$R$70,'01_Input'!$U$70,0),IF('01_Input'!$T$70="Palier",IF(AND(BL$20&gt;='01_Input'!$R$70,BL$20&lt;'01_Input'!$S$70),'01_Input'!$U$70,0),MAX(MIN(BL$20,'01_Input'!$S$70)-'01_Input'!$R$70,0)*'01_Input'!$U$70))+IF('01_Input'!$X$70="Forfait",IF(BL$20&gt;='01_Input'!$V$70,'01_Input'!$Y$70,0),IF('01_Input'!$X$70="Palier",IF(AND(BL$20&gt;='01_Input'!$V$70,BL$20&lt;'01_Input'!$W$70),'01_Input'!$Y$70,0),MAX(MIN(BL$20,'01_Input'!$W$70)-'01_Input'!$V$70,0)*'01_Input'!$Y$70))+IF('01_Input'!$AB$70="Forfait",IF(BL$20&gt;='01_Input'!$Z$70,'01_Input'!$AC$70,0),IF('01_Input'!$AB$70="Palier",IF(AND(BL$20&gt;='01_Input'!$Z$70,BL$20&lt;'01_Input'!$AA$70),'01_Input'!$AC$70,0),MAX(MIN(BL$20,'01_Input'!$AA$70)-'01_Input'!$Z$70,0)*'01_Input'!$AC$70)))))))))</f>
        <v>0</v>
      </c>
      <c r="BM38" s="83">
        <f>IF('01_Input'!$C$70="Non",0,MIN('01_Input'!$I$70,MAX('01_Input'!$H$70,IF('01_Input'!$G$70="Résiduel vs Gestion",0,IF('01_Input'!$G$70="Taux Classe sélectionnée",Distrib_Global_Classe_Selectionnee*BM$20,IF('01_Input'!$G$70="Frais KYC (paliers de 100M€)",MAX(0,Nb_Investisseurs-Nb_KYC_Gratuites_Par_Tranche*(FLOOR(BM$20/Taille_Tranche_KYC,1)+1))*Cout_Par_KYC_Supplementaire,(IF('01_Input'!$L$70="Forfait",IF(BM$20&gt;='01_Input'!$J$70,'01_Input'!$M$70,0),IF('01_Input'!$L$70="Palier",IF(AND(BM$20&gt;='01_Input'!$J$70,BM$20&lt;'01_Input'!$K$70),'01_Input'!$M$70,0),MAX(MIN(BM$20,'01_Input'!$K$70)-'01_Input'!$J$70,0)*'01_Input'!$M$70))+IF('01_Input'!$P$70="Forfait",IF(BM$20&gt;='01_Input'!$N$70,'01_Input'!$Q$70,0),IF('01_Input'!$P$70="Palier",IF(AND(BM$20&gt;='01_Input'!$N$70,BM$20&lt;'01_Input'!$O$70),'01_Input'!$Q$70,0),MAX(MIN(BM$20,'01_Input'!$O$70)-'01_Input'!$N$70,0)*'01_Input'!$Q$70))+IF('01_Input'!$T$70="Forfait",IF(BM$20&gt;='01_Input'!$R$70,'01_Input'!$U$70,0),IF('01_Input'!$T$70="Palier",IF(AND(BM$20&gt;='01_Input'!$R$70,BM$20&lt;'01_Input'!$S$70),'01_Input'!$U$70,0),MAX(MIN(BM$20,'01_Input'!$S$70)-'01_Input'!$R$70,0)*'01_Input'!$U$70))+IF('01_Input'!$X$70="Forfait",IF(BM$20&gt;='01_Input'!$V$70,'01_Input'!$Y$70,0),IF('01_Input'!$X$70="Palier",IF(AND(BM$20&gt;='01_Input'!$V$70,BM$20&lt;'01_Input'!$W$70),'01_Input'!$Y$70,0),MAX(MIN(BM$20,'01_Input'!$W$70)-'01_Input'!$V$70,0)*'01_Input'!$Y$70))+IF('01_Input'!$AB$70="Forfait",IF(BM$20&gt;='01_Input'!$Z$70,'01_Input'!$AC$70,0),IF('01_Input'!$AB$70="Palier",IF(AND(BM$20&gt;='01_Input'!$Z$70,BM$20&lt;'01_Input'!$AA$70),'01_Input'!$AC$70,0),MAX(MIN(BM$20,'01_Input'!$AA$70)-'01_Input'!$Z$70,0)*'01_Input'!$AC$70)))))))))</f>
        <v>0</v>
      </c>
      <c r="BN38" s="83">
        <f>IF('01_Input'!$C$70="Non",0,MIN('01_Input'!$I$70,MAX('01_Input'!$H$70,IF('01_Input'!$G$70="Résiduel vs Gestion",0,IF('01_Input'!$G$70="Taux Classe sélectionnée",Distrib_Global_Classe_Selectionnee*BN$20,IF('01_Input'!$G$70="Frais KYC (paliers de 100M€)",MAX(0,Nb_Investisseurs-Nb_KYC_Gratuites_Par_Tranche*(FLOOR(BN$20/Taille_Tranche_KYC,1)+1))*Cout_Par_KYC_Supplementaire,(IF('01_Input'!$L$70="Forfait",IF(BN$20&gt;='01_Input'!$J$70,'01_Input'!$M$70,0),IF('01_Input'!$L$70="Palier",IF(AND(BN$20&gt;='01_Input'!$J$70,BN$20&lt;'01_Input'!$K$70),'01_Input'!$M$70,0),MAX(MIN(BN$20,'01_Input'!$K$70)-'01_Input'!$J$70,0)*'01_Input'!$M$70))+IF('01_Input'!$P$70="Forfait",IF(BN$20&gt;='01_Input'!$N$70,'01_Input'!$Q$70,0),IF('01_Input'!$P$70="Palier",IF(AND(BN$20&gt;='01_Input'!$N$70,BN$20&lt;'01_Input'!$O$70),'01_Input'!$Q$70,0),MAX(MIN(BN$20,'01_Input'!$O$70)-'01_Input'!$N$70,0)*'01_Input'!$Q$70))+IF('01_Input'!$T$70="Forfait",IF(BN$20&gt;='01_Input'!$R$70,'01_Input'!$U$70,0),IF('01_Input'!$T$70="Palier",IF(AND(BN$20&gt;='01_Input'!$R$70,BN$20&lt;'01_Input'!$S$70),'01_Input'!$U$70,0),MAX(MIN(BN$20,'01_Input'!$S$70)-'01_Input'!$R$70,0)*'01_Input'!$U$70))+IF('01_Input'!$X$70="Forfait",IF(BN$20&gt;='01_Input'!$V$70,'01_Input'!$Y$70,0),IF('01_Input'!$X$70="Palier",IF(AND(BN$20&gt;='01_Input'!$V$70,BN$20&lt;'01_Input'!$W$70),'01_Input'!$Y$70,0),MAX(MIN(BN$20,'01_Input'!$W$70)-'01_Input'!$V$70,0)*'01_Input'!$Y$70))+IF('01_Input'!$AB$70="Forfait",IF(BN$20&gt;='01_Input'!$Z$70,'01_Input'!$AC$70,0),IF('01_Input'!$AB$70="Palier",IF(AND(BN$20&gt;='01_Input'!$Z$70,BN$20&lt;'01_Input'!$AA$70),'01_Input'!$AC$70,0),MAX(MIN(BN$20,'01_Input'!$AA$70)-'01_Input'!$Z$70,0)*'01_Input'!$AC$70)))))))))</f>
        <v>0</v>
      </c>
      <c r="BO38" s="83">
        <f>IF('01_Input'!$C$70="Non",0,MIN('01_Input'!$I$70,MAX('01_Input'!$H$70,IF('01_Input'!$G$70="Résiduel vs Gestion",0,IF('01_Input'!$G$70="Taux Classe sélectionnée",Distrib_Global_Classe_Selectionnee*BO$20,IF('01_Input'!$G$70="Frais KYC (paliers de 100M€)",MAX(0,Nb_Investisseurs-Nb_KYC_Gratuites_Par_Tranche*(FLOOR(BO$20/Taille_Tranche_KYC,1)+1))*Cout_Par_KYC_Supplementaire,(IF('01_Input'!$L$70="Forfait",IF(BO$20&gt;='01_Input'!$J$70,'01_Input'!$M$70,0),IF('01_Input'!$L$70="Palier",IF(AND(BO$20&gt;='01_Input'!$J$70,BO$20&lt;'01_Input'!$K$70),'01_Input'!$M$70,0),MAX(MIN(BO$20,'01_Input'!$K$70)-'01_Input'!$J$70,0)*'01_Input'!$M$70))+IF('01_Input'!$P$70="Forfait",IF(BO$20&gt;='01_Input'!$N$70,'01_Input'!$Q$70,0),IF('01_Input'!$P$70="Palier",IF(AND(BO$20&gt;='01_Input'!$N$70,BO$20&lt;'01_Input'!$O$70),'01_Input'!$Q$70,0),MAX(MIN(BO$20,'01_Input'!$O$70)-'01_Input'!$N$70,0)*'01_Input'!$Q$70))+IF('01_Input'!$T$70="Forfait",IF(BO$20&gt;='01_Input'!$R$70,'01_Input'!$U$70,0),IF('01_Input'!$T$70="Palier",IF(AND(BO$20&gt;='01_Input'!$R$70,BO$20&lt;'01_Input'!$S$70),'01_Input'!$U$70,0),MAX(MIN(BO$20,'01_Input'!$S$70)-'01_Input'!$R$70,0)*'01_Input'!$U$70))+IF('01_Input'!$X$70="Forfait",IF(BO$20&gt;='01_Input'!$V$70,'01_Input'!$Y$70,0),IF('01_Input'!$X$70="Palier",IF(AND(BO$20&gt;='01_Input'!$V$70,BO$20&lt;'01_Input'!$W$70),'01_Input'!$Y$70,0),MAX(MIN(BO$20,'01_Input'!$W$70)-'01_Input'!$V$70,0)*'01_Input'!$Y$70))+IF('01_Input'!$AB$70="Forfait",IF(BO$20&gt;='01_Input'!$Z$70,'01_Input'!$AC$70,0),IF('01_Input'!$AB$70="Palier",IF(AND(BO$20&gt;='01_Input'!$Z$70,BO$20&lt;'01_Input'!$AA$70),'01_Input'!$AC$70,0),MAX(MIN(BO$20,'01_Input'!$AA$70)-'01_Input'!$Z$70,0)*'01_Input'!$AC$70)))))))))</f>
        <v>0</v>
      </c>
      <c r="BP38" s="83">
        <f>IF('01_Input'!$C$70="Non",0,MIN('01_Input'!$I$70,MAX('01_Input'!$H$70,IF('01_Input'!$G$70="Résiduel vs Gestion",0,IF('01_Input'!$G$70="Taux Classe sélectionnée",Distrib_Global_Classe_Selectionnee*BP$20,IF('01_Input'!$G$70="Frais KYC (paliers de 100M€)",MAX(0,Nb_Investisseurs-Nb_KYC_Gratuites_Par_Tranche*(FLOOR(BP$20/Taille_Tranche_KYC,1)+1))*Cout_Par_KYC_Supplementaire,(IF('01_Input'!$L$70="Forfait",IF(BP$20&gt;='01_Input'!$J$70,'01_Input'!$M$70,0),IF('01_Input'!$L$70="Palier",IF(AND(BP$20&gt;='01_Input'!$J$70,BP$20&lt;'01_Input'!$K$70),'01_Input'!$M$70,0),MAX(MIN(BP$20,'01_Input'!$K$70)-'01_Input'!$J$70,0)*'01_Input'!$M$70))+IF('01_Input'!$P$70="Forfait",IF(BP$20&gt;='01_Input'!$N$70,'01_Input'!$Q$70,0),IF('01_Input'!$P$70="Palier",IF(AND(BP$20&gt;='01_Input'!$N$70,BP$20&lt;'01_Input'!$O$70),'01_Input'!$Q$70,0),MAX(MIN(BP$20,'01_Input'!$O$70)-'01_Input'!$N$70,0)*'01_Input'!$Q$70))+IF('01_Input'!$T$70="Forfait",IF(BP$20&gt;='01_Input'!$R$70,'01_Input'!$U$70,0),IF('01_Input'!$T$70="Palier",IF(AND(BP$20&gt;='01_Input'!$R$70,BP$20&lt;'01_Input'!$S$70),'01_Input'!$U$70,0),MAX(MIN(BP$20,'01_Input'!$S$70)-'01_Input'!$R$70,0)*'01_Input'!$U$70))+IF('01_Input'!$X$70="Forfait",IF(BP$20&gt;='01_Input'!$V$70,'01_Input'!$Y$70,0),IF('01_Input'!$X$70="Palier",IF(AND(BP$20&gt;='01_Input'!$V$70,BP$20&lt;'01_Input'!$W$70),'01_Input'!$Y$70,0),MAX(MIN(BP$20,'01_Input'!$W$70)-'01_Input'!$V$70,0)*'01_Input'!$Y$70))+IF('01_Input'!$AB$70="Forfait",IF(BP$20&gt;='01_Input'!$Z$70,'01_Input'!$AC$70,0),IF('01_Input'!$AB$70="Palier",IF(AND(BP$20&gt;='01_Input'!$Z$70,BP$20&lt;'01_Input'!$AA$70),'01_Input'!$AC$70,0),MAX(MIN(BP$20,'01_Input'!$AA$70)-'01_Input'!$Z$70,0)*'01_Input'!$AC$70)))))))))</f>
        <v>0</v>
      </c>
      <c r="BQ38" s="83">
        <f>IF('01_Input'!$C$70="Non",0,MIN('01_Input'!$I$70,MAX('01_Input'!$H$70,IF('01_Input'!$G$70="Résiduel vs Gestion",0,IF('01_Input'!$G$70="Taux Classe sélectionnée",Distrib_Global_Classe_Selectionnee*BQ$20,IF('01_Input'!$G$70="Frais KYC (paliers de 100M€)",MAX(0,Nb_Investisseurs-Nb_KYC_Gratuites_Par_Tranche*(FLOOR(BQ$20/Taille_Tranche_KYC,1)+1))*Cout_Par_KYC_Supplementaire,(IF('01_Input'!$L$70="Forfait",IF(BQ$20&gt;='01_Input'!$J$70,'01_Input'!$M$70,0),IF('01_Input'!$L$70="Palier",IF(AND(BQ$20&gt;='01_Input'!$J$70,BQ$20&lt;'01_Input'!$K$70),'01_Input'!$M$70,0),MAX(MIN(BQ$20,'01_Input'!$K$70)-'01_Input'!$J$70,0)*'01_Input'!$M$70))+IF('01_Input'!$P$70="Forfait",IF(BQ$20&gt;='01_Input'!$N$70,'01_Input'!$Q$70,0),IF('01_Input'!$P$70="Palier",IF(AND(BQ$20&gt;='01_Input'!$N$70,BQ$20&lt;'01_Input'!$O$70),'01_Input'!$Q$70,0),MAX(MIN(BQ$20,'01_Input'!$O$70)-'01_Input'!$N$70,0)*'01_Input'!$Q$70))+IF('01_Input'!$T$70="Forfait",IF(BQ$20&gt;='01_Input'!$R$70,'01_Input'!$U$70,0),IF('01_Input'!$T$70="Palier",IF(AND(BQ$20&gt;='01_Input'!$R$70,BQ$20&lt;'01_Input'!$S$70),'01_Input'!$U$70,0),MAX(MIN(BQ$20,'01_Input'!$S$70)-'01_Input'!$R$70,0)*'01_Input'!$U$70))+IF('01_Input'!$X$70="Forfait",IF(BQ$20&gt;='01_Input'!$V$70,'01_Input'!$Y$70,0),IF('01_Input'!$X$70="Palier",IF(AND(BQ$20&gt;='01_Input'!$V$70,BQ$20&lt;'01_Input'!$W$70),'01_Input'!$Y$70,0),MAX(MIN(BQ$20,'01_Input'!$W$70)-'01_Input'!$V$70,0)*'01_Input'!$Y$70))+IF('01_Input'!$AB$70="Forfait",IF(BQ$20&gt;='01_Input'!$Z$70,'01_Input'!$AC$70,0),IF('01_Input'!$AB$70="Palier",IF(AND(BQ$20&gt;='01_Input'!$Z$70,BQ$20&lt;'01_Input'!$AA$70),'01_Input'!$AC$70,0),MAX(MIN(BQ$20,'01_Input'!$AA$70)-'01_Input'!$Z$70,0)*'01_Input'!$AC$70)))))))))</f>
        <v>0</v>
      </c>
      <c r="BR38" s="83">
        <f>IF('01_Input'!$C$70="Non",0,MIN('01_Input'!$I$70,MAX('01_Input'!$H$70,IF('01_Input'!$G$70="Résiduel vs Gestion",0,IF('01_Input'!$G$70="Taux Classe sélectionnée",Distrib_Global_Classe_Selectionnee*BR$20,IF('01_Input'!$G$70="Frais KYC (paliers de 100M€)",MAX(0,Nb_Investisseurs-Nb_KYC_Gratuites_Par_Tranche*(FLOOR(BR$20/Taille_Tranche_KYC,1)+1))*Cout_Par_KYC_Supplementaire,(IF('01_Input'!$L$70="Forfait",IF(BR$20&gt;='01_Input'!$J$70,'01_Input'!$M$70,0),IF('01_Input'!$L$70="Palier",IF(AND(BR$20&gt;='01_Input'!$J$70,BR$20&lt;'01_Input'!$K$70),'01_Input'!$M$70,0),MAX(MIN(BR$20,'01_Input'!$K$70)-'01_Input'!$J$70,0)*'01_Input'!$M$70))+IF('01_Input'!$P$70="Forfait",IF(BR$20&gt;='01_Input'!$N$70,'01_Input'!$Q$70,0),IF('01_Input'!$P$70="Palier",IF(AND(BR$20&gt;='01_Input'!$N$70,BR$20&lt;'01_Input'!$O$70),'01_Input'!$Q$70,0),MAX(MIN(BR$20,'01_Input'!$O$70)-'01_Input'!$N$70,0)*'01_Input'!$Q$70))+IF('01_Input'!$T$70="Forfait",IF(BR$20&gt;='01_Input'!$R$70,'01_Input'!$U$70,0),IF('01_Input'!$T$70="Palier",IF(AND(BR$20&gt;='01_Input'!$R$70,BR$20&lt;'01_Input'!$S$70),'01_Input'!$U$70,0),MAX(MIN(BR$20,'01_Input'!$S$70)-'01_Input'!$R$70,0)*'01_Input'!$U$70))+IF('01_Input'!$X$70="Forfait",IF(BR$20&gt;='01_Input'!$V$70,'01_Input'!$Y$70,0),IF('01_Input'!$X$70="Palier",IF(AND(BR$20&gt;='01_Input'!$V$70,BR$20&lt;'01_Input'!$W$70),'01_Input'!$Y$70,0),MAX(MIN(BR$20,'01_Input'!$W$70)-'01_Input'!$V$70,0)*'01_Input'!$Y$70))+IF('01_Input'!$AB$70="Forfait",IF(BR$20&gt;='01_Input'!$Z$70,'01_Input'!$AC$70,0),IF('01_Input'!$AB$70="Palier",IF(AND(BR$20&gt;='01_Input'!$Z$70,BR$20&lt;'01_Input'!$AA$70),'01_Input'!$AC$70,0),MAX(MIN(BR$20,'01_Input'!$AA$70)-'01_Input'!$Z$70,0)*'01_Input'!$AC$70)))))))))</f>
        <v>0</v>
      </c>
      <c r="BS38" s="83">
        <f>IF('01_Input'!$C$70="Non",0,MIN('01_Input'!$I$70,MAX('01_Input'!$H$70,IF('01_Input'!$G$70="Résiduel vs Gestion",0,IF('01_Input'!$G$70="Taux Classe sélectionnée",Distrib_Global_Classe_Selectionnee*BS$20,IF('01_Input'!$G$70="Frais KYC (paliers de 100M€)",MAX(0,Nb_Investisseurs-Nb_KYC_Gratuites_Par_Tranche*(FLOOR(BS$20/Taille_Tranche_KYC,1)+1))*Cout_Par_KYC_Supplementaire,(IF('01_Input'!$L$70="Forfait",IF(BS$20&gt;='01_Input'!$J$70,'01_Input'!$M$70,0),IF('01_Input'!$L$70="Palier",IF(AND(BS$20&gt;='01_Input'!$J$70,BS$20&lt;'01_Input'!$K$70),'01_Input'!$M$70,0),MAX(MIN(BS$20,'01_Input'!$K$70)-'01_Input'!$J$70,0)*'01_Input'!$M$70))+IF('01_Input'!$P$70="Forfait",IF(BS$20&gt;='01_Input'!$N$70,'01_Input'!$Q$70,0),IF('01_Input'!$P$70="Palier",IF(AND(BS$20&gt;='01_Input'!$N$70,BS$20&lt;'01_Input'!$O$70),'01_Input'!$Q$70,0),MAX(MIN(BS$20,'01_Input'!$O$70)-'01_Input'!$N$70,0)*'01_Input'!$Q$70))+IF('01_Input'!$T$70="Forfait",IF(BS$20&gt;='01_Input'!$R$70,'01_Input'!$U$70,0),IF('01_Input'!$T$70="Palier",IF(AND(BS$20&gt;='01_Input'!$R$70,BS$20&lt;'01_Input'!$S$70),'01_Input'!$U$70,0),MAX(MIN(BS$20,'01_Input'!$S$70)-'01_Input'!$R$70,0)*'01_Input'!$U$70))+IF('01_Input'!$X$70="Forfait",IF(BS$20&gt;='01_Input'!$V$70,'01_Input'!$Y$70,0),IF('01_Input'!$X$70="Palier",IF(AND(BS$20&gt;='01_Input'!$V$70,BS$20&lt;'01_Input'!$W$70),'01_Input'!$Y$70,0),MAX(MIN(BS$20,'01_Input'!$W$70)-'01_Input'!$V$70,0)*'01_Input'!$Y$70))+IF('01_Input'!$AB$70="Forfait",IF(BS$20&gt;='01_Input'!$Z$70,'01_Input'!$AC$70,0),IF('01_Input'!$AB$70="Palier",IF(AND(BS$20&gt;='01_Input'!$Z$70,BS$20&lt;'01_Input'!$AA$70),'01_Input'!$AC$70,0),MAX(MIN(BS$20,'01_Input'!$AA$70)-'01_Input'!$Z$70,0)*'01_Input'!$AC$70)))))))))</f>
        <v>0</v>
      </c>
      <c r="BT38" s="83">
        <f>IF('01_Input'!$C$70="Non",0,MIN('01_Input'!$I$70,MAX('01_Input'!$H$70,IF('01_Input'!$G$70="Résiduel vs Gestion",0,IF('01_Input'!$G$70="Taux Classe sélectionnée",Distrib_Global_Classe_Selectionnee*BT$20,IF('01_Input'!$G$70="Frais KYC (paliers de 100M€)",MAX(0,Nb_Investisseurs-Nb_KYC_Gratuites_Par_Tranche*(FLOOR(BT$20/Taille_Tranche_KYC,1)+1))*Cout_Par_KYC_Supplementaire,(IF('01_Input'!$L$70="Forfait",IF(BT$20&gt;='01_Input'!$J$70,'01_Input'!$M$70,0),IF('01_Input'!$L$70="Palier",IF(AND(BT$20&gt;='01_Input'!$J$70,BT$20&lt;'01_Input'!$K$70),'01_Input'!$M$70,0),MAX(MIN(BT$20,'01_Input'!$K$70)-'01_Input'!$J$70,0)*'01_Input'!$M$70))+IF('01_Input'!$P$70="Forfait",IF(BT$20&gt;='01_Input'!$N$70,'01_Input'!$Q$70,0),IF('01_Input'!$P$70="Palier",IF(AND(BT$20&gt;='01_Input'!$N$70,BT$20&lt;'01_Input'!$O$70),'01_Input'!$Q$70,0),MAX(MIN(BT$20,'01_Input'!$O$70)-'01_Input'!$N$70,0)*'01_Input'!$Q$70))+IF('01_Input'!$T$70="Forfait",IF(BT$20&gt;='01_Input'!$R$70,'01_Input'!$U$70,0),IF('01_Input'!$T$70="Palier",IF(AND(BT$20&gt;='01_Input'!$R$70,BT$20&lt;'01_Input'!$S$70),'01_Input'!$U$70,0),MAX(MIN(BT$20,'01_Input'!$S$70)-'01_Input'!$R$70,0)*'01_Input'!$U$70))+IF('01_Input'!$X$70="Forfait",IF(BT$20&gt;='01_Input'!$V$70,'01_Input'!$Y$70,0),IF('01_Input'!$X$70="Palier",IF(AND(BT$20&gt;='01_Input'!$V$70,BT$20&lt;'01_Input'!$W$70),'01_Input'!$Y$70,0),MAX(MIN(BT$20,'01_Input'!$W$70)-'01_Input'!$V$70,0)*'01_Input'!$Y$70))+IF('01_Input'!$AB$70="Forfait",IF(BT$20&gt;='01_Input'!$Z$70,'01_Input'!$AC$70,0),IF('01_Input'!$AB$70="Palier",IF(AND(BT$20&gt;='01_Input'!$Z$70,BT$20&lt;'01_Input'!$AA$70),'01_Input'!$AC$70,0),MAX(MIN(BT$20,'01_Input'!$AA$70)-'01_Input'!$Z$70,0)*'01_Input'!$AC$70)))))))))</f>
        <v>0</v>
      </c>
      <c r="BU38" s="83">
        <f>IF('01_Input'!$C$70="Non",0,MIN('01_Input'!$I$70,MAX('01_Input'!$H$70,IF('01_Input'!$G$70="Résiduel vs Gestion",0,IF('01_Input'!$G$70="Taux Classe sélectionnée",Distrib_Global_Classe_Selectionnee*BU$20,IF('01_Input'!$G$70="Frais KYC (paliers de 100M€)",MAX(0,Nb_Investisseurs-Nb_KYC_Gratuites_Par_Tranche*(FLOOR(BU$20/Taille_Tranche_KYC,1)+1))*Cout_Par_KYC_Supplementaire,(IF('01_Input'!$L$70="Forfait",IF(BU$20&gt;='01_Input'!$J$70,'01_Input'!$M$70,0),IF('01_Input'!$L$70="Palier",IF(AND(BU$20&gt;='01_Input'!$J$70,BU$20&lt;'01_Input'!$K$70),'01_Input'!$M$70,0),MAX(MIN(BU$20,'01_Input'!$K$70)-'01_Input'!$J$70,0)*'01_Input'!$M$70))+IF('01_Input'!$P$70="Forfait",IF(BU$20&gt;='01_Input'!$N$70,'01_Input'!$Q$70,0),IF('01_Input'!$P$70="Palier",IF(AND(BU$20&gt;='01_Input'!$N$70,BU$20&lt;'01_Input'!$O$70),'01_Input'!$Q$70,0),MAX(MIN(BU$20,'01_Input'!$O$70)-'01_Input'!$N$70,0)*'01_Input'!$Q$70))+IF('01_Input'!$T$70="Forfait",IF(BU$20&gt;='01_Input'!$R$70,'01_Input'!$U$70,0),IF('01_Input'!$T$70="Palier",IF(AND(BU$20&gt;='01_Input'!$R$70,BU$20&lt;'01_Input'!$S$70),'01_Input'!$U$70,0),MAX(MIN(BU$20,'01_Input'!$S$70)-'01_Input'!$R$70,0)*'01_Input'!$U$70))+IF('01_Input'!$X$70="Forfait",IF(BU$20&gt;='01_Input'!$V$70,'01_Input'!$Y$70,0),IF('01_Input'!$X$70="Palier",IF(AND(BU$20&gt;='01_Input'!$V$70,BU$20&lt;'01_Input'!$W$70),'01_Input'!$Y$70,0),MAX(MIN(BU$20,'01_Input'!$W$70)-'01_Input'!$V$70,0)*'01_Input'!$Y$70))+IF('01_Input'!$AB$70="Forfait",IF(BU$20&gt;='01_Input'!$Z$70,'01_Input'!$AC$70,0),IF('01_Input'!$AB$70="Palier",IF(AND(BU$20&gt;='01_Input'!$Z$70,BU$20&lt;'01_Input'!$AA$70),'01_Input'!$AC$70,0),MAX(MIN(BU$20,'01_Input'!$AA$70)-'01_Input'!$Z$70,0)*'01_Input'!$AC$70)))))))))</f>
        <v>0</v>
      </c>
      <c r="BV38" s="83">
        <f>IF('01_Input'!$C$70="Non",0,MIN('01_Input'!$I$70,MAX('01_Input'!$H$70,IF('01_Input'!$G$70="Résiduel vs Gestion",0,IF('01_Input'!$G$70="Taux Classe sélectionnée",Distrib_Global_Classe_Selectionnee*BV$20,IF('01_Input'!$G$70="Frais KYC (paliers de 100M€)",MAX(0,Nb_Investisseurs-Nb_KYC_Gratuites_Par_Tranche*(FLOOR(BV$20/Taille_Tranche_KYC,1)+1))*Cout_Par_KYC_Supplementaire,(IF('01_Input'!$L$70="Forfait",IF(BV$20&gt;='01_Input'!$J$70,'01_Input'!$M$70,0),IF('01_Input'!$L$70="Palier",IF(AND(BV$20&gt;='01_Input'!$J$70,BV$20&lt;'01_Input'!$K$70),'01_Input'!$M$70,0),MAX(MIN(BV$20,'01_Input'!$K$70)-'01_Input'!$J$70,0)*'01_Input'!$M$70))+IF('01_Input'!$P$70="Forfait",IF(BV$20&gt;='01_Input'!$N$70,'01_Input'!$Q$70,0),IF('01_Input'!$P$70="Palier",IF(AND(BV$20&gt;='01_Input'!$N$70,BV$20&lt;'01_Input'!$O$70),'01_Input'!$Q$70,0),MAX(MIN(BV$20,'01_Input'!$O$70)-'01_Input'!$N$70,0)*'01_Input'!$Q$70))+IF('01_Input'!$T$70="Forfait",IF(BV$20&gt;='01_Input'!$R$70,'01_Input'!$U$70,0),IF('01_Input'!$T$70="Palier",IF(AND(BV$20&gt;='01_Input'!$R$70,BV$20&lt;'01_Input'!$S$70),'01_Input'!$U$70,0),MAX(MIN(BV$20,'01_Input'!$S$70)-'01_Input'!$R$70,0)*'01_Input'!$U$70))+IF('01_Input'!$X$70="Forfait",IF(BV$20&gt;='01_Input'!$V$70,'01_Input'!$Y$70,0),IF('01_Input'!$X$70="Palier",IF(AND(BV$20&gt;='01_Input'!$V$70,BV$20&lt;'01_Input'!$W$70),'01_Input'!$Y$70,0),MAX(MIN(BV$20,'01_Input'!$W$70)-'01_Input'!$V$70,0)*'01_Input'!$Y$70))+IF('01_Input'!$AB$70="Forfait",IF(BV$20&gt;='01_Input'!$Z$70,'01_Input'!$AC$70,0),IF('01_Input'!$AB$70="Palier",IF(AND(BV$20&gt;='01_Input'!$Z$70,BV$20&lt;'01_Input'!$AA$70),'01_Input'!$AC$70,0),MAX(MIN(BV$20,'01_Input'!$AA$70)-'01_Input'!$Z$70,0)*'01_Input'!$AC$70)))))))))</f>
        <v>0</v>
      </c>
      <c r="BW38" s="83">
        <f>IF('01_Input'!$C$70="Non",0,MIN('01_Input'!$I$70,MAX('01_Input'!$H$70,IF('01_Input'!$G$70="Résiduel vs Gestion",0,IF('01_Input'!$G$70="Taux Classe sélectionnée",Distrib_Global_Classe_Selectionnee*BW$20,IF('01_Input'!$G$70="Frais KYC (paliers de 100M€)",MAX(0,Nb_Investisseurs-Nb_KYC_Gratuites_Par_Tranche*(FLOOR(BW$20/Taille_Tranche_KYC,1)+1))*Cout_Par_KYC_Supplementaire,(IF('01_Input'!$L$70="Forfait",IF(BW$20&gt;='01_Input'!$J$70,'01_Input'!$M$70,0),IF('01_Input'!$L$70="Palier",IF(AND(BW$20&gt;='01_Input'!$J$70,BW$20&lt;'01_Input'!$K$70),'01_Input'!$M$70,0),MAX(MIN(BW$20,'01_Input'!$K$70)-'01_Input'!$J$70,0)*'01_Input'!$M$70))+IF('01_Input'!$P$70="Forfait",IF(BW$20&gt;='01_Input'!$N$70,'01_Input'!$Q$70,0),IF('01_Input'!$P$70="Palier",IF(AND(BW$20&gt;='01_Input'!$N$70,BW$20&lt;'01_Input'!$O$70),'01_Input'!$Q$70,0),MAX(MIN(BW$20,'01_Input'!$O$70)-'01_Input'!$N$70,0)*'01_Input'!$Q$70))+IF('01_Input'!$T$70="Forfait",IF(BW$20&gt;='01_Input'!$R$70,'01_Input'!$U$70,0),IF('01_Input'!$T$70="Palier",IF(AND(BW$20&gt;='01_Input'!$R$70,BW$20&lt;'01_Input'!$S$70),'01_Input'!$U$70,0),MAX(MIN(BW$20,'01_Input'!$S$70)-'01_Input'!$R$70,0)*'01_Input'!$U$70))+IF('01_Input'!$X$70="Forfait",IF(BW$20&gt;='01_Input'!$V$70,'01_Input'!$Y$70,0),IF('01_Input'!$X$70="Palier",IF(AND(BW$20&gt;='01_Input'!$V$70,BW$20&lt;'01_Input'!$W$70),'01_Input'!$Y$70,0),MAX(MIN(BW$20,'01_Input'!$W$70)-'01_Input'!$V$70,0)*'01_Input'!$Y$70))+IF('01_Input'!$AB$70="Forfait",IF(BW$20&gt;='01_Input'!$Z$70,'01_Input'!$AC$70,0),IF('01_Input'!$AB$70="Palier",IF(AND(BW$20&gt;='01_Input'!$Z$70,BW$20&lt;'01_Input'!$AA$70),'01_Input'!$AC$70,0),MAX(MIN(BW$20,'01_Input'!$AA$70)-'01_Input'!$Z$70,0)*'01_Input'!$AC$70)))))))))</f>
        <v>0</v>
      </c>
      <c r="BX38" s="83">
        <f>IF('01_Input'!$C$70="Non",0,MIN('01_Input'!$I$70,MAX('01_Input'!$H$70,IF('01_Input'!$G$70="Résiduel vs Gestion",0,IF('01_Input'!$G$70="Taux Classe sélectionnée",Distrib_Global_Classe_Selectionnee*BX$20,IF('01_Input'!$G$70="Frais KYC (paliers de 100M€)",MAX(0,Nb_Investisseurs-Nb_KYC_Gratuites_Par_Tranche*(FLOOR(BX$20/Taille_Tranche_KYC,1)+1))*Cout_Par_KYC_Supplementaire,(IF('01_Input'!$L$70="Forfait",IF(BX$20&gt;='01_Input'!$J$70,'01_Input'!$M$70,0),IF('01_Input'!$L$70="Palier",IF(AND(BX$20&gt;='01_Input'!$J$70,BX$20&lt;'01_Input'!$K$70),'01_Input'!$M$70,0),MAX(MIN(BX$20,'01_Input'!$K$70)-'01_Input'!$J$70,0)*'01_Input'!$M$70))+IF('01_Input'!$P$70="Forfait",IF(BX$20&gt;='01_Input'!$N$70,'01_Input'!$Q$70,0),IF('01_Input'!$P$70="Palier",IF(AND(BX$20&gt;='01_Input'!$N$70,BX$20&lt;'01_Input'!$O$70),'01_Input'!$Q$70,0),MAX(MIN(BX$20,'01_Input'!$O$70)-'01_Input'!$N$70,0)*'01_Input'!$Q$70))+IF('01_Input'!$T$70="Forfait",IF(BX$20&gt;='01_Input'!$R$70,'01_Input'!$U$70,0),IF('01_Input'!$T$70="Palier",IF(AND(BX$20&gt;='01_Input'!$R$70,BX$20&lt;'01_Input'!$S$70),'01_Input'!$U$70,0),MAX(MIN(BX$20,'01_Input'!$S$70)-'01_Input'!$R$70,0)*'01_Input'!$U$70))+IF('01_Input'!$X$70="Forfait",IF(BX$20&gt;='01_Input'!$V$70,'01_Input'!$Y$70,0),IF('01_Input'!$X$70="Palier",IF(AND(BX$20&gt;='01_Input'!$V$70,BX$20&lt;'01_Input'!$W$70),'01_Input'!$Y$70,0),MAX(MIN(BX$20,'01_Input'!$W$70)-'01_Input'!$V$70,0)*'01_Input'!$Y$70))+IF('01_Input'!$AB$70="Forfait",IF(BX$20&gt;='01_Input'!$Z$70,'01_Input'!$AC$70,0),IF('01_Input'!$AB$70="Palier",IF(AND(BX$20&gt;='01_Input'!$Z$70,BX$20&lt;'01_Input'!$AA$70),'01_Input'!$AC$70,0),MAX(MIN(BX$20,'01_Input'!$AA$70)-'01_Input'!$Z$70,0)*'01_Input'!$AC$70)))))))))</f>
        <v>0</v>
      </c>
      <c r="BY38" s="83">
        <f>IF('01_Input'!$C$70="Non",0,MIN('01_Input'!$I$70,MAX('01_Input'!$H$70,IF('01_Input'!$G$70="Résiduel vs Gestion",0,IF('01_Input'!$G$70="Taux Classe sélectionnée",Distrib_Global_Classe_Selectionnee*BY$20,IF('01_Input'!$G$70="Frais KYC (paliers de 100M€)",MAX(0,Nb_Investisseurs-Nb_KYC_Gratuites_Par_Tranche*(FLOOR(BY$20/Taille_Tranche_KYC,1)+1))*Cout_Par_KYC_Supplementaire,(IF('01_Input'!$L$70="Forfait",IF(BY$20&gt;='01_Input'!$J$70,'01_Input'!$M$70,0),IF('01_Input'!$L$70="Palier",IF(AND(BY$20&gt;='01_Input'!$J$70,BY$20&lt;'01_Input'!$K$70),'01_Input'!$M$70,0),MAX(MIN(BY$20,'01_Input'!$K$70)-'01_Input'!$J$70,0)*'01_Input'!$M$70))+IF('01_Input'!$P$70="Forfait",IF(BY$20&gt;='01_Input'!$N$70,'01_Input'!$Q$70,0),IF('01_Input'!$P$70="Palier",IF(AND(BY$20&gt;='01_Input'!$N$70,BY$20&lt;'01_Input'!$O$70),'01_Input'!$Q$70,0),MAX(MIN(BY$20,'01_Input'!$O$70)-'01_Input'!$N$70,0)*'01_Input'!$Q$70))+IF('01_Input'!$T$70="Forfait",IF(BY$20&gt;='01_Input'!$R$70,'01_Input'!$U$70,0),IF('01_Input'!$T$70="Palier",IF(AND(BY$20&gt;='01_Input'!$R$70,BY$20&lt;'01_Input'!$S$70),'01_Input'!$U$70,0),MAX(MIN(BY$20,'01_Input'!$S$70)-'01_Input'!$R$70,0)*'01_Input'!$U$70))+IF('01_Input'!$X$70="Forfait",IF(BY$20&gt;='01_Input'!$V$70,'01_Input'!$Y$70,0),IF('01_Input'!$X$70="Palier",IF(AND(BY$20&gt;='01_Input'!$V$70,BY$20&lt;'01_Input'!$W$70),'01_Input'!$Y$70,0),MAX(MIN(BY$20,'01_Input'!$W$70)-'01_Input'!$V$70,0)*'01_Input'!$Y$70))+IF('01_Input'!$AB$70="Forfait",IF(BY$20&gt;='01_Input'!$Z$70,'01_Input'!$AC$70,0),IF('01_Input'!$AB$70="Palier",IF(AND(BY$20&gt;='01_Input'!$Z$70,BY$20&lt;'01_Input'!$AA$70),'01_Input'!$AC$70,0),MAX(MIN(BY$20,'01_Input'!$AA$70)-'01_Input'!$Z$70,0)*'01_Input'!$AC$70)))))))))</f>
        <v>0</v>
      </c>
      <c r="BZ38" s="83">
        <f>IF('01_Input'!$C$70="Non",0,MIN('01_Input'!$I$70,MAX('01_Input'!$H$70,IF('01_Input'!$G$70="Résiduel vs Gestion",0,IF('01_Input'!$G$70="Taux Classe sélectionnée",Distrib_Global_Classe_Selectionnee*BZ$20,IF('01_Input'!$G$70="Frais KYC (paliers de 100M€)",MAX(0,Nb_Investisseurs-Nb_KYC_Gratuites_Par_Tranche*(FLOOR(BZ$20/Taille_Tranche_KYC,1)+1))*Cout_Par_KYC_Supplementaire,(IF('01_Input'!$L$70="Forfait",IF(BZ$20&gt;='01_Input'!$J$70,'01_Input'!$M$70,0),IF('01_Input'!$L$70="Palier",IF(AND(BZ$20&gt;='01_Input'!$J$70,BZ$20&lt;'01_Input'!$K$70),'01_Input'!$M$70,0),MAX(MIN(BZ$20,'01_Input'!$K$70)-'01_Input'!$J$70,0)*'01_Input'!$M$70))+IF('01_Input'!$P$70="Forfait",IF(BZ$20&gt;='01_Input'!$N$70,'01_Input'!$Q$70,0),IF('01_Input'!$P$70="Palier",IF(AND(BZ$20&gt;='01_Input'!$N$70,BZ$20&lt;'01_Input'!$O$70),'01_Input'!$Q$70,0),MAX(MIN(BZ$20,'01_Input'!$O$70)-'01_Input'!$N$70,0)*'01_Input'!$Q$70))+IF('01_Input'!$T$70="Forfait",IF(BZ$20&gt;='01_Input'!$R$70,'01_Input'!$U$70,0),IF('01_Input'!$T$70="Palier",IF(AND(BZ$20&gt;='01_Input'!$R$70,BZ$20&lt;'01_Input'!$S$70),'01_Input'!$U$70,0),MAX(MIN(BZ$20,'01_Input'!$S$70)-'01_Input'!$R$70,0)*'01_Input'!$U$70))+IF('01_Input'!$X$70="Forfait",IF(BZ$20&gt;='01_Input'!$V$70,'01_Input'!$Y$70,0),IF('01_Input'!$X$70="Palier",IF(AND(BZ$20&gt;='01_Input'!$V$70,BZ$20&lt;'01_Input'!$W$70),'01_Input'!$Y$70,0),MAX(MIN(BZ$20,'01_Input'!$W$70)-'01_Input'!$V$70,0)*'01_Input'!$Y$70))+IF('01_Input'!$AB$70="Forfait",IF(BZ$20&gt;='01_Input'!$Z$70,'01_Input'!$AC$70,0),IF('01_Input'!$AB$70="Palier",IF(AND(BZ$20&gt;='01_Input'!$Z$70,BZ$20&lt;'01_Input'!$AA$70),'01_Input'!$AC$70,0),MAX(MIN(BZ$20,'01_Input'!$AA$70)-'01_Input'!$Z$70,0)*'01_Input'!$AC$70)))))))))</f>
        <v>0</v>
      </c>
      <c r="CA38" s="83">
        <f>IF('01_Input'!$C$70="Non",0,MIN('01_Input'!$I$70,MAX('01_Input'!$H$70,IF('01_Input'!$G$70="Résiduel vs Gestion",0,IF('01_Input'!$G$70="Taux Classe sélectionnée",Distrib_Global_Classe_Selectionnee*CA$20,IF('01_Input'!$G$70="Frais KYC (paliers de 100M€)",MAX(0,Nb_Investisseurs-Nb_KYC_Gratuites_Par_Tranche*(FLOOR(CA$20/Taille_Tranche_KYC,1)+1))*Cout_Par_KYC_Supplementaire,(IF('01_Input'!$L$70="Forfait",IF(CA$20&gt;='01_Input'!$J$70,'01_Input'!$M$70,0),IF('01_Input'!$L$70="Palier",IF(AND(CA$20&gt;='01_Input'!$J$70,CA$20&lt;'01_Input'!$K$70),'01_Input'!$M$70,0),MAX(MIN(CA$20,'01_Input'!$K$70)-'01_Input'!$J$70,0)*'01_Input'!$M$70))+IF('01_Input'!$P$70="Forfait",IF(CA$20&gt;='01_Input'!$N$70,'01_Input'!$Q$70,0),IF('01_Input'!$P$70="Palier",IF(AND(CA$20&gt;='01_Input'!$N$70,CA$20&lt;'01_Input'!$O$70),'01_Input'!$Q$70,0),MAX(MIN(CA$20,'01_Input'!$O$70)-'01_Input'!$N$70,0)*'01_Input'!$Q$70))+IF('01_Input'!$T$70="Forfait",IF(CA$20&gt;='01_Input'!$R$70,'01_Input'!$U$70,0),IF('01_Input'!$T$70="Palier",IF(AND(CA$20&gt;='01_Input'!$R$70,CA$20&lt;'01_Input'!$S$70),'01_Input'!$U$70,0),MAX(MIN(CA$20,'01_Input'!$S$70)-'01_Input'!$R$70,0)*'01_Input'!$U$70))+IF('01_Input'!$X$70="Forfait",IF(CA$20&gt;='01_Input'!$V$70,'01_Input'!$Y$70,0),IF('01_Input'!$X$70="Palier",IF(AND(CA$20&gt;='01_Input'!$V$70,CA$20&lt;'01_Input'!$W$70),'01_Input'!$Y$70,0),MAX(MIN(CA$20,'01_Input'!$W$70)-'01_Input'!$V$70,0)*'01_Input'!$Y$70))+IF('01_Input'!$AB$70="Forfait",IF(CA$20&gt;='01_Input'!$Z$70,'01_Input'!$AC$70,0),IF('01_Input'!$AB$70="Palier",IF(AND(CA$20&gt;='01_Input'!$Z$70,CA$20&lt;'01_Input'!$AA$70),'01_Input'!$AC$70,0),MAX(MIN(CA$20,'01_Input'!$AA$70)-'01_Input'!$Z$70,0)*'01_Input'!$AC$70)))))))))</f>
        <v>0</v>
      </c>
      <c r="CB38" s="83">
        <f>IF('01_Input'!$C$70="Non",0,MIN('01_Input'!$I$70,MAX('01_Input'!$H$70,IF('01_Input'!$G$70="Résiduel vs Gestion",0,IF('01_Input'!$G$70="Taux Classe sélectionnée",Distrib_Global_Classe_Selectionnee*CB$20,IF('01_Input'!$G$70="Frais KYC (paliers de 100M€)",MAX(0,Nb_Investisseurs-Nb_KYC_Gratuites_Par_Tranche*(FLOOR(CB$20/Taille_Tranche_KYC,1)+1))*Cout_Par_KYC_Supplementaire,(IF('01_Input'!$L$70="Forfait",IF(CB$20&gt;='01_Input'!$J$70,'01_Input'!$M$70,0),IF('01_Input'!$L$70="Palier",IF(AND(CB$20&gt;='01_Input'!$J$70,CB$20&lt;'01_Input'!$K$70),'01_Input'!$M$70,0),MAX(MIN(CB$20,'01_Input'!$K$70)-'01_Input'!$J$70,0)*'01_Input'!$M$70))+IF('01_Input'!$P$70="Forfait",IF(CB$20&gt;='01_Input'!$N$70,'01_Input'!$Q$70,0),IF('01_Input'!$P$70="Palier",IF(AND(CB$20&gt;='01_Input'!$N$70,CB$20&lt;'01_Input'!$O$70),'01_Input'!$Q$70,0),MAX(MIN(CB$20,'01_Input'!$O$70)-'01_Input'!$N$70,0)*'01_Input'!$Q$70))+IF('01_Input'!$T$70="Forfait",IF(CB$20&gt;='01_Input'!$R$70,'01_Input'!$U$70,0),IF('01_Input'!$T$70="Palier",IF(AND(CB$20&gt;='01_Input'!$R$70,CB$20&lt;'01_Input'!$S$70),'01_Input'!$U$70,0),MAX(MIN(CB$20,'01_Input'!$S$70)-'01_Input'!$R$70,0)*'01_Input'!$U$70))+IF('01_Input'!$X$70="Forfait",IF(CB$20&gt;='01_Input'!$V$70,'01_Input'!$Y$70,0),IF('01_Input'!$X$70="Palier",IF(AND(CB$20&gt;='01_Input'!$V$70,CB$20&lt;'01_Input'!$W$70),'01_Input'!$Y$70,0),MAX(MIN(CB$20,'01_Input'!$W$70)-'01_Input'!$V$70,0)*'01_Input'!$Y$70))+IF('01_Input'!$AB$70="Forfait",IF(CB$20&gt;='01_Input'!$Z$70,'01_Input'!$AC$70,0),IF('01_Input'!$AB$70="Palier",IF(AND(CB$20&gt;='01_Input'!$Z$70,CB$20&lt;'01_Input'!$AA$70),'01_Input'!$AC$70,0),MAX(MIN(CB$20,'01_Input'!$AA$70)-'01_Input'!$Z$70,0)*'01_Input'!$AC$70)))))))))</f>
        <v>0</v>
      </c>
      <c r="CC38" s="83">
        <f>IF('01_Input'!$C$70="Non",0,MIN('01_Input'!$I$70,MAX('01_Input'!$H$70,IF('01_Input'!$G$70="Résiduel vs Gestion",0,IF('01_Input'!$G$70="Taux Classe sélectionnée",Distrib_Global_Classe_Selectionnee*CC$20,IF('01_Input'!$G$70="Frais KYC (paliers de 100M€)",MAX(0,Nb_Investisseurs-Nb_KYC_Gratuites_Par_Tranche*(FLOOR(CC$20/Taille_Tranche_KYC,1)+1))*Cout_Par_KYC_Supplementaire,(IF('01_Input'!$L$70="Forfait",IF(CC$20&gt;='01_Input'!$J$70,'01_Input'!$M$70,0),IF('01_Input'!$L$70="Palier",IF(AND(CC$20&gt;='01_Input'!$J$70,CC$20&lt;'01_Input'!$K$70),'01_Input'!$M$70,0),MAX(MIN(CC$20,'01_Input'!$K$70)-'01_Input'!$J$70,0)*'01_Input'!$M$70))+IF('01_Input'!$P$70="Forfait",IF(CC$20&gt;='01_Input'!$N$70,'01_Input'!$Q$70,0),IF('01_Input'!$P$70="Palier",IF(AND(CC$20&gt;='01_Input'!$N$70,CC$20&lt;'01_Input'!$O$70),'01_Input'!$Q$70,0),MAX(MIN(CC$20,'01_Input'!$O$70)-'01_Input'!$N$70,0)*'01_Input'!$Q$70))+IF('01_Input'!$T$70="Forfait",IF(CC$20&gt;='01_Input'!$R$70,'01_Input'!$U$70,0),IF('01_Input'!$T$70="Palier",IF(AND(CC$20&gt;='01_Input'!$R$70,CC$20&lt;'01_Input'!$S$70),'01_Input'!$U$70,0),MAX(MIN(CC$20,'01_Input'!$S$70)-'01_Input'!$R$70,0)*'01_Input'!$U$70))+IF('01_Input'!$X$70="Forfait",IF(CC$20&gt;='01_Input'!$V$70,'01_Input'!$Y$70,0),IF('01_Input'!$X$70="Palier",IF(AND(CC$20&gt;='01_Input'!$V$70,CC$20&lt;'01_Input'!$W$70),'01_Input'!$Y$70,0),MAX(MIN(CC$20,'01_Input'!$W$70)-'01_Input'!$V$70,0)*'01_Input'!$Y$70))+IF('01_Input'!$AB$70="Forfait",IF(CC$20&gt;='01_Input'!$Z$70,'01_Input'!$AC$70,0),IF('01_Input'!$AB$70="Palier",IF(AND(CC$20&gt;='01_Input'!$Z$70,CC$20&lt;'01_Input'!$AA$70),'01_Input'!$AC$70,0),MAX(MIN(CC$20,'01_Input'!$AA$70)-'01_Input'!$Z$70,0)*'01_Input'!$AC$70)))))))))</f>
        <v>0</v>
      </c>
      <c r="CD38" s="83">
        <f>IF('01_Input'!$C$70="Non",0,MIN('01_Input'!$I$70,MAX('01_Input'!$H$70,IF('01_Input'!$G$70="Résiduel vs Gestion",0,IF('01_Input'!$G$70="Taux Classe sélectionnée",Distrib_Global_Classe_Selectionnee*CD$20,IF('01_Input'!$G$70="Frais KYC (paliers de 100M€)",MAX(0,Nb_Investisseurs-Nb_KYC_Gratuites_Par_Tranche*(FLOOR(CD$20/Taille_Tranche_KYC,1)+1))*Cout_Par_KYC_Supplementaire,(IF('01_Input'!$L$70="Forfait",IF(CD$20&gt;='01_Input'!$J$70,'01_Input'!$M$70,0),IF('01_Input'!$L$70="Palier",IF(AND(CD$20&gt;='01_Input'!$J$70,CD$20&lt;'01_Input'!$K$70),'01_Input'!$M$70,0),MAX(MIN(CD$20,'01_Input'!$K$70)-'01_Input'!$J$70,0)*'01_Input'!$M$70))+IF('01_Input'!$P$70="Forfait",IF(CD$20&gt;='01_Input'!$N$70,'01_Input'!$Q$70,0),IF('01_Input'!$P$70="Palier",IF(AND(CD$20&gt;='01_Input'!$N$70,CD$20&lt;'01_Input'!$O$70),'01_Input'!$Q$70,0),MAX(MIN(CD$20,'01_Input'!$O$70)-'01_Input'!$N$70,0)*'01_Input'!$Q$70))+IF('01_Input'!$T$70="Forfait",IF(CD$20&gt;='01_Input'!$R$70,'01_Input'!$U$70,0),IF('01_Input'!$T$70="Palier",IF(AND(CD$20&gt;='01_Input'!$R$70,CD$20&lt;'01_Input'!$S$70),'01_Input'!$U$70,0),MAX(MIN(CD$20,'01_Input'!$S$70)-'01_Input'!$R$70,0)*'01_Input'!$U$70))+IF('01_Input'!$X$70="Forfait",IF(CD$20&gt;='01_Input'!$V$70,'01_Input'!$Y$70,0),IF('01_Input'!$X$70="Palier",IF(AND(CD$20&gt;='01_Input'!$V$70,CD$20&lt;'01_Input'!$W$70),'01_Input'!$Y$70,0),MAX(MIN(CD$20,'01_Input'!$W$70)-'01_Input'!$V$70,0)*'01_Input'!$Y$70))+IF('01_Input'!$AB$70="Forfait",IF(CD$20&gt;='01_Input'!$Z$70,'01_Input'!$AC$70,0),IF('01_Input'!$AB$70="Palier",IF(AND(CD$20&gt;='01_Input'!$Z$70,CD$20&lt;'01_Input'!$AA$70),'01_Input'!$AC$70,0),MAX(MIN(CD$20,'01_Input'!$AA$70)-'01_Input'!$Z$70,0)*'01_Input'!$AC$70)))))))))</f>
        <v>0</v>
      </c>
      <c r="CE38" s="83">
        <f>IF('01_Input'!$C$70="Non",0,MIN('01_Input'!$I$70,MAX('01_Input'!$H$70,IF('01_Input'!$G$70="Résiduel vs Gestion",0,IF('01_Input'!$G$70="Taux Classe sélectionnée",Distrib_Global_Classe_Selectionnee*CE$20,IF('01_Input'!$G$70="Frais KYC (paliers de 100M€)",MAX(0,Nb_Investisseurs-Nb_KYC_Gratuites_Par_Tranche*(FLOOR(CE$20/Taille_Tranche_KYC,1)+1))*Cout_Par_KYC_Supplementaire,(IF('01_Input'!$L$70="Forfait",IF(CE$20&gt;='01_Input'!$J$70,'01_Input'!$M$70,0),IF('01_Input'!$L$70="Palier",IF(AND(CE$20&gt;='01_Input'!$J$70,CE$20&lt;'01_Input'!$K$70),'01_Input'!$M$70,0),MAX(MIN(CE$20,'01_Input'!$K$70)-'01_Input'!$J$70,0)*'01_Input'!$M$70))+IF('01_Input'!$P$70="Forfait",IF(CE$20&gt;='01_Input'!$N$70,'01_Input'!$Q$70,0),IF('01_Input'!$P$70="Palier",IF(AND(CE$20&gt;='01_Input'!$N$70,CE$20&lt;'01_Input'!$O$70),'01_Input'!$Q$70,0),MAX(MIN(CE$20,'01_Input'!$O$70)-'01_Input'!$N$70,0)*'01_Input'!$Q$70))+IF('01_Input'!$T$70="Forfait",IF(CE$20&gt;='01_Input'!$R$70,'01_Input'!$U$70,0),IF('01_Input'!$T$70="Palier",IF(AND(CE$20&gt;='01_Input'!$R$70,CE$20&lt;'01_Input'!$S$70),'01_Input'!$U$70,0),MAX(MIN(CE$20,'01_Input'!$S$70)-'01_Input'!$R$70,0)*'01_Input'!$U$70))+IF('01_Input'!$X$70="Forfait",IF(CE$20&gt;='01_Input'!$V$70,'01_Input'!$Y$70,0),IF('01_Input'!$X$70="Palier",IF(AND(CE$20&gt;='01_Input'!$V$70,CE$20&lt;'01_Input'!$W$70),'01_Input'!$Y$70,0),MAX(MIN(CE$20,'01_Input'!$W$70)-'01_Input'!$V$70,0)*'01_Input'!$Y$70))+IF('01_Input'!$AB$70="Forfait",IF(CE$20&gt;='01_Input'!$Z$70,'01_Input'!$AC$70,0),IF('01_Input'!$AB$70="Palier",IF(AND(CE$20&gt;='01_Input'!$Z$70,CE$20&lt;'01_Input'!$AA$70),'01_Input'!$AC$70,0),MAX(MIN(CE$20,'01_Input'!$AA$70)-'01_Input'!$Z$70,0)*'01_Input'!$AC$70)))))))))</f>
        <v>0</v>
      </c>
      <c r="CF38" s="83">
        <f>IF('01_Input'!$C$70="Non",0,MIN('01_Input'!$I$70,MAX('01_Input'!$H$70,IF('01_Input'!$G$70="Résiduel vs Gestion",0,IF('01_Input'!$G$70="Taux Classe sélectionnée",Distrib_Global_Classe_Selectionnee*CF$20,IF('01_Input'!$G$70="Frais KYC (paliers de 100M€)",MAX(0,Nb_Investisseurs-Nb_KYC_Gratuites_Par_Tranche*(FLOOR(CF$20/Taille_Tranche_KYC,1)+1))*Cout_Par_KYC_Supplementaire,(IF('01_Input'!$L$70="Forfait",IF(CF$20&gt;='01_Input'!$J$70,'01_Input'!$M$70,0),IF('01_Input'!$L$70="Palier",IF(AND(CF$20&gt;='01_Input'!$J$70,CF$20&lt;'01_Input'!$K$70),'01_Input'!$M$70,0),MAX(MIN(CF$20,'01_Input'!$K$70)-'01_Input'!$J$70,0)*'01_Input'!$M$70))+IF('01_Input'!$P$70="Forfait",IF(CF$20&gt;='01_Input'!$N$70,'01_Input'!$Q$70,0),IF('01_Input'!$P$70="Palier",IF(AND(CF$20&gt;='01_Input'!$N$70,CF$20&lt;'01_Input'!$O$70),'01_Input'!$Q$70,0),MAX(MIN(CF$20,'01_Input'!$O$70)-'01_Input'!$N$70,0)*'01_Input'!$Q$70))+IF('01_Input'!$T$70="Forfait",IF(CF$20&gt;='01_Input'!$R$70,'01_Input'!$U$70,0),IF('01_Input'!$T$70="Palier",IF(AND(CF$20&gt;='01_Input'!$R$70,CF$20&lt;'01_Input'!$S$70),'01_Input'!$U$70,0),MAX(MIN(CF$20,'01_Input'!$S$70)-'01_Input'!$R$70,0)*'01_Input'!$U$70))+IF('01_Input'!$X$70="Forfait",IF(CF$20&gt;='01_Input'!$V$70,'01_Input'!$Y$70,0),IF('01_Input'!$X$70="Palier",IF(AND(CF$20&gt;='01_Input'!$V$70,CF$20&lt;'01_Input'!$W$70),'01_Input'!$Y$70,0),MAX(MIN(CF$20,'01_Input'!$W$70)-'01_Input'!$V$70,0)*'01_Input'!$Y$70))+IF('01_Input'!$AB$70="Forfait",IF(CF$20&gt;='01_Input'!$Z$70,'01_Input'!$AC$70,0),IF('01_Input'!$AB$70="Palier",IF(AND(CF$20&gt;='01_Input'!$Z$70,CF$20&lt;'01_Input'!$AA$70),'01_Input'!$AC$70,0),MAX(MIN(CF$20,'01_Input'!$AA$70)-'01_Input'!$Z$70,0)*'01_Input'!$AC$70)))))))))</f>
        <v>0</v>
      </c>
      <c r="CG38" s="83">
        <f>IF('01_Input'!$C$70="Non",0,MIN('01_Input'!$I$70,MAX('01_Input'!$H$70,IF('01_Input'!$G$70="Résiduel vs Gestion",0,IF('01_Input'!$G$70="Taux Classe sélectionnée",Distrib_Global_Classe_Selectionnee*CG$20,IF('01_Input'!$G$70="Frais KYC (paliers de 100M€)",MAX(0,Nb_Investisseurs-Nb_KYC_Gratuites_Par_Tranche*(FLOOR(CG$20/Taille_Tranche_KYC,1)+1))*Cout_Par_KYC_Supplementaire,(IF('01_Input'!$L$70="Forfait",IF(CG$20&gt;='01_Input'!$J$70,'01_Input'!$M$70,0),IF('01_Input'!$L$70="Palier",IF(AND(CG$20&gt;='01_Input'!$J$70,CG$20&lt;'01_Input'!$K$70),'01_Input'!$M$70,0),MAX(MIN(CG$20,'01_Input'!$K$70)-'01_Input'!$J$70,0)*'01_Input'!$M$70))+IF('01_Input'!$P$70="Forfait",IF(CG$20&gt;='01_Input'!$N$70,'01_Input'!$Q$70,0),IF('01_Input'!$P$70="Palier",IF(AND(CG$20&gt;='01_Input'!$N$70,CG$20&lt;'01_Input'!$O$70),'01_Input'!$Q$70,0),MAX(MIN(CG$20,'01_Input'!$O$70)-'01_Input'!$N$70,0)*'01_Input'!$Q$70))+IF('01_Input'!$T$70="Forfait",IF(CG$20&gt;='01_Input'!$R$70,'01_Input'!$U$70,0),IF('01_Input'!$T$70="Palier",IF(AND(CG$20&gt;='01_Input'!$R$70,CG$20&lt;'01_Input'!$S$70),'01_Input'!$U$70,0),MAX(MIN(CG$20,'01_Input'!$S$70)-'01_Input'!$R$70,0)*'01_Input'!$U$70))+IF('01_Input'!$X$70="Forfait",IF(CG$20&gt;='01_Input'!$V$70,'01_Input'!$Y$70,0),IF('01_Input'!$X$70="Palier",IF(AND(CG$20&gt;='01_Input'!$V$70,CG$20&lt;'01_Input'!$W$70),'01_Input'!$Y$70,0),MAX(MIN(CG$20,'01_Input'!$W$70)-'01_Input'!$V$70,0)*'01_Input'!$Y$70))+IF('01_Input'!$AB$70="Forfait",IF(CG$20&gt;='01_Input'!$Z$70,'01_Input'!$AC$70,0),IF('01_Input'!$AB$70="Palier",IF(AND(CG$20&gt;='01_Input'!$Z$70,CG$20&lt;'01_Input'!$AA$70),'01_Input'!$AC$70,0),MAX(MIN(CG$20,'01_Input'!$AA$70)-'01_Input'!$Z$70,0)*'01_Input'!$AC$70)))))))))</f>
        <v>0</v>
      </c>
      <c r="CH38" s="83">
        <f>IF('01_Input'!$C$70="Non",0,MIN('01_Input'!$I$70,MAX('01_Input'!$H$70,IF('01_Input'!$G$70="Résiduel vs Gestion",0,IF('01_Input'!$G$70="Taux Classe sélectionnée",Distrib_Global_Classe_Selectionnee*CH$20,IF('01_Input'!$G$70="Frais KYC (paliers de 100M€)",MAX(0,Nb_Investisseurs-Nb_KYC_Gratuites_Par_Tranche*(FLOOR(CH$20/Taille_Tranche_KYC,1)+1))*Cout_Par_KYC_Supplementaire,(IF('01_Input'!$L$70="Forfait",IF(CH$20&gt;='01_Input'!$J$70,'01_Input'!$M$70,0),IF('01_Input'!$L$70="Palier",IF(AND(CH$20&gt;='01_Input'!$J$70,CH$20&lt;'01_Input'!$K$70),'01_Input'!$M$70,0),MAX(MIN(CH$20,'01_Input'!$K$70)-'01_Input'!$J$70,0)*'01_Input'!$M$70))+IF('01_Input'!$P$70="Forfait",IF(CH$20&gt;='01_Input'!$N$70,'01_Input'!$Q$70,0),IF('01_Input'!$P$70="Palier",IF(AND(CH$20&gt;='01_Input'!$N$70,CH$20&lt;'01_Input'!$O$70),'01_Input'!$Q$70,0),MAX(MIN(CH$20,'01_Input'!$O$70)-'01_Input'!$N$70,0)*'01_Input'!$Q$70))+IF('01_Input'!$T$70="Forfait",IF(CH$20&gt;='01_Input'!$R$70,'01_Input'!$U$70,0),IF('01_Input'!$T$70="Palier",IF(AND(CH$20&gt;='01_Input'!$R$70,CH$20&lt;'01_Input'!$S$70),'01_Input'!$U$70,0),MAX(MIN(CH$20,'01_Input'!$S$70)-'01_Input'!$R$70,0)*'01_Input'!$U$70))+IF('01_Input'!$X$70="Forfait",IF(CH$20&gt;='01_Input'!$V$70,'01_Input'!$Y$70,0),IF('01_Input'!$X$70="Palier",IF(AND(CH$20&gt;='01_Input'!$V$70,CH$20&lt;'01_Input'!$W$70),'01_Input'!$Y$70,0),MAX(MIN(CH$20,'01_Input'!$W$70)-'01_Input'!$V$70,0)*'01_Input'!$Y$70))+IF('01_Input'!$AB$70="Forfait",IF(CH$20&gt;='01_Input'!$Z$70,'01_Input'!$AC$70,0),IF('01_Input'!$AB$70="Palier",IF(AND(CH$20&gt;='01_Input'!$Z$70,CH$20&lt;'01_Input'!$AA$70),'01_Input'!$AC$70,0),MAX(MIN(CH$20,'01_Input'!$AA$70)-'01_Input'!$Z$70,0)*'01_Input'!$AC$70)))))))))</f>
        <v>0</v>
      </c>
      <c r="CI38" s="83">
        <f>IF('01_Input'!$C$70="Non",0,MIN('01_Input'!$I$70,MAX('01_Input'!$H$70,IF('01_Input'!$G$70="Résiduel vs Gestion",0,IF('01_Input'!$G$70="Taux Classe sélectionnée",Distrib_Global_Classe_Selectionnee*CI$20,IF('01_Input'!$G$70="Frais KYC (paliers de 100M€)",MAX(0,Nb_Investisseurs-Nb_KYC_Gratuites_Par_Tranche*(FLOOR(CI$20/Taille_Tranche_KYC,1)+1))*Cout_Par_KYC_Supplementaire,(IF('01_Input'!$L$70="Forfait",IF(CI$20&gt;='01_Input'!$J$70,'01_Input'!$M$70,0),IF('01_Input'!$L$70="Palier",IF(AND(CI$20&gt;='01_Input'!$J$70,CI$20&lt;'01_Input'!$K$70),'01_Input'!$M$70,0),MAX(MIN(CI$20,'01_Input'!$K$70)-'01_Input'!$J$70,0)*'01_Input'!$M$70))+IF('01_Input'!$P$70="Forfait",IF(CI$20&gt;='01_Input'!$N$70,'01_Input'!$Q$70,0),IF('01_Input'!$P$70="Palier",IF(AND(CI$20&gt;='01_Input'!$N$70,CI$20&lt;'01_Input'!$O$70),'01_Input'!$Q$70,0),MAX(MIN(CI$20,'01_Input'!$O$70)-'01_Input'!$N$70,0)*'01_Input'!$Q$70))+IF('01_Input'!$T$70="Forfait",IF(CI$20&gt;='01_Input'!$R$70,'01_Input'!$U$70,0),IF('01_Input'!$T$70="Palier",IF(AND(CI$20&gt;='01_Input'!$R$70,CI$20&lt;'01_Input'!$S$70),'01_Input'!$U$70,0),MAX(MIN(CI$20,'01_Input'!$S$70)-'01_Input'!$R$70,0)*'01_Input'!$U$70))+IF('01_Input'!$X$70="Forfait",IF(CI$20&gt;='01_Input'!$V$70,'01_Input'!$Y$70,0),IF('01_Input'!$X$70="Palier",IF(AND(CI$20&gt;='01_Input'!$V$70,CI$20&lt;'01_Input'!$W$70),'01_Input'!$Y$70,0),MAX(MIN(CI$20,'01_Input'!$W$70)-'01_Input'!$V$70,0)*'01_Input'!$Y$70))+IF('01_Input'!$AB$70="Forfait",IF(CI$20&gt;='01_Input'!$Z$70,'01_Input'!$AC$70,0),IF('01_Input'!$AB$70="Palier",IF(AND(CI$20&gt;='01_Input'!$Z$70,CI$20&lt;'01_Input'!$AA$70),'01_Input'!$AC$70,0),MAX(MIN(CI$20,'01_Input'!$AA$70)-'01_Input'!$Z$70,0)*'01_Input'!$AC$70)))))))))</f>
        <v>0</v>
      </c>
      <c r="CJ38" s="83">
        <f>IF('01_Input'!$C$70="Non",0,MIN('01_Input'!$I$70,MAX('01_Input'!$H$70,IF('01_Input'!$G$70="Résiduel vs Gestion",0,IF('01_Input'!$G$70="Taux Classe sélectionnée",Distrib_Global_Classe_Selectionnee*CJ$20,IF('01_Input'!$G$70="Frais KYC (paliers de 100M€)",MAX(0,Nb_Investisseurs-Nb_KYC_Gratuites_Par_Tranche*(FLOOR(CJ$20/Taille_Tranche_KYC,1)+1))*Cout_Par_KYC_Supplementaire,(IF('01_Input'!$L$70="Forfait",IF(CJ$20&gt;='01_Input'!$J$70,'01_Input'!$M$70,0),IF('01_Input'!$L$70="Palier",IF(AND(CJ$20&gt;='01_Input'!$J$70,CJ$20&lt;'01_Input'!$K$70),'01_Input'!$M$70,0),MAX(MIN(CJ$20,'01_Input'!$K$70)-'01_Input'!$J$70,0)*'01_Input'!$M$70))+IF('01_Input'!$P$70="Forfait",IF(CJ$20&gt;='01_Input'!$N$70,'01_Input'!$Q$70,0),IF('01_Input'!$P$70="Palier",IF(AND(CJ$20&gt;='01_Input'!$N$70,CJ$20&lt;'01_Input'!$O$70),'01_Input'!$Q$70,0),MAX(MIN(CJ$20,'01_Input'!$O$70)-'01_Input'!$N$70,0)*'01_Input'!$Q$70))+IF('01_Input'!$T$70="Forfait",IF(CJ$20&gt;='01_Input'!$R$70,'01_Input'!$U$70,0),IF('01_Input'!$T$70="Palier",IF(AND(CJ$20&gt;='01_Input'!$R$70,CJ$20&lt;'01_Input'!$S$70),'01_Input'!$U$70,0),MAX(MIN(CJ$20,'01_Input'!$S$70)-'01_Input'!$R$70,0)*'01_Input'!$U$70))+IF('01_Input'!$X$70="Forfait",IF(CJ$20&gt;='01_Input'!$V$70,'01_Input'!$Y$70,0),IF('01_Input'!$X$70="Palier",IF(AND(CJ$20&gt;='01_Input'!$V$70,CJ$20&lt;'01_Input'!$W$70),'01_Input'!$Y$70,0),MAX(MIN(CJ$20,'01_Input'!$W$70)-'01_Input'!$V$70,0)*'01_Input'!$Y$70))+IF('01_Input'!$AB$70="Forfait",IF(CJ$20&gt;='01_Input'!$Z$70,'01_Input'!$AC$70,0),IF('01_Input'!$AB$70="Palier",IF(AND(CJ$20&gt;='01_Input'!$Z$70,CJ$20&lt;'01_Input'!$AA$70),'01_Input'!$AC$70,0),MAX(MIN(CJ$20,'01_Input'!$AA$70)-'01_Input'!$Z$70,0)*'01_Input'!$AC$70)))))))))</f>
        <v>0</v>
      </c>
      <c r="CK38" s="83">
        <f>IF('01_Input'!$C$70="Non",0,MIN('01_Input'!$I$70,MAX('01_Input'!$H$70,IF('01_Input'!$G$70="Résiduel vs Gestion",0,IF('01_Input'!$G$70="Taux Classe sélectionnée",Distrib_Global_Classe_Selectionnee*CK$20,IF('01_Input'!$G$70="Frais KYC (paliers de 100M€)",MAX(0,Nb_Investisseurs-Nb_KYC_Gratuites_Par_Tranche*(FLOOR(CK$20/Taille_Tranche_KYC,1)+1))*Cout_Par_KYC_Supplementaire,(IF('01_Input'!$L$70="Forfait",IF(CK$20&gt;='01_Input'!$J$70,'01_Input'!$M$70,0),IF('01_Input'!$L$70="Palier",IF(AND(CK$20&gt;='01_Input'!$J$70,CK$20&lt;'01_Input'!$K$70),'01_Input'!$M$70,0),MAX(MIN(CK$20,'01_Input'!$K$70)-'01_Input'!$J$70,0)*'01_Input'!$M$70))+IF('01_Input'!$P$70="Forfait",IF(CK$20&gt;='01_Input'!$N$70,'01_Input'!$Q$70,0),IF('01_Input'!$P$70="Palier",IF(AND(CK$20&gt;='01_Input'!$N$70,CK$20&lt;'01_Input'!$O$70),'01_Input'!$Q$70,0),MAX(MIN(CK$20,'01_Input'!$O$70)-'01_Input'!$N$70,0)*'01_Input'!$Q$70))+IF('01_Input'!$T$70="Forfait",IF(CK$20&gt;='01_Input'!$R$70,'01_Input'!$U$70,0),IF('01_Input'!$T$70="Palier",IF(AND(CK$20&gt;='01_Input'!$R$70,CK$20&lt;'01_Input'!$S$70),'01_Input'!$U$70,0),MAX(MIN(CK$20,'01_Input'!$S$70)-'01_Input'!$R$70,0)*'01_Input'!$U$70))+IF('01_Input'!$X$70="Forfait",IF(CK$20&gt;='01_Input'!$V$70,'01_Input'!$Y$70,0),IF('01_Input'!$X$70="Palier",IF(AND(CK$20&gt;='01_Input'!$V$70,CK$20&lt;'01_Input'!$W$70),'01_Input'!$Y$70,0),MAX(MIN(CK$20,'01_Input'!$W$70)-'01_Input'!$V$70,0)*'01_Input'!$Y$70))+IF('01_Input'!$AB$70="Forfait",IF(CK$20&gt;='01_Input'!$Z$70,'01_Input'!$AC$70,0),IF('01_Input'!$AB$70="Palier",IF(AND(CK$20&gt;='01_Input'!$Z$70,CK$20&lt;'01_Input'!$AA$70),'01_Input'!$AC$70,0),MAX(MIN(CK$20,'01_Input'!$AA$70)-'01_Input'!$Z$70,0)*'01_Input'!$AC$70)))))))))</f>
        <v>0</v>
      </c>
      <c r="CL38" s="83">
        <f>IF('01_Input'!$C$70="Non",0,MIN('01_Input'!$I$70,MAX('01_Input'!$H$70,IF('01_Input'!$G$70="Résiduel vs Gestion",0,IF('01_Input'!$G$70="Taux Classe sélectionnée",Distrib_Global_Classe_Selectionnee*CL$20,IF('01_Input'!$G$70="Frais KYC (paliers de 100M€)",MAX(0,Nb_Investisseurs-Nb_KYC_Gratuites_Par_Tranche*(FLOOR(CL$20/Taille_Tranche_KYC,1)+1))*Cout_Par_KYC_Supplementaire,(IF('01_Input'!$L$70="Forfait",IF(CL$20&gt;='01_Input'!$J$70,'01_Input'!$M$70,0),IF('01_Input'!$L$70="Palier",IF(AND(CL$20&gt;='01_Input'!$J$70,CL$20&lt;'01_Input'!$K$70),'01_Input'!$M$70,0),MAX(MIN(CL$20,'01_Input'!$K$70)-'01_Input'!$J$70,0)*'01_Input'!$M$70))+IF('01_Input'!$P$70="Forfait",IF(CL$20&gt;='01_Input'!$N$70,'01_Input'!$Q$70,0),IF('01_Input'!$P$70="Palier",IF(AND(CL$20&gt;='01_Input'!$N$70,CL$20&lt;'01_Input'!$O$70),'01_Input'!$Q$70,0),MAX(MIN(CL$20,'01_Input'!$O$70)-'01_Input'!$N$70,0)*'01_Input'!$Q$70))+IF('01_Input'!$T$70="Forfait",IF(CL$20&gt;='01_Input'!$R$70,'01_Input'!$U$70,0),IF('01_Input'!$T$70="Palier",IF(AND(CL$20&gt;='01_Input'!$R$70,CL$20&lt;'01_Input'!$S$70),'01_Input'!$U$70,0),MAX(MIN(CL$20,'01_Input'!$S$70)-'01_Input'!$R$70,0)*'01_Input'!$U$70))+IF('01_Input'!$X$70="Forfait",IF(CL$20&gt;='01_Input'!$V$70,'01_Input'!$Y$70,0),IF('01_Input'!$X$70="Palier",IF(AND(CL$20&gt;='01_Input'!$V$70,CL$20&lt;'01_Input'!$W$70),'01_Input'!$Y$70,0),MAX(MIN(CL$20,'01_Input'!$W$70)-'01_Input'!$V$70,0)*'01_Input'!$Y$70))+IF('01_Input'!$AB$70="Forfait",IF(CL$20&gt;='01_Input'!$Z$70,'01_Input'!$AC$70,0),IF('01_Input'!$AB$70="Palier",IF(AND(CL$20&gt;='01_Input'!$Z$70,CL$20&lt;'01_Input'!$AA$70),'01_Input'!$AC$70,0),MAX(MIN(CL$20,'01_Input'!$AA$70)-'01_Input'!$Z$70,0)*'01_Input'!$AC$70)))))))))</f>
        <v>0</v>
      </c>
      <c r="CM38" s="83">
        <f>IF('01_Input'!$C$70="Non",0,MIN('01_Input'!$I$70,MAX('01_Input'!$H$70,IF('01_Input'!$G$70="Résiduel vs Gestion",0,IF('01_Input'!$G$70="Taux Classe sélectionnée",Distrib_Global_Classe_Selectionnee*CM$20,IF('01_Input'!$G$70="Frais KYC (paliers de 100M€)",MAX(0,Nb_Investisseurs-Nb_KYC_Gratuites_Par_Tranche*(FLOOR(CM$20/Taille_Tranche_KYC,1)+1))*Cout_Par_KYC_Supplementaire,(IF('01_Input'!$L$70="Forfait",IF(CM$20&gt;='01_Input'!$J$70,'01_Input'!$M$70,0),IF('01_Input'!$L$70="Palier",IF(AND(CM$20&gt;='01_Input'!$J$70,CM$20&lt;'01_Input'!$K$70),'01_Input'!$M$70,0),MAX(MIN(CM$20,'01_Input'!$K$70)-'01_Input'!$J$70,0)*'01_Input'!$M$70))+IF('01_Input'!$P$70="Forfait",IF(CM$20&gt;='01_Input'!$N$70,'01_Input'!$Q$70,0),IF('01_Input'!$P$70="Palier",IF(AND(CM$20&gt;='01_Input'!$N$70,CM$20&lt;'01_Input'!$O$70),'01_Input'!$Q$70,0),MAX(MIN(CM$20,'01_Input'!$O$70)-'01_Input'!$N$70,0)*'01_Input'!$Q$70))+IF('01_Input'!$T$70="Forfait",IF(CM$20&gt;='01_Input'!$R$70,'01_Input'!$U$70,0),IF('01_Input'!$T$70="Palier",IF(AND(CM$20&gt;='01_Input'!$R$70,CM$20&lt;'01_Input'!$S$70),'01_Input'!$U$70,0),MAX(MIN(CM$20,'01_Input'!$S$70)-'01_Input'!$R$70,0)*'01_Input'!$U$70))+IF('01_Input'!$X$70="Forfait",IF(CM$20&gt;='01_Input'!$V$70,'01_Input'!$Y$70,0),IF('01_Input'!$X$70="Palier",IF(AND(CM$20&gt;='01_Input'!$V$70,CM$20&lt;'01_Input'!$W$70),'01_Input'!$Y$70,0),MAX(MIN(CM$20,'01_Input'!$W$70)-'01_Input'!$V$70,0)*'01_Input'!$Y$70))+IF('01_Input'!$AB$70="Forfait",IF(CM$20&gt;='01_Input'!$Z$70,'01_Input'!$AC$70,0),IF('01_Input'!$AB$70="Palier",IF(AND(CM$20&gt;='01_Input'!$Z$70,CM$20&lt;'01_Input'!$AA$70),'01_Input'!$AC$70,0),MAX(MIN(CM$20,'01_Input'!$AA$70)-'01_Input'!$Z$70,0)*'01_Input'!$AC$70)))))))))</f>
        <v>0</v>
      </c>
      <c r="CN38" s="83">
        <f>IF('01_Input'!$C$70="Non",0,MIN('01_Input'!$I$70,MAX('01_Input'!$H$70,IF('01_Input'!$G$70="Résiduel vs Gestion",0,IF('01_Input'!$G$70="Taux Classe sélectionnée",Distrib_Global_Classe_Selectionnee*CN$20,IF('01_Input'!$G$70="Frais KYC (paliers de 100M€)",MAX(0,Nb_Investisseurs-Nb_KYC_Gratuites_Par_Tranche*(FLOOR(CN$20/Taille_Tranche_KYC,1)+1))*Cout_Par_KYC_Supplementaire,(IF('01_Input'!$L$70="Forfait",IF(CN$20&gt;='01_Input'!$J$70,'01_Input'!$M$70,0),IF('01_Input'!$L$70="Palier",IF(AND(CN$20&gt;='01_Input'!$J$70,CN$20&lt;'01_Input'!$K$70),'01_Input'!$M$70,0),MAX(MIN(CN$20,'01_Input'!$K$70)-'01_Input'!$J$70,0)*'01_Input'!$M$70))+IF('01_Input'!$P$70="Forfait",IF(CN$20&gt;='01_Input'!$N$70,'01_Input'!$Q$70,0),IF('01_Input'!$P$70="Palier",IF(AND(CN$20&gt;='01_Input'!$N$70,CN$20&lt;'01_Input'!$O$70),'01_Input'!$Q$70,0),MAX(MIN(CN$20,'01_Input'!$O$70)-'01_Input'!$N$70,0)*'01_Input'!$Q$70))+IF('01_Input'!$T$70="Forfait",IF(CN$20&gt;='01_Input'!$R$70,'01_Input'!$U$70,0),IF('01_Input'!$T$70="Palier",IF(AND(CN$20&gt;='01_Input'!$R$70,CN$20&lt;'01_Input'!$S$70),'01_Input'!$U$70,0),MAX(MIN(CN$20,'01_Input'!$S$70)-'01_Input'!$R$70,0)*'01_Input'!$U$70))+IF('01_Input'!$X$70="Forfait",IF(CN$20&gt;='01_Input'!$V$70,'01_Input'!$Y$70,0),IF('01_Input'!$X$70="Palier",IF(AND(CN$20&gt;='01_Input'!$V$70,CN$20&lt;'01_Input'!$W$70),'01_Input'!$Y$70,0),MAX(MIN(CN$20,'01_Input'!$W$70)-'01_Input'!$V$70,0)*'01_Input'!$Y$70))+IF('01_Input'!$AB$70="Forfait",IF(CN$20&gt;='01_Input'!$Z$70,'01_Input'!$AC$70,0),IF('01_Input'!$AB$70="Palier",IF(AND(CN$20&gt;='01_Input'!$Z$70,CN$20&lt;'01_Input'!$AA$70),'01_Input'!$AC$70,0),MAX(MIN(CN$20,'01_Input'!$AA$70)-'01_Input'!$Z$70,0)*'01_Input'!$AC$70)))))))))</f>
        <v>0</v>
      </c>
      <c r="CO38" s="83">
        <f>IF('01_Input'!$C$70="Non",0,MIN('01_Input'!$I$70,MAX('01_Input'!$H$70,IF('01_Input'!$G$70="Résiduel vs Gestion",0,IF('01_Input'!$G$70="Taux Classe sélectionnée",Distrib_Global_Classe_Selectionnee*CO$20,IF('01_Input'!$G$70="Frais KYC (paliers de 100M€)",MAX(0,Nb_Investisseurs-Nb_KYC_Gratuites_Par_Tranche*(FLOOR(CO$20/Taille_Tranche_KYC,1)+1))*Cout_Par_KYC_Supplementaire,(IF('01_Input'!$L$70="Forfait",IF(CO$20&gt;='01_Input'!$J$70,'01_Input'!$M$70,0),IF('01_Input'!$L$70="Palier",IF(AND(CO$20&gt;='01_Input'!$J$70,CO$20&lt;'01_Input'!$K$70),'01_Input'!$M$70,0),MAX(MIN(CO$20,'01_Input'!$K$70)-'01_Input'!$J$70,0)*'01_Input'!$M$70))+IF('01_Input'!$P$70="Forfait",IF(CO$20&gt;='01_Input'!$N$70,'01_Input'!$Q$70,0),IF('01_Input'!$P$70="Palier",IF(AND(CO$20&gt;='01_Input'!$N$70,CO$20&lt;'01_Input'!$O$70),'01_Input'!$Q$70,0),MAX(MIN(CO$20,'01_Input'!$O$70)-'01_Input'!$N$70,0)*'01_Input'!$Q$70))+IF('01_Input'!$T$70="Forfait",IF(CO$20&gt;='01_Input'!$R$70,'01_Input'!$U$70,0),IF('01_Input'!$T$70="Palier",IF(AND(CO$20&gt;='01_Input'!$R$70,CO$20&lt;'01_Input'!$S$70),'01_Input'!$U$70,0),MAX(MIN(CO$20,'01_Input'!$S$70)-'01_Input'!$R$70,0)*'01_Input'!$U$70))+IF('01_Input'!$X$70="Forfait",IF(CO$20&gt;='01_Input'!$V$70,'01_Input'!$Y$70,0),IF('01_Input'!$X$70="Palier",IF(AND(CO$20&gt;='01_Input'!$V$70,CO$20&lt;'01_Input'!$W$70),'01_Input'!$Y$70,0),MAX(MIN(CO$20,'01_Input'!$W$70)-'01_Input'!$V$70,0)*'01_Input'!$Y$70))+IF('01_Input'!$AB$70="Forfait",IF(CO$20&gt;='01_Input'!$Z$70,'01_Input'!$AC$70,0),IF('01_Input'!$AB$70="Palier",IF(AND(CO$20&gt;='01_Input'!$Z$70,CO$20&lt;'01_Input'!$AA$70),'01_Input'!$AC$70,0),MAX(MIN(CO$20,'01_Input'!$AA$70)-'01_Input'!$Z$70,0)*'01_Input'!$AC$70)))))))))</f>
        <v>0</v>
      </c>
      <c r="CP38" s="83">
        <f>IF('01_Input'!$C$70="Non",0,MIN('01_Input'!$I$70,MAX('01_Input'!$H$70,IF('01_Input'!$G$70="Résiduel vs Gestion",0,IF('01_Input'!$G$70="Taux Classe sélectionnée",Distrib_Global_Classe_Selectionnee*CP$20,IF('01_Input'!$G$70="Frais KYC (paliers de 100M€)",MAX(0,Nb_Investisseurs-Nb_KYC_Gratuites_Par_Tranche*(FLOOR(CP$20/Taille_Tranche_KYC,1)+1))*Cout_Par_KYC_Supplementaire,(IF('01_Input'!$L$70="Forfait",IF(CP$20&gt;='01_Input'!$J$70,'01_Input'!$M$70,0),IF('01_Input'!$L$70="Palier",IF(AND(CP$20&gt;='01_Input'!$J$70,CP$20&lt;'01_Input'!$K$70),'01_Input'!$M$70,0),MAX(MIN(CP$20,'01_Input'!$K$70)-'01_Input'!$J$70,0)*'01_Input'!$M$70))+IF('01_Input'!$P$70="Forfait",IF(CP$20&gt;='01_Input'!$N$70,'01_Input'!$Q$70,0),IF('01_Input'!$P$70="Palier",IF(AND(CP$20&gt;='01_Input'!$N$70,CP$20&lt;'01_Input'!$O$70),'01_Input'!$Q$70,0),MAX(MIN(CP$20,'01_Input'!$O$70)-'01_Input'!$N$70,0)*'01_Input'!$Q$70))+IF('01_Input'!$T$70="Forfait",IF(CP$20&gt;='01_Input'!$R$70,'01_Input'!$U$70,0),IF('01_Input'!$T$70="Palier",IF(AND(CP$20&gt;='01_Input'!$R$70,CP$20&lt;'01_Input'!$S$70),'01_Input'!$U$70,0),MAX(MIN(CP$20,'01_Input'!$S$70)-'01_Input'!$R$70,0)*'01_Input'!$U$70))+IF('01_Input'!$X$70="Forfait",IF(CP$20&gt;='01_Input'!$V$70,'01_Input'!$Y$70,0),IF('01_Input'!$X$70="Palier",IF(AND(CP$20&gt;='01_Input'!$V$70,CP$20&lt;'01_Input'!$W$70),'01_Input'!$Y$70,0),MAX(MIN(CP$20,'01_Input'!$W$70)-'01_Input'!$V$70,0)*'01_Input'!$Y$70))+IF('01_Input'!$AB$70="Forfait",IF(CP$20&gt;='01_Input'!$Z$70,'01_Input'!$AC$70,0),IF('01_Input'!$AB$70="Palier",IF(AND(CP$20&gt;='01_Input'!$Z$70,CP$20&lt;'01_Input'!$AA$70),'01_Input'!$AC$70,0),MAX(MIN(CP$20,'01_Input'!$AA$70)-'01_Input'!$Z$70,0)*'01_Input'!$AC$70)))))))))</f>
        <v>0</v>
      </c>
      <c r="CQ38" s="83">
        <f>IF('01_Input'!$C$70="Non",0,MIN('01_Input'!$I$70,MAX('01_Input'!$H$70,IF('01_Input'!$G$70="Résiduel vs Gestion",0,IF('01_Input'!$G$70="Taux Classe sélectionnée",Distrib_Global_Classe_Selectionnee*CQ$20,IF('01_Input'!$G$70="Frais KYC (paliers de 100M€)",MAX(0,Nb_Investisseurs-Nb_KYC_Gratuites_Par_Tranche*(FLOOR(CQ$20/Taille_Tranche_KYC,1)+1))*Cout_Par_KYC_Supplementaire,(IF('01_Input'!$L$70="Forfait",IF(CQ$20&gt;='01_Input'!$J$70,'01_Input'!$M$70,0),IF('01_Input'!$L$70="Palier",IF(AND(CQ$20&gt;='01_Input'!$J$70,CQ$20&lt;'01_Input'!$K$70),'01_Input'!$M$70,0),MAX(MIN(CQ$20,'01_Input'!$K$70)-'01_Input'!$J$70,0)*'01_Input'!$M$70))+IF('01_Input'!$P$70="Forfait",IF(CQ$20&gt;='01_Input'!$N$70,'01_Input'!$Q$70,0),IF('01_Input'!$P$70="Palier",IF(AND(CQ$20&gt;='01_Input'!$N$70,CQ$20&lt;'01_Input'!$O$70),'01_Input'!$Q$70,0),MAX(MIN(CQ$20,'01_Input'!$O$70)-'01_Input'!$N$70,0)*'01_Input'!$Q$70))+IF('01_Input'!$T$70="Forfait",IF(CQ$20&gt;='01_Input'!$R$70,'01_Input'!$U$70,0),IF('01_Input'!$T$70="Palier",IF(AND(CQ$20&gt;='01_Input'!$R$70,CQ$20&lt;'01_Input'!$S$70),'01_Input'!$U$70,0),MAX(MIN(CQ$20,'01_Input'!$S$70)-'01_Input'!$R$70,0)*'01_Input'!$U$70))+IF('01_Input'!$X$70="Forfait",IF(CQ$20&gt;='01_Input'!$V$70,'01_Input'!$Y$70,0),IF('01_Input'!$X$70="Palier",IF(AND(CQ$20&gt;='01_Input'!$V$70,CQ$20&lt;'01_Input'!$W$70),'01_Input'!$Y$70,0),MAX(MIN(CQ$20,'01_Input'!$W$70)-'01_Input'!$V$70,0)*'01_Input'!$Y$70))+IF('01_Input'!$AB$70="Forfait",IF(CQ$20&gt;='01_Input'!$Z$70,'01_Input'!$AC$70,0),IF('01_Input'!$AB$70="Palier",IF(AND(CQ$20&gt;='01_Input'!$Z$70,CQ$20&lt;'01_Input'!$AA$70),'01_Input'!$AC$70,0),MAX(MIN(CQ$20,'01_Input'!$AA$70)-'01_Input'!$Z$70,0)*'01_Input'!$AC$70)))))))))</f>
        <v>0</v>
      </c>
      <c r="CR38" s="83">
        <f>IF('01_Input'!$C$70="Non",0,MIN('01_Input'!$I$70,MAX('01_Input'!$H$70,IF('01_Input'!$G$70="Résiduel vs Gestion",0,IF('01_Input'!$G$70="Taux Classe sélectionnée",Distrib_Global_Classe_Selectionnee*CR$20,IF('01_Input'!$G$70="Frais KYC (paliers de 100M€)",MAX(0,Nb_Investisseurs-Nb_KYC_Gratuites_Par_Tranche*(FLOOR(CR$20/Taille_Tranche_KYC,1)+1))*Cout_Par_KYC_Supplementaire,(IF('01_Input'!$L$70="Forfait",IF(CR$20&gt;='01_Input'!$J$70,'01_Input'!$M$70,0),IF('01_Input'!$L$70="Palier",IF(AND(CR$20&gt;='01_Input'!$J$70,CR$20&lt;'01_Input'!$K$70),'01_Input'!$M$70,0),MAX(MIN(CR$20,'01_Input'!$K$70)-'01_Input'!$J$70,0)*'01_Input'!$M$70))+IF('01_Input'!$P$70="Forfait",IF(CR$20&gt;='01_Input'!$N$70,'01_Input'!$Q$70,0),IF('01_Input'!$P$70="Palier",IF(AND(CR$20&gt;='01_Input'!$N$70,CR$20&lt;'01_Input'!$O$70),'01_Input'!$Q$70,0),MAX(MIN(CR$20,'01_Input'!$O$70)-'01_Input'!$N$70,0)*'01_Input'!$Q$70))+IF('01_Input'!$T$70="Forfait",IF(CR$20&gt;='01_Input'!$R$70,'01_Input'!$U$70,0),IF('01_Input'!$T$70="Palier",IF(AND(CR$20&gt;='01_Input'!$R$70,CR$20&lt;'01_Input'!$S$70),'01_Input'!$U$70,0),MAX(MIN(CR$20,'01_Input'!$S$70)-'01_Input'!$R$70,0)*'01_Input'!$U$70))+IF('01_Input'!$X$70="Forfait",IF(CR$20&gt;='01_Input'!$V$70,'01_Input'!$Y$70,0),IF('01_Input'!$X$70="Palier",IF(AND(CR$20&gt;='01_Input'!$V$70,CR$20&lt;'01_Input'!$W$70),'01_Input'!$Y$70,0),MAX(MIN(CR$20,'01_Input'!$W$70)-'01_Input'!$V$70,0)*'01_Input'!$Y$70))+IF('01_Input'!$AB$70="Forfait",IF(CR$20&gt;='01_Input'!$Z$70,'01_Input'!$AC$70,0),IF('01_Input'!$AB$70="Palier",IF(AND(CR$20&gt;='01_Input'!$Z$70,CR$20&lt;'01_Input'!$AA$70),'01_Input'!$AC$70,0),MAX(MIN(CR$20,'01_Input'!$AA$70)-'01_Input'!$Z$70,0)*'01_Input'!$AC$70)))))))))</f>
        <v>0</v>
      </c>
      <c r="CS38" s="83">
        <f>IF('01_Input'!$C$70="Non",0,MIN('01_Input'!$I$70,MAX('01_Input'!$H$70,IF('01_Input'!$G$70="Résiduel vs Gestion",0,IF('01_Input'!$G$70="Taux Classe sélectionnée",Distrib_Global_Classe_Selectionnee*CS$20,IF('01_Input'!$G$70="Frais KYC (paliers de 100M€)",MAX(0,Nb_Investisseurs-Nb_KYC_Gratuites_Par_Tranche*(FLOOR(CS$20/Taille_Tranche_KYC,1)+1))*Cout_Par_KYC_Supplementaire,(IF('01_Input'!$L$70="Forfait",IF(CS$20&gt;='01_Input'!$J$70,'01_Input'!$M$70,0),IF('01_Input'!$L$70="Palier",IF(AND(CS$20&gt;='01_Input'!$J$70,CS$20&lt;'01_Input'!$K$70),'01_Input'!$M$70,0),MAX(MIN(CS$20,'01_Input'!$K$70)-'01_Input'!$J$70,0)*'01_Input'!$M$70))+IF('01_Input'!$P$70="Forfait",IF(CS$20&gt;='01_Input'!$N$70,'01_Input'!$Q$70,0),IF('01_Input'!$P$70="Palier",IF(AND(CS$20&gt;='01_Input'!$N$70,CS$20&lt;'01_Input'!$O$70),'01_Input'!$Q$70,0),MAX(MIN(CS$20,'01_Input'!$O$70)-'01_Input'!$N$70,0)*'01_Input'!$Q$70))+IF('01_Input'!$T$70="Forfait",IF(CS$20&gt;='01_Input'!$R$70,'01_Input'!$U$70,0),IF('01_Input'!$T$70="Palier",IF(AND(CS$20&gt;='01_Input'!$R$70,CS$20&lt;'01_Input'!$S$70),'01_Input'!$U$70,0),MAX(MIN(CS$20,'01_Input'!$S$70)-'01_Input'!$R$70,0)*'01_Input'!$U$70))+IF('01_Input'!$X$70="Forfait",IF(CS$20&gt;='01_Input'!$V$70,'01_Input'!$Y$70,0),IF('01_Input'!$X$70="Palier",IF(AND(CS$20&gt;='01_Input'!$V$70,CS$20&lt;'01_Input'!$W$70),'01_Input'!$Y$70,0),MAX(MIN(CS$20,'01_Input'!$W$70)-'01_Input'!$V$70,0)*'01_Input'!$Y$70))+IF('01_Input'!$AB$70="Forfait",IF(CS$20&gt;='01_Input'!$Z$70,'01_Input'!$AC$70,0),IF('01_Input'!$AB$70="Palier",IF(AND(CS$20&gt;='01_Input'!$Z$70,CS$20&lt;'01_Input'!$AA$70),'01_Input'!$AC$70,0),MAX(MIN(CS$20,'01_Input'!$AA$70)-'01_Input'!$Z$70,0)*'01_Input'!$AC$70)))))))))</f>
        <v>0</v>
      </c>
      <c r="CT38" s="83">
        <f>IF('01_Input'!$C$70="Non",0,MIN('01_Input'!$I$70,MAX('01_Input'!$H$70,IF('01_Input'!$G$70="Résiduel vs Gestion",0,IF('01_Input'!$G$70="Taux Classe sélectionnée",Distrib_Global_Classe_Selectionnee*CT$20,IF('01_Input'!$G$70="Frais KYC (paliers de 100M€)",MAX(0,Nb_Investisseurs-Nb_KYC_Gratuites_Par_Tranche*(FLOOR(CT$20/Taille_Tranche_KYC,1)+1))*Cout_Par_KYC_Supplementaire,(IF('01_Input'!$L$70="Forfait",IF(CT$20&gt;='01_Input'!$J$70,'01_Input'!$M$70,0),IF('01_Input'!$L$70="Palier",IF(AND(CT$20&gt;='01_Input'!$J$70,CT$20&lt;'01_Input'!$K$70),'01_Input'!$M$70,0),MAX(MIN(CT$20,'01_Input'!$K$70)-'01_Input'!$J$70,0)*'01_Input'!$M$70))+IF('01_Input'!$P$70="Forfait",IF(CT$20&gt;='01_Input'!$N$70,'01_Input'!$Q$70,0),IF('01_Input'!$P$70="Palier",IF(AND(CT$20&gt;='01_Input'!$N$70,CT$20&lt;'01_Input'!$O$70),'01_Input'!$Q$70,0),MAX(MIN(CT$20,'01_Input'!$O$70)-'01_Input'!$N$70,0)*'01_Input'!$Q$70))+IF('01_Input'!$T$70="Forfait",IF(CT$20&gt;='01_Input'!$R$70,'01_Input'!$U$70,0),IF('01_Input'!$T$70="Palier",IF(AND(CT$20&gt;='01_Input'!$R$70,CT$20&lt;'01_Input'!$S$70),'01_Input'!$U$70,0),MAX(MIN(CT$20,'01_Input'!$S$70)-'01_Input'!$R$70,0)*'01_Input'!$U$70))+IF('01_Input'!$X$70="Forfait",IF(CT$20&gt;='01_Input'!$V$70,'01_Input'!$Y$70,0),IF('01_Input'!$X$70="Palier",IF(AND(CT$20&gt;='01_Input'!$V$70,CT$20&lt;'01_Input'!$W$70),'01_Input'!$Y$70,0),MAX(MIN(CT$20,'01_Input'!$W$70)-'01_Input'!$V$70,0)*'01_Input'!$Y$70))+IF('01_Input'!$AB$70="Forfait",IF(CT$20&gt;='01_Input'!$Z$70,'01_Input'!$AC$70,0),IF('01_Input'!$AB$70="Palier",IF(AND(CT$20&gt;='01_Input'!$Z$70,CT$20&lt;'01_Input'!$AA$70),'01_Input'!$AC$70,0),MAX(MIN(CT$20,'01_Input'!$AA$70)-'01_Input'!$Z$70,0)*'01_Input'!$AC$70)))))))))</f>
        <v>0</v>
      </c>
      <c r="CU38" s="83">
        <f>IF('01_Input'!$C$70="Non",0,MIN('01_Input'!$I$70,MAX('01_Input'!$H$70,IF('01_Input'!$G$70="Résiduel vs Gestion",0,IF('01_Input'!$G$70="Taux Classe sélectionnée",Distrib_Global_Classe_Selectionnee*CU$20,IF('01_Input'!$G$70="Frais KYC (paliers de 100M€)",MAX(0,Nb_Investisseurs-Nb_KYC_Gratuites_Par_Tranche*(FLOOR(CU$20/Taille_Tranche_KYC,1)+1))*Cout_Par_KYC_Supplementaire,(IF('01_Input'!$L$70="Forfait",IF(CU$20&gt;='01_Input'!$J$70,'01_Input'!$M$70,0),IF('01_Input'!$L$70="Palier",IF(AND(CU$20&gt;='01_Input'!$J$70,CU$20&lt;'01_Input'!$K$70),'01_Input'!$M$70,0),MAX(MIN(CU$20,'01_Input'!$K$70)-'01_Input'!$J$70,0)*'01_Input'!$M$70))+IF('01_Input'!$P$70="Forfait",IF(CU$20&gt;='01_Input'!$N$70,'01_Input'!$Q$70,0),IF('01_Input'!$P$70="Palier",IF(AND(CU$20&gt;='01_Input'!$N$70,CU$20&lt;'01_Input'!$O$70),'01_Input'!$Q$70,0),MAX(MIN(CU$20,'01_Input'!$O$70)-'01_Input'!$N$70,0)*'01_Input'!$Q$70))+IF('01_Input'!$T$70="Forfait",IF(CU$20&gt;='01_Input'!$R$70,'01_Input'!$U$70,0),IF('01_Input'!$T$70="Palier",IF(AND(CU$20&gt;='01_Input'!$R$70,CU$20&lt;'01_Input'!$S$70),'01_Input'!$U$70,0),MAX(MIN(CU$20,'01_Input'!$S$70)-'01_Input'!$R$70,0)*'01_Input'!$U$70))+IF('01_Input'!$X$70="Forfait",IF(CU$20&gt;='01_Input'!$V$70,'01_Input'!$Y$70,0),IF('01_Input'!$X$70="Palier",IF(AND(CU$20&gt;='01_Input'!$V$70,CU$20&lt;'01_Input'!$W$70),'01_Input'!$Y$70,0),MAX(MIN(CU$20,'01_Input'!$W$70)-'01_Input'!$V$70,0)*'01_Input'!$Y$70))+IF('01_Input'!$AB$70="Forfait",IF(CU$20&gt;='01_Input'!$Z$70,'01_Input'!$AC$70,0),IF('01_Input'!$AB$70="Palier",IF(AND(CU$20&gt;='01_Input'!$Z$70,CU$20&lt;'01_Input'!$AA$70),'01_Input'!$AC$70,0),MAX(MIN(CU$20,'01_Input'!$AA$70)-'01_Input'!$Z$70,0)*'01_Input'!$AC$70)))))))))</f>
        <v>0</v>
      </c>
      <c r="CV38" s="83">
        <f>IF('01_Input'!$C$70="Non",0,MIN('01_Input'!$I$70,MAX('01_Input'!$H$70,IF('01_Input'!$G$70="Résiduel vs Gestion",0,IF('01_Input'!$G$70="Taux Classe sélectionnée",Distrib_Global_Classe_Selectionnee*CV$20,IF('01_Input'!$G$70="Frais KYC (paliers de 100M€)",MAX(0,Nb_Investisseurs-Nb_KYC_Gratuites_Par_Tranche*(FLOOR(CV$20/Taille_Tranche_KYC,1)+1))*Cout_Par_KYC_Supplementaire,(IF('01_Input'!$L$70="Forfait",IF(CV$20&gt;='01_Input'!$J$70,'01_Input'!$M$70,0),IF('01_Input'!$L$70="Palier",IF(AND(CV$20&gt;='01_Input'!$J$70,CV$20&lt;'01_Input'!$K$70),'01_Input'!$M$70,0),MAX(MIN(CV$20,'01_Input'!$K$70)-'01_Input'!$J$70,0)*'01_Input'!$M$70))+IF('01_Input'!$P$70="Forfait",IF(CV$20&gt;='01_Input'!$N$70,'01_Input'!$Q$70,0),IF('01_Input'!$P$70="Palier",IF(AND(CV$20&gt;='01_Input'!$N$70,CV$20&lt;'01_Input'!$O$70),'01_Input'!$Q$70,0),MAX(MIN(CV$20,'01_Input'!$O$70)-'01_Input'!$N$70,0)*'01_Input'!$Q$70))+IF('01_Input'!$T$70="Forfait",IF(CV$20&gt;='01_Input'!$R$70,'01_Input'!$U$70,0),IF('01_Input'!$T$70="Palier",IF(AND(CV$20&gt;='01_Input'!$R$70,CV$20&lt;'01_Input'!$S$70),'01_Input'!$U$70,0),MAX(MIN(CV$20,'01_Input'!$S$70)-'01_Input'!$R$70,0)*'01_Input'!$U$70))+IF('01_Input'!$X$70="Forfait",IF(CV$20&gt;='01_Input'!$V$70,'01_Input'!$Y$70,0),IF('01_Input'!$X$70="Palier",IF(AND(CV$20&gt;='01_Input'!$V$70,CV$20&lt;'01_Input'!$W$70),'01_Input'!$Y$70,0),MAX(MIN(CV$20,'01_Input'!$W$70)-'01_Input'!$V$70,0)*'01_Input'!$Y$70))+IF('01_Input'!$AB$70="Forfait",IF(CV$20&gt;='01_Input'!$Z$70,'01_Input'!$AC$70,0),IF('01_Input'!$AB$70="Palier",IF(AND(CV$20&gt;='01_Input'!$Z$70,CV$20&lt;'01_Input'!$AA$70),'01_Input'!$AC$70,0),MAX(MIN(CV$20,'01_Input'!$AA$70)-'01_Input'!$Z$70,0)*'01_Input'!$AC$70)))))))))</f>
        <v>0</v>
      </c>
      <c r="CW38" s="83">
        <f>IF('01_Input'!$C$70="Non",0,MIN('01_Input'!$I$70,MAX('01_Input'!$H$70,IF('01_Input'!$G$70="Résiduel vs Gestion",0,IF('01_Input'!$G$70="Taux Classe sélectionnée",Distrib_Global_Classe_Selectionnee*CW$20,IF('01_Input'!$G$70="Frais KYC (paliers de 100M€)",MAX(0,Nb_Investisseurs-Nb_KYC_Gratuites_Par_Tranche*(FLOOR(CW$20/Taille_Tranche_KYC,1)+1))*Cout_Par_KYC_Supplementaire,(IF('01_Input'!$L$70="Forfait",IF(CW$20&gt;='01_Input'!$J$70,'01_Input'!$M$70,0),IF('01_Input'!$L$70="Palier",IF(AND(CW$20&gt;='01_Input'!$J$70,CW$20&lt;'01_Input'!$K$70),'01_Input'!$M$70,0),MAX(MIN(CW$20,'01_Input'!$K$70)-'01_Input'!$J$70,0)*'01_Input'!$M$70))+IF('01_Input'!$P$70="Forfait",IF(CW$20&gt;='01_Input'!$N$70,'01_Input'!$Q$70,0),IF('01_Input'!$P$70="Palier",IF(AND(CW$20&gt;='01_Input'!$N$70,CW$20&lt;'01_Input'!$O$70),'01_Input'!$Q$70,0),MAX(MIN(CW$20,'01_Input'!$O$70)-'01_Input'!$N$70,0)*'01_Input'!$Q$70))+IF('01_Input'!$T$70="Forfait",IF(CW$20&gt;='01_Input'!$R$70,'01_Input'!$U$70,0),IF('01_Input'!$T$70="Palier",IF(AND(CW$20&gt;='01_Input'!$R$70,CW$20&lt;'01_Input'!$S$70),'01_Input'!$U$70,0),MAX(MIN(CW$20,'01_Input'!$S$70)-'01_Input'!$R$70,0)*'01_Input'!$U$70))+IF('01_Input'!$X$70="Forfait",IF(CW$20&gt;='01_Input'!$V$70,'01_Input'!$Y$70,0),IF('01_Input'!$X$70="Palier",IF(AND(CW$20&gt;='01_Input'!$V$70,CW$20&lt;'01_Input'!$W$70),'01_Input'!$Y$70,0),MAX(MIN(CW$20,'01_Input'!$W$70)-'01_Input'!$V$70,0)*'01_Input'!$Y$70))+IF('01_Input'!$AB$70="Forfait",IF(CW$20&gt;='01_Input'!$Z$70,'01_Input'!$AC$70,0),IF('01_Input'!$AB$70="Palier",IF(AND(CW$20&gt;='01_Input'!$Z$70,CW$20&lt;'01_Input'!$AA$70),'01_Input'!$AC$70,0),MAX(MIN(CW$20,'01_Input'!$AA$70)-'01_Input'!$Z$70,0)*'01_Input'!$AC$70)))))))))</f>
        <v>0</v>
      </c>
      <c r="CX38" s="83">
        <f>IF('01_Input'!$C$70="Non",0,MIN('01_Input'!$I$70,MAX('01_Input'!$H$70,IF('01_Input'!$G$70="Résiduel vs Gestion",0,IF('01_Input'!$G$70="Taux Classe sélectionnée",Distrib_Global_Classe_Selectionnee*CX$20,IF('01_Input'!$G$70="Frais KYC (paliers de 100M€)",MAX(0,Nb_Investisseurs-Nb_KYC_Gratuites_Par_Tranche*(FLOOR(CX$20/Taille_Tranche_KYC,1)+1))*Cout_Par_KYC_Supplementaire,(IF('01_Input'!$L$70="Forfait",IF(CX$20&gt;='01_Input'!$J$70,'01_Input'!$M$70,0),IF('01_Input'!$L$70="Palier",IF(AND(CX$20&gt;='01_Input'!$J$70,CX$20&lt;'01_Input'!$K$70),'01_Input'!$M$70,0),MAX(MIN(CX$20,'01_Input'!$K$70)-'01_Input'!$J$70,0)*'01_Input'!$M$70))+IF('01_Input'!$P$70="Forfait",IF(CX$20&gt;='01_Input'!$N$70,'01_Input'!$Q$70,0),IF('01_Input'!$P$70="Palier",IF(AND(CX$20&gt;='01_Input'!$N$70,CX$20&lt;'01_Input'!$O$70),'01_Input'!$Q$70,0),MAX(MIN(CX$20,'01_Input'!$O$70)-'01_Input'!$N$70,0)*'01_Input'!$Q$70))+IF('01_Input'!$T$70="Forfait",IF(CX$20&gt;='01_Input'!$R$70,'01_Input'!$U$70,0),IF('01_Input'!$T$70="Palier",IF(AND(CX$20&gt;='01_Input'!$R$70,CX$20&lt;'01_Input'!$S$70),'01_Input'!$U$70,0),MAX(MIN(CX$20,'01_Input'!$S$70)-'01_Input'!$R$70,0)*'01_Input'!$U$70))+IF('01_Input'!$X$70="Forfait",IF(CX$20&gt;='01_Input'!$V$70,'01_Input'!$Y$70,0),IF('01_Input'!$X$70="Palier",IF(AND(CX$20&gt;='01_Input'!$V$70,CX$20&lt;'01_Input'!$W$70),'01_Input'!$Y$70,0),MAX(MIN(CX$20,'01_Input'!$W$70)-'01_Input'!$V$70,0)*'01_Input'!$Y$70))+IF('01_Input'!$AB$70="Forfait",IF(CX$20&gt;='01_Input'!$Z$70,'01_Input'!$AC$70,0),IF('01_Input'!$AB$70="Palier",IF(AND(CX$20&gt;='01_Input'!$Z$70,CX$20&lt;'01_Input'!$AA$70),'01_Input'!$AC$70,0),MAX(MIN(CX$20,'01_Input'!$AA$70)-'01_Input'!$Z$70,0)*'01_Input'!$AC$70)))))))))</f>
        <v>0</v>
      </c>
      <c r="CY38" s="83">
        <f>IF('01_Input'!$C$70="Non",0,MIN('01_Input'!$I$70,MAX('01_Input'!$H$70,IF('01_Input'!$G$70="Résiduel vs Gestion",0,IF('01_Input'!$G$70="Taux Classe sélectionnée",Distrib_Global_Classe_Selectionnee*CY$20,IF('01_Input'!$G$70="Frais KYC (paliers de 100M€)",MAX(0,Nb_Investisseurs-Nb_KYC_Gratuites_Par_Tranche*(FLOOR(CY$20/Taille_Tranche_KYC,1)+1))*Cout_Par_KYC_Supplementaire,(IF('01_Input'!$L$70="Forfait",IF(CY$20&gt;='01_Input'!$J$70,'01_Input'!$M$70,0),IF('01_Input'!$L$70="Palier",IF(AND(CY$20&gt;='01_Input'!$J$70,CY$20&lt;'01_Input'!$K$70),'01_Input'!$M$70,0),MAX(MIN(CY$20,'01_Input'!$K$70)-'01_Input'!$J$70,0)*'01_Input'!$M$70))+IF('01_Input'!$P$70="Forfait",IF(CY$20&gt;='01_Input'!$N$70,'01_Input'!$Q$70,0),IF('01_Input'!$P$70="Palier",IF(AND(CY$20&gt;='01_Input'!$N$70,CY$20&lt;'01_Input'!$O$70),'01_Input'!$Q$70,0),MAX(MIN(CY$20,'01_Input'!$O$70)-'01_Input'!$N$70,0)*'01_Input'!$Q$70))+IF('01_Input'!$T$70="Forfait",IF(CY$20&gt;='01_Input'!$R$70,'01_Input'!$U$70,0),IF('01_Input'!$T$70="Palier",IF(AND(CY$20&gt;='01_Input'!$R$70,CY$20&lt;'01_Input'!$S$70),'01_Input'!$U$70,0),MAX(MIN(CY$20,'01_Input'!$S$70)-'01_Input'!$R$70,0)*'01_Input'!$U$70))+IF('01_Input'!$X$70="Forfait",IF(CY$20&gt;='01_Input'!$V$70,'01_Input'!$Y$70,0),IF('01_Input'!$X$70="Palier",IF(AND(CY$20&gt;='01_Input'!$V$70,CY$20&lt;'01_Input'!$W$70),'01_Input'!$Y$70,0),MAX(MIN(CY$20,'01_Input'!$W$70)-'01_Input'!$V$70,0)*'01_Input'!$Y$70))+IF('01_Input'!$AB$70="Forfait",IF(CY$20&gt;='01_Input'!$Z$70,'01_Input'!$AC$70,0),IF('01_Input'!$AB$70="Palier",IF(AND(CY$20&gt;='01_Input'!$Z$70,CY$20&lt;'01_Input'!$AA$70),'01_Input'!$AC$70,0),MAX(MIN(CY$20,'01_Input'!$AA$70)-'01_Input'!$Z$70,0)*'01_Input'!$AC$70)))))))))</f>
        <v>0</v>
      </c>
      <c r="CZ38" s="83">
        <f>IF('01_Input'!$C$70="Non",0,MIN('01_Input'!$I$70,MAX('01_Input'!$H$70,IF('01_Input'!$G$70="Résiduel vs Gestion",0,IF('01_Input'!$G$70="Taux Classe sélectionnée",Distrib_Global_Classe_Selectionnee*CZ$20,IF('01_Input'!$G$70="Frais KYC (paliers de 100M€)",MAX(0,Nb_Investisseurs-Nb_KYC_Gratuites_Par_Tranche*(FLOOR(CZ$20/Taille_Tranche_KYC,1)+1))*Cout_Par_KYC_Supplementaire,(IF('01_Input'!$L$70="Forfait",IF(CZ$20&gt;='01_Input'!$J$70,'01_Input'!$M$70,0),IF('01_Input'!$L$70="Palier",IF(AND(CZ$20&gt;='01_Input'!$J$70,CZ$20&lt;'01_Input'!$K$70),'01_Input'!$M$70,0),MAX(MIN(CZ$20,'01_Input'!$K$70)-'01_Input'!$J$70,0)*'01_Input'!$M$70))+IF('01_Input'!$P$70="Forfait",IF(CZ$20&gt;='01_Input'!$N$70,'01_Input'!$Q$70,0),IF('01_Input'!$P$70="Palier",IF(AND(CZ$20&gt;='01_Input'!$N$70,CZ$20&lt;'01_Input'!$O$70),'01_Input'!$Q$70,0),MAX(MIN(CZ$20,'01_Input'!$O$70)-'01_Input'!$N$70,0)*'01_Input'!$Q$70))+IF('01_Input'!$T$70="Forfait",IF(CZ$20&gt;='01_Input'!$R$70,'01_Input'!$U$70,0),IF('01_Input'!$T$70="Palier",IF(AND(CZ$20&gt;='01_Input'!$R$70,CZ$20&lt;'01_Input'!$S$70),'01_Input'!$U$70,0),MAX(MIN(CZ$20,'01_Input'!$S$70)-'01_Input'!$R$70,0)*'01_Input'!$U$70))+IF('01_Input'!$X$70="Forfait",IF(CZ$20&gt;='01_Input'!$V$70,'01_Input'!$Y$70,0),IF('01_Input'!$X$70="Palier",IF(AND(CZ$20&gt;='01_Input'!$V$70,CZ$20&lt;'01_Input'!$W$70),'01_Input'!$Y$70,0),MAX(MIN(CZ$20,'01_Input'!$W$70)-'01_Input'!$V$70,0)*'01_Input'!$Y$70))+IF('01_Input'!$AB$70="Forfait",IF(CZ$20&gt;='01_Input'!$Z$70,'01_Input'!$AC$70,0),IF('01_Input'!$AB$70="Palier",IF(AND(CZ$20&gt;='01_Input'!$Z$70,CZ$20&lt;'01_Input'!$AA$70),'01_Input'!$AC$70,0),MAX(MIN(CZ$20,'01_Input'!$AA$70)-'01_Input'!$Z$70,0)*'01_Input'!$AC$70)))))))))</f>
        <v>0</v>
      </c>
      <c r="DA38" s="83">
        <f>IF('01_Input'!$C$70="Non",0,MIN('01_Input'!$I$70,MAX('01_Input'!$H$70,IF('01_Input'!$G$70="Résiduel vs Gestion",0,IF('01_Input'!$G$70="Taux Classe sélectionnée",Distrib_Global_Classe_Selectionnee*DA$20,IF('01_Input'!$G$70="Frais KYC (paliers de 100M€)",MAX(0,Nb_Investisseurs-Nb_KYC_Gratuites_Par_Tranche*(FLOOR(DA$20/Taille_Tranche_KYC,1)+1))*Cout_Par_KYC_Supplementaire,(IF('01_Input'!$L$70="Forfait",IF(DA$20&gt;='01_Input'!$J$70,'01_Input'!$M$70,0),IF('01_Input'!$L$70="Palier",IF(AND(DA$20&gt;='01_Input'!$J$70,DA$20&lt;'01_Input'!$K$70),'01_Input'!$M$70,0),MAX(MIN(DA$20,'01_Input'!$K$70)-'01_Input'!$J$70,0)*'01_Input'!$M$70))+IF('01_Input'!$P$70="Forfait",IF(DA$20&gt;='01_Input'!$N$70,'01_Input'!$Q$70,0),IF('01_Input'!$P$70="Palier",IF(AND(DA$20&gt;='01_Input'!$N$70,DA$20&lt;'01_Input'!$O$70),'01_Input'!$Q$70,0),MAX(MIN(DA$20,'01_Input'!$O$70)-'01_Input'!$N$70,0)*'01_Input'!$Q$70))+IF('01_Input'!$T$70="Forfait",IF(DA$20&gt;='01_Input'!$R$70,'01_Input'!$U$70,0),IF('01_Input'!$T$70="Palier",IF(AND(DA$20&gt;='01_Input'!$R$70,DA$20&lt;'01_Input'!$S$70),'01_Input'!$U$70,0),MAX(MIN(DA$20,'01_Input'!$S$70)-'01_Input'!$R$70,0)*'01_Input'!$U$70))+IF('01_Input'!$X$70="Forfait",IF(DA$20&gt;='01_Input'!$V$70,'01_Input'!$Y$70,0),IF('01_Input'!$X$70="Palier",IF(AND(DA$20&gt;='01_Input'!$V$70,DA$20&lt;'01_Input'!$W$70),'01_Input'!$Y$70,0),MAX(MIN(DA$20,'01_Input'!$W$70)-'01_Input'!$V$70,0)*'01_Input'!$Y$70))+IF('01_Input'!$AB$70="Forfait",IF(DA$20&gt;='01_Input'!$Z$70,'01_Input'!$AC$70,0),IF('01_Input'!$AB$70="Palier",IF(AND(DA$20&gt;='01_Input'!$Z$70,DA$20&lt;'01_Input'!$AA$70),'01_Input'!$AC$70,0),MAX(MIN(DA$20,'01_Input'!$AA$70)-'01_Input'!$Z$70,0)*'01_Input'!$AC$70)))))))))</f>
        <v>0</v>
      </c>
      <c r="DB38" s="83">
        <f>IF('01_Input'!$C$70="Non",0,MIN('01_Input'!$I$70,MAX('01_Input'!$H$70,IF('01_Input'!$G$70="Résiduel vs Gestion",0,IF('01_Input'!$G$70="Taux Classe sélectionnée",Distrib_Global_Classe_Selectionnee*DB$20,IF('01_Input'!$G$70="Frais KYC (paliers de 100M€)",MAX(0,Nb_Investisseurs-Nb_KYC_Gratuites_Par_Tranche*(FLOOR(DB$20/Taille_Tranche_KYC,1)+1))*Cout_Par_KYC_Supplementaire,(IF('01_Input'!$L$70="Forfait",IF(DB$20&gt;='01_Input'!$J$70,'01_Input'!$M$70,0),IF('01_Input'!$L$70="Palier",IF(AND(DB$20&gt;='01_Input'!$J$70,DB$20&lt;'01_Input'!$K$70),'01_Input'!$M$70,0),MAX(MIN(DB$20,'01_Input'!$K$70)-'01_Input'!$J$70,0)*'01_Input'!$M$70))+IF('01_Input'!$P$70="Forfait",IF(DB$20&gt;='01_Input'!$N$70,'01_Input'!$Q$70,0),IF('01_Input'!$P$70="Palier",IF(AND(DB$20&gt;='01_Input'!$N$70,DB$20&lt;'01_Input'!$O$70),'01_Input'!$Q$70,0),MAX(MIN(DB$20,'01_Input'!$O$70)-'01_Input'!$N$70,0)*'01_Input'!$Q$70))+IF('01_Input'!$T$70="Forfait",IF(DB$20&gt;='01_Input'!$R$70,'01_Input'!$U$70,0),IF('01_Input'!$T$70="Palier",IF(AND(DB$20&gt;='01_Input'!$R$70,DB$20&lt;'01_Input'!$S$70),'01_Input'!$U$70,0),MAX(MIN(DB$20,'01_Input'!$S$70)-'01_Input'!$R$70,0)*'01_Input'!$U$70))+IF('01_Input'!$X$70="Forfait",IF(DB$20&gt;='01_Input'!$V$70,'01_Input'!$Y$70,0),IF('01_Input'!$X$70="Palier",IF(AND(DB$20&gt;='01_Input'!$V$70,DB$20&lt;'01_Input'!$W$70),'01_Input'!$Y$70,0),MAX(MIN(DB$20,'01_Input'!$W$70)-'01_Input'!$V$70,0)*'01_Input'!$Y$70))+IF('01_Input'!$AB$70="Forfait",IF(DB$20&gt;='01_Input'!$Z$70,'01_Input'!$AC$70,0),IF('01_Input'!$AB$70="Palier",IF(AND(DB$20&gt;='01_Input'!$Z$70,DB$20&lt;'01_Input'!$AA$70),'01_Input'!$AC$70,0),MAX(MIN(DB$20,'01_Input'!$AA$70)-'01_Input'!$Z$70,0)*'01_Input'!$AC$70)))))))))</f>
        <v>0</v>
      </c>
      <c r="DC38" s="83">
        <f>IF('01_Input'!$C$70="Non",0,MIN('01_Input'!$I$70,MAX('01_Input'!$H$70,IF('01_Input'!$G$70="Résiduel vs Gestion",0,IF('01_Input'!$G$70="Taux Classe sélectionnée",Distrib_Global_Classe_Selectionnee*DC$20,IF('01_Input'!$G$70="Frais KYC (paliers de 100M€)",MAX(0,Nb_Investisseurs-Nb_KYC_Gratuites_Par_Tranche*(FLOOR(DC$20/Taille_Tranche_KYC,1)+1))*Cout_Par_KYC_Supplementaire,(IF('01_Input'!$L$70="Forfait",IF(DC$20&gt;='01_Input'!$J$70,'01_Input'!$M$70,0),IF('01_Input'!$L$70="Palier",IF(AND(DC$20&gt;='01_Input'!$J$70,DC$20&lt;'01_Input'!$K$70),'01_Input'!$M$70,0),MAX(MIN(DC$20,'01_Input'!$K$70)-'01_Input'!$J$70,0)*'01_Input'!$M$70))+IF('01_Input'!$P$70="Forfait",IF(DC$20&gt;='01_Input'!$N$70,'01_Input'!$Q$70,0),IF('01_Input'!$P$70="Palier",IF(AND(DC$20&gt;='01_Input'!$N$70,DC$20&lt;'01_Input'!$O$70),'01_Input'!$Q$70,0),MAX(MIN(DC$20,'01_Input'!$O$70)-'01_Input'!$N$70,0)*'01_Input'!$Q$70))+IF('01_Input'!$T$70="Forfait",IF(DC$20&gt;='01_Input'!$R$70,'01_Input'!$U$70,0),IF('01_Input'!$T$70="Palier",IF(AND(DC$20&gt;='01_Input'!$R$70,DC$20&lt;'01_Input'!$S$70),'01_Input'!$U$70,0),MAX(MIN(DC$20,'01_Input'!$S$70)-'01_Input'!$R$70,0)*'01_Input'!$U$70))+IF('01_Input'!$X$70="Forfait",IF(DC$20&gt;='01_Input'!$V$70,'01_Input'!$Y$70,0),IF('01_Input'!$X$70="Palier",IF(AND(DC$20&gt;='01_Input'!$V$70,DC$20&lt;'01_Input'!$W$70),'01_Input'!$Y$70,0),MAX(MIN(DC$20,'01_Input'!$W$70)-'01_Input'!$V$70,0)*'01_Input'!$Y$70))+IF('01_Input'!$AB$70="Forfait",IF(DC$20&gt;='01_Input'!$Z$70,'01_Input'!$AC$70,0),IF('01_Input'!$AB$70="Palier",IF(AND(DC$20&gt;='01_Input'!$Z$70,DC$20&lt;'01_Input'!$AA$70),'01_Input'!$AC$70,0),MAX(MIN(DC$20,'01_Input'!$AA$70)-'01_Input'!$Z$70,0)*'01_Input'!$AC$70)))))))))</f>
        <v>0</v>
      </c>
      <c r="DD38" s="83">
        <f>IF('01_Input'!$C$70="Non",0,MIN('01_Input'!$I$70,MAX('01_Input'!$H$70,IF('01_Input'!$G$70="Résiduel vs Gestion",0,IF('01_Input'!$G$70="Taux Classe sélectionnée",Distrib_Global_Classe_Selectionnee*DD$20,IF('01_Input'!$G$70="Frais KYC (paliers de 100M€)",MAX(0,Nb_Investisseurs-Nb_KYC_Gratuites_Par_Tranche*(FLOOR(DD$20/Taille_Tranche_KYC,1)+1))*Cout_Par_KYC_Supplementaire,(IF('01_Input'!$L$70="Forfait",IF(DD$20&gt;='01_Input'!$J$70,'01_Input'!$M$70,0),IF('01_Input'!$L$70="Palier",IF(AND(DD$20&gt;='01_Input'!$J$70,DD$20&lt;'01_Input'!$K$70),'01_Input'!$M$70,0),MAX(MIN(DD$20,'01_Input'!$K$70)-'01_Input'!$J$70,0)*'01_Input'!$M$70))+IF('01_Input'!$P$70="Forfait",IF(DD$20&gt;='01_Input'!$N$70,'01_Input'!$Q$70,0),IF('01_Input'!$P$70="Palier",IF(AND(DD$20&gt;='01_Input'!$N$70,DD$20&lt;'01_Input'!$O$70),'01_Input'!$Q$70,0),MAX(MIN(DD$20,'01_Input'!$O$70)-'01_Input'!$N$70,0)*'01_Input'!$Q$70))+IF('01_Input'!$T$70="Forfait",IF(DD$20&gt;='01_Input'!$R$70,'01_Input'!$U$70,0),IF('01_Input'!$T$70="Palier",IF(AND(DD$20&gt;='01_Input'!$R$70,DD$20&lt;'01_Input'!$S$70),'01_Input'!$U$70,0),MAX(MIN(DD$20,'01_Input'!$S$70)-'01_Input'!$R$70,0)*'01_Input'!$U$70))+IF('01_Input'!$X$70="Forfait",IF(DD$20&gt;='01_Input'!$V$70,'01_Input'!$Y$70,0),IF('01_Input'!$X$70="Palier",IF(AND(DD$20&gt;='01_Input'!$V$70,DD$20&lt;'01_Input'!$W$70),'01_Input'!$Y$70,0),MAX(MIN(DD$20,'01_Input'!$W$70)-'01_Input'!$V$70,0)*'01_Input'!$Y$70))+IF('01_Input'!$AB$70="Forfait",IF(DD$20&gt;='01_Input'!$Z$70,'01_Input'!$AC$70,0),IF('01_Input'!$AB$70="Palier",IF(AND(DD$20&gt;='01_Input'!$Z$70,DD$20&lt;'01_Input'!$AA$70),'01_Input'!$AC$70,0),MAX(MIN(DD$20,'01_Input'!$AA$70)-'01_Input'!$Z$70,0)*'01_Input'!$AC$70)))))))))</f>
        <v>0</v>
      </c>
      <c r="DE38" s="83">
        <f>IF('01_Input'!$C$70="Non",0,MIN('01_Input'!$I$70,MAX('01_Input'!$H$70,IF('01_Input'!$G$70="Résiduel vs Gestion",0,IF('01_Input'!$G$70="Taux Classe sélectionnée",Distrib_Global_Classe_Selectionnee*DE$20,IF('01_Input'!$G$70="Frais KYC (paliers de 100M€)",MAX(0,Nb_Investisseurs-Nb_KYC_Gratuites_Par_Tranche*(FLOOR(DE$20/Taille_Tranche_KYC,1)+1))*Cout_Par_KYC_Supplementaire,(IF('01_Input'!$L$70="Forfait",IF(DE$20&gt;='01_Input'!$J$70,'01_Input'!$M$70,0),IF('01_Input'!$L$70="Palier",IF(AND(DE$20&gt;='01_Input'!$J$70,DE$20&lt;'01_Input'!$K$70),'01_Input'!$M$70,0),MAX(MIN(DE$20,'01_Input'!$K$70)-'01_Input'!$J$70,0)*'01_Input'!$M$70))+IF('01_Input'!$P$70="Forfait",IF(DE$20&gt;='01_Input'!$N$70,'01_Input'!$Q$70,0),IF('01_Input'!$P$70="Palier",IF(AND(DE$20&gt;='01_Input'!$N$70,DE$20&lt;'01_Input'!$O$70),'01_Input'!$Q$70,0),MAX(MIN(DE$20,'01_Input'!$O$70)-'01_Input'!$N$70,0)*'01_Input'!$Q$70))+IF('01_Input'!$T$70="Forfait",IF(DE$20&gt;='01_Input'!$R$70,'01_Input'!$U$70,0),IF('01_Input'!$T$70="Palier",IF(AND(DE$20&gt;='01_Input'!$R$70,DE$20&lt;'01_Input'!$S$70),'01_Input'!$U$70,0),MAX(MIN(DE$20,'01_Input'!$S$70)-'01_Input'!$R$70,0)*'01_Input'!$U$70))+IF('01_Input'!$X$70="Forfait",IF(DE$20&gt;='01_Input'!$V$70,'01_Input'!$Y$70,0),IF('01_Input'!$X$70="Palier",IF(AND(DE$20&gt;='01_Input'!$V$70,DE$20&lt;'01_Input'!$W$70),'01_Input'!$Y$70,0),MAX(MIN(DE$20,'01_Input'!$W$70)-'01_Input'!$V$70,0)*'01_Input'!$Y$70))+IF('01_Input'!$AB$70="Forfait",IF(DE$20&gt;='01_Input'!$Z$70,'01_Input'!$AC$70,0),IF('01_Input'!$AB$70="Palier",IF(AND(DE$20&gt;='01_Input'!$Z$70,DE$20&lt;'01_Input'!$AA$70),'01_Input'!$AC$70,0),MAX(MIN(DE$20,'01_Input'!$AA$70)-'01_Input'!$Z$70,0)*'01_Input'!$AC$70)))))))))</f>
        <v>0</v>
      </c>
      <c r="DF38" s="83">
        <f>IF('01_Input'!$C$70="Non",0,MIN('01_Input'!$I$70,MAX('01_Input'!$H$70,IF('01_Input'!$G$70="Résiduel vs Gestion",0,IF('01_Input'!$G$70="Taux Classe sélectionnée",Distrib_Global_Classe_Selectionnee*DF$20,IF('01_Input'!$G$70="Frais KYC (paliers de 100M€)",MAX(0,Nb_Investisseurs-Nb_KYC_Gratuites_Par_Tranche*(FLOOR(DF$20/Taille_Tranche_KYC,1)+1))*Cout_Par_KYC_Supplementaire,(IF('01_Input'!$L$70="Forfait",IF(DF$20&gt;='01_Input'!$J$70,'01_Input'!$M$70,0),IF('01_Input'!$L$70="Palier",IF(AND(DF$20&gt;='01_Input'!$J$70,DF$20&lt;'01_Input'!$K$70),'01_Input'!$M$70,0),MAX(MIN(DF$20,'01_Input'!$K$70)-'01_Input'!$J$70,0)*'01_Input'!$M$70))+IF('01_Input'!$P$70="Forfait",IF(DF$20&gt;='01_Input'!$N$70,'01_Input'!$Q$70,0),IF('01_Input'!$P$70="Palier",IF(AND(DF$20&gt;='01_Input'!$N$70,DF$20&lt;'01_Input'!$O$70),'01_Input'!$Q$70,0),MAX(MIN(DF$20,'01_Input'!$O$70)-'01_Input'!$N$70,0)*'01_Input'!$Q$70))+IF('01_Input'!$T$70="Forfait",IF(DF$20&gt;='01_Input'!$R$70,'01_Input'!$U$70,0),IF('01_Input'!$T$70="Palier",IF(AND(DF$20&gt;='01_Input'!$R$70,DF$20&lt;'01_Input'!$S$70),'01_Input'!$U$70,0),MAX(MIN(DF$20,'01_Input'!$S$70)-'01_Input'!$R$70,0)*'01_Input'!$U$70))+IF('01_Input'!$X$70="Forfait",IF(DF$20&gt;='01_Input'!$V$70,'01_Input'!$Y$70,0),IF('01_Input'!$X$70="Palier",IF(AND(DF$20&gt;='01_Input'!$V$70,DF$20&lt;'01_Input'!$W$70),'01_Input'!$Y$70,0),MAX(MIN(DF$20,'01_Input'!$W$70)-'01_Input'!$V$70,0)*'01_Input'!$Y$70))+IF('01_Input'!$AB$70="Forfait",IF(DF$20&gt;='01_Input'!$Z$70,'01_Input'!$AC$70,0),IF('01_Input'!$AB$70="Palier",IF(AND(DF$20&gt;='01_Input'!$Z$70,DF$20&lt;'01_Input'!$AA$70),'01_Input'!$AC$70,0),MAX(MIN(DF$20,'01_Input'!$AA$70)-'01_Input'!$Z$70,0)*'01_Input'!$AC$70)))))))))</f>
        <v>0</v>
      </c>
      <c r="DG38" s="83">
        <f>IF('01_Input'!$C$70="Non",0,MIN('01_Input'!$I$70,MAX('01_Input'!$H$70,IF('01_Input'!$G$70="Résiduel vs Gestion",0,IF('01_Input'!$G$70="Taux Classe sélectionnée",Distrib_Global_Classe_Selectionnee*DG$20,IF('01_Input'!$G$70="Frais KYC (paliers de 100M€)",MAX(0,Nb_Investisseurs-Nb_KYC_Gratuites_Par_Tranche*(FLOOR(DG$20/Taille_Tranche_KYC,1)+1))*Cout_Par_KYC_Supplementaire,(IF('01_Input'!$L$70="Forfait",IF(DG$20&gt;='01_Input'!$J$70,'01_Input'!$M$70,0),IF('01_Input'!$L$70="Palier",IF(AND(DG$20&gt;='01_Input'!$J$70,DG$20&lt;'01_Input'!$K$70),'01_Input'!$M$70,0),MAX(MIN(DG$20,'01_Input'!$K$70)-'01_Input'!$J$70,0)*'01_Input'!$M$70))+IF('01_Input'!$P$70="Forfait",IF(DG$20&gt;='01_Input'!$N$70,'01_Input'!$Q$70,0),IF('01_Input'!$P$70="Palier",IF(AND(DG$20&gt;='01_Input'!$N$70,DG$20&lt;'01_Input'!$O$70),'01_Input'!$Q$70,0),MAX(MIN(DG$20,'01_Input'!$O$70)-'01_Input'!$N$70,0)*'01_Input'!$Q$70))+IF('01_Input'!$T$70="Forfait",IF(DG$20&gt;='01_Input'!$R$70,'01_Input'!$U$70,0),IF('01_Input'!$T$70="Palier",IF(AND(DG$20&gt;='01_Input'!$R$70,DG$20&lt;'01_Input'!$S$70),'01_Input'!$U$70,0),MAX(MIN(DG$20,'01_Input'!$S$70)-'01_Input'!$R$70,0)*'01_Input'!$U$70))+IF('01_Input'!$X$70="Forfait",IF(DG$20&gt;='01_Input'!$V$70,'01_Input'!$Y$70,0),IF('01_Input'!$X$70="Palier",IF(AND(DG$20&gt;='01_Input'!$V$70,DG$20&lt;'01_Input'!$W$70),'01_Input'!$Y$70,0),MAX(MIN(DG$20,'01_Input'!$W$70)-'01_Input'!$V$70,0)*'01_Input'!$Y$70))+IF('01_Input'!$AB$70="Forfait",IF(DG$20&gt;='01_Input'!$Z$70,'01_Input'!$AC$70,0),IF('01_Input'!$AB$70="Palier",IF(AND(DG$20&gt;='01_Input'!$Z$70,DG$20&lt;'01_Input'!$AA$70),'01_Input'!$AC$70,0),MAX(MIN(DG$20,'01_Input'!$AA$70)-'01_Input'!$Z$70,0)*'01_Input'!$AC$70)))))))))</f>
        <v>0</v>
      </c>
      <c r="DH38" s="83">
        <f>IF('01_Input'!$C$70="Non",0,MIN('01_Input'!$I$70,MAX('01_Input'!$H$70,IF('01_Input'!$G$70="Résiduel vs Gestion",0,IF('01_Input'!$G$70="Taux Classe sélectionnée",Distrib_Global_Classe_Selectionnee*DH$20,IF('01_Input'!$G$70="Frais KYC (paliers de 100M€)",MAX(0,Nb_Investisseurs-Nb_KYC_Gratuites_Par_Tranche*(FLOOR(DH$20/Taille_Tranche_KYC,1)+1))*Cout_Par_KYC_Supplementaire,(IF('01_Input'!$L$70="Forfait",IF(DH$20&gt;='01_Input'!$J$70,'01_Input'!$M$70,0),IF('01_Input'!$L$70="Palier",IF(AND(DH$20&gt;='01_Input'!$J$70,DH$20&lt;'01_Input'!$K$70),'01_Input'!$M$70,0),MAX(MIN(DH$20,'01_Input'!$K$70)-'01_Input'!$J$70,0)*'01_Input'!$M$70))+IF('01_Input'!$P$70="Forfait",IF(DH$20&gt;='01_Input'!$N$70,'01_Input'!$Q$70,0),IF('01_Input'!$P$70="Palier",IF(AND(DH$20&gt;='01_Input'!$N$70,DH$20&lt;'01_Input'!$O$70),'01_Input'!$Q$70,0),MAX(MIN(DH$20,'01_Input'!$O$70)-'01_Input'!$N$70,0)*'01_Input'!$Q$70))+IF('01_Input'!$T$70="Forfait",IF(DH$20&gt;='01_Input'!$R$70,'01_Input'!$U$70,0),IF('01_Input'!$T$70="Palier",IF(AND(DH$20&gt;='01_Input'!$R$70,DH$20&lt;'01_Input'!$S$70),'01_Input'!$U$70,0),MAX(MIN(DH$20,'01_Input'!$S$70)-'01_Input'!$R$70,0)*'01_Input'!$U$70))+IF('01_Input'!$X$70="Forfait",IF(DH$20&gt;='01_Input'!$V$70,'01_Input'!$Y$70,0),IF('01_Input'!$X$70="Palier",IF(AND(DH$20&gt;='01_Input'!$V$70,DH$20&lt;'01_Input'!$W$70),'01_Input'!$Y$70,0),MAX(MIN(DH$20,'01_Input'!$W$70)-'01_Input'!$V$70,0)*'01_Input'!$Y$70))+IF('01_Input'!$AB$70="Forfait",IF(DH$20&gt;='01_Input'!$Z$70,'01_Input'!$AC$70,0),IF('01_Input'!$AB$70="Palier",IF(AND(DH$20&gt;='01_Input'!$Z$70,DH$20&lt;'01_Input'!$AA$70),'01_Input'!$AC$70,0),MAX(MIN(DH$20,'01_Input'!$AA$70)-'01_Input'!$Z$70,0)*'01_Input'!$AC$70)))))))))</f>
        <v>0</v>
      </c>
      <c r="DI38" s="83">
        <f>IF('01_Input'!$C$70="Non",0,MIN('01_Input'!$I$70,MAX('01_Input'!$H$70,IF('01_Input'!$G$70="Résiduel vs Gestion",0,IF('01_Input'!$G$70="Taux Classe sélectionnée",Distrib_Global_Classe_Selectionnee*DI$20,IF('01_Input'!$G$70="Frais KYC (paliers de 100M€)",MAX(0,Nb_Investisseurs-Nb_KYC_Gratuites_Par_Tranche*(FLOOR(DI$20/Taille_Tranche_KYC,1)+1))*Cout_Par_KYC_Supplementaire,(IF('01_Input'!$L$70="Forfait",IF(DI$20&gt;='01_Input'!$J$70,'01_Input'!$M$70,0),IF('01_Input'!$L$70="Palier",IF(AND(DI$20&gt;='01_Input'!$J$70,DI$20&lt;'01_Input'!$K$70),'01_Input'!$M$70,0),MAX(MIN(DI$20,'01_Input'!$K$70)-'01_Input'!$J$70,0)*'01_Input'!$M$70))+IF('01_Input'!$P$70="Forfait",IF(DI$20&gt;='01_Input'!$N$70,'01_Input'!$Q$70,0),IF('01_Input'!$P$70="Palier",IF(AND(DI$20&gt;='01_Input'!$N$70,DI$20&lt;'01_Input'!$O$70),'01_Input'!$Q$70,0),MAX(MIN(DI$20,'01_Input'!$O$70)-'01_Input'!$N$70,0)*'01_Input'!$Q$70))+IF('01_Input'!$T$70="Forfait",IF(DI$20&gt;='01_Input'!$R$70,'01_Input'!$U$70,0),IF('01_Input'!$T$70="Palier",IF(AND(DI$20&gt;='01_Input'!$R$70,DI$20&lt;'01_Input'!$S$70),'01_Input'!$U$70,0),MAX(MIN(DI$20,'01_Input'!$S$70)-'01_Input'!$R$70,0)*'01_Input'!$U$70))+IF('01_Input'!$X$70="Forfait",IF(DI$20&gt;='01_Input'!$V$70,'01_Input'!$Y$70,0),IF('01_Input'!$X$70="Palier",IF(AND(DI$20&gt;='01_Input'!$V$70,DI$20&lt;'01_Input'!$W$70),'01_Input'!$Y$70,0),MAX(MIN(DI$20,'01_Input'!$W$70)-'01_Input'!$V$70,0)*'01_Input'!$Y$70))+IF('01_Input'!$AB$70="Forfait",IF(DI$20&gt;='01_Input'!$Z$70,'01_Input'!$AC$70,0),IF('01_Input'!$AB$70="Palier",IF(AND(DI$20&gt;='01_Input'!$Z$70,DI$20&lt;'01_Input'!$AA$70),'01_Input'!$AC$70,0),MAX(MIN(DI$20,'01_Input'!$AA$70)-'01_Input'!$Z$70,0)*'01_Input'!$AC$70)))))))))</f>
        <v>0</v>
      </c>
      <c r="DJ38" s="83">
        <f>IF('01_Input'!$C$70="Non",0,MIN('01_Input'!$I$70,MAX('01_Input'!$H$70,IF('01_Input'!$G$70="Résiduel vs Gestion",0,IF('01_Input'!$G$70="Taux Classe sélectionnée",Distrib_Global_Classe_Selectionnee*DJ$20,IF('01_Input'!$G$70="Frais KYC (paliers de 100M€)",MAX(0,Nb_Investisseurs-Nb_KYC_Gratuites_Par_Tranche*(FLOOR(DJ$20/Taille_Tranche_KYC,1)+1))*Cout_Par_KYC_Supplementaire,(IF('01_Input'!$L$70="Forfait",IF(DJ$20&gt;='01_Input'!$J$70,'01_Input'!$M$70,0),IF('01_Input'!$L$70="Palier",IF(AND(DJ$20&gt;='01_Input'!$J$70,DJ$20&lt;'01_Input'!$K$70),'01_Input'!$M$70,0),MAX(MIN(DJ$20,'01_Input'!$K$70)-'01_Input'!$J$70,0)*'01_Input'!$M$70))+IF('01_Input'!$P$70="Forfait",IF(DJ$20&gt;='01_Input'!$N$70,'01_Input'!$Q$70,0),IF('01_Input'!$P$70="Palier",IF(AND(DJ$20&gt;='01_Input'!$N$70,DJ$20&lt;'01_Input'!$O$70),'01_Input'!$Q$70,0),MAX(MIN(DJ$20,'01_Input'!$O$70)-'01_Input'!$N$70,0)*'01_Input'!$Q$70))+IF('01_Input'!$T$70="Forfait",IF(DJ$20&gt;='01_Input'!$R$70,'01_Input'!$U$70,0),IF('01_Input'!$T$70="Palier",IF(AND(DJ$20&gt;='01_Input'!$R$70,DJ$20&lt;'01_Input'!$S$70),'01_Input'!$U$70,0),MAX(MIN(DJ$20,'01_Input'!$S$70)-'01_Input'!$R$70,0)*'01_Input'!$U$70))+IF('01_Input'!$X$70="Forfait",IF(DJ$20&gt;='01_Input'!$V$70,'01_Input'!$Y$70,0),IF('01_Input'!$X$70="Palier",IF(AND(DJ$20&gt;='01_Input'!$V$70,DJ$20&lt;'01_Input'!$W$70),'01_Input'!$Y$70,0),MAX(MIN(DJ$20,'01_Input'!$W$70)-'01_Input'!$V$70,0)*'01_Input'!$Y$70))+IF('01_Input'!$AB$70="Forfait",IF(DJ$20&gt;='01_Input'!$Z$70,'01_Input'!$AC$70,0),IF('01_Input'!$AB$70="Palier",IF(AND(DJ$20&gt;='01_Input'!$Z$70,DJ$20&lt;'01_Input'!$AA$70),'01_Input'!$AC$70,0),MAX(MIN(DJ$20,'01_Input'!$AA$70)-'01_Input'!$Z$70,0)*'01_Input'!$AC$70)))))))))</f>
        <v>0</v>
      </c>
      <c r="DK38" s="83">
        <f>IF('01_Input'!$C$70="Non",0,MIN('01_Input'!$I$70,MAX('01_Input'!$H$70,IF('01_Input'!$G$70="Résiduel vs Gestion",0,IF('01_Input'!$G$70="Taux Classe sélectionnée",Distrib_Global_Classe_Selectionnee*DK$20,IF('01_Input'!$G$70="Frais KYC (paliers de 100M€)",MAX(0,Nb_Investisseurs-Nb_KYC_Gratuites_Par_Tranche*(FLOOR(DK$20/Taille_Tranche_KYC,1)+1))*Cout_Par_KYC_Supplementaire,(IF('01_Input'!$L$70="Forfait",IF(DK$20&gt;='01_Input'!$J$70,'01_Input'!$M$70,0),IF('01_Input'!$L$70="Palier",IF(AND(DK$20&gt;='01_Input'!$J$70,DK$20&lt;'01_Input'!$K$70),'01_Input'!$M$70,0),MAX(MIN(DK$20,'01_Input'!$K$70)-'01_Input'!$J$70,0)*'01_Input'!$M$70))+IF('01_Input'!$P$70="Forfait",IF(DK$20&gt;='01_Input'!$N$70,'01_Input'!$Q$70,0),IF('01_Input'!$P$70="Palier",IF(AND(DK$20&gt;='01_Input'!$N$70,DK$20&lt;'01_Input'!$O$70),'01_Input'!$Q$70,0),MAX(MIN(DK$20,'01_Input'!$O$70)-'01_Input'!$N$70,0)*'01_Input'!$Q$70))+IF('01_Input'!$T$70="Forfait",IF(DK$20&gt;='01_Input'!$R$70,'01_Input'!$U$70,0),IF('01_Input'!$T$70="Palier",IF(AND(DK$20&gt;='01_Input'!$R$70,DK$20&lt;'01_Input'!$S$70),'01_Input'!$U$70,0),MAX(MIN(DK$20,'01_Input'!$S$70)-'01_Input'!$R$70,0)*'01_Input'!$U$70))+IF('01_Input'!$X$70="Forfait",IF(DK$20&gt;='01_Input'!$V$70,'01_Input'!$Y$70,0),IF('01_Input'!$X$70="Palier",IF(AND(DK$20&gt;='01_Input'!$V$70,DK$20&lt;'01_Input'!$W$70),'01_Input'!$Y$70,0),MAX(MIN(DK$20,'01_Input'!$W$70)-'01_Input'!$V$70,0)*'01_Input'!$Y$70))+IF('01_Input'!$AB$70="Forfait",IF(DK$20&gt;='01_Input'!$Z$70,'01_Input'!$AC$70,0),IF('01_Input'!$AB$70="Palier",IF(AND(DK$20&gt;='01_Input'!$Z$70,DK$20&lt;'01_Input'!$AA$70),'01_Input'!$AC$70,0),MAX(MIN(DK$20,'01_Input'!$AA$70)-'01_Input'!$Z$70,0)*'01_Input'!$AC$70)))))))))</f>
        <v>0</v>
      </c>
      <c r="DL38" s="83">
        <f>IF('01_Input'!$C$70="Non",0,MIN('01_Input'!$I$70,MAX('01_Input'!$H$70,IF('01_Input'!$G$70="Résiduel vs Gestion",0,IF('01_Input'!$G$70="Taux Classe sélectionnée",Distrib_Global_Classe_Selectionnee*DL$20,IF('01_Input'!$G$70="Frais KYC (paliers de 100M€)",MAX(0,Nb_Investisseurs-Nb_KYC_Gratuites_Par_Tranche*(FLOOR(DL$20/Taille_Tranche_KYC,1)+1))*Cout_Par_KYC_Supplementaire,(IF('01_Input'!$L$70="Forfait",IF(DL$20&gt;='01_Input'!$J$70,'01_Input'!$M$70,0),IF('01_Input'!$L$70="Palier",IF(AND(DL$20&gt;='01_Input'!$J$70,DL$20&lt;'01_Input'!$K$70),'01_Input'!$M$70,0),MAX(MIN(DL$20,'01_Input'!$K$70)-'01_Input'!$J$70,0)*'01_Input'!$M$70))+IF('01_Input'!$P$70="Forfait",IF(DL$20&gt;='01_Input'!$N$70,'01_Input'!$Q$70,0),IF('01_Input'!$P$70="Palier",IF(AND(DL$20&gt;='01_Input'!$N$70,DL$20&lt;'01_Input'!$O$70),'01_Input'!$Q$70,0),MAX(MIN(DL$20,'01_Input'!$O$70)-'01_Input'!$N$70,0)*'01_Input'!$Q$70))+IF('01_Input'!$T$70="Forfait",IF(DL$20&gt;='01_Input'!$R$70,'01_Input'!$U$70,0),IF('01_Input'!$T$70="Palier",IF(AND(DL$20&gt;='01_Input'!$R$70,DL$20&lt;'01_Input'!$S$70),'01_Input'!$U$70,0),MAX(MIN(DL$20,'01_Input'!$S$70)-'01_Input'!$R$70,0)*'01_Input'!$U$70))+IF('01_Input'!$X$70="Forfait",IF(DL$20&gt;='01_Input'!$V$70,'01_Input'!$Y$70,0),IF('01_Input'!$X$70="Palier",IF(AND(DL$20&gt;='01_Input'!$V$70,DL$20&lt;'01_Input'!$W$70),'01_Input'!$Y$70,0),MAX(MIN(DL$20,'01_Input'!$W$70)-'01_Input'!$V$70,0)*'01_Input'!$Y$70))+IF('01_Input'!$AB$70="Forfait",IF(DL$20&gt;='01_Input'!$Z$70,'01_Input'!$AC$70,0),IF('01_Input'!$AB$70="Palier",IF(AND(DL$20&gt;='01_Input'!$Z$70,DL$20&lt;'01_Input'!$AA$70),'01_Input'!$AC$70,0),MAX(MIN(DL$20,'01_Input'!$AA$70)-'01_Input'!$Z$70,0)*'01_Input'!$AC$70)))))))))</f>
        <v>0</v>
      </c>
      <c r="DM38" s="83">
        <f>IF('01_Input'!$C$70="Non",0,MIN('01_Input'!$I$70,MAX('01_Input'!$H$70,IF('01_Input'!$G$70="Résiduel vs Gestion",0,IF('01_Input'!$G$70="Taux Classe sélectionnée",Distrib_Global_Classe_Selectionnee*DM$20,IF('01_Input'!$G$70="Frais KYC (paliers de 100M€)",MAX(0,Nb_Investisseurs-Nb_KYC_Gratuites_Par_Tranche*(FLOOR(DM$20/Taille_Tranche_KYC,1)+1))*Cout_Par_KYC_Supplementaire,(IF('01_Input'!$L$70="Forfait",IF(DM$20&gt;='01_Input'!$J$70,'01_Input'!$M$70,0),IF('01_Input'!$L$70="Palier",IF(AND(DM$20&gt;='01_Input'!$J$70,DM$20&lt;'01_Input'!$K$70),'01_Input'!$M$70,0),MAX(MIN(DM$20,'01_Input'!$K$70)-'01_Input'!$J$70,0)*'01_Input'!$M$70))+IF('01_Input'!$P$70="Forfait",IF(DM$20&gt;='01_Input'!$N$70,'01_Input'!$Q$70,0),IF('01_Input'!$P$70="Palier",IF(AND(DM$20&gt;='01_Input'!$N$70,DM$20&lt;'01_Input'!$O$70),'01_Input'!$Q$70,0),MAX(MIN(DM$20,'01_Input'!$O$70)-'01_Input'!$N$70,0)*'01_Input'!$Q$70))+IF('01_Input'!$T$70="Forfait",IF(DM$20&gt;='01_Input'!$R$70,'01_Input'!$U$70,0),IF('01_Input'!$T$70="Palier",IF(AND(DM$20&gt;='01_Input'!$R$70,DM$20&lt;'01_Input'!$S$70),'01_Input'!$U$70,0),MAX(MIN(DM$20,'01_Input'!$S$70)-'01_Input'!$R$70,0)*'01_Input'!$U$70))+IF('01_Input'!$X$70="Forfait",IF(DM$20&gt;='01_Input'!$V$70,'01_Input'!$Y$70,0),IF('01_Input'!$X$70="Palier",IF(AND(DM$20&gt;='01_Input'!$V$70,DM$20&lt;'01_Input'!$W$70),'01_Input'!$Y$70,0),MAX(MIN(DM$20,'01_Input'!$W$70)-'01_Input'!$V$70,0)*'01_Input'!$Y$70))+IF('01_Input'!$AB$70="Forfait",IF(DM$20&gt;='01_Input'!$Z$70,'01_Input'!$AC$70,0),IF('01_Input'!$AB$70="Palier",IF(AND(DM$20&gt;='01_Input'!$Z$70,DM$20&lt;'01_Input'!$AA$70),'01_Input'!$AC$70,0),MAX(MIN(DM$20,'01_Input'!$AA$70)-'01_Input'!$Z$70,0)*'01_Input'!$AC$70)))))))))</f>
        <v>0</v>
      </c>
      <c r="DN38" s="83">
        <f>IF('01_Input'!$C$70="Non",0,MIN('01_Input'!$I$70,MAX('01_Input'!$H$70,IF('01_Input'!$G$70="Résiduel vs Gestion",0,IF('01_Input'!$G$70="Taux Classe sélectionnée",Distrib_Global_Classe_Selectionnee*DN$20,IF('01_Input'!$G$70="Frais KYC (paliers de 100M€)",MAX(0,Nb_Investisseurs-Nb_KYC_Gratuites_Par_Tranche*(FLOOR(DN$20/Taille_Tranche_KYC,1)+1))*Cout_Par_KYC_Supplementaire,(IF('01_Input'!$L$70="Forfait",IF(DN$20&gt;='01_Input'!$J$70,'01_Input'!$M$70,0),IF('01_Input'!$L$70="Palier",IF(AND(DN$20&gt;='01_Input'!$J$70,DN$20&lt;'01_Input'!$K$70),'01_Input'!$M$70,0),MAX(MIN(DN$20,'01_Input'!$K$70)-'01_Input'!$J$70,0)*'01_Input'!$M$70))+IF('01_Input'!$P$70="Forfait",IF(DN$20&gt;='01_Input'!$N$70,'01_Input'!$Q$70,0),IF('01_Input'!$P$70="Palier",IF(AND(DN$20&gt;='01_Input'!$N$70,DN$20&lt;'01_Input'!$O$70),'01_Input'!$Q$70,0),MAX(MIN(DN$20,'01_Input'!$O$70)-'01_Input'!$N$70,0)*'01_Input'!$Q$70))+IF('01_Input'!$T$70="Forfait",IF(DN$20&gt;='01_Input'!$R$70,'01_Input'!$U$70,0),IF('01_Input'!$T$70="Palier",IF(AND(DN$20&gt;='01_Input'!$R$70,DN$20&lt;'01_Input'!$S$70),'01_Input'!$U$70,0),MAX(MIN(DN$20,'01_Input'!$S$70)-'01_Input'!$R$70,0)*'01_Input'!$U$70))+IF('01_Input'!$X$70="Forfait",IF(DN$20&gt;='01_Input'!$V$70,'01_Input'!$Y$70,0),IF('01_Input'!$X$70="Palier",IF(AND(DN$20&gt;='01_Input'!$V$70,DN$20&lt;'01_Input'!$W$70),'01_Input'!$Y$70,0),MAX(MIN(DN$20,'01_Input'!$W$70)-'01_Input'!$V$70,0)*'01_Input'!$Y$70))+IF('01_Input'!$AB$70="Forfait",IF(DN$20&gt;='01_Input'!$Z$70,'01_Input'!$AC$70,0),IF('01_Input'!$AB$70="Palier",IF(AND(DN$20&gt;='01_Input'!$Z$70,DN$20&lt;'01_Input'!$AA$70),'01_Input'!$AC$70,0),MAX(MIN(DN$20,'01_Input'!$AA$70)-'01_Input'!$Z$70,0)*'01_Input'!$AC$70)))))))))</f>
        <v>0</v>
      </c>
      <c r="DO38" s="83">
        <f>IF('01_Input'!$C$70="Non",0,MIN('01_Input'!$I$70,MAX('01_Input'!$H$70,IF('01_Input'!$G$70="Résiduel vs Gestion",0,IF('01_Input'!$G$70="Taux Classe sélectionnée",Distrib_Global_Classe_Selectionnee*DO$20,IF('01_Input'!$G$70="Frais KYC (paliers de 100M€)",MAX(0,Nb_Investisseurs-Nb_KYC_Gratuites_Par_Tranche*(FLOOR(DO$20/Taille_Tranche_KYC,1)+1))*Cout_Par_KYC_Supplementaire,(IF('01_Input'!$L$70="Forfait",IF(DO$20&gt;='01_Input'!$J$70,'01_Input'!$M$70,0),IF('01_Input'!$L$70="Palier",IF(AND(DO$20&gt;='01_Input'!$J$70,DO$20&lt;'01_Input'!$K$70),'01_Input'!$M$70,0),MAX(MIN(DO$20,'01_Input'!$K$70)-'01_Input'!$J$70,0)*'01_Input'!$M$70))+IF('01_Input'!$P$70="Forfait",IF(DO$20&gt;='01_Input'!$N$70,'01_Input'!$Q$70,0),IF('01_Input'!$P$70="Palier",IF(AND(DO$20&gt;='01_Input'!$N$70,DO$20&lt;'01_Input'!$O$70),'01_Input'!$Q$70,0),MAX(MIN(DO$20,'01_Input'!$O$70)-'01_Input'!$N$70,0)*'01_Input'!$Q$70))+IF('01_Input'!$T$70="Forfait",IF(DO$20&gt;='01_Input'!$R$70,'01_Input'!$U$70,0),IF('01_Input'!$T$70="Palier",IF(AND(DO$20&gt;='01_Input'!$R$70,DO$20&lt;'01_Input'!$S$70),'01_Input'!$U$70,0),MAX(MIN(DO$20,'01_Input'!$S$70)-'01_Input'!$R$70,0)*'01_Input'!$U$70))+IF('01_Input'!$X$70="Forfait",IF(DO$20&gt;='01_Input'!$V$70,'01_Input'!$Y$70,0),IF('01_Input'!$X$70="Palier",IF(AND(DO$20&gt;='01_Input'!$V$70,DO$20&lt;'01_Input'!$W$70),'01_Input'!$Y$70,0),MAX(MIN(DO$20,'01_Input'!$W$70)-'01_Input'!$V$70,0)*'01_Input'!$Y$70))+IF('01_Input'!$AB$70="Forfait",IF(DO$20&gt;='01_Input'!$Z$70,'01_Input'!$AC$70,0),IF('01_Input'!$AB$70="Palier",IF(AND(DO$20&gt;='01_Input'!$Z$70,DO$20&lt;'01_Input'!$AA$70),'01_Input'!$AC$70,0),MAX(MIN(DO$20,'01_Input'!$AA$70)-'01_Input'!$Z$70,0)*'01_Input'!$AC$70)))))))))</f>
        <v>0</v>
      </c>
      <c r="DP38" s="83">
        <f>IF('01_Input'!$C$70="Non",0,MIN('01_Input'!$I$70,MAX('01_Input'!$H$70,IF('01_Input'!$G$70="Résiduel vs Gestion",0,IF('01_Input'!$G$70="Taux Classe sélectionnée",Distrib_Global_Classe_Selectionnee*DP$20,IF('01_Input'!$G$70="Frais KYC (paliers de 100M€)",MAX(0,Nb_Investisseurs-Nb_KYC_Gratuites_Par_Tranche*(FLOOR(DP$20/Taille_Tranche_KYC,1)+1))*Cout_Par_KYC_Supplementaire,(IF('01_Input'!$L$70="Forfait",IF(DP$20&gt;='01_Input'!$J$70,'01_Input'!$M$70,0),IF('01_Input'!$L$70="Palier",IF(AND(DP$20&gt;='01_Input'!$J$70,DP$20&lt;'01_Input'!$K$70),'01_Input'!$M$70,0),MAX(MIN(DP$20,'01_Input'!$K$70)-'01_Input'!$J$70,0)*'01_Input'!$M$70))+IF('01_Input'!$P$70="Forfait",IF(DP$20&gt;='01_Input'!$N$70,'01_Input'!$Q$70,0),IF('01_Input'!$P$70="Palier",IF(AND(DP$20&gt;='01_Input'!$N$70,DP$20&lt;'01_Input'!$O$70),'01_Input'!$Q$70,0),MAX(MIN(DP$20,'01_Input'!$O$70)-'01_Input'!$N$70,0)*'01_Input'!$Q$70))+IF('01_Input'!$T$70="Forfait",IF(DP$20&gt;='01_Input'!$R$70,'01_Input'!$U$70,0),IF('01_Input'!$T$70="Palier",IF(AND(DP$20&gt;='01_Input'!$R$70,DP$20&lt;'01_Input'!$S$70),'01_Input'!$U$70,0),MAX(MIN(DP$20,'01_Input'!$S$70)-'01_Input'!$R$70,0)*'01_Input'!$U$70))+IF('01_Input'!$X$70="Forfait",IF(DP$20&gt;='01_Input'!$V$70,'01_Input'!$Y$70,0),IF('01_Input'!$X$70="Palier",IF(AND(DP$20&gt;='01_Input'!$V$70,DP$20&lt;'01_Input'!$W$70),'01_Input'!$Y$70,0),MAX(MIN(DP$20,'01_Input'!$W$70)-'01_Input'!$V$70,0)*'01_Input'!$Y$70))+IF('01_Input'!$AB$70="Forfait",IF(DP$20&gt;='01_Input'!$Z$70,'01_Input'!$AC$70,0),IF('01_Input'!$AB$70="Palier",IF(AND(DP$20&gt;='01_Input'!$Z$70,DP$20&lt;'01_Input'!$AA$70),'01_Input'!$AC$70,0),MAX(MIN(DP$20,'01_Input'!$AA$70)-'01_Input'!$Z$70,0)*'01_Input'!$AC$70)))))))))</f>
        <v>0</v>
      </c>
      <c r="DQ38" s="83">
        <f>IF('01_Input'!$C$70="Non",0,MIN('01_Input'!$I$70,MAX('01_Input'!$H$70,IF('01_Input'!$G$70="Résiduel vs Gestion",0,IF('01_Input'!$G$70="Taux Classe sélectionnée",Distrib_Global_Classe_Selectionnee*DQ$20,IF('01_Input'!$G$70="Frais KYC (paliers de 100M€)",MAX(0,Nb_Investisseurs-Nb_KYC_Gratuites_Par_Tranche*(FLOOR(DQ$20/Taille_Tranche_KYC,1)+1))*Cout_Par_KYC_Supplementaire,(IF('01_Input'!$L$70="Forfait",IF(DQ$20&gt;='01_Input'!$J$70,'01_Input'!$M$70,0),IF('01_Input'!$L$70="Palier",IF(AND(DQ$20&gt;='01_Input'!$J$70,DQ$20&lt;'01_Input'!$K$70),'01_Input'!$M$70,0),MAX(MIN(DQ$20,'01_Input'!$K$70)-'01_Input'!$J$70,0)*'01_Input'!$M$70))+IF('01_Input'!$P$70="Forfait",IF(DQ$20&gt;='01_Input'!$N$70,'01_Input'!$Q$70,0),IF('01_Input'!$P$70="Palier",IF(AND(DQ$20&gt;='01_Input'!$N$70,DQ$20&lt;'01_Input'!$O$70),'01_Input'!$Q$70,0),MAX(MIN(DQ$20,'01_Input'!$O$70)-'01_Input'!$N$70,0)*'01_Input'!$Q$70))+IF('01_Input'!$T$70="Forfait",IF(DQ$20&gt;='01_Input'!$R$70,'01_Input'!$U$70,0),IF('01_Input'!$T$70="Palier",IF(AND(DQ$20&gt;='01_Input'!$R$70,DQ$20&lt;'01_Input'!$S$70),'01_Input'!$U$70,0),MAX(MIN(DQ$20,'01_Input'!$S$70)-'01_Input'!$R$70,0)*'01_Input'!$U$70))+IF('01_Input'!$X$70="Forfait",IF(DQ$20&gt;='01_Input'!$V$70,'01_Input'!$Y$70,0),IF('01_Input'!$X$70="Palier",IF(AND(DQ$20&gt;='01_Input'!$V$70,DQ$20&lt;'01_Input'!$W$70),'01_Input'!$Y$70,0),MAX(MIN(DQ$20,'01_Input'!$W$70)-'01_Input'!$V$70,0)*'01_Input'!$Y$70))+IF('01_Input'!$AB$70="Forfait",IF(DQ$20&gt;='01_Input'!$Z$70,'01_Input'!$AC$70,0),IF('01_Input'!$AB$70="Palier",IF(AND(DQ$20&gt;='01_Input'!$Z$70,DQ$20&lt;'01_Input'!$AA$70),'01_Input'!$AC$70,0),MAX(MIN(DQ$20,'01_Input'!$AA$70)-'01_Input'!$Z$70,0)*'01_Input'!$AC$70)))))))))</f>
        <v>0</v>
      </c>
      <c r="DR38" s="83">
        <f>IF('01_Input'!$C$70="Non",0,MIN('01_Input'!$I$70,MAX('01_Input'!$H$70,IF('01_Input'!$G$70="Résiduel vs Gestion",0,IF('01_Input'!$G$70="Taux Classe sélectionnée",Distrib_Global_Classe_Selectionnee*DR$20,IF('01_Input'!$G$70="Frais KYC (paliers de 100M€)",MAX(0,Nb_Investisseurs-Nb_KYC_Gratuites_Par_Tranche*(FLOOR(DR$20/Taille_Tranche_KYC,1)+1))*Cout_Par_KYC_Supplementaire,(IF('01_Input'!$L$70="Forfait",IF(DR$20&gt;='01_Input'!$J$70,'01_Input'!$M$70,0),IF('01_Input'!$L$70="Palier",IF(AND(DR$20&gt;='01_Input'!$J$70,DR$20&lt;'01_Input'!$K$70),'01_Input'!$M$70,0),MAX(MIN(DR$20,'01_Input'!$K$70)-'01_Input'!$J$70,0)*'01_Input'!$M$70))+IF('01_Input'!$P$70="Forfait",IF(DR$20&gt;='01_Input'!$N$70,'01_Input'!$Q$70,0),IF('01_Input'!$P$70="Palier",IF(AND(DR$20&gt;='01_Input'!$N$70,DR$20&lt;'01_Input'!$O$70),'01_Input'!$Q$70,0),MAX(MIN(DR$20,'01_Input'!$O$70)-'01_Input'!$N$70,0)*'01_Input'!$Q$70))+IF('01_Input'!$T$70="Forfait",IF(DR$20&gt;='01_Input'!$R$70,'01_Input'!$U$70,0),IF('01_Input'!$T$70="Palier",IF(AND(DR$20&gt;='01_Input'!$R$70,DR$20&lt;'01_Input'!$S$70),'01_Input'!$U$70,0),MAX(MIN(DR$20,'01_Input'!$S$70)-'01_Input'!$R$70,0)*'01_Input'!$U$70))+IF('01_Input'!$X$70="Forfait",IF(DR$20&gt;='01_Input'!$V$70,'01_Input'!$Y$70,0),IF('01_Input'!$X$70="Palier",IF(AND(DR$20&gt;='01_Input'!$V$70,DR$20&lt;'01_Input'!$W$70),'01_Input'!$Y$70,0),MAX(MIN(DR$20,'01_Input'!$W$70)-'01_Input'!$V$70,0)*'01_Input'!$Y$70))+IF('01_Input'!$AB$70="Forfait",IF(DR$20&gt;='01_Input'!$Z$70,'01_Input'!$AC$70,0),IF('01_Input'!$AB$70="Palier",IF(AND(DR$20&gt;='01_Input'!$Z$70,DR$20&lt;'01_Input'!$AA$70),'01_Input'!$AC$70,0),MAX(MIN(DR$20,'01_Input'!$AA$70)-'01_Input'!$Z$70,0)*'01_Input'!$AC$70)))))))))</f>
        <v>0</v>
      </c>
      <c r="DS38" s="83">
        <f>IF('01_Input'!$C$70="Non",0,MIN('01_Input'!$I$70,MAX('01_Input'!$H$70,IF('01_Input'!$G$70="Résiduel vs Gestion",0,IF('01_Input'!$G$70="Taux Classe sélectionnée",Distrib_Global_Classe_Selectionnee*DS$20,IF('01_Input'!$G$70="Frais KYC (paliers de 100M€)",MAX(0,Nb_Investisseurs-Nb_KYC_Gratuites_Par_Tranche*(FLOOR(DS$20/Taille_Tranche_KYC,1)+1))*Cout_Par_KYC_Supplementaire,(IF('01_Input'!$L$70="Forfait",IF(DS$20&gt;='01_Input'!$J$70,'01_Input'!$M$70,0),IF('01_Input'!$L$70="Palier",IF(AND(DS$20&gt;='01_Input'!$J$70,DS$20&lt;'01_Input'!$K$70),'01_Input'!$M$70,0),MAX(MIN(DS$20,'01_Input'!$K$70)-'01_Input'!$J$70,0)*'01_Input'!$M$70))+IF('01_Input'!$P$70="Forfait",IF(DS$20&gt;='01_Input'!$N$70,'01_Input'!$Q$70,0),IF('01_Input'!$P$70="Palier",IF(AND(DS$20&gt;='01_Input'!$N$70,DS$20&lt;'01_Input'!$O$70),'01_Input'!$Q$70,0),MAX(MIN(DS$20,'01_Input'!$O$70)-'01_Input'!$N$70,0)*'01_Input'!$Q$70))+IF('01_Input'!$T$70="Forfait",IF(DS$20&gt;='01_Input'!$R$70,'01_Input'!$U$70,0),IF('01_Input'!$T$70="Palier",IF(AND(DS$20&gt;='01_Input'!$R$70,DS$20&lt;'01_Input'!$S$70),'01_Input'!$U$70,0),MAX(MIN(DS$20,'01_Input'!$S$70)-'01_Input'!$R$70,0)*'01_Input'!$U$70))+IF('01_Input'!$X$70="Forfait",IF(DS$20&gt;='01_Input'!$V$70,'01_Input'!$Y$70,0),IF('01_Input'!$X$70="Palier",IF(AND(DS$20&gt;='01_Input'!$V$70,DS$20&lt;'01_Input'!$W$70),'01_Input'!$Y$70,0),MAX(MIN(DS$20,'01_Input'!$W$70)-'01_Input'!$V$70,0)*'01_Input'!$Y$70))+IF('01_Input'!$AB$70="Forfait",IF(DS$20&gt;='01_Input'!$Z$70,'01_Input'!$AC$70,0),IF('01_Input'!$AB$70="Palier",IF(AND(DS$20&gt;='01_Input'!$Z$70,DS$20&lt;'01_Input'!$AA$70),'01_Input'!$AC$70,0),MAX(MIN(DS$20,'01_Input'!$AA$70)-'01_Input'!$Z$70,0)*'01_Input'!$AC$70)))))))))</f>
        <v>0</v>
      </c>
      <c r="DT38" s="83">
        <f>IF('01_Input'!$C$70="Non",0,MIN('01_Input'!$I$70,MAX('01_Input'!$H$70,IF('01_Input'!$G$70="Résiduel vs Gestion",0,IF('01_Input'!$G$70="Taux Classe sélectionnée",Distrib_Global_Classe_Selectionnee*DT$20,IF('01_Input'!$G$70="Frais KYC (paliers de 100M€)",MAX(0,Nb_Investisseurs-Nb_KYC_Gratuites_Par_Tranche*(FLOOR(DT$20/Taille_Tranche_KYC,1)+1))*Cout_Par_KYC_Supplementaire,(IF('01_Input'!$L$70="Forfait",IF(DT$20&gt;='01_Input'!$J$70,'01_Input'!$M$70,0),IF('01_Input'!$L$70="Palier",IF(AND(DT$20&gt;='01_Input'!$J$70,DT$20&lt;'01_Input'!$K$70),'01_Input'!$M$70,0),MAX(MIN(DT$20,'01_Input'!$K$70)-'01_Input'!$J$70,0)*'01_Input'!$M$70))+IF('01_Input'!$P$70="Forfait",IF(DT$20&gt;='01_Input'!$N$70,'01_Input'!$Q$70,0),IF('01_Input'!$P$70="Palier",IF(AND(DT$20&gt;='01_Input'!$N$70,DT$20&lt;'01_Input'!$O$70),'01_Input'!$Q$70,0),MAX(MIN(DT$20,'01_Input'!$O$70)-'01_Input'!$N$70,0)*'01_Input'!$Q$70))+IF('01_Input'!$T$70="Forfait",IF(DT$20&gt;='01_Input'!$R$70,'01_Input'!$U$70,0),IF('01_Input'!$T$70="Palier",IF(AND(DT$20&gt;='01_Input'!$R$70,DT$20&lt;'01_Input'!$S$70),'01_Input'!$U$70,0),MAX(MIN(DT$20,'01_Input'!$S$70)-'01_Input'!$R$70,0)*'01_Input'!$U$70))+IF('01_Input'!$X$70="Forfait",IF(DT$20&gt;='01_Input'!$V$70,'01_Input'!$Y$70,0),IF('01_Input'!$X$70="Palier",IF(AND(DT$20&gt;='01_Input'!$V$70,DT$20&lt;'01_Input'!$W$70),'01_Input'!$Y$70,0),MAX(MIN(DT$20,'01_Input'!$W$70)-'01_Input'!$V$70,0)*'01_Input'!$Y$70))+IF('01_Input'!$AB$70="Forfait",IF(DT$20&gt;='01_Input'!$Z$70,'01_Input'!$AC$70,0),IF('01_Input'!$AB$70="Palier",IF(AND(DT$20&gt;='01_Input'!$Z$70,DT$20&lt;'01_Input'!$AA$70),'01_Input'!$AC$70,0),MAX(MIN(DT$20,'01_Input'!$AA$70)-'01_Input'!$Z$70,0)*'01_Input'!$AC$70)))))))))</f>
        <v>0</v>
      </c>
      <c r="DU38" s="83">
        <f>IF('01_Input'!$C$70="Non",0,MIN('01_Input'!$I$70,MAX('01_Input'!$H$70,IF('01_Input'!$G$70="Résiduel vs Gestion",0,IF('01_Input'!$G$70="Taux Classe sélectionnée",Distrib_Global_Classe_Selectionnee*DU$20,IF('01_Input'!$G$70="Frais KYC (paliers de 100M€)",MAX(0,Nb_Investisseurs-Nb_KYC_Gratuites_Par_Tranche*(FLOOR(DU$20/Taille_Tranche_KYC,1)+1))*Cout_Par_KYC_Supplementaire,(IF('01_Input'!$L$70="Forfait",IF(DU$20&gt;='01_Input'!$J$70,'01_Input'!$M$70,0),IF('01_Input'!$L$70="Palier",IF(AND(DU$20&gt;='01_Input'!$J$70,DU$20&lt;'01_Input'!$K$70),'01_Input'!$M$70,0),MAX(MIN(DU$20,'01_Input'!$K$70)-'01_Input'!$J$70,0)*'01_Input'!$M$70))+IF('01_Input'!$P$70="Forfait",IF(DU$20&gt;='01_Input'!$N$70,'01_Input'!$Q$70,0),IF('01_Input'!$P$70="Palier",IF(AND(DU$20&gt;='01_Input'!$N$70,DU$20&lt;'01_Input'!$O$70),'01_Input'!$Q$70,0),MAX(MIN(DU$20,'01_Input'!$O$70)-'01_Input'!$N$70,0)*'01_Input'!$Q$70))+IF('01_Input'!$T$70="Forfait",IF(DU$20&gt;='01_Input'!$R$70,'01_Input'!$U$70,0),IF('01_Input'!$T$70="Palier",IF(AND(DU$20&gt;='01_Input'!$R$70,DU$20&lt;'01_Input'!$S$70),'01_Input'!$U$70,0),MAX(MIN(DU$20,'01_Input'!$S$70)-'01_Input'!$R$70,0)*'01_Input'!$U$70))+IF('01_Input'!$X$70="Forfait",IF(DU$20&gt;='01_Input'!$V$70,'01_Input'!$Y$70,0),IF('01_Input'!$X$70="Palier",IF(AND(DU$20&gt;='01_Input'!$V$70,DU$20&lt;'01_Input'!$W$70),'01_Input'!$Y$70,0),MAX(MIN(DU$20,'01_Input'!$W$70)-'01_Input'!$V$70,0)*'01_Input'!$Y$70))+IF('01_Input'!$AB$70="Forfait",IF(DU$20&gt;='01_Input'!$Z$70,'01_Input'!$AC$70,0),IF('01_Input'!$AB$70="Palier",IF(AND(DU$20&gt;='01_Input'!$Z$70,DU$20&lt;'01_Input'!$AA$70),'01_Input'!$AC$70,0),MAX(MIN(DU$20,'01_Input'!$AA$70)-'01_Input'!$Z$70,0)*'01_Input'!$AC$70)))))))))</f>
        <v>0</v>
      </c>
      <c r="DV38" s="83">
        <f>IF('01_Input'!$C$70="Non",0,MIN('01_Input'!$I$70,MAX('01_Input'!$H$70,IF('01_Input'!$G$70="Résiduel vs Gestion",0,IF('01_Input'!$G$70="Taux Classe sélectionnée",Distrib_Global_Classe_Selectionnee*DV$20,IF('01_Input'!$G$70="Frais KYC (paliers de 100M€)",MAX(0,Nb_Investisseurs-Nb_KYC_Gratuites_Par_Tranche*(FLOOR(DV$20/Taille_Tranche_KYC,1)+1))*Cout_Par_KYC_Supplementaire,(IF('01_Input'!$L$70="Forfait",IF(DV$20&gt;='01_Input'!$J$70,'01_Input'!$M$70,0),IF('01_Input'!$L$70="Palier",IF(AND(DV$20&gt;='01_Input'!$J$70,DV$20&lt;'01_Input'!$K$70),'01_Input'!$M$70,0),MAX(MIN(DV$20,'01_Input'!$K$70)-'01_Input'!$J$70,0)*'01_Input'!$M$70))+IF('01_Input'!$P$70="Forfait",IF(DV$20&gt;='01_Input'!$N$70,'01_Input'!$Q$70,0),IF('01_Input'!$P$70="Palier",IF(AND(DV$20&gt;='01_Input'!$N$70,DV$20&lt;'01_Input'!$O$70),'01_Input'!$Q$70,0),MAX(MIN(DV$20,'01_Input'!$O$70)-'01_Input'!$N$70,0)*'01_Input'!$Q$70))+IF('01_Input'!$T$70="Forfait",IF(DV$20&gt;='01_Input'!$R$70,'01_Input'!$U$70,0),IF('01_Input'!$T$70="Palier",IF(AND(DV$20&gt;='01_Input'!$R$70,DV$20&lt;'01_Input'!$S$70),'01_Input'!$U$70,0),MAX(MIN(DV$20,'01_Input'!$S$70)-'01_Input'!$R$70,0)*'01_Input'!$U$70))+IF('01_Input'!$X$70="Forfait",IF(DV$20&gt;='01_Input'!$V$70,'01_Input'!$Y$70,0),IF('01_Input'!$X$70="Palier",IF(AND(DV$20&gt;='01_Input'!$V$70,DV$20&lt;'01_Input'!$W$70),'01_Input'!$Y$70,0),MAX(MIN(DV$20,'01_Input'!$W$70)-'01_Input'!$V$70,0)*'01_Input'!$Y$70))+IF('01_Input'!$AB$70="Forfait",IF(DV$20&gt;='01_Input'!$Z$70,'01_Input'!$AC$70,0),IF('01_Input'!$AB$70="Palier",IF(AND(DV$20&gt;='01_Input'!$Z$70,DV$20&lt;'01_Input'!$AA$70),'01_Input'!$AC$70,0),MAX(MIN(DV$20,'01_Input'!$AA$70)-'01_Input'!$Z$70,0)*'01_Input'!$AC$70)))))))))</f>
        <v>0</v>
      </c>
      <c r="DW38" s="83">
        <f>IF('01_Input'!$C$70="Non",0,MIN('01_Input'!$I$70,MAX('01_Input'!$H$70,IF('01_Input'!$G$70="Résiduel vs Gestion",0,IF('01_Input'!$G$70="Taux Classe sélectionnée",Distrib_Global_Classe_Selectionnee*DW$20,IF('01_Input'!$G$70="Frais KYC (paliers de 100M€)",MAX(0,Nb_Investisseurs-Nb_KYC_Gratuites_Par_Tranche*(FLOOR(DW$20/Taille_Tranche_KYC,1)+1))*Cout_Par_KYC_Supplementaire,(IF('01_Input'!$L$70="Forfait",IF(DW$20&gt;='01_Input'!$J$70,'01_Input'!$M$70,0),IF('01_Input'!$L$70="Palier",IF(AND(DW$20&gt;='01_Input'!$J$70,DW$20&lt;'01_Input'!$K$70),'01_Input'!$M$70,0),MAX(MIN(DW$20,'01_Input'!$K$70)-'01_Input'!$J$70,0)*'01_Input'!$M$70))+IF('01_Input'!$P$70="Forfait",IF(DW$20&gt;='01_Input'!$N$70,'01_Input'!$Q$70,0),IF('01_Input'!$P$70="Palier",IF(AND(DW$20&gt;='01_Input'!$N$70,DW$20&lt;'01_Input'!$O$70),'01_Input'!$Q$70,0),MAX(MIN(DW$20,'01_Input'!$O$70)-'01_Input'!$N$70,0)*'01_Input'!$Q$70))+IF('01_Input'!$T$70="Forfait",IF(DW$20&gt;='01_Input'!$R$70,'01_Input'!$U$70,0),IF('01_Input'!$T$70="Palier",IF(AND(DW$20&gt;='01_Input'!$R$70,DW$20&lt;'01_Input'!$S$70),'01_Input'!$U$70,0),MAX(MIN(DW$20,'01_Input'!$S$70)-'01_Input'!$R$70,0)*'01_Input'!$U$70))+IF('01_Input'!$X$70="Forfait",IF(DW$20&gt;='01_Input'!$V$70,'01_Input'!$Y$70,0),IF('01_Input'!$X$70="Palier",IF(AND(DW$20&gt;='01_Input'!$V$70,DW$20&lt;'01_Input'!$W$70),'01_Input'!$Y$70,0),MAX(MIN(DW$20,'01_Input'!$W$70)-'01_Input'!$V$70,0)*'01_Input'!$Y$70))+IF('01_Input'!$AB$70="Forfait",IF(DW$20&gt;='01_Input'!$Z$70,'01_Input'!$AC$70,0),IF('01_Input'!$AB$70="Palier",IF(AND(DW$20&gt;='01_Input'!$Z$70,DW$20&lt;'01_Input'!$AA$70),'01_Input'!$AC$70,0),MAX(MIN(DW$20,'01_Input'!$AA$70)-'01_Input'!$Z$70,0)*'01_Input'!$AC$70)))))))))</f>
        <v>0</v>
      </c>
      <c r="DX38" s="83">
        <f>IF('01_Input'!$C$70="Non",0,MIN('01_Input'!$I$70,MAX('01_Input'!$H$70,IF('01_Input'!$G$70="Résiduel vs Gestion",0,IF('01_Input'!$G$70="Taux Classe sélectionnée",Distrib_Global_Classe_Selectionnee*DX$20,IF('01_Input'!$G$70="Frais KYC (paliers de 100M€)",MAX(0,Nb_Investisseurs-Nb_KYC_Gratuites_Par_Tranche*(FLOOR(DX$20/Taille_Tranche_KYC,1)+1))*Cout_Par_KYC_Supplementaire,(IF('01_Input'!$L$70="Forfait",IF(DX$20&gt;='01_Input'!$J$70,'01_Input'!$M$70,0),IF('01_Input'!$L$70="Palier",IF(AND(DX$20&gt;='01_Input'!$J$70,DX$20&lt;'01_Input'!$K$70),'01_Input'!$M$70,0),MAX(MIN(DX$20,'01_Input'!$K$70)-'01_Input'!$J$70,0)*'01_Input'!$M$70))+IF('01_Input'!$P$70="Forfait",IF(DX$20&gt;='01_Input'!$N$70,'01_Input'!$Q$70,0),IF('01_Input'!$P$70="Palier",IF(AND(DX$20&gt;='01_Input'!$N$70,DX$20&lt;'01_Input'!$O$70),'01_Input'!$Q$70,0),MAX(MIN(DX$20,'01_Input'!$O$70)-'01_Input'!$N$70,0)*'01_Input'!$Q$70))+IF('01_Input'!$T$70="Forfait",IF(DX$20&gt;='01_Input'!$R$70,'01_Input'!$U$70,0),IF('01_Input'!$T$70="Palier",IF(AND(DX$20&gt;='01_Input'!$R$70,DX$20&lt;'01_Input'!$S$70),'01_Input'!$U$70,0),MAX(MIN(DX$20,'01_Input'!$S$70)-'01_Input'!$R$70,0)*'01_Input'!$U$70))+IF('01_Input'!$X$70="Forfait",IF(DX$20&gt;='01_Input'!$V$70,'01_Input'!$Y$70,0),IF('01_Input'!$X$70="Palier",IF(AND(DX$20&gt;='01_Input'!$V$70,DX$20&lt;'01_Input'!$W$70),'01_Input'!$Y$70,0),MAX(MIN(DX$20,'01_Input'!$W$70)-'01_Input'!$V$70,0)*'01_Input'!$Y$70))+IF('01_Input'!$AB$70="Forfait",IF(DX$20&gt;='01_Input'!$Z$70,'01_Input'!$AC$70,0),IF('01_Input'!$AB$70="Palier",IF(AND(DX$20&gt;='01_Input'!$Z$70,DX$20&lt;'01_Input'!$AA$70),'01_Input'!$AC$70,0),MAX(MIN(DX$20,'01_Input'!$AA$70)-'01_Input'!$Z$70,0)*'01_Input'!$AC$70)))))))))</f>
        <v>0</v>
      </c>
      <c r="DY38" s="83">
        <f>IF('01_Input'!$C$70="Non",0,MIN('01_Input'!$I$70,MAX('01_Input'!$H$70,IF('01_Input'!$G$70="Résiduel vs Gestion",0,IF('01_Input'!$G$70="Taux Classe sélectionnée",Distrib_Global_Classe_Selectionnee*DY$20,IF('01_Input'!$G$70="Frais KYC (paliers de 100M€)",MAX(0,Nb_Investisseurs-Nb_KYC_Gratuites_Par_Tranche*(FLOOR(DY$20/Taille_Tranche_KYC,1)+1))*Cout_Par_KYC_Supplementaire,(IF('01_Input'!$L$70="Forfait",IF(DY$20&gt;='01_Input'!$J$70,'01_Input'!$M$70,0),IF('01_Input'!$L$70="Palier",IF(AND(DY$20&gt;='01_Input'!$J$70,DY$20&lt;'01_Input'!$K$70),'01_Input'!$M$70,0),MAX(MIN(DY$20,'01_Input'!$K$70)-'01_Input'!$J$70,0)*'01_Input'!$M$70))+IF('01_Input'!$P$70="Forfait",IF(DY$20&gt;='01_Input'!$N$70,'01_Input'!$Q$70,0),IF('01_Input'!$P$70="Palier",IF(AND(DY$20&gt;='01_Input'!$N$70,DY$20&lt;'01_Input'!$O$70),'01_Input'!$Q$70,0),MAX(MIN(DY$20,'01_Input'!$O$70)-'01_Input'!$N$70,0)*'01_Input'!$Q$70))+IF('01_Input'!$T$70="Forfait",IF(DY$20&gt;='01_Input'!$R$70,'01_Input'!$U$70,0),IF('01_Input'!$T$70="Palier",IF(AND(DY$20&gt;='01_Input'!$R$70,DY$20&lt;'01_Input'!$S$70),'01_Input'!$U$70,0),MAX(MIN(DY$20,'01_Input'!$S$70)-'01_Input'!$R$70,0)*'01_Input'!$U$70))+IF('01_Input'!$X$70="Forfait",IF(DY$20&gt;='01_Input'!$V$70,'01_Input'!$Y$70,0),IF('01_Input'!$X$70="Palier",IF(AND(DY$20&gt;='01_Input'!$V$70,DY$20&lt;'01_Input'!$W$70),'01_Input'!$Y$70,0),MAX(MIN(DY$20,'01_Input'!$W$70)-'01_Input'!$V$70,0)*'01_Input'!$Y$70))+IF('01_Input'!$AB$70="Forfait",IF(DY$20&gt;='01_Input'!$Z$70,'01_Input'!$AC$70,0),IF('01_Input'!$AB$70="Palier",IF(AND(DY$20&gt;='01_Input'!$Z$70,DY$20&lt;'01_Input'!$AA$70),'01_Input'!$AC$70,0),MAX(MIN(DY$20,'01_Input'!$AA$70)-'01_Input'!$Z$70,0)*'01_Input'!$AC$70)))))))))</f>
        <v>0</v>
      </c>
      <c r="DZ38" s="83">
        <f>IF('01_Input'!$C$70="Non",0,MIN('01_Input'!$I$70,MAX('01_Input'!$H$70,IF('01_Input'!$G$70="Résiduel vs Gestion",0,IF('01_Input'!$G$70="Taux Classe sélectionnée",Distrib_Global_Classe_Selectionnee*DZ$20,IF('01_Input'!$G$70="Frais KYC (paliers de 100M€)",MAX(0,Nb_Investisseurs-Nb_KYC_Gratuites_Par_Tranche*(FLOOR(DZ$20/Taille_Tranche_KYC,1)+1))*Cout_Par_KYC_Supplementaire,(IF('01_Input'!$L$70="Forfait",IF(DZ$20&gt;='01_Input'!$J$70,'01_Input'!$M$70,0),IF('01_Input'!$L$70="Palier",IF(AND(DZ$20&gt;='01_Input'!$J$70,DZ$20&lt;'01_Input'!$K$70),'01_Input'!$M$70,0),MAX(MIN(DZ$20,'01_Input'!$K$70)-'01_Input'!$J$70,0)*'01_Input'!$M$70))+IF('01_Input'!$P$70="Forfait",IF(DZ$20&gt;='01_Input'!$N$70,'01_Input'!$Q$70,0),IF('01_Input'!$P$70="Palier",IF(AND(DZ$20&gt;='01_Input'!$N$70,DZ$20&lt;'01_Input'!$O$70),'01_Input'!$Q$70,0),MAX(MIN(DZ$20,'01_Input'!$O$70)-'01_Input'!$N$70,0)*'01_Input'!$Q$70))+IF('01_Input'!$T$70="Forfait",IF(DZ$20&gt;='01_Input'!$R$70,'01_Input'!$U$70,0),IF('01_Input'!$T$70="Palier",IF(AND(DZ$20&gt;='01_Input'!$R$70,DZ$20&lt;'01_Input'!$S$70),'01_Input'!$U$70,0),MAX(MIN(DZ$20,'01_Input'!$S$70)-'01_Input'!$R$70,0)*'01_Input'!$U$70))+IF('01_Input'!$X$70="Forfait",IF(DZ$20&gt;='01_Input'!$V$70,'01_Input'!$Y$70,0),IF('01_Input'!$X$70="Palier",IF(AND(DZ$20&gt;='01_Input'!$V$70,DZ$20&lt;'01_Input'!$W$70),'01_Input'!$Y$70,0),MAX(MIN(DZ$20,'01_Input'!$W$70)-'01_Input'!$V$70,0)*'01_Input'!$Y$70))+IF('01_Input'!$AB$70="Forfait",IF(DZ$20&gt;='01_Input'!$Z$70,'01_Input'!$AC$70,0),IF('01_Input'!$AB$70="Palier",IF(AND(DZ$20&gt;='01_Input'!$Z$70,DZ$20&lt;'01_Input'!$AA$70),'01_Input'!$AC$70,0),MAX(MIN(DZ$20,'01_Input'!$AA$70)-'01_Input'!$Z$70,0)*'01_Input'!$AC$70)))))))))</f>
        <v>0</v>
      </c>
      <c r="EA38" s="83">
        <f>IF('01_Input'!$C$70="Non",0,MIN('01_Input'!$I$70,MAX('01_Input'!$H$70,IF('01_Input'!$G$70="Résiduel vs Gestion",0,IF('01_Input'!$G$70="Taux Classe sélectionnée",Distrib_Global_Classe_Selectionnee*EA$20,IF('01_Input'!$G$70="Frais KYC (paliers de 100M€)",MAX(0,Nb_Investisseurs-Nb_KYC_Gratuites_Par_Tranche*(FLOOR(EA$20/Taille_Tranche_KYC,1)+1))*Cout_Par_KYC_Supplementaire,(IF('01_Input'!$L$70="Forfait",IF(EA$20&gt;='01_Input'!$J$70,'01_Input'!$M$70,0),IF('01_Input'!$L$70="Palier",IF(AND(EA$20&gt;='01_Input'!$J$70,EA$20&lt;'01_Input'!$K$70),'01_Input'!$M$70,0),MAX(MIN(EA$20,'01_Input'!$K$70)-'01_Input'!$J$70,0)*'01_Input'!$M$70))+IF('01_Input'!$P$70="Forfait",IF(EA$20&gt;='01_Input'!$N$70,'01_Input'!$Q$70,0),IF('01_Input'!$P$70="Palier",IF(AND(EA$20&gt;='01_Input'!$N$70,EA$20&lt;'01_Input'!$O$70),'01_Input'!$Q$70,0),MAX(MIN(EA$20,'01_Input'!$O$70)-'01_Input'!$N$70,0)*'01_Input'!$Q$70))+IF('01_Input'!$T$70="Forfait",IF(EA$20&gt;='01_Input'!$R$70,'01_Input'!$U$70,0),IF('01_Input'!$T$70="Palier",IF(AND(EA$20&gt;='01_Input'!$R$70,EA$20&lt;'01_Input'!$S$70),'01_Input'!$U$70,0),MAX(MIN(EA$20,'01_Input'!$S$70)-'01_Input'!$R$70,0)*'01_Input'!$U$70))+IF('01_Input'!$X$70="Forfait",IF(EA$20&gt;='01_Input'!$V$70,'01_Input'!$Y$70,0),IF('01_Input'!$X$70="Palier",IF(AND(EA$20&gt;='01_Input'!$V$70,EA$20&lt;'01_Input'!$W$70),'01_Input'!$Y$70,0),MAX(MIN(EA$20,'01_Input'!$W$70)-'01_Input'!$V$70,0)*'01_Input'!$Y$70))+IF('01_Input'!$AB$70="Forfait",IF(EA$20&gt;='01_Input'!$Z$70,'01_Input'!$AC$70,0),IF('01_Input'!$AB$70="Palier",IF(AND(EA$20&gt;='01_Input'!$Z$70,EA$20&lt;'01_Input'!$AA$70),'01_Input'!$AC$70,0),MAX(MIN(EA$20,'01_Input'!$AA$70)-'01_Input'!$Z$70,0)*'01_Input'!$AC$70)))))))))</f>
        <v>0</v>
      </c>
      <c r="EB38" s="83">
        <f>IF('01_Input'!$C$70="Non",0,MIN('01_Input'!$I$70,MAX('01_Input'!$H$70,IF('01_Input'!$G$70="Résiduel vs Gestion",0,IF('01_Input'!$G$70="Taux Classe sélectionnée",Distrib_Global_Classe_Selectionnee*EB$20,IF('01_Input'!$G$70="Frais KYC (paliers de 100M€)",MAX(0,Nb_Investisseurs-Nb_KYC_Gratuites_Par_Tranche*(FLOOR(EB$20/Taille_Tranche_KYC,1)+1))*Cout_Par_KYC_Supplementaire,(IF('01_Input'!$L$70="Forfait",IF(EB$20&gt;='01_Input'!$J$70,'01_Input'!$M$70,0),IF('01_Input'!$L$70="Palier",IF(AND(EB$20&gt;='01_Input'!$J$70,EB$20&lt;'01_Input'!$K$70),'01_Input'!$M$70,0),MAX(MIN(EB$20,'01_Input'!$K$70)-'01_Input'!$J$70,0)*'01_Input'!$M$70))+IF('01_Input'!$P$70="Forfait",IF(EB$20&gt;='01_Input'!$N$70,'01_Input'!$Q$70,0),IF('01_Input'!$P$70="Palier",IF(AND(EB$20&gt;='01_Input'!$N$70,EB$20&lt;'01_Input'!$O$70),'01_Input'!$Q$70,0),MAX(MIN(EB$20,'01_Input'!$O$70)-'01_Input'!$N$70,0)*'01_Input'!$Q$70))+IF('01_Input'!$T$70="Forfait",IF(EB$20&gt;='01_Input'!$R$70,'01_Input'!$U$70,0),IF('01_Input'!$T$70="Palier",IF(AND(EB$20&gt;='01_Input'!$R$70,EB$20&lt;'01_Input'!$S$70),'01_Input'!$U$70,0),MAX(MIN(EB$20,'01_Input'!$S$70)-'01_Input'!$R$70,0)*'01_Input'!$U$70))+IF('01_Input'!$X$70="Forfait",IF(EB$20&gt;='01_Input'!$V$70,'01_Input'!$Y$70,0),IF('01_Input'!$X$70="Palier",IF(AND(EB$20&gt;='01_Input'!$V$70,EB$20&lt;'01_Input'!$W$70),'01_Input'!$Y$70,0),MAX(MIN(EB$20,'01_Input'!$W$70)-'01_Input'!$V$70,0)*'01_Input'!$Y$70))+IF('01_Input'!$AB$70="Forfait",IF(EB$20&gt;='01_Input'!$Z$70,'01_Input'!$AC$70,0),IF('01_Input'!$AB$70="Palier",IF(AND(EB$20&gt;='01_Input'!$Z$70,EB$20&lt;'01_Input'!$AA$70),'01_Input'!$AC$70,0),MAX(MIN(EB$20,'01_Input'!$AA$70)-'01_Input'!$Z$70,0)*'01_Input'!$AC$70)))))))))</f>
        <v>0</v>
      </c>
      <c r="EC38" s="83">
        <f>IF('01_Input'!$C$70="Non",0,MIN('01_Input'!$I$70,MAX('01_Input'!$H$70,IF('01_Input'!$G$70="Résiduel vs Gestion",0,IF('01_Input'!$G$70="Taux Classe sélectionnée",Distrib_Global_Classe_Selectionnee*EC$20,IF('01_Input'!$G$70="Frais KYC (paliers de 100M€)",MAX(0,Nb_Investisseurs-Nb_KYC_Gratuites_Par_Tranche*(FLOOR(EC$20/Taille_Tranche_KYC,1)+1))*Cout_Par_KYC_Supplementaire,(IF('01_Input'!$L$70="Forfait",IF(EC$20&gt;='01_Input'!$J$70,'01_Input'!$M$70,0),IF('01_Input'!$L$70="Palier",IF(AND(EC$20&gt;='01_Input'!$J$70,EC$20&lt;'01_Input'!$K$70),'01_Input'!$M$70,0),MAX(MIN(EC$20,'01_Input'!$K$70)-'01_Input'!$J$70,0)*'01_Input'!$M$70))+IF('01_Input'!$P$70="Forfait",IF(EC$20&gt;='01_Input'!$N$70,'01_Input'!$Q$70,0),IF('01_Input'!$P$70="Palier",IF(AND(EC$20&gt;='01_Input'!$N$70,EC$20&lt;'01_Input'!$O$70),'01_Input'!$Q$70,0),MAX(MIN(EC$20,'01_Input'!$O$70)-'01_Input'!$N$70,0)*'01_Input'!$Q$70))+IF('01_Input'!$T$70="Forfait",IF(EC$20&gt;='01_Input'!$R$70,'01_Input'!$U$70,0),IF('01_Input'!$T$70="Palier",IF(AND(EC$20&gt;='01_Input'!$R$70,EC$20&lt;'01_Input'!$S$70),'01_Input'!$U$70,0),MAX(MIN(EC$20,'01_Input'!$S$70)-'01_Input'!$R$70,0)*'01_Input'!$U$70))+IF('01_Input'!$X$70="Forfait",IF(EC$20&gt;='01_Input'!$V$70,'01_Input'!$Y$70,0),IF('01_Input'!$X$70="Palier",IF(AND(EC$20&gt;='01_Input'!$V$70,EC$20&lt;'01_Input'!$W$70),'01_Input'!$Y$70,0),MAX(MIN(EC$20,'01_Input'!$W$70)-'01_Input'!$V$70,0)*'01_Input'!$Y$70))+IF('01_Input'!$AB$70="Forfait",IF(EC$20&gt;='01_Input'!$Z$70,'01_Input'!$AC$70,0),IF('01_Input'!$AB$70="Palier",IF(AND(EC$20&gt;='01_Input'!$Z$70,EC$20&lt;'01_Input'!$AA$70),'01_Input'!$AC$70,0),MAX(MIN(EC$20,'01_Input'!$AA$70)-'01_Input'!$Z$70,0)*'01_Input'!$AC$70)))))))))</f>
        <v>0</v>
      </c>
      <c r="ED38" s="83">
        <f>IF('01_Input'!$C$70="Non",0,MIN('01_Input'!$I$70,MAX('01_Input'!$H$70,IF('01_Input'!$G$70="Résiduel vs Gestion",0,IF('01_Input'!$G$70="Taux Classe sélectionnée",Distrib_Global_Classe_Selectionnee*ED$20,IF('01_Input'!$G$70="Frais KYC (paliers de 100M€)",MAX(0,Nb_Investisseurs-Nb_KYC_Gratuites_Par_Tranche*(FLOOR(ED$20/Taille_Tranche_KYC,1)+1))*Cout_Par_KYC_Supplementaire,(IF('01_Input'!$L$70="Forfait",IF(ED$20&gt;='01_Input'!$J$70,'01_Input'!$M$70,0),IF('01_Input'!$L$70="Palier",IF(AND(ED$20&gt;='01_Input'!$J$70,ED$20&lt;'01_Input'!$K$70),'01_Input'!$M$70,0),MAX(MIN(ED$20,'01_Input'!$K$70)-'01_Input'!$J$70,0)*'01_Input'!$M$70))+IF('01_Input'!$P$70="Forfait",IF(ED$20&gt;='01_Input'!$N$70,'01_Input'!$Q$70,0),IF('01_Input'!$P$70="Palier",IF(AND(ED$20&gt;='01_Input'!$N$70,ED$20&lt;'01_Input'!$O$70),'01_Input'!$Q$70,0),MAX(MIN(ED$20,'01_Input'!$O$70)-'01_Input'!$N$70,0)*'01_Input'!$Q$70))+IF('01_Input'!$T$70="Forfait",IF(ED$20&gt;='01_Input'!$R$70,'01_Input'!$U$70,0),IF('01_Input'!$T$70="Palier",IF(AND(ED$20&gt;='01_Input'!$R$70,ED$20&lt;'01_Input'!$S$70),'01_Input'!$U$70,0),MAX(MIN(ED$20,'01_Input'!$S$70)-'01_Input'!$R$70,0)*'01_Input'!$U$70))+IF('01_Input'!$X$70="Forfait",IF(ED$20&gt;='01_Input'!$V$70,'01_Input'!$Y$70,0),IF('01_Input'!$X$70="Palier",IF(AND(ED$20&gt;='01_Input'!$V$70,ED$20&lt;'01_Input'!$W$70),'01_Input'!$Y$70,0),MAX(MIN(ED$20,'01_Input'!$W$70)-'01_Input'!$V$70,0)*'01_Input'!$Y$70))+IF('01_Input'!$AB$70="Forfait",IF(ED$20&gt;='01_Input'!$Z$70,'01_Input'!$AC$70,0),IF('01_Input'!$AB$70="Palier",IF(AND(ED$20&gt;='01_Input'!$Z$70,ED$20&lt;'01_Input'!$AA$70),'01_Input'!$AC$70,0),MAX(MIN(ED$20,'01_Input'!$AA$70)-'01_Input'!$Z$70,0)*'01_Input'!$AC$70)))))))))</f>
        <v>0</v>
      </c>
      <c r="EE38" s="83">
        <f>IF('01_Input'!$C$70="Non",0,MIN('01_Input'!$I$70,MAX('01_Input'!$H$70,IF('01_Input'!$G$70="Résiduel vs Gestion",0,IF('01_Input'!$G$70="Taux Classe sélectionnée",Distrib_Global_Classe_Selectionnee*EE$20,IF('01_Input'!$G$70="Frais KYC (paliers de 100M€)",MAX(0,Nb_Investisseurs-Nb_KYC_Gratuites_Par_Tranche*(FLOOR(EE$20/Taille_Tranche_KYC,1)+1))*Cout_Par_KYC_Supplementaire,(IF('01_Input'!$L$70="Forfait",IF(EE$20&gt;='01_Input'!$J$70,'01_Input'!$M$70,0),IF('01_Input'!$L$70="Palier",IF(AND(EE$20&gt;='01_Input'!$J$70,EE$20&lt;'01_Input'!$K$70),'01_Input'!$M$70,0),MAX(MIN(EE$20,'01_Input'!$K$70)-'01_Input'!$J$70,0)*'01_Input'!$M$70))+IF('01_Input'!$P$70="Forfait",IF(EE$20&gt;='01_Input'!$N$70,'01_Input'!$Q$70,0),IF('01_Input'!$P$70="Palier",IF(AND(EE$20&gt;='01_Input'!$N$70,EE$20&lt;'01_Input'!$O$70),'01_Input'!$Q$70,0),MAX(MIN(EE$20,'01_Input'!$O$70)-'01_Input'!$N$70,0)*'01_Input'!$Q$70))+IF('01_Input'!$T$70="Forfait",IF(EE$20&gt;='01_Input'!$R$70,'01_Input'!$U$70,0),IF('01_Input'!$T$70="Palier",IF(AND(EE$20&gt;='01_Input'!$R$70,EE$20&lt;'01_Input'!$S$70),'01_Input'!$U$70,0),MAX(MIN(EE$20,'01_Input'!$S$70)-'01_Input'!$R$70,0)*'01_Input'!$U$70))+IF('01_Input'!$X$70="Forfait",IF(EE$20&gt;='01_Input'!$V$70,'01_Input'!$Y$70,0),IF('01_Input'!$X$70="Palier",IF(AND(EE$20&gt;='01_Input'!$V$70,EE$20&lt;'01_Input'!$W$70),'01_Input'!$Y$70,0),MAX(MIN(EE$20,'01_Input'!$W$70)-'01_Input'!$V$70,0)*'01_Input'!$Y$70))+IF('01_Input'!$AB$70="Forfait",IF(EE$20&gt;='01_Input'!$Z$70,'01_Input'!$AC$70,0),IF('01_Input'!$AB$70="Palier",IF(AND(EE$20&gt;='01_Input'!$Z$70,EE$20&lt;'01_Input'!$AA$70),'01_Input'!$AC$70,0),MAX(MIN(EE$20,'01_Input'!$AA$70)-'01_Input'!$Z$70,0)*'01_Input'!$AC$70)))))))))</f>
        <v>0</v>
      </c>
      <c r="EF38" s="83">
        <f>IF('01_Input'!$C$70="Non",0,MIN('01_Input'!$I$70,MAX('01_Input'!$H$70,IF('01_Input'!$G$70="Résiduel vs Gestion",0,IF('01_Input'!$G$70="Taux Classe sélectionnée",Distrib_Global_Classe_Selectionnee*EF$20,IF('01_Input'!$G$70="Frais KYC (paliers de 100M€)",MAX(0,Nb_Investisseurs-Nb_KYC_Gratuites_Par_Tranche*(FLOOR(EF$20/Taille_Tranche_KYC,1)+1))*Cout_Par_KYC_Supplementaire,(IF('01_Input'!$L$70="Forfait",IF(EF$20&gt;='01_Input'!$J$70,'01_Input'!$M$70,0),IF('01_Input'!$L$70="Palier",IF(AND(EF$20&gt;='01_Input'!$J$70,EF$20&lt;'01_Input'!$K$70),'01_Input'!$M$70,0),MAX(MIN(EF$20,'01_Input'!$K$70)-'01_Input'!$J$70,0)*'01_Input'!$M$70))+IF('01_Input'!$P$70="Forfait",IF(EF$20&gt;='01_Input'!$N$70,'01_Input'!$Q$70,0),IF('01_Input'!$P$70="Palier",IF(AND(EF$20&gt;='01_Input'!$N$70,EF$20&lt;'01_Input'!$O$70),'01_Input'!$Q$70,0),MAX(MIN(EF$20,'01_Input'!$O$70)-'01_Input'!$N$70,0)*'01_Input'!$Q$70))+IF('01_Input'!$T$70="Forfait",IF(EF$20&gt;='01_Input'!$R$70,'01_Input'!$U$70,0),IF('01_Input'!$T$70="Palier",IF(AND(EF$20&gt;='01_Input'!$R$70,EF$20&lt;'01_Input'!$S$70),'01_Input'!$U$70,0),MAX(MIN(EF$20,'01_Input'!$S$70)-'01_Input'!$R$70,0)*'01_Input'!$U$70))+IF('01_Input'!$X$70="Forfait",IF(EF$20&gt;='01_Input'!$V$70,'01_Input'!$Y$70,0),IF('01_Input'!$X$70="Palier",IF(AND(EF$20&gt;='01_Input'!$V$70,EF$20&lt;'01_Input'!$W$70),'01_Input'!$Y$70,0),MAX(MIN(EF$20,'01_Input'!$W$70)-'01_Input'!$V$70,0)*'01_Input'!$Y$70))+IF('01_Input'!$AB$70="Forfait",IF(EF$20&gt;='01_Input'!$Z$70,'01_Input'!$AC$70,0),IF('01_Input'!$AB$70="Palier",IF(AND(EF$20&gt;='01_Input'!$Z$70,EF$20&lt;'01_Input'!$AA$70),'01_Input'!$AC$70,0),MAX(MIN(EF$20,'01_Input'!$AA$70)-'01_Input'!$Z$70,0)*'01_Input'!$AC$70)))))))))</f>
        <v>0</v>
      </c>
      <c r="EG38" s="83">
        <f>IF('01_Input'!$C$70="Non",0,MIN('01_Input'!$I$70,MAX('01_Input'!$H$70,IF('01_Input'!$G$70="Résiduel vs Gestion",0,IF('01_Input'!$G$70="Taux Classe sélectionnée",Distrib_Global_Classe_Selectionnee*EG$20,IF('01_Input'!$G$70="Frais KYC (paliers de 100M€)",MAX(0,Nb_Investisseurs-Nb_KYC_Gratuites_Par_Tranche*(FLOOR(EG$20/Taille_Tranche_KYC,1)+1))*Cout_Par_KYC_Supplementaire,(IF('01_Input'!$L$70="Forfait",IF(EG$20&gt;='01_Input'!$J$70,'01_Input'!$M$70,0),IF('01_Input'!$L$70="Palier",IF(AND(EG$20&gt;='01_Input'!$J$70,EG$20&lt;'01_Input'!$K$70),'01_Input'!$M$70,0),MAX(MIN(EG$20,'01_Input'!$K$70)-'01_Input'!$J$70,0)*'01_Input'!$M$70))+IF('01_Input'!$P$70="Forfait",IF(EG$20&gt;='01_Input'!$N$70,'01_Input'!$Q$70,0),IF('01_Input'!$P$70="Palier",IF(AND(EG$20&gt;='01_Input'!$N$70,EG$20&lt;'01_Input'!$O$70),'01_Input'!$Q$70,0),MAX(MIN(EG$20,'01_Input'!$O$70)-'01_Input'!$N$70,0)*'01_Input'!$Q$70))+IF('01_Input'!$T$70="Forfait",IF(EG$20&gt;='01_Input'!$R$70,'01_Input'!$U$70,0),IF('01_Input'!$T$70="Palier",IF(AND(EG$20&gt;='01_Input'!$R$70,EG$20&lt;'01_Input'!$S$70),'01_Input'!$U$70,0),MAX(MIN(EG$20,'01_Input'!$S$70)-'01_Input'!$R$70,0)*'01_Input'!$U$70))+IF('01_Input'!$X$70="Forfait",IF(EG$20&gt;='01_Input'!$V$70,'01_Input'!$Y$70,0),IF('01_Input'!$X$70="Palier",IF(AND(EG$20&gt;='01_Input'!$V$70,EG$20&lt;'01_Input'!$W$70),'01_Input'!$Y$70,0),MAX(MIN(EG$20,'01_Input'!$W$70)-'01_Input'!$V$70,0)*'01_Input'!$Y$70))+IF('01_Input'!$AB$70="Forfait",IF(EG$20&gt;='01_Input'!$Z$70,'01_Input'!$AC$70,0),IF('01_Input'!$AB$70="Palier",IF(AND(EG$20&gt;='01_Input'!$Z$70,EG$20&lt;'01_Input'!$AA$70),'01_Input'!$AC$70,0),MAX(MIN(EG$20,'01_Input'!$AA$70)-'01_Input'!$Z$70,0)*'01_Input'!$AC$70)))))))))</f>
        <v>0</v>
      </c>
      <c r="EH38" s="83">
        <f>IF('01_Input'!$C$70="Non",0,MIN('01_Input'!$I$70,MAX('01_Input'!$H$70,IF('01_Input'!$G$70="Résiduel vs Gestion",0,IF('01_Input'!$G$70="Taux Classe sélectionnée",Distrib_Global_Classe_Selectionnee*EH$20,IF('01_Input'!$G$70="Frais KYC (paliers de 100M€)",MAX(0,Nb_Investisseurs-Nb_KYC_Gratuites_Par_Tranche*(FLOOR(EH$20/Taille_Tranche_KYC,1)+1))*Cout_Par_KYC_Supplementaire,(IF('01_Input'!$L$70="Forfait",IF(EH$20&gt;='01_Input'!$J$70,'01_Input'!$M$70,0),IF('01_Input'!$L$70="Palier",IF(AND(EH$20&gt;='01_Input'!$J$70,EH$20&lt;'01_Input'!$K$70),'01_Input'!$M$70,0),MAX(MIN(EH$20,'01_Input'!$K$70)-'01_Input'!$J$70,0)*'01_Input'!$M$70))+IF('01_Input'!$P$70="Forfait",IF(EH$20&gt;='01_Input'!$N$70,'01_Input'!$Q$70,0),IF('01_Input'!$P$70="Palier",IF(AND(EH$20&gt;='01_Input'!$N$70,EH$20&lt;'01_Input'!$O$70),'01_Input'!$Q$70,0),MAX(MIN(EH$20,'01_Input'!$O$70)-'01_Input'!$N$70,0)*'01_Input'!$Q$70))+IF('01_Input'!$T$70="Forfait",IF(EH$20&gt;='01_Input'!$R$70,'01_Input'!$U$70,0),IF('01_Input'!$T$70="Palier",IF(AND(EH$20&gt;='01_Input'!$R$70,EH$20&lt;'01_Input'!$S$70),'01_Input'!$U$70,0),MAX(MIN(EH$20,'01_Input'!$S$70)-'01_Input'!$R$70,0)*'01_Input'!$U$70))+IF('01_Input'!$X$70="Forfait",IF(EH$20&gt;='01_Input'!$V$70,'01_Input'!$Y$70,0),IF('01_Input'!$X$70="Palier",IF(AND(EH$20&gt;='01_Input'!$V$70,EH$20&lt;'01_Input'!$W$70),'01_Input'!$Y$70,0),MAX(MIN(EH$20,'01_Input'!$W$70)-'01_Input'!$V$70,0)*'01_Input'!$Y$70))+IF('01_Input'!$AB$70="Forfait",IF(EH$20&gt;='01_Input'!$Z$70,'01_Input'!$AC$70,0),IF('01_Input'!$AB$70="Palier",IF(AND(EH$20&gt;='01_Input'!$Z$70,EH$20&lt;'01_Input'!$AA$70),'01_Input'!$AC$70,0),MAX(MIN(EH$20,'01_Input'!$AA$70)-'01_Input'!$Z$70,0)*'01_Input'!$AC$70)))))))))</f>
        <v>0</v>
      </c>
      <c r="EI38" s="83">
        <f>IF('01_Input'!$C$70="Non",0,MIN('01_Input'!$I$70,MAX('01_Input'!$H$70,IF('01_Input'!$G$70="Résiduel vs Gestion",0,IF('01_Input'!$G$70="Taux Classe sélectionnée",Distrib_Global_Classe_Selectionnee*EI$20,IF('01_Input'!$G$70="Frais KYC (paliers de 100M€)",MAX(0,Nb_Investisseurs-Nb_KYC_Gratuites_Par_Tranche*(FLOOR(EI$20/Taille_Tranche_KYC,1)+1))*Cout_Par_KYC_Supplementaire,(IF('01_Input'!$L$70="Forfait",IF(EI$20&gt;='01_Input'!$J$70,'01_Input'!$M$70,0),IF('01_Input'!$L$70="Palier",IF(AND(EI$20&gt;='01_Input'!$J$70,EI$20&lt;'01_Input'!$K$70),'01_Input'!$M$70,0),MAX(MIN(EI$20,'01_Input'!$K$70)-'01_Input'!$J$70,0)*'01_Input'!$M$70))+IF('01_Input'!$P$70="Forfait",IF(EI$20&gt;='01_Input'!$N$70,'01_Input'!$Q$70,0),IF('01_Input'!$P$70="Palier",IF(AND(EI$20&gt;='01_Input'!$N$70,EI$20&lt;'01_Input'!$O$70),'01_Input'!$Q$70,0),MAX(MIN(EI$20,'01_Input'!$O$70)-'01_Input'!$N$70,0)*'01_Input'!$Q$70))+IF('01_Input'!$T$70="Forfait",IF(EI$20&gt;='01_Input'!$R$70,'01_Input'!$U$70,0),IF('01_Input'!$T$70="Palier",IF(AND(EI$20&gt;='01_Input'!$R$70,EI$20&lt;'01_Input'!$S$70),'01_Input'!$U$70,0),MAX(MIN(EI$20,'01_Input'!$S$70)-'01_Input'!$R$70,0)*'01_Input'!$U$70))+IF('01_Input'!$X$70="Forfait",IF(EI$20&gt;='01_Input'!$V$70,'01_Input'!$Y$70,0),IF('01_Input'!$X$70="Palier",IF(AND(EI$20&gt;='01_Input'!$V$70,EI$20&lt;'01_Input'!$W$70),'01_Input'!$Y$70,0),MAX(MIN(EI$20,'01_Input'!$W$70)-'01_Input'!$V$70,0)*'01_Input'!$Y$70))+IF('01_Input'!$AB$70="Forfait",IF(EI$20&gt;='01_Input'!$Z$70,'01_Input'!$AC$70,0),IF('01_Input'!$AB$70="Palier",IF(AND(EI$20&gt;='01_Input'!$Z$70,EI$20&lt;'01_Input'!$AA$70),'01_Input'!$AC$70,0),MAX(MIN(EI$20,'01_Input'!$AA$70)-'01_Input'!$Z$70,0)*'01_Input'!$AC$70)))))))))</f>
        <v>0</v>
      </c>
      <c r="EJ38" s="83">
        <f>IF('01_Input'!$C$70="Non",0,MIN('01_Input'!$I$70,MAX('01_Input'!$H$70,IF('01_Input'!$G$70="Résiduel vs Gestion",0,IF('01_Input'!$G$70="Taux Classe sélectionnée",Distrib_Global_Classe_Selectionnee*EJ$20,IF('01_Input'!$G$70="Frais KYC (paliers de 100M€)",MAX(0,Nb_Investisseurs-Nb_KYC_Gratuites_Par_Tranche*(FLOOR(EJ$20/Taille_Tranche_KYC,1)+1))*Cout_Par_KYC_Supplementaire,(IF('01_Input'!$L$70="Forfait",IF(EJ$20&gt;='01_Input'!$J$70,'01_Input'!$M$70,0),IF('01_Input'!$L$70="Palier",IF(AND(EJ$20&gt;='01_Input'!$J$70,EJ$20&lt;'01_Input'!$K$70),'01_Input'!$M$70,0),MAX(MIN(EJ$20,'01_Input'!$K$70)-'01_Input'!$J$70,0)*'01_Input'!$M$70))+IF('01_Input'!$P$70="Forfait",IF(EJ$20&gt;='01_Input'!$N$70,'01_Input'!$Q$70,0),IF('01_Input'!$P$70="Palier",IF(AND(EJ$20&gt;='01_Input'!$N$70,EJ$20&lt;'01_Input'!$O$70),'01_Input'!$Q$70,0),MAX(MIN(EJ$20,'01_Input'!$O$70)-'01_Input'!$N$70,0)*'01_Input'!$Q$70))+IF('01_Input'!$T$70="Forfait",IF(EJ$20&gt;='01_Input'!$R$70,'01_Input'!$U$70,0),IF('01_Input'!$T$70="Palier",IF(AND(EJ$20&gt;='01_Input'!$R$70,EJ$20&lt;'01_Input'!$S$70),'01_Input'!$U$70,0),MAX(MIN(EJ$20,'01_Input'!$S$70)-'01_Input'!$R$70,0)*'01_Input'!$U$70))+IF('01_Input'!$X$70="Forfait",IF(EJ$20&gt;='01_Input'!$V$70,'01_Input'!$Y$70,0),IF('01_Input'!$X$70="Palier",IF(AND(EJ$20&gt;='01_Input'!$V$70,EJ$20&lt;'01_Input'!$W$70),'01_Input'!$Y$70,0),MAX(MIN(EJ$20,'01_Input'!$W$70)-'01_Input'!$V$70,0)*'01_Input'!$Y$70))+IF('01_Input'!$AB$70="Forfait",IF(EJ$20&gt;='01_Input'!$Z$70,'01_Input'!$AC$70,0),IF('01_Input'!$AB$70="Palier",IF(AND(EJ$20&gt;='01_Input'!$Z$70,EJ$20&lt;'01_Input'!$AA$70),'01_Input'!$AC$70,0),MAX(MIN(EJ$20,'01_Input'!$AA$70)-'01_Input'!$Z$70,0)*'01_Input'!$AC$70)))))))))</f>
        <v>0</v>
      </c>
      <c r="EK38" s="83">
        <f>IF('01_Input'!$C$70="Non",0,MIN('01_Input'!$I$70,MAX('01_Input'!$H$70,IF('01_Input'!$G$70="Résiduel vs Gestion",0,IF('01_Input'!$G$70="Taux Classe sélectionnée",Distrib_Global_Classe_Selectionnee*EK$20,IF('01_Input'!$G$70="Frais KYC (paliers de 100M€)",MAX(0,Nb_Investisseurs-Nb_KYC_Gratuites_Par_Tranche*(FLOOR(EK$20/Taille_Tranche_KYC,1)+1))*Cout_Par_KYC_Supplementaire,(IF('01_Input'!$L$70="Forfait",IF(EK$20&gt;='01_Input'!$J$70,'01_Input'!$M$70,0),IF('01_Input'!$L$70="Palier",IF(AND(EK$20&gt;='01_Input'!$J$70,EK$20&lt;'01_Input'!$K$70),'01_Input'!$M$70,0),MAX(MIN(EK$20,'01_Input'!$K$70)-'01_Input'!$J$70,0)*'01_Input'!$M$70))+IF('01_Input'!$P$70="Forfait",IF(EK$20&gt;='01_Input'!$N$70,'01_Input'!$Q$70,0),IF('01_Input'!$P$70="Palier",IF(AND(EK$20&gt;='01_Input'!$N$70,EK$20&lt;'01_Input'!$O$70),'01_Input'!$Q$70,0),MAX(MIN(EK$20,'01_Input'!$O$70)-'01_Input'!$N$70,0)*'01_Input'!$Q$70))+IF('01_Input'!$T$70="Forfait",IF(EK$20&gt;='01_Input'!$R$70,'01_Input'!$U$70,0),IF('01_Input'!$T$70="Palier",IF(AND(EK$20&gt;='01_Input'!$R$70,EK$20&lt;'01_Input'!$S$70),'01_Input'!$U$70,0),MAX(MIN(EK$20,'01_Input'!$S$70)-'01_Input'!$R$70,0)*'01_Input'!$U$70))+IF('01_Input'!$X$70="Forfait",IF(EK$20&gt;='01_Input'!$V$70,'01_Input'!$Y$70,0),IF('01_Input'!$X$70="Palier",IF(AND(EK$20&gt;='01_Input'!$V$70,EK$20&lt;'01_Input'!$W$70),'01_Input'!$Y$70,0),MAX(MIN(EK$20,'01_Input'!$W$70)-'01_Input'!$V$70,0)*'01_Input'!$Y$70))+IF('01_Input'!$AB$70="Forfait",IF(EK$20&gt;='01_Input'!$Z$70,'01_Input'!$AC$70,0),IF('01_Input'!$AB$70="Palier",IF(AND(EK$20&gt;='01_Input'!$Z$70,EK$20&lt;'01_Input'!$AA$70),'01_Input'!$AC$70,0),MAX(MIN(EK$20,'01_Input'!$AA$70)-'01_Input'!$Z$70,0)*'01_Input'!$AC$70)))))))))</f>
        <v>0</v>
      </c>
      <c r="EL38" s="83">
        <f>IF('01_Input'!$C$70="Non",0,MIN('01_Input'!$I$70,MAX('01_Input'!$H$70,IF('01_Input'!$G$70="Résiduel vs Gestion",0,IF('01_Input'!$G$70="Taux Classe sélectionnée",Distrib_Global_Classe_Selectionnee*EL$20,IF('01_Input'!$G$70="Frais KYC (paliers de 100M€)",MAX(0,Nb_Investisseurs-Nb_KYC_Gratuites_Par_Tranche*(FLOOR(EL$20/Taille_Tranche_KYC,1)+1))*Cout_Par_KYC_Supplementaire,(IF('01_Input'!$L$70="Forfait",IF(EL$20&gt;='01_Input'!$J$70,'01_Input'!$M$70,0),IF('01_Input'!$L$70="Palier",IF(AND(EL$20&gt;='01_Input'!$J$70,EL$20&lt;'01_Input'!$K$70),'01_Input'!$M$70,0),MAX(MIN(EL$20,'01_Input'!$K$70)-'01_Input'!$J$70,0)*'01_Input'!$M$70))+IF('01_Input'!$P$70="Forfait",IF(EL$20&gt;='01_Input'!$N$70,'01_Input'!$Q$70,0),IF('01_Input'!$P$70="Palier",IF(AND(EL$20&gt;='01_Input'!$N$70,EL$20&lt;'01_Input'!$O$70),'01_Input'!$Q$70,0),MAX(MIN(EL$20,'01_Input'!$O$70)-'01_Input'!$N$70,0)*'01_Input'!$Q$70))+IF('01_Input'!$T$70="Forfait",IF(EL$20&gt;='01_Input'!$R$70,'01_Input'!$U$70,0),IF('01_Input'!$T$70="Palier",IF(AND(EL$20&gt;='01_Input'!$R$70,EL$20&lt;'01_Input'!$S$70),'01_Input'!$U$70,0),MAX(MIN(EL$20,'01_Input'!$S$70)-'01_Input'!$R$70,0)*'01_Input'!$U$70))+IF('01_Input'!$X$70="Forfait",IF(EL$20&gt;='01_Input'!$V$70,'01_Input'!$Y$70,0),IF('01_Input'!$X$70="Palier",IF(AND(EL$20&gt;='01_Input'!$V$70,EL$20&lt;'01_Input'!$W$70),'01_Input'!$Y$70,0),MAX(MIN(EL$20,'01_Input'!$W$70)-'01_Input'!$V$70,0)*'01_Input'!$Y$70))+IF('01_Input'!$AB$70="Forfait",IF(EL$20&gt;='01_Input'!$Z$70,'01_Input'!$AC$70,0),IF('01_Input'!$AB$70="Palier",IF(AND(EL$20&gt;='01_Input'!$Z$70,EL$20&lt;'01_Input'!$AA$70),'01_Input'!$AC$70,0),MAX(MIN(EL$20,'01_Input'!$AA$70)-'01_Input'!$Z$70,0)*'01_Input'!$AC$70)))))))))</f>
        <v>0</v>
      </c>
      <c r="EM38" s="83">
        <f>IF('01_Input'!$C$70="Non",0,MIN('01_Input'!$I$70,MAX('01_Input'!$H$70,IF('01_Input'!$G$70="Résiduel vs Gestion",0,IF('01_Input'!$G$70="Taux Classe sélectionnée",Distrib_Global_Classe_Selectionnee*EM$20,IF('01_Input'!$G$70="Frais KYC (paliers de 100M€)",MAX(0,Nb_Investisseurs-Nb_KYC_Gratuites_Par_Tranche*(FLOOR(EM$20/Taille_Tranche_KYC,1)+1))*Cout_Par_KYC_Supplementaire,(IF('01_Input'!$L$70="Forfait",IF(EM$20&gt;='01_Input'!$J$70,'01_Input'!$M$70,0),IF('01_Input'!$L$70="Palier",IF(AND(EM$20&gt;='01_Input'!$J$70,EM$20&lt;'01_Input'!$K$70),'01_Input'!$M$70,0),MAX(MIN(EM$20,'01_Input'!$K$70)-'01_Input'!$J$70,0)*'01_Input'!$M$70))+IF('01_Input'!$P$70="Forfait",IF(EM$20&gt;='01_Input'!$N$70,'01_Input'!$Q$70,0),IF('01_Input'!$P$70="Palier",IF(AND(EM$20&gt;='01_Input'!$N$70,EM$20&lt;'01_Input'!$O$70),'01_Input'!$Q$70,0),MAX(MIN(EM$20,'01_Input'!$O$70)-'01_Input'!$N$70,0)*'01_Input'!$Q$70))+IF('01_Input'!$T$70="Forfait",IF(EM$20&gt;='01_Input'!$R$70,'01_Input'!$U$70,0),IF('01_Input'!$T$70="Palier",IF(AND(EM$20&gt;='01_Input'!$R$70,EM$20&lt;'01_Input'!$S$70),'01_Input'!$U$70,0),MAX(MIN(EM$20,'01_Input'!$S$70)-'01_Input'!$R$70,0)*'01_Input'!$U$70))+IF('01_Input'!$X$70="Forfait",IF(EM$20&gt;='01_Input'!$V$70,'01_Input'!$Y$70,0),IF('01_Input'!$X$70="Palier",IF(AND(EM$20&gt;='01_Input'!$V$70,EM$20&lt;'01_Input'!$W$70),'01_Input'!$Y$70,0),MAX(MIN(EM$20,'01_Input'!$W$70)-'01_Input'!$V$70,0)*'01_Input'!$Y$70))+IF('01_Input'!$AB$70="Forfait",IF(EM$20&gt;='01_Input'!$Z$70,'01_Input'!$AC$70,0),IF('01_Input'!$AB$70="Palier",IF(AND(EM$20&gt;='01_Input'!$Z$70,EM$20&lt;'01_Input'!$AA$70),'01_Input'!$AC$70,0),MAX(MIN(EM$20,'01_Input'!$AA$70)-'01_Input'!$Z$70,0)*'01_Input'!$AC$70)))))))))</f>
        <v>0</v>
      </c>
      <c r="EN38" s="83">
        <f>IF('01_Input'!$C$70="Non",0,MIN('01_Input'!$I$70,MAX('01_Input'!$H$70,IF('01_Input'!$G$70="Résiduel vs Gestion",0,IF('01_Input'!$G$70="Taux Classe sélectionnée",Distrib_Global_Classe_Selectionnee*EN$20,IF('01_Input'!$G$70="Frais KYC (paliers de 100M€)",MAX(0,Nb_Investisseurs-Nb_KYC_Gratuites_Par_Tranche*(FLOOR(EN$20/Taille_Tranche_KYC,1)+1))*Cout_Par_KYC_Supplementaire,(IF('01_Input'!$L$70="Forfait",IF(EN$20&gt;='01_Input'!$J$70,'01_Input'!$M$70,0),IF('01_Input'!$L$70="Palier",IF(AND(EN$20&gt;='01_Input'!$J$70,EN$20&lt;'01_Input'!$K$70),'01_Input'!$M$70,0),MAX(MIN(EN$20,'01_Input'!$K$70)-'01_Input'!$J$70,0)*'01_Input'!$M$70))+IF('01_Input'!$P$70="Forfait",IF(EN$20&gt;='01_Input'!$N$70,'01_Input'!$Q$70,0),IF('01_Input'!$P$70="Palier",IF(AND(EN$20&gt;='01_Input'!$N$70,EN$20&lt;'01_Input'!$O$70),'01_Input'!$Q$70,0),MAX(MIN(EN$20,'01_Input'!$O$70)-'01_Input'!$N$70,0)*'01_Input'!$Q$70))+IF('01_Input'!$T$70="Forfait",IF(EN$20&gt;='01_Input'!$R$70,'01_Input'!$U$70,0),IF('01_Input'!$T$70="Palier",IF(AND(EN$20&gt;='01_Input'!$R$70,EN$20&lt;'01_Input'!$S$70),'01_Input'!$U$70,0),MAX(MIN(EN$20,'01_Input'!$S$70)-'01_Input'!$R$70,0)*'01_Input'!$U$70))+IF('01_Input'!$X$70="Forfait",IF(EN$20&gt;='01_Input'!$V$70,'01_Input'!$Y$70,0),IF('01_Input'!$X$70="Palier",IF(AND(EN$20&gt;='01_Input'!$V$70,EN$20&lt;'01_Input'!$W$70),'01_Input'!$Y$70,0),MAX(MIN(EN$20,'01_Input'!$W$70)-'01_Input'!$V$70,0)*'01_Input'!$Y$70))+IF('01_Input'!$AB$70="Forfait",IF(EN$20&gt;='01_Input'!$Z$70,'01_Input'!$AC$70,0),IF('01_Input'!$AB$70="Palier",IF(AND(EN$20&gt;='01_Input'!$Z$70,EN$20&lt;'01_Input'!$AA$70),'01_Input'!$AC$70,0),MAX(MIN(EN$20,'01_Input'!$AA$70)-'01_Input'!$Z$70,0)*'01_Input'!$AC$70)))))))))</f>
        <v>0</v>
      </c>
      <c r="EO38" s="83">
        <f>IF('01_Input'!$C$70="Non",0,MIN('01_Input'!$I$70,MAX('01_Input'!$H$70,IF('01_Input'!$G$70="Résiduel vs Gestion",0,IF('01_Input'!$G$70="Taux Classe sélectionnée",Distrib_Global_Classe_Selectionnee*EO$20,IF('01_Input'!$G$70="Frais KYC (paliers de 100M€)",MAX(0,Nb_Investisseurs-Nb_KYC_Gratuites_Par_Tranche*(FLOOR(EO$20/Taille_Tranche_KYC,1)+1))*Cout_Par_KYC_Supplementaire,(IF('01_Input'!$L$70="Forfait",IF(EO$20&gt;='01_Input'!$J$70,'01_Input'!$M$70,0),IF('01_Input'!$L$70="Palier",IF(AND(EO$20&gt;='01_Input'!$J$70,EO$20&lt;'01_Input'!$K$70),'01_Input'!$M$70,0),MAX(MIN(EO$20,'01_Input'!$K$70)-'01_Input'!$J$70,0)*'01_Input'!$M$70))+IF('01_Input'!$P$70="Forfait",IF(EO$20&gt;='01_Input'!$N$70,'01_Input'!$Q$70,0),IF('01_Input'!$P$70="Palier",IF(AND(EO$20&gt;='01_Input'!$N$70,EO$20&lt;'01_Input'!$O$70),'01_Input'!$Q$70,0),MAX(MIN(EO$20,'01_Input'!$O$70)-'01_Input'!$N$70,0)*'01_Input'!$Q$70))+IF('01_Input'!$T$70="Forfait",IF(EO$20&gt;='01_Input'!$R$70,'01_Input'!$U$70,0),IF('01_Input'!$T$70="Palier",IF(AND(EO$20&gt;='01_Input'!$R$70,EO$20&lt;'01_Input'!$S$70),'01_Input'!$U$70,0),MAX(MIN(EO$20,'01_Input'!$S$70)-'01_Input'!$R$70,0)*'01_Input'!$U$70))+IF('01_Input'!$X$70="Forfait",IF(EO$20&gt;='01_Input'!$V$70,'01_Input'!$Y$70,0),IF('01_Input'!$X$70="Palier",IF(AND(EO$20&gt;='01_Input'!$V$70,EO$20&lt;'01_Input'!$W$70),'01_Input'!$Y$70,0),MAX(MIN(EO$20,'01_Input'!$W$70)-'01_Input'!$V$70,0)*'01_Input'!$Y$70))+IF('01_Input'!$AB$70="Forfait",IF(EO$20&gt;='01_Input'!$Z$70,'01_Input'!$AC$70,0),IF('01_Input'!$AB$70="Palier",IF(AND(EO$20&gt;='01_Input'!$Z$70,EO$20&lt;'01_Input'!$AA$70),'01_Input'!$AC$70,0),MAX(MIN(EO$20,'01_Input'!$AA$70)-'01_Input'!$Z$70,0)*'01_Input'!$AC$70)))))))))</f>
        <v>0</v>
      </c>
      <c r="EP38" s="83">
        <f>IF('01_Input'!$C$70="Non",0,MIN('01_Input'!$I$70,MAX('01_Input'!$H$70,IF('01_Input'!$G$70="Résiduel vs Gestion",0,IF('01_Input'!$G$70="Taux Classe sélectionnée",Distrib_Global_Classe_Selectionnee*EP$20,IF('01_Input'!$G$70="Frais KYC (paliers de 100M€)",MAX(0,Nb_Investisseurs-Nb_KYC_Gratuites_Par_Tranche*(FLOOR(EP$20/Taille_Tranche_KYC,1)+1))*Cout_Par_KYC_Supplementaire,(IF('01_Input'!$L$70="Forfait",IF(EP$20&gt;='01_Input'!$J$70,'01_Input'!$M$70,0),IF('01_Input'!$L$70="Palier",IF(AND(EP$20&gt;='01_Input'!$J$70,EP$20&lt;'01_Input'!$K$70),'01_Input'!$M$70,0),MAX(MIN(EP$20,'01_Input'!$K$70)-'01_Input'!$J$70,0)*'01_Input'!$M$70))+IF('01_Input'!$P$70="Forfait",IF(EP$20&gt;='01_Input'!$N$70,'01_Input'!$Q$70,0),IF('01_Input'!$P$70="Palier",IF(AND(EP$20&gt;='01_Input'!$N$70,EP$20&lt;'01_Input'!$O$70),'01_Input'!$Q$70,0),MAX(MIN(EP$20,'01_Input'!$O$70)-'01_Input'!$N$70,0)*'01_Input'!$Q$70))+IF('01_Input'!$T$70="Forfait",IF(EP$20&gt;='01_Input'!$R$70,'01_Input'!$U$70,0),IF('01_Input'!$T$70="Palier",IF(AND(EP$20&gt;='01_Input'!$R$70,EP$20&lt;'01_Input'!$S$70),'01_Input'!$U$70,0),MAX(MIN(EP$20,'01_Input'!$S$70)-'01_Input'!$R$70,0)*'01_Input'!$U$70))+IF('01_Input'!$X$70="Forfait",IF(EP$20&gt;='01_Input'!$V$70,'01_Input'!$Y$70,0),IF('01_Input'!$X$70="Palier",IF(AND(EP$20&gt;='01_Input'!$V$70,EP$20&lt;'01_Input'!$W$70),'01_Input'!$Y$70,0),MAX(MIN(EP$20,'01_Input'!$W$70)-'01_Input'!$V$70,0)*'01_Input'!$Y$70))+IF('01_Input'!$AB$70="Forfait",IF(EP$20&gt;='01_Input'!$Z$70,'01_Input'!$AC$70,0),IF('01_Input'!$AB$70="Palier",IF(AND(EP$20&gt;='01_Input'!$Z$70,EP$20&lt;'01_Input'!$AA$70),'01_Input'!$AC$70,0),MAX(MIN(EP$20,'01_Input'!$AA$70)-'01_Input'!$Z$70,0)*'01_Input'!$AC$70)))))))))</f>
        <v>0</v>
      </c>
      <c r="EQ38" s="83">
        <f>IF('01_Input'!$C$70="Non",0,MIN('01_Input'!$I$70,MAX('01_Input'!$H$70,IF('01_Input'!$G$70="Résiduel vs Gestion",0,IF('01_Input'!$G$70="Taux Classe sélectionnée",Distrib_Global_Classe_Selectionnee*EQ$20,IF('01_Input'!$G$70="Frais KYC (paliers de 100M€)",MAX(0,Nb_Investisseurs-Nb_KYC_Gratuites_Par_Tranche*(FLOOR(EQ$20/Taille_Tranche_KYC,1)+1))*Cout_Par_KYC_Supplementaire,(IF('01_Input'!$L$70="Forfait",IF(EQ$20&gt;='01_Input'!$J$70,'01_Input'!$M$70,0),IF('01_Input'!$L$70="Palier",IF(AND(EQ$20&gt;='01_Input'!$J$70,EQ$20&lt;'01_Input'!$K$70),'01_Input'!$M$70,0),MAX(MIN(EQ$20,'01_Input'!$K$70)-'01_Input'!$J$70,0)*'01_Input'!$M$70))+IF('01_Input'!$P$70="Forfait",IF(EQ$20&gt;='01_Input'!$N$70,'01_Input'!$Q$70,0),IF('01_Input'!$P$70="Palier",IF(AND(EQ$20&gt;='01_Input'!$N$70,EQ$20&lt;'01_Input'!$O$70),'01_Input'!$Q$70,0),MAX(MIN(EQ$20,'01_Input'!$O$70)-'01_Input'!$N$70,0)*'01_Input'!$Q$70))+IF('01_Input'!$T$70="Forfait",IF(EQ$20&gt;='01_Input'!$R$70,'01_Input'!$U$70,0),IF('01_Input'!$T$70="Palier",IF(AND(EQ$20&gt;='01_Input'!$R$70,EQ$20&lt;'01_Input'!$S$70),'01_Input'!$U$70,0),MAX(MIN(EQ$20,'01_Input'!$S$70)-'01_Input'!$R$70,0)*'01_Input'!$U$70))+IF('01_Input'!$X$70="Forfait",IF(EQ$20&gt;='01_Input'!$V$70,'01_Input'!$Y$70,0),IF('01_Input'!$X$70="Palier",IF(AND(EQ$20&gt;='01_Input'!$V$70,EQ$20&lt;'01_Input'!$W$70),'01_Input'!$Y$70,0),MAX(MIN(EQ$20,'01_Input'!$W$70)-'01_Input'!$V$70,0)*'01_Input'!$Y$70))+IF('01_Input'!$AB$70="Forfait",IF(EQ$20&gt;='01_Input'!$Z$70,'01_Input'!$AC$70,0),IF('01_Input'!$AB$70="Palier",IF(AND(EQ$20&gt;='01_Input'!$Z$70,EQ$20&lt;'01_Input'!$AA$70),'01_Input'!$AC$70,0),MAX(MIN(EQ$20,'01_Input'!$AA$70)-'01_Input'!$Z$70,0)*'01_Input'!$AC$70)))))))))</f>
        <v>0</v>
      </c>
      <c r="ER38" s="83">
        <f>IF('01_Input'!$C$70="Non",0,MIN('01_Input'!$I$70,MAX('01_Input'!$H$70,IF('01_Input'!$G$70="Résiduel vs Gestion",0,IF('01_Input'!$G$70="Taux Classe sélectionnée",Distrib_Global_Classe_Selectionnee*ER$20,IF('01_Input'!$G$70="Frais KYC (paliers de 100M€)",MAX(0,Nb_Investisseurs-Nb_KYC_Gratuites_Par_Tranche*(FLOOR(ER$20/Taille_Tranche_KYC,1)+1))*Cout_Par_KYC_Supplementaire,(IF('01_Input'!$L$70="Forfait",IF(ER$20&gt;='01_Input'!$J$70,'01_Input'!$M$70,0),IF('01_Input'!$L$70="Palier",IF(AND(ER$20&gt;='01_Input'!$J$70,ER$20&lt;'01_Input'!$K$70),'01_Input'!$M$70,0),MAX(MIN(ER$20,'01_Input'!$K$70)-'01_Input'!$J$70,0)*'01_Input'!$M$70))+IF('01_Input'!$P$70="Forfait",IF(ER$20&gt;='01_Input'!$N$70,'01_Input'!$Q$70,0),IF('01_Input'!$P$70="Palier",IF(AND(ER$20&gt;='01_Input'!$N$70,ER$20&lt;'01_Input'!$O$70),'01_Input'!$Q$70,0),MAX(MIN(ER$20,'01_Input'!$O$70)-'01_Input'!$N$70,0)*'01_Input'!$Q$70))+IF('01_Input'!$T$70="Forfait",IF(ER$20&gt;='01_Input'!$R$70,'01_Input'!$U$70,0),IF('01_Input'!$T$70="Palier",IF(AND(ER$20&gt;='01_Input'!$R$70,ER$20&lt;'01_Input'!$S$70),'01_Input'!$U$70,0),MAX(MIN(ER$20,'01_Input'!$S$70)-'01_Input'!$R$70,0)*'01_Input'!$U$70))+IF('01_Input'!$X$70="Forfait",IF(ER$20&gt;='01_Input'!$V$70,'01_Input'!$Y$70,0),IF('01_Input'!$X$70="Palier",IF(AND(ER$20&gt;='01_Input'!$V$70,ER$20&lt;'01_Input'!$W$70),'01_Input'!$Y$70,0),MAX(MIN(ER$20,'01_Input'!$W$70)-'01_Input'!$V$70,0)*'01_Input'!$Y$70))+IF('01_Input'!$AB$70="Forfait",IF(ER$20&gt;='01_Input'!$Z$70,'01_Input'!$AC$70,0),IF('01_Input'!$AB$70="Palier",IF(AND(ER$20&gt;='01_Input'!$Z$70,ER$20&lt;'01_Input'!$AA$70),'01_Input'!$AC$70,0),MAX(MIN(ER$20,'01_Input'!$AA$70)-'01_Input'!$Z$70,0)*'01_Input'!$AC$70)))))))))</f>
        <v>0</v>
      </c>
      <c r="ES38" s="83">
        <f>IF('01_Input'!$C$70="Non",0,MIN('01_Input'!$I$70,MAX('01_Input'!$H$70,IF('01_Input'!$G$70="Résiduel vs Gestion",0,IF('01_Input'!$G$70="Taux Classe sélectionnée",Distrib_Global_Classe_Selectionnee*ES$20,IF('01_Input'!$G$70="Frais KYC (paliers de 100M€)",MAX(0,Nb_Investisseurs-Nb_KYC_Gratuites_Par_Tranche*(FLOOR(ES$20/Taille_Tranche_KYC,1)+1))*Cout_Par_KYC_Supplementaire,(IF('01_Input'!$L$70="Forfait",IF(ES$20&gt;='01_Input'!$J$70,'01_Input'!$M$70,0),IF('01_Input'!$L$70="Palier",IF(AND(ES$20&gt;='01_Input'!$J$70,ES$20&lt;'01_Input'!$K$70),'01_Input'!$M$70,0),MAX(MIN(ES$20,'01_Input'!$K$70)-'01_Input'!$J$70,0)*'01_Input'!$M$70))+IF('01_Input'!$P$70="Forfait",IF(ES$20&gt;='01_Input'!$N$70,'01_Input'!$Q$70,0),IF('01_Input'!$P$70="Palier",IF(AND(ES$20&gt;='01_Input'!$N$70,ES$20&lt;'01_Input'!$O$70),'01_Input'!$Q$70,0),MAX(MIN(ES$20,'01_Input'!$O$70)-'01_Input'!$N$70,0)*'01_Input'!$Q$70))+IF('01_Input'!$T$70="Forfait",IF(ES$20&gt;='01_Input'!$R$70,'01_Input'!$U$70,0),IF('01_Input'!$T$70="Palier",IF(AND(ES$20&gt;='01_Input'!$R$70,ES$20&lt;'01_Input'!$S$70),'01_Input'!$U$70,0),MAX(MIN(ES$20,'01_Input'!$S$70)-'01_Input'!$R$70,0)*'01_Input'!$U$70))+IF('01_Input'!$X$70="Forfait",IF(ES$20&gt;='01_Input'!$V$70,'01_Input'!$Y$70,0),IF('01_Input'!$X$70="Palier",IF(AND(ES$20&gt;='01_Input'!$V$70,ES$20&lt;'01_Input'!$W$70),'01_Input'!$Y$70,0),MAX(MIN(ES$20,'01_Input'!$W$70)-'01_Input'!$V$70,0)*'01_Input'!$Y$70))+IF('01_Input'!$AB$70="Forfait",IF(ES$20&gt;='01_Input'!$Z$70,'01_Input'!$AC$70,0),IF('01_Input'!$AB$70="Palier",IF(AND(ES$20&gt;='01_Input'!$Z$70,ES$20&lt;'01_Input'!$AA$70),'01_Input'!$AC$70,0),MAX(MIN(ES$20,'01_Input'!$AA$70)-'01_Input'!$Z$70,0)*'01_Input'!$AC$70)))))))))</f>
        <v>0</v>
      </c>
      <c r="ET38" s="83">
        <f>IF('01_Input'!$C$70="Non",0,MIN('01_Input'!$I$70,MAX('01_Input'!$H$70,IF('01_Input'!$G$70="Résiduel vs Gestion",0,IF('01_Input'!$G$70="Taux Classe sélectionnée",Distrib_Global_Classe_Selectionnee*ET$20,IF('01_Input'!$G$70="Frais KYC (paliers de 100M€)",MAX(0,Nb_Investisseurs-Nb_KYC_Gratuites_Par_Tranche*(FLOOR(ET$20/Taille_Tranche_KYC,1)+1))*Cout_Par_KYC_Supplementaire,(IF('01_Input'!$L$70="Forfait",IF(ET$20&gt;='01_Input'!$J$70,'01_Input'!$M$70,0),IF('01_Input'!$L$70="Palier",IF(AND(ET$20&gt;='01_Input'!$J$70,ET$20&lt;'01_Input'!$K$70),'01_Input'!$M$70,0),MAX(MIN(ET$20,'01_Input'!$K$70)-'01_Input'!$J$70,0)*'01_Input'!$M$70))+IF('01_Input'!$P$70="Forfait",IF(ET$20&gt;='01_Input'!$N$70,'01_Input'!$Q$70,0),IF('01_Input'!$P$70="Palier",IF(AND(ET$20&gt;='01_Input'!$N$70,ET$20&lt;'01_Input'!$O$70),'01_Input'!$Q$70,0),MAX(MIN(ET$20,'01_Input'!$O$70)-'01_Input'!$N$70,0)*'01_Input'!$Q$70))+IF('01_Input'!$T$70="Forfait",IF(ET$20&gt;='01_Input'!$R$70,'01_Input'!$U$70,0),IF('01_Input'!$T$70="Palier",IF(AND(ET$20&gt;='01_Input'!$R$70,ET$20&lt;'01_Input'!$S$70),'01_Input'!$U$70,0),MAX(MIN(ET$20,'01_Input'!$S$70)-'01_Input'!$R$70,0)*'01_Input'!$U$70))+IF('01_Input'!$X$70="Forfait",IF(ET$20&gt;='01_Input'!$V$70,'01_Input'!$Y$70,0),IF('01_Input'!$X$70="Palier",IF(AND(ET$20&gt;='01_Input'!$V$70,ET$20&lt;'01_Input'!$W$70),'01_Input'!$Y$70,0),MAX(MIN(ET$20,'01_Input'!$W$70)-'01_Input'!$V$70,0)*'01_Input'!$Y$70))+IF('01_Input'!$AB$70="Forfait",IF(ET$20&gt;='01_Input'!$Z$70,'01_Input'!$AC$70,0),IF('01_Input'!$AB$70="Palier",IF(AND(ET$20&gt;='01_Input'!$Z$70,ET$20&lt;'01_Input'!$AA$70),'01_Input'!$AC$70,0),MAX(MIN(ET$20,'01_Input'!$AA$70)-'01_Input'!$Z$70,0)*'01_Input'!$AC$70)))))))))</f>
        <v>0</v>
      </c>
      <c r="EU38" s="83">
        <f>IF('01_Input'!$C$70="Non",0,MIN('01_Input'!$I$70,MAX('01_Input'!$H$70,IF('01_Input'!$G$70="Résiduel vs Gestion",0,IF('01_Input'!$G$70="Taux Classe sélectionnée",Distrib_Global_Classe_Selectionnee*EU$20,IF('01_Input'!$G$70="Frais KYC (paliers de 100M€)",MAX(0,Nb_Investisseurs-Nb_KYC_Gratuites_Par_Tranche*(FLOOR(EU$20/Taille_Tranche_KYC,1)+1))*Cout_Par_KYC_Supplementaire,(IF('01_Input'!$L$70="Forfait",IF(EU$20&gt;='01_Input'!$J$70,'01_Input'!$M$70,0),IF('01_Input'!$L$70="Palier",IF(AND(EU$20&gt;='01_Input'!$J$70,EU$20&lt;'01_Input'!$K$70),'01_Input'!$M$70,0),MAX(MIN(EU$20,'01_Input'!$K$70)-'01_Input'!$J$70,0)*'01_Input'!$M$70))+IF('01_Input'!$P$70="Forfait",IF(EU$20&gt;='01_Input'!$N$70,'01_Input'!$Q$70,0),IF('01_Input'!$P$70="Palier",IF(AND(EU$20&gt;='01_Input'!$N$70,EU$20&lt;'01_Input'!$O$70),'01_Input'!$Q$70,0),MAX(MIN(EU$20,'01_Input'!$O$70)-'01_Input'!$N$70,0)*'01_Input'!$Q$70))+IF('01_Input'!$T$70="Forfait",IF(EU$20&gt;='01_Input'!$R$70,'01_Input'!$U$70,0),IF('01_Input'!$T$70="Palier",IF(AND(EU$20&gt;='01_Input'!$R$70,EU$20&lt;'01_Input'!$S$70),'01_Input'!$U$70,0),MAX(MIN(EU$20,'01_Input'!$S$70)-'01_Input'!$R$70,0)*'01_Input'!$U$70))+IF('01_Input'!$X$70="Forfait",IF(EU$20&gt;='01_Input'!$V$70,'01_Input'!$Y$70,0),IF('01_Input'!$X$70="Palier",IF(AND(EU$20&gt;='01_Input'!$V$70,EU$20&lt;'01_Input'!$W$70),'01_Input'!$Y$70,0),MAX(MIN(EU$20,'01_Input'!$W$70)-'01_Input'!$V$70,0)*'01_Input'!$Y$70))+IF('01_Input'!$AB$70="Forfait",IF(EU$20&gt;='01_Input'!$Z$70,'01_Input'!$AC$70,0),IF('01_Input'!$AB$70="Palier",IF(AND(EU$20&gt;='01_Input'!$Z$70,EU$20&lt;'01_Input'!$AA$70),'01_Input'!$AC$70,0),MAX(MIN(EU$20,'01_Input'!$AA$70)-'01_Input'!$Z$70,0)*'01_Input'!$AC$70)))))))))</f>
        <v>0</v>
      </c>
      <c r="EV38" s="83">
        <f>IF('01_Input'!$C$70="Non",0,MIN('01_Input'!$I$70,MAX('01_Input'!$H$70,IF('01_Input'!$G$70="Résiduel vs Gestion",0,IF('01_Input'!$G$70="Taux Classe sélectionnée",Distrib_Global_Classe_Selectionnee*EV$20,IF('01_Input'!$G$70="Frais KYC (paliers de 100M€)",MAX(0,Nb_Investisseurs-Nb_KYC_Gratuites_Par_Tranche*(FLOOR(EV$20/Taille_Tranche_KYC,1)+1))*Cout_Par_KYC_Supplementaire,(IF('01_Input'!$L$70="Forfait",IF(EV$20&gt;='01_Input'!$J$70,'01_Input'!$M$70,0),IF('01_Input'!$L$70="Palier",IF(AND(EV$20&gt;='01_Input'!$J$70,EV$20&lt;'01_Input'!$K$70),'01_Input'!$M$70,0),MAX(MIN(EV$20,'01_Input'!$K$70)-'01_Input'!$J$70,0)*'01_Input'!$M$70))+IF('01_Input'!$P$70="Forfait",IF(EV$20&gt;='01_Input'!$N$70,'01_Input'!$Q$70,0),IF('01_Input'!$P$70="Palier",IF(AND(EV$20&gt;='01_Input'!$N$70,EV$20&lt;'01_Input'!$O$70),'01_Input'!$Q$70,0),MAX(MIN(EV$20,'01_Input'!$O$70)-'01_Input'!$N$70,0)*'01_Input'!$Q$70))+IF('01_Input'!$T$70="Forfait",IF(EV$20&gt;='01_Input'!$R$70,'01_Input'!$U$70,0),IF('01_Input'!$T$70="Palier",IF(AND(EV$20&gt;='01_Input'!$R$70,EV$20&lt;'01_Input'!$S$70),'01_Input'!$U$70,0),MAX(MIN(EV$20,'01_Input'!$S$70)-'01_Input'!$R$70,0)*'01_Input'!$U$70))+IF('01_Input'!$X$70="Forfait",IF(EV$20&gt;='01_Input'!$V$70,'01_Input'!$Y$70,0),IF('01_Input'!$X$70="Palier",IF(AND(EV$20&gt;='01_Input'!$V$70,EV$20&lt;'01_Input'!$W$70),'01_Input'!$Y$70,0),MAX(MIN(EV$20,'01_Input'!$W$70)-'01_Input'!$V$70,0)*'01_Input'!$Y$70))+IF('01_Input'!$AB$70="Forfait",IF(EV$20&gt;='01_Input'!$Z$70,'01_Input'!$AC$70,0),IF('01_Input'!$AB$70="Palier",IF(AND(EV$20&gt;='01_Input'!$Z$70,EV$20&lt;'01_Input'!$AA$70),'01_Input'!$AC$70,0),MAX(MIN(EV$20,'01_Input'!$AA$70)-'01_Input'!$Z$70,0)*'01_Input'!$AC$70)))))))))</f>
        <v>0</v>
      </c>
      <c r="EW38" s="83">
        <f>IF('01_Input'!$C$70="Non",0,MIN('01_Input'!$I$70,MAX('01_Input'!$H$70,IF('01_Input'!$G$70="Résiduel vs Gestion",0,IF('01_Input'!$G$70="Taux Classe sélectionnée",Distrib_Global_Classe_Selectionnee*EW$20,IF('01_Input'!$G$70="Frais KYC (paliers de 100M€)",MAX(0,Nb_Investisseurs-Nb_KYC_Gratuites_Par_Tranche*(FLOOR(EW$20/Taille_Tranche_KYC,1)+1))*Cout_Par_KYC_Supplementaire,(IF('01_Input'!$L$70="Forfait",IF(EW$20&gt;='01_Input'!$J$70,'01_Input'!$M$70,0),IF('01_Input'!$L$70="Palier",IF(AND(EW$20&gt;='01_Input'!$J$70,EW$20&lt;'01_Input'!$K$70),'01_Input'!$M$70,0),MAX(MIN(EW$20,'01_Input'!$K$70)-'01_Input'!$J$70,0)*'01_Input'!$M$70))+IF('01_Input'!$P$70="Forfait",IF(EW$20&gt;='01_Input'!$N$70,'01_Input'!$Q$70,0),IF('01_Input'!$P$70="Palier",IF(AND(EW$20&gt;='01_Input'!$N$70,EW$20&lt;'01_Input'!$O$70),'01_Input'!$Q$70,0),MAX(MIN(EW$20,'01_Input'!$O$70)-'01_Input'!$N$70,0)*'01_Input'!$Q$70))+IF('01_Input'!$T$70="Forfait",IF(EW$20&gt;='01_Input'!$R$70,'01_Input'!$U$70,0),IF('01_Input'!$T$70="Palier",IF(AND(EW$20&gt;='01_Input'!$R$70,EW$20&lt;'01_Input'!$S$70),'01_Input'!$U$70,0),MAX(MIN(EW$20,'01_Input'!$S$70)-'01_Input'!$R$70,0)*'01_Input'!$U$70))+IF('01_Input'!$X$70="Forfait",IF(EW$20&gt;='01_Input'!$V$70,'01_Input'!$Y$70,0),IF('01_Input'!$X$70="Palier",IF(AND(EW$20&gt;='01_Input'!$V$70,EW$20&lt;'01_Input'!$W$70),'01_Input'!$Y$70,0),MAX(MIN(EW$20,'01_Input'!$W$70)-'01_Input'!$V$70,0)*'01_Input'!$Y$70))+IF('01_Input'!$AB$70="Forfait",IF(EW$20&gt;='01_Input'!$Z$70,'01_Input'!$AC$70,0),IF('01_Input'!$AB$70="Palier",IF(AND(EW$20&gt;='01_Input'!$Z$70,EW$20&lt;'01_Input'!$AA$70),'01_Input'!$AC$70,0),MAX(MIN(EW$20,'01_Input'!$AA$70)-'01_Input'!$Z$70,0)*'01_Input'!$AC$70)))))))))</f>
        <v>0</v>
      </c>
      <c r="EX38" s="83">
        <f>IF('01_Input'!$C$70="Non",0,MIN('01_Input'!$I$70,MAX('01_Input'!$H$70,IF('01_Input'!$G$70="Résiduel vs Gestion",0,IF('01_Input'!$G$70="Taux Classe sélectionnée",Distrib_Global_Classe_Selectionnee*EX$20,IF('01_Input'!$G$70="Frais KYC (paliers de 100M€)",MAX(0,Nb_Investisseurs-Nb_KYC_Gratuites_Par_Tranche*(FLOOR(EX$20/Taille_Tranche_KYC,1)+1))*Cout_Par_KYC_Supplementaire,(IF('01_Input'!$L$70="Forfait",IF(EX$20&gt;='01_Input'!$J$70,'01_Input'!$M$70,0),IF('01_Input'!$L$70="Palier",IF(AND(EX$20&gt;='01_Input'!$J$70,EX$20&lt;'01_Input'!$K$70),'01_Input'!$M$70,0),MAX(MIN(EX$20,'01_Input'!$K$70)-'01_Input'!$J$70,0)*'01_Input'!$M$70))+IF('01_Input'!$P$70="Forfait",IF(EX$20&gt;='01_Input'!$N$70,'01_Input'!$Q$70,0),IF('01_Input'!$P$70="Palier",IF(AND(EX$20&gt;='01_Input'!$N$70,EX$20&lt;'01_Input'!$O$70),'01_Input'!$Q$70,0),MAX(MIN(EX$20,'01_Input'!$O$70)-'01_Input'!$N$70,0)*'01_Input'!$Q$70))+IF('01_Input'!$T$70="Forfait",IF(EX$20&gt;='01_Input'!$R$70,'01_Input'!$U$70,0),IF('01_Input'!$T$70="Palier",IF(AND(EX$20&gt;='01_Input'!$R$70,EX$20&lt;'01_Input'!$S$70),'01_Input'!$U$70,0),MAX(MIN(EX$20,'01_Input'!$S$70)-'01_Input'!$R$70,0)*'01_Input'!$U$70))+IF('01_Input'!$X$70="Forfait",IF(EX$20&gt;='01_Input'!$V$70,'01_Input'!$Y$70,0),IF('01_Input'!$X$70="Palier",IF(AND(EX$20&gt;='01_Input'!$V$70,EX$20&lt;'01_Input'!$W$70),'01_Input'!$Y$70,0),MAX(MIN(EX$20,'01_Input'!$W$70)-'01_Input'!$V$70,0)*'01_Input'!$Y$70))+IF('01_Input'!$AB$70="Forfait",IF(EX$20&gt;='01_Input'!$Z$70,'01_Input'!$AC$70,0),IF('01_Input'!$AB$70="Palier",IF(AND(EX$20&gt;='01_Input'!$Z$70,EX$20&lt;'01_Input'!$AA$70),'01_Input'!$AC$70,0),MAX(MIN(EX$20,'01_Input'!$AA$70)-'01_Input'!$Z$70,0)*'01_Input'!$AC$70)))))))))</f>
        <v>0</v>
      </c>
    </row>
    <row r="39" ht="15.75" customHeight="1">
      <c r="B39" s="40" t="str">
        <f>IF('01_Input'!D71="","(inactif)",'01_Input'!D71)</f>
        <v>(inactif)</v>
      </c>
      <c r="C39" s="40" t="str">
        <f>IF('01_Input'!E71="","",'01_Input'!E71)</f>
        <v/>
      </c>
      <c r="D39" s="51" t="str">
        <f>'01_Input'!C71</f>
        <v>Non</v>
      </c>
      <c r="E39" s="25">
        <f>IF('01_Input'!$C$71="Non",0,MIN('01_Input'!$I$71,MAX('01_Input'!$H$71,IF('01_Input'!$G$71="Résiduel vs Gestion",0,IF('01_Input'!$G$71="Taux Classe sélectionnée",Distrib_Global_Classe_Selectionnee*E$20,IF('01_Input'!$G$71="Frais KYC (paliers de 100M€)",MAX(0,Nb_Investisseurs-Nb_KYC_Gratuites_Par_Tranche*(FLOOR(E$20/Taille_Tranche_KYC,1)+1))*Cout_Par_KYC_Supplementaire,(IF('01_Input'!$L$71="Forfait",IF(E$20&gt;='01_Input'!$J$71,'01_Input'!$M$71,0),IF('01_Input'!$L$71="Palier",IF(AND(E$20&gt;='01_Input'!$J$71,E$20&lt;'01_Input'!$K$71),'01_Input'!$M$71,0),MAX(MIN(E$20,'01_Input'!$K$71)-'01_Input'!$J$71,0)*'01_Input'!$M$71))+IF('01_Input'!$P$71="Forfait",IF(E$20&gt;='01_Input'!$N$71,'01_Input'!$Q$71,0),IF('01_Input'!$P$71="Palier",IF(AND(E$20&gt;='01_Input'!$N$71,E$20&lt;'01_Input'!$O$71),'01_Input'!$Q$71,0),MAX(MIN(E$20,'01_Input'!$O$71)-'01_Input'!$N$71,0)*'01_Input'!$Q$71))+IF('01_Input'!$T$71="Forfait",IF(E$20&gt;='01_Input'!$R$71,'01_Input'!$U$71,0),IF('01_Input'!$T$71="Palier",IF(AND(E$20&gt;='01_Input'!$R$71,E$20&lt;'01_Input'!$S$71),'01_Input'!$U$71,0),MAX(MIN(E$20,'01_Input'!$S$71)-'01_Input'!$R$71,0)*'01_Input'!$U$71))+IF('01_Input'!$X$71="Forfait",IF(E$20&gt;='01_Input'!$V$71,'01_Input'!$Y$71,0),IF('01_Input'!$X$71="Palier",IF(AND(E$20&gt;='01_Input'!$V$71,E$20&lt;'01_Input'!$W$71),'01_Input'!$Y$71,0),MAX(MIN(E$20,'01_Input'!$W$71)-'01_Input'!$V$71,0)*'01_Input'!$Y$71))+IF('01_Input'!$AB$71="Forfait",IF(E$20&gt;='01_Input'!$Z$71,'01_Input'!$AC$71,0),IF('01_Input'!$AB$71="Palier",IF(AND(E$20&gt;='01_Input'!$Z$71,E$20&lt;'01_Input'!$AA$71),'01_Input'!$AC$71,0),MAX(MIN(E$20,'01_Input'!$AA$71)-'01_Input'!$Z$71,0)*'01_Input'!$AC$71)))))))))</f>
        <v>0</v>
      </c>
      <c r="F39" s="25">
        <f>IF('01_Input'!$C$71="Non",0,MIN('01_Input'!$I$71,MAX('01_Input'!$H$71,IF('01_Input'!$G$71="Résiduel vs Gestion",0,IF('01_Input'!$G$71="Taux Classe sélectionnée",Distrib_Global_Classe_Selectionnee*F$20,IF('01_Input'!$G$71="Frais KYC (paliers de 100M€)",MAX(0,Nb_Investisseurs-Nb_KYC_Gratuites_Par_Tranche*(FLOOR(F$20/Taille_Tranche_KYC,1)+1))*Cout_Par_KYC_Supplementaire,(IF('01_Input'!$L$71="Forfait",IF(F$20&gt;='01_Input'!$J$71,'01_Input'!$M$71,0),IF('01_Input'!$L$71="Palier",IF(AND(F$20&gt;='01_Input'!$J$71,F$20&lt;'01_Input'!$K$71),'01_Input'!$M$71,0),MAX(MIN(F$20,'01_Input'!$K$71)-'01_Input'!$J$71,0)*'01_Input'!$M$71))+IF('01_Input'!$P$71="Forfait",IF(F$20&gt;='01_Input'!$N$71,'01_Input'!$Q$71,0),IF('01_Input'!$P$71="Palier",IF(AND(F$20&gt;='01_Input'!$N$71,F$20&lt;'01_Input'!$O$71),'01_Input'!$Q$71,0),MAX(MIN(F$20,'01_Input'!$O$71)-'01_Input'!$N$71,0)*'01_Input'!$Q$71))+IF('01_Input'!$T$71="Forfait",IF(F$20&gt;='01_Input'!$R$71,'01_Input'!$U$71,0),IF('01_Input'!$T$71="Palier",IF(AND(F$20&gt;='01_Input'!$R$71,F$20&lt;'01_Input'!$S$71),'01_Input'!$U$71,0),MAX(MIN(F$20,'01_Input'!$S$71)-'01_Input'!$R$71,0)*'01_Input'!$U$71))+IF('01_Input'!$X$71="Forfait",IF(F$20&gt;='01_Input'!$V$71,'01_Input'!$Y$71,0),IF('01_Input'!$X$71="Palier",IF(AND(F$20&gt;='01_Input'!$V$71,F$20&lt;'01_Input'!$W$71),'01_Input'!$Y$71,0),MAX(MIN(F$20,'01_Input'!$W$71)-'01_Input'!$V$71,0)*'01_Input'!$Y$71))+IF('01_Input'!$AB$71="Forfait",IF(F$20&gt;='01_Input'!$Z$71,'01_Input'!$AC$71,0),IF('01_Input'!$AB$71="Palier",IF(AND(F$20&gt;='01_Input'!$Z$71,F$20&lt;'01_Input'!$AA$71),'01_Input'!$AC$71,0),MAX(MIN(F$20,'01_Input'!$AA$71)-'01_Input'!$Z$71,0)*'01_Input'!$AC$71)))))))))</f>
        <v>0</v>
      </c>
      <c r="G39" s="25">
        <f>IF('01_Input'!$C$71="Non",0,MIN('01_Input'!$I$71,MAX('01_Input'!$H$71,IF('01_Input'!$G$71="Résiduel vs Gestion",0,IF('01_Input'!$G$71="Taux Classe sélectionnée",Distrib_Global_Classe_Selectionnee*G$20,IF('01_Input'!$G$71="Frais KYC (paliers de 100M€)",MAX(0,Nb_Investisseurs-Nb_KYC_Gratuites_Par_Tranche*(FLOOR(G$20/Taille_Tranche_KYC,1)+1))*Cout_Par_KYC_Supplementaire,(IF('01_Input'!$L$71="Forfait",IF(G$20&gt;='01_Input'!$J$71,'01_Input'!$M$71,0),IF('01_Input'!$L$71="Palier",IF(AND(G$20&gt;='01_Input'!$J$71,G$20&lt;'01_Input'!$K$71),'01_Input'!$M$71,0),MAX(MIN(G$20,'01_Input'!$K$71)-'01_Input'!$J$71,0)*'01_Input'!$M$71))+IF('01_Input'!$P$71="Forfait",IF(G$20&gt;='01_Input'!$N$71,'01_Input'!$Q$71,0),IF('01_Input'!$P$71="Palier",IF(AND(G$20&gt;='01_Input'!$N$71,G$20&lt;'01_Input'!$O$71),'01_Input'!$Q$71,0),MAX(MIN(G$20,'01_Input'!$O$71)-'01_Input'!$N$71,0)*'01_Input'!$Q$71))+IF('01_Input'!$T$71="Forfait",IF(G$20&gt;='01_Input'!$R$71,'01_Input'!$U$71,0),IF('01_Input'!$T$71="Palier",IF(AND(G$20&gt;='01_Input'!$R$71,G$20&lt;'01_Input'!$S$71),'01_Input'!$U$71,0),MAX(MIN(G$20,'01_Input'!$S$71)-'01_Input'!$R$71,0)*'01_Input'!$U$71))+IF('01_Input'!$X$71="Forfait",IF(G$20&gt;='01_Input'!$V$71,'01_Input'!$Y$71,0),IF('01_Input'!$X$71="Palier",IF(AND(G$20&gt;='01_Input'!$V$71,G$20&lt;'01_Input'!$W$71),'01_Input'!$Y$71,0),MAX(MIN(G$20,'01_Input'!$W$71)-'01_Input'!$V$71,0)*'01_Input'!$Y$71))+IF('01_Input'!$AB$71="Forfait",IF(G$20&gt;='01_Input'!$Z$71,'01_Input'!$AC$71,0),IF('01_Input'!$AB$71="Palier",IF(AND(G$20&gt;='01_Input'!$Z$71,G$20&lt;'01_Input'!$AA$71),'01_Input'!$AC$71,0),MAX(MIN(G$20,'01_Input'!$AA$71)-'01_Input'!$Z$71,0)*'01_Input'!$AC$71)))))))))</f>
        <v>0</v>
      </c>
      <c r="H39" s="25">
        <f>IF('01_Input'!$C$71="Non",0,MIN('01_Input'!$I$71,MAX('01_Input'!$H$71,IF('01_Input'!$G$71="Résiduel vs Gestion",0,IF('01_Input'!$G$71="Taux Classe sélectionnée",Distrib_Global_Classe_Selectionnee*H$20,IF('01_Input'!$G$71="Frais KYC (paliers de 100M€)",MAX(0,Nb_Investisseurs-Nb_KYC_Gratuites_Par_Tranche*(FLOOR(H$20/Taille_Tranche_KYC,1)+1))*Cout_Par_KYC_Supplementaire,(IF('01_Input'!$L$71="Forfait",IF(H$20&gt;='01_Input'!$J$71,'01_Input'!$M$71,0),IF('01_Input'!$L$71="Palier",IF(AND(H$20&gt;='01_Input'!$J$71,H$20&lt;'01_Input'!$K$71),'01_Input'!$M$71,0),MAX(MIN(H$20,'01_Input'!$K$71)-'01_Input'!$J$71,0)*'01_Input'!$M$71))+IF('01_Input'!$P$71="Forfait",IF(H$20&gt;='01_Input'!$N$71,'01_Input'!$Q$71,0),IF('01_Input'!$P$71="Palier",IF(AND(H$20&gt;='01_Input'!$N$71,H$20&lt;'01_Input'!$O$71),'01_Input'!$Q$71,0),MAX(MIN(H$20,'01_Input'!$O$71)-'01_Input'!$N$71,0)*'01_Input'!$Q$71))+IF('01_Input'!$T$71="Forfait",IF(H$20&gt;='01_Input'!$R$71,'01_Input'!$U$71,0),IF('01_Input'!$T$71="Palier",IF(AND(H$20&gt;='01_Input'!$R$71,H$20&lt;'01_Input'!$S$71),'01_Input'!$U$71,0),MAX(MIN(H$20,'01_Input'!$S$71)-'01_Input'!$R$71,0)*'01_Input'!$U$71))+IF('01_Input'!$X$71="Forfait",IF(H$20&gt;='01_Input'!$V$71,'01_Input'!$Y$71,0),IF('01_Input'!$X$71="Palier",IF(AND(H$20&gt;='01_Input'!$V$71,H$20&lt;'01_Input'!$W$71),'01_Input'!$Y$71,0),MAX(MIN(H$20,'01_Input'!$W$71)-'01_Input'!$V$71,0)*'01_Input'!$Y$71))+IF('01_Input'!$AB$71="Forfait",IF(H$20&gt;='01_Input'!$Z$71,'01_Input'!$AC$71,0),IF('01_Input'!$AB$71="Palier",IF(AND(H$20&gt;='01_Input'!$Z$71,H$20&lt;'01_Input'!$AA$71),'01_Input'!$AC$71,0),MAX(MIN(H$20,'01_Input'!$AA$71)-'01_Input'!$Z$71,0)*'01_Input'!$AC$71)))))))))</f>
        <v>0</v>
      </c>
      <c r="I39" s="25">
        <f>IF('01_Input'!$C$71="Non",0,MIN('01_Input'!$I$71,MAX('01_Input'!$H$71,IF('01_Input'!$G$71="Résiduel vs Gestion",0,IF('01_Input'!$G$71="Taux Classe sélectionnée",Distrib_Global_Classe_Selectionnee*I$20,IF('01_Input'!$G$71="Frais KYC (paliers de 100M€)",MAX(0,Nb_Investisseurs-Nb_KYC_Gratuites_Par_Tranche*(FLOOR(I$20/Taille_Tranche_KYC,1)+1))*Cout_Par_KYC_Supplementaire,(IF('01_Input'!$L$71="Forfait",IF(I$20&gt;='01_Input'!$J$71,'01_Input'!$M$71,0),IF('01_Input'!$L$71="Palier",IF(AND(I$20&gt;='01_Input'!$J$71,I$20&lt;'01_Input'!$K$71),'01_Input'!$M$71,0),MAX(MIN(I$20,'01_Input'!$K$71)-'01_Input'!$J$71,0)*'01_Input'!$M$71))+IF('01_Input'!$P$71="Forfait",IF(I$20&gt;='01_Input'!$N$71,'01_Input'!$Q$71,0),IF('01_Input'!$P$71="Palier",IF(AND(I$20&gt;='01_Input'!$N$71,I$20&lt;'01_Input'!$O$71),'01_Input'!$Q$71,0),MAX(MIN(I$20,'01_Input'!$O$71)-'01_Input'!$N$71,0)*'01_Input'!$Q$71))+IF('01_Input'!$T$71="Forfait",IF(I$20&gt;='01_Input'!$R$71,'01_Input'!$U$71,0),IF('01_Input'!$T$71="Palier",IF(AND(I$20&gt;='01_Input'!$R$71,I$20&lt;'01_Input'!$S$71),'01_Input'!$U$71,0),MAX(MIN(I$20,'01_Input'!$S$71)-'01_Input'!$R$71,0)*'01_Input'!$U$71))+IF('01_Input'!$X$71="Forfait",IF(I$20&gt;='01_Input'!$V$71,'01_Input'!$Y$71,0),IF('01_Input'!$X$71="Palier",IF(AND(I$20&gt;='01_Input'!$V$71,I$20&lt;'01_Input'!$W$71),'01_Input'!$Y$71,0),MAX(MIN(I$20,'01_Input'!$W$71)-'01_Input'!$V$71,0)*'01_Input'!$Y$71))+IF('01_Input'!$AB$71="Forfait",IF(I$20&gt;='01_Input'!$Z$71,'01_Input'!$AC$71,0),IF('01_Input'!$AB$71="Palier",IF(AND(I$20&gt;='01_Input'!$Z$71,I$20&lt;'01_Input'!$AA$71),'01_Input'!$AC$71,0),MAX(MIN(I$20,'01_Input'!$AA$71)-'01_Input'!$Z$71,0)*'01_Input'!$AC$71)))))))))</f>
        <v>0</v>
      </c>
      <c r="J39" s="25">
        <f>IF('01_Input'!$C$71="Non",0,MIN('01_Input'!$I$71,MAX('01_Input'!$H$71,IF('01_Input'!$G$71="Résiduel vs Gestion",0,IF('01_Input'!$G$71="Taux Classe sélectionnée",Distrib_Global_Classe_Selectionnee*J$20,IF('01_Input'!$G$71="Frais KYC (paliers de 100M€)",MAX(0,Nb_Investisseurs-Nb_KYC_Gratuites_Par_Tranche*(FLOOR(J$20/Taille_Tranche_KYC,1)+1))*Cout_Par_KYC_Supplementaire,(IF('01_Input'!$L$71="Forfait",IF(J$20&gt;='01_Input'!$J$71,'01_Input'!$M$71,0),IF('01_Input'!$L$71="Palier",IF(AND(J$20&gt;='01_Input'!$J$71,J$20&lt;'01_Input'!$K$71),'01_Input'!$M$71,0),MAX(MIN(J$20,'01_Input'!$K$71)-'01_Input'!$J$71,0)*'01_Input'!$M$71))+IF('01_Input'!$P$71="Forfait",IF(J$20&gt;='01_Input'!$N$71,'01_Input'!$Q$71,0),IF('01_Input'!$P$71="Palier",IF(AND(J$20&gt;='01_Input'!$N$71,J$20&lt;'01_Input'!$O$71),'01_Input'!$Q$71,0),MAX(MIN(J$20,'01_Input'!$O$71)-'01_Input'!$N$71,0)*'01_Input'!$Q$71))+IF('01_Input'!$T$71="Forfait",IF(J$20&gt;='01_Input'!$R$71,'01_Input'!$U$71,0),IF('01_Input'!$T$71="Palier",IF(AND(J$20&gt;='01_Input'!$R$71,J$20&lt;'01_Input'!$S$71),'01_Input'!$U$71,0),MAX(MIN(J$20,'01_Input'!$S$71)-'01_Input'!$R$71,0)*'01_Input'!$U$71))+IF('01_Input'!$X$71="Forfait",IF(J$20&gt;='01_Input'!$V$71,'01_Input'!$Y$71,0),IF('01_Input'!$X$71="Palier",IF(AND(J$20&gt;='01_Input'!$V$71,J$20&lt;'01_Input'!$W$71),'01_Input'!$Y$71,0),MAX(MIN(J$20,'01_Input'!$W$71)-'01_Input'!$V$71,0)*'01_Input'!$Y$71))+IF('01_Input'!$AB$71="Forfait",IF(J$20&gt;='01_Input'!$Z$71,'01_Input'!$AC$71,0),IF('01_Input'!$AB$71="Palier",IF(AND(J$20&gt;='01_Input'!$Z$71,J$20&lt;'01_Input'!$AA$71),'01_Input'!$AC$71,0),MAX(MIN(J$20,'01_Input'!$AA$71)-'01_Input'!$Z$71,0)*'01_Input'!$AC$71)))))))))</f>
        <v>0</v>
      </c>
      <c r="K39" s="25">
        <f>IF('01_Input'!$C$71="Non",0,MIN('01_Input'!$I$71,MAX('01_Input'!$H$71,IF('01_Input'!$G$71="Résiduel vs Gestion",0,IF('01_Input'!$G$71="Taux Classe sélectionnée",Distrib_Global_Classe_Selectionnee*K$20,IF('01_Input'!$G$71="Frais KYC (paliers de 100M€)",MAX(0,Nb_Investisseurs-Nb_KYC_Gratuites_Par_Tranche*(FLOOR(K$20/Taille_Tranche_KYC,1)+1))*Cout_Par_KYC_Supplementaire,(IF('01_Input'!$L$71="Forfait",IF(K$20&gt;='01_Input'!$J$71,'01_Input'!$M$71,0),IF('01_Input'!$L$71="Palier",IF(AND(K$20&gt;='01_Input'!$J$71,K$20&lt;'01_Input'!$K$71),'01_Input'!$M$71,0),MAX(MIN(K$20,'01_Input'!$K$71)-'01_Input'!$J$71,0)*'01_Input'!$M$71))+IF('01_Input'!$P$71="Forfait",IF(K$20&gt;='01_Input'!$N$71,'01_Input'!$Q$71,0),IF('01_Input'!$P$71="Palier",IF(AND(K$20&gt;='01_Input'!$N$71,K$20&lt;'01_Input'!$O$71),'01_Input'!$Q$71,0),MAX(MIN(K$20,'01_Input'!$O$71)-'01_Input'!$N$71,0)*'01_Input'!$Q$71))+IF('01_Input'!$T$71="Forfait",IF(K$20&gt;='01_Input'!$R$71,'01_Input'!$U$71,0),IF('01_Input'!$T$71="Palier",IF(AND(K$20&gt;='01_Input'!$R$71,K$20&lt;'01_Input'!$S$71),'01_Input'!$U$71,0),MAX(MIN(K$20,'01_Input'!$S$71)-'01_Input'!$R$71,0)*'01_Input'!$U$71))+IF('01_Input'!$X$71="Forfait",IF(K$20&gt;='01_Input'!$V$71,'01_Input'!$Y$71,0),IF('01_Input'!$X$71="Palier",IF(AND(K$20&gt;='01_Input'!$V$71,K$20&lt;'01_Input'!$W$71),'01_Input'!$Y$71,0),MAX(MIN(K$20,'01_Input'!$W$71)-'01_Input'!$V$71,0)*'01_Input'!$Y$71))+IF('01_Input'!$AB$71="Forfait",IF(K$20&gt;='01_Input'!$Z$71,'01_Input'!$AC$71,0),IF('01_Input'!$AB$71="Palier",IF(AND(K$20&gt;='01_Input'!$Z$71,K$20&lt;'01_Input'!$AA$71),'01_Input'!$AC$71,0),MAX(MIN(K$20,'01_Input'!$AA$71)-'01_Input'!$Z$71,0)*'01_Input'!$AC$71)))))))))</f>
        <v>0</v>
      </c>
      <c r="L39" s="25">
        <f>IF('01_Input'!$C$71="Non",0,MIN('01_Input'!$I$71,MAX('01_Input'!$H$71,IF('01_Input'!$G$71="Résiduel vs Gestion",0,IF('01_Input'!$G$71="Taux Classe sélectionnée",Distrib_Global_Classe_Selectionnee*L$20,IF('01_Input'!$G$71="Frais KYC (paliers de 100M€)",MAX(0,Nb_Investisseurs-Nb_KYC_Gratuites_Par_Tranche*(FLOOR(L$20/Taille_Tranche_KYC,1)+1))*Cout_Par_KYC_Supplementaire,(IF('01_Input'!$L$71="Forfait",IF(L$20&gt;='01_Input'!$J$71,'01_Input'!$M$71,0),IF('01_Input'!$L$71="Palier",IF(AND(L$20&gt;='01_Input'!$J$71,L$20&lt;'01_Input'!$K$71),'01_Input'!$M$71,0),MAX(MIN(L$20,'01_Input'!$K$71)-'01_Input'!$J$71,0)*'01_Input'!$M$71))+IF('01_Input'!$P$71="Forfait",IF(L$20&gt;='01_Input'!$N$71,'01_Input'!$Q$71,0),IF('01_Input'!$P$71="Palier",IF(AND(L$20&gt;='01_Input'!$N$71,L$20&lt;'01_Input'!$O$71),'01_Input'!$Q$71,0),MAX(MIN(L$20,'01_Input'!$O$71)-'01_Input'!$N$71,0)*'01_Input'!$Q$71))+IF('01_Input'!$T$71="Forfait",IF(L$20&gt;='01_Input'!$R$71,'01_Input'!$U$71,0),IF('01_Input'!$T$71="Palier",IF(AND(L$20&gt;='01_Input'!$R$71,L$20&lt;'01_Input'!$S$71),'01_Input'!$U$71,0),MAX(MIN(L$20,'01_Input'!$S$71)-'01_Input'!$R$71,0)*'01_Input'!$U$71))+IF('01_Input'!$X$71="Forfait",IF(L$20&gt;='01_Input'!$V$71,'01_Input'!$Y$71,0),IF('01_Input'!$X$71="Palier",IF(AND(L$20&gt;='01_Input'!$V$71,L$20&lt;'01_Input'!$W$71),'01_Input'!$Y$71,0),MAX(MIN(L$20,'01_Input'!$W$71)-'01_Input'!$V$71,0)*'01_Input'!$Y$71))+IF('01_Input'!$AB$71="Forfait",IF(L$20&gt;='01_Input'!$Z$71,'01_Input'!$AC$71,0),IF('01_Input'!$AB$71="Palier",IF(AND(L$20&gt;='01_Input'!$Z$71,L$20&lt;'01_Input'!$AA$71),'01_Input'!$AC$71,0),MAX(MIN(L$20,'01_Input'!$AA$71)-'01_Input'!$Z$71,0)*'01_Input'!$AC$71)))))))))</f>
        <v>0</v>
      </c>
      <c r="M39" s="25">
        <f>IF('01_Input'!$C$71="Non",0,MIN('01_Input'!$I$71,MAX('01_Input'!$H$71,IF('01_Input'!$G$71="Résiduel vs Gestion",0,IF('01_Input'!$G$71="Taux Classe sélectionnée",Distrib_Global_Classe_Selectionnee*M$20,IF('01_Input'!$G$71="Frais KYC (paliers de 100M€)",MAX(0,Nb_Investisseurs-Nb_KYC_Gratuites_Par_Tranche*(FLOOR(M$20/Taille_Tranche_KYC,1)+1))*Cout_Par_KYC_Supplementaire,(IF('01_Input'!$L$71="Forfait",IF(M$20&gt;='01_Input'!$J$71,'01_Input'!$M$71,0),IF('01_Input'!$L$71="Palier",IF(AND(M$20&gt;='01_Input'!$J$71,M$20&lt;'01_Input'!$K$71),'01_Input'!$M$71,0),MAX(MIN(M$20,'01_Input'!$K$71)-'01_Input'!$J$71,0)*'01_Input'!$M$71))+IF('01_Input'!$P$71="Forfait",IF(M$20&gt;='01_Input'!$N$71,'01_Input'!$Q$71,0),IF('01_Input'!$P$71="Palier",IF(AND(M$20&gt;='01_Input'!$N$71,M$20&lt;'01_Input'!$O$71),'01_Input'!$Q$71,0),MAX(MIN(M$20,'01_Input'!$O$71)-'01_Input'!$N$71,0)*'01_Input'!$Q$71))+IF('01_Input'!$T$71="Forfait",IF(M$20&gt;='01_Input'!$R$71,'01_Input'!$U$71,0),IF('01_Input'!$T$71="Palier",IF(AND(M$20&gt;='01_Input'!$R$71,M$20&lt;'01_Input'!$S$71),'01_Input'!$U$71,0),MAX(MIN(M$20,'01_Input'!$S$71)-'01_Input'!$R$71,0)*'01_Input'!$U$71))+IF('01_Input'!$X$71="Forfait",IF(M$20&gt;='01_Input'!$V$71,'01_Input'!$Y$71,0),IF('01_Input'!$X$71="Palier",IF(AND(M$20&gt;='01_Input'!$V$71,M$20&lt;'01_Input'!$W$71),'01_Input'!$Y$71,0),MAX(MIN(M$20,'01_Input'!$W$71)-'01_Input'!$V$71,0)*'01_Input'!$Y$71))+IF('01_Input'!$AB$71="Forfait",IF(M$20&gt;='01_Input'!$Z$71,'01_Input'!$AC$71,0),IF('01_Input'!$AB$71="Palier",IF(AND(M$20&gt;='01_Input'!$Z$71,M$20&lt;'01_Input'!$AA$71),'01_Input'!$AC$71,0),MAX(MIN(M$20,'01_Input'!$AA$71)-'01_Input'!$Z$71,0)*'01_Input'!$AC$71)))))))))</f>
        <v>0</v>
      </c>
      <c r="N39" s="25">
        <f>IF('01_Input'!$C$71="Non",0,MIN('01_Input'!$I$71,MAX('01_Input'!$H$71,IF('01_Input'!$G$71="Résiduel vs Gestion",0,IF('01_Input'!$G$71="Taux Classe sélectionnée",Distrib_Global_Classe_Selectionnee*N$20,IF('01_Input'!$G$71="Frais KYC (paliers de 100M€)",MAX(0,Nb_Investisseurs-Nb_KYC_Gratuites_Par_Tranche*(FLOOR(N$20/Taille_Tranche_KYC,1)+1))*Cout_Par_KYC_Supplementaire,(IF('01_Input'!$L$71="Forfait",IF(N$20&gt;='01_Input'!$J$71,'01_Input'!$M$71,0),IF('01_Input'!$L$71="Palier",IF(AND(N$20&gt;='01_Input'!$J$71,N$20&lt;'01_Input'!$K$71),'01_Input'!$M$71,0),MAX(MIN(N$20,'01_Input'!$K$71)-'01_Input'!$J$71,0)*'01_Input'!$M$71))+IF('01_Input'!$P$71="Forfait",IF(N$20&gt;='01_Input'!$N$71,'01_Input'!$Q$71,0),IF('01_Input'!$P$71="Palier",IF(AND(N$20&gt;='01_Input'!$N$71,N$20&lt;'01_Input'!$O$71),'01_Input'!$Q$71,0),MAX(MIN(N$20,'01_Input'!$O$71)-'01_Input'!$N$71,0)*'01_Input'!$Q$71))+IF('01_Input'!$T$71="Forfait",IF(N$20&gt;='01_Input'!$R$71,'01_Input'!$U$71,0),IF('01_Input'!$T$71="Palier",IF(AND(N$20&gt;='01_Input'!$R$71,N$20&lt;'01_Input'!$S$71),'01_Input'!$U$71,0),MAX(MIN(N$20,'01_Input'!$S$71)-'01_Input'!$R$71,0)*'01_Input'!$U$71))+IF('01_Input'!$X$71="Forfait",IF(N$20&gt;='01_Input'!$V$71,'01_Input'!$Y$71,0),IF('01_Input'!$X$71="Palier",IF(AND(N$20&gt;='01_Input'!$V$71,N$20&lt;'01_Input'!$W$71),'01_Input'!$Y$71,0),MAX(MIN(N$20,'01_Input'!$W$71)-'01_Input'!$V$71,0)*'01_Input'!$Y$71))+IF('01_Input'!$AB$71="Forfait",IF(N$20&gt;='01_Input'!$Z$71,'01_Input'!$AC$71,0),IF('01_Input'!$AB$71="Palier",IF(AND(N$20&gt;='01_Input'!$Z$71,N$20&lt;'01_Input'!$AA$71),'01_Input'!$AC$71,0),MAX(MIN(N$20,'01_Input'!$AA$71)-'01_Input'!$Z$71,0)*'01_Input'!$AC$71)))))))))</f>
        <v>0</v>
      </c>
      <c r="O39" s="25">
        <f>IF('01_Input'!$C$71="Non",0,MIN('01_Input'!$I$71,MAX('01_Input'!$H$71,IF('01_Input'!$G$71="Résiduel vs Gestion",0,IF('01_Input'!$G$71="Taux Classe sélectionnée",Distrib_Global_Classe_Selectionnee*O$20,IF('01_Input'!$G$71="Frais KYC (paliers de 100M€)",MAX(0,Nb_Investisseurs-Nb_KYC_Gratuites_Par_Tranche*(FLOOR(O$20/Taille_Tranche_KYC,1)+1))*Cout_Par_KYC_Supplementaire,(IF('01_Input'!$L$71="Forfait",IF(O$20&gt;='01_Input'!$J$71,'01_Input'!$M$71,0),IF('01_Input'!$L$71="Palier",IF(AND(O$20&gt;='01_Input'!$J$71,O$20&lt;'01_Input'!$K$71),'01_Input'!$M$71,0),MAX(MIN(O$20,'01_Input'!$K$71)-'01_Input'!$J$71,0)*'01_Input'!$M$71))+IF('01_Input'!$P$71="Forfait",IF(O$20&gt;='01_Input'!$N$71,'01_Input'!$Q$71,0),IF('01_Input'!$P$71="Palier",IF(AND(O$20&gt;='01_Input'!$N$71,O$20&lt;'01_Input'!$O$71),'01_Input'!$Q$71,0),MAX(MIN(O$20,'01_Input'!$O$71)-'01_Input'!$N$71,0)*'01_Input'!$Q$71))+IF('01_Input'!$T$71="Forfait",IF(O$20&gt;='01_Input'!$R$71,'01_Input'!$U$71,0),IF('01_Input'!$T$71="Palier",IF(AND(O$20&gt;='01_Input'!$R$71,O$20&lt;'01_Input'!$S$71),'01_Input'!$U$71,0),MAX(MIN(O$20,'01_Input'!$S$71)-'01_Input'!$R$71,0)*'01_Input'!$U$71))+IF('01_Input'!$X$71="Forfait",IF(O$20&gt;='01_Input'!$V$71,'01_Input'!$Y$71,0),IF('01_Input'!$X$71="Palier",IF(AND(O$20&gt;='01_Input'!$V$71,O$20&lt;'01_Input'!$W$71),'01_Input'!$Y$71,0),MAX(MIN(O$20,'01_Input'!$W$71)-'01_Input'!$V$71,0)*'01_Input'!$Y$71))+IF('01_Input'!$AB$71="Forfait",IF(O$20&gt;='01_Input'!$Z$71,'01_Input'!$AC$71,0),IF('01_Input'!$AB$71="Palier",IF(AND(O$20&gt;='01_Input'!$Z$71,O$20&lt;'01_Input'!$AA$71),'01_Input'!$AC$71,0),MAX(MIN(O$20,'01_Input'!$AA$71)-'01_Input'!$Z$71,0)*'01_Input'!$AC$71)))))))))</f>
        <v>0</v>
      </c>
      <c r="P39" s="25">
        <f>IF('01_Input'!$C$71="Non",0,MIN('01_Input'!$I$71,MAX('01_Input'!$H$71,IF('01_Input'!$G$71="Résiduel vs Gestion",0,IF('01_Input'!$G$71="Taux Classe sélectionnée",Distrib_Global_Classe_Selectionnee*P$20,IF('01_Input'!$G$71="Frais KYC (paliers de 100M€)",MAX(0,Nb_Investisseurs-Nb_KYC_Gratuites_Par_Tranche*(FLOOR(P$20/Taille_Tranche_KYC,1)+1))*Cout_Par_KYC_Supplementaire,(IF('01_Input'!$L$71="Forfait",IF(P$20&gt;='01_Input'!$J$71,'01_Input'!$M$71,0),IF('01_Input'!$L$71="Palier",IF(AND(P$20&gt;='01_Input'!$J$71,P$20&lt;'01_Input'!$K$71),'01_Input'!$M$71,0),MAX(MIN(P$20,'01_Input'!$K$71)-'01_Input'!$J$71,0)*'01_Input'!$M$71))+IF('01_Input'!$P$71="Forfait",IF(P$20&gt;='01_Input'!$N$71,'01_Input'!$Q$71,0),IF('01_Input'!$P$71="Palier",IF(AND(P$20&gt;='01_Input'!$N$71,P$20&lt;'01_Input'!$O$71),'01_Input'!$Q$71,0),MAX(MIN(P$20,'01_Input'!$O$71)-'01_Input'!$N$71,0)*'01_Input'!$Q$71))+IF('01_Input'!$T$71="Forfait",IF(P$20&gt;='01_Input'!$R$71,'01_Input'!$U$71,0),IF('01_Input'!$T$71="Palier",IF(AND(P$20&gt;='01_Input'!$R$71,P$20&lt;'01_Input'!$S$71),'01_Input'!$U$71,0),MAX(MIN(P$20,'01_Input'!$S$71)-'01_Input'!$R$71,0)*'01_Input'!$U$71))+IF('01_Input'!$X$71="Forfait",IF(P$20&gt;='01_Input'!$V$71,'01_Input'!$Y$71,0),IF('01_Input'!$X$71="Palier",IF(AND(P$20&gt;='01_Input'!$V$71,P$20&lt;'01_Input'!$W$71),'01_Input'!$Y$71,0),MAX(MIN(P$20,'01_Input'!$W$71)-'01_Input'!$V$71,0)*'01_Input'!$Y$71))+IF('01_Input'!$AB$71="Forfait",IF(P$20&gt;='01_Input'!$Z$71,'01_Input'!$AC$71,0),IF('01_Input'!$AB$71="Palier",IF(AND(P$20&gt;='01_Input'!$Z$71,P$20&lt;'01_Input'!$AA$71),'01_Input'!$AC$71,0),MAX(MIN(P$20,'01_Input'!$AA$71)-'01_Input'!$Z$71,0)*'01_Input'!$AC$71)))))))))</f>
        <v>0</v>
      </c>
      <c r="Q39" s="25">
        <f>IF('01_Input'!$C$71="Non",0,MIN('01_Input'!$I$71,MAX('01_Input'!$H$71,IF('01_Input'!$G$71="Résiduel vs Gestion",0,IF('01_Input'!$G$71="Taux Classe sélectionnée",Distrib_Global_Classe_Selectionnee*Q$20,IF('01_Input'!$G$71="Frais KYC (paliers de 100M€)",MAX(0,Nb_Investisseurs-Nb_KYC_Gratuites_Par_Tranche*(FLOOR(Q$20/Taille_Tranche_KYC,1)+1))*Cout_Par_KYC_Supplementaire,(IF('01_Input'!$L$71="Forfait",IF(Q$20&gt;='01_Input'!$J$71,'01_Input'!$M$71,0),IF('01_Input'!$L$71="Palier",IF(AND(Q$20&gt;='01_Input'!$J$71,Q$20&lt;'01_Input'!$K$71),'01_Input'!$M$71,0),MAX(MIN(Q$20,'01_Input'!$K$71)-'01_Input'!$J$71,0)*'01_Input'!$M$71))+IF('01_Input'!$P$71="Forfait",IF(Q$20&gt;='01_Input'!$N$71,'01_Input'!$Q$71,0),IF('01_Input'!$P$71="Palier",IF(AND(Q$20&gt;='01_Input'!$N$71,Q$20&lt;'01_Input'!$O$71),'01_Input'!$Q$71,0),MAX(MIN(Q$20,'01_Input'!$O$71)-'01_Input'!$N$71,0)*'01_Input'!$Q$71))+IF('01_Input'!$T$71="Forfait",IF(Q$20&gt;='01_Input'!$R$71,'01_Input'!$U$71,0),IF('01_Input'!$T$71="Palier",IF(AND(Q$20&gt;='01_Input'!$R$71,Q$20&lt;'01_Input'!$S$71),'01_Input'!$U$71,0),MAX(MIN(Q$20,'01_Input'!$S$71)-'01_Input'!$R$71,0)*'01_Input'!$U$71))+IF('01_Input'!$X$71="Forfait",IF(Q$20&gt;='01_Input'!$V$71,'01_Input'!$Y$71,0),IF('01_Input'!$X$71="Palier",IF(AND(Q$20&gt;='01_Input'!$V$71,Q$20&lt;'01_Input'!$W$71),'01_Input'!$Y$71,0),MAX(MIN(Q$20,'01_Input'!$W$71)-'01_Input'!$V$71,0)*'01_Input'!$Y$71))+IF('01_Input'!$AB$71="Forfait",IF(Q$20&gt;='01_Input'!$Z$71,'01_Input'!$AC$71,0),IF('01_Input'!$AB$71="Palier",IF(AND(Q$20&gt;='01_Input'!$Z$71,Q$20&lt;'01_Input'!$AA$71),'01_Input'!$AC$71,0),MAX(MIN(Q$20,'01_Input'!$AA$71)-'01_Input'!$Z$71,0)*'01_Input'!$AC$71)))))))))</f>
        <v>0</v>
      </c>
      <c r="R39" s="25">
        <f>IF('01_Input'!$C$71="Non",0,MIN('01_Input'!$I$71,MAX('01_Input'!$H$71,IF('01_Input'!$G$71="Résiduel vs Gestion",0,IF('01_Input'!$G$71="Taux Classe sélectionnée",Distrib_Global_Classe_Selectionnee*R$20,IF('01_Input'!$G$71="Frais KYC (paliers de 100M€)",MAX(0,Nb_Investisseurs-Nb_KYC_Gratuites_Par_Tranche*(FLOOR(R$20/Taille_Tranche_KYC,1)+1))*Cout_Par_KYC_Supplementaire,(IF('01_Input'!$L$71="Forfait",IF(R$20&gt;='01_Input'!$J$71,'01_Input'!$M$71,0),IF('01_Input'!$L$71="Palier",IF(AND(R$20&gt;='01_Input'!$J$71,R$20&lt;'01_Input'!$K$71),'01_Input'!$M$71,0),MAX(MIN(R$20,'01_Input'!$K$71)-'01_Input'!$J$71,0)*'01_Input'!$M$71))+IF('01_Input'!$P$71="Forfait",IF(R$20&gt;='01_Input'!$N$71,'01_Input'!$Q$71,0),IF('01_Input'!$P$71="Palier",IF(AND(R$20&gt;='01_Input'!$N$71,R$20&lt;'01_Input'!$O$71),'01_Input'!$Q$71,0),MAX(MIN(R$20,'01_Input'!$O$71)-'01_Input'!$N$71,0)*'01_Input'!$Q$71))+IF('01_Input'!$T$71="Forfait",IF(R$20&gt;='01_Input'!$R$71,'01_Input'!$U$71,0),IF('01_Input'!$T$71="Palier",IF(AND(R$20&gt;='01_Input'!$R$71,R$20&lt;'01_Input'!$S$71),'01_Input'!$U$71,0),MAX(MIN(R$20,'01_Input'!$S$71)-'01_Input'!$R$71,0)*'01_Input'!$U$71))+IF('01_Input'!$X$71="Forfait",IF(R$20&gt;='01_Input'!$V$71,'01_Input'!$Y$71,0),IF('01_Input'!$X$71="Palier",IF(AND(R$20&gt;='01_Input'!$V$71,R$20&lt;'01_Input'!$W$71),'01_Input'!$Y$71,0),MAX(MIN(R$20,'01_Input'!$W$71)-'01_Input'!$V$71,0)*'01_Input'!$Y$71))+IF('01_Input'!$AB$71="Forfait",IF(R$20&gt;='01_Input'!$Z$71,'01_Input'!$AC$71,0),IF('01_Input'!$AB$71="Palier",IF(AND(R$20&gt;='01_Input'!$Z$71,R$20&lt;'01_Input'!$AA$71),'01_Input'!$AC$71,0),MAX(MIN(R$20,'01_Input'!$AA$71)-'01_Input'!$Z$71,0)*'01_Input'!$AC$71)))))))))</f>
        <v>0</v>
      </c>
      <c r="S39" s="25">
        <f>IF('01_Input'!$C$71="Non",0,MIN('01_Input'!$I$71,MAX('01_Input'!$H$71,IF('01_Input'!$G$71="Résiduel vs Gestion",0,IF('01_Input'!$G$71="Taux Classe sélectionnée",Distrib_Global_Classe_Selectionnee*S$20,IF('01_Input'!$G$71="Frais KYC (paliers de 100M€)",MAX(0,Nb_Investisseurs-Nb_KYC_Gratuites_Par_Tranche*(FLOOR(S$20/Taille_Tranche_KYC,1)+1))*Cout_Par_KYC_Supplementaire,(IF('01_Input'!$L$71="Forfait",IF(S$20&gt;='01_Input'!$J$71,'01_Input'!$M$71,0),IF('01_Input'!$L$71="Palier",IF(AND(S$20&gt;='01_Input'!$J$71,S$20&lt;'01_Input'!$K$71),'01_Input'!$M$71,0),MAX(MIN(S$20,'01_Input'!$K$71)-'01_Input'!$J$71,0)*'01_Input'!$M$71))+IF('01_Input'!$P$71="Forfait",IF(S$20&gt;='01_Input'!$N$71,'01_Input'!$Q$71,0),IF('01_Input'!$P$71="Palier",IF(AND(S$20&gt;='01_Input'!$N$71,S$20&lt;'01_Input'!$O$71),'01_Input'!$Q$71,0),MAX(MIN(S$20,'01_Input'!$O$71)-'01_Input'!$N$71,0)*'01_Input'!$Q$71))+IF('01_Input'!$T$71="Forfait",IF(S$20&gt;='01_Input'!$R$71,'01_Input'!$U$71,0),IF('01_Input'!$T$71="Palier",IF(AND(S$20&gt;='01_Input'!$R$71,S$20&lt;'01_Input'!$S$71),'01_Input'!$U$71,0),MAX(MIN(S$20,'01_Input'!$S$71)-'01_Input'!$R$71,0)*'01_Input'!$U$71))+IF('01_Input'!$X$71="Forfait",IF(S$20&gt;='01_Input'!$V$71,'01_Input'!$Y$71,0),IF('01_Input'!$X$71="Palier",IF(AND(S$20&gt;='01_Input'!$V$71,S$20&lt;'01_Input'!$W$71),'01_Input'!$Y$71,0),MAX(MIN(S$20,'01_Input'!$W$71)-'01_Input'!$V$71,0)*'01_Input'!$Y$71))+IF('01_Input'!$AB$71="Forfait",IF(S$20&gt;='01_Input'!$Z$71,'01_Input'!$AC$71,0),IF('01_Input'!$AB$71="Palier",IF(AND(S$20&gt;='01_Input'!$Z$71,S$20&lt;'01_Input'!$AA$71),'01_Input'!$AC$71,0),MAX(MIN(S$20,'01_Input'!$AA$71)-'01_Input'!$Z$71,0)*'01_Input'!$AC$71)))))))))</f>
        <v>0</v>
      </c>
      <c r="T39" s="25">
        <f>IF('01_Input'!$C$71="Non",0,MIN('01_Input'!$I$71,MAX('01_Input'!$H$71,IF('01_Input'!$G$71="Résiduel vs Gestion",0,IF('01_Input'!$G$71="Taux Classe sélectionnée",Distrib_Global_Classe_Selectionnee*T$20,IF('01_Input'!$G$71="Frais KYC (paliers de 100M€)",MAX(0,Nb_Investisseurs-Nb_KYC_Gratuites_Par_Tranche*(FLOOR(T$20/Taille_Tranche_KYC,1)+1))*Cout_Par_KYC_Supplementaire,(IF('01_Input'!$L$71="Forfait",IF(T$20&gt;='01_Input'!$J$71,'01_Input'!$M$71,0),IF('01_Input'!$L$71="Palier",IF(AND(T$20&gt;='01_Input'!$J$71,T$20&lt;'01_Input'!$K$71),'01_Input'!$M$71,0),MAX(MIN(T$20,'01_Input'!$K$71)-'01_Input'!$J$71,0)*'01_Input'!$M$71))+IF('01_Input'!$P$71="Forfait",IF(T$20&gt;='01_Input'!$N$71,'01_Input'!$Q$71,0),IF('01_Input'!$P$71="Palier",IF(AND(T$20&gt;='01_Input'!$N$71,T$20&lt;'01_Input'!$O$71),'01_Input'!$Q$71,0),MAX(MIN(T$20,'01_Input'!$O$71)-'01_Input'!$N$71,0)*'01_Input'!$Q$71))+IF('01_Input'!$T$71="Forfait",IF(T$20&gt;='01_Input'!$R$71,'01_Input'!$U$71,0),IF('01_Input'!$T$71="Palier",IF(AND(T$20&gt;='01_Input'!$R$71,T$20&lt;'01_Input'!$S$71),'01_Input'!$U$71,0),MAX(MIN(T$20,'01_Input'!$S$71)-'01_Input'!$R$71,0)*'01_Input'!$U$71))+IF('01_Input'!$X$71="Forfait",IF(T$20&gt;='01_Input'!$V$71,'01_Input'!$Y$71,0),IF('01_Input'!$X$71="Palier",IF(AND(T$20&gt;='01_Input'!$V$71,T$20&lt;'01_Input'!$W$71),'01_Input'!$Y$71,0),MAX(MIN(T$20,'01_Input'!$W$71)-'01_Input'!$V$71,0)*'01_Input'!$Y$71))+IF('01_Input'!$AB$71="Forfait",IF(T$20&gt;='01_Input'!$Z$71,'01_Input'!$AC$71,0),IF('01_Input'!$AB$71="Palier",IF(AND(T$20&gt;='01_Input'!$Z$71,T$20&lt;'01_Input'!$AA$71),'01_Input'!$AC$71,0),MAX(MIN(T$20,'01_Input'!$AA$71)-'01_Input'!$Z$71,0)*'01_Input'!$AC$71)))))))))</f>
        <v>0</v>
      </c>
      <c r="U39" s="25">
        <f>IF('01_Input'!$C$71="Non",0,MIN('01_Input'!$I$71,MAX('01_Input'!$H$71,IF('01_Input'!$G$71="Résiduel vs Gestion",0,IF('01_Input'!$G$71="Taux Classe sélectionnée",Distrib_Global_Classe_Selectionnee*U$20,IF('01_Input'!$G$71="Frais KYC (paliers de 100M€)",MAX(0,Nb_Investisseurs-Nb_KYC_Gratuites_Par_Tranche*(FLOOR(U$20/Taille_Tranche_KYC,1)+1))*Cout_Par_KYC_Supplementaire,(IF('01_Input'!$L$71="Forfait",IF(U$20&gt;='01_Input'!$J$71,'01_Input'!$M$71,0),IF('01_Input'!$L$71="Palier",IF(AND(U$20&gt;='01_Input'!$J$71,U$20&lt;'01_Input'!$K$71),'01_Input'!$M$71,0),MAX(MIN(U$20,'01_Input'!$K$71)-'01_Input'!$J$71,0)*'01_Input'!$M$71))+IF('01_Input'!$P$71="Forfait",IF(U$20&gt;='01_Input'!$N$71,'01_Input'!$Q$71,0),IF('01_Input'!$P$71="Palier",IF(AND(U$20&gt;='01_Input'!$N$71,U$20&lt;'01_Input'!$O$71),'01_Input'!$Q$71,0),MAX(MIN(U$20,'01_Input'!$O$71)-'01_Input'!$N$71,0)*'01_Input'!$Q$71))+IF('01_Input'!$T$71="Forfait",IF(U$20&gt;='01_Input'!$R$71,'01_Input'!$U$71,0),IF('01_Input'!$T$71="Palier",IF(AND(U$20&gt;='01_Input'!$R$71,U$20&lt;'01_Input'!$S$71),'01_Input'!$U$71,0),MAX(MIN(U$20,'01_Input'!$S$71)-'01_Input'!$R$71,0)*'01_Input'!$U$71))+IF('01_Input'!$X$71="Forfait",IF(U$20&gt;='01_Input'!$V$71,'01_Input'!$Y$71,0),IF('01_Input'!$X$71="Palier",IF(AND(U$20&gt;='01_Input'!$V$71,U$20&lt;'01_Input'!$W$71),'01_Input'!$Y$71,0),MAX(MIN(U$20,'01_Input'!$W$71)-'01_Input'!$V$71,0)*'01_Input'!$Y$71))+IF('01_Input'!$AB$71="Forfait",IF(U$20&gt;='01_Input'!$Z$71,'01_Input'!$AC$71,0),IF('01_Input'!$AB$71="Palier",IF(AND(U$20&gt;='01_Input'!$Z$71,U$20&lt;'01_Input'!$AA$71),'01_Input'!$AC$71,0),MAX(MIN(U$20,'01_Input'!$AA$71)-'01_Input'!$Z$71,0)*'01_Input'!$AC$71)))))))))</f>
        <v>0</v>
      </c>
      <c r="V39" s="25">
        <f>IF('01_Input'!$C$71="Non",0,MIN('01_Input'!$I$71,MAX('01_Input'!$H$71,IF('01_Input'!$G$71="Résiduel vs Gestion",0,IF('01_Input'!$G$71="Taux Classe sélectionnée",Distrib_Global_Classe_Selectionnee*V$20,IF('01_Input'!$G$71="Frais KYC (paliers de 100M€)",MAX(0,Nb_Investisseurs-Nb_KYC_Gratuites_Par_Tranche*(FLOOR(V$20/Taille_Tranche_KYC,1)+1))*Cout_Par_KYC_Supplementaire,(IF('01_Input'!$L$71="Forfait",IF(V$20&gt;='01_Input'!$J$71,'01_Input'!$M$71,0),IF('01_Input'!$L$71="Palier",IF(AND(V$20&gt;='01_Input'!$J$71,V$20&lt;'01_Input'!$K$71),'01_Input'!$M$71,0),MAX(MIN(V$20,'01_Input'!$K$71)-'01_Input'!$J$71,0)*'01_Input'!$M$71))+IF('01_Input'!$P$71="Forfait",IF(V$20&gt;='01_Input'!$N$71,'01_Input'!$Q$71,0),IF('01_Input'!$P$71="Palier",IF(AND(V$20&gt;='01_Input'!$N$71,V$20&lt;'01_Input'!$O$71),'01_Input'!$Q$71,0),MAX(MIN(V$20,'01_Input'!$O$71)-'01_Input'!$N$71,0)*'01_Input'!$Q$71))+IF('01_Input'!$T$71="Forfait",IF(V$20&gt;='01_Input'!$R$71,'01_Input'!$U$71,0),IF('01_Input'!$T$71="Palier",IF(AND(V$20&gt;='01_Input'!$R$71,V$20&lt;'01_Input'!$S$71),'01_Input'!$U$71,0),MAX(MIN(V$20,'01_Input'!$S$71)-'01_Input'!$R$71,0)*'01_Input'!$U$71))+IF('01_Input'!$X$71="Forfait",IF(V$20&gt;='01_Input'!$V$71,'01_Input'!$Y$71,0),IF('01_Input'!$X$71="Palier",IF(AND(V$20&gt;='01_Input'!$V$71,V$20&lt;'01_Input'!$W$71),'01_Input'!$Y$71,0),MAX(MIN(V$20,'01_Input'!$W$71)-'01_Input'!$V$71,0)*'01_Input'!$Y$71))+IF('01_Input'!$AB$71="Forfait",IF(V$20&gt;='01_Input'!$Z$71,'01_Input'!$AC$71,0),IF('01_Input'!$AB$71="Palier",IF(AND(V$20&gt;='01_Input'!$Z$71,V$20&lt;'01_Input'!$AA$71),'01_Input'!$AC$71,0),MAX(MIN(V$20,'01_Input'!$AA$71)-'01_Input'!$Z$71,0)*'01_Input'!$AC$71)))))))))</f>
        <v>0</v>
      </c>
      <c r="W39" s="25">
        <f>IF('01_Input'!$C$71="Non",0,MIN('01_Input'!$I$71,MAX('01_Input'!$H$71,IF('01_Input'!$G$71="Résiduel vs Gestion",0,IF('01_Input'!$G$71="Taux Classe sélectionnée",Distrib_Global_Classe_Selectionnee*W$20,IF('01_Input'!$G$71="Frais KYC (paliers de 100M€)",MAX(0,Nb_Investisseurs-Nb_KYC_Gratuites_Par_Tranche*(FLOOR(W$20/Taille_Tranche_KYC,1)+1))*Cout_Par_KYC_Supplementaire,(IF('01_Input'!$L$71="Forfait",IF(W$20&gt;='01_Input'!$J$71,'01_Input'!$M$71,0),IF('01_Input'!$L$71="Palier",IF(AND(W$20&gt;='01_Input'!$J$71,W$20&lt;'01_Input'!$K$71),'01_Input'!$M$71,0),MAX(MIN(W$20,'01_Input'!$K$71)-'01_Input'!$J$71,0)*'01_Input'!$M$71))+IF('01_Input'!$P$71="Forfait",IF(W$20&gt;='01_Input'!$N$71,'01_Input'!$Q$71,0),IF('01_Input'!$P$71="Palier",IF(AND(W$20&gt;='01_Input'!$N$71,W$20&lt;'01_Input'!$O$71),'01_Input'!$Q$71,0),MAX(MIN(W$20,'01_Input'!$O$71)-'01_Input'!$N$71,0)*'01_Input'!$Q$71))+IF('01_Input'!$T$71="Forfait",IF(W$20&gt;='01_Input'!$R$71,'01_Input'!$U$71,0),IF('01_Input'!$T$71="Palier",IF(AND(W$20&gt;='01_Input'!$R$71,W$20&lt;'01_Input'!$S$71),'01_Input'!$U$71,0),MAX(MIN(W$20,'01_Input'!$S$71)-'01_Input'!$R$71,0)*'01_Input'!$U$71))+IF('01_Input'!$X$71="Forfait",IF(W$20&gt;='01_Input'!$V$71,'01_Input'!$Y$71,0),IF('01_Input'!$X$71="Palier",IF(AND(W$20&gt;='01_Input'!$V$71,W$20&lt;'01_Input'!$W$71),'01_Input'!$Y$71,0),MAX(MIN(W$20,'01_Input'!$W$71)-'01_Input'!$V$71,0)*'01_Input'!$Y$71))+IF('01_Input'!$AB$71="Forfait",IF(W$20&gt;='01_Input'!$Z$71,'01_Input'!$AC$71,0),IF('01_Input'!$AB$71="Palier",IF(AND(W$20&gt;='01_Input'!$Z$71,W$20&lt;'01_Input'!$AA$71),'01_Input'!$AC$71,0),MAX(MIN(W$20,'01_Input'!$AA$71)-'01_Input'!$Z$71,0)*'01_Input'!$AC$71)))))))))</f>
        <v>0</v>
      </c>
      <c r="X39" s="25">
        <f>IF('01_Input'!$C$71="Non",0,MIN('01_Input'!$I$71,MAX('01_Input'!$H$71,IF('01_Input'!$G$71="Résiduel vs Gestion",0,IF('01_Input'!$G$71="Taux Classe sélectionnée",Distrib_Global_Classe_Selectionnee*X$20,IF('01_Input'!$G$71="Frais KYC (paliers de 100M€)",MAX(0,Nb_Investisseurs-Nb_KYC_Gratuites_Par_Tranche*(FLOOR(X$20/Taille_Tranche_KYC,1)+1))*Cout_Par_KYC_Supplementaire,(IF('01_Input'!$L$71="Forfait",IF(X$20&gt;='01_Input'!$J$71,'01_Input'!$M$71,0),IF('01_Input'!$L$71="Palier",IF(AND(X$20&gt;='01_Input'!$J$71,X$20&lt;'01_Input'!$K$71),'01_Input'!$M$71,0),MAX(MIN(X$20,'01_Input'!$K$71)-'01_Input'!$J$71,0)*'01_Input'!$M$71))+IF('01_Input'!$P$71="Forfait",IF(X$20&gt;='01_Input'!$N$71,'01_Input'!$Q$71,0),IF('01_Input'!$P$71="Palier",IF(AND(X$20&gt;='01_Input'!$N$71,X$20&lt;'01_Input'!$O$71),'01_Input'!$Q$71,0),MAX(MIN(X$20,'01_Input'!$O$71)-'01_Input'!$N$71,0)*'01_Input'!$Q$71))+IF('01_Input'!$T$71="Forfait",IF(X$20&gt;='01_Input'!$R$71,'01_Input'!$U$71,0),IF('01_Input'!$T$71="Palier",IF(AND(X$20&gt;='01_Input'!$R$71,X$20&lt;'01_Input'!$S$71),'01_Input'!$U$71,0),MAX(MIN(X$20,'01_Input'!$S$71)-'01_Input'!$R$71,0)*'01_Input'!$U$71))+IF('01_Input'!$X$71="Forfait",IF(X$20&gt;='01_Input'!$V$71,'01_Input'!$Y$71,0),IF('01_Input'!$X$71="Palier",IF(AND(X$20&gt;='01_Input'!$V$71,X$20&lt;'01_Input'!$W$71),'01_Input'!$Y$71,0),MAX(MIN(X$20,'01_Input'!$W$71)-'01_Input'!$V$71,0)*'01_Input'!$Y$71))+IF('01_Input'!$AB$71="Forfait",IF(X$20&gt;='01_Input'!$Z$71,'01_Input'!$AC$71,0),IF('01_Input'!$AB$71="Palier",IF(AND(X$20&gt;='01_Input'!$Z$71,X$20&lt;'01_Input'!$AA$71),'01_Input'!$AC$71,0),MAX(MIN(X$20,'01_Input'!$AA$71)-'01_Input'!$Z$71,0)*'01_Input'!$AC$71)))))))))</f>
        <v>0</v>
      </c>
      <c r="Y39" s="25">
        <f>IF('01_Input'!$C$71="Non",0,MIN('01_Input'!$I$71,MAX('01_Input'!$H$71,IF('01_Input'!$G$71="Résiduel vs Gestion",0,IF('01_Input'!$G$71="Taux Classe sélectionnée",Distrib_Global_Classe_Selectionnee*Y$20,IF('01_Input'!$G$71="Frais KYC (paliers de 100M€)",MAX(0,Nb_Investisseurs-Nb_KYC_Gratuites_Par_Tranche*(FLOOR(Y$20/Taille_Tranche_KYC,1)+1))*Cout_Par_KYC_Supplementaire,(IF('01_Input'!$L$71="Forfait",IF(Y$20&gt;='01_Input'!$J$71,'01_Input'!$M$71,0),IF('01_Input'!$L$71="Palier",IF(AND(Y$20&gt;='01_Input'!$J$71,Y$20&lt;'01_Input'!$K$71),'01_Input'!$M$71,0),MAX(MIN(Y$20,'01_Input'!$K$71)-'01_Input'!$J$71,0)*'01_Input'!$M$71))+IF('01_Input'!$P$71="Forfait",IF(Y$20&gt;='01_Input'!$N$71,'01_Input'!$Q$71,0),IF('01_Input'!$P$71="Palier",IF(AND(Y$20&gt;='01_Input'!$N$71,Y$20&lt;'01_Input'!$O$71),'01_Input'!$Q$71,0),MAX(MIN(Y$20,'01_Input'!$O$71)-'01_Input'!$N$71,0)*'01_Input'!$Q$71))+IF('01_Input'!$T$71="Forfait",IF(Y$20&gt;='01_Input'!$R$71,'01_Input'!$U$71,0),IF('01_Input'!$T$71="Palier",IF(AND(Y$20&gt;='01_Input'!$R$71,Y$20&lt;'01_Input'!$S$71),'01_Input'!$U$71,0),MAX(MIN(Y$20,'01_Input'!$S$71)-'01_Input'!$R$71,0)*'01_Input'!$U$71))+IF('01_Input'!$X$71="Forfait",IF(Y$20&gt;='01_Input'!$V$71,'01_Input'!$Y$71,0),IF('01_Input'!$X$71="Palier",IF(AND(Y$20&gt;='01_Input'!$V$71,Y$20&lt;'01_Input'!$W$71),'01_Input'!$Y$71,0),MAX(MIN(Y$20,'01_Input'!$W$71)-'01_Input'!$V$71,0)*'01_Input'!$Y$71))+IF('01_Input'!$AB$71="Forfait",IF(Y$20&gt;='01_Input'!$Z$71,'01_Input'!$AC$71,0),IF('01_Input'!$AB$71="Palier",IF(AND(Y$20&gt;='01_Input'!$Z$71,Y$20&lt;'01_Input'!$AA$71),'01_Input'!$AC$71,0),MAX(MIN(Y$20,'01_Input'!$AA$71)-'01_Input'!$Z$71,0)*'01_Input'!$AC$71)))))))))</f>
        <v>0</v>
      </c>
      <c r="Z39" s="25">
        <f>IF('01_Input'!$C$71="Non",0,MIN('01_Input'!$I$71,MAX('01_Input'!$H$71,IF('01_Input'!$G$71="Résiduel vs Gestion",0,IF('01_Input'!$G$71="Taux Classe sélectionnée",Distrib_Global_Classe_Selectionnee*Z$20,IF('01_Input'!$G$71="Frais KYC (paliers de 100M€)",MAX(0,Nb_Investisseurs-Nb_KYC_Gratuites_Par_Tranche*(FLOOR(Z$20/Taille_Tranche_KYC,1)+1))*Cout_Par_KYC_Supplementaire,(IF('01_Input'!$L$71="Forfait",IF(Z$20&gt;='01_Input'!$J$71,'01_Input'!$M$71,0),IF('01_Input'!$L$71="Palier",IF(AND(Z$20&gt;='01_Input'!$J$71,Z$20&lt;'01_Input'!$K$71),'01_Input'!$M$71,0),MAX(MIN(Z$20,'01_Input'!$K$71)-'01_Input'!$J$71,0)*'01_Input'!$M$71))+IF('01_Input'!$P$71="Forfait",IF(Z$20&gt;='01_Input'!$N$71,'01_Input'!$Q$71,0),IF('01_Input'!$P$71="Palier",IF(AND(Z$20&gt;='01_Input'!$N$71,Z$20&lt;'01_Input'!$O$71),'01_Input'!$Q$71,0),MAX(MIN(Z$20,'01_Input'!$O$71)-'01_Input'!$N$71,0)*'01_Input'!$Q$71))+IF('01_Input'!$T$71="Forfait",IF(Z$20&gt;='01_Input'!$R$71,'01_Input'!$U$71,0),IF('01_Input'!$T$71="Palier",IF(AND(Z$20&gt;='01_Input'!$R$71,Z$20&lt;'01_Input'!$S$71),'01_Input'!$U$71,0),MAX(MIN(Z$20,'01_Input'!$S$71)-'01_Input'!$R$71,0)*'01_Input'!$U$71))+IF('01_Input'!$X$71="Forfait",IF(Z$20&gt;='01_Input'!$V$71,'01_Input'!$Y$71,0),IF('01_Input'!$X$71="Palier",IF(AND(Z$20&gt;='01_Input'!$V$71,Z$20&lt;'01_Input'!$W$71),'01_Input'!$Y$71,0),MAX(MIN(Z$20,'01_Input'!$W$71)-'01_Input'!$V$71,0)*'01_Input'!$Y$71))+IF('01_Input'!$AB$71="Forfait",IF(Z$20&gt;='01_Input'!$Z$71,'01_Input'!$AC$71,0),IF('01_Input'!$AB$71="Palier",IF(AND(Z$20&gt;='01_Input'!$Z$71,Z$20&lt;'01_Input'!$AA$71),'01_Input'!$AC$71,0),MAX(MIN(Z$20,'01_Input'!$AA$71)-'01_Input'!$Z$71,0)*'01_Input'!$AC$71)))))))))</f>
        <v>0</v>
      </c>
      <c r="AA39" s="25">
        <f>IF('01_Input'!$C$71="Non",0,MIN('01_Input'!$I$71,MAX('01_Input'!$H$71,IF('01_Input'!$G$71="Résiduel vs Gestion",0,IF('01_Input'!$G$71="Taux Classe sélectionnée",Distrib_Global_Classe_Selectionnee*AA$20,IF('01_Input'!$G$71="Frais KYC (paliers de 100M€)",MAX(0,Nb_Investisseurs-Nb_KYC_Gratuites_Par_Tranche*(FLOOR(AA$20/Taille_Tranche_KYC,1)+1))*Cout_Par_KYC_Supplementaire,(IF('01_Input'!$L$71="Forfait",IF(AA$20&gt;='01_Input'!$J$71,'01_Input'!$M$71,0),IF('01_Input'!$L$71="Palier",IF(AND(AA$20&gt;='01_Input'!$J$71,AA$20&lt;'01_Input'!$K$71),'01_Input'!$M$71,0),MAX(MIN(AA$20,'01_Input'!$K$71)-'01_Input'!$J$71,0)*'01_Input'!$M$71))+IF('01_Input'!$P$71="Forfait",IF(AA$20&gt;='01_Input'!$N$71,'01_Input'!$Q$71,0),IF('01_Input'!$P$71="Palier",IF(AND(AA$20&gt;='01_Input'!$N$71,AA$20&lt;'01_Input'!$O$71),'01_Input'!$Q$71,0),MAX(MIN(AA$20,'01_Input'!$O$71)-'01_Input'!$N$71,0)*'01_Input'!$Q$71))+IF('01_Input'!$T$71="Forfait",IF(AA$20&gt;='01_Input'!$R$71,'01_Input'!$U$71,0),IF('01_Input'!$T$71="Palier",IF(AND(AA$20&gt;='01_Input'!$R$71,AA$20&lt;'01_Input'!$S$71),'01_Input'!$U$71,0),MAX(MIN(AA$20,'01_Input'!$S$71)-'01_Input'!$R$71,0)*'01_Input'!$U$71))+IF('01_Input'!$X$71="Forfait",IF(AA$20&gt;='01_Input'!$V$71,'01_Input'!$Y$71,0),IF('01_Input'!$X$71="Palier",IF(AND(AA$20&gt;='01_Input'!$V$71,AA$20&lt;'01_Input'!$W$71),'01_Input'!$Y$71,0),MAX(MIN(AA$20,'01_Input'!$W$71)-'01_Input'!$V$71,0)*'01_Input'!$Y$71))+IF('01_Input'!$AB$71="Forfait",IF(AA$20&gt;='01_Input'!$Z$71,'01_Input'!$AC$71,0),IF('01_Input'!$AB$71="Palier",IF(AND(AA$20&gt;='01_Input'!$Z$71,AA$20&lt;'01_Input'!$AA$71),'01_Input'!$AC$71,0),MAX(MIN(AA$20,'01_Input'!$AA$71)-'01_Input'!$Z$71,0)*'01_Input'!$AC$71)))))))))</f>
        <v>0</v>
      </c>
      <c r="AB39" s="25">
        <f>IF('01_Input'!$C$71="Non",0,MIN('01_Input'!$I$71,MAX('01_Input'!$H$71,IF('01_Input'!$G$71="Résiduel vs Gestion",0,IF('01_Input'!$G$71="Taux Classe sélectionnée",Distrib_Global_Classe_Selectionnee*AB$20,IF('01_Input'!$G$71="Frais KYC (paliers de 100M€)",MAX(0,Nb_Investisseurs-Nb_KYC_Gratuites_Par_Tranche*(FLOOR(AB$20/Taille_Tranche_KYC,1)+1))*Cout_Par_KYC_Supplementaire,(IF('01_Input'!$L$71="Forfait",IF(AB$20&gt;='01_Input'!$J$71,'01_Input'!$M$71,0),IF('01_Input'!$L$71="Palier",IF(AND(AB$20&gt;='01_Input'!$J$71,AB$20&lt;'01_Input'!$K$71),'01_Input'!$M$71,0),MAX(MIN(AB$20,'01_Input'!$K$71)-'01_Input'!$J$71,0)*'01_Input'!$M$71))+IF('01_Input'!$P$71="Forfait",IF(AB$20&gt;='01_Input'!$N$71,'01_Input'!$Q$71,0),IF('01_Input'!$P$71="Palier",IF(AND(AB$20&gt;='01_Input'!$N$71,AB$20&lt;'01_Input'!$O$71),'01_Input'!$Q$71,0),MAX(MIN(AB$20,'01_Input'!$O$71)-'01_Input'!$N$71,0)*'01_Input'!$Q$71))+IF('01_Input'!$T$71="Forfait",IF(AB$20&gt;='01_Input'!$R$71,'01_Input'!$U$71,0),IF('01_Input'!$T$71="Palier",IF(AND(AB$20&gt;='01_Input'!$R$71,AB$20&lt;'01_Input'!$S$71),'01_Input'!$U$71,0),MAX(MIN(AB$20,'01_Input'!$S$71)-'01_Input'!$R$71,0)*'01_Input'!$U$71))+IF('01_Input'!$X$71="Forfait",IF(AB$20&gt;='01_Input'!$V$71,'01_Input'!$Y$71,0),IF('01_Input'!$X$71="Palier",IF(AND(AB$20&gt;='01_Input'!$V$71,AB$20&lt;'01_Input'!$W$71),'01_Input'!$Y$71,0),MAX(MIN(AB$20,'01_Input'!$W$71)-'01_Input'!$V$71,0)*'01_Input'!$Y$71))+IF('01_Input'!$AB$71="Forfait",IF(AB$20&gt;='01_Input'!$Z$71,'01_Input'!$AC$71,0),IF('01_Input'!$AB$71="Palier",IF(AND(AB$20&gt;='01_Input'!$Z$71,AB$20&lt;'01_Input'!$AA$71),'01_Input'!$AC$71,0),MAX(MIN(AB$20,'01_Input'!$AA$71)-'01_Input'!$Z$71,0)*'01_Input'!$AC$71)))))))))</f>
        <v>0</v>
      </c>
      <c r="AC39" s="25">
        <f>IF('01_Input'!$C$71="Non",0,MIN('01_Input'!$I$71,MAX('01_Input'!$H$71,IF('01_Input'!$G$71="Résiduel vs Gestion",0,IF('01_Input'!$G$71="Taux Classe sélectionnée",Distrib_Global_Classe_Selectionnee*AC$20,IF('01_Input'!$G$71="Frais KYC (paliers de 100M€)",MAX(0,Nb_Investisseurs-Nb_KYC_Gratuites_Par_Tranche*(FLOOR(AC$20/Taille_Tranche_KYC,1)+1))*Cout_Par_KYC_Supplementaire,(IF('01_Input'!$L$71="Forfait",IF(AC$20&gt;='01_Input'!$J$71,'01_Input'!$M$71,0),IF('01_Input'!$L$71="Palier",IF(AND(AC$20&gt;='01_Input'!$J$71,AC$20&lt;'01_Input'!$K$71),'01_Input'!$M$71,0),MAX(MIN(AC$20,'01_Input'!$K$71)-'01_Input'!$J$71,0)*'01_Input'!$M$71))+IF('01_Input'!$P$71="Forfait",IF(AC$20&gt;='01_Input'!$N$71,'01_Input'!$Q$71,0),IF('01_Input'!$P$71="Palier",IF(AND(AC$20&gt;='01_Input'!$N$71,AC$20&lt;'01_Input'!$O$71),'01_Input'!$Q$71,0),MAX(MIN(AC$20,'01_Input'!$O$71)-'01_Input'!$N$71,0)*'01_Input'!$Q$71))+IF('01_Input'!$T$71="Forfait",IF(AC$20&gt;='01_Input'!$R$71,'01_Input'!$U$71,0),IF('01_Input'!$T$71="Palier",IF(AND(AC$20&gt;='01_Input'!$R$71,AC$20&lt;'01_Input'!$S$71),'01_Input'!$U$71,0),MAX(MIN(AC$20,'01_Input'!$S$71)-'01_Input'!$R$71,0)*'01_Input'!$U$71))+IF('01_Input'!$X$71="Forfait",IF(AC$20&gt;='01_Input'!$V$71,'01_Input'!$Y$71,0),IF('01_Input'!$X$71="Palier",IF(AND(AC$20&gt;='01_Input'!$V$71,AC$20&lt;'01_Input'!$W$71),'01_Input'!$Y$71,0),MAX(MIN(AC$20,'01_Input'!$W$71)-'01_Input'!$V$71,0)*'01_Input'!$Y$71))+IF('01_Input'!$AB$71="Forfait",IF(AC$20&gt;='01_Input'!$Z$71,'01_Input'!$AC$71,0),IF('01_Input'!$AB$71="Palier",IF(AND(AC$20&gt;='01_Input'!$Z$71,AC$20&lt;'01_Input'!$AA$71),'01_Input'!$AC$71,0),MAX(MIN(AC$20,'01_Input'!$AA$71)-'01_Input'!$Z$71,0)*'01_Input'!$AC$71)))))))))</f>
        <v>0</v>
      </c>
      <c r="AD39" s="25">
        <f>IF('01_Input'!$C$71="Non",0,MIN('01_Input'!$I$71,MAX('01_Input'!$H$71,IF('01_Input'!$G$71="Résiduel vs Gestion",0,IF('01_Input'!$G$71="Taux Classe sélectionnée",Distrib_Global_Classe_Selectionnee*AD$20,IF('01_Input'!$G$71="Frais KYC (paliers de 100M€)",MAX(0,Nb_Investisseurs-Nb_KYC_Gratuites_Par_Tranche*(FLOOR(AD$20/Taille_Tranche_KYC,1)+1))*Cout_Par_KYC_Supplementaire,(IF('01_Input'!$L$71="Forfait",IF(AD$20&gt;='01_Input'!$J$71,'01_Input'!$M$71,0),IF('01_Input'!$L$71="Palier",IF(AND(AD$20&gt;='01_Input'!$J$71,AD$20&lt;'01_Input'!$K$71),'01_Input'!$M$71,0),MAX(MIN(AD$20,'01_Input'!$K$71)-'01_Input'!$J$71,0)*'01_Input'!$M$71))+IF('01_Input'!$P$71="Forfait",IF(AD$20&gt;='01_Input'!$N$71,'01_Input'!$Q$71,0),IF('01_Input'!$P$71="Palier",IF(AND(AD$20&gt;='01_Input'!$N$71,AD$20&lt;'01_Input'!$O$71),'01_Input'!$Q$71,0),MAX(MIN(AD$20,'01_Input'!$O$71)-'01_Input'!$N$71,0)*'01_Input'!$Q$71))+IF('01_Input'!$T$71="Forfait",IF(AD$20&gt;='01_Input'!$R$71,'01_Input'!$U$71,0),IF('01_Input'!$T$71="Palier",IF(AND(AD$20&gt;='01_Input'!$R$71,AD$20&lt;'01_Input'!$S$71),'01_Input'!$U$71,0),MAX(MIN(AD$20,'01_Input'!$S$71)-'01_Input'!$R$71,0)*'01_Input'!$U$71))+IF('01_Input'!$X$71="Forfait",IF(AD$20&gt;='01_Input'!$V$71,'01_Input'!$Y$71,0),IF('01_Input'!$X$71="Palier",IF(AND(AD$20&gt;='01_Input'!$V$71,AD$20&lt;'01_Input'!$W$71),'01_Input'!$Y$71,0),MAX(MIN(AD$20,'01_Input'!$W$71)-'01_Input'!$V$71,0)*'01_Input'!$Y$71))+IF('01_Input'!$AB$71="Forfait",IF(AD$20&gt;='01_Input'!$Z$71,'01_Input'!$AC$71,0),IF('01_Input'!$AB$71="Palier",IF(AND(AD$20&gt;='01_Input'!$Z$71,AD$20&lt;'01_Input'!$AA$71),'01_Input'!$AC$71,0),MAX(MIN(AD$20,'01_Input'!$AA$71)-'01_Input'!$Z$71,0)*'01_Input'!$AC$71)))))))))</f>
        <v>0</v>
      </c>
      <c r="AE39" s="25">
        <f>IF('01_Input'!$C$71="Non",0,MIN('01_Input'!$I$71,MAX('01_Input'!$H$71,IF('01_Input'!$G$71="Résiduel vs Gestion",0,IF('01_Input'!$G$71="Taux Classe sélectionnée",Distrib_Global_Classe_Selectionnee*AE$20,IF('01_Input'!$G$71="Frais KYC (paliers de 100M€)",MAX(0,Nb_Investisseurs-Nb_KYC_Gratuites_Par_Tranche*(FLOOR(AE$20/Taille_Tranche_KYC,1)+1))*Cout_Par_KYC_Supplementaire,(IF('01_Input'!$L$71="Forfait",IF(AE$20&gt;='01_Input'!$J$71,'01_Input'!$M$71,0),IF('01_Input'!$L$71="Palier",IF(AND(AE$20&gt;='01_Input'!$J$71,AE$20&lt;'01_Input'!$K$71),'01_Input'!$M$71,0),MAX(MIN(AE$20,'01_Input'!$K$71)-'01_Input'!$J$71,0)*'01_Input'!$M$71))+IF('01_Input'!$P$71="Forfait",IF(AE$20&gt;='01_Input'!$N$71,'01_Input'!$Q$71,0),IF('01_Input'!$P$71="Palier",IF(AND(AE$20&gt;='01_Input'!$N$71,AE$20&lt;'01_Input'!$O$71),'01_Input'!$Q$71,0),MAX(MIN(AE$20,'01_Input'!$O$71)-'01_Input'!$N$71,0)*'01_Input'!$Q$71))+IF('01_Input'!$T$71="Forfait",IF(AE$20&gt;='01_Input'!$R$71,'01_Input'!$U$71,0),IF('01_Input'!$T$71="Palier",IF(AND(AE$20&gt;='01_Input'!$R$71,AE$20&lt;'01_Input'!$S$71),'01_Input'!$U$71,0),MAX(MIN(AE$20,'01_Input'!$S$71)-'01_Input'!$R$71,0)*'01_Input'!$U$71))+IF('01_Input'!$X$71="Forfait",IF(AE$20&gt;='01_Input'!$V$71,'01_Input'!$Y$71,0),IF('01_Input'!$X$71="Palier",IF(AND(AE$20&gt;='01_Input'!$V$71,AE$20&lt;'01_Input'!$W$71),'01_Input'!$Y$71,0),MAX(MIN(AE$20,'01_Input'!$W$71)-'01_Input'!$V$71,0)*'01_Input'!$Y$71))+IF('01_Input'!$AB$71="Forfait",IF(AE$20&gt;='01_Input'!$Z$71,'01_Input'!$AC$71,0),IF('01_Input'!$AB$71="Palier",IF(AND(AE$20&gt;='01_Input'!$Z$71,AE$20&lt;'01_Input'!$AA$71),'01_Input'!$AC$71,0),MAX(MIN(AE$20,'01_Input'!$AA$71)-'01_Input'!$Z$71,0)*'01_Input'!$AC$71)))))))))</f>
        <v>0</v>
      </c>
      <c r="AF39" s="25">
        <f>IF('01_Input'!$C$71="Non",0,MIN('01_Input'!$I$71,MAX('01_Input'!$H$71,IF('01_Input'!$G$71="Résiduel vs Gestion",0,IF('01_Input'!$G$71="Taux Classe sélectionnée",Distrib_Global_Classe_Selectionnee*AF$20,IF('01_Input'!$G$71="Frais KYC (paliers de 100M€)",MAX(0,Nb_Investisseurs-Nb_KYC_Gratuites_Par_Tranche*(FLOOR(AF$20/Taille_Tranche_KYC,1)+1))*Cout_Par_KYC_Supplementaire,(IF('01_Input'!$L$71="Forfait",IF(AF$20&gt;='01_Input'!$J$71,'01_Input'!$M$71,0),IF('01_Input'!$L$71="Palier",IF(AND(AF$20&gt;='01_Input'!$J$71,AF$20&lt;'01_Input'!$K$71),'01_Input'!$M$71,0),MAX(MIN(AF$20,'01_Input'!$K$71)-'01_Input'!$J$71,0)*'01_Input'!$M$71))+IF('01_Input'!$P$71="Forfait",IF(AF$20&gt;='01_Input'!$N$71,'01_Input'!$Q$71,0),IF('01_Input'!$P$71="Palier",IF(AND(AF$20&gt;='01_Input'!$N$71,AF$20&lt;'01_Input'!$O$71),'01_Input'!$Q$71,0),MAX(MIN(AF$20,'01_Input'!$O$71)-'01_Input'!$N$71,0)*'01_Input'!$Q$71))+IF('01_Input'!$T$71="Forfait",IF(AF$20&gt;='01_Input'!$R$71,'01_Input'!$U$71,0),IF('01_Input'!$T$71="Palier",IF(AND(AF$20&gt;='01_Input'!$R$71,AF$20&lt;'01_Input'!$S$71),'01_Input'!$U$71,0),MAX(MIN(AF$20,'01_Input'!$S$71)-'01_Input'!$R$71,0)*'01_Input'!$U$71))+IF('01_Input'!$X$71="Forfait",IF(AF$20&gt;='01_Input'!$V$71,'01_Input'!$Y$71,0),IF('01_Input'!$X$71="Palier",IF(AND(AF$20&gt;='01_Input'!$V$71,AF$20&lt;'01_Input'!$W$71),'01_Input'!$Y$71,0),MAX(MIN(AF$20,'01_Input'!$W$71)-'01_Input'!$V$71,0)*'01_Input'!$Y$71))+IF('01_Input'!$AB$71="Forfait",IF(AF$20&gt;='01_Input'!$Z$71,'01_Input'!$AC$71,0),IF('01_Input'!$AB$71="Palier",IF(AND(AF$20&gt;='01_Input'!$Z$71,AF$20&lt;'01_Input'!$AA$71),'01_Input'!$AC$71,0),MAX(MIN(AF$20,'01_Input'!$AA$71)-'01_Input'!$Z$71,0)*'01_Input'!$AC$71)))))))))</f>
        <v>0</v>
      </c>
      <c r="AG39" s="25">
        <f>IF('01_Input'!$C$71="Non",0,MIN('01_Input'!$I$71,MAX('01_Input'!$H$71,IF('01_Input'!$G$71="Résiduel vs Gestion",0,IF('01_Input'!$G$71="Taux Classe sélectionnée",Distrib_Global_Classe_Selectionnee*AG$20,IF('01_Input'!$G$71="Frais KYC (paliers de 100M€)",MAX(0,Nb_Investisseurs-Nb_KYC_Gratuites_Par_Tranche*(FLOOR(AG$20/Taille_Tranche_KYC,1)+1))*Cout_Par_KYC_Supplementaire,(IF('01_Input'!$L$71="Forfait",IF(AG$20&gt;='01_Input'!$J$71,'01_Input'!$M$71,0),IF('01_Input'!$L$71="Palier",IF(AND(AG$20&gt;='01_Input'!$J$71,AG$20&lt;'01_Input'!$K$71),'01_Input'!$M$71,0),MAX(MIN(AG$20,'01_Input'!$K$71)-'01_Input'!$J$71,0)*'01_Input'!$M$71))+IF('01_Input'!$P$71="Forfait",IF(AG$20&gt;='01_Input'!$N$71,'01_Input'!$Q$71,0),IF('01_Input'!$P$71="Palier",IF(AND(AG$20&gt;='01_Input'!$N$71,AG$20&lt;'01_Input'!$O$71),'01_Input'!$Q$71,0),MAX(MIN(AG$20,'01_Input'!$O$71)-'01_Input'!$N$71,0)*'01_Input'!$Q$71))+IF('01_Input'!$T$71="Forfait",IF(AG$20&gt;='01_Input'!$R$71,'01_Input'!$U$71,0),IF('01_Input'!$T$71="Palier",IF(AND(AG$20&gt;='01_Input'!$R$71,AG$20&lt;'01_Input'!$S$71),'01_Input'!$U$71,0),MAX(MIN(AG$20,'01_Input'!$S$71)-'01_Input'!$R$71,0)*'01_Input'!$U$71))+IF('01_Input'!$X$71="Forfait",IF(AG$20&gt;='01_Input'!$V$71,'01_Input'!$Y$71,0),IF('01_Input'!$X$71="Palier",IF(AND(AG$20&gt;='01_Input'!$V$71,AG$20&lt;'01_Input'!$W$71),'01_Input'!$Y$71,0),MAX(MIN(AG$20,'01_Input'!$W$71)-'01_Input'!$V$71,0)*'01_Input'!$Y$71))+IF('01_Input'!$AB$71="Forfait",IF(AG$20&gt;='01_Input'!$Z$71,'01_Input'!$AC$71,0),IF('01_Input'!$AB$71="Palier",IF(AND(AG$20&gt;='01_Input'!$Z$71,AG$20&lt;'01_Input'!$AA$71),'01_Input'!$AC$71,0),MAX(MIN(AG$20,'01_Input'!$AA$71)-'01_Input'!$Z$71,0)*'01_Input'!$AC$71)))))))))</f>
        <v>0</v>
      </c>
      <c r="AH39" s="25">
        <f>IF('01_Input'!$C$71="Non",0,MIN('01_Input'!$I$71,MAX('01_Input'!$H$71,IF('01_Input'!$G$71="Résiduel vs Gestion",0,IF('01_Input'!$G$71="Taux Classe sélectionnée",Distrib_Global_Classe_Selectionnee*AH$20,IF('01_Input'!$G$71="Frais KYC (paliers de 100M€)",MAX(0,Nb_Investisseurs-Nb_KYC_Gratuites_Par_Tranche*(FLOOR(AH$20/Taille_Tranche_KYC,1)+1))*Cout_Par_KYC_Supplementaire,(IF('01_Input'!$L$71="Forfait",IF(AH$20&gt;='01_Input'!$J$71,'01_Input'!$M$71,0),IF('01_Input'!$L$71="Palier",IF(AND(AH$20&gt;='01_Input'!$J$71,AH$20&lt;'01_Input'!$K$71),'01_Input'!$M$71,0),MAX(MIN(AH$20,'01_Input'!$K$71)-'01_Input'!$J$71,0)*'01_Input'!$M$71))+IF('01_Input'!$P$71="Forfait",IF(AH$20&gt;='01_Input'!$N$71,'01_Input'!$Q$71,0),IF('01_Input'!$P$71="Palier",IF(AND(AH$20&gt;='01_Input'!$N$71,AH$20&lt;'01_Input'!$O$71),'01_Input'!$Q$71,0),MAX(MIN(AH$20,'01_Input'!$O$71)-'01_Input'!$N$71,0)*'01_Input'!$Q$71))+IF('01_Input'!$T$71="Forfait",IF(AH$20&gt;='01_Input'!$R$71,'01_Input'!$U$71,0),IF('01_Input'!$T$71="Palier",IF(AND(AH$20&gt;='01_Input'!$R$71,AH$20&lt;'01_Input'!$S$71),'01_Input'!$U$71,0),MAX(MIN(AH$20,'01_Input'!$S$71)-'01_Input'!$R$71,0)*'01_Input'!$U$71))+IF('01_Input'!$X$71="Forfait",IF(AH$20&gt;='01_Input'!$V$71,'01_Input'!$Y$71,0),IF('01_Input'!$X$71="Palier",IF(AND(AH$20&gt;='01_Input'!$V$71,AH$20&lt;'01_Input'!$W$71),'01_Input'!$Y$71,0),MAX(MIN(AH$20,'01_Input'!$W$71)-'01_Input'!$V$71,0)*'01_Input'!$Y$71))+IF('01_Input'!$AB$71="Forfait",IF(AH$20&gt;='01_Input'!$Z$71,'01_Input'!$AC$71,0),IF('01_Input'!$AB$71="Palier",IF(AND(AH$20&gt;='01_Input'!$Z$71,AH$20&lt;'01_Input'!$AA$71),'01_Input'!$AC$71,0),MAX(MIN(AH$20,'01_Input'!$AA$71)-'01_Input'!$Z$71,0)*'01_Input'!$AC$71)))))))))</f>
        <v>0</v>
      </c>
      <c r="AI39" s="25">
        <f>IF('01_Input'!$C$71="Non",0,MIN('01_Input'!$I$71,MAX('01_Input'!$H$71,IF('01_Input'!$G$71="Résiduel vs Gestion",0,IF('01_Input'!$G$71="Taux Classe sélectionnée",Distrib_Global_Classe_Selectionnee*AI$20,IF('01_Input'!$G$71="Frais KYC (paliers de 100M€)",MAX(0,Nb_Investisseurs-Nb_KYC_Gratuites_Par_Tranche*(FLOOR(AI$20/Taille_Tranche_KYC,1)+1))*Cout_Par_KYC_Supplementaire,(IF('01_Input'!$L$71="Forfait",IF(AI$20&gt;='01_Input'!$J$71,'01_Input'!$M$71,0),IF('01_Input'!$L$71="Palier",IF(AND(AI$20&gt;='01_Input'!$J$71,AI$20&lt;'01_Input'!$K$71),'01_Input'!$M$71,0),MAX(MIN(AI$20,'01_Input'!$K$71)-'01_Input'!$J$71,0)*'01_Input'!$M$71))+IF('01_Input'!$P$71="Forfait",IF(AI$20&gt;='01_Input'!$N$71,'01_Input'!$Q$71,0),IF('01_Input'!$P$71="Palier",IF(AND(AI$20&gt;='01_Input'!$N$71,AI$20&lt;'01_Input'!$O$71),'01_Input'!$Q$71,0),MAX(MIN(AI$20,'01_Input'!$O$71)-'01_Input'!$N$71,0)*'01_Input'!$Q$71))+IF('01_Input'!$T$71="Forfait",IF(AI$20&gt;='01_Input'!$R$71,'01_Input'!$U$71,0),IF('01_Input'!$T$71="Palier",IF(AND(AI$20&gt;='01_Input'!$R$71,AI$20&lt;'01_Input'!$S$71),'01_Input'!$U$71,0),MAX(MIN(AI$20,'01_Input'!$S$71)-'01_Input'!$R$71,0)*'01_Input'!$U$71))+IF('01_Input'!$X$71="Forfait",IF(AI$20&gt;='01_Input'!$V$71,'01_Input'!$Y$71,0),IF('01_Input'!$X$71="Palier",IF(AND(AI$20&gt;='01_Input'!$V$71,AI$20&lt;'01_Input'!$W$71),'01_Input'!$Y$71,0),MAX(MIN(AI$20,'01_Input'!$W$71)-'01_Input'!$V$71,0)*'01_Input'!$Y$71))+IF('01_Input'!$AB$71="Forfait",IF(AI$20&gt;='01_Input'!$Z$71,'01_Input'!$AC$71,0),IF('01_Input'!$AB$71="Palier",IF(AND(AI$20&gt;='01_Input'!$Z$71,AI$20&lt;'01_Input'!$AA$71),'01_Input'!$AC$71,0),MAX(MIN(AI$20,'01_Input'!$AA$71)-'01_Input'!$Z$71,0)*'01_Input'!$AC$71)))))))))</f>
        <v>0</v>
      </c>
      <c r="AJ39" s="25">
        <f>IF('01_Input'!$C$71="Non",0,MIN('01_Input'!$I$71,MAX('01_Input'!$H$71,IF('01_Input'!$G$71="Résiduel vs Gestion",0,IF('01_Input'!$G$71="Taux Classe sélectionnée",Distrib_Global_Classe_Selectionnee*AJ$20,IF('01_Input'!$G$71="Frais KYC (paliers de 100M€)",MAX(0,Nb_Investisseurs-Nb_KYC_Gratuites_Par_Tranche*(FLOOR(AJ$20/Taille_Tranche_KYC,1)+1))*Cout_Par_KYC_Supplementaire,(IF('01_Input'!$L$71="Forfait",IF(AJ$20&gt;='01_Input'!$J$71,'01_Input'!$M$71,0),IF('01_Input'!$L$71="Palier",IF(AND(AJ$20&gt;='01_Input'!$J$71,AJ$20&lt;'01_Input'!$K$71),'01_Input'!$M$71,0),MAX(MIN(AJ$20,'01_Input'!$K$71)-'01_Input'!$J$71,0)*'01_Input'!$M$71))+IF('01_Input'!$P$71="Forfait",IF(AJ$20&gt;='01_Input'!$N$71,'01_Input'!$Q$71,0),IF('01_Input'!$P$71="Palier",IF(AND(AJ$20&gt;='01_Input'!$N$71,AJ$20&lt;'01_Input'!$O$71),'01_Input'!$Q$71,0),MAX(MIN(AJ$20,'01_Input'!$O$71)-'01_Input'!$N$71,0)*'01_Input'!$Q$71))+IF('01_Input'!$T$71="Forfait",IF(AJ$20&gt;='01_Input'!$R$71,'01_Input'!$U$71,0),IF('01_Input'!$T$71="Palier",IF(AND(AJ$20&gt;='01_Input'!$R$71,AJ$20&lt;'01_Input'!$S$71),'01_Input'!$U$71,0),MAX(MIN(AJ$20,'01_Input'!$S$71)-'01_Input'!$R$71,0)*'01_Input'!$U$71))+IF('01_Input'!$X$71="Forfait",IF(AJ$20&gt;='01_Input'!$V$71,'01_Input'!$Y$71,0),IF('01_Input'!$X$71="Palier",IF(AND(AJ$20&gt;='01_Input'!$V$71,AJ$20&lt;'01_Input'!$W$71),'01_Input'!$Y$71,0),MAX(MIN(AJ$20,'01_Input'!$W$71)-'01_Input'!$V$71,0)*'01_Input'!$Y$71))+IF('01_Input'!$AB$71="Forfait",IF(AJ$20&gt;='01_Input'!$Z$71,'01_Input'!$AC$71,0),IF('01_Input'!$AB$71="Palier",IF(AND(AJ$20&gt;='01_Input'!$Z$71,AJ$20&lt;'01_Input'!$AA$71),'01_Input'!$AC$71,0),MAX(MIN(AJ$20,'01_Input'!$AA$71)-'01_Input'!$Z$71,0)*'01_Input'!$AC$71)))))))))</f>
        <v>0</v>
      </c>
      <c r="AK39" s="25">
        <f>IF('01_Input'!$C$71="Non",0,MIN('01_Input'!$I$71,MAX('01_Input'!$H$71,IF('01_Input'!$G$71="Résiduel vs Gestion",0,IF('01_Input'!$G$71="Taux Classe sélectionnée",Distrib_Global_Classe_Selectionnee*AK$20,IF('01_Input'!$G$71="Frais KYC (paliers de 100M€)",MAX(0,Nb_Investisseurs-Nb_KYC_Gratuites_Par_Tranche*(FLOOR(AK$20/Taille_Tranche_KYC,1)+1))*Cout_Par_KYC_Supplementaire,(IF('01_Input'!$L$71="Forfait",IF(AK$20&gt;='01_Input'!$J$71,'01_Input'!$M$71,0),IF('01_Input'!$L$71="Palier",IF(AND(AK$20&gt;='01_Input'!$J$71,AK$20&lt;'01_Input'!$K$71),'01_Input'!$M$71,0),MAX(MIN(AK$20,'01_Input'!$K$71)-'01_Input'!$J$71,0)*'01_Input'!$M$71))+IF('01_Input'!$P$71="Forfait",IF(AK$20&gt;='01_Input'!$N$71,'01_Input'!$Q$71,0),IF('01_Input'!$P$71="Palier",IF(AND(AK$20&gt;='01_Input'!$N$71,AK$20&lt;'01_Input'!$O$71),'01_Input'!$Q$71,0),MAX(MIN(AK$20,'01_Input'!$O$71)-'01_Input'!$N$71,0)*'01_Input'!$Q$71))+IF('01_Input'!$T$71="Forfait",IF(AK$20&gt;='01_Input'!$R$71,'01_Input'!$U$71,0),IF('01_Input'!$T$71="Palier",IF(AND(AK$20&gt;='01_Input'!$R$71,AK$20&lt;'01_Input'!$S$71),'01_Input'!$U$71,0),MAX(MIN(AK$20,'01_Input'!$S$71)-'01_Input'!$R$71,0)*'01_Input'!$U$71))+IF('01_Input'!$X$71="Forfait",IF(AK$20&gt;='01_Input'!$V$71,'01_Input'!$Y$71,0),IF('01_Input'!$X$71="Palier",IF(AND(AK$20&gt;='01_Input'!$V$71,AK$20&lt;'01_Input'!$W$71),'01_Input'!$Y$71,0),MAX(MIN(AK$20,'01_Input'!$W$71)-'01_Input'!$V$71,0)*'01_Input'!$Y$71))+IF('01_Input'!$AB$71="Forfait",IF(AK$20&gt;='01_Input'!$Z$71,'01_Input'!$AC$71,0),IF('01_Input'!$AB$71="Palier",IF(AND(AK$20&gt;='01_Input'!$Z$71,AK$20&lt;'01_Input'!$AA$71),'01_Input'!$AC$71,0),MAX(MIN(AK$20,'01_Input'!$AA$71)-'01_Input'!$Z$71,0)*'01_Input'!$AC$71)))))))))</f>
        <v>0</v>
      </c>
      <c r="AL39" s="25">
        <f>IF('01_Input'!$C$71="Non",0,MIN('01_Input'!$I$71,MAX('01_Input'!$H$71,IF('01_Input'!$G$71="Résiduel vs Gestion",0,IF('01_Input'!$G$71="Taux Classe sélectionnée",Distrib_Global_Classe_Selectionnee*AL$20,IF('01_Input'!$G$71="Frais KYC (paliers de 100M€)",MAX(0,Nb_Investisseurs-Nb_KYC_Gratuites_Par_Tranche*(FLOOR(AL$20/Taille_Tranche_KYC,1)+1))*Cout_Par_KYC_Supplementaire,(IF('01_Input'!$L$71="Forfait",IF(AL$20&gt;='01_Input'!$J$71,'01_Input'!$M$71,0),IF('01_Input'!$L$71="Palier",IF(AND(AL$20&gt;='01_Input'!$J$71,AL$20&lt;'01_Input'!$K$71),'01_Input'!$M$71,0),MAX(MIN(AL$20,'01_Input'!$K$71)-'01_Input'!$J$71,0)*'01_Input'!$M$71))+IF('01_Input'!$P$71="Forfait",IF(AL$20&gt;='01_Input'!$N$71,'01_Input'!$Q$71,0),IF('01_Input'!$P$71="Palier",IF(AND(AL$20&gt;='01_Input'!$N$71,AL$20&lt;'01_Input'!$O$71),'01_Input'!$Q$71,0),MAX(MIN(AL$20,'01_Input'!$O$71)-'01_Input'!$N$71,0)*'01_Input'!$Q$71))+IF('01_Input'!$T$71="Forfait",IF(AL$20&gt;='01_Input'!$R$71,'01_Input'!$U$71,0),IF('01_Input'!$T$71="Palier",IF(AND(AL$20&gt;='01_Input'!$R$71,AL$20&lt;'01_Input'!$S$71),'01_Input'!$U$71,0),MAX(MIN(AL$20,'01_Input'!$S$71)-'01_Input'!$R$71,0)*'01_Input'!$U$71))+IF('01_Input'!$X$71="Forfait",IF(AL$20&gt;='01_Input'!$V$71,'01_Input'!$Y$71,0),IF('01_Input'!$X$71="Palier",IF(AND(AL$20&gt;='01_Input'!$V$71,AL$20&lt;'01_Input'!$W$71),'01_Input'!$Y$71,0),MAX(MIN(AL$20,'01_Input'!$W$71)-'01_Input'!$V$71,0)*'01_Input'!$Y$71))+IF('01_Input'!$AB$71="Forfait",IF(AL$20&gt;='01_Input'!$Z$71,'01_Input'!$AC$71,0),IF('01_Input'!$AB$71="Palier",IF(AND(AL$20&gt;='01_Input'!$Z$71,AL$20&lt;'01_Input'!$AA$71),'01_Input'!$AC$71,0),MAX(MIN(AL$20,'01_Input'!$AA$71)-'01_Input'!$Z$71,0)*'01_Input'!$AC$71)))))))))</f>
        <v>0</v>
      </c>
      <c r="AM39" s="25">
        <f>IF('01_Input'!$C$71="Non",0,MIN('01_Input'!$I$71,MAX('01_Input'!$H$71,IF('01_Input'!$G$71="Résiduel vs Gestion",0,IF('01_Input'!$G$71="Taux Classe sélectionnée",Distrib_Global_Classe_Selectionnee*AM$20,IF('01_Input'!$G$71="Frais KYC (paliers de 100M€)",MAX(0,Nb_Investisseurs-Nb_KYC_Gratuites_Par_Tranche*(FLOOR(AM$20/Taille_Tranche_KYC,1)+1))*Cout_Par_KYC_Supplementaire,(IF('01_Input'!$L$71="Forfait",IF(AM$20&gt;='01_Input'!$J$71,'01_Input'!$M$71,0),IF('01_Input'!$L$71="Palier",IF(AND(AM$20&gt;='01_Input'!$J$71,AM$20&lt;'01_Input'!$K$71),'01_Input'!$M$71,0),MAX(MIN(AM$20,'01_Input'!$K$71)-'01_Input'!$J$71,0)*'01_Input'!$M$71))+IF('01_Input'!$P$71="Forfait",IF(AM$20&gt;='01_Input'!$N$71,'01_Input'!$Q$71,0),IF('01_Input'!$P$71="Palier",IF(AND(AM$20&gt;='01_Input'!$N$71,AM$20&lt;'01_Input'!$O$71),'01_Input'!$Q$71,0),MAX(MIN(AM$20,'01_Input'!$O$71)-'01_Input'!$N$71,0)*'01_Input'!$Q$71))+IF('01_Input'!$T$71="Forfait",IF(AM$20&gt;='01_Input'!$R$71,'01_Input'!$U$71,0),IF('01_Input'!$T$71="Palier",IF(AND(AM$20&gt;='01_Input'!$R$71,AM$20&lt;'01_Input'!$S$71),'01_Input'!$U$71,0),MAX(MIN(AM$20,'01_Input'!$S$71)-'01_Input'!$R$71,0)*'01_Input'!$U$71))+IF('01_Input'!$X$71="Forfait",IF(AM$20&gt;='01_Input'!$V$71,'01_Input'!$Y$71,0),IF('01_Input'!$X$71="Palier",IF(AND(AM$20&gt;='01_Input'!$V$71,AM$20&lt;'01_Input'!$W$71),'01_Input'!$Y$71,0),MAX(MIN(AM$20,'01_Input'!$W$71)-'01_Input'!$V$71,0)*'01_Input'!$Y$71))+IF('01_Input'!$AB$71="Forfait",IF(AM$20&gt;='01_Input'!$Z$71,'01_Input'!$AC$71,0),IF('01_Input'!$AB$71="Palier",IF(AND(AM$20&gt;='01_Input'!$Z$71,AM$20&lt;'01_Input'!$AA$71),'01_Input'!$AC$71,0),MAX(MIN(AM$20,'01_Input'!$AA$71)-'01_Input'!$Z$71,0)*'01_Input'!$AC$71)))))))))</f>
        <v>0</v>
      </c>
      <c r="AN39" s="25">
        <f>IF('01_Input'!$C$71="Non",0,MIN('01_Input'!$I$71,MAX('01_Input'!$H$71,IF('01_Input'!$G$71="Résiduel vs Gestion",0,IF('01_Input'!$G$71="Taux Classe sélectionnée",Distrib_Global_Classe_Selectionnee*AN$20,IF('01_Input'!$G$71="Frais KYC (paliers de 100M€)",MAX(0,Nb_Investisseurs-Nb_KYC_Gratuites_Par_Tranche*(FLOOR(AN$20/Taille_Tranche_KYC,1)+1))*Cout_Par_KYC_Supplementaire,(IF('01_Input'!$L$71="Forfait",IF(AN$20&gt;='01_Input'!$J$71,'01_Input'!$M$71,0),IF('01_Input'!$L$71="Palier",IF(AND(AN$20&gt;='01_Input'!$J$71,AN$20&lt;'01_Input'!$K$71),'01_Input'!$M$71,0),MAX(MIN(AN$20,'01_Input'!$K$71)-'01_Input'!$J$71,0)*'01_Input'!$M$71))+IF('01_Input'!$P$71="Forfait",IF(AN$20&gt;='01_Input'!$N$71,'01_Input'!$Q$71,0),IF('01_Input'!$P$71="Palier",IF(AND(AN$20&gt;='01_Input'!$N$71,AN$20&lt;'01_Input'!$O$71),'01_Input'!$Q$71,0),MAX(MIN(AN$20,'01_Input'!$O$71)-'01_Input'!$N$71,0)*'01_Input'!$Q$71))+IF('01_Input'!$T$71="Forfait",IF(AN$20&gt;='01_Input'!$R$71,'01_Input'!$U$71,0),IF('01_Input'!$T$71="Palier",IF(AND(AN$20&gt;='01_Input'!$R$71,AN$20&lt;'01_Input'!$S$71),'01_Input'!$U$71,0),MAX(MIN(AN$20,'01_Input'!$S$71)-'01_Input'!$R$71,0)*'01_Input'!$U$71))+IF('01_Input'!$X$71="Forfait",IF(AN$20&gt;='01_Input'!$V$71,'01_Input'!$Y$71,0),IF('01_Input'!$X$71="Palier",IF(AND(AN$20&gt;='01_Input'!$V$71,AN$20&lt;'01_Input'!$W$71),'01_Input'!$Y$71,0),MAX(MIN(AN$20,'01_Input'!$W$71)-'01_Input'!$V$71,0)*'01_Input'!$Y$71))+IF('01_Input'!$AB$71="Forfait",IF(AN$20&gt;='01_Input'!$Z$71,'01_Input'!$AC$71,0),IF('01_Input'!$AB$71="Palier",IF(AND(AN$20&gt;='01_Input'!$Z$71,AN$20&lt;'01_Input'!$AA$71),'01_Input'!$AC$71,0),MAX(MIN(AN$20,'01_Input'!$AA$71)-'01_Input'!$Z$71,0)*'01_Input'!$AC$71)))))))))</f>
        <v>0</v>
      </c>
      <c r="AO39" s="25">
        <f>IF('01_Input'!$C$71="Non",0,MIN('01_Input'!$I$71,MAX('01_Input'!$H$71,IF('01_Input'!$G$71="Résiduel vs Gestion",0,IF('01_Input'!$G$71="Taux Classe sélectionnée",Distrib_Global_Classe_Selectionnee*AO$20,IF('01_Input'!$G$71="Frais KYC (paliers de 100M€)",MAX(0,Nb_Investisseurs-Nb_KYC_Gratuites_Par_Tranche*(FLOOR(AO$20/Taille_Tranche_KYC,1)+1))*Cout_Par_KYC_Supplementaire,(IF('01_Input'!$L$71="Forfait",IF(AO$20&gt;='01_Input'!$J$71,'01_Input'!$M$71,0),IF('01_Input'!$L$71="Palier",IF(AND(AO$20&gt;='01_Input'!$J$71,AO$20&lt;'01_Input'!$K$71),'01_Input'!$M$71,0),MAX(MIN(AO$20,'01_Input'!$K$71)-'01_Input'!$J$71,0)*'01_Input'!$M$71))+IF('01_Input'!$P$71="Forfait",IF(AO$20&gt;='01_Input'!$N$71,'01_Input'!$Q$71,0),IF('01_Input'!$P$71="Palier",IF(AND(AO$20&gt;='01_Input'!$N$71,AO$20&lt;'01_Input'!$O$71),'01_Input'!$Q$71,0),MAX(MIN(AO$20,'01_Input'!$O$71)-'01_Input'!$N$71,0)*'01_Input'!$Q$71))+IF('01_Input'!$T$71="Forfait",IF(AO$20&gt;='01_Input'!$R$71,'01_Input'!$U$71,0),IF('01_Input'!$T$71="Palier",IF(AND(AO$20&gt;='01_Input'!$R$71,AO$20&lt;'01_Input'!$S$71),'01_Input'!$U$71,0),MAX(MIN(AO$20,'01_Input'!$S$71)-'01_Input'!$R$71,0)*'01_Input'!$U$71))+IF('01_Input'!$X$71="Forfait",IF(AO$20&gt;='01_Input'!$V$71,'01_Input'!$Y$71,0),IF('01_Input'!$X$71="Palier",IF(AND(AO$20&gt;='01_Input'!$V$71,AO$20&lt;'01_Input'!$W$71),'01_Input'!$Y$71,0),MAX(MIN(AO$20,'01_Input'!$W$71)-'01_Input'!$V$71,0)*'01_Input'!$Y$71))+IF('01_Input'!$AB$71="Forfait",IF(AO$20&gt;='01_Input'!$Z$71,'01_Input'!$AC$71,0),IF('01_Input'!$AB$71="Palier",IF(AND(AO$20&gt;='01_Input'!$Z$71,AO$20&lt;'01_Input'!$AA$71),'01_Input'!$AC$71,0),MAX(MIN(AO$20,'01_Input'!$AA$71)-'01_Input'!$Z$71,0)*'01_Input'!$AC$71)))))))))</f>
        <v>0</v>
      </c>
      <c r="AP39" s="25">
        <f>IF('01_Input'!$C$71="Non",0,MIN('01_Input'!$I$71,MAX('01_Input'!$H$71,IF('01_Input'!$G$71="Résiduel vs Gestion",0,IF('01_Input'!$G$71="Taux Classe sélectionnée",Distrib_Global_Classe_Selectionnee*AP$20,IF('01_Input'!$G$71="Frais KYC (paliers de 100M€)",MAX(0,Nb_Investisseurs-Nb_KYC_Gratuites_Par_Tranche*(FLOOR(AP$20/Taille_Tranche_KYC,1)+1))*Cout_Par_KYC_Supplementaire,(IF('01_Input'!$L$71="Forfait",IF(AP$20&gt;='01_Input'!$J$71,'01_Input'!$M$71,0),IF('01_Input'!$L$71="Palier",IF(AND(AP$20&gt;='01_Input'!$J$71,AP$20&lt;'01_Input'!$K$71),'01_Input'!$M$71,0),MAX(MIN(AP$20,'01_Input'!$K$71)-'01_Input'!$J$71,0)*'01_Input'!$M$71))+IF('01_Input'!$P$71="Forfait",IF(AP$20&gt;='01_Input'!$N$71,'01_Input'!$Q$71,0),IF('01_Input'!$P$71="Palier",IF(AND(AP$20&gt;='01_Input'!$N$71,AP$20&lt;'01_Input'!$O$71),'01_Input'!$Q$71,0),MAX(MIN(AP$20,'01_Input'!$O$71)-'01_Input'!$N$71,0)*'01_Input'!$Q$71))+IF('01_Input'!$T$71="Forfait",IF(AP$20&gt;='01_Input'!$R$71,'01_Input'!$U$71,0),IF('01_Input'!$T$71="Palier",IF(AND(AP$20&gt;='01_Input'!$R$71,AP$20&lt;'01_Input'!$S$71),'01_Input'!$U$71,0),MAX(MIN(AP$20,'01_Input'!$S$71)-'01_Input'!$R$71,0)*'01_Input'!$U$71))+IF('01_Input'!$X$71="Forfait",IF(AP$20&gt;='01_Input'!$V$71,'01_Input'!$Y$71,0),IF('01_Input'!$X$71="Palier",IF(AND(AP$20&gt;='01_Input'!$V$71,AP$20&lt;'01_Input'!$W$71),'01_Input'!$Y$71,0),MAX(MIN(AP$20,'01_Input'!$W$71)-'01_Input'!$V$71,0)*'01_Input'!$Y$71))+IF('01_Input'!$AB$71="Forfait",IF(AP$20&gt;='01_Input'!$Z$71,'01_Input'!$AC$71,0),IF('01_Input'!$AB$71="Palier",IF(AND(AP$20&gt;='01_Input'!$Z$71,AP$20&lt;'01_Input'!$AA$71),'01_Input'!$AC$71,0),MAX(MIN(AP$20,'01_Input'!$AA$71)-'01_Input'!$Z$71,0)*'01_Input'!$AC$71)))))))))</f>
        <v>0</v>
      </c>
      <c r="AQ39" s="25">
        <f>IF('01_Input'!$C$71="Non",0,MIN('01_Input'!$I$71,MAX('01_Input'!$H$71,IF('01_Input'!$G$71="Résiduel vs Gestion",0,IF('01_Input'!$G$71="Taux Classe sélectionnée",Distrib_Global_Classe_Selectionnee*AQ$20,IF('01_Input'!$G$71="Frais KYC (paliers de 100M€)",MAX(0,Nb_Investisseurs-Nb_KYC_Gratuites_Par_Tranche*(FLOOR(AQ$20/Taille_Tranche_KYC,1)+1))*Cout_Par_KYC_Supplementaire,(IF('01_Input'!$L$71="Forfait",IF(AQ$20&gt;='01_Input'!$J$71,'01_Input'!$M$71,0),IF('01_Input'!$L$71="Palier",IF(AND(AQ$20&gt;='01_Input'!$J$71,AQ$20&lt;'01_Input'!$K$71),'01_Input'!$M$71,0),MAX(MIN(AQ$20,'01_Input'!$K$71)-'01_Input'!$J$71,0)*'01_Input'!$M$71))+IF('01_Input'!$P$71="Forfait",IF(AQ$20&gt;='01_Input'!$N$71,'01_Input'!$Q$71,0),IF('01_Input'!$P$71="Palier",IF(AND(AQ$20&gt;='01_Input'!$N$71,AQ$20&lt;'01_Input'!$O$71),'01_Input'!$Q$71,0),MAX(MIN(AQ$20,'01_Input'!$O$71)-'01_Input'!$N$71,0)*'01_Input'!$Q$71))+IF('01_Input'!$T$71="Forfait",IF(AQ$20&gt;='01_Input'!$R$71,'01_Input'!$U$71,0),IF('01_Input'!$T$71="Palier",IF(AND(AQ$20&gt;='01_Input'!$R$71,AQ$20&lt;'01_Input'!$S$71),'01_Input'!$U$71,0),MAX(MIN(AQ$20,'01_Input'!$S$71)-'01_Input'!$R$71,0)*'01_Input'!$U$71))+IF('01_Input'!$X$71="Forfait",IF(AQ$20&gt;='01_Input'!$V$71,'01_Input'!$Y$71,0),IF('01_Input'!$X$71="Palier",IF(AND(AQ$20&gt;='01_Input'!$V$71,AQ$20&lt;'01_Input'!$W$71),'01_Input'!$Y$71,0),MAX(MIN(AQ$20,'01_Input'!$W$71)-'01_Input'!$V$71,0)*'01_Input'!$Y$71))+IF('01_Input'!$AB$71="Forfait",IF(AQ$20&gt;='01_Input'!$Z$71,'01_Input'!$AC$71,0),IF('01_Input'!$AB$71="Palier",IF(AND(AQ$20&gt;='01_Input'!$Z$71,AQ$20&lt;'01_Input'!$AA$71),'01_Input'!$AC$71,0),MAX(MIN(AQ$20,'01_Input'!$AA$71)-'01_Input'!$Z$71,0)*'01_Input'!$AC$71)))))))))</f>
        <v>0</v>
      </c>
      <c r="AR39" s="25">
        <f>IF('01_Input'!$C$71="Non",0,MIN('01_Input'!$I$71,MAX('01_Input'!$H$71,IF('01_Input'!$G$71="Résiduel vs Gestion",0,IF('01_Input'!$G$71="Taux Classe sélectionnée",Distrib_Global_Classe_Selectionnee*AR$20,IF('01_Input'!$G$71="Frais KYC (paliers de 100M€)",MAX(0,Nb_Investisseurs-Nb_KYC_Gratuites_Par_Tranche*(FLOOR(AR$20/Taille_Tranche_KYC,1)+1))*Cout_Par_KYC_Supplementaire,(IF('01_Input'!$L$71="Forfait",IF(AR$20&gt;='01_Input'!$J$71,'01_Input'!$M$71,0),IF('01_Input'!$L$71="Palier",IF(AND(AR$20&gt;='01_Input'!$J$71,AR$20&lt;'01_Input'!$K$71),'01_Input'!$M$71,0),MAX(MIN(AR$20,'01_Input'!$K$71)-'01_Input'!$J$71,0)*'01_Input'!$M$71))+IF('01_Input'!$P$71="Forfait",IF(AR$20&gt;='01_Input'!$N$71,'01_Input'!$Q$71,0),IF('01_Input'!$P$71="Palier",IF(AND(AR$20&gt;='01_Input'!$N$71,AR$20&lt;'01_Input'!$O$71),'01_Input'!$Q$71,0),MAX(MIN(AR$20,'01_Input'!$O$71)-'01_Input'!$N$71,0)*'01_Input'!$Q$71))+IF('01_Input'!$T$71="Forfait",IF(AR$20&gt;='01_Input'!$R$71,'01_Input'!$U$71,0),IF('01_Input'!$T$71="Palier",IF(AND(AR$20&gt;='01_Input'!$R$71,AR$20&lt;'01_Input'!$S$71),'01_Input'!$U$71,0),MAX(MIN(AR$20,'01_Input'!$S$71)-'01_Input'!$R$71,0)*'01_Input'!$U$71))+IF('01_Input'!$X$71="Forfait",IF(AR$20&gt;='01_Input'!$V$71,'01_Input'!$Y$71,0),IF('01_Input'!$X$71="Palier",IF(AND(AR$20&gt;='01_Input'!$V$71,AR$20&lt;'01_Input'!$W$71),'01_Input'!$Y$71,0),MAX(MIN(AR$20,'01_Input'!$W$71)-'01_Input'!$V$71,0)*'01_Input'!$Y$71))+IF('01_Input'!$AB$71="Forfait",IF(AR$20&gt;='01_Input'!$Z$71,'01_Input'!$AC$71,0),IF('01_Input'!$AB$71="Palier",IF(AND(AR$20&gt;='01_Input'!$Z$71,AR$20&lt;'01_Input'!$AA$71),'01_Input'!$AC$71,0),MAX(MIN(AR$20,'01_Input'!$AA$71)-'01_Input'!$Z$71,0)*'01_Input'!$AC$71)))))))))</f>
        <v>0</v>
      </c>
      <c r="AS39" s="25">
        <f>IF('01_Input'!$C$71="Non",0,MIN('01_Input'!$I$71,MAX('01_Input'!$H$71,IF('01_Input'!$G$71="Résiduel vs Gestion",0,IF('01_Input'!$G$71="Taux Classe sélectionnée",Distrib_Global_Classe_Selectionnee*AS$20,IF('01_Input'!$G$71="Frais KYC (paliers de 100M€)",MAX(0,Nb_Investisseurs-Nb_KYC_Gratuites_Par_Tranche*(FLOOR(AS$20/Taille_Tranche_KYC,1)+1))*Cout_Par_KYC_Supplementaire,(IF('01_Input'!$L$71="Forfait",IF(AS$20&gt;='01_Input'!$J$71,'01_Input'!$M$71,0),IF('01_Input'!$L$71="Palier",IF(AND(AS$20&gt;='01_Input'!$J$71,AS$20&lt;'01_Input'!$K$71),'01_Input'!$M$71,0),MAX(MIN(AS$20,'01_Input'!$K$71)-'01_Input'!$J$71,0)*'01_Input'!$M$71))+IF('01_Input'!$P$71="Forfait",IF(AS$20&gt;='01_Input'!$N$71,'01_Input'!$Q$71,0),IF('01_Input'!$P$71="Palier",IF(AND(AS$20&gt;='01_Input'!$N$71,AS$20&lt;'01_Input'!$O$71),'01_Input'!$Q$71,0),MAX(MIN(AS$20,'01_Input'!$O$71)-'01_Input'!$N$71,0)*'01_Input'!$Q$71))+IF('01_Input'!$T$71="Forfait",IF(AS$20&gt;='01_Input'!$R$71,'01_Input'!$U$71,0),IF('01_Input'!$T$71="Palier",IF(AND(AS$20&gt;='01_Input'!$R$71,AS$20&lt;'01_Input'!$S$71),'01_Input'!$U$71,0),MAX(MIN(AS$20,'01_Input'!$S$71)-'01_Input'!$R$71,0)*'01_Input'!$U$71))+IF('01_Input'!$X$71="Forfait",IF(AS$20&gt;='01_Input'!$V$71,'01_Input'!$Y$71,0),IF('01_Input'!$X$71="Palier",IF(AND(AS$20&gt;='01_Input'!$V$71,AS$20&lt;'01_Input'!$W$71),'01_Input'!$Y$71,0),MAX(MIN(AS$20,'01_Input'!$W$71)-'01_Input'!$V$71,0)*'01_Input'!$Y$71))+IF('01_Input'!$AB$71="Forfait",IF(AS$20&gt;='01_Input'!$Z$71,'01_Input'!$AC$71,0),IF('01_Input'!$AB$71="Palier",IF(AND(AS$20&gt;='01_Input'!$Z$71,AS$20&lt;'01_Input'!$AA$71),'01_Input'!$AC$71,0),MAX(MIN(AS$20,'01_Input'!$AA$71)-'01_Input'!$Z$71,0)*'01_Input'!$AC$71)))))))))</f>
        <v>0</v>
      </c>
      <c r="AT39" s="25">
        <f>IF('01_Input'!$C$71="Non",0,MIN('01_Input'!$I$71,MAX('01_Input'!$H$71,IF('01_Input'!$G$71="Résiduel vs Gestion",0,IF('01_Input'!$G$71="Taux Classe sélectionnée",Distrib_Global_Classe_Selectionnee*AT$20,IF('01_Input'!$G$71="Frais KYC (paliers de 100M€)",MAX(0,Nb_Investisseurs-Nb_KYC_Gratuites_Par_Tranche*(FLOOR(AT$20/Taille_Tranche_KYC,1)+1))*Cout_Par_KYC_Supplementaire,(IF('01_Input'!$L$71="Forfait",IF(AT$20&gt;='01_Input'!$J$71,'01_Input'!$M$71,0),IF('01_Input'!$L$71="Palier",IF(AND(AT$20&gt;='01_Input'!$J$71,AT$20&lt;'01_Input'!$K$71),'01_Input'!$M$71,0),MAX(MIN(AT$20,'01_Input'!$K$71)-'01_Input'!$J$71,0)*'01_Input'!$M$71))+IF('01_Input'!$P$71="Forfait",IF(AT$20&gt;='01_Input'!$N$71,'01_Input'!$Q$71,0),IF('01_Input'!$P$71="Palier",IF(AND(AT$20&gt;='01_Input'!$N$71,AT$20&lt;'01_Input'!$O$71),'01_Input'!$Q$71,0),MAX(MIN(AT$20,'01_Input'!$O$71)-'01_Input'!$N$71,0)*'01_Input'!$Q$71))+IF('01_Input'!$T$71="Forfait",IF(AT$20&gt;='01_Input'!$R$71,'01_Input'!$U$71,0),IF('01_Input'!$T$71="Palier",IF(AND(AT$20&gt;='01_Input'!$R$71,AT$20&lt;'01_Input'!$S$71),'01_Input'!$U$71,0),MAX(MIN(AT$20,'01_Input'!$S$71)-'01_Input'!$R$71,0)*'01_Input'!$U$71))+IF('01_Input'!$X$71="Forfait",IF(AT$20&gt;='01_Input'!$V$71,'01_Input'!$Y$71,0),IF('01_Input'!$X$71="Palier",IF(AND(AT$20&gt;='01_Input'!$V$71,AT$20&lt;'01_Input'!$W$71),'01_Input'!$Y$71,0),MAX(MIN(AT$20,'01_Input'!$W$71)-'01_Input'!$V$71,0)*'01_Input'!$Y$71))+IF('01_Input'!$AB$71="Forfait",IF(AT$20&gt;='01_Input'!$Z$71,'01_Input'!$AC$71,0),IF('01_Input'!$AB$71="Palier",IF(AND(AT$20&gt;='01_Input'!$Z$71,AT$20&lt;'01_Input'!$AA$71),'01_Input'!$AC$71,0),MAX(MIN(AT$20,'01_Input'!$AA$71)-'01_Input'!$Z$71,0)*'01_Input'!$AC$71)))))))))</f>
        <v>0</v>
      </c>
      <c r="AU39" s="25">
        <f>IF('01_Input'!$C$71="Non",0,MIN('01_Input'!$I$71,MAX('01_Input'!$H$71,IF('01_Input'!$G$71="Résiduel vs Gestion",0,IF('01_Input'!$G$71="Taux Classe sélectionnée",Distrib_Global_Classe_Selectionnee*AU$20,IF('01_Input'!$G$71="Frais KYC (paliers de 100M€)",MAX(0,Nb_Investisseurs-Nb_KYC_Gratuites_Par_Tranche*(FLOOR(AU$20/Taille_Tranche_KYC,1)+1))*Cout_Par_KYC_Supplementaire,(IF('01_Input'!$L$71="Forfait",IF(AU$20&gt;='01_Input'!$J$71,'01_Input'!$M$71,0),IF('01_Input'!$L$71="Palier",IF(AND(AU$20&gt;='01_Input'!$J$71,AU$20&lt;'01_Input'!$K$71),'01_Input'!$M$71,0),MAX(MIN(AU$20,'01_Input'!$K$71)-'01_Input'!$J$71,0)*'01_Input'!$M$71))+IF('01_Input'!$P$71="Forfait",IF(AU$20&gt;='01_Input'!$N$71,'01_Input'!$Q$71,0),IF('01_Input'!$P$71="Palier",IF(AND(AU$20&gt;='01_Input'!$N$71,AU$20&lt;'01_Input'!$O$71),'01_Input'!$Q$71,0),MAX(MIN(AU$20,'01_Input'!$O$71)-'01_Input'!$N$71,0)*'01_Input'!$Q$71))+IF('01_Input'!$T$71="Forfait",IF(AU$20&gt;='01_Input'!$R$71,'01_Input'!$U$71,0),IF('01_Input'!$T$71="Palier",IF(AND(AU$20&gt;='01_Input'!$R$71,AU$20&lt;'01_Input'!$S$71),'01_Input'!$U$71,0),MAX(MIN(AU$20,'01_Input'!$S$71)-'01_Input'!$R$71,0)*'01_Input'!$U$71))+IF('01_Input'!$X$71="Forfait",IF(AU$20&gt;='01_Input'!$V$71,'01_Input'!$Y$71,0),IF('01_Input'!$X$71="Palier",IF(AND(AU$20&gt;='01_Input'!$V$71,AU$20&lt;'01_Input'!$W$71),'01_Input'!$Y$71,0),MAX(MIN(AU$20,'01_Input'!$W$71)-'01_Input'!$V$71,0)*'01_Input'!$Y$71))+IF('01_Input'!$AB$71="Forfait",IF(AU$20&gt;='01_Input'!$Z$71,'01_Input'!$AC$71,0),IF('01_Input'!$AB$71="Palier",IF(AND(AU$20&gt;='01_Input'!$Z$71,AU$20&lt;'01_Input'!$AA$71),'01_Input'!$AC$71,0),MAX(MIN(AU$20,'01_Input'!$AA$71)-'01_Input'!$Z$71,0)*'01_Input'!$AC$71)))))))))</f>
        <v>0</v>
      </c>
      <c r="AV39" s="25">
        <f>IF('01_Input'!$C$71="Non",0,MIN('01_Input'!$I$71,MAX('01_Input'!$H$71,IF('01_Input'!$G$71="Résiduel vs Gestion",0,IF('01_Input'!$G$71="Taux Classe sélectionnée",Distrib_Global_Classe_Selectionnee*AV$20,IF('01_Input'!$G$71="Frais KYC (paliers de 100M€)",MAX(0,Nb_Investisseurs-Nb_KYC_Gratuites_Par_Tranche*(FLOOR(AV$20/Taille_Tranche_KYC,1)+1))*Cout_Par_KYC_Supplementaire,(IF('01_Input'!$L$71="Forfait",IF(AV$20&gt;='01_Input'!$J$71,'01_Input'!$M$71,0),IF('01_Input'!$L$71="Palier",IF(AND(AV$20&gt;='01_Input'!$J$71,AV$20&lt;'01_Input'!$K$71),'01_Input'!$M$71,0),MAX(MIN(AV$20,'01_Input'!$K$71)-'01_Input'!$J$71,0)*'01_Input'!$M$71))+IF('01_Input'!$P$71="Forfait",IF(AV$20&gt;='01_Input'!$N$71,'01_Input'!$Q$71,0),IF('01_Input'!$P$71="Palier",IF(AND(AV$20&gt;='01_Input'!$N$71,AV$20&lt;'01_Input'!$O$71),'01_Input'!$Q$71,0),MAX(MIN(AV$20,'01_Input'!$O$71)-'01_Input'!$N$71,0)*'01_Input'!$Q$71))+IF('01_Input'!$T$71="Forfait",IF(AV$20&gt;='01_Input'!$R$71,'01_Input'!$U$71,0),IF('01_Input'!$T$71="Palier",IF(AND(AV$20&gt;='01_Input'!$R$71,AV$20&lt;'01_Input'!$S$71),'01_Input'!$U$71,0),MAX(MIN(AV$20,'01_Input'!$S$71)-'01_Input'!$R$71,0)*'01_Input'!$U$71))+IF('01_Input'!$X$71="Forfait",IF(AV$20&gt;='01_Input'!$V$71,'01_Input'!$Y$71,0),IF('01_Input'!$X$71="Palier",IF(AND(AV$20&gt;='01_Input'!$V$71,AV$20&lt;'01_Input'!$W$71),'01_Input'!$Y$71,0),MAX(MIN(AV$20,'01_Input'!$W$71)-'01_Input'!$V$71,0)*'01_Input'!$Y$71))+IF('01_Input'!$AB$71="Forfait",IF(AV$20&gt;='01_Input'!$Z$71,'01_Input'!$AC$71,0),IF('01_Input'!$AB$71="Palier",IF(AND(AV$20&gt;='01_Input'!$Z$71,AV$20&lt;'01_Input'!$AA$71),'01_Input'!$AC$71,0),MAX(MIN(AV$20,'01_Input'!$AA$71)-'01_Input'!$Z$71,0)*'01_Input'!$AC$71)))))))))</f>
        <v>0</v>
      </c>
      <c r="AW39" s="25">
        <f>IF('01_Input'!$C$71="Non",0,MIN('01_Input'!$I$71,MAX('01_Input'!$H$71,IF('01_Input'!$G$71="Résiduel vs Gestion",0,IF('01_Input'!$G$71="Taux Classe sélectionnée",Distrib_Global_Classe_Selectionnee*AW$20,IF('01_Input'!$G$71="Frais KYC (paliers de 100M€)",MAX(0,Nb_Investisseurs-Nb_KYC_Gratuites_Par_Tranche*(FLOOR(AW$20/Taille_Tranche_KYC,1)+1))*Cout_Par_KYC_Supplementaire,(IF('01_Input'!$L$71="Forfait",IF(AW$20&gt;='01_Input'!$J$71,'01_Input'!$M$71,0),IF('01_Input'!$L$71="Palier",IF(AND(AW$20&gt;='01_Input'!$J$71,AW$20&lt;'01_Input'!$K$71),'01_Input'!$M$71,0),MAX(MIN(AW$20,'01_Input'!$K$71)-'01_Input'!$J$71,0)*'01_Input'!$M$71))+IF('01_Input'!$P$71="Forfait",IF(AW$20&gt;='01_Input'!$N$71,'01_Input'!$Q$71,0),IF('01_Input'!$P$71="Palier",IF(AND(AW$20&gt;='01_Input'!$N$71,AW$20&lt;'01_Input'!$O$71),'01_Input'!$Q$71,0),MAX(MIN(AW$20,'01_Input'!$O$71)-'01_Input'!$N$71,0)*'01_Input'!$Q$71))+IF('01_Input'!$T$71="Forfait",IF(AW$20&gt;='01_Input'!$R$71,'01_Input'!$U$71,0),IF('01_Input'!$T$71="Palier",IF(AND(AW$20&gt;='01_Input'!$R$71,AW$20&lt;'01_Input'!$S$71),'01_Input'!$U$71,0),MAX(MIN(AW$20,'01_Input'!$S$71)-'01_Input'!$R$71,0)*'01_Input'!$U$71))+IF('01_Input'!$X$71="Forfait",IF(AW$20&gt;='01_Input'!$V$71,'01_Input'!$Y$71,0),IF('01_Input'!$X$71="Palier",IF(AND(AW$20&gt;='01_Input'!$V$71,AW$20&lt;'01_Input'!$W$71),'01_Input'!$Y$71,0),MAX(MIN(AW$20,'01_Input'!$W$71)-'01_Input'!$V$71,0)*'01_Input'!$Y$71))+IF('01_Input'!$AB$71="Forfait",IF(AW$20&gt;='01_Input'!$Z$71,'01_Input'!$AC$71,0),IF('01_Input'!$AB$71="Palier",IF(AND(AW$20&gt;='01_Input'!$Z$71,AW$20&lt;'01_Input'!$AA$71),'01_Input'!$AC$71,0),MAX(MIN(AW$20,'01_Input'!$AA$71)-'01_Input'!$Z$71,0)*'01_Input'!$AC$71)))))))))</f>
        <v>0</v>
      </c>
      <c r="AX39" s="25">
        <f>IF('01_Input'!$C$71="Non",0,MIN('01_Input'!$I$71,MAX('01_Input'!$H$71,IF('01_Input'!$G$71="Résiduel vs Gestion",0,IF('01_Input'!$G$71="Taux Classe sélectionnée",Distrib_Global_Classe_Selectionnee*AX$20,IF('01_Input'!$G$71="Frais KYC (paliers de 100M€)",MAX(0,Nb_Investisseurs-Nb_KYC_Gratuites_Par_Tranche*(FLOOR(AX$20/Taille_Tranche_KYC,1)+1))*Cout_Par_KYC_Supplementaire,(IF('01_Input'!$L$71="Forfait",IF(AX$20&gt;='01_Input'!$J$71,'01_Input'!$M$71,0),IF('01_Input'!$L$71="Palier",IF(AND(AX$20&gt;='01_Input'!$J$71,AX$20&lt;'01_Input'!$K$71),'01_Input'!$M$71,0),MAX(MIN(AX$20,'01_Input'!$K$71)-'01_Input'!$J$71,0)*'01_Input'!$M$71))+IF('01_Input'!$P$71="Forfait",IF(AX$20&gt;='01_Input'!$N$71,'01_Input'!$Q$71,0),IF('01_Input'!$P$71="Palier",IF(AND(AX$20&gt;='01_Input'!$N$71,AX$20&lt;'01_Input'!$O$71),'01_Input'!$Q$71,0),MAX(MIN(AX$20,'01_Input'!$O$71)-'01_Input'!$N$71,0)*'01_Input'!$Q$71))+IF('01_Input'!$T$71="Forfait",IF(AX$20&gt;='01_Input'!$R$71,'01_Input'!$U$71,0),IF('01_Input'!$T$71="Palier",IF(AND(AX$20&gt;='01_Input'!$R$71,AX$20&lt;'01_Input'!$S$71),'01_Input'!$U$71,0),MAX(MIN(AX$20,'01_Input'!$S$71)-'01_Input'!$R$71,0)*'01_Input'!$U$71))+IF('01_Input'!$X$71="Forfait",IF(AX$20&gt;='01_Input'!$V$71,'01_Input'!$Y$71,0),IF('01_Input'!$X$71="Palier",IF(AND(AX$20&gt;='01_Input'!$V$71,AX$20&lt;'01_Input'!$W$71),'01_Input'!$Y$71,0),MAX(MIN(AX$20,'01_Input'!$W$71)-'01_Input'!$V$71,0)*'01_Input'!$Y$71))+IF('01_Input'!$AB$71="Forfait",IF(AX$20&gt;='01_Input'!$Z$71,'01_Input'!$AC$71,0),IF('01_Input'!$AB$71="Palier",IF(AND(AX$20&gt;='01_Input'!$Z$71,AX$20&lt;'01_Input'!$AA$71),'01_Input'!$AC$71,0),MAX(MIN(AX$20,'01_Input'!$AA$71)-'01_Input'!$Z$71,0)*'01_Input'!$AC$71)))))))))</f>
        <v>0</v>
      </c>
      <c r="AY39" s="25">
        <f>IF('01_Input'!$C$71="Non",0,MIN('01_Input'!$I$71,MAX('01_Input'!$H$71,IF('01_Input'!$G$71="Résiduel vs Gestion",0,IF('01_Input'!$G$71="Taux Classe sélectionnée",Distrib_Global_Classe_Selectionnee*AY$20,IF('01_Input'!$G$71="Frais KYC (paliers de 100M€)",MAX(0,Nb_Investisseurs-Nb_KYC_Gratuites_Par_Tranche*(FLOOR(AY$20/Taille_Tranche_KYC,1)+1))*Cout_Par_KYC_Supplementaire,(IF('01_Input'!$L$71="Forfait",IF(AY$20&gt;='01_Input'!$J$71,'01_Input'!$M$71,0),IF('01_Input'!$L$71="Palier",IF(AND(AY$20&gt;='01_Input'!$J$71,AY$20&lt;'01_Input'!$K$71),'01_Input'!$M$71,0),MAX(MIN(AY$20,'01_Input'!$K$71)-'01_Input'!$J$71,0)*'01_Input'!$M$71))+IF('01_Input'!$P$71="Forfait",IF(AY$20&gt;='01_Input'!$N$71,'01_Input'!$Q$71,0),IF('01_Input'!$P$71="Palier",IF(AND(AY$20&gt;='01_Input'!$N$71,AY$20&lt;'01_Input'!$O$71),'01_Input'!$Q$71,0),MAX(MIN(AY$20,'01_Input'!$O$71)-'01_Input'!$N$71,0)*'01_Input'!$Q$71))+IF('01_Input'!$T$71="Forfait",IF(AY$20&gt;='01_Input'!$R$71,'01_Input'!$U$71,0),IF('01_Input'!$T$71="Palier",IF(AND(AY$20&gt;='01_Input'!$R$71,AY$20&lt;'01_Input'!$S$71),'01_Input'!$U$71,0),MAX(MIN(AY$20,'01_Input'!$S$71)-'01_Input'!$R$71,0)*'01_Input'!$U$71))+IF('01_Input'!$X$71="Forfait",IF(AY$20&gt;='01_Input'!$V$71,'01_Input'!$Y$71,0),IF('01_Input'!$X$71="Palier",IF(AND(AY$20&gt;='01_Input'!$V$71,AY$20&lt;'01_Input'!$W$71),'01_Input'!$Y$71,0),MAX(MIN(AY$20,'01_Input'!$W$71)-'01_Input'!$V$71,0)*'01_Input'!$Y$71))+IF('01_Input'!$AB$71="Forfait",IF(AY$20&gt;='01_Input'!$Z$71,'01_Input'!$AC$71,0),IF('01_Input'!$AB$71="Palier",IF(AND(AY$20&gt;='01_Input'!$Z$71,AY$20&lt;'01_Input'!$AA$71),'01_Input'!$AC$71,0),MAX(MIN(AY$20,'01_Input'!$AA$71)-'01_Input'!$Z$71,0)*'01_Input'!$AC$71)))))))))</f>
        <v>0</v>
      </c>
      <c r="AZ39" s="25">
        <f>IF('01_Input'!$C$71="Non",0,MIN('01_Input'!$I$71,MAX('01_Input'!$H$71,IF('01_Input'!$G$71="Résiduel vs Gestion",0,IF('01_Input'!$G$71="Taux Classe sélectionnée",Distrib_Global_Classe_Selectionnee*AZ$20,IF('01_Input'!$G$71="Frais KYC (paliers de 100M€)",MAX(0,Nb_Investisseurs-Nb_KYC_Gratuites_Par_Tranche*(FLOOR(AZ$20/Taille_Tranche_KYC,1)+1))*Cout_Par_KYC_Supplementaire,(IF('01_Input'!$L$71="Forfait",IF(AZ$20&gt;='01_Input'!$J$71,'01_Input'!$M$71,0),IF('01_Input'!$L$71="Palier",IF(AND(AZ$20&gt;='01_Input'!$J$71,AZ$20&lt;'01_Input'!$K$71),'01_Input'!$M$71,0),MAX(MIN(AZ$20,'01_Input'!$K$71)-'01_Input'!$J$71,0)*'01_Input'!$M$71))+IF('01_Input'!$P$71="Forfait",IF(AZ$20&gt;='01_Input'!$N$71,'01_Input'!$Q$71,0),IF('01_Input'!$P$71="Palier",IF(AND(AZ$20&gt;='01_Input'!$N$71,AZ$20&lt;'01_Input'!$O$71),'01_Input'!$Q$71,0),MAX(MIN(AZ$20,'01_Input'!$O$71)-'01_Input'!$N$71,0)*'01_Input'!$Q$71))+IF('01_Input'!$T$71="Forfait",IF(AZ$20&gt;='01_Input'!$R$71,'01_Input'!$U$71,0),IF('01_Input'!$T$71="Palier",IF(AND(AZ$20&gt;='01_Input'!$R$71,AZ$20&lt;'01_Input'!$S$71),'01_Input'!$U$71,0),MAX(MIN(AZ$20,'01_Input'!$S$71)-'01_Input'!$R$71,0)*'01_Input'!$U$71))+IF('01_Input'!$X$71="Forfait",IF(AZ$20&gt;='01_Input'!$V$71,'01_Input'!$Y$71,0),IF('01_Input'!$X$71="Palier",IF(AND(AZ$20&gt;='01_Input'!$V$71,AZ$20&lt;'01_Input'!$W$71),'01_Input'!$Y$71,0),MAX(MIN(AZ$20,'01_Input'!$W$71)-'01_Input'!$V$71,0)*'01_Input'!$Y$71))+IF('01_Input'!$AB$71="Forfait",IF(AZ$20&gt;='01_Input'!$Z$71,'01_Input'!$AC$71,0),IF('01_Input'!$AB$71="Palier",IF(AND(AZ$20&gt;='01_Input'!$Z$71,AZ$20&lt;'01_Input'!$AA$71),'01_Input'!$AC$71,0),MAX(MIN(AZ$20,'01_Input'!$AA$71)-'01_Input'!$Z$71,0)*'01_Input'!$AC$71)))))))))</f>
        <v>0</v>
      </c>
      <c r="BA39" s="25">
        <f>IF('01_Input'!$C$71="Non",0,MIN('01_Input'!$I$71,MAX('01_Input'!$H$71,IF('01_Input'!$G$71="Résiduel vs Gestion",0,IF('01_Input'!$G$71="Taux Classe sélectionnée",Distrib_Global_Classe_Selectionnee*BA$20,IF('01_Input'!$G$71="Frais KYC (paliers de 100M€)",MAX(0,Nb_Investisseurs-Nb_KYC_Gratuites_Par_Tranche*(FLOOR(BA$20/Taille_Tranche_KYC,1)+1))*Cout_Par_KYC_Supplementaire,(IF('01_Input'!$L$71="Forfait",IF(BA$20&gt;='01_Input'!$J$71,'01_Input'!$M$71,0),IF('01_Input'!$L$71="Palier",IF(AND(BA$20&gt;='01_Input'!$J$71,BA$20&lt;'01_Input'!$K$71),'01_Input'!$M$71,0),MAX(MIN(BA$20,'01_Input'!$K$71)-'01_Input'!$J$71,0)*'01_Input'!$M$71))+IF('01_Input'!$P$71="Forfait",IF(BA$20&gt;='01_Input'!$N$71,'01_Input'!$Q$71,0),IF('01_Input'!$P$71="Palier",IF(AND(BA$20&gt;='01_Input'!$N$71,BA$20&lt;'01_Input'!$O$71),'01_Input'!$Q$71,0),MAX(MIN(BA$20,'01_Input'!$O$71)-'01_Input'!$N$71,0)*'01_Input'!$Q$71))+IF('01_Input'!$T$71="Forfait",IF(BA$20&gt;='01_Input'!$R$71,'01_Input'!$U$71,0),IF('01_Input'!$T$71="Palier",IF(AND(BA$20&gt;='01_Input'!$R$71,BA$20&lt;'01_Input'!$S$71),'01_Input'!$U$71,0),MAX(MIN(BA$20,'01_Input'!$S$71)-'01_Input'!$R$71,0)*'01_Input'!$U$71))+IF('01_Input'!$X$71="Forfait",IF(BA$20&gt;='01_Input'!$V$71,'01_Input'!$Y$71,0),IF('01_Input'!$X$71="Palier",IF(AND(BA$20&gt;='01_Input'!$V$71,BA$20&lt;'01_Input'!$W$71),'01_Input'!$Y$71,0),MAX(MIN(BA$20,'01_Input'!$W$71)-'01_Input'!$V$71,0)*'01_Input'!$Y$71))+IF('01_Input'!$AB$71="Forfait",IF(BA$20&gt;='01_Input'!$Z$71,'01_Input'!$AC$71,0),IF('01_Input'!$AB$71="Palier",IF(AND(BA$20&gt;='01_Input'!$Z$71,BA$20&lt;'01_Input'!$AA$71),'01_Input'!$AC$71,0),MAX(MIN(BA$20,'01_Input'!$AA$71)-'01_Input'!$Z$71,0)*'01_Input'!$AC$71)))))))))</f>
        <v>0</v>
      </c>
      <c r="BB39" s="25">
        <f>IF('01_Input'!$C$71="Non",0,MIN('01_Input'!$I$71,MAX('01_Input'!$H$71,IF('01_Input'!$G$71="Résiduel vs Gestion",0,IF('01_Input'!$G$71="Taux Classe sélectionnée",Distrib_Global_Classe_Selectionnee*BB$20,IF('01_Input'!$G$71="Frais KYC (paliers de 100M€)",MAX(0,Nb_Investisseurs-Nb_KYC_Gratuites_Par_Tranche*(FLOOR(BB$20/Taille_Tranche_KYC,1)+1))*Cout_Par_KYC_Supplementaire,(IF('01_Input'!$L$71="Forfait",IF(BB$20&gt;='01_Input'!$J$71,'01_Input'!$M$71,0),IF('01_Input'!$L$71="Palier",IF(AND(BB$20&gt;='01_Input'!$J$71,BB$20&lt;'01_Input'!$K$71),'01_Input'!$M$71,0),MAX(MIN(BB$20,'01_Input'!$K$71)-'01_Input'!$J$71,0)*'01_Input'!$M$71))+IF('01_Input'!$P$71="Forfait",IF(BB$20&gt;='01_Input'!$N$71,'01_Input'!$Q$71,0),IF('01_Input'!$P$71="Palier",IF(AND(BB$20&gt;='01_Input'!$N$71,BB$20&lt;'01_Input'!$O$71),'01_Input'!$Q$71,0),MAX(MIN(BB$20,'01_Input'!$O$71)-'01_Input'!$N$71,0)*'01_Input'!$Q$71))+IF('01_Input'!$T$71="Forfait",IF(BB$20&gt;='01_Input'!$R$71,'01_Input'!$U$71,0),IF('01_Input'!$T$71="Palier",IF(AND(BB$20&gt;='01_Input'!$R$71,BB$20&lt;'01_Input'!$S$71),'01_Input'!$U$71,0),MAX(MIN(BB$20,'01_Input'!$S$71)-'01_Input'!$R$71,0)*'01_Input'!$U$71))+IF('01_Input'!$X$71="Forfait",IF(BB$20&gt;='01_Input'!$V$71,'01_Input'!$Y$71,0),IF('01_Input'!$X$71="Palier",IF(AND(BB$20&gt;='01_Input'!$V$71,BB$20&lt;'01_Input'!$W$71),'01_Input'!$Y$71,0),MAX(MIN(BB$20,'01_Input'!$W$71)-'01_Input'!$V$71,0)*'01_Input'!$Y$71))+IF('01_Input'!$AB$71="Forfait",IF(BB$20&gt;='01_Input'!$Z$71,'01_Input'!$AC$71,0),IF('01_Input'!$AB$71="Palier",IF(AND(BB$20&gt;='01_Input'!$Z$71,BB$20&lt;'01_Input'!$AA$71),'01_Input'!$AC$71,0),MAX(MIN(BB$20,'01_Input'!$AA$71)-'01_Input'!$Z$71,0)*'01_Input'!$AC$71)))))))))</f>
        <v>0</v>
      </c>
      <c r="BC39" s="25">
        <f>IF('01_Input'!$C$71="Non",0,MIN('01_Input'!$I$71,MAX('01_Input'!$H$71,IF('01_Input'!$G$71="Résiduel vs Gestion",0,IF('01_Input'!$G$71="Taux Classe sélectionnée",Distrib_Global_Classe_Selectionnee*BC$20,IF('01_Input'!$G$71="Frais KYC (paliers de 100M€)",MAX(0,Nb_Investisseurs-Nb_KYC_Gratuites_Par_Tranche*(FLOOR(BC$20/Taille_Tranche_KYC,1)+1))*Cout_Par_KYC_Supplementaire,(IF('01_Input'!$L$71="Forfait",IF(BC$20&gt;='01_Input'!$J$71,'01_Input'!$M$71,0),IF('01_Input'!$L$71="Palier",IF(AND(BC$20&gt;='01_Input'!$J$71,BC$20&lt;'01_Input'!$K$71),'01_Input'!$M$71,0),MAX(MIN(BC$20,'01_Input'!$K$71)-'01_Input'!$J$71,0)*'01_Input'!$M$71))+IF('01_Input'!$P$71="Forfait",IF(BC$20&gt;='01_Input'!$N$71,'01_Input'!$Q$71,0),IF('01_Input'!$P$71="Palier",IF(AND(BC$20&gt;='01_Input'!$N$71,BC$20&lt;'01_Input'!$O$71),'01_Input'!$Q$71,0),MAX(MIN(BC$20,'01_Input'!$O$71)-'01_Input'!$N$71,0)*'01_Input'!$Q$71))+IF('01_Input'!$T$71="Forfait",IF(BC$20&gt;='01_Input'!$R$71,'01_Input'!$U$71,0),IF('01_Input'!$T$71="Palier",IF(AND(BC$20&gt;='01_Input'!$R$71,BC$20&lt;'01_Input'!$S$71),'01_Input'!$U$71,0),MAX(MIN(BC$20,'01_Input'!$S$71)-'01_Input'!$R$71,0)*'01_Input'!$U$71))+IF('01_Input'!$X$71="Forfait",IF(BC$20&gt;='01_Input'!$V$71,'01_Input'!$Y$71,0),IF('01_Input'!$X$71="Palier",IF(AND(BC$20&gt;='01_Input'!$V$71,BC$20&lt;'01_Input'!$W$71),'01_Input'!$Y$71,0),MAX(MIN(BC$20,'01_Input'!$W$71)-'01_Input'!$V$71,0)*'01_Input'!$Y$71))+IF('01_Input'!$AB$71="Forfait",IF(BC$20&gt;='01_Input'!$Z$71,'01_Input'!$AC$71,0),IF('01_Input'!$AB$71="Palier",IF(AND(BC$20&gt;='01_Input'!$Z$71,BC$20&lt;'01_Input'!$AA$71),'01_Input'!$AC$71,0),MAX(MIN(BC$20,'01_Input'!$AA$71)-'01_Input'!$Z$71,0)*'01_Input'!$AC$71)))))))))</f>
        <v>0</v>
      </c>
      <c r="BD39" s="25">
        <f>IF('01_Input'!$C$71="Non",0,MIN('01_Input'!$I$71,MAX('01_Input'!$H$71,IF('01_Input'!$G$71="Résiduel vs Gestion",0,IF('01_Input'!$G$71="Taux Classe sélectionnée",Distrib_Global_Classe_Selectionnee*BD$20,IF('01_Input'!$G$71="Frais KYC (paliers de 100M€)",MAX(0,Nb_Investisseurs-Nb_KYC_Gratuites_Par_Tranche*(FLOOR(BD$20/Taille_Tranche_KYC,1)+1))*Cout_Par_KYC_Supplementaire,(IF('01_Input'!$L$71="Forfait",IF(BD$20&gt;='01_Input'!$J$71,'01_Input'!$M$71,0),IF('01_Input'!$L$71="Palier",IF(AND(BD$20&gt;='01_Input'!$J$71,BD$20&lt;'01_Input'!$K$71),'01_Input'!$M$71,0),MAX(MIN(BD$20,'01_Input'!$K$71)-'01_Input'!$J$71,0)*'01_Input'!$M$71))+IF('01_Input'!$P$71="Forfait",IF(BD$20&gt;='01_Input'!$N$71,'01_Input'!$Q$71,0),IF('01_Input'!$P$71="Palier",IF(AND(BD$20&gt;='01_Input'!$N$71,BD$20&lt;'01_Input'!$O$71),'01_Input'!$Q$71,0),MAX(MIN(BD$20,'01_Input'!$O$71)-'01_Input'!$N$71,0)*'01_Input'!$Q$71))+IF('01_Input'!$T$71="Forfait",IF(BD$20&gt;='01_Input'!$R$71,'01_Input'!$U$71,0),IF('01_Input'!$T$71="Palier",IF(AND(BD$20&gt;='01_Input'!$R$71,BD$20&lt;'01_Input'!$S$71),'01_Input'!$U$71,0),MAX(MIN(BD$20,'01_Input'!$S$71)-'01_Input'!$R$71,0)*'01_Input'!$U$71))+IF('01_Input'!$X$71="Forfait",IF(BD$20&gt;='01_Input'!$V$71,'01_Input'!$Y$71,0),IF('01_Input'!$X$71="Palier",IF(AND(BD$20&gt;='01_Input'!$V$71,BD$20&lt;'01_Input'!$W$71),'01_Input'!$Y$71,0),MAX(MIN(BD$20,'01_Input'!$W$71)-'01_Input'!$V$71,0)*'01_Input'!$Y$71))+IF('01_Input'!$AB$71="Forfait",IF(BD$20&gt;='01_Input'!$Z$71,'01_Input'!$AC$71,0),IF('01_Input'!$AB$71="Palier",IF(AND(BD$20&gt;='01_Input'!$Z$71,BD$20&lt;'01_Input'!$AA$71),'01_Input'!$AC$71,0),MAX(MIN(BD$20,'01_Input'!$AA$71)-'01_Input'!$Z$71,0)*'01_Input'!$AC$71)))))))))</f>
        <v>0</v>
      </c>
      <c r="BE39" s="25">
        <f>IF('01_Input'!$C$71="Non",0,MIN('01_Input'!$I$71,MAX('01_Input'!$H$71,IF('01_Input'!$G$71="Résiduel vs Gestion",0,IF('01_Input'!$G$71="Taux Classe sélectionnée",Distrib_Global_Classe_Selectionnee*BE$20,IF('01_Input'!$G$71="Frais KYC (paliers de 100M€)",MAX(0,Nb_Investisseurs-Nb_KYC_Gratuites_Par_Tranche*(FLOOR(BE$20/Taille_Tranche_KYC,1)+1))*Cout_Par_KYC_Supplementaire,(IF('01_Input'!$L$71="Forfait",IF(BE$20&gt;='01_Input'!$J$71,'01_Input'!$M$71,0),IF('01_Input'!$L$71="Palier",IF(AND(BE$20&gt;='01_Input'!$J$71,BE$20&lt;'01_Input'!$K$71),'01_Input'!$M$71,0),MAX(MIN(BE$20,'01_Input'!$K$71)-'01_Input'!$J$71,0)*'01_Input'!$M$71))+IF('01_Input'!$P$71="Forfait",IF(BE$20&gt;='01_Input'!$N$71,'01_Input'!$Q$71,0),IF('01_Input'!$P$71="Palier",IF(AND(BE$20&gt;='01_Input'!$N$71,BE$20&lt;'01_Input'!$O$71),'01_Input'!$Q$71,0),MAX(MIN(BE$20,'01_Input'!$O$71)-'01_Input'!$N$71,0)*'01_Input'!$Q$71))+IF('01_Input'!$T$71="Forfait",IF(BE$20&gt;='01_Input'!$R$71,'01_Input'!$U$71,0),IF('01_Input'!$T$71="Palier",IF(AND(BE$20&gt;='01_Input'!$R$71,BE$20&lt;'01_Input'!$S$71),'01_Input'!$U$71,0),MAX(MIN(BE$20,'01_Input'!$S$71)-'01_Input'!$R$71,0)*'01_Input'!$U$71))+IF('01_Input'!$X$71="Forfait",IF(BE$20&gt;='01_Input'!$V$71,'01_Input'!$Y$71,0),IF('01_Input'!$X$71="Palier",IF(AND(BE$20&gt;='01_Input'!$V$71,BE$20&lt;'01_Input'!$W$71),'01_Input'!$Y$71,0),MAX(MIN(BE$20,'01_Input'!$W$71)-'01_Input'!$V$71,0)*'01_Input'!$Y$71))+IF('01_Input'!$AB$71="Forfait",IF(BE$20&gt;='01_Input'!$Z$71,'01_Input'!$AC$71,0),IF('01_Input'!$AB$71="Palier",IF(AND(BE$20&gt;='01_Input'!$Z$71,BE$20&lt;'01_Input'!$AA$71),'01_Input'!$AC$71,0),MAX(MIN(BE$20,'01_Input'!$AA$71)-'01_Input'!$Z$71,0)*'01_Input'!$AC$71)))))))))</f>
        <v>0</v>
      </c>
      <c r="BF39" s="25">
        <f>IF('01_Input'!$C$71="Non",0,MIN('01_Input'!$I$71,MAX('01_Input'!$H$71,IF('01_Input'!$G$71="Résiduel vs Gestion",0,IF('01_Input'!$G$71="Taux Classe sélectionnée",Distrib_Global_Classe_Selectionnee*BF$20,IF('01_Input'!$G$71="Frais KYC (paliers de 100M€)",MAX(0,Nb_Investisseurs-Nb_KYC_Gratuites_Par_Tranche*(FLOOR(BF$20/Taille_Tranche_KYC,1)+1))*Cout_Par_KYC_Supplementaire,(IF('01_Input'!$L$71="Forfait",IF(BF$20&gt;='01_Input'!$J$71,'01_Input'!$M$71,0),IF('01_Input'!$L$71="Palier",IF(AND(BF$20&gt;='01_Input'!$J$71,BF$20&lt;'01_Input'!$K$71),'01_Input'!$M$71,0),MAX(MIN(BF$20,'01_Input'!$K$71)-'01_Input'!$J$71,0)*'01_Input'!$M$71))+IF('01_Input'!$P$71="Forfait",IF(BF$20&gt;='01_Input'!$N$71,'01_Input'!$Q$71,0),IF('01_Input'!$P$71="Palier",IF(AND(BF$20&gt;='01_Input'!$N$71,BF$20&lt;'01_Input'!$O$71),'01_Input'!$Q$71,0),MAX(MIN(BF$20,'01_Input'!$O$71)-'01_Input'!$N$71,0)*'01_Input'!$Q$71))+IF('01_Input'!$T$71="Forfait",IF(BF$20&gt;='01_Input'!$R$71,'01_Input'!$U$71,0),IF('01_Input'!$T$71="Palier",IF(AND(BF$20&gt;='01_Input'!$R$71,BF$20&lt;'01_Input'!$S$71),'01_Input'!$U$71,0),MAX(MIN(BF$20,'01_Input'!$S$71)-'01_Input'!$R$71,0)*'01_Input'!$U$71))+IF('01_Input'!$X$71="Forfait",IF(BF$20&gt;='01_Input'!$V$71,'01_Input'!$Y$71,0),IF('01_Input'!$X$71="Palier",IF(AND(BF$20&gt;='01_Input'!$V$71,BF$20&lt;'01_Input'!$W$71),'01_Input'!$Y$71,0),MAX(MIN(BF$20,'01_Input'!$W$71)-'01_Input'!$V$71,0)*'01_Input'!$Y$71))+IF('01_Input'!$AB$71="Forfait",IF(BF$20&gt;='01_Input'!$Z$71,'01_Input'!$AC$71,0),IF('01_Input'!$AB$71="Palier",IF(AND(BF$20&gt;='01_Input'!$Z$71,BF$20&lt;'01_Input'!$AA$71),'01_Input'!$AC$71,0),MAX(MIN(BF$20,'01_Input'!$AA$71)-'01_Input'!$Z$71,0)*'01_Input'!$AC$71)))))))))</f>
        <v>0</v>
      </c>
      <c r="BG39" s="25">
        <f>IF('01_Input'!$C$71="Non",0,MIN('01_Input'!$I$71,MAX('01_Input'!$H$71,IF('01_Input'!$G$71="Résiduel vs Gestion",0,IF('01_Input'!$G$71="Taux Classe sélectionnée",Distrib_Global_Classe_Selectionnee*BG$20,IF('01_Input'!$G$71="Frais KYC (paliers de 100M€)",MAX(0,Nb_Investisseurs-Nb_KYC_Gratuites_Par_Tranche*(FLOOR(BG$20/Taille_Tranche_KYC,1)+1))*Cout_Par_KYC_Supplementaire,(IF('01_Input'!$L$71="Forfait",IF(BG$20&gt;='01_Input'!$J$71,'01_Input'!$M$71,0),IF('01_Input'!$L$71="Palier",IF(AND(BG$20&gt;='01_Input'!$J$71,BG$20&lt;'01_Input'!$K$71),'01_Input'!$M$71,0),MAX(MIN(BG$20,'01_Input'!$K$71)-'01_Input'!$J$71,0)*'01_Input'!$M$71))+IF('01_Input'!$P$71="Forfait",IF(BG$20&gt;='01_Input'!$N$71,'01_Input'!$Q$71,0),IF('01_Input'!$P$71="Palier",IF(AND(BG$20&gt;='01_Input'!$N$71,BG$20&lt;'01_Input'!$O$71),'01_Input'!$Q$71,0),MAX(MIN(BG$20,'01_Input'!$O$71)-'01_Input'!$N$71,0)*'01_Input'!$Q$71))+IF('01_Input'!$T$71="Forfait",IF(BG$20&gt;='01_Input'!$R$71,'01_Input'!$U$71,0),IF('01_Input'!$T$71="Palier",IF(AND(BG$20&gt;='01_Input'!$R$71,BG$20&lt;'01_Input'!$S$71),'01_Input'!$U$71,0),MAX(MIN(BG$20,'01_Input'!$S$71)-'01_Input'!$R$71,0)*'01_Input'!$U$71))+IF('01_Input'!$X$71="Forfait",IF(BG$20&gt;='01_Input'!$V$71,'01_Input'!$Y$71,0),IF('01_Input'!$X$71="Palier",IF(AND(BG$20&gt;='01_Input'!$V$71,BG$20&lt;'01_Input'!$W$71),'01_Input'!$Y$71,0),MAX(MIN(BG$20,'01_Input'!$W$71)-'01_Input'!$V$71,0)*'01_Input'!$Y$71))+IF('01_Input'!$AB$71="Forfait",IF(BG$20&gt;='01_Input'!$Z$71,'01_Input'!$AC$71,0),IF('01_Input'!$AB$71="Palier",IF(AND(BG$20&gt;='01_Input'!$Z$71,BG$20&lt;'01_Input'!$AA$71),'01_Input'!$AC$71,0),MAX(MIN(BG$20,'01_Input'!$AA$71)-'01_Input'!$Z$71,0)*'01_Input'!$AC$71)))))))))</f>
        <v>0</v>
      </c>
      <c r="BH39" s="25">
        <f>IF('01_Input'!$C$71="Non",0,MIN('01_Input'!$I$71,MAX('01_Input'!$H$71,IF('01_Input'!$G$71="Résiduel vs Gestion",0,IF('01_Input'!$G$71="Taux Classe sélectionnée",Distrib_Global_Classe_Selectionnee*BH$20,IF('01_Input'!$G$71="Frais KYC (paliers de 100M€)",MAX(0,Nb_Investisseurs-Nb_KYC_Gratuites_Par_Tranche*(FLOOR(BH$20/Taille_Tranche_KYC,1)+1))*Cout_Par_KYC_Supplementaire,(IF('01_Input'!$L$71="Forfait",IF(BH$20&gt;='01_Input'!$J$71,'01_Input'!$M$71,0),IF('01_Input'!$L$71="Palier",IF(AND(BH$20&gt;='01_Input'!$J$71,BH$20&lt;'01_Input'!$K$71),'01_Input'!$M$71,0),MAX(MIN(BH$20,'01_Input'!$K$71)-'01_Input'!$J$71,0)*'01_Input'!$M$71))+IF('01_Input'!$P$71="Forfait",IF(BH$20&gt;='01_Input'!$N$71,'01_Input'!$Q$71,0),IF('01_Input'!$P$71="Palier",IF(AND(BH$20&gt;='01_Input'!$N$71,BH$20&lt;'01_Input'!$O$71),'01_Input'!$Q$71,0),MAX(MIN(BH$20,'01_Input'!$O$71)-'01_Input'!$N$71,0)*'01_Input'!$Q$71))+IF('01_Input'!$T$71="Forfait",IF(BH$20&gt;='01_Input'!$R$71,'01_Input'!$U$71,0),IF('01_Input'!$T$71="Palier",IF(AND(BH$20&gt;='01_Input'!$R$71,BH$20&lt;'01_Input'!$S$71),'01_Input'!$U$71,0),MAX(MIN(BH$20,'01_Input'!$S$71)-'01_Input'!$R$71,0)*'01_Input'!$U$71))+IF('01_Input'!$X$71="Forfait",IF(BH$20&gt;='01_Input'!$V$71,'01_Input'!$Y$71,0),IF('01_Input'!$X$71="Palier",IF(AND(BH$20&gt;='01_Input'!$V$71,BH$20&lt;'01_Input'!$W$71),'01_Input'!$Y$71,0),MAX(MIN(BH$20,'01_Input'!$W$71)-'01_Input'!$V$71,0)*'01_Input'!$Y$71))+IF('01_Input'!$AB$71="Forfait",IF(BH$20&gt;='01_Input'!$Z$71,'01_Input'!$AC$71,0),IF('01_Input'!$AB$71="Palier",IF(AND(BH$20&gt;='01_Input'!$Z$71,BH$20&lt;'01_Input'!$AA$71),'01_Input'!$AC$71,0),MAX(MIN(BH$20,'01_Input'!$AA$71)-'01_Input'!$Z$71,0)*'01_Input'!$AC$71)))))))))</f>
        <v>0</v>
      </c>
      <c r="BI39" s="25">
        <f>IF('01_Input'!$C$71="Non",0,MIN('01_Input'!$I$71,MAX('01_Input'!$H$71,IF('01_Input'!$G$71="Résiduel vs Gestion",0,IF('01_Input'!$G$71="Taux Classe sélectionnée",Distrib_Global_Classe_Selectionnee*BI$20,IF('01_Input'!$G$71="Frais KYC (paliers de 100M€)",MAX(0,Nb_Investisseurs-Nb_KYC_Gratuites_Par_Tranche*(FLOOR(BI$20/Taille_Tranche_KYC,1)+1))*Cout_Par_KYC_Supplementaire,(IF('01_Input'!$L$71="Forfait",IF(BI$20&gt;='01_Input'!$J$71,'01_Input'!$M$71,0),IF('01_Input'!$L$71="Palier",IF(AND(BI$20&gt;='01_Input'!$J$71,BI$20&lt;'01_Input'!$K$71),'01_Input'!$M$71,0),MAX(MIN(BI$20,'01_Input'!$K$71)-'01_Input'!$J$71,0)*'01_Input'!$M$71))+IF('01_Input'!$P$71="Forfait",IF(BI$20&gt;='01_Input'!$N$71,'01_Input'!$Q$71,0),IF('01_Input'!$P$71="Palier",IF(AND(BI$20&gt;='01_Input'!$N$71,BI$20&lt;'01_Input'!$O$71),'01_Input'!$Q$71,0),MAX(MIN(BI$20,'01_Input'!$O$71)-'01_Input'!$N$71,0)*'01_Input'!$Q$71))+IF('01_Input'!$T$71="Forfait",IF(BI$20&gt;='01_Input'!$R$71,'01_Input'!$U$71,0),IF('01_Input'!$T$71="Palier",IF(AND(BI$20&gt;='01_Input'!$R$71,BI$20&lt;'01_Input'!$S$71),'01_Input'!$U$71,0),MAX(MIN(BI$20,'01_Input'!$S$71)-'01_Input'!$R$71,0)*'01_Input'!$U$71))+IF('01_Input'!$X$71="Forfait",IF(BI$20&gt;='01_Input'!$V$71,'01_Input'!$Y$71,0),IF('01_Input'!$X$71="Palier",IF(AND(BI$20&gt;='01_Input'!$V$71,BI$20&lt;'01_Input'!$W$71),'01_Input'!$Y$71,0),MAX(MIN(BI$20,'01_Input'!$W$71)-'01_Input'!$V$71,0)*'01_Input'!$Y$71))+IF('01_Input'!$AB$71="Forfait",IF(BI$20&gt;='01_Input'!$Z$71,'01_Input'!$AC$71,0),IF('01_Input'!$AB$71="Palier",IF(AND(BI$20&gt;='01_Input'!$Z$71,BI$20&lt;'01_Input'!$AA$71),'01_Input'!$AC$71,0),MAX(MIN(BI$20,'01_Input'!$AA$71)-'01_Input'!$Z$71,0)*'01_Input'!$AC$71)))))))))</f>
        <v>0</v>
      </c>
      <c r="BJ39" s="25">
        <f>IF('01_Input'!$C$71="Non",0,MIN('01_Input'!$I$71,MAX('01_Input'!$H$71,IF('01_Input'!$G$71="Résiduel vs Gestion",0,IF('01_Input'!$G$71="Taux Classe sélectionnée",Distrib_Global_Classe_Selectionnee*BJ$20,IF('01_Input'!$G$71="Frais KYC (paliers de 100M€)",MAX(0,Nb_Investisseurs-Nb_KYC_Gratuites_Par_Tranche*(FLOOR(BJ$20/Taille_Tranche_KYC,1)+1))*Cout_Par_KYC_Supplementaire,(IF('01_Input'!$L$71="Forfait",IF(BJ$20&gt;='01_Input'!$J$71,'01_Input'!$M$71,0),IF('01_Input'!$L$71="Palier",IF(AND(BJ$20&gt;='01_Input'!$J$71,BJ$20&lt;'01_Input'!$K$71),'01_Input'!$M$71,0),MAX(MIN(BJ$20,'01_Input'!$K$71)-'01_Input'!$J$71,0)*'01_Input'!$M$71))+IF('01_Input'!$P$71="Forfait",IF(BJ$20&gt;='01_Input'!$N$71,'01_Input'!$Q$71,0),IF('01_Input'!$P$71="Palier",IF(AND(BJ$20&gt;='01_Input'!$N$71,BJ$20&lt;'01_Input'!$O$71),'01_Input'!$Q$71,0),MAX(MIN(BJ$20,'01_Input'!$O$71)-'01_Input'!$N$71,0)*'01_Input'!$Q$71))+IF('01_Input'!$T$71="Forfait",IF(BJ$20&gt;='01_Input'!$R$71,'01_Input'!$U$71,0),IF('01_Input'!$T$71="Palier",IF(AND(BJ$20&gt;='01_Input'!$R$71,BJ$20&lt;'01_Input'!$S$71),'01_Input'!$U$71,0),MAX(MIN(BJ$20,'01_Input'!$S$71)-'01_Input'!$R$71,0)*'01_Input'!$U$71))+IF('01_Input'!$X$71="Forfait",IF(BJ$20&gt;='01_Input'!$V$71,'01_Input'!$Y$71,0),IF('01_Input'!$X$71="Palier",IF(AND(BJ$20&gt;='01_Input'!$V$71,BJ$20&lt;'01_Input'!$W$71),'01_Input'!$Y$71,0),MAX(MIN(BJ$20,'01_Input'!$W$71)-'01_Input'!$V$71,0)*'01_Input'!$Y$71))+IF('01_Input'!$AB$71="Forfait",IF(BJ$20&gt;='01_Input'!$Z$71,'01_Input'!$AC$71,0),IF('01_Input'!$AB$71="Palier",IF(AND(BJ$20&gt;='01_Input'!$Z$71,BJ$20&lt;'01_Input'!$AA$71),'01_Input'!$AC$71,0),MAX(MIN(BJ$20,'01_Input'!$AA$71)-'01_Input'!$Z$71,0)*'01_Input'!$AC$71)))))))))</f>
        <v>0</v>
      </c>
      <c r="BK39" s="25">
        <f>IF('01_Input'!$C$71="Non",0,MIN('01_Input'!$I$71,MAX('01_Input'!$H$71,IF('01_Input'!$G$71="Résiduel vs Gestion",0,IF('01_Input'!$G$71="Taux Classe sélectionnée",Distrib_Global_Classe_Selectionnee*BK$20,IF('01_Input'!$G$71="Frais KYC (paliers de 100M€)",MAX(0,Nb_Investisseurs-Nb_KYC_Gratuites_Par_Tranche*(FLOOR(BK$20/Taille_Tranche_KYC,1)+1))*Cout_Par_KYC_Supplementaire,(IF('01_Input'!$L$71="Forfait",IF(BK$20&gt;='01_Input'!$J$71,'01_Input'!$M$71,0),IF('01_Input'!$L$71="Palier",IF(AND(BK$20&gt;='01_Input'!$J$71,BK$20&lt;'01_Input'!$K$71),'01_Input'!$M$71,0),MAX(MIN(BK$20,'01_Input'!$K$71)-'01_Input'!$J$71,0)*'01_Input'!$M$71))+IF('01_Input'!$P$71="Forfait",IF(BK$20&gt;='01_Input'!$N$71,'01_Input'!$Q$71,0),IF('01_Input'!$P$71="Palier",IF(AND(BK$20&gt;='01_Input'!$N$71,BK$20&lt;'01_Input'!$O$71),'01_Input'!$Q$71,0),MAX(MIN(BK$20,'01_Input'!$O$71)-'01_Input'!$N$71,0)*'01_Input'!$Q$71))+IF('01_Input'!$T$71="Forfait",IF(BK$20&gt;='01_Input'!$R$71,'01_Input'!$U$71,0),IF('01_Input'!$T$71="Palier",IF(AND(BK$20&gt;='01_Input'!$R$71,BK$20&lt;'01_Input'!$S$71),'01_Input'!$U$71,0),MAX(MIN(BK$20,'01_Input'!$S$71)-'01_Input'!$R$71,0)*'01_Input'!$U$71))+IF('01_Input'!$X$71="Forfait",IF(BK$20&gt;='01_Input'!$V$71,'01_Input'!$Y$71,0),IF('01_Input'!$X$71="Palier",IF(AND(BK$20&gt;='01_Input'!$V$71,BK$20&lt;'01_Input'!$W$71),'01_Input'!$Y$71,0),MAX(MIN(BK$20,'01_Input'!$W$71)-'01_Input'!$V$71,0)*'01_Input'!$Y$71))+IF('01_Input'!$AB$71="Forfait",IF(BK$20&gt;='01_Input'!$Z$71,'01_Input'!$AC$71,0),IF('01_Input'!$AB$71="Palier",IF(AND(BK$20&gt;='01_Input'!$Z$71,BK$20&lt;'01_Input'!$AA$71),'01_Input'!$AC$71,0),MAX(MIN(BK$20,'01_Input'!$AA$71)-'01_Input'!$Z$71,0)*'01_Input'!$AC$71)))))))))</f>
        <v>0</v>
      </c>
      <c r="BL39" s="25">
        <f>IF('01_Input'!$C$71="Non",0,MIN('01_Input'!$I$71,MAX('01_Input'!$H$71,IF('01_Input'!$G$71="Résiduel vs Gestion",0,IF('01_Input'!$G$71="Taux Classe sélectionnée",Distrib_Global_Classe_Selectionnee*BL$20,IF('01_Input'!$G$71="Frais KYC (paliers de 100M€)",MAX(0,Nb_Investisseurs-Nb_KYC_Gratuites_Par_Tranche*(FLOOR(BL$20/Taille_Tranche_KYC,1)+1))*Cout_Par_KYC_Supplementaire,(IF('01_Input'!$L$71="Forfait",IF(BL$20&gt;='01_Input'!$J$71,'01_Input'!$M$71,0),IF('01_Input'!$L$71="Palier",IF(AND(BL$20&gt;='01_Input'!$J$71,BL$20&lt;'01_Input'!$K$71),'01_Input'!$M$71,0),MAX(MIN(BL$20,'01_Input'!$K$71)-'01_Input'!$J$71,0)*'01_Input'!$M$71))+IF('01_Input'!$P$71="Forfait",IF(BL$20&gt;='01_Input'!$N$71,'01_Input'!$Q$71,0),IF('01_Input'!$P$71="Palier",IF(AND(BL$20&gt;='01_Input'!$N$71,BL$20&lt;'01_Input'!$O$71),'01_Input'!$Q$71,0),MAX(MIN(BL$20,'01_Input'!$O$71)-'01_Input'!$N$71,0)*'01_Input'!$Q$71))+IF('01_Input'!$T$71="Forfait",IF(BL$20&gt;='01_Input'!$R$71,'01_Input'!$U$71,0),IF('01_Input'!$T$71="Palier",IF(AND(BL$20&gt;='01_Input'!$R$71,BL$20&lt;'01_Input'!$S$71),'01_Input'!$U$71,0),MAX(MIN(BL$20,'01_Input'!$S$71)-'01_Input'!$R$71,0)*'01_Input'!$U$71))+IF('01_Input'!$X$71="Forfait",IF(BL$20&gt;='01_Input'!$V$71,'01_Input'!$Y$71,0),IF('01_Input'!$X$71="Palier",IF(AND(BL$20&gt;='01_Input'!$V$71,BL$20&lt;'01_Input'!$W$71),'01_Input'!$Y$71,0),MAX(MIN(BL$20,'01_Input'!$W$71)-'01_Input'!$V$71,0)*'01_Input'!$Y$71))+IF('01_Input'!$AB$71="Forfait",IF(BL$20&gt;='01_Input'!$Z$71,'01_Input'!$AC$71,0),IF('01_Input'!$AB$71="Palier",IF(AND(BL$20&gt;='01_Input'!$Z$71,BL$20&lt;'01_Input'!$AA$71),'01_Input'!$AC$71,0),MAX(MIN(BL$20,'01_Input'!$AA$71)-'01_Input'!$Z$71,0)*'01_Input'!$AC$71)))))))))</f>
        <v>0</v>
      </c>
      <c r="BM39" s="25">
        <f>IF('01_Input'!$C$71="Non",0,MIN('01_Input'!$I$71,MAX('01_Input'!$H$71,IF('01_Input'!$G$71="Résiduel vs Gestion",0,IF('01_Input'!$G$71="Taux Classe sélectionnée",Distrib_Global_Classe_Selectionnee*BM$20,IF('01_Input'!$G$71="Frais KYC (paliers de 100M€)",MAX(0,Nb_Investisseurs-Nb_KYC_Gratuites_Par_Tranche*(FLOOR(BM$20/Taille_Tranche_KYC,1)+1))*Cout_Par_KYC_Supplementaire,(IF('01_Input'!$L$71="Forfait",IF(BM$20&gt;='01_Input'!$J$71,'01_Input'!$M$71,0),IF('01_Input'!$L$71="Palier",IF(AND(BM$20&gt;='01_Input'!$J$71,BM$20&lt;'01_Input'!$K$71),'01_Input'!$M$71,0),MAX(MIN(BM$20,'01_Input'!$K$71)-'01_Input'!$J$71,0)*'01_Input'!$M$71))+IF('01_Input'!$P$71="Forfait",IF(BM$20&gt;='01_Input'!$N$71,'01_Input'!$Q$71,0),IF('01_Input'!$P$71="Palier",IF(AND(BM$20&gt;='01_Input'!$N$71,BM$20&lt;'01_Input'!$O$71),'01_Input'!$Q$71,0),MAX(MIN(BM$20,'01_Input'!$O$71)-'01_Input'!$N$71,0)*'01_Input'!$Q$71))+IF('01_Input'!$T$71="Forfait",IF(BM$20&gt;='01_Input'!$R$71,'01_Input'!$U$71,0),IF('01_Input'!$T$71="Palier",IF(AND(BM$20&gt;='01_Input'!$R$71,BM$20&lt;'01_Input'!$S$71),'01_Input'!$U$71,0),MAX(MIN(BM$20,'01_Input'!$S$71)-'01_Input'!$R$71,0)*'01_Input'!$U$71))+IF('01_Input'!$X$71="Forfait",IF(BM$20&gt;='01_Input'!$V$71,'01_Input'!$Y$71,0),IF('01_Input'!$X$71="Palier",IF(AND(BM$20&gt;='01_Input'!$V$71,BM$20&lt;'01_Input'!$W$71),'01_Input'!$Y$71,0),MAX(MIN(BM$20,'01_Input'!$W$71)-'01_Input'!$V$71,0)*'01_Input'!$Y$71))+IF('01_Input'!$AB$71="Forfait",IF(BM$20&gt;='01_Input'!$Z$71,'01_Input'!$AC$71,0),IF('01_Input'!$AB$71="Palier",IF(AND(BM$20&gt;='01_Input'!$Z$71,BM$20&lt;'01_Input'!$AA$71),'01_Input'!$AC$71,0),MAX(MIN(BM$20,'01_Input'!$AA$71)-'01_Input'!$Z$71,0)*'01_Input'!$AC$71)))))))))</f>
        <v>0</v>
      </c>
      <c r="BN39" s="25">
        <f>IF('01_Input'!$C$71="Non",0,MIN('01_Input'!$I$71,MAX('01_Input'!$H$71,IF('01_Input'!$G$71="Résiduel vs Gestion",0,IF('01_Input'!$G$71="Taux Classe sélectionnée",Distrib_Global_Classe_Selectionnee*BN$20,IF('01_Input'!$G$71="Frais KYC (paliers de 100M€)",MAX(0,Nb_Investisseurs-Nb_KYC_Gratuites_Par_Tranche*(FLOOR(BN$20/Taille_Tranche_KYC,1)+1))*Cout_Par_KYC_Supplementaire,(IF('01_Input'!$L$71="Forfait",IF(BN$20&gt;='01_Input'!$J$71,'01_Input'!$M$71,0),IF('01_Input'!$L$71="Palier",IF(AND(BN$20&gt;='01_Input'!$J$71,BN$20&lt;'01_Input'!$K$71),'01_Input'!$M$71,0),MAX(MIN(BN$20,'01_Input'!$K$71)-'01_Input'!$J$71,0)*'01_Input'!$M$71))+IF('01_Input'!$P$71="Forfait",IF(BN$20&gt;='01_Input'!$N$71,'01_Input'!$Q$71,0),IF('01_Input'!$P$71="Palier",IF(AND(BN$20&gt;='01_Input'!$N$71,BN$20&lt;'01_Input'!$O$71),'01_Input'!$Q$71,0),MAX(MIN(BN$20,'01_Input'!$O$71)-'01_Input'!$N$71,0)*'01_Input'!$Q$71))+IF('01_Input'!$T$71="Forfait",IF(BN$20&gt;='01_Input'!$R$71,'01_Input'!$U$71,0),IF('01_Input'!$T$71="Palier",IF(AND(BN$20&gt;='01_Input'!$R$71,BN$20&lt;'01_Input'!$S$71),'01_Input'!$U$71,0),MAX(MIN(BN$20,'01_Input'!$S$71)-'01_Input'!$R$71,0)*'01_Input'!$U$71))+IF('01_Input'!$X$71="Forfait",IF(BN$20&gt;='01_Input'!$V$71,'01_Input'!$Y$71,0),IF('01_Input'!$X$71="Palier",IF(AND(BN$20&gt;='01_Input'!$V$71,BN$20&lt;'01_Input'!$W$71),'01_Input'!$Y$71,0),MAX(MIN(BN$20,'01_Input'!$W$71)-'01_Input'!$V$71,0)*'01_Input'!$Y$71))+IF('01_Input'!$AB$71="Forfait",IF(BN$20&gt;='01_Input'!$Z$71,'01_Input'!$AC$71,0),IF('01_Input'!$AB$71="Palier",IF(AND(BN$20&gt;='01_Input'!$Z$71,BN$20&lt;'01_Input'!$AA$71),'01_Input'!$AC$71,0),MAX(MIN(BN$20,'01_Input'!$AA$71)-'01_Input'!$Z$71,0)*'01_Input'!$AC$71)))))))))</f>
        <v>0</v>
      </c>
      <c r="BO39" s="25">
        <f>IF('01_Input'!$C$71="Non",0,MIN('01_Input'!$I$71,MAX('01_Input'!$H$71,IF('01_Input'!$G$71="Résiduel vs Gestion",0,IF('01_Input'!$G$71="Taux Classe sélectionnée",Distrib_Global_Classe_Selectionnee*BO$20,IF('01_Input'!$G$71="Frais KYC (paliers de 100M€)",MAX(0,Nb_Investisseurs-Nb_KYC_Gratuites_Par_Tranche*(FLOOR(BO$20/Taille_Tranche_KYC,1)+1))*Cout_Par_KYC_Supplementaire,(IF('01_Input'!$L$71="Forfait",IF(BO$20&gt;='01_Input'!$J$71,'01_Input'!$M$71,0),IF('01_Input'!$L$71="Palier",IF(AND(BO$20&gt;='01_Input'!$J$71,BO$20&lt;'01_Input'!$K$71),'01_Input'!$M$71,0),MAX(MIN(BO$20,'01_Input'!$K$71)-'01_Input'!$J$71,0)*'01_Input'!$M$71))+IF('01_Input'!$P$71="Forfait",IF(BO$20&gt;='01_Input'!$N$71,'01_Input'!$Q$71,0),IF('01_Input'!$P$71="Palier",IF(AND(BO$20&gt;='01_Input'!$N$71,BO$20&lt;'01_Input'!$O$71),'01_Input'!$Q$71,0),MAX(MIN(BO$20,'01_Input'!$O$71)-'01_Input'!$N$71,0)*'01_Input'!$Q$71))+IF('01_Input'!$T$71="Forfait",IF(BO$20&gt;='01_Input'!$R$71,'01_Input'!$U$71,0),IF('01_Input'!$T$71="Palier",IF(AND(BO$20&gt;='01_Input'!$R$71,BO$20&lt;'01_Input'!$S$71),'01_Input'!$U$71,0),MAX(MIN(BO$20,'01_Input'!$S$71)-'01_Input'!$R$71,0)*'01_Input'!$U$71))+IF('01_Input'!$X$71="Forfait",IF(BO$20&gt;='01_Input'!$V$71,'01_Input'!$Y$71,0),IF('01_Input'!$X$71="Palier",IF(AND(BO$20&gt;='01_Input'!$V$71,BO$20&lt;'01_Input'!$W$71),'01_Input'!$Y$71,0),MAX(MIN(BO$20,'01_Input'!$W$71)-'01_Input'!$V$71,0)*'01_Input'!$Y$71))+IF('01_Input'!$AB$71="Forfait",IF(BO$20&gt;='01_Input'!$Z$71,'01_Input'!$AC$71,0),IF('01_Input'!$AB$71="Palier",IF(AND(BO$20&gt;='01_Input'!$Z$71,BO$20&lt;'01_Input'!$AA$71),'01_Input'!$AC$71,0),MAX(MIN(BO$20,'01_Input'!$AA$71)-'01_Input'!$Z$71,0)*'01_Input'!$AC$71)))))))))</f>
        <v>0</v>
      </c>
      <c r="BP39" s="25">
        <f>IF('01_Input'!$C$71="Non",0,MIN('01_Input'!$I$71,MAX('01_Input'!$H$71,IF('01_Input'!$G$71="Résiduel vs Gestion",0,IF('01_Input'!$G$71="Taux Classe sélectionnée",Distrib_Global_Classe_Selectionnee*BP$20,IF('01_Input'!$G$71="Frais KYC (paliers de 100M€)",MAX(0,Nb_Investisseurs-Nb_KYC_Gratuites_Par_Tranche*(FLOOR(BP$20/Taille_Tranche_KYC,1)+1))*Cout_Par_KYC_Supplementaire,(IF('01_Input'!$L$71="Forfait",IF(BP$20&gt;='01_Input'!$J$71,'01_Input'!$M$71,0),IF('01_Input'!$L$71="Palier",IF(AND(BP$20&gt;='01_Input'!$J$71,BP$20&lt;'01_Input'!$K$71),'01_Input'!$M$71,0),MAX(MIN(BP$20,'01_Input'!$K$71)-'01_Input'!$J$71,0)*'01_Input'!$M$71))+IF('01_Input'!$P$71="Forfait",IF(BP$20&gt;='01_Input'!$N$71,'01_Input'!$Q$71,0),IF('01_Input'!$P$71="Palier",IF(AND(BP$20&gt;='01_Input'!$N$71,BP$20&lt;'01_Input'!$O$71),'01_Input'!$Q$71,0),MAX(MIN(BP$20,'01_Input'!$O$71)-'01_Input'!$N$71,0)*'01_Input'!$Q$71))+IF('01_Input'!$T$71="Forfait",IF(BP$20&gt;='01_Input'!$R$71,'01_Input'!$U$71,0),IF('01_Input'!$T$71="Palier",IF(AND(BP$20&gt;='01_Input'!$R$71,BP$20&lt;'01_Input'!$S$71),'01_Input'!$U$71,0),MAX(MIN(BP$20,'01_Input'!$S$71)-'01_Input'!$R$71,0)*'01_Input'!$U$71))+IF('01_Input'!$X$71="Forfait",IF(BP$20&gt;='01_Input'!$V$71,'01_Input'!$Y$71,0),IF('01_Input'!$X$71="Palier",IF(AND(BP$20&gt;='01_Input'!$V$71,BP$20&lt;'01_Input'!$W$71),'01_Input'!$Y$71,0),MAX(MIN(BP$20,'01_Input'!$W$71)-'01_Input'!$V$71,0)*'01_Input'!$Y$71))+IF('01_Input'!$AB$71="Forfait",IF(BP$20&gt;='01_Input'!$Z$71,'01_Input'!$AC$71,0),IF('01_Input'!$AB$71="Palier",IF(AND(BP$20&gt;='01_Input'!$Z$71,BP$20&lt;'01_Input'!$AA$71),'01_Input'!$AC$71,0),MAX(MIN(BP$20,'01_Input'!$AA$71)-'01_Input'!$Z$71,0)*'01_Input'!$AC$71)))))))))</f>
        <v>0</v>
      </c>
      <c r="BQ39" s="25">
        <f>IF('01_Input'!$C$71="Non",0,MIN('01_Input'!$I$71,MAX('01_Input'!$H$71,IF('01_Input'!$G$71="Résiduel vs Gestion",0,IF('01_Input'!$G$71="Taux Classe sélectionnée",Distrib_Global_Classe_Selectionnee*BQ$20,IF('01_Input'!$G$71="Frais KYC (paliers de 100M€)",MAX(0,Nb_Investisseurs-Nb_KYC_Gratuites_Par_Tranche*(FLOOR(BQ$20/Taille_Tranche_KYC,1)+1))*Cout_Par_KYC_Supplementaire,(IF('01_Input'!$L$71="Forfait",IF(BQ$20&gt;='01_Input'!$J$71,'01_Input'!$M$71,0),IF('01_Input'!$L$71="Palier",IF(AND(BQ$20&gt;='01_Input'!$J$71,BQ$20&lt;'01_Input'!$K$71),'01_Input'!$M$71,0),MAX(MIN(BQ$20,'01_Input'!$K$71)-'01_Input'!$J$71,0)*'01_Input'!$M$71))+IF('01_Input'!$P$71="Forfait",IF(BQ$20&gt;='01_Input'!$N$71,'01_Input'!$Q$71,0),IF('01_Input'!$P$71="Palier",IF(AND(BQ$20&gt;='01_Input'!$N$71,BQ$20&lt;'01_Input'!$O$71),'01_Input'!$Q$71,0),MAX(MIN(BQ$20,'01_Input'!$O$71)-'01_Input'!$N$71,0)*'01_Input'!$Q$71))+IF('01_Input'!$T$71="Forfait",IF(BQ$20&gt;='01_Input'!$R$71,'01_Input'!$U$71,0),IF('01_Input'!$T$71="Palier",IF(AND(BQ$20&gt;='01_Input'!$R$71,BQ$20&lt;'01_Input'!$S$71),'01_Input'!$U$71,0),MAX(MIN(BQ$20,'01_Input'!$S$71)-'01_Input'!$R$71,0)*'01_Input'!$U$71))+IF('01_Input'!$X$71="Forfait",IF(BQ$20&gt;='01_Input'!$V$71,'01_Input'!$Y$71,0),IF('01_Input'!$X$71="Palier",IF(AND(BQ$20&gt;='01_Input'!$V$71,BQ$20&lt;'01_Input'!$W$71),'01_Input'!$Y$71,0),MAX(MIN(BQ$20,'01_Input'!$W$71)-'01_Input'!$V$71,0)*'01_Input'!$Y$71))+IF('01_Input'!$AB$71="Forfait",IF(BQ$20&gt;='01_Input'!$Z$71,'01_Input'!$AC$71,0),IF('01_Input'!$AB$71="Palier",IF(AND(BQ$20&gt;='01_Input'!$Z$71,BQ$20&lt;'01_Input'!$AA$71),'01_Input'!$AC$71,0),MAX(MIN(BQ$20,'01_Input'!$AA$71)-'01_Input'!$Z$71,0)*'01_Input'!$AC$71)))))))))</f>
        <v>0</v>
      </c>
      <c r="BR39" s="25">
        <f>IF('01_Input'!$C$71="Non",0,MIN('01_Input'!$I$71,MAX('01_Input'!$H$71,IF('01_Input'!$G$71="Résiduel vs Gestion",0,IF('01_Input'!$G$71="Taux Classe sélectionnée",Distrib_Global_Classe_Selectionnee*BR$20,IF('01_Input'!$G$71="Frais KYC (paliers de 100M€)",MAX(0,Nb_Investisseurs-Nb_KYC_Gratuites_Par_Tranche*(FLOOR(BR$20/Taille_Tranche_KYC,1)+1))*Cout_Par_KYC_Supplementaire,(IF('01_Input'!$L$71="Forfait",IF(BR$20&gt;='01_Input'!$J$71,'01_Input'!$M$71,0),IF('01_Input'!$L$71="Palier",IF(AND(BR$20&gt;='01_Input'!$J$71,BR$20&lt;'01_Input'!$K$71),'01_Input'!$M$71,0),MAX(MIN(BR$20,'01_Input'!$K$71)-'01_Input'!$J$71,0)*'01_Input'!$M$71))+IF('01_Input'!$P$71="Forfait",IF(BR$20&gt;='01_Input'!$N$71,'01_Input'!$Q$71,0),IF('01_Input'!$P$71="Palier",IF(AND(BR$20&gt;='01_Input'!$N$71,BR$20&lt;'01_Input'!$O$71),'01_Input'!$Q$71,0),MAX(MIN(BR$20,'01_Input'!$O$71)-'01_Input'!$N$71,0)*'01_Input'!$Q$71))+IF('01_Input'!$T$71="Forfait",IF(BR$20&gt;='01_Input'!$R$71,'01_Input'!$U$71,0),IF('01_Input'!$T$71="Palier",IF(AND(BR$20&gt;='01_Input'!$R$71,BR$20&lt;'01_Input'!$S$71),'01_Input'!$U$71,0),MAX(MIN(BR$20,'01_Input'!$S$71)-'01_Input'!$R$71,0)*'01_Input'!$U$71))+IF('01_Input'!$X$71="Forfait",IF(BR$20&gt;='01_Input'!$V$71,'01_Input'!$Y$71,0),IF('01_Input'!$X$71="Palier",IF(AND(BR$20&gt;='01_Input'!$V$71,BR$20&lt;'01_Input'!$W$71),'01_Input'!$Y$71,0),MAX(MIN(BR$20,'01_Input'!$W$71)-'01_Input'!$V$71,0)*'01_Input'!$Y$71))+IF('01_Input'!$AB$71="Forfait",IF(BR$20&gt;='01_Input'!$Z$71,'01_Input'!$AC$71,0),IF('01_Input'!$AB$71="Palier",IF(AND(BR$20&gt;='01_Input'!$Z$71,BR$20&lt;'01_Input'!$AA$71),'01_Input'!$AC$71,0),MAX(MIN(BR$20,'01_Input'!$AA$71)-'01_Input'!$Z$71,0)*'01_Input'!$AC$71)))))))))</f>
        <v>0</v>
      </c>
      <c r="BS39" s="25">
        <f>IF('01_Input'!$C$71="Non",0,MIN('01_Input'!$I$71,MAX('01_Input'!$H$71,IF('01_Input'!$G$71="Résiduel vs Gestion",0,IF('01_Input'!$G$71="Taux Classe sélectionnée",Distrib_Global_Classe_Selectionnee*BS$20,IF('01_Input'!$G$71="Frais KYC (paliers de 100M€)",MAX(0,Nb_Investisseurs-Nb_KYC_Gratuites_Par_Tranche*(FLOOR(BS$20/Taille_Tranche_KYC,1)+1))*Cout_Par_KYC_Supplementaire,(IF('01_Input'!$L$71="Forfait",IF(BS$20&gt;='01_Input'!$J$71,'01_Input'!$M$71,0),IF('01_Input'!$L$71="Palier",IF(AND(BS$20&gt;='01_Input'!$J$71,BS$20&lt;'01_Input'!$K$71),'01_Input'!$M$71,0),MAX(MIN(BS$20,'01_Input'!$K$71)-'01_Input'!$J$71,0)*'01_Input'!$M$71))+IF('01_Input'!$P$71="Forfait",IF(BS$20&gt;='01_Input'!$N$71,'01_Input'!$Q$71,0),IF('01_Input'!$P$71="Palier",IF(AND(BS$20&gt;='01_Input'!$N$71,BS$20&lt;'01_Input'!$O$71),'01_Input'!$Q$71,0),MAX(MIN(BS$20,'01_Input'!$O$71)-'01_Input'!$N$71,0)*'01_Input'!$Q$71))+IF('01_Input'!$T$71="Forfait",IF(BS$20&gt;='01_Input'!$R$71,'01_Input'!$U$71,0),IF('01_Input'!$T$71="Palier",IF(AND(BS$20&gt;='01_Input'!$R$71,BS$20&lt;'01_Input'!$S$71),'01_Input'!$U$71,0),MAX(MIN(BS$20,'01_Input'!$S$71)-'01_Input'!$R$71,0)*'01_Input'!$U$71))+IF('01_Input'!$X$71="Forfait",IF(BS$20&gt;='01_Input'!$V$71,'01_Input'!$Y$71,0),IF('01_Input'!$X$71="Palier",IF(AND(BS$20&gt;='01_Input'!$V$71,BS$20&lt;'01_Input'!$W$71),'01_Input'!$Y$71,0),MAX(MIN(BS$20,'01_Input'!$W$71)-'01_Input'!$V$71,0)*'01_Input'!$Y$71))+IF('01_Input'!$AB$71="Forfait",IF(BS$20&gt;='01_Input'!$Z$71,'01_Input'!$AC$71,0),IF('01_Input'!$AB$71="Palier",IF(AND(BS$20&gt;='01_Input'!$Z$71,BS$20&lt;'01_Input'!$AA$71),'01_Input'!$AC$71,0),MAX(MIN(BS$20,'01_Input'!$AA$71)-'01_Input'!$Z$71,0)*'01_Input'!$AC$71)))))))))</f>
        <v>0</v>
      </c>
      <c r="BT39" s="25">
        <f>IF('01_Input'!$C$71="Non",0,MIN('01_Input'!$I$71,MAX('01_Input'!$H$71,IF('01_Input'!$G$71="Résiduel vs Gestion",0,IF('01_Input'!$G$71="Taux Classe sélectionnée",Distrib_Global_Classe_Selectionnee*BT$20,IF('01_Input'!$G$71="Frais KYC (paliers de 100M€)",MAX(0,Nb_Investisseurs-Nb_KYC_Gratuites_Par_Tranche*(FLOOR(BT$20/Taille_Tranche_KYC,1)+1))*Cout_Par_KYC_Supplementaire,(IF('01_Input'!$L$71="Forfait",IF(BT$20&gt;='01_Input'!$J$71,'01_Input'!$M$71,0),IF('01_Input'!$L$71="Palier",IF(AND(BT$20&gt;='01_Input'!$J$71,BT$20&lt;'01_Input'!$K$71),'01_Input'!$M$71,0),MAX(MIN(BT$20,'01_Input'!$K$71)-'01_Input'!$J$71,0)*'01_Input'!$M$71))+IF('01_Input'!$P$71="Forfait",IF(BT$20&gt;='01_Input'!$N$71,'01_Input'!$Q$71,0),IF('01_Input'!$P$71="Palier",IF(AND(BT$20&gt;='01_Input'!$N$71,BT$20&lt;'01_Input'!$O$71),'01_Input'!$Q$71,0),MAX(MIN(BT$20,'01_Input'!$O$71)-'01_Input'!$N$71,0)*'01_Input'!$Q$71))+IF('01_Input'!$T$71="Forfait",IF(BT$20&gt;='01_Input'!$R$71,'01_Input'!$U$71,0),IF('01_Input'!$T$71="Palier",IF(AND(BT$20&gt;='01_Input'!$R$71,BT$20&lt;'01_Input'!$S$71),'01_Input'!$U$71,0),MAX(MIN(BT$20,'01_Input'!$S$71)-'01_Input'!$R$71,0)*'01_Input'!$U$71))+IF('01_Input'!$X$71="Forfait",IF(BT$20&gt;='01_Input'!$V$71,'01_Input'!$Y$71,0),IF('01_Input'!$X$71="Palier",IF(AND(BT$20&gt;='01_Input'!$V$71,BT$20&lt;'01_Input'!$W$71),'01_Input'!$Y$71,0),MAX(MIN(BT$20,'01_Input'!$W$71)-'01_Input'!$V$71,0)*'01_Input'!$Y$71))+IF('01_Input'!$AB$71="Forfait",IF(BT$20&gt;='01_Input'!$Z$71,'01_Input'!$AC$71,0),IF('01_Input'!$AB$71="Palier",IF(AND(BT$20&gt;='01_Input'!$Z$71,BT$20&lt;'01_Input'!$AA$71),'01_Input'!$AC$71,0),MAX(MIN(BT$20,'01_Input'!$AA$71)-'01_Input'!$Z$71,0)*'01_Input'!$AC$71)))))))))</f>
        <v>0</v>
      </c>
      <c r="BU39" s="25">
        <f>IF('01_Input'!$C$71="Non",0,MIN('01_Input'!$I$71,MAX('01_Input'!$H$71,IF('01_Input'!$G$71="Résiduel vs Gestion",0,IF('01_Input'!$G$71="Taux Classe sélectionnée",Distrib_Global_Classe_Selectionnee*BU$20,IF('01_Input'!$G$71="Frais KYC (paliers de 100M€)",MAX(0,Nb_Investisseurs-Nb_KYC_Gratuites_Par_Tranche*(FLOOR(BU$20/Taille_Tranche_KYC,1)+1))*Cout_Par_KYC_Supplementaire,(IF('01_Input'!$L$71="Forfait",IF(BU$20&gt;='01_Input'!$J$71,'01_Input'!$M$71,0),IF('01_Input'!$L$71="Palier",IF(AND(BU$20&gt;='01_Input'!$J$71,BU$20&lt;'01_Input'!$K$71),'01_Input'!$M$71,0),MAX(MIN(BU$20,'01_Input'!$K$71)-'01_Input'!$J$71,0)*'01_Input'!$M$71))+IF('01_Input'!$P$71="Forfait",IF(BU$20&gt;='01_Input'!$N$71,'01_Input'!$Q$71,0),IF('01_Input'!$P$71="Palier",IF(AND(BU$20&gt;='01_Input'!$N$71,BU$20&lt;'01_Input'!$O$71),'01_Input'!$Q$71,0),MAX(MIN(BU$20,'01_Input'!$O$71)-'01_Input'!$N$71,0)*'01_Input'!$Q$71))+IF('01_Input'!$T$71="Forfait",IF(BU$20&gt;='01_Input'!$R$71,'01_Input'!$U$71,0),IF('01_Input'!$T$71="Palier",IF(AND(BU$20&gt;='01_Input'!$R$71,BU$20&lt;'01_Input'!$S$71),'01_Input'!$U$71,0),MAX(MIN(BU$20,'01_Input'!$S$71)-'01_Input'!$R$71,0)*'01_Input'!$U$71))+IF('01_Input'!$X$71="Forfait",IF(BU$20&gt;='01_Input'!$V$71,'01_Input'!$Y$71,0),IF('01_Input'!$X$71="Palier",IF(AND(BU$20&gt;='01_Input'!$V$71,BU$20&lt;'01_Input'!$W$71),'01_Input'!$Y$71,0),MAX(MIN(BU$20,'01_Input'!$W$71)-'01_Input'!$V$71,0)*'01_Input'!$Y$71))+IF('01_Input'!$AB$71="Forfait",IF(BU$20&gt;='01_Input'!$Z$71,'01_Input'!$AC$71,0),IF('01_Input'!$AB$71="Palier",IF(AND(BU$20&gt;='01_Input'!$Z$71,BU$20&lt;'01_Input'!$AA$71),'01_Input'!$AC$71,0),MAX(MIN(BU$20,'01_Input'!$AA$71)-'01_Input'!$Z$71,0)*'01_Input'!$AC$71)))))))))</f>
        <v>0</v>
      </c>
      <c r="BV39" s="25">
        <f>IF('01_Input'!$C$71="Non",0,MIN('01_Input'!$I$71,MAX('01_Input'!$H$71,IF('01_Input'!$G$71="Résiduel vs Gestion",0,IF('01_Input'!$G$71="Taux Classe sélectionnée",Distrib_Global_Classe_Selectionnee*BV$20,IF('01_Input'!$G$71="Frais KYC (paliers de 100M€)",MAX(0,Nb_Investisseurs-Nb_KYC_Gratuites_Par_Tranche*(FLOOR(BV$20/Taille_Tranche_KYC,1)+1))*Cout_Par_KYC_Supplementaire,(IF('01_Input'!$L$71="Forfait",IF(BV$20&gt;='01_Input'!$J$71,'01_Input'!$M$71,0),IF('01_Input'!$L$71="Palier",IF(AND(BV$20&gt;='01_Input'!$J$71,BV$20&lt;'01_Input'!$K$71),'01_Input'!$M$71,0),MAX(MIN(BV$20,'01_Input'!$K$71)-'01_Input'!$J$71,0)*'01_Input'!$M$71))+IF('01_Input'!$P$71="Forfait",IF(BV$20&gt;='01_Input'!$N$71,'01_Input'!$Q$71,0),IF('01_Input'!$P$71="Palier",IF(AND(BV$20&gt;='01_Input'!$N$71,BV$20&lt;'01_Input'!$O$71),'01_Input'!$Q$71,0),MAX(MIN(BV$20,'01_Input'!$O$71)-'01_Input'!$N$71,0)*'01_Input'!$Q$71))+IF('01_Input'!$T$71="Forfait",IF(BV$20&gt;='01_Input'!$R$71,'01_Input'!$U$71,0),IF('01_Input'!$T$71="Palier",IF(AND(BV$20&gt;='01_Input'!$R$71,BV$20&lt;'01_Input'!$S$71),'01_Input'!$U$71,0),MAX(MIN(BV$20,'01_Input'!$S$71)-'01_Input'!$R$71,0)*'01_Input'!$U$71))+IF('01_Input'!$X$71="Forfait",IF(BV$20&gt;='01_Input'!$V$71,'01_Input'!$Y$71,0),IF('01_Input'!$X$71="Palier",IF(AND(BV$20&gt;='01_Input'!$V$71,BV$20&lt;'01_Input'!$W$71),'01_Input'!$Y$71,0),MAX(MIN(BV$20,'01_Input'!$W$71)-'01_Input'!$V$71,0)*'01_Input'!$Y$71))+IF('01_Input'!$AB$71="Forfait",IF(BV$20&gt;='01_Input'!$Z$71,'01_Input'!$AC$71,0),IF('01_Input'!$AB$71="Palier",IF(AND(BV$20&gt;='01_Input'!$Z$71,BV$20&lt;'01_Input'!$AA$71),'01_Input'!$AC$71,0),MAX(MIN(BV$20,'01_Input'!$AA$71)-'01_Input'!$Z$71,0)*'01_Input'!$AC$71)))))))))</f>
        <v>0</v>
      </c>
      <c r="BW39" s="25">
        <f>IF('01_Input'!$C$71="Non",0,MIN('01_Input'!$I$71,MAX('01_Input'!$H$71,IF('01_Input'!$G$71="Résiduel vs Gestion",0,IF('01_Input'!$G$71="Taux Classe sélectionnée",Distrib_Global_Classe_Selectionnee*BW$20,IF('01_Input'!$G$71="Frais KYC (paliers de 100M€)",MAX(0,Nb_Investisseurs-Nb_KYC_Gratuites_Par_Tranche*(FLOOR(BW$20/Taille_Tranche_KYC,1)+1))*Cout_Par_KYC_Supplementaire,(IF('01_Input'!$L$71="Forfait",IF(BW$20&gt;='01_Input'!$J$71,'01_Input'!$M$71,0),IF('01_Input'!$L$71="Palier",IF(AND(BW$20&gt;='01_Input'!$J$71,BW$20&lt;'01_Input'!$K$71),'01_Input'!$M$71,0),MAX(MIN(BW$20,'01_Input'!$K$71)-'01_Input'!$J$71,0)*'01_Input'!$M$71))+IF('01_Input'!$P$71="Forfait",IF(BW$20&gt;='01_Input'!$N$71,'01_Input'!$Q$71,0),IF('01_Input'!$P$71="Palier",IF(AND(BW$20&gt;='01_Input'!$N$71,BW$20&lt;'01_Input'!$O$71),'01_Input'!$Q$71,0),MAX(MIN(BW$20,'01_Input'!$O$71)-'01_Input'!$N$71,0)*'01_Input'!$Q$71))+IF('01_Input'!$T$71="Forfait",IF(BW$20&gt;='01_Input'!$R$71,'01_Input'!$U$71,0),IF('01_Input'!$T$71="Palier",IF(AND(BW$20&gt;='01_Input'!$R$71,BW$20&lt;'01_Input'!$S$71),'01_Input'!$U$71,0),MAX(MIN(BW$20,'01_Input'!$S$71)-'01_Input'!$R$71,0)*'01_Input'!$U$71))+IF('01_Input'!$X$71="Forfait",IF(BW$20&gt;='01_Input'!$V$71,'01_Input'!$Y$71,0),IF('01_Input'!$X$71="Palier",IF(AND(BW$20&gt;='01_Input'!$V$71,BW$20&lt;'01_Input'!$W$71),'01_Input'!$Y$71,0),MAX(MIN(BW$20,'01_Input'!$W$71)-'01_Input'!$V$71,0)*'01_Input'!$Y$71))+IF('01_Input'!$AB$71="Forfait",IF(BW$20&gt;='01_Input'!$Z$71,'01_Input'!$AC$71,0),IF('01_Input'!$AB$71="Palier",IF(AND(BW$20&gt;='01_Input'!$Z$71,BW$20&lt;'01_Input'!$AA$71),'01_Input'!$AC$71,0),MAX(MIN(BW$20,'01_Input'!$AA$71)-'01_Input'!$Z$71,0)*'01_Input'!$AC$71)))))))))</f>
        <v>0</v>
      </c>
      <c r="BX39" s="25">
        <f>IF('01_Input'!$C$71="Non",0,MIN('01_Input'!$I$71,MAX('01_Input'!$H$71,IF('01_Input'!$G$71="Résiduel vs Gestion",0,IF('01_Input'!$G$71="Taux Classe sélectionnée",Distrib_Global_Classe_Selectionnee*BX$20,IF('01_Input'!$G$71="Frais KYC (paliers de 100M€)",MAX(0,Nb_Investisseurs-Nb_KYC_Gratuites_Par_Tranche*(FLOOR(BX$20/Taille_Tranche_KYC,1)+1))*Cout_Par_KYC_Supplementaire,(IF('01_Input'!$L$71="Forfait",IF(BX$20&gt;='01_Input'!$J$71,'01_Input'!$M$71,0),IF('01_Input'!$L$71="Palier",IF(AND(BX$20&gt;='01_Input'!$J$71,BX$20&lt;'01_Input'!$K$71),'01_Input'!$M$71,0),MAX(MIN(BX$20,'01_Input'!$K$71)-'01_Input'!$J$71,0)*'01_Input'!$M$71))+IF('01_Input'!$P$71="Forfait",IF(BX$20&gt;='01_Input'!$N$71,'01_Input'!$Q$71,0),IF('01_Input'!$P$71="Palier",IF(AND(BX$20&gt;='01_Input'!$N$71,BX$20&lt;'01_Input'!$O$71),'01_Input'!$Q$71,0),MAX(MIN(BX$20,'01_Input'!$O$71)-'01_Input'!$N$71,0)*'01_Input'!$Q$71))+IF('01_Input'!$T$71="Forfait",IF(BX$20&gt;='01_Input'!$R$71,'01_Input'!$U$71,0),IF('01_Input'!$T$71="Palier",IF(AND(BX$20&gt;='01_Input'!$R$71,BX$20&lt;'01_Input'!$S$71),'01_Input'!$U$71,0),MAX(MIN(BX$20,'01_Input'!$S$71)-'01_Input'!$R$71,0)*'01_Input'!$U$71))+IF('01_Input'!$X$71="Forfait",IF(BX$20&gt;='01_Input'!$V$71,'01_Input'!$Y$71,0),IF('01_Input'!$X$71="Palier",IF(AND(BX$20&gt;='01_Input'!$V$71,BX$20&lt;'01_Input'!$W$71),'01_Input'!$Y$71,0),MAX(MIN(BX$20,'01_Input'!$W$71)-'01_Input'!$V$71,0)*'01_Input'!$Y$71))+IF('01_Input'!$AB$71="Forfait",IF(BX$20&gt;='01_Input'!$Z$71,'01_Input'!$AC$71,0),IF('01_Input'!$AB$71="Palier",IF(AND(BX$20&gt;='01_Input'!$Z$71,BX$20&lt;'01_Input'!$AA$71),'01_Input'!$AC$71,0),MAX(MIN(BX$20,'01_Input'!$AA$71)-'01_Input'!$Z$71,0)*'01_Input'!$AC$71)))))))))</f>
        <v>0</v>
      </c>
      <c r="BY39" s="25">
        <f>IF('01_Input'!$C$71="Non",0,MIN('01_Input'!$I$71,MAX('01_Input'!$H$71,IF('01_Input'!$G$71="Résiduel vs Gestion",0,IF('01_Input'!$G$71="Taux Classe sélectionnée",Distrib_Global_Classe_Selectionnee*BY$20,IF('01_Input'!$G$71="Frais KYC (paliers de 100M€)",MAX(0,Nb_Investisseurs-Nb_KYC_Gratuites_Par_Tranche*(FLOOR(BY$20/Taille_Tranche_KYC,1)+1))*Cout_Par_KYC_Supplementaire,(IF('01_Input'!$L$71="Forfait",IF(BY$20&gt;='01_Input'!$J$71,'01_Input'!$M$71,0),IF('01_Input'!$L$71="Palier",IF(AND(BY$20&gt;='01_Input'!$J$71,BY$20&lt;'01_Input'!$K$71),'01_Input'!$M$71,0),MAX(MIN(BY$20,'01_Input'!$K$71)-'01_Input'!$J$71,0)*'01_Input'!$M$71))+IF('01_Input'!$P$71="Forfait",IF(BY$20&gt;='01_Input'!$N$71,'01_Input'!$Q$71,0),IF('01_Input'!$P$71="Palier",IF(AND(BY$20&gt;='01_Input'!$N$71,BY$20&lt;'01_Input'!$O$71),'01_Input'!$Q$71,0),MAX(MIN(BY$20,'01_Input'!$O$71)-'01_Input'!$N$71,0)*'01_Input'!$Q$71))+IF('01_Input'!$T$71="Forfait",IF(BY$20&gt;='01_Input'!$R$71,'01_Input'!$U$71,0),IF('01_Input'!$T$71="Palier",IF(AND(BY$20&gt;='01_Input'!$R$71,BY$20&lt;'01_Input'!$S$71),'01_Input'!$U$71,0),MAX(MIN(BY$20,'01_Input'!$S$71)-'01_Input'!$R$71,0)*'01_Input'!$U$71))+IF('01_Input'!$X$71="Forfait",IF(BY$20&gt;='01_Input'!$V$71,'01_Input'!$Y$71,0),IF('01_Input'!$X$71="Palier",IF(AND(BY$20&gt;='01_Input'!$V$71,BY$20&lt;'01_Input'!$W$71),'01_Input'!$Y$71,0),MAX(MIN(BY$20,'01_Input'!$W$71)-'01_Input'!$V$71,0)*'01_Input'!$Y$71))+IF('01_Input'!$AB$71="Forfait",IF(BY$20&gt;='01_Input'!$Z$71,'01_Input'!$AC$71,0),IF('01_Input'!$AB$71="Palier",IF(AND(BY$20&gt;='01_Input'!$Z$71,BY$20&lt;'01_Input'!$AA$71),'01_Input'!$AC$71,0),MAX(MIN(BY$20,'01_Input'!$AA$71)-'01_Input'!$Z$71,0)*'01_Input'!$AC$71)))))))))</f>
        <v>0</v>
      </c>
      <c r="BZ39" s="25">
        <f>IF('01_Input'!$C$71="Non",0,MIN('01_Input'!$I$71,MAX('01_Input'!$H$71,IF('01_Input'!$G$71="Résiduel vs Gestion",0,IF('01_Input'!$G$71="Taux Classe sélectionnée",Distrib_Global_Classe_Selectionnee*BZ$20,IF('01_Input'!$G$71="Frais KYC (paliers de 100M€)",MAX(0,Nb_Investisseurs-Nb_KYC_Gratuites_Par_Tranche*(FLOOR(BZ$20/Taille_Tranche_KYC,1)+1))*Cout_Par_KYC_Supplementaire,(IF('01_Input'!$L$71="Forfait",IF(BZ$20&gt;='01_Input'!$J$71,'01_Input'!$M$71,0),IF('01_Input'!$L$71="Palier",IF(AND(BZ$20&gt;='01_Input'!$J$71,BZ$20&lt;'01_Input'!$K$71),'01_Input'!$M$71,0),MAX(MIN(BZ$20,'01_Input'!$K$71)-'01_Input'!$J$71,0)*'01_Input'!$M$71))+IF('01_Input'!$P$71="Forfait",IF(BZ$20&gt;='01_Input'!$N$71,'01_Input'!$Q$71,0),IF('01_Input'!$P$71="Palier",IF(AND(BZ$20&gt;='01_Input'!$N$71,BZ$20&lt;'01_Input'!$O$71),'01_Input'!$Q$71,0),MAX(MIN(BZ$20,'01_Input'!$O$71)-'01_Input'!$N$71,0)*'01_Input'!$Q$71))+IF('01_Input'!$T$71="Forfait",IF(BZ$20&gt;='01_Input'!$R$71,'01_Input'!$U$71,0),IF('01_Input'!$T$71="Palier",IF(AND(BZ$20&gt;='01_Input'!$R$71,BZ$20&lt;'01_Input'!$S$71),'01_Input'!$U$71,0),MAX(MIN(BZ$20,'01_Input'!$S$71)-'01_Input'!$R$71,0)*'01_Input'!$U$71))+IF('01_Input'!$X$71="Forfait",IF(BZ$20&gt;='01_Input'!$V$71,'01_Input'!$Y$71,0),IF('01_Input'!$X$71="Palier",IF(AND(BZ$20&gt;='01_Input'!$V$71,BZ$20&lt;'01_Input'!$W$71),'01_Input'!$Y$71,0),MAX(MIN(BZ$20,'01_Input'!$W$71)-'01_Input'!$V$71,0)*'01_Input'!$Y$71))+IF('01_Input'!$AB$71="Forfait",IF(BZ$20&gt;='01_Input'!$Z$71,'01_Input'!$AC$71,0),IF('01_Input'!$AB$71="Palier",IF(AND(BZ$20&gt;='01_Input'!$Z$71,BZ$20&lt;'01_Input'!$AA$71),'01_Input'!$AC$71,0),MAX(MIN(BZ$20,'01_Input'!$AA$71)-'01_Input'!$Z$71,0)*'01_Input'!$AC$71)))))))))</f>
        <v>0</v>
      </c>
      <c r="CA39" s="25">
        <f>IF('01_Input'!$C$71="Non",0,MIN('01_Input'!$I$71,MAX('01_Input'!$H$71,IF('01_Input'!$G$71="Résiduel vs Gestion",0,IF('01_Input'!$G$71="Taux Classe sélectionnée",Distrib_Global_Classe_Selectionnee*CA$20,IF('01_Input'!$G$71="Frais KYC (paliers de 100M€)",MAX(0,Nb_Investisseurs-Nb_KYC_Gratuites_Par_Tranche*(FLOOR(CA$20/Taille_Tranche_KYC,1)+1))*Cout_Par_KYC_Supplementaire,(IF('01_Input'!$L$71="Forfait",IF(CA$20&gt;='01_Input'!$J$71,'01_Input'!$M$71,0),IF('01_Input'!$L$71="Palier",IF(AND(CA$20&gt;='01_Input'!$J$71,CA$20&lt;'01_Input'!$K$71),'01_Input'!$M$71,0),MAX(MIN(CA$20,'01_Input'!$K$71)-'01_Input'!$J$71,0)*'01_Input'!$M$71))+IF('01_Input'!$P$71="Forfait",IF(CA$20&gt;='01_Input'!$N$71,'01_Input'!$Q$71,0),IF('01_Input'!$P$71="Palier",IF(AND(CA$20&gt;='01_Input'!$N$71,CA$20&lt;'01_Input'!$O$71),'01_Input'!$Q$71,0),MAX(MIN(CA$20,'01_Input'!$O$71)-'01_Input'!$N$71,0)*'01_Input'!$Q$71))+IF('01_Input'!$T$71="Forfait",IF(CA$20&gt;='01_Input'!$R$71,'01_Input'!$U$71,0),IF('01_Input'!$T$71="Palier",IF(AND(CA$20&gt;='01_Input'!$R$71,CA$20&lt;'01_Input'!$S$71),'01_Input'!$U$71,0),MAX(MIN(CA$20,'01_Input'!$S$71)-'01_Input'!$R$71,0)*'01_Input'!$U$71))+IF('01_Input'!$X$71="Forfait",IF(CA$20&gt;='01_Input'!$V$71,'01_Input'!$Y$71,0),IF('01_Input'!$X$71="Palier",IF(AND(CA$20&gt;='01_Input'!$V$71,CA$20&lt;'01_Input'!$W$71),'01_Input'!$Y$71,0),MAX(MIN(CA$20,'01_Input'!$W$71)-'01_Input'!$V$71,0)*'01_Input'!$Y$71))+IF('01_Input'!$AB$71="Forfait",IF(CA$20&gt;='01_Input'!$Z$71,'01_Input'!$AC$71,0),IF('01_Input'!$AB$71="Palier",IF(AND(CA$20&gt;='01_Input'!$Z$71,CA$20&lt;'01_Input'!$AA$71),'01_Input'!$AC$71,0),MAX(MIN(CA$20,'01_Input'!$AA$71)-'01_Input'!$Z$71,0)*'01_Input'!$AC$71)))))))))</f>
        <v>0</v>
      </c>
      <c r="CB39" s="25">
        <f>IF('01_Input'!$C$71="Non",0,MIN('01_Input'!$I$71,MAX('01_Input'!$H$71,IF('01_Input'!$G$71="Résiduel vs Gestion",0,IF('01_Input'!$G$71="Taux Classe sélectionnée",Distrib_Global_Classe_Selectionnee*CB$20,IF('01_Input'!$G$71="Frais KYC (paliers de 100M€)",MAX(0,Nb_Investisseurs-Nb_KYC_Gratuites_Par_Tranche*(FLOOR(CB$20/Taille_Tranche_KYC,1)+1))*Cout_Par_KYC_Supplementaire,(IF('01_Input'!$L$71="Forfait",IF(CB$20&gt;='01_Input'!$J$71,'01_Input'!$M$71,0),IF('01_Input'!$L$71="Palier",IF(AND(CB$20&gt;='01_Input'!$J$71,CB$20&lt;'01_Input'!$K$71),'01_Input'!$M$71,0),MAX(MIN(CB$20,'01_Input'!$K$71)-'01_Input'!$J$71,0)*'01_Input'!$M$71))+IF('01_Input'!$P$71="Forfait",IF(CB$20&gt;='01_Input'!$N$71,'01_Input'!$Q$71,0),IF('01_Input'!$P$71="Palier",IF(AND(CB$20&gt;='01_Input'!$N$71,CB$20&lt;'01_Input'!$O$71),'01_Input'!$Q$71,0),MAX(MIN(CB$20,'01_Input'!$O$71)-'01_Input'!$N$71,0)*'01_Input'!$Q$71))+IF('01_Input'!$T$71="Forfait",IF(CB$20&gt;='01_Input'!$R$71,'01_Input'!$U$71,0),IF('01_Input'!$T$71="Palier",IF(AND(CB$20&gt;='01_Input'!$R$71,CB$20&lt;'01_Input'!$S$71),'01_Input'!$U$71,0),MAX(MIN(CB$20,'01_Input'!$S$71)-'01_Input'!$R$71,0)*'01_Input'!$U$71))+IF('01_Input'!$X$71="Forfait",IF(CB$20&gt;='01_Input'!$V$71,'01_Input'!$Y$71,0),IF('01_Input'!$X$71="Palier",IF(AND(CB$20&gt;='01_Input'!$V$71,CB$20&lt;'01_Input'!$W$71),'01_Input'!$Y$71,0),MAX(MIN(CB$20,'01_Input'!$W$71)-'01_Input'!$V$71,0)*'01_Input'!$Y$71))+IF('01_Input'!$AB$71="Forfait",IF(CB$20&gt;='01_Input'!$Z$71,'01_Input'!$AC$71,0),IF('01_Input'!$AB$71="Palier",IF(AND(CB$20&gt;='01_Input'!$Z$71,CB$20&lt;'01_Input'!$AA$71),'01_Input'!$AC$71,0),MAX(MIN(CB$20,'01_Input'!$AA$71)-'01_Input'!$Z$71,0)*'01_Input'!$AC$71)))))))))</f>
        <v>0</v>
      </c>
      <c r="CC39" s="25">
        <f>IF('01_Input'!$C$71="Non",0,MIN('01_Input'!$I$71,MAX('01_Input'!$H$71,IF('01_Input'!$G$71="Résiduel vs Gestion",0,IF('01_Input'!$G$71="Taux Classe sélectionnée",Distrib_Global_Classe_Selectionnee*CC$20,IF('01_Input'!$G$71="Frais KYC (paliers de 100M€)",MAX(0,Nb_Investisseurs-Nb_KYC_Gratuites_Par_Tranche*(FLOOR(CC$20/Taille_Tranche_KYC,1)+1))*Cout_Par_KYC_Supplementaire,(IF('01_Input'!$L$71="Forfait",IF(CC$20&gt;='01_Input'!$J$71,'01_Input'!$M$71,0),IF('01_Input'!$L$71="Palier",IF(AND(CC$20&gt;='01_Input'!$J$71,CC$20&lt;'01_Input'!$K$71),'01_Input'!$M$71,0),MAX(MIN(CC$20,'01_Input'!$K$71)-'01_Input'!$J$71,0)*'01_Input'!$M$71))+IF('01_Input'!$P$71="Forfait",IF(CC$20&gt;='01_Input'!$N$71,'01_Input'!$Q$71,0),IF('01_Input'!$P$71="Palier",IF(AND(CC$20&gt;='01_Input'!$N$71,CC$20&lt;'01_Input'!$O$71),'01_Input'!$Q$71,0),MAX(MIN(CC$20,'01_Input'!$O$71)-'01_Input'!$N$71,0)*'01_Input'!$Q$71))+IF('01_Input'!$T$71="Forfait",IF(CC$20&gt;='01_Input'!$R$71,'01_Input'!$U$71,0),IF('01_Input'!$T$71="Palier",IF(AND(CC$20&gt;='01_Input'!$R$71,CC$20&lt;'01_Input'!$S$71),'01_Input'!$U$71,0),MAX(MIN(CC$20,'01_Input'!$S$71)-'01_Input'!$R$71,0)*'01_Input'!$U$71))+IF('01_Input'!$X$71="Forfait",IF(CC$20&gt;='01_Input'!$V$71,'01_Input'!$Y$71,0),IF('01_Input'!$X$71="Palier",IF(AND(CC$20&gt;='01_Input'!$V$71,CC$20&lt;'01_Input'!$W$71),'01_Input'!$Y$71,0),MAX(MIN(CC$20,'01_Input'!$W$71)-'01_Input'!$V$71,0)*'01_Input'!$Y$71))+IF('01_Input'!$AB$71="Forfait",IF(CC$20&gt;='01_Input'!$Z$71,'01_Input'!$AC$71,0),IF('01_Input'!$AB$71="Palier",IF(AND(CC$20&gt;='01_Input'!$Z$71,CC$20&lt;'01_Input'!$AA$71),'01_Input'!$AC$71,0),MAX(MIN(CC$20,'01_Input'!$AA$71)-'01_Input'!$Z$71,0)*'01_Input'!$AC$71)))))))))</f>
        <v>0</v>
      </c>
      <c r="CD39" s="25">
        <f>IF('01_Input'!$C$71="Non",0,MIN('01_Input'!$I$71,MAX('01_Input'!$H$71,IF('01_Input'!$G$71="Résiduel vs Gestion",0,IF('01_Input'!$G$71="Taux Classe sélectionnée",Distrib_Global_Classe_Selectionnee*CD$20,IF('01_Input'!$G$71="Frais KYC (paliers de 100M€)",MAX(0,Nb_Investisseurs-Nb_KYC_Gratuites_Par_Tranche*(FLOOR(CD$20/Taille_Tranche_KYC,1)+1))*Cout_Par_KYC_Supplementaire,(IF('01_Input'!$L$71="Forfait",IF(CD$20&gt;='01_Input'!$J$71,'01_Input'!$M$71,0),IF('01_Input'!$L$71="Palier",IF(AND(CD$20&gt;='01_Input'!$J$71,CD$20&lt;'01_Input'!$K$71),'01_Input'!$M$71,0),MAX(MIN(CD$20,'01_Input'!$K$71)-'01_Input'!$J$71,0)*'01_Input'!$M$71))+IF('01_Input'!$P$71="Forfait",IF(CD$20&gt;='01_Input'!$N$71,'01_Input'!$Q$71,0),IF('01_Input'!$P$71="Palier",IF(AND(CD$20&gt;='01_Input'!$N$71,CD$20&lt;'01_Input'!$O$71),'01_Input'!$Q$71,0),MAX(MIN(CD$20,'01_Input'!$O$71)-'01_Input'!$N$71,0)*'01_Input'!$Q$71))+IF('01_Input'!$T$71="Forfait",IF(CD$20&gt;='01_Input'!$R$71,'01_Input'!$U$71,0),IF('01_Input'!$T$71="Palier",IF(AND(CD$20&gt;='01_Input'!$R$71,CD$20&lt;'01_Input'!$S$71),'01_Input'!$U$71,0),MAX(MIN(CD$20,'01_Input'!$S$71)-'01_Input'!$R$71,0)*'01_Input'!$U$71))+IF('01_Input'!$X$71="Forfait",IF(CD$20&gt;='01_Input'!$V$71,'01_Input'!$Y$71,0),IF('01_Input'!$X$71="Palier",IF(AND(CD$20&gt;='01_Input'!$V$71,CD$20&lt;'01_Input'!$W$71),'01_Input'!$Y$71,0),MAX(MIN(CD$20,'01_Input'!$W$71)-'01_Input'!$V$71,0)*'01_Input'!$Y$71))+IF('01_Input'!$AB$71="Forfait",IF(CD$20&gt;='01_Input'!$Z$71,'01_Input'!$AC$71,0),IF('01_Input'!$AB$71="Palier",IF(AND(CD$20&gt;='01_Input'!$Z$71,CD$20&lt;'01_Input'!$AA$71),'01_Input'!$AC$71,0),MAX(MIN(CD$20,'01_Input'!$AA$71)-'01_Input'!$Z$71,0)*'01_Input'!$AC$71)))))))))</f>
        <v>0</v>
      </c>
      <c r="CE39" s="25">
        <f>IF('01_Input'!$C$71="Non",0,MIN('01_Input'!$I$71,MAX('01_Input'!$H$71,IF('01_Input'!$G$71="Résiduel vs Gestion",0,IF('01_Input'!$G$71="Taux Classe sélectionnée",Distrib_Global_Classe_Selectionnee*CE$20,IF('01_Input'!$G$71="Frais KYC (paliers de 100M€)",MAX(0,Nb_Investisseurs-Nb_KYC_Gratuites_Par_Tranche*(FLOOR(CE$20/Taille_Tranche_KYC,1)+1))*Cout_Par_KYC_Supplementaire,(IF('01_Input'!$L$71="Forfait",IF(CE$20&gt;='01_Input'!$J$71,'01_Input'!$M$71,0),IF('01_Input'!$L$71="Palier",IF(AND(CE$20&gt;='01_Input'!$J$71,CE$20&lt;'01_Input'!$K$71),'01_Input'!$M$71,0),MAX(MIN(CE$20,'01_Input'!$K$71)-'01_Input'!$J$71,0)*'01_Input'!$M$71))+IF('01_Input'!$P$71="Forfait",IF(CE$20&gt;='01_Input'!$N$71,'01_Input'!$Q$71,0),IF('01_Input'!$P$71="Palier",IF(AND(CE$20&gt;='01_Input'!$N$71,CE$20&lt;'01_Input'!$O$71),'01_Input'!$Q$71,0),MAX(MIN(CE$20,'01_Input'!$O$71)-'01_Input'!$N$71,0)*'01_Input'!$Q$71))+IF('01_Input'!$T$71="Forfait",IF(CE$20&gt;='01_Input'!$R$71,'01_Input'!$U$71,0),IF('01_Input'!$T$71="Palier",IF(AND(CE$20&gt;='01_Input'!$R$71,CE$20&lt;'01_Input'!$S$71),'01_Input'!$U$71,0),MAX(MIN(CE$20,'01_Input'!$S$71)-'01_Input'!$R$71,0)*'01_Input'!$U$71))+IF('01_Input'!$X$71="Forfait",IF(CE$20&gt;='01_Input'!$V$71,'01_Input'!$Y$71,0),IF('01_Input'!$X$71="Palier",IF(AND(CE$20&gt;='01_Input'!$V$71,CE$20&lt;'01_Input'!$W$71),'01_Input'!$Y$71,0),MAX(MIN(CE$20,'01_Input'!$W$71)-'01_Input'!$V$71,0)*'01_Input'!$Y$71))+IF('01_Input'!$AB$71="Forfait",IF(CE$20&gt;='01_Input'!$Z$71,'01_Input'!$AC$71,0),IF('01_Input'!$AB$71="Palier",IF(AND(CE$20&gt;='01_Input'!$Z$71,CE$20&lt;'01_Input'!$AA$71),'01_Input'!$AC$71,0),MAX(MIN(CE$20,'01_Input'!$AA$71)-'01_Input'!$Z$71,0)*'01_Input'!$AC$71)))))))))</f>
        <v>0</v>
      </c>
      <c r="CF39" s="25">
        <f>IF('01_Input'!$C$71="Non",0,MIN('01_Input'!$I$71,MAX('01_Input'!$H$71,IF('01_Input'!$G$71="Résiduel vs Gestion",0,IF('01_Input'!$G$71="Taux Classe sélectionnée",Distrib_Global_Classe_Selectionnee*CF$20,IF('01_Input'!$G$71="Frais KYC (paliers de 100M€)",MAX(0,Nb_Investisseurs-Nb_KYC_Gratuites_Par_Tranche*(FLOOR(CF$20/Taille_Tranche_KYC,1)+1))*Cout_Par_KYC_Supplementaire,(IF('01_Input'!$L$71="Forfait",IF(CF$20&gt;='01_Input'!$J$71,'01_Input'!$M$71,0),IF('01_Input'!$L$71="Palier",IF(AND(CF$20&gt;='01_Input'!$J$71,CF$20&lt;'01_Input'!$K$71),'01_Input'!$M$71,0),MAX(MIN(CF$20,'01_Input'!$K$71)-'01_Input'!$J$71,0)*'01_Input'!$M$71))+IF('01_Input'!$P$71="Forfait",IF(CF$20&gt;='01_Input'!$N$71,'01_Input'!$Q$71,0),IF('01_Input'!$P$71="Palier",IF(AND(CF$20&gt;='01_Input'!$N$71,CF$20&lt;'01_Input'!$O$71),'01_Input'!$Q$71,0),MAX(MIN(CF$20,'01_Input'!$O$71)-'01_Input'!$N$71,0)*'01_Input'!$Q$71))+IF('01_Input'!$T$71="Forfait",IF(CF$20&gt;='01_Input'!$R$71,'01_Input'!$U$71,0),IF('01_Input'!$T$71="Palier",IF(AND(CF$20&gt;='01_Input'!$R$71,CF$20&lt;'01_Input'!$S$71),'01_Input'!$U$71,0),MAX(MIN(CF$20,'01_Input'!$S$71)-'01_Input'!$R$71,0)*'01_Input'!$U$71))+IF('01_Input'!$X$71="Forfait",IF(CF$20&gt;='01_Input'!$V$71,'01_Input'!$Y$71,0),IF('01_Input'!$X$71="Palier",IF(AND(CF$20&gt;='01_Input'!$V$71,CF$20&lt;'01_Input'!$W$71),'01_Input'!$Y$71,0),MAX(MIN(CF$20,'01_Input'!$W$71)-'01_Input'!$V$71,0)*'01_Input'!$Y$71))+IF('01_Input'!$AB$71="Forfait",IF(CF$20&gt;='01_Input'!$Z$71,'01_Input'!$AC$71,0),IF('01_Input'!$AB$71="Palier",IF(AND(CF$20&gt;='01_Input'!$Z$71,CF$20&lt;'01_Input'!$AA$71),'01_Input'!$AC$71,0),MAX(MIN(CF$20,'01_Input'!$AA$71)-'01_Input'!$Z$71,0)*'01_Input'!$AC$71)))))))))</f>
        <v>0</v>
      </c>
      <c r="CG39" s="25">
        <f>IF('01_Input'!$C$71="Non",0,MIN('01_Input'!$I$71,MAX('01_Input'!$H$71,IF('01_Input'!$G$71="Résiduel vs Gestion",0,IF('01_Input'!$G$71="Taux Classe sélectionnée",Distrib_Global_Classe_Selectionnee*CG$20,IF('01_Input'!$G$71="Frais KYC (paliers de 100M€)",MAX(0,Nb_Investisseurs-Nb_KYC_Gratuites_Par_Tranche*(FLOOR(CG$20/Taille_Tranche_KYC,1)+1))*Cout_Par_KYC_Supplementaire,(IF('01_Input'!$L$71="Forfait",IF(CG$20&gt;='01_Input'!$J$71,'01_Input'!$M$71,0),IF('01_Input'!$L$71="Palier",IF(AND(CG$20&gt;='01_Input'!$J$71,CG$20&lt;'01_Input'!$K$71),'01_Input'!$M$71,0),MAX(MIN(CG$20,'01_Input'!$K$71)-'01_Input'!$J$71,0)*'01_Input'!$M$71))+IF('01_Input'!$P$71="Forfait",IF(CG$20&gt;='01_Input'!$N$71,'01_Input'!$Q$71,0),IF('01_Input'!$P$71="Palier",IF(AND(CG$20&gt;='01_Input'!$N$71,CG$20&lt;'01_Input'!$O$71),'01_Input'!$Q$71,0),MAX(MIN(CG$20,'01_Input'!$O$71)-'01_Input'!$N$71,0)*'01_Input'!$Q$71))+IF('01_Input'!$T$71="Forfait",IF(CG$20&gt;='01_Input'!$R$71,'01_Input'!$U$71,0),IF('01_Input'!$T$71="Palier",IF(AND(CG$20&gt;='01_Input'!$R$71,CG$20&lt;'01_Input'!$S$71),'01_Input'!$U$71,0),MAX(MIN(CG$20,'01_Input'!$S$71)-'01_Input'!$R$71,0)*'01_Input'!$U$71))+IF('01_Input'!$X$71="Forfait",IF(CG$20&gt;='01_Input'!$V$71,'01_Input'!$Y$71,0),IF('01_Input'!$X$71="Palier",IF(AND(CG$20&gt;='01_Input'!$V$71,CG$20&lt;'01_Input'!$W$71),'01_Input'!$Y$71,0),MAX(MIN(CG$20,'01_Input'!$W$71)-'01_Input'!$V$71,0)*'01_Input'!$Y$71))+IF('01_Input'!$AB$71="Forfait",IF(CG$20&gt;='01_Input'!$Z$71,'01_Input'!$AC$71,0),IF('01_Input'!$AB$71="Palier",IF(AND(CG$20&gt;='01_Input'!$Z$71,CG$20&lt;'01_Input'!$AA$71),'01_Input'!$AC$71,0),MAX(MIN(CG$20,'01_Input'!$AA$71)-'01_Input'!$Z$71,0)*'01_Input'!$AC$71)))))))))</f>
        <v>0</v>
      </c>
      <c r="CH39" s="25">
        <f>IF('01_Input'!$C$71="Non",0,MIN('01_Input'!$I$71,MAX('01_Input'!$H$71,IF('01_Input'!$G$71="Résiduel vs Gestion",0,IF('01_Input'!$G$71="Taux Classe sélectionnée",Distrib_Global_Classe_Selectionnee*CH$20,IF('01_Input'!$G$71="Frais KYC (paliers de 100M€)",MAX(0,Nb_Investisseurs-Nb_KYC_Gratuites_Par_Tranche*(FLOOR(CH$20/Taille_Tranche_KYC,1)+1))*Cout_Par_KYC_Supplementaire,(IF('01_Input'!$L$71="Forfait",IF(CH$20&gt;='01_Input'!$J$71,'01_Input'!$M$71,0),IF('01_Input'!$L$71="Palier",IF(AND(CH$20&gt;='01_Input'!$J$71,CH$20&lt;'01_Input'!$K$71),'01_Input'!$M$71,0),MAX(MIN(CH$20,'01_Input'!$K$71)-'01_Input'!$J$71,0)*'01_Input'!$M$71))+IF('01_Input'!$P$71="Forfait",IF(CH$20&gt;='01_Input'!$N$71,'01_Input'!$Q$71,0),IF('01_Input'!$P$71="Palier",IF(AND(CH$20&gt;='01_Input'!$N$71,CH$20&lt;'01_Input'!$O$71),'01_Input'!$Q$71,0),MAX(MIN(CH$20,'01_Input'!$O$71)-'01_Input'!$N$71,0)*'01_Input'!$Q$71))+IF('01_Input'!$T$71="Forfait",IF(CH$20&gt;='01_Input'!$R$71,'01_Input'!$U$71,0),IF('01_Input'!$T$71="Palier",IF(AND(CH$20&gt;='01_Input'!$R$71,CH$20&lt;'01_Input'!$S$71),'01_Input'!$U$71,0),MAX(MIN(CH$20,'01_Input'!$S$71)-'01_Input'!$R$71,0)*'01_Input'!$U$71))+IF('01_Input'!$X$71="Forfait",IF(CH$20&gt;='01_Input'!$V$71,'01_Input'!$Y$71,0),IF('01_Input'!$X$71="Palier",IF(AND(CH$20&gt;='01_Input'!$V$71,CH$20&lt;'01_Input'!$W$71),'01_Input'!$Y$71,0),MAX(MIN(CH$20,'01_Input'!$W$71)-'01_Input'!$V$71,0)*'01_Input'!$Y$71))+IF('01_Input'!$AB$71="Forfait",IF(CH$20&gt;='01_Input'!$Z$71,'01_Input'!$AC$71,0),IF('01_Input'!$AB$71="Palier",IF(AND(CH$20&gt;='01_Input'!$Z$71,CH$20&lt;'01_Input'!$AA$71),'01_Input'!$AC$71,0),MAX(MIN(CH$20,'01_Input'!$AA$71)-'01_Input'!$Z$71,0)*'01_Input'!$AC$71)))))))))</f>
        <v>0</v>
      </c>
      <c r="CI39" s="25">
        <f>IF('01_Input'!$C$71="Non",0,MIN('01_Input'!$I$71,MAX('01_Input'!$H$71,IF('01_Input'!$G$71="Résiduel vs Gestion",0,IF('01_Input'!$G$71="Taux Classe sélectionnée",Distrib_Global_Classe_Selectionnee*CI$20,IF('01_Input'!$G$71="Frais KYC (paliers de 100M€)",MAX(0,Nb_Investisseurs-Nb_KYC_Gratuites_Par_Tranche*(FLOOR(CI$20/Taille_Tranche_KYC,1)+1))*Cout_Par_KYC_Supplementaire,(IF('01_Input'!$L$71="Forfait",IF(CI$20&gt;='01_Input'!$J$71,'01_Input'!$M$71,0),IF('01_Input'!$L$71="Palier",IF(AND(CI$20&gt;='01_Input'!$J$71,CI$20&lt;'01_Input'!$K$71),'01_Input'!$M$71,0),MAX(MIN(CI$20,'01_Input'!$K$71)-'01_Input'!$J$71,0)*'01_Input'!$M$71))+IF('01_Input'!$P$71="Forfait",IF(CI$20&gt;='01_Input'!$N$71,'01_Input'!$Q$71,0),IF('01_Input'!$P$71="Palier",IF(AND(CI$20&gt;='01_Input'!$N$71,CI$20&lt;'01_Input'!$O$71),'01_Input'!$Q$71,0),MAX(MIN(CI$20,'01_Input'!$O$71)-'01_Input'!$N$71,0)*'01_Input'!$Q$71))+IF('01_Input'!$T$71="Forfait",IF(CI$20&gt;='01_Input'!$R$71,'01_Input'!$U$71,0),IF('01_Input'!$T$71="Palier",IF(AND(CI$20&gt;='01_Input'!$R$71,CI$20&lt;'01_Input'!$S$71),'01_Input'!$U$71,0),MAX(MIN(CI$20,'01_Input'!$S$71)-'01_Input'!$R$71,0)*'01_Input'!$U$71))+IF('01_Input'!$X$71="Forfait",IF(CI$20&gt;='01_Input'!$V$71,'01_Input'!$Y$71,0),IF('01_Input'!$X$71="Palier",IF(AND(CI$20&gt;='01_Input'!$V$71,CI$20&lt;'01_Input'!$W$71),'01_Input'!$Y$71,0),MAX(MIN(CI$20,'01_Input'!$W$71)-'01_Input'!$V$71,0)*'01_Input'!$Y$71))+IF('01_Input'!$AB$71="Forfait",IF(CI$20&gt;='01_Input'!$Z$71,'01_Input'!$AC$71,0),IF('01_Input'!$AB$71="Palier",IF(AND(CI$20&gt;='01_Input'!$Z$71,CI$20&lt;'01_Input'!$AA$71),'01_Input'!$AC$71,0),MAX(MIN(CI$20,'01_Input'!$AA$71)-'01_Input'!$Z$71,0)*'01_Input'!$AC$71)))))))))</f>
        <v>0</v>
      </c>
      <c r="CJ39" s="25">
        <f>IF('01_Input'!$C$71="Non",0,MIN('01_Input'!$I$71,MAX('01_Input'!$H$71,IF('01_Input'!$G$71="Résiduel vs Gestion",0,IF('01_Input'!$G$71="Taux Classe sélectionnée",Distrib_Global_Classe_Selectionnee*CJ$20,IF('01_Input'!$G$71="Frais KYC (paliers de 100M€)",MAX(0,Nb_Investisseurs-Nb_KYC_Gratuites_Par_Tranche*(FLOOR(CJ$20/Taille_Tranche_KYC,1)+1))*Cout_Par_KYC_Supplementaire,(IF('01_Input'!$L$71="Forfait",IF(CJ$20&gt;='01_Input'!$J$71,'01_Input'!$M$71,0),IF('01_Input'!$L$71="Palier",IF(AND(CJ$20&gt;='01_Input'!$J$71,CJ$20&lt;'01_Input'!$K$71),'01_Input'!$M$71,0),MAX(MIN(CJ$20,'01_Input'!$K$71)-'01_Input'!$J$71,0)*'01_Input'!$M$71))+IF('01_Input'!$P$71="Forfait",IF(CJ$20&gt;='01_Input'!$N$71,'01_Input'!$Q$71,0),IF('01_Input'!$P$71="Palier",IF(AND(CJ$20&gt;='01_Input'!$N$71,CJ$20&lt;'01_Input'!$O$71),'01_Input'!$Q$71,0),MAX(MIN(CJ$20,'01_Input'!$O$71)-'01_Input'!$N$71,0)*'01_Input'!$Q$71))+IF('01_Input'!$T$71="Forfait",IF(CJ$20&gt;='01_Input'!$R$71,'01_Input'!$U$71,0),IF('01_Input'!$T$71="Palier",IF(AND(CJ$20&gt;='01_Input'!$R$71,CJ$20&lt;'01_Input'!$S$71),'01_Input'!$U$71,0),MAX(MIN(CJ$20,'01_Input'!$S$71)-'01_Input'!$R$71,0)*'01_Input'!$U$71))+IF('01_Input'!$X$71="Forfait",IF(CJ$20&gt;='01_Input'!$V$71,'01_Input'!$Y$71,0),IF('01_Input'!$X$71="Palier",IF(AND(CJ$20&gt;='01_Input'!$V$71,CJ$20&lt;'01_Input'!$W$71),'01_Input'!$Y$71,0),MAX(MIN(CJ$20,'01_Input'!$W$71)-'01_Input'!$V$71,0)*'01_Input'!$Y$71))+IF('01_Input'!$AB$71="Forfait",IF(CJ$20&gt;='01_Input'!$Z$71,'01_Input'!$AC$71,0),IF('01_Input'!$AB$71="Palier",IF(AND(CJ$20&gt;='01_Input'!$Z$71,CJ$20&lt;'01_Input'!$AA$71),'01_Input'!$AC$71,0),MAX(MIN(CJ$20,'01_Input'!$AA$71)-'01_Input'!$Z$71,0)*'01_Input'!$AC$71)))))))))</f>
        <v>0</v>
      </c>
      <c r="CK39" s="25">
        <f>IF('01_Input'!$C$71="Non",0,MIN('01_Input'!$I$71,MAX('01_Input'!$H$71,IF('01_Input'!$G$71="Résiduel vs Gestion",0,IF('01_Input'!$G$71="Taux Classe sélectionnée",Distrib_Global_Classe_Selectionnee*CK$20,IF('01_Input'!$G$71="Frais KYC (paliers de 100M€)",MAX(0,Nb_Investisseurs-Nb_KYC_Gratuites_Par_Tranche*(FLOOR(CK$20/Taille_Tranche_KYC,1)+1))*Cout_Par_KYC_Supplementaire,(IF('01_Input'!$L$71="Forfait",IF(CK$20&gt;='01_Input'!$J$71,'01_Input'!$M$71,0),IF('01_Input'!$L$71="Palier",IF(AND(CK$20&gt;='01_Input'!$J$71,CK$20&lt;'01_Input'!$K$71),'01_Input'!$M$71,0),MAX(MIN(CK$20,'01_Input'!$K$71)-'01_Input'!$J$71,0)*'01_Input'!$M$71))+IF('01_Input'!$P$71="Forfait",IF(CK$20&gt;='01_Input'!$N$71,'01_Input'!$Q$71,0),IF('01_Input'!$P$71="Palier",IF(AND(CK$20&gt;='01_Input'!$N$71,CK$20&lt;'01_Input'!$O$71),'01_Input'!$Q$71,0),MAX(MIN(CK$20,'01_Input'!$O$71)-'01_Input'!$N$71,0)*'01_Input'!$Q$71))+IF('01_Input'!$T$71="Forfait",IF(CK$20&gt;='01_Input'!$R$71,'01_Input'!$U$71,0),IF('01_Input'!$T$71="Palier",IF(AND(CK$20&gt;='01_Input'!$R$71,CK$20&lt;'01_Input'!$S$71),'01_Input'!$U$71,0),MAX(MIN(CK$20,'01_Input'!$S$71)-'01_Input'!$R$71,0)*'01_Input'!$U$71))+IF('01_Input'!$X$71="Forfait",IF(CK$20&gt;='01_Input'!$V$71,'01_Input'!$Y$71,0),IF('01_Input'!$X$71="Palier",IF(AND(CK$20&gt;='01_Input'!$V$71,CK$20&lt;'01_Input'!$W$71),'01_Input'!$Y$71,0),MAX(MIN(CK$20,'01_Input'!$W$71)-'01_Input'!$V$71,0)*'01_Input'!$Y$71))+IF('01_Input'!$AB$71="Forfait",IF(CK$20&gt;='01_Input'!$Z$71,'01_Input'!$AC$71,0),IF('01_Input'!$AB$71="Palier",IF(AND(CK$20&gt;='01_Input'!$Z$71,CK$20&lt;'01_Input'!$AA$71),'01_Input'!$AC$71,0),MAX(MIN(CK$20,'01_Input'!$AA$71)-'01_Input'!$Z$71,0)*'01_Input'!$AC$71)))))))))</f>
        <v>0</v>
      </c>
      <c r="CL39" s="25">
        <f>IF('01_Input'!$C$71="Non",0,MIN('01_Input'!$I$71,MAX('01_Input'!$H$71,IF('01_Input'!$G$71="Résiduel vs Gestion",0,IF('01_Input'!$G$71="Taux Classe sélectionnée",Distrib_Global_Classe_Selectionnee*CL$20,IF('01_Input'!$G$71="Frais KYC (paliers de 100M€)",MAX(0,Nb_Investisseurs-Nb_KYC_Gratuites_Par_Tranche*(FLOOR(CL$20/Taille_Tranche_KYC,1)+1))*Cout_Par_KYC_Supplementaire,(IF('01_Input'!$L$71="Forfait",IF(CL$20&gt;='01_Input'!$J$71,'01_Input'!$M$71,0),IF('01_Input'!$L$71="Palier",IF(AND(CL$20&gt;='01_Input'!$J$71,CL$20&lt;'01_Input'!$K$71),'01_Input'!$M$71,0),MAX(MIN(CL$20,'01_Input'!$K$71)-'01_Input'!$J$71,0)*'01_Input'!$M$71))+IF('01_Input'!$P$71="Forfait",IF(CL$20&gt;='01_Input'!$N$71,'01_Input'!$Q$71,0),IF('01_Input'!$P$71="Palier",IF(AND(CL$20&gt;='01_Input'!$N$71,CL$20&lt;'01_Input'!$O$71),'01_Input'!$Q$71,0),MAX(MIN(CL$20,'01_Input'!$O$71)-'01_Input'!$N$71,0)*'01_Input'!$Q$71))+IF('01_Input'!$T$71="Forfait",IF(CL$20&gt;='01_Input'!$R$71,'01_Input'!$U$71,0),IF('01_Input'!$T$71="Palier",IF(AND(CL$20&gt;='01_Input'!$R$71,CL$20&lt;'01_Input'!$S$71),'01_Input'!$U$71,0),MAX(MIN(CL$20,'01_Input'!$S$71)-'01_Input'!$R$71,0)*'01_Input'!$U$71))+IF('01_Input'!$X$71="Forfait",IF(CL$20&gt;='01_Input'!$V$71,'01_Input'!$Y$71,0),IF('01_Input'!$X$71="Palier",IF(AND(CL$20&gt;='01_Input'!$V$71,CL$20&lt;'01_Input'!$W$71),'01_Input'!$Y$71,0),MAX(MIN(CL$20,'01_Input'!$W$71)-'01_Input'!$V$71,0)*'01_Input'!$Y$71))+IF('01_Input'!$AB$71="Forfait",IF(CL$20&gt;='01_Input'!$Z$71,'01_Input'!$AC$71,0),IF('01_Input'!$AB$71="Palier",IF(AND(CL$20&gt;='01_Input'!$Z$71,CL$20&lt;'01_Input'!$AA$71),'01_Input'!$AC$71,0),MAX(MIN(CL$20,'01_Input'!$AA$71)-'01_Input'!$Z$71,0)*'01_Input'!$AC$71)))))))))</f>
        <v>0</v>
      </c>
      <c r="CM39" s="25">
        <f>IF('01_Input'!$C$71="Non",0,MIN('01_Input'!$I$71,MAX('01_Input'!$H$71,IF('01_Input'!$G$71="Résiduel vs Gestion",0,IF('01_Input'!$G$71="Taux Classe sélectionnée",Distrib_Global_Classe_Selectionnee*CM$20,IF('01_Input'!$G$71="Frais KYC (paliers de 100M€)",MAX(0,Nb_Investisseurs-Nb_KYC_Gratuites_Par_Tranche*(FLOOR(CM$20/Taille_Tranche_KYC,1)+1))*Cout_Par_KYC_Supplementaire,(IF('01_Input'!$L$71="Forfait",IF(CM$20&gt;='01_Input'!$J$71,'01_Input'!$M$71,0),IF('01_Input'!$L$71="Palier",IF(AND(CM$20&gt;='01_Input'!$J$71,CM$20&lt;'01_Input'!$K$71),'01_Input'!$M$71,0),MAX(MIN(CM$20,'01_Input'!$K$71)-'01_Input'!$J$71,0)*'01_Input'!$M$71))+IF('01_Input'!$P$71="Forfait",IF(CM$20&gt;='01_Input'!$N$71,'01_Input'!$Q$71,0),IF('01_Input'!$P$71="Palier",IF(AND(CM$20&gt;='01_Input'!$N$71,CM$20&lt;'01_Input'!$O$71),'01_Input'!$Q$71,0),MAX(MIN(CM$20,'01_Input'!$O$71)-'01_Input'!$N$71,0)*'01_Input'!$Q$71))+IF('01_Input'!$T$71="Forfait",IF(CM$20&gt;='01_Input'!$R$71,'01_Input'!$U$71,0),IF('01_Input'!$T$71="Palier",IF(AND(CM$20&gt;='01_Input'!$R$71,CM$20&lt;'01_Input'!$S$71),'01_Input'!$U$71,0),MAX(MIN(CM$20,'01_Input'!$S$71)-'01_Input'!$R$71,0)*'01_Input'!$U$71))+IF('01_Input'!$X$71="Forfait",IF(CM$20&gt;='01_Input'!$V$71,'01_Input'!$Y$71,0),IF('01_Input'!$X$71="Palier",IF(AND(CM$20&gt;='01_Input'!$V$71,CM$20&lt;'01_Input'!$W$71),'01_Input'!$Y$71,0),MAX(MIN(CM$20,'01_Input'!$W$71)-'01_Input'!$V$71,0)*'01_Input'!$Y$71))+IF('01_Input'!$AB$71="Forfait",IF(CM$20&gt;='01_Input'!$Z$71,'01_Input'!$AC$71,0),IF('01_Input'!$AB$71="Palier",IF(AND(CM$20&gt;='01_Input'!$Z$71,CM$20&lt;'01_Input'!$AA$71),'01_Input'!$AC$71,0),MAX(MIN(CM$20,'01_Input'!$AA$71)-'01_Input'!$Z$71,0)*'01_Input'!$AC$71)))))))))</f>
        <v>0</v>
      </c>
      <c r="CN39" s="25">
        <f>IF('01_Input'!$C$71="Non",0,MIN('01_Input'!$I$71,MAX('01_Input'!$H$71,IF('01_Input'!$G$71="Résiduel vs Gestion",0,IF('01_Input'!$G$71="Taux Classe sélectionnée",Distrib_Global_Classe_Selectionnee*CN$20,IF('01_Input'!$G$71="Frais KYC (paliers de 100M€)",MAX(0,Nb_Investisseurs-Nb_KYC_Gratuites_Par_Tranche*(FLOOR(CN$20/Taille_Tranche_KYC,1)+1))*Cout_Par_KYC_Supplementaire,(IF('01_Input'!$L$71="Forfait",IF(CN$20&gt;='01_Input'!$J$71,'01_Input'!$M$71,0),IF('01_Input'!$L$71="Palier",IF(AND(CN$20&gt;='01_Input'!$J$71,CN$20&lt;'01_Input'!$K$71),'01_Input'!$M$71,0),MAX(MIN(CN$20,'01_Input'!$K$71)-'01_Input'!$J$71,0)*'01_Input'!$M$71))+IF('01_Input'!$P$71="Forfait",IF(CN$20&gt;='01_Input'!$N$71,'01_Input'!$Q$71,0),IF('01_Input'!$P$71="Palier",IF(AND(CN$20&gt;='01_Input'!$N$71,CN$20&lt;'01_Input'!$O$71),'01_Input'!$Q$71,0),MAX(MIN(CN$20,'01_Input'!$O$71)-'01_Input'!$N$71,0)*'01_Input'!$Q$71))+IF('01_Input'!$T$71="Forfait",IF(CN$20&gt;='01_Input'!$R$71,'01_Input'!$U$71,0),IF('01_Input'!$T$71="Palier",IF(AND(CN$20&gt;='01_Input'!$R$71,CN$20&lt;'01_Input'!$S$71),'01_Input'!$U$71,0),MAX(MIN(CN$20,'01_Input'!$S$71)-'01_Input'!$R$71,0)*'01_Input'!$U$71))+IF('01_Input'!$X$71="Forfait",IF(CN$20&gt;='01_Input'!$V$71,'01_Input'!$Y$71,0),IF('01_Input'!$X$71="Palier",IF(AND(CN$20&gt;='01_Input'!$V$71,CN$20&lt;'01_Input'!$W$71),'01_Input'!$Y$71,0),MAX(MIN(CN$20,'01_Input'!$W$71)-'01_Input'!$V$71,0)*'01_Input'!$Y$71))+IF('01_Input'!$AB$71="Forfait",IF(CN$20&gt;='01_Input'!$Z$71,'01_Input'!$AC$71,0),IF('01_Input'!$AB$71="Palier",IF(AND(CN$20&gt;='01_Input'!$Z$71,CN$20&lt;'01_Input'!$AA$71),'01_Input'!$AC$71,0),MAX(MIN(CN$20,'01_Input'!$AA$71)-'01_Input'!$Z$71,0)*'01_Input'!$AC$71)))))))))</f>
        <v>0</v>
      </c>
      <c r="CO39" s="25">
        <f>IF('01_Input'!$C$71="Non",0,MIN('01_Input'!$I$71,MAX('01_Input'!$H$71,IF('01_Input'!$G$71="Résiduel vs Gestion",0,IF('01_Input'!$G$71="Taux Classe sélectionnée",Distrib_Global_Classe_Selectionnee*CO$20,IF('01_Input'!$G$71="Frais KYC (paliers de 100M€)",MAX(0,Nb_Investisseurs-Nb_KYC_Gratuites_Par_Tranche*(FLOOR(CO$20/Taille_Tranche_KYC,1)+1))*Cout_Par_KYC_Supplementaire,(IF('01_Input'!$L$71="Forfait",IF(CO$20&gt;='01_Input'!$J$71,'01_Input'!$M$71,0),IF('01_Input'!$L$71="Palier",IF(AND(CO$20&gt;='01_Input'!$J$71,CO$20&lt;'01_Input'!$K$71),'01_Input'!$M$71,0),MAX(MIN(CO$20,'01_Input'!$K$71)-'01_Input'!$J$71,0)*'01_Input'!$M$71))+IF('01_Input'!$P$71="Forfait",IF(CO$20&gt;='01_Input'!$N$71,'01_Input'!$Q$71,0),IF('01_Input'!$P$71="Palier",IF(AND(CO$20&gt;='01_Input'!$N$71,CO$20&lt;'01_Input'!$O$71),'01_Input'!$Q$71,0),MAX(MIN(CO$20,'01_Input'!$O$71)-'01_Input'!$N$71,0)*'01_Input'!$Q$71))+IF('01_Input'!$T$71="Forfait",IF(CO$20&gt;='01_Input'!$R$71,'01_Input'!$U$71,0),IF('01_Input'!$T$71="Palier",IF(AND(CO$20&gt;='01_Input'!$R$71,CO$20&lt;'01_Input'!$S$71),'01_Input'!$U$71,0),MAX(MIN(CO$20,'01_Input'!$S$71)-'01_Input'!$R$71,0)*'01_Input'!$U$71))+IF('01_Input'!$X$71="Forfait",IF(CO$20&gt;='01_Input'!$V$71,'01_Input'!$Y$71,0),IF('01_Input'!$X$71="Palier",IF(AND(CO$20&gt;='01_Input'!$V$71,CO$20&lt;'01_Input'!$W$71),'01_Input'!$Y$71,0),MAX(MIN(CO$20,'01_Input'!$W$71)-'01_Input'!$V$71,0)*'01_Input'!$Y$71))+IF('01_Input'!$AB$71="Forfait",IF(CO$20&gt;='01_Input'!$Z$71,'01_Input'!$AC$71,0),IF('01_Input'!$AB$71="Palier",IF(AND(CO$20&gt;='01_Input'!$Z$71,CO$20&lt;'01_Input'!$AA$71),'01_Input'!$AC$71,0),MAX(MIN(CO$20,'01_Input'!$AA$71)-'01_Input'!$Z$71,0)*'01_Input'!$AC$71)))))))))</f>
        <v>0</v>
      </c>
      <c r="CP39" s="25">
        <f>IF('01_Input'!$C$71="Non",0,MIN('01_Input'!$I$71,MAX('01_Input'!$H$71,IF('01_Input'!$G$71="Résiduel vs Gestion",0,IF('01_Input'!$G$71="Taux Classe sélectionnée",Distrib_Global_Classe_Selectionnee*CP$20,IF('01_Input'!$G$71="Frais KYC (paliers de 100M€)",MAX(0,Nb_Investisseurs-Nb_KYC_Gratuites_Par_Tranche*(FLOOR(CP$20/Taille_Tranche_KYC,1)+1))*Cout_Par_KYC_Supplementaire,(IF('01_Input'!$L$71="Forfait",IF(CP$20&gt;='01_Input'!$J$71,'01_Input'!$M$71,0),IF('01_Input'!$L$71="Palier",IF(AND(CP$20&gt;='01_Input'!$J$71,CP$20&lt;'01_Input'!$K$71),'01_Input'!$M$71,0),MAX(MIN(CP$20,'01_Input'!$K$71)-'01_Input'!$J$71,0)*'01_Input'!$M$71))+IF('01_Input'!$P$71="Forfait",IF(CP$20&gt;='01_Input'!$N$71,'01_Input'!$Q$71,0),IF('01_Input'!$P$71="Palier",IF(AND(CP$20&gt;='01_Input'!$N$71,CP$20&lt;'01_Input'!$O$71),'01_Input'!$Q$71,0),MAX(MIN(CP$20,'01_Input'!$O$71)-'01_Input'!$N$71,0)*'01_Input'!$Q$71))+IF('01_Input'!$T$71="Forfait",IF(CP$20&gt;='01_Input'!$R$71,'01_Input'!$U$71,0),IF('01_Input'!$T$71="Palier",IF(AND(CP$20&gt;='01_Input'!$R$71,CP$20&lt;'01_Input'!$S$71),'01_Input'!$U$71,0),MAX(MIN(CP$20,'01_Input'!$S$71)-'01_Input'!$R$71,0)*'01_Input'!$U$71))+IF('01_Input'!$X$71="Forfait",IF(CP$20&gt;='01_Input'!$V$71,'01_Input'!$Y$71,0),IF('01_Input'!$X$71="Palier",IF(AND(CP$20&gt;='01_Input'!$V$71,CP$20&lt;'01_Input'!$W$71),'01_Input'!$Y$71,0),MAX(MIN(CP$20,'01_Input'!$W$71)-'01_Input'!$V$71,0)*'01_Input'!$Y$71))+IF('01_Input'!$AB$71="Forfait",IF(CP$20&gt;='01_Input'!$Z$71,'01_Input'!$AC$71,0),IF('01_Input'!$AB$71="Palier",IF(AND(CP$20&gt;='01_Input'!$Z$71,CP$20&lt;'01_Input'!$AA$71),'01_Input'!$AC$71,0),MAX(MIN(CP$20,'01_Input'!$AA$71)-'01_Input'!$Z$71,0)*'01_Input'!$AC$71)))))))))</f>
        <v>0</v>
      </c>
      <c r="CQ39" s="25">
        <f>IF('01_Input'!$C$71="Non",0,MIN('01_Input'!$I$71,MAX('01_Input'!$H$71,IF('01_Input'!$G$71="Résiduel vs Gestion",0,IF('01_Input'!$G$71="Taux Classe sélectionnée",Distrib_Global_Classe_Selectionnee*CQ$20,IF('01_Input'!$G$71="Frais KYC (paliers de 100M€)",MAX(0,Nb_Investisseurs-Nb_KYC_Gratuites_Par_Tranche*(FLOOR(CQ$20/Taille_Tranche_KYC,1)+1))*Cout_Par_KYC_Supplementaire,(IF('01_Input'!$L$71="Forfait",IF(CQ$20&gt;='01_Input'!$J$71,'01_Input'!$M$71,0),IF('01_Input'!$L$71="Palier",IF(AND(CQ$20&gt;='01_Input'!$J$71,CQ$20&lt;'01_Input'!$K$71),'01_Input'!$M$71,0),MAX(MIN(CQ$20,'01_Input'!$K$71)-'01_Input'!$J$71,0)*'01_Input'!$M$71))+IF('01_Input'!$P$71="Forfait",IF(CQ$20&gt;='01_Input'!$N$71,'01_Input'!$Q$71,0),IF('01_Input'!$P$71="Palier",IF(AND(CQ$20&gt;='01_Input'!$N$71,CQ$20&lt;'01_Input'!$O$71),'01_Input'!$Q$71,0),MAX(MIN(CQ$20,'01_Input'!$O$71)-'01_Input'!$N$71,0)*'01_Input'!$Q$71))+IF('01_Input'!$T$71="Forfait",IF(CQ$20&gt;='01_Input'!$R$71,'01_Input'!$U$71,0),IF('01_Input'!$T$71="Palier",IF(AND(CQ$20&gt;='01_Input'!$R$71,CQ$20&lt;'01_Input'!$S$71),'01_Input'!$U$71,0),MAX(MIN(CQ$20,'01_Input'!$S$71)-'01_Input'!$R$71,0)*'01_Input'!$U$71))+IF('01_Input'!$X$71="Forfait",IF(CQ$20&gt;='01_Input'!$V$71,'01_Input'!$Y$71,0),IF('01_Input'!$X$71="Palier",IF(AND(CQ$20&gt;='01_Input'!$V$71,CQ$20&lt;'01_Input'!$W$71),'01_Input'!$Y$71,0),MAX(MIN(CQ$20,'01_Input'!$W$71)-'01_Input'!$V$71,0)*'01_Input'!$Y$71))+IF('01_Input'!$AB$71="Forfait",IF(CQ$20&gt;='01_Input'!$Z$71,'01_Input'!$AC$71,0),IF('01_Input'!$AB$71="Palier",IF(AND(CQ$20&gt;='01_Input'!$Z$71,CQ$20&lt;'01_Input'!$AA$71),'01_Input'!$AC$71,0),MAX(MIN(CQ$20,'01_Input'!$AA$71)-'01_Input'!$Z$71,0)*'01_Input'!$AC$71)))))))))</f>
        <v>0</v>
      </c>
      <c r="CR39" s="25">
        <f>IF('01_Input'!$C$71="Non",0,MIN('01_Input'!$I$71,MAX('01_Input'!$H$71,IF('01_Input'!$G$71="Résiduel vs Gestion",0,IF('01_Input'!$G$71="Taux Classe sélectionnée",Distrib_Global_Classe_Selectionnee*CR$20,IF('01_Input'!$G$71="Frais KYC (paliers de 100M€)",MAX(0,Nb_Investisseurs-Nb_KYC_Gratuites_Par_Tranche*(FLOOR(CR$20/Taille_Tranche_KYC,1)+1))*Cout_Par_KYC_Supplementaire,(IF('01_Input'!$L$71="Forfait",IF(CR$20&gt;='01_Input'!$J$71,'01_Input'!$M$71,0),IF('01_Input'!$L$71="Palier",IF(AND(CR$20&gt;='01_Input'!$J$71,CR$20&lt;'01_Input'!$K$71),'01_Input'!$M$71,0),MAX(MIN(CR$20,'01_Input'!$K$71)-'01_Input'!$J$71,0)*'01_Input'!$M$71))+IF('01_Input'!$P$71="Forfait",IF(CR$20&gt;='01_Input'!$N$71,'01_Input'!$Q$71,0),IF('01_Input'!$P$71="Palier",IF(AND(CR$20&gt;='01_Input'!$N$71,CR$20&lt;'01_Input'!$O$71),'01_Input'!$Q$71,0),MAX(MIN(CR$20,'01_Input'!$O$71)-'01_Input'!$N$71,0)*'01_Input'!$Q$71))+IF('01_Input'!$T$71="Forfait",IF(CR$20&gt;='01_Input'!$R$71,'01_Input'!$U$71,0),IF('01_Input'!$T$71="Palier",IF(AND(CR$20&gt;='01_Input'!$R$71,CR$20&lt;'01_Input'!$S$71),'01_Input'!$U$71,0),MAX(MIN(CR$20,'01_Input'!$S$71)-'01_Input'!$R$71,0)*'01_Input'!$U$71))+IF('01_Input'!$X$71="Forfait",IF(CR$20&gt;='01_Input'!$V$71,'01_Input'!$Y$71,0),IF('01_Input'!$X$71="Palier",IF(AND(CR$20&gt;='01_Input'!$V$71,CR$20&lt;'01_Input'!$W$71),'01_Input'!$Y$71,0),MAX(MIN(CR$20,'01_Input'!$W$71)-'01_Input'!$V$71,0)*'01_Input'!$Y$71))+IF('01_Input'!$AB$71="Forfait",IF(CR$20&gt;='01_Input'!$Z$71,'01_Input'!$AC$71,0),IF('01_Input'!$AB$71="Palier",IF(AND(CR$20&gt;='01_Input'!$Z$71,CR$20&lt;'01_Input'!$AA$71),'01_Input'!$AC$71,0),MAX(MIN(CR$20,'01_Input'!$AA$71)-'01_Input'!$Z$71,0)*'01_Input'!$AC$71)))))))))</f>
        <v>0</v>
      </c>
      <c r="CS39" s="25">
        <f>IF('01_Input'!$C$71="Non",0,MIN('01_Input'!$I$71,MAX('01_Input'!$H$71,IF('01_Input'!$G$71="Résiduel vs Gestion",0,IF('01_Input'!$G$71="Taux Classe sélectionnée",Distrib_Global_Classe_Selectionnee*CS$20,IF('01_Input'!$G$71="Frais KYC (paliers de 100M€)",MAX(0,Nb_Investisseurs-Nb_KYC_Gratuites_Par_Tranche*(FLOOR(CS$20/Taille_Tranche_KYC,1)+1))*Cout_Par_KYC_Supplementaire,(IF('01_Input'!$L$71="Forfait",IF(CS$20&gt;='01_Input'!$J$71,'01_Input'!$M$71,0),IF('01_Input'!$L$71="Palier",IF(AND(CS$20&gt;='01_Input'!$J$71,CS$20&lt;'01_Input'!$K$71),'01_Input'!$M$71,0),MAX(MIN(CS$20,'01_Input'!$K$71)-'01_Input'!$J$71,0)*'01_Input'!$M$71))+IF('01_Input'!$P$71="Forfait",IF(CS$20&gt;='01_Input'!$N$71,'01_Input'!$Q$71,0),IF('01_Input'!$P$71="Palier",IF(AND(CS$20&gt;='01_Input'!$N$71,CS$20&lt;'01_Input'!$O$71),'01_Input'!$Q$71,0),MAX(MIN(CS$20,'01_Input'!$O$71)-'01_Input'!$N$71,0)*'01_Input'!$Q$71))+IF('01_Input'!$T$71="Forfait",IF(CS$20&gt;='01_Input'!$R$71,'01_Input'!$U$71,0),IF('01_Input'!$T$71="Palier",IF(AND(CS$20&gt;='01_Input'!$R$71,CS$20&lt;'01_Input'!$S$71),'01_Input'!$U$71,0),MAX(MIN(CS$20,'01_Input'!$S$71)-'01_Input'!$R$71,0)*'01_Input'!$U$71))+IF('01_Input'!$X$71="Forfait",IF(CS$20&gt;='01_Input'!$V$71,'01_Input'!$Y$71,0),IF('01_Input'!$X$71="Palier",IF(AND(CS$20&gt;='01_Input'!$V$71,CS$20&lt;'01_Input'!$W$71),'01_Input'!$Y$71,0),MAX(MIN(CS$20,'01_Input'!$W$71)-'01_Input'!$V$71,0)*'01_Input'!$Y$71))+IF('01_Input'!$AB$71="Forfait",IF(CS$20&gt;='01_Input'!$Z$71,'01_Input'!$AC$71,0),IF('01_Input'!$AB$71="Palier",IF(AND(CS$20&gt;='01_Input'!$Z$71,CS$20&lt;'01_Input'!$AA$71),'01_Input'!$AC$71,0),MAX(MIN(CS$20,'01_Input'!$AA$71)-'01_Input'!$Z$71,0)*'01_Input'!$AC$71)))))))))</f>
        <v>0</v>
      </c>
      <c r="CT39" s="25">
        <f>IF('01_Input'!$C$71="Non",0,MIN('01_Input'!$I$71,MAX('01_Input'!$H$71,IF('01_Input'!$G$71="Résiduel vs Gestion",0,IF('01_Input'!$G$71="Taux Classe sélectionnée",Distrib_Global_Classe_Selectionnee*CT$20,IF('01_Input'!$G$71="Frais KYC (paliers de 100M€)",MAX(0,Nb_Investisseurs-Nb_KYC_Gratuites_Par_Tranche*(FLOOR(CT$20/Taille_Tranche_KYC,1)+1))*Cout_Par_KYC_Supplementaire,(IF('01_Input'!$L$71="Forfait",IF(CT$20&gt;='01_Input'!$J$71,'01_Input'!$M$71,0),IF('01_Input'!$L$71="Palier",IF(AND(CT$20&gt;='01_Input'!$J$71,CT$20&lt;'01_Input'!$K$71),'01_Input'!$M$71,0),MAX(MIN(CT$20,'01_Input'!$K$71)-'01_Input'!$J$71,0)*'01_Input'!$M$71))+IF('01_Input'!$P$71="Forfait",IF(CT$20&gt;='01_Input'!$N$71,'01_Input'!$Q$71,0),IF('01_Input'!$P$71="Palier",IF(AND(CT$20&gt;='01_Input'!$N$71,CT$20&lt;'01_Input'!$O$71),'01_Input'!$Q$71,0),MAX(MIN(CT$20,'01_Input'!$O$71)-'01_Input'!$N$71,0)*'01_Input'!$Q$71))+IF('01_Input'!$T$71="Forfait",IF(CT$20&gt;='01_Input'!$R$71,'01_Input'!$U$71,0),IF('01_Input'!$T$71="Palier",IF(AND(CT$20&gt;='01_Input'!$R$71,CT$20&lt;'01_Input'!$S$71),'01_Input'!$U$71,0),MAX(MIN(CT$20,'01_Input'!$S$71)-'01_Input'!$R$71,0)*'01_Input'!$U$71))+IF('01_Input'!$X$71="Forfait",IF(CT$20&gt;='01_Input'!$V$71,'01_Input'!$Y$71,0),IF('01_Input'!$X$71="Palier",IF(AND(CT$20&gt;='01_Input'!$V$71,CT$20&lt;'01_Input'!$W$71),'01_Input'!$Y$71,0),MAX(MIN(CT$20,'01_Input'!$W$71)-'01_Input'!$V$71,0)*'01_Input'!$Y$71))+IF('01_Input'!$AB$71="Forfait",IF(CT$20&gt;='01_Input'!$Z$71,'01_Input'!$AC$71,0),IF('01_Input'!$AB$71="Palier",IF(AND(CT$20&gt;='01_Input'!$Z$71,CT$20&lt;'01_Input'!$AA$71),'01_Input'!$AC$71,0),MAX(MIN(CT$20,'01_Input'!$AA$71)-'01_Input'!$Z$71,0)*'01_Input'!$AC$71)))))))))</f>
        <v>0</v>
      </c>
      <c r="CU39" s="25">
        <f>IF('01_Input'!$C$71="Non",0,MIN('01_Input'!$I$71,MAX('01_Input'!$H$71,IF('01_Input'!$G$71="Résiduel vs Gestion",0,IF('01_Input'!$G$71="Taux Classe sélectionnée",Distrib_Global_Classe_Selectionnee*CU$20,IF('01_Input'!$G$71="Frais KYC (paliers de 100M€)",MAX(0,Nb_Investisseurs-Nb_KYC_Gratuites_Par_Tranche*(FLOOR(CU$20/Taille_Tranche_KYC,1)+1))*Cout_Par_KYC_Supplementaire,(IF('01_Input'!$L$71="Forfait",IF(CU$20&gt;='01_Input'!$J$71,'01_Input'!$M$71,0),IF('01_Input'!$L$71="Palier",IF(AND(CU$20&gt;='01_Input'!$J$71,CU$20&lt;'01_Input'!$K$71),'01_Input'!$M$71,0),MAX(MIN(CU$20,'01_Input'!$K$71)-'01_Input'!$J$71,0)*'01_Input'!$M$71))+IF('01_Input'!$P$71="Forfait",IF(CU$20&gt;='01_Input'!$N$71,'01_Input'!$Q$71,0),IF('01_Input'!$P$71="Palier",IF(AND(CU$20&gt;='01_Input'!$N$71,CU$20&lt;'01_Input'!$O$71),'01_Input'!$Q$71,0),MAX(MIN(CU$20,'01_Input'!$O$71)-'01_Input'!$N$71,0)*'01_Input'!$Q$71))+IF('01_Input'!$T$71="Forfait",IF(CU$20&gt;='01_Input'!$R$71,'01_Input'!$U$71,0),IF('01_Input'!$T$71="Palier",IF(AND(CU$20&gt;='01_Input'!$R$71,CU$20&lt;'01_Input'!$S$71),'01_Input'!$U$71,0),MAX(MIN(CU$20,'01_Input'!$S$71)-'01_Input'!$R$71,0)*'01_Input'!$U$71))+IF('01_Input'!$X$71="Forfait",IF(CU$20&gt;='01_Input'!$V$71,'01_Input'!$Y$71,0),IF('01_Input'!$X$71="Palier",IF(AND(CU$20&gt;='01_Input'!$V$71,CU$20&lt;'01_Input'!$W$71),'01_Input'!$Y$71,0),MAX(MIN(CU$20,'01_Input'!$W$71)-'01_Input'!$V$71,0)*'01_Input'!$Y$71))+IF('01_Input'!$AB$71="Forfait",IF(CU$20&gt;='01_Input'!$Z$71,'01_Input'!$AC$71,0),IF('01_Input'!$AB$71="Palier",IF(AND(CU$20&gt;='01_Input'!$Z$71,CU$20&lt;'01_Input'!$AA$71),'01_Input'!$AC$71,0),MAX(MIN(CU$20,'01_Input'!$AA$71)-'01_Input'!$Z$71,0)*'01_Input'!$AC$71)))))))))</f>
        <v>0</v>
      </c>
      <c r="CV39" s="25">
        <f>IF('01_Input'!$C$71="Non",0,MIN('01_Input'!$I$71,MAX('01_Input'!$H$71,IF('01_Input'!$G$71="Résiduel vs Gestion",0,IF('01_Input'!$G$71="Taux Classe sélectionnée",Distrib_Global_Classe_Selectionnee*CV$20,IF('01_Input'!$G$71="Frais KYC (paliers de 100M€)",MAX(0,Nb_Investisseurs-Nb_KYC_Gratuites_Par_Tranche*(FLOOR(CV$20/Taille_Tranche_KYC,1)+1))*Cout_Par_KYC_Supplementaire,(IF('01_Input'!$L$71="Forfait",IF(CV$20&gt;='01_Input'!$J$71,'01_Input'!$M$71,0),IF('01_Input'!$L$71="Palier",IF(AND(CV$20&gt;='01_Input'!$J$71,CV$20&lt;'01_Input'!$K$71),'01_Input'!$M$71,0),MAX(MIN(CV$20,'01_Input'!$K$71)-'01_Input'!$J$71,0)*'01_Input'!$M$71))+IF('01_Input'!$P$71="Forfait",IF(CV$20&gt;='01_Input'!$N$71,'01_Input'!$Q$71,0),IF('01_Input'!$P$71="Palier",IF(AND(CV$20&gt;='01_Input'!$N$71,CV$20&lt;'01_Input'!$O$71),'01_Input'!$Q$71,0),MAX(MIN(CV$20,'01_Input'!$O$71)-'01_Input'!$N$71,0)*'01_Input'!$Q$71))+IF('01_Input'!$T$71="Forfait",IF(CV$20&gt;='01_Input'!$R$71,'01_Input'!$U$71,0),IF('01_Input'!$T$71="Palier",IF(AND(CV$20&gt;='01_Input'!$R$71,CV$20&lt;'01_Input'!$S$71),'01_Input'!$U$71,0),MAX(MIN(CV$20,'01_Input'!$S$71)-'01_Input'!$R$71,0)*'01_Input'!$U$71))+IF('01_Input'!$X$71="Forfait",IF(CV$20&gt;='01_Input'!$V$71,'01_Input'!$Y$71,0),IF('01_Input'!$X$71="Palier",IF(AND(CV$20&gt;='01_Input'!$V$71,CV$20&lt;'01_Input'!$W$71),'01_Input'!$Y$71,0),MAX(MIN(CV$20,'01_Input'!$W$71)-'01_Input'!$V$71,0)*'01_Input'!$Y$71))+IF('01_Input'!$AB$71="Forfait",IF(CV$20&gt;='01_Input'!$Z$71,'01_Input'!$AC$71,0),IF('01_Input'!$AB$71="Palier",IF(AND(CV$20&gt;='01_Input'!$Z$71,CV$20&lt;'01_Input'!$AA$71),'01_Input'!$AC$71,0),MAX(MIN(CV$20,'01_Input'!$AA$71)-'01_Input'!$Z$71,0)*'01_Input'!$AC$71)))))))))</f>
        <v>0</v>
      </c>
      <c r="CW39" s="25">
        <f>IF('01_Input'!$C$71="Non",0,MIN('01_Input'!$I$71,MAX('01_Input'!$H$71,IF('01_Input'!$G$71="Résiduel vs Gestion",0,IF('01_Input'!$G$71="Taux Classe sélectionnée",Distrib_Global_Classe_Selectionnee*CW$20,IF('01_Input'!$G$71="Frais KYC (paliers de 100M€)",MAX(0,Nb_Investisseurs-Nb_KYC_Gratuites_Par_Tranche*(FLOOR(CW$20/Taille_Tranche_KYC,1)+1))*Cout_Par_KYC_Supplementaire,(IF('01_Input'!$L$71="Forfait",IF(CW$20&gt;='01_Input'!$J$71,'01_Input'!$M$71,0),IF('01_Input'!$L$71="Palier",IF(AND(CW$20&gt;='01_Input'!$J$71,CW$20&lt;'01_Input'!$K$71),'01_Input'!$M$71,0),MAX(MIN(CW$20,'01_Input'!$K$71)-'01_Input'!$J$71,0)*'01_Input'!$M$71))+IF('01_Input'!$P$71="Forfait",IF(CW$20&gt;='01_Input'!$N$71,'01_Input'!$Q$71,0),IF('01_Input'!$P$71="Palier",IF(AND(CW$20&gt;='01_Input'!$N$71,CW$20&lt;'01_Input'!$O$71),'01_Input'!$Q$71,0),MAX(MIN(CW$20,'01_Input'!$O$71)-'01_Input'!$N$71,0)*'01_Input'!$Q$71))+IF('01_Input'!$T$71="Forfait",IF(CW$20&gt;='01_Input'!$R$71,'01_Input'!$U$71,0),IF('01_Input'!$T$71="Palier",IF(AND(CW$20&gt;='01_Input'!$R$71,CW$20&lt;'01_Input'!$S$71),'01_Input'!$U$71,0),MAX(MIN(CW$20,'01_Input'!$S$71)-'01_Input'!$R$71,0)*'01_Input'!$U$71))+IF('01_Input'!$X$71="Forfait",IF(CW$20&gt;='01_Input'!$V$71,'01_Input'!$Y$71,0),IF('01_Input'!$X$71="Palier",IF(AND(CW$20&gt;='01_Input'!$V$71,CW$20&lt;'01_Input'!$W$71),'01_Input'!$Y$71,0),MAX(MIN(CW$20,'01_Input'!$W$71)-'01_Input'!$V$71,0)*'01_Input'!$Y$71))+IF('01_Input'!$AB$71="Forfait",IF(CW$20&gt;='01_Input'!$Z$71,'01_Input'!$AC$71,0),IF('01_Input'!$AB$71="Palier",IF(AND(CW$20&gt;='01_Input'!$Z$71,CW$20&lt;'01_Input'!$AA$71),'01_Input'!$AC$71,0),MAX(MIN(CW$20,'01_Input'!$AA$71)-'01_Input'!$Z$71,0)*'01_Input'!$AC$71)))))))))</f>
        <v>0</v>
      </c>
      <c r="CX39" s="25">
        <f>IF('01_Input'!$C$71="Non",0,MIN('01_Input'!$I$71,MAX('01_Input'!$H$71,IF('01_Input'!$G$71="Résiduel vs Gestion",0,IF('01_Input'!$G$71="Taux Classe sélectionnée",Distrib_Global_Classe_Selectionnee*CX$20,IF('01_Input'!$G$71="Frais KYC (paliers de 100M€)",MAX(0,Nb_Investisseurs-Nb_KYC_Gratuites_Par_Tranche*(FLOOR(CX$20/Taille_Tranche_KYC,1)+1))*Cout_Par_KYC_Supplementaire,(IF('01_Input'!$L$71="Forfait",IF(CX$20&gt;='01_Input'!$J$71,'01_Input'!$M$71,0),IF('01_Input'!$L$71="Palier",IF(AND(CX$20&gt;='01_Input'!$J$71,CX$20&lt;'01_Input'!$K$71),'01_Input'!$M$71,0),MAX(MIN(CX$20,'01_Input'!$K$71)-'01_Input'!$J$71,0)*'01_Input'!$M$71))+IF('01_Input'!$P$71="Forfait",IF(CX$20&gt;='01_Input'!$N$71,'01_Input'!$Q$71,0),IF('01_Input'!$P$71="Palier",IF(AND(CX$20&gt;='01_Input'!$N$71,CX$20&lt;'01_Input'!$O$71),'01_Input'!$Q$71,0),MAX(MIN(CX$20,'01_Input'!$O$71)-'01_Input'!$N$71,0)*'01_Input'!$Q$71))+IF('01_Input'!$T$71="Forfait",IF(CX$20&gt;='01_Input'!$R$71,'01_Input'!$U$71,0),IF('01_Input'!$T$71="Palier",IF(AND(CX$20&gt;='01_Input'!$R$71,CX$20&lt;'01_Input'!$S$71),'01_Input'!$U$71,0),MAX(MIN(CX$20,'01_Input'!$S$71)-'01_Input'!$R$71,0)*'01_Input'!$U$71))+IF('01_Input'!$X$71="Forfait",IF(CX$20&gt;='01_Input'!$V$71,'01_Input'!$Y$71,0),IF('01_Input'!$X$71="Palier",IF(AND(CX$20&gt;='01_Input'!$V$71,CX$20&lt;'01_Input'!$W$71),'01_Input'!$Y$71,0),MAX(MIN(CX$20,'01_Input'!$W$71)-'01_Input'!$V$71,0)*'01_Input'!$Y$71))+IF('01_Input'!$AB$71="Forfait",IF(CX$20&gt;='01_Input'!$Z$71,'01_Input'!$AC$71,0),IF('01_Input'!$AB$71="Palier",IF(AND(CX$20&gt;='01_Input'!$Z$71,CX$20&lt;'01_Input'!$AA$71),'01_Input'!$AC$71,0),MAX(MIN(CX$20,'01_Input'!$AA$71)-'01_Input'!$Z$71,0)*'01_Input'!$AC$71)))))))))</f>
        <v>0</v>
      </c>
      <c r="CY39" s="25">
        <f>IF('01_Input'!$C$71="Non",0,MIN('01_Input'!$I$71,MAX('01_Input'!$H$71,IF('01_Input'!$G$71="Résiduel vs Gestion",0,IF('01_Input'!$G$71="Taux Classe sélectionnée",Distrib_Global_Classe_Selectionnee*CY$20,IF('01_Input'!$G$71="Frais KYC (paliers de 100M€)",MAX(0,Nb_Investisseurs-Nb_KYC_Gratuites_Par_Tranche*(FLOOR(CY$20/Taille_Tranche_KYC,1)+1))*Cout_Par_KYC_Supplementaire,(IF('01_Input'!$L$71="Forfait",IF(CY$20&gt;='01_Input'!$J$71,'01_Input'!$M$71,0),IF('01_Input'!$L$71="Palier",IF(AND(CY$20&gt;='01_Input'!$J$71,CY$20&lt;'01_Input'!$K$71),'01_Input'!$M$71,0),MAX(MIN(CY$20,'01_Input'!$K$71)-'01_Input'!$J$71,0)*'01_Input'!$M$71))+IF('01_Input'!$P$71="Forfait",IF(CY$20&gt;='01_Input'!$N$71,'01_Input'!$Q$71,0),IF('01_Input'!$P$71="Palier",IF(AND(CY$20&gt;='01_Input'!$N$71,CY$20&lt;'01_Input'!$O$71),'01_Input'!$Q$71,0),MAX(MIN(CY$20,'01_Input'!$O$71)-'01_Input'!$N$71,0)*'01_Input'!$Q$71))+IF('01_Input'!$T$71="Forfait",IF(CY$20&gt;='01_Input'!$R$71,'01_Input'!$U$71,0),IF('01_Input'!$T$71="Palier",IF(AND(CY$20&gt;='01_Input'!$R$71,CY$20&lt;'01_Input'!$S$71),'01_Input'!$U$71,0),MAX(MIN(CY$20,'01_Input'!$S$71)-'01_Input'!$R$71,0)*'01_Input'!$U$71))+IF('01_Input'!$X$71="Forfait",IF(CY$20&gt;='01_Input'!$V$71,'01_Input'!$Y$71,0),IF('01_Input'!$X$71="Palier",IF(AND(CY$20&gt;='01_Input'!$V$71,CY$20&lt;'01_Input'!$W$71),'01_Input'!$Y$71,0),MAX(MIN(CY$20,'01_Input'!$W$71)-'01_Input'!$V$71,0)*'01_Input'!$Y$71))+IF('01_Input'!$AB$71="Forfait",IF(CY$20&gt;='01_Input'!$Z$71,'01_Input'!$AC$71,0),IF('01_Input'!$AB$71="Palier",IF(AND(CY$20&gt;='01_Input'!$Z$71,CY$20&lt;'01_Input'!$AA$71),'01_Input'!$AC$71,0),MAX(MIN(CY$20,'01_Input'!$AA$71)-'01_Input'!$Z$71,0)*'01_Input'!$AC$71)))))))))</f>
        <v>0</v>
      </c>
      <c r="CZ39" s="25">
        <f>IF('01_Input'!$C$71="Non",0,MIN('01_Input'!$I$71,MAX('01_Input'!$H$71,IF('01_Input'!$G$71="Résiduel vs Gestion",0,IF('01_Input'!$G$71="Taux Classe sélectionnée",Distrib_Global_Classe_Selectionnee*CZ$20,IF('01_Input'!$G$71="Frais KYC (paliers de 100M€)",MAX(0,Nb_Investisseurs-Nb_KYC_Gratuites_Par_Tranche*(FLOOR(CZ$20/Taille_Tranche_KYC,1)+1))*Cout_Par_KYC_Supplementaire,(IF('01_Input'!$L$71="Forfait",IF(CZ$20&gt;='01_Input'!$J$71,'01_Input'!$M$71,0),IF('01_Input'!$L$71="Palier",IF(AND(CZ$20&gt;='01_Input'!$J$71,CZ$20&lt;'01_Input'!$K$71),'01_Input'!$M$71,0),MAX(MIN(CZ$20,'01_Input'!$K$71)-'01_Input'!$J$71,0)*'01_Input'!$M$71))+IF('01_Input'!$P$71="Forfait",IF(CZ$20&gt;='01_Input'!$N$71,'01_Input'!$Q$71,0),IF('01_Input'!$P$71="Palier",IF(AND(CZ$20&gt;='01_Input'!$N$71,CZ$20&lt;'01_Input'!$O$71),'01_Input'!$Q$71,0),MAX(MIN(CZ$20,'01_Input'!$O$71)-'01_Input'!$N$71,0)*'01_Input'!$Q$71))+IF('01_Input'!$T$71="Forfait",IF(CZ$20&gt;='01_Input'!$R$71,'01_Input'!$U$71,0),IF('01_Input'!$T$71="Palier",IF(AND(CZ$20&gt;='01_Input'!$R$71,CZ$20&lt;'01_Input'!$S$71),'01_Input'!$U$71,0),MAX(MIN(CZ$20,'01_Input'!$S$71)-'01_Input'!$R$71,0)*'01_Input'!$U$71))+IF('01_Input'!$X$71="Forfait",IF(CZ$20&gt;='01_Input'!$V$71,'01_Input'!$Y$71,0),IF('01_Input'!$X$71="Palier",IF(AND(CZ$20&gt;='01_Input'!$V$71,CZ$20&lt;'01_Input'!$W$71),'01_Input'!$Y$71,0),MAX(MIN(CZ$20,'01_Input'!$W$71)-'01_Input'!$V$71,0)*'01_Input'!$Y$71))+IF('01_Input'!$AB$71="Forfait",IF(CZ$20&gt;='01_Input'!$Z$71,'01_Input'!$AC$71,0),IF('01_Input'!$AB$71="Palier",IF(AND(CZ$20&gt;='01_Input'!$Z$71,CZ$20&lt;'01_Input'!$AA$71),'01_Input'!$AC$71,0),MAX(MIN(CZ$20,'01_Input'!$AA$71)-'01_Input'!$Z$71,0)*'01_Input'!$AC$71)))))))))</f>
        <v>0</v>
      </c>
      <c r="DA39" s="25">
        <f>IF('01_Input'!$C$71="Non",0,MIN('01_Input'!$I$71,MAX('01_Input'!$H$71,IF('01_Input'!$G$71="Résiduel vs Gestion",0,IF('01_Input'!$G$71="Taux Classe sélectionnée",Distrib_Global_Classe_Selectionnee*DA$20,IF('01_Input'!$G$71="Frais KYC (paliers de 100M€)",MAX(0,Nb_Investisseurs-Nb_KYC_Gratuites_Par_Tranche*(FLOOR(DA$20/Taille_Tranche_KYC,1)+1))*Cout_Par_KYC_Supplementaire,(IF('01_Input'!$L$71="Forfait",IF(DA$20&gt;='01_Input'!$J$71,'01_Input'!$M$71,0),IF('01_Input'!$L$71="Palier",IF(AND(DA$20&gt;='01_Input'!$J$71,DA$20&lt;'01_Input'!$K$71),'01_Input'!$M$71,0),MAX(MIN(DA$20,'01_Input'!$K$71)-'01_Input'!$J$71,0)*'01_Input'!$M$71))+IF('01_Input'!$P$71="Forfait",IF(DA$20&gt;='01_Input'!$N$71,'01_Input'!$Q$71,0),IF('01_Input'!$P$71="Palier",IF(AND(DA$20&gt;='01_Input'!$N$71,DA$20&lt;'01_Input'!$O$71),'01_Input'!$Q$71,0),MAX(MIN(DA$20,'01_Input'!$O$71)-'01_Input'!$N$71,0)*'01_Input'!$Q$71))+IF('01_Input'!$T$71="Forfait",IF(DA$20&gt;='01_Input'!$R$71,'01_Input'!$U$71,0),IF('01_Input'!$T$71="Palier",IF(AND(DA$20&gt;='01_Input'!$R$71,DA$20&lt;'01_Input'!$S$71),'01_Input'!$U$71,0),MAX(MIN(DA$20,'01_Input'!$S$71)-'01_Input'!$R$71,0)*'01_Input'!$U$71))+IF('01_Input'!$X$71="Forfait",IF(DA$20&gt;='01_Input'!$V$71,'01_Input'!$Y$71,0),IF('01_Input'!$X$71="Palier",IF(AND(DA$20&gt;='01_Input'!$V$71,DA$20&lt;'01_Input'!$W$71),'01_Input'!$Y$71,0),MAX(MIN(DA$20,'01_Input'!$W$71)-'01_Input'!$V$71,0)*'01_Input'!$Y$71))+IF('01_Input'!$AB$71="Forfait",IF(DA$20&gt;='01_Input'!$Z$71,'01_Input'!$AC$71,0),IF('01_Input'!$AB$71="Palier",IF(AND(DA$20&gt;='01_Input'!$Z$71,DA$20&lt;'01_Input'!$AA$71),'01_Input'!$AC$71,0),MAX(MIN(DA$20,'01_Input'!$AA$71)-'01_Input'!$Z$71,0)*'01_Input'!$AC$71)))))))))</f>
        <v>0</v>
      </c>
      <c r="DB39" s="25">
        <f>IF('01_Input'!$C$71="Non",0,MIN('01_Input'!$I$71,MAX('01_Input'!$H$71,IF('01_Input'!$G$71="Résiduel vs Gestion",0,IF('01_Input'!$G$71="Taux Classe sélectionnée",Distrib_Global_Classe_Selectionnee*DB$20,IF('01_Input'!$G$71="Frais KYC (paliers de 100M€)",MAX(0,Nb_Investisseurs-Nb_KYC_Gratuites_Par_Tranche*(FLOOR(DB$20/Taille_Tranche_KYC,1)+1))*Cout_Par_KYC_Supplementaire,(IF('01_Input'!$L$71="Forfait",IF(DB$20&gt;='01_Input'!$J$71,'01_Input'!$M$71,0),IF('01_Input'!$L$71="Palier",IF(AND(DB$20&gt;='01_Input'!$J$71,DB$20&lt;'01_Input'!$K$71),'01_Input'!$M$71,0),MAX(MIN(DB$20,'01_Input'!$K$71)-'01_Input'!$J$71,0)*'01_Input'!$M$71))+IF('01_Input'!$P$71="Forfait",IF(DB$20&gt;='01_Input'!$N$71,'01_Input'!$Q$71,0),IF('01_Input'!$P$71="Palier",IF(AND(DB$20&gt;='01_Input'!$N$71,DB$20&lt;'01_Input'!$O$71),'01_Input'!$Q$71,0),MAX(MIN(DB$20,'01_Input'!$O$71)-'01_Input'!$N$71,0)*'01_Input'!$Q$71))+IF('01_Input'!$T$71="Forfait",IF(DB$20&gt;='01_Input'!$R$71,'01_Input'!$U$71,0),IF('01_Input'!$T$71="Palier",IF(AND(DB$20&gt;='01_Input'!$R$71,DB$20&lt;'01_Input'!$S$71),'01_Input'!$U$71,0),MAX(MIN(DB$20,'01_Input'!$S$71)-'01_Input'!$R$71,0)*'01_Input'!$U$71))+IF('01_Input'!$X$71="Forfait",IF(DB$20&gt;='01_Input'!$V$71,'01_Input'!$Y$71,0),IF('01_Input'!$X$71="Palier",IF(AND(DB$20&gt;='01_Input'!$V$71,DB$20&lt;'01_Input'!$W$71),'01_Input'!$Y$71,0),MAX(MIN(DB$20,'01_Input'!$W$71)-'01_Input'!$V$71,0)*'01_Input'!$Y$71))+IF('01_Input'!$AB$71="Forfait",IF(DB$20&gt;='01_Input'!$Z$71,'01_Input'!$AC$71,0),IF('01_Input'!$AB$71="Palier",IF(AND(DB$20&gt;='01_Input'!$Z$71,DB$20&lt;'01_Input'!$AA$71),'01_Input'!$AC$71,0),MAX(MIN(DB$20,'01_Input'!$AA$71)-'01_Input'!$Z$71,0)*'01_Input'!$AC$71)))))))))</f>
        <v>0</v>
      </c>
      <c r="DC39" s="25">
        <f>IF('01_Input'!$C$71="Non",0,MIN('01_Input'!$I$71,MAX('01_Input'!$H$71,IF('01_Input'!$G$71="Résiduel vs Gestion",0,IF('01_Input'!$G$71="Taux Classe sélectionnée",Distrib_Global_Classe_Selectionnee*DC$20,IF('01_Input'!$G$71="Frais KYC (paliers de 100M€)",MAX(0,Nb_Investisseurs-Nb_KYC_Gratuites_Par_Tranche*(FLOOR(DC$20/Taille_Tranche_KYC,1)+1))*Cout_Par_KYC_Supplementaire,(IF('01_Input'!$L$71="Forfait",IF(DC$20&gt;='01_Input'!$J$71,'01_Input'!$M$71,0),IF('01_Input'!$L$71="Palier",IF(AND(DC$20&gt;='01_Input'!$J$71,DC$20&lt;'01_Input'!$K$71),'01_Input'!$M$71,0),MAX(MIN(DC$20,'01_Input'!$K$71)-'01_Input'!$J$71,0)*'01_Input'!$M$71))+IF('01_Input'!$P$71="Forfait",IF(DC$20&gt;='01_Input'!$N$71,'01_Input'!$Q$71,0),IF('01_Input'!$P$71="Palier",IF(AND(DC$20&gt;='01_Input'!$N$71,DC$20&lt;'01_Input'!$O$71),'01_Input'!$Q$71,0),MAX(MIN(DC$20,'01_Input'!$O$71)-'01_Input'!$N$71,0)*'01_Input'!$Q$71))+IF('01_Input'!$T$71="Forfait",IF(DC$20&gt;='01_Input'!$R$71,'01_Input'!$U$71,0),IF('01_Input'!$T$71="Palier",IF(AND(DC$20&gt;='01_Input'!$R$71,DC$20&lt;'01_Input'!$S$71),'01_Input'!$U$71,0),MAX(MIN(DC$20,'01_Input'!$S$71)-'01_Input'!$R$71,0)*'01_Input'!$U$71))+IF('01_Input'!$X$71="Forfait",IF(DC$20&gt;='01_Input'!$V$71,'01_Input'!$Y$71,0),IF('01_Input'!$X$71="Palier",IF(AND(DC$20&gt;='01_Input'!$V$71,DC$20&lt;'01_Input'!$W$71),'01_Input'!$Y$71,0),MAX(MIN(DC$20,'01_Input'!$W$71)-'01_Input'!$V$71,0)*'01_Input'!$Y$71))+IF('01_Input'!$AB$71="Forfait",IF(DC$20&gt;='01_Input'!$Z$71,'01_Input'!$AC$71,0),IF('01_Input'!$AB$71="Palier",IF(AND(DC$20&gt;='01_Input'!$Z$71,DC$20&lt;'01_Input'!$AA$71),'01_Input'!$AC$71,0),MAX(MIN(DC$20,'01_Input'!$AA$71)-'01_Input'!$Z$71,0)*'01_Input'!$AC$71)))))))))</f>
        <v>0</v>
      </c>
      <c r="DD39" s="25">
        <f>IF('01_Input'!$C$71="Non",0,MIN('01_Input'!$I$71,MAX('01_Input'!$H$71,IF('01_Input'!$G$71="Résiduel vs Gestion",0,IF('01_Input'!$G$71="Taux Classe sélectionnée",Distrib_Global_Classe_Selectionnee*DD$20,IF('01_Input'!$G$71="Frais KYC (paliers de 100M€)",MAX(0,Nb_Investisseurs-Nb_KYC_Gratuites_Par_Tranche*(FLOOR(DD$20/Taille_Tranche_KYC,1)+1))*Cout_Par_KYC_Supplementaire,(IF('01_Input'!$L$71="Forfait",IF(DD$20&gt;='01_Input'!$J$71,'01_Input'!$M$71,0),IF('01_Input'!$L$71="Palier",IF(AND(DD$20&gt;='01_Input'!$J$71,DD$20&lt;'01_Input'!$K$71),'01_Input'!$M$71,0),MAX(MIN(DD$20,'01_Input'!$K$71)-'01_Input'!$J$71,0)*'01_Input'!$M$71))+IF('01_Input'!$P$71="Forfait",IF(DD$20&gt;='01_Input'!$N$71,'01_Input'!$Q$71,0),IF('01_Input'!$P$71="Palier",IF(AND(DD$20&gt;='01_Input'!$N$71,DD$20&lt;'01_Input'!$O$71),'01_Input'!$Q$71,0),MAX(MIN(DD$20,'01_Input'!$O$71)-'01_Input'!$N$71,0)*'01_Input'!$Q$71))+IF('01_Input'!$T$71="Forfait",IF(DD$20&gt;='01_Input'!$R$71,'01_Input'!$U$71,0),IF('01_Input'!$T$71="Palier",IF(AND(DD$20&gt;='01_Input'!$R$71,DD$20&lt;'01_Input'!$S$71),'01_Input'!$U$71,0),MAX(MIN(DD$20,'01_Input'!$S$71)-'01_Input'!$R$71,0)*'01_Input'!$U$71))+IF('01_Input'!$X$71="Forfait",IF(DD$20&gt;='01_Input'!$V$71,'01_Input'!$Y$71,0),IF('01_Input'!$X$71="Palier",IF(AND(DD$20&gt;='01_Input'!$V$71,DD$20&lt;'01_Input'!$W$71),'01_Input'!$Y$71,0),MAX(MIN(DD$20,'01_Input'!$W$71)-'01_Input'!$V$71,0)*'01_Input'!$Y$71))+IF('01_Input'!$AB$71="Forfait",IF(DD$20&gt;='01_Input'!$Z$71,'01_Input'!$AC$71,0),IF('01_Input'!$AB$71="Palier",IF(AND(DD$20&gt;='01_Input'!$Z$71,DD$20&lt;'01_Input'!$AA$71),'01_Input'!$AC$71,0),MAX(MIN(DD$20,'01_Input'!$AA$71)-'01_Input'!$Z$71,0)*'01_Input'!$AC$71)))))))))</f>
        <v>0</v>
      </c>
      <c r="DE39" s="25">
        <f>IF('01_Input'!$C$71="Non",0,MIN('01_Input'!$I$71,MAX('01_Input'!$H$71,IF('01_Input'!$G$71="Résiduel vs Gestion",0,IF('01_Input'!$G$71="Taux Classe sélectionnée",Distrib_Global_Classe_Selectionnee*DE$20,IF('01_Input'!$G$71="Frais KYC (paliers de 100M€)",MAX(0,Nb_Investisseurs-Nb_KYC_Gratuites_Par_Tranche*(FLOOR(DE$20/Taille_Tranche_KYC,1)+1))*Cout_Par_KYC_Supplementaire,(IF('01_Input'!$L$71="Forfait",IF(DE$20&gt;='01_Input'!$J$71,'01_Input'!$M$71,0),IF('01_Input'!$L$71="Palier",IF(AND(DE$20&gt;='01_Input'!$J$71,DE$20&lt;'01_Input'!$K$71),'01_Input'!$M$71,0),MAX(MIN(DE$20,'01_Input'!$K$71)-'01_Input'!$J$71,0)*'01_Input'!$M$71))+IF('01_Input'!$P$71="Forfait",IF(DE$20&gt;='01_Input'!$N$71,'01_Input'!$Q$71,0),IF('01_Input'!$P$71="Palier",IF(AND(DE$20&gt;='01_Input'!$N$71,DE$20&lt;'01_Input'!$O$71),'01_Input'!$Q$71,0),MAX(MIN(DE$20,'01_Input'!$O$71)-'01_Input'!$N$71,0)*'01_Input'!$Q$71))+IF('01_Input'!$T$71="Forfait",IF(DE$20&gt;='01_Input'!$R$71,'01_Input'!$U$71,0),IF('01_Input'!$T$71="Palier",IF(AND(DE$20&gt;='01_Input'!$R$71,DE$20&lt;'01_Input'!$S$71),'01_Input'!$U$71,0),MAX(MIN(DE$20,'01_Input'!$S$71)-'01_Input'!$R$71,0)*'01_Input'!$U$71))+IF('01_Input'!$X$71="Forfait",IF(DE$20&gt;='01_Input'!$V$71,'01_Input'!$Y$71,0),IF('01_Input'!$X$71="Palier",IF(AND(DE$20&gt;='01_Input'!$V$71,DE$20&lt;'01_Input'!$W$71),'01_Input'!$Y$71,0),MAX(MIN(DE$20,'01_Input'!$W$71)-'01_Input'!$V$71,0)*'01_Input'!$Y$71))+IF('01_Input'!$AB$71="Forfait",IF(DE$20&gt;='01_Input'!$Z$71,'01_Input'!$AC$71,0),IF('01_Input'!$AB$71="Palier",IF(AND(DE$20&gt;='01_Input'!$Z$71,DE$20&lt;'01_Input'!$AA$71),'01_Input'!$AC$71,0),MAX(MIN(DE$20,'01_Input'!$AA$71)-'01_Input'!$Z$71,0)*'01_Input'!$AC$71)))))))))</f>
        <v>0</v>
      </c>
      <c r="DF39" s="25">
        <f>IF('01_Input'!$C$71="Non",0,MIN('01_Input'!$I$71,MAX('01_Input'!$H$71,IF('01_Input'!$G$71="Résiduel vs Gestion",0,IF('01_Input'!$G$71="Taux Classe sélectionnée",Distrib_Global_Classe_Selectionnee*DF$20,IF('01_Input'!$G$71="Frais KYC (paliers de 100M€)",MAX(0,Nb_Investisseurs-Nb_KYC_Gratuites_Par_Tranche*(FLOOR(DF$20/Taille_Tranche_KYC,1)+1))*Cout_Par_KYC_Supplementaire,(IF('01_Input'!$L$71="Forfait",IF(DF$20&gt;='01_Input'!$J$71,'01_Input'!$M$71,0),IF('01_Input'!$L$71="Palier",IF(AND(DF$20&gt;='01_Input'!$J$71,DF$20&lt;'01_Input'!$K$71),'01_Input'!$M$71,0),MAX(MIN(DF$20,'01_Input'!$K$71)-'01_Input'!$J$71,0)*'01_Input'!$M$71))+IF('01_Input'!$P$71="Forfait",IF(DF$20&gt;='01_Input'!$N$71,'01_Input'!$Q$71,0),IF('01_Input'!$P$71="Palier",IF(AND(DF$20&gt;='01_Input'!$N$71,DF$20&lt;'01_Input'!$O$71),'01_Input'!$Q$71,0),MAX(MIN(DF$20,'01_Input'!$O$71)-'01_Input'!$N$71,0)*'01_Input'!$Q$71))+IF('01_Input'!$T$71="Forfait",IF(DF$20&gt;='01_Input'!$R$71,'01_Input'!$U$71,0),IF('01_Input'!$T$71="Palier",IF(AND(DF$20&gt;='01_Input'!$R$71,DF$20&lt;'01_Input'!$S$71),'01_Input'!$U$71,0),MAX(MIN(DF$20,'01_Input'!$S$71)-'01_Input'!$R$71,0)*'01_Input'!$U$71))+IF('01_Input'!$X$71="Forfait",IF(DF$20&gt;='01_Input'!$V$71,'01_Input'!$Y$71,0),IF('01_Input'!$X$71="Palier",IF(AND(DF$20&gt;='01_Input'!$V$71,DF$20&lt;'01_Input'!$W$71),'01_Input'!$Y$71,0),MAX(MIN(DF$20,'01_Input'!$W$71)-'01_Input'!$V$71,0)*'01_Input'!$Y$71))+IF('01_Input'!$AB$71="Forfait",IF(DF$20&gt;='01_Input'!$Z$71,'01_Input'!$AC$71,0),IF('01_Input'!$AB$71="Palier",IF(AND(DF$20&gt;='01_Input'!$Z$71,DF$20&lt;'01_Input'!$AA$71),'01_Input'!$AC$71,0),MAX(MIN(DF$20,'01_Input'!$AA$71)-'01_Input'!$Z$71,0)*'01_Input'!$AC$71)))))))))</f>
        <v>0</v>
      </c>
      <c r="DG39" s="25">
        <f>IF('01_Input'!$C$71="Non",0,MIN('01_Input'!$I$71,MAX('01_Input'!$H$71,IF('01_Input'!$G$71="Résiduel vs Gestion",0,IF('01_Input'!$G$71="Taux Classe sélectionnée",Distrib_Global_Classe_Selectionnee*DG$20,IF('01_Input'!$G$71="Frais KYC (paliers de 100M€)",MAX(0,Nb_Investisseurs-Nb_KYC_Gratuites_Par_Tranche*(FLOOR(DG$20/Taille_Tranche_KYC,1)+1))*Cout_Par_KYC_Supplementaire,(IF('01_Input'!$L$71="Forfait",IF(DG$20&gt;='01_Input'!$J$71,'01_Input'!$M$71,0),IF('01_Input'!$L$71="Palier",IF(AND(DG$20&gt;='01_Input'!$J$71,DG$20&lt;'01_Input'!$K$71),'01_Input'!$M$71,0),MAX(MIN(DG$20,'01_Input'!$K$71)-'01_Input'!$J$71,0)*'01_Input'!$M$71))+IF('01_Input'!$P$71="Forfait",IF(DG$20&gt;='01_Input'!$N$71,'01_Input'!$Q$71,0),IF('01_Input'!$P$71="Palier",IF(AND(DG$20&gt;='01_Input'!$N$71,DG$20&lt;'01_Input'!$O$71),'01_Input'!$Q$71,0),MAX(MIN(DG$20,'01_Input'!$O$71)-'01_Input'!$N$71,0)*'01_Input'!$Q$71))+IF('01_Input'!$T$71="Forfait",IF(DG$20&gt;='01_Input'!$R$71,'01_Input'!$U$71,0),IF('01_Input'!$T$71="Palier",IF(AND(DG$20&gt;='01_Input'!$R$71,DG$20&lt;'01_Input'!$S$71),'01_Input'!$U$71,0),MAX(MIN(DG$20,'01_Input'!$S$71)-'01_Input'!$R$71,0)*'01_Input'!$U$71))+IF('01_Input'!$X$71="Forfait",IF(DG$20&gt;='01_Input'!$V$71,'01_Input'!$Y$71,0),IF('01_Input'!$X$71="Palier",IF(AND(DG$20&gt;='01_Input'!$V$71,DG$20&lt;'01_Input'!$W$71),'01_Input'!$Y$71,0),MAX(MIN(DG$20,'01_Input'!$W$71)-'01_Input'!$V$71,0)*'01_Input'!$Y$71))+IF('01_Input'!$AB$71="Forfait",IF(DG$20&gt;='01_Input'!$Z$71,'01_Input'!$AC$71,0),IF('01_Input'!$AB$71="Palier",IF(AND(DG$20&gt;='01_Input'!$Z$71,DG$20&lt;'01_Input'!$AA$71),'01_Input'!$AC$71,0),MAX(MIN(DG$20,'01_Input'!$AA$71)-'01_Input'!$Z$71,0)*'01_Input'!$AC$71)))))))))</f>
        <v>0</v>
      </c>
      <c r="DH39" s="25">
        <f>IF('01_Input'!$C$71="Non",0,MIN('01_Input'!$I$71,MAX('01_Input'!$H$71,IF('01_Input'!$G$71="Résiduel vs Gestion",0,IF('01_Input'!$G$71="Taux Classe sélectionnée",Distrib_Global_Classe_Selectionnee*DH$20,IF('01_Input'!$G$71="Frais KYC (paliers de 100M€)",MAX(0,Nb_Investisseurs-Nb_KYC_Gratuites_Par_Tranche*(FLOOR(DH$20/Taille_Tranche_KYC,1)+1))*Cout_Par_KYC_Supplementaire,(IF('01_Input'!$L$71="Forfait",IF(DH$20&gt;='01_Input'!$J$71,'01_Input'!$M$71,0),IF('01_Input'!$L$71="Palier",IF(AND(DH$20&gt;='01_Input'!$J$71,DH$20&lt;'01_Input'!$K$71),'01_Input'!$M$71,0),MAX(MIN(DH$20,'01_Input'!$K$71)-'01_Input'!$J$71,0)*'01_Input'!$M$71))+IF('01_Input'!$P$71="Forfait",IF(DH$20&gt;='01_Input'!$N$71,'01_Input'!$Q$71,0),IF('01_Input'!$P$71="Palier",IF(AND(DH$20&gt;='01_Input'!$N$71,DH$20&lt;'01_Input'!$O$71),'01_Input'!$Q$71,0),MAX(MIN(DH$20,'01_Input'!$O$71)-'01_Input'!$N$71,0)*'01_Input'!$Q$71))+IF('01_Input'!$T$71="Forfait",IF(DH$20&gt;='01_Input'!$R$71,'01_Input'!$U$71,0),IF('01_Input'!$T$71="Palier",IF(AND(DH$20&gt;='01_Input'!$R$71,DH$20&lt;'01_Input'!$S$71),'01_Input'!$U$71,0),MAX(MIN(DH$20,'01_Input'!$S$71)-'01_Input'!$R$71,0)*'01_Input'!$U$71))+IF('01_Input'!$X$71="Forfait",IF(DH$20&gt;='01_Input'!$V$71,'01_Input'!$Y$71,0),IF('01_Input'!$X$71="Palier",IF(AND(DH$20&gt;='01_Input'!$V$71,DH$20&lt;'01_Input'!$W$71),'01_Input'!$Y$71,0),MAX(MIN(DH$20,'01_Input'!$W$71)-'01_Input'!$V$71,0)*'01_Input'!$Y$71))+IF('01_Input'!$AB$71="Forfait",IF(DH$20&gt;='01_Input'!$Z$71,'01_Input'!$AC$71,0),IF('01_Input'!$AB$71="Palier",IF(AND(DH$20&gt;='01_Input'!$Z$71,DH$20&lt;'01_Input'!$AA$71),'01_Input'!$AC$71,0),MAX(MIN(DH$20,'01_Input'!$AA$71)-'01_Input'!$Z$71,0)*'01_Input'!$AC$71)))))))))</f>
        <v>0</v>
      </c>
      <c r="DI39" s="25">
        <f>IF('01_Input'!$C$71="Non",0,MIN('01_Input'!$I$71,MAX('01_Input'!$H$71,IF('01_Input'!$G$71="Résiduel vs Gestion",0,IF('01_Input'!$G$71="Taux Classe sélectionnée",Distrib_Global_Classe_Selectionnee*DI$20,IF('01_Input'!$G$71="Frais KYC (paliers de 100M€)",MAX(0,Nb_Investisseurs-Nb_KYC_Gratuites_Par_Tranche*(FLOOR(DI$20/Taille_Tranche_KYC,1)+1))*Cout_Par_KYC_Supplementaire,(IF('01_Input'!$L$71="Forfait",IF(DI$20&gt;='01_Input'!$J$71,'01_Input'!$M$71,0),IF('01_Input'!$L$71="Palier",IF(AND(DI$20&gt;='01_Input'!$J$71,DI$20&lt;'01_Input'!$K$71),'01_Input'!$M$71,0),MAX(MIN(DI$20,'01_Input'!$K$71)-'01_Input'!$J$71,0)*'01_Input'!$M$71))+IF('01_Input'!$P$71="Forfait",IF(DI$20&gt;='01_Input'!$N$71,'01_Input'!$Q$71,0),IF('01_Input'!$P$71="Palier",IF(AND(DI$20&gt;='01_Input'!$N$71,DI$20&lt;'01_Input'!$O$71),'01_Input'!$Q$71,0),MAX(MIN(DI$20,'01_Input'!$O$71)-'01_Input'!$N$71,0)*'01_Input'!$Q$71))+IF('01_Input'!$T$71="Forfait",IF(DI$20&gt;='01_Input'!$R$71,'01_Input'!$U$71,0),IF('01_Input'!$T$71="Palier",IF(AND(DI$20&gt;='01_Input'!$R$71,DI$20&lt;'01_Input'!$S$71),'01_Input'!$U$71,0),MAX(MIN(DI$20,'01_Input'!$S$71)-'01_Input'!$R$71,0)*'01_Input'!$U$71))+IF('01_Input'!$X$71="Forfait",IF(DI$20&gt;='01_Input'!$V$71,'01_Input'!$Y$71,0),IF('01_Input'!$X$71="Palier",IF(AND(DI$20&gt;='01_Input'!$V$71,DI$20&lt;'01_Input'!$W$71),'01_Input'!$Y$71,0),MAX(MIN(DI$20,'01_Input'!$W$71)-'01_Input'!$V$71,0)*'01_Input'!$Y$71))+IF('01_Input'!$AB$71="Forfait",IF(DI$20&gt;='01_Input'!$Z$71,'01_Input'!$AC$71,0),IF('01_Input'!$AB$71="Palier",IF(AND(DI$20&gt;='01_Input'!$Z$71,DI$20&lt;'01_Input'!$AA$71),'01_Input'!$AC$71,0),MAX(MIN(DI$20,'01_Input'!$AA$71)-'01_Input'!$Z$71,0)*'01_Input'!$AC$71)))))))))</f>
        <v>0</v>
      </c>
      <c r="DJ39" s="25">
        <f>IF('01_Input'!$C$71="Non",0,MIN('01_Input'!$I$71,MAX('01_Input'!$H$71,IF('01_Input'!$G$71="Résiduel vs Gestion",0,IF('01_Input'!$G$71="Taux Classe sélectionnée",Distrib_Global_Classe_Selectionnee*DJ$20,IF('01_Input'!$G$71="Frais KYC (paliers de 100M€)",MAX(0,Nb_Investisseurs-Nb_KYC_Gratuites_Par_Tranche*(FLOOR(DJ$20/Taille_Tranche_KYC,1)+1))*Cout_Par_KYC_Supplementaire,(IF('01_Input'!$L$71="Forfait",IF(DJ$20&gt;='01_Input'!$J$71,'01_Input'!$M$71,0),IF('01_Input'!$L$71="Palier",IF(AND(DJ$20&gt;='01_Input'!$J$71,DJ$20&lt;'01_Input'!$K$71),'01_Input'!$M$71,0),MAX(MIN(DJ$20,'01_Input'!$K$71)-'01_Input'!$J$71,0)*'01_Input'!$M$71))+IF('01_Input'!$P$71="Forfait",IF(DJ$20&gt;='01_Input'!$N$71,'01_Input'!$Q$71,0),IF('01_Input'!$P$71="Palier",IF(AND(DJ$20&gt;='01_Input'!$N$71,DJ$20&lt;'01_Input'!$O$71),'01_Input'!$Q$71,0),MAX(MIN(DJ$20,'01_Input'!$O$71)-'01_Input'!$N$71,0)*'01_Input'!$Q$71))+IF('01_Input'!$T$71="Forfait",IF(DJ$20&gt;='01_Input'!$R$71,'01_Input'!$U$71,0),IF('01_Input'!$T$71="Palier",IF(AND(DJ$20&gt;='01_Input'!$R$71,DJ$20&lt;'01_Input'!$S$71),'01_Input'!$U$71,0),MAX(MIN(DJ$20,'01_Input'!$S$71)-'01_Input'!$R$71,0)*'01_Input'!$U$71))+IF('01_Input'!$X$71="Forfait",IF(DJ$20&gt;='01_Input'!$V$71,'01_Input'!$Y$71,0),IF('01_Input'!$X$71="Palier",IF(AND(DJ$20&gt;='01_Input'!$V$71,DJ$20&lt;'01_Input'!$W$71),'01_Input'!$Y$71,0),MAX(MIN(DJ$20,'01_Input'!$W$71)-'01_Input'!$V$71,0)*'01_Input'!$Y$71))+IF('01_Input'!$AB$71="Forfait",IF(DJ$20&gt;='01_Input'!$Z$71,'01_Input'!$AC$71,0),IF('01_Input'!$AB$71="Palier",IF(AND(DJ$20&gt;='01_Input'!$Z$71,DJ$20&lt;'01_Input'!$AA$71),'01_Input'!$AC$71,0),MAX(MIN(DJ$20,'01_Input'!$AA$71)-'01_Input'!$Z$71,0)*'01_Input'!$AC$71)))))))))</f>
        <v>0</v>
      </c>
      <c r="DK39" s="25">
        <f>IF('01_Input'!$C$71="Non",0,MIN('01_Input'!$I$71,MAX('01_Input'!$H$71,IF('01_Input'!$G$71="Résiduel vs Gestion",0,IF('01_Input'!$G$71="Taux Classe sélectionnée",Distrib_Global_Classe_Selectionnee*DK$20,IF('01_Input'!$G$71="Frais KYC (paliers de 100M€)",MAX(0,Nb_Investisseurs-Nb_KYC_Gratuites_Par_Tranche*(FLOOR(DK$20/Taille_Tranche_KYC,1)+1))*Cout_Par_KYC_Supplementaire,(IF('01_Input'!$L$71="Forfait",IF(DK$20&gt;='01_Input'!$J$71,'01_Input'!$M$71,0),IF('01_Input'!$L$71="Palier",IF(AND(DK$20&gt;='01_Input'!$J$71,DK$20&lt;'01_Input'!$K$71),'01_Input'!$M$71,0),MAX(MIN(DK$20,'01_Input'!$K$71)-'01_Input'!$J$71,0)*'01_Input'!$M$71))+IF('01_Input'!$P$71="Forfait",IF(DK$20&gt;='01_Input'!$N$71,'01_Input'!$Q$71,0),IF('01_Input'!$P$71="Palier",IF(AND(DK$20&gt;='01_Input'!$N$71,DK$20&lt;'01_Input'!$O$71),'01_Input'!$Q$71,0),MAX(MIN(DK$20,'01_Input'!$O$71)-'01_Input'!$N$71,0)*'01_Input'!$Q$71))+IF('01_Input'!$T$71="Forfait",IF(DK$20&gt;='01_Input'!$R$71,'01_Input'!$U$71,0),IF('01_Input'!$T$71="Palier",IF(AND(DK$20&gt;='01_Input'!$R$71,DK$20&lt;'01_Input'!$S$71),'01_Input'!$U$71,0),MAX(MIN(DK$20,'01_Input'!$S$71)-'01_Input'!$R$71,0)*'01_Input'!$U$71))+IF('01_Input'!$X$71="Forfait",IF(DK$20&gt;='01_Input'!$V$71,'01_Input'!$Y$71,0),IF('01_Input'!$X$71="Palier",IF(AND(DK$20&gt;='01_Input'!$V$71,DK$20&lt;'01_Input'!$W$71),'01_Input'!$Y$71,0),MAX(MIN(DK$20,'01_Input'!$W$71)-'01_Input'!$V$71,0)*'01_Input'!$Y$71))+IF('01_Input'!$AB$71="Forfait",IF(DK$20&gt;='01_Input'!$Z$71,'01_Input'!$AC$71,0),IF('01_Input'!$AB$71="Palier",IF(AND(DK$20&gt;='01_Input'!$Z$71,DK$20&lt;'01_Input'!$AA$71),'01_Input'!$AC$71,0),MAX(MIN(DK$20,'01_Input'!$AA$71)-'01_Input'!$Z$71,0)*'01_Input'!$AC$71)))))))))</f>
        <v>0</v>
      </c>
      <c r="DL39" s="25">
        <f>IF('01_Input'!$C$71="Non",0,MIN('01_Input'!$I$71,MAX('01_Input'!$H$71,IF('01_Input'!$G$71="Résiduel vs Gestion",0,IF('01_Input'!$G$71="Taux Classe sélectionnée",Distrib_Global_Classe_Selectionnee*DL$20,IF('01_Input'!$G$71="Frais KYC (paliers de 100M€)",MAX(0,Nb_Investisseurs-Nb_KYC_Gratuites_Par_Tranche*(FLOOR(DL$20/Taille_Tranche_KYC,1)+1))*Cout_Par_KYC_Supplementaire,(IF('01_Input'!$L$71="Forfait",IF(DL$20&gt;='01_Input'!$J$71,'01_Input'!$M$71,0),IF('01_Input'!$L$71="Palier",IF(AND(DL$20&gt;='01_Input'!$J$71,DL$20&lt;'01_Input'!$K$71),'01_Input'!$M$71,0),MAX(MIN(DL$20,'01_Input'!$K$71)-'01_Input'!$J$71,0)*'01_Input'!$M$71))+IF('01_Input'!$P$71="Forfait",IF(DL$20&gt;='01_Input'!$N$71,'01_Input'!$Q$71,0),IF('01_Input'!$P$71="Palier",IF(AND(DL$20&gt;='01_Input'!$N$71,DL$20&lt;'01_Input'!$O$71),'01_Input'!$Q$71,0),MAX(MIN(DL$20,'01_Input'!$O$71)-'01_Input'!$N$71,0)*'01_Input'!$Q$71))+IF('01_Input'!$T$71="Forfait",IF(DL$20&gt;='01_Input'!$R$71,'01_Input'!$U$71,0),IF('01_Input'!$T$71="Palier",IF(AND(DL$20&gt;='01_Input'!$R$71,DL$20&lt;'01_Input'!$S$71),'01_Input'!$U$71,0),MAX(MIN(DL$20,'01_Input'!$S$71)-'01_Input'!$R$71,0)*'01_Input'!$U$71))+IF('01_Input'!$X$71="Forfait",IF(DL$20&gt;='01_Input'!$V$71,'01_Input'!$Y$71,0),IF('01_Input'!$X$71="Palier",IF(AND(DL$20&gt;='01_Input'!$V$71,DL$20&lt;'01_Input'!$W$71),'01_Input'!$Y$71,0),MAX(MIN(DL$20,'01_Input'!$W$71)-'01_Input'!$V$71,0)*'01_Input'!$Y$71))+IF('01_Input'!$AB$71="Forfait",IF(DL$20&gt;='01_Input'!$Z$71,'01_Input'!$AC$71,0),IF('01_Input'!$AB$71="Palier",IF(AND(DL$20&gt;='01_Input'!$Z$71,DL$20&lt;'01_Input'!$AA$71),'01_Input'!$AC$71,0),MAX(MIN(DL$20,'01_Input'!$AA$71)-'01_Input'!$Z$71,0)*'01_Input'!$AC$71)))))))))</f>
        <v>0</v>
      </c>
      <c r="DM39" s="25">
        <f>IF('01_Input'!$C$71="Non",0,MIN('01_Input'!$I$71,MAX('01_Input'!$H$71,IF('01_Input'!$G$71="Résiduel vs Gestion",0,IF('01_Input'!$G$71="Taux Classe sélectionnée",Distrib_Global_Classe_Selectionnee*DM$20,IF('01_Input'!$G$71="Frais KYC (paliers de 100M€)",MAX(0,Nb_Investisseurs-Nb_KYC_Gratuites_Par_Tranche*(FLOOR(DM$20/Taille_Tranche_KYC,1)+1))*Cout_Par_KYC_Supplementaire,(IF('01_Input'!$L$71="Forfait",IF(DM$20&gt;='01_Input'!$J$71,'01_Input'!$M$71,0),IF('01_Input'!$L$71="Palier",IF(AND(DM$20&gt;='01_Input'!$J$71,DM$20&lt;'01_Input'!$K$71),'01_Input'!$M$71,0),MAX(MIN(DM$20,'01_Input'!$K$71)-'01_Input'!$J$71,0)*'01_Input'!$M$71))+IF('01_Input'!$P$71="Forfait",IF(DM$20&gt;='01_Input'!$N$71,'01_Input'!$Q$71,0),IF('01_Input'!$P$71="Palier",IF(AND(DM$20&gt;='01_Input'!$N$71,DM$20&lt;'01_Input'!$O$71),'01_Input'!$Q$71,0),MAX(MIN(DM$20,'01_Input'!$O$71)-'01_Input'!$N$71,0)*'01_Input'!$Q$71))+IF('01_Input'!$T$71="Forfait",IF(DM$20&gt;='01_Input'!$R$71,'01_Input'!$U$71,0),IF('01_Input'!$T$71="Palier",IF(AND(DM$20&gt;='01_Input'!$R$71,DM$20&lt;'01_Input'!$S$71),'01_Input'!$U$71,0),MAX(MIN(DM$20,'01_Input'!$S$71)-'01_Input'!$R$71,0)*'01_Input'!$U$71))+IF('01_Input'!$X$71="Forfait",IF(DM$20&gt;='01_Input'!$V$71,'01_Input'!$Y$71,0),IF('01_Input'!$X$71="Palier",IF(AND(DM$20&gt;='01_Input'!$V$71,DM$20&lt;'01_Input'!$W$71),'01_Input'!$Y$71,0),MAX(MIN(DM$20,'01_Input'!$W$71)-'01_Input'!$V$71,0)*'01_Input'!$Y$71))+IF('01_Input'!$AB$71="Forfait",IF(DM$20&gt;='01_Input'!$Z$71,'01_Input'!$AC$71,0),IF('01_Input'!$AB$71="Palier",IF(AND(DM$20&gt;='01_Input'!$Z$71,DM$20&lt;'01_Input'!$AA$71),'01_Input'!$AC$71,0),MAX(MIN(DM$20,'01_Input'!$AA$71)-'01_Input'!$Z$71,0)*'01_Input'!$AC$71)))))))))</f>
        <v>0</v>
      </c>
      <c r="DN39" s="25">
        <f>IF('01_Input'!$C$71="Non",0,MIN('01_Input'!$I$71,MAX('01_Input'!$H$71,IF('01_Input'!$G$71="Résiduel vs Gestion",0,IF('01_Input'!$G$71="Taux Classe sélectionnée",Distrib_Global_Classe_Selectionnee*DN$20,IF('01_Input'!$G$71="Frais KYC (paliers de 100M€)",MAX(0,Nb_Investisseurs-Nb_KYC_Gratuites_Par_Tranche*(FLOOR(DN$20/Taille_Tranche_KYC,1)+1))*Cout_Par_KYC_Supplementaire,(IF('01_Input'!$L$71="Forfait",IF(DN$20&gt;='01_Input'!$J$71,'01_Input'!$M$71,0),IF('01_Input'!$L$71="Palier",IF(AND(DN$20&gt;='01_Input'!$J$71,DN$20&lt;'01_Input'!$K$71),'01_Input'!$M$71,0),MAX(MIN(DN$20,'01_Input'!$K$71)-'01_Input'!$J$71,0)*'01_Input'!$M$71))+IF('01_Input'!$P$71="Forfait",IF(DN$20&gt;='01_Input'!$N$71,'01_Input'!$Q$71,0),IF('01_Input'!$P$71="Palier",IF(AND(DN$20&gt;='01_Input'!$N$71,DN$20&lt;'01_Input'!$O$71),'01_Input'!$Q$71,0),MAX(MIN(DN$20,'01_Input'!$O$71)-'01_Input'!$N$71,0)*'01_Input'!$Q$71))+IF('01_Input'!$T$71="Forfait",IF(DN$20&gt;='01_Input'!$R$71,'01_Input'!$U$71,0),IF('01_Input'!$T$71="Palier",IF(AND(DN$20&gt;='01_Input'!$R$71,DN$20&lt;'01_Input'!$S$71),'01_Input'!$U$71,0),MAX(MIN(DN$20,'01_Input'!$S$71)-'01_Input'!$R$71,0)*'01_Input'!$U$71))+IF('01_Input'!$X$71="Forfait",IF(DN$20&gt;='01_Input'!$V$71,'01_Input'!$Y$71,0),IF('01_Input'!$X$71="Palier",IF(AND(DN$20&gt;='01_Input'!$V$71,DN$20&lt;'01_Input'!$W$71),'01_Input'!$Y$71,0),MAX(MIN(DN$20,'01_Input'!$W$71)-'01_Input'!$V$71,0)*'01_Input'!$Y$71))+IF('01_Input'!$AB$71="Forfait",IF(DN$20&gt;='01_Input'!$Z$71,'01_Input'!$AC$71,0),IF('01_Input'!$AB$71="Palier",IF(AND(DN$20&gt;='01_Input'!$Z$71,DN$20&lt;'01_Input'!$AA$71),'01_Input'!$AC$71,0),MAX(MIN(DN$20,'01_Input'!$AA$71)-'01_Input'!$Z$71,0)*'01_Input'!$AC$71)))))))))</f>
        <v>0</v>
      </c>
      <c r="DO39" s="25">
        <f>IF('01_Input'!$C$71="Non",0,MIN('01_Input'!$I$71,MAX('01_Input'!$H$71,IF('01_Input'!$G$71="Résiduel vs Gestion",0,IF('01_Input'!$G$71="Taux Classe sélectionnée",Distrib_Global_Classe_Selectionnee*DO$20,IF('01_Input'!$G$71="Frais KYC (paliers de 100M€)",MAX(0,Nb_Investisseurs-Nb_KYC_Gratuites_Par_Tranche*(FLOOR(DO$20/Taille_Tranche_KYC,1)+1))*Cout_Par_KYC_Supplementaire,(IF('01_Input'!$L$71="Forfait",IF(DO$20&gt;='01_Input'!$J$71,'01_Input'!$M$71,0),IF('01_Input'!$L$71="Palier",IF(AND(DO$20&gt;='01_Input'!$J$71,DO$20&lt;'01_Input'!$K$71),'01_Input'!$M$71,0),MAX(MIN(DO$20,'01_Input'!$K$71)-'01_Input'!$J$71,0)*'01_Input'!$M$71))+IF('01_Input'!$P$71="Forfait",IF(DO$20&gt;='01_Input'!$N$71,'01_Input'!$Q$71,0),IF('01_Input'!$P$71="Palier",IF(AND(DO$20&gt;='01_Input'!$N$71,DO$20&lt;'01_Input'!$O$71),'01_Input'!$Q$71,0),MAX(MIN(DO$20,'01_Input'!$O$71)-'01_Input'!$N$71,0)*'01_Input'!$Q$71))+IF('01_Input'!$T$71="Forfait",IF(DO$20&gt;='01_Input'!$R$71,'01_Input'!$U$71,0),IF('01_Input'!$T$71="Palier",IF(AND(DO$20&gt;='01_Input'!$R$71,DO$20&lt;'01_Input'!$S$71),'01_Input'!$U$71,0),MAX(MIN(DO$20,'01_Input'!$S$71)-'01_Input'!$R$71,0)*'01_Input'!$U$71))+IF('01_Input'!$X$71="Forfait",IF(DO$20&gt;='01_Input'!$V$71,'01_Input'!$Y$71,0),IF('01_Input'!$X$71="Palier",IF(AND(DO$20&gt;='01_Input'!$V$71,DO$20&lt;'01_Input'!$W$71),'01_Input'!$Y$71,0),MAX(MIN(DO$20,'01_Input'!$W$71)-'01_Input'!$V$71,0)*'01_Input'!$Y$71))+IF('01_Input'!$AB$71="Forfait",IF(DO$20&gt;='01_Input'!$Z$71,'01_Input'!$AC$71,0),IF('01_Input'!$AB$71="Palier",IF(AND(DO$20&gt;='01_Input'!$Z$71,DO$20&lt;'01_Input'!$AA$71),'01_Input'!$AC$71,0),MAX(MIN(DO$20,'01_Input'!$AA$71)-'01_Input'!$Z$71,0)*'01_Input'!$AC$71)))))))))</f>
        <v>0</v>
      </c>
      <c r="DP39" s="25">
        <f>IF('01_Input'!$C$71="Non",0,MIN('01_Input'!$I$71,MAX('01_Input'!$H$71,IF('01_Input'!$G$71="Résiduel vs Gestion",0,IF('01_Input'!$G$71="Taux Classe sélectionnée",Distrib_Global_Classe_Selectionnee*DP$20,IF('01_Input'!$G$71="Frais KYC (paliers de 100M€)",MAX(0,Nb_Investisseurs-Nb_KYC_Gratuites_Par_Tranche*(FLOOR(DP$20/Taille_Tranche_KYC,1)+1))*Cout_Par_KYC_Supplementaire,(IF('01_Input'!$L$71="Forfait",IF(DP$20&gt;='01_Input'!$J$71,'01_Input'!$M$71,0),IF('01_Input'!$L$71="Palier",IF(AND(DP$20&gt;='01_Input'!$J$71,DP$20&lt;'01_Input'!$K$71),'01_Input'!$M$71,0),MAX(MIN(DP$20,'01_Input'!$K$71)-'01_Input'!$J$71,0)*'01_Input'!$M$71))+IF('01_Input'!$P$71="Forfait",IF(DP$20&gt;='01_Input'!$N$71,'01_Input'!$Q$71,0),IF('01_Input'!$P$71="Palier",IF(AND(DP$20&gt;='01_Input'!$N$71,DP$20&lt;'01_Input'!$O$71),'01_Input'!$Q$71,0),MAX(MIN(DP$20,'01_Input'!$O$71)-'01_Input'!$N$71,0)*'01_Input'!$Q$71))+IF('01_Input'!$T$71="Forfait",IF(DP$20&gt;='01_Input'!$R$71,'01_Input'!$U$71,0),IF('01_Input'!$T$71="Palier",IF(AND(DP$20&gt;='01_Input'!$R$71,DP$20&lt;'01_Input'!$S$71),'01_Input'!$U$71,0),MAX(MIN(DP$20,'01_Input'!$S$71)-'01_Input'!$R$71,0)*'01_Input'!$U$71))+IF('01_Input'!$X$71="Forfait",IF(DP$20&gt;='01_Input'!$V$71,'01_Input'!$Y$71,0),IF('01_Input'!$X$71="Palier",IF(AND(DP$20&gt;='01_Input'!$V$71,DP$20&lt;'01_Input'!$W$71),'01_Input'!$Y$71,0),MAX(MIN(DP$20,'01_Input'!$W$71)-'01_Input'!$V$71,0)*'01_Input'!$Y$71))+IF('01_Input'!$AB$71="Forfait",IF(DP$20&gt;='01_Input'!$Z$71,'01_Input'!$AC$71,0),IF('01_Input'!$AB$71="Palier",IF(AND(DP$20&gt;='01_Input'!$Z$71,DP$20&lt;'01_Input'!$AA$71),'01_Input'!$AC$71,0),MAX(MIN(DP$20,'01_Input'!$AA$71)-'01_Input'!$Z$71,0)*'01_Input'!$AC$71)))))))))</f>
        <v>0</v>
      </c>
      <c r="DQ39" s="25">
        <f>IF('01_Input'!$C$71="Non",0,MIN('01_Input'!$I$71,MAX('01_Input'!$H$71,IF('01_Input'!$G$71="Résiduel vs Gestion",0,IF('01_Input'!$G$71="Taux Classe sélectionnée",Distrib_Global_Classe_Selectionnee*DQ$20,IF('01_Input'!$G$71="Frais KYC (paliers de 100M€)",MAX(0,Nb_Investisseurs-Nb_KYC_Gratuites_Par_Tranche*(FLOOR(DQ$20/Taille_Tranche_KYC,1)+1))*Cout_Par_KYC_Supplementaire,(IF('01_Input'!$L$71="Forfait",IF(DQ$20&gt;='01_Input'!$J$71,'01_Input'!$M$71,0),IF('01_Input'!$L$71="Palier",IF(AND(DQ$20&gt;='01_Input'!$J$71,DQ$20&lt;'01_Input'!$K$71),'01_Input'!$M$71,0),MAX(MIN(DQ$20,'01_Input'!$K$71)-'01_Input'!$J$71,0)*'01_Input'!$M$71))+IF('01_Input'!$P$71="Forfait",IF(DQ$20&gt;='01_Input'!$N$71,'01_Input'!$Q$71,0),IF('01_Input'!$P$71="Palier",IF(AND(DQ$20&gt;='01_Input'!$N$71,DQ$20&lt;'01_Input'!$O$71),'01_Input'!$Q$71,0),MAX(MIN(DQ$20,'01_Input'!$O$71)-'01_Input'!$N$71,0)*'01_Input'!$Q$71))+IF('01_Input'!$T$71="Forfait",IF(DQ$20&gt;='01_Input'!$R$71,'01_Input'!$U$71,0),IF('01_Input'!$T$71="Palier",IF(AND(DQ$20&gt;='01_Input'!$R$71,DQ$20&lt;'01_Input'!$S$71),'01_Input'!$U$71,0),MAX(MIN(DQ$20,'01_Input'!$S$71)-'01_Input'!$R$71,0)*'01_Input'!$U$71))+IF('01_Input'!$X$71="Forfait",IF(DQ$20&gt;='01_Input'!$V$71,'01_Input'!$Y$71,0),IF('01_Input'!$X$71="Palier",IF(AND(DQ$20&gt;='01_Input'!$V$71,DQ$20&lt;'01_Input'!$W$71),'01_Input'!$Y$71,0),MAX(MIN(DQ$20,'01_Input'!$W$71)-'01_Input'!$V$71,0)*'01_Input'!$Y$71))+IF('01_Input'!$AB$71="Forfait",IF(DQ$20&gt;='01_Input'!$Z$71,'01_Input'!$AC$71,0),IF('01_Input'!$AB$71="Palier",IF(AND(DQ$20&gt;='01_Input'!$Z$71,DQ$20&lt;'01_Input'!$AA$71),'01_Input'!$AC$71,0),MAX(MIN(DQ$20,'01_Input'!$AA$71)-'01_Input'!$Z$71,0)*'01_Input'!$AC$71)))))))))</f>
        <v>0</v>
      </c>
      <c r="DR39" s="25">
        <f>IF('01_Input'!$C$71="Non",0,MIN('01_Input'!$I$71,MAX('01_Input'!$H$71,IF('01_Input'!$G$71="Résiduel vs Gestion",0,IF('01_Input'!$G$71="Taux Classe sélectionnée",Distrib_Global_Classe_Selectionnee*DR$20,IF('01_Input'!$G$71="Frais KYC (paliers de 100M€)",MAX(0,Nb_Investisseurs-Nb_KYC_Gratuites_Par_Tranche*(FLOOR(DR$20/Taille_Tranche_KYC,1)+1))*Cout_Par_KYC_Supplementaire,(IF('01_Input'!$L$71="Forfait",IF(DR$20&gt;='01_Input'!$J$71,'01_Input'!$M$71,0),IF('01_Input'!$L$71="Palier",IF(AND(DR$20&gt;='01_Input'!$J$71,DR$20&lt;'01_Input'!$K$71),'01_Input'!$M$71,0),MAX(MIN(DR$20,'01_Input'!$K$71)-'01_Input'!$J$71,0)*'01_Input'!$M$71))+IF('01_Input'!$P$71="Forfait",IF(DR$20&gt;='01_Input'!$N$71,'01_Input'!$Q$71,0),IF('01_Input'!$P$71="Palier",IF(AND(DR$20&gt;='01_Input'!$N$71,DR$20&lt;'01_Input'!$O$71),'01_Input'!$Q$71,0),MAX(MIN(DR$20,'01_Input'!$O$71)-'01_Input'!$N$71,0)*'01_Input'!$Q$71))+IF('01_Input'!$T$71="Forfait",IF(DR$20&gt;='01_Input'!$R$71,'01_Input'!$U$71,0),IF('01_Input'!$T$71="Palier",IF(AND(DR$20&gt;='01_Input'!$R$71,DR$20&lt;'01_Input'!$S$71),'01_Input'!$U$71,0),MAX(MIN(DR$20,'01_Input'!$S$71)-'01_Input'!$R$71,0)*'01_Input'!$U$71))+IF('01_Input'!$X$71="Forfait",IF(DR$20&gt;='01_Input'!$V$71,'01_Input'!$Y$71,0),IF('01_Input'!$X$71="Palier",IF(AND(DR$20&gt;='01_Input'!$V$71,DR$20&lt;'01_Input'!$W$71),'01_Input'!$Y$71,0),MAX(MIN(DR$20,'01_Input'!$W$71)-'01_Input'!$V$71,0)*'01_Input'!$Y$71))+IF('01_Input'!$AB$71="Forfait",IF(DR$20&gt;='01_Input'!$Z$71,'01_Input'!$AC$71,0),IF('01_Input'!$AB$71="Palier",IF(AND(DR$20&gt;='01_Input'!$Z$71,DR$20&lt;'01_Input'!$AA$71),'01_Input'!$AC$71,0),MAX(MIN(DR$20,'01_Input'!$AA$71)-'01_Input'!$Z$71,0)*'01_Input'!$AC$71)))))))))</f>
        <v>0</v>
      </c>
      <c r="DS39" s="25">
        <f>IF('01_Input'!$C$71="Non",0,MIN('01_Input'!$I$71,MAX('01_Input'!$H$71,IF('01_Input'!$G$71="Résiduel vs Gestion",0,IF('01_Input'!$G$71="Taux Classe sélectionnée",Distrib_Global_Classe_Selectionnee*DS$20,IF('01_Input'!$G$71="Frais KYC (paliers de 100M€)",MAX(0,Nb_Investisseurs-Nb_KYC_Gratuites_Par_Tranche*(FLOOR(DS$20/Taille_Tranche_KYC,1)+1))*Cout_Par_KYC_Supplementaire,(IF('01_Input'!$L$71="Forfait",IF(DS$20&gt;='01_Input'!$J$71,'01_Input'!$M$71,0),IF('01_Input'!$L$71="Palier",IF(AND(DS$20&gt;='01_Input'!$J$71,DS$20&lt;'01_Input'!$K$71),'01_Input'!$M$71,0),MAX(MIN(DS$20,'01_Input'!$K$71)-'01_Input'!$J$71,0)*'01_Input'!$M$71))+IF('01_Input'!$P$71="Forfait",IF(DS$20&gt;='01_Input'!$N$71,'01_Input'!$Q$71,0),IF('01_Input'!$P$71="Palier",IF(AND(DS$20&gt;='01_Input'!$N$71,DS$20&lt;'01_Input'!$O$71),'01_Input'!$Q$71,0),MAX(MIN(DS$20,'01_Input'!$O$71)-'01_Input'!$N$71,0)*'01_Input'!$Q$71))+IF('01_Input'!$T$71="Forfait",IF(DS$20&gt;='01_Input'!$R$71,'01_Input'!$U$71,0),IF('01_Input'!$T$71="Palier",IF(AND(DS$20&gt;='01_Input'!$R$71,DS$20&lt;'01_Input'!$S$71),'01_Input'!$U$71,0),MAX(MIN(DS$20,'01_Input'!$S$71)-'01_Input'!$R$71,0)*'01_Input'!$U$71))+IF('01_Input'!$X$71="Forfait",IF(DS$20&gt;='01_Input'!$V$71,'01_Input'!$Y$71,0),IF('01_Input'!$X$71="Palier",IF(AND(DS$20&gt;='01_Input'!$V$71,DS$20&lt;'01_Input'!$W$71),'01_Input'!$Y$71,0),MAX(MIN(DS$20,'01_Input'!$W$71)-'01_Input'!$V$71,0)*'01_Input'!$Y$71))+IF('01_Input'!$AB$71="Forfait",IF(DS$20&gt;='01_Input'!$Z$71,'01_Input'!$AC$71,0),IF('01_Input'!$AB$71="Palier",IF(AND(DS$20&gt;='01_Input'!$Z$71,DS$20&lt;'01_Input'!$AA$71),'01_Input'!$AC$71,0),MAX(MIN(DS$20,'01_Input'!$AA$71)-'01_Input'!$Z$71,0)*'01_Input'!$AC$71)))))))))</f>
        <v>0</v>
      </c>
      <c r="DT39" s="25">
        <f>IF('01_Input'!$C$71="Non",0,MIN('01_Input'!$I$71,MAX('01_Input'!$H$71,IF('01_Input'!$G$71="Résiduel vs Gestion",0,IF('01_Input'!$G$71="Taux Classe sélectionnée",Distrib_Global_Classe_Selectionnee*DT$20,IF('01_Input'!$G$71="Frais KYC (paliers de 100M€)",MAX(0,Nb_Investisseurs-Nb_KYC_Gratuites_Par_Tranche*(FLOOR(DT$20/Taille_Tranche_KYC,1)+1))*Cout_Par_KYC_Supplementaire,(IF('01_Input'!$L$71="Forfait",IF(DT$20&gt;='01_Input'!$J$71,'01_Input'!$M$71,0),IF('01_Input'!$L$71="Palier",IF(AND(DT$20&gt;='01_Input'!$J$71,DT$20&lt;'01_Input'!$K$71),'01_Input'!$M$71,0),MAX(MIN(DT$20,'01_Input'!$K$71)-'01_Input'!$J$71,0)*'01_Input'!$M$71))+IF('01_Input'!$P$71="Forfait",IF(DT$20&gt;='01_Input'!$N$71,'01_Input'!$Q$71,0),IF('01_Input'!$P$71="Palier",IF(AND(DT$20&gt;='01_Input'!$N$71,DT$20&lt;'01_Input'!$O$71),'01_Input'!$Q$71,0),MAX(MIN(DT$20,'01_Input'!$O$71)-'01_Input'!$N$71,0)*'01_Input'!$Q$71))+IF('01_Input'!$T$71="Forfait",IF(DT$20&gt;='01_Input'!$R$71,'01_Input'!$U$71,0),IF('01_Input'!$T$71="Palier",IF(AND(DT$20&gt;='01_Input'!$R$71,DT$20&lt;'01_Input'!$S$71),'01_Input'!$U$71,0),MAX(MIN(DT$20,'01_Input'!$S$71)-'01_Input'!$R$71,0)*'01_Input'!$U$71))+IF('01_Input'!$X$71="Forfait",IF(DT$20&gt;='01_Input'!$V$71,'01_Input'!$Y$71,0),IF('01_Input'!$X$71="Palier",IF(AND(DT$20&gt;='01_Input'!$V$71,DT$20&lt;'01_Input'!$W$71),'01_Input'!$Y$71,0),MAX(MIN(DT$20,'01_Input'!$W$71)-'01_Input'!$V$71,0)*'01_Input'!$Y$71))+IF('01_Input'!$AB$71="Forfait",IF(DT$20&gt;='01_Input'!$Z$71,'01_Input'!$AC$71,0),IF('01_Input'!$AB$71="Palier",IF(AND(DT$20&gt;='01_Input'!$Z$71,DT$20&lt;'01_Input'!$AA$71),'01_Input'!$AC$71,0),MAX(MIN(DT$20,'01_Input'!$AA$71)-'01_Input'!$Z$71,0)*'01_Input'!$AC$71)))))))))</f>
        <v>0</v>
      </c>
      <c r="DU39" s="25">
        <f>IF('01_Input'!$C$71="Non",0,MIN('01_Input'!$I$71,MAX('01_Input'!$H$71,IF('01_Input'!$G$71="Résiduel vs Gestion",0,IF('01_Input'!$G$71="Taux Classe sélectionnée",Distrib_Global_Classe_Selectionnee*DU$20,IF('01_Input'!$G$71="Frais KYC (paliers de 100M€)",MAX(0,Nb_Investisseurs-Nb_KYC_Gratuites_Par_Tranche*(FLOOR(DU$20/Taille_Tranche_KYC,1)+1))*Cout_Par_KYC_Supplementaire,(IF('01_Input'!$L$71="Forfait",IF(DU$20&gt;='01_Input'!$J$71,'01_Input'!$M$71,0),IF('01_Input'!$L$71="Palier",IF(AND(DU$20&gt;='01_Input'!$J$71,DU$20&lt;'01_Input'!$K$71),'01_Input'!$M$71,0),MAX(MIN(DU$20,'01_Input'!$K$71)-'01_Input'!$J$71,0)*'01_Input'!$M$71))+IF('01_Input'!$P$71="Forfait",IF(DU$20&gt;='01_Input'!$N$71,'01_Input'!$Q$71,0),IF('01_Input'!$P$71="Palier",IF(AND(DU$20&gt;='01_Input'!$N$71,DU$20&lt;'01_Input'!$O$71),'01_Input'!$Q$71,0),MAX(MIN(DU$20,'01_Input'!$O$71)-'01_Input'!$N$71,0)*'01_Input'!$Q$71))+IF('01_Input'!$T$71="Forfait",IF(DU$20&gt;='01_Input'!$R$71,'01_Input'!$U$71,0),IF('01_Input'!$T$71="Palier",IF(AND(DU$20&gt;='01_Input'!$R$71,DU$20&lt;'01_Input'!$S$71),'01_Input'!$U$71,0),MAX(MIN(DU$20,'01_Input'!$S$71)-'01_Input'!$R$71,0)*'01_Input'!$U$71))+IF('01_Input'!$X$71="Forfait",IF(DU$20&gt;='01_Input'!$V$71,'01_Input'!$Y$71,0),IF('01_Input'!$X$71="Palier",IF(AND(DU$20&gt;='01_Input'!$V$71,DU$20&lt;'01_Input'!$W$71),'01_Input'!$Y$71,0),MAX(MIN(DU$20,'01_Input'!$W$71)-'01_Input'!$V$71,0)*'01_Input'!$Y$71))+IF('01_Input'!$AB$71="Forfait",IF(DU$20&gt;='01_Input'!$Z$71,'01_Input'!$AC$71,0),IF('01_Input'!$AB$71="Palier",IF(AND(DU$20&gt;='01_Input'!$Z$71,DU$20&lt;'01_Input'!$AA$71),'01_Input'!$AC$71,0),MAX(MIN(DU$20,'01_Input'!$AA$71)-'01_Input'!$Z$71,0)*'01_Input'!$AC$71)))))))))</f>
        <v>0</v>
      </c>
      <c r="DV39" s="25">
        <f>IF('01_Input'!$C$71="Non",0,MIN('01_Input'!$I$71,MAX('01_Input'!$H$71,IF('01_Input'!$G$71="Résiduel vs Gestion",0,IF('01_Input'!$G$71="Taux Classe sélectionnée",Distrib_Global_Classe_Selectionnee*DV$20,IF('01_Input'!$G$71="Frais KYC (paliers de 100M€)",MAX(0,Nb_Investisseurs-Nb_KYC_Gratuites_Par_Tranche*(FLOOR(DV$20/Taille_Tranche_KYC,1)+1))*Cout_Par_KYC_Supplementaire,(IF('01_Input'!$L$71="Forfait",IF(DV$20&gt;='01_Input'!$J$71,'01_Input'!$M$71,0),IF('01_Input'!$L$71="Palier",IF(AND(DV$20&gt;='01_Input'!$J$71,DV$20&lt;'01_Input'!$K$71),'01_Input'!$M$71,0),MAX(MIN(DV$20,'01_Input'!$K$71)-'01_Input'!$J$71,0)*'01_Input'!$M$71))+IF('01_Input'!$P$71="Forfait",IF(DV$20&gt;='01_Input'!$N$71,'01_Input'!$Q$71,0),IF('01_Input'!$P$71="Palier",IF(AND(DV$20&gt;='01_Input'!$N$71,DV$20&lt;'01_Input'!$O$71),'01_Input'!$Q$71,0),MAX(MIN(DV$20,'01_Input'!$O$71)-'01_Input'!$N$71,0)*'01_Input'!$Q$71))+IF('01_Input'!$T$71="Forfait",IF(DV$20&gt;='01_Input'!$R$71,'01_Input'!$U$71,0),IF('01_Input'!$T$71="Palier",IF(AND(DV$20&gt;='01_Input'!$R$71,DV$20&lt;'01_Input'!$S$71),'01_Input'!$U$71,0),MAX(MIN(DV$20,'01_Input'!$S$71)-'01_Input'!$R$71,0)*'01_Input'!$U$71))+IF('01_Input'!$X$71="Forfait",IF(DV$20&gt;='01_Input'!$V$71,'01_Input'!$Y$71,0),IF('01_Input'!$X$71="Palier",IF(AND(DV$20&gt;='01_Input'!$V$71,DV$20&lt;'01_Input'!$W$71),'01_Input'!$Y$71,0),MAX(MIN(DV$20,'01_Input'!$W$71)-'01_Input'!$V$71,0)*'01_Input'!$Y$71))+IF('01_Input'!$AB$71="Forfait",IF(DV$20&gt;='01_Input'!$Z$71,'01_Input'!$AC$71,0),IF('01_Input'!$AB$71="Palier",IF(AND(DV$20&gt;='01_Input'!$Z$71,DV$20&lt;'01_Input'!$AA$71),'01_Input'!$AC$71,0),MAX(MIN(DV$20,'01_Input'!$AA$71)-'01_Input'!$Z$71,0)*'01_Input'!$AC$71)))))))))</f>
        <v>0</v>
      </c>
      <c r="DW39" s="25">
        <f>IF('01_Input'!$C$71="Non",0,MIN('01_Input'!$I$71,MAX('01_Input'!$H$71,IF('01_Input'!$G$71="Résiduel vs Gestion",0,IF('01_Input'!$G$71="Taux Classe sélectionnée",Distrib_Global_Classe_Selectionnee*DW$20,IF('01_Input'!$G$71="Frais KYC (paliers de 100M€)",MAX(0,Nb_Investisseurs-Nb_KYC_Gratuites_Par_Tranche*(FLOOR(DW$20/Taille_Tranche_KYC,1)+1))*Cout_Par_KYC_Supplementaire,(IF('01_Input'!$L$71="Forfait",IF(DW$20&gt;='01_Input'!$J$71,'01_Input'!$M$71,0),IF('01_Input'!$L$71="Palier",IF(AND(DW$20&gt;='01_Input'!$J$71,DW$20&lt;'01_Input'!$K$71),'01_Input'!$M$71,0),MAX(MIN(DW$20,'01_Input'!$K$71)-'01_Input'!$J$71,0)*'01_Input'!$M$71))+IF('01_Input'!$P$71="Forfait",IF(DW$20&gt;='01_Input'!$N$71,'01_Input'!$Q$71,0),IF('01_Input'!$P$71="Palier",IF(AND(DW$20&gt;='01_Input'!$N$71,DW$20&lt;'01_Input'!$O$71),'01_Input'!$Q$71,0),MAX(MIN(DW$20,'01_Input'!$O$71)-'01_Input'!$N$71,0)*'01_Input'!$Q$71))+IF('01_Input'!$T$71="Forfait",IF(DW$20&gt;='01_Input'!$R$71,'01_Input'!$U$71,0),IF('01_Input'!$T$71="Palier",IF(AND(DW$20&gt;='01_Input'!$R$71,DW$20&lt;'01_Input'!$S$71),'01_Input'!$U$71,0),MAX(MIN(DW$20,'01_Input'!$S$71)-'01_Input'!$R$71,0)*'01_Input'!$U$71))+IF('01_Input'!$X$71="Forfait",IF(DW$20&gt;='01_Input'!$V$71,'01_Input'!$Y$71,0),IF('01_Input'!$X$71="Palier",IF(AND(DW$20&gt;='01_Input'!$V$71,DW$20&lt;'01_Input'!$W$71),'01_Input'!$Y$71,0),MAX(MIN(DW$20,'01_Input'!$W$71)-'01_Input'!$V$71,0)*'01_Input'!$Y$71))+IF('01_Input'!$AB$71="Forfait",IF(DW$20&gt;='01_Input'!$Z$71,'01_Input'!$AC$71,0),IF('01_Input'!$AB$71="Palier",IF(AND(DW$20&gt;='01_Input'!$Z$71,DW$20&lt;'01_Input'!$AA$71),'01_Input'!$AC$71,0),MAX(MIN(DW$20,'01_Input'!$AA$71)-'01_Input'!$Z$71,0)*'01_Input'!$AC$71)))))))))</f>
        <v>0</v>
      </c>
      <c r="DX39" s="25">
        <f>IF('01_Input'!$C$71="Non",0,MIN('01_Input'!$I$71,MAX('01_Input'!$H$71,IF('01_Input'!$G$71="Résiduel vs Gestion",0,IF('01_Input'!$G$71="Taux Classe sélectionnée",Distrib_Global_Classe_Selectionnee*DX$20,IF('01_Input'!$G$71="Frais KYC (paliers de 100M€)",MAX(0,Nb_Investisseurs-Nb_KYC_Gratuites_Par_Tranche*(FLOOR(DX$20/Taille_Tranche_KYC,1)+1))*Cout_Par_KYC_Supplementaire,(IF('01_Input'!$L$71="Forfait",IF(DX$20&gt;='01_Input'!$J$71,'01_Input'!$M$71,0),IF('01_Input'!$L$71="Palier",IF(AND(DX$20&gt;='01_Input'!$J$71,DX$20&lt;'01_Input'!$K$71),'01_Input'!$M$71,0),MAX(MIN(DX$20,'01_Input'!$K$71)-'01_Input'!$J$71,0)*'01_Input'!$M$71))+IF('01_Input'!$P$71="Forfait",IF(DX$20&gt;='01_Input'!$N$71,'01_Input'!$Q$71,0),IF('01_Input'!$P$71="Palier",IF(AND(DX$20&gt;='01_Input'!$N$71,DX$20&lt;'01_Input'!$O$71),'01_Input'!$Q$71,0),MAX(MIN(DX$20,'01_Input'!$O$71)-'01_Input'!$N$71,0)*'01_Input'!$Q$71))+IF('01_Input'!$T$71="Forfait",IF(DX$20&gt;='01_Input'!$R$71,'01_Input'!$U$71,0),IF('01_Input'!$T$71="Palier",IF(AND(DX$20&gt;='01_Input'!$R$71,DX$20&lt;'01_Input'!$S$71),'01_Input'!$U$71,0),MAX(MIN(DX$20,'01_Input'!$S$71)-'01_Input'!$R$71,0)*'01_Input'!$U$71))+IF('01_Input'!$X$71="Forfait",IF(DX$20&gt;='01_Input'!$V$71,'01_Input'!$Y$71,0),IF('01_Input'!$X$71="Palier",IF(AND(DX$20&gt;='01_Input'!$V$71,DX$20&lt;'01_Input'!$W$71),'01_Input'!$Y$71,0),MAX(MIN(DX$20,'01_Input'!$W$71)-'01_Input'!$V$71,0)*'01_Input'!$Y$71))+IF('01_Input'!$AB$71="Forfait",IF(DX$20&gt;='01_Input'!$Z$71,'01_Input'!$AC$71,0),IF('01_Input'!$AB$71="Palier",IF(AND(DX$20&gt;='01_Input'!$Z$71,DX$20&lt;'01_Input'!$AA$71),'01_Input'!$AC$71,0),MAX(MIN(DX$20,'01_Input'!$AA$71)-'01_Input'!$Z$71,0)*'01_Input'!$AC$71)))))))))</f>
        <v>0</v>
      </c>
      <c r="DY39" s="25">
        <f>IF('01_Input'!$C$71="Non",0,MIN('01_Input'!$I$71,MAX('01_Input'!$H$71,IF('01_Input'!$G$71="Résiduel vs Gestion",0,IF('01_Input'!$G$71="Taux Classe sélectionnée",Distrib_Global_Classe_Selectionnee*DY$20,IF('01_Input'!$G$71="Frais KYC (paliers de 100M€)",MAX(0,Nb_Investisseurs-Nb_KYC_Gratuites_Par_Tranche*(FLOOR(DY$20/Taille_Tranche_KYC,1)+1))*Cout_Par_KYC_Supplementaire,(IF('01_Input'!$L$71="Forfait",IF(DY$20&gt;='01_Input'!$J$71,'01_Input'!$M$71,0),IF('01_Input'!$L$71="Palier",IF(AND(DY$20&gt;='01_Input'!$J$71,DY$20&lt;'01_Input'!$K$71),'01_Input'!$M$71,0),MAX(MIN(DY$20,'01_Input'!$K$71)-'01_Input'!$J$71,0)*'01_Input'!$M$71))+IF('01_Input'!$P$71="Forfait",IF(DY$20&gt;='01_Input'!$N$71,'01_Input'!$Q$71,0),IF('01_Input'!$P$71="Palier",IF(AND(DY$20&gt;='01_Input'!$N$71,DY$20&lt;'01_Input'!$O$71),'01_Input'!$Q$71,0),MAX(MIN(DY$20,'01_Input'!$O$71)-'01_Input'!$N$71,0)*'01_Input'!$Q$71))+IF('01_Input'!$T$71="Forfait",IF(DY$20&gt;='01_Input'!$R$71,'01_Input'!$U$71,0),IF('01_Input'!$T$71="Palier",IF(AND(DY$20&gt;='01_Input'!$R$71,DY$20&lt;'01_Input'!$S$71),'01_Input'!$U$71,0),MAX(MIN(DY$20,'01_Input'!$S$71)-'01_Input'!$R$71,0)*'01_Input'!$U$71))+IF('01_Input'!$X$71="Forfait",IF(DY$20&gt;='01_Input'!$V$71,'01_Input'!$Y$71,0),IF('01_Input'!$X$71="Palier",IF(AND(DY$20&gt;='01_Input'!$V$71,DY$20&lt;'01_Input'!$W$71),'01_Input'!$Y$71,0),MAX(MIN(DY$20,'01_Input'!$W$71)-'01_Input'!$V$71,0)*'01_Input'!$Y$71))+IF('01_Input'!$AB$71="Forfait",IF(DY$20&gt;='01_Input'!$Z$71,'01_Input'!$AC$71,0),IF('01_Input'!$AB$71="Palier",IF(AND(DY$20&gt;='01_Input'!$Z$71,DY$20&lt;'01_Input'!$AA$71),'01_Input'!$AC$71,0),MAX(MIN(DY$20,'01_Input'!$AA$71)-'01_Input'!$Z$71,0)*'01_Input'!$AC$71)))))))))</f>
        <v>0</v>
      </c>
      <c r="DZ39" s="25">
        <f>IF('01_Input'!$C$71="Non",0,MIN('01_Input'!$I$71,MAX('01_Input'!$H$71,IF('01_Input'!$G$71="Résiduel vs Gestion",0,IF('01_Input'!$G$71="Taux Classe sélectionnée",Distrib_Global_Classe_Selectionnee*DZ$20,IF('01_Input'!$G$71="Frais KYC (paliers de 100M€)",MAX(0,Nb_Investisseurs-Nb_KYC_Gratuites_Par_Tranche*(FLOOR(DZ$20/Taille_Tranche_KYC,1)+1))*Cout_Par_KYC_Supplementaire,(IF('01_Input'!$L$71="Forfait",IF(DZ$20&gt;='01_Input'!$J$71,'01_Input'!$M$71,0),IF('01_Input'!$L$71="Palier",IF(AND(DZ$20&gt;='01_Input'!$J$71,DZ$20&lt;'01_Input'!$K$71),'01_Input'!$M$71,0),MAX(MIN(DZ$20,'01_Input'!$K$71)-'01_Input'!$J$71,0)*'01_Input'!$M$71))+IF('01_Input'!$P$71="Forfait",IF(DZ$20&gt;='01_Input'!$N$71,'01_Input'!$Q$71,0),IF('01_Input'!$P$71="Palier",IF(AND(DZ$20&gt;='01_Input'!$N$71,DZ$20&lt;'01_Input'!$O$71),'01_Input'!$Q$71,0),MAX(MIN(DZ$20,'01_Input'!$O$71)-'01_Input'!$N$71,0)*'01_Input'!$Q$71))+IF('01_Input'!$T$71="Forfait",IF(DZ$20&gt;='01_Input'!$R$71,'01_Input'!$U$71,0),IF('01_Input'!$T$71="Palier",IF(AND(DZ$20&gt;='01_Input'!$R$71,DZ$20&lt;'01_Input'!$S$71),'01_Input'!$U$71,0),MAX(MIN(DZ$20,'01_Input'!$S$71)-'01_Input'!$R$71,0)*'01_Input'!$U$71))+IF('01_Input'!$X$71="Forfait",IF(DZ$20&gt;='01_Input'!$V$71,'01_Input'!$Y$71,0),IF('01_Input'!$X$71="Palier",IF(AND(DZ$20&gt;='01_Input'!$V$71,DZ$20&lt;'01_Input'!$W$71),'01_Input'!$Y$71,0),MAX(MIN(DZ$20,'01_Input'!$W$71)-'01_Input'!$V$71,0)*'01_Input'!$Y$71))+IF('01_Input'!$AB$71="Forfait",IF(DZ$20&gt;='01_Input'!$Z$71,'01_Input'!$AC$71,0),IF('01_Input'!$AB$71="Palier",IF(AND(DZ$20&gt;='01_Input'!$Z$71,DZ$20&lt;'01_Input'!$AA$71),'01_Input'!$AC$71,0),MAX(MIN(DZ$20,'01_Input'!$AA$71)-'01_Input'!$Z$71,0)*'01_Input'!$AC$71)))))))))</f>
        <v>0</v>
      </c>
      <c r="EA39" s="25">
        <f>IF('01_Input'!$C$71="Non",0,MIN('01_Input'!$I$71,MAX('01_Input'!$H$71,IF('01_Input'!$G$71="Résiduel vs Gestion",0,IF('01_Input'!$G$71="Taux Classe sélectionnée",Distrib_Global_Classe_Selectionnee*EA$20,IF('01_Input'!$G$71="Frais KYC (paliers de 100M€)",MAX(0,Nb_Investisseurs-Nb_KYC_Gratuites_Par_Tranche*(FLOOR(EA$20/Taille_Tranche_KYC,1)+1))*Cout_Par_KYC_Supplementaire,(IF('01_Input'!$L$71="Forfait",IF(EA$20&gt;='01_Input'!$J$71,'01_Input'!$M$71,0),IF('01_Input'!$L$71="Palier",IF(AND(EA$20&gt;='01_Input'!$J$71,EA$20&lt;'01_Input'!$K$71),'01_Input'!$M$71,0),MAX(MIN(EA$20,'01_Input'!$K$71)-'01_Input'!$J$71,0)*'01_Input'!$M$71))+IF('01_Input'!$P$71="Forfait",IF(EA$20&gt;='01_Input'!$N$71,'01_Input'!$Q$71,0),IF('01_Input'!$P$71="Palier",IF(AND(EA$20&gt;='01_Input'!$N$71,EA$20&lt;'01_Input'!$O$71),'01_Input'!$Q$71,0),MAX(MIN(EA$20,'01_Input'!$O$71)-'01_Input'!$N$71,0)*'01_Input'!$Q$71))+IF('01_Input'!$T$71="Forfait",IF(EA$20&gt;='01_Input'!$R$71,'01_Input'!$U$71,0),IF('01_Input'!$T$71="Palier",IF(AND(EA$20&gt;='01_Input'!$R$71,EA$20&lt;'01_Input'!$S$71),'01_Input'!$U$71,0),MAX(MIN(EA$20,'01_Input'!$S$71)-'01_Input'!$R$71,0)*'01_Input'!$U$71))+IF('01_Input'!$X$71="Forfait",IF(EA$20&gt;='01_Input'!$V$71,'01_Input'!$Y$71,0),IF('01_Input'!$X$71="Palier",IF(AND(EA$20&gt;='01_Input'!$V$71,EA$20&lt;'01_Input'!$W$71),'01_Input'!$Y$71,0),MAX(MIN(EA$20,'01_Input'!$W$71)-'01_Input'!$V$71,0)*'01_Input'!$Y$71))+IF('01_Input'!$AB$71="Forfait",IF(EA$20&gt;='01_Input'!$Z$71,'01_Input'!$AC$71,0),IF('01_Input'!$AB$71="Palier",IF(AND(EA$20&gt;='01_Input'!$Z$71,EA$20&lt;'01_Input'!$AA$71),'01_Input'!$AC$71,0),MAX(MIN(EA$20,'01_Input'!$AA$71)-'01_Input'!$Z$71,0)*'01_Input'!$AC$71)))))))))</f>
        <v>0</v>
      </c>
      <c r="EB39" s="25">
        <f>IF('01_Input'!$C$71="Non",0,MIN('01_Input'!$I$71,MAX('01_Input'!$H$71,IF('01_Input'!$G$71="Résiduel vs Gestion",0,IF('01_Input'!$G$71="Taux Classe sélectionnée",Distrib_Global_Classe_Selectionnee*EB$20,IF('01_Input'!$G$71="Frais KYC (paliers de 100M€)",MAX(0,Nb_Investisseurs-Nb_KYC_Gratuites_Par_Tranche*(FLOOR(EB$20/Taille_Tranche_KYC,1)+1))*Cout_Par_KYC_Supplementaire,(IF('01_Input'!$L$71="Forfait",IF(EB$20&gt;='01_Input'!$J$71,'01_Input'!$M$71,0),IF('01_Input'!$L$71="Palier",IF(AND(EB$20&gt;='01_Input'!$J$71,EB$20&lt;'01_Input'!$K$71),'01_Input'!$M$71,0),MAX(MIN(EB$20,'01_Input'!$K$71)-'01_Input'!$J$71,0)*'01_Input'!$M$71))+IF('01_Input'!$P$71="Forfait",IF(EB$20&gt;='01_Input'!$N$71,'01_Input'!$Q$71,0),IF('01_Input'!$P$71="Palier",IF(AND(EB$20&gt;='01_Input'!$N$71,EB$20&lt;'01_Input'!$O$71),'01_Input'!$Q$71,0),MAX(MIN(EB$20,'01_Input'!$O$71)-'01_Input'!$N$71,0)*'01_Input'!$Q$71))+IF('01_Input'!$T$71="Forfait",IF(EB$20&gt;='01_Input'!$R$71,'01_Input'!$U$71,0),IF('01_Input'!$T$71="Palier",IF(AND(EB$20&gt;='01_Input'!$R$71,EB$20&lt;'01_Input'!$S$71),'01_Input'!$U$71,0),MAX(MIN(EB$20,'01_Input'!$S$71)-'01_Input'!$R$71,0)*'01_Input'!$U$71))+IF('01_Input'!$X$71="Forfait",IF(EB$20&gt;='01_Input'!$V$71,'01_Input'!$Y$71,0),IF('01_Input'!$X$71="Palier",IF(AND(EB$20&gt;='01_Input'!$V$71,EB$20&lt;'01_Input'!$W$71),'01_Input'!$Y$71,0),MAX(MIN(EB$20,'01_Input'!$W$71)-'01_Input'!$V$71,0)*'01_Input'!$Y$71))+IF('01_Input'!$AB$71="Forfait",IF(EB$20&gt;='01_Input'!$Z$71,'01_Input'!$AC$71,0),IF('01_Input'!$AB$71="Palier",IF(AND(EB$20&gt;='01_Input'!$Z$71,EB$20&lt;'01_Input'!$AA$71),'01_Input'!$AC$71,0),MAX(MIN(EB$20,'01_Input'!$AA$71)-'01_Input'!$Z$71,0)*'01_Input'!$AC$71)))))))))</f>
        <v>0</v>
      </c>
      <c r="EC39" s="25">
        <f>IF('01_Input'!$C$71="Non",0,MIN('01_Input'!$I$71,MAX('01_Input'!$H$71,IF('01_Input'!$G$71="Résiduel vs Gestion",0,IF('01_Input'!$G$71="Taux Classe sélectionnée",Distrib_Global_Classe_Selectionnee*EC$20,IF('01_Input'!$G$71="Frais KYC (paliers de 100M€)",MAX(0,Nb_Investisseurs-Nb_KYC_Gratuites_Par_Tranche*(FLOOR(EC$20/Taille_Tranche_KYC,1)+1))*Cout_Par_KYC_Supplementaire,(IF('01_Input'!$L$71="Forfait",IF(EC$20&gt;='01_Input'!$J$71,'01_Input'!$M$71,0),IF('01_Input'!$L$71="Palier",IF(AND(EC$20&gt;='01_Input'!$J$71,EC$20&lt;'01_Input'!$K$71),'01_Input'!$M$71,0),MAX(MIN(EC$20,'01_Input'!$K$71)-'01_Input'!$J$71,0)*'01_Input'!$M$71))+IF('01_Input'!$P$71="Forfait",IF(EC$20&gt;='01_Input'!$N$71,'01_Input'!$Q$71,0),IF('01_Input'!$P$71="Palier",IF(AND(EC$20&gt;='01_Input'!$N$71,EC$20&lt;'01_Input'!$O$71),'01_Input'!$Q$71,0),MAX(MIN(EC$20,'01_Input'!$O$71)-'01_Input'!$N$71,0)*'01_Input'!$Q$71))+IF('01_Input'!$T$71="Forfait",IF(EC$20&gt;='01_Input'!$R$71,'01_Input'!$U$71,0),IF('01_Input'!$T$71="Palier",IF(AND(EC$20&gt;='01_Input'!$R$71,EC$20&lt;'01_Input'!$S$71),'01_Input'!$U$71,0),MAX(MIN(EC$20,'01_Input'!$S$71)-'01_Input'!$R$71,0)*'01_Input'!$U$71))+IF('01_Input'!$X$71="Forfait",IF(EC$20&gt;='01_Input'!$V$71,'01_Input'!$Y$71,0),IF('01_Input'!$X$71="Palier",IF(AND(EC$20&gt;='01_Input'!$V$71,EC$20&lt;'01_Input'!$W$71),'01_Input'!$Y$71,0),MAX(MIN(EC$20,'01_Input'!$W$71)-'01_Input'!$V$71,0)*'01_Input'!$Y$71))+IF('01_Input'!$AB$71="Forfait",IF(EC$20&gt;='01_Input'!$Z$71,'01_Input'!$AC$71,0),IF('01_Input'!$AB$71="Palier",IF(AND(EC$20&gt;='01_Input'!$Z$71,EC$20&lt;'01_Input'!$AA$71),'01_Input'!$AC$71,0),MAX(MIN(EC$20,'01_Input'!$AA$71)-'01_Input'!$Z$71,0)*'01_Input'!$AC$71)))))))))</f>
        <v>0</v>
      </c>
      <c r="ED39" s="25">
        <f>IF('01_Input'!$C$71="Non",0,MIN('01_Input'!$I$71,MAX('01_Input'!$H$71,IF('01_Input'!$G$71="Résiduel vs Gestion",0,IF('01_Input'!$G$71="Taux Classe sélectionnée",Distrib_Global_Classe_Selectionnee*ED$20,IF('01_Input'!$G$71="Frais KYC (paliers de 100M€)",MAX(0,Nb_Investisseurs-Nb_KYC_Gratuites_Par_Tranche*(FLOOR(ED$20/Taille_Tranche_KYC,1)+1))*Cout_Par_KYC_Supplementaire,(IF('01_Input'!$L$71="Forfait",IF(ED$20&gt;='01_Input'!$J$71,'01_Input'!$M$71,0),IF('01_Input'!$L$71="Palier",IF(AND(ED$20&gt;='01_Input'!$J$71,ED$20&lt;'01_Input'!$K$71),'01_Input'!$M$71,0),MAX(MIN(ED$20,'01_Input'!$K$71)-'01_Input'!$J$71,0)*'01_Input'!$M$71))+IF('01_Input'!$P$71="Forfait",IF(ED$20&gt;='01_Input'!$N$71,'01_Input'!$Q$71,0),IF('01_Input'!$P$71="Palier",IF(AND(ED$20&gt;='01_Input'!$N$71,ED$20&lt;'01_Input'!$O$71),'01_Input'!$Q$71,0),MAX(MIN(ED$20,'01_Input'!$O$71)-'01_Input'!$N$71,0)*'01_Input'!$Q$71))+IF('01_Input'!$T$71="Forfait",IF(ED$20&gt;='01_Input'!$R$71,'01_Input'!$U$71,0),IF('01_Input'!$T$71="Palier",IF(AND(ED$20&gt;='01_Input'!$R$71,ED$20&lt;'01_Input'!$S$71),'01_Input'!$U$71,0),MAX(MIN(ED$20,'01_Input'!$S$71)-'01_Input'!$R$71,0)*'01_Input'!$U$71))+IF('01_Input'!$X$71="Forfait",IF(ED$20&gt;='01_Input'!$V$71,'01_Input'!$Y$71,0),IF('01_Input'!$X$71="Palier",IF(AND(ED$20&gt;='01_Input'!$V$71,ED$20&lt;'01_Input'!$W$71),'01_Input'!$Y$71,0),MAX(MIN(ED$20,'01_Input'!$W$71)-'01_Input'!$V$71,0)*'01_Input'!$Y$71))+IF('01_Input'!$AB$71="Forfait",IF(ED$20&gt;='01_Input'!$Z$71,'01_Input'!$AC$71,0),IF('01_Input'!$AB$71="Palier",IF(AND(ED$20&gt;='01_Input'!$Z$71,ED$20&lt;'01_Input'!$AA$71),'01_Input'!$AC$71,0),MAX(MIN(ED$20,'01_Input'!$AA$71)-'01_Input'!$Z$71,0)*'01_Input'!$AC$71)))))))))</f>
        <v>0</v>
      </c>
      <c r="EE39" s="25">
        <f>IF('01_Input'!$C$71="Non",0,MIN('01_Input'!$I$71,MAX('01_Input'!$H$71,IF('01_Input'!$G$71="Résiduel vs Gestion",0,IF('01_Input'!$G$71="Taux Classe sélectionnée",Distrib_Global_Classe_Selectionnee*EE$20,IF('01_Input'!$G$71="Frais KYC (paliers de 100M€)",MAX(0,Nb_Investisseurs-Nb_KYC_Gratuites_Par_Tranche*(FLOOR(EE$20/Taille_Tranche_KYC,1)+1))*Cout_Par_KYC_Supplementaire,(IF('01_Input'!$L$71="Forfait",IF(EE$20&gt;='01_Input'!$J$71,'01_Input'!$M$71,0),IF('01_Input'!$L$71="Palier",IF(AND(EE$20&gt;='01_Input'!$J$71,EE$20&lt;'01_Input'!$K$71),'01_Input'!$M$71,0),MAX(MIN(EE$20,'01_Input'!$K$71)-'01_Input'!$J$71,0)*'01_Input'!$M$71))+IF('01_Input'!$P$71="Forfait",IF(EE$20&gt;='01_Input'!$N$71,'01_Input'!$Q$71,0),IF('01_Input'!$P$71="Palier",IF(AND(EE$20&gt;='01_Input'!$N$71,EE$20&lt;'01_Input'!$O$71),'01_Input'!$Q$71,0),MAX(MIN(EE$20,'01_Input'!$O$71)-'01_Input'!$N$71,0)*'01_Input'!$Q$71))+IF('01_Input'!$T$71="Forfait",IF(EE$20&gt;='01_Input'!$R$71,'01_Input'!$U$71,0),IF('01_Input'!$T$71="Palier",IF(AND(EE$20&gt;='01_Input'!$R$71,EE$20&lt;'01_Input'!$S$71),'01_Input'!$U$71,0),MAX(MIN(EE$20,'01_Input'!$S$71)-'01_Input'!$R$71,0)*'01_Input'!$U$71))+IF('01_Input'!$X$71="Forfait",IF(EE$20&gt;='01_Input'!$V$71,'01_Input'!$Y$71,0),IF('01_Input'!$X$71="Palier",IF(AND(EE$20&gt;='01_Input'!$V$71,EE$20&lt;'01_Input'!$W$71),'01_Input'!$Y$71,0),MAX(MIN(EE$20,'01_Input'!$W$71)-'01_Input'!$V$71,0)*'01_Input'!$Y$71))+IF('01_Input'!$AB$71="Forfait",IF(EE$20&gt;='01_Input'!$Z$71,'01_Input'!$AC$71,0),IF('01_Input'!$AB$71="Palier",IF(AND(EE$20&gt;='01_Input'!$Z$71,EE$20&lt;'01_Input'!$AA$71),'01_Input'!$AC$71,0),MAX(MIN(EE$20,'01_Input'!$AA$71)-'01_Input'!$Z$71,0)*'01_Input'!$AC$71)))))))))</f>
        <v>0</v>
      </c>
      <c r="EF39" s="25">
        <f>IF('01_Input'!$C$71="Non",0,MIN('01_Input'!$I$71,MAX('01_Input'!$H$71,IF('01_Input'!$G$71="Résiduel vs Gestion",0,IF('01_Input'!$G$71="Taux Classe sélectionnée",Distrib_Global_Classe_Selectionnee*EF$20,IF('01_Input'!$G$71="Frais KYC (paliers de 100M€)",MAX(0,Nb_Investisseurs-Nb_KYC_Gratuites_Par_Tranche*(FLOOR(EF$20/Taille_Tranche_KYC,1)+1))*Cout_Par_KYC_Supplementaire,(IF('01_Input'!$L$71="Forfait",IF(EF$20&gt;='01_Input'!$J$71,'01_Input'!$M$71,0),IF('01_Input'!$L$71="Palier",IF(AND(EF$20&gt;='01_Input'!$J$71,EF$20&lt;'01_Input'!$K$71),'01_Input'!$M$71,0),MAX(MIN(EF$20,'01_Input'!$K$71)-'01_Input'!$J$71,0)*'01_Input'!$M$71))+IF('01_Input'!$P$71="Forfait",IF(EF$20&gt;='01_Input'!$N$71,'01_Input'!$Q$71,0),IF('01_Input'!$P$71="Palier",IF(AND(EF$20&gt;='01_Input'!$N$71,EF$20&lt;'01_Input'!$O$71),'01_Input'!$Q$71,0),MAX(MIN(EF$20,'01_Input'!$O$71)-'01_Input'!$N$71,0)*'01_Input'!$Q$71))+IF('01_Input'!$T$71="Forfait",IF(EF$20&gt;='01_Input'!$R$71,'01_Input'!$U$71,0),IF('01_Input'!$T$71="Palier",IF(AND(EF$20&gt;='01_Input'!$R$71,EF$20&lt;'01_Input'!$S$71),'01_Input'!$U$71,0),MAX(MIN(EF$20,'01_Input'!$S$71)-'01_Input'!$R$71,0)*'01_Input'!$U$71))+IF('01_Input'!$X$71="Forfait",IF(EF$20&gt;='01_Input'!$V$71,'01_Input'!$Y$71,0),IF('01_Input'!$X$71="Palier",IF(AND(EF$20&gt;='01_Input'!$V$71,EF$20&lt;'01_Input'!$W$71),'01_Input'!$Y$71,0),MAX(MIN(EF$20,'01_Input'!$W$71)-'01_Input'!$V$71,0)*'01_Input'!$Y$71))+IF('01_Input'!$AB$71="Forfait",IF(EF$20&gt;='01_Input'!$Z$71,'01_Input'!$AC$71,0),IF('01_Input'!$AB$71="Palier",IF(AND(EF$20&gt;='01_Input'!$Z$71,EF$20&lt;'01_Input'!$AA$71),'01_Input'!$AC$71,0),MAX(MIN(EF$20,'01_Input'!$AA$71)-'01_Input'!$Z$71,0)*'01_Input'!$AC$71)))))))))</f>
        <v>0</v>
      </c>
      <c r="EG39" s="25">
        <f>IF('01_Input'!$C$71="Non",0,MIN('01_Input'!$I$71,MAX('01_Input'!$H$71,IF('01_Input'!$G$71="Résiduel vs Gestion",0,IF('01_Input'!$G$71="Taux Classe sélectionnée",Distrib_Global_Classe_Selectionnee*EG$20,IF('01_Input'!$G$71="Frais KYC (paliers de 100M€)",MAX(0,Nb_Investisseurs-Nb_KYC_Gratuites_Par_Tranche*(FLOOR(EG$20/Taille_Tranche_KYC,1)+1))*Cout_Par_KYC_Supplementaire,(IF('01_Input'!$L$71="Forfait",IF(EG$20&gt;='01_Input'!$J$71,'01_Input'!$M$71,0),IF('01_Input'!$L$71="Palier",IF(AND(EG$20&gt;='01_Input'!$J$71,EG$20&lt;'01_Input'!$K$71),'01_Input'!$M$71,0),MAX(MIN(EG$20,'01_Input'!$K$71)-'01_Input'!$J$71,0)*'01_Input'!$M$71))+IF('01_Input'!$P$71="Forfait",IF(EG$20&gt;='01_Input'!$N$71,'01_Input'!$Q$71,0),IF('01_Input'!$P$71="Palier",IF(AND(EG$20&gt;='01_Input'!$N$71,EG$20&lt;'01_Input'!$O$71),'01_Input'!$Q$71,0),MAX(MIN(EG$20,'01_Input'!$O$71)-'01_Input'!$N$71,0)*'01_Input'!$Q$71))+IF('01_Input'!$T$71="Forfait",IF(EG$20&gt;='01_Input'!$R$71,'01_Input'!$U$71,0),IF('01_Input'!$T$71="Palier",IF(AND(EG$20&gt;='01_Input'!$R$71,EG$20&lt;'01_Input'!$S$71),'01_Input'!$U$71,0),MAX(MIN(EG$20,'01_Input'!$S$71)-'01_Input'!$R$71,0)*'01_Input'!$U$71))+IF('01_Input'!$X$71="Forfait",IF(EG$20&gt;='01_Input'!$V$71,'01_Input'!$Y$71,0),IF('01_Input'!$X$71="Palier",IF(AND(EG$20&gt;='01_Input'!$V$71,EG$20&lt;'01_Input'!$W$71),'01_Input'!$Y$71,0),MAX(MIN(EG$20,'01_Input'!$W$71)-'01_Input'!$V$71,0)*'01_Input'!$Y$71))+IF('01_Input'!$AB$71="Forfait",IF(EG$20&gt;='01_Input'!$Z$71,'01_Input'!$AC$71,0),IF('01_Input'!$AB$71="Palier",IF(AND(EG$20&gt;='01_Input'!$Z$71,EG$20&lt;'01_Input'!$AA$71),'01_Input'!$AC$71,0),MAX(MIN(EG$20,'01_Input'!$AA$71)-'01_Input'!$Z$71,0)*'01_Input'!$AC$71)))))))))</f>
        <v>0</v>
      </c>
      <c r="EH39" s="25">
        <f>IF('01_Input'!$C$71="Non",0,MIN('01_Input'!$I$71,MAX('01_Input'!$H$71,IF('01_Input'!$G$71="Résiduel vs Gestion",0,IF('01_Input'!$G$71="Taux Classe sélectionnée",Distrib_Global_Classe_Selectionnee*EH$20,IF('01_Input'!$G$71="Frais KYC (paliers de 100M€)",MAX(0,Nb_Investisseurs-Nb_KYC_Gratuites_Par_Tranche*(FLOOR(EH$20/Taille_Tranche_KYC,1)+1))*Cout_Par_KYC_Supplementaire,(IF('01_Input'!$L$71="Forfait",IF(EH$20&gt;='01_Input'!$J$71,'01_Input'!$M$71,0),IF('01_Input'!$L$71="Palier",IF(AND(EH$20&gt;='01_Input'!$J$71,EH$20&lt;'01_Input'!$K$71),'01_Input'!$M$71,0),MAX(MIN(EH$20,'01_Input'!$K$71)-'01_Input'!$J$71,0)*'01_Input'!$M$71))+IF('01_Input'!$P$71="Forfait",IF(EH$20&gt;='01_Input'!$N$71,'01_Input'!$Q$71,0),IF('01_Input'!$P$71="Palier",IF(AND(EH$20&gt;='01_Input'!$N$71,EH$20&lt;'01_Input'!$O$71),'01_Input'!$Q$71,0),MAX(MIN(EH$20,'01_Input'!$O$71)-'01_Input'!$N$71,0)*'01_Input'!$Q$71))+IF('01_Input'!$T$71="Forfait",IF(EH$20&gt;='01_Input'!$R$71,'01_Input'!$U$71,0),IF('01_Input'!$T$71="Palier",IF(AND(EH$20&gt;='01_Input'!$R$71,EH$20&lt;'01_Input'!$S$71),'01_Input'!$U$71,0),MAX(MIN(EH$20,'01_Input'!$S$71)-'01_Input'!$R$71,0)*'01_Input'!$U$71))+IF('01_Input'!$X$71="Forfait",IF(EH$20&gt;='01_Input'!$V$71,'01_Input'!$Y$71,0),IF('01_Input'!$X$71="Palier",IF(AND(EH$20&gt;='01_Input'!$V$71,EH$20&lt;'01_Input'!$W$71),'01_Input'!$Y$71,0),MAX(MIN(EH$20,'01_Input'!$W$71)-'01_Input'!$V$71,0)*'01_Input'!$Y$71))+IF('01_Input'!$AB$71="Forfait",IF(EH$20&gt;='01_Input'!$Z$71,'01_Input'!$AC$71,0),IF('01_Input'!$AB$71="Palier",IF(AND(EH$20&gt;='01_Input'!$Z$71,EH$20&lt;'01_Input'!$AA$71),'01_Input'!$AC$71,0),MAX(MIN(EH$20,'01_Input'!$AA$71)-'01_Input'!$Z$71,0)*'01_Input'!$AC$71)))))))))</f>
        <v>0</v>
      </c>
      <c r="EI39" s="25">
        <f>IF('01_Input'!$C$71="Non",0,MIN('01_Input'!$I$71,MAX('01_Input'!$H$71,IF('01_Input'!$G$71="Résiduel vs Gestion",0,IF('01_Input'!$G$71="Taux Classe sélectionnée",Distrib_Global_Classe_Selectionnee*EI$20,IF('01_Input'!$G$71="Frais KYC (paliers de 100M€)",MAX(0,Nb_Investisseurs-Nb_KYC_Gratuites_Par_Tranche*(FLOOR(EI$20/Taille_Tranche_KYC,1)+1))*Cout_Par_KYC_Supplementaire,(IF('01_Input'!$L$71="Forfait",IF(EI$20&gt;='01_Input'!$J$71,'01_Input'!$M$71,0),IF('01_Input'!$L$71="Palier",IF(AND(EI$20&gt;='01_Input'!$J$71,EI$20&lt;'01_Input'!$K$71),'01_Input'!$M$71,0),MAX(MIN(EI$20,'01_Input'!$K$71)-'01_Input'!$J$71,0)*'01_Input'!$M$71))+IF('01_Input'!$P$71="Forfait",IF(EI$20&gt;='01_Input'!$N$71,'01_Input'!$Q$71,0),IF('01_Input'!$P$71="Palier",IF(AND(EI$20&gt;='01_Input'!$N$71,EI$20&lt;'01_Input'!$O$71),'01_Input'!$Q$71,0),MAX(MIN(EI$20,'01_Input'!$O$71)-'01_Input'!$N$71,0)*'01_Input'!$Q$71))+IF('01_Input'!$T$71="Forfait",IF(EI$20&gt;='01_Input'!$R$71,'01_Input'!$U$71,0),IF('01_Input'!$T$71="Palier",IF(AND(EI$20&gt;='01_Input'!$R$71,EI$20&lt;'01_Input'!$S$71),'01_Input'!$U$71,0),MAX(MIN(EI$20,'01_Input'!$S$71)-'01_Input'!$R$71,0)*'01_Input'!$U$71))+IF('01_Input'!$X$71="Forfait",IF(EI$20&gt;='01_Input'!$V$71,'01_Input'!$Y$71,0),IF('01_Input'!$X$71="Palier",IF(AND(EI$20&gt;='01_Input'!$V$71,EI$20&lt;'01_Input'!$W$71),'01_Input'!$Y$71,0),MAX(MIN(EI$20,'01_Input'!$W$71)-'01_Input'!$V$71,0)*'01_Input'!$Y$71))+IF('01_Input'!$AB$71="Forfait",IF(EI$20&gt;='01_Input'!$Z$71,'01_Input'!$AC$71,0),IF('01_Input'!$AB$71="Palier",IF(AND(EI$20&gt;='01_Input'!$Z$71,EI$20&lt;'01_Input'!$AA$71),'01_Input'!$AC$71,0),MAX(MIN(EI$20,'01_Input'!$AA$71)-'01_Input'!$Z$71,0)*'01_Input'!$AC$71)))))))))</f>
        <v>0</v>
      </c>
      <c r="EJ39" s="25">
        <f>IF('01_Input'!$C$71="Non",0,MIN('01_Input'!$I$71,MAX('01_Input'!$H$71,IF('01_Input'!$G$71="Résiduel vs Gestion",0,IF('01_Input'!$G$71="Taux Classe sélectionnée",Distrib_Global_Classe_Selectionnee*EJ$20,IF('01_Input'!$G$71="Frais KYC (paliers de 100M€)",MAX(0,Nb_Investisseurs-Nb_KYC_Gratuites_Par_Tranche*(FLOOR(EJ$20/Taille_Tranche_KYC,1)+1))*Cout_Par_KYC_Supplementaire,(IF('01_Input'!$L$71="Forfait",IF(EJ$20&gt;='01_Input'!$J$71,'01_Input'!$M$71,0),IF('01_Input'!$L$71="Palier",IF(AND(EJ$20&gt;='01_Input'!$J$71,EJ$20&lt;'01_Input'!$K$71),'01_Input'!$M$71,0),MAX(MIN(EJ$20,'01_Input'!$K$71)-'01_Input'!$J$71,0)*'01_Input'!$M$71))+IF('01_Input'!$P$71="Forfait",IF(EJ$20&gt;='01_Input'!$N$71,'01_Input'!$Q$71,0),IF('01_Input'!$P$71="Palier",IF(AND(EJ$20&gt;='01_Input'!$N$71,EJ$20&lt;'01_Input'!$O$71),'01_Input'!$Q$71,0),MAX(MIN(EJ$20,'01_Input'!$O$71)-'01_Input'!$N$71,0)*'01_Input'!$Q$71))+IF('01_Input'!$T$71="Forfait",IF(EJ$20&gt;='01_Input'!$R$71,'01_Input'!$U$71,0),IF('01_Input'!$T$71="Palier",IF(AND(EJ$20&gt;='01_Input'!$R$71,EJ$20&lt;'01_Input'!$S$71),'01_Input'!$U$71,0),MAX(MIN(EJ$20,'01_Input'!$S$71)-'01_Input'!$R$71,0)*'01_Input'!$U$71))+IF('01_Input'!$X$71="Forfait",IF(EJ$20&gt;='01_Input'!$V$71,'01_Input'!$Y$71,0),IF('01_Input'!$X$71="Palier",IF(AND(EJ$20&gt;='01_Input'!$V$71,EJ$20&lt;'01_Input'!$W$71),'01_Input'!$Y$71,0),MAX(MIN(EJ$20,'01_Input'!$W$71)-'01_Input'!$V$71,0)*'01_Input'!$Y$71))+IF('01_Input'!$AB$71="Forfait",IF(EJ$20&gt;='01_Input'!$Z$71,'01_Input'!$AC$71,0),IF('01_Input'!$AB$71="Palier",IF(AND(EJ$20&gt;='01_Input'!$Z$71,EJ$20&lt;'01_Input'!$AA$71),'01_Input'!$AC$71,0),MAX(MIN(EJ$20,'01_Input'!$AA$71)-'01_Input'!$Z$71,0)*'01_Input'!$AC$71)))))))))</f>
        <v>0</v>
      </c>
      <c r="EK39" s="25">
        <f>IF('01_Input'!$C$71="Non",0,MIN('01_Input'!$I$71,MAX('01_Input'!$H$71,IF('01_Input'!$G$71="Résiduel vs Gestion",0,IF('01_Input'!$G$71="Taux Classe sélectionnée",Distrib_Global_Classe_Selectionnee*EK$20,IF('01_Input'!$G$71="Frais KYC (paliers de 100M€)",MAX(0,Nb_Investisseurs-Nb_KYC_Gratuites_Par_Tranche*(FLOOR(EK$20/Taille_Tranche_KYC,1)+1))*Cout_Par_KYC_Supplementaire,(IF('01_Input'!$L$71="Forfait",IF(EK$20&gt;='01_Input'!$J$71,'01_Input'!$M$71,0),IF('01_Input'!$L$71="Palier",IF(AND(EK$20&gt;='01_Input'!$J$71,EK$20&lt;'01_Input'!$K$71),'01_Input'!$M$71,0),MAX(MIN(EK$20,'01_Input'!$K$71)-'01_Input'!$J$71,0)*'01_Input'!$M$71))+IF('01_Input'!$P$71="Forfait",IF(EK$20&gt;='01_Input'!$N$71,'01_Input'!$Q$71,0),IF('01_Input'!$P$71="Palier",IF(AND(EK$20&gt;='01_Input'!$N$71,EK$20&lt;'01_Input'!$O$71),'01_Input'!$Q$71,0),MAX(MIN(EK$20,'01_Input'!$O$71)-'01_Input'!$N$71,0)*'01_Input'!$Q$71))+IF('01_Input'!$T$71="Forfait",IF(EK$20&gt;='01_Input'!$R$71,'01_Input'!$U$71,0),IF('01_Input'!$T$71="Palier",IF(AND(EK$20&gt;='01_Input'!$R$71,EK$20&lt;'01_Input'!$S$71),'01_Input'!$U$71,0),MAX(MIN(EK$20,'01_Input'!$S$71)-'01_Input'!$R$71,0)*'01_Input'!$U$71))+IF('01_Input'!$X$71="Forfait",IF(EK$20&gt;='01_Input'!$V$71,'01_Input'!$Y$71,0),IF('01_Input'!$X$71="Palier",IF(AND(EK$20&gt;='01_Input'!$V$71,EK$20&lt;'01_Input'!$W$71),'01_Input'!$Y$71,0),MAX(MIN(EK$20,'01_Input'!$W$71)-'01_Input'!$V$71,0)*'01_Input'!$Y$71))+IF('01_Input'!$AB$71="Forfait",IF(EK$20&gt;='01_Input'!$Z$71,'01_Input'!$AC$71,0),IF('01_Input'!$AB$71="Palier",IF(AND(EK$20&gt;='01_Input'!$Z$71,EK$20&lt;'01_Input'!$AA$71),'01_Input'!$AC$71,0),MAX(MIN(EK$20,'01_Input'!$AA$71)-'01_Input'!$Z$71,0)*'01_Input'!$AC$71)))))))))</f>
        <v>0</v>
      </c>
      <c r="EL39" s="25">
        <f>IF('01_Input'!$C$71="Non",0,MIN('01_Input'!$I$71,MAX('01_Input'!$H$71,IF('01_Input'!$G$71="Résiduel vs Gestion",0,IF('01_Input'!$G$71="Taux Classe sélectionnée",Distrib_Global_Classe_Selectionnee*EL$20,IF('01_Input'!$G$71="Frais KYC (paliers de 100M€)",MAX(0,Nb_Investisseurs-Nb_KYC_Gratuites_Par_Tranche*(FLOOR(EL$20/Taille_Tranche_KYC,1)+1))*Cout_Par_KYC_Supplementaire,(IF('01_Input'!$L$71="Forfait",IF(EL$20&gt;='01_Input'!$J$71,'01_Input'!$M$71,0),IF('01_Input'!$L$71="Palier",IF(AND(EL$20&gt;='01_Input'!$J$71,EL$20&lt;'01_Input'!$K$71),'01_Input'!$M$71,0),MAX(MIN(EL$20,'01_Input'!$K$71)-'01_Input'!$J$71,0)*'01_Input'!$M$71))+IF('01_Input'!$P$71="Forfait",IF(EL$20&gt;='01_Input'!$N$71,'01_Input'!$Q$71,0),IF('01_Input'!$P$71="Palier",IF(AND(EL$20&gt;='01_Input'!$N$71,EL$20&lt;'01_Input'!$O$71),'01_Input'!$Q$71,0),MAX(MIN(EL$20,'01_Input'!$O$71)-'01_Input'!$N$71,0)*'01_Input'!$Q$71))+IF('01_Input'!$T$71="Forfait",IF(EL$20&gt;='01_Input'!$R$71,'01_Input'!$U$71,0),IF('01_Input'!$T$71="Palier",IF(AND(EL$20&gt;='01_Input'!$R$71,EL$20&lt;'01_Input'!$S$71),'01_Input'!$U$71,0),MAX(MIN(EL$20,'01_Input'!$S$71)-'01_Input'!$R$71,0)*'01_Input'!$U$71))+IF('01_Input'!$X$71="Forfait",IF(EL$20&gt;='01_Input'!$V$71,'01_Input'!$Y$71,0),IF('01_Input'!$X$71="Palier",IF(AND(EL$20&gt;='01_Input'!$V$71,EL$20&lt;'01_Input'!$W$71),'01_Input'!$Y$71,0),MAX(MIN(EL$20,'01_Input'!$W$71)-'01_Input'!$V$71,0)*'01_Input'!$Y$71))+IF('01_Input'!$AB$71="Forfait",IF(EL$20&gt;='01_Input'!$Z$71,'01_Input'!$AC$71,0),IF('01_Input'!$AB$71="Palier",IF(AND(EL$20&gt;='01_Input'!$Z$71,EL$20&lt;'01_Input'!$AA$71),'01_Input'!$AC$71,0),MAX(MIN(EL$20,'01_Input'!$AA$71)-'01_Input'!$Z$71,0)*'01_Input'!$AC$71)))))))))</f>
        <v>0</v>
      </c>
      <c r="EM39" s="25">
        <f>IF('01_Input'!$C$71="Non",0,MIN('01_Input'!$I$71,MAX('01_Input'!$H$71,IF('01_Input'!$G$71="Résiduel vs Gestion",0,IF('01_Input'!$G$71="Taux Classe sélectionnée",Distrib_Global_Classe_Selectionnee*EM$20,IF('01_Input'!$G$71="Frais KYC (paliers de 100M€)",MAX(0,Nb_Investisseurs-Nb_KYC_Gratuites_Par_Tranche*(FLOOR(EM$20/Taille_Tranche_KYC,1)+1))*Cout_Par_KYC_Supplementaire,(IF('01_Input'!$L$71="Forfait",IF(EM$20&gt;='01_Input'!$J$71,'01_Input'!$M$71,0),IF('01_Input'!$L$71="Palier",IF(AND(EM$20&gt;='01_Input'!$J$71,EM$20&lt;'01_Input'!$K$71),'01_Input'!$M$71,0),MAX(MIN(EM$20,'01_Input'!$K$71)-'01_Input'!$J$71,0)*'01_Input'!$M$71))+IF('01_Input'!$P$71="Forfait",IF(EM$20&gt;='01_Input'!$N$71,'01_Input'!$Q$71,0),IF('01_Input'!$P$71="Palier",IF(AND(EM$20&gt;='01_Input'!$N$71,EM$20&lt;'01_Input'!$O$71),'01_Input'!$Q$71,0),MAX(MIN(EM$20,'01_Input'!$O$71)-'01_Input'!$N$71,0)*'01_Input'!$Q$71))+IF('01_Input'!$T$71="Forfait",IF(EM$20&gt;='01_Input'!$R$71,'01_Input'!$U$71,0),IF('01_Input'!$T$71="Palier",IF(AND(EM$20&gt;='01_Input'!$R$71,EM$20&lt;'01_Input'!$S$71),'01_Input'!$U$71,0),MAX(MIN(EM$20,'01_Input'!$S$71)-'01_Input'!$R$71,0)*'01_Input'!$U$71))+IF('01_Input'!$X$71="Forfait",IF(EM$20&gt;='01_Input'!$V$71,'01_Input'!$Y$71,0),IF('01_Input'!$X$71="Palier",IF(AND(EM$20&gt;='01_Input'!$V$71,EM$20&lt;'01_Input'!$W$71),'01_Input'!$Y$71,0),MAX(MIN(EM$20,'01_Input'!$W$71)-'01_Input'!$V$71,0)*'01_Input'!$Y$71))+IF('01_Input'!$AB$71="Forfait",IF(EM$20&gt;='01_Input'!$Z$71,'01_Input'!$AC$71,0),IF('01_Input'!$AB$71="Palier",IF(AND(EM$20&gt;='01_Input'!$Z$71,EM$20&lt;'01_Input'!$AA$71),'01_Input'!$AC$71,0),MAX(MIN(EM$20,'01_Input'!$AA$71)-'01_Input'!$Z$71,0)*'01_Input'!$AC$71)))))))))</f>
        <v>0</v>
      </c>
      <c r="EN39" s="25">
        <f>IF('01_Input'!$C$71="Non",0,MIN('01_Input'!$I$71,MAX('01_Input'!$H$71,IF('01_Input'!$G$71="Résiduel vs Gestion",0,IF('01_Input'!$G$71="Taux Classe sélectionnée",Distrib_Global_Classe_Selectionnee*EN$20,IF('01_Input'!$G$71="Frais KYC (paliers de 100M€)",MAX(0,Nb_Investisseurs-Nb_KYC_Gratuites_Par_Tranche*(FLOOR(EN$20/Taille_Tranche_KYC,1)+1))*Cout_Par_KYC_Supplementaire,(IF('01_Input'!$L$71="Forfait",IF(EN$20&gt;='01_Input'!$J$71,'01_Input'!$M$71,0),IF('01_Input'!$L$71="Palier",IF(AND(EN$20&gt;='01_Input'!$J$71,EN$20&lt;'01_Input'!$K$71),'01_Input'!$M$71,0),MAX(MIN(EN$20,'01_Input'!$K$71)-'01_Input'!$J$71,0)*'01_Input'!$M$71))+IF('01_Input'!$P$71="Forfait",IF(EN$20&gt;='01_Input'!$N$71,'01_Input'!$Q$71,0),IF('01_Input'!$P$71="Palier",IF(AND(EN$20&gt;='01_Input'!$N$71,EN$20&lt;'01_Input'!$O$71),'01_Input'!$Q$71,0),MAX(MIN(EN$20,'01_Input'!$O$71)-'01_Input'!$N$71,0)*'01_Input'!$Q$71))+IF('01_Input'!$T$71="Forfait",IF(EN$20&gt;='01_Input'!$R$71,'01_Input'!$U$71,0),IF('01_Input'!$T$71="Palier",IF(AND(EN$20&gt;='01_Input'!$R$71,EN$20&lt;'01_Input'!$S$71),'01_Input'!$U$71,0),MAX(MIN(EN$20,'01_Input'!$S$71)-'01_Input'!$R$71,0)*'01_Input'!$U$71))+IF('01_Input'!$X$71="Forfait",IF(EN$20&gt;='01_Input'!$V$71,'01_Input'!$Y$71,0),IF('01_Input'!$X$71="Palier",IF(AND(EN$20&gt;='01_Input'!$V$71,EN$20&lt;'01_Input'!$W$71),'01_Input'!$Y$71,0),MAX(MIN(EN$20,'01_Input'!$W$71)-'01_Input'!$V$71,0)*'01_Input'!$Y$71))+IF('01_Input'!$AB$71="Forfait",IF(EN$20&gt;='01_Input'!$Z$71,'01_Input'!$AC$71,0),IF('01_Input'!$AB$71="Palier",IF(AND(EN$20&gt;='01_Input'!$Z$71,EN$20&lt;'01_Input'!$AA$71),'01_Input'!$AC$71,0),MAX(MIN(EN$20,'01_Input'!$AA$71)-'01_Input'!$Z$71,0)*'01_Input'!$AC$71)))))))))</f>
        <v>0</v>
      </c>
      <c r="EO39" s="25">
        <f>IF('01_Input'!$C$71="Non",0,MIN('01_Input'!$I$71,MAX('01_Input'!$H$71,IF('01_Input'!$G$71="Résiduel vs Gestion",0,IF('01_Input'!$G$71="Taux Classe sélectionnée",Distrib_Global_Classe_Selectionnee*EO$20,IF('01_Input'!$G$71="Frais KYC (paliers de 100M€)",MAX(0,Nb_Investisseurs-Nb_KYC_Gratuites_Par_Tranche*(FLOOR(EO$20/Taille_Tranche_KYC,1)+1))*Cout_Par_KYC_Supplementaire,(IF('01_Input'!$L$71="Forfait",IF(EO$20&gt;='01_Input'!$J$71,'01_Input'!$M$71,0),IF('01_Input'!$L$71="Palier",IF(AND(EO$20&gt;='01_Input'!$J$71,EO$20&lt;'01_Input'!$K$71),'01_Input'!$M$71,0),MAX(MIN(EO$20,'01_Input'!$K$71)-'01_Input'!$J$71,0)*'01_Input'!$M$71))+IF('01_Input'!$P$71="Forfait",IF(EO$20&gt;='01_Input'!$N$71,'01_Input'!$Q$71,0),IF('01_Input'!$P$71="Palier",IF(AND(EO$20&gt;='01_Input'!$N$71,EO$20&lt;'01_Input'!$O$71),'01_Input'!$Q$71,0),MAX(MIN(EO$20,'01_Input'!$O$71)-'01_Input'!$N$71,0)*'01_Input'!$Q$71))+IF('01_Input'!$T$71="Forfait",IF(EO$20&gt;='01_Input'!$R$71,'01_Input'!$U$71,0),IF('01_Input'!$T$71="Palier",IF(AND(EO$20&gt;='01_Input'!$R$71,EO$20&lt;'01_Input'!$S$71),'01_Input'!$U$71,0),MAX(MIN(EO$20,'01_Input'!$S$71)-'01_Input'!$R$71,0)*'01_Input'!$U$71))+IF('01_Input'!$X$71="Forfait",IF(EO$20&gt;='01_Input'!$V$71,'01_Input'!$Y$71,0),IF('01_Input'!$X$71="Palier",IF(AND(EO$20&gt;='01_Input'!$V$71,EO$20&lt;'01_Input'!$W$71),'01_Input'!$Y$71,0),MAX(MIN(EO$20,'01_Input'!$W$71)-'01_Input'!$V$71,0)*'01_Input'!$Y$71))+IF('01_Input'!$AB$71="Forfait",IF(EO$20&gt;='01_Input'!$Z$71,'01_Input'!$AC$71,0),IF('01_Input'!$AB$71="Palier",IF(AND(EO$20&gt;='01_Input'!$Z$71,EO$20&lt;'01_Input'!$AA$71),'01_Input'!$AC$71,0),MAX(MIN(EO$20,'01_Input'!$AA$71)-'01_Input'!$Z$71,0)*'01_Input'!$AC$71)))))))))</f>
        <v>0</v>
      </c>
      <c r="EP39" s="25">
        <f>IF('01_Input'!$C$71="Non",0,MIN('01_Input'!$I$71,MAX('01_Input'!$H$71,IF('01_Input'!$G$71="Résiduel vs Gestion",0,IF('01_Input'!$G$71="Taux Classe sélectionnée",Distrib_Global_Classe_Selectionnee*EP$20,IF('01_Input'!$G$71="Frais KYC (paliers de 100M€)",MAX(0,Nb_Investisseurs-Nb_KYC_Gratuites_Par_Tranche*(FLOOR(EP$20/Taille_Tranche_KYC,1)+1))*Cout_Par_KYC_Supplementaire,(IF('01_Input'!$L$71="Forfait",IF(EP$20&gt;='01_Input'!$J$71,'01_Input'!$M$71,0),IF('01_Input'!$L$71="Palier",IF(AND(EP$20&gt;='01_Input'!$J$71,EP$20&lt;'01_Input'!$K$71),'01_Input'!$M$71,0),MAX(MIN(EP$20,'01_Input'!$K$71)-'01_Input'!$J$71,0)*'01_Input'!$M$71))+IF('01_Input'!$P$71="Forfait",IF(EP$20&gt;='01_Input'!$N$71,'01_Input'!$Q$71,0),IF('01_Input'!$P$71="Palier",IF(AND(EP$20&gt;='01_Input'!$N$71,EP$20&lt;'01_Input'!$O$71),'01_Input'!$Q$71,0),MAX(MIN(EP$20,'01_Input'!$O$71)-'01_Input'!$N$71,0)*'01_Input'!$Q$71))+IF('01_Input'!$T$71="Forfait",IF(EP$20&gt;='01_Input'!$R$71,'01_Input'!$U$71,0),IF('01_Input'!$T$71="Palier",IF(AND(EP$20&gt;='01_Input'!$R$71,EP$20&lt;'01_Input'!$S$71),'01_Input'!$U$71,0),MAX(MIN(EP$20,'01_Input'!$S$71)-'01_Input'!$R$71,0)*'01_Input'!$U$71))+IF('01_Input'!$X$71="Forfait",IF(EP$20&gt;='01_Input'!$V$71,'01_Input'!$Y$71,0),IF('01_Input'!$X$71="Palier",IF(AND(EP$20&gt;='01_Input'!$V$71,EP$20&lt;'01_Input'!$W$71),'01_Input'!$Y$71,0),MAX(MIN(EP$20,'01_Input'!$W$71)-'01_Input'!$V$71,0)*'01_Input'!$Y$71))+IF('01_Input'!$AB$71="Forfait",IF(EP$20&gt;='01_Input'!$Z$71,'01_Input'!$AC$71,0),IF('01_Input'!$AB$71="Palier",IF(AND(EP$20&gt;='01_Input'!$Z$71,EP$20&lt;'01_Input'!$AA$71),'01_Input'!$AC$71,0),MAX(MIN(EP$20,'01_Input'!$AA$71)-'01_Input'!$Z$71,0)*'01_Input'!$AC$71)))))))))</f>
        <v>0</v>
      </c>
      <c r="EQ39" s="25">
        <f>IF('01_Input'!$C$71="Non",0,MIN('01_Input'!$I$71,MAX('01_Input'!$H$71,IF('01_Input'!$G$71="Résiduel vs Gestion",0,IF('01_Input'!$G$71="Taux Classe sélectionnée",Distrib_Global_Classe_Selectionnee*EQ$20,IF('01_Input'!$G$71="Frais KYC (paliers de 100M€)",MAX(0,Nb_Investisseurs-Nb_KYC_Gratuites_Par_Tranche*(FLOOR(EQ$20/Taille_Tranche_KYC,1)+1))*Cout_Par_KYC_Supplementaire,(IF('01_Input'!$L$71="Forfait",IF(EQ$20&gt;='01_Input'!$J$71,'01_Input'!$M$71,0),IF('01_Input'!$L$71="Palier",IF(AND(EQ$20&gt;='01_Input'!$J$71,EQ$20&lt;'01_Input'!$K$71),'01_Input'!$M$71,0),MAX(MIN(EQ$20,'01_Input'!$K$71)-'01_Input'!$J$71,0)*'01_Input'!$M$71))+IF('01_Input'!$P$71="Forfait",IF(EQ$20&gt;='01_Input'!$N$71,'01_Input'!$Q$71,0),IF('01_Input'!$P$71="Palier",IF(AND(EQ$20&gt;='01_Input'!$N$71,EQ$20&lt;'01_Input'!$O$71),'01_Input'!$Q$71,0),MAX(MIN(EQ$20,'01_Input'!$O$71)-'01_Input'!$N$71,0)*'01_Input'!$Q$71))+IF('01_Input'!$T$71="Forfait",IF(EQ$20&gt;='01_Input'!$R$71,'01_Input'!$U$71,0),IF('01_Input'!$T$71="Palier",IF(AND(EQ$20&gt;='01_Input'!$R$71,EQ$20&lt;'01_Input'!$S$71),'01_Input'!$U$71,0),MAX(MIN(EQ$20,'01_Input'!$S$71)-'01_Input'!$R$71,0)*'01_Input'!$U$71))+IF('01_Input'!$X$71="Forfait",IF(EQ$20&gt;='01_Input'!$V$71,'01_Input'!$Y$71,0),IF('01_Input'!$X$71="Palier",IF(AND(EQ$20&gt;='01_Input'!$V$71,EQ$20&lt;'01_Input'!$W$71),'01_Input'!$Y$71,0),MAX(MIN(EQ$20,'01_Input'!$W$71)-'01_Input'!$V$71,0)*'01_Input'!$Y$71))+IF('01_Input'!$AB$71="Forfait",IF(EQ$20&gt;='01_Input'!$Z$71,'01_Input'!$AC$71,0),IF('01_Input'!$AB$71="Palier",IF(AND(EQ$20&gt;='01_Input'!$Z$71,EQ$20&lt;'01_Input'!$AA$71),'01_Input'!$AC$71,0),MAX(MIN(EQ$20,'01_Input'!$AA$71)-'01_Input'!$Z$71,0)*'01_Input'!$AC$71)))))))))</f>
        <v>0</v>
      </c>
      <c r="ER39" s="25">
        <f>IF('01_Input'!$C$71="Non",0,MIN('01_Input'!$I$71,MAX('01_Input'!$H$71,IF('01_Input'!$G$71="Résiduel vs Gestion",0,IF('01_Input'!$G$71="Taux Classe sélectionnée",Distrib_Global_Classe_Selectionnee*ER$20,IF('01_Input'!$G$71="Frais KYC (paliers de 100M€)",MAX(0,Nb_Investisseurs-Nb_KYC_Gratuites_Par_Tranche*(FLOOR(ER$20/Taille_Tranche_KYC,1)+1))*Cout_Par_KYC_Supplementaire,(IF('01_Input'!$L$71="Forfait",IF(ER$20&gt;='01_Input'!$J$71,'01_Input'!$M$71,0),IF('01_Input'!$L$71="Palier",IF(AND(ER$20&gt;='01_Input'!$J$71,ER$20&lt;'01_Input'!$K$71),'01_Input'!$M$71,0),MAX(MIN(ER$20,'01_Input'!$K$71)-'01_Input'!$J$71,0)*'01_Input'!$M$71))+IF('01_Input'!$P$71="Forfait",IF(ER$20&gt;='01_Input'!$N$71,'01_Input'!$Q$71,0),IF('01_Input'!$P$71="Palier",IF(AND(ER$20&gt;='01_Input'!$N$71,ER$20&lt;'01_Input'!$O$71),'01_Input'!$Q$71,0),MAX(MIN(ER$20,'01_Input'!$O$71)-'01_Input'!$N$71,0)*'01_Input'!$Q$71))+IF('01_Input'!$T$71="Forfait",IF(ER$20&gt;='01_Input'!$R$71,'01_Input'!$U$71,0),IF('01_Input'!$T$71="Palier",IF(AND(ER$20&gt;='01_Input'!$R$71,ER$20&lt;'01_Input'!$S$71),'01_Input'!$U$71,0),MAX(MIN(ER$20,'01_Input'!$S$71)-'01_Input'!$R$71,0)*'01_Input'!$U$71))+IF('01_Input'!$X$71="Forfait",IF(ER$20&gt;='01_Input'!$V$71,'01_Input'!$Y$71,0),IF('01_Input'!$X$71="Palier",IF(AND(ER$20&gt;='01_Input'!$V$71,ER$20&lt;'01_Input'!$W$71),'01_Input'!$Y$71,0),MAX(MIN(ER$20,'01_Input'!$W$71)-'01_Input'!$V$71,0)*'01_Input'!$Y$71))+IF('01_Input'!$AB$71="Forfait",IF(ER$20&gt;='01_Input'!$Z$71,'01_Input'!$AC$71,0),IF('01_Input'!$AB$71="Palier",IF(AND(ER$20&gt;='01_Input'!$Z$71,ER$20&lt;'01_Input'!$AA$71),'01_Input'!$AC$71,0),MAX(MIN(ER$20,'01_Input'!$AA$71)-'01_Input'!$Z$71,0)*'01_Input'!$AC$71)))))))))</f>
        <v>0</v>
      </c>
      <c r="ES39" s="25">
        <f>IF('01_Input'!$C$71="Non",0,MIN('01_Input'!$I$71,MAX('01_Input'!$H$71,IF('01_Input'!$G$71="Résiduel vs Gestion",0,IF('01_Input'!$G$71="Taux Classe sélectionnée",Distrib_Global_Classe_Selectionnee*ES$20,IF('01_Input'!$G$71="Frais KYC (paliers de 100M€)",MAX(0,Nb_Investisseurs-Nb_KYC_Gratuites_Par_Tranche*(FLOOR(ES$20/Taille_Tranche_KYC,1)+1))*Cout_Par_KYC_Supplementaire,(IF('01_Input'!$L$71="Forfait",IF(ES$20&gt;='01_Input'!$J$71,'01_Input'!$M$71,0),IF('01_Input'!$L$71="Palier",IF(AND(ES$20&gt;='01_Input'!$J$71,ES$20&lt;'01_Input'!$K$71),'01_Input'!$M$71,0),MAX(MIN(ES$20,'01_Input'!$K$71)-'01_Input'!$J$71,0)*'01_Input'!$M$71))+IF('01_Input'!$P$71="Forfait",IF(ES$20&gt;='01_Input'!$N$71,'01_Input'!$Q$71,0),IF('01_Input'!$P$71="Palier",IF(AND(ES$20&gt;='01_Input'!$N$71,ES$20&lt;'01_Input'!$O$71),'01_Input'!$Q$71,0),MAX(MIN(ES$20,'01_Input'!$O$71)-'01_Input'!$N$71,0)*'01_Input'!$Q$71))+IF('01_Input'!$T$71="Forfait",IF(ES$20&gt;='01_Input'!$R$71,'01_Input'!$U$71,0),IF('01_Input'!$T$71="Palier",IF(AND(ES$20&gt;='01_Input'!$R$71,ES$20&lt;'01_Input'!$S$71),'01_Input'!$U$71,0),MAX(MIN(ES$20,'01_Input'!$S$71)-'01_Input'!$R$71,0)*'01_Input'!$U$71))+IF('01_Input'!$X$71="Forfait",IF(ES$20&gt;='01_Input'!$V$71,'01_Input'!$Y$71,0),IF('01_Input'!$X$71="Palier",IF(AND(ES$20&gt;='01_Input'!$V$71,ES$20&lt;'01_Input'!$W$71),'01_Input'!$Y$71,0),MAX(MIN(ES$20,'01_Input'!$W$71)-'01_Input'!$V$71,0)*'01_Input'!$Y$71))+IF('01_Input'!$AB$71="Forfait",IF(ES$20&gt;='01_Input'!$Z$71,'01_Input'!$AC$71,0),IF('01_Input'!$AB$71="Palier",IF(AND(ES$20&gt;='01_Input'!$Z$71,ES$20&lt;'01_Input'!$AA$71),'01_Input'!$AC$71,0),MAX(MIN(ES$20,'01_Input'!$AA$71)-'01_Input'!$Z$71,0)*'01_Input'!$AC$71)))))))))</f>
        <v>0</v>
      </c>
      <c r="ET39" s="25">
        <f>IF('01_Input'!$C$71="Non",0,MIN('01_Input'!$I$71,MAX('01_Input'!$H$71,IF('01_Input'!$G$71="Résiduel vs Gestion",0,IF('01_Input'!$G$71="Taux Classe sélectionnée",Distrib_Global_Classe_Selectionnee*ET$20,IF('01_Input'!$G$71="Frais KYC (paliers de 100M€)",MAX(0,Nb_Investisseurs-Nb_KYC_Gratuites_Par_Tranche*(FLOOR(ET$20/Taille_Tranche_KYC,1)+1))*Cout_Par_KYC_Supplementaire,(IF('01_Input'!$L$71="Forfait",IF(ET$20&gt;='01_Input'!$J$71,'01_Input'!$M$71,0),IF('01_Input'!$L$71="Palier",IF(AND(ET$20&gt;='01_Input'!$J$71,ET$20&lt;'01_Input'!$K$71),'01_Input'!$M$71,0),MAX(MIN(ET$20,'01_Input'!$K$71)-'01_Input'!$J$71,0)*'01_Input'!$M$71))+IF('01_Input'!$P$71="Forfait",IF(ET$20&gt;='01_Input'!$N$71,'01_Input'!$Q$71,0),IF('01_Input'!$P$71="Palier",IF(AND(ET$20&gt;='01_Input'!$N$71,ET$20&lt;'01_Input'!$O$71),'01_Input'!$Q$71,0),MAX(MIN(ET$20,'01_Input'!$O$71)-'01_Input'!$N$71,0)*'01_Input'!$Q$71))+IF('01_Input'!$T$71="Forfait",IF(ET$20&gt;='01_Input'!$R$71,'01_Input'!$U$71,0),IF('01_Input'!$T$71="Palier",IF(AND(ET$20&gt;='01_Input'!$R$71,ET$20&lt;'01_Input'!$S$71),'01_Input'!$U$71,0),MAX(MIN(ET$20,'01_Input'!$S$71)-'01_Input'!$R$71,0)*'01_Input'!$U$71))+IF('01_Input'!$X$71="Forfait",IF(ET$20&gt;='01_Input'!$V$71,'01_Input'!$Y$71,0),IF('01_Input'!$X$71="Palier",IF(AND(ET$20&gt;='01_Input'!$V$71,ET$20&lt;'01_Input'!$W$71),'01_Input'!$Y$71,0),MAX(MIN(ET$20,'01_Input'!$W$71)-'01_Input'!$V$71,0)*'01_Input'!$Y$71))+IF('01_Input'!$AB$71="Forfait",IF(ET$20&gt;='01_Input'!$Z$71,'01_Input'!$AC$71,0),IF('01_Input'!$AB$71="Palier",IF(AND(ET$20&gt;='01_Input'!$Z$71,ET$20&lt;'01_Input'!$AA$71),'01_Input'!$AC$71,0),MAX(MIN(ET$20,'01_Input'!$AA$71)-'01_Input'!$Z$71,0)*'01_Input'!$AC$71)))))))))</f>
        <v>0</v>
      </c>
      <c r="EU39" s="25">
        <f>IF('01_Input'!$C$71="Non",0,MIN('01_Input'!$I$71,MAX('01_Input'!$H$71,IF('01_Input'!$G$71="Résiduel vs Gestion",0,IF('01_Input'!$G$71="Taux Classe sélectionnée",Distrib_Global_Classe_Selectionnee*EU$20,IF('01_Input'!$G$71="Frais KYC (paliers de 100M€)",MAX(0,Nb_Investisseurs-Nb_KYC_Gratuites_Par_Tranche*(FLOOR(EU$20/Taille_Tranche_KYC,1)+1))*Cout_Par_KYC_Supplementaire,(IF('01_Input'!$L$71="Forfait",IF(EU$20&gt;='01_Input'!$J$71,'01_Input'!$M$71,0),IF('01_Input'!$L$71="Palier",IF(AND(EU$20&gt;='01_Input'!$J$71,EU$20&lt;'01_Input'!$K$71),'01_Input'!$M$71,0),MAX(MIN(EU$20,'01_Input'!$K$71)-'01_Input'!$J$71,0)*'01_Input'!$M$71))+IF('01_Input'!$P$71="Forfait",IF(EU$20&gt;='01_Input'!$N$71,'01_Input'!$Q$71,0),IF('01_Input'!$P$71="Palier",IF(AND(EU$20&gt;='01_Input'!$N$71,EU$20&lt;'01_Input'!$O$71),'01_Input'!$Q$71,0),MAX(MIN(EU$20,'01_Input'!$O$71)-'01_Input'!$N$71,0)*'01_Input'!$Q$71))+IF('01_Input'!$T$71="Forfait",IF(EU$20&gt;='01_Input'!$R$71,'01_Input'!$U$71,0),IF('01_Input'!$T$71="Palier",IF(AND(EU$20&gt;='01_Input'!$R$71,EU$20&lt;'01_Input'!$S$71),'01_Input'!$U$71,0),MAX(MIN(EU$20,'01_Input'!$S$71)-'01_Input'!$R$71,0)*'01_Input'!$U$71))+IF('01_Input'!$X$71="Forfait",IF(EU$20&gt;='01_Input'!$V$71,'01_Input'!$Y$71,0),IF('01_Input'!$X$71="Palier",IF(AND(EU$20&gt;='01_Input'!$V$71,EU$20&lt;'01_Input'!$W$71),'01_Input'!$Y$71,0),MAX(MIN(EU$20,'01_Input'!$W$71)-'01_Input'!$V$71,0)*'01_Input'!$Y$71))+IF('01_Input'!$AB$71="Forfait",IF(EU$20&gt;='01_Input'!$Z$71,'01_Input'!$AC$71,0),IF('01_Input'!$AB$71="Palier",IF(AND(EU$20&gt;='01_Input'!$Z$71,EU$20&lt;'01_Input'!$AA$71),'01_Input'!$AC$71,0),MAX(MIN(EU$20,'01_Input'!$AA$71)-'01_Input'!$Z$71,0)*'01_Input'!$AC$71)))))))))</f>
        <v>0</v>
      </c>
      <c r="EV39" s="25">
        <f>IF('01_Input'!$C$71="Non",0,MIN('01_Input'!$I$71,MAX('01_Input'!$H$71,IF('01_Input'!$G$71="Résiduel vs Gestion",0,IF('01_Input'!$G$71="Taux Classe sélectionnée",Distrib_Global_Classe_Selectionnee*EV$20,IF('01_Input'!$G$71="Frais KYC (paliers de 100M€)",MAX(0,Nb_Investisseurs-Nb_KYC_Gratuites_Par_Tranche*(FLOOR(EV$20/Taille_Tranche_KYC,1)+1))*Cout_Par_KYC_Supplementaire,(IF('01_Input'!$L$71="Forfait",IF(EV$20&gt;='01_Input'!$J$71,'01_Input'!$M$71,0),IF('01_Input'!$L$71="Palier",IF(AND(EV$20&gt;='01_Input'!$J$71,EV$20&lt;'01_Input'!$K$71),'01_Input'!$M$71,0),MAX(MIN(EV$20,'01_Input'!$K$71)-'01_Input'!$J$71,0)*'01_Input'!$M$71))+IF('01_Input'!$P$71="Forfait",IF(EV$20&gt;='01_Input'!$N$71,'01_Input'!$Q$71,0),IF('01_Input'!$P$71="Palier",IF(AND(EV$20&gt;='01_Input'!$N$71,EV$20&lt;'01_Input'!$O$71),'01_Input'!$Q$71,0),MAX(MIN(EV$20,'01_Input'!$O$71)-'01_Input'!$N$71,0)*'01_Input'!$Q$71))+IF('01_Input'!$T$71="Forfait",IF(EV$20&gt;='01_Input'!$R$71,'01_Input'!$U$71,0),IF('01_Input'!$T$71="Palier",IF(AND(EV$20&gt;='01_Input'!$R$71,EV$20&lt;'01_Input'!$S$71),'01_Input'!$U$71,0),MAX(MIN(EV$20,'01_Input'!$S$71)-'01_Input'!$R$71,0)*'01_Input'!$U$71))+IF('01_Input'!$X$71="Forfait",IF(EV$20&gt;='01_Input'!$V$71,'01_Input'!$Y$71,0),IF('01_Input'!$X$71="Palier",IF(AND(EV$20&gt;='01_Input'!$V$71,EV$20&lt;'01_Input'!$W$71),'01_Input'!$Y$71,0),MAX(MIN(EV$20,'01_Input'!$W$71)-'01_Input'!$V$71,0)*'01_Input'!$Y$71))+IF('01_Input'!$AB$71="Forfait",IF(EV$20&gt;='01_Input'!$Z$71,'01_Input'!$AC$71,0),IF('01_Input'!$AB$71="Palier",IF(AND(EV$20&gt;='01_Input'!$Z$71,EV$20&lt;'01_Input'!$AA$71),'01_Input'!$AC$71,0),MAX(MIN(EV$20,'01_Input'!$AA$71)-'01_Input'!$Z$71,0)*'01_Input'!$AC$71)))))))))</f>
        <v>0</v>
      </c>
      <c r="EW39" s="25">
        <f>IF('01_Input'!$C$71="Non",0,MIN('01_Input'!$I$71,MAX('01_Input'!$H$71,IF('01_Input'!$G$71="Résiduel vs Gestion",0,IF('01_Input'!$G$71="Taux Classe sélectionnée",Distrib_Global_Classe_Selectionnee*EW$20,IF('01_Input'!$G$71="Frais KYC (paliers de 100M€)",MAX(0,Nb_Investisseurs-Nb_KYC_Gratuites_Par_Tranche*(FLOOR(EW$20/Taille_Tranche_KYC,1)+1))*Cout_Par_KYC_Supplementaire,(IF('01_Input'!$L$71="Forfait",IF(EW$20&gt;='01_Input'!$J$71,'01_Input'!$M$71,0),IF('01_Input'!$L$71="Palier",IF(AND(EW$20&gt;='01_Input'!$J$71,EW$20&lt;'01_Input'!$K$71),'01_Input'!$M$71,0),MAX(MIN(EW$20,'01_Input'!$K$71)-'01_Input'!$J$71,0)*'01_Input'!$M$71))+IF('01_Input'!$P$71="Forfait",IF(EW$20&gt;='01_Input'!$N$71,'01_Input'!$Q$71,0),IF('01_Input'!$P$71="Palier",IF(AND(EW$20&gt;='01_Input'!$N$71,EW$20&lt;'01_Input'!$O$71),'01_Input'!$Q$71,0),MAX(MIN(EW$20,'01_Input'!$O$71)-'01_Input'!$N$71,0)*'01_Input'!$Q$71))+IF('01_Input'!$T$71="Forfait",IF(EW$20&gt;='01_Input'!$R$71,'01_Input'!$U$71,0),IF('01_Input'!$T$71="Palier",IF(AND(EW$20&gt;='01_Input'!$R$71,EW$20&lt;'01_Input'!$S$71),'01_Input'!$U$71,0),MAX(MIN(EW$20,'01_Input'!$S$71)-'01_Input'!$R$71,0)*'01_Input'!$U$71))+IF('01_Input'!$X$71="Forfait",IF(EW$20&gt;='01_Input'!$V$71,'01_Input'!$Y$71,0),IF('01_Input'!$X$71="Palier",IF(AND(EW$20&gt;='01_Input'!$V$71,EW$20&lt;'01_Input'!$W$71),'01_Input'!$Y$71,0),MAX(MIN(EW$20,'01_Input'!$W$71)-'01_Input'!$V$71,0)*'01_Input'!$Y$71))+IF('01_Input'!$AB$71="Forfait",IF(EW$20&gt;='01_Input'!$Z$71,'01_Input'!$AC$71,0),IF('01_Input'!$AB$71="Palier",IF(AND(EW$20&gt;='01_Input'!$Z$71,EW$20&lt;'01_Input'!$AA$71),'01_Input'!$AC$71,0),MAX(MIN(EW$20,'01_Input'!$AA$71)-'01_Input'!$Z$71,0)*'01_Input'!$AC$71)))))))))</f>
        <v>0</v>
      </c>
      <c r="EX39" s="25">
        <f>IF('01_Input'!$C$71="Non",0,MIN('01_Input'!$I$71,MAX('01_Input'!$H$71,IF('01_Input'!$G$71="Résiduel vs Gestion",0,IF('01_Input'!$G$71="Taux Classe sélectionnée",Distrib_Global_Classe_Selectionnee*EX$20,IF('01_Input'!$G$71="Frais KYC (paliers de 100M€)",MAX(0,Nb_Investisseurs-Nb_KYC_Gratuites_Par_Tranche*(FLOOR(EX$20/Taille_Tranche_KYC,1)+1))*Cout_Par_KYC_Supplementaire,(IF('01_Input'!$L$71="Forfait",IF(EX$20&gt;='01_Input'!$J$71,'01_Input'!$M$71,0),IF('01_Input'!$L$71="Palier",IF(AND(EX$20&gt;='01_Input'!$J$71,EX$20&lt;'01_Input'!$K$71),'01_Input'!$M$71,0),MAX(MIN(EX$20,'01_Input'!$K$71)-'01_Input'!$J$71,0)*'01_Input'!$M$71))+IF('01_Input'!$P$71="Forfait",IF(EX$20&gt;='01_Input'!$N$71,'01_Input'!$Q$71,0),IF('01_Input'!$P$71="Palier",IF(AND(EX$20&gt;='01_Input'!$N$71,EX$20&lt;'01_Input'!$O$71),'01_Input'!$Q$71,0),MAX(MIN(EX$20,'01_Input'!$O$71)-'01_Input'!$N$71,0)*'01_Input'!$Q$71))+IF('01_Input'!$T$71="Forfait",IF(EX$20&gt;='01_Input'!$R$71,'01_Input'!$U$71,0),IF('01_Input'!$T$71="Palier",IF(AND(EX$20&gt;='01_Input'!$R$71,EX$20&lt;'01_Input'!$S$71),'01_Input'!$U$71,0),MAX(MIN(EX$20,'01_Input'!$S$71)-'01_Input'!$R$71,0)*'01_Input'!$U$71))+IF('01_Input'!$X$71="Forfait",IF(EX$20&gt;='01_Input'!$V$71,'01_Input'!$Y$71,0),IF('01_Input'!$X$71="Palier",IF(AND(EX$20&gt;='01_Input'!$V$71,EX$20&lt;'01_Input'!$W$71),'01_Input'!$Y$71,0),MAX(MIN(EX$20,'01_Input'!$W$71)-'01_Input'!$V$71,0)*'01_Input'!$Y$71))+IF('01_Input'!$AB$71="Forfait",IF(EX$20&gt;='01_Input'!$Z$71,'01_Input'!$AC$71,0),IF('01_Input'!$AB$71="Palier",IF(AND(EX$20&gt;='01_Input'!$Z$71,EX$20&lt;'01_Input'!$AA$71),'01_Input'!$AC$71,0),MAX(MIN(EX$20,'01_Input'!$AA$71)-'01_Input'!$Z$71,0)*'01_Input'!$AC$71)))))))))</f>
        <v>0</v>
      </c>
    </row>
    <row r="40" ht="15.75" customHeight="1">
      <c r="B40" s="68" t="str">
        <f>IF('01_Input'!D72="","(inactif)",'01_Input'!D72)</f>
        <v>(inactif)</v>
      </c>
      <c r="C40" s="68" t="str">
        <f>IF('01_Input'!E72="","",'01_Input'!E72)</f>
        <v/>
      </c>
      <c r="D40" s="86" t="str">
        <f>'01_Input'!C72</f>
        <v>Non</v>
      </c>
      <c r="E40" s="83">
        <f>IF('01_Input'!$C$72="Non",0,MIN('01_Input'!$I$72,MAX('01_Input'!$H$72,IF('01_Input'!$G$72="Résiduel vs Gestion",0,IF('01_Input'!$G$72="Taux Classe sélectionnée",Distrib_Global_Classe_Selectionnee*E$20,IF('01_Input'!$G$72="Frais KYC (paliers de 100M€)",MAX(0,Nb_Investisseurs-Nb_KYC_Gratuites_Par_Tranche*(FLOOR(E$20/Taille_Tranche_KYC,1)+1))*Cout_Par_KYC_Supplementaire,(IF('01_Input'!$L$72="Forfait",IF(E$20&gt;='01_Input'!$J$72,'01_Input'!$M$72,0),IF('01_Input'!$L$72="Palier",IF(AND(E$20&gt;='01_Input'!$J$72,E$20&lt;'01_Input'!$K$72),'01_Input'!$M$72,0),MAX(MIN(E$20,'01_Input'!$K$72)-'01_Input'!$J$72,0)*'01_Input'!$M$72))+IF('01_Input'!$P$72="Forfait",IF(E$20&gt;='01_Input'!$N$72,'01_Input'!$Q$72,0),IF('01_Input'!$P$72="Palier",IF(AND(E$20&gt;='01_Input'!$N$72,E$20&lt;'01_Input'!$O$72),'01_Input'!$Q$72,0),MAX(MIN(E$20,'01_Input'!$O$72)-'01_Input'!$N$72,0)*'01_Input'!$Q$72))+IF('01_Input'!$T$72="Forfait",IF(E$20&gt;='01_Input'!$R$72,'01_Input'!$U$72,0),IF('01_Input'!$T$72="Palier",IF(AND(E$20&gt;='01_Input'!$R$72,E$20&lt;'01_Input'!$S$72),'01_Input'!$U$72,0),MAX(MIN(E$20,'01_Input'!$S$72)-'01_Input'!$R$72,0)*'01_Input'!$U$72))+IF('01_Input'!$X$72="Forfait",IF(E$20&gt;='01_Input'!$V$72,'01_Input'!$Y$72,0),IF('01_Input'!$X$72="Palier",IF(AND(E$20&gt;='01_Input'!$V$72,E$20&lt;'01_Input'!$W$72),'01_Input'!$Y$72,0),MAX(MIN(E$20,'01_Input'!$W$72)-'01_Input'!$V$72,0)*'01_Input'!$Y$72))+IF('01_Input'!$AB$72="Forfait",IF(E$20&gt;='01_Input'!$Z$72,'01_Input'!$AC$72,0),IF('01_Input'!$AB$72="Palier",IF(AND(E$20&gt;='01_Input'!$Z$72,E$20&lt;'01_Input'!$AA$72),'01_Input'!$AC$72,0),MAX(MIN(E$20,'01_Input'!$AA$72)-'01_Input'!$Z$72,0)*'01_Input'!$AC$72)))))))))</f>
        <v>0</v>
      </c>
      <c r="F40" s="83">
        <f>IF('01_Input'!$C$72="Non",0,MIN('01_Input'!$I$72,MAX('01_Input'!$H$72,IF('01_Input'!$G$72="Résiduel vs Gestion",0,IF('01_Input'!$G$72="Taux Classe sélectionnée",Distrib_Global_Classe_Selectionnee*F$20,IF('01_Input'!$G$72="Frais KYC (paliers de 100M€)",MAX(0,Nb_Investisseurs-Nb_KYC_Gratuites_Par_Tranche*(FLOOR(F$20/Taille_Tranche_KYC,1)+1))*Cout_Par_KYC_Supplementaire,(IF('01_Input'!$L$72="Forfait",IF(F$20&gt;='01_Input'!$J$72,'01_Input'!$M$72,0),IF('01_Input'!$L$72="Palier",IF(AND(F$20&gt;='01_Input'!$J$72,F$20&lt;'01_Input'!$K$72),'01_Input'!$M$72,0),MAX(MIN(F$20,'01_Input'!$K$72)-'01_Input'!$J$72,0)*'01_Input'!$M$72))+IF('01_Input'!$P$72="Forfait",IF(F$20&gt;='01_Input'!$N$72,'01_Input'!$Q$72,0),IF('01_Input'!$P$72="Palier",IF(AND(F$20&gt;='01_Input'!$N$72,F$20&lt;'01_Input'!$O$72),'01_Input'!$Q$72,0),MAX(MIN(F$20,'01_Input'!$O$72)-'01_Input'!$N$72,0)*'01_Input'!$Q$72))+IF('01_Input'!$T$72="Forfait",IF(F$20&gt;='01_Input'!$R$72,'01_Input'!$U$72,0),IF('01_Input'!$T$72="Palier",IF(AND(F$20&gt;='01_Input'!$R$72,F$20&lt;'01_Input'!$S$72),'01_Input'!$U$72,0),MAX(MIN(F$20,'01_Input'!$S$72)-'01_Input'!$R$72,0)*'01_Input'!$U$72))+IF('01_Input'!$X$72="Forfait",IF(F$20&gt;='01_Input'!$V$72,'01_Input'!$Y$72,0),IF('01_Input'!$X$72="Palier",IF(AND(F$20&gt;='01_Input'!$V$72,F$20&lt;'01_Input'!$W$72),'01_Input'!$Y$72,0),MAX(MIN(F$20,'01_Input'!$W$72)-'01_Input'!$V$72,0)*'01_Input'!$Y$72))+IF('01_Input'!$AB$72="Forfait",IF(F$20&gt;='01_Input'!$Z$72,'01_Input'!$AC$72,0),IF('01_Input'!$AB$72="Palier",IF(AND(F$20&gt;='01_Input'!$Z$72,F$20&lt;'01_Input'!$AA$72),'01_Input'!$AC$72,0),MAX(MIN(F$20,'01_Input'!$AA$72)-'01_Input'!$Z$72,0)*'01_Input'!$AC$72)))))))))</f>
        <v>0</v>
      </c>
      <c r="G40" s="83">
        <f>IF('01_Input'!$C$72="Non",0,MIN('01_Input'!$I$72,MAX('01_Input'!$H$72,IF('01_Input'!$G$72="Résiduel vs Gestion",0,IF('01_Input'!$G$72="Taux Classe sélectionnée",Distrib_Global_Classe_Selectionnee*G$20,IF('01_Input'!$G$72="Frais KYC (paliers de 100M€)",MAX(0,Nb_Investisseurs-Nb_KYC_Gratuites_Par_Tranche*(FLOOR(G$20/Taille_Tranche_KYC,1)+1))*Cout_Par_KYC_Supplementaire,(IF('01_Input'!$L$72="Forfait",IF(G$20&gt;='01_Input'!$J$72,'01_Input'!$M$72,0),IF('01_Input'!$L$72="Palier",IF(AND(G$20&gt;='01_Input'!$J$72,G$20&lt;'01_Input'!$K$72),'01_Input'!$M$72,0),MAX(MIN(G$20,'01_Input'!$K$72)-'01_Input'!$J$72,0)*'01_Input'!$M$72))+IF('01_Input'!$P$72="Forfait",IF(G$20&gt;='01_Input'!$N$72,'01_Input'!$Q$72,0),IF('01_Input'!$P$72="Palier",IF(AND(G$20&gt;='01_Input'!$N$72,G$20&lt;'01_Input'!$O$72),'01_Input'!$Q$72,0),MAX(MIN(G$20,'01_Input'!$O$72)-'01_Input'!$N$72,0)*'01_Input'!$Q$72))+IF('01_Input'!$T$72="Forfait",IF(G$20&gt;='01_Input'!$R$72,'01_Input'!$U$72,0),IF('01_Input'!$T$72="Palier",IF(AND(G$20&gt;='01_Input'!$R$72,G$20&lt;'01_Input'!$S$72),'01_Input'!$U$72,0),MAX(MIN(G$20,'01_Input'!$S$72)-'01_Input'!$R$72,0)*'01_Input'!$U$72))+IF('01_Input'!$X$72="Forfait",IF(G$20&gt;='01_Input'!$V$72,'01_Input'!$Y$72,0),IF('01_Input'!$X$72="Palier",IF(AND(G$20&gt;='01_Input'!$V$72,G$20&lt;'01_Input'!$W$72),'01_Input'!$Y$72,0),MAX(MIN(G$20,'01_Input'!$W$72)-'01_Input'!$V$72,0)*'01_Input'!$Y$72))+IF('01_Input'!$AB$72="Forfait",IF(G$20&gt;='01_Input'!$Z$72,'01_Input'!$AC$72,0),IF('01_Input'!$AB$72="Palier",IF(AND(G$20&gt;='01_Input'!$Z$72,G$20&lt;'01_Input'!$AA$72),'01_Input'!$AC$72,0),MAX(MIN(G$20,'01_Input'!$AA$72)-'01_Input'!$Z$72,0)*'01_Input'!$AC$72)))))))))</f>
        <v>0</v>
      </c>
      <c r="H40" s="83">
        <f>IF('01_Input'!$C$72="Non",0,MIN('01_Input'!$I$72,MAX('01_Input'!$H$72,IF('01_Input'!$G$72="Résiduel vs Gestion",0,IF('01_Input'!$G$72="Taux Classe sélectionnée",Distrib_Global_Classe_Selectionnee*H$20,IF('01_Input'!$G$72="Frais KYC (paliers de 100M€)",MAX(0,Nb_Investisseurs-Nb_KYC_Gratuites_Par_Tranche*(FLOOR(H$20/Taille_Tranche_KYC,1)+1))*Cout_Par_KYC_Supplementaire,(IF('01_Input'!$L$72="Forfait",IF(H$20&gt;='01_Input'!$J$72,'01_Input'!$M$72,0),IF('01_Input'!$L$72="Palier",IF(AND(H$20&gt;='01_Input'!$J$72,H$20&lt;'01_Input'!$K$72),'01_Input'!$M$72,0),MAX(MIN(H$20,'01_Input'!$K$72)-'01_Input'!$J$72,0)*'01_Input'!$M$72))+IF('01_Input'!$P$72="Forfait",IF(H$20&gt;='01_Input'!$N$72,'01_Input'!$Q$72,0),IF('01_Input'!$P$72="Palier",IF(AND(H$20&gt;='01_Input'!$N$72,H$20&lt;'01_Input'!$O$72),'01_Input'!$Q$72,0),MAX(MIN(H$20,'01_Input'!$O$72)-'01_Input'!$N$72,0)*'01_Input'!$Q$72))+IF('01_Input'!$T$72="Forfait",IF(H$20&gt;='01_Input'!$R$72,'01_Input'!$U$72,0),IF('01_Input'!$T$72="Palier",IF(AND(H$20&gt;='01_Input'!$R$72,H$20&lt;'01_Input'!$S$72),'01_Input'!$U$72,0),MAX(MIN(H$20,'01_Input'!$S$72)-'01_Input'!$R$72,0)*'01_Input'!$U$72))+IF('01_Input'!$X$72="Forfait",IF(H$20&gt;='01_Input'!$V$72,'01_Input'!$Y$72,0),IF('01_Input'!$X$72="Palier",IF(AND(H$20&gt;='01_Input'!$V$72,H$20&lt;'01_Input'!$W$72),'01_Input'!$Y$72,0),MAX(MIN(H$20,'01_Input'!$W$72)-'01_Input'!$V$72,0)*'01_Input'!$Y$72))+IF('01_Input'!$AB$72="Forfait",IF(H$20&gt;='01_Input'!$Z$72,'01_Input'!$AC$72,0),IF('01_Input'!$AB$72="Palier",IF(AND(H$20&gt;='01_Input'!$Z$72,H$20&lt;'01_Input'!$AA$72),'01_Input'!$AC$72,0),MAX(MIN(H$20,'01_Input'!$AA$72)-'01_Input'!$Z$72,0)*'01_Input'!$AC$72)))))))))</f>
        <v>0</v>
      </c>
      <c r="I40" s="83">
        <f>IF('01_Input'!$C$72="Non",0,MIN('01_Input'!$I$72,MAX('01_Input'!$H$72,IF('01_Input'!$G$72="Résiduel vs Gestion",0,IF('01_Input'!$G$72="Taux Classe sélectionnée",Distrib_Global_Classe_Selectionnee*I$20,IF('01_Input'!$G$72="Frais KYC (paliers de 100M€)",MAX(0,Nb_Investisseurs-Nb_KYC_Gratuites_Par_Tranche*(FLOOR(I$20/Taille_Tranche_KYC,1)+1))*Cout_Par_KYC_Supplementaire,(IF('01_Input'!$L$72="Forfait",IF(I$20&gt;='01_Input'!$J$72,'01_Input'!$M$72,0),IF('01_Input'!$L$72="Palier",IF(AND(I$20&gt;='01_Input'!$J$72,I$20&lt;'01_Input'!$K$72),'01_Input'!$M$72,0),MAX(MIN(I$20,'01_Input'!$K$72)-'01_Input'!$J$72,0)*'01_Input'!$M$72))+IF('01_Input'!$P$72="Forfait",IF(I$20&gt;='01_Input'!$N$72,'01_Input'!$Q$72,0),IF('01_Input'!$P$72="Palier",IF(AND(I$20&gt;='01_Input'!$N$72,I$20&lt;'01_Input'!$O$72),'01_Input'!$Q$72,0),MAX(MIN(I$20,'01_Input'!$O$72)-'01_Input'!$N$72,0)*'01_Input'!$Q$72))+IF('01_Input'!$T$72="Forfait",IF(I$20&gt;='01_Input'!$R$72,'01_Input'!$U$72,0),IF('01_Input'!$T$72="Palier",IF(AND(I$20&gt;='01_Input'!$R$72,I$20&lt;'01_Input'!$S$72),'01_Input'!$U$72,0),MAX(MIN(I$20,'01_Input'!$S$72)-'01_Input'!$R$72,0)*'01_Input'!$U$72))+IF('01_Input'!$X$72="Forfait",IF(I$20&gt;='01_Input'!$V$72,'01_Input'!$Y$72,0),IF('01_Input'!$X$72="Palier",IF(AND(I$20&gt;='01_Input'!$V$72,I$20&lt;'01_Input'!$W$72),'01_Input'!$Y$72,0),MAX(MIN(I$20,'01_Input'!$W$72)-'01_Input'!$V$72,0)*'01_Input'!$Y$72))+IF('01_Input'!$AB$72="Forfait",IF(I$20&gt;='01_Input'!$Z$72,'01_Input'!$AC$72,0),IF('01_Input'!$AB$72="Palier",IF(AND(I$20&gt;='01_Input'!$Z$72,I$20&lt;'01_Input'!$AA$72),'01_Input'!$AC$72,0),MAX(MIN(I$20,'01_Input'!$AA$72)-'01_Input'!$Z$72,0)*'01_Input'!$AC$72)))))))))</f>
        <v>0</v>
      </c>
      <c r="J40" s="83">
        <f>IF('01_Input'!$C$72="Non",0,MIN('01_Input'!$I$72,MAX('01_Input'!$H$72,IF('01_Input'!$G$72="Résiduel vs Gestion",0,IF('01_Input'!$G$72="Taux Classe sélectionnée",Distrib_Global_Classe_Selectionnee*J$20,IF('01_Input'!$G$72="Frais KYC (paliers de 100M€)",MAX(0,Nb_Investisseurs-Nb_KYC_Gratuites_Par_Tranche*(FLOOR(J$20/Taille_Tranche_KYC,1)+1))*Cout_Par_KYC_Supplementaire,(IF('01_Input'!$L$72="Forfait",IF(J$20&gt;='01_Input'!$J$72,'01_Input'!$M$72,0),IF('01_Input'!$L$72="Palier",IF(AND(J$20&gt;='01_Input'!$J$72,J$20&lt;'01_Input'!$K$72),'01_Input'!$M$72,0),MAX(MIN(J$20,'01_Input'!$K$72)-'01_Input'!$J$72,0)*'01_Input'!$M$72))+IF('01_Input'!$P$72="Forfait",IF(J$20&gt;='01_Input'!$N$72,'01_Input'!$Q$72,0),IF('01_Input'!$P$72="Palier",IF(AND(J$20&gt;='01_Input'!$N$72,J$20&lt;'01_Input'!$O$72),'01_Input'!$Q$72,0),MAX(MIN(J$20,'01_Input'!$O$72)-'01_Input'!$N$72,0)*'01_Input'!$Q$72))+IF('01_Input'!$T$72="Forfait",IF(J$20&gt;='01_Input'!$R$72,'01_Input'!$U$72,0),IF('01_Input'!$T$72="Palier",IF(AND(J$20&gt;='01_Input'!$R$72,J$20&lt;'01_Input'!$S$72),'01_Input'!$U$72,0),MAX(MIN(J$20,'01_Input'!$S$72)-'01_Input'!$R$72,0)*'01_Input'!$U$72))+IF('01_Input'!$X$72="Forfait",IF(J$20&gt;='01_Input'!$V$72,'01_Input'!$Y$72,0),IF('01_Input'!$X$72="Palier",IF(AND(J$20&gt;='01_Input'!$V$72,J$20&lt;'01_Input'!$W$72),'01_Input'!$Y$72,0),MAX(MIN(J$20,'01_Input'!$W$72)-'01_Input'!$V$72,0)*'01_Input'!$Y$72))+IF('01_Input'!$AB$72="Forfait",IF(J$20&gt;='01_Input'!$Z$72,'01_Input'!$AC$72,0),IF('01_Input'!$AB$72="Palier",IF(AND(J$20&gt;='01_Input'!$Z$72,J$20&lt;'01_Input'!$AA$72),'01_Input'!$AC$72,0),MAX(MIN(J$20,'01_Input'!$AA$72)-'01_Input'!$Z$72,0)*'01_Input'!$AC$72)))))))))</f>
        <v>0</v>
      </c>
      <c r="K40" s="83">
        <f>IF('01_Input'!$C$72="Non",0,MIN('01_Input'!$I$72,MAX('01_Input'!$H$72,IF('01_Input'!$G$72="Résiduel vs Gestion",0,IF('01_Input'!$G$72="Taux Classe sélectionnée",Distrib_Global_Classe_Selectionnee*K$20,IF('01_Input'!$G$72="Frais KYC (paliers de 100M€)",MAX(0,Nb_Investisseurs-Nb_KYC_Gratuites_Par_Tranche*(FLOOR(K$20/Taille_Tranche_KYC,1)+1))*Cout_Par_KYC_Supplementaire,(IF('01_Input'!$L$72="Forfait",IF(K$20&gt;='01_Input'!$J$72,'01_Input'!$M$72,0),IF('01_Input'!$L$72="Palier",IF(AND(K$20&gt;='01_Input'!$J$72,K$20&lt;'01_Input'!$K$72),'01_Input'!$M$72,0),MAX(MIN(K$20,'01_Input'!$K$72)-'01_Input'!$J$72,0)*'01_Input'!$M$72))+IF('01_Input'!$P$72="Forfait",IF(K$20&gt;='01_Input'!$N$72,'01_Input'!$Q$72,0),IF('01_Input'!$P$72="Palier",IF(AND(K$20&gt;='01_Input'!$N$72,K$20&lt;'01_Input'!$O$72),'01_Input'!$Q$72,0),MAX(MIN(K$20,'01_Input'!$O$72)-'01_Input'!$N$72,0)*'01_Input'!$Q$72))+IF('01_Input'!$T$72="Forfait",IF(K$20&gt;='01_Input'!$R$72,'01_Input'!$U$72,0),IF('01_Input'!$T$72="Palier",IF(AND(K$20&gt;='01_Input'!$R$72,K$20&lt;'01_Input'!$S$72),'01_Input'!$U$72,0),MAX(MIN(K$20,'01_Input'!$S$72)-'01_Input'!$R$72,0)*'01_Input'!$U$72))+IF('01_Input'!$X$72="Forfait",IF(K$20&gt;='01_Input'!$V$72,'01_Input'!$Y$72,0),IF('01_Input'!$X$72="Palier",IF(AND(K$20&gt;='01_Input'!$V$72,K$20&lt;'01_Input'!$W$72),'01_Input'!$Y$72,0),MAX(MIN(K$20,'01_Input'!$W$72)-'01_Input'!$V$72,0)*'01_Input'!$Y$72))+IF('01_Input'!$AB$72="Forfait",IF(K$20&gt;='01_Input'!$Z$72,'01_Input'!$AC$72,0),IF('01_Input'!$AB$72="Palier",IF(AND(K$20&gt;='01_Input'!$Z$72,K$20&lt;'01_Input'!$AA$72),'01_Input'!$AC$72,0),MAX(MIN(K$20,'01_Input'!$AA$72)-'01_Input'!$Z$72,0)*'01_Input'!$AC$72)))))))))</f>
        <v>0</v>
      </c>
      <c r="L40" s="83">
        <f>IF('01_Input'!$C$72="Non",0,MIN('01_Input'!$I$72,MAX('01_Input'!$H$72,IF('01_Input'!$G$72="Résiduel vs Gestion",0,IF('01_Input'!$G$72="Taux Classe sélectionnée",Distrib_Global_Classe_Selectionnee*L$20,IF('01_Input'!$G$72="Frais KYC (paliers de 100M€)",MAX(0,Nb_Investisseurs-Nb_KYC_Gratuites_Par_Tranche*(FLOOR(L$20/Taille_Tranche_KYC,1)+1))*Cout_Par_KYC_Supplementaire,(IF('01_Input'!$L$72="Forfait",IF(L$20&gt;='01_Input'!$J$72,'01_Input'!$M$72,0),IF('01_Input'!$L$72="Palier",IF(AND(L$20&gt;='01_Input'!$J$72,L$20&lt;'01_Input'!$K$72),'01_Input'!$M$72,0),MAX(MIN(L$20,'01_Input'!$K$72)-'01_Input'!$J$72,0)*'01_Input'!$M$72))+IF('01_Input'!$P$72="Forfait",IF(L$20&gt;='01_Input'!$N$72,'01_Input'!$Q$72,0),IF('01_Input'!$P$72="Palier",IF(AND(L$20&gt;='01_Input'!$N$72,L$20&lt;'01_Input'!$O$72),'01_Input'!$Q$72,0),MAX(MIN(L$20,'01_Input'!$O$72)-'01_Input'!$N$72,0)*'01_Input'!$Q$72))+IF('01_Input'!$T$72="Forfait",IF(L$20&gt;='01_Input'!$R$72,'01_Input'!$U$72,0),IF('01_Input'!$T$72="Palier",IF(AND(L$20&gt;='01_Input'!$R$72,L$20&lt;'01_Input'!$S$72),'01_Input'!$U$72,0),MAX(MIN(L$20,'01_Input'!$S$72)-'01_Input'!$R$72,0)*'01_Input'!$U$72))+IF('01_Input'!$X$72="Forfait",IF(L$20&gt;='01_Input'!$V$72,'01_Input'!$Y$72,0),IF('01_Input'!$X$72="Palier",IF(AND(L$20&gt;='01_Input'!$V$72,L$20&lt;'01_Input'!$W$72),'01_Input'!$Y$72,0),MAX(MIN(L$20,'01_Input'!$W$72)-'01_Input'!$V$72,0)*'01_Input'!$Y$72))+IF('01_Input'!$AB$72="Forfait",IF(L$20&gt;='01_Input'!$Z$72,'01_Input'!$AC$72,0),IF('01_Input'!$AB$72="Palier",IF(AND(L$20&gt;='01_Input'!$Z$72,L$20&lt;'01_Input'!$AA$72),'01_Input'!$AC$72,0),MAX(MIN(L$20,'01_Input'!$AA$72)-'01_Input'!$Z$72,0)*'01_Input'!$AC$72)))))))))</f>
        <v>0</v>
      </c>
      <c r="M40" s="83">
        <f>IF('01_Input'!$C$72="Non",0,MIN('01_Input'!$I$72,MAX('01_Input'!$H$72,IF('01_Input'!$G$72="Résiduel vs Gestion",0,IF('01_Input'!$G$72="Taux Classe sélectionnée",Distrib_Global_Classe_Selectionnee*M$20,IF('01_Input'!$G$72="Frais KYC (paliers de 100M€)",MAX(0,Nb_Investisseurs-Nb_KYC_Gratuites_Par_Tranche*(FLOOR(M$20/Taille_Tranche_KYC,1)+1))*Cout_Par_KYC_Supplementaire,(IF('01_Input'!$L$72="Forfait",IF(M$20&gt;='01_Input'!$J$72,'01_Input'!$M$72,0),IF('01_Input'!$L$72="Palier",IF(AND(M$20&gt;='01_Input'!$J$72,M$20&lt;'01_Input'!$K$72),'01_Input'!$M$72,0),MAX(MIN(M$20,'01_Input'!$K$72)-'01_Input'!$J$72,0)*'01_Input'!$M$72))+IF('01_Input'!$P$72="Forfait",IF(M$20&gt;='01_Input'!$N$72,'01_Input'!$Q$72,0),IF('01_Input'!$P$72="Palier",IF(AND(M$20&gt;='01_Input'!$N$72,M$20&lt;'01_Input'!$O$72),'01_Input'!$Q$72,0),MAX(MIN(M$20,'01_Input'!$O$72)-'01_Input'!$N$72,0)*'01_Input'!$Q$72))+IF('01_Input'!$T$72="Forfait",IF(M$20&gt;='01_Input'!$R$72,'01_Input'!$U$72,0),IF('01_Input'!$T$72="Palier",IF(AND(M$20&gt;='01_Input'!$R$72,M$20&lt;'01_Input'!$S$72),'01_Input'!$U$72,0),MAX(MIN(M$20,'01_Input'!$S$72)-'01_Input'!$R$72,0)*'01_Input'!$U$72))+IF('01_Input'!$X$72="Forfait",IF(M$20&gt;='01_Input'!$V$72,'01_Input'!$Y$72,0),IF('01_Input'!$X$72="Palier",IF(AND(M$20&gt;='01_Input'!$V$72,M$20&lt;'01_Input'!$W$72),'01_Input'!$Y$72,0),MAX(MIN(M$20,'01_Input'!$W$72)-'01_Input'!$V$72,0)*'01_Input'!$Y$72))+IF('01_Input'!$AB$72="Forfait",IF(M$20&gt;='01_Input'!$Z$72,'01_Input'!$AC$72,0),IF('01_Input'!$AB$72="Palier",IF(AND(M$20&gt;='01_Input'!$Z$72,M$20&lt;'01_Input'!$AA$72),'01_Input'!$AC$72,0),MAX(MIN(M$20,'01_Input'!$AA$72)-'01_Input'!$Z$72,0)*'01_Input'!$AC$72)))))))))</f>
        <v>0</v>
      </c>
      <c r="N40" s="83">
        <f>IF('01_Input'!$C$72="Non",0,MIN('01_Input'!$I$72,MAX('01_Input'!$H$72,IF('01_Input'!$G$72="Résiduel vs Gestion",0,IF('01_Input'!$G$72="Taux Classe sélectionnée",Distrib_Global_Classe_Selectionnee*N$20,IF('01_Input'!$G$72="Frais KYC (paliers de 100M€)",MAX(0,Nb_Investisseurs-Nb_KYC_Gratuites_Par_Tranche*(FLOOR(N$20/Taille_Tranche_KYC,1)+1))*Cout_Par_KYC_Supplementaire,(IF('01_Input'!$L$72="Forfait",IF(N$20&gt;='01_Input'!$J$72,'01_Input'!$M$72,0),IF('01_Input'!$L$72="Palier",IF(AND(N$20&gt;='01_Input'!$J$72,N$20&lt;'01_Input'!$K$72),'01_Input'!$M$72,0),MAX(MIN(N$20,'01_Input'!$K$72)-'01_Input'!$J$72,0)*'01_Input'!$M$72))+IF('01_Input'!$P$72="Forfait",IF(N$20&gt;='01_Input'!$N$72,'01_Input'!$Q$72,0),IF('01_Input'!$P$72="Palier",IF(AND(N$20&gt;='01_Input'!$N$72,N$20&lt;'01_Input'!$O$72),'01_Input'!$Q$72,0),MAX(MIN(N$20,'01_Input'!$O$72)-'01_Input'!$N$72,0)*'01_Input'!$Q$72))+IF('01_Input'!$T$72="Forfait",IF(N$20&gt;='01_Input'!$R$72,'01_Input'!$U$72,0),IF('01_Input'!$T$72="Palier",IF(AND(N$20&gt;='01_Input'!$R$72,N$20&lt;'01_Input'!$S$72),'01_Input'!$U$72,0),MAX(MIN(N$20,'01_Input'!$S$72)-'01_Input'!$R$72,0)*'01_Input'!$U$72))+IF('01_Input'!$X$72="Forfait",IF(N$20&gt;='01_Input'!$V$72,'01_Input'!$Y$72,0),IF('01_Input'!$X$72="Palier",IF(AND(N$20&gt;='01_Input'!$V$72,N$20&lt;'01_Input'!$W$72),'01_Input'!$Y$72,0),MAX(MIN(N$20,'01_Input'!$W$72)-'01_Input'!$V$72,0)*'01_Input'!$Y$72))+IF('01_Input'!$AB$72="Forfait",IF(N$20&gt;='01_Input'!$Z$72,'01_Input'!$AC$72,0),IF('01_Input'!$AB$72="Palier",IF(AND(N$20&gt;='01_Input'!$Z$72,N$20&lt;'01_Input'!$AA$72),'01_Input'!$AC$72,0),MAX(MIN(N$20,'01_Input'!$AA$72)-'01_Input'!$Z$72,0)*'01_Input'!$AC$72)))))))))</f>
        <v>0</v>
      </c>
      <c r="O40" s="83">
        <f>IF('01_Input'!$C$72="Non",0,MIN('01_Input'!$I$72,MAX('01_Input'!$H$72,IF('01_Input'!$G$72="Résiduel vs Gestion",0,IF('01_Input'!$G$72="Taux Classe sélectionnée",Distrib_Global_Classe_Selectionnee*O$20,IF('01_Input'!$G$72="Frais KYC (paliers de 100M€)",MAX(0,Nb_Investisseurs-Nb_KYC_Gratuites_Par_Tranche*(FLOOR(O$20/Taille_Tranche_KYC,1)+1))*Cout_Par_KYC_Supplementaire,(IF('01_Input'!$L$72="Forfait",IF(O$20&gt;='01_Input'!$J$72,'01_Input'!$M$72,0),IF('01_Input'!$L$72="Palier",IF(AND(O$20&gt;='01_Input'!$J$72,O$20&lt;'01_Input'!$K$72),'01_Input'!$M$72,0),MAX(MIN(O$20,'01_Input'!$K$72)-'01_Input'!$J$72,0)*'01_Input'!$M$72))+IF('01_Input'!$P$72="Forfait",IF(O$20&gt;='01_Input'!$N$72,'01_Input'!$Q$72,0),IF('01_Input'!$P$72="Palier",IF(AND(O$20&gt;='01_Input'!$N$72,O$20&lt;'01_Input'!$O$72),'01_Input'!$Q$72,0),MAX(MIN(O$20,'01_Input'!$O$72)-'01_Input'!$N$72,0)*'01_Input'!$Q$72))+IF('01_Input'!$T$72="Forfait",IF(O$20&gt;='01_Input'!$R$72,'01_Input'!$U$72,0),IF('01_Input'!$T$72="Palier",IF(AND(O$20&gt;='01_Input'!$R$72,O$20&lt;'01_Input'!$S$72),'01_Input'!$U$72,0),MAX(MIN(O$20,'01_Input'!$S$72)-'01_Input'!$R$72,0)*'01_Input'!$U$72))+IF('01_Input'!$X$72="Forfait",IF(O$20&gt;='01_Input'!$V$72,'01_Input'!$Y$72,0),IF('01_Input'!$X$72="Palier",IF(AND(O$20&gt;='01_Input'!$V$72,O$20&lt;'01_Input'!$W$72),'01_Input'!$Y$72,0),MAX(MIN(O$20,'01_Input'!$W$72)-'01_Input'!$V$72,0)*'01_Input'!$Y$72))+IF('01_Input'!$AB$72="Forfait",IF(O$20&gt;='01_Input'!$Z$72,'01_Input'!$AC$72,0),IF('01_Input'!$AB$72="Palier",IF(AND(O$20&gt;='01_Input'!$Z$72,O$20&lt;'01_Input'!$AA$72),'01_Input'!$AC$72,0),MAX(MIN(O$20,'01_Input'!$AA$72)-'01_Input'!$Z$72,0)*'01_Input'!$AC$72)))))))))</f>
        <v>0</v>
      </c>
      <c r="P40" s="83">
        <f>IF('01_Input'!$C$72="Non",0,MIN('01_Input'!$I$72,MAX('01_Input'!$H$72,IF('01_Input'!$G$72="Résiduel vs Gestion",0,IF('01_Input'!$G$72="Taux Classe sélectionnée",Distrib_Global_Classe_Selectionnee*P$20,IF('01_Input'!$G$72="Frais KYC (paliers de 100M€)",MAX(0,Nb_Investisseurs-Nb_KYC_Gratuites_Par_Tranche*(FLOOR(P$20/Taille_Tranche_KYC,1)+1))*Cout_Par_KYC_Supplementaire,(IF('01_Input'!$L$72="Forfait",IF(P$20&gt;='01_Input'!$J$72,'01_Input'!$M$72,0),IF('01_Input'!$L$72="Palier",IF(AND(P$20&gt;='01_Input'!$J$72,P$20&lt;'01_Input'!$K$72),'01_Input'!$M$72,0),MAX(MIN(P$20,'01_Input'!$K$72)-'01_Input'!$J$72,0)*'01_Input'!$M$72))+IF('01_Input'!$P$72="Forfait",IF(P$20&gt;='01_Input'!$N$72,'01_Input'!$Q$72,0),IF('01_Input'!$P$72="Palier",IF(AND(P$20&gt;='01_Input'!$N$72,P$20&lt;'01_Input'!$O$72),'01_Input'!$Q$72,0),MAX(MIN(P$20,'01_Input'!$O$72)-'01_Input'!$N$72,0)*'01_Input'!$Q$72))+IF('01_Input'!$T$72="Forfait",IF(P$20&gt;='01_Input'!$R$72,'01_Input'!$U$72,0),IF('01_Input'!$T$72="Palier",IF(AND(P$20&gt;='01_Input'!$R$72,P$20&lt;'01_Input'!$S$72),'01_Input'!$U$72,0),MAX(MIN(P$20,'01_Input'!$S$72)-'01_Input'!$R$72,0)*'01_Input'!$U$72))+IF('01_Input'!$X$72="Forfait",IF(P$20&gt;='01_Input'!$V$72,'01_Input'!$Y$72,0),IF('01_Input'!$X$72="Palier",IF(AND(P$20&gt;='01_Input'!$V$72,P$20&lt;'01_Input'!$W$72),'01_Input'!$Y$72,0),MAX(MIN(P$20,'01_Input'!$W$72)-'01_Input'!$V$72,0)*'01_Input'!$Y$72))+IF('01_Input'!$AB$72="Forfait",IF(P$20&gt;='01_Input'!$Z$72,'01_Input'!$AC$72,0),IF('01_Input'!$AB$72="Palier",IF(AND(P$20&gt;='01_Input'!$Z$72,P$20&lt;'01_Input'!$AA$72),'01_Input'!$AC$72,0),MAX(MIN(P$20,'01_Input'!$AA$72)-'01_Input'!$Z$72,0)*'01_Input'!$AC$72)))))))))</f>
        <v>0</v>
      </c>
      <c r="Q40" s="83">
        <f>IF('01_Input'!$C$72="Non",0,MIN('01_Input'!$I$72,MAX('01_Input'!$H$72,IF('01_Input'!$G$72="Résiduel vs Gestion",0,IF('01_Input'!$G$72="Taux Classe sélectionnée",Distrib_Global_Classe_Selectionnee*Q$20,IF('01_Input'!$G$72="Frais KYC (paliers de 100M€)",MAX(0,Nb_Investisseurs-Nb_KYC_Gratuites_Par_Tranche*(FLOOR(Q$20/Taille_Tranche_KYC,1)+1))*Cout_Par_KYC_Supplementaire,(IF('01_Input'!$L$72="Forfait",IF(Q$20&gt;='01_Input'!$J$72,'01_Input'!$M$72,0),IF('01_Input'!$L$72="Palier",IF(AND(Q$20&gt;='01_Input'!$J$72,Q$20&lt;'01_Input'!$K$72),'01_Input'!$M$72,0),MAX(MIN(Q$20,'01_Input'!$K$72)-'01_Input'!$J$72,0)*'01_Input'!$M$72))+IF('01_Input'!$P$72="Forfait",IF(Q$20&gt;='01_Input'!$N$72,'01_Input'!$Q$72,0),IF('01_Input'!$P$72="Palier",IF(AND(Q$20&gt;='01_Input'!$N$72,Q$20&lt;'01_Input'!$O$72),'01_Input'!$Q$72,0),MAX(MIN(Q$20,'01_Input'!$O$72)-'01_Input'!$N$72,0)*'01_Input'!$Q$72))+IF('01_Input'!$T$72="Forfait",IF(Q$20&gt;='01_Input'!$R$72,'01_Input'!$U$72,0),IF('01_Input'!$T$72="Palier",IF(AND(Q$20&gt;='01_Input'!$R$72,Q$20&lt;'01_Input'!$S$72),'01_Input'!$U$72,0),MAX(MIN(Q$20,'01_Input'!$S$72)-'01_Input'!$R$72,0)*'01_Input'!$U$72))+IF('01_Input'!$X$72="Forfait",IF(Q$20&gt;='01_Input'!$V$72,'01_Input'!$Y$72,0),IF('01_Input'!$X$72="Palier",IF(AND(Q$20&gt;='01_Input'!$V$72,Q$20&lt;'01_Input'!$W$72),'01_Input'!$Y$72,0),MAX(MIN(Q$20,'01_Input'!$W$72)-'01_Input'!$V$72,0)*'01_Input'!$Y$72))+IF('01_Input'!$AB$72="Forfait",IF(Q$20&gt;='01_Input'!$Z$72,'01_Input'!$AC$72,0),IF('01_Input'!$AB$72="Palier",IF(AND(Q$20&gt;='01_Input'!$Z$72,Q$20&lt;'01_Input'!$AA$72),'01_Input'!$AC$72,0),MAX(MIN(Q$20,'01_Input'!$AA$72)-'01_Input'!$Z$72,0)*'01_Input'!$AC$72)))))))))</f>
        <v>0</v>
      </c>
      <c r="R40" s="83">
        <f>IF('01_Input'!$C$72="Non",0,MIN('01_Input'!$I$72,MAX('01_Input'!$H$72,IF('01_Input'!$G$72="Résiduel vs Gestion",0,IF('01_Input'!$G$72="Taux Classe sélectionnée",Distrib_Global_Classe_Selectionnee*R$20,IF('01_Input'!$G$72="Frais KYC (paliers de 100M€)",MAX(0,Nb_Investisseurs-Nb_KYC_Gratuites_Par_Tranche*(FLOOR(R$20/Taille_Tranche_KYC,1)+1))*Cout_Par_KYC_Supplementaire,(IF('01_Input'!$L$72="Forfait",IF(R$20&gt;='01_Input'!$J$72,'01_Input'!$M$72,0),IF('01_Input'!$L$72="Palier",IF(AND(R$20&gt;='01_Input'!$J$72,R$20&lt;'01_Input'!$K$72),'01_Input'!$M$72,0),MAX(MIN(R$20,'01_Input'!$K$72)-'01_Input'!$J$72,0)*'01_Input'!$M$72))+IF('01_Input'!$P$72="Forfait",IF(R$20&gt;='01_Input'!$N$72,'01_Input'!$Q$72,0),IF('01_Input'!$P$72="Palier",IF(AND(R$20&gt;='01_Input'!$N$72,R$20&lt;'01_Input'!$O$72),'01_Input'!$Q$72,0),MAX(MIN(R$20,'01_Input'!$O$72)-'01_Input'!$N$72,0)*'01_Input'!$Q$72))+IF('01_Input'!$T$72="Forfait",IF(R$20&gt;='01_Input'!$R$72,'01_Input'!$U$72,0),IF('01_Input'!$T$72="Palier",IF(AND(R$20&gt;='01_Input'!$R$72,R$20&lt;'01_Input'!$S$72),'01_Input'!$U$72,0),MAX(MIN(R$20,'01_Input'!$S$72)-'01_Input'!$R$72,0)*'01_Input'!$U$72))+IF('01_Input'!$X$72="Forfait",IF(R$20&gt;='01_Input'!$V$72,'01_Input'!$Y$72,0),IF('01_Input'!$X$72="Palier",IF(AND(R$20&gt;='01_Input'!$V$72,R$20&lt;'01_Input'!$W$72),'01_Input'!$Y$72,0),MAX(MIN(R$20,'01_Input'!$W$72)-'01_Input'!$V$72,0)*'01_Input'!$Y$72))+IF('01_Input'!$AB$72="Forfait",IF(R$20&gt;='01_Input'!$Z$72,'01_Input'!$AC$72,0),IF('01_Input'!$AB$72="Palier",IF(AND(R$20&gt;='01_Input'!$Z$72,R$20&lt;'01_Input'!$AA$72),'01_Input'!$AC$72,0),MAX(MIN(R$20,'01_Input'!$AA$72)-'01_Input'!$Z$72,0)*'01_Input'!$AC$72)))))))))</f>
        <v>0</v>
      </c>
      <c r="S40" s="83">
        <f>IF('01_Input'!$C$72="Non",0,MIN('01_Input'!$I$72,MAX('01_Input'!$H$72,IF('01_Input'!$G$72="Résiduel vs Gestion",0,IF('01_Input'!$G$72="Taux Classe sélectionnée",Distrib_Global_Classe_Selectionnee*S$20,IF('01_Input'!$G$72="Frais KYC (paliers de 100M€)",MAX(0,Nb_Investisseurs-Nb_KYC_Gratuites_Par_Tranche*(FLOOR(S$20/Taille_Tranche_KYC,1)+1))*Cout_Par_KYC_Supplementaire,(IF('01_Input'!$L$72="Forfait",IF(S$20&gt;='01_Input'!$J$72,'01_Input'!$M$72,0),IF('01_Input'!$L$72="Palier",IF(AND(S$20&gt;='01_Input'!$J$72,S$20&lt;'01_Input'!$K$72),'01_Input'!$M$72,0),MAX(MIN(S$20,'01_Input'!$K$72)-'01_Input'!$J$72,0)*'01_Input'!$M$72))+IF('01_Input'!$P$72="Forfait",IF(S$20&gt;='01_Input'!$N$72,'01_Input'!$Q$72,0),IF('01_Input'!$P$72="Palier",IF(AND(S$20&gt;='01_Input'!$N$72,S$20&lt;'01_Input'!$O$72),'01_Input'!$Q$72,0),MAX(MIN(S$20,'01_Input'!$O$72)-'01_Input'!$N$72,0)*'01_Input'!$Q$72))+IF('01_Input'!$T$72="Forfait",IF(S$20&gt;='01_Input'!$R$72,'01_Input'!$U$72,0),IF('01_Input'!$T$72="Palier",IF(AND(S$20&gt;='01_Input'!$R$72,S$20&lt;'01_Input'!$S$72),'01_Input'!$U$72,0),MAX(MIN(S$20,'01_Input'!$S$72)-'01_Input'!$R$72,0)*'01_Input'!$U$72))+IF('01_Input'!$X$72="Forfait",IF(S$20&gt;='01_Input'!$V$72,'01_Input'!$Y$72,0),IF('01_Input'!$X$72="Palier",IF(AND(S$20&gt;='01_Input'!$V$72,S$20&lt;'01_Input'!$W$72),'01_Input'!$Y$72,0),MAX(MIN(S$20,'01_Input'!$W$72)-'01_Input'!$V$72,0)*'01_Input'!$Y$72))+IF('01_Input'!$AB$72="Forfait",IF(S$20&gt;='01_Input'!$Z$72,'01_Input'!$AC$72,0),IF('01_Input'!$AB$72="Palier",IF(AND(S$20&gt;='01_Input'!$Z$72,S$20&lt;'01_Input'!$AA$72),'01_Input'!$AC$72,0),MAX(MIN(S$20,'01_Input'!$AA$72)-'01_Input'!$Z$72,0)*'01_Input'!$AC$72)))))))))</f>
        <v>0</v>
      </c>
      <c r="T40" s="83">
        <f>IF('01_Input'!$C$72="Non",0,MIN('01_Input'!$I$72,MAX('01_Input'!$H$72,IF('01_Input'!$G$72="Résiduel vs Gestion",0,IF('01_Input'!$G$72="Taux Classe sélectionnée",Distrib_Global_Classe_Selectionnee*T$20,IF('01_Input'!$G$72="Frais KYC (paliers de 100M€)",MAX(0,Nb_Investisseurs-Nb_KYC_Gratuites_Par_Tranche*(FLOOR(T$20/Taille_Tranche_KYC,1)+1))*Cout_Par_KYC_Supplementaire,(IF('01_Input'!$L$72="Forfait",IF(T$20&gt;='01_Input'!$J$72,'01_Input'!$M$72,0),IF('01_Input'!$L$72="Palier",IF(AND(T$20&gt;='01_Input'!$J$72,T$20&lt;'01_Input'!$K$72),'01_Input'!$M$72,0),MAX(MIN(T$20,'01_Input'!$K$72)-'01_Input'!$J$72,0)*'01_Input'!$M$72))+IF('01_Input'!$P$72="Forfait",IF(T$20&gt;='01_Input'!$N$72,'01_Input'!$Q$72,0),IF('01_Input'!$P$72="Palier",IF(AND(T$20&gt;='01_Input'!$N$72,T$20&lt;'01_Input'!$O$72),'01_Input'!$Q$72,0),MAX(MIN(T$20,'01_Input'!$O$72)-'01_Input'!$N$72,0)*'01_Input'!$Q$72))+IF('01_Input'!$T$72="Forfait",IF(T$20&gt;='01_Input'!$R$72,'01_Input'!$U$72,0),IF('01_Input'!$T$72="Palier",IF(AND(T$20&gt;='01_Input'!$R$72,T$20&lt;'01_Input'!$S$72),'01_Input'!$U$72,0),MAX(MIN(T$20,'01_Input'!$S$72)-'01_Input'!$R$72,0)*'01_Input'!$U$72))+IF('01_Input'!$X$72="Forfait",IF(T$20&gt;='01_Input'!$V$72,'01_Input'!$Y$72,0),IF('01_Input'!$X$72="Palier",IF(AND(T$20&gt;='01_Input'!$V$72,T$20&lt;'01_Input'!$W$72),'01_Input'!$Y$72,0),MAX(MIN(T$20,'01_Input'!$W$72)-'01_Input'!$V$72,0)*'01_Input'!$Y$72))+IF('01_Input'!$AB$72="Forfait",IF(T$20&gt;='01_Input'!$Z$72,'01_Input'!$AC$72,0),IF('01_Input'!$AB$72="Palier",IF(AND(T$20&gt;='01_Input'!$Z$72,T$20&lt;'01_Input'!$AA$72),'01_Input'!$AC$72,0),MAX(MIN(T$20,'01_Input'!$AA$72)-'01_Input'!$Z$72,0)*'01_Input'!$AC$72)))))))))</f>
        <v>0</v>
      </c>
      <c r="U40" s="83">
        <f>IF('01_Input'!$C$72="Non",0,MIN('01_Input'!$I$72,MAX('01_Input'!$H$72,IF('01_Input'!$G$72="Résiduel vs Gestion",0,IF('01_Input'!$G$72="Taux Classe sélectionnée",Distrib_Global_Classe_Selectionnee*U$20,IF('01_Input'!$G$72="Frais KYC (paliers de 100M€)",MAX(0,Nb_Investisseurs-Nb_KYC_Gratuites_Par_Tranche*(FLOOR(U$20/Taille_Tranche_KYC,1)+1))*Cout_Par_KYC_Supplementaire,(IF('01_Input'!$L$72="Forfait",IF(U$20&gt;='01_Input'!$J$72,'01_Input'!$M$72,0),IF('01_Input'!$L$72="Palier",IF(AND(U$20&gt;='01_Input'!$J$72,U$20&lt;'01_Input'!$K$72),'01_Input'!$M$72,0),MAX(MIN(U$20,'01_Input'!$K$72)-'01_Input'!$J$72,0)*'01_Input'!$M$72))+IF('01_Input'!$P$72="Forfait",IF(U$20&gt;='01_Input'!$N$72,'01_Input'!$Q$72,0),IF('01_Input'!$P$72="Palier",IF(AND(U$20&gt;='01_Input'!$N$72,U$20&lt;'01_Input'!$O$72),'01_Input'!$Q$72,0),MAX(MIN(U$20,'01_Input'!$O$72)-'01_Input'!$N$72,0)*'01_Input'!$Q$72))+IF('01_Input'!$T$72="Forfait",IF(U$20&gt;='01_Input'!$R$72,'01_Input'!$U$72,0),IF('01_Input'!$T$72="Palier",IF(AND(U$20&gt;='01_Input'!$R$72,U$20&lt;'01_Input'!$S$72),'01_Input'!$U$72,0),MAX(MIN(U$20,'01_Input'!$S$72)-'01_Input'!$R$72,0)*'01_Input'!$U$72))+IF('01_Input'!$X$72="Forfait",IF(U$20&gt;='01_Input'!$V$72,'01_Input'!$Y$72,0),IF('01_Input'!$X$72="Palier",IF(AND(U$20&gt;='01_Input'!$V$72,U$20&lt;'01_Input'!$W$72),'01_Input'!$Y$72,0),MAX(MIN(U$20,'01_Input'!$W$72)-'01_Input'!$V$72,0)*'01_Input'!$Y$72))+IF('01_Input'!$AB$72="Forfait",IF(U$20&gt;='01_Input'!$Z$72,'01_Input'!$AC$72,0),IF('01_Input'!$AB$72="Palier",IF(AND(U$20&gt;='01_Input'!$Z$72,U$20&lt;'01_Input'!$AA$72),'01_Input'!$AC$72,0),MAX(MIN(U$20,'01_Input'!$AA$72)-'01_Input'!$Z$72,0)*'01_Input'!$AC$72)))))))))</f>
        <v>0</v>
      </c>
      <c r="V40" s="83">
        <f>IF('01_Input'!$C$72="Non",0,MIN('01_Input'!$I$72,MAX('01_Input'!$H$72,IF('01_Input'!$G$72="Résiduel vs Gestion",0,IF('01_Input'!$G$72="Taux Classe sélectionnée",Distrib_Global_Classe_Selectionnee*V$20,IF('01_Input'!$G$72="Frais KYC (paliers de 100M€)",MAX(0,Nb_Investisseurs-Nb_KYC_Gratuites_Par_Tranche*(FLOOR(V$20/Taille_Tranche_KYC,1)+1))*Cout_Par_KYC_Supplementaire,(IF('01_Input'!$L$72="Forfait",IF(V$20&gt;='01_Input'!$J$72,'01_Input'!$M$72,0),IF('01_Input'!$L$72="Palier",IF(AND(V$20&gt;='01_Input'!$J$72,V$20&lt;'01_Input'!$K$72),'01_Input'!$M$72,0),MAX(MIN(V$20,'01_Input'!$K$72)-'01_Input'!$J$72,0)*'01_Input'!$M$72))+IF('01_Input'!$P$72="Forfait",IF(V$20&gt;='01_Input'!$N$72,'01_Input'!$Q$72,0),IF('01_Input'!$P$72="Palier",IF(AND(V$20&gt;='01_Input'!$N$72,V$20&lt;'01_Input'!$O$72),'01_Input'!$Q$72,0),MAX(MIN(V$20,'01_Input'!$O$72)-'01_Input'!$N$72,0)*'01_Input'!$Q$72))+IF('01_Input'!$T$72="Forfait",IF(V$20&gt;='01_Input'!$R$72,'01_Input'!$U$72,0),IF('01_Input'!$T$72="Palier",IF(AND(V$20&gt;='01_Input'!$R$72,V$20&lt;'01_Input'!$S$72),'01_Input'!$U$72,0),MAX(MIN(V$20,'01_Input'!$S$72)-'01_Input'!$R$72,0)*'01_Input'!$U$72))+IF('01_Input'!$X$72="Forfait",IF(V$20&gt;='01_Input'!$V$72,'01_Input'!$Y$72,0),IF('01_Input'!$X$72="Palier",IF(AND(V$20&gt;='01_Input'!$V$72,V$20&lt;'01_Input'!$W$72),'01_Input'!$Y$72,0),MAX(MIN(V$20,'01_Input'!$W$72)-'01_Input'!$V$72,0)*'01_Input'!$Y$72))+IF('01_Input'!$AB$72="Forfait",IF(V$20&gt;='01_Input'!$Z$72,'01_Input'!$AC$72,0),IF('01_Input'!$AB$72="Palier",IF(AND(V$20&gt;='01_Input'!$Z$72,V$20&lt;'01_Input'!$AA$72),'01_Input'!$AC$72,0),MAX(MIN(V$20,'01_Input'!$AA$72)-'01_Input'!$Z$72,0)*'01_Input'!$AC$72)))))))))</f>
        <v>0</v>
      </c>
      <c r="W40" s="83">
        <f>IF('01_Input'!$C$72="Non",0,MIN('01_Input'!$I$72,MAX('01_Input'!$H$72,IF('01_Input'!$G$72="Résiduel vs Gestion",0,IF('01_Input'!$G$72="Taux Classe sélectionnée",Distrib_Global_Classe_Selectionnee*W$20,IF('01_Input'!$G$72="Frais KYC (paliers de 100M€)",MAX(0,Nb_Investisseurs-Nb_KYC_Gratuites_Par_Tranche*(FLOOR(W$20/Taille_Tranche_KYC,1)+1))*Cout_Par_KYC_Supplementaire,(IF('01_Input'!$L$72="Forfait",IF(W$20&gt;='01_Input'!$J$72,'01_Input'!$M$72,0),IF('01_Input'!$L$72="Palier",IF(AND(W$20&gt;='01_Input'!$J$72,W$20&lt;'01_Input'!$K$72),'01_Input'!$M$72,0),MAX(MIN(W$20,'01_Input'!$K$72)-'01_Input'!$J$72,0)*'01_Input'!$M$72))+IF('01_Input'!$P$72="Forfait",IF(W$20&gt;='01_Input'!$N$72,'01_Input'!$Q$72,0),IF('01_Input'!$P$72="Palier",IF(AND(W$20&gt;='01_Input'!$N$72,W$20&lt;'01_Input'!$O$72),'01_Input'!$Q$72,0),MAX(MIN(W$20,'01_Input'!$O$72)-'01_Input'!$N$72,0)*'01_Input'!$Q$72))+IF('01_Input'!$T$72="Forfait",IF(W$20&gt;='01_Input'!$R$72,'01_Input'!$U$72,0),IF('01_Input'!$T$72="Palier",IF(AND(W$20&gt;='01_Input'!$R$72,W$20&lt;'01_Input'!$S$72),'01_Input'!$U$72,0),MAX(MIN(W$20,'01_Input'!$S$72)-'01_Input'!$R$72,0)*'01_Input'!$U$72))+IF('01_Input'!$X$72="Forfait",IF(W$20&gt;='01_Input'!$V$72,'01_Input'!$Y$72,0),IF('01_Input'!$X$72="Palier",IF(AND(W$20&gt;='01_Input'!$V$72,W$20&lt;'01_Input'!$W$72),'01_Input'!$Y$72,0),MAX(MIN(W$20,'01_Input'!$W$72)-'01_Input'!$V$72,0)*'01_Input'!$Y$72))+IF('01_Input'!$AB$72="Forfait",IF(W$20&gt;='01_Input'!$Z$72,'01_Input'!$AC$72,0),IF('01_Input'!$AB$72="Palier",IF(AND(W$20&gt;='01_Input'!$Z$72,W$20&lt;'01_Input'!$AA$72),'01_Input'!$AC$72,0),MAX(MIN(W$20,'01_Input'!$AA$72)-'01_Input'!$Z$72,0)*'01_Input'!$AC$72)))))))))</f>
        <v>0</v>
      </c>
      <c r="X40" s="83">
        <f>IF('01_Input'!$C$72="Non",0,MIN('01_Input'!$I$72,MAX('01_Input'!$H$72,IF('01_Input'!$G$72="Résiduel vs Gestion",0,IF('01_Input'!$G$72="Taux Classe sélectionnée",Distrib_Global_Classe_Selectionnee*X$20,IF('01_Input'!$G$72="Frais KYC (paliers de 100M€)",MAX(0,Nb_Investisseurs-Nb_KYC_Gratuites_Par_Tranche*(FLOOR(X$20/Taille_Tranche_KYC,1)+1))*Cout_Par_KYC_Supplementaire,(IF('01_Input'!$L$72="Forfait",IF(X$20&gt;='01_Input'!$J$72,'01_Input'!$M$72,0),IF('01_Input'!$L$72="Palier",IF(AND(X$20&gt;='01_Input'!$J$72,X$20&lt;'01_Input'!$K$72),'01_Input'!$M$72,0),MAX(MIN(X$20,'01_Input'!$K$72)-'01_Input'!$J$72,0)*'01_Input'!$M$72))+IF('01_Input'!$P$72="Forfait",IF(X$20&gt;='01_Input'!$N$72,'01_Input'!$Q$72,0),IF('01_Input'!$P$72="Palier",IF(AND(X$20&gt;='01_Input'!$N$72,X$20&lt;'01_Input'!$O$72),'01_Input'!$Q$72,0),MAX(MIN(X$20,'01_Input'!$O$72)-'01_Input'!$N$72,0)*'01_Input'!$Q$72))+IF('01_Input'!$T$72="Forfait",IF(X$20&gt;='01_Input'!$R$72,'01_Input'!$U$72,0),IF('01_Input'!$T$72="Palier",IF(AND(X$20&gt;='01_Input'!$R$72,X$20&lt;'01_Input'!$S$72),'01_Input'!$U$72,0),MAX(MIN(X$20,'01_Input'!$S$72)-'01_Input'!$R$72,0)*'01_Input'!$U$72))+IF('01_Input'!$X$72="Forfait",IF(X$20&gt;='01_Input'!$V$72,'01_Input'!$Y$72,0),IF('01_Input'!$X$72="Palier",IF(AND(X$20&gt;='01_Input'!$V$72,X$20&lt;'01_Input'!$W$72),'01_Input'!$Y$72,0),MAX(MIN(X$20,'01_Input'!$W$72)-'01_Input'!$V$72,0)*'01_Input'!$Y$72))+IF('01_Input'!$AB$72="Forfait",IF(X$20&gt;='01_Input'!$Z$72,'01_Input'!$AC$72,0),IF('01_Input'!$AB$72="Palier",IF(AND(X$20&gt;='01_Input'!$Z$72,X$20&lt;'01_Input'!$AA$72),'01_Input'!$AC$72,0),MAX(MIN(X$20,'01_Input'!$AA$72)-'01_Input'!$Z$72,0)*'01_Input'!$AC$72)))))))))</f>
        <v>0</v>
      </c>
      <c r="Y40" s="83">
        <f>IF('01_Input'!$C$72="Non",0,MIN('01_Input'!$I$72,MAX('01_Input'!$H$72,IF('01_Input'!$G$72="Résiduel vs Gestion",0,IF('01_Input'!$G$72="Taux Classe sélectionnée",Distrib_Global_Classe_Selectionnee*Y$20,IF('01_Input'!$G$72="Frais KYC (paliers de 100M€)",MAX(0,Nb_Investisseurs-Nb_KYC_Gratuites_Par_Tranche*(FLOOR(Y$20/Taille_Tranche_KYC,1)+1))*Cout_Par_KYC_Supplementaire,(IF('01_Input'!$L$72="Forfait",IF(Y$20&gt;='01_Input'!$J$72,'01_Input'!$M$72,0),IF('01_Input'!$L$72="Palier",IF(AND(Y$20&gt;='01_Input'!$J$72,Y$20&lt;'01_Input'!$K$72),'01_Input'!$M$72,0),MAX(MIN(Y$20,'01_Input'!$K$72)-'01_Input'!$J$72,0)*'01_Input'!$M$72))+IF('01_Input'!$P$72="Forfait",IF(Y$20&gt;='01_Input'!$N$72,'01_Input'!$Q$72,0),IF('01_Input'!$P$72="Palier",IF(AND(Y$20&gt;='01_Input'!$N$72,Y$20&lt;'01_Input'!$O$72),'01_Input'!$Q$72,0),MAX(MIN(Y$20,'01_Input'!$O$72)-'01_Input'!$N$72,0)*'01_Input'!$Q$72))+IF('01_Input'!$T$72="Forfait",IF(Y$20&gt;='01_Input'!$R$72,'01_Input'!$U$72,0),IF('01_Input'!$T$72="Palier",IF(AND(Y$20&gt;='01_Input'!$R$72,Y$20&lt;'01_Input'!$S$72),'01_Input'!$U$72,0),MAX(MIN(Y$20,'01_Input'!$S$72)-'01_Input'!$R$72,0)*'01_Input'!$U$72))+IF('01_Input'!$X$72="Forfait",IF(Y$20&gt;='01_Input'!$V$72,'01_Input'!$Y$72,0),IF('01_Input'!$X$72="Palier",IF(AND(Y$20&gt;='01_Input'!$V$72,Y$20&lt;'01_Input'!$W$72),'01_Input'!$Y$72,0),MAX(MIN(Y$20,'01_Input'!$W$72)-'01_Input'!$V$72,0)*'01_Input'!$Y$72))+IF('01_Input'!$AB$72="Forfait",IF(Y$20&gt;='01_Input'!$Z$72,'01_Input'!$AC$72,0),IF('01_Input'!$AB$72="Palier",IF(AND(Y$20&gt;='01_Input'!$Z$72,Y$20&lt;'01_Input'!$AA$72),'01_Input'!$AC$72,0),MAX(MIN(Y$20,'01_Input'!$AA$72)-'01_Input'!$Z$72,0)*'01_Input'!$AC$72)))))))))</f>
        <v>0</v>
      </c>
      <c r="Z40" s="83">
        <f>IF('01_Input'!$C$72="Non",0,MIN('01_Input'!$I$72,MAX('01_Input'!$H$72,IF('01_Input'!$G$72="Résiduel vs Gestion",0,IF('01_Input'!$G$72="Taux Classe sélectionnée",Distrib_Global_Classe_Selectionnee*Z$20,IF('01_Input'!$G$72="Frais KYC (paliers de 100M€)",MAX(0,Nb_Investisseurs-Nb_KYC_Gratuites_Par_Tranche*(FLOOR(Z$20/Taille_Tranche_KYC,1)+1))*Cout_Par_KYC_Supplementaire,(IF('01_Input'!$L$72="Forfait",IF(Z$20&gt;='01_Input'!$J$72,'01_Input'!$M$72,0),IF('01_Input'!$L$72="Palier",IF(AND(Z$20&gt;='01_Input'!$J$72,Z$20&lt;'01_Input'!$K$72),'01_Input'!$M$72,0),MAX(MIN(Z$20,'01_Input'!$K$72)-'01_Input'!$J$72,0)*'01_Input'!$M$72))+IF('01_Input'!$P$72="Forfait",IF(Z$20&gt;='01_Input'!$N$72,'01_Input'!$Q$72,0),IF('01_Input'!$P$72="Palier",IF(AND(Z$20&gt;='01_Input'!$N$72,Z$20&lt;'01_Input'!$O$72),'01_Input'!$Q$72,0),MAX(MIN(Z$20,'01_Input'!$O$72)-'01_Input'!$N$72,0)*'01_Input'!$Q$72))+IF('01_Input'!$T$72="Forfait",IF(Z$20&gt;='01_Input'!$R$72,'01_Input'!$U$72,0),IF('01_Input'!$T$72="Palier",IF(AND(Z$20&gt;='01_Input'!$R$72,Z$20&lt;'01_Input'!$S$72),'01_Input'!$U$72,0),MAX(MIN(Z$20,'01_Input'!$S$72)-'01_Input'!$R$72,0)*'01_Input'!$U$72))+IF('01_Input'!$X$72="Forfait",IF(Z$20&gt;='01_Input'!$V$72,'01_Input'!$Y$72,0),IF('01_Input'!$X$72="Palier",IF(AND(Z$20&gt;='01_Input'!$V$72,Z$20&lt;'01_Input'!$W$72),'01_Input'!$Y$72,0),MAX(MIN(Z$20,'01_Input'!$W$72)-'01_Input'!$V$72,0)*'01_Input'!$Y$72))+IF('01_Input'!$AB$72="Forfait",IF(Z$20&gt;='01_Input'!$Z$72,'01_Input'!$AC$72,0),IF('01_Input'!$AB$72="Palier",IF(AND(Z$20&gt;='01_Input'!$Z$72,Z$20&lt;'01_Input'!$AA$72),'01_Input'!$AC$72,0),MAX(MIN(Z$20,'01_Input'!$AA$72)-'01_Input'!$Z$72,0)*'01_Input'!$AC$72)))))))))</f>
        <v>0</v>
      </c>
      <c r="AA40" s="83">
        <f>IF('01_Input'!$C$72="Non",0,MIN('01_Input'!$I$72,MAX('01_Input'!$H$72,IF('01_Input'!$G$72="Résiduel vs Gestion",0,IF('01_Input'!$G$72="Taux Classe sélectionnée",Distrib_Global_Classe_Selectionnee*AA$20,IF('01_Input'!$G$72="Frais KYC (paliers de 100M€)",MAX(0,Nb_Investisseurs-Nb_KYC_Gratuites_Par_Tranche*(FLOOR(AA$20/Taille_Tranche_KYC,1)+1))*Cout_Par_KYC_Supplementaire,(IF('01_Input'!$L$72="Forfait",IF(AA$20&gt;='01_Input'!$J$72,'01_Input'!$M$72,0),IF('01_Input'!$L$72="Palier",IF(AND(AA$20&gt;='01_Input'!$J$72,AA$20&lt;'01_Input'!$K$72),'01_Input'!$M$72,0),MAX(MIN(AA$20,'01_Input'!$K$72)-'01_Input'!$J$72,0)*'01_Input'!$M$72))+IF('01_Input'!$P$72="Forfait",IF(AA$20&gt;='01_Input'!$N$72,'01_Input'!$Q$72,0),IF('01_Input'!$P$72="Palier",IF(AND(AA$20&gt;='01_Input'!$N$72,AA$20&lt;'01_Input'!$O$72),'01_Input'!$Q$72,0),MAX(MIN(AA$20,'01_Input'!$O$72)-'01_Input'!$N$72,0)*'01_Input'!$Q$72))+IF('01_Input'!$T$72="Forfait",IF(AA$20&gt;='01_Input'!$R$72,'01_Input'!$U$72,0),IF('01_Input'!$T$72="Palier",IF(AND(AA$20&gt;='01_Input'!$R$72,AA$20&lt;'01_Input'!$S$72),'01_Input'!$U$72,0),MAX(MIN(AA$20,'01_Input'!$S$72)-'01_Input'!$R$72,0)*'01_Input'!$U$72))+IF('01_Input'!$X$72="Forfait",IF(AA$20&gt;='01_Input'!$V$72,'01_Input'!$Y$72,0),IF('01_Input'!$X$72="Palier",IF(AND(AA$20&gt;='01_Input'!$V$72,AA$20&lt;'01_Input'!$W$72),'01_Input'!$Y$72,0),MAX(MIN(AA$20,'01_Input'!$W$72)-'01_Input'!$V$72,0)*'01_Input'!$Y$72))+IF('01_Input'!$AB$72="Forfait",IF(AA$20&gt;='01_Input'!$Z$72,'01_Input'!$AC$72,0),IF('01_Input'!$AB$72="Palier",IF(AND(AA$20&gt;='01_Input'!$Z$72,AA$20&lt;'01_Input'!$AA$72),'01_Input'!$AC$72,0),MAX(MIN(AA$20,'01_Input'!$AA$72)-'01_Input'!$Z$72,0)*'01_Input'!$AC$72)))))))))</f>
        <v>0</v>
      </c>
      <c r="AB40" s="83">
        <f>IF('01_Input'!$C$72="Non",0,MIN('01_Input'!$I$72,MAX('01_Input'!$H$72,IF('01_Input'!$G$72="Résiduel vs Gestion",0,IF('01_Input'!$G$72="Taux Classe sélectionnée",Distrib_Global_Classe_Selectionnee*AB$20,IF('01_Input'!$G$72="Frais KYC (paliers de 100M€)",MAX(0,Nb_Investisseurs-Nb_KYC_Gratuites_Par_Tranche*(FLOOR(AB$20/Taille_Tranche_KYC,1)+1))*Cout_Par_KYC_Supplementaire,(IF('01_Input'!$L$72="Forfait",IF(AB$20&gt;='01_Input'!$J$72,'01_Input'!$M$72,0),IF('01_Input'!$L$72="Palier",IF(AND(AB$20&gt;='01_Input'!$J$72,AB$20&lt;'01_Input'!$K$72),'01_Input'!$M$72,0),MAX(MIN(AB$20,'01_Input'!$K$72)-'01_Input'!$J$72,0)*'01_Input'!$M$72))+IF('01_Input'!$P$72="Forfait",IF(AB$20&gt;='01_Input'!$N$72,'01_Input'!$Q$72,0),IF('01_Input'!$P$72="Palier",IF(AND(AB$20&gt;='01_Input'!$N$72,AB$20&lt;'01_Input'!$O$72),'01_Input'!$Q$72,0),MAX(MIN(AB$20,'01_Input'!$O$72)-'01_Input'!$N$72,0)*'01_Input'!$Q$72))+IF('01_Input'!$T$72="Forfait",IF(AB$20&gt;='01_Input'!$R$72,'01_Input'!$U$72,0),IF('01_Input'!$T$72="Palier",IF(AND(AB$20&gt;='01_Input'!$R$72,AB$20&lt;'01_Input'!$S$72),'01_Input'!$U$72,0),MAX(MIN(AB$20,'01_Input'!$S$72)-'01_Input'!$R$72,0)*'01_Input'!$U$72))+IF('01_Input'!$X$72="Forfait",IF(AB$20&gt;='01_Input'!$V$72,'01_Input'!$Y$72,0),IF('01_Input'!$X$72="Palier",IF(AND(AB$20&gt;='01_Input'!$V$72,AB$20&lt;'01_Input'!$W$72),'01_Input'!$Y$72,0),MAX(MIN(AB$20,'01_Input'!$W$72)-'01_Input'!$V$72,0)*'01_Input'!$Y$72))+IF('01_Input'!$AB$72="Forfait",IF(AB$20&gt;='01_Input'!$Z$72,'01_Input'!$AC$72,0),IF('01_Input'!$AB$72="Palier",IF(AND(AB$20&gt;='01_Input'!$Z$72,AB$20&lt;'01_Input'!$AA$72),'01_Input'!$AC$72,0),MAX(MIN(AB$20,'01_Input'!$AA$72)-'01_Input'!$Z$72,0)*'01_Input'!$AC$72)))))))))</f>
        <v>0</v>
      </c>
      <c r="AC40" s="83">
        <f>IF('01_Input'!$C$72="Non",0,MIN('01_Input'!$I$72,MAX('01_Input'!$H$72,IF('01_Input'!$G$72="Résiduel vs Gestion",0,IF('01_Input'!$G$72="Taux Classe sélectionnée",Distrib_Global_Classe_Selectionnee*AC$20,IF('01_Input'!$G$72="Frais KYC (paliers de 100M€)",MAX(0,Nb_Investisseurs-Nb_KYC_Gratuites_Par_Tranche*(FLOOR(AC$20/Taille_Tranche_KYC,1)+1))*Cout_Par_KYC_Supplementaire,(IF('01_Input'!$L$72="Forfait",IF(AC$20&gt;='01_Input'!$J$72,'01_Input'!$M$72,0),IF('01_Input'!$L$72="Palier",IF(AND(AC$20&gt;='01_Input'!$J$72,AC$20&lt;'01_Input'!$K$72),'01_Input'!$M$72,0),MAX(MIN(AC$20,'01_Input'!$K$72)-'01_Input'!$J$72,0)*'01_Input'!$M$72))+IF('01_Input'!$P$72="Forfait",IF(AC$20&gt;='01_Input'!$N$72,'01_Input'!$Q$72,0),IF('01_Input'!$P$72="Palier",IF(AND(AC$20&gt;='01_Input'!$N$72,AC$20&lt;'01_Input'!$O$72),'01_Input'!$Q$72,0),MAX(MIN(AC$20,'01_Input'!$O$72)-'01_Input'!$N$72,0)*'01_Input'!$Q$72))+IF('01_Input'!$T$72="Forfait",IF(AC$20&gt;='01_Input'!$R$72,'01_Input'!$U$72,0),IF('01_Input'!$T$72="Palier",IF(AND(AC$20&gt;='01_Input'!$R$72,AC$20&lt;'01_Input'!$S$72),'01_Input'!$U$72,0),MAX(MIN(AC$20,'01_Input'!$S$72)-'01_Input'!$R$72,0)*'01_Input'!$U$72))+IF('01_Input'!$X$72="Forfait",IF(AC$20&gt;='01_Input'!$V$72,'01_Input'!$Y$72,0),IF('01_Input'!$X$72="Palier",IF(AND(AC$20&gt;='01_Input'!$V$72,AC$20&lt;'01_Input'!$W$72),'01_Input'!$Y$72,0),MAX(MIN(AC$20,'01_Input'!$W$72)-'01_Input'!$V$72,0)*'01_Input'!$Y$72))+IF('01_Input'!$AB$72="Forfait",IF(AC$20&gt;='01_Input'!$Z$72,'01_Input'!$AC$72,0),IF('01_Input'!$AB$72="Palier",IF(AND(AC$20&gt;='01_Input'!$Z$72,AC$20&lt;'01_Input'!$AA$72),'01_Input'!$AC$72,0),MAX(MIN(AC$20,'01_Input'!$AA$72)-'01_Input'!$Z$72,0)*'01_Input'!$AC$72)))))))))</f>
        <v>0</v>
      </c>
      <c r="AD40" s="83">
        <f>IF('01_Input'!$C$72="Non",0,MIN('01_Input'!$I$72,MAX('01_Input'!$H$72,IF('01_Input'!$G$72="Résiduel vs Gestion",0,IF('01_Input'!$G$72="Taux Classe sélectionnée",Distrib_Global_Classe_Selectionnee*AD$20,IF('01_Input'!$G$72="Frais KYC (paliers de 100M€)",MAX(0,Nb_Investisseurs-Nb_KYC_Gratuites_Par_Tranche*(FLOOR(AD$20/Taille_Tranche_KYC,1)+1))*Cout_Par_KYC_Supplementaire,(IF('01_Input'!$L$72="Forfait",IF(AD$20&gt;='01_Input'!$J$72,'01_Input'!$M$72,0),IF('01_Input'!$L$72="Palier",IF(AND(AD$20&gt;='01_Input'!$J$72,AD$20&lt;'01_Input'!$K$72),'01_Input'!$M$72,0),MAX(MIN(AD$20,'01_Input'!$K$72)-'01_Input'!$J$72,0)*'01_Input'!$M$72))+IF('01_Input'!$P$72="Forfait",IF(AD$20&gt;='01_Input'!$N$72,'01_Input'!$Q$72,0),IF('01_Input'!$P$72="Palier",IF(AND(AD$20&gt;='01_Input'!$N$72,AD$20&lt;'01_Input'!$O$72),'01_Input'!$Q$72,0),MAX(MIN(AD$20,'01_Input'!$O$72)-'01_Input'!$N$72,0)*'01_Input'!$Q$72))+IF('01_Input'!$T$72="Forfait",IF(AD$20&gt;='01_Input'!$R$72,'01_Input'!$U$72,0),IF('01_Input'!$T$72="Palier",IF(AND(AD$20&gt;='01_Input'!$R$72,AD$20&lt;'01_Input'!$S$72),'01_Input'!$U$72,0),MAX(MIN(AD$20,'01_Input'!$S$72)-'01_Input'!$R$72,0)*'01_Input'!$U$72))+IF('01_Input'!$X$72="Forfait",IF(AD$20&gt;='01_Input'!$V$72,'01_Input'!$Y$72,0),IF('01_Input'!$X$72="Palier",IF(AND(AD$20&gt;='01_Input'!$V$72,AD$20&lt;'01_Input'!$W$72),'01_Input'!$Y$72,0),MAX(MIN(AD$20,'01_Input'!$W$72)-'01_Input'!$V$72,0)*'01_Input'!$Y$72))+IF('01_Input'!$AB$72="Forfait",IF(AD$20&gt;='01_Input'!$Z$72,'01_Input'!$AC$72,0),IF('01_Input'!$AB$72="Palier",IF(AND(AD$20&gt;='01_Input'!$Z$72,AD$20&lt;'01_Input'!$AA$72),'01_Input'!$AC$72,0),MAX(MIN(AD$20,'01_Input'!$AA$72)-'01_Input'!$Z$72,0)*'01_Input'!$AC$72)))))))))</f>
        <v>0</v>
      </c>
      <c r="AE40" s="83">
        <f>IF('01_Input'!$C$72="Non",0,MIN('01_Input'!$I$72,MAX('01_Input'!$H$72,IF('01_Input'!$G$72="Résiduel vs Gestion",0,IF('01_Input'!$G$72="Taux Classe sélectionnée",Distrib_Global_Classe_Selectionnee*AE$20,IF('01_Input'!$G$72="Frais KYC (paliers de 100M€)",MAX(0,Nb_Investisseurs-Nb_KYC_Gratuites_Par_Tranche*(FLOOR(AE$20/Taille_Tranche_KYC,1)+1))*Cout_Par_KYC_Supplementaire,(IF('01_Input'!$L$72="Forfait",IF(AE$20&gt;='01_Input'!$J$72,'01_Input'!$M$72,0),IF('01_Input'!$L$72="Palier",IF(AND(AE$20&gt;='01_Input'!$J$72,AE$20&lt;'01_Input'!$K$72),'01_Input'!$M$72,0),MAX(MIN(AE$20,'01_Input'!$K$72)-'01_Input'!$J$72,0)*'01_Input'!$M$72))+IF('01_Input'!$P$72="Forfait",IF(AE$20&gt;='01_Input'!$N$72,'01_Input'!$Q$72,0),IF('01_Input'!$P$72="Palier",IF(AND(AE$20&gt;='01_Input'!$N$72,AE$20&lt;'01_Input'!$O$72),'01_Input'!$Q$72,0),MAX(MIN(AE$20,'01_Input'!$O$72)-'01_Input'!$N$72,0)*'01_Input'!$Q$72))+IF('01_Input'!$T$72="Forfait",IF(AE$20&gt;='01_Input'!$R$72,'01_Input'!$U$72,0),IF('01_Input'!$T$72="Palier",IF(AND(AE$20&gt;='01_Input'!$R$72,AE$20&lt;'01_Input'!$S$72),'01_Input'!$U$72,0),MAX(MIN(AE$20,'01_Input'!$S$72)-'01_Input'!$R$72,0)*'01_Input'!$U$72))+IF('01_Input'!$X$72="Forfait",IF(AE$20&gt;='01_Input'!$V$72,'01_Input'!$Y$72,0),IF('01_Input'!$X$72="Palier",IF(AND(AE$20&gt;='01_Input'!$V$72,AE$20&lt;'01_Input'!$W$72),'01_Input'!$Y$72,0),MAX(MIN(AE$20,'01_Input'!$W$72)-'01_Input'!$V$72,0)*'01_Input'!$Y$72))+IF('01_Input'!$AB$72="Forfait",IF(AE$20&gt;='01_Input'!$Z$72,'01_Input'!$AC$72,0),IF('01_Input'!$AB$72="Palier",IF(AND(AE$20&gt;='01_Input'!$Z$72,AE$20&lt;'01_Input'!$AA$72),'01_Input'!$AC$72,0),MAX(MIN(AE$20,'01_Input'!$AA$72)-'01_Input'!$Z$72,0)*'01_Input'!$AC$72)))))))))</f>
        <v>0</v>
      </c>
      <c r="AF40" s="83">
        <f>IF('01_Input'!$C$72="Non",0,MIN('01_Input'!$I$72,MAX('01_Input'!$H$72,IF('01_Input'!$G$72="Résiduel vs Gestion",0,IF('01_Input'!$G$72="Taux Classe sélectionnée",Distrib_Global_Classe_Selectionnee*AF$20,IF('01_Input'!$G$72="Frais KYC (paliers de 100M€)",MAX(0,Nb_Investisseurs-Nb_KYC_Gratuites_Par_Tranche*(FLOOR(AF$20/Taille_Tranche_KYC,1)+1))*Cout_Par_KYC_Supplementaire,(IF('01_Input'!$L$72="Forfait",IF(AF$20&gt;='01_Input'!$J$72,'01_Input'!$M$72,0),IF('01_Input'!$L$72="Palier",IF(AND(AF$20&gt;='01_Input'!$J$72,AF$20&lt;'01_Input'!$K$72),'01_Input'!$M$72,0),MAX(MIN(AF$20,'01_Input'!$K$72)-'01_Input'!$J$72,0)*'01_Input'!$M$72))+IF('01_Input'!$P$72="Forfait",IF(AF$20&gt;='01_Input'!$N$72,'01_Input'!$Q$72,0),IF('01_Input'!$P$72="Palier",IF(AND(AF$20&gt;='01_Input'!$N$72,AF$20&lt;'01_Input'!$O$72),'01_Input'!$Q$72,0),MAX(MIN(AF$20,'01_Input'!$O$72)-'01_Input'!$N$72,0)*'01_Input'!$Q$72))+IF('01_Input'!$T$72="Forfait",IF(AF$20&gt;='01_Input'!$R$72,'01_Input'!$U$72,0),IF('01_Input'!$T$72="Palier",IF(AND(AF$20&gt;='01_Input'!$R$72,AF$20&lt;'01_Input'!$S$72),'01_Input'!$U$72,0),MAX(MIN(AF$20,'01_Input'!$S$72)-'01_Input'!$R$72,0)*'01_Input'!$U$72))+IF('01_Input'!$X$72="Forfait",IF(AF$20&gt;='01_Input'!$V$72,'01_Input'!$Y$72,0),IF('01_Input'!$X$72="Palier",IF(AND(AF$20&gt;='01_Input'!$V$72,AF$20&lt;'01_Input'!$W$72),'01_Input'!$Y$72,0),MAX(MIN(AF$20,'01_Input'!$W$72)-'01_Input'!$V$72,0)*'01_Input'!$Y$72))+IF('01_Input'!$AB$72="Forfait",IF(AF$20&gt;='01_Input'!$Z$72,'01_Input'!$AC$72,0),IF('01_Input'!$AB$72="Palier",IF(AND(AF$20&gt;='01_Input'!$Z$72,AF$20&lt;'01_Input'!$AA$72),'01_Input'!$AC$72,0),MAX(MIN(AF$20,'01_Input'!$AA$72)-'01_Input'!$Z$72,0)*'01_Input'!$AC$72)))))))))</f>
        <v>0</v>
      </c>
      <c r="AG40" s="83">
        <f>IF('01_Input'!$C$72="Non",0,MIN('01_Input'!$I$72,MAX('01_Input'!$H$72,IF('01_Input'!$G$72="Résiduel vs Gestion",0,IF('01_Input'!$G$72="Taux Classe sélectionnée",Distrib_Global_Classe_Selectionnee*AG$20,IF('01_Input'!$G$72="Frais KYC (paliers de 100M€)",MAX(0,Nb_Investisseurs-Nb_KYC_Gratuites_Par_Tranche*(FLOOR(AG$20/Taille_Tranche_KYC,1)+1))*Cout_Par_KYC_Supplementaire,(IF('01_Input'!$L$72="Forfait",IF(AG$20&gt;='01_Input'!$J$72,'01_Input'!$M$72,0),IF('01_Input'!$L$72="Palier",IF(AND(AG$20&gt;='01_Input'!$J$72,AG$20&lt;'01_Input'!$K$72),'01_Input'!$M$72,0),MAX(MIN(AG$20,'01_Input'!$K$72)-'01_Input'!$J$72,0)*'01_Input'!$M$72))+IF('01_Input'!$P$72="Forfait",IF(AG$20&gt;='01_Input'!$N$72,'01_Input'!$Q$72,0),IF('01_Input'!$P$72="Palier",IF(AND(AG$20&gt;='01_Input'!$N$72,AG$20&lt;'01_Input'!$O$72),'01_Input'!$Q$72,0),MAX(MIN(AG$20,'01_Input'!$O$72)-'01_Input'!$N$72,0)*'01_Input'!$Q$72))+IF('01_Input'!$T$72="Forfait",IF(AG$20&gt;='01_Input'!$R$72,'01_Input'!$U$72,0),IF('01_Input'!$T$72="Palier",IF(AND(AG$20&gt;='01_Input'!$R$72,AG$20&lt;'01_Input'!$S$72),'01_Input'!$U$72,0),MAX(MIN(AG$20,'01_Input'!$S$72)-'01_Input'!$R$72,0)*'01_Input'!$U$72))+IF('01_Input'!$X$72="Forfait",IF(AG$20&gt;='01_Input'!$V$72,'01_Input'!$Y$72,0),IF('01_Input'!$X$72="Palier",IF(AND(AG$20&gt;='01_Input'!$V$72,AG$20&lt;'01_Input'!$W$72),'01_Input'!$Y$72,0),MAX(MIN(AG$20,'01_Input'!$W$72)-'01_Input'!$V$72,0)*'01_Input'!$Y$72))+IF('01_Input'!$AB$72="Forfait",IF(AG$20&gt;='01_Input'!$Z$72,'01_Input'!$AC$72,0),IF('01_Input'!$AB$72="Palier",IF(AND(AG$20&gt;='01_Input'!$Z$72,AG$20&lt;'01_Input'!$AA$72),'01_Input'!$AC$72,0),MAX(MIN(AG$20,'01_Input'!$AA$72)-'01_Input'!$Z$72,0)*'01_Input'!$AC$72)))))))))</f>
        <v>0</v>
      </c>
      <c r="AH40" s="83">
        <f>IF('01_Input'!$C$72="Non",0,MIN('01_Input'!$I$72,MAX('01_Input'!$H$72,IF('01_Input'!$G$72="Résiduel vs Gestion",0,IF('01_Input'!$G$72="Taux Classe sélectionnée",Distrib_Global_Classe_Selectionnee*AH$20,IF('01_Input'!$G$72="Frais KYC (paliers de 100M€)",MAX(0,Nb_Investisseurs-Nb_KYC_Gratuites_Par_Tranche*(FLOOR(AH$20/Taille_Tranche_KYC,1)+1))*Cout_Par_KYC_Supplementaire,(IF('01_Input'!$L$72="Forfait",IF(AH$20&gt;='01_Input'!$J$72,'01_Input'!$M$72,0),IF('01_Input'!$L$72="Palier",IF(AND(AH$20&gt;='01_Input'!$J$72,AH$20&lt;'01_Input'!$K$72),'01_Input'!$M$72,0),MAX(MIN(AH$20,'01_Input'!$K$72)-'01_Input'!$J$72,0)*'01_Input'!$M$72))+IF('01_Input'!$P$72="Forfait",IF(AH$20&gt;='01_Input'!$N$72,'01_Input'!$Q$72,0),IF('01_Input'!$P$72="Palier",IF(AND(AH$20&gt;='01_Input'!$N$72,AH$20&lt;'01_Input'!$O$72),'01_Input'!$Q$72,0),MAX(MIN(AH$20,'01_Input'!$O$72)-'01_Input'!$N$72,0)*'01_Input'!$Q$72))+IF('01_Input'!$T$72="Forfait",IF(AH$20&gt;='01_Input'!$R$72,'01_Input'!$U$72,0),IF('01_Input'!$T$72="Palier",IF(AND(AH$20&gt;='01_Input'!$R$72,AH$20&lt;'01_Input'!$S$72),'01_Input'!$U$72,0),MAX(MIN(AH$20,'01_Input'!$S$72)-'01_Input'!$R$72,0)*'01_Input'!$U$72))+IF('01_Input'!$X$72="Forfait",IF(AH$20&gt;='01_Input'!$V$72,'01_Input'!$Y$72,0),IF('01_Input'!$X$72="Palier",IF(AND(AH$20&gt;='01_Input'!$V$72,AH$20&lt;'01_Input'!$W$72),'01_Input'!$Y$72,0),MAX(MIN(AH$20,'01_Input'!$W$72)-'01_Input'!$V$72,0)*'01_Input'!$Y$72))+IF('01_Input'!$AB$72="Forfait",IF(AH$20&gt;='01_Input'!$Z$72,'01_Input'!$AC$72,0),IF('01_Input'!$AB$72="Palier",IF(AND(AH$20&gt;='01_Input'!$Z$72,AH$20&lt;'01_Input'!$AA$72),'01_Input'!$AC$72,0),MAX(MIN(AH$20,'01_Input'!$AA$72)-'01_Input'!$Z$72,0)*'01_Input'!$AC$72)))))))))</f>
        <v>0</v>
      </c>
      <c r="AI40" s="83">
        <f>IF('01_Input'!$C$72="Non",0,MIN('01_Input'!$I$72,MAX('01_Input'!$H$72,IF('01_Input'!$G$72="Résiduel vs Gestion",0,IF('01_Input'!$G$72="Taux Classe sélectionnée",Distrib_Global_Classe_Selectionnee*AI$20,IF('01_Input'!$G$72="Frais KYC (paliers de 100M€)",MAX(0,Nb_Investisseurs-Nb_KYC_Gratuites_Par_Tranche*(FLOOR(AI$20/Taille_Tranche_KYC,1)+1))*Cout_Par_KYC_Supplementaire,(IF('01_Input'!$L$72="Forfait",IF(AI$20&gt;='01_Input'!$J$72,'01_Input'!$M$72,0),IF('01_Input'!$L$72="Palier",IF(AND(AI$20&gt;='01_Input'!$J$72,AI$20&lt;'01_Input'!$K$72),'01_Input'!$M$72,0),MAX(MIN(AI$20,'01_Input'!$K$72)-'01_Input'!$J$72,0)*'01_Input'!$M$72))+IF('01_Input'!$P$72="Forfait",IF(AI$20&gt;='01_Input'!$N$72,'01_Input'!$Q$72,0),IF('01_Input'!$P$72="Palier",IF(AND(AI$20&gt;='01_Input'!$N$72,AI$20&lt;'01_Input'!$O$72),'01_Input'!$Q$72,0),MAX(MIN(AI$20,'01_Input'!$O$72)-'01_Input'!$N$72,0)*'01_Input'!$Q$72))+IF('01_Input'!$T$72="Forfait",IF(AI$20&gt;='01_Input'!$R$72,'01_Input'!$U$72,0),IF('01_Input'!$T$72="Palier",IF(AND(AI$20&gt;='01_Input'!$R$72,AI$20&lt;'01_Input'!$S$72),'01_Input'!$U$72,0),MAX(MIN(AI$20,'01_Input'!$S$72)-'01_Input'!$R$72,0)*'01_Input'!$U$72))+IF('01_Input'!$X$72="Forfait",IF(AI$20&gt;='01_Input'!$V$72,'01_Input'!$Y$72,0),IF('01_Input'!$X$72="Palier",IF(AND(AI$20&gt;='01_Input'!$V$72,AI$20&lt;'01_Input'!$W$72),'01_Input'!$Y$72,0),MAX(MIN(AI$20,'01_Input'!$W$72)-'01_Input'!$V$72,0)*'01_Input'!$Y$72))+IF('01_Input'!$AB$72="Forfait",IF(AI$20&gt;='01_Input'!$Z$72,'01_Input'!$AC$72,0),IF('01_Input'!$AB$72="Palier",IF(AND(AI$20&gt;='01_Input'!$Z$72,AI$20&lt;'01_Input'!$AA$72),'01_Input'!$AC$72,0),MAX(MIN(AI$20,'01_Input'!$AA$72)-'01_Input'!$Z$72,0)*'01_Input'!$AC$72)))))))))</f>
        <v>0</v>
      </c>
      <c r="AJ40" s="83">
        <f>IF('01_Input'!$C$72="Non",0,MIN('01_Input'!$I$72,MAX('01_Input'!$H$72,IF('01_Input'!$G$72="Résiduel vs Gestion",0,IF('01_Input'!$G$72="Taux Classe sélectionnée",Distrib_Global_Classe_Selectionnee*AJ$20,IF('01_Input'!$G$72="Frais KYC (paliers de 100M€)",MAX(0,Nb_Investisseurs-Nb_KYC_Gratuites_Par_Tranche*(FLOOR(AJ$20/Taille_Tranche_KYC,1)+1))*Cout_Par_KYC_Supplementaire,(IF('01_Input'!$L$72="Forfait",IF(AJ$20&gt;='01_Input'!$J$72,'01_Input'!$M$72,0),IF('01_Input'!$L$72="Palier",IF(AND(AJ$20&gt;='01_Input'!$J$72,AJ$20&lt;'01_Input'!$K$72),'01_Input'!$M$72,0),MAX(MIN(AJ$20,'01_Input'!$K$72)-'01_Input'!$J$72,0)*'01_Input'!$M$72))+IF('01_Input'!$P$72="Forfait",IF(AJ$20&gt;='01_Input'!$N$72,'01_Input'!$Q$72,0),IF('01_Input'!$P$72="Palier",IF(AND(AJ$20&gt;='01_Input'!$N$72,AJ$20&lt;'01_Input'!$O$72),'01_Input'!$Q$72,0),MAX(MIN(AJ$20,'01_Input'!$O$72)-'01_Input'!$N$72,0)*'01_Input'!$Q$72))+IF('01_Input'!$T$72="Forfait",IF(AJ$20&gt;='01_Input'!$R$72,'01_Input'!$U$72,0),IF('01_Input'!$T$72="Palier",IF(AND(AJ$20&gt;='01_Input'!$R$72,AJ$20&lt;'01_Input'!$S$72),'01_Input'!$U$72,0),MAX(MIN(AJ$20,'01_Input'!$S$72)-'01_Input'!$R$72,0)*'01_Input'!$U$72))+IF('01_Input'!$X$72="Forfait",IF(AJ$20&gt;='01_Input'!$V$72,'01_Input'!$Y$72,0),IF('01_Input'!$X$72="Palier",IF(AND(AJ$20&gt;='01_Input'!$V$72,AJ$20&lt;'01_Input'!$W$72),'01_Input'!$Y$72,0),MAX(MIN(AJ$20,'01_Input'!$W$72)-'01_Input'!$V$72,0)*'01_Input'!$Y$72))+IF('01_Input'!$AB$72="Forfait",IF(AJ$20&gt;='01_Input'!$Z$72,'01_Input'!$AC$72,0),IF('01_Input'!$AB$72="Palier",IF(AND(AJ$20&gt;='01_Input'!$Z$72,AJ$20&lt;'01_Input'!$AA$72),'01_Input'!$AC$72,0),MAX(MIN(AJ$20,'01_Input'!$AA$72)-'01_Input'!$Z$72,0)*'01_Input'!$AC$72)))))))))</f>
        <v>0</v>
      </c>
      <c r="AK40" s="83">
        <f>IF('01_Input'!$C$72="Non",0,MIN('01_Input'!$I$72,MAX('01_Input'!$H$72,IF('01_Input'!$G$72="Résiduel vs Gestion",0,IF('01_Input'!$G$72="Taux Classe sélectionnée",Distrib_Global_Classe_Selectionnee*AK$20,IF('01_Input'!$G$72="Frais KYC (paliers de 100M€)",MAX(0,Nb_Investisseurs-Nb_KYC_Gratuites_Par_Tranche*(FLOOR(AK$20/Taille_Tranche_KYC,1)+1))*Cout_Par_KYC_Supplementaire,(IF('01_Input'!$L$72="Forfait",IF(AK$20&gt;='01_Input'!$J$72,'01_Input'!$M$72,0),IF('01_Input'!$L$72="Palier",IF(AND(AK$20&gt;='01_Input'!$J$72,AK$20&lt;'01_Input'!$K$72),'01_Input'!$M$72,0),MAX(MIN(AK$20,'01_Input'!$K$72)-'01_Input'!$J$72,0)*'01_Input'!$M$72))+IF('01_Input'!$P$72="Forfait",IF(AK$20&gt;='01_Input'!$N$72,'01_Input'!$Q$72,0),IF('01_Input'!$P$72="Palier",IF(AND(AK$20&gt;='01_Input'!$N$72,AK$20&lt;'01_Input'!$O$72),'01_Input'!$Q$72,0),MAX(MIN(AK$20,'01_Input'!$O$72)-'01_Input'!$N$72,0)*'01_Input'!$Q$72))+IF('01_Input'!$T$72="Forfait",IF(AK$20&gt;='01_Input'!$R$72,'01_Input'!$U$72,0),IF('01_Input'!$T$72="Palier",IF(AND(AK$20&gt;='01_Input'!$R$72,AK$20&lt;'01_Input'!$S$72),'01_Input'!$U$72,0),MAX(MIN(AK$20,'01_Input'!$S$72)-'01_Input'!$R$72,0)*'01_Input'!$U$72))+IF('01_Input'!$X$72="Forfait",IF(AK$20&gt;='01_Input'!$V$72,'01_Input'!$Y$72,0),IF('01_Input'!$X$72="Palier",IF(AND(AK$20&gt;='01_Input'!$V$72,AK$20&lt;'01_Input'!$W$72),'01_Input'!$Y$72,0),MAX(MIN(AK$20,'01_Input'!$W$72)-'01_Input'!$V$72,0)*'01_Input'!$Y$72))+IF('01_Input'!$AB$72="Forfait",IF(AK$20&gt;='01_Input'!$Z$72,'01_Input'!$AC$72,0),IF('01_Input'!$AB$72="Palier",IF(AND(AK$20&gt;='01_Input'!$Z$72,AK$20&lt;'01_Input'!$AA$72),'01_Input'!$AC$72,0),MAX(MIN(AK$20,'01_Input'!$AA$72)-'01_Input'!$Z$72,0)*'01_Input'!$AC$72)))))))))</f>
        <v>0</v>
      </c>
      <c r="AL40" s="83">
        <f>IF('01_Input'!$C$72="Non",0,MIN('01_Input'!$I$72,MAX('01_Input'!$H$72,IF('01_Input'!$G$72="Résiduel vs Gestion",0,IF('01_Input'!$G$72="Taux Classe sélectionnée",Distrib_Global_Classe_Selectionnee*AL$20,IF('01_Input'!$G$72="Frais KYC (paliers de 100M€)",MAX(0,Nb_Investisseurs-Nb_KYC_Gratuites_Par_Tranche*(FLOOR(AL$20/Taille_Tranche_KYC,1)+1))*Cout_Par_KYC_Supplementaire,(IF('01_Input'!$L$72="Forfait",IF(AL$20&gt;='01_Input'!$J$72,'01_Input'!$M$72,0),IF('01_Input'!$L$72="Palier",IF(AND(AL$20&gt;='01_Input'!$J$72,AL$20&lt;'01_Input'!$K$72),'01_Input'!$M$72,0),MAX(MIN(AL$20,'01_Input'!$K$72)-'01_Input'!$J$72,0)*'01_Input'!$M$72))+IF('01_Input'!$P$72="Forfait",IF(AL$20&gt;='01_Input'!$N$72,'01_Input'!$Q$72,0),IF('01_Input'!$P$72="Palier",IF(AND(AL$20&gt;='01_Input'!$N$72,AL$20&lt;'01_Input'!$O$72),'01_Input'!$Q$72,0),MAX(MIN(AL$20,'01_Input'!$O$72)-'01_Input'!$N$72,0)*'01_Input'!$Q$72))+IF('01_Input'!$T$72="Forfait",IF(AL$20&gt;='01_Input'!$R$72,'01_Input'!$U$72,0),IF('01_Input'!$T$72="Palier",IF(AND(AL$20&gt;='01_Input'!$R$72,AL$20&lt;'01_Input'!$S$72),'01_Input'!$U$72,0),MAX(MIN(AL$20,'01_Input'!$S$72)-'01_Input'!$R$72,0)*'01_Input'!$U$72))+IF('01_Input'!$X$72="Forfait",IF(AL$20&gt;='01_Input'!$V$72,'01_Input'!$Y$72,0),IF('01_Input'!$X$72="Palier",IF(AND(AL$20&gt;='01_Input'!$V$72,AL$20&lt;'01_Input'!$W$72),'01_Input'!$Y$72,0),MAX(MIN(AL$20,'01_Input'!$W$72)-'01_Input'!$V$72,0)*'01_Input'!$Y$72))+IF('01_Input'!$AB$72="Forfait",IF(AL$20&gt;='01_Input'!$Z$72,'01_Input'!$AC$72,0),IF('01_Input'!$AB$72="Palier",IF(AND(AL$20&gt;='01_Input'!$Z$72,AL$20&lt;'01_Input'!$AA$72),'01_Input'!$AC$72,0),MAX(MIN(AL$20,'01_Input'!$AA$72)-'01_Input'!$Z$72,0)*'01_Input'!$AC$72)))))))))</f>
        <v>0</v>
      </c>
      <c r="AM40" s="83">
        <f>IF('01_Input'!$C$72="Non",0,MIN('01_Input'!$I$72,MAX('01_Input'!$H$72,IF('01_Input'!$G$72="Résiduel vs Gestion",0,IF('01_Input'!$G$72="Taux Classe sélectionnée",Distrib_Global_Classe_Selectionnee*AM$20,IF('01_Input'!$G$72="Frais KYC (paliers de 100M€)",MAX(0,Nb_Investisseurs-Nb_KYC_Gratuites_Par_Tranche*(FLOOR(AM$20/Taille_Tranche_KYC,1)+1))*Cout_Par_KYC_Supplementaire,(IF('01_Input'!$L$72="Forfait",IF(AM$20&gt;='01_Input'!$J$72,'01_Input'!$M$72,0),IF('01_Input'!$L$72="Palier",IF(AND(AM$20&gt;='01_Input'!$J$72,AM$20&lt;'01_Input'!$K$72),'01_Input'!$M$72,0),MAX(MIN(AM$20,'01_Input'!$K$72)-'01_Input'!$J$72,0)*'01_Input'!$M$72))+IF('01_Input'!$P$72="Forfait",IF(AM$20&gt;='01_Input'!$N$72,'01_Input'!$Q$72,0),IF('01_Input'!$P$72="Palier",IF(AND(AM$20&gt;='01_Input'!$N$72,AM$20&lt;'01_Input'!$O$72),'01_Input'!$Q$72,0),MAX(MIN(AM$20,'01_Input'!$O$72)-'01_Input'!$N$72,0)*'01_Input'!$Q$72))+IF('01_Input'!$T$72="Forfait",IF(AM$20&gt;='01_Input'!$R$72,'01_Input'!$U$72,0),IF('01_Input'!$T$72="Palier",IF(AND(AM$20&gt;='01_Input'!$R$72,AM$20&lt;'01_Input'!$S$72),'01_Input'!$U$72,0),MAX(MIN(AM$20,'01_Input'!$S$72)-'01_Input'!$R$72,0)*'01_Input'!$U$72))+IF('01_Input'!$X$72="Forfait",IF(AM$20&gt;='01_Input'!$V$72,'01_Input'!$Y$72,0),IF('01_Input'!$X$72="Palier",IF(AND(AM$20&gt;='01_Input'!$V$72,AM$20&lt;'01_Input'!$W$72),'01_Input'!$Y$72,0),MAX(MIN(AM$20,'01_Input'!$W$72)-'01_Input'!$V$72,0)*'01_Input'!$Y$72))+IF('01_Input'!$AB$72="Forfait",IF(AM$20&gt;='01_Input'!$Z$72,'01_Input'!$AC$72,0),IF('01_Input'!$AB$72="Palier",IF(AND(AM$20&gt;='01_Input'!$Z$72,AM$20&lt;'01_Input'!$AA$72),'01_Input'!$AC$72,0),MAX(MIN(AM$20,'01_Input'!$AA$72)-'01_Input'!$Z$72,0)*'01_Input'!$AC$72)))))))))</f>
        <v>0</v>
      </c>
      <c r="AN40" s="83">
        <f>IF('01_Input'!$C$72="Non",0,MIN('01_Input'!$I$72,MAX('01_Input'!$H$72,IF('01_Input'!$G$72="Résiduel vs Gestion",0,IF('01_Input'!$G$72="Taux Classe sélectionnée",Distrib_Global_Classe_Selectionnee*AN$20,IF('01_Input'!$G$72="Frais KYC (paliers de 100M€)",MAX(0,Nb_Investisseurs-Nb_KYC_Gratuites_Par_Tranche*(FLOOR(AN$20/Taille_Tranche_KYC,1)+1))*Cout_Par_KYC_Supplementaire,(IF('01_Input'!$L$72="Forfait",IF(AN$20&gt;='01_Input'!$J$72,'01_Input'!$M$72,0),IF('01_Input'!$L$72="Palier",IF(AND(AN$20&gt;='01_Input'!$J$72,AN$20&lt;'01_Input'!$K$72),'01_Input'!$M$72,0),MAX(MIN(AN$20,'01_Input'!$K$72)-'01_Input'!$J$72,0)*'01_Input'!$M$72))+IF('01_Input'!$P$72="Forfait",IF(AN$20&gt;='01_Input'!$N$72,'01_Input'!$Q$72,0),IF('01_Input'!$P$72="Palier",IF(AND(AN$20&gt;='01_Input'!$N$72,AN$20&lt;'01_Input'!$O$72),'01_Input'!$Q$72,0),MAX(MIN(AN$20,'01_Input'!$O$72)-'01_Input'!$N$72,0)*'01_Input'!$Q$72))+IF('01_Input'!$T$72="Forfait",IF(AN$20&gt;='01_Input'!$R$72,'01_Input'!$U$72,0),IF('01_Input'!$T$72="Palier",IF(AND(AN$20&gt;='01_Input'!$R$72,AN$20&lt;'01_Input'!$S$72),'01_Input'!$U$72,0),MAX(MIN(AN$20,'01_Input'!$S$72)-'01_Input'!$R$72,0)*'01_Input'!$U$72))+IF('01_Input'!$X$72="Forfait",IF(AN$20&gt;='01_Input'!$V$72,'01_Input'!$Y$72,0),IF('01_Input'!$X$72="Palier",IF(AND(AN$20&gt;='01_Input'!$V$72,AN$20&lt;'01_Input'!$W$72),'01_Input'!$Y$72,0),MAX(MIN(AN$20,'01_Input'!$W$72)-'01_Input'!$V$72,0)*'01_Input'!$Y$72))+IF('01_Input'!$AB$72="Forfait",IF(AN$20&gt;='01_Input'!$Z$72,'01_Input'!$AC$72,0),IF('01_Input'!$AB$72="Palier",IF(AND(AN$20&gt;='01_Input'!$Z$72,AN$20&lt;'01_Input'!$AA$72),'01_Input'!$AC$72,0),MAX(MIN(AN$20,'01_Input'!$AA$72)-'01_Input'!$Z$72,0)*'01_Input'!$AC$72)))))))))</f>
        <v>0</v>
      </c>
      <c r="AO40" s="83">
        <f>IF('01_Input'!$C$72="Non",0,MIN('01_Input'!$I$72,MAX('01_Input'!$H$72,IF('01_Input'!$G$72="Résiduel vs Gestion",0,IF('01_Input'!$G$72="Taux Classe sélectionnée",Distrib_Global_Classe_Selectionnee*AO$20,IF('01_Input'!$G$72="Frais KYC (paliers de 100M€)",MAX(0,Nb_Investisseurs-Nb_KYC_Gratuites_Par_Tranche*(FLOOR(AO$20/Taille_Tranche_KYC,1)+1))*Cout_Par_KYC_Supplementaire,(IF('01_Input'!$L$72="Forfait",IF(AO$20&gt;='01_Input'!$J$72,'01_Input'!$M$72,0),IF('01_Input'!$L$72="Palier",IF(AND(AO$20&gt;='01_Input'!$J$72,AO$20&lt;'01_Input'!$K$72),'01_Input'!$M$72,0),MAX(MIN(AO$20,'01_Input'!$K$72)-'01_Input'!$J$72,0)*'01_Input'!$M$72))+IF('01_Input'!$P$72="Forfait",IF(AO$20&gt;='01_Input'!$N$72,'01_Input'!$Q$72,0),IF('01_Input'!$P$72="Palier",IF(AND(AO$20&gt;='01_Input'!$N$72,AO$20&lt;'01_Input'!$O$72),'01_Input'!$Q$72,0),MAX(MIN(AO$20,'01_Input'!$O$72)-'01_Input'!$N$72,0)*'01_Input'!$Q$72))+IF('01_Input'!$T$72="Forfait",IF(AO$20&gt;='01_Input'!$R$72,'01_Input'!$U$72,0),IF('01_Input'!$T$72="Palier",IF(AND(AO$20&gt;='01_Input'!$R$72,AO$20&lt;'01_Input'!$S$72),'01_Input'!$U$72,0),MAX(MIN(AO$20,'01_Input'!$S$72)-'01_Input'!$R$72,0)*'01_Input'!$U$72))+IF('01_Input'!$X$72="Forfait",IF(AO$20&gt;='01_Input'!$V$72,'01_Input'!$Y$72,0),IF('01_Input'!$X$72="Palier",IF(AND(AO$20&gt;='01_Input'!$V$72,AO$20&lt;'01_Input'!$W$72),'01_Input'!$Y$72,0),MAX(MIN(AO$20,'01_Input'!$W$72)-'01_Input'!$V$72,0)*'01_Input'!$Y$72))+IF('01_Input'!$AB$72="Forfait",IF(AO$20&gt;='01_Input'!$Z$72,'01_Input'!$AC$72,0),IF('01_Input'!$AB$72="Palier",IF(AND(AO$20&gt;='01_Input'!$Z$72,AO$20&lt;'01_Input'!$AA$72),'01_Input'!$AC$72,0),MAX(MIN(AO$20,'01_Input'!$AA$72)-'01_Input'!$Z$72,0)*'01_Input'!$AC$72)))))))))</f>
        <v>0</v>
      </c>
      <c r="AP40" s="83">
        <f>IF('01_Input'!$C$72="Non",0,MIN('01_Input'!$I$72,MAX('01_Input'!$H$72,IF('01_Input'!$G$72="Résiduel vs Gestion",0,IF('01_Input'!$G$72="Taux Classe sélectionnée",Distrib_Global_Classe_Selectionnee*AP$20,IF('01_Input'!$G$72="Frais KYC (paliers de 100M€)",MAX(0,Nb_Investisseurs-Nb_KYC_Gratuites_Par_Tranche*(FLOOR(AP$20/Taille_Tranche_KYC,1)+1))*Cout_Par_KYC_Supplementaire,(IF('01_Input'!$L$72="Forfait",IF(AP$20&gt;='01_Input'!$J$72,'01_Input'!$M$72,0),IF('01_Input'!$L$72="Palier",IF(AND(AP$20&gt;='01_Input'!$J$72,AP$20&lt;'01_Input'!$K$72),'01_Input'!$M$72,0),MAX(MIN(AP$20,'01_Input'!$K$72)-'01_Input'!$J$72,0)*'01_Input'!$M$72))+IF('01_Input'!$P$72="Forfait",IF(AP$20&gt;='01_Input'!$N$72,'01_Input'!$Q$72,0),IF('01_Input'!$P$72="Palier",IF(AND(AP$20&gt;='01_Input'!$N$72,AP$20&lt;'01_Input'!$O$72),'01_Input'!$Q$72,0),MAX(MIN(AP$20,'01_Input'!$O$72)-'01_Input'!$N$72,0)*'01_Input'!$Q$72))+IF('01_Input'!$T$72="Forfait",IF(AP$20&gt;='01_Input'!$R$72,'01_Input'!$U$72,0),IF('01_Input'!$T$72="Palier",IF(AND(AP$20&gt;='01_Input'!$R$72,AP$20&lt;'01_Input'!$S$72),'01_Input'!$U$72,0),MAX(MIN(AP$20,'01_Input'!$S$72)-'01_Input'!$R$72,0)*'01_Input'!$U$72))+IF('01_Input'!$X$72="Forfait",IF(AP$20&gt;='01_Input'!$V$72,'01_Input'!$Y$72,0),IF('01_Input'!$X$72="Palier",IF(AND(AP$20&gt;='01_Input'!$V$72,AP$20&lt;'01_Input'!$W$72),'01_Input'!$Y$72,0),MAX(MIN(AP$20,'01_Input'!$W$72)-'01_Input'!$V$72,0)*'01_Input'!$Y$72))+IF('01_Input'!$AB$72="Forfait",IF(AP$20&gt;='01_Input'!$Z$72,'01_Input'!$AC$72,0),IF('01_Input'!$AB$72="Palier",IF(AND(AP$20&gt;='01_Input'!$Z$72,AP$20&lt;'01_Input'!$AA$72),'01_Input'!$AC$72,0),MAX(MIN(AP$20,'01_Input'!$AA$72)-'01_Input'!$Z$72,0)*'01_Input'!$AC$72)))))))))</f>
        <v>0</v>
      </c>
      <c r="AQ40" s="83">
        <f>IF('01_Input'!$C$72="Non",0,MIN('01_Input'!$I$72,MAX('01_Input'!$H$72,IF('01_Input'!$G$72="Résiduel vs Gestion",0,IF('01_Input'!$G$72="Taux Classe sélectionnée",Distrib_Global_Classe_Selectionnee*AQ$20,IF('01_Input'!$G$72="Frais KYC (paliers de 100M€)",MAX(0,Nb_Investisseurs-Nb_KYC_Gratuites_Par_Tranche*(FLOOR(AQ$20/Taille_Tranche_KYC,1)+1))*Cout_Par_KYC_Supplementaire,(IF('01_Input'!$L$72="Forfait",IF(AQ$20&gt;='01_Input'!$J$72,'01_Input'!$M$72,0),IF('01_Input'!$L$72="Palier",IF(AND(AQ$20&gt;='01_Input'!$J$72,AQ$20&lt;'01_Input'!$K$72),'01_Input'!$M$72,0),MAX(MIN(AQ$20,'01_Input'!$K$72)-'01_Input'!$J$72,0)*'01_Input'!$M$72))+IF('01_Input'!$P$72="Forfait",IF(AQ$20&gt;='01_Input'!$N$72,'01_Input'!$Q$72,0),IF('01_Input'!$P$72="Palier",IF(AND(AQ$20&gt;='01_Input'!$N$72,AQ$20&lt;'01_Input'!$O$72),'01_Input'!$Q$72,0),MAX(MIN(AQ$20,'01_Input'!$O$72)-'01_Input'!$N$72,0)*'01_Input'!$Q$72))+IF('01_Input'!$T$72="Forfait",IF(AQ$20&gt;='01_Input'!$R$72,'01_Input'!$U$72,0),IF('01_Input'!$T$72="Palier",IF(AND(AQ$20&gt;='01_Input'!$R$72,AQ$20&lt;'01_Input'!$S$72),'01_Input'!$U$72,0),MAX(MIN(AQ$20,'01_Input'!$S$72)-'01_Input'!$R$72,0)*'01_Input'!$U$72))+IF('01_Input'!$X$72="Forfait",IF(AQ$20&gt;='01_Input'!$V$72,'01_Input'!$Y$72,0),IF('01_Input'!$X$72="Palier",IF(AND(AQ$20&gt;='01_Input'!$V$72,AQ$20&lt;'01_Input'!$W$72),'01_Input'!$Y$72,0),MAX(MIN(AQ$20,'01_Input'!$W$72)-'01_Input'!$V$72,0)*'01_Input'!$Y$72))+IF('01_Input'!$AB$72="Forfait",IF(AQ$20&gt;='01_Input'!$Z$72,'01_Input'!$AC$72,0),IF('01_Input'!$AB$72="Palier",IF(AND(AQ$20&gt;='01_Input'!$Z$72,AQ$20&lt;'01_Input'!$AA$72),'01_Input'!$AC$72,0),MAX(MIN(AQ$20,'01_Input'!$AA$72)-'01_Input'!$Z$72,0)*'01_Input'!$AC$72)))))))))</f>
        <v>0</v>
      </c>
      <c r="AR40" s="83">
        <f>IF('01_Input'!$C$72="Non",0,MIN('01_Input'!$I$72,MAX('01_Input'!$H$72,IF('01_Input'!$G$72="Résiduel vs Gestion",0,IF('01_Input'!$G$72="Taux Classe sélectionnée",Distrib_Global_Classe_Selectionnee*AR$20,IF('01_Input'!$G$72="Frais KYC (paliers de 100M€)",MAX(0,Nb_Investisseurs-Nb_KYC_Gratuites_Par_Tranche*(FLOOR(AR$20/Taille_Tranche_KYC,1)+1))*Cout_Par_KYC_Supplementaire,(IF('01_Input'!$L$72="Forfait",IF(AR$20&gt;='01_Input'!$J$72,'01_Input'!$M$72,0),IF('01_Input'!$L$72="Palier",IF(AND(AR$20&gt;='01_Input'!$J$72,AR$20&lt;'01_Input'!$K$72),'01_Input'!$M$72,0),MAX(MIN(AR$20,'01_Input'!$K$72)-'01_Input'!$J$72,0)*'01_Input'!$M$72))+IF('01_Input'!$P$72="Forfait",IF(AR$20&gt;='01_Input'!$N$72,'01_Input'!$Q$72,0),IF('01_Input'!$P$72="Palier",IF(AND(AR$20&gt;='01_Input'!$N$72,AR$20&lt;'01_Input'!$O$72),'01_Input'!$Q$72,0),MAX(MIN(AR$20,'01_Input'!$O$72)-'01_Input'!$N$72,0)*'01_Input'!$Q$72))+IF('01_Input'!$T$72="Forfait",IF(AR$20&gt;='01_Input'!$R$72,'01_Input'!$U$72,0),IF('01_Input'!$T$72="Palier",IF(AND(AR$20&gt;='01_Input'!$R$72,AR$20&lt;'01_Input'!$S$72),'01_Input'!$U$72,0),MAX(MIN(AR$20,'01_Input'!$S$72)-'01_Input'!$R$72,0)*'01_Input'!$U$72))+IF('01_Input'!$X$72="Forfait",IF(AR$20&gt;='01_Input'!$V$72,'01_Input'!$Y$72,0),IF('01_Input'!$X$72="Palier",IF(AND(AR$20&gt;='01_Input'!$V$72,AR$20&lt;'01_Input'!$W$72),'01_Input'!$Y$72,0),MAX(MIN(AR$20,'01_Input'!$W$72)-'01_Input'!$V$72,0)*'01_Input'!$Y$72))+IF('01_Input'!$AB$72="Forfait",IF(AR$20&gt;='01_Input'!$Z$72,'01_Input'!$AC$72,0),IF('01_Input'!$AB$72="Palier",IF(AND(AR$20&gt;='01_Input'!$Z$72,AR$20&lt;'01_Input'!$AA$72),'01_Input'!$AC$72,0),MAX(MIN(AR$20,'01_Input'!$AA$72)-'01_Input'!$Z$72,0)*'01_Input'!$AC$72)))))))))</f>
        <v>0</v>
      </c>
      <c r="AS40" s="83">
        <f>IF('01_Input'!$C$72="Non",0,MIN('01_Input'!$I$72,MAX('01_Input'!$H$72,IF('01_Input'!$G$72="Résiduel vs Gestion",0,IF('01_Input'!$G$72="Taux Classe sélectionnée",Distrib_Global_Classe_Selectionnee*AS$20,IF('01_Input'!$G$72="Frais KYC (paliers de 100M€)",MAX(0,Nb_Investisseurs-Nb_KYC_Gratuites_Par_Tranche*(FLOOR(AS$20/Taille_Tranche_KYC,1)+1))*Cout_Par_KYC_Supplementaire,(IF('01_Input'!$L$72="Forfait",IF(AS$20&gt;='01_Input'!$J$72,'01_Input'!$M$72,0),IF('01_Input'!$L$72="Palier",IF(AND(AS$20&gt;='01_Input'!$J$72,AS$20&lt;'01_Input'!$K$72),'01_Input'!$M$72,0),MAX(MIN(AS$20,'01_Input'!$K$72)-'01_Input'!$J$72,0)*'01_Input'!$M$72))+IF('01_Input'!$P$72="Forfait",IF(AS$20&gt;='01_Input'!$N$72,'01_Input'!$Q$72,0),IF('01_Input'!$P$72="Palier",IF(AND(AS$20&gt;='01_Input'!$N$72,AS$20&lt;'01_Input'!$O$72),'01_Input'!$Q$72,0),MAX(MIN(AS$20,'01_Input'!$O$72)-'01_Input'!$N$72,0)*'01_Input'!$Q$72))+IF('01_Input'!$T$72="Forfait",IF(AS$20&gt;='01_Input'!$R$72,'01_Input'!$U$72,0),IF('01_Input'!$T$72="Palier",IF(AND(AS$20&gt;='01_Input'!$R$72,AS$20&lt;'01_Input'!$S$72),'01_Input'!$U$72,0),MAX(MIN(AS$20,'01_Input'!$S$72)-'01_Input'!$R$72,0)*'01_Input'!$U$72))+IF('01_Input'!$X$72="Forfait",IF(AS$20&gt;='01_Input'!$V$72,'01_Input'!$Y$72,0),IF('01_Input'!$X$72="Palier",IF(AND(AS$20&gt;='01_Input'!$V$72,AS$20&lt;'01_Input'!$W$72),'01_Input'!$Y$72,0),MAX(MIN(AS$20,'01_Input'!$W$72)-'01_Input'!$V$72,0)*'01_Input'!$Y$72))+IF('01_Input'!$AB$72="Forfait",IF(AS$20&gt;='01_Input'!$Z$72,'01_Input'!$AC$72,0),IF('01_Input'!$AB$72="Palier",IF(AND(AS$20&gt;='01_Input'!$Z$72,AS$20&lt;'01_Input'!$AA$72),'01_Input'!$AC$72,0),MAX(MIN(AS$20,'01_Input'!$AA$72)-'01_Input'!$Z$72,0)*'01_Input'!$AC$72)))))))))</f>
        <v>0</v>
      </c>
      <c r="AT40" s="83">
        <f>IF('01_Input'!$C$72="Non",0,MIN('01_Input'!$I$72,MAX('01_Input'!$H$72,IF('01_Input'!$G$72="Résiduel vs Gestion",0,IF('01_Input'!$G$72="Taux Classe sélectionnée",Distrib_Global_Classe_Selectionnee*AT$20,IF('01_Input'!$G$72="Frais KYC (paliers de 100M€)",MAX(0,Nb_Investisseurs-Nb_KYC_Gratuites_Par_Tranche*(FLOOR(AT$20/Taille_Tranche_KYC,1)+1))*Cout_Par_KYC_Supplementaire,(IF('01_Input'!$L$72="Forfait",IF(AT$20&gt;='01_Input'!$J$72,'01_Input'!$M$72,0),IF('01_Input'!$L$72="Palier",IF(AND(AT$20&gt;='01_Input'!$J$72,AT$20&lt;'01_Input'!$K$72),'01_Input'!$M$72,0),MAX(MIN(AT$20,'01_Input'!$K$72)-'01_Input'!$J$72,0)*'01_Input'!$M$72))+IF('01_Input'!$P$72="Forfait",IF(AT$20&gt;='01_Input'!$N$72,'01_Input'!$Q$72,0),IF('01_Input'!$P$72="Palier",IF(AND(AT$20&gt;='01_Input'!$N$72,AT$20&lt;'01_Input'!$O$72),'01_Input'!$Q$72,0),MAX(MIN(AT$20,'01_Input'!$O$72)-'01_Input'!$N$72,0)*'01_Input'!$Q$72))+IF('01_Input'!$T$72="Forfait",IF(AT$20&gt;='01_Input'!$R$72,'01_Input'!$U$72,0),IF('01_Input'!$T$72="Palier",IF(AND(AT$20&gt;='01_Input'!$R$72,AT$20&lt;'01_Input'!$S$72),'01_Input'!$U$72,0),MAX(MIN(AT$20,'01_Input'!$S$72)-'01_Input'!$R$72,0)*'01_Input'!$U$72))+IF('01_Input'!$X$72="Forfait",IF(AT$20&gt;='01_Input'!$V$72,'01_Input'!$Y$72,0),IF('01_Input'!$X$72="Palier",IF(AND(AT$20&gt;='01_Input'!$V$72,AT$20&lt;'01_Input'!$W$72),'01_Input'!$Y$72,0),MAX(MIN(AT$20,'01_Input'!$W$72)-'01_Input'!$V$72,0)*'01_Input'!$Y$72))+IF('01_Input'!$AB$72="Forfait",IF(AT$20&gt;='01_Input'!$Z$72,'01_Input'!$AC$72,0),IF('01_Input'!$AB$72="Palier",IF(AND(AT$20&gt;='01_Input'!$Z$72,AT$20&lt;'01_Input'!$AA$72),'01_Input'!$AC$72,0),MAX(MIN(AT$20,'01_Input'!$AA$72)-'01_Input'!$Z$72,0)*'01_Input'!$AC$72)))))))))</f>
        <v>0</v>
      </c>
      <c r="AU40" s="83">
        <f>IF('01_Input'!$C$72="Non",0,MIN('01_Input'!$I$72,MAX('01_Input'!$H$72,IF('01_Input'!$G$72="Résiduel vs Gestion",0,IF('01_Input'!$G$72="Taux Classe sélectionnée",Distrib_Global_Classe_Selectionnee*AU$20,IF('01_Input'!$G$72="Frais KYC (paliers de 100M€)",MAX(0,Nb_Investisseurs-Nb_KYC_Gratuites_Par_Tranche*(FLOOR(AU$20/Taille_Tranche_KYC,1)+1))*Cout_Par_KYC_Supplementaire,(IF('01_Input'!$L$72="Forfait",IF(AU$20&gt;='01_Input'!$J$72,'01_Input'!$M$72,0),IF('01_Input'!$L$72="Palier",IF(AND(AU$20&gt;='01_Input'!$J$72,AU$20&lt;'01_Input'!$K$72),'01_Input'!$M$72,0),MAX(MIN(AU$20,'01_Input'!$K$72)-'01_Input'!$J$72,0)*'01_Input'!$M$72))+IF('01_Input'!$P$72="Forfait",IF(AU$20&gt;='01_Input'!$N$72,'01_Input'!$Q$72,0),IF('01_Input'!$P$72="Palier",IF(AND(AU$20&gt;='01_Input'!$N$72,AU$20&lt;'01_Input'!$O$72),'01_Input'!$Q$72,0),MAX(MIN(AU$20,'01_Input'!$O$72)-'01_Input'!$N$72,0)*'01_Input'!$Q$72))+IF('01_Input'!$T$72="Forfait",IF(AU$20&gt;='01_Input'!$R$72,'01_Input'!$U$72,0),IF('01_Input'!$T$72="Palier",IF(AND(AU$20&gt;='01_Input'!$R$72,AU$20&lt;'01_Input'!$S$72),'01_Input'!$U$72,0),MAX(MIN(AU$20,'01_Input'!$S$72)-'01_Input'!$R$72,0)*'01_Input'!$U$72))+IF('01_Input'!$X$72="Forfait",IF(AU$20&gt;='01_Input'!$V$72,'01_Input'!$Y$72,0),IF('01_Input'!$X$72="Palier",IF(AND(AU$20&gt;='01_Input'!$V$72,AU$20&lt;'01_Input'!$W$72),'01_Input'!$Y$72,0),MAX(MIN(AU$20,'01_Input'!$W$72)-'01_Input'!$V$72,0)*'01_Input'!$Y$72))+IF('01_Input'!$AB$72="Forfait",IF(AU$20&gt;='01_Input'!$Z$72,'01_Input'!$AC$72,0),IF('01_Input'!$AB$72="Palier",IF(AND(AU$20&gt;='01_Input'!$Z$72,AU$20&lt;'01_Input'!$AA$72),'01_Input'!$AC$72,0),MAX(MIN(AU$20,'01_Input'!$AA$72)-'01_Input'!$Z$72,0)*'01_Input'!$AC$72)))))))))</f>
        <v>0</v>
      </c>
      <c r="AV40" s="83">
        <f>IF('01_Input'!$C$72="Non",0,MIN('01_Input'!$I$72,MAX('01_Input'!$H$72,IF('01_Input'!$G$72="Résiduel vs Gestion",0,IF('01_Input'!$G$72="Taux Classe sélectionnée",Distrib_Global_Classe_Selectionnee*AV$20,IF('01_Input'!$G$72="Frais KYC (paliers de 100M€)",MAX(0,Nb_Investisseurs-Nb_KYC_Gratuites_Par_Tranche*(FLOOR(AV$20/Taille_Tranche_KYC,1)+1))*Cout_Par_KYC_Supplementaire,(IF('01_Input'!$L$72="Forfait",IF(AV$20&gt;='01_Input'!$J$72,'01_Input'!$M$72,0),IF('01_Input'!$L$72="Palier",IF(AND(AV$20&gt;='01_Input'!$J$72,AV$20&lt;'01_Input'!$K$72),'01_Input'!$M$72,0),MAX(MIN(AV$20,'01_Input'!$K$72)-'01_Input'!$J$72,0)*'01_Input'!$M$72))+IF('01_Input'!$P$72="Forfait",IF(AV$20&gt;='01_Input'!$N$72,'01_Input'!$Q$72,0),IF('01_Input'!$P$72="Palier",IF(AND(AV$20&gt;='01_Input'!$N$72,AV$20&lt;'01_Input'!$O$72),'01_Input'!$Q$72,0),MAX(MIN(AV$20,'01_Input'!$O$72)-'01_Input'!$N$72,0)*'01_Input'!$Q$72))+IF('01_Input'!$T$72="Forfait",IF(AV$20&gt;='01_Input'!$R$72,'01_Input'!$U$72,0),IF('01_Input'!$T$72="Palier",IF(AND(AV$20&gt;='01_Input'!$R$72,AV$20&lt;'01_Input'!$S$72),'01_Input'!$U$72,0),MAX(MIN(AV$20,'01_Input'!$S$72)-'01_Input'!$R$72,0)*'01_Input'!$U$72))+IF('01_Input'!$X$72="Forfait",IF(AV$20&gt;='01_Input'!$V$72,'01_Input'!$Y$72,0),IF('01_Input'!$X$72="Palier",IF(AND(AV$20&gt;='01_Input'!$V$72,AV$20&lt;'01_Input'!$W$72),'01_Input'!$Y$72,0),MAX(MIN(AV$20,'01_Input'!$W$72)-'01_Input'!$V$72,0)*'01_Input'!$Y$72))+IF('01_Input'!$AB$72="Forfait",IF(AV$20&gt;='01_Input'!$Z$72,'01_Input'!$AC$72,0),IF('01_Input'!$AB$72="Palier",IF(AND(AV$20&gt;='01_Input'!$Z$72,AV$20&lt;'01_Input'!$AA$72),'01_Input'!$AC$72,0),MAX(MIN(AV$20,'01_Input'!$AA$72)-'01_Input'!$Z$72,0)*'01_Input'!$AC$72)))))))))</f>
        <v>0</v>
      </c>
      <c r="AW40" s="83">
        <f>IF('01_Input'!$C$72="Non",0,MIN('01_Input'!$I$72,MAX('01_Input'!$H$72,IF('01_Input'!$G$72="Résiduel vs Gestion",0,IF('01_Input'!$G$72="Taux Classe sélectionnée",Distrib_Global_Classe_Selectionnee*AW$20,IF('01_Input'!$G$72="Frais KYC (paliers de 100M€)",MAX(0,Nb_Investisseurs-Nb_KYC_Gratuites_Par_Tranche*(FLOOR(AW$20/Taille_Tranche_KYC,1)+1))*Cout_Par_KYC_Supplementaire,(IF('01_Input'!$L$72="Forfait",IF(AW$20&gt;='01_Input'!$J$72,'01_Input'!$M$72,0),IF('01_Input'!$L$72="Palier",IF(AND(AW$20&gt;='01_Input'!$J$72,AW$20&lt;'01_Input'!$K$72),'01_Input'!$M$72,0),MAX(MIN(AW$20,'01_Input'!$K$72)-'01_Input'!$J$72,0)*'01_Input'!$M$72))+IF('01_Input'!$P$72="Forfait",IF(AW$20&gt;='01_Input'!$N$72,'01_Input'!$Q$72,0),IF('01_Input'!$P$72="Palier",IF(AND(AW$20&gt;='01_Input'!$N$72,AW$20&lt;'01_Input'!$O$72),'01_Input'!$Q$72,0),MAX(MIN(AW$20,'01_Input'!$O$72)-'01_Input'!$N$72,0)*'01_Input'!$Q$72))+IF('01_Input'!$T$72="Forfait",IF(AW$20&gt;='01_Input'!$R$72,'01_Input'!$U$72,0),IF('01_Input'!$T$72="Palier",IF(AND(AW$20&gt;='01_Input'!$R$72,AW$20&lt;'01_Input'!$S$72),'01_Input'!$U$72,0),MAX(MIN(AW$20,'01_Input'!$S$72)-'01_Input'!$R$72,0)*'01_Input'!$U$72))+IF('01_Input'!$X$72="Forfait",IF(AW$20&gt;='01_Input'!$V$72,'01_Input'!$Y$72,0),IF('01_Input'!$X$72="Palier",IF(AND(AW$20&gt;='01_Input'!$V$72,AW$20&lt;'01_Input'!$W$72),'01_Input'!$Y$72,0),MAX(MIN(AW$20,'01_Input'!$W$72)-'01_Input'!$V$72,0)*'01_Input'!$Y$72))+IF('01_Input'!$AB$72="Forfait",IF(AW$20&gt;='01_Input'!$Z$72,'01_Input'!$AC$72,0),IF('01_Input'!$AB$72="Palier",IF(AND(AW$20&gt;='01_Input'!$Z$72,AW$20&lt;'01_Input'!$AA$72),'01_Input'!$AC$72,0),MAX(MIN(AW$20,'01_Input'!$AA$72)-'01_Input'!$Z$72,0)*'01_Input'!$AC$72)))))))))</f>
        <v>0</v>
      </c>
      <c r="AX40" s="83">
        <f>IF('01_Input'!$C$72="Non",0,MIN('01_Input'!$I$72,MAX('01_Input'!$H$72,IF('01_Input'!$G$72="Résiduel vs Gestion",0,IF('01_Input'!$G$72="Taux Classe sélectionnée",Distrib_Global_Classe_Selectionnee*AX$20,IF('01_Input'!$G$72="Frais KYC (paliers de 100M€)",MAX(0,Nb_Investisseurs-Nb_KYC_Gratuites_Par_Tranche*(FLOOR(AX$20/Taille_Tranche_KYC,1)+1))*Cout_Par_KYC_Supplementaire,(IF('01_Input'!$L$72="Forfait",IF(AX$20&gt;='01_Input'!$J$72,'01_Input'!$M$72,0),IF('01_Input'!$L$72="Palier",IF(AND(AX$20&gt;='01_Input'!$J$72,AX$20&lt;'01_Input'!$K$72),'01_Input'!$M$72,0),MAX(MIN(AX$20,'01_Input'!$K$72)-'01_Input'!$J$72,0)*'01_Input'!$M$72))+IF('01_Input'!$P$72="Forfait",IF(AX$20&gt;='01_Input'!$N$72,'01_Input'!$Q$72,0),IF('01_Input'!$P$72="Palier",IF(AND(AX$20&gt;='01_Input'!$N$72,AX$20&lt;'01_Input'!$O$72),'01_Input'!$Q$72,0),MAX(MIN(AX$20,'01_Input'!$O$72)-'01_Input'!$N$72,0)*'01_Input'!$Q$72))+IF('01_Input'!$T$72="Forfait",IF(AX$20&gt;='01_Input'!$R$72,'01_Input'!$U$72,0),IF('01_Input'!$T$72="Palier",IF(AND(AX$20&gt;='01_Input'!$R$72,AX$20&lt;'01_Input'!$S$72),'01_Input'!$U$72,0),MAX(MIN(AX$20,'01_Input'!$S$72)-'01_Input'!$R$72,0)*'01_Input'!$U$72))+IF('01_Input'!$X$72="Forfait",IF(AX$20&gt;='01_Input'!$V$72,'01_Input'!$Y$72,0),IF('01_Input'!$X$72="Palier",IF(AND(AX$20&gt;='01_Input'!$V$72,AX$20&lt;'01_Input'!$W$72),'01_Input'!$Y$72,0),MAX(MIN(AX$20,'01_Input'!$W$72)-'01_Input'!$V$72,0)*'01_Input'!$Y$72))+IF('01_Input'!$AB$72="Forfait",IF(AX$20&gt;='01_Input'!$Z$72,'01_Input'!$AC$72,0),IF('01_Input'!$AB$72="Palier",IF(AND(AX$20&gt;='01_Input'!$Z$72,AX$20&lt;'01_Input'!$AA$72),'01_Input'!$AC$72,0),MAX(MIN(AX$20,'01_Input'!$AA$72)-'01_Input'!$Z$72,0)*'01_Input'!$AC$72)))))))))</f>
        <v>0</v>
      </c>
      <c r="AY40" s="83">
        <f>IF('01_Input'!$C$72="Non",0,MIN('01_Input'!$I$72,MAX('01_Input'!$H$72,IF('01_Input'!$G$72="Résiduel vs Gestion",0,IF('01_Input'!$G$72="Taux Classe sélectionnée",Distrib_Global_Classe_Selectionnee*AY$20,IF('01_Input'!$G$72="Frais KYC (paliers de 100M€)",MAX(0,Nb_Investisseurs-Nb_KYC_Gratuites_Par_Tranche*(FLOOR(AY$20/Taille_Tranche_KYC,1)+1))*Cout_Par_KYC_Supplementaire,(IF('01_Input'!$L$72="Forfait",IF(AY$20&gt;='01_Input'!$J$72,'01_Input'!$M$72,0),IF('01_Input'!$L$72="Palier",IF(AND(AY$20&gt;='01_Input'!$J$72,AY$20&lt;'01_Input'!$K$72),'01_Input'!$M$72,0),MAX(MIN(AY$20,'01_Input'!$K$72)-'01_Input'!$J$72,0)*'01_Input'!$M$72))+IF('01_Input'!$P$72="Forfait",IF(AY$20&gt;='01_Input'!$N$72,'01_Input'!$Q$72,0),IF('01_Input'!$P$72="Palier",IF(AND(AY$20&gt;='01_Input'!$N$72,AY$20&lt;'01_Input'!$O$72),'01_Input'!$Q$72,0),MAX(MIN(AY$20,'01_Input'!$O$72)-'01_Input'!$N$72,0)*'01_Input'!$Q$72))+IF('01_Input'!$T$72="Forfait",IF(AY$20&gt;='01_Input'!$R$72,'01_Input'!$U$72,0),IF('01_Input'!$T$72="Palier",IF(AND(AY$20&gt;='01_Input'!$R$72,AY$20&lt;'01_Input'!$S$72),'01_Input'!$U$72,0),MAX(MIN(AY$20,'01_Input'!$S$72)-'01_Input'!$R$72,0)*'01_Input'!$U$72))+IF('01_Input'!$X$72="Forfait",IF(AY$20&gt;='01_Input'!$V$72,'01_Input'!$Y$72,0),IF('01_Input'!$X$72="Palier",IF(AND(AY$20&gt;='01_Input'!$V$72,AY$20&lt;'01_Input'!$W$72),'01_Input'!$Y$72,0),MAX(MIN(AY$20,'01_Input'!$W$72)-'01_Input'!$V$72,0)*'01_Input'!$Y$72))+IF('01_Input'!$AB$72="Forfait",IF(AY$20&gt;='01_Input'!$Z$72,'01_Input'!$AC$72,0),IF('01_Input'!$AB$72="Palier",IF(AND(AY$20&gt;='01_Input'!$Z$72,AY$20&lt;'01_Input'!$AA$72),'01_Input'!$AC$72,0),MAX(MIN(AY$20,'01_Input'!$AA$72)-'01_Input'!$Z$72,0)*'01_Input'!$AC$72)))))))))</f>
        <v>0</v>
      </c>
      <c r="AZ40" s="83">
        <f>IF('01_Input'!$C$72="Non",0,MIN('01_Input'!$I$72,MAX('01_Input'!$H$72,IF('01_Input'!$G$72="Résiduel vs Gestion",0,IF('01_Input'!$G$72="Taux Classe sélectionnée",Distrib_Global_Classe_Selectionnee*AZ$20,IF('01_Input'!$G$72="Frais KYC (paliers de 100M€)",MAX(0,Nb_Investisseurs-Nb_KYC_Gratuites_Par_Tranche*(FLOOR(AZ$20/Taille_Tranche_KYC,1)+1))*Cout_Par_KYC_Supplementaire,(IF('01_Input'!$L$72="Forfait",IF(AZ$20&gt;='01_Input'!$J$72,'01_Input'!$M$72,0),IF('01_Input'!$L$72="Palier",IF(AND(AZ$20&gt;='01_Input'!$J$72,AZ$20&lt;'01_Input'!$K$72),'01_Input'!$M$72,0),MAX(MIN(AZ$20,'01_Input'!$K$72)-'01_Input'!$J$72,0)*'01_Input'!$M$72))+IF('01_Input'!$P$72="Forfait",IF(AZ$20&gt;='01_Input'!$N$72,'01_Input'!$Q$72,0),IF('01_Input'!$P$72="Palier",IF(AND(AZ$20&gt;='01_Input'!$N$72,AZ$20&lt;'01_Input'!$O$72),'01_Input'!$Q$72,0),MAX(MIN(AZ$20,'01_Input'!$O$72)-'01_Input'!$N$72,0)*'01_Input'!$Q$72))+IF('01_Input'!$T$72="Forfait",IF(AZ$20&gt;='01_Input'!$R$72,'01_Input'!$U$72,0),IF('01_Input'!$T$72="Palier",IF(AND(AZ$20&gt;='01_Input'!$R$72,AZ$20&lt;'01_Input'!$S$72),'01_Input'!$U$72,0),MAX(MIN(AZ$20,'01_Input'!$S$72)-'01_Input'!$R$72,0)*'01_Input'!$U$72))+IF('01_Input'!$X$72="Forfait",IF(AZ$20&gt;='01_Input'!$V$72,'01_Input'!$Y$72,0),IF('01_Input'!$X$72="Palier",IF(AND(AZ$20&gt;='01_Input'!$V$72,AZ$20&lt;'01_Input'!$W$72),'01_Input'!$Y$72,0),MAX(MIN(AZ$20,'01_Input'!$W$72)-'01_Input'!$V$72,0)*'01_Input'!$Y$72))+IF('01_Input'!$AB$72="Forfait",IF(AZ$20&gt;='01_Input'!$Z$72,'01_Input'!$AC$72,0),IF('01_Input'!$AB$72="Palier",IF(AND(AZ$20&gt;='01_Input'!$Z$72,AZ$20&lt;'01_Input'!$AA$72),'01_Input'!$AC$72,0),MAX(MIN(AZ$20,'01_Input'!$AA$72)-'01_Input'!$Z$72,0)*'01_Input'!$AC$72)))))))))</f>
        <v>0</v>
      </c>
      <c r="BA40" s="83">
        <f>IF('01_Input'!$C$72="Non",0,MIN('01_Input'!$I$72,MAX('01_Input'!$H$72,IF('01_Input'!$G$72="Résiduel vs Gestion",0,IF('01_Input'!$G$72="Taux Classe sélectionnée",Distrib_Global_Classe_Selectionnee*BA$20,IF('01_Input'!$G$72="Frais KYC (paliers de 100M€)",MAX(0,Nb_Investisseurs-Nb_KYC_Gratuites_Par_Tranche*(FLOOR(BA$20/Taille_Tranche_KYC,1)+1))*Cout_Par_KYC_Supplementaire,(IF('01_Input'!$L$72="Forfait",IF(BA$20&gt;='01_Input'!$J$72,'01_Input'!$M$72,0),IF('01_Input'!$L$72="Palier",IF(AND(BA$20&gt;='01_Input'!$J$72,BA$20&lt;'01_Input'!$K$72),'01_Input'!$M$72,0),MAX(MIN(BA$20,'01_Input'!$K$72)-'01_Input'!$J$72,0)*'01_Input'!$M$72))+IF('01_Input'!$P$72="Forfait",IF(BA$20&gt;='01_Input'!$N$72,'01_Input'!$Q$72,0),IF('01_Input'!$P$72="Palier",IF(AND(BA$20&gt;='01_Input'!$N$72,BA$20&lt;'01_Input'!$O$72),'01_Input'!$Q$72,0),MAX(MIN(BA$20,'01_Input'!$O$72)-'01_Input'!$N$72,0)*'01_Input'!$Q$72))+IF('01_Input'!$T$72="Forfait",IF(BA$20&gt;='01_Input'!$R$72,'01_Input'!$U$72,0),IF('01_Input'!$T$72="Palier",IF(AND(BA$20&gt;='01_Input'!$R$72,BA$20&lt;'01_Input'!$S$72),'01_Input'!$U$72,0),MAX(MIN(BA$20,'01_Input'!$S$72)-'01_Input'!$R$72,0)*'01_Input'!$U$72))+IF('01_Input'!$X$72="Forfait",IF(BA$20&gt;='01_Input'!$V$72,'01_Input'!$Y$72,0),IF('01_Input'!$X$72="Palier",IF(AND(BA$20&gt;='01_Input'!$V$72,BA$20&lt;'01_Input'!$W$72),'01_Input'!$Y$72,0),MAX(MIN(BA$20,'01_Input'!$W$72)-'01_Input'!$V$72,0)*'01_Input'!$Y$72))+IF('01_Input'!$AB$72="Forfait",IF(BA$20&gt;='01_Input'!$Z$72,'01_Input'!$AC$72,0),IF('01_Input'!$AB$72="Palier",IF(AND(BA$20&gt;='01_Input'!$Z$72,BA$20&lt;'01_Input'!$AA$72),'01_Input'!$AC$72,0),MAX(MIN(BA$20,'01_Input'!$AA$72)-'01_Input'!$Z$72,0)*'01_Input'!$AC$72)))))))))</f>
        <v>0</v>
      </c>
      <c r="BB40" s="83">
        <f>IF('01_Input'!$C$72="Non",0,MIN('01_Input'!$I$72,MAX('01_Input'!$H$72,IF('01_Input'!$G$72="Résiduel vs Gestion",0,IF('01_Input'!$G$72="Taux Classe sélectionnée",Distrib_Global_Classe_Selectionnee*BB$20,IF('01_Input'!$G$72="Frais KYC (paliers de 100M€)",MAX(0,Nb_Investisseurs-Nb_KYC_Gratuites_Par_Tranche*(FLOOR(BB$20/Taille_Tranche_KYC,1)+1))*Cout_Par_KYC_Supplementaire,(IF('01_Input'!$L$72="Forfait",IF(BB$20&gt;='01_Input'!$J$72,'01_Input'!$M$72,0),IF('01_Input'!$L$72="Palier",IF(AND(BB$20&gt;='01_Input'!$J$72,BB$20&lt;'01_Input'!$K$72),'01_Input'!$M$72,0),MAX(MIN(BB$20,'01_Input'!$K$72)-'01_Input'!$J$72,0)*'01_Input'!$M$72))+IF('01_Input'!$P$72="Forfait",IF(BB$20&gt;='01_Input'!$N$72,'01_Input'!$Q$72,0),IF('01_Input'!$P$72="Palier",IF(AND(BB$20&gt;='01_Input'!$N$72,BB$20&lt;'01_Input'!$O$72),'01_Input'!$Q$72,0),MAX(MIN(BB$20,'01_Input'!$O$72)-'01_Input'!$N$72,0)*'01_Input'!$Q$72))+IF('01_Input'!$T$72="Forfait",IF(BB$20&gt;='01_Input'!$R$72,'01_Input'!$U$72,0),IF('01_Input'!$T$72="Palier",IF(AND(BB$20&gt;='01_Input'!$R$72,BB$20&lt;'01_Input'!$S$72),'01_Input'!$U$72,0),MAX(MIN(BB$20,'01_Input'!$S$72)-'01_Input'!$R$72,0)*'01_Input'!$U$72))+IF('01_Input'!$X$72="Forfait",IF(BB$20&gt;='01_Input'!$V$72,'01_Input'!$Y$72,0),IF('01_Input'!$X$72="Palier",IF(AND(BB$20&gt;='01_Input'!$V$72,BB$20&lt;'01_Input'!$W$72),'01_Input'!$Y$72,0),MAX(MIN(BB$20,'01_Input'!$W$72)-'01_Input'!$V$72,0)*'01_Input'!$Y$72))+IF('01_Input'!$AB$72="Forfait",IF(BB$20&gt;='01_Input'!$Z$72,'01_Input'!$AC$72,0),IF('01_Input'!$AB$72="Palier",IF(AND(BB$20&gt;='01_Input'!$Z$72,BB$20&lt;'01_Input'!$AA$72),'01_Input'!$AC$72,0),MAX(MIN(BB$20,'01_Input'!$AA$72)-'01_Input'!$Z$72,0)*'01_Input'!$AC$72)))))))))</f>
        <v>0</v>
      </c>
      <c r="BC40" s="83">
        <f>IF('01_Input'!$C$72="Non",0,MIN('01_Input'!$I$72,MAX('01_Input'!$H$72,IF('01_Input'!$G$72="Résiduel vs Gestion",0,IF('01_Input'!$G$72="Taux Classe sélectionnée",Distrib_Global_Classe_Selectionnee*BC$20,IF('01_Input'!$G$72="Frais KYC (paliers de 100M€)",MAX(0,Nb_Investisseurs-Nb_KYC_Gratuites_Par_Tranche*(FLOOR(BC$20/Taille_Tranche_KYC,1)+1))*Cout_Par_KYC_Supplementaire,(IF('01_Input'!$L$72="Forfait",IF(BC$20&gt;='01_Input'!$J$72,'01_Input'!$M$72,0),IF('01_Input'!$L$72="Palier",IF(AND(BC$20&gt;='01_Input'!$J$72,BC$20&lt;'01_Input'!$K$72),'01_Input'!$M$72,0),MAX(MIN(BC$20,'01_Input'!$K$72)-'01_Input'!$J$72,0)*'01_Input'!$M$72))+IF('01_Input'!$P$72="Forfait",IF(BC$20&gt;='01_Input'!$N$72,'01_Input'!$Q$72,0),IF('01_Input'!$P$72="Palier",IF(AND(BC$20&gt;='01_Input'!$N$72,BC$20&lt;'01_Input'!$O$72),'01_Input'!$Q$72,0),MAX(MIN(BC$20,'01_Input'!$O$72)-'01_Input'!$N$72,0)*'01_Input'!$Q$72))+IF('01_Input'!$T$72="Forfait",IF(BC$20&gt;='01_Input'!$R$72,'01_Input'!$U$72,0),IF('01_Input'!$T$72="Palier",IF(AND(BC$20&gt;='01_Input'!$R$72,BC$20&lt;'01_Input'!$S$72),'01_Input'!$U$72,0),MAX(MIN(BC$20,'01_Input'!$S$72)-'01_Input'!$R$72,0)*'01_Input'!$U$72))+IF('01_Input'!$X$72="Forfait",IF(BC$20&gt;='01_Input'!$V$72,'01_Input'!$Y$72,0),IF('01_Input'!$X$72="Palier",IF(AND(BC$20&gt;='01_Input'!$V$72,BC$20&lt;'01_Input'!$W$72),'01_Input'!$Y$72,0),MAX(MIN(BC$20,'01_Input'!$W$72)-'01_Input'!$V$72,0)*'01_Input'!$Y$72))+IF('01_Input'!$AB$72="Forfait",IF(BC$20&gt;='01_Input'!$Z$72,'01_Input'!$AC$72,0),IF('01_Input'!$AB$72="Palier",IF(AND(BC$20&gt;='01_Input'!$Z$72,BC$20&lt;'01_Input'!$AA$72),'01_Input'!$AC$72,0),MAX(MIN(BC$20,'01_Input'!$AA$72)-'01_Input'!$Z$72,0)*'01_Input'!$AC$72)))))))))</f>
        <v>0</v>
      </c>
      <c r="BD40" s="83">
        <f>IF('01_Input'!$C$72="Non",0,MIN('01_Input'!$I$72,MAX('01_Input'!$H$72,IF('01_Input'!$G$72="Résiduel vs Gestion",0,IF('01_Input'!$G$72="Taux Classe sélectionnée",Distrib_Global_Classe_Selectionnee*BD$20,IF('01_Input'!$G$72="Frais KYC (paliers de 100M€)",MAX(0,Nb_Investisseurs-Nb_KYC_Gratuites_Par_Tranche*(FLOOR(BD$20/Taille_Tranche_KYC,1)+1))*Cout_Par_KYC_Supplementaire,(IF('01_Input'!$L$72="Forfait",IF(BD$20&gt;='01_Input'!$J$72,'01_Input'!$M$72,0),IF('01_Input'!$L$72="Palier",IF(AND(BD$20&gt;='01_Input'!$J$72,BD$20&lt;'01_Input'!$K$72),'01_Input'!$M$72,0),MAX(MIN(BD$20,'01_Input'!$K$72)-'01_Input'!$J$72,0)*'01_Input'!$M$72))+IF('01_Input'!$P$72="Forfait",IF(BD$20&gt;='01_Input'!$N$72,'01_Input'!$Q$72,0),IF('01_Input'!$P$72="Palier",IF(AND(BD$20&gt;='01_Input'!$N$72,BD$20&lt;'01_Input'!$O$72),'01_Input'!$Q$72,0),MAX(MIN(BD$20,'01_Input'!$O$72)-'01_Input'!$N$72,0)*'01_Input'!$Q$72))+IF('01_Input'!$T$72="Forfait",IF(BD$20&gt;='01_Input'!$R$72,'01_Input'!$U$72,0),IF('01_Input'!$T$72="Palier",IF(AND(BD$20&gt;='01_Input'!$R$72,BD$20&lt;'01_Input'!$S$72),'01_Input'!$U$72,0),MAX(MIN(BD$20,'01_Input'!$S$72)-'01_Input'!$R$72,0)*'01_Input'!$U$72))+IF('01_Input'!$X$72="Forfait",IF(BD$20&gt;='01_Input'!$V$72,'01_Input'!$Y$72,0),IF('01_Input'!$X$72="Palier",IF(AND(BD$20&gt;='01_Input'!$V$72,BD$20&lt;'01_Input'!$W$72),'01_Input'!$Y$72,0),MAX(MIN(BD$20,'01_Input'!$W$72)-'01_Input'!$V$72,0)*'01_Input'!$Y$72))+IF('01_Input'!$AB$72="Forfait",IF(BD$20&gt;='01_Input'!$Z$72,'01_Input'!$AC$72,0),IF('01_Input'!$AB$72="Palier",IF(AND(BD$20&gt;='01_Input'!$Z$72,BD$20&lt;'01_Input'!$AA$72),'01_Input'!$AC$72,0),MAX(MIN(BD$20,'01_Input'!$AA$72)-'01_Input'!$Z$72,0)*'01_Input'!$AC$72)))))))))</f>
        <v>0</v>
      </c>
      <c r="BE40" s="83">
        <f>IF('01_Input'!$C$72="Non",0,MIN('01_Input'!$I$72,MAX('01_Input'!$H$72,IF('01_Input'!$G$72="Résiduel vs Gestion",0,IF('01_Input'!$G$72="Taux Classe sélectionnée",Distrib_Global_Classe_Selectionnee*BE$20,IF('01_Input'!$G$72="Frais KYC (paliers de 100M€)",MAX(0,Nb_Investisseurs-Nb_KYC_Gratuites_Par_Tranche*(FLOOR(BE$20/Taille_Tranche_KYC,1)+1))*Cout_Par_KYC_Supplementaire,(IF('01_Input'!$L$72="Forfait",IF(BE$20&gt;='01_Input'!$J$72,'01_Input'!$M$72,0),IF('01_Input'!$L$72="Palier",IF(AND(BE$20&gt;='01_Input'!$J$72,BE$20&lt;'01_Input'!$K$72),'01_Input'!$M$72,0),MAX(MIN(BE$20,'01_Input'!$K$72)-'01_Input'!$J$72,0)*'01_Input'!$M$72))+IF('01_Input'!$P$72="Forfait",IF(BE$20&gt;='01_Input'!$N$72,'01_Input'!$Q$72,0),IF('01_Input'!$P$72="Palier",IF(AND(BE$20&gt;='01_Input'!$N$72,BE$20&lt;'01_Input'!$O$72),'01_Input'!$Q$72,0),MAX(MIN(BE$20,'01_Input'!$O$72)-'01_Input'!$N$72,0)*'01_Input'!$Q$72))+IF('01_Input'!$T$72="Forfait",IF(BE$20&gt;='01_Input'!$R$72,'01_Input'!$U$72,0),IF('01_Input'!$T$72="Palier",IF(AND(BE$20&gt;='01_Input'!$R$72,BE$20&lt;'01_Input'!$S$72),'01_Input'!$U$72,0),MAX(MIN(BE$20,'01_Input'!$S$72)-'01_Input'!$R$72,0)*'01_Input'!$U$72))+IF('01_Input'!$X$72="Forfait",IF(BE$20&gt;='01_Input'!$V$72,'01_Input'!$Y$72,0),IF('01_Input'!$X$72="Palier",IF(AND(BE$20&gt;='01_Input'!$V$72,BE$20&lt;'01_Input'!$W$72),'01_Input'!$Y$72,0),MAX(MIN(BE$20,'01_Input'!$W$72)-'01_Input'!$V$72,0)*'01_Input'!$Y$72))+IF('01_Input'!$AB$72="Forfait",IF(BE$20&gt;='01_Input'!$Z$72,'01_Input'!$AC$72,0),IF('01_Input'!$AB$72="Palier",IF(AND(BE$20&gt;='01_Input'!$Z$72,BE$20&lt;'01_Input'!$AA$72),'01_Input'!$AC$72,0),MAX(MIN(BE$20,'01_Input'!$AA$72)-'01_Input'!$Z$72,0)*'01_Input'!$AC$72)))))))))</f>
        <v>0</v>
      </c>
      <c r="BF40" s="83">
        <f>IF('01_Input'!$C$72="Non",0,MIN('01_Input'!$I$72,MAX('01_Input'!$H$72,IF('01_Input'!$G$72="Résiduel vs Gestion",0,IF('01_Input'!$G$72="Taux Classe sélectionnée",Distrib_Global_Classe_Selectionnee*BF$20,IF('01_Input'!$G$72="Frais KYC (paliers de 100M€)",MAX(0,Nb_Investisseurs-Nb_KYC_Gratuites_Par_Tranche*(FLOOR(BF$20/Taille_Tranche_KYC,1)+1))*Cout_Par_KYC_Supplementaire,(IF('01_Input'!$L$72="Forfait",IF(BF$20&gt;='01_Input'!$J$72,'01_Input'!$M$72,0),IF('01_Input'!$L$72="Palier",IF(AND(BF$20&gt;='01_Input'!$J$72,BF$20&lt;'01_Input'!$K$72),'01_Input'!$M$72,0),MAX(MIN(BF$20,'01_Input'!$K$72)-'01_Input'!$J$72,0)*'01_Input'!$M$72))+IF('01_Input'!$P$72="Forfait",IF(BF$20&gt;='01_Input'!$N$72,'01_Input'!$Q$72,0),IF('01_Input'!$P$72="Palier",IF(AND(BF$20&gt;='01_Input'!$N$72,BF$20&lt;'01_Input'!$O$72),'01_Input'!$Q$72,0),MAX(MIN(BF$20,'01_Input'!$O$72)-'01_Input'!$N$72,0)*'01_Input'!$Q$72))+IF('01_Input'!$T$72="Forfait",IF(BF$20&gt;='01_Input'!$R$72,'01_Input'!$U$72,0),IF('01_Input'!$T$72="Palier",IF(AND(BF$20&gt;='01_Input'!$R$72,BF$20&lt;'01_Input'!$S$72),'01_Input'!$U$72,0),MAX(MIN(BF$20,'01_Input'!$S$72)-'01_Input'!$R$72,0)*'01_Input'!$U$72))+IF('01_Input'!$X$72="Forfait",IF(BF$20&gt;='01_Input'!$V$72,'01_Input'!$Y$72,0),IF('01_Input'!$X$72="Palier",IF(AND(BF$20&gt;='01_Input'!$V$72,BF$20&lt;'01_Input'!$W$72),'01_Input'!$Y$72,0),MAX(MIN(BF$20,'01_Input'!$W$72)-'01_Input'!$V$72,0)*'01_Input'!$Y$72))+IF('01_Input'!$AB$72="Forfait",IF(BF$20&gt;='01_Input'!$Z$72,'01_Input'!$AC$72,0),IF('01_Input'!$AB$72="Palier",IF(AND(BF$20&gt;='01_Input'!$Z$72,BF$20&lt;'01_Input'!$AA$72),'01_Input'!$AC$72,0),MAX(MIN(BF$20,'01_Input'!$AA$72)-'01_Input'!$Z$72,0)*'01_Input'!$AC$72)))))))))</f>
        <v>0</v>
      </c>
      <c r="BG40" s="83">
        <f>IF('01_Input'!$C$72="Non",0,MIN('01_Input'!$I$72,MAX('01_Input'!$H$72,IF('01_Input'!$G$72="Résiduel vs Gestion",0,IF('01_Input'!$G$72="Taux Classe sélectionnée",Distrib_Global_Classe_Selectionnee*BG$20,IF('01_Input'!$G$72="Frais KYC (paliers de 100M€)",MAX(0,Nb_Investisseurs-Nb_KYC_Gratuites_Par_Tranche*(FLOOR(BG$20/Taille_Tranche_KYC,1)+1))*Cout_Par_KYC_Supplementaire,(IF('01_Input'!$L$72="Forfait",IF(BG$20&gt;='01_Input'!$J$72,'01_Input'!$M$72,0),IF('01_Input'!$L$72="Palier",IF(AND(BG$20&gt;='01_Input'!$J$72,BG$20&lt;'01_Input'!$K$72),'01_Input'!$M$72,0),MAX(MIN(BG$20,'01_Input'!$K$72)-'01_Input'!$J$72,0)*'01_Input'!$M$72))+IF('01_Input'!$P$72="Forfait",IF(BG$20&gt;='01_Input'!$N$72,'01_Input'!$Q$72,0),IF('01_Input'!$P$72="Palier",IF(AND(BG$20&gt;='01_Input'!$N$72,BG$20&lt;'01_Input'!$O$72),'01_Input'!$Q$72,0),MAX(MIN(BG$20,'01_Input'!$O$72)-'01_Input'!$N$72,0)*'01_Input'!$Q$72))+IF('01_Input'!$T$72="Forfait",IF(BG$20&gt;='01_Input'!$R$72,'01_Input'!$U$72,0),IF('01_Input'!$T$72="Palier",IF(AND(BG$20&gt;='01_Input'!$R$72,BG$20&lt;'01_Input'!$S$72),'01_Input'!$U$72,0),MAX(MIN(BG$20,'01_Input'!$S$72)-'01_Input'!$R$72,0)*'01_Input'!$U$72))+IF('01_Input'!$X$72="Forfait",IF(BG$20&gt;='01_Input'!$V$72,'01_Input'!$Y$72,0),IF('01_Input'!$X$72="Palier",IF(AND(BG$20&gt;='01_Input'!$V$72,BG$20&lt;'01_Input'!$W$72),'01_Input'!$Y$72,0),MAX(MIN(BG$20,'01_Input'!$W$72)-'01_Input'!$V$72,0)*'01_Input'!$Y$72))+IF('01_Input'!$AB$72="Forfait",IF(BG$20&gt;='01_Input'!$Z$72,'01_Input'!$AC$72,0),IF('01_Input'!$AB$72="Palier",IF(AND(BG$20&gt;='01_Input'!$Z$72,BG$20&lt;'01_Input'!$AA$72),'01_Input'!$AC$72,0),MAX(MIN(BG$20,'01_Input'!$AA$72)-'01_Input'!$Z$72,0)*'01_Input'!$AC$72)))))))))</f>
        <v>0</v>
      </c>
      <c r="BH40" s="83">
        <f>IF('01_Input'!$C$72="Non",0,MIN('01_Input'!$I$72,MAX('01_Input'!$H$72,IF('01_Input'!$G$72="Résiduel vs Gestion",0,IF('01_Input'!$G$72="Taux Classe sélectionnée",Distrib_Global_Classe_Selectionnee*BH$20,IF('01_Input'!$G$72="Frais KYC (paliers de 100M€)",MAX(0,Nb_Investisseurs-Nb_KYC_Gratuites_Par_Tranche*(FLOOR(BH$20/Taille_Tranche_KYC,1)+1))*Cout_Par_KYC_Supplementaire,(IF('01_Input'!$L$72="Forfait",IF(BH$20&gt;='01_Input'!$J$72,'01_Input'!$M$72,0),IF('01_Input'!$L$72="Palier",IF(AND(BH$20&gt;='01_Input'!$J$72,BH$20&lt;'01_Input'!$K$72),'01_Input'!$M$72,0),MAX(MIN(BH$20,'01_Input'!$K$72)-'01_Input'!$J$72,0)*'01_Input'!$M$72))+IF('01_Input'!$P$72="Forfait",IF(BH$20&gt;='01_Input'!$N$72,'01_Input'!$Q$72,0),IF('01_Input'!$P$72="Palier",IF(AND(BH$20&gt;='01_Input'!$N$72,BH$20&lt;'01_Input'!$O$72),'01_Input'!$Q$72,0),MAX(MIN(BH$20,'01_Input'!$O$72)-'01_Input'!$N$72,0)*'01_Input'!$Q$72))+IF('01_Input'!$T$72="Forfait",IF(BH$20&gt;='01_Input'!$R$72,'01_Input'!$U$72,0),IF('01_Input'!$T$72="Palier",IF(AND(BH$20&gt;='01_Input'!$R$72,BH$20&lt;'01_Input'!$S$72),'01_Input'!$U$72,0),MAX(MIN(BH$20,'01_Input'!$S$72)-'01_Input'!$R$72,0)*'01_Input'!$U$72))+IF('01_Input'!$X$72="Forfait",IF(BH$20&gt;='01_Input'!$V$72,'01_Input'!$Y$72,0),IF('01_Input'!$X$72="Palier",IF(AND(BH$20&gt;='01_Input'!$V$72,BH$20&lt;'01_Input'!$W$72),'01_Input'!$Y$72,0),MAX(MIN(BH$20,'01_Input'!$W$72)-'01_Input'!$V$72,0)*'01_Input'!$Y$72))+IF('01_Input'!$AB$72="Forfait",IF(BH$20&gt;='01_Input'!$Z$72,'01_Input'!$AC$72,0),IF('01_Input'!$AB$72="Palier",IF(AND(BH$20&gt;='01_Input'!$Z$72,BH$20&lt;'01_Input'!$AA$72),'01_Input'!$AC$72,0),MAX(MIN(BH$20,'01_Input'!$AA$72)-'01_Input'!$Z$72,0)*'01_Input'!$AC$72)))))))))</f>
        <v>0</v>
      </c>
      <c r="BI40" s="83">
        <f>IF('01_Input'!$C$72="Non",0,MIN('01_Input'!$I$72,MAX('01_Input'!$H$72,IF('01_Input'!$G$72="Résiduel vs Gestion",0,IF('01_Input'!$G$72="Taux Classe sélectionnée",Distrib_Global_Classe_Selectionnee*BI$20,IF('01_Input'!$G$72="Frais KYC (paliers de 100M€)",MAX(0,Nb_Investisseurs-Nb_KYC_Gratuites_Par_Tranche*(FLOOR(BI$20/Taille_Tranche_KYC,1)+1))*Cout_Par_KYC_Supplementaire,(IF('01_Input'!$L$72="Forfait",IF(BI$20&gt;='01_Input'!$J$72,'01_Input'!$M$72,0),IF('01_Input'!$L$72="Palier",IF(AND(BI$20&gt;='01_Input'!$J$72,BI$20&lt;'01_Input'!$K$72),'01_Input'!$M$72,0),MAX(MIN(BI$20,'01_Input'!$K$72)-'01_Input'!$J$72,0)*'01_Input'!$M$72))+IF('01_Input'!$P$72="Forfait",IF(BI$20&gt;='01_Input'!$N$72,'01_Input'!$Q$72,0),IF('01_Input'!$P$72="Palier",IF(AND(BI$20&gt;='01_Input'!$N$72,BI$20&lt;'01_Input'!$O$72),'01_Input'!$Q$72,0),MAX(MIN(BI$20,'01_Input'!$O$72)-'01_Input'!$N$72,0)*'01_Input'!$Q$72))+IF('01_Input'!$T$72="Forfait",IF(BI$20&gt;='01_Input'!$R$72,'01_Input'!$U$72,0),IF('01_Input'!$T$72="Palier",IF(AND(BI$20&gt;='01_Input'!$R$72,BI$20&lt;'01_Input'!$S$72),'01_Input'!$U$72,0),MAX(MIN(BI$20,'01_Input'!$S$72)-'01_Input'!$R$72,0)*'01_Input'!$U$72))+IF('01_Input'!$X$72="Forfait",IF(BI$20&gt;='01_Input'!$V$72,'01_Input'!$Y$72,0),IF('01_Input'!$X$72="Palier",IF(AND(BI$20&gt;='01_Input'!$V$72,BI$20&lt;'01_Input'!$W$72),'01_Input'!$Y$72,0),MAX(MIN(BI$20,'01_Input'!$W$72)-'01_Input'!$V$72,0)*'01_Input'!$Y$72))+IF('01_Input'!$AB$72="Forfait",IF(BI$20&gt;='01_Input'!$Z$72,'01_Input'!$AC$72,0),IF('01_Input'!$AB$72="Palier",IF(AND(BI$20&gt;='01_Input'!$Z$72,BI$20&lt;'01_Input'!$AA$72),'01_Input'!$AC$72,0),MAX(MIN(BI$20,'01_Input'!$AA$72)-'01_Input'!$Z$72,0)*'01_Input'!$AC$72)))))))))</f>
        <v>0</v>
      </c>
      <c r="BJ40" s="83">
        <f>IF('01_Input'!$C$72="Non",0,MIN('01_Input'!$I$72,MAX('01_Input'!$H$72,IF('01_Input'!$G$72="Résiduel vs Gestion",0,IF('01_Input'!$G$72="Taux Classe sélectionnée",Distrib_Global_Classe_Selectionnee*BJ$20,IF('01_Input'!$G$72="Frais KYC (paliers de 100M€)",MAX(0,Nb_Investisseurs-Nb_KYC_Gratuites_Par_Tranche*(FLOOR(BJ$20/Taille_Tranche_KYC,1)+1))*Cout_Par_KYC_Supplementaire,(IF('01_Input'!$L$72="Forfait",IF(BJ$20&gt;='01_Input'!$J$72,'01_Input'!$M$72,0),IF('01_Input'!$L$72="Palier",IF(AND(BJ$20&gt;='01_Input'!$J$72,BJ$20&lt;'01_Input'!$K$72),'01_Input'!$M$72,0),MAX(MIN(BJ$20,'01_Input'!$K$72)-'01_Input'!$J$72,0)*'01_Input'!$M$72))+IF('01_Input'!$P$72="Forfait",IF(BJ$20&gt;='01_Input'!$N$72,'01_Input'!$Q$72,0),IF('01_Input'!$P$72="Palier",IF(AND(BJ$20&gt;='01_Input'!$N$72,BJ$20&lt;'01_Input'!$O$72),'01_Input'!$Q$72,0),MAX(MIN(BJ$20,'01_Input'!$O$72)-'01_Input'!$N$72,0)*'01_Input'!$Q$72))+IF('01_Input'!$T$72="Forfait",IF(BJ$20&gt;='01_Input'!$R$72,'01_Input'!$U$72,0),IF('01_Input'!$T$72="Palier",IF(AND(BJ$20&gt;='01_Input'!$R$72,BJ$20&lt;'01_Input'!$S$72),'01_Input'!$U$72,0),MAX(MIN(BJ$20,'01_Input'!$S$72)-'01_Input'!$R$72,0)*'01_Input'!$U$72))+IF('01_Input'!$X$72="Forfait",IF(BJ$20&gt;='01_Input'!$V$72,'01_Input'!$Y$72,0),IF('01_Input'!$X$72="Palier",IF(AND(BJ$20&gt;='01_Input'!$V$72,BJ$20&lt;'01_Input'!$W$72),'01_Input'!$Y$72,0),MAX(MIN(BJ$20,'01_Input'!$W$72)-'01_Input'!$V$72,0)*'01_Input'!$Y$72))+IF('01_Input'!$AB$72="Forfait",IF(BJ$20&gt;='01_Input'!$Z$72,'01_Input'!$AC$72,0),IF('01_Input'!$AB$72="Palier",IF(AND(BJ$20&gt;='01_Input'!$Z$72,BJ$20&lt;'01_Input'!$AA$72),'01_Input'!$AC$72,0),MAX(MIN(BJ$20,'01_Input'!$AA$72)-'01_Input'!$Z$72,0)*'01_Input'!$AC$72)))))))))</f>
        <v>0</v>
      </c>
      <c r="BK40" s="83">
        <f>IF('01_Input'!$C$72="Non",0,MIN('01_Input'!$I$72,MAX('01_Input'!$H$72,IF('01_Input'!$G$72="Résiduel vs Gestion",0,IF('01_Input'!$G$72="Taux Classe sélectionnée",Distrib_Global_Classe_Selectionnee*BK$20,IF('01_Input'!$G$72="Frais KYC (paliers de 100M€)",MAX(0,Nb_Investisseurs-Nb_KYC_Gratuites_Par_Tranche*(FLOOR(BK$20/Taille_Tranche_KYC,1)+1))*Cout_Par_KYC_Supplementaire,(IF('01_Input'!$L$72="Forfait",IF(BK$20&gt;='01_Input'!$J$72,'01_Input'!$M$72,0),IF('01_Input'!$L$72="Palier",IF(AND(BK$20&gt;='01_Input'!$J$72,BK$20&lt;'01_Input'!$K$72),'01_Input'!$M$72,0),MAX(MIN(BK$20,'01_Input'!$K$72)-'01_Input'!$J$72,0)*'01_Input'!$M$72))+IF('01_Input'!$P$72="Forfait",IF(BK$20&gt;='01_Input'!$N$72,'01_Input'!$Q$72,0),IF('01_Input'!$P$72="Palier",IF(AND(BK$20&gt;='01_Input'!$N$72,BK$20&lt;'01_Input'!$O$72),'01_Input'!$Q$72,0),MAX(MIN(BK$20,'01_Input'!$O$72)-'01_Input'!$N$72,0)*'01_Input'!$Q$72))+IF('01_Input'!$T$72="Forfait",IF(BK$20&gt;='01_Input'!$R$72,'01_Input'!$U$72,0),IF('01_Input'!$T$72="Palier",IF(AND(BK$20&gt;='01_Input'!$R$72,BK$20&lt;'01_Input'!$S$72),'01_Input'!$U$72,0),MAX(MIN(BK$20,'01_Input'!$S$72)-'01_Input'!$R$72,0)*'01_Input'!$U$72))+IF('01_Input'!$X$72="Forfait",IF(BK$20&gt;='01_Input'!$V$72,'01_Input'!$Y$72,0),IF('01_Input'!$X$72="Palier",IF(AND(BK$20&gt;='01_Input'!$V$72,BK$20&lt;'01_Input'!$W$72),'01_Input'!$Y$72,0),MAX(MIN(BK$20,'01_Input'!$W$72)-'01_Input'!$V$72,0)*'01_Input'!$Y$72))+IF('01_Input'!$AB$72="Forfait",IF(BK$20&gt;='01_Input'!$Z$72,'01_Input'!$AC$72,0),IF('01_Input'!$AB$72="Palier",IF(AND(BK$20&gt;='01_Input'!$Z$72,BK$20&lt;'01_Input'!$AA$72),'01_Input'!$AC$72,0),MAX(MIN(BK$20,'01_Input'!$AA$72)-'01_Input'!$Z$72,0)*'01_Input'!$AC$72)))))))))</f>
        <v>0</v>
      </c>
      <c r="BL40" s="83">
        <f>IF('01_Input'!$C$72="Non",0,MIN('01_Input'!$I$72,MAX('01_Input'!$H$72,IF('01_Input'!$G$72="Résiduel vs Gestion",0,IF('01_Input'!$G$72="Taux Classe sélectionnée",Distrib_Global_Classe_Selectionnee*BL$20,IF('01_Input'!$G$72="Frais KYC (paliers de 100M€)",MAX(0,Nb_Investisseurs-Nb_KYC_Gratuites_Par_Tranche*(FLOOR(BL$20/Taille_Tranche_KYC,1)+1))*Cout_Par_KYC_Supplementaire,(IF('01_Input'!$L$72="Forfait",IF(BL$20&gt;='01_Input'!$J$72,'01_Input'!$M$72,0),IF('01_Input'!$L$72="Palier",IF(AND(BL$20&gt;='01_Input'!$J$72,BL$20&lt;'01_Input'!$K$72),'01_Input'!$M$72,0),MAX(MIN(BL$20,'01_Input'!$K$72)-'01_Input'!$J$72,0)*'01_Input'!$M$72))+IF('01_Input'!$P$72="Forfait",IF(BL$20&gt;='01_Input'!$N$72,'01_Input'!$Q$72,0),IF('01_Input'!$P$72="Palier",IF(AND(BL$20&gt;='01_Input'!$N$72,BL$20&lt;'01_Input'!$O$72),'01_Input'!$Q$72,0),MAX(MIN(BL$20,'01_Input'!$O$72)-'01_Input'!$N$72,0)*'01_Input'!$Q$72))+IF('01_Input'!$T$72="Forfait",IF(BL$20&gt;='01_Input'!$R$72,'01_Input'!$U$72,0),IF('01_Input'!$T$72="Palier",IF(AND(BL$20&gt;='01_Input'!$R$72,BL$20&lt;'01_Input'!$S$72),'01_Input'!$U$72,0),MAX(MIN(BL$20,'01_Input'!$S$72)-'01_Input'!$R$72,0)*'01_Input'!$U$72))+IF('01_Input'!$X$72="Forfait",IF(BL$20&gt;='01_Input'!$V$72,'01_Input'!$Y$72,0),IF('01_Input'!$X$72="Palier",IF(AND(BL$20&gt;='01_Input'!$V$72,BL$20&lt;'01_Input'!$W$72),'01_Input'!$Y$72,0),MAX(MIN(BL$20,'01_Input'!$W$72)-'01_Input'!$V$72,0)*'01_Input'!$Y$72))+IF('01_Input'!$AB$72="Forfait",IF(BL$20&gt;='01_Input'!$Z$72,'01_Input'!$AC$72,0),IF('01_Input'!$AB$72="Palier",IF(AND(BL$20&gt;='01_Input'!$Z$72,BL$20&lt;'01_Input'!$AA$72),'01_Input'!$AC$72,0),MAX(MIN(BL$20,'01_Input'!$AA$72)-'01_Input'!$Z$72,0)*'01_Input'!$AC$72)))))))))</f>
        <v>0</v>
      </c>
      <c r="BM40" s="83">
        <f>IF('01_Input'!$C$72="Non",0,MIN('01_Input'!$I$72,MAX('01_Input'!$H$72,IF('01_Input'!$G$72="Résiduel vs Gestion",0,IF('01_Input'!$G$72="Taux Classe sélectionnée",Distrib_Global_Classe_Selectionnee*BM$20,IF('01_Input'!$G$72="Frais KYC (paliers de 100M€)",MAX(0,Nb_Investisseurs-Nb_KYC_Gratuites_Par_Tranche*(FLOOR(BM$20/Taille_Tranche_KYC,1)+1))*Cout_Par_KYC_Supplementaire,(IF('01_Input'!$L$72="Forfait",IF(BM$20&gt;='01_Input'!$J$72,'01_Input'!$M$72,0),IF('01_Input'!$L$72="Palier",IF(AND(BM$20&gt;='01_Input'!$J$72,BM$20&lt;'01_Input'!$K$72),'01_Input'!$M$72,0),MAX(MIN(BM$20,'01_Input'!$K$72)-'01_Input'!$J$72,0)*'01_Input'!$M$72))+IF('01_Input'!$P$72="Forfait",IF(BM$20&gt;='01_Input'!$N$72,'01_Input'!$Q$72,0),IF('01_Input'!$P$72="Palier",IF(AND(BM$20&gt;='01_Input'!$N$72,BM$20&lt;'01_Input'!$O$72),'01_Input'!$Q$72,0),MAX(MIN(BM$20,'01_Input'!$O$72)-'01_Input'!$N$72,0)*'01_Input'!$Q$72))+IF('01_Input'!$T$72="Forfait",IF(BM$20&gt;='01_Input'!$R$72,'01_Input'!$U$72,0),IF('01_Input'!$T$72="Palier",IF(AND(BM$20&gt;='01_Input'!$R$72,BM$20&lt;'01_Input'!$S$72),'01_Input'!$U$72,0),MAX(MIN(BM$20,'01_Input'!$S$72)-'01_Input'!$R$72,0)*'01_Input'!$U$72))+IF('01_Input'!$X$72="Forfait",IF(BM$20&gt;='01_Input'!$V$72,'01_Input'!$Y$72,0),IF('01_Input'!$X$72="Palier",IF(AND(BM$20&gt;='01_Input'!$V$72,BM$20&lt;'01_Input'!$W$72),'01_Input'!$Y$72,0),MAX(MIN(BM$20,'01_Input'!$W$72)-'01_Input'!$V$72,0)*'01_Input'!$Y$72))+IF('01_Input'!$AB$72="Forfait",IF(BM$20&gt;='01_Input'!$Z$72,'01_Input'!$AC$72,0),IF('01_Input'!$AB$72="Palier",IF(AND(BM$20&gt;='01_Input'!$Z$72,BM$20&lt;'01_Input'!$AA$72),'01_Input'!$AC$72,0),MAX(MIN(BM$20,'01_Input'!$AA$72)-'01_Input'!$Z$72,0)*'01_Input'!$AC$72)))))))))</f>
        <v>0</v>
      </c>
      <c r="BN40" s="83">
        <f>IF('01_Input'!$C$72="Non",0,MIN('01_Input'!$I$72,MAX('01_Input'!$H$72,IF('01_Input'!$G$72="Résiduel vs Gestion",0,IF('01_Input'!$G$72="Taux Classe sélectionnée",Distrib_Global_Classe_Selectionnee*BN$20,IF('01_Input'!$G$72="Frais KYC (paliers de 100M€)",MAX(0,Nb_Investisseurs-Nb_KYC_Gratuites_Par_Tranche*(FLOOR(BN$20/Taille_Tranche_KYC,1)+1))*Cout_Par_KYC_Supplementaire,(IF('01_Input'!$L$72="Forfait",IF(BN$20&gt;='01_Input'!$J$72,'01_Input'!$M$72,0),IF('01_Input'!$L$72="Palier",IF(AND(BN$20&gt;='01_Input'!$J$72,BN$20&lt;'01_Input'!$K$72),'01_Input'!$M$72,0),MAX(MIN(BN$20,'01_Input'!$K$72)-'01_Input'!$J$72,0)*'01_Input'!$M$72))+IF('01_Input'!$P$72="Forfait",IF(BN$20&gt;='01_Input'!$N$72,'01_Input'!$Q$72,0),IF('01_Input'!$P$72="Palier",IF(AND(BN$20&gt;='01_Input'!$N$72,BN$20&lt;'01_Input'!$O$72),'01_Input'!$Q$72,0),MAX(MIN(BN$20,'01_Input'!$O$72)-'01_Input'!$N$72,0)*'01_Input'!$Q$72))+IF('01_Input'!$T$72="Forfait",IF(BN$20&gt;='01_Input'!$R$72,'01_Input'!$U$72,0),IF('01_Input'!$T$72="Palier",IF(AND(BN$20&gt;='01_Input'!$R$72,BN$20&lt;'01_Input'!$S$72),'01_Input'!$U$72,0),MAX(MIN(BN$20,'01_Input'!$S$72)-'01_Input'!$R$72,0)*'01_Input'!$U$72))+IF('01_Input'!$X$72="Forfait",IF(BN$20&gt;='01_Input'!$V$72,'01_Input'!$Y$72,0),IF('01_Input'!$X$72="Palier",IF(AND(BN$20&gt;='01_Input'!$V$72,BN$20&lt;'01_Input'!$W$72),'01_Input'!$Y$72,0),MAX(MIN(BN$20,'01_Input'!$W$72)-'01_Input'!$V$72,0)*'01_Input'!$Y$72))+IF('01_Input'!$AB$72="Forfait",IF(BN$20&gt;='01_Input'!$Z$72,'01_Input'!$AC$72,0),IF('01_Input'!$AB$72="Palier",IF(AND(BN$20&gt;='01_Input'!$Z$72,BN$20&lt;'01_Input'!$AA$72),'01_Input'!$AC$72,0),MAX(MIN(BN$20,'01_Input'!$AA$72)-'01_Input'!$Z$72,0)*'01_Input'!$AC$72)))))))))</f>
        <v>0</v>
      </c>
      <c r="BO40" s="83">
        <f>IF('01_Input'!$C$72="Non",0,MIN('01_Input'!$I$72,MAX('01_Input'!$H$72,IF('01_Input'!$G$72="Résiduel vs Gestion",0,IF('01_Input'!$G$72="Taux Classe sélectionnée",Distrib_Global_Classe_Selectionnee*BO$20,IF('01_Input'!$G$72="Frais KYC (paliers de 100M€)",MAX(0,Nb_Investisseurs-Nb_KYC_Gratuites_Par_Tranche*(FLOOR(BO$20/Taille_Tranche_KYC,1)+1))*Cout_Par_KYC_Supplementaire,(IF('01_Input'!$L$72="Forfait",IF(BO$20&gt;='01_Input'!$J$72,'01_Input'!$M$72,0),IF('01_Input'!$L$72="Palier",IF(AND(BO$20&gt;='01_Input'!$J$72,BO$20&lt;'01_Input'!$K$72),'01_Input'!$M$72,0),MAX(MIN(BO$20,'01_Input'!$K$72)-'01_Input'!$J$72,0)*'01_Input'!$M$72))+IF('01_Input'!$P$72="Forfait",IF(BO$20&gt;='01_Input'!$N$72,'01_Input'!$Q$72,0),IF('01_Input'!$P$72="Palier",IF(AND(BO$20&gt;='01_Input'!$N$72,BO$20&lt;'01_Input'!$O$72),'01_Input'!$Q$72,0),MAX(MIN(BO$20,'01_Input'!$O$72)-'01_Input'!$N$72,0)*'01_Input'!$Q$72))+IF('01_Input'!$T$72="Forfait",IF(BO$20&gt;='01_Input'!$R$72,'01_Input'!$U$72,0),IF('01_Input'!$T$72="Palier",IF(AND(BO$20&gt;='01_Input'!$R$72,BO$20&lt;'01_Input'!$S$72),'01_Input'!$U$72,0),MAX(MIN(BO$20,'01_Input'!$S$72)-'01_Input'!$R$72,0)*'01_Input'!$U$72))+IF('01_Input'!$X$72="Forfait",IF(BO$20&gt;='01_Input'!$V$72,'01_Input'!$Y$72,0),IF('01_Input'!$X$72="Palier",IF(AND(BO$20&gt;='01_Input'!$V$72,BO$20&lt;'01_Input'!$W$72),'01_Input'!$Y$72,0),MAX(MIN(BO$20,'01_Input'!$W$72)-'01_Input'!$V$72,0)*'01_Input'!$Y$72))+IF('01_Input'!$AB$72="Forfait",IF(BO$20&gt;='01_Input'!$Z$72,'01_Input'!$AC$72,0),IF('01_Input'!$AB$72="Palier",IF(AND(BO$20&gt;='01_Input'!$Z$72,BO$20&lt;'01_Input'!$AA$72),'01_Input'!$AC$72,0),MAX(MIN(BO$20,'01_Input'!$AA$72)-'01_Input'!$Z$72,0)*'01_Input'!$AC$72)))))))))</f>
        <v>0</v>
      </c>
      <c r="BP40" s="83">
        <f>IF('01_Input'!$C$72="Non",0,MIN('01_Input'!$I$72,MAX('01_Input'!$H$72,IF('01_Input'!$G$72="Résiduel vs Gestion",0,IF('01_Input'!$G$72="Taux Classe sélectionnée",Distrib_Global_Classe_Selectionnee*BP$20,IF('01_Input'!$G$72="Frais KYC (paliers de 100M€)",MAX(0,Nb_Investisseurs-Nb_KYC_Gratuites_Par_Tranche*(FLOOR(BP$20/Taille_Tranche_KYC,1)+1))*Cout_Par_KYC_Supplementaire,(IF('01_Input'!$L$72="Forfait",IF(BP$20&gt;='01_Input'!$J$72,'01_Input'!$M$72,0),IF('01_Input'!$L$72="Palier",IF(AND(BP$20&gt;='01_Input'!$J$72,BP$20&lt;'01_Input'!$K$72),'01_Input'!$M$72,0),MAX(MIN(BP$20,'01_Input'!$K$72)-'01_Input'!$J$72,0)*'01_Input'!$M$72))+IF('01_Input'!$P$72="Forfait",IF(BP$20&gt;='01_Input'!$N$72,'01_Input'!$Q$72,0),IF('01_Input'!$P$72="Palier",IF(AND(BP$20&gt;='01_Input'!$N$72,BP$20&lt;'01_Input'!$O$72),'01_Input'!$Q$72,0),MAX(MIN(BP$20,'01_Input'!$O$72)-'01_Input'!$N$72,0)*'01_Input'!$Q$72))+IF('01_Input'!$T$72="Forfait",IF(BP$20&gt;='01_Input'!$R$72,'01_Input'!$U$72,0),IF('01_Input'!$T$72="Palier",IF(AND(BP$20&gt;='01_Input'!$R$72,BP$20&lt;'01_Input'!$S$72),'01_Input'!$U$72,0),MAX(MIN(BP$20,'01_Input'!$S$72)-'01_Input'!$R$72,0)*'01_Input'!$U$72))+IF('01_Input'!$X$72="Forfait",IF(BP$20&gt;='01_Input'!$V$72,'01_Input'!$Y$72,0),IF('01_Input'!$X$72="Palier",IF(AND(BP$20&gt;='01_Input'!$V$72,BP$20&lt;'01_Input'!$W$72),'01_Input'!$Y$72,0),MAX(MIN(BP$20,'01_Input'!$W$72)-'01_Input'!$V$72,0)*'01_Input'!$Y$72))+IF('01_Input'!$AB$72="Forfait",IF(BP$20&gt;='01_Input'!$Z$72,'01_Input'!$AC$72,0),IF('01_Input'!$AB$72="Palier",IF(AND(BP$20&gt;='01_Input'!$Z$72,BP$20&lt;'01_Input'!$AA$72),'01_Input'!$AC$72,0),MAX(MIN(BP$20,'01_Input'!$AA$72)-'01_Input'!$Z$72,0)*'01_Input'!$AC$72)))))))))</f>
        <v>0</v>
      </c>
      <c r="BQ40" s="83">
        <f>IF('01_Input'!$C$72="Non",0,MIN('01_Input'!$I$72,MAX('01_Input'!$H$72,IF('01_Input'!$G$72="Résiduel vs Gestion",0,IF('01_Input'!$G$72="Taux Classe sélectionnée",Distrib_Global_Classe_Selectionnee*BQ$20,IF('01_Input'!$G$72="Frais KYC (paliers de 100M€)",MAX(0,Nb_Investisseurs-Nb_KYC_Gratuites_Par_Tranche*(FLOOR(BQ$20/Taille_Tranche_KYC,1)+1))*Cout_Par_KYC_Supplementaire,(IF('01_Input'!$L$72="Forfait",IF(BQ$20&gt;='01_Input'!$J$72,'01_Input'!$M$72,0),IF('01_Input'!$L$72="Palier",IF(AND(BQ$20&gt;='01_Input'!$J$72,BQ$20&lt;'01_Input'!$K$72),'01_Input'!$M$72,0),MAX(MIN(BQ$20,'01_Input'!$K$72)-'01_Input'!$J$72,0)*'01_Input'!$M$72))+IF('01_Input'!$P$72="Forfait",IF(BQ$20&gt;='01_Input'!$N$72,'01_Input'!$Q$72,0),IF('01_Input'!$P$72="Palier",IF(AND(BQ$20&gt;='01_Input'!$N$72,BQ$20&lt;'01_Input'!$O$72),'01_Input'!$Q$72,0),MAX(MIN(BQ$20,'01_Input'!$O$72)-'01_Input'!$N$72,0)*'01_Input'!$Q$72))+IF('01_Input'!$T$72="Forfait",IF(BQ$20&gt;='01_Input'!$R$72,'01_Input'!$U$72,0),IF('01_Input'!$T$72="Palier",IF(AND(BQ$20&gt;='01_Input'!$R$72,BQ$20&lt;'01_Input'!$S$72),'01_Input'!$U$72,0),MAX(MIN(BQ$20,'01_Input'!$S$72)-'01_Input'!$R$72,0)*'01_Input'!$U$72))+IF('01_Input'!$X$72="Forfait",IF(BQ$20&gt;='01_Input'!$V$72,'01_Input'!$Y$72,0),IF('01_Input'!$X$72="Palier",IF(AND(BQ$20&gt;='01_Input'!$V$72,BQ$20&lt;'01_Input'!$W$72),'01_Input'!$Y$72,0),MAX(MIN(BQ$20,'01_Input'!$W$72)-'01_Input'!$V$72,0)*'01_Input'!$Y$72))+IF('01_Input'!$AB$72="Forfait",IF(BQ$20&gt;='01_Input'!$Z$72,'01_Input'!$AC$72,0),IF('01_Input'!$AB$72="Palier",IF(AND(BQ$20&gt;='01_Input'!$Z$72,BQ$20&lt;'01_Input'!$AA$72),'01_Input'!$AC$72,0),MAX(MIN(BQ$20,'01_Input'!$AA$72)-'01_Input'!$Z$72,0)*'01_Input'!$AC$72)))))))))</f>
        <v>0</v>
      </c>
      <c r="BR40" s="83">
        <f>IF('01_Input'!$C$72="Non",0,MIN('01_Input'!$I$72,MAX('01_Input'!$H$72,IF('01_Input'!$G$72="Résiduel vs Gestion",0,IF('01_Input'!$G$72="Taux Classe sélectionnée",Distrib_Global_Classe_Selectionnee*BR$20,IF('01_Input'!$G$72="Frais KYC (paliers de 100M€)",MAX(0,Nb_Investisseurs-Nb_KYC_Gratuites_Par_Tranche*(FLOOR(BR$20/Taille_Tranche_KYC,1)+1))*Cout_Par_KYC_Supplementaire,(IF('01_Input'!$L$72="Forfait",IF(BR$20&gt;='01_Input'!$J$72,'01_Input'!$M$72,0),IF('01_Input'!$L$72="Palier",IF(AND(BR$20&gt;='01_Input'!$J$72,BR$20&lt;'01_Input'!$K$72),'01_Input'!$M$72,0),MAX(MIN(BR$20,'01_Input'!$K$72)-'01_Input'!$J$72,0)*'01_Input'!$M$72))+IF('01_Input'!$P$72="Forfait",IF(BR$20&gt;='01_Input'!$N$72,'01_Input'!$Q$72,0),IF('01_Input'!$P$72="Palier",IF(AND(BR$20&gt;='01_Input'!$N$72,BR$20&lt;'01_Input'!$O$72),'01_Input'!$Q$72,0),MAX(MIN(BR$20,'01_Input'!$O$72)-'01_Input'!$N$72,0)*'01_Input'!$Q$72))+IF('01_Input'!$T$72="Forfait",IF(BR$20&gt;='01_Input'!$R$72,'01_Input'!$U$72,0),IF('01_Input'!$T$72="Palier",IF(AND(BR$20&gt;='01_Input'!$R$72,BR$20&lt;'01_Input'!$S$72),'01_Input'!$U$72,0),MAX(MIN(BR$20,'01_Input'!$S$72)-'01_Input'!$R$72,0)*'01_Input'!$U$72))+IF('01_Input'!$X$72="Forfait",IF(BR$20&gt;='01_Input'!$V$72,'01_Input'!$Y$72,0),IF('01_Input'!$X$72="Palier",IF(AND(BR$20&gt;='01_Input'!$V$72,BR$20&lt;'01_Input'!$W$72),'01_Input'!$Y$72,0),MAX(MIN(BR$20,'01_Input'!$W$72)-'01_Input'!$V$72,0)*'01_Input'!$Y$72))+IF('01_Input'!$AB$72="Forfait",IF(BR$20&gt;='01_Input'!$Z$72,'01_Input'!$AC$72,0),IF('01_Input'!$AB$72="Palier",IF(AND(BR$20&gt;='01_Input'!$Z$72,BR$20&lt;'01_Input'!$AA$72),'01_Input'!$AC$72,0),MAX(MIN(BR$20,'01_Input'!$AA$72)-'01_Input'!$Z$72,0)*'01_Input'!$AC$72)))))))))</f>
        <v>0</v>
      </c>
      <c r="BS40" s="83">
        <f>IF('01_Input'!$C$72="Non",0,MIN('01_Input'!$I$72,MAX('01_Input'!$H$72,IF('01_Input'!$G$72="Résiduel vs Gestion",0,IF('01_Input'!$G$72="Taux Classe sélectionnée",Distrib_Global_Classe_Selectionnee*BS$20,IF('01_Input'!$G$72="Frais KYC (paliers de 100M€)",MAX(0,Nb_Investisseurs-Nb_KYC_Gratuites_Par_Tranche*(FLOOR(BS$20/Taille_Tranche_KYC,1)+1))*Cout_Par_KYC_Supplementaire,(IF('01_Input'!$L$72="Forfait",IF(BS$20&gt;='01_Input'!$J$72,'01_Input'!$M$72,0),IF('01_Input'!$L$72="Palier",IF(AND(BS$20&gt;='01_Input'!$J$72,BS$20&lt;'01_Input'!$K$72),'01_Input'!$M$72,0),MAX(MIN(BS$20,'01_Input'!$K$72)-'01_Input'!$J$72,0)*'01_Input'!$M$72))+IF('01_Input'!$P$72="Forfait",IF(BS$20&gt;='01_Input'!$N$72,'01_Input'!$Q$72,0),IF('01_Input'!$P$72="Palier",IF(AND(BS$20&gt;='01_Input'!$N$72,BS$20&lt;'01_Input'!$O$72),'01_Input'!$Q$72,0),MAX(MIN(BS$20,'01_Input'!$O$72)-'01_Input'!$N$72,0)*'01_Input'!$Q$72))+IF('01_Input'!$T$72="Forfait",IF(BS$20&gt;='01_Input'!$R$72,'01_Input'!$U$72,0),IF('01_Input'!$T$72="Palier",IF(AND(BS$20&gt;='01_Input'!$R$72,BS$20&lt;'01_Input'!$S$72),'01_Input'!$U$72,0),MAX(MIN(BS$20,'01_Input'!$S$72)-'01_Input'!$R$72,0)*'01_Input'!$U$72))+IF('01_Input'!$X$72="Forfait",IF(BS$20&gt;='01_Input'!$V$72,'01_Input'!$Y$72,0),IF('01_Input'!$X$72="Palier",IF(AND(BS$20&gt;='01_Input'!$V$72,BS$20&lt;'01_Input'!$W$72),'01_Input'!$Y$72,0),MAX(MIN(BS$20,'01_Input'!$W$72)-'01_Input'!$V$72,0)*'01_Input'!$Y$72))+IF('01_Input'!$AB$72="Forfait",IF(BS$20&gt;='01_Input'!$Z$72,'01_Input'!$AC$72,0),IF('01_Input'!$AB$72="Palier",IF(AND(BS$20&gt;='01_Input'!$Z$72,BS$20&lt;'01_Input'!$AA$72),'01_Input'!$AC$72,0),MAX(MIN(BS$20,'01_Input'!$AA$72)-'01_Input'!$Z$72,0)*'01_Input'!$AC$72)))))))))</f>
        <v>0</v>
      </c>
      <c r="BT40" s="83">
        <f>IF('01_Input'!$C$72="Non",0,MIN('01_Input'!$I$72,MAX('01_Input'!$H$72,IF('01_Input'!$G$72="Résiduel vs Gestion",0,IF('01_Input'!$G$72="Taux Classe sélectionnée",Distrib_Global_Classe_Selectionnee*BT$20,IF('01_Input'!$G$72="Frais KYC (paliers de 100M€)",MAX(0,Nb_Investisseurs-Nb_KYC_Gratuites_Par_Tranche*(FLOOR(BT$20/Taille_Tranche_KYC,1)+1))*Cout_Par_KYC_Supplementaire,(IF('01_Input'!$L$72="Forfait",IF(BT$20&gt;='01_Input'!$J$72,'01_Input'!$M$72,0),IF('01_Input'!$L$72="Palier",IF(AND(BT$20&gt;='01_Input'!$J$72,BT$20&lt;'01_Input'!$K$72),'01_Input'!$M$72,0),MAX(MIN(BT$20,'01_Input'!$K$72)-'01_Input'!$J$72,0)*'01_Input'!$M$72))+IF('01_Input'!$P$72="Forfait",IF(BT$20&gt;='01_Input'!$N$72,'01_Input'!$Q$72,0),IF('01_Input'!$P$72="Palier",IF(AND(BT$20&gt;='01_Input'!$N$72,BT$20&lt;'01_Input'!$O$72),'01_Input'!$Q$72,0),MAX(MIN(BT$20,'01_Input'!$O$72)-'01_Input'!$N$72,0)*'01_Input'!$Q$72))+IF('01_Input'!$T$72="Forfait",IF(BT$20&gt;='01_Input'!$R$72,'01_Input'!$U$72,0),IF('01_Input'!$T$72="Palier",IF(AND(BT$20&gt;='01_Input'!$R$72,BT$20&lt;'01_Input'!$S$72),'01_Input'!$U$72,0),MAX(MIN(BT$20,'01_Input'!$S$72)-'01_Input'!$R$72,0)*'01_Input'!$U$72))+IF('01_Input'!$X$72="Forfait",IF(BT$20&gt;='01_Input'!$V$72,'01_Input'!$Y$72,0),IF('01_Input'!$X$72="Palier",IF(AND(BT$20&gt;='01_Input'!$V$72,BT$20&lt;'01_Input'!$W$72),'01_Input'!$Y$72,0),MAX(MIN(BT$20,'01_Input'!$W$72)-'01_Input'!$V$72,0)*'01_Input'!$Y$72))+IF('01_Input'!$AB$72="Forfait",IF(BT$20&gt;='01_Input'!$Z$72,'01_Input'!$AC$72,0),IF('01_Input'!$AB$72="Palier",IF(AND(BT$20&gt;='01_Input'!$Z$72,BT$20&lt;'01_Input'!$AA$72),'01_Input'!$AC$72,0),MAX(MIN(BT$20,'01_Input'!$AA$72)-'01_Input'!$Z$72,0)*'01_Input'!$AC$72)))))))))</f>
        <v>0</v>
      </c>
      <c r="BU40" s="83">
        <f>IF('01_Input'!$C$72="Non",0,MIN('01_Input'!$I$72,MAX('01_Input'!$H$72,IF('01_Input'!$G$72="Résiduel vs Gestion",0,IF('01_Input'!$G$72="Taux Classe sélectionnée",Distrib_Global_Classe_Selectionnee*BU$20,IF('01_Input'!$G$72="Frais KYC (paliers de 100M€)",MAX(0,Nb_Investisseurs-Nb_KYC_Gratuites_Par_Tranche*(FLOOR(BU$20/Taille_Tranche_KYC,1)+1))*Cout_Par_KYC_Supplementaire,(IF('01_Input'!$L$72="Forfait",IF(BU$20&gt;='01_Input'!$J$72,'01_Input'!$M$72,0),IF('01_Input'!$L$72="Palier",IF(AND(BU$20&gt;='01_Input'!$J$72,BU$20&lt;'01_Input'!$K$72),'01_Input'!$M$72,0),MAX(MIN(BU$20,'01_Input'!$K$72)-'01_Input'!$J$72,0)*'01_Input'!$M$72))+IF('01_Input'!$P$72="Forfait",IF(BU$20&gt;='01_Input'!$N$72,'01_Input'!$Q$72,0),IF('01_Input'!$P$72="Palier",IF(AND(BU$20&gt;='01_Input'!$N$72,BU$20&lt;'01_Input'!$O$72),'01_Input'!$Q$72,0),MAX(MIN(BU$20,'01_Input'!$O$72)-'01_Input'!$N$72,0)*'01_Input'!$Q$72))+IF('01_Input'!$T$72="Forfait",IF(BU$20&gt;='01_Input'!$R$72,'01_Input'!$U$72,0),IF('01_Input'!$T$72="Palier",IF(AND(BU$20&gt;='01_Input'!$R$72,BU$20&lt;'01_Input'!$S$72),'01_Input'!$U$72,0),MAX(MIN(BU$20,'01_Input'!$S$72)-'01_Input'!$R$72,0)*'01_Input'!$U$72))+IF('01_Input'!$X$72="Forfait",IF(BU$20&gt;='01_Input'!$V$72,'01_Input'!$Y$72,0),IF('01_Input'!$X$72="Palier",IF(AND(BU$20&gt;='01_Input'!$V$72,BU$20&lt;'01_Input'!$W$72),'01_Input'!$Y$72,0),MAX(MIN(BU$20,'01_Input'!$W$72)-'01_Input'!$V$72,0)*'01_Input'!$Y$72))+IF('01_Input'!$AB$72="Forfait",IF(BU$20&gt;='01_Input'!$Z$72,'01_Input'!$AC$72,0),IF('01_Input'!$AB$72="Palier",IF(AND(BU$20&gt;='01_Input'!$Z$72,BU$20&lt;'01_Input'!$AA$72),'01_Input'!$AC$72,0),MAX(MIN(BU$20,'01_Input'!$AA$72)-'01_Input'!$Z$72,0)*'01_Input'!$AC$72)))))))))</f>
        <v>0</v>
      </c>
      <c r="BV40" s="83">
        <f>IF('01_Input'!$C$72="Non",0,MIN('01_Input'!$I$72,MAX('01_Input'!$H$72,IF('01_Input'!$G$72="Résiduel vs Gestion",0,IF('01_Input'!$G$72="Taux Classe sélectionnée",Distrib_Global_Classe_Selectionnee*BV$20,IF('01_Input'!$G$72="Frais KYC (paliers de 100M€)",MAX(0,Nb_Investisseurs-Nb_KYC_Gratuites_Par_Tranche*(FLOOR(BV$20/Taille_Tranche_KYC,1)+1))*Cout_Par_KYC_Supplementaire,(IF('01_Input'!$L$72="Forfait",IF(BV$20&gt;='01_Input'!$J$72,'01_Input'!$M$72,0),IF('01_Input'!$L$72="Palier",IF(AND(BV$20&gt;='01_Input'!$J$72,BV$20&lt;'01_Input'!$K$72),'01_Input'!$M$72,0),MAX(MIN(BV$20,'01_Input'!$K$72)-'01_Input'!$J$72,0)*'01_Input'!$M$72))+IF('01_Input'!$P$72="Forfait",IF(BV$20&gt;='01_Input'!$N$72,'01_Input'!$Q$72,0),IF('01_Input'!$P$72="Palier",IF(AND(BV$20&gt;='01_Input'!$N$72,BV$20&lt;'01_Input'!$O$72),'01_Input'!$Q$72,0),MAX(MIN(BV$20,'01_Input'!$O$72)-'01_Input'!$N$72,0)*'01_Input'!$Q$72))+IF('01_Input'!$T$72="Forfait",IF(BV$20&gt;='01_Input'!$R$72,'01_Input'!$U$72,0),IF('01_Input'!$T$72="Palier",IF(AND(BV$20&gt;='01_Input'!$R$72,BV$20&lt;'01_Input'!$S$72),'01_Input'!$U$72,0),MAX(MIN(BV$20,'01_Input'!$S$72)-'01_Input'!$R$72,0)*'01_Input'!$U$72))+IF('01_Input'!$X$72="Forfait",IF(BV$20&gt;='01_Input'!$V$72,'01_Input'!$Y$72,0),IF('01_Input'!$X$72="Palier",IF(AND(BV$20&gt;='01_Input'!$V$72,BV$20&lt;'01_Input'!$W$72),'01_Input'!$Y$72,0),MAX(MIN(BV$20,'01_Input'!$W$72)-'01_Input'!$V$72,0)*'01_Input'!$Y$72))+IF('01_Input'!$AB$72="Forfait",IF(BV$20&gt;='01_Input'!$Z$72,'01_Input'!$AC$72,0),IF('01_Input'!$AB$72="Palier",IF(AND(BV$20&gt;='01_Input'!$Z$72,BV$20&lt;'01_Input'!$AA$72),'01_Input'!$AC$72,0),MAX(MIN(BV$20,'01_Input'!$AA$72)-'01_Input'!$Z$72,0)*'01_Input'!$AC$72)))))))))</f>
        <v>0</v>
      </c>
      <c r="BW40" s="83">
        <f>IF('01_Input'!$C$72="Non",0,MIN('01_Input'!$I$72,MAX('01_Input'!$H$72,IF('01_Input'!$G$72="Résiduel vs Gestion",0,IF('01_Input'!$G$72="Taux Classe sélectionnée",Distrib_Global_Classe_Selectionnee*BW$20,IF('01_Input'!$G$72="Frais KYC (paliers de 100M€)",MAX(0,Nb_Investisseurs-Nb_KYC_Gratuites_Par_Tranche*(FLOOR(BW$20/Taille_Tranche_KYC,1)+1))*Cout_Par_KYC_Supplementaire,(IF('01_Input'!$L$72="Forfait",IF(BW$20&gt;='01_Input'!$J$72,'01_Input'!$M$72,0),IF('01_Input'!$L$72="Palier",IF(AND(BW$20&gt;='01_Input'!$J$72,BW$20&lt;'01_Input'!$K$72),'01_Input'!$M$72,0),MAX(MIN(BW$20,'01_Input'!$K$72)-'01_Input'!$J$72,0)*'01_Input'!$M$72))+IF('01_Input'!$P$72="Forfait",IF(BW$20&gt;='01_Input'!$N$72,'01_Input'!$Q$72,0),IF('01_Input'!$P$72="Palier",IF(AND(BW$20&gt;='01_Input'!$N$72,BW$20&lt;'01_Input'!$O$72),'01_Input'!$Q$72,0),MAX(MIN(BW$20,'01_Input'!$O$72)-'01_Input'!$N$72,0)*'01_Input'!$Q$72))+IF('01_Input'!$T$72="Forfait",IF(BW$20&gt;='01_Input'!$R$72,'01_Input'!$U$72,0),IF('01_Input'!$T$72="Palier",IF(AND(BW$20&gt;='01_Input'!$R$72,BW$20&lt;'01_Input'!$S$72),'01_Input'!$U$72,0),MAX(MIN(BW$20,'01_Input'!$S$72)-'01_Input'!$R$72,0)*'01_Input'!$U$72))+IF('01_Input'!$X$72="Forfait",IF(BW$20&gt;='01_Input'!$V$72,'01_Input'!$Y$72,0),IF('01_Input'!$X$72="Palier",IF(AND(BW$20&gt;='01_Input'!$V$72,BW$20&lt;'01_Input'!$W$72),'01_Input'!$Y$72,0),MAX(MIN(BW$20,'01_Input'!$W$72)-'01_Input'!$V$72,0)*'01_Input'!$Y$72))+IF('01_Input'!$AB$72="Forfait",IF(BW$20&gt;='01_Input'!$Z$72,'01_Input'!$AC$72,0),IF('01_Input'!$AB$72="Palier",IF(AND(BW$20&gt;='01_Input'!$Z$72,BW$20&lt;'01_Input'!$AA$72),'01_Input'!$AC$72,0),MAX(MIN(BW$20,'01_Input'!$AA$72)-'01_Input'!$Z$72,0)*'01_Input'!$AC$72)))))))))</f>
        <v>0</v>
      </c>
      <c r="BX40" s="83">
        <f>IF('01_Input'!$C$72="Non",0,MIN('01_Input'!$I$72,MAX('01_Input'!$H$72,IF('01_Input'!$G$72="Résiduel vs Gestion",0,IF('01_Input'!$G$72="Taux Classe sélectionnée",Distrib_Global_Classe_Selectionnee*BX$20,IF('01_Input'!$G$72="Frais KYC (paliers de 100M€)",MAX(0,Nb_Investisseurs-Nb_KYC_Gratuites_Par_Tranche*(FLOOR(BX$20/Taille_Tranche_KYC,1)+1))*Cout_Par_KYC_Supplementaire,(IF('01_Input'!$L$72="Forfait",IF(BX$20&gt;='01_Input'!$J$72,'01_Input'!$M$72,0),IF('01_Input'!$L$72="Palier",IF(AND(BX$20&gt;='01_Input'!$J$72,BX$20&lt;'01_Input'!$K$72),'01_Input'!$M$72,0),MAX(MIN(BX$20,'01_Input'!$K$72)-'01_Input'!$J$72,0)*'01_Input'!$M$72))+IF('01_Input'!$P$72="Forfait",IF(BX$20&gt;='01_Input'!$N$72,'01_Input'!$Q$72,0),IF('01_Input'!$P$72="Palier",IF(AND(BX$20&gt;='01_Input'!$N$72,BX$20&lt;'01_Input'!$O$72),'01_Input'!$Q$72,0),MAX(MIN(BX$20,'01_Input'!$O$72)-'01_Input'!$N$72,0)*'01_Input'!$Q$72))+IF('01_Input'!$T$72="Forfait",IF(BX$20&gt;='01_Input'!$R$72,'01_Input'!$U$72,0),IF('01_Input'!$T$72="Palier",IF(AND(BX$20&gt;='01_Input'!$R$72,BX$20&lt;'01_Input'!$S$72),'01_Input'!$U$72,0),MAX(MIN(BX$20,'01_Input'!$S$72)-'01_Input'!$R$72,0)*'01_Input'!$U$72))+IF('01_Input'!$X$72="Forfait",IF(BX$20&gt;='01_Input'!$V$72,'01_Input'!$Y$72,0),IF('01_Input'!$X$72="Palier",IF(AND(BX$20&gt;='01_Input'!$V$72,BX$20&lt;'01_Input'!$W$72),'01_Input'!$Y$72,0),MAX(MIN(BX$20,'01_Input'!$W$72)-'01_Input'!$V$72,0)*'01_Input'!$Y$72))+IF('01_Input'!$AB$72="Forfait",IF(BX$20&gt;='01_Input'!$Z$72,'01_Input'!$AC$72,0),IF('01_Input'!$AB$72="Palier",IF(AND(BX$20&gt;='01_Input'!$Z$72,BX$20&lt;'01_Input'!$AA$72),'01_Input'!$AC$72,0),MAX(MIN(BX$20,'01_Input'!$AA$72)-'01_Input'!$Z$72,0)*'01_Input'!$AC$72)))))))))</f>
        <v>0</v>
      </c>
      <c r="BY40" s="83">
        <f>IF('01_Input'!$C$72="Non",0,MIN('01_Input'!$I$72,MAX('01_Input'!$H$72,IF('01_Input'!$G$72="Résiduel vs Gestion",0,IF('01_Input'!$G$72="Taux Classe sélectionnée",Distrib_Global_Classe_Selectionnee*BY$20,IF('01_Input'!$G$72="Frais KYC (paliers de 100M€)",MAX(0,Nb_Investisseurs-Nb_KYC_Gratuites_Par_Tranche*(FLOOR(BY$20/Taille_Tranche_KYC,1)+1))*Cout_Par_KYC_Supplementaire,(IF('01_Input'!$L$72="Forfait",IF(BY$20&gt;='01_Input'!$J$72,'01_Input'!$M$72,0),IF('01_Input'!$L$72="Palier",IF(AND(BY$20&gt;='01_Input'!$J$72,BY$20&lt;'01_Input'!$K$72),'01_Input'!$M$72,0),MAX(MIN(BY$20,'01_Input'!$K$72)-'01_Input'!$J$72,0)*'01_Input'!$M$72))+IF('01_Input'!$P$72="Forfait",IF(BY$20&gt;='01_Input'!$N$72,'01_Input'!$Q$72,0),IF('01_Input'!$P$72="Palier",IF(AND(BY$20&gt;='01_Input'!$N$72,BY$20&lt;'01_Input'!$O$72),'01_Input'!$Q$72,0),MAX(MIN(BY$20,'01_Input'!$O$72)-'01_Input'!$N$72,0)*'01_Input'!$Q$72))+IF('01_Input'!$T$72="Forfait",IF(BY$20&gt;='01_Input'!$R$72,'01_Input'!$U$72,0),IF('01_Input'!$T$72="Palier",IF(AND(BY$20&gt;='01_Input'!$R$72,BY$20&lt;'01_Input'!$S$72),'01_Input'!$U$72,0),MAX(MIN(BY$20,'01_Input'!$S$72)-'01_Input'!$R$72,0)*'01_Input'!$U$72))+IF('01_Input'!$X$72="Forfait",IF(BY$20&gt;='01_Input'!$V$72,'01_Input'!$Y$72,0),IF('01_Input'!$X$72="Palier",IF(AND(BY$20&gt;='01_Input'!$V$72,BY$20&lt;'01_Input'!$W$72),'01_Input'!$Y$72,0),MAX(MIN(BY$20,'01_Input'!$W$72)-'01_Input'!$V$72,0)*'01_Input'!$Y$72))+IF('01_Input'!$AB$72="Forfait",IF(BY$20&gt;='01_Input'!$Z$72,'01_Input'!$AC$72,0),IF('01_Input'!$AB$72="Palier",IF(AND(BY$20&gt;='01_Input'!$Z$72,BY$20&lt;'01_Input'!$AA$72),'01_Input'!$AC$72,0),MAX(MIN(BY$20,'01_Input'!$AA$72)-'01_Input'!$Z$72,0)*'01_Input'!$AC$72)))))))))</f>
        <v>0</v>
      </c>
      <c r="BZ40" s="83">
        <f>IF('01_Input'!$C$72="Non",0,MIN('01_Input'!$I$72,MAX('01_Input'!$H$72,IF('01_Input'!$G$72="Résiduel vs Gestion",0,IF('01_Input'!$G$72="Taux Classe sélectionnée",Distrib_Global_Classe_Selectionnee*BZ$20,IF('01_Input'!$G$72="Frais KYC (paliers de 100M€)",MAX(0,Nb_Investisseurs-Nb_KYC_Gratuites_Par_Tranche*(FLOOR(BZ$20/Taille_Tranche_KYC,1)+1))*Cout_Par_KYC_Supplementaire,(IF('01_Input'!$L$72="Forfait",IF(BZ$20&gt;='01_Input'!$J$72,'01_Input'!$M$72,0),IF('01_Input'!$L$72="Palier",IF(AND(BZ$20&gt;='01_Input'!$J$72,BZ$20&lt;'01_Input'!$K$72),'01_Input'!$M$72,0),MAX(MIN(BZ$20,'01_Input'!$K$72)-'01_Input'!$J$72,0)*'01_Input'!$M$72))+IF('01_Input'!$P$72="Forfait",IF(BZ$20&gt;='01_Input'!$N$72,'01_Input'!$Q$72,0),IF('01_Input'!$P$72="Palier",IF(AND(BZ$20&gt;='01_Input'!$N$72,BZ$20&lt;'01_Input'!$O$72),'01_Input'!$Q$72,0),MAX(MIN(BZ$20,'01_Input'!$O$72)-'01_Input'!$N$72,0)*'01_Input'!$Q$72))+IF('01_Input'!$T$72="Forfait",IF(BZ$20&gt;='01_Input'!$R$72,'01_Input'!$U$72,0),IF('01_Input'!$T$72="Palier",IF(AND(BZ$20&gt;='01_Input'!$R$72,BZ$20&lt;'01_Input'!$S$72),'01_Input'!$U$72,0),MAX(MIN(BZ$20,'01_Input'!$S$72)-'01_Input'!$R$72,0)*'01_Input'!$U$72))+IF('01_Input'!$X$72="Forfait",IF(BZ$20&gt;='01_Input'!$V$72,'01_Input'!$Y$72,0),IF('01_Input'!$X$72="Palier",IF(AND(BZ$20&gt;='01_Input'!$V$72,BZ$20&lt;'01_Input'!$W$72),'01_Input'!$Y$72,0),MAX(MIN(BZ$20,'01_Input'!$W$72)-'01_Input'!$V$72,0)*'01_Input'!$Y$72))+IF('01_Input'!$AB$72="Forfait",IF(BZ$20&gt;='01_Input'!$Z$72,'01_Input'!$AC$72,0),IF('01_Input'!$AB$72="Palier",IF(AND(BZ$20&gt;='01_Input'!$Z$72,BZ$20&lt;'01_Input'!$AA$72),'01_Input'!$AC$72,0),MAX(MIN(BZ$20,'01_Input'!$AA$72)-'01_Input'!$Z$72,0)*'01_Input'!$AC$72)))))))))</f>
        <v>0</v>
      </c>
      <c r="CA40" s="83">
        <f>IF('01_Input'!$C$72="Non",0,MIN('01_Input'!$I$72,MAX('01_Input'!$H$72,IF('01_Input'!$G$72="Résiduel vs Gestion",0,IF('01_Input'!$G$72="Taux Classe sélectionnée",Distrib_Global_Classe_Selectionnee*CA$20,IF('01_Input'!$G$72="Frais KYC (paliers de 100M€)",MAX(0,Nb_Investisseurs-Nb_KYC_Gratuites_Par_Tranche*(FLOOR(CA$20/Taille_Tranche_KYC,1)+1))*Cout_Par_KYC_Supplementaire,(IF('01_Input'!$L$72="Forfait",IF(CA$20&gt;='01_Input'!$J$72,'01_Input'!$M$72,0),IF('01_Input'!$L$72="Palier",IF(AND(CA$20&gt;='01_Input'!$J$72,CA$20&lt;'01_Input'!$K$72),'01_Input'!$M$72,0),MAX(MIN(CA$20,'01_Input'!$K$72)-'01_Input'!$J$72,0)*'01_Input'!$M$72))+IF('01_Input'!$P$72="Forfait",IF(CA$20&gt;='01_Input'!$N$72,'01_Input'!$Q$72,0),IF('01_Input'!$P$72="Palier",IF(AND(CA$20&gt;='01_Input'!$N$72,CA$20&lt;'01_Input'!$O$72),'01_Input'!$Q$72,0),MAX(MIN(CA$20,'01_Input'!$O$72)-'01_Input'!$N$72,0)*'01_Input'!$Q$72))+IF('01_Input'!$T$72="Forfait",IF(CA$20&gt;='01_Input'!$R$72,'01_Input'!$U$72,0),IF('01_Input'!$T$72="Palier",IF(AND(CA$20&gt;='01_Input'!$R$72,CA$20&lt;'01_Input'!$S$72),'01_Input'!$U$72,0),MAX(MIN(CA$20,'01_Input'!$S$72)-'01_Input'!$R$72,0)*'01_Input'!$U$72))+IF('01_Input'!$X$72="Forfait",IF(CA$20&gt;='01_Input'!$V$72,'01_Input'!$Y$72,0),IF('01_Input'!$X$72="Palier",IF(AND(CA$20&gt;='01_Input'!$V$72,CA$20&lt;'01_Input'!$W$72),'01_Input'!$Y$72,0),MAX(MIN(CA$20,'01_Input'!$W$72)-'01_Input'!$V$72,0)*'01_Input'!$Y$72))+IF('01_Input'!$AB$72="Forfait",IF(CA$20&gt;='01_Input'!$Z$72,'01_Input'!$AC$72,0),IF('01_Input'!$AB$72="Palier",IF(AND(CA$20&gt;='01_Input'!$Z$72,CA$20&lt;'01_Input'!$AA$72),'01_Input'!$AC$72,0),MAX(MIN(CA$20,'01_Input'!$AA$72)-'01_Input'!$Z$72,0)*'01_Input'!$AC$72)))))))))</f>
        <v>0</v>
      </c>
      <c r="CB40" s="83">
        <f>IF('01_Input'!$C$72="Non",0,MIN('01_Input'!$I$72,MAX('01_Input'!$H$72,IF('01_Input'!$G$72="Résiduel vs Gestion",0,IF('01_Input'!$G$72="Taux Classe sélectionnée",Distrib_Global_Classe_Selectionnee*CB$20,IF('01_Input'!$G$72="Frais KYC (paliers de 100M€)",MAX(0,Nb_Investisseurs-Nb_KYC_Gratuites_Par_Tranche*(FLOOR(CB$20/Taille_Tranche_KYC,1)+1))*Cout_Par_KYC_Supplementaire,(IF('01_Input'!$L$72="Forfait",IF(CB$20&gt;='01_Input'!$J$72,'01_Input'!$M$72,0),IF('01_Input'!$L$72="Palier",IF(AND(CB$20&gt;='01_Input'!$J$72,CB$20&lt;'01_Input'!$K$72),'01_Input'!$M$72,0),MAX(MIN(CB$20,'01_Input'!$K$72)-'01_Input'!$J$72,0)*'01_Input'!$M$72))+IF('01_Input'!$P$72="Forfait",IF(CB$20&gt;='01_Input'!$N$72,'01_Input'!$Q$72,0),IF('01_Input'!$P$72="Palier",IF(AND(CB$20&gt;='01_Input'!$N$72,CB$20&lt;'01_Input'!$O$72),'01_Input'!$Q$72,0),MAX(MIN(CB$20,'01_Input'!$O$72)-'01_Input'!$N$72,0)*'01_Input'!$Q$72))+IF('01_Input'!$T$72="Forfait",IF(CB$20&gt;='01_Input'!$R$72,'01_Input'!$U$72,0),IF('01_Input'!$T$72="Palier",IF(AND(CB$20&gt;='01_Input'!$R$72,CB$20&lt;'01_Input'!$S$72),'01_Input'!$U$72,0),MAX(MIN(CB$20,'01_Input'!$S$72)-'01_Input'!$R$72,0)*'01_Input'!$U$72))+IF('01_Input'!$X$72="Forfait",IF(CB$20&gt;='01_Input'!$V$72,'01_Input'!$Y$72,0),IF('01_Input'!$X$72="Palier",IF(AND(CB$20&gt;='01_Input'!$V$72,CB$20&lt;'01_Input'!$W$72),'01_Input'!$Y$72,0),MAX(MIN(CB$20,'01_Input'!$W$72)-'01_Input'!$V$72,0)*'01_Input'!$Y$72))+IF('01_Input'!$AB$72="Forfait",IF(CB$20&gt;='01_Input'!$Z$72,'01_Input'!$AC$72,0),IF('01_Input'!$AB$72="Palier",IF(AND(CB$20&gt;='01_Input'!$Z$72,CB$20&lt;'01_Input'!$AA$72),'01_Input'!$AC$72,0),MAX(MIN(CB$20,'01_Input'!$AA$72)-'01_Input'!$Z$72,0)*'01_Input'!$AC$72)))))))))</f>
        <v>0</v>
      </c>
      <c r="CC40" s="83">
        <f>IF('01_Input'!$C$72="Non",0,MIN('01_Input'!$I$72,MAX('01_Input'!$H$72,IF('01_Input'!$G$72="Résiduel vs Gestion",0,IF('01_Input'!$G$72="Taux Classe sélectionnée",Distrib_Global_Classe_Selectionnee*CC$20,IF('01_Input'!$G$72="Frais KYC (paliers de 100M€)",MAX(0,Nb_Investisseurs-Nb_KYC_Gratuites_Par_Tranche*(FLOOR(CC$20/Taille_Tranche_KYC,1)+1))*Cout_Par_KYC_Supplementaire,(IF('01_Input'!$L$72="Forfait",IF(CC$20&gt;='01_Input'!$J$72,'01_Input'!$M$72,0),IF('01_Input'!$L$72="Palier",IF(AND(CC$20&gt;='01_Input'!$J$72,CC$20&lt;'01_Input'!$K$72),'01_Input'!$M$72,0),MAX(MIN(CC$20,'01_Input'!$K$72)-'01_Input'!$J$72,0)*'01_Input'!$M$72))+IF('01_Input'!$P$72="Forfait",IF(CC$20&gt;='01_Input'!$N$72,'01_Input'!$Q$72,0),IF('01_Input'!$P$72="Palier",IF(AND(CC$20&gt;='01_Input'!$N$72,CC$20&lt;'01_Input'!$O$72),'01_Input'!$Q$72,0),MAX(MIN(CC$20,'01_Input'!$O$72)-'01_Input'!$N$72,0)*'01_Input'!$Q$72))+IF('01_Input'!$T$72="Forfait",IF(CC$20&gt;='01_Input'!$R$72,'01_Input'!$U$72,0),IF('01_Input'!$T$72="Palier",IF(AND(CC$20&gt;='01_Input'!$R$72,CC$20&lt;'01_Input'!$S$72),'01_Input'!$U$72,0),MAX(MIN(CC$20,'01_Input'!$S$72)-'01_Input'!$R$72,0)*'01_Input'!$U$72))+IF('01_Input'!$X$72="Forfait",IF(CC$20&gt;='01_Input'!$V$72,'01_Input'!$Y$72,0),IF('01_Input'!$X$72="Palier",IF(AND(CC$20&gt;='01_Input'!$V$72,CC$20&lt;'01_Input'!$W$72),'01_Input'!$Y$72,0),MAX(MIN(CC$20,'01_Input'!$W$72)-'01_Input'!$V$72,0)*'01_Input'!$Y$72))+IF('01_Input'!$AB$72="Forfait",IF(CC$20&gt;='01_Input'!$Z$72,'01_Input'!$AC$72,0),IF('01_Input'!$AB$72="Palier",IF(AND(CC$20&gt;='01_Input'!$Z$72,CC$20&lt;'01_Input'!$AA$72),'01_Input'!$AC$72,0),MAX(MIN(CC$20,'01_Input'!$AA$72)-'01_Input'!$Z$72,0)*'01_Input'!$AC$72)))))))))</f>
        <v>0</v>
      </c>
      <c r="CD40" s="83">
        <f>IF('01_Input'!$C$72="Non",0,MIN('01_Input'!$I$72,MAX('01_Input'!$H$72,IF('01_Input'!$G$72="Résiduel vs Gestion",0,IF('01_Input'!$G$72="Taux Classe sélectionnée",Distrib_Global_Classe_Selectionnee*CD$20,IF('01_Input'!$G$72="Frais KYC (paliers de 100M€)",MAX(0,Nb_Investisseurs-Nb_KYC_Gratuites_Par_Tranche*(FLOOR(CD$20/Taille_Tranche_KYC,1)+1))*Cout_Par_KYC_Supplementaire,(IF('01_Input'!$L$72="Forfait",IF(CD$20&gt;='01_Input'!$J$72,'01_Input'!$M$72,0),IF('01_Input'!$L$72="Palier",IF(AND(CD$20&gt;='01_Input'!$J$72,CD$20&lt;'01_Input'!$K$72),'01_Input'!$M$72,0),MAX(MIN(CD$20,'01_Input'!$K$72)-'01_Input'!$J$72,0)*'01_Input'!$M$72))+IF('01_Input'!$P$72="Forfait",IF(CD$20&gt;='01_Input'!$N$72,'01_Input'!$Q$72,0),IF('01_Input'!$P$72="Palier",IF(AND(CD$20&gt;='01_Input'!$N$72,CD$20&lt;'01_Input'!$O$72),'01_Input'!$Q$72,0),MAX(MIN(CD$20,'01_Input'!$O$72)-'01_Input'!$N$72,0)*'01_Input'!$Q$72))+IF('01_Input'!$T$72="Forfait",IF(CD$20&gt;='01_Input'!$R$72,'01_Input'!$U$72,0),IF('01_Input'!$T$72="Palier",IF(AND(CD$20&gt;='01_Input'!$R$72,CD$20&lt;'01_Input'!$S$72),'01_Input'!$U$72,0),MAX(MIN(CD$20,'01_Input'!$S$72)-'01_Input'!$R$72,0)*'01_Input'!$U$72))+IF('01_Input'!$X$72="Forfait",IF(CD$20&gt;='01_Input'!$V$72,'01_Input'!$Y$72,0),IF('01_Input'!$X$72="Palier",IF(AND(CD$20&gt;='01_Input'!$V$72,CD$20&lt;'01_Input'!$W$72),'01_Input'!$Y$72,0),MAX(MIN(CD$20,'01_Input'!$W$72)-'01_Input'!$V$72,0)*'01_Input'!$Y$72))+IF('01_Input'!$AB$72="Forfait",IF(CD$20&gt;='01_Input'!$Z$72,'01_Input'!$AC$72,0),IF('01_Input'!$AB$72="Palier",IF(AND(CD$20&gt;='01_Input'!$Z$72,CD$20&lt;'01_Input'!$AA$72),'01_Input'!$AC$72,0),MAX(MIN(CD$20,'01_Input'!$AA$72)-'01_Input'!$Z$72,0)*'01_Input'!$AC$72)))))))))</f>
        <v>0</v>
      </c>
      <c r="CE40" s="83">
        <f>IF('01_Input'!$C$72="Non",0,MIN('01_Input'!$I$72,MAX('01_Input'!$H$72,IF('01_Input'!$G$72="Résiduel vs Gestion",0,IF('01_Input'!$G$72="Taux Classe sélectionnée",Distrib_Global_Classe_Selectionnee*CE$20,IF('01_Input'!$G$72="Frais KYC (paliers de 100M€)",MAX(0,Nb_Investisseurs-Nb_KYC_Gratuites_Par_Tranche*(FLOOR(CE$20/Taille_Tranche_KYC,1)+1))*Cout_Par_KYC_Supplementaire,(IF('01_Input'!$L$72="Forfait",IF(CE$20&gt;='01_Input'!$J$72,'01_Input'!$M$72,0),IF('01_Input'!$L$72="Palier",IF(AND(CE$20&gt;='01_Input'!$J$72,CE$20&lt;'01_Input'!$K$72),'01_Input'!$M$72,0),MAX(MIN(CE$20,'01_Input'!$K$72)-'01_Input'!$J$72,0)*'01_Input'!$M$72))+IF('01_Input'!$P$72="Forfait",IF(CE$20&gt;='01_Input'!$N$72,'01_Input'!$Q$72,0),IF('01_Input'!$P$72="Palier",IF(AND(CE$20&gt;='01_Input'!$N$72,CE$20&lt;'01_Input'!$O$72),'01_Input'!$Q$72,0),MAX(MIN(CE$20,'01_Input'!$O$72)-'01_Input'!$N$72,0)*'01_Input'!$Q$72))+IF('01_Input'!$T$72="Forfait",IF(CE$20&gt;='01_Input'!$R$72,'01_Input'!$U$72,0),IF('01_Input'!$T$72="Palier",IF(AND(CE$20&gt;='01_Input'!$R$72,CE$20&lt;'01_Input'!$S$72),'01_Input'!$U$72,0),MAX(MIN(CE$20,'01_Input'!$S$72)-'01_Input'!$R$72,0)*'01_Input'!$U$72))+IF('01_Input'!$X$72="Forfait",IF(CE$20&gt;='01_Input'!$V$72,'01_Input'!$Y$72,0),IF('01_Input'!$X$72="Palier",IF(AND(CE$20&gt;='01_Input'!$V$72,CE$20&lt;'01_Input'!$W$72),'01_Input'!$Y$72,0),MAX(MIN(CE$20,'01_Input'!$W$72)-'01_Input'!$V$72,0)*'01_Input'!$Y$72))+IF('01_Input'!$AB$72="Forfait",IF(CE$20&gt;='01_Input'!$Z$72,'01_Input'!$AC$72,0),IF('01_Input'!$AB$72="Palier",IF(AND(CE$20&gt;='01_Input'!$Z$72,CE$20&lt;'01_Input'!$AA$72),'01_Input'!$AC$72,0),MAX(MIN(CE$20,'01_Input'!$AA$72)-'01_Input'!$Z$72,0)*'01_Input'!$AC$72)))))))))</f>
        <v>0</v>
      </c>
      <c r="CF40" s="83">
        <f>IF('01_Input'!$C$72="Non",0,MIN('01_Input'!$I$72,MAX('01_Input'!$H$72,IF('01_Input'!$G$72="Résiduel vs Gestion",0,IF('01_Input'!$G$72="Taux Classe sélectionnée",Distrib_Global_Classe_Selectionnee*CF$20,IF('01_Input'!$G$72="Frais KYC (paliers de 100M€)",MAX(0,Nb_Investisseurs-Nb_KYC_Gratuites_Par_Tranche*(FLOOR(CF$20/Taille_Tranche_KYC,1)+1))*Cout_Par_KYC_Supplementaire,(IF('01_Input'!$L$72="Forfait",IF(CF$20&gt;='01_Input'!$J$72,'01_Input'!$M$72,0),IF('01_Input'!$L$72="Palier",IF(AND(CF$20&gt;='01_Input'!$J$72,CF$20&lt;'01_Input'!$K$72),'01_Input'!$M$72,0),MAX(MIN(CF$20,'01_Input'!$K$72)-'01_Input'!$J$72,0)*'01_Input'!$M$72))+IF('01_Input'!$P$72="Forfait",IF(CF$20&gt;='01_Input'!$N$72,'01_Input'!$Q$72,0),IF('01_Input'!$P$72="Palier",IF(AND(CF$20&gt;='01_Input'!$N$72,CF$20&lt;'01_Input'!$O$72),'01_Input'!$Q$72,0),MAX(MIN(CF$20,'01_Input'!$O$72)-'01_Input'!$N$72,0)*'01_Input'!$Q$72))+IF('01_Input'!$T$72="Forfait",IF(CF$20&gt;='01_Input'!$R$72,'01_Input'!$U$72,0),IF('01_Input'!$T$72="Palier",IF(AND(CF$20&gt;='01_Input'!$R$72,CF$20&lt;'01_Input'!$S$72),'01_Input'!$U$72,0),MAX(MIN(CF$20,'01_Input'!$S$72)-'01_Input'!$R$72,0)*'01_Input'!$U$72))+IF('01_Input'!$X$72="Forfait",IF(CF$20&gt;='01_Input'!$V$72,'01_Input'!$Y$72,0),IF('01_Input'!$X$72="Palier",IF(AND(CF$20&gt;='01_Input'!$V$72,CF$20&lt;'01_Input'!$W$72),'01_Input'!$Y$72,0),MAX(MIN(CF$20,'01_Input'!$W$72)-'01_Input'!$V$72,0)*'01_Input'!$Y$72))+IF('01_Input'!$AB$72="Forfait",IF(CF$20&gt;='01_Input'!$Z$72,'01_Input'!$AC$72,0),IF('01_Input'!$AB$72="Palier",IF(AND(CF$20&gt;='01_Input'!$Z$72,CF$20&lt;'01_Input'!$AA$72),'01_Input'!$AC$72,0),MAX(MIN(CF$20,'01_Input'!$AA$72)-'01_Input'!$Z$72,0)*'01_Input'!$AC$72)))))))))</f>
        <v>0</v>
      </c>
      <c r="CG40" s="83">
        <f>IF('01_Input'!$C$72="Non",0,MIN('01_Input'!$I$72,MAX('01_Input'!$H$72,IF('01_Input'!$G$72="Résiduel vs Gestion",0,IF('01_Input'!$G$72="Taux Classe sélectionnée",Distrib_Global_Classe_Selectionnee*CG$20,IF('01_Input'!$G$72="Frais KYC (paliers de 100M€)",MAX(0,Nb_Investisseurs-Nb_KYC_Gratuites_Par_Tranche*(FLOOR(CG$20/Taille_Tranche_KYC,1)+1))*Cout_Par_KYC_Supplementaire,(IF('01_Input'!$L$72="Forfait",IF(CG$20&gt;='01_Input'!$J$72,'01_Input'!$M$72,0),IF('01_Input'!$L$72="Palier",IF(AND(CG$20&gt;='01_Input'!$J$72,CG$20&lt;'01_Input'!$K$72),'01_Input'!$M$72,0),MAX(MIN(CG$20,'01_Input'!$K$72)-'01_Input'!$J$72,0)*'01_Input'!$M$72))+IF('01_Input'!$P$72="Forfait",IF(CG$20&gt;='01_Input'!$N$72,'01_Input'!$Q$72,0),IF('01_Input'!$P$72="Palier",IF(AND(CG$20&gt;='01_Input'!$N$72,CG$20&lt;'01_Input'!$O$72),'01_Input'!$Q$72,0),MAX(MIN(CG$20,'01_Input'!$O$72)-'01_Input'!$N$72,0)*'01_Input'!$Q$72))+IF('01_Input'!$T$72="Forfait",IF(CG$20&gt;='01_Input'!$R$72,'01_Input'!$U$72,0),IF('01_Input'!$T$72="Palier",IF(AND(CG$20&gt;='01_Input'!$R$72,CG$20&lt;'01_Input'!$S$72),'01_Input'!$U$72,0),MAX(MIN(CG$20,'01_Input'!$S$72)-'01_Input'!$R$72,0)*'01_Input'!$U$72))+IF('01_Input'!$X$72="Forfait",IF(CG$20&gt;='01_Input'!$V$72,'01_Input'!$Y$72,0),IF('01_Input'!$X$72="Palier",IF(AND(CG$20&gt;='01_Input'!$V$72,CG$20&lt;'01_Input'!$W$72),'01_Input'!$Y$72,0),MAX(MIN(CG$20,'01_Input'!$W$72)-'01_Input'!$V$72,0)*'01_Input'!$Y$72))+IF('01_Input'!$AB$72="Forfait",IF(CG$20&gt;='01_Input'!$Z$72,'01_Input'!$AC$72,0),IF('01_Input'!$AB$72="Palier",IF(AND(CG$20&gt;='01_Input'!$Z$72,CG$20&lt;'01_Input'!$AA$72),'01_Input'!$AC$72,0),MAX(MIN(CG$20,'01_Input'!$AA$72)-'01_Input'!$Z$72,0)*'01_Input'!$AC$72)))))))))</f>
        <v>0</v>
      </c>
      <c r="CH40" s="83">
        <f>IF('01_Input'!$C$72="Non",0,MIN('01_Input'!$I$72,MAX('01_Input'!$H$72,IF('01_Input'!$G$72="Résiduel vs Gestion",0,IF('01_Input'!$G$72="Taux Classe sélectionnée",Distrib_Global_Classe_Selectionnee*CH$20,IF('01_Input'!$G$72="Frais KYC (paliers de 100M€)",MAX(0,Nb_Investisseurs-Nb_KYC_Gratuites_Par_Tranche*(FLOOR(CH$20/Taille_Tranche_KYC,1)+1))*Cout_Par_KYC_Supplementaire,(IF('01_Input'!$L$72="Forfait",IF(CH$20&gt;='01_Input'!$J$72,'01_Input'!$M$72,0),IF('01_Input'!$L$72="Palier",IF(AND(CH$20&gt;='01_Input'!$J$72,CH$20&lt;'01_Input'!$K$72),'01_Input'!$M$72,0),MAX(MIN(CH$20,'01_Input'!$K$72)-'01_Input'!$J$72,0)*'01_Input'!$M$72))+IF('01_Input'!$P$72="Forfait",IF(CH$20&gt;='01_Input'!$N$72,'01_Input'!$Q$72,0),IF('01_Input'!$P$72="Palier",IF(AND(CH$20&gt;='01_Input'!$N$72,CH$20&lt;'01_Input'!$O$72),'01_Input'!$Q$72,0),MAX(MIN(CH$20,'01_Input'!$O$72)-'01_Input'!$N$72,0)*'01_Input'!$Q$72))+IF('01_Input'!$T$72="Forfait",IF(CH$20&gt;='01_Input'!$R$72,'01_Input'!$U$72,0),IF('01_Input'!$T$72="Palier",IF(AND(CH$20&gt;='01_Input'!$R$72,CH$20&lt;'01_Input'!$S$72),'01_Input'!$U$72,0),MAX(MIN(CH$20,'01_Input'!$S$72)-'01_Input'!$R$72,0)*'01_Input'!$U$72))+IF('01_Input'!$X$72="Forfait",IF(CH$20&gt;='01_Input'!$V$72,'01_Input'!$Y$72,0),IF('01_Input'!$X$72="Palier",IF(AND(CH$20&gt;='01_Input'!$V$72,CH$20&lt;'01_Input'!$W$72),'01_Input'!$Y$72,0),MAX(MIN(CH$20,'01_Input'!$W$72)-'01_Input'!$V$72,0)*'01_Input'!$Y$72))+IF('01_Input'!$AB$72="Forfait",IF(CH$20&gt;='01_Input'!$Z$72,'01_Input'!$AC$72,0),IF('01_Input'!$AB$72="Palier",IF(AND(CH$20&gt;='01_Input'!$Z$72,CH$20&lt;'01_Input'!$AA$72),'01_Input'!$AC$72,0),MAX(MIN(CH$20,'01_Input'!$AA$72)-'01_Input'!$Z$72,0)*'01_Input'!$AC$72)))))))))</f>
        <v>0</v>
      </c>
      <c r="CI40" s="83">
        <f>IF('01_Input'!$C$72="Non",0,MIN('01_Input'!$I$72,MAX('01_Input'!$H$72,IF('01_Input'!$G$72="Résiduel vs Gestion",0,IF('01_Input'!$G$72="Taux Classe sélectionnée",Distrib_Global_Classe_Selectionnee*CI$20,IF('01_Input'!$G$72="Frais KYC (paliers de 100M€)",MAX(0,Nb_Investisseurs-Nb_KYC_Gratuites_Par_Tranche*(FLOOR(CI$20/Taille_Tranche_KYC,1)+1))*Cout_Par_KYC_Supplementaire,(IF('01_Input'!$L$72="Forfait",IF(CI$20&gt;='01_Input'!$J$72,'01_Input'!$M$72,0),IF('01_Input'!$L$72="Palier",IF(AND(CI$20&gt;='01_Input'!$J$72,CI$20&lt;'01_Input'!$K$72),'01_Input'!$M$72,0),MAX(MIN(CI$20,'01_Input'!$K$72)-'01_Input'!$J$72,0)*'01_Input'!$M$72))+IF('01_Input'!$P$72="Forfait",IF(CI$20&gt;='01_Input'!$N$72,'01_Input'!$Q$72,0),IF('01_Input'!$P$72="Palier",IF(AND(CI$20&gt;='01_Input'!$N$72,CI$20&lt;'01_Input'!$O$72),'01_Input'!$Q$72,0),MAX(MIN(CI$20,'01_Input'!$O$72)-'01_Input'!$N$72,0)*'01_Input'!$Q$72))+IF('01_Input'!$T$72="Forfait",IF(CI$20&gt;='01_Input'!$R$72,'01_Input'!$U$72,0),IF('01_Input'!$T$72="Palier",IF(AND(CI$20&gt;='01_Input'!$R$72,CI$20&lt;'01_Input'!$S$72),'01_Input'!$U$72,0),MAX(MIN(CI$20,'01_Input'!$S$72)-'01_Input'!$R$72,0)*'01_Input'!$U$72))+IF('01_Input'!$X$72="Forfait",IF(CI$20&gt;='01_Input'!$V$72,'01_Input'!$Y$72,0),IF('01_Input'!$X$72="Palier",IF(AND(CI$20&gt;='01_Input'!$V$72,CI$20&lt;'01_Input'!$W$72),'01_Input'!$Y$72,0),MAX(MIN(CI$20,'01_Input'!$W$72)-'01_Input'!$V$72,0)*'01_Input'!$Y$72))+IF('01_Input'!$AB$72="Forfait",IF(CI$20&gt;='01_Input'!$Z$72,'01_Input'!$AC$72,0),IF('01_Input'!$AB$72="Palier",IF(AND(CI$20&gt;='01_Input'!$Z$72,CI$20&lt;'01_Input'!$AA$72),'01_Input'!$AC$72,0),MAX(MIN(CI$20,'01_Input'!$AA$72)-'01_Input'!$Z$72,0)*'01_Input'!$AC$72)))))))))</f>
        <v>0</v>
      </c>
      <c r="CJ40" s="83">
        <f>IF('01_Input'!$C$72="Non",0,MIN('01_Input'!$I$72,MAX('01_Input'!$H$72,IF('01_Input'!$G$72="Résiduel vs Gestion",0,IF('01_Input'!$G$72="Taux Classe sélectionnée",Distrib_Global_Classe_Selectionnee*CJ$20,IF('01_Input'!$G$72="Frais KYC (paliers de 100M€)",MAX(0,Nb_Investisseurs-Nb_KYC_Gratuites_Par_Tranche*(FLOOR(CJ$20/Taille_Tranche_KYC,1)+1))*Cout_Par_KYC_Supplementaire,(IF('01_Input'!$L$72="Forfait",IF(CJ$20&gt;='01_Input'!$J$72,'01_Input'!$M$72,0),IF('01_Input'!$L$72="Palier",IF(AND(CJ$20&gt;='01_Input'!$J$72,CJ$20&lt;'01_Input'!$K$72),'01_Input'!$M$72,0),MAX(MIN(CJ$20,'01_Input'!$K$72)-'01_Input'!$J$72,0)*'01_Input'!$M$72))+IF('01_Input'!$P$72="Forfait",IF(CJ$20&gt;='01_Input'!$N$72,'01_Input'!$Q$72,0),IF('01_Input'!$P$72="Palier",IF(AND(CJ$20&gt;='01_Input'!$N$72,CJ$20&lt;'01_Input'!$O$72),'01_Input'!$Q$72,0),MAX(MIN(CJ$20,'01_Input'!$O$72)-'01_Input'!$N$72,0)*'01_Input'!$Q$72))+IF('01_Input'!$T$72="Forfait",IF(CJ$20&gt;='01_Input'!$R$72,'01_Input'!$U$72,0),IF('01_Input'!$T$72="Palier",IF(AND(CJ$20&gt;='01_Input'!$R$72,CJ$20&lt;'01_Input'!$S$72),'01_Input'!$U$72,0),MAX(MIN(CJ$20,'01_Input'!$S$72)-'01_Input'!$R$72,0)*'01_Input'!$U$72))+IF('01_Input'!$X$72="Forfait",IF(CJ$20&gt;='01_Input'!$V$72,'01_Input'!$Y$72,0),IF('01_Input'!$X$72="Palier",IF(AND(CJ$20&gt;='01_Input'!$V$72,CJ$20&lt;'01_Input'!$W$72),'01_Input'!$Y$72,0),MAX(MIN(CJ$20,'01_Input'!$W$72)-'01_Input'!$V$72,0)*'01_Input'!$Y$72))+IF('01_Input'!$AB$72="Forfait",IF(CJ$20&gt;='01_Input'!$Z$72,'01_Input'!$AC$72,0),IF('01_Input'!$AB$72="Palier",IF(AND(CJ$20&gt;='01_Input'!$Z$72,CJ$20&lt;'01_Input'!$AA$72),'01_Input'!$AC$72,0),MAX(MIN(CJ$20,'01_Input'!$AA$72)-'01_Input'!$Z$72,0)*'01_Input'!$AC$72)))))))))</f>
        <v>0</v>
      </c>
      <c r="CK40" s="83">
        <f>IF('01_Input'!$C$72="Non",0,MIN('01_Input'!$I$72,MAX('01_Input'!$H$72,IF('01_Input'!$G$72="Résiduel vs Gestion",0,IF('01_Input'!$G$72="Taux Classe sélectionnée",Distrib_Global_Classe_Selectionnee*CK$20,IF('01_Input'!$G$72="Frais KYC (paliers de 100M€)",MAX(0,Nb_Investisseurs-Nb_KYC_Gratuites_Par_Tranche*(FLOOR(CK$20/Taille_Tranche_KYC,1)+1))*Cout_Par_KYC_Supplementaire,(IF('01_Input'!$L$72="Forfait",IF(CK$20&gt;='01_Input'!$J$72,'01_Input'!$M$72,0),IF('01_Input'!$L$72="Palier",IF(AND(CK$20&gt;='01_Input'!$J$72,CK$20&lt;'01_Input'!$K$72),'01_Input'!$M$72,0),MAX(MIN(CK$20,'01_Input'!$K$72)-'01_Input'!$J$72,0)*'01_Input'!$M$72))+IF('01_Input'!$P$72="Forfait",IF(CK$20&gt;='01_Input'!$N$72,'01_Input'!$Q$72,0),IF('01_Input'!$P$72="Palier",IF(AND(CK$20&gt;='01_Input'!$N$72,CK$20&lt;'01_Input'!$O$72),'01_Input'!$Q$72,0),MAX(MIN(CK$20,'01_Input'!$O$72)-'01_Input'!$N$72,0)*'01_Input'!$Q$72))+IF('01_Input'!$T$72="Forfait",IF(CK$20&gt;='01_Input'!$R$72,'01_Input'!$U$72,0),IF('01_Input'!$T$72="Palier",IF(AND(CK$20&gt;='01_Input'!$R$72,CK$20&lt;'01_Input'!$S$72),'01_Input'!$U$72,0),MAX(MIN(CK$20,'01_Input'!$S$72)-'01_Input'!$R$72,0)*'01_Input'!$U$72))+IF('01_Input'!$X$72="Forfait",IF(CK$20&gt;='01_Input'!$V$72,'01_Input'!$Y$72,0),IF('01_Input'!$X$72="Palier",IF(AND(CK$20&gt;='01_Input'!$V$72,CK$20&lt;'01_Input'!$W$72),'01_Input'!$Y$72,0),MAX(MIN(CK$20,'01_Input'!$W$72)-'01_Input'!$V$72,0)*'01_Input'!$Y$72))+IF('01_Input'!$AB$72="Forfait",IF(CK$20&gt;='01_Input'!$Z$72,'01_Input'!$AC$72,0),IF('01_Input'!$AB$72="Palier",IF(AND(CK$20&gt;='01_Input'!$Z$72,CK$20&lt;'01_Input'!$AA$72),'01_Input'!$AC$72,0),MAX(MIN(CK$20,'01_Input'!$AA$72)-'01_Input'!$Z$72,0)*'01_Input'!$AC$72)))))))))</f>
        <v>0</v>
      </c>
      <c r="CL40" s="83">
        <f>IF('01_Input'!$C$72="Non",0,MIN('01_Input'!$I$72,MAX('01_Input'!$H$72,IF('01_Input'!$G$72="Résiduel vs Gestion",0,IF('01_Input'!$G$72="Taux Classe sélectionnée",Distrib_Global_Classe_Selectionnee*CL$20,IF('01_Input'!$G$72="Frais KYC (paliers de 100M€)",MAX(0,Nb_Investisseurs-Nb_KYC_Gratuites_Par_Tranche*(FLOOR(CL$20/Taille_Tranche_KYC,1)+1))*Cout_Par_KYC_Supplementaire,(IF('01_Input'!$L$72="Forfait",IF(CL$20&gt;='01_Input'!$J$72,'01_Input'!$M$72,0),IF('01_Input'!$L$72="Palier",IF(AND(CL$20&gt;='01_Input'!$J$72,CL$20&lt;'01_Input'!$K$72),'01_Input'!$M$72,0),MAX(MIN(CL$20,'01_Input'!$K$72)-'01_Input'!$J$72,0)*'01_Input'!$M$72))+IF('01_Input'!$P$72="Forfait",IF(CL$20&gt;='01_Input'!$N$72,'01_Input'!$Q$72,0),IF('01_Input'!$P$72="Palier",IF(AND(CL$20&gt;='01_Input'!$N$72,CL$20&lt;'01_Input'!$O$72),'01_Input'!$Q$72,0),MAX(MIN(CL$20,'01_Input'!$O$72)-'01_Input'!$N$72,0)*'01_Input'!$Q$72))+IF('01_Input'!$T$72="Forfait",IF(CL$20&gt;='01_Input'!$R$72,'01_Input'!$U$72,0),IF('01_Input'!$T$72="Palier",IF(AND(CL$20&gt;='01_Input'!$R$72,CL$20&lt;'01_Input'!$S$72),'01_Input'!$U$72,0),MAX(MIN(CL$20,'01_Input'!$S$72)-'01_Input'!$R$72,0)*'01_Input'!$U$72))+IF('01_Input'!$X$72="Forfait",IF(CL$20&gt;='01_Input'!$V$72,'01_Input'!$Y$72,0),IF('01_Input'!$X$72="Palier",IF(AND(CL$20&gt;='01_Input'!$V$72,CL$20&lt;'01_Input'!$W$72),'01_Input'!$Y$72,0),MAX(MIN(CL$20,'01_Input'!$W$72)-'01_Input'!$V$72,0)*'01_Input'!$Y$72))+IF('01_Input'!$AB$72="Forfait",IF(CL$20&gt;='01_Input'!$Z$72,'01_Input'!$AC$72,0),IF('01_Input'!$AB$72="Palier",IF(AND(CL$20&gt;='01_Input'!$Z$72,CL$20&lt;'01_Input'!$AA$72),'01_Input'!$AC$72,0),MAX(MIN(CL$20,'01_Input'!$AA$72)-'01_Input'!$Z$72,0)*'01_Input'!$AC$72)))))))))</f>
        <v>0</v>
      </c>
      <c r="CM40" s="83">
        <f>IF('01_Input'!$C$72="Non",0,MIN('01_Input'!$I$72,MAX('01_Input'!$H$72,IF('01_Input'!$G$72="Résiduel vs Gestion",0,IF('01_Input'!$G$72="Taux Classe sélectionnée",Distrib_Global_Classe_Selectionnee*CM$20,IF('01_Input'!$G$72="Frais KYC (paliers de 100M€)",MAX(0,Nb_Investisseurs-Nb_KYC_Gratuites_Par_Tranche*(FLOOR(CM$20/Taille_Tranche_KYC,1)+1))*Cout_Par_KYC_Supplementaire,(IF('01_Input'!$L$72="Forfait",IF(CM$20&gt;='01_Input'!$J$72,'01_Input'!$M$72,0),IF('01_Input'!$L$72="Palier",IF(AND(CM$20&gt;='01_Input'!$J$72,CM$20&lt;'01_Input'!$K$72),'01_Input'!$M$72,0),MAX(MIN(CM$20,'01_Input'!$K$72)-'01_Input'!$J$72,0)*'01_Input'!$M$72))+IF('01_Input'!$P$72="Forfait",IF(CM$20&gt;='01_Input'!$N$72,'01_Input'!$Q$72,0),IF('01_Input'!$P$72="Palier",IF(AND(CM$20&gt;='01_Input'!$N$72,CM$20&lt;'01_Input'!$O$72),'01_Input'!$Q$72,0),MAX(MIN(CM$20,'01_Input'!$O$72)-'01_Input'!$N$72,0)*'01_Input'!$Q$72))+IF('01_Input'!$T$72="Forfait",IF(CM$20&gt;='01_Input'!$R$72,'01_Input'!$U$72,0),IF('01_Input'!$T$72="Palier",IF(AND(CM$20&gt;='01_Input'!$R$72,CM$20&lt;'01_Input'!$S$72),'01_Input'!$U$72,0),MAX(MIN(CM$20,'01_Input'!$S$72)-'01_Input'!$R$72,0)*'01_Input'!$U$72))+IF('01_Input'!$X$72="Forfait",IF(CM$20&gt;='01_Input'!$V$72,'01_Input'!$Y$72,0),IF('01_Input'!$X$72="Palier",IF(AND(CM$20&gt;='01_Input'!$V$72,CM$20&lt;'01_Input'!$W$72),'01_Input'!$Y$72,0),MAX(MIN(CM$20,'01_Input'!$W$72)-'01_Input'!$V$72,0)*'01_Input'!$Y$72))+IF('01_Input'!$AB$72="Forfait",IF(CM$20&gt;='01_Input'!$Z$72,'01_Input'!$AC$72,0),IF('01_Input'!$AB$72="Palier",IF(AND(CM$20&gt;='01_Input'!$Z$72,CM$20&lt;'01_Input'!$AA$72),'01_Input'!$AC$72,0),MAX(MIN(CM$20,'01_Input'!$AA$72)-'01_Input'!$Z$72,0)*'01_Input'!$AC$72)))))))))</f>
        <v>0</v>
      </c>
      <c r="CN40" s="83">
        <f>IF('01_Input'!$C$72="Non",0,MIN('01_Input'!$I$72,MAX('01_Input'!$H$72,IF('01_Input'!$G$72="Résiduel vs Gestion",0,IF('01_Input'!$G$72="Taux Classe sélectionnée",Distrib_Global_Classe_Selectionnee*CN$20,IF('01_Input'!$G$72="Frais KYC (paliers de 100M€)",MAX(0,Nb_Investisseurs-Nb_KYC_Gratuites_Par_Tranche*(FLOOR(CN$20/Taille_Tranche_KYC,1)+1))*Cout_Par_KYC_Supplementaire,(IF('01_Input'!$L$72="Forfait",IF(CN$20&gt;='01_Input'!$J$72,'01_Input'!$M$72,0),IF('01_Input'!$L$72="Palier",IF(AND(CN$20&gt;='01_Input'!$J$72,CN$20&lt;'01_Input'!$K$72),'01_Input'!$M$72,0),MAX(MIN(CN$20,'01_Input'!$K$72)-'01_Input'!$J$72,0)*'01_Input'!$M$72))+IF('01_Input'!$P$72="Forfait",IF(CN$20&gt;='01_Input'!$N$72,'01_Input'!$Q$72,0),IF('01_Input'!$P$72="Palier",IF(AND(CN$20&gt;='01_Input'!$N$72,CN$20&lt;'01_Input'!$O$72),'01_Input'!$Q$72,0),MAX(MIN(CN$20,'01_Input'!$O$72)-'01_Input'!$N$72,0)*'01_Input'!$Q$72))+IF('01_Input'!$T$72="Forfait",IF(CN$20&gt;='01_Input'!$R$72,'01_Input'!$U$72,0),IF('01_Input'!$T$72="Palier",IF(AND(CN$20&gt;='01_Input'!$R$72,CN$20&lt;'01_Input'!$S$72),'01_Input'!$U$72,0),MAX(MIN(CN$20,'01_Input'!$S$72)-'01_Input'!$R$72,0)*'01_Input'!$U$72))+IF('01_Input'!$X$72="Forfait",IF(CN$20&gt;='01_Input'!$V$72,'01_Input'!$Y$72,0),IF('01_Input'!$X$72="Palier",IF(AND(CN$20&gt;='01_Input'!$V$72,CN$20&lt;'01_Input'!$W$72),'01_Input'!$Y$72,0),MAX(MIN(CN$20,'01_Input'!$W$72)-'01_Input'!$V$72,0)*'01_Input'!$Y$72))+IF('01_Input'!$AB$72="Forfait",IF(CN$20&gt;='01_Input'!$Z$72,'01_Input'!$AC$72,0),IF('01_Input'!$AB$72="Palier",IF(AND(CN$20&gt;='01_Input'!$Z$72,CN$20&lt;'01_Input'!$AA$72),'01_Input'!$AC$72,0),MAX(MIN(CN$20,'01_Input'!$AA$72)-'01_Input'!$Z$72,0)*'01_Input'!$AC$72)))))))))</f>
        <v>0</v>
      </c>
      <c r="CO40" s="83">
        <f>IF('01_Input'!$C$72="Non",0,MIN('01_Input'!$I$72,MAX('01_Input'!$H$72,IF('01_Input'!$G$72="Résiduel vs Gestion",0,IF('01_Input'!$G$72="Taux Classe sélectionnée",Distrib_Global_Classe_Selectionnee*CO$20,IF('01_Input'!$G$72="Frais KYC (paliers de 100M€)",MAX(0,Nb_Investisseurs-Nb_KYC_Gratuites_Par_Tranche*(FLOOR(CO$20/Taille_Tranche_KYC,1)+1))*Cout_Par_KYC_Supplementaire,(IF('01_Input'!$L$72="Forfait",IF(CO$20&gt;='01_Input'!$J$72,'01_Input'!$M$72,0),IF('01_Input'!$L$72="Palier",IF(AND(CO$20&gt;='01_Input'!$J$72,CO$20&lt;'01_Input'!$K$72),'01_Input'!$M$72,0),MAX(MIN(CO$20,'01_Input'!$K$72)-'01_Input'!$J$72,0)*'01_Input'!$M$72))+IF('01_Input'!$P$72="Forfait",IF(CO$20&gt;='01_Input'!$N$72,'01_Input'!$Q$72,0),IF('01_Input'!$P$72="Palier",IF(AND(CO$20&gt;='01_Input'!$N$72,CO$20&lt;'01_Input'!$O$72),'01_Input'!$Q$72,0),MAX(MIN(CO$20,'01_Input'!$O$72)-'01_Input'!$N$72,0)*'01_Input'!$Q$72))+IF('01_Input'!$T$72="Forfait",IF(CO$20&gt;='01_Input'!$R$72,'01_Input'!$U$72,0),IF('01_Input'!$T$72="Palier",IF(AND(CO$20&gt;='01_Input'!$R$72,CO$20&lt;'01_Input'!$S$72),'01_Input'!$U$72,0),MAX(MIN(CO$20,'01_Input'!$S$72)-'01_Input'!$R$72,0)*'01_Input'!$U$72))+IF('01_Input'!$X$72="Forfait",IF(CO$20&gt;='01_Input'!$V$72,'01_Input'!$Y$72,0),IF('01_Input'!$X$72="Palier",IF(AND(CO$20&gt;='01_Input'!$V$72,CO$20&lt;'01_Input'!$W$72),'01_Input'!$Y$72,0),MAX(MIN(CO$20,'01_Input'!$W$72)-'01_Input'!$V$72,0)*'01_Input'!$Y$72))+IF('01_Input'!$AB$72="Forfait",IF(CO$20&gt;='01_Input'!$Z$72,'01_Input'!$AC$72,0),IF('01_Input'!$AB$72="Palier",IF(AND(CO$20&gt;='01_Input'!$Z$72,CO$20&lt;'01_Input'!$AA$72),'01_Input'!$AC$72,0),MAX(MIN(CO$20,'01_Input'!$AA$72)-'01_Input'!$Z$72,0)*'01_Input'!$AC$72)))))))))</f>
        <v>0</v>
      </c>
      <c r="CP40" s="83">
        <f>IF('01_Input'!$C$72="Non",0,MIN('01_Input'!$I$72,MAX('01_Input'!$H$72,IF('01_Input'!$G$72="Résiduel vs Gestion",0,IF('01_Input'!$G$72="Taux Classe sélectionnée",Distrib_Global_Classe_Selectionnee*CP$20,IF('01_Input'!$G$72="Frais KYC (paliers de 100M€)",MAX(0,Nb_Investisseurs-Nb_KYC_Gratuites_Par_Tranche*(FLOOR(CP$20/Taille_Tranche_KYC,1)+1))*Cout_Par_KYC_Supplementaire,(IF('01_Input'!$L$72="Forfait",IF(CP$20&gt;='01_Input'!$J$72,'01_Input'!$M$72,0),IF('01_Input'!$L$72="Palier",IF(AND(CP$20&gt;='01_Input'!$J$72,CP$20&lt;'01_Input'!$K$72),'01_Input'!$M$72,0),MAX(MIN(CP$20,'01_Input'!$K$72)-'01_Input'!$J$72,0)*'01_Input'!$M$72))+IF('01_Input'!$P$72="Forfait",IF(CP$20&gt;='01_Input'!$N$72,'01_Input'!$Q$72,0),IF('01_Input'!$P$72="Palier",IF(AND(CP$20&gt;='01_Input'!$N$72,CP$20&lt;'01_Input'!$O$72),'01_Input'!$Q$72,0),MAX(MIN(CP$20,'01_Input'!$O$72)-'01_Input'!$N$72,0)*'01_Input'!$Q$72))+IF('01_Input'!$T$72="Forfait",IF(CP$20&gt;='01_Input'!$R$72,'01_Input'!$U$72,0),IF('01_Input'!$T$72="Palier",IF(AND(CP$20&gt;='01_Input'!$R$72,CP$20&lt;'01_Input'!$S$72),'01_Input'!$U$72,0),MAX(MIN(CP$20,'01_Input'!$S$72)-'01_Input'!$R$72,0)*'01_Input'!$U$72))+IF('01_Input'!$X$72="Forfait",IF(CP$20&gt;='01_Input'!$V$72,'01_Input'!$Y$72,0),IF('01_Input'!$X$72="Palier",IF(AND(CP$20&gt;='01_Input'!$V$72,CP$20&lt;'01_Input'!$W$72),'01_Input'!$Y$72,0),MAX(MIN(CP$20,'01_Input'!$W$72)-'01_Input'!$V$72,0)*'01_Input'!$Y$72))+IF('01_Input'!$AB$72="Forfait",IF(CP$20&gt;='01_Input'!$Z$72,'01_Input'!$AC$72,0),IF('01_Input'!$AB$72="Palier",IF(AND(CP$20&gt;='01_Input'!$Z$72,CP$20&lt;'01_Input'!$AA$72),'01_Input'!$AC$72,0),MAX(MIN(CP$20,'01_Input'!$AA$72)-'01_Input'!$Z$72,0)*'01_Input'!$AC$72)))))))))</f>
        <v>0</v>
      </c>
      <c r="CQ40" s="83">
        <f>IF('01_Input'!$C$72="Non",0,MIN('01_Input'!$I$72,MAX('01_Input'!$H$72,IF('01_Input'!$G$72="Résiduel vs Gestion",0,IF('01_Input'!$G$72="Taux Classe sélectionnée",Distrib_Global_Classe_Selectionnee*CQ$20,IF('01_Input'!$G$72="Frais KYC (paliers de 100M€)",MAX(0,Nb_Investisseurs-Nb_KYC_Gratuites_Par_Tranche*(FLOOR(CQ$20/Taille_Tranche_KYC,1)+1))*Cout_Par_KYC_Supplementaire,(IF('01_Input'!$L$72="Forfait",IF(CQ$20&gt;='01_Input'!$J$72,'01_Input'!$M$72,0),IF('01_Input'!$L$72="Palier",IF(AND(CQ$20&gt;='01_Input'!$J$72,CQ$20&lt;'01_Input'!$K$72),'01_Input'!$M$72,0),MAX(MIN(CQ$20,'01_Input'!$K$72)-'01_Input'!$J$72,0)*'01_Input'!$M$72))+IF('01_Input'!$P$72="Forfait",IF(CQ$20&gt;='01_Input'!$N$72,'01_Input'!$Q$72,0),IF('01_Input'!$P$72="Palier",IF(AND(CQ$20&gt;='01_Input'!$N$72,CQ$20&lt;'01_Input'!$O$72),'01_Input'!$Q$72,0),MAX(MIN(CQ$20,'01_Input'!$O$72)-'01_Input'!$N$72,0)*'01_Input'!$Q$72))+IF('01_Input'!$T$72="Forfait",IF(CQ$20&gt;='01_Input'!$R$72,'01_Input'!$U$72,0),IF('01_Input'!$T$72="Palier",IF(AND(CQ$20&gt;='01_Input'!$R$72,CQ$20&lt;'01_Input'!$S$72),'01_Input'!$U$72,0),MAX(MIN(CQ$20,'01_Input'!$S$72)-'01_Input'!$R$72,0)*'01_Input'!$U$72))+IF('01_Input'!$X$72="Forfait",IF(CQ$20&gt;='01_Input'!$V$72,'01_Input'!$Y$72,0),IF('01_Input'!$X$72="Palier",IF(AND(CQ$20&gt;='01_Input'!$V$72,CQ$20&lt;'01_Input'!$W$72),'01_Input'!$Y$72,0),MAX(MIN(CQ$20,'01_Input'!$W$72)-'01_Input'!$V$72,0)*'01_Input'!$Y$72))+IF('01_Input'!$AB$72="Forfait",IF(CQ$20&gt;='01_Input'!$Z$72,'01_Input'!$AC$72,0),IF('01_Input'!$AB$72="Palier",IF(AND(CQ$20&gt;='01_Input'!$Z$72,CQ$20&lt;'01_Input'!$AA$72),'01_Input'!$AC$72,0),MAX(MIN(CQ$20,'01_Input'!$AA$72)-'01_Input'!$Z$72,0)*'01_Input'!$AC$72)))))))))</f>
        <v>0</v>
      </c>
      <c r="CR40" s="83">
        <f>IF('01_Input'!$C$72="Non",0,MIN('01_Input'!$I$72,MAX('01_Input'!$H$72,IF('01_Input'!$G$72="Résiduel vs Gestion",0,IF('01_Input'!$G$72="Taux Classe sélectionnée",Distrib_Global_Classe_Selectionnee*CR$20,IF('01_Input'!$G$72="Frais KYC (paliers de 100M€)",MAX(0,Nb_Investisseurs-Nb_KYC_Gratuites_Par_Tranche*(FLOOR(CR$20/Taille_Tranche_KYC,1)+1))*Cout_Par_KYC_Supplementaire,(IF('01_Input'!$L$72="Forfait",IF(CR$20&gt;='01_Input'!$J$72,'01_Input'!$M$72,0),IF('01_Input'!$L$72="Palier",IF(AND(CR$20&gt;='01_Input'!$J$72,CR$20&lt;'01_Input'!$K$72),'01_Input'!$M$72,0),MAX(MIN(CR$20,'01_Input'!$K$72)-'01_Input'!$J$72,0)*'01_Input'!$M$72))+IF('01_Input'!$P$72="Forfait",IF(CR$20&gt;='01_Input'!$N$72,'01_Input'!$Q$72,0),IF('01_Input'!$P$72="Palier",IF(AND(CR$20&gt;='01_Input'!$N$72,CR$20&lt;'01_Input'!$O$72),'01_Input'!$Q$72,0),MAX(MIN(CR$20,'01_Input'!$O$72)-'01_Input'!$N$72,0)*'01_Input'!$Q$72))+IF('01_Input'!$T$72="Forfait",IF(CR$20&gt;='01_Input'!$R$72,'01_Input'!$U$72,0),IF('01_Input'!$T$72="Palier",IF(AND(CR$20&gt;='01_Input'!$R$72,CR$20&lt;'01_Input'!$S$72),'01_Input'!$U$72,0),MAX(MIN(CR$20,'01_Input'!$S$72)-'01_Input'!$R$72,0)*'01_Input'!$U$72))+IF('01_Input'!$X$72="Forfait",IF(CR$20&gt;='01_Input'!$V$72,'01_Input'!$Y$72,0),IF('01_Input'!$X$72="Palier",IF(AND(CR$20&gt;='01_Input'!$V$72,CR$20&lt;'01_Input'!$W$72),'01_Input'!$Y$72,0),MAX(MIN(CR$20,'01_Input'!$W$72)-'01_Input'!$V$72,0)*'01_Input'!$Y$72))+IF('01_Input'!$AB$72="Forfait",IF(CR$20&gt;='01_Input'!$Z$72,'01_Input'!$AC$72,0),IF('01_Input'!$AB$72="Palier",IF(AND(CR$20&gt;='01_Input'!$Z$72,CR$20&lt;'01_Input'!$AA$72),'01_Input'!$AC$72,0),MAX(MIN(CR$20,'01_Input'!$AA$72)-'01_Input'!$Z$72,0)*'01_Input'!$AC$72)))))))))</f>
        <v>0</v>
      </c>
      <c r="CS40" s="83">
        <f>IF('01_Input'!$C$72="Non",0,MIN('01_Input'!$I$72,MAX('01_Input'!$H$72,IF('01_Input'!$G$72="Résiduel vs Gestion",0,IF('01_Input'!$G$72="Taux Classe sélectionnée",Distrib_Global_Classe_Selectionnee*CS$20,IF('01_Input'!$G$72="Frais KYC (paliers de 100M€)",MAX(0,Nb_Investisseurs-Nb_KYC_Gratuites_Par_Tranche*(FLOOR(CS$20/Taille_Tranche_KYC,1)+1))*Cout_Par_KYC_Supplementaire,(IF('01_Input'!$L$72="Forfait",IF(CS$20&gt;='01_Input'!$J$72,'01_Input'!$M$72,0),IF('01_Input'!$L$72="Palier",IF(AND(CS$20&gt;='01_Input'!$J$72,CS$20&lt;'01_Input'!$K$72),'01_Input'!$M$72,0),MAX(MIN(CS$20,'01_Input'!$K$72)-'01_Input'!$J$72,0)*'01_Input'!$M$72))+IF('01_Input'!$P$72="Forfait",IF(CS$20&gt;='01_Input'!$N$72,'01_Input'!$Q$72,0),IF('01_Input'!$P$72="Palier",IF(AND(CS$20&gt;='01_Input'!$N$72,CS$20&lt;'01_Input'!$O$72),'01_Input'!$Q$72,0),MAX(MIN(CS$20,'01_Input'!$O$72)-'01_Input'!$N$72,0)*'01_Input'!$Q$72))+IF('01_Input'!$T$72="Forfait",IF(CS$20&gt;='01_Input'!$R$72,'01_Input'!$U$72,0),IF('01_Input'!$T$72="Palier",IF(AND(CS$20&gt;='01_Input'!$R$72,CS$20&lt;'01_Input'!$S$72),'01_Input'!$U$72,0),MAX(MIN(CS$20,'01_Input'!$S$72)-'01_Input'!$R$72,0)*'01_Input'!$U$72))+IF('01_Input'!$X$72="Forfait",IF(CS$20&gt;='01_Input'!$V$72,'01_Input'!$Y$72,0),IF('01_Input'!$X$72="Palier",IF(AND(CS$20&gt;='01_Input'!$V$72,CS$20&lt;'01_Input'!$W$72),'01_Input'!$Y$72,0),MAX(MIN(CS$20,'01_Input'!$W$72)-'01_Input'!$V$72,0)*'01_Input'!$Y$72))+IF('01_Input'!$AB$72="Forfait",IF(CS$20&gt;='01_Input'!$Z$72,'01_Input'!$AC$72,0),IF('01_Input'!$AB$72="Palier",IF(AND(CS$20&gt;='01_Input'!$Z$72,CS$20&lt;'01_Input'!$AA$72),'01_Input'!$AC$72,0),MAX(MIN(CS$20,'01_Input'!$AA$72)-'01_Input'!$Z$72,0)*'01_Input'!$AC$72)))))))))</f>
        <v>0</v>
      </c>
      <c r="CT40" s="83">
        <f>IF('01_Input'!$C$72="Non",0,MIN('01_Input'!$I$72,MAX('01_Input'!$H$72,IF('01_Input'!$G$72="Résiduel vs Gestion",0,IF('01_Input'!$G$72="Taux Classe sélectionnée",Distrib_Global_Classe_Selectionnee*CT$20,IF('01_Input'!$G$72="Frais KYC (paliers de 100M€)",MAX(0,Nb_Investisseurs-Nb_KYC_Gratuites_Par_Tranche*(FLOOR(CT$20/Taille_Tranche_KYC,1)+1))*Cout_Par_KYC_Supplementaire,(IF('01_Input'!$L$72="Forfait",IF(CT$20&gt;='01_Input'!$J$72,'01_Input'!$M$72,0),IF('01_Input'!$L$72="Palier",IF(AND(CT$20&gt;='01_Input'!$J$72,CT$20&lt;'01_Input'!$K$72),'01_Input'!$M$72,0),MAX(MIN(CT$20,'01_Input'!$K$72)-'01_Input'!$J$72,0)*'01_Input'!$M$72))+IF('01_Input'!$P$72="Forfait",IF(CT$20&gt;='01_Input'!$N$72,'01_Input'!$Q$72,0),IF('01_Input'!$P$72="Palier",IF(AND(CT$20&gt;='01_Input'!$N$72,CT$20&lt;'01_Input'!$O$72),'01_Input'!$Q$72,0),MAX(MIN(CT$20,'01_Input'!$O$72)-'01_Input'!$N$72,0)*'01_Input'!$Q$72))+IF('01_Input'!$T$72="Forfait",IF(CT$20&gt;='01_Input'!$R$72,'01_Input'!$U$72,0),IF('01_Input'!$T$72="Palier",IF(AND(CT$20&gt;='01_Input'!$R$72,CT$20&lt;'01_Input'!$S$72),'01_Input'!$U$72,0),MAX(MIN(CT$20,'01_Input'!$S$72)-'01_Input'!$R$72,0)*'01_Input'!$U$72))+IF('01_Input'!$X$72="Forfait",IF(CT$20&gt;='01_Input'!$V$72,'01_Input'!$Y$72,0),IF('01_Input'!$X$72="Palier",IF(AND(CT$20&gt;='01_Input'!$V$72,CT$20&lt;'01_Input'!$W$72),'01_Input'!$Y$72,0),MAX(MIN(CT$20,'01_Input'!$W$72)-'01_Input'!$V$72,0)*'01_Input'!$Y$72))+IF('01_Input'!$AB$72="Forfait",IF(CT$20&gt;='01_Input'!$Z$72,'01_Input'!$AC$72,0),IF('01_Input'!$AB$72="Palier",IF(AND(CT$20&gt;='01_Input'!$Z$72,CT$20&lt;'01_Input'!$AA$72),'01_Input'!$AC$72,0),MAX(MIN(CT$20,'01_Input'!$AA$72)-'01_Input'!$Z$72,0)*'01_Input'!$AC$72)))))))))</f>
        <v>0</v>
      </c>
      <c r="CU40" s="83">
        <f>IF('01_Input'!$C$72="Non",0,MIN('01_Input'!$I$72,MAX('01_Input'!$H$72,IF('01_Input'!$G$72="Résiduel vs Gestion",0,IF('01_Input'!$G$72="Taux Classe sélectionnée",Distrib_Global_Classe_Selectionnee*CU$20,IF('01_Input'!$G$72="Frais KYC (paliers de 100M€)",MAX(0,Nb_Investisseurs-Nb_KYC_Gratuites_Par_Tranche*(FLOOR(CU$20/Taille_Tranche_KYC,1)+1))*Cout_Par_KYC_Supplementaire,(IF('01_Input'!$L$72="Forfait",IF(CU$20&gt;='01_Input'!$J$72,'01_Input'!$M$72,0),IF('01_Input'!$L$72="Palier",IF(AND(CU$20&gt;='01_Input'!$J$72,CU$20&lt;'01_Input'!$K$72),'01_Input'!$M$72,0),MAX(MIN(CU$20,'01_Input'!$K$72)-'01_Input'!$J$72,0)*'01_Input'!$M$72))+IF('01_Input'!$P$72="Forfait",IF(CU$20&gt;='01_Input'!$N$72,'01_Input'!$Q$72,0),IF('01_Input'!$P$72="Palier",IF(AND(CU$20&gt;='01_Input'!$N$72,CU$20&lt;'01_Input'!$O$72),'01_Input'!$Q$72,0),MAX(MIN(CU$20,'01_Input'!$O$72)-'01_Input'!$N$72,0)*'01_Input'!$Q$72))+IF('01_Input'!$T$72="Forfait",IF(CU$20&gt;='01_Input'!$R$72,'01_Input'!$U$72,0),IF('01_Input'!$T$72="Palier",IF(AND(CU$20&gt;='01_Input'!$R$72,CU$20&lt;'01_Input'!$S$72),'01_Input'!$U$72,0),MAX(MIN(CU$20,'01_Input'!$S$72)-'01_Input'!$R$72,0)*'01_Input'!$U$72))+IF('01_Input'!$X$72="Forfait",IF(CU$20&gt;='01_Input'!$V$72,'01_Input'!$Y$72,0),IF('01_Input'!$X$72="Palier",IF(AND(CU$20&gt;='01_Input'!$V$72,CU$20&lt;'01_Input'!$W$72),'01_Input'!$Y$72,0),MAX(MIN(CU$20,'01_Input'!$W$72)-'01_Input'!$V$72,0)*'01_Input'!$Y$72))+IF('01_Input'!$AB$72="Forfait",IF(CU$20&gt;='01_Input'!$Z$72,'01_Input'!$AC$72,0),IF('01_Input'!$AB$72="Palier",IF(AND(CU$20&gt;='01_Input'!$Z$72,CU$20&lt;'01_Input'!$AA$72),'01_Input'!$AC$72,0),MAX(MIN(CU$20,'01_Input'!$AA$72)-'01_Input'!$Z$72,0)*'01_Input'!$AC$72)))))))))</f>
        <v>0</v>
      </c>
      <c r="CV40" s="83">
        <f>IF('01_Input'!$C$72="Non",0,MIN('01_Input'!$I$72,MAX('01_Input'!$H$72,IF('01_Input'!$G$72="Résiduel vs Gestion",0,IF('01_Input'!$G$72="Taux Classe sélectionnée",Distrib_Global_Classe_Selectionnee*CV$20,IF('01_Input'!$G$72="Frais KYC (paliers de 100M€)",MAX(0,Nb_Investisseurs-Nb_KYC_Gratuites_Par_Tranche*(FLOOR(CV$20/Taille_Tranche_KYC,1)+1))*Cout_Par_KYC_Supplementaire,(IF('01_Input'!$L$72="Forfait",IF(CV$20&gt;='01_Input'!$J$72,'01_Input'!$M$72,0),IF('01_Input'!$L$72="Palier",IF(AND(CV$20&gt;='01_Input'!$J$72,CV$20&lt;'01_Input'!$K$72),'01_Input'!$M$72,0),MAX(MIN(CV$20,'01_Input'!$K$72)-'01_Input'!$J$72,0)*'01_Input'!$M$72))+IF('01_Input'!$P$72="Forfait",IF(CV$20&gt;='01_Input'!$N$72,'01_Input'!$Q$72,0),IF('01_Input'!$P$72="Palier",IF(AND(CV$20&gt;='01_Input'!$N$72,CV$20&lt;'01_Input'!$O$72),'01_Input'!$Q$72,0),MAX(MIN(CV$20,'01_Input'!$O$72)-'01_Input'!$N$72,0)*'01_Input'!$Q$72))+IF('01_Input'!$T$72="Forfait",IF(CV$20&gt;='01_Input'!$R$72,'01_Input'!$U$72,0),IF('01_Input'!$T$72="Palier",IF(AND(CV$20&gt;='01_Input'!$R$72,CV$20&lt;'01_Input'!$S$72),'01_Input'!$U$72,0),MAX(MIN(CV$20,'01_Input'!$S$72)-'01_Input'!$R$72,0)*'01_Input'!$U$72))+IF('01_Input'!$X$72="Forfait",IF(CV$20&gt;='01_Input'!$V$72,'01_Input'!$Y$72,0),IF('01_Input'!$X$72="Palier",IF(AND(CV$20&gt;='01_Input'!$V$72,CV$20&lt;'01_Input'!$W$72),'01_Input'!$Y$72,0),MAX(MIN(CV$20,'01_Input'!$W$72)-'01_Input'!$V$72,0)*'01_Input'!$Y$72))+IF('01_Input'!$AB$72="Forfait",IF(CV$20&gt;='01_Input'!$Z$72,'01_Input'!$AC$72,0),IF('01_Input'!$AB$72="Palier",IF(AND(CV$20&gt;='01_Input'!$Z$72,CV$20&lt;'01_Input'!$AA$72),'01_Input'!$AC$72,0),MAX(MIN(CV$20,'01_Input'!$AA$72)-'01_Input'!$Z$72,0)*'01_Input'!$AC$72)))))))))</f>
        <v>0</v>
      </c>
      <c r="CW40" s="83">
        <f>IF('01_Input'!$C$72="Non",0,MIN('01_Input'!$I$72,MAX('01_Input'!$H$72,IF('01_Input'!$G$72="Résiduel vs Gestion",0,IF('01_Input'!$G$72="Taux Classe sélectionnée",Distrib_Global_Classe_Selectionnee*CW$20,IF('01_Input'!$G$72="Frais KYC (paliers de 100M€)",MAX(0,Nb_Investisseurs-Nb_KYC_Gratuites_Par_Tranche*(FLOOR(CW$20/Taille_Tranche_KYC,1)+1))*Cout_Par_KYC_Supplementaire,(IF('01_Input'!$L$72="Forfait",IF(CW$20&gt;='01_Input'!$J$72,'01_Input'!$M$72,0),IF('01_Input'!$L$72="Palier",IF(AND(CW$20&gt;='01_Input'!$J$72,CW$20&lt;'01_Input'!$K$72),'01_Input'!$M$72,0),MAX(MIN(CW$20,'01_Input'!$K$72)-'01_Input'!$J$72,0)*'01_Input'!$M$72))+IF('01_Input'!$P$72="Forfait",IF(CW$20&gt;='01_Input'!$N$72,'01_Input'!$Q$72,0),IF('01_Input'!$P$72="Palier",IF(AND(CW$20&gt;='01_Input'!$N$72,CW$20&lt;'01_Input'!$O$72),'01_Input'!$Q$72,0),MAX(MIN(CW$20,'01_Input'!$O$72)-'01_Input'!$N$72,0)*'01_Input'!$Q$72))+IF('01_Input'!$T$72="Forfait",IF(CW$20&gt;='01_Input'!$R$72,'01_Input'!$U$72,0),IF('01_Input'!$T$72="Palier",IF(AND(CW$20&gt;='01_Input'!$R$72,CW$20&lt;'01_Input'!$S$72),'01_Input'!$U$72,0),MAX(MIN(CW$20,'01_Input'!$S$72)-'01_Input'!$R$72,0)*'01_Input'!$U$72))+IF('01_Input'!$X$72="Forfait",IF(CW$20&gt;='01_Input'!$V$72,'01_Input'!$Y$72,0),IF('01_Input'!$X$72="Palier",IF(AND(CW$20&gt;='01_Input'!$V$72,CW$20&lt;'01_Input'!$W$72),'01_Input'!$Y$72,0),MAX(MIN(CW$20,'01_Input'!$W$72)-'01_Input'!$V$72,0)*'01_Input'!$Y$72))+IF('01_Input'!$AB$72="Forfait",IF(CW$20&gt;='01_Input'!$Z$72,'01_Input'!$AC$72,0),IF('01_Input'!$AB$72="Palier",IF(AND(CW$20&gt;='01_Input'!$Z$72,CW$20&lt;'01_Input'!$AA$72),'01_Input'!$AC$72,0),MAX(MIN(CW$20,'01_Input'!$AA$72)-'01_Input'!$Z$72,0)*'01_Input'!$AC$72)))))))))</f>
        <v>0</v>
      </c>
      <c r="CX40" s="83">
        <f>IF('01_Input'!$C$72="Non",0,MIN('01_Input'!$I$72,MAX('01_Input'!$H$72,IF('01_Input'!$G$72="Résiduel vs Gestion",0,IF('01_Input'!$G$72="Taux Classe sélectionnée",Distrib_Global_Classe_Selectionnee*CX$20,IF('01_Input'!$G$72="Frais KYC (paliers de 100M€)",MAX(0,Nb_Investisseurs-Nb_KYC_Gratuites_Par_Tranche*(FLOOR(CX$20/Taille_Tranche_KYC,1)+1))*Cout_Par_KYC_Supplementaire,(IF('01_Input'!$L$72="Forfait",IF(CX$20&gt;='01_Input'!$J$72,'01_Input'!$M$72,0),IF('01_Input'!$L$72="Palier",IF(AND(CX$20&gt;='01_Input'!$J$72,CX$20&lt;'01_Input'!$K$72),'01_Input'!$M$72,0),MAX(MIN(CX$20,'01_Input'!$K$72)-'01_Input'!$J$72,0)*'01_Input'!$M$72))+IF('01_Input'!$P$72="Forfait",IF(CX$20&gt;='01_Input'!$N$72,'01_Input'!$Q$72,0),IF('01_Input'!$P$72="Palier",IF(AND(CX$20&gt;='01_Input'!$N$72,CX$20&lt;'01_Input'!$O$72),'01_Input'!$Q$72,0),MAX(MIN(CX$20,'01_Input'!$O$72)-'01_Input'!$N$72,0)*'01_Input'!$Q$72))+IF('01_Input'!$T$72="Forfait",IF(CX$20&gt;='01_Input'!$R$72,'01_Input'!$U$72,0),IF('01_Input'!$T$72="Palier",IF(AND(CX$20&gt;='01_Input'!$R$72,CX$20&lt;'01_Input'!$S$72),'01_Input'!$U$72,0),MAX(MIN(CX$20,'01_Input'!$S$72)-'01_Input'!$R$72,0)*'01_Input'!$U$72))+IF('01_Input'!$X$72="Forfait",IF(CX$20&gt;='01_Input'!$V$72,'01_Input'!$Y$72,0),IF('01_Input'!$X$72="Palier",IF(AND(CX$20&gt;='01_Input'!$V$72,CX$20&lt;'01_Input'!$W$72),'01_Input'!$Y$72,0),MAX(MIN(CX$20,'01_Input'!$W$72)-'01_Input'!$V$72,0)*'01_Input'!$Y$72))+IF('01_Input'!$AB$72="Forfait",IF(CX$20&gt;='01_Input'!$Z$72,'01_Input'!$AC$72,0),IF('01_Input'!$AB$72="Palier",IF(AND(CX$20&gt;='01_Input'!$Z$72,CX$20&lt;'01_Input'!$AA$72),'01_Input'!$AC$72,0),MAX(MIN(CX$20,'01_Input'!$AA$72)-'01_Input'!$Z$72,0)*'01_Input'!$AC$72)))))))))</f>
        <v>0</v>
      </c>
      <c r="CY40" s="83">
        <f>IF('01_Input'!$C$72="Non",0,MIN('01_Input'!$I$72,MAX('01_Input'!$H$72,IF('01_Input'!$G$72="Résiduel vs Gestion",0,IF('01_Input'!$G$72="Taux Classe sélectionnée",Distrib_Global_Classe_Selectionnee*CY$20,IF('01_Input'!$G$72="Frais KYC (paliers de 100M€)",MAX(0,Nb_Investisseurs-Nb_KYC_Gratuites_Par_Tranche*(FLOOR(CY$20/Taille_Tranche_KYC,1)+1))*Cout_Par_KYC_Supplementaire,(IF('01_Input'!$L$72="Forfait",IF(CY$20&gt;='01_Input'!$J$72,'01_Input'!$M$72,0),IF('01_Input'!$L$72="Palier",IF(AND(CY$20&gt;='01_Input'!$J$72,CY$20&lt;'01_Input'!$K$72),'01_Input'!$M$72,0),MAX(MIN(CY$20,'01_Input'!$K$72)-'01_Input'!$J$72,0)*'01_Input'!$M$72))+IF('01_Input'!$P$72="Forfait",IF(CY$20&gt;='01_Input'!$N$72,'01_Input'!$Q$72,0),IF('01_Input'!$P$72="Palier",IF(AND(CY$20&gt;='01_Input'!$N$72,CY$20&lt;'01_Input'!$O$72),'01_Input'!$Q$72,0),MAX(MIN(CY$20,'01_Input'!$O$72)-'01_Input'!$N$72,0)*'01_Input'!$Q$72))+IF('01_Input'!$T$72="Forfait",IF(CY$20&gt;='01_Input'!$R$72,'01_Input'!$U$72,0),IF('01_Input'!$T$72="Palier",IF(AND(CY$20&gt;='01_Input'!$R$72,CY$20&lt;'01_Input'!$S$72),'01_Input'!$U$72,0),MAX(MIN(CY$20,'01_Input'!$S$72)-'01_Input'!$R$72,0)*'01_Input'!$U$72))+IF('01_Input'!$X$72="Forfait",IF(CY$20&gt;='01_Input'!$V$72,'01_Input'!$Y$72,0),IF('01_Input'!$X$72="Palier",IF(AND(CY$20&gt;='01_Input'!$V$72,CY$20&lt;'01_Input'!$W$72),'01_Input'!$Y$72,0),MAX(MIN(CY$20,'01_Input'!$W$72)-'01_Input'!$V$72,0)*'01_Input'!$Y$72))+IF('01_Input'!$AB$72="Forfait",IF(CY$20&gt;='01_Input'!$Z$72,'01_Input'!$AC$72,0),IF('01_Input'!$AB$72="Palier",IF(AND(CY$20&gt;='01_Input'!$Z$72,CY$20&lt;'01_Input'!$AA$72),'01_Input'!$AC$72,0),MAX(MIN(CY$20,'01_Input'!$AA$72)-'01_Input'!$Z$72,0)*'01_Input'!$AC$72)))))))))</f>
        <v>0</v>
      </c>
      <c r="CZ40" s="83">
        <f>IF('01_Input'!$C$72="Non",0,MIN('01_Input'!$I$72,MAX('01_Input'!$H$72,IF('01_Input'!$G$72="Résiduel vs Gestion",0,IF('01_Input'!$G$72="Taux Classe sélectionnée",Distrib_Global_Classe_Selectionnee*CZ$20,IF('01_Input'!$G$72="Frais KYC (paliers de 100M€)",MAX(0,Nb_Investisseurs-Nb_KYC_Gratuites_Par_Tranche*(FLOOR(CZ$20/Taille_Tranche_KYC,1)+1))*Cout_Par_KYC_Supplementaire,(IF('01_Input'!$L$72="Forfait",IF(CZ$20&gt;='01_Input'!$J$72,'01_Input'!$M$72,0),IF('01_Input'!$L$72="Palier",IF(AND(CZ$20&gt;='01_Input'!$J$72,CZ$20&lt;'01_Input'!$K$72),'01_Input'!$M$72,0),MAX(MIN(CZ$20,'01_Input'!$K$72)-'01_Input'!$J$72,0)*'01_Input'!$M$72))+IF('01_Input'!$P$72="Forfait",IF(CZ$20&gt;='01_Input'!$N$72,'01_Input'!$Q$72,0),IF('01_Input'!$P$72="Palier",IF(AND(CZ$20&gt;='01_Input'!$N$72,CZ$20&lt;'01_Input'!$O$72),'01_Input'!$Q$72,0),MAX(MIN(CZ$20,'01_Input'!$O$72)-'01_Input'!$N$72,0)*'01_Input'!$Q$72))+IF('01_Input'!$T$72="Forfait",IF(CZ$20&gt;='01_Input'!$R$72,'01_Input'!$U$72,0),IF('01_Input'!$T$72="Palier",IF(AND(CZ$20&gt;='01_Input'!$R$72,CZ$20&lt;'01_Input'!$S$72),'01_Input'!$U$72,0),MAX(MIN(CZ$20,'01_Input'!$S$72)-'01_Input'!$R$72,0)*'01_Input'!$U$72))+IF('01_Input'!$X$72="Forfait",IF(CZ$20&gt;='01_Input'!$V$72,'01_Input'!$Y$72,0),IF('01_Input'!$X$72="Palier",IF(AND(CZ$20&gt;='01_Input'!$V$72,CZ$20&lt;'01_Input'!$W$72),'01_Input'!$Y$72,0),MAX(MIN(CZ$20,'01_Input'!$W$72)-'01_Input'!$V$72,0)*'01_Input'!$Y$72))+IF('01_Input'!$AB$72="Forfait",IF(CZ$20&gt;='01_Input'!$Z$72,'01_Input'!$AC$72,0),IF('01_Input'!$AB$72="Palier",IF(AND(CZ$20&gt;='01_Input'!$Z$72,CZ$20&lt;'01_Input'!$AA$72),'01_Input'!$AC$72,0),MAX(MIN(CZ$20,'01_Input'!$AA$72)-'01_Input'!$Z$72,0)*'01_Input'!$AC$72)))))))))</f>
        <v>0</v>
      </c>
      <c r="DA40" s="83">
        <f>IF('01_Input'!$C$72="Non",0,MIN('01_Input'!$I$72,MAX('01_Input'!$H$72,IF('01_Input'!$G$72="Résiduel vs Gestion",0,IF('01_Input'!$G$72="Taux Classe sélectionnée",Distrib_Global_Classe_Selectionnee*DA$20,IF('01_Input'!$G$72="Frais KYC (paliers de 100M€)",MAX(0,Nb_Investisseurs-Nb_KYC_Gratuites_Par_Tranche*(FLOOR(DA$20/Taille_Tranche_KYC,1)+1))*Cout_Par_KYC_Supplementaire,(IF('01_Input'!$L$72="Forfait",IF(DA$20&gt;='01_Input'!$J$72,'01_Input'!$M$72,0),IF('01_Input'!$L$72="Palier",IF(AND(DA$20&gt;='01_Input'!$J$72,DA$20&lt;'01_Input'!$K$72),'01_Input'!$M$72,0),MAX(MIN(DA$20,'01_Input'!$K$72)-'01_Input'!$J$72,0)*'01_Input'!$M$72))+IF('01_Input'!$P$72="Forfait",IF(DA$20&gt;='01_Input'!$N$72,'01_Input'!$Q$72,0),IF('01_Input'!$P$72="Palier",IF(AND(DA$20&gt;='01_Input'!$N$72,DA$20&lt;'01_Input'!$O$72),'01_Input'!$Q$72,0),MAX(MIN(DA$20,'01_Input'!$O$72)-'01_Input'!$N$72,0)*'01_Input'!$Q$72))+IF('01_Input'!$T$72="Forfait",IF(DA$20&gt;='01_Input'!$R$72,'01_Input'!$U$72,0),IF('01_Input'!$T$72="Palier",IF(AND(DA$20&gt;='01_Input'!$R$72,DA$20&lt;'01_Input'!$S$72),'01_Input'!$U$72,0),MAX(MIN(DA$20,'01_Input'!$S$72)-'01_Input'!$R$72,0)*'01_Input'!$U$72))+IF('01_Input'!$X$72="Forfait",IF(DA$20&gt;='01_Input'!$V$72,'01_Input'!$Y$72,0),IF('01_Input'!$X$72="Palier",IF(AND(DA$20&gt;='01_Input'!$V$72,DA$20&lt;'01_Input'!$W$72),'01_Input'!$Y$72,0),MAX(MIN(DA$20,'01_Input'!$W$72)-'01_Input'!$V$72,0)*'01_Input'!$Y$72))+IF('01_Input'!$AB$72="Forfait",IF(DA$20&gt;='01_Input'!$Z$72,'01_Input'!$AC$72,0),IF('01_Input'!$AB$72="Palier",IF(AND(DA$20&gt;='01_Input'!$Z$72,DA$20&lt;'01_Input'!$AA$72),'01_Input'!$AC$72,0),MAX(MIN(DA$20,'01_Input'!$AA$72)-'01_Input'!$Z$72,0)*'01_Input'!$AC$72)))))))))</f>
        <v>0</v>
      </c>
      <c r="DB40" s="83">
        <f>IF('01_Input'!$C$72="Non",0,MIN('01_Input'!$I$72,MAX('01_Input'!$H$72,IF('01_Input'!$G$72="Résiduel vs Gestion",0,IF('01_Input'!$G$72="Taux Classe sélectionnée",Distrib_Global_Classe_Selectionnee*DB$20,IF('01_Input'!$G$72="Frais KYC (paliers de 100M€)",MAX(0,Nb_Investisseurs-Nb_KYC_Gratuites_Par_Tranche*(FLOOR(DB$20/Taille_Tranche_KYC,1)+1))*Cout_Par_KYC_Supplementaire,(IF('01_Input'!$L$72="Forfait",IF(DB$20&gt;='01_Input'!$J$72,'01_Input'!$M$72,0),IF('01_Input'!$L$72="Palier",IF(AND(DB$20&gt;='01_Input'!$J$72,DB$20&lt;'01_Input'!$K$72),'01_Input'!$M$72,0),MAX(MIN(DB$20,'01_Input'!$K$72)-'01_Input'!$J$72,0)*'01_Input'!$M$72))+IF('01_Input'!$P$72="Forfait",IF(DB$20&gt;='01_Input'!$N$72,'01_Input'!$Q$72,0),IF('01_Input'!$P$72="Palier",IF(AND(DB$20&gt;='01_Input'!$N$72,DB$20&lt;'01_Input'!$O$72),'01_Input'!$Q$72,0),MAX(MIN(DB$20,'01_Input'!$O$72)-'01_Input'!$N$72,0)*'01_Input'!$Q$72))+IF('01_Input'!$T$72="Forfait",IF(DB$20&gt;='01_Input'!$R$72,'01_Input'!$U$72,0),IF('01_Input'!$T$72="Palier",IF(AND(DB$20&gt;='01_Input'!$R$72,DB$20&lt;'01_Input'!$S$72),'01_Input'!$U$72,0),MAX(MIN(DB$20,'01_Input'!$S$72)-'01_Input'!$R$72,0)*'01_Input'!$U$72))+IF('01_Input'!$X$72="Forfait",IF(DB$20&gt;='01_Input'!$V$72,'01_Input'!$Y$72,0),IF('01_Input'!$X$72="Palier",IF(AND(DB$20&gt;='01_Input'!$V$72,DB$20&lt;'01_Input'!$W$72),'01_Input'!$Y$72,0),MAX(MIN(DB$20,'01_Input'!$W$72)-'01_Input'!$V$72,0)*'01_Input'!$Y$72))+IF('01_Input'!$AB$72="Forfait",IF(DB$20&gt;='01_Input'!$Z$72,'01_Input'!$AC$72,0),IF('01_Input'!$AB$72="Palier",IF(AND(DB$20&gt;='01_Input'!$Z$72,DB$20&lt;'01_Input'!$AA$72),'01_Input'!$AC$72,0),MAX(MIN(DB$20,'01_Input'!$AA$72)-'01_Input'!$Z$72,0)*'01_Input'!$AC$72)))))))))</f>
        <v>0</v>
      </c>
      <c r="DC40" s="83">
        <f>IF('01_Input'!$C$72="Non",0,MIN('01_Input'!$I$72,MAX('01_Input'!$H$72,IF('01_Input'!$G$72="Résiduel vs Gestion",0,IF('01_Input'!$G$72="Taux Classe sélectionnée",Distrib_Global_Classe_Selectionnee*DC$20,IF('01_Input'!$G$72="Frais KYC (paliers de 100M€)",MAX(0,Nb_Investisseurs-Nb_KYC_Gratuites_Par_Tranche*(FLOOR(DC$20/Taille_Tranche_KYC,1)+1))*Cout_Par_KYC_Supplementaire,(IF('01_Input'!$L$72="Forfait",IF(DC$20&gt;='01_Input'!$J$72,'01_Input'!$M$72,0),IF('01_Input'!$L$72="Palier",IF(AND(DC$20&gt;='01_Input'!$J$72,DC$20&lt;'01_Input'!$K$72),'01_Input'!$M$72,0),MAX(MIN(DC$20,'01_Input'!$K$72)-'01_Input'!$J$72,0)*'01_Input'!$M$72))+IF('01_Input'!$P$72="Forfait",IF(DC$20&gt;='01_Input'!$N$72,'01_Input'!$Q$72,0),IF('01_Input'!$P$72="Palier",IF(AND(DC$20&gt;='01_Input'!$N$72,DC$20&lt;'01_Input'!$O$72),'01_Input'!$Q$72,0),MAX(MIN(DC$20,'01_Input'!$O$72)-'01_Input'!$N$72,0)*'01_Input'!$Q$72))+IF('01_Input'!$T$72="Forfait",IF(DC$20&gt;='01_Input'!$R$72,'01_Input'!$U$72,0),IF('01_Input'!$T$72="Palier",IF(AND(DC$20&gt;='01_Input'!$R$72,DC$20&lt;'01_Input'!$S$72),'01_Input'!$U$72,0),MAX(MIN(DC$20,'01_Input'!$S$72)-'01_Input'!$R$72,0)*'01_Input'!$U$72))+IF('01_Input'!$X$72="Forfait",IF(DC$20&gt;='01_Input'!$V$72,'01_Input'!$Y$72,0),IF('01_Input'!$X$72="Palier",IF(AND(DC$20&gt;='01_Input'!$V$72,DC$20&lt;'01_Input'!$W$72),'01_Input'!$Y$72,0),MAX(MIN(DC$20,'01_Input'!$W$72)-'01_Input'!$V$72,0)*'01_Input'!$Y$72))+IF('01_Input'!$AB$72="Forfait",IF(DC$20&gt;='01_Input'!$Z$72,'01_Input'!$AC$72,0),IF('01_Input'!$AB$72="Palier",IF(AND(DC$20&gt;='01_Input'!$Z$72,DC$20&lt;'01_Input'!$AA$72),'01_Input'!$AC$72,0),MAX(MIN(DC$20,'01_Input'!$AA$72)-'01_Input'!$Z$72,0)*'01_Input'!$AC$72)))))))))</f>
        <v>0</v>
      </c>
      <c r="DD40" s="83">
        <f>IF('01_Input'!$C$72="Non",0,MIN('01_Input'!$I$72,MAX('01_Input'!$H$72,IF('01_Input'!$G$72="Résiduel vs Gestion",0,IF('01_Input'!$G$72="Taux Classe sélectionnée",Distrib_Global_Classe_Selectionnee*DD$20,IF('01_Input'!$G$72="Frais KYC (paliers de 100M€)",MAX(0,Nb_Investisseurs-Nb_KYC_Gratuites_Par_Tranche*(FLOOR(DD$20/Taille_Tranche_KYC,1)+1))*Cout_Par_KYC_Supplementaire,(IF('01_Input'!$L$72="Forfait",IF(DD$20&gt;='01_Input'!$J$72,'01_Input'!$M$72,0),IF('01_Input'!$L$72="Palier",IF(AND(DD$20&gt;='01_Input'!$J$72,DD$20&lt;'01_Input'!$K$72),'01_Input'!$M$72,0),MAX(MIN(DD$20,'01_Input'!$K$72)-'01_Input'!$J$72,0)*'01_Input'!$M$72))+IF('01_Input'!$P$72="Forfait",IF(DD$20&gt;='01_Input'!$N$72,'01_Input'!$Q$72,0),IF('01_Input'!$P$72="Palier",IF(AND(DD$20&gt;='01_Input'!$N$72,DD$20&lt;'01_Input'!$O$72),'01_Input'!$Q$72,0),MAX(MIN(DD$20,'01_Input'!$O$72)-'01_Input'!$N$72,0)*'01_Input'!$Q$72))+IF('01_Input'!$T$72="Forfait",IF(DD$20&gt;='01_Input'!$R$72,'01_Input'!$U$72,0),IF('01_Input'!$T$72="Palier",IF(AND(DD$20&gt;='01_Input'!$R$72,DD$20&lt;'01_Input'!$S$72),'01_Input'!$U$72,0),MAX(MIN(DD$20,'01_Input'!$S$72)-'01_Input'!$R$72,0)*'01_Input'!$U$72))+IF('01_Input'!$X$72="Forfait",IF(DD$20&gt;='01_Input'!$V$72,'01_Input'!$Y$72,0),IF('01_Input'!$X$72="Palier",IF(AND(DD$20&gt;='01_Input'!$V$72,DD$20&lt;'01_Input'!$W$72),'01_Input'!$Y$72,0),MAX(MIN(DD$20,'01_Input'!$W$72)-'01_Input'!$V$72,0)*'01_Input'!$Y$72))+IF('01_Input'!$AB$72="Forfait",IF(DD$20&gt;='01_Input'!$Z$72,'01_Input'!$AC$72,0),IF('01_Input'!$AB$72="Palier",IF(AND(DD$20&gt;='01_Input'!$Z$72,DD$20&lt;'01_Input'!$AA$72),'01_Input'!$AC$72,0),MAX(MIN(DD$20,'01_Input'!$AA$72)-'01_Input'!$Z$72,0)*'01_Input'!$AC$72)))))))))</f>
        <v>0</v>
      </c>
      <c r="DE40" s="83">
        <f>IF('01_Input'!$C$72="Non",0,MIN('01_Input'!$I$72,MAX('01_Input'!$H$72,IF('01_Input'!$G$72="Résiduel vs Gestion",0,IF('01_Input'!$G$72="Taux Classe sélectionnée",Distrib_Global_Classe_Selectionnee*DE$20,IF('01_Input'!$G$72="Frais KYC (paliers de 100M€)",MAX(0,Nb_Investisseurs-Nb_KYC_Gratuites_Par_Tranche*(FLOOR(DE$20/Taille_Tranche_KYC,1)+1))*Cout_Par_KYC_Supplementaire,(IF('01_Input'!$L$72="Forfait",IF(DE$20&gt;='01_Input'!$J$72,'01_Input'!$M$72,0),IF('01_Input'!$L$72="Palier",IF(AND(DE$20&gt;='01_Input'!$J$72,DE$20&lt;'01_Input'!$K$72),'01_Input'!$M$72,0),MAX(MIN(DE$20,'01_Input'!$K$72)-'01_Input'!$J$72,0)*'01_Input'!$M$72))+IF('01_Input'!$P$72="Forfait",IF(DE$20&gt;='01_Input'!$N$72,'01_Input'!$Q$72,0),IF('01_Input'!$P$72="Palier",IF(AND(DE$20&gt;='01_Input'!$N$72,DE$20&lt;'01_Input'!$O$72),'01_Input'!$Q$72,0),MAX(MIN(DE$20,'01_Input'!$O$72)-'01_Input'!$N$72,0)*'01_Input'!$Q$72))+IF('01_Input'!$T$72="Forfait",IF(DE$20&gt;='01_Input'!$R$72,'01_Input'!$U$72,0),IF('01_Input'!$T$72="Palier",IF(AND(DE$20&gt;='01_Input'!$R$72,DE$20&lt;'01_Input'!$S$72),'01_Input'!$U$72,0),MAX(MIN(DE$20,'01_Input'!$S$72)-'01_Input'!$R$72,0)*'01_Input'!$U$72))+IF('01_Input'!$X$72="Forfait",IF(DE$20&gt;='01_Input'!$V$72,'01_Input'!$Y$72,0),IF('01_Input'!$X$72="Palier",IF(AND(DE$20&gt;='01_Input'!$V$72,DE$20&lt;'01_Input'!$W$72),'01_Input'!$Y$72,0),MAX(MIN(DE$20,'01_Input'!$W$72)-'01_Input'!$V$72,0)*'01_Input'!$Y$72))+IF('01_Input'!$AB$72="Forfait",IF(DE$20&gt;='01_Input'!$Z$72,'01_Input'!$AC$72,0),IF('01_Input'!$AB$72="Palier",IF(AND(DE$20&gt;='01_Input'!$Z$72,DE$20&lt;'01_Input'!$AA$72),'01_Input'!$AC$72,0),MAX(MIN(DE$20,'01_Input'!$AA$72)-'01_Input'!$Z$72,0)*'01_Input'!$AC$72)))))))))</f>
        <v>0</v>
      </c>
      <c r="DF40" s="83">
        <f>IF('01_Input'!$C$72="Non",0,MIN('01_Input'!$I$72,MAX('01_Input'!$H$72,IF('01_Input'!$G$72="Résiduel vs Gestion",0,IF('01_Input'!$G$72="Taux Classe sélectionnée",Distrib_Global_Classe_Selectionnee*DF$20,IF('01_Input'!$G$72="Frais KYC (paliers de 100M€)",MAX(0,Nb_Investisseurs-Nb_KYC_Gratuites_Par_Tranche*(FLOOR(DF$20/Taille_Tranche_KYC,1)+1))*Cout_Par_KYC_Supplementaire,(IF('01_Input'!$L$72="Forfait",IF(DF$20&gt;='01_Input'!$J$72,'01_Input'!$M$72,0),IF('01_Input'!$L$72="Palier",IF(AND(DF$20&gt;='01_Input'!$J$72,DF$20&lt;'01_Input'!$K$72),'01_Input'!$M$72,0),MAX(MIN(DF$20,'01_Input'!$K$72)-'01_Input'!$J$72,0)*'01_Input'!$M$72))+IF('01_Input'!$P$72="Forfait",IF(DF$20&gt;='01_Input'!$N$72,'01_Input'!$Q$72,0),IF('01_Input'!$P$72="Palier",IF(AND(DF$20&gt;='01_Input'!$N$72,DF$20&lt;'01_Input'!$O$72),'01_Input'!$Q$72,0),MAX(MIN(DF$20,'01_Input'!$O$72)-'01_Input'!$N$72,0)*'01_Input'!$Q$72))+IF('01_Input'!$T$72="Forfait",IF(DF$20&gt;='01_Input'!$R$72,'01_Input'!$U$72,0),IF('01_Input'!$T$72="Palier",IF(AND(DF$20&gt;='01_Input'!$R$72,DF$20&lt;'01_Input'!$S$72),'01_Input'!$U$72,0),MAX(MIN(DF$20,'01_Input'!$S$72)-'01_Input'!$R$72,0)*'01_Input'!$U$72))+IF('01_Input'!$X$72="Forfait",IF(DF$20&gt;='01_Input'!$V$72,'01_Input'!$Y$72,0),IF('01_Input'!$X$72="Palier",IF(AND(DF$20&gt;='01_Input'!$V$72,DF$20&lt;'01_Input'!$W$72),'01_Input'!$Y$72,0),MAX(MIN(DF$20,'01_Input'!$W$72)-'01_Input'!$V$72,0)*'01_Input'!$Y$72))+IF('01_Input'!$AB$72="Forfait",IF(DF$20&gt;='01_Input'!$Z$72,'01_Input'!$AC$72,0),IF('01_Input'!$AB$72="Palier",IF(AND(DF$20&gt;='01_Input'!$Z$72,DF$20&lt;'01_Input'!$AA$72),'01_Input'!$AC$72,0),MAX(MIN(DF$20,'01_Input'!$AA$72)-'01_Input'!$Z$72,0)*'01_Input'!$AC$72)))))))))</f>
        <v>0</v>
      </c>
      <c r="DG40" s="83">
        <f>IF('01_Input'!$C$72="Non",0,MIN('01_Input'!$I$72,MAX('01_Input'!$H$72,IF('01_Input'!$G$72="Résiduel vs Gestion",0,IF('01_Input'!$G$72="Taux Classe sélectionnée",Distrib_Global_Classe_Selectionnee*DG$20,IF('01_Input'!$G$72="Frais KYC (paliers de 100M€)",MAX(0,Nb_Investisseurs-Nb_KYC_Gratuites_Par_Tranche*(FLOOR(DG$20/Taille_Tranche_KYC,1)+1))*Cout_Par_KYC_Supplementaire,(IF('01_Input'!$L$72="Forfait",IF(DG$20&gt;='01_Input'!$J$72,'01_Input'!$M$72,0),IF('01_Input'!$L$72="Palier",IF(AND(DG$20&gt;='01_Input'!$J$72,DG$20&lt;'01_Input'!$K$72),'01_Input'!$M$72,0),MAX(MIN(DG$20,'01_Input'!$K$72)-'01_Input'!$J$72,0)*'01_Input'!$M$72))+IF('01_Input'!$P$72="Forfait",IF(DG$20&gt;='01_Input'!$N$72,'01_Input'!$Q$72,0),IF('01_Input'!$P$72="Palier",IF(AND(DG$20&gt;='01_Input'!$N$72,DG$20&lt;'01_Input'!$O$72),'01_Input'!$Q$72,0),MAX(MIN(DG$20,'01_Input'!$O$72)-'01_Input'!$N$72,0)*'01_Input'!$Q$72))+IF('01_Input'!$T$72="Forfait",IF(DG$20&gt;='01_Input'!$R$72,'01_Input'!$U$72,0),IF('01_Input'!$T$72="Palier",IF(AND(DG$20&gt;='01_Input'!$R$72,DG$20&lt;'01_Input'!$S$72),'01_Input'!$U$72,0),MAX(MIN(DG$20,'01_Input'!$S$72)-'01_Input'!$R$72,0)*'01_Input'!$U$72))+IF('01_Input'!$X$72="Forfait",IF(DG$20&gt;='01_Input'!$V$72,'01_Input'!$Y$72,0),IF('01_Input'!$X$72="Palier",IF(AND(DG$20&gt;='01_Input'!$V$72,DG$20&lt;'01_Input'!$W$72),'01_Input'!$Y$72,0),MAX(MIN(DG$20,'01_Input'!$W$72)-'01_Input'!$V$72,0)*'01_Input'!$Y$72))+IF('01_Input'!$AB$72="Forfait",IF(DG$20&gt;='01_Input'!$Z$72,'01_Input'!$AC$72,0),IF('01_Input'!$AB$72="Palier",IF(AND(DG$20&gt;='01_Input'!$Z$72,DG$20&lt;'01_Input'!$AA$72),'01_Input'!$AC$72,0),MAX(MIN(DG$20,'01_Input'!$AA$72)-'01_Input'!$Z$72,0)*'01_Input'!$AC$72)))))))))</f>
        <v>0</v>
      </c>
      <c r="DH40" s="83">
        <f>IF('01_Input'!$C$72="Non",0,MIN('01_Input'!$I$72,MAX('01_Input'!$H$72,IF('01_Input'!$G$72="Résiduel vs Gestion",0,IF('01_Input'!$G$72="Taux Classe sélectionnée",Distrib_Global_Classe_Selectionnee*DH$20,IF('01_Input'!$G$72="Frais KYC (paliers de 100M€)",MAX(0,Nb_Investisseurs-Nb_KYC_Gratuites_Par_Tranche*(FLOOR(DH$20/Taille_Tranche_KYC,1)+1))*Cout_Par_KYC_Supplementaire,(IF('01_Input'!$L$72="Forfait",IF(DH$20&gt;='01_Input'!$J$72,'01_Input'!$M$72,0),IF('01_Input'!$L$72="Palier",IF(AND(DH$20&gt;='01_Input'!$J$72,DH$20&lt;'01_Input'!$K$72),'01_Input'!$M$72,0),MAX(MIN(DH$20,'01_Input'!$K$72)-'01_Input'!$J$72,0)*'01_Input'!$M$72))+IF('01_Input'!$P$72="Forfait",IF(DH$20&gt;='01_Input'!$N$72,'01_Input'!$Q$72,0),IF('01_Input'!$P$72="Palier",IF(AND(DH$20&gt;='01_Input'!$N$72,DH$20&lt;'01_Input'!$O$72),'01_Input'!$Q$72,0),MAX(MIN(DH$20,'01_Input'!$O$72)-'01_Input'!$N$72,0)*'01_Input'!$Q$72))+IF('01_Input'!$T$72="Forfait",IF(DH$20&gt;='01_Input'!$R$72,'01_Input'!$U$72,0),IF('01_Input'!$T$72="Palier",IF(AND(DH$20&gt;='01_Input'!$R$72,DH$20&lt;'01_Input'!$S$72),'01_Input'!$U$72,0),MAX(MIN(DH$20,'01_Input'!$S$72)-'01_Input'!$R$72,0)*'01_Input'!$U$72))+IF('01_Input'!$X$72="Forfait",IF(DH$20&gt;='01_Input'!$V$72,'01_Input'!$Y$72,0),IF('01_Input'!$X$72="Palier",IF(AND(DH$20&gt;='01_Input'!$V$72,DH$20&lt;'01_Input'!$W$72),'01_Input'!$Y$72,0),MAX(MIN(DH$20,'01_Input'!$W$72)-'01_Input'!$V$72,0)*'01_Input'!$Y$72))+IF('01_Input'!$AB$72="Forfait",IF(DH$20&gt;='01_Input'!$Z$72,'01_Input'!$AC$72,0),IF('01_Input'!$AB$72="Palier",IF(AND(DH$20&gt;='01_Input'!$Z$72,DH$20&lt;'01_Input'!$AA$72),'01_Input'!$AC$72,0),MAX(MIN(DH$20,'01_Input'!$AA$72)-'01_Input'!$Z$72,0)*'01_Input'!$AC$72)))))))))</f>
        <v>0</v>
      </c>
      <c r="DI40" s="83">
        <f>IF('01_Input'!$C$72="Non",0,MIN('01_Input'!$I$72,MAX('01_Input'!$H$72,IF('01_Input'!$G$72="Résiduel vs Gestion",0,IF('01_Input'!$G$72="Taux Classe sélectionnée",Distrib_Global_Classe_Selectionnee*DI$20,IF('01_Input'!$G$72="Frais KYC (paliers de 100M€)",MAX(0,Nb_Investisseurs-Nb_KYC_Gratuites_Par_Tranche*(FLOOR(DI$20/Taille_Tranche_KYC,1)+1))*Cout_Par_KYC_Supplementaire,(IF('01_Input'!$L$72="Forfait",IF(DI$20&gt;='01_Input'!$J$72,'01_Input'!$M$72,0),IF('01_Input'!$L$72="Palier",IF(AND(DI$20&gt;='01_Input'!$J$72,DI$20&lt;'01_Input'!$K$72),'01_Input'!$M$72,0),MAX(MIN(DI$20,'01_Input'!$K$72)-'01_Input'!$J$72,0)*'01_Input'!$M$72))+IF('01_Input'!$P$72="Forfait",IF(DI$20&gt;='01_Input'!$N$72,'01_Input'!$Q$72,0),IF('01_Input'!$P$72="Palier",IF(AND(DI$20&gt;='01_Input'!$N$72,DI$20&lt;'01_Input'!$O$72),'01_Input'!$Q$72,0),MAX(MIN(DI$20,'01_Input'!$O$72)-'01_Input'!$N$72,0)*'01_Input'!$Q$72))+IF('01_Input'!$T$72="Forfait",IF(DI$20&gt;='01_Input'!$R$72,'01_Input'!$U$72,0),IF('01_Input'!$T$72="Palier",IF(AND(DI$20&gt;='01_Input'!$R$72,DI$20&lt;'01_Input'!$S$72),'01_Input'!$U$72,0),MAX(MIN(DI$20,'01_Input'!$S$72)-'01_Input'!$R$72,0)*'01_Input'!$U$72))+IF('01_Input'!$X$72="Forfait",IF(DI$20&gt;='01_Input'!$V$72,'01_Input'!$Y$72,0),IF('01_Input'!$X$72="Palier",IF(AND(DI$20&gt;='01_Input'!$V$72,DI$20&lt;'01_Input'!$W$72),'01_Input'!$Y$72,0),MAX(MIN(DI$20,'01_Input'!$W$72)-'01_Input'!$V$72,0)*'01_Input'!$Y$72))+IF('01_Input'!$AB$72="Forfait",IF(DI$20&gt;='01_Input'!$Z$72,'01_Input'!$AC$72,0),IF('01_Input'!$AB$72="Palier",IF(AND(DI$20&gt;='01_Input'!$Z$72,DI$20&lt;'01_Input'!$AA$72),'01_Input'!$AC$72,0),MAX(MIN(DI$20,'01_Input'!$AA$72)-'01_Input'!$Z$72,0)*'01_Input'!$AC$72)))))))))</f>
        <v>0</v>
      </c>
      <c r="DJ40" s="83">
        <f>IF('01_Input'!$C$72="Non",0,MIN('01_Input'!$I$72,MAX('01_Input'!$H$72,IF('01_Input'!$G$72="Résiduel vs Gestion",0,IF('01_Input'!$G$72="Taux Classe sélectionnée",Distrib_Global_Classe_Selectionnee*DJ$20,IF('01_Input'!$G$72="Frais KYC (paliers de 100M€)",MAX(0,Nb_Investisseurs-Nb_KYC_Gratuites_Par_Tranche*(FLOOR(DJ$20/Taille_Tranche_KYC,1)+1))*Cout_Par_KYC_Supplementaire,(IF('01_Input'!$L$72="Forfait",IF(DJ$20&gt;='01_Input'!$J$72,'01_Input'!$M$72,0),IF('01_Input'!$L$72="Palier",IF(AND(DJ$20&gt;='01_Input'!$J$72,DJ$20&lt;'01_Input'!$K$72),'01_Input'!$M$72,0),MAX(MIN(DJ$20,'01_Input'!$K$72)-'01_Input'!$J$72,0)*'01_Input'!$M$72))+IF('01_Input'!$P$72="Forfait",IF(DJ$20&gt;='01_Input'!$N$72,'01_Input'!$Q$72,0),IF('01_Input'!$P$72="Palier",IF(AND(DJ$20&gt;='01_Input'!$N$72,DJ$20&lt;'01_Input'!$O$72),'01_Input'!$Q$72,0),MAX(MIN(DJ$20,'01_Input'!$O$72)-'01_Input'!$N$72,0)*'01_Input'!$Q$72))+IF('01_Input'!$T$72="Forfait",IF(DJ$20&gt;='01_Input'!$R$72,'01_Input'!$U$72,0),IF('01_Input'!$T$72="Palier",IF(AND(DJ$20&gt;='01_Input'!$R$72,DJ$20&lt;'01_Input'!$S$72),'01_Input'!$U$72,0),MAX(MIN(DJ$20,'01_Input'!$S$72)-'01_Input'!$R$72,0)*'01_Input'!$U$72))+IF('01_Input'!$X$72="Forfait",IF(DJ$20&gt;='01_Input'!$V$72,'01_Input'!$Y$72,0),IF('01_Input'!$X$72="Palier",IF(AND(DJ$20&gt;='01_Input'!$V$72,DJ$20&lt;'01_Input'!$W$72),'01_Input'!$Y$72,0),MAX(MIN(DJ$20,'01_Input'!$W$72)-'01_Input'!$V$72,0)*'01_Input'!$Y$72))+IF('01_Input'!$AB$72="Forfait",IF(DJ$20&gt;='01_Input'!$Z$72,'01_Input'!$AC$72,0),IF('01_Input'!$AB$72="Palier",IF(AND(DJ$20&gt;='01_Input'!$Z$72,DJ$20&lt;'01_Input'!$AA$72),'01_Input'!$AC$72,0),MAX(MIN(DJ$20,'01_Input'!$AA$72)-'01_Input'!$Z$72,0)*'01_Input'!$AC$72)))))))))</f>
        <v>0</v>
      </c>
      <c r="DK40" s="83">
        <f>IF('01_Input'!$C$72="Non",0,MIN('01_Input'!$I$72,MAX('01_Input'!$H$72,IF('01_Input'!$G$72="Résiduel vs Gestion",0,IF('01_Input'!$G$72="Taux Classe sélectionnée",Distrib_Global_Classe_Selectionnee*DK$20,IF('01_Input'!$G$72="Frais KYC (paliers de 100M€)",MAX(0,Nb_Investisseurs-Nb_KYC_Gratuites_Par_Tranche*(FLOOR(DK$20/Taille_Tranche_KYC,1)+1))*Cout_Par_KYC_Supplementaire,(IF('01_Input'!$L$72="Forfait",IF(DK$20&gt;='01_Input'!$J$72,'01_Input'!$M$72,0),IF('01_Input'!$L$72="Palier",IF(AND(DK$20&gt;='01_Input'!$J$72,DK$20&lt;'01_Input'!$K$72),'01_Input'!$M$72,0),MAX(MIN(DK$20,'01_Input'!$K$72)-'01_Input'!$J$72,0)*'01_Input'!$M$72))+IF('01_Input'!$P$72="Forfait",IF(DK$20&gt;='01_Input'!$N$72,'01_Input'!$Q$72,0),IF('01_Input'!$P$72="Palier",IF(AND(DK$20&gt;='01_Input'!$N$72,DK$20&lt;'01_Input'!$O$72),'01_Input'!$Q$72,0),MAX(MIN(DK$20,'01_Input'!$O$72)-'01_Input'!$N$72,0)*'01_Input'!$Q$72))+IF('01_Input'!$T$72="Forfait",IF(DK$20&gt;='01_Input'!$R$72,'01_Input'!$U$72,0),IF('01_Input'!$T$72="Palier",IF(AND(DK$20&gt;='01_Input'!$R$72,DK$20&lt;'01_Input'!$S$72),'01_Input'!$U$72,0),MAX(MIN(DK$20,'01_Input'!$S$72)-'01_Input'!$R$72,0)*'01_Input'!$U$72))+IF('01_Input'!$X$72="Forfait",IF(DK$20&gt;='01_Input'!$V$72,'01_Input'!$Y$72,0),IF('01_Input'!$X$72="Palier",IF(AND(DK$20&gt;='01_Input'!$V$72,DK$20&lt;'01_Input'!$W$72),'01_Input'!$Y$72,0),MAX(MIN(DK$20,'01_Input'!$W$72)-'01_Input'!$V$72,0)*'01_Input'!$Y$72))+IF('01_Input'!$AB$72="Forfait",IF(DK$20&gt;='01_Input'!$Z$72,'01_Input'!$AC$72,0),IF('01_Input'!$AB$72="Palier",IF(AND(DK$20&gt;='01_Input'!$Z$72,DK$20&lt;'01_Input'!$AA$72),'01_Input'!$AC$72,0),MAX(MIN(DK$20,'01_Input'!$AA$72)-'01_Input'!$Z$72,0)*'01_Input'!$AC$72)))))))))</f>
        <v>0</v>
      </c>
      <c r="DL40" s="83">
        <f>IF('01_Input'!$C$72="Non",0,MIN('01_Input'!$I$72,MAX('01_Input'!$H$72,IF('01_Input'!$G$72="Résiduel vs Gestion",0,IF('01_Input'!$G$72="Taux Classe sélectionnée",Distrib_Global_Classe_Selectionnee*DL$20,IF('01_Input'!$G$72="Frais KYC (paliers de 100M€)",MAX(0,Nb_Investisseurs-Nb_KYC_Gratuites_Par_Tranche*(FLOOR(DL$20/Taille_Tranche_KYC,1)+1))*Cout_Par_KYC_Supplementaire,(IF('01_Input'!$L$72="Forfait",IF(DL$20&gt;='01_Input'!$J$72,'01_Input'!$M$72,0),IF('01_Input'!$L$72="Palier",IF(AND(DL$20&gt;='01_Input'!$J$72,DL$20&lt;'01_Input'!$K$72),'01_Input'!$M$72,0),MAX(MIN(DL$20,'01_Input'!$K$72)-'01_Input'!$J$72,0)*'01_Input'!$M$72))+IF('01_Input'!$P$72="Forfait",IF(DL$20&gt;='01_Input'!$N$72,'01_Input'!$Q$72,0),IF('01_Input'!$P$72="Palier",IF(AND(DL$20&gt;='01_Input'!$N$72,DL$20&lt;'01_Input'!$O$72),'01_Input'!$Q$72,0),MAX(MIN(DL$20,'01_Input'!$O$72)-'01_Input'!$N$72,0)*'01_Input'!$Q$72))+IF('01_Input'!$T$72="Forfait",IF(DL$20&gt;='01_Input'!$R$72,'01_Input'!$U$72,0),IF('01_Input'!$T$72="Palier",IF(AND(DL$20&gt;='01_Input'!$R$72,DL$20&lt;'01_Input'!$S$72),'01_Input'!$U$72,0),MAX(MIN(DL$20,'01_Input'!$S$72)-'01_Input'!$R$72,0)*'01_Input'!$U$72))+IF('01_Input'!$X$72="Forfait",IF(DL$20&gt;='01_Input'!$V$72,'01_Input'!$Y$72,0),IF('01_Input'!$X$72="Palier",IF(AND(DL$20&gt;='01_Input'!$V$72,DL$20&lt;'01_Input'!$W$72),'01_Input'!$Y$72,0),MAX(MIN(DL$20,'01_Input'!$W$72)-'01_Input'!$V$72,0)*'01_Input'!$Y$72))+IF('01_Input'!$AB$72="Forfait",IF(DL$20&gt;='01_Input'!$Z$72,'01_Input'!$AC$72,0),IF('01_Input'!$AB$72="Palier",IF(AND(DL$20&gt;='01_Input'!$Z$72,DL$20&lt;'01_Input'!$AA$72),'01_Input'!$AC$72,0),MAX(MIN(DL$20,'01_Input'!$AA$72)-'01_Input'!$Z$72,0)*'01_Input'!$AC$72)))))))))</f>
        <v>0</v>
      </c>
      <c r="DM40" s="83">
        <f>IF('01_Input'!$C$72="Non",0,MIN('01_Input'!$I$72,MAX('01_Input'!$H$72,IF('01_Input'!$G$72="Résiduel vs Gestion",0,IF('01_Input'!$G$72="Taux Classe sélectionnée",Distrib_Global_Classe_Selectionnee*DM$20,IF('01_Input'!$G$72="Frais KYC (paliers de 100M€)",MAX(0,Nb_Investisseurs-Nb_KYC_Gratuites_Par_Tranche*(FLOOR(DM$20/Taille_Tranche_KYC,1)+1))*Cout_Par_KYC_Supplementaire,(IF('01_Input'!$L$72="Forfait",IF(DM$20&gt;='01_Input'!$J$72,'01_Input'!$M$72,0),IF('01_Input'!$L$72="Palier",IF(AND(DM$20&gt;='01_Input'!$J$72,DM$20&lt;'01_Input'!$K$72),'01_Input'!$M$72,0),MAX(MIN(DM$20,'01_Input'!$K$72)-'01_Input'!$J$72,0)*'01_Input'!$M$72))+IF('01_Input'!$P$72="Forfait",IF(DM$20&gt;='01_Input'!$N$72,'01_Input'!$Q$72,0),IF('01_Input'!$P$72="Palier",IF(AND(DM$20&gt;='01_Input'!$N$72,DM$20&lt;'01_Input'!$O$72),'01_Input'!$Q$72,0),MAX(MIN(DM$20,'01_Input'!$O$72)-'01_Input'!$N$72,0)*'01_Input'!$Q$72))+IF('01_Input'!$T$72="Forfait",IF(DM$20&gt;='01_Input'!$R$72,'01_Input'!$U$72,0),IF('01_Input'!$T$72="Palier",IF(AND(DM$20&gt;='01_Input'!$R$72,DM$20&lt;'01_Input'!$S$72),'01_Input'!$U$72,0),MAX(MIN(DM$20,'01_Input'!$S$72)-'01_Input'!$R$72,0)*'01_Input'!$U$72))+IF('01_Input'!$X$72="Forfait",IF(DM$20&gt;='01_Input'!$V$72,'01_Input'!$Y$72,0),IF('01_Input'!$X$72="Palier",IF(AND(DM$20&gt;='01_Input'!$V$72,DM$20&lt;'01_Input'!$W$72),'01_Input'!$Y$72,0),MAX(MIN(DM$20,'01_Input'!$W$72)-'01_Input'!$V$72,0)*'01_Input'!$Y$72))+IF('01_Input'!$AB$72="Forfait",IF(DM$20&gt;='01_Input'!$Z$72,'01_Input'!$AC$72,0),IF('01_Input'!$AB$72="Palier",IF(AND(DM$20&gt;='01_Input'!$Z$72,DM$20&lt;'01_Input'!$AA$72),'01_Input'!$AC$72,0),MAX(MIN(DM$20,'01_Input'!$AA$72)-'01_Input'!$Z$72,0)*'01_Input'!$AC$72)))))))))</f>
        <v>0</v>
      </c>
      <c r="DN40" s="83">
        <f>IF('01_Input'!$C$72="Non",0,MIN('01_Input'!$I$72,MAX('01_Input'!$H$72,IF('01_Input'!$G$72="Résiduel vs Gestion",0,IF('01_Input'!$G$72="Taux Classe sélectionnée",Distrib_Global_Classe_Selectionnee*DN$20,IF('01_Input'!$G$72="Frais KYC (paliers de 100M€)",MAX(0,Nb_Investisseurs-Nb_KYC_Gratuites_Par_Tranche*(FLOOR(DN$20/Taille_Tranche_KYC,1)+1))*Cout_Par_KYC_Supplementaire,(IF('01_Input'!$L$72="Forfait",IF(DN$20&gt;='01_Input'!$J$72,'01_Input'!$M$72,0),IF('01_Input'!$L$72="Palier",IF(AND(DN$20&gt;='01_Input'!$J$72,DN$20&lt;'01_Input'!$K$72),'01_Input'!$M$72,0),MAX(MIN(DN$20,'01_Input'!$K$72)-'01_Input'!$J$72,0)*'01_Input'!$M$72))+IF('01_Input'!$P$72="Forfait",IF(DN$20&gt;='01_Input'!$N$72,'01_Input'!$Q$72,0),IF('01_Input'!$P$72="Palier",IF(AND(DN$20&gt;='01_Input'!$N$72,DN$20&lt;'01_Input'!$O$72),'01_Input'!$Q$72,0),MAX(MIN(DN$20,'01_Input'!$O$72)-'01_Input'!$N$72,0)*'01_Input'!$Q$72))+IF('01_Input'!$T$72="Forfait",IF(DN$20&gt;='01_Input'!$R$72,'01_Input'!$U$72,0),IF('01_Input'!$T$72="Palier",IF(AND(DN$20&gt;='01_Input'!$R$72,DN$20&lt;'01_Input'!$S$72),'01_Input'!$U$72,0),MAX(MIN(DN$20,'01_Input'!$S$72)-'01_Input'!$R$72,0)*'01_Input'!$U$72))+IF('01_Input'!$X$72="Forfait",IF(DN$20&gt;='01_Input'!$V$72,'01_Input'!$Y$72,0),IF('01_Input'!$X$72="Palier",IF(AND(DN$20&gt;='01_Input'!$V$72,DN$20&lt;'01_Input'!$W$72),'01_Input'!$Y$72,0),MAX(MIN(DN$20,'01_Input'!$W$72)-'01_Input'!$V$72,0)*'01_Input'!$Y$72))+IF('01_Input'!$AB$72="Forfait",IF(DN$20&gt;='01_Input'!$Z$72,'01_Input'!$AC$72,0),IF('01_Input'!$AB$72="Palier",IF(AND(DN$20&gt;='01_Input'!$Z$72,DN$20&lt;'01_Input'!$AA$72),'01_Input'!$AC$72,0),MAX(MIN(DN$20,'01_Input'!$AA$72)-'01_Input'!$Z$72,0)*'01_Input'!$AC$72)))))))))</f>
        <v>0</v>
      </c>
      <c r="DO40" s="83">
        <f>IF('01_Input'!$C$72="Non",0,MIN('01_Input'!$I$72,MAX('01_Input'!$H$72,IF('01_Input'!$G$72="Résiduel vs Gestion",0,IF('01_Input'!$G$72="Taux Classe sélectionnée",Distrib_Global_Classe_Selectionnee*DO$20,IF('01_Input'!$G$72="Frais KYC (paliers de 100M€)",MAX(0,Nb_Investisseurs-Nb_KYC_Gratuites_Par_Tranche*(FLOOR(DO$20/Taille_Tranche_KYC,1)+1))*Cout_Par_KYC_Supplementaire,(IF('01_Input'!$L$72="Forfait",IF(DO$20&gt;='01_Input'!$J$72,'01_Input'!$M$72,0),IF('01_Input'!$L$72="Palier",IF(AND(DO$20&gt;='01_Input'!$J$72,DO$20&lt;'01_Input'!$K$72),'01_Input'!$M$72,0),MAX(MIN(DO$20,'01_Input'!$K$72)-'01_Input'!$J$72,0)*'01_Input'!$M$72))+IF('01_Input'!$P$72="Forfait",IF(DO$20&gt;='01_Input'!$N$72,'01_Input'!$Q$72,0),IF('01_Input'!$P$72="Palier",IF(AND(DO$20&gt;='01_Input'!$N$72,DO$20&lt;'01_Input'!$O$72),'01_Input'!$Q$72,0),MAX(MIN(DO$20,'01_Input'!$O$72)-'01_Input'!$N$72,0)*'01_Input'!$Q$72))+IF('01_Input'!$T$72="Forfait",IF(DO$20&gt;='01_Input'!$R$72,'01_Input'!$U$72,0),IF('01_Input'!$T$72="Palier",IF(AND(DO$20&gt;='01_Input'!$R$72,DO$20&lt;'01_Input'!$S$72),'01_Input'!$U$72,0),MAX(MIN(DO$20,'01_Input'!$S$72)-'01_Input'!$R$72,0)*'01_Input'!$U$72))+IF('01_Input'!$X$72="Forfait",IF(DO$20&gt;='01_Input'!$V$72,'01_Input'!$Y$72,0),IF('01_Input'!$X$72="Palier",IF(AND(DO$20&gt;='01_Input'!$V$72,DO$20&lt;'01_Input'!$W$72),'01_Input'!$Y$72,0),MAX(MIN(DO$20,'01_Input'!$W$72)-'01_Input'!$V$72,0)*'01_Input'!$Y$72))+IF('01_Input'!$AB$72="Forfait",IF(DO$20&gt;='01_Input'!$Z$72,'01_Input'!$AC$72,0),IF('01_Input'!$AB$72="Palier",IF(AND(DO$20&gt;='01_Input'!$Z$72,DO$20&lt;'01_Input'!$AA$72),'01_Input'!$AC$72,0),MAX(MIN(DO$20,'01_Input'!$AA$72)-'01_Input'!$Z$72,0)*'01_Input'!$AC$72)))))))))</f>
        <v>0</v>
      </c>
      <c r="DP40" s="83">
        <f>IF('01_Input'!$C$72="Non",0,MIN('01_Input'!$I$72,MAX('01_Input'!$H$72,IF('01_Input'!$G$72="Résiduel vs Gestion",0,IF('01_Input'!$G$72="Taux Classe sélectionnée",Distrib_Global_Classe_Selectionnee*DP$20,IF('01_Input'!$G$72="Frais KYC (paliers de 100M€)",MAX(0,Nb_Investisseurs-Nb_KYC_Gratuites_Par_Tranche*(FLOOR(DP$20/Taille_Tranche_KYC,1)+1))*Cout_Par_KYC_Supplementaire,(IF('01_Input'!$L$72="Forfait",IF(DP$20&gt;='01_Input'!$J$72,'01_Input'!$M$72,0),IF('01_Input'!$L$72="Palier",IF(AND(DP$20&gt;='01_Input'!$J$72,DP$20&lt;'01_Input'!$K$72),'01_Input'!$M$72,0),MAX(MIN(DP$20,'01_Input'!$K$72)-'01_Input'!$J$72,0)*'01_Input'!$M$72))+IF('01_Input'!$P$72="Forfait",IF(DP$20&gt;='01_Input'!$N$72,'01_Input'!$Q$72,0),IF('01_Input'!$P$72="Palier",IF(AND(DP$20&gt;='01_Input'!$N$72,DP$20&lt;'01_Input'!$O$72),'01_Input'!$Q$72,0),MAX(MIN(DP$20,'01_Input'!$O$72)-'01_Input'!$N$72,0)*'01_Input'!$Q$72))+IF('01_Input'!$T$72="Forfait",IF(DP$20&gt;='01_Input'!$R$72,'01_Input'!$U$72,0),IF('01_Input'!$T$72="Palier",IF(AND(DP$20&gt;='01_Input'!$R$72,DP$20&lt;'01_Input'!$S$72),'01_Input'!$U$72,0),MAX(MIN(DP$20,'01_Input'!$S$72)-'01_Input'!$R$72,0)*'01_Input'!$U$72))+IF('01_Input'!$X$72="Forfait",IF(DP$20&gt;='01_Input'!$V$72,'01_Input'!$Y$72,0),IF('01_Input'!$X$72="Palier",IF(AND(DP$20&gt;='01_Input'!$V$72,DP$20&lt;'01_Input'!$W$72),'01_Input'!$Y$72,0),MAX(MIN(DP$20,'01_Input'!$W$72)-'01_Input'!$V$72,0)*'01_Input'!$Y$72))+IF('01_Input'!$AB$72="Forfait",IF(DP$20&gt;='01_Input'!$Z$72,'01_Input'!$AC$72,0),IF('01_Input'!$AB$72="Palier",IF(AND(DP$20&gt;='01_Input'!$Z$72,DP$20&lt;'01_Input'!$AA$72),'01_Input'!$AC$72,0),MAX(MIN(DP$20,'01_Input'!$AA$72)-'01_Input'!$Z$72,0)*'01_Input'!$AC$72)))))))))</f>
        <v>0</v>
      </c>
      <c r="DQ40" s="83">
        <f>IF('01_Input'!$C$72="Non",0,MIN('01_Input'!$I$72,MAX('01_Input'!$H$72,IF('01_Input'!$G$72="Résiduel vs Gestion",0,IF('01_Input'!$G$72="Taux Classe sélectionnée",Distrib_Global_Classe_Selectionnee*DQ$20,IF('01_Input'!$G$72="Frais KYC (paliers de 100M€)",MAX(0,Nb_Investisseurs-Nb_KYC_Gratuites_Par_Tranche*(FLOOR(DQ$20/Taille_Tranche_KYC,1)+1))*Cout_Par_KYC_Supplementaire,(IF('01_Input'!$L$72="Forfait",IF(DQ$20&gt;='01_Input'!$J$72,'01_Input'!$M$72,0),IF('01_Input'!$L$72="Palier",IF(AND(DQ$20&gt;='01_Input'!$J$72,DQ$20&lt;'01_Input'!$K$72),'01_Input'!$M$72,0),MAX(MIN(DQ$20,'01_Input'!$K$72)-'01_Input'!$J$72,0)*'01_Input'!$M$72))+IF('01_Input'!$P$72="Forfait",IF(DQ$20&gt;='01_Input'!$N$72,'01_Input'!$Q$72,0),IF('01_Input'!$P$72="Palier",IF(AND(DQ$20&gt;='01_Input'!$N$72,DQ$20&lt;'01_Input'!$O$72),'01_Input'!$Q$72,0),MAX(MIN(DQ$20,'01_Input'!$O$72)-'01_Input'!$N$72,0)*'01_Input'!$Q$72))+IF('01_Input'!$T$72="Forfait",IF(DQ$20&gt;='01_Input'!$R$72,'01_Input'!$U$72,0),IF('01_Input'!$T$72="Palier",IF(AND(DQ$20&gt;='01_Input'!$R$72,DQ$20&lt;'01_Input'!$S$72),'01_Input'!$U$72,0),MAX(MIN(DQ$20,'01_Input'!$S$72)-'01_Input'!$R$72,0)*'01_Input'!$U$72))+IF('01_Input'!$X$72="Forfait",IF(DQ$20&gt;='01_Input'!$V$72,'01_Input'!$Y$72,0),IF('01_Input'!$X$72="Palier",IF(AND(DQ$20&gt;='01_Input'!$V$72,DQ$20&lt;'01_Input'!$W$72),'01_Input'!$Y$72,0),MAX(MIN(DQ$20,'01_Input'!$W$72)-'01_Input'!$V$72,0)*'01_Input'!$Y$72))+IF('01_Input'!$AB$72="Forfait",IF(DQ$20&gt;='01_Input'!$Z$72,'01_Input'!$AC$72,0),IF('01_Input'!$AB$72="Palier",IF(AND(DQ$20&gt;='01_Input'!$Z$72,DQ$20&lt;'01_Input'!$AA$72),'01_Input'!$AC$72,0),MAX(MIN(DQ$20,'01_Input'!$AA$72)-'01_Input'!$Z$72,0)*'01_Input'!$AC$72)))))))))</f>
        <v>0</v>
      </c>
      <c r="DR40" s="83">
        <f>IF('01_Input'!$C$72="Non",0,MIN('01_Input'!$I$72,MAX('01_Input'!$H$72,IF('01_Input'!$G$72="Résiduel vs Gestion",0,IF('01_Input'!$G$72="Taux Classe sélectionnée",Distrib_Global_Classe_Selectionnee*DR$20,IF('01_Input'!$G$72="Frais KYC (paliers de 100M€)",MAX(0,Nb_Investisseurs-Nb_KYC_Gratuites_Par_Tranche*(FLOOR(DR$20/Taille_Tranche_KYC,1)+1))*Cout_Par_KYC_Supplementaire,(IF('01_Input'!$L$72="Forfait",IF(DR$20&gt;='01_Input'!$J$72,'01_Input'!$M$72,0),IF('01_Input'!$L$72="Palier",IF(AND(DR$20&gt;='01_Input'!$J$72,DR$20&lt;'01_Input'!$K$72),'01_Input'!$M$72,0),MAX(MIN(DR$20,'01_Input'!$K$72)-'01_Input'!$J$72,0)*'01_Input'!$M$72))+IF('01_Input'!$P$72="Forfait",IF(DR$20&gt;='01_Input'!$N$72,'01_Input'!$Q$72,0),IF('01_Input'!$P$72="Palier",IF(AND(DR$20&gt;='01_Input'!$N$72,DR$20&lt;'01_Input'!$O$72),'01_Input'!$Q$72,0),MAX(MIN(DR$20,'01_Input'!$O$72)-'01_Input'!$N$72,0)*'01_Input'!$Q$72))+IF('01_Input'!$T$72="Forfait",IF(DR$20&gt;='01_Input'!$R$72,'01_Input'!$U$72,0),IF('01_Input'!$T$72="Palier",IF(AND(DR$20&gt;='01_Input'!$R$72,DR$20&lt;'01_Input'!$S$72),'01_Input'!$U$72,0),MAX(MIN(DR$20,'01_Input'!$S$72)-'01_Input'!$R$72,0)*'01_Input'!$U$72))+IF('01_Input'!$X$72="Forfait",IF(DR$20&gt;='01_Input'!$V$72,'01_Input'!$Y$72,0),IF('01_Input'!$X$72="Palier",IF(AND(DR$20&gt;='01_Input'!$V$72,DR$20&lt;'01_Input'!$W$72),'01_Input'!$Y$72,0),MAX(MIN(DR$20,'01_Input'!$W$72)-'01_Input'!$V$72,0)*'01_Input'!$Y$72))+IF('01_Input'!$AB$72="Forfait",IF(DR$20&gt;='01_Input'!$Z$72,'01_Input'!$AC$72,0),IF('01_Input'!$AB$72="Palier",IF(AND(DR$20&gt;='01_Input'!$Z$72,DR$20&lt;'01_Input'!$AA$72),'01_Input'!$AC$72,0),MAX(MIN(DR$20,'01_Input'!$AA$72)-'01_Input'!$Z$72,0)*'01_Input'!$AC$72)))))))))</f>
        <v>0</v>
      </c>
      <c r="DS40" s="83">
        <f>IF('01_Input'!$C$72="Non",0,MIN('01_Input'!$I$72,MAX('01_Input'!$H$72,IF('01_Input'!$G$72="Résiduel vs Gestion",0,IF('01_Input'!$G$72="Taux Classe sélectionnée",Distrib_Global_Classe_Selectionnee*DS$20,IF('01_Input'!$G$72="Frais KYC (paliers de 100M€)",MAX(0,Nb_Investisseurs-Nb_KYC_Gratuites_Par_Tranche*(FLOOR(DS$20/Taille_Tranche_KYC,1)+1))*Cout_Par_KYC_Supplementaire,(IF('01_Input'!$L$72="Forfait",IF(DS$20&gt;='01_Input'!$J$72,'01_Input'!$M$72,0),IF('01_Input'!$L$72="Palier",IF(AND(DS$20&gt;='01_Input'!$J$72,DS$20&lt;'01_Input'!$K$72),'01_Input'!$M$72,0),MAX(MIN(DS$20,'01_Input'!$K$72)-'01_Input'!$J$72,0)*'01_Input'!$M$72))+IF('01_Input'!$P$72="Forfait",IF(DS$20&gt;='01_Input'!$N$72,'01_Input'!$Q$72,0),IF('01_Input'!$P$72="Palier",IF(AND(DS$20&gt;='01_Input'!$N$72,DS$20&lt;'01_Input'!$O$72),'01_Input'!$Q$72,0),MAX(MIN(DS$20,'01_Input'!$O$72)-'01_Input'!$N$72,0)*'01_Input'!$Q$72))+IF('01_Input'!$T$72="Forfait",IF(DS$20&gt;='01_Input'!$R$72,'01_Input'!$U$72,0),IF('01_Input'!$T$72="Palier",IF(AND(DS$20&gt;='01_Input'!$R$72,DS$20&lt;'01_Input'!$S$72),'01_Input'!$U$72,0),MAX(MIN(DS$20,'01_Input'!$S$72)-'01_Input'!$R$72,0)*'01_Input'!$U$72))+IF('01_Input'!$X$72="Forfait",IF(DS$20&gt;='01_Input'!$V$72,'01_Input'!$Y$72,0),IF('01_Input'!$X$72="Palier",IF(AND(DS$20&gt;='01_Input'!$V$72,DS$20&lt;'01_Input'!$W$72),'01_Input'!$Y$72,0),MAX(MIN(DS$20,'01_Input'!$W$72)-'01_Input'!$V$72,0)*'01_Input'!$Y$72))+IF('01_Input'!$AB$72="Forfait",IF(DS$20&gt;='01_Input'!$Z$72,'01_Input'!$AC$72,0),IF('01_Input'!$AB$72="Palier",IF(AND(DS$20&gt;='01_Input'!$Z$72,DS$20&lt;'01_Input'!$AA$72),'01_Input'!$AC$72,0),MAX(MIN(DS$20,'01_Input'!$AA$72)-'01_Input'!$Z$72,0)*'01_Input'!$AC$72)))))))))</f>
        <v>0</v>
      </c>
      <c r="DT40" s="83">
        <f>IF('01_Input'!$C$72="Non",0,MIN('01_Input'!$I$72,MAX('01_Input'!$H$72,IF('01_Input'!$G$72="Résiduel vs Gestion",0,IF('01_Input'!$G$72="Taux Classe sélectionnée",Distrib_Global_Classe_Selectionnee*DT$20,IF('01_Input'!$G$72="Frais KYC (paliers de 100M€)",MAX(0,Nb_Investisseurs-Nb_KYC_Gratuites_Par_Tranche*(FLOOR(DT$20/Taille_Tranche_KYC,1)+1))*Cout_Par_KYC_Supplementaire,(IF('01_Input'!$L$72="Forfait",IF(DT$20&gt;='01_Input'!$J$72,'01_Input'!$M$72,0),IF('01_Input'!$L$72="Palier",IF(AND(DT$20&gt;='01_Input'!$J$72,DT$20&lt;'01_Input'!$K$72),'01_Input'!$M$72,0),MAX(MIN(DT$20,'01_Input'!$K$72)-'01_Input'!$J$72,0)*'01_Input'!$M$72))+IF('01_Input'!$P$72="Forfait",IF(DT$20&gt;='01_Input'!$N$72,'01_Input'!$Q$72,0),IF('01_Input'!$P$72="Palier",IF(AND(DT$20&gt;='01_Input'!$N$72,DT$20&lt;'01_Input'!$O$72),'01_Input'!$Q$72,0),MAX(MIN(DT$20,'01_Input'!$O$72)-'01_Input'!$N$72,0)*'01_Input'!$Q$72))+IF('01_Input'!$T$72="Forfait",IF(DT$20&gt;='01_Input'!$R$72,'01_Input'!$U$72,0),IF('01_Input'!$T$72="Palier",IF(AND(DT$20&gt;='01_Input'!$R$72,DT$20&lt;'01_Input'!$S$72),'01_Input'!$U$72,0),MAX(MIN(DT$20,'01_Input'!$S$72)-'01_Input'!$R$72,0)*'01_Input'!$U$72))+IF('01_Input'!$X$72="Forfait",IF(DT$20&gt;='01_Input'!$V$72,'01_Input'!$Y$72,0),IF('01_Input'!$X$72="Palier",IF(AND(DT$20&gt;='01_Input'!$V$72,DT$20&lt;'01_Input'!$W$72),'01_Input'!$Y$72,0),MAX(MIN(DT$20,'01_Input'!$W$72)-'01_Input'!$V$72,0)*'01_Input'!$Y$72))+IF('01_Input'!$AB$72="Forfait",IF(DT$20&gt;='01_Input'!$Z$72,'01_Input'!$AC$72,0),IF('01_Input'!$AB$72="Palier",IF(AND(DT$20&gt;='01_Input'!$Z$72,DT$20&lt;'01_Input'!$AA$72),'01_Input'!$AC$72,0),MAX(MIN(DT$20,'01_Input'!$AA$72)-'01_Input'!$Z$72,0)*'01_Input'!$AC$72)))))))))</f>
        <v>0</v>
      </c>
      <c r="DU40" s="83">
        <f>IF('01_Input'!$C$72="Non",0,MIN('01_Input'!$I$72,MAX('01_Input'!$H$72,IF('01_Input'!$G$72="Résiduel vs Gestion",0,IF('01_Input'!$G$72="Taux Classe sélectionnée",Distrib_Global_Classe_Selectionnee*DU$20,IF('01_Input'!$G$72="Frais KYC (paliers de 100M€)",MAX(0,Nb_Investisseurs-Nb_KYC_Gratuites_Par_Tranche*(FLOOR(DU$20/Taille_Tranche_KYC,1)+1))*Cout_Par_KYC_Supplementaire,(IF('01_Input'!$L$72="Forfait",IF(DU$20&gt;='01_Input'!$J$72,'01_Input'!$M$72,0),IF('01_Input'!$L$72="Palier",IF(AND(DU$20&gt;='01_Input'!$J$72,DU$20&lt;'01_Input'!$K$72),'01_Input'!$M$72,0),MAX(MIN(DU$20,'01_Input'!$K$72)-'01_Input'!$J$72,0)*'01_Input'!$M$72))+IF('01_Input'!$P$72="Forfait",IF(DU$20&gt;='01_Input'!$N$72,'01_Input'!$Q$72,0),IF('01_Input'!$P$72="Palier",IF(AND(DU$20&gt;='01_Input'!$N$72,DU$20&lt;'01_Input'!$O$72),'01_Input'!$Q$72,0),MAX(MIN(DU$20,'01_Input'!$O$72)-'01_Input'!$N$72,0)*'01_Input'!$Q$72))+IF('01_Input'!$T$72="Forfait",IF(DU$20&gt;='01_Input'!$R$72,'01_Input'!$U$72,0),IF('01_Input'!$T$72="Palier",IF(AND(DU$20&gt;='01_Input'!$R$72,DU$20&lt;'01_Input'!$S$72),'01_Input'!$U$72,0),MAX(MIN(DU$20,'01_Input'!$S$72)-'01_Input'!$R$72,0)*'01_Input'!$U$72))+IF('01_Input'!$X$72="Forfait",IF(DU$20&gt;='01_Input'!$V$72,'01_Input'!$Y$72,0),IF('01_Input'!$X$72="Palier",IF(AND(DU$20&gt;='01_Input'!$V$72,DU$20&lt;'01_Input'!$W$72),'01_Input'!$Y$72,0),MAX(MIN(DU$20,'01_Input'!$W$72)-'01_Input'!$V$72,0)*'01_Input'!$Y$72))+IF('01_Input'!$AB$72="Forfait",IF(DU$20&gt;='01_Input'!$Z$72,'01_Input'!$AC$72,0),IF('01_Input'!$AB$72="Palier",IF(AND(DU$20&gt;='01_Input'!$Z$72,DU$20&lt;'01_Input'!$AA$72),'01_Input'!$AC$72,0),MAX(MIN(DU$20,'01_Input'!$AA$72)-'01_Input'!$Z$72,0)*'01_Input'!$AC$72)))))))))</f>
        <v>0</v>
      </c>
      <c r="DV40" s="83">
        <f>IF('01_Input'!$C$72="Non",0,MIN('01_Input'!$I$72,MAX('01_Input'!$H$72,IF('01_Input'!$G$72="Résiduel vs Gestion",0,IF('01_Input'!$G$72="Taux Classe sélectionnée",Distrib_Global_Classe_Selectionnee*DV$20,IF('01_Input'!$G$72="Frais KYC (paliers de 100M€)",MAX(0,Nb_Investisseurs-Nb_KYC_Gratuites_Par_Tranche*(FLOOR(DV$20/Taille_Tranche_KYC,1)+1))*Cout_Par_KYC_Supplementaire,(IF('01_Input'!$L$72="Forfait",IF(DV$20&gt;='01_Input'!$J$72,'01_Input'!$M$72,0),IF('01_Input'!$L$72="Palier",IF(AND(DV$20&gt;='01_Input'!$J$72,DV$20&lt;'01_Input'!$K$72),'01_Input'!$M$72,0),MAX(MIN(DV$20,'01_Input'!$K$72)-'01_Input'!$J$72,0)*'01_Input'!$M$72))+IF('01_Input'!$P$72="Forfait",IF(DV$20&gt;='01_Input'!$N$72,'01_Input'!$Q$72,0),IF('01_Input'!$P$72="Palier",IF(AND(DV$20&gt;='01_Input'!$N$72,DV$20&lt;'01_Input'!$O$72),'01_Input'!$Q$72,0),MAX(MIN(DV$20,'01_Input'!$O$72)-'01_Input'!$N$72,0)*'01_Input'!$Q$72))+IF('01_Input'!$T$72="Forfait",IF(DV$20&gt;='01_Input'!$R$72,'01_Input'!$U$72,0),IF('01_Input'!$T$72="Palier",IF(AND(DV$20&gt;='01_Input'!$R$72,DV$20&lt;'01_Input'!$S$72),'01_Input'!$U$72,0),MAX(MIN(DV$20,'01_Input'!$S$72)-'01_Input'!$R$72,0)*'01_Input'!$U$72))+IF('01_Input'!$X$72="Forfait",IF(DV$20&gt;='01_Input'!$V$72,'01_Input'!$Y$72,0),IF('01_Input'!$X$72="Palier",IF(AND(DV$20&gt;='01_Input'!$V$72,DV$20&lt;'01_Input'!$W$72),'01_Input'!$Y$72,0),MAX(MIN(DV$20,'01_Input'!$W$72)-'01_Input'!$V$72,0)*'01_Input'!$Y$72))+IF('01_Input'!$AB$72="Forfait",IF(DV$20&gt;='01_Input'!$Z$72,'01_Input'!$AC$72,0),IF('01_Input'!$AB$72="Palier",IF(AND(DV$20&gt;='01_Input'!$Z$72,DV$20&lt;'01_Input'!$AA$72),'01_Input'!$AC$72,0),MAX(MIN(DV$20,'01_Input'!$AA$72)-'01_Input'!$Z$72,0)*'01_Input'!$AC$72)))))))))</f>
        <v>0</v>
      </c>
      <c r="DW40" s="83">
        <f>IF('01_Input'!$C$72="Non",0,MIN('01_Input'!$I$72,MAX('01_Input'!$H$72,IF('01_Input'!$G$72="Résiduel vs Gestion",0,IF('01_Input'!$G$72="Taux Classe sélectionnée",Distrib_Global_Classe_Selectionnee*DW$20,IF('01_Input'!$G$72="Frais KYC (paliers de 100M€)",MAX(0,Nb_Investisseurs-Nb_KYC_Gratuites_Par_Tranche*(FLOOR(DW$20/Taille_Tranche_KYC,1)+1))*Cout_Par_KYC_Supplementaire,(IF('01_Input'!$L$72="Forfait",IF(DW$20&gt;='01_Input'!$J$72,'01_Input'!$M$72,0),IF('01_Input'!$L$72="Palier",IF(AND(DW$20&gt;='01_Input'!$J$72,DW$20&lt;'01_Input'!$K$72),'01_Input'!$M$72,0),MAX(MIN(DW$20,'01_Input'!$K$72)-'01_Input'!$J$72,0)*'01_Input'!$M$72))+IF('01_Input'!$P$72="Forfait",IF(DW$20&gt;='01_Input'!$N$72,'01_Input'!$Q$72,0),IF('01_Input'!$P$72="Palier",IF(AND(DW$20&gt;='01_Input'!$N$72,DW$20&lt;'01_Input'!$O$72),'01_Input'!$Q$72,0),MAX(MIN(DW$20,'01_Input'!$O$72)-'01_Input'!$N$72,0)*'01_Input'!$Q$72))+IF('01_Input'!$T$72="Forfait",IF(DW$20&gt;='01_Input'!$R$72,'01_Input'!$U$72,0),IF('01_Input'!$T$72="Palier",IF(AND(DW$20&gt;='01_Input'!$R$72,DW$20&lt;'01_Input'!$S$72),'01_Input'!$U$72,0),MAX(MIN(DW$20,'01_Input'!$S$72)-'01_Input'!$R$72,0)*'01_Input'!$U$72))+IF('01_Input'!$X$72="Forfait",IF(DW$20&gt;='01_Input'!$V$72,'01_Input'!$Y$72,0),IF('01_Input'!$X$72="Palier",IF(AND(DW$20&gt;='01_Input'!$V$72,DW$20&lt;'01_Input'!$W$72),'01_Input'!$Y$72,0),MAX(MIN(DW$20,'01_Input'!$W$72)-'01_Input'!$V$72,0)*'01_Input'!$Y$72))+IF('01_Input'!$AB$72="Forfait",IF(DW$20&gt;='01_Input'!$Z$72,'01_Input'!$AC$72,0),IF('01_Input'!$AB$72="Palier",IF(AND(DW$20&gt;='01_Input'!$Z$72,DW$20&lt;'01_Input'!$AA$72),'01_Input'!$AC$72,0),MAX(MIN(DW$20,'01_Input'!$AA$72)-'01_Input'!$Z$72,0)*'01_Input'!$AC$72)))))))))</f>
        <v>0</v>
      </c>
      <c r="DX40" s="83">
        <f>IF('01_Input'!$C$72="Non",0,MIN('01_Input'!$I$72,MAX('01_Input'!$H$72,IF('01_Input'!$G$72="Résiduel vs Gestion",0,IF('01_Input'!$G$72="Taux Classe sélectionnée",Distrib_Global_Classe_Selectionnee*DX$20,IF('01_Input'!$G$72="Frais KYC (paliers de 100M€)",MAX(0,Nb_Investisseurs-Nb_KYC_Gratuites_Par_Tranche*(FLOOR(DX$20/Taille_Tranche_KYC,1)+1))*Cout_Par_KYC_Supplementaire,(IF('01_Input'!$L$72="Forfait",IF(DX$20&gt;='01_Input'!$J$72,'01_Input'!$M$72,0),IF('01_Input'!$L$72="Palier",IF(AND(DX$20&gt;='01_Input'!$J$72,DX$20&lt;'01_Input'!$K$72),'01_Input'!$M$72,0),MAX(MIN(DX$20,'01_Input'!$K$72)-'01_Input'!$J$72,0)*'01_Input'!$M$72))+IF('01_Input'!$P$72="Forfait",IF(DX$20&gt;='01_Input'!$N$72,'01_Input'!$Q$72,0),IF('01_Input'!$P$72="Palier",IF(AND(DX$20&gt;='01_Input'!$N$72,DX$20&lt;'01_Input'!$O$72),'01_Input'!$Q$72,0),MAX(MIN(DX$20,'01_Input'!$O$72)-'01_Input'!$N$72,0)*'01_Input'!$Q$72))+IF('01_Input'!$T$72="Forfait",IF(DX$20&gt;='01_Input'!$R$72,'01_Input'!$U$72,0),IF('01_Input'!$T$72="Palier",IF(AND(DX$20&gt;='01_Input'!$R$72,DX$20&lt;'01_Input'!$S$72),'01_Input'!$U$72,0),MAX(MIN(DX$20,'01_Input'!$S$72)-'01_Input'!$R$72,0)*'01_Input'!$U$72))+IF('01_Input'!$X$72="Forfait",IF(DX$20&gt;='01_Input'!$V$72,'01_Input'!$Y$72,0),IF('01_Input'!$X$72="Palier",IF(AND(DX$20&gt;='01_Input'!$V$72,DX$20&lt;'01_Input'!$W$72),'01_Input'!$Y$72,0),MAX(MIN(DX$20,'01_Input'!$W$72)-'01_Input'!$V$72,0)*'01_Input'!$Y$72))+IF('01_Input'!$AB$72="Forfait",IF(DX$20&gt;='01_Input'!$Z$72,'01_Input'!$AC$72,0),IF('01_Input'!$AB$72="Palier",IF(AND(DX$20&gt;='01_Input'!$Z$72,DX$20&lt;'01_Input'!$AA$72),'01_Input'!$AC$72,0),MAX(MIN(DX$20,'01_Input'!$AA$72)-'01_Input'!$Z$72,0)*'01_Input'!$AC$72)))))))))</f>
        <v>0</v>
      </c>
      <c r="DY40" s="83">
        <f>IF('01_Input'!$C$72="Non",0,MIN('01_Input'!$I$72,MAX('01_Input'!$H$72,IF('01_Input'!$G$72="Résiduel vs Gestion",0,IF('01_Input'!$G$72="Taux Classe sélectionnée",Distrib_Global_Classe_Selectionnee*DY$20,IF('01_Input'!$G$72="Frais KYC (paliers de 100M€)",MAX(0,Nb_Investisseurs-Nb_KYC_Gratuites_Par_Tranche*(FLOOR(DY$20/Taille_Tranche_KYC,1)+1))*Cout_Par_KYC_Supplementaire,(IF('01_Input'!$L$72="Forfait",IF(DY$20&gt;='01_Input'!$J$72,'01_Input'!$M$72,0),IF('01_Input'!$L$72="Palier",IF(AND(DY$20&gt;='01_Input'!$J$72,DY$20&lt;'01_Input'!$K$72),'01_Input'!$M$72,0),MAX(MIN(DY$20,'01_Input'!$K$72)-'01_Input'!$J$72,0)*'01_Input'!$M$72))+IF('01_Input'!$P$72="Forfait",IF(DY$20&gt;='01_Input'!$N$72,'01_Input'!$Q$72,0),IF('01_Input'!$P$72="Palier",IF(AND(DY$20&gt;='01_Input'!$N$72,DY$20&lt;'01_Input'!$O$72),'01_Input'!$Q$72,0),MAX(MIN(DY$20,'01_Input'!$O$72)-'01_Input'!$N$72,0)*'01_Input'!$Q$72))+IF('01_Input'!$T$72="Forfait",IF(DY$20&gt;='01_Input'!$R$72,'01_Input'!$U$72,0),IF('01_Input'!$T$72="Palier",IF(AND(DY$20&gt;='01_Input'!$R$72,DY$20&lt;'01_Input'!$S$72),'01_Input'!$U$72,0),MAX(MIN(DY$20,'01_Input'!$S$72)-'01_Input'!$R$72,0)*'01_Input'!$U$72))+IF('01_Input'!$X$72="Forfait",IF(DY$20&gt;='01_Input'!$V$72,'01_Input'!$Y$72,0),IF('01_Input'!$X$72="Palier",IF(AND(DY$20&gt;='01_Input'!$V$72,DY$20&lt;'01_Input'!$W$72),'01_Input'!$Y$72,0),MAX(MIN(DY$20,'01_Input'!$W$72)-'01_Input'!$V$72,0)*'01_Input'!$Y$72))+IF('01_Input'!$AB$72="Forfait",IF(DY$20&gt;='01_Input'!$Z$72,'01_Input'!$AC$72,0),IF('01_Input'!$AB$72="Palier",IF(AND(DY$20&gt;='01_Input'!$Z$72,DY$20&lt;'01_Input'!$AA$72),'01_Input'!$AC$72,0),MAX(MIN(DY$20,'01_Input'!$AA$72)-'01_Input'!$Z$72,0)*'01_Input'!$AC$72)))))))))</f>
        <v>0</v>
      </c>
      <c r="DZ40" s="83">
        <f>IF('01_Input'!$C$72="Non",0,MIN('01_Input'!$I$72,MAX('01_Input'!$H$72,IF('01_Input'!$G$72="Résiduel vs Gestion",0,IF('01_Input'!$G$72="Taux Classe sélectionnée",Distrib_Global_Classe_Selectionnee*DZ$20,IF('01_Input'!$G$72="Frais KYC (paliers de 100M€)",MAX(0,Nb_Investisseurs-Nb_KYC_Gratuites_Par_Tranche*(FLOOR(DZ$20/Taille_Tranche_KYC,1)+1))*Cout_Par_KYC_Supplementaire,(IF('01_Input'!$L$72="Forfait",IF(DZ$20&gt;='01_Input'!$J$72,'01_Input'!$M$72,0),IF('01_Input'!$L$72="Palier",IF(AND(DZ$20&gt;='01_Input'!$J$72,DZ$20&lt;'01_Input'!$K$72),'01_Input'!$M$72,0),MAX(MIN(DZ$20,'01_Input'!$K$72)-'01_Input'!$J$72,0)*'01_Input'!$M$72))+IF('01_Input'!$P$72="Forfait",IF(DZ$20&gt;='01_Input'!$N$72,'01_Input'!$Q$72,0),IF('01_Input'!$P$72="Palier",IF(AND(DZ$20&gt;='01_Input'!$N$72,DZ$20&lt;'01_Input'!$O$72),'01_Input'!$Q$72,0),MAX(MIN(DZ$20,'01_Input'!$O$72)-'01_Input'!$N$72,0)*'01_Input'!$Q$72))+IF('01_Input'!$T$72="Forfait",IF(DZ$20&gt;='01_Input'!$R$72,'01_Input'!$U$72,0),IF('01_Input'!$T$72="Palier",IF(AND(DZ$20&gt;='01_Input'!$R$72,DZ$20&lt;'01_Input'!$S$72),'01_Input'!$U$72,0),MAX(MIN(DZ$20,'01_Input'!$S$72)-'01_Input'!$R$72,0)*'01_Input'!$U$72))+IF('01_Input'!$X$72="Forfait",IF(DZ$20&gt;='01_Input'!$V$72,'01_Input'!$Y$72,0),IF('01_Input'!$X$72="Palier",IF(AND(DZ$20&gt;='01_Input'!$V$72,DZ$20&lt;'01_Input'!$W$72),'01_Input'!$Y$72,0),MAX(MIN(DZ$20,'01_Input'!$W$72)-'01_Input'!$V$72,0)*'01_Input'!$Y$72))+IF('01_Input'!$AB$72="Forfait",IF(DZ$20&gt;='01_Input'!$Z$72,'01_Input'!$AC$72,0),IF('01_Input'!$AB$72="Palier",IF(AND(DZ$20&gt;='01_Input'!$Z$72,DZ$20&lt;'01_Input'!$AA$72),'01_Input'!$AC$72,0),MAX(MIN(DZ$20,'01_Input'!$AA$72)-'01_Input'!$Z$72,0)*'01_Input'!$AC$72)))))))))</f>
        <v>0</v>
      </c>
      <c r="EA40" s="83">
        <f>IF('01_Input'!$C$72="Non",0,MIN('01_Input'!$I$72,MAX('01_Input'!$H$72,IF('01_Input'!$G$72="Résiduel vs Gestion",0,IF('01_Input'!$G$72="Taux Classe sélectionnée",Distrib_Global_Classe_Selectionnee*EA$20,IF('01_Input'!$G$72="Frais KYC (paliers de 100M€)",MAX(0,Nb_Investisseurs-Nb_KYC_Gratuites_Par_Tranche*(FLOOR(EA$20/Taille_Tranche_KYC,1)+1))*Cout_Par_KYC_Supplementaire,(IF('01_Input'!$L$72="Forfait",IF(EA$20&gt;='01_Input'!$J$72,'01_Input'!$M$72,0),IF('01_Input'!$L$72="Palier",IF(AND(EA$20&gt;='01_Input'!$J$72,EA$20&lt;'01_Input'!$K$72),'01_Input'!$M$72,0),MAX(MIN(EA$20,'01_Input'!$K$72)-'01_Input'!$J$72,0)*'01_Input'!$M$72))+IF('01_Input'!$P$72="Forfait",IF(EA$20&gt;='01_Input'!$N$72,'01_Input'!$Q$72,0),IF('01_Input'!$P$72="Palier",IF(AND(EA$20&gt;='01_Input'!$N$72,EA$20&lt;'01_Input'!$O$72),'01_Input'!$Q$72,0),MAX(MIN(EA$20,'01_Input'!$O$72)-'01_Input'!$N$72,0)*'01_Input'!$Q$72))+IF('01_Input'!$T$72="Forfait",IF(EA$20&gt;='01_Input'!$R$72,'01_Input'!$U$72,0),IF('01_Input'!$T$72="Palier",IF(AND(EA$20&gt;='01_Input'!$R$72,EA$20&lt;'01_Input'!$S$72),'01_Input'!$U$72,0),MAX(MIN(EA$20,'01_Input'!$S$72)-'01_Input'!$R$72,0)*'01_Input'!$U$72))+IF('01_Input'!$X$72="Forfait",IF(EA$20&gt;='01_Input'!$V$72,'01_Input'!$Y$72,0),IF('01_Input'!$X$72="Palier",IF(AND(EA$20&gt;='01_Input'!$V$72,EA$20&lt;'01_Input'!$W$72),'01_Input'!$Y$72,0),MAX(MIN(EA$20,'01_Input'!$W$72)-'01_Input'!$V$72,0)*'01_Input'!$Y$72))+IF('01_Input'!$AB$72="Forfait",IF(EA$20&gt;='01_Input'!$Z$72,'01_Input'!$AC$72,0),IF('01_Input'!$AB$72="Palier",IF(AND(EA$20&gt;='01_Input'!$Z$72,EA$20&lt;'01_Input'!$AA$72),'01_Input'!$AC$72,0),MAX(MIN(EA$20,'01_Input'!$AA$72)-'01_Input'!$Z$72,0)*'01_Input'!$AC$72)))))))))</f>
        <v>0</v>
      </c>
      <c r="EB40" s="83">
        <f>IF('01_Input'!$C$72="Non",0,MIN('01_Input'!$I$72,MAX('01_Input'!$H$72,IF('01_Input'!$G$72="Résiduel vs Gestion",0,IF('01_Input'!$G$72="Taux Classe sélectionnée",Distrib_Global_Classe_Selectionnee*EB$20,IF('01_Input'!$G$72="Frais KYC (paliers de 100M€)",MAX(0,Nb_Investisseurs-Nb_KYC_Gratuites_Par_Tranche*(FLOOR(EB$20/Taille_Tranche_KYC,1)+1))*Cout_Par_KYC_Supplementaire,(IF('01_Input'!$L$72="Forfait",IF(EB$20&gt;='01_Input'!$J$72,'01_Input'!$M$72,0),IF('01_Input'!$L$72="Palier",IF(AND(EB$20&gt;='01_Input'!$J$72,EB$20&lt;'01_Input'!$K$72),'01_Input'!$M$72,0),MAX(MIN(EB$20,'01_Input'!$K$72)-'01_Input'!$J$72,0)*'01_Input'!$M$72))+IF('01_Input'!$P$72="Forfait",IF(EB$20&gt;='01_Input'!$N$72,'01_Input'!$Q$72,0),IF('01_Input'!$P$72="Palier",IF(AND(EB$20&gt;='01_Input'!$N$72,EB$20&lt;'01_Input'!$O$72),'01_Input'!$Q$72,0),MAX(MIN(EB$20,'01_Input'!$O$72)-'01_Input'!$N$72,0)*'01_Input'!$Q$72))+IF('01_Input'!$T$72="Forfait",IF(EB$20&gt;='01_Input'!$R$72,'01_Input'!$U$72,0),IF('01_Input'!$T$72="Palier",IF(AND(EB$20&gt;='01_Input'!$R$72,EB$20&lt;'01_Input'!$S$72),'01_Input'!$U$72,0),MAX(MIN(EB$20,'01_Input'!$S$72)-'01_Input'!$R$72,0)*'01_Input'!$U$72))+IF('01_Input'!$X$72="Forfait",IF(EB$20&gt;='01_Input'!$V$72,'01_Input'!$Y$72,0),IF('01_Input'!$X$72="Palier",IF(AND(EB$20&gt;='01_Input'!$V$72,EB$20&lt;'01_Input'!$W$72),'01_Input'!$Y$72,0),MAX(MIN(EB$20,'01_Input'!$W$72)-'01_Input'!$V$72,0)*'01_Input'!$Y$72))+IF('01_Input'!$AB$72="Forfait",IF(EB$20&gt;='01_Input'!$Z$72,'01_Input'!$AC$72,0),IF('01_Input'!$AB$72="Palier",IF(AND(EB$20&gt;='01_Input'!$Z$72,EB$20&lt;'01_Input'!$AA$72),'01_Input'!$AC$72,0),MAX(MIN(EB$20,'01_Input'!$AA$72)-'01_Input'!$Z$72,0)*'01_Input'!$AC$72)))))))))</f>
        <v>0</v>
      </c>
      <c r="EC40" s="83">
        <f>IF('01_Input'!$C$72="Non",0,MIN('01_Input'!$I$72,MAX('01_Input'!$H$72,IF('01_Input'!$G$72="Résiduel vs Gestion",0,IF('01_Input'!$G$72="Taux Classe sélectionnée",Distrib_Global_Classe_Selectionnee*EC$20,IF('01_Input'!$G$72="Frais KYC (paliers de 100M€)",MAX(0,Nb_Investisseurs-Nb_KYC_Gratuites_Par_Tranche*(FLOOR(EC$20/Taille_Tranche_KYC,1)+1))*Cout_Par_KYC_Supplementaire,(IF('01_Input'!$L$72="Forfait",IF(EC$20&gt;='01_Input'!$J$72,'01_Input'!$M$72,0),IF('01_Input'!$L$72="Palier",IF(AND(EC$20&gt;='01_Input'!$J$72,EC$20&lt;'01_Input'!$K$72),'01_Input'!$M$72,0),MAX(MIN(EC$20,'01_Input'!$K$72)-'01_Input'!$J$72,0)*'01_Input'!$M$72))+IF('01_Input'!$P$72="Forfait",IF(EC$20&gt;='01_Input'!$N$72,'01_Input'!$Q$72,0),IF('01_Input'!$P$72="Palier",IF(AND(EC$20&gt;='01_Input'!$N$72,EC$20&lt;'01_Input'!$O$72),'01_Input'!$Q$72,0),MAX(MIN(EC$20,'01_Input'!$O$72)-'01_Input'!$N$72,0)*'01_Input'!$Q$72))+IF('01_Input'!$T$72="Forfait",IF(EC$20&gt;='01_Input'!$R$72,'01_Input'!$U$72,0),IF('01_Input'!$T$72="Palier",IF(AND(EC$20&gt;='01_Input'!$R$72,EC$20&lt;'01_Input'!$S$72),'01_Input'!$U$72,0),MAX(MIN(EC$20,'01_Input'!$S$72)-'01_Input'!$R$72,0)*'01_Input'!$U$72))+IF('01_Input'!$X$72="Forfait",IF(EC$20&gt;='01_Input'!$V$72,'01_Input'!$Y$72,0),IF('01_Input'!$X$72="Palier",IF(AND(EC$20&gt;='01_Input'!$V$72,EC$20&lt;'01_Input'!$W$72),'01_Input'!$Y$72,0),MAX(MIN(EC$20,'01_Input'!$W$72)-'01_Input'!$V$72,0)*'01_Input'!$Y$72))+IF('01_Input'!$AB$72="Forfait",IF(EC$20&gt;='01_Input'!$Z$72,'01_Input'!$AC$72,0),IF('01_Input'!$AB$72="Palier",IF(AND(EC$20&gt;='01_Input'!$Z$72,EC$20&lt;'01_Input'!$AA$72),'01_Input'!$AC$72,0),MAX(MIN(EC$20,'01_Input'!$AA$72)-'01_Input'!$Z$72,0)*'01_Input'!$AC$72)))))))))</f>
        <v>0</v>
      </c>
      <c r="ED40" s="83">
        <f>IF('01_Input'!$C$72="Non",0,MIN('01_Input'!$I$72,MAX('01_Input'!$H$72,IF('01_Input'!$G$72="Résiduel vs Gestion",0,IF('01_Input'!$G$72="Taux Classe sélectionnée",Distrib_Global_Classe_Selectionnee*ED$20,IF('01_Input'!$G$72="Frais KYC (paliers de 100M€)",MAX(0,Nb_Investisseurs-Nb_KYC_Gratuites_Par_Tranche*(FLOOR(ED$20/Taille_Tranche_KYC,1)+1))*Cout_Par_KYC_Supplementaire,(IF('01_Input'!$L$72="Forfait",IF(ED$20&gt;='01_Input'!$J$72,'01_Input'!$M$72,0),IF('01_Input'!$L$72="Palier",IF(AND(ED$20&gt;='01_Input'!$J$72,ED$20&lt;'01_Input'!$K$72),'01_Input'!$M$72,0),MAX(MIN(ED$20,'01_Input'!$K$72)-'01_Input'!$J$72,0)*'01_Input'!$M$72))+IF('01_Input'!$P$72="Forfait",IF(ED$20&gt;='01_Input'!$N$72,'01_Input'!$Q$72,0),IF('01_Input'!$P$72="Palier",IF(AND(ED$20&gt;='01_Input'!$N$72,ED$20&lt;'01_Input'!$O$72),'01_Input'!$Q$72,0),MAX(MIN(ED$20,'01_Input'!$O$72)-'01_Input'!$N$72,0)*'01_Input'!$Q$72))+IF('01_Input'!$T$72="Forfait",IF(ED$20&gt;='01_Input'!$R$72,'01_Input'!$U$72,0),IF('01_Input'!$T$72="Palier",IF(AND(ED$20&gt;='01_Input'!$R$72,ED$20&lt;'01_Input'!$S$72),'01_Input'!$U$72,0),MAX(MIN(ED$20,'01_Input'!$S$72)-'01_Input'!$R$72,0)*'01_Input'!$U$72))+IF('01_Input'!$X$72="Forfait",IF(ED$20&gt;='01_Input'!$V$72,'01_Input'!$Y$72,0),IF('01_Input'!$X$72="Palier",IF(AND(ED$20&gt;='01_Input'!$V$72,ED$20&lt;'01_Input'!$W$72),'01_Input'!$Y$72,0),MAX(MIN(ED$20,'01_Input'!$W$72)-'01_Input'!$V$72,0)*'01_Input'!$Y$72))+IF('01_Input'!$AB$72="Forfait",IF(ED$20&gt;='01_Input'!$Z$72,'01_Input'!$AC$72,0),IF('01_Input'!$AB$72="Palier",IF(AND(ED$20&gt;='01_Input'!$Z$72,ED$20&lt;'01_Input'!$AA$72),'01_Input'!$AC$72,0),MAX(MIN(ED$20,'01_Input'!$AA$72)-'01_Input'!$Z$72,0)*'01_Input'!$AC$72)))))))))</f>
        <v>0</v>
      </c>
      <c r="EE40" s="83">
        <f>IF('01_Input'!$C$72="Non",0,MIN('01_Input'!$I$72,MAX('01_Input'!$H$72,IF('01_Input'!$G$72="Résiduel vs Gestion",0,IF('01_Input'!$G$72="Taux Classe sélectionnée",Distrib_Global_Classe_Selectionnee*EE$20,IF('01_Input'!$G$72="Frais KYC (paliers de 100M€)",MAX(0,Nb_Investisseurs-Nb_KYC_Gratuites_Par_Tranche*(FLOOR(EE$20/Taille_Tranche_KYC,1)+1))*Cout_Par_KYC_Supplementaire,(IF('01_Input'!$L$72="Forfait",IF(EE$20&gt;='01_Input'!$J$72,'01_Input'!$M$72,0),IF('01_Input'!$L$72="Palier",IF(AND(EE$20&gt;='01_Input'!$J$72,EE$20&lt;'01_Input'!$K$72),'01_Input'!$M$72,0),MAX(MIN(EE$20,'01_Input'!$K$72)-'01_Input'!$J$72,0)*'01_Input'!$M$72))+IF('01_Input'!$P$72="Forfait",IF(EE$20&gt;='01_Input'!$N$72,'01_Input'!$Q$72,0),IF('01_Input'!$P$72="Palier",IF(AND(EE$20&gt;='01_Input'!$N$72,EE$20&lt;'01_Input'!$O$72),'01_Input'!$Q$72,0),MAX(MIN(EE$20,'01_Input'!$O$72)-'01_Input'!$N$72,0)*'01_Input'!$Q$72))+IF('01_Input'!$T$72="Forfait",IF(EE$20&gt;='01_Input'!$R$72,'01_Input'!$U$72,0),IF('01_Input'!$T$72="Palier",IF(AND(EE$20&gt;='01_Input'!$R$72,EE$20&lt;'01_Input'!$S$72),'01_Input'!$U$72,0),MAX(MIN(EE$20,'01_Input'!$S$72)-'01_Input'!$R$72,0)*'01_Input'!$U$72))+IF('01_Input'!$X$72="Forfait",IF(EE$20&gt;='01_Input'!$V$72,'01_Input'!$Y$72,0),IF('01_Input'!$X$72="Palier",IF(AND(EE$20&gt;='01_Input'!$V$72,EE$20&lt;'01_Input'!$W$72),'01_Input'!$Y$72,0),MAX(MIN(EE$20,'01_Input'!$W$72)-'01_Input'!$V$72,0)*'01_Input'!$Y$72))+IF('01_Input'!$AB$72="Forfait",IF(EE$20&gt;='01_Input'!$Z$72,'01_Input'!$AC$72,0),IF('01_Input'!$AB$72="Palier",IF(AND(EE$20&gt;='01_Input'!$Z$72,EE$20&lt;'01_Input'!$AA$72),'01_Input'!$AC$72,0),MAX(MIN(EE$20,'01_Input'!$AA$72)-'01_Input'!$Z$72,0)*'01_Input'!$AC$72)))))))))</f>
        <v>0</v>
      </c>
      <c r="EF40" s="83">
        <f>IF('01_Input'!$C$72="Non",0,MIN('01_Input'!$I$72,MAX('01_Input'!$H$72,IF('01_Input'!$G$72="Résiduel vs Gestion",0,IF('01_Input'!$G$72="Taux Classe sélectionnée",Distrib_Global_Classe_Selectionnee*EF$20,IF('01_Input'!$G$72="Frais KYC (paliers de 100M€)",MAX(0,Nb_Investisseurs-Nb_KYC_Gratuites_Par_Tranche*(FLOOR(EF$20/Taille_Tranche_KYC,1)+1))*Cout_Par_KYC_Supplementaire,(IF('01_Input'!$L$72="Forfait",IF(EF$20&gt;='01_Input'!$J$72,'01_Input'!$M$72,0),IF('01_Input'!$L$72="Palier",IF(AND(EF$20&gt;='01_Input'!$J$72,EF$20&lt;'01_Input'!$K$72),'01_Input'!$M$72,0),MAX(MIN(EF$20,'01_Input'!$K$72)-'01_Input'!$J$72,0)*'01_Input'!$M$72))+IF('01_Input'!$P$72="Forfait",IF(EF$20&gt;='01_Input'!$N$72,'01_Input'!$Q$72,0),IF('01_Input'!$P$72="Palier",IF(AND(EF$20&gt;='01_Input'!$N$72,EF$20&lt;'01_Input'!$O$72),'01_Input'!$Q$72,0),MAX(MIN(EF$20,'01_Input'!$O$72)-'01_Input'!$N$72,0)*'01_Input'!$Q$72))+IF('01_Input'!$T$72="Forfait",IF(EF$20&gt;='01_Input'!$R$72,'01_Input'!$U$72,0),IF('01_Input'!$T$72="Palier",IF(AND(EF$20&gt;='01_Input'!$R$72,EF$20&lt;'01_Input'!$S$72),'01_Input'!$U$72,0),MAX(MIN(EF$20,'01_Input'!$S$72)-'01_Input'!$R$72,0)*'01_Input'!$U$72))+IF('01_Input'!$X$72="Forfait",IF(EF$20&gt;='01_Input'!$V$72,'01_Input'!$Y$72,0),IF('01_Input'!$X$72="Palier",IF(AND(EF$20&gt;='01_Input'!$V$72,EF$20&lt;'01_Input'!$W$72),'01_Input'!$Y$72,0),MAX(MIN(EF$20,'01_Input'!$W$72)-'01_Input'!$V$72,0)*'01_Input'!$Y$72))+IF('01_Input'!$AB$72="Forfait",IF(EF$20&gt;='01_Input'!$Z$72,'01_Input'!$AC$72,0),IF('01_Input'!$AB$72="Palier",IF(AND(EF$20&gt;='01_Input'!$Z$72,EF$20&lt;'01_Input'!$AA$72),'01_Input'!$AC$72,0),MAX(MIN(EF$20,'01_Input'!$AA$72)-'01_Input'!$Z$72,0)*'01_Input'!$AC$72)))))))))</f>
        <v>0</v>
      </c>
      <c r="EG40" s="83">
        <f>IF('01_Input'!$C$72="Non",0,MIN('01_Input'!$I$72,MAX('01_Input'!$H$72,IF('01_Input'!$G$72="Résiduel vs Gestion",0,IF('01_Input'!$G$72="Taux Classe sélectionnée",Distrib_Global_Classe_Selectionnee*EG$20,IF('01_Input'!$G$72="Frais KYC (paliers de 100M€)",MAX(0,Nb_Investisseurs-Nb_KYC_Gratuites_Par_Tranche*(FLOOR(EG$20/Taille_Tranche_KYC,1)+1))*Cout_Par_KYC_Supplementaire,(IF('01_Input'!$L$72="Forfait",IF(EG$20&gt;='01_Input'!$J$72,'01_Input'!$M$72,0),IF('01_Input'!$L$72="Palier",IF(AND(EG$20&gt;='01_Input'!$J$72,EG$20&lt;'01_Input'!$K$72),'01_Input'!$M$72,0),MAX(MIN(EG$20,'01_Input'!$K$72)-'01_Input'!$J$72,0)*'01_Input'!$M$72))+IF('01_Input'!$P$72="Forfait",IF(EG$20&gt;='01_Input'!$N$72,'01_Input'!$Q$72,0),IF('01_Input'!$P$72="Palier",IF(AND(EG$20&gt;='01_Input'!$N$72,EG$20&lt;'01_Input'!$O$72),'01_Input'!$Q$72,0),MAX(MIN(EG$20,'01_Input'!$O$72)-'01_Input'!$N$72,0)*'01_Input'!$Q$72))+IF('01_Input'!$T$72="Forfait",IF(EG$20&gt;='01_Input'!$R$72,'01_Input'!$U$72,0),IF('01_Input'!$T$72="Palier",IF(AND(EG$20&gt;='01_Input'!$R$72,EG$20&lt;'01_Input'!$S$72),'01_Input'!$U$72,0),MAX(MIN(EG$20,'01_Input'!$S$72)-'01_Input'!$R$72,0)*'01_Input'!$U$72))+IF('01_Input'!$X$72="Forfait",IF(EG$20&gt;='01_Input'!$V$72,'01_Input'!$Y$72,0),IF('01_Input'!$X$72="Palier",IF(AND(EG$20&gt;='01_Input'!$V$72,EG$20&lt;'01_Input'!$W$72),'01_Input'!$Y$72,0),MAX(MIN(EG$20,'01_Input'!$W$72)-'01_Input'!$V$72,0)*'01_Input'!$Y$72))+IF('01_Input'!$AB$72="Forfait",IF(EG$20&gt;='01_Input'!$Z$72,'01_Input'!$AC$72,0),IF('01_Input'!$AB$72="Palier",IF(AND(EG$20&gt;='01_Input'!$Z$72,EG$20&lt;'01_Input'!$AA$72),'01_Input'!$AC$72,0),MAX(MIN(EG$20,'01_Input'!$AA$72)-'01_Input'!$Z$72,0)*'01_Input'!$AC$72)))))))))</f>
        <v>0</v>
      </c>
      <c r="EH40" s="83">
        <f>IF('01_Input'!$C$72="Non",0,MIN('01_Input'!$I$72,MAX('01_Input'!$H$72,IF('01_Input'!$G$72="Résiduel vs Gestion",0,IF('01_Input'!$G$72="Taux Classe sélectionnée",Distrib_Global_Classe_Selectionnee*EH$20,IF('01_Input'!$G$72="Frais KYC (paliers de 100M€)",MAX(0,Nb_Investisseurs-Nb_KYC_Gratuites_Par_Tranche*(FLOOR(EH$20/Taille_Tranche_KYC,1)+1))*Cout_Par_KYC_Supplementaire,(IF('01_Input'!$L$72="Forfait",IF(EH$20&gt;='01_Input'!$J$72,'01_Input'!$M$72,0),IF('01_Input'!$L$72="Palier",IF(AND(EH$20&gt;='01_Input'!$J$72,EH$20&lt;'01_Input'!$K$72),'01_Input'!$M$72,0),MAX(MIN(EH$20,'01_Input'!$K$72)-'01_Input'!$J$72,0)*'01_Input'!$M$72))+IF('01_Input'!$P$72="Forfait",IF(EH$20&gt;='01_Input'!$N$72,'01_Input'!$Q$72,0),IF('01_Input'!$P$72="Palier",IF(AND(EH$20&gt;='01_Input'!$N$72,EH$20&lt;'01_Input'!$O$72),'01_Input'!$Q$72,0),MAX(MIN(EH$20,'01_Input'!$O$72)-'01_Input'!$N$72,0)*'01_Input'!$Q$72))+IF('01_Input'!$T$72="Forfait",IF(EH$20&gt;='01_Input'!$R$72,'01_Input'!$U$72,0),IF('01_Input'!$T$72="Palier",IF(AND(EH$20&gt;='01_Input'!$R$72,EH$20&lt;'01_Input'!$S$72),'01_Input'!$U$72,0),MAX(MIN(EH$20,'01_Input'!$S$72)-'01_Input'!$R$72,0)*'01_Input'!$U$72))+IF('01_Input'!$X$72="Forfait",IF(EH$20&gt;='01_Input'!$V$72,'01_Input'!$Y$72,0),IF('01_Input'!$X$72="Palier",IF(AND(EH$20&gt;='01_Input'!$V$72,EH$20&lt;'01_Input'!$W$72),'01_Input'!$Y$72,0),MAX(MIN(EH$20,'01_Input'!$W$72)-'01_Input'!$V$72,0)*'01_Input'!$Y$72))+IF('01_Input'!$AB$72="Forfait",IF(EH$20&gt;='01_Input'!$Z$72,'01_Input'!$AC$72,0),IF('01_Input'!$AB$72="Palier",IF(AND(EH$20&gt;='01_Input'!$Z$72,EH$20&lt;'01_Input'!$AA$72),'01_Input'!$AC$72,0),MAX(MIN(EH$20,'01_Input'!$AA$72)-'01_Input'!$Z$72,0)*'01_Input'!$AC$72)))))))))</f>
        <v>0</v>
      </c>
      <c r="EI40" s="83">
        <f>IF('01_Input'!$C$72="Non",0,MIN('01_Input'!$I$72,MAX('01_Input'!$H$72,IF('01_Input'!$G$72="Résiduel vs Gestion",0,IF('01_Input'!$G$72="Taux Classe sélectionnée",Distrib_Global_Classe_Selectionnee*EI$20,IF('01_Input'!$G$72="Frais KYC (paliers de 100M€)",MAX(0,Nb_Investisseurs-Nb_KYC_Gratuites_Par_Tranche*(FLOOR(EI$20/Taille_Tranche_KYC,1)+1))*Cout_Par_KYC_Supplementaire,(IF('01_Input'!$L$72="Forfait",IF(EI$20&gt;='01_Input'!$J$72,'01_Input'!$M$72,0),IF('01_Input'!$L$72="Palier",IF(AND(EI$20&gt;='01_Input'!$J$72,EI$20&lt;'01_Input'!$K$72),'01_Input'!$M$72,0),MAX(MIN(EI$20,'01_Input'!$K$72)-'01_Input'!$J$72,0)*'01_Input'!$M$72))+IF('01_Input'!$P$72="Forfait",IF(EI$20&gt;='01_Input'!$N$72,'01_Input'!$Q$72,0),IF('01_Input'!$P$72="Palier",IF(AND(EI$20&gt;='01_Input'!$N$72,EI$20&lt;'01_Input'!$O$72),'01_Input'!$Q$72,0),MAX(MIN(EI$20,'01_Input'!$O$72)-'01_Input'!$N$72,0)*'01_Input'!$Q$72))+IF('01_Input'!$T$72="Forfait",IF(EI$20&gt;='01_Input'!$R$72,'01_Input'!$U$72,0),IF('01_Input'!$T$72="Palier",IF(AND(EI$20&gt;='01_Input'!$R$72,EI$20&lt;'01_Input'!$S$72),'01_Input'!$U$72,0),MAX(MIN(EI$20,'01_Input'!$S$72)-'01_Input'!$R$72,0)*'01_Input'!$U$72))+IF('01_Input'!$X$72="Forfait",IF(EI$20&gt;='01_Input'!$V$72,'01_Input'!$Y$72,0),IF('01_Input'!$X$72="Palier",IF(AND(EI$20&gt;='01_Input'!$V$72,EI$20&lt;'01_Input'!$W$72),'01_Input'!$Y$72,0),MAX(MIN(EI$20,'01_Input'!$W$72)-'01_Input'!$V$72,0)*'01_Input'!$Y$72))+IF('01_Input'!$AB$72="Forfait",IF(EI$20&gt;='01_Input'!$Z$72,'01_Input'!$AC$72,0),IF('01_Input'!$AB$72="Palier",IF(AND(EI$20&gt;='01_Input'!$Z$72,EI$20&lt;'01_Input'!$AA$72),'01_Input'!$AC$72,0),MAX(MIN(EI$20,'01_Input'!$AA$72)-'01_Input'!$Z$72,0)*'01_Input'!$AC$72)))))))))</f>
        <v>0</v>
      </c>
      <c r="EJ40" s="83">
        <f>IF('01_Input'!$C$72="Non",0,MIN('01_Input'!$I$72,MAX('01_Input'!$H$72,IF('01_Input'!$G$72="Résiduel vs Gestion",0,IF('01_Input'!$G$72="Taux Classe sélectionnée",Distrib_Global_Classe_Selectionnee*EJ$20,IF('01_Input'!$G$72="Frais KYC (paliers de 100M€)",MAX(0,Nb_Investisseurs-Nb_KYC_Gratuites_Par_Tranche*(FLOOR(EJ$20/Taille_Tranche_KYC,1)+1))*Cout_Par_KYC_Supplementaire,(IF('01_Input'!$L$72="Forfait",IF(EJ$20&gt;='01_Input'!$J$72,'01_Input'!$M$72,0),IF('01_Input'!$L$72="Palier",IF(AND(EJ$20&gt;='01_Input'!$J$72,EJ$20&lt;'01_Input'!$K$72),'01_Input'!$M$72,0),MAX(MIN(EJ$20,'01_Input'!$K$72)-'01_Input'!$J$72,0)*'01_Input'!$M$72))+IF('01_Input'!$P$72="Forfait",IF(EJ$20&gt;='01_Input'!$N$72,'01_Input'!$Q$72,0),IF('01_Input'!$P$72="Palier",IF(AND(EJ$20&gt;='01_Input'!$N$72,EJ$20&lt;'01_Input'!$O$72),'01_Input'!$Q$72,0),MAX(MIN(EJ$20,'01_Input'!$O$72)-'01_Input'!$N$72,0)*'01_Input'!$Q$72))+IF('01_Input'!$T$72="Forfait",IF(EJ$20&gt;='01_Input'!$R$72,'01_Input'!$U$72,0),IF('01_Input'!$T$72="Palier",IF(AND(EJ$20&gt;='01_Input'!$R$72,EJ$20&lt;'01_Input'!$S$72),'01_Input'!$U$72,0),MAX(MIN(EJ$20,'01_Input'!$S$72)-'01_Input'!$R$72,0)*'01_Input'!$U$72))+IF('01_Input'!$X$72="Forfait",IF(EJ$20&gt;='01_Input'!$V$72,'01_Input'!$Y$72,0),IF('01_Input'!$X$72="Palier",IF(AND(EJ$20&gt;='01_Input'!$V$72,EJ$20&lt;'01_Input'!$W$72),'01_Input'!$Y$72,0),MAX(MIN(EJ$20,'01_Input'!$W$72)-'01_Input'!$V$72,0)*'01_Input'!$Y$72))+IF('01_Input'!$AB$72="Forfait",IF(EJ$20&gt;='01_Input'!$Z$72,'01_Input'!$AC$72,0),IF('01_Input'!$AB$72="Palier",IF(AND(EJ$20&gt;='01_Input'!$Z$72,EJ$20&lt;'01_Input'!$AA$72),'01_Input'!$AC$72,0),MAX(MIN(EJ$20,'01_Input'!$AA$72)-'01_Input'!$Z$72,0)*'01_Input'!$AC$72)))))))))</f>
        <v>0</v>
      </c>
      <c r="EK40" s="83">
        <f>IF('01_Input'!$C$72="Non",0,MIN('01_Input'!$I$72,MAX('01_Input'!$H$72,IF('01_Input'!$G$72="Résiduel vs Gestion",0,IF('01_Input'!$G$72="Taux Classe sélectionnée",Distrib_Global_Classe_Selectionnee*EK$20,IF('01_Input'!$G$72="Frais KYC (paliers de 100M€)",MAX(0,Nb_Investisseurs-Nb_KYC_Gratuites_Par_Tranche*(FLOOR(EK$20/Taille_Tranche_KYC,1)+1))*Cout_Par_KYC_Supplementaire,(IF('01_Input'!$L$72="Forfait",IF(EK$20&gt;='01_Input'!$J$72,'01_Input'!$M$72,0),IF('01_Input'!$L$72="Palier",IF(AND(EK$20&gt;='01_Input'!$J$72,EK$20&lt;'01_Input'!$K$72),'01_Input'!$M$72,0),MAX(MIN(EK$20,'01_Input'!$K$72)-'01_Input'!$J$72,0)*'01_Input'!$M$72))+IF('01_Input'!$P$72="Forfait",IF(EK$20&gt;='01_Input'!$N$72,'01_Input'!$Q$72,0),IF('01_Input'!$P$72="Palier",IF(AND(EK$20&gt;='01_Input'!$N$72,EK$20&lt;'01_Input'!$O$72),'01_Input'!$Q$72,0),MAX(MIN(EK$20,'01_Input'!$O$72)-'01_Input'!$N$72,0)*'01_Input'!$Q$72))+IF('01_Input'!$T$72="Forfait",IF(EK$20&gt;='01_Input'!$R$72,'01_Input'!$U$72,0),IF('01_Input'!$T$72="Palier",IF(AND(EK$20&gt;='01_Input'!$R$72,EK$20&lt;'01_Input'!$S$72),'01_Input'!$U$72,0),MAX(MIN(EK$20,'01_Input'!$S$72)-'01_Input'!$R$72,0)*'01_Input'!$U$72))+IF('01_Input'!$X$72="Forfait",IF(EK$20&gt;='01_Input'!$V$72,'01_Input'!$Y$72,0),IF('01_Input'!$X$72="Palier",IF(AND(EK$20&gt;='01_Input'!$V$72,EK$20&lt;'01_Input'!$W$72),'01_Input'!$Y$72,0),MAX(MIN(EK$20,'01_Input'!$W$72)-'01_Input'!$V$72,0)*'01_Input'!$Y$72))+IF('01_Input'!$AB$72="Forfait",IF(EK$20&gt;='01_Input'!$Z$72,'01_Input'!$AC$72,0),IF('01_Input'!$AB$72="Palier",IF(AND(EK$20&gt;='01_Input'!$Z$72,EK$20&lt;'01_Input'!$AA$72),'01_Input'!$AC$72,0),MAX(MIN(EK$20,'01_Input'!$AA$72)-'01_Input'!$Z$72,0)*'01_Input'!$AC$72)))))))))</f>
        <v>0</v>
      </c>
      <c r="EL40" s="83">
        <f>IF('01_Input'!$C$72="Non",0,MIN('01_Input'!$I$72,MAX('01_Input'!$H$72,IF('01_Input'!$G$72="Résiduel vs Gestion",0,IF('01_Input'!$G$72="Taux Classe sélectionnée",Distrib_Global_Classe_Selectionnee*EL$20,IF('01_Input'!$G$72="Frais KYC (paliers de 100M€)",MAX(0,Nb_Investisseurs-Nb_KYC_Gratuites_Par_Tranche*(FLOOR(EL$20/Taille_Tranche_KYC,1)+1))*Cout_Par_KYC_Supplementaire,(IF('01_Input'!$L$72="Forfait",IF(EL$20&gt;='01_Input'!$J$72,'01_Input'!$M$72,0),IF('01_Input'!$L$72="Palier",IF(AND(EL$20&gt;='01_Input'!$J$72,EL$20&lt;'01_Input'!$K$72),'01_Input'!$M$72,0),MAX(MIN(EL$20,'01_Input'!$K$72)-'01_Input'!$J$72,0)*'01_Input'!$M$72))+IF('01_Input'!$P$72="Forfait",IF(EL$20&gt;='01_Input'!$N$72,'01_Input'!$Q$72,0),IF('01_Input'!$P$72="Palier",IF(AND(EL$20&gt;='01_Input'!$N$72,EL$20&lt;'01_Input'!$O$72),'01_Input'!$Q$72,0),MAX(MIN(EL$20,'01_Input'!$O$72)-'01_Input'!$N$72,0)*'01_Input'!$Q$72))+IF('01_Input'!$T$72="Forfait",IF(EL$20&gt;='01_Input'!$R$72,'01_Input'!$U$72,0),IF('01_Input'!$T$72="Palier",IF(AND(EL$20&gt;='01_Input'!$R$72,EL$20&lt;'01_Input'!$S$72),'01_Input'!$U$72,0),MAX(MIN(EL$20,'01_Input'!$S$72)-'01_Input'!$R$72,0)*'01_Input'!$U$72))+IF('01_Input'!$X$72="Forfait",IF(EL$20&gt;='01_Input'!$V$72,'01_Input'!$Y$72,0),IF('01_Input'!$X$72="Palier",IF(AND(EL$20&gt;='01_Input'!$V$72,EL$20&lt;'01_Input'!$W$72),'01_Input'!$Y$72,0),MAX(MIN(EL$20,'01_Input'!$W$72)-'01_Input'!$V$72,0)*'01_Input'!$Y$72))+IF('01_Input'!$AB$72="Forfait",IF(EL$20&gt;='01_Input'!$Z$72,'01_Input'!$AC$72,0),IF('01_Input'!$AB$72="Palier",IF(AND(EL$20&gt;='01_Input'!$Z$72,EL$20&lt;'01_Input'!$AA$72),'01_Input'!$AC$72,0),MAX(MIN(EL$20,'01_Input'!$AA$72)-'01_Input'!$Z$72,0)*'01_Input'!$AC$72)))))))))</f>
        <v>0</v>
      </c>
      <c r="EM40" s="83">
        <f>IF('01_Input'!$C$72="Non",0,MIN('01_Input'!$I$72,MAX('01_Input'!$H$72,IF('01_Input'!$G$72="Résiduel vs Gestion",0,IF('01_Input'!$G$72="Taux Classe sélectionnée",Distrib_Global_Classe_Selectionnee*EM$20,IF('01_Input'!$G$72="Frais KYC (paliers de 100M€)",MAX(0,Nb_Investisseurs-Nb_KYC_Gratuites_Par_Tranche*(FLOOR(EM$20/Taille_Tranche_KYC,1)+1))*Cout_Par_KYC_Supplementaire,(IF('01_Input'!$L$72="Forfait",IF(EM$20&gt;='01_Input'!$J$72,'01_Input'!$M$72,0),IF('01_Input'!$L$72="Palier",IF(AND(EM$20&gt;='01_Input'!$J$72,EM$20&lt;'01_Input'!$K$72),'01_Input'!$M$72,0),MAX(MIN(EM$20,'01_Input'!$K$72)-'01_Input'!$J$72,0)*'01_Input'!$M$72))+IF('01_Input'!$P$72="Forfait",IF(EM$20&gt;='01_Input'!$N$72,'01_Input'!$Q$72,0),IF('01_Input'!$P$72="Palier",IF(AND(EM$20&gt;='01_Input'!$N$72,EM$20&lt;'01_Input'!$O$72),'01_Input'!$Q$72,0),MAX(MIN(EM$20,'01_Input'!$O$72)-'01_Input'!$N$72,0)*'01_Input'!$Q$72))+IF('01_Input'!$T$72="Forfait",IF(EM$20&gt;='01_Input'!$R$72,'01_Input'!$U$72,0),IF('01_Input'!$T$72="Palier",IF(AND(EM$20&gt;='01_Input'!$R$72,EM$20&lt;'01_Input'!$S$72),'01_Input'!$U$72,0),MAX(MIN(EM$20,'01_Input'!$S$72)-'01_Input'!$R$72,0)*'01_Input'!$U$72))+IF('01_Input'!$X$72="Forfait",IF(EM$20&gt;='01_Input'!$V$72,'01_Input'!$Y$72,0),IF('01_Input'!$X$72="Palier",IF(AND(EM$20&gt;='01_Input'!$V$72,EM$20&lt;'01_Input'!$W$72),'01_Input'!$Y$72,0),MAX(MIN(EM$20,'01_Input'!$W$72)-'01_Input'!$V$72,0)*'01_Input'!$Y$72))+IF('01_Input'!$AB$72="Forfait",IF(EM$20&gt;='01_Input'!$Z$72,'01_Input'!$AC$72,0),IF('01_Input'!$AB$72="Palier",IF(AND(EM$20&gt;='01_Input'!$Z$72,EM$20&lt;'01_Input'!$AA$72),'01_Input'!$AC$72,0),MAX(MIN(EM$20,'01_Input'!$AA$72)-'01_Input'!$Z$72,0)*'01_Input'!$AC$72)))))))))</f>
        <v>0</v>
      </c>
      <c r="EN40" s="83">
        <f>IF('01_Input'!$C$72="Non",0,MIN('01_Input'!$I$72,MAX('01_Input'!$H$72,IF('01_Input'!$G$72="Résiduel vs Gestion",0,IF('01_Input'!$G$72="Taux Classe sélectionnée",Distrib_Global_Classe_Selectionnee*EN$20,IF('01_Input'!$G$72="Frais KYC (paliers de 100M€)",MAX(0,Nb_Investisseurs-Nb_KYC_Gratuites_Par_Tranche*(FLOOR(EN$20/Taille_Tranche_KYC,1)+1))*Cout_Par_KYC_Supplementaire,(IF('01_Input'!$L$72="Forfait",IF(EN$20&gt;='01_Input'!$J$72,'01_Input'!$M$72,0),IF('01_Input'!$L$72="Palier",IF(AND(EN$20&gt;='01_Input'!$J$72,EN$20&lt;'01_Input'!$K$72),'01_Input'!$M$72,0),MAX(MIN(EN$20,'01_Input'!$K$72)-'01_Input'!$J$72,0)*'01_Input'!$M$72))+IF('01_Input'!$P$72="Forfait",IF(EN$20&gt;='01_Input'!$N$72,'01_Input'!$Q$72,0),IF('01_Input'!$P$72="Palier",IF(AND(EN$20&gt;='01_Input'!$N$72,EN$20&lt;'01_Input'!$O$72),'01_Input'!$Q$72,0),MAX(MIN(EN$20,'01_Input'!$O$72)-'01_Input'!$N$72,0)*'01_Input'!$Q$72))+IF('01_Input'!$T$72="Forfait",IF(EN$20&gt;='01_Input'!$R$72,'01_Input'!$U$72,0),IF('01_Input'!$T$72="Palier",IF(AND(EN$20&gt;='01_Input'!$R$72,EN$20&lt;'01_Input'!$S$72),'01_Input'!$U$72,0),MAX(MIN(EN$20,'01_Input'!$S$72)-'01_Input'!$R$72,0)*'01_Input'!$U$72))+IF('01_Input'!$X$72="Forfait",IF(EN$20&gt;='01_Input'!$V$72,'01_Input'!$Y$72,0),IF('01_Input'!$X$72="Palier",IF(AND(EN$20&gt;='01_Input'!$V$72,EN$20&lt;'01_Input'!$W$72),'01_Input'!$Y$72,0),MAX(MIN(EN$20,'01_Input'!$W$72)-'01_Input'!$V$72,0)*'01_Input'!$Y$72))+IF('01_Input'!$AB$72="Forfait",IF(EN$20&gt;='01_Input'!$Z$72,'01_Input'!$AC$72,0),IF('01_Input'!$AB$72="Palier",IF(AND(EN$20&gt;='01_Input'!$Z$72,EN$20&lt;'01_Input'!$AA$72),'01_Input'!$AC$72,0),MAX(MIN(EN$20,'01_Input'!$AA$72)-'01_Input'!$Z$72,0)*'01_Input'!$AC$72)))))))))</f>
        <v>0</v>
      </c>
      <c r="EO40" s="83">
        <f>IF('01_Input'!$C$72="Non",0,MIN('01_Input'!$I$72,MAX('01_Input'!$H$72,IF('01_Input'!$G$72="Résiduel vs Gestion",0,IF('01_Input'!$G$72="Taux Classe sélectionnée",Distrib_Global_Classe_Selectionnee*EO$20,IF('01_Input'!$G$72="Frais KYC (paliers de 100M€)",MAX(0,Nb_Investisseurs-Nb_KYC_Gratuites_Par_Tranche*(FLOOR(EO$20/Taille_Tranche_KYC,1)+1))*Cout_Par_KYC_Supplementaire,(IF('01_Input'!$L$72="Forfait",IF(EO$20&gt;='01_Input'!$J$72,'01_Input'!$M$72,0),IF('01_Input'!$L$72="Palier",IF(AND(EO$20&gt;='01_Input'!$J$72,EO$20&lt;'01_Input'!$K$72),'01_Input'!$M$72,0),MAX(MIN(EO$20,'01_Input'!$K$72)-'01_Input'!$J$72,0)*'01_Input'!$M$72))+IF('01_Input'!$P$72="Forfait",IF(EO$20&gt;='01_Input'!$N$72,'01_Input'!$Q$72,0),IF('01_Input'!$P$72="Palier",IF(AND(EO$20&gt;='01_Input'!$N$72,EO$20&lt;'01_Input'!$O$72),'01_Input'!$Q$72,0),MAX(MIN(EO$20,'01_Input'!$O$72)-'01_Input'!$N$72,0)*'01_Input'!$Q$72))+IF('01_Input'!$T$72="Forfait",IF(EO$20&gt;='01_Input'!$R$72,'01_Input'!$U$72,0),IF('01_Input'!$T$72="Palier",IF(AND(EO$20&gt;='01_Input'!$R$72,EO$20&lt;'01_Input'!$S$72),'01_Input'!$U$72,0),MAX(MIN(EO$20,'01_Input'!$S$72)-'01_Input'!$R$72,0)*'01_Input'!$U$72))+IF('01_Input'!$X$72="Forfait",IF(EO$20&gt;='01_Input'!$V$72,'01_Input'!$Y$72,0),IF('01_Input'!$X$72="Palier",IF(AND(EO$20&gt;='01_Input'!$V$72,EO$20&lt;'01_Input'!$W$72),'01_Input'!$Y$72,0),MAX(MIN(EO$20,'01_Input'!$W$72)-'01_Input'!$V$72,0)*'01_Input'!$Y$72))+IF('01_Input'!$AB$72="Forfait",IF(EO$20&gt;='01_Input'!$Z$72,'01_Input'!$AC$72,0),IF('01_Input'!$AB$72="Palier",IF(AND(EO$20&gt;='01_Input'!$Z$72,EO$20&lt;'01_Input'!$AA$72),'01_Input'!$AC$72,0),MAX(MIN(EO$20,'01_Input'!$AA$72)-'01_Input'!$Z$72,0)*'01_Input'!$AC$72)))))))))</f>
        <v>0</v>
      </c>
      <c r="EP40" s="83">
        <f>IF('01_Input'!$C$72="Non",0,MIN('01_Input'!$I$72,MAX('01_Input'!$H$72,IF('01_Input'!$G$72="Résiduel vs Gestion",0,IF('01_Input'!$G$72="Taux Classe sélectionnée",Distrib_Global_Classe_Selectionnee*EP$20,IF('01_Input'!$G$72="Frais KYC (paliers de 100M€)",MAX(0,Nb_Investisseurs-Nb_KYC_Gratuites_Par_Tranche*(FLOOR(EP$20/Taille_Tranche_KYC,1)+1))*Cout_Par_KYC_Supplementaire,(IF('01_Input'!$L$72="Forfait",IF(EP$20&gt;='01_Input'!$J$72,'01_Input'!$M$72,0),IF('01_Input'!$L$72="Palier",IF(AND(EP$20&gt;='01_Input'!$J$72,EP$20&lt;'01_Input'!$K$72),'01_Input'!$M$72,0),MAX(MIN(EP$20,'01_Input'!$K$72)-'01_Input'!$J$72,0)*'01_Input'!$M$72))+IF('01_Input'!$P$72="Forfait",IF(EP$20&gt;='01_Input'!$N$72,'01_Input'!$Q$72,0),IF('01_Input'!$P$72="Palier",IF(AND(EP$20&gt;='01_Input'!$N$72,EP$20&lt;'01_Input'!$O$72),'01_Input'!$Q$72,0),MAX(MIN(EP$20,'01_Input'!$O$72)-'01_Input'!$N$72,0)*'01_Input'!$Q$72))+IF('01_Input'!$T$72="Forfait",IF(EP$20&gt;='01_Input'!$R$72,'01_Input'!$U$72,0),IF('01_Input'!$T$72="Palier",IF(AND(EP$20&gt;='01_Input'!$R$72,EP$20&lt;'01_Input'!$S$72),'01_Input'!$U$72,0),MAX(MIN(EP$20,'01_Input'!$S$72)-'01_Input'!$R$72,0)*'01_Input'!$U$72))+IF('01_Input'!$X$72="Forfait",IF(EP$20&gt;='01_Input'!$V$72,'01_Input'!$Y$72,0),IF('01_Input'!$X$72="Palier",IF(AND(EP$20&gt;='01_Input'!$V$72,EP$20&lt;'01_Input'!$W$72),'01_Input'!$Y$72,0),MAX(MIN(EP$20,'01_Input'!$W$72)-'01_Input'!$V$72,0)*'01_Input'!$Y$72))+IF('01_Input'!$AB$72="Forfait",IF(EP$20&gt;='01_Input'!$Z$72,'01_Input'!$AC$72,0),IF('01_Input'!$AB$72="Palier",IF(AND(EP$20&gt;='01_Input'!$Z$72,EP$20&lt;'01_Input'!$AA$72),'01_Input'!$AC$72,0),MAX(MIN(EP$20,'01_Input'!$AA$72)-'01_Input'!$Z$72,0)*'01_Input'!$AC$72)))))))))</f>
        <v>0</v>
      </c>
      <c r="EQ40" s="83">
        <f>IF('01_Input'!$C$72="Non",0,MIN('01_Input'!$I$72,MAX('01_Input'!$H$72,IF('01_Input'!$G$72="Résiduel vs Gestion",0,IF('01_Input'!$G$72="Taux Classe sélectionnée",Distrib_Global_Classe_Selectionnee*EQ$20,IF('01_Input'!$G$72="Frais KYC (paliers de 100M€)",MAX(0,Nb_Investisseurs-Nb_KYC_Gratuites_Par_Tranche*(FLOOR(EQ$20/Taille_Tranche_KYC,1)+1))*Cout_Par_KYC_Supplementaire,(IF('01_Input'!$L$72="Forfait",IF(EQ$20&gt;='01_Input'!$J$72,'01_Input'!$M$72,0),IF('01_Input'!$L$72="Palier",IF(AND(EQ$20&gt;='01_Input'!$J$72,EQ$20&lt;'01_Input'!$K$72),'01_Input'!$M$72,0),MAX(MIN(EQ$20,'01_Input'!$K$72)-'01_Input'!$J$72,0)*'01_Input'!$M$72))+IF('01_Input'!$P$72="Forfait",IF(EQ$20&gt;='01_Input'!$N$72,'01_Input'!$Q$72,0),IF('01_Input'!$P$72="Palier",IF(AND(EQ$20&gt;='01_Input'!$N$72,EQ$20&lt;'01_Input'!$O$72),'01_Input'!$Q$72,0),MAX(MIN(EQ$20,'01_Input'!$O$72)-'01_Input'!$N$72,0)*'01_Input'!$Q$72))+IF('01_Input'!$T$72="Forfait",IF(EQ$20&gt;='01_Input'!$R$72,'01_Input'!$U$72,0),IF('01_Input'!$T$72="Palier",IF(AND(EQ$20&gt;='01_Input'!$R$72,EQ$20&lt;'01_Input'!$S$72),'01_Input'!$U$72,0),MAX(MIN(EQ$20,'01_Input'!$S$72)-'01_Input'!$R$72,0)*'01_Input'!$U$72))+IF('01_Input'!$X$72="Forfait",IF(EQ$20&gt;='01_Input'!$V$72,'01_Input'!$Y$72,0),IF('01_Input'!$X$72="Palier",IF(AND(EQ$20&gt;='01_Input'!$V$72,EQ$20&lt;'01_Input'!$W$72),'01_Input'!$Y$72,0),MAX(MIN(EQ$20,'01_Input'!$W$72)-'01_Input'!$V$72,0)*'01_Input'!$Y$72))+IF('01_Input'!$AB$72="Forfait",IF(EQ$20&gt;='01_Input'!$Z$72,'01_Input'!$AC$72,0),IF('01_Input'!$AB$72="Palier",IF(AND(EQ$20&gt;='01_Input'!$Z$72,EQ$20&lt;'01_Input'!$AA$72),'01_Input'!$AC$72,0),MAX(MIN(EQ$20,'01_Input'!$AA$72)-'01_Input'!$Z$72,0)*'01_Input'!$AC$72)))))))))</f>
        <v>0</v>
      </c>
      <c r="ER40" s="83">
        <f>IF('01_Input'!$C$72="Non",0,MIN('01_Input'!$I$72,MAX('01_Input'!$H$72,IF('01_Input'!$G$72="Résiduel vs Gestion",0,IF('01_Input'!$G$72="Taux Classe sélectionnée",Distrib_Global_Classe_Selectionnee*ER$20,IF('01_Input'!$G$72="Frais KYC (paliers de 100M€)",MAX(0,Nb_Investisseurs-Nb_KYC_Gratuites_Par_Tranche*(FLOOR(ER$20/Taille_Tranche_KYC,1)+1))*Cout_Par_KYC_Supplementaire,(IF('01_Input'!$L$72="Forfait",IF(ER$20&gt;='01_Input'!$J$72,'01_Input'!$M$72,0),IF('01_Input'!$L$72="Palier",IF(AND(ER$20&gt;='01_Input'!$J$72,ER$20&lt;'01_Input'!$K$72),'01_Input'!$M$72,0),MAX(MIN(ER$20,'01_Input'!$K$72)-'01_Input'!$J$72,0)*'01_Input'!$M$72))+IF('01_Input'!$P$72="Forfait",IF(ER$20&gt;='01_Input'!$N$72,'01_Input'!$Q$72,0),IF('01_Input'!$P$72="Palier",IF(AND(ER$20&gt;='01_Input'!$N$72,ER$20&lt;'01_Input'!$O$72),'01_Input'!$Q$72,0),MAX(MIN(ER$20,'01_Input'!$O$72)-'01_Input'!$N$72,0)*'01_Input'!$Q$72))+IF('01_Input'!$T$72="Forfait",IF(ER$20&gt;='01_Input'!$R$72,'01_Input'!$U$72,0),IF('01_Input'!$T$72="Palier",IF(AND(ER$20&gt;='01_Input'!$R$72,ER$20&lt;'01_Input'!$S$72),'01_Input'!$U$72,0),MAX(MIN(ER$20,'01_Input'!$S$72)-'01_Input'!$R$72,0)*'01_Input'!$U$72))+IF('01_Input'!$X$72="Forfait",IF(ER$20&gt;='01_Input'!$V$72,'01_Input'!$Y$72,0),IF('01_Input'!$X$72="Palier",IF(AND(ER$20&gt;='01_Input'!$V$72,ER$20&lt;'01_Input'!$W$72),'01_Input'!$Y$72,0),MAX(MIN(ER$20,'01_Input'!$W$72)-'01_Input'!$V$72,0)*'01_Input'!$Y$72))+IF('01_Input'!$AB$72="Forfait",IF(ER$20&gt;='01_Input'!$Z$72,'01_Input'!$AC$72,0),IF('01_Input'!$AB$72="Palier",IF(AND(ER$20&gt;='01_Input'!$Z$72,ER$20&lt;'01_Input'!$AA$72),'01_Input'!$AC$72,0),MAX(MIN(ER$20,'01_Input'!$AA$72)-'01_Input'!$Z$72,0)*'01_Input'!$AC$72)))))))))</f>
        <v>0</v>
      </c>
      <c r="ES40" s="83">
        <f>IF('01_Input'!$C$72="Non",0,MIN('01_Input'!$I$72,MAX('01_Input'!$H$72,IF('01_Input'!$G$72="Résiduel vs Gestion",0,IF('01_Input'!$G$72="Taux Classe sélectionnée",Distrib_Global_Classe_Selectionnee*ES$20,IF('01_Input'!$G$72="Frais KYC (paliers de 100M€)",MAX(0,Nb_Investisseurs-Nb_KYC_Gratuites_Par_Tranche*(FLOOR(ES$20/Taille_Tranche_KYC,1)+1))*Cout_Par_KYC_Supplementaire,(IF('01_Input'!$L$72="Forfait",IF(ES$20&gt;='01_Input'!$J$72,'01_Input'!$M$72,0),IF('01_Input'!$L$72="Palier",IF(AND(ES$20&gt;='01_Input'!$J$72,ES$20&lt;'01_Input'!$K$72),'01_Input'!$M$72,0),MAX(MIN(ES$20,'01_Input'!$K$72)-'01_Input'!$J$72,0)*'01_Input'!$M$72))+IF('01_Input'!$P$72="Forfait",IF(ES$20&gt;='01_Input'!$N$72,'01_Input'!$Q$72,0),IF('01_Input'!$P$72="Palier",IF(AND(ES$20&gt;='01_Input'!$N$72,ES$20&lt;'01_Input'!$O$72),'01_Input'!$Q$72,0),MAX(MIN(ES$20,'01_Input'!$O$72)-'01_Input'!$N$72,0)*'01_Input'!$Q$72))+IF('01_Input'!$T$72="Forfait",IF(ES$20&gt;='01_Input'!$R$72,'01_Input'!$U$72,0),IF('01_Input'!$T$72="Palier",IF(AND(ES$20&gt;='01_Input'!$R$72,ES$20&lt;'01_Input'!$S$72),'01_Input'!$U$72,0),MAX(MIN(ES$20,'01_Input'!$S$72)-'01_Input'!$R$72,0)*'01_Input'!$U$72))+IF('01_Input'!$X$72="Forfait",IF(ES$20&gt;='01_Input'!$V$72,'01_Input'!$Y$72,0),IF('01_Input'!$X$72="Palier",IF(AND(ES$20&gt;='01_Input'!$V$72,ES$20&lt;'01_Input'!$W$72),'01_Input'!$Y$72,0),MAX(MIN(ES$20,'01_Input'!$W$72)-'01_Input'!$V$72,0)*'01_Input'!$Y$72))+IF('01_Input'!$AB$72="Forfait",IF(ES$20&gt;='01_Input'!$Z$72,'01_Input'!$AC$72,0),IF('01_Input'!$AB$72="Palier",IF(AND(ES$20&gt;='01_Input'!$Z$72,ES$20&lt;'01_Input'!$AA$72),'01_Input'!$AC$72,0),MAX(MIN(ES$20,'01_Input'!$AA$72)-'01_Input'!$Z$72,0)*'01_Input'!$AC$72)))))))))</f>
        <v>0</v>
      </c>
      <c r="ET40" s="83">
        <f>IF('01_Input'!$C$72="Non",0,MIN('01_Input'!$I$72,MAX('01_Input'!$H$72,IF('01_Input'!$G$72="Résiduel vs Gestion",0,IF('01_Input'!$G$72="Taux Classe sélectionnée",Distrib_Global_Classe_Selectionnee*ET$20,IF('01_Input'!$G$72="Frais KYC (paliers de 100M€)",MAX(0,Nb_Investisseurs-Nb_KYC_Gratuites_Par_Tranche*(FLOOR(ET$20/Taille_Tranche_KYC,1)+1))*Cout_Par_KYC_Supplementaire,(IF('01_Input'!$L$72="Forfait",IF(ET$20&gt;='01_Input'!$J$72,'01_Input'!$M$72,0),IF('01_Input'!$L$72="Palier",IF(AND(ET$20&gt;='01_Input'!$J$72,ET$20&lt;'01_Input'!$K$72),'01_Input'!$M$72,0),MAX(MIN(ET$20,'01_Input'!$K$72)-'01_Input'!$J$72,0)*'01_Input'!$M$72))+IF('01_Input'!$P$72="Forfait",IF(ET$20&gt;='01_Input'!$N$72,'01_Input'!$Q$72,0),IF('01_Input'!$P$72="Palier",IF(AND(ET$20&gt;='01_Input'!$N$72,ET$20&lt;'01_Input'!$O$72),'01_Input'!$Q$72,0),MAX(MIN(ET$20,'01_Input'!$O$72)-'01_Input'!$N$72,0)*'01_Input'!$Q$72))+IF('01_Input'!$T$72="Forfait",IF(ET$20&gt;='01_Input'!$R$72,'01_Input'!$U$72,0),IF('01_Input'!$T$72="Palier",IF(AND(ET$20&gt;='01_Input'!$R$72,ET$20&lt;'01_Input'!$S$72),'01_Input'!$U$72,0),MAX(MIN(ET$20,'01_Input'!$S$72)-'01_Input'!$R$72,0)*'01_Input'!$U$72))+IF('01_Input'!$X$72="Forfait",IF(ET$20&gt;='01_Input'!$V$72,'01_Input'!$Y$72,0),IF('01_Input'!$X$72="Palier",IF(AND(ET$20&gt;='01_Input'!$V$72,ET$20&lt;'01_Input'!$W$72),'01_Input'!$Y$72,0),MAX(MIN(ET$20,'01_Input'!$W$72)-'01_Input'!$V$72,0)*'01_Input'!$Y$72))+IF('01_Input'!$AB$72="Forfait",IF(ET$20&gt;='01_Input'!$Z$72,'01_Input'!$AC$72,0),IF('01_Input'!$AB$72="Palier",IF(AND(ET$20&gt;='01_Input'!$Z$72,ET$20&lt;'01_Input'!$AA$72),'01_Input'!$AC$72,0),MAX(MIN(ET$20,'01_Input'!$AA$72)-'01_Input'!$Z$72,0)*'01_Input'!$AC$72)))))))))</f>
        <v>0</v>
      </c>
      <c r="EU40" s="83">
        <f>IF('01_Input'!$C$72="Non",0,MIN('01_Input'!$I$72,MAX('01_Input'!$H$72,IF('01_Input'!$G$72="Résiduel vs Gestion",0,IF('01_Input'!$G$72="Taux Classe sélectionnée",Distrib_Global_Classe_Selectionnee*EU$20,IF('01_Input'!$G$72="Frais KYC (paliers de 100M€)",MAX(0,Nb_Investisseurs-Nb_KYC_Gratuites_Par_Tranche*(FLOOR(EU$20/Taille_Tranche_KYC,1)+1))*Cout_Par_KYC_Supplementaire,(IF('01_Input'!$L$72="Forfait",IF(EU$20&gt;='01_Input'!$J$72,'01_Input'!$M$72,0),IF('01_Input'!$L$72="Palier",IF(AND(EU$20&gt;='01_Input'!$J$72,EU$20&lt;'01_Input'!$K$72),'01_Input'!$M$72,0),MAX(MIN(EU$20,'01_Input'!$K$72)-'01_Input'!$J$72,0)*'01_Input'!$M$72))+IF('01_Input'!$P$72="Forfait",IF(EU$20&gt;='01_Input'!$N$72,'01_Input'!$Q$72,0),IF('01_Input'!$P$72="Palier",IF(AND(EU$20&gt;='01_Input'!$N$72,EU$20&lt;'01_Input'!$O$72),'01_Input'!$Q$72,0),MAX(MIN(EU$20,'01_Input'!$O$72)-'01_Input'!$N$72,0)*'01_Input'!$Q$72))+IF('01_Input'!$T$72="Forfait",IF(EU$20&gt;='01_Input'!$R$72,'01_Input'!$U$72,0),IF('01_Input'!$T$72="Palier",IF(AND(EU$20&gt;='01_Input'!$R$72,EU$20&lt;'01_Input'!$S$72),'01_Input'!$U$72,0),MAX(MIN(EU$20,'01_Input'!$S$72)-'01_Input'!$R$72,0)*'01_Input'!$U$72))+IF('01_Input'!$X$72="Forfait",IF(EU$20&gt;='01_Input'!$V$72,'01_Input'!$Y$72,0),IF('01_Input'!$X$72="Palier",IF(AND(EU$20&gt;='01_Input'!$V$72,EU$20&lt;'01_Input'!$W$72),'01_Input'!$Y$72,0),MAX(MIN(EU$20,'01_Input'!$W$72)-'01_Input'!$V$72,0)*'01_Input'!$Y$72))+IF('01_Input'!$AB$72="Forfait",IF(EU$20&gt;='01_Input'!$Z$72,'01_Input'!$AC$72,0),IF('01_Input'!$AB$72="Palier",IF(AND(EU$20&gt;='01_Input'!$Z$72,EU$20&lt;'01_Input'!$AA$72),'01_Input'!$AC$72,0),MAX(MIN(EU$20,'01_Input'!$AA$72)-'01_Input'!$Z$72,0)*'01_Input'!$AC$72)))))))))</f>
        <v>0</v>
      </c>
      <c r="EV40" s="83">
        <f>IF('01_Input'!$C$72="Non",0,MIN('01_Input'!$I$72,MAX('01_Input'!$H$72,IF('01_Input'!$G$72="Résiduel vs Gestion",0,IF('01_Input'!$G$72="Taux Classe sélectionnée",Distrib_Global_Classe_Selectionnee*EV$20,IF('01_Input'!$G$72="Frais KYC (paliers de 100M€)",MAX(0,Nb_Investisseurs-Nb_KYC_Gratuites_Par_Tranche*(FLOOR(EV$20/Taille_Tranche_KYC,1)+1))*Cout_Par_KYC_Supplementaire,(IF('01_Input'!$L$72="Forfait",IF(EV$20&gt;='01_Input'!$J$72,'01_Input'!$M$72,0),IF('01_Input'!$L$72="Palier",IF(AND(EV$20&gt;='01_Input'!$J$72,EV$20&lt;'01_Input'!$K$72),'01_Input'!$M$72,0),MAX(MIN(EV$20,'01_Input'!$K$72)-'01_Input'!$J$72,0)*'01_Input'!$M$72))+IF('01_Input'!$P$72="Forfait",IF(EV$20&gt;='01_Input'!$N$72,'01_Input'!$Q$72,0),IF('01_Input'!$P$72="Palier",IF(AND(EV$20&gt;='01_Input'!$N$72,EV$20&lt;'01_Input'!$O$72),'01_Input'!$Q$72,0),MAX(MIN(EV$20,'01_Input'!$O$72)-'01_Input'!$N$72,0)*'01_Input'!$Q$72))+IF('01_Input'!$T$72="Forfait",IF(EV$20&gt;='01_Input'!$R$72,'01_Input'!$U$72,0),IF('01_Input'!$T$72="Palier",IF(AND(EV$20&gt;='01_Input'!$R$72,EV$20&lt;'01_Input'!$S$72),'01_Input'!$U$72,0),MAX(MIN(EV$20,'01_Input'!$S$72)-'01_Input'!$R$72,0)*'01_Input'!$U$72))+IF('01_Input'!$X$72="Forfait",IF(EV$20&gt;='01_Input'!$V$72,'01_Input'!$Y$72,0),IF('01_Input'!$X$72="Palier",IF(AND(EV$20&gt;='01_Input'!$V$72,EV$20&lt;'01_Input'!$W$72),'01_Input'!$Y$72,0),MAX(MIN(EV$20,'01_Input'!$W$72)-'01_Input'!$V$72,0)*'01_Input'!$Y$72))+IF('01_Input'!$AB$72="Forfait",IF(EV$20&gt;='01_Input'!$Z$72,'01_Input'!$AC$72,0),IF('01_Input'!$AB$72="Palier",IF(AND(EV$20&gt;='01_Input'!$Z$72,EV$20&lt;'01_Input'!$AA$72),'01_Input'!$AC$72,0),MAX(MIN(EV$20,'01_Input'!$AA$72)-'01_Input'!$Z$72,0)*'01_Input'!$AC$72)))))))))</f>
        <v>0</v>
      </c>
      <c r="EW40" s="83">
        <f>IF('01_Input'!$C$72="Non",0,MIN('01_Input'!$I$72,MAX('01_Input'!$H$72,IF('01_Input'!$G$72="Résiduel vs Gestion",0,IF('01_Input'!$G$72="Taux Classe sélectionnée",Distrib_Global_Classe_Selectionnee*EW$20,IF('01_Input'!$G$72="Frais KYC (paliers de 100M€)",MAX(0,Nb_Investisseurs-Nb_KYC_Gratuites_Par_Tranche*(FLOOR(EW$20/Taille_Tranche_KYC,1)+1))*Cout_Par_KYC_Supplementaire,(IF('01_Input'!$L$72="Forfait",IF(EW$20&gt;='01_Input'!$J$72,'01_Input'!$M$72,0),IF('01_Input'!$L$72="Palier",IF(AND(EW$20&gt;='01_Input'!$J$72,EW$20&lt;'01_Input'!$K$72),'01_Input'!$M$72,0),MAX(MIN(EW$20,'01_Input'!$K$72)-'01_Input'!$J$72,0)*'01_Input'!$M$72))+IF('01_Input'!$P$72="Forfait",IF(EW$20&gt;='01_Input'!$N$72,'01_Input'!$Q$72,0),IF('01_Input'!$P$72="Palier",IF(AND(EW$20&gt;='01_Input'!$N$72,EW$20&lt;'01_Input'!$O$72),'01_Input'!$Q$72,0),MAX(MIN(EW$20,'01_Input'!$O$72)-'01_Input'!$N$72,0)*'01_Input'!$Q$72))+IF('01_Input'!$T$72="Forfait",IF(EW$20&gt;='01_Input'!$R$72,'01_Input'!$U$72,0),IF('01_Input'!$T$72="Palier",IF(AND(EW$20&gt;='01_Input'!$R$72,EW$20&lt;'01_Input'!$S$72),'01_Input'!$U$72,0),MAX(MIN(EW$20,'01_Input'!$S$72)-'01_Input'!$R$72,0)*'01_Input'!$U$72))+IF('01_Input'!$X$72="Forfait",IF(EW$20&gt;='01_Input'!$V$72,'01_Input'!$Y$72,0),IF('01_Input'!$X$72="Palier",IF(AND(EW$20&gt;='01_Input'!$V$72,EW$20&lt;'01_Input'!$W$72),'01_Input'!$Y$72,0),MAX(MIN(EW$20,'01_Input'!$W$72)-'01_Input'!$V$72,0)*'01_Input'!$Y$72))+IF('01_Input'!$AB$72="Forfait",IF(EW$20&gt;='01_Input'!$Z$72,'01_Input'!$AC$72,0),IF('01_Input'!$AB$72="Palier",IF(AND(EW$20&gt;='01_Input'!$Z$72,EW$20&lt;'01_Input'!$AA$72),'01_Input'!$AC$72,0),MAX(MIN(EW$20,'01_Input'!$AA$72)-'01_Input'!$Z$72,0)*'01_Input'!$AC$72)))))))))</f>
        <v>0</v>
      </c>
      <c r="EX40" s="83">
        <f>IF('01_Input'!$C$72="Non",0,MIN('01_Input'!$I$72,MAX('01_Input'!$H$72,IF('01_Input'!$G$72="Résiduel vs Gestion",0,IF('01_Input'!$G$72="Taux Classe sélectionnée",Distrib_Global_Classe_Selectionnee*EX$20,IF('01_Input'!$G$72="Frais KYC (paliers de 100M€)",MAX(0,Nb_Investisseurs-Nb_KYC_Gratuites_Par_Tranche*(FLOOR(EX$20/Taille_Tranche_KYC,1)+1))*Cout_Par_KYC_Supplementaire,(IF('01_Input'!$L$72="Forfait",IF(EX$20&gt;='01_Input'!$J$72,'01_Input'!$M$72,0),IF('01_Input'!$L$72="Palier",IF(AND(EX$20&gt;='01_Input'!$J$72,EX$20&lt;'01_Input'!$K$72),'01_Input'!$M$72,0),MAX(MIN(EX$20,'01_Input'!$K$72)-'01_Input'!$J$72,0)*'01_Input'!$M$72))+IF('01_Input'!$P$72="Forfait",IF(EX$20&gt;='01_Input'!$N$72,'01_Input'!$Q$72,0),IF('01_Input'!$P$72="Palier",IF(AND(EX$20&gt;='01_Input'!$N$72,EX$20&lt;'01_Input'!$O$72),'01_Input'!$Q$72,0),MAX(MIN(EX$20,'01_Input'!$O$72)-'01_Input'!$N$72,0)*'01_Input'!$Q$72))+IF('01_Input'!$T$72="Forfait",IF(EX$20&gt;='01_Input'!$R$72,'01_Input'!$U$72,0),IF('01_Input'!$T$72="Palier",IF(AND(EX$20&gt;='01_Input'!$R$72,EX$20&lt;'01_Input'!$S$72),'01_Input'!$U$72,0),MAX(MIN(EX$20,'01_Input'!$S$72)-'01_Input'!$R$72,0)*'01_Input'!$U$72))+IF('01_Input'!$X$72="Forfait",IF(EX$20&gt;='01_Input'!$V$72,'01_Input'!$Y$72,0),IF('01_Input'!$X$72="Palier",IF(AND(EX$20&gt;='01_Input'!$V$72,EX$20&lt;'01_Input'!$W$72),'01_Input'!$Y$72,0),MAX(MIN(EX$20,'01_Input'!$W$72)-'01_Input'!$V$72,0)*'01_Input'!$Y$72))+IF('01_Input'!$AB$72="Forfait",IF(EX$20&gt;='01_Input'!$Z$72,'01_Input'!$AC$72,0),IF('01_Input'!$AB$72="Palier",IF(AND(EX$20&gt;='01_Input'!$Z$72,EX$20&lt;'01_Input'!$AA$72),'01_Input'!$AC$72,0),MAX(MIN(EX$20,'01_Input'!$AA$72)-'01_Input'!$Z$72,0)*'01_Input'!$AC$72)))))))))</f>
        <v>0</v>
      </c>
    </row>
    <row r="41" ht="15.75" customHeight="1"/>
    <row r="42" ht="15.75" customHeight="1">
      <c r="B42" s="79" t="s">
        <v>289</v>
      </c>
      <c r="E42" s="89">
        <f t="shared" ref="E42:EX42" si="1">SUM(E21:E40)</f>
        <v>166092</v>
      </c>
      <c r="F42" s="89">
        <f t="shared" si="1"/>
        <v>238592</v>
      </c>
      <c r="G42" s="89">
        <f t="shared" si="1"/>
        <v>311092</v>
      </c>
      <c r="H42" s="89">
        <f t="shared" si="1"/>
        <v>383592</v>
      </c>
      <c r="I42" s="89">
        <f t="shared" si="1"/>
        <v>456092</v>
      </c>
      <c r="J42" s="89">
        <f t="shared" si="1"/>
        <v>528592</v>
      </c>
      <c r="K42" s="89">
        <f t="shared" si="1"/>
        <v>604092</v>
      </c>
      <c r="L42" s="89">
        <f t="shared" si="1"/>
        <v>687592</v>
      </c>
      <c r="M42" s="89">
        <f t="shared" si="1"/>
        <v>770592</v>
      </c>
      <c r="N42" s="89">
        <f t="shared" si="1"/>
        <v>853592</v>
      </c>
      <c r="O42" s="89">
        <f t="shared" si="1"/>
        <v>3400949592</v>
      </c>
      <c r="P42" s="89">
        <f t="shared" si="1"/>
        <v>3400949592</v>
      </c>
      <c r="Q42" s="89">
        <f t="shared" si="1"/>
        <v>3400949592</v>
      </c>
      <c r="R42" s="89">
        <f t="shared" si="1"/>
        <v>3400949592</v>
      </c>
      <c r="S42" s="89">
        <f t="shared" si="1"/>
        <v>3400949592</v>
      </c>
      <c r="T42" s="89">
        <f t="shared" si="1"/>
        <v>3400949592</v>
      </c>
      <c r="U42" s="89">
        <f t="shared" si="1"/>
        <v>3400949592</v>
      </c>
      <c r="V42" s="89">
        <f t="shared" si="1"/>
        <v>3400949592</v>
      </c>
      <c r="W42" s="89">
        <f t="shared" si="1"/>
        <v>3400949592</v>
      </c>
      <c r="X42" s="89">
        <f t="shared" si="1"/>
        <v>3400949592</v>
      </c>
      <c r="Y42" s="89">
        <f t="shared" si="1"/>
        <v>3400949592</v>
      </c>
      <c r="Z42" s="89">
        <f t="shared" si="1"/>
        <v>3400949592</v>
      </c>
      <c r="AA42" s="89">
        <f t="shared" si="1"/>
        <v>3400949592</v>
      </c>
      <c r="AB42" s="89">
        <f t="shared" si="1"/>
        <v>3400949592</v>
      </c>
      <c r="AC42" s="89">
        <f t="shared" si="1"/>
        <v>3400949592</v>
      </c>
      <c r="AD42" s="89">
        <f t="shared" si="1"/>
        <v>3400949592</v>
      </c>
      <c r="AE42" s="89">
        <f t="shared" si="1"/>
        <v>3400949592</v>
      </c>
      <c r="AF42" s="89">
        <f t="shared" si="1"/>
        <v>3400949592</v>
      </c>
      <c r="AG42" s="89">
        <f t="shared" si="1"/>
        <v>3400949592</v>
      </c>
      <c r="AH42" s="89">
        <f t="shared" si="1"/>
        <v>3400949592</v>
      </c>
      <c r="AI42" s="89">
        <f t="shared" si="1"/>
        <v>3400949592</v>
      </c>
      <c r="AJ42" s="89">
        <f t="shared" si="1"/>
        <v>3400949592</v>
      </c>
      <c r="AK42" s="89">
        <f t="shared" si="1"/>
        <v>3400949592</v>
      </c>
      <c r="AL42" s="89">
        <f t="shared" si="1"/>
        <v>3400949592</v>
      </c>
      <c r="AM42" s="89">
        <f t="shared" si="1"/>
        <v>3400949592</v>
      </c>
      <c r="AN42" s="89">
        <f t="shared" si="1"/>
        <v>3400949592</v>
      </c>
      <c r="AO42" s="89">
        <f t="shared" si="1"/>
        <v>3400949592</v>
      </c>
      <c r="AP42" s="89">
        <f t="shared" si="1"/>
        <v>3400949592</v>
      </c>
      <c r="AQ42" s="89">
        <f t="shared" si="1"/>
        <v>3400949592</v>
      </c>
      <c r="AR42" s="89">
        <f t="shared" si="1"/>
        <v>3400949592</v>
      </c>
      <c r="AS42" s="89">
        <f t="shared" si="1"/>
        <v>3400949592</v>
      </c>
      <c r="AT42" s="89">
        <f t="shared" si="1"/>
        <v>3400949592</v>
      </c>
      <c r="AU42" s="89">
        <f t="shared" si="1"/>
        <v>3400949592</v>
      </c>
      <c r="AV42" s="89">
        <f t="shared" si="1"/>
        <v>3400949592</v>
      </c>
      <c r="AW42" s="89">
        <f t="shared" si="1"/>
        <v>3400949592</v>
      </c>
      <c r="AX42" s="89">
        <f t="shared" si="1"/>
        <v>3400949592</v>
      </c>
      <c r="AY42" s="89">
        <f t="shared" si="1"/>
        <v>3400949592</v>
      </c>
      <c r="AZ42" s="89">
        <f t="shared" si="1"/>
        <v>3400949592</v>
      </c>
      <c r="BA42" s="89">
        <f t="shared" si="1"/>
        <v>3400949592</v>
      </c>
      <c r="BB42" s="89">
        <f t="shared" si="1"/>
        <v>3400949592</v>
      </c>
      <c r="BC42" s="89">
        <f t="shared" si="1"/>
        <v>3400949592</v>
      </c>
      <c r="BD42" s="89">
        <f t="shared" si="1"/>
        <v>3400949592</v>
      </c>
      <c r="BE42" s="89">
        <f t="shared" si="1"/>
        <v>3400949592</v>
      </c>
      <c r="BF42" s="89">
        <f t="shared" si="1"/>
        <v>3400949592</v>
      </c>
      <c r="BG42" s="89">
        <f t="shared" si="1"/>
        <v>3400949592</v>
      </c>
      <c r="BH42" s="89">
        <f t="shared" si="1"/>
        <v>3400949592</v>
      </c>
      <c r="BI42" s="89">
        <f t="shared" si="1"/>
        <v>3400949592</v>
      </c>
      <c r="BJ42" s="89">
        <f t="shared" si="1"/>
        <v>3400949592</v>
      </c>
      <c r="BK42" s="89">
        <f t="shared" si="1"/>
        <v>3400949592</v>
      </c>
      <c r="BL42" s="89">
        <f t="shared" si="1"/>
        <v>3400949592</v>
      </c>
      <c r="BM42" s="89">
        <f t="shared" si="1"/>
        <v>3400949592</v>
      </c>
      <c r="BN42" s="89">
        <f t="shared" si="1"/>
        <v>3400949592</v>
      </c>
      <c r="BO42" s="89">
        <f t="shared" si="1"/>
        <v>3400949592</v>
      </c>
      <c r="BP42" s="89">
        <f t="shared" si="1"/>
        <v>3400949592</v>
      </c>
      <c r="BQ42" s="89">
        <f t="shared" si="1"/>
        <v>3400949592</v>
      </c>
      <c r="BR42" s="89">
        <f t="shared" si="1"/>
        <v>3400949592</v>
      </c>
      <c r="BS42" s="89">
        <f t="shared" si="1"/>
        <v>3400949592</v>
      </c>
      <c r="BT42" s="89">
        <f t="shared" si="1"/>
        <v>3400949592</v>
      </c>
      <c r="BU42" s="89">
        <f t="shared" si="1"/>
        <v>3400949592</v>
      </c>
      <c r="BV42" s="89">
        <f t="shared" si="1"/>
        <v>3400949592</v>
      </c>
      <c r="BW42" s="89">
        <f t="shared" si="1"/>
        <v>3400949592</v>
      </c>
      <c r="BX42" s="89">
        <f t="shared" si="1"/>
        <v>3400949592</v>
      </c>
      <c r="BY42" s="89">
        <f t="shared" si="1"/>
        <v>3400949592</v>
      </c>
      <c r="BZ42" s="89">
        <f t="shared" si="1"/>
        <v>3400949592</v>
      </c>
      <c r="CA42" s="89">
        <f t="shared" si="1"/>
        <v>3400949592</v>
      </c>
      <c r="CB42" s="89">
        <f t="shared" si="1"/>
        <v>3400949592</v>
      </c>
      <c r="CC42" s="89">
        <f t="shared" si="1"/>
        <v>3400949592</v>
      </c>
      <c r="CD42" s="89">
        <f t="shared" si="1"/>
        <v>3400949592</v>
      </c>
      <c r="CE42" s="89">
        <f t="shared" si="1"/>
        <v>3400949592</v>
      </c>
      <c r="CF42" s="89">
        <f t="shared" si="1"/>
        <v>3400949592</v>
      </c>
      <c r="CG42" s="89">
        <f t="shared" si="1"/>
        <v>3400949592</v>
      </c>
      <c r="CH42" s="89">
        <f t="shared" si="1"/>
        <v>3400949592</v>
      </c>
      <c r="CI42" s="89">
        <f t="shared" si="1"/>
        <v>3400949592</v>
      </c>
      <c r="CJ42" s="89">
        <f t="shared" si="1"/>
        <v>3400949592</v>
      </c>
      <c r="CK42" s="89">
        <f t="shared" si="1"/>
        <v>3400949592</v>
      </c>
      <c r="CL42" s="89">
        <f t="shared" si="1"/>
        <v>3400949592</v>
      </c>
      <c r="CM42" s="89">
        <f t="shared" si="1"/>
        <v>3400949592</v>
      </c>
      <c r="CN42" s="89">
        <f t="shared" si="1"/>
        <v>3400949592</v>
      </c>
      <c r="CO42" s="89">
        <f t="shared" si="1"/>
        <v>3400949592</v>
      </c>
      <c r="CP42" s="89">
        <f t="shared" si="1"/>
        <v>3400949592</v>
      </c>
      <c r="CQ42" s="89">
        <f t="shared" si="1"/>
        <v>3400949592</v>
      </c>
      <c r="CR42" s="89">
        <f t="shared" si="1"/>
        <v>3400949592</v>
      </c>
      <c r="CS42" s="89">
        <f t="shared" si="1"/>
        <v>3400949592</v>
      </c>
      <c r="CT42" s="89">
        <f t="shared" si="1"/>
        <v>3400949592</v>
      </c>
      <c r="CU42" s="89">
        <f t="shared" si="1"/>
        <v>3400949592</v>
      </c>
      <c r="CV42" s="89">
        <f t="shared" si="1"/>
        <v>3400949592</v>
      </c>
      <c r="CW42" s="89">
        <f t="shared" si="1"/>
        <v>3400949592</v>
      </c>
      <c r="CX42" s="89">
        <f t="shared" si="1"/>
        <v>3400949592</v>
      </c>
      <c r="CY42" s="89">
        <f t="shared" si="1"/>
        <v>3400949592</v>
      </c>
      <c r="CZ42" s="89">
        <f t="shared" si="1"/>
        <v>3400949592</v>
      </c>
      <c r="DA42" s="89">
        <f t="shared" si="1"/>
        <v>3400949592</v>
      </c>
      <c r="DB42" s="89">
        <f t="shared" si="1"/>
        <v>3400949592</v>
      </c>
      <c r="DC42" s="89">
        <f t="shared" si="1"/>
        <v>3400949592</v>
      </c>
      <c r="DD42" s="89">
        <f t="shared" si="1"/>
        <v>3400949592</v>
      </c>
      <c r="DE42" s="89">
        <f t="shared" si="1"/>
        <v>3400949592</v>
      </c>
      <c r="DF42" s="89">
        <f t="shared" si="1"/>
        <v>3400949592</v>
      </c>
      <c r="DG42" s="89">
        <f t="shared" si="1"/>
        <v>3400949592</v>
      </c>
      <c r="DH42" s="89">
        <f t="shared" si="1"/>
        <v>3400949592</v>
      </c>
      <c r="DI42" s="89">
        <f t="shared" si="1"/>
        <v>3400949592</v>
      </c>
      <c r="DJ42" s="89">
        <f t="shared" si="1"/>
        <v>3400949592</v>
      </c>
      <c r="DK42" s="89">
        <f t="shared" si="1"/>
        <v>3400949592</v>
      </c>
      <c r="DL42" s="89">
        <f t="shared" si="1"/>
        <v>3400949592</v>
      </c>
      <c r="DM42" s="89">
        <f t="shared" si="1"/>
        <v>3400949592</v>
      </c>
      <c r="DN42" s="89">
        <f t="shared" si="1"/>
        <v>3400949592</v>
      </c>
      <c r="DO42" s="89">
        <f t="shared" si="1"/>
        <v>3400949592</v>
      </c>
      <c r="DP42" s="89">
        <f t="shared" si="1"/>
        <v>3400949592</v>
      </c>
      <c r="DQ42" s="89">
        <f t="shared" si="1"/>
        <v>3400949592</v>
      </c>
      <c r="DR42" s="89">
        <f t="shared" si="1"/>
        <v>3400949592</v>
      </c>
      <c r="DS42" s="89">
        <f t="shared" si="1"/>
        <v>3400949592</v>
      </c>
      <c r="DT42" s="89">
        <f t="shared" si="1"/>
        <v>3400949592</v>
      </c>
      <c r="DU42" s="89">
        <f t="shared" si="1"/>
        <v>3400949592</v>
      </c>
      <c r="DV42" s="89">
        <f t="shared" si="1"/>
        <v>3400949592</v>
      </c>
      <c r="DW42" s="89">
        <f t="shared" si="1"/>
        <v>3400949592</v>
      </c>
      <c r="DX42" s="89">
        <f t="shared" si="1"/>
        <v>3400949592</v>
      </c>
      <c r="DY42" s="89">
        <f t="shared" si="1"/>
        <v>3400949592</v>
      </c>
      <c r="DZ42" s="89">
        <f t="shared" si="1"/>
        <v>3400949592</v>
      </c>
      <c r="EA42" s="89">
        <f t="shared" si="1"/>
        <v>3400949592</v>
      </c>
      <c r="EB42" s="89">
        <f t="shared" si="1"/>
        <v>3400949592</v>
      </c>
      <c r="EC42" s="89">
        <f t="shared" si="1"/>
        <v>3400949592</v>
      </c>
      <c r="ED42" s="89">
        <f t="shared" si="1"/>
        <v>3400949592</v>
      </c>
      <c r="EE42" s="89">
        <f t="shared" si="1"/>
        <v>3400949592</v>
      </c>
      <c r="EF42" s="89">
        <f t="shared" si="1"/>
        <v>3400949592</v>
      </c>
      <c r="EG42" s="89">
        <f t="shared" si="1"/>
        <v>3400949592</v>
      </c>
      <c r="EH42" s="89">
        <f t="shared" si="1"/>
        <v>3400949592</v>
      </c>
      <c r="EI42" s="89">
        <f t="shared" si="1"/>
        <v>3400949592</v>
      </c>
      <c r="EJ42" s="89">
        <f t="shared" si="1"/>
        <v>3400949592</v>
      </c>
      <c r="EK42" s="89">
        <f t="shared" si="1"/>
        <v>3400949592</v>
      </c>
      <c r="EL42" s="89">
        <f t="shared" si="1"/>
        <v>3400949592</v>
      </c>
      <c r="EM42" s="89">
        <f t="shared" si="1"/>
        <v>3400949592</v>
      </c>
      <c r="EN42" s="89">
        <f t="shared" si="1"/>
        <v>3400949592</v>
      </c>
      <c r="EO42" s="89">
        <f t="shared" si="1"/>
        <v>3400949592</v>
      </c>
      <c r="EP42" s="89">
        <f t="shared" si="1"/>
        <v>3400949592</v>
      </c>
      <c r="EQ42" s="89">
        <f t="shared" si="1"/>
        <v>3400949592</v>
      </c>
      <c r="ER42" s="89">
        <f t="shared" si="1"/>
        <v>3400949592</v>
      </c>
      <c r="ES42" s="89">
        <f t="shared" si="1"/>
        <v>3400949592</v>
      </c>
      <c r="ET42" s="89">
        <f t="shared" si="1"/>
        <v>3400949592</v>
      </c>
      <c r="EU42" s="89">
        <f t="shared" si="1"/>
        <v>3400949592</v>
      </c>
      <c r="EV42" s="89">
        <f t="shared" si="1"/>
        <v>3400949592</v>
      </c>
      <c r="EW42" s="89">
        <f t="shared" si="1"/>
        <v>3400949592</v>
      </c>
      <c r="EX42" s="89">
        <f t="shared" si="1"/>
        <v>3400949592</v>
      </c>
    </row>
    <row r="43" ht="15.75" customHeight="1">
      <c r="B43" s="79" t="s">
        <v>290</v>
      </c>
      <c r="E43" s="94">
        <f t="shared" ref="E43:EX43" si="2">IF(E$20=0,"n/a",E42/E$20)</f>
        <v>0.0332184</v>
      </c>
      <c r="F43" s="94">
        <f t="shared" si="2"/>
        <v>0.0238592</v>
      </c>
      <c r="G43" s="94">
        <f t="shared" si="2"/>
        <v>0.02073946667</v>
      </c>
      <c r="H43" s="94">
        <f t="shared" si="2"/>
        <v>0.0191796</v>
      </c>
      <c r="I43" s="94">
        <f t="shared" si="2"/>
        <v>0.01824368</v>
      </c>
      <c r="J43" s="94">
        <f t="shared" si="2"/>
        <v>0.01761973333</v>
      </c>
      <c r="K43" s="94">
        <f t="shared" si="2"/>
        <v>0.01725977143</v>
      </c>
      <c r="L43" s="94">
        <f t="shared" si="2"/>
        <v>0.0171898</v>
      </c>
      <c r="M43" s="94">
        <f t="shared" si="2"/>
        <v>0.01712426667</v>
      </c>
      <c r="N43" s="94">
        <f t="shared" si="2"/>
        <v>0.01707184</v>
      </c>
      <c r="O43" s="94" t="str">
        <f t="shared" si="2"/>
        <v>#DIV/0!</v>
      </c>
      <c r="P43" s="94" t="str">
        <f t="shared" si="2"/>
        <v>#DIV/0!</v>
      </c>
      <c r="Q43" s="94" t="str">
        <f t="shared" si="2"/>
        <v>#DIV/0!</v>
      </c>
      <c r="R43" s="94" t="str">
        <f t="shared" si="2"/>
        <v>#DIV/0!</v>
      </c>
      <c r="S43" s="94" t="str">
        <f t="shared" si="2"/>
        <v>#DIV/0!</v>
      </c>
      <c r="T43" s="94" t="str">
        <f t="shared" si="2"/>
        <v>#DIV/0!</v>
      </c>
      <c r="U43" s="94" t="str">
        <f t="shared" si="2"/>
        <v>#DIV/0!</v>
      </c>
      <c r="V43" s="94" t="str">
        <f t="shared" si="2"/>
        <v>#DIV/0!</v>
      </c>
      <c r="W43" s="94" t="str">
        <f t="shared" si="2"/>
        <v>#DIV/0!</v>
      </c>
      <c r="X43" s="94" t="str">
        <f t="shared" si="2"/>
        <v>#DIV/0!</v>
      </c>
      <c r="Y43" s="94" t="str">
        <f t="shared" si="2"/>
        <v>#DIV/0!</v>
      </c>
      <c r="Z43" s="94" t="str">
        <f t="shared" si="2"/>
        <v>#DIV/0!</v>
      </c>
      <c r="AA43" s="94" t="str">
        <f t="shared" si="2"/>
        <v>#DIV/0!</v>
      </c>
      <c r="AB43" s="94" t="str">
        <f t="shared" si="2"/>
        <v>#DIV/0!</v>
      </c>
      <c r="AC43" s="94" t="str">
        <f t="shared" si="2"/>
        <v>#DIV/0!</v>
      </c>
      <c r="AD43" s="94" t="str">
        <f t="shared" si="2"/>
        <v>#DIV/0!</v>
      </c>
      <c r="AE43" s="94" t="str">
        <f t="shared" si="2"/>
        <v>#DIV/0!</v>
      </c>
      <c r="AF43" s="94" t="str">
        <f t="shared" si="2"/>
        <v>#DIV/0!</v>
      </c>
      <c r="AG43" s="94" t="str">
        <f t="shared" si="2"/>
        <v>#DIV/0!</v>
      </c>
      <c r="AH43" s="94" t="str">
        <f t="shared" si="2"/>
        <v>#DIV/0!</v>
      </c>
      <c r="AI43" s="94" t="str">
        <f t="shared" si="2"/>
        <v>#DIV/0!</v>
      </c>
      <c r="AJ43" s="94" t="str">
        <f t="shared" si="2"/>
        <v>#DIV/0!</v>
      </c>
      <c r="AK43" s="94" t="str">
        <f t="shared" si="2"/>
        <v>#DIV/0!</v>
      </c>
      <c r="AL43" s="94" t="str">
        <f t="shared" si="2"/>
        <v>#DIV/0!</v>
      </c>
      <c r="AM43" s="94" t="str">
        <f t="shared" si="2"/>
        <v>#DIV/0!</v>
      </c>
      <c r="AN43" s="94" t="str">
        <f t="shared" si="2"/>
        <v>#DIV/0!</v>
      </c>
      <c r="AO43" s="94" t="str">
        <f t="shared" si="2"/>
        <v>#DIV/0!</v>
      </c>
      <c r="AP43" s="94" t="str">
        <f t="shared" si="2"/>
        <v>#DIV/0!</v>
      </c>
      <c r="AQ43" s="94" t="str">
        <f t="shared" si="2"/>
        <v>#DIV/0!</v>
      </c>
      <c r="AR43" s="94" t="str">
        <f t="shared" si="2"/>
        <v>#DIV/0!</v>
      </c>
      <c r="AS43" s="94" t="str">
        <f t="shared" si="2"/>
        <v>#DIV/0!</v>
      </c>
      <c r="AT43" s="94" t="str">
        <f t="shared" si="2"/>
        <v>#DIV/0!</v>
      </c>
      <c r="AU43" s="94" t="str">
        <f t="shared" si="2"/>
        <v>#DIV/0!</v>
      </c>
      <c r="AV43" s="94" t="str">
        <f t="shared" si="2"/>
        <v>#DIV/0!</v>
      </c>
      <c r="AW43" s="94" t="str">
        <f t="shared" si="2"/>
        <v>#DIV/0!</v>
      </c>
      <c r="AX43" s="94" t="str">
        <f t="shared" si="2"/>
        <v>#DIV/0!</v>
      </c>
      <c r="AY43" s="94" t="str">
        <f t="shared" si="2"/>
        <v>#DIV/0!</v>
      </c>
      <c r="AZ43" s="94" t="str">
        <f t="shared" si="2"/>
        <v>#DIV/0!</v>
      </c>
      <c r="BA43" s="94" t="str">
        <f t="shared" si="2"/>
        <v>#DIV/0!</v>
      </c>
      <c r="BB43" s="94" t="str">
        <f t="shared" si="2"/>
        <v>#DIV/0!</v>
      </c>
      <c r="BC43" s="94" t="str">
        <f t="shared" si="2"/>
        <v>#DIV/0!</v>
      </c>
      <c r="BD43" s="94" t="str">
        <f t="shared" si="2"/>
        <v>#DIV/0!</v>
      </c>
      <c r="BE43" s="94" t="str">
        <f t="shared" si="2"/>
        <v>#DIV/0!</v>
      </c>
      <c r="BF43" s="94" t="str">
        <f t="shared" si="2"/>
        <v>#DIV/0!</v>
      </c>
      <c r="BG43" s="94" t="str">
        <f t="shared" si="2"/>
        <v>#DIV/0!</v>
      </c>
      <c r="BH43" s="94" t="str">
        <f t="shared" si="2"/>
        <v>#DIV/0!</v>
      </c>
      <c r="BI43" s="94" t="str">
        <f t="shared" si="2"/>
        <v>#DIV/0!</v>
      </c>
      <c r="BJ43" s="94" t="str">
        <f t="shared" si="2"/>
        <v>#DIV/0!</v>
      </c>
      <c r="BK43" s="94" t="str">
        <f t="shared" si="2"/>
        <v>#DIV/0!</v>
      </c>
      <c r="BL43" s="94" t="str">
        <f t="shared" si="2"/>
        <v>#DIV/0!</v>
      </c>
      <c r="BM43" s="94" t="str">
        <f t="shared" si="2"/>
        <v>#DIV/0!</v>
      </c>
      <c r="BN43" s="94" t="str">
        <f t="shared" si="2"/>
        <v>#DIV/0!</v>
      </c>
      <c r="BO43" s="94" t="str">
        <f t="shared" si="2"/>
        <v>#DIV/0!</v>
      </c>
      <c r="BP43" s="94" t="str">
        <f t="shared" si="2"/>
        <v>#DIV/0!</v>
      </c>
      <c r="BQ43" s="94" t="str">
        <f t="shared" si="2"/>
        <v>#DIV/0!</v>
      </c>
      <c r="BR43" s="94" t="str">
        <f t="shared" si="2"/>
        <v>#DIV/0!</v>
      </c>
      <c r="BS43" s="94" t="str">
        <f t="shared" si="2"/>
        <v>#DIV/0!</v>
      </c>
      <c r="BT43" s="94" t="str">
        <f t="shared" si="2"/>
        <v>#DIV/0!</v>
      </c>
      <c r="BU43" s="94" t="str">
        <f t="shared" si="2"/>
        <v>#DIV/0!</v>
      </c>
      <c r="BV43" s="94" t="str">
        <f t="shared" si="2"/>
        <v>#DIV/0!</v>
      </c>
      <c r="BW43" s="94" t="str">
        <f t="shared" si="2"/>
        <v>#DIV/0!</v>
      </c>
      <c r="BX43" s="94" t="str">
        <f t="shared" si="2"/>
        <v>#DIV/0!</v>
      </c>
      <c r="BY43" s="94" t="str">
        <f t="shared" si="2"/>
        <v>#DIV/0!</v>
      </c>
      <c r="BZ43" s="94" t="str">
        <f t="shared" si="2"/>
        <v>#DIV/0!</v>
      </c>
      <c r="CA43" s="94" t="str">
        <f t="shared" si="2"/>
        <v>#DIV/0!</v>
      </c>
      <c r="CB43" s="94" t="str">
        <f t="shared" si="2"/>
        <v>#DIV/0!</v>
      </c>
      <c r="CC43" s="94" t="str">
        <f t="shared" si="2"/>
        <v>#DIV/0!</v>
      </c>
      <c r="CD43" s="94" t="str">
        <f t="shared" si="2"/>
        <v>#DIV/0!</v>
      </c>
      <c r="CE43" s="94" t="str">
        <f t="shared" si="2"/>
        <v>#DIV/0!</v>
      </c>
      <c r="CF43" s="94" t="str">
        <f t="shared" si="2"/>
        <v>#DIV/0!</v>
      </c>
      <c r="CG43" s="94" t="str">
        <f t="shared" si="2"/>
        <v>#DIV/0!</v>
      </c>
      <c r="CH43" s="94" t="str">
        <f t="shared" si="2"/>
        <v>#DIV/0!</v>
      </c>
      <c r="CI43" s="94" t="str">
        <f t="shared" si="2"/>
        <v>#DIV/0!</v>
      </c>
      <c r="CJ43" s="94" t="str">
        <f t="shared" si="2"/>
        <v>#DIV/0!</v>
      </c>
      <c r="CK43" s="94" t="str">
        <f t="shared" si="2"/>
        <v>#DIV/0!</v>
      </c>
      <c r="CL43" s="94" t="str">
        <f t="shared" si="2"/>
        <v>#DIV/0!</v>
      </c>
      <c r="CM43" s="94" t="str">
        <f t="shared" si="2"/>
        <v>#DIV/0!</v>
      </c>
      <c r="CN43" s="94" t="str">
        <f t="shared" si="2"/>
        <v>#DIV/0!</v>
      </c>
      <c r="CO43" s="94" t="str">
        <f t="shared" si="2"/>
        <v>#DIV/0!</v>
      </c>
      <c r="CP43" s="94" t="str">
        <f t="shared" si="2"/>
        <v>#DIV/0!</v>
      </c>
      <c r="CQ43" s="94" t="str">
        <f t="shared" si="2"/>
        <v>#DIV/0!</v>
      </c>
      <c r="CR43" s="94" t="str">
        <f t="shared" si="2"/>
        <v>#DIV/0!</v>
      </c>
      <c r="CS43" s="94" t="str">
        <f t="shared" si="2"/>
        <v>#DIV/0!</v>
      </c>
      <c r="CT43" s="94" t="str">
        <f t="shared" si="2"/>
        <v>#DIV/0!</v>
      </c>
      <c r="CU43" s="94" t="str">
        <f t="shared" si="2"/>
        <v>#DIV/0!</v>
      </c>
      <c r="CV43" s="94" t="str">
        <f t="shared" si="2"/>
        <v>#DIV/0!</v>
      </c>
      <c r="CW43" s="94" t="str">
        <f t="shared" si="2"/>
        <v>#DIV/0!</v>
      </c>
      <c r="CX43" s="94" t="str">
        <f t="shared" si="2"/>
        <v>#DIV/0!</v>
      </c>
      <c r="CY43" s="94" t="str">
        <f t="shared" si="2"/>
        <v>#DIV/0!</v>
      </c>
      <c r="CZ43" s="94" t="str">
        <f t="shared" si="2"/>
        <v>#DIV/0!</v>
      </c>
      <c r="DA43" s="94" t="str">
        <f t="shared" si="2"/>
        <v>#DIV/0!</v>
      </c>
      <c r="DB43" s="94" t="str">
        <f t="shared" si="2"/>
        <v>#DIV/0!</v>
      </c>
      <c r="DC43" s="94" t="str">
        <f t="shared" si="2"/>
        <v>#DIV/0!</v>
      </c>
      <c r="DD43" s="94" t="str">
        <f t="shared" si="2"/>
        <v>#DIV/0!</v>
      </c>
      <c r="DE43" s="94" t="str">
        <f t="shared" si="2"/>
        <v>#DIV/0!</v>
      </c>
      <c r="DF43" s="94" t="str">
        <f t="shared" si="2"/>
        <v>#DIV/0!</v>
      </c>
      <c r="DG43" s="94" t="str">
        <f t="shared" si="2"/>
        <v>#DIV/0!</v>
      </c>
      <c r="DH43" s="94" t="str">
        <f t="shared" si="2"/>
        <v>#DIV/0!</v>
      </c>
      <c r="DI43" s="94" t="str">
        <f t="shared" si="2"/>
        <v>#DIV/0!</v>
      </c>
      <c r="DJ43" s="94" t="str">
        <f t="shared" si="2"/>
        <v>#DIV/0!</v>
      </c>
      <c r="DK43" s="94" t="str">
        <f t="shared" si="2"/>
        <v>#DIV/0!</v>
      </c>
      <c r="DL43" s="94" t="str">
        <f t="shared" si="2"/>
        <v>#DIV/0!</v>
      </c>
      <c r="DM43" s="94" t="str">
        <f t="shared" si="2"/>
        <v>#DIV/0!</v>
      </c>
      <c r="DN43" s="94" t="str">
        <f t="shared" si="2"/>
        <v>#DIV/0!</v>
      </c>
      <c r="DO43" s="94" t="str">
        <f t="shared" si="2"/>
        <v>#DIV/0!</v>
      </c>
      <c r="DP43" s="94" t="str">
        <f t="shared" si="2"/>
        <v>#DIV/0!</v>
      </c>
      <c r="DQ43" s="94" t="str">
        <f t="shared" si="2"/>
        <v>#DIV/0!</v>
      </c>
      <c r="DR43" s="94" t="str">
        <f t="shared" si="2"/>
        <v>#DIV/0!</v>
      </c>
      <c r="DS43" s="94" t="str">
        <f t="shared" si="2"/>
        <v>#DIV/0!</v>
      </c>
      <c r="DT43" s="94" t="str">
        <f t="shared" si="2"/>
        <v>#DIV/0!</v>
      </c>
      <c r="DU43" s="94" t="str">
        <f t="shared" si="2"/>
        <v>#DIV/0!</v>
      </c>
      <c r="DV43" s="94" t="str">
        <f t="shared" si="2"/>
        <v>#DIV/0!</v>
      </c>
      <c r="DW43" s="94" t="str">
        <f t="shared" si="2"/>
        <v>#DIV/0!</v>
      </c>
      <c r="DX43" s="94" t="str">
        <f t="shared" si="2"/>
        <v>#DIV/0!</v>
      </c>
      <c r="DY43" s="94" t="str">
        <f t="shared" si="2"/>
        <v>#DIV/0!</v>
      </c>
      <c r="DZ43" s="94" t="str">
        <f t="shared" si="2"/>
        <v>#DIV/0!</v>
      </c>
      <c r="EA43" s="94" t="str">
        <f t="shared" si="2"/>
        <v>#DIV/0!</v>
      </c>
      <c r="EB43" s="94" t="str">
        <f t="shared" si="2"/>
        <v>#DIV/0!</v>
      </c>
      <c r="EC43" s="94" t="str">
        <f t="shared" si="2"/>
        <v>#DIV/0!</v>
      </c>
      <c r="ED43" s="94" t="str">
        <f t="shared" si="2"/>
        <v>#DIV/0!</v>
      </c>
      <c r="EE43" s="94" t="str">
        <f t="shared" si="2"/>
        <v>#DIV/0!</v>
      </c>
      <c r="EF43" s="94" t="str">
        <f t="shared" si="2"/>
        <v>#DIV/0!</v>
      </c>
      <c r="EG43" s="94" t="str">
        <f t="shared" si="2"/>
        <v>#DIV/0!</v>
      </c>
      <c r="EH43" s="94" t="str">
        <f t="shared" si="2"/>
        <v>#DIV/0!</v>
      </c>
      <c r="EI43" s="94" t="str">
        <f t="shared" si="2"/>
        <v>#DIV/0!</v>
      </c>
      <c r="EJ43" s="94" t="str">
        <f t="shared" si="2"/>
        <v>#DIV/0!</v>
      </c>
      <c r="EK43" s="94" t="str">
        <f t="shared" si="2"/>
        <v>#DIV/0!</v>
      </c>
      <c r="EL43" s="94" t="str">
        <f t="shared" si="2"/>
        <v>#DIV/0!</v>
      </c>
      <c r="EM43" s="94" t="str">
        <f t="shared" si="2"/>
        <v>#DIV/0!</v>
      </c>
      <c r="EN43" s="94" t="str">
        <f t="shared" si="2"/>
        <v>#DIV/0!</v>
      </c>
      <c r="EO43" s="94" t="str">
        <f t="shared" si="2"/>
        <v>#DIV/0!</v>
      </c>
      <c r="EP43" s="94" t="str">
        <f t="shared" si="2"/>
        <v>#DIV/0!</v>
      </c>
      <c r="EQ43" s="94" t="str">
        <f t="shared" si="2"/>
        <v>#DIV/0!</v>
      </c>
      <c r="ER43" s="94" t="str">
        <f t="shared" si="2"/>
        <v>#DIV/0!</v>
      </c>
      <c r="ES43" s="94" t="str">
        <f t="shared" si="2"/>
        <v>#DIV/0!</v>
      </c>
      <c r="ET43" s="94" t="str">
        <f t="shared" si="2"/>
        <v>#DIV/0!</v>
      </c>
      <c r="EU43" s="94" t="str">
        <f t="shared" si="2"/>
        <v>#DIV/0!</v>
      </c>
      <c r="EV43" s="94" t="str">
        <f t="shared" si="2"/>
        <v>#DIV/0!</v>
      </c>
      <c r="EW43" s="94" t="str">
        <f t="shared" si="2"/>
        <v>#DIV/0!</v>
      </c>
      <c r="EX43" s="94" t="str">
        <f t="shared" si="2"/>
        <v>#DIV/0!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R1"/>
    <mergeCell ref="B2:R2"/>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8E8E"/>
    <pageSetUpPr fitToPage="1"/>
  </sheetPr>
  <sheetViews>
    <sheetView showGridLines="0" workbookViewId="0"/>
  </sheetViews>
  <sheetFormatPr customHeight="1" defaultColWidth="14.43" defaultRowHeight="15.0" outlineLevelRow="1"/>
  <cols>
    <col customWidth="1" min="1" max="1" width="2.0"/>
    <col customWidth="1" min="2" max="2" width="64.57"/>
    <col customWidth="1" min="3" max="3" width="20.0"/>
    <col customWidth="1" min="4" max="4" width="14.0"/>
    <col customWidth="1" min="5" max="39" width="12.0"/>
  </cols>
  <sheetData>
    <row r="1">
      <c r="B1" s="1" t="s">
        <v>91</v>
      </c>
    </row>
    <row r="2" ht="27.75" customHeight="1">
      <c r="B2" s="2" t="s">
        <v>92</v>
      </c>
    </row>
    <row r="4" ht="18.0" customHeight="1">
      <c r="B4" s="12" t="s">
        <v>93</v>
      </c>
      <c r="C4" s="12"/>
      <c r="D4" s="12"/>
      <c r="E4" s="12"/>
      <c r="F4" s="12"/>
    </row>
    <row r="5" ht="18.0" customHeight="1">
      <c r="B5" s="27" t="s">
        <v>95</v>
      </c>
      <c r="E5" s="57">
        <v>46247.0</v>
      </c>
    </row>
    <row r="6" ht="18.0" customHeight="1">
      <c r="B6" s="27" t="s">
        <v>114</v>
      </c>
      <c r="E6" s="58">
        <v>46752.0</v>
      </c>
    </row>
    <row r="7" ht="18.0" customHeight="1">
      <c r="B7" s="27" t="s">
        <v>128</v>
      </c>
      <c r="E7" s="60">
        <v>24.0</v>
      </c>
    </row>
    <row r="9" ht="15.0" customHeight="1">
      <c r="B9" s="50" t="s">
        <v>130</v>
      </c>
      <c r="E9" s="61">
        <f>EDATE(E5,E7-1)</f>
        <v>46947</v>
      </c>
    </row>
    <row r="10" ht="15.0" customHeight="1">
      <c r="B10" s="50" t="s">
        <v>131</v>
      </c>
      <c r="E10" s="46">
        <f>NETWORKDAYS($E$5,EOMONTH($E$5,0),Jours_Feries_FR)/NETWORKDAYS(EOMONTH($E$5,-1)+1,EOMONTH($E$5,0),Jours_Feries_FR)</f>
        <v>0.619047619</v>
      </c>
    </row>
    <row r="12" ht="18.0" customHeight="1">
      <c r="B12" s="12" t="s">
        <v>133</v>
      </c>
      <c r="C12" s="12"/>
      <c r="D12" s="12"/>
      <c r="E12" s="12"/>
      <c r="F12" s="12"/>
    </row>
    <row r="13" ht="51.75" customHeight="1">
      <c r="B13" s="52" t="s">
        <v>134</v>
      </c>
    </row>
    <row r="14" ht="18.0" customHeight="1">
      <c r="B14" s="65" t="s">
        <v>135</v>
      </c>
      <c r="D14" s="66">
        <f>IF(0&lt;$E$7,EDATE($E$5,0),"")</f>
        <v>46247</v>
      </c>
      <c r="E14" s="66">
        <f>IF(1&lt;$E$7,EDATE($E$5,1),"")</f>
        <v>46278</v>
      </c>
      <c r="F14" s="66">
        <f>IF(2&lt;$E$7,EDATE($E$5,2),"")</f>
        <v>46308</v>
      </c>
      <c r="G14" s="66">
        <f>IF(3&lt;$E$7,EDATE($E$5,3),"")</f>
        <v>46339</v>
      </c>
      <c r="H14" s="66">
        <f>IF(4&lt;$E$7,EDATE($E$5,4),"")</f>
        <v>46369</v>
      </c>
      <c r="I14" s="66">
        <f>IF(5&lt;$E$7,EDATE($E$5,5),"")</f>
        <v>46400</v>
      </c>
      <c r="J14" s="66">
        <f>IF(6&lt;$E$7,EDATE($E$5,6),"")</f>
        <v>46431</v>
      </c>
      <c r="K14" s="66">
        <f>IF(7&lt;$E$7,EDATE($E$5,7),"")</f>
        <v>46459</v>
      </c>
      <c r="L14" s="66">
        <f>IF(8&lt;$E$7,EDATE($E$5,8),"")</f>
        <v>46490</v>
      </c>
      <c r="M14" s="66">
        <f>IF(9&lt;$E$7,EDATE($E$5,9),"")</f>
        <v>46520</v>
      </c>
      <c r="N14" s="66">
        <f>IF(10&lt;$E$7,EDATE($E$5,10),"")</f>
        <v>46551</v>
      </c>
      <c r="O14" s="66">
        <f>IF(11&lt;$E$7,EDATE($E$5,11),"")</f>
        <v>46581</v>
      </c>
      <c r="P14" s="66">
        <f>IF(12&lt;$E$7,EDATE($E$5,12),"")</f>
        <v>46612</v>
      </c>
      <c r="Q14" s="66">
        <f>IF(13&lt;$E$7,EDATE($E$5,13),"")</f>
        <v>46643</v>
      </c>
      <c r="R14" s="66">
        <f>IF(14&lt;$E$7,EDATE($E$5,14),"")</f>
        <v>46673</v>
      </c>
      <c r="S14" s="66">
        <f>IF(15&lt;$E$7,EDATE($E$5,15),"")</f>
        <v>46704</v>
      </c>
      <c r="T14" s="66">
        <f>IF(16&lt;$E$7,EDATE($E$5,16),"")</f>
        <v>46734</v>
      </c>
      <c r="U14" s="66">
        <f>IF(17&lt;$E$7,EDATE($E$5,17),"")</f>
        <v>46765</v>
      </c>
      <c r="V14" s="66">
        <f>IF(18&lt;$E$7,EDATE($E$5,18),"")</f>
        <v>46796</v>
      </c>
      <c r="W14" s="66">
        <f>IF(19&lt;$E$7,EDATE($E$5,19),"")</f>
        <v>46825</v>
      </c>
      <c r="X14" s="66">
        <f>IF(20&lt;$E$7,EDATE($E$5,20),"")</f>
        <v>46856</v>
      </c>
      <c r="Y14" s="66">
        <f>IF(21&lt;$E$7,EDATE($E$5,21),"")</f>
        <v>46886</v>
      </c>
      <c r="Z14" s="66">
        <f>IF(22&lt;$E$7,EDATE($E$5,22),"")</f>
        <v>46917</v>
      </c>
      <c r="AA14" s="66">
        <f>IF(23&lt;$E$7,EDATE($E$5,23),"")</f>
        <v>46947</v>
      </c>
      <c r="AB14" s="66" t="str">
        <f>IF(24&lt;$E$7,EDATE($E$5,24),"")</f>
        <v/>
      </c>
      <c r="AC14" s="66" t="str">
        <f>IF(25&lt;$E$7,EDATE($E$5,25),"")</f>
        <v/>
      </c>
      <c r="AD14" s="66" t="str">
        <f>IF(26&lt;$E$7,EDATE($E$5,26),"")</f>
        <v/>
      </c>
      <c r="AE14" s="66" t="str">
        <f>IF(27&lt;$E$7,EDATE($E$5,27),"")</f>
        <v/>
      </c>
      <c r="AF14" s="66" t="str">
        <f>IF(28&lt;$E$7,EDATE($E$5,28),"")</f>
        <v/>
      </c>
      <c r="AG14" s="66" t="str">
        <f>IF(29&lt;$E$7,EDATE($E$5,29),"")</f>
        <v/>
      </c>
      <c r="AH14" s="66" t="str">
        <f>IF(30&lt;$E$7,EDATE($E$5,30),"")</f>
        <v/>
      </c>
      <c r="AI14" s="66" t="str">
        <f>IF(31&lt;$E$7,EDATE($E$5,31),"")</f>
        <v/>
      </c>
      <c r="AJ14" s="66" t="str">
        <f>IF(32&lt;$E$7,EDATE($E$5,32),"")</f>
        <v/>
      </c>
      <c r="AK14" s="66" t="str">
        <f>IF(33&lt;$E$7,EDATE($E$5,33),"")</f>
        <v/>
      </c>
      <c r="AL14" s="66" t="str">
        <f>IF(34&lt;$E$7,EDATE($E$5,34),"")</f>
        <v/>
      </c>
      <c r="AM14" s="66" t="str">
        <f>IF(35&lt;$E$7,EDATE($E$5,35),"")</f>
        <v/>
      </c>
    </row>
    <row r="15">
      <c r="B15" s="45" t="s">
        <v>157</v>
      </c>
      <c r="D15" s="41">
        <v>6120000.0</v>
      </c>
      <c r="E15" s="41">
        <f>D15+4230000</f>
        <v>10350000</v>
      </c>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row>
    <row r="17" ht="18.0" customHeight="1">
      <c r="B17" s="12" t="s">
        <v>165</v>
      </c>
      <c r="C17" s="12"/>
      <c r="D17" s="12"/>
      <c r="E17" s="12"/>
      <c r="F17" s="12"/>
    </row>
    <row r="18" ht="45.75" customHeight="1">
      <c r="B18" s="52" t="s">
        <v>166</v>
      </c>
    </row>
    <row r="19" ht="30.0" customHeight="1">
      <c r="B19" s="11" t="s">
        <v>167</v>
      </c>
      <c r="C19" s="11" t="s">
        <v>168</v>
      </c>
      <c r="D19" s="11" t="s">
        <v>169</v>
      </c>
    </row>
    <row r="20">
      <c r="B20" s="40" t="str">
        <f>IF('01_Input'!D53="","(inactif)",'01_Input'!D53)</f>
        <v>Commission de Gestion</v>
      </c>
      <c r="C20" s="40" t="str">
        <f>IF('01_Input'!E53="","",'01_Input'!E53)</f>
        <v/>
      </c>
      <c r="D20" s="28" t="s">
        <v>174</v>
      </c>
    </row>
    <row r="21" ht="15.75" customHeight="1">
      <c r="B21" s="68" t="str">
        <f>IF('01_Input'!D54="","(inactif)",'01_Input'!D54)</f>
        <v>Commission de Conseil</v>
      </c>
      <c r="C21" s="68" t="str">
        <f>IF('01_Input'!E54="","",'01_Input'!E54)</f>
        <v/>
      </c>
      <c r="D21" s="69" t="s">
        <v>174</v>
      </c>
    </row>
    <row r="22" ht="15.75" customHeight="1">
      <c r="B22" s="40" t="str">
        <f>IF('01_Input'!D55="","(inactif)",'01_Input'!D55)</f>
        <v>Distribution — Distributeur Global</v>
      </c>
      <c r="C22" s="40" t="str">
        <f>IF('01_Input'!E55="","",'01_Input'!E55)</f>
        <v/>
      </c>
      <c r="D22" s="28" t="s">
        <v>174</v>
      </c>
    </row>
    <row r="23" ht="15.75" customHeight="1">
      <c r="B23" s="68" t="str">
        <f>IF('01_Input'!D56="","(inactif)",'01_Input'!D56)</f>
        <v>Distribution — Sous-distributeurs</v>
      </c>
      <c r="C23" s="68" t="str">
        <f>IF('01_Input'!E56="","",'01_Input'!E56)</f>
        <v/>
      </c>
      <c r="D23" s="69" t="s">
        <v>174</v>
      </c>
    </row>
    <row r="24" ht="15.75" customHeight="1">
      <c r="B24" s="40" t="str">
        <f>IF('01_Input'!D57="","(inactif)",'01_Input'!D57)</f>
        <v>Commission Dépositaire (BFCM)</v>
      </c>
      <c r="C24" s="40" t="str">
        <f>IF('01_Input'!E57="","",'01_Input'!E57)</f>
        <v>Dépositaire (BFCM)</v>
      </c>
      <c r="D24" s="28" t="s">
        <v>179</v>
      </c>
    </row>
    <row r="25" ht="15.75" customHeight="1">
      <c r="B25" s="68" t="str">
        <f>IF('01_Input'!D58="","(inactif)",'01_Input'!D58)</f>
        <v>Commissaire aux Comptes</v>
      </c>
      <c r="C25" s="68" t="str">
        <f>IF('01_Input'!E58="","",'01_Input'!E58)</f>
        <v>CAC</v>
      </c>
      <c r="D25" s="69" t="s">
        <v>179</v>
      </c>
    </row>
    <row r="26" ht="15.75" customHeight="1">
      <c r="B26" s="40" t="str">
        <f>IF('01_Input'!D59="","(inactif)",'01_Input'!D59)</f>
        <v>CAC — Frais par Distribution</v>
      </c>
      <c r="C26" s="40" t="str">
        <f>IF('01_Input'!E59="","",'01_Input'!E59)</f>
        <v/>
      </c>
      <c r="D26" s="67" t="str">
        <f>IF(Nb_Distributions_Par_An=12,"Mensuel",IF(Nb_Distributions_Par_An=4,"Trimestriel",IF(Nb_Distributions_Par_An=2,"Semestriel","Annuel")))</f>
        <v>Annuel</v>
      </c>
    </row>
    <row r="27" ht="15.75" customHeight="1">
      <c r="B27" s="68" t="str">
        <f>IF('01_Input'!D60="","(inactif)",'01_Input'!D60)</f>
        <v>Reporting — Rapport Annuel (CIC)</v>
      </c>
      <c r="C27" s="68" t="str">
        <f>IF('01_Input'!E60="","",'01_Input'!E60)</f>
        <v>CIC Administration de Fonds</v>
      </c>
      <c r="D27" s="69" t="s">
        <v>180</v>
      </c>
    </row>
    <row r="28" ht="15.75" customHeight="1">
      <c r="B28" s="40" t="str">
        <f>IF('01_Input'!D61="","(inactif)",'01_Input'!D61)</f>
        <v>Valorisation (CIC)</v>
      </c>
      <c r="C28" s="40" t="str">
        <f>IF('01_Input'!E61="","",'01_Input'!E61)</f>
        <v>Valorisateur (CIC / SOC Asset Servicing)</v>
      </c>
      <c r="D28" s="28" t="s">
        <v>179</v>
      </c>
    </row>
    <row r="29" ht="15.75" customHeight="1">
      <c r="B29" s="68" t="str">
        <f>IF('01_Input'!D62="","(inactif)",'01_Input'!D62)</f>
        <v>Reporting AIFM (part refacturée au fonds)</v>
      </c>
      <c r="C29" s="68" t="str">
        <f>IF('01_Input'!E62="","",'01_Input'!E62)</f>
        <v>Prestataire reporting</v>
      </c>
      <c r="D29" s="69" t="s">
        <v>180</v>
      </c>
    </row>
    <row r="30" ht="15.75" customHeight="1">
      <c r="B30" s="40" t="str">
        <f>IF('01_Input'!D63="","(inactif)",'01_Input'!D63)</f>
        <v>Tenue du Passif</v>
      </c>
      <c r="C30" s="40" t="str">
        <f>IF('01_Input'!E63="","",'01_Input'!E63)</f>
        <v>Teneur de registre / Transfer Agent</v>
      </c>
      <c r="D30" s="28" t="s">
        <v>180</v>
      </c>
    </row>
    <row r="31" ht="15.75" customHeight="1">
      <c r="B31" s="68" t="str">
        <f>IF('01_Input'!D64="","(inactif)",'01_Input'!D64)</f>
        <v>Finologee</v>
      </c>
      <c r="C31" s="68" t="str">
        <f>IF('01_Input'!E64="","",'01_Input'!E64)</f>
        <v>Finologee</v>
      </c>
      <c r="D31" s="69" t="s">
        <v>174</v>
      </c>
    </row>
    <row r="32" ht="15.75" customHeight="1">
      <c r="B32" s="40" t="str">
        <f>IF('01_Input'!D65="","(inactif)",'01_Input'!D65)</f>
        <v>Frais KYC (au-delà du forfait inclus)</v>
      </c>
      <c r="C32" s="40" t="str">
        <f>IF('01_Input'!E65="","",'01_Input'!E65)</f>
        <v/>
      </c>
      <c r="D32" s="28" t="s">
        <v>180</v>
      </c>
    </row>
    <row r="33" ht="15.75" customHeight="1">
      <c r="B33" s="68" t="str">
        <f>IF('01_Input'!D66="","(inactif)",'01_Input'!D66)</f>
        <v>Frais de Constitution (hors barème — actif par défaut, voir 05_Tresorerie)</v>
      </c>
      <c r="C33" s="68" t="str">
        <f>IF('01_Input'!E66="","",'01_Input'!E66)</f>
        <v/>
      </c>
      <c r="D33" s="69" t="s">
        <v>180</v>
      </c>
    </row>
    <row r="34" ht="15.75" customHeight="1">
      <c r="B34" s="40" t="str">
        <f>IF('01_Input'!D67="","(inactif)",'01_Input'!D67)</f>
        <v>Dépositaire — Forfait liquidation (ANC&lt;5M€)</v>
      </c>
      <c r="C34" s="40" t="str">
        <f>IF('01_Input'!E67="","",'01_Input'!E67)</f>
        <v>Dépositaire (BFCM)</v>
      </c>
      <c r="D34" s="28" t="s">
        <v>180</v>
      </c>
    </row>
    <row r="35" ht="15.75" customHeight="1">
      <c r="B35" s="68" t="str">
        <f>IF('01_Input'!D68="","(inactif)",'01_Input'!D68)</f>
        <v>Dépositaire — Admission Euroclear (par ISIN)</v>
      </c>
      <c r="C35" s="68" t="str">
        <f>IF('01_Input'!E68="","",'01_Input'!E68)</f>
        <v>Dépositaire (BFCM)</v>
      </c>
      <c r="D35" s="69" t="s">
        <v>180</v>
      </c>
    </row>
    <row r="36" ht="15.75" customHeight="1">
      <c r="B36" s="40" t="str">
        <f>IF('01_Input'!D69="","(inactif)",'01_Input'!D69)</f>
        <v>Reporting — Solvabilité II (optionnel)</v>
      </c>
      <c r="C36" s="40" t="str">
        <f>IF('01_Input'!E69="","",'01_Input'!E69)</f>
        <v>Prestataire reporting</v>
      </c>
      <c r="D36" s="28" t="s">
        <v>180</v>
      </c>
    </row>
    <row r="37" ht="15.75" hidden="1" customHeight="1" outlineLevel="1">
      <c r="B37" s="68" t="str">
        <f>IF('01_Input'!D70="","(inactif)",'01_Input'!D70)</f>
        <v>(inactif)</v>
      </c>
      <c r="C37" s="68" t="str">
        <f>IF('01_Input'!E70="","",'01_Input'!E70)</f>
        <v/>
      </c>
      <c r="D37" s="69" t="s">
        <v>180</v>
      </c>
    </row>
    <row r="38" ht="15.75" hidden="1" customHeight="1" outlineLevel="1">
      <c r="B38" s="40" t="str">
        <f>IF('01_Input'!D71="","(inactif)",'01_Input'!D71)</f>
        <v>(inactif)</v>
      </c>
      <c r="C38" s="40" t="str">
        <f>IF('01_Input'!E71="","",'01_Input'!E71)</f>
        <v/>
      </c>
      <c r="D38" s="28" t="s">
        <v>180</v>
      </c>
    </row>
    <row r="39" ht="15.75" hidden="1" customHeight="1" outlineLevel="1">
      <c r="B39" s="68" t="str">
        <f>IF('01_Input'!D72="","(inactif)",'01_Input'!D72)</f>
        <v>(inactif)</v>
      </c>
      <c r="C39" s="68" t="str">
        <f>IF('01_Input'!E72="","",'01_Input'!E72)</f>
        <v/>
      </c>
      <c r="D39" s="69" t="s">
        <v>180</v>
      </c>
    </row>
    <row r="40" ht="15.75" customHeight="1"/>
    <row r="41" ht="18.0" customHeight="1">
      <c r="B41" s="12" t="s">
        <v>181</v>
      </c>
      <c r="C41" s="12"/>
      <c r="D41" s="12"/>
      <c r="E41" s="12"/>
      <c r="F41" s="12"/>
    </row>
    <row r="42" ht="31.5" customHeight="1">
      <c r="B42" s="52" t="s">
        <v>182</v>
      </c>
    </row>
    <row r="43" ht="18.0" customHeight="1">
      <c r="B43" s="65" t="s">
        <v>183</v>
      </c>
      <c r="D43" s="66">
        <f>IF(0&lt;$E$7,EDATE($E$5,0),"")</f>
        <v>46247</v>
      </c>
      <c r="E43" s="66">
        <f>IF(1&lt;$E$7,EDATE($E$5,1),"")</f>
        <v>46278</v>
      </c>
      <c r="F43" s="66">
        <f>IF(2&lt;$E$7,EDATE($E$5,2),"")</f>
        <v>46308</v>
      </c>
      <c r="G43" s="66">
        <f>IF(3&lt;$E$7,EDATE($E$5,3),"")</f>
        <v>46339</v>
      </c>
      <c r="H43" s="66">
        <f>IF(4&lt;$E$7,EDATE($E$5,4),"")</f>
        <v>46369</v>
      </c>
      <c r="I43" s="66">
        <f>IF(5&lt;$E$7,EDATE($E$5,5),"")</f>
        <v>46400</v>
      </c>
      <c r="J43" s="66">
        <f>IF(6&lt;$E$7,EDATE($E$5,6),"")</f>
        <v>46431</v>
      </c>
      <c r="K43" s="66">
        <f>IF(7&lt;$E$7,EDATE($E$5,7),"")</f>
        <v>46459</v>
      </c>
      <c r="L43" s="66">
        <f>IF(8&lt;$E$7,EDATE($E$5,8),"")</f>
        <v>46490</v>
      </c>
      <c r="M43" s="66">
        <f>IF(9&lt;$E$7,EDATE($E$5,9),"")</f>
        <v>46520</v>
      </c>
      <c r="N43" s="66">
        <f>IF(10&lt;$E$7,EDATE($E$5,10),"")</f>
        <v>46551</v>
      </c>
      <c r="O43" s="66">
        <f>IF(11&lt;$E$7,EDATE($E$5,11),"")</f>
        <v>46581</v>
      </c>
      <c r="P43" s="66">
        <f>IF(12&lt;$E$7,EDATE($E$5,12),"")</f>
        <v>46612</v>
      </c>
      <c r="Q43" s="66">
        <f>IF(13&lt;$E$7,EDATE($E$5,13),"")</f>
        <v>46643</v>
      </c>
      <c r="R43" s="66">
        <f>IF(14&lt;$E$7,EDATE($E$5,14),"")</f>
        <v>46673</v>
      </c>
      <c r="S43" s="66">
        <f>IF(15&lt;$E$7,EDATE($E$5,15),"")</f>
        <v>46704</v>
      </c>
      <c r="T43" s="66">
        <f>IF(16&lt;$E$7,EDATE($E$5,16),"")</f>
        <v>46734</v>
      </c>
      <c r="U43" s="66">
        <f>IF(17&lt;$E$7,EDATE($E$5,17),"")</f>
        <v>46765</v>
      </c>
      <c r="V43" s="66">
        <f>IF(18&lt;$E$7,EDATE($E$5,18),"")</f>
        <v>46796</v>
      </c>
      <c r="W43" s="66">
        <f>IF(19&lt;$E$7,EDATE($E$5,19),"")</f>
        <v>46825</v>
      </c>
      <c r="X43" s="66">
        <f>IF(20&lt;$E$7,EDATE($E$5,20),"")</f>
        <v>46856</v>
      </c>
      <c r="Y43" s="66">
        <f>IF(21&lt;$E$7,EDATE($E$5,21),"")</f>
        <v>46886</v>
      </c>
      <c r="Z43" s="66">
        <f>IF(22&lt;$E$7,EDATE($E$5,22),"")</f>
        <v>46917</v>
      </c>
      <c r="AA43" s="66">
        <f>IF(23&lt;$E$7,EDATE($E$5,23),"")</f>
        <v>46947</v>
      </c>
      <c r="AB43" s="66" t="str">
        <f>IF(24&lt;$E$7,EDATE($E$5,24),"")</f>
        <v/>
      </c>
      <c r="AC43" s="66" t="str">
        <f>IF(25&lt;$E$7,EDATE($E$5,25),"")</f>
        <v/>
      </c>
      <c r="AD43" s="66" t="str">
        <f>IF(26&lt;$E$7,EDATE($E$5,26),"")</f>
        <v/>
      </c>
      <c r="AE43" s="66" t="str">
        <f>IF(27&lt;$E$7,EDATE($E$5,27),"")</f>
        <v/>
      </c>
      <c r="AF43" s="66" t="str">
        <f>IF(28&lt;$E$7,EDATE($E$5,28),"")</f>
        <v/>
      </c>
      <c r="AG43" s="66" t="str">
        <f>IF(29&lt;$E$7,EDATE($E$5,29),"")</f>
        <v/>
      </c>
      <c r="AH43" s="66" t="str">
        <f>IF(30&lt;$E$7,EDATE($E$5,30),"")</f>
        <v/>
      </c>
      <c r="AI43" s="66" t="str">
        <f>IF(31&lt;$E$7,EDATE($E$5,31),"")</f>
        <v/>
      </c>
      <c r="AJ43" s="66" t="str">
        <f>IF(32&lt;$E$7,EDATE($E$5,32),"")</f>
        <v/>
      </c>
      <c r="AK43" s="66" t="str">
        <f>IF(33&lt;$E$7,EDATE($E$5,33),"")</f>
        <v/>
      </c>
      <c r="AL43" s="66" t="str">
        <f>IF(34&lt;$E$7,EDATE($E$5,34),"")</f>
        <v/>
      </c>
      <c r="AM43" s="66" t="str">
        <f>IF(35&lt;$E$7,EDATE($E$5,35),"")</f>
        <v/>
      </c>
    </row>
    <row r="44" ht="15.75" customHeight="1">
      <c r="B44" s="40" t="str">
        <f t="shared" ref="B44:B63" si="1">B20</f>
        <v>Commission de Gestion</v>
      </c>
      <c r="D44" s="25">
        <f>IF(D$15="","",IF('01_Input'!$C$53="Non",0,MIN('01_Input'!$I$53,MAX('01_Input'!$H$53,IF('01_Input'!$G$53="Résiduel vs Gestion",0,IF('01_Input'!$G$53="Taux Classe sélectionnée",Distrib_Global_Classe_Selectionnee*D$15,IF('01_Input'!$G$53="Frais KYC (paliers de 100M€)",MAX(0,Nb_Investisseurs-Nb_KYC_Gratuites_Par_Tranche*(FLOOR(D$15/Taille_Tranche_KYC,1)+1))*Cout_Par_KYC_Supplementaire,(IF('01_Input'!$L$53="Forfait",IF(D$15&gt;='01_Input'!$J$53,'01_Input'!$M$53,0),IF('01_Input'!$L$53="Palier",IF(AND(D$15&gt;='01_Input'!$J$53,D$15&lt;'01_Input'!$K$53),'01_Input'!$M$53,0),MAX(MIN(D$15,'01_Input'!$K$53)-'01_Input'!$J$53,0)*'01_Input'!$M$53))+IF('01_Input'!$P$53="Forfait",IF(D$15&gt;='01_Input'!$N$53,'01_Input'!$Q$53,0),IF('01_Input'!$P$53="Palier",IF(AND(D$15&gt;='01_Input'!$N$53,D$15&lt;'01_Input'!$O$53),'01_Input'!$Q$53,0),MAX(MIN(D$15,'01_Input'!$O$53)-'01_Input'!$N$53,0)*'01_Input'!$Q$53))+IF('01_Input'!$T$53="Forfait",IF(D$15&gt;='01_Input'!$R$53,'01_Input'!$U$53,0),IF('01_Input'!$T$53="Palier",IF(AND(D$15&gt;='01_Input'!$R$53,D$15&lt;'01_Input'!$S$53),'01_Input'!$U$53,0),MAX(MIN(D$15,'01_Input'!$S$53)-'01_Input'!$R$53,0)*'01_Input'!$U$53))+IF('01_Input'!$X$53="Forfait",IF(D$15&gt;='01_Input'!$V$53,'01_Input'!$Y$53,0),IF('01_Input'!$X$53="Palier",IF(AND(D$15&gt;='01_Input'!$V$53,D$15&lt;'01_Input'!$W$53),'01_Input'!$Y$53,0),MAX(MIN(D$15,'01_Input'!$W$53)-'01_Input'!$V$53,0)*'01_Input'!$Y$53))+IF('01_Input'!$AB$53="Forfait",IF(D$15&gt;='01_Input'!$Z$53,'01_Input'!$AC$53,0),IF('01_Input'!$AB$53="Palier",IF(AND(D$15&gt;='01_Input'!$Z$53,D$15&lt;'01_Input'!$AA$53),'01_Input'!$AC$53,0),MAX(MIN(D$15,'01_Input'!$AA$53)-'01_Input'!$Z$53,0)*'01_Input'!$AC$53))))))))))</f>
        <v>60000</v>
      </c>
      <c r="E44" s="25">
        <f>IF(E$15="","",IF('01_Input'!$C$53="Non",0,MIN('01_Input'!$I$53,MAX('01_Input'!$H$53,IF('01_Input'!$G$53="Résiduel vs Gestion",0,IF('01_Input'!$G$53="Taux Classe sélectionnée",Distrib_Global_Classe_Selectionnee*E$15,IF('01_Input'!$G$53="Frais KYC (paliers de 100M€)",MAX(0,Nb_Investisseurs-Nb_KYC_Gratuites_Par_Tranche*(FLOOR(E$15/Taille_Tranche_KYC,1)+1))*Cout_Par_KYC_Supplementaire,(IF('01_Input'!$L$53="Forfait",IF(E$15&gt;='01_Input'!$J$53,'01_Input'!$M$53,0),IF('01_Input'!$L$53="Palier",IF(AND(E$15&gt;='01_Input'!$J$53,E$15&lt;'01_Input'!$K$53),'01_Input'!$M$53,0),MAX(MIN(E$15,'01_Input'!$K$53)-'01_Input'!$J$53,0)*'01_Input'!$M$53))+IF('01_Input'!$P$53="Forfait",IF(E$15&gt;='01_Input'!$N$53,'01_Input'!$Q$53,0),IF('01_Input'!$P$53="Palier",IF(AND(E$15&gt;='01_Input'!$N$53,E$15&lt;'01_Input'!$O$53),'01_Input'!$Q$53,0),MAX(MIN(E$15,'01_Input'!$O$53)-'01_Input'!$N$53,0)*'01_Input'!$Q$53))+IF('01_Input'!$T$53="Forfait",IF(E$15&gt;='01_Input'!$R$53,'01_Input'!$U$53,0),IF('01_Input'!$T$53="Palier",IF(AND(E$15&gt;='01_Input'!$R$53,E$15&lt;'01_Input'!$S$53),'01_Input'!$U$53,0),MAX(MIN(E$15,'01_Input'!$S$53)-'01_Input'!$R$53,0)*'01_Input'!$U$53))+IF('01_Input'!$X$53="Forfait",IF(E$15&gt;='01_Input'!$V$53,'01_Input'!$Y$53,0),IF('01_Input'!$X$53="Palier",IF(AND(E$15&gt;='01_Input'!$V$53,E$15&lt;'01_Input'!$W$53),'01_Input'!$Y$53,0),MAX(MIN(E$15,'01_Input'!$W$53)-'01_Input'!$V$53,0)*'01_Input'!$Y$53))+IF('01_Input'!$AB$53="Forfait",IF(E$15&gt;='01_Input'!$Z$53,'01_Input'!$AC$53,0),IF('01_Input'!$AB$53="Palier",IF(AND(E$15&gt;='01_Input'!$Z$53,E$15&lt;'01_Input'!$AA$53),'01_Input'!$AC$53,0),MAX(MIN(E$15,'01_Input'!$AA$53)-'01_Input'!$Z$53,0)*'01_Input'!$AC$53))))))))))</f>
        <v>60000</v>
      </c>
      <c r="F44" s="25" t="str">
        <f>IF(F$15="","",IF('01_Input'!$C$53="Non",0,MIN('01_Input'!$I$53,MAX('01_Input'!$H$53,IF('01_Input'!$G$53="Résiduel vs Gestion",0,IF('01_Input'!$G$53="Taux Classe sélectionnée",Distrib_Global_Classe_Selectionnee*F$15,IF('01_Input'!$G$53="Frais KYC (paliers de 100M€)",MAX(0,Nb_Investisseurs-Nb_KYC_Gratuites_Par_Tranche*(FLOOR(F$15/Taille_Tranche_KYC,1)+1))*Cout_Par_KYC_Supplementaire,(IF('01_Input'!$L$53="Forfait",IF(F$15&gt;='01_Input'!$J$53,'01_Input'!$M$53,0),IF('01_Input'!$L$53="Palier",IF(AND(F$15&gt;='01_Input'!$J$53,F$15&lt;'01_Input'!$K$53),'01_Input'!$M$53,0),MAX(MIN(F$15,'01_Input'!$K$53)-'01_Input'!$J$53,0)*'01_Input'!$M$53))+IF('01_Input'!$P$53="Forfait",IF(F$15&gt;='01_Input'!$N$53,'01_Input'!$Q$53,0),IF('01_Input'!$P$53="Palier",IF(AND(F$15&gt;='01_Input'!$N$53,F$15&lt;'01_Input'!$O$53),'01_Input'!$Q$53,0),MAX(MIN(F$15,'01_Input'!$O$53)-'01_Input'!$N$53,0)*'01_Input'!$Q$53))+IF('01_Input'!$T$53="Forfait",IF(F$15&gt;='01_Input'!$R$53,'01_Input'!$U$53,0),IF('01_Input'!$T$53="Palier",IF(AND(F$15&gt;='01_Input'!$R$53,F$15&lt;'01_Input'!$S$53),'01_Input'!$U$53,0),MAX(MIN(F$15,'01_Input'!$S$53)-'01_Input'!$R$53,0)*'01_Input'!$U$53))+IF('01_Input'!$X$53="Forfait",IF(F$15&gt;='01_Input'!$V$53,'01_Input'!$Y$53,0),IF('01_Input'!$X$53="Palier",IF(AND(F$15&gt;='01_Input'!$V$53,F$15&lt;'01_Input'!$W$53),'01_Input'!$Y$53,0),MAX(MIN(F$15,'01_Input'!$W$53)-'01_Input'!$V$53,0)*'01_Input'!$Y$53))+IF('01_Input'!$AB$53="Forfait",IF(F$15&gt;='01_Input'!$Z$53,'01_Input'!$AC$53,0),IF('01_Input'!$AB$53="Palier",IF(AND(F$15&gt;='01_Input'!$Z$53,F$15&lt;'01_Input'!$AA$53),'01_Input'!$AC$53,0),MAX(MIN(F$15,'01_Input'!$AA$53)-'01_Input'!$Z$53,0)*'01_Input'!$AC$53))))))))))</f>
        <v/>
      </c>
      <c r="G44" s="25" t="str">
        <f>IF(G$15="","",IF('01_Input'!$C$53="Non",0,MIN('01_Input'!$I$53,MAX('01_Input'!$H$53,IF('01_Input'!$G$53="Résiduel vs Gestion",0,IF('01_Input'!$G$53="Taux Classe sélectionnée",Distrib_Global_Classe_Selectionnee*G$15,IF('01_Input'!$G$53="Frais KYC (paliers de 100M€)",MAX(0,Nb_Investisseurs-Nb_KYC_Gratuites_Par_Tranche*(FLOOR(G$15/Taille_Tranche_KYC,1)+1))*Cout_Par_KYC_Supplementaire,(IF('01_Input'!$L$53="Forfait",IF(G$15&gt;='01_Input'!$J$53,'01_Input'!$M$53,0),IF('01_Input'!$L$53="Palier",IF(AND(G$15&gt;='01_Input'!$J$53,G$15&lt;'01_Input'!$K$53),'01_Input'!$M$53,0),MAX(MIN(G$15,'01_Input'!$K$53)-'01_Input'!$J$53,0)*'01_Input'!$M$53))+IF('01_Input'!$P$53="Forfait",IF(G$15&gt;='01_Input'!$N$53,'01_Input'!$Q$53,0),IF('01_Input'!$P$53="Palier",IF(AND(G$15&gt;='01_Input'!$N$53,G$15&lt;'01_Input'!$O$53),'01_Input'!$Q$53,0),MAX(MIN(G$15,'01_Input'!$O$53)-'01_Input'!$N$53,0)*'01_Input'!$Q$53))+IF('01_Input'!$T$53="Forfait",IF(G$15&gt;='01_Input'!$R$53,'01_Input'!$U$53,0),IF('01_Input'!$T$53="Palier",IF(AND(G$15&gt;='01_Input'!$R$53,G$15&lt;'01_Input'!$S$53),'01_Input'!$U$53,0),MAX(MIN(G$15,'01_Input'!$S$53)-'01_Input'!$R$53,0)*'01_Input'!$U$53))+IF('01_Input'!$X$53="Forfait",IF(G$15&gt;='01_Input'!$V$53,'01_Input'!$Y$53,0),IF('01_Input'!$X$53="Palier",IF(AND(G$15&gt;='01_Input'!$V$53,G$15&lt;'01_Input'!$W$53),'01_Input'!$Y$53,0),MAX(MIN(G$15,'01_Input'!$W$53)-'01_Input'!$V$53,0)*'01_Input'!$Y$53))+IF('01_Input'!$AB$53="Forfait",IF(G$15&gt;='01_Input'!$Z$53,'01_Input'!$AC$53,0),IF('01_Input'!$AB$53="Palier",IF(AND(G$15&gt;='01_Input'!$Z$53,G$15&lt;'01_Input'!$AA$53),'01_Input'!$AC$53,0),MAX(MIN(G$15,'01_Input'!$AA$53)-'01_Input'!$Z$53,0)*'01_Input'!$AC$53))))))))))</f>
        <v/>
      </c>
      <c r="H44" s="25" t="str">
        <f>IF(H$15="","",IF('01_Input'!$C$53="Non",0,MIN('01_Input'!$I$53,MAX('01_Input'!$H$53,IF('01_Input'!$G$53="Résiduel vs Gestion",0,IF('01_Input'!$G$53="Taux Classe sélectionnée",Distrib_Global_Classe_Selectionnee*H$15,IF('01_Input'!$G$53="Frais KYC (paliers de 100M€)",MAX(0,Nb_Investisseurs-Nb_KYC_Gratuites_Par_Tranche*(FLOOR(H$15/Taille_Tranche_KYC,1)+1))*Cout_Par_KYC_Supplementaire,(IF('01_Input'!$L$53="Forfait",IF(H$15&gt;='01_Input'!$J$53,'01_Input'!$M$53,0),IF('01_Input'!$L$53="Palier",IF(AND(H$15&gt;='01_Input'!$J$53,H$15&lt;'01_Input'!$K$53),'01_Input'!$M$53,0),MAX(MIN(H$15,'01_Input'!$K$53)-'01_Input'!$J$53,0)*'01_Input'!$M$53))+IF('01_Input'!$P$53="Forfait",IF(H$15&gt;='01_Input'!$N$53,'01_Input'!$Q$53,0),IF('01_Input'!$P$53="Palier",IF(AND(H$15&gt;='01_Input'!$N$53,H$15&lt;'01_Input'!$O$53),'01_Input'!$Q$53,0),MAX(MIN(H$15,'01_Input'!$O$53)-'01_Input'!$N$53,0)*'01_Input'!$Q$53))+IF('01_Input'!$T$53="Forfait",IF(H$15&gt;='01_Input'!$R$53,'01_Input'!$U$53,0),IF('01_Input'!$T$53="Palier",IF(AND(H$15&gt;='01_Input'!$R$53,H$15&lt;'01_Input'!$S$53),'01_Input'!$U$53,0),MAX(MIN(H$15,'01_Input'!$S$53)-'01_Input'!$R$53,0)*'01_Input'!$U$53))+IF('01_Input'!$X$53="Forfait",IF(H$15&gt;='01_Input'!$V$53,'01_Input'!$Y$53,0),IF('01_Input'!$X$53="Palier",IF(AND(H$15&gt;='01_Input'!$V$53,H$15&lt;'01_Input'!$W$53),'01_Input'!$Y$53,0),MAX(MIN(H$15,'01_Input'!$W$53)-'01_Input'!$V$53,0)*'01_Input'!$Y$53))+IF('01_Input'!$AB$53="Forfait",IF(H$15&gt;='01_Input'!$Z$53,'01_Input'!$AC$53,0),IF('01_Input'!$AB$53="Palier",IF(AND(H$15&gt;='01_Input'!$Z$53,H$15&lt;'01_Input'!$AA$53),'01_Input'!$AC$53,0),MAX(MIN(H$15,'01_Input'!$AA$53)-'01_Input'!$Z$53,0)*'01_Input'!$AC$53))))))))))</f>
        <v/>
      </c>
      <c r="I44" s="25" t="str">
        <f>IF(I$15="","",IF('01_Input'!$C$53="Non",0,MIN('01_Input'!$I$53,MAX('01_Input'!$H$53,IF('01_Input'!$G$53="Résiduel vs Gestion",0,IF('01_Input'!$G$53="Taux Classe sélectionnée",Distrib_Global_Classe_Selectionnee*I$15,IF('01_Input'!$G$53="Frais KYC (paliers de 100M€)",MAX(0,Nb_Investisseurs-Nb_KYC_Gratuites_Par_Tranche*(FLOOR(I$15/Taille_Tranche_KYC,1)+1))*Cout_Par_KYC_Supplementaire,(IF('01_Input'!$L$53="Forfait",IF(I$15&gt;='01_Input'!$J$53,'01_Input'!$M$53,0),IF('01_Input'!$L$53="Palier",IF(AND(I$15&gt;='01_Input'!$J$53,I$15&lt;'01_Input'!$K$53),'01_Input'!$M$53,0),MAX(MIN(I$15,'01_Input'!$K$53)-'01_Input'!$J$53,0)*'01_Input'!$M$53))+IF('01_Input'!$P$53="Forfait",IF(I$15&gt;='01_Input'!$N$53,'01_Input'!$Q$53,0),IF('01_Input'!$P$53="Palier",IF(AND(I$15&gt;='01_Input'!$N$53,I$15&lt;'01_Input'!$O$53),'01_Input'!$Q$53,0),MAX(MIN(I$15,'01_Input'!$O$53)-'01_Input'!$N$53,0)*'01_Input'!$Q$53))+IF('01_Input'!$T$53="Forfait",IF(I$15&gt;='01_Input'!$R$53,'01_Input'!$U$53,0),IF('01_Input'!$T$53="Palier",IF(AND(I$15&gt;='01_Input'!$R$53,I$15&lt;'01_Input'!$S$53),'01_Input'!$U$53,0),MAX(MIN(I$15,'01_Input'!$S$53)-'01_Input'!$R$53,0)*'01_Input'!$U$53))+IF('01_Input'!$X$53="Forfait",IF(I$15&gt;='01_Input'!$V$53,'01_Input'!$Y$53,0),IF('01_Input'!$X$53="Palier",IF(AND(I$15&gt;='01_Input'!$V$53,I$15&lt;'01_Input'!$W$53),'01_Input'!$Y$53,0),MAX(MIN(I$15,'01_Input'!$W$53)-'01_Input'!$V$53,0)*'01_Input'!$Y$53))+IF('01_Input'!$AB$53="Forfait",IF(I$15&gt;='01_Input'!$Z$53,'01_Input'!$AC$53,0),IF('01_Input'!$AB$53="Palier",IF(AND(I$15&gt;='01_Input'!$Z$53,I$15&lt;'01_Input'!$AA$53),'01_Input'!$AC$53,0),MAX(MIN(I$15,'01_Input'!$AA$53)-'01_Input'!$Z$53,0)*'01_Input'!$AC$53))))))))))</f>
        <v/>
      </c>
      <c r="J44" s="25" t="str">
        <f>IF(J$15="","",IF('01_Input'!$C$53="Non",0,MIN('01_Input'!$I$53,MAX('01_Input'!$H$53,IF('01_Input'!$G$53="Résiduel vs Gestion",0,IF('01_Input'!$G$53="Taux Classe sélectionnée",Distrib_Global_Classe_Selectionnee*J$15,IF('01_Input'!$G$53="Frais KYC (paliers de 100M€)",MAX(0,Nb_Investisseurs-Nb_KYC_Gratuites_Par_Tranche*(FLOOR(J$15/Taille_Tranche_KYC,1)+1))*Cout_Par_KYC_Supplementaire,(IF('01_Input'!$L$53="Forfait",IF(J$15&gt;='01_Input'!$J$53,'01_Input'!$M$53,0),IF('01_Input'!$L$53="Palier",IF(AND(J$15&gt;='01_Input'!$J$53,J$15&lt;'01_Input'!$K$53),'01_Input'!$M$53,0),MAX(MIN(J$15,'01_Input'!$K$53)-'01_Input'!$J$53,0)*'01_Input'!$M$53))+IF('01_Input'!$P$53="Forfait",IF(J$15&gt;='01_Input'!$N$53,'01_Input'!$Q$53,0),IF('01_Input'!$P$53="Palier",IF(AND(J$15&gt;='01_Input'!$N$53,J$15&lt;'01_Input'!$O$53),'01_Input'!$Q$53,0),MAX(MIN(J$15,'01_Input'!$O$53)-'01_Input'!$N$53,0)*'01_Input'!$Q$53))+IF('01_Input'!$T$53="Forfait",IF(J$15&gt;='01_Input'!$R$53,'01_Input'!$U$53,0),IF('01_Input'!$T$53="Palier",IF(AND(J$15&gt;='01_Input'!$R$53,J$15&lt;'01_Input'!$S$53),'01_Input'!$U$53,0),MAX(MIN(J$15,'01_Input'!$S$53)-'01_Input'!$R$53,0)*'01_Input'!$U$53))+IF('01_Input'!$X$53="Forfait",IF(J$15&gt;='01_Input'!$V$53,'01_Input'!$Y$53,0),IF('01_Input'!$X$53="Palier",IF(AND(J$15&gt;='01_Input'!$V$53,J$15&lt;'01_Input'!$W$53),'01_Input'!$Y$53,0),MAX(MIN(J$15,'01_Input'!$W$53)-'01_Input'!$V$53,0)*'01_Input'!$Y$53))+IF('01_Input'!$AB$53="Forfait",IF(J$15&gt;='01_Input'!$Z$53,'01_Input'!$AC$53,0),IF('01_Input'!$AB$53="Palier",IF(AND(J$15&gt;='01_Input'!$Z$53,J$15&lt;'01_Input'!$AA$53),'01_Input'!$AC$53,0),MAX(MIN(J$15,'01_Input'!$AA$53)-'01_Input'!$Z$53,0)*'01_Input'!$AC$53))))))))))</f>
        <v/>
      </c>
      <c r="K44" s="25" t="str">
        <f>IF(K$15="","",IF('01_Input'!$C$53="Non",0,MIN('01_Input'!$I$53,MAX('01_Input'!$H$53,IF('01_Input'!$G$53="Résiduel vs Gestion",0,IF('01_Input'!$G$53="Taux Classe sélectionnée",Distrib_Global_Classe_Selectionnee*K$15,IF('01_Input'!$G$53="Frais KYC (paliers de 100M€)",MAX(0,Nb_Investisseurs-Nb_KYC_Gratuites_Par_Tranche*(FLOOR(K$15/Taille_Tranche_KYC,1)+1))*Cout_Par_KYC_Supplementaire,(IF('01_Input'!$L$53="Forfait",IF(K$15&gt;='01_Input'!$J$53,'01_Input'!$M$53,0),IF('01_Input'!$L$53="Palier",IF(AND(K$15&gt;='01_Input'!$J$53,K$15&lt;'01_Input'!$K$53),'01_Input'!$M$53,0),MAX(MIN(K$15,'01_Input'!$K$53)-'01_Input'!$J$53,0)*'01_Input'!$M$53))+IF('01_Input'!$P$53="Forfait",IF(K$15&gt;='01_Input'!$N$53,'01_Input'!$Q$53,0),IF('01_Input'!$P$53="Palier",IF(AND(K$15&gt;='01_Input'!$N$53,K$15&lt;'01_Input'!$O$53),'01_Input'!$Q$53,0),MAX(MIN(K$15,'01_Input'!$O$53)-'01_Input'!$N$53,0)*'01_Input'!$Q$53))+IF('01_Input'!$T$53="Forfait",IF(K$15&gt;='01_Input'!$R$53,'01_Input'!$U$53,0),IF('01_Input'!$T$53="Palier",IF(AND(K$15&gt;='01_Input'!$R$53,K$15&lt;'01_Input'!$S$53),'01_Input'!$U$53,0),MAX(MIN(K$15,'01_Input'!$S$53)-'01_Input'!$R$53,0)*'01_Input'!$U$53))+IF('01_Input'!$X$53="Forfait",IF(K$15&gt;='01_Input'!$V$53,'01_Input'!$Y$53,0),IF('01_Input'!$X$53="Palier",IF(AND(K$15&gt;='01_Input'!$V$53,K$15&lt;'01_Input'!$W$53),'01_Input'!$Y$53,0),MAX(MIN(K$15,'01_Input'!$W$53)-'01_Input'!$V$53,0)*'01_Input'!$Y$53))+IF('01_Input'!$AB$53="Forfait",IF(K$15&gt;='01_Input'!$Z$53,'01_Input'!$AC$53,0),IF('01_Input'!$AB$53="Palier",IF(AND(K$15&gt;='01_Input'!$Z$53,K$15&lt;'01_Input'!$AA$53),'01_Input'!$AC$53,0),MAX(MIN(K$15,'01_Input'!$AA$53)-'01_Input'!$Z$53,0)*'01_Input'!$AC$53))))))))))</f>
        <v/>
      </c>
      <c r="L44" s="25" t="str">
        <f>IF(L$15="","",IF('01_Input'!$C$53="Non",0,MIN('01_Input'!$I$53,MAX('01_Input'!$H$53,IF('01_Input'!$G$53="Résiduel vs Gestion",0,IF('01_Input'!$G$53="Taux Classe sélectionnée",Distrib_Global_Classe_Selectionnee*L$15,IF('01_Input'!$G$53="Frais KYC (paliers de 100M€)",MAX(0,Nb_Investisseurs-Nb_KYC_Gratuites_Par_Tranche*(FLOOR(L$15/Taille_Tranche_KYC,1)+1))*Cout_Par_KYC_Supplementaire,(IF('01_Input'!$L$53="Forfait",IF(L$15&gt;='01_Input'!$J$53,'01_Input'!$M$53,0),IF('01_Input'!$L$53="Palier",IF(AND(L$15&gt;='01_Input'!$J$53,L$15&lt;'01_Input'!$K$53),'01_Input'!$M$53,0),MAX(MIN(L$15,'01_Input'!$K$53)-'01_Input'!$J$53,0)*'01_Input'!$M$53))+IF('01_Input'!$P$53="Forfait",IF(L$15&gt;='01_Input'!$N$53,'01_Input'!$Q$53,0),IF('01_Input'!$P$53="Palier",IF(AND(L$15&gt;='01_Input'!$N$53,L$15&lt;'01_Input'!$O$53),'01_Input'!$Q$53,0),MAX(MIN(L$15,'01_Input'!$O$53)-'01_Input'!$N$53,0)*'01_Input'!$Q$53))+IF('01_Input'!$T$53="Forfait",IF(L$15&gt;='01_Input'!$R$53,'01_Input'!$U$53,0),IF('01_Input'!$T$53="Palier",IF(AND(L$15&gt;='01_Input'!$R$53,L$15&lt;'01_Input'!$S$53),'01_Input'!$U$53,0),MAX(MIN(L$15,'01_Input'!$S$53)-'01_Input'!$R$53,0)*'01_Input'!$U$53))+IF('01_Input'!$X$53="Forfait",IF(L$15&gt;='01_Input'!$V$53,'01_Input'!$Y$53,0),IF('01_Input'!$X$53="Palier",IF(AND(L$15&gt;='01_Input'!$V$53,L$15&lt;'01_Input'!$W$53),'01_Input'!$Y$53,0),MAX(MIN(L$15,'01_Input'!$W$53)-'01_Input'!$V$53,0)*'01_Input'!$Y$53))+IF('01_Input'!$AB$53="Forfait",IF(L$15&gt;='01_Input'!$Z$53,'01_Input'!$AC$53,0),IF('01_Input'!$AB$53="Palier",IF(AND(L$15&gt;='01_Input'!$Z$53,L$15&lt;'01_Input'!$AA$53),'01_Input'!$AC$53,0),MAX(MIN(L$15,'01_Input'!$AA$53)-'01_Input'!$Z$53,0)*'01_Input'!$AC$53))))))))))</f>
        <v/>
      </c>
      <c r="M44" s="25" t="str">
        <f>IF(M$15="","",IF('01_Input'!$C$53="Non",0,MIN('01_Input'!$I$53,MAX('01_Input'!$H$53,IF('01_Input'!$G$53="Résiduel vs Gestion",0,IF('01_Input'!$G$53="Taux Classe sélectionnée",Distrib_Global_Classe_Selectionnee*M$15,IF('01_Input'!$G$53="Frais KYC (paliers de 100M€)",MAX(0,Nb_Investisseurs-Nb_KYC_Gratuites_Par_Tranche*(FLOOR(M$15/Taille_Tranche_KYC,1)+1))*Cout_Par_KYC_Supplementaire,(IF('01_Input'!$L$53="Forfait",IF(M$15&gt;='01_Input'!$J$53,'01_Input'!$M$53,0),IF('01_Input'!$L$53="Palier",IF(AND(M$15&gt;='01_Input'!$J$53,M$15&lt;'01_Input'!$K$53),'01_Input'!$M$53,0),MAX(MIN(M$15,'01_Input'!$K$53)-'01_Input'!$J$53,0)*'01_Input'!$M$53))+IF('01_Input'!$P$53="Forfait",IF(M$15&gt;='01_Input'!$N$53,'01_Input'!$Q$53,0),IF('01_Input'!$P$53="Palier",IF(AND(M$15&gt;='01_Input'!$N$53,M$15&lt;'01_Input'!$O$53),'01_Input'!$Q$53,0),MAX(MIN(M$15,'01_Input'!$O$53)-'01_Input'!$N$53,0)*'01_Input'!$Q$53))+IF('01_Input'!$T$53="Forfait",IF(M$15&gt;='01_Input'!$R$53,'01_Input'!$U$53,0),IF('01_Input'!$T$53="Palier",IF(AND(M$15&gt;='01_Input'!$R$53,M$15&lt;'01_Input'!$S$53),'01_Input'!$U$53,0),MAX(MIN(M$15,'01_Input'!$S$53)-'01_Input'!$R$53,0)*'01_Input'!$U$53))+IF('01_Input'!$X$53="Forfait",IF(M$15&gt;='01_Input'!$V$53,'01_Input'!$Y$53,0),IF('01_Input'!$X$53="Palier",IF(AND(M$15&gt;='01_Input'!$V$53,M$15&lt;'01_Input'!$W$53),'01_Input'!$Y$53,0),MAX(MIN(M$15,'01_Input'!$W$53)-'01_Input'!$V$53,0)*'01_Input'!$Y$53))+IF('01_Input'!$AB$53="Forfait",IF(M$15&gt;='01_Input'!$Z$53,'01_Input'!$AC$53,0),IF('01_Input'!$AB$53="Palier",IF(AND(M$15&gt;='01_Input'!$Z$53,M$15&lt;'01_Input'!$AA$53),'01_Input'!$AC$53,0),MAX(MIN(M$15,'01_Input'!$AA$53)-'01_Input'!$Z$53,0)*'01_Input'!$AC$53))))))))))</f>
        <v/>
      </c>
      <c r="N44" s="25" t="str">
        <f>IF(N$15="","",IF('01_Input'!$C$53="Non",0,MIN('01_Input'!$I$53,MAX('01_Input'!$H$53,IF('01_Input'!$G$53="Résiduel vs Gestion",0,IF('01_Input'!$G$53="Taux Classe sélectionnée",Distrib_Global_Classe_Selectionnee*N$15,IF('01_Input'!$G$53="Frais KYC (paliers de 100M€)",MAX(0,Nb_Investisseurs-Nb_KYC_Gratuites_Par_Tranche*(FLOOR(N$15/Taille_Tranche_KYC,1)+1))*Cout_Par_KYC_Supplementaire,(IF('01_Input'!$L$53="Forfait",IF(N$15&gt;='01_Input'!$J$53,'01_Input'!$M$53,0),IF('01_Input'!$L$53="Palier",IF(AND(N$15&gt;='01_Input'!$J$53,N$15&lt;'01_Input'!$K$53),'01_Input'!$M$53,0),MAX(MIN(N$15,'01_Input'!$K$53)-'01_Input'!$J$53,0)*'01_Input'!$M$53))+IF('01_Input'!$P$53="Forfait",IF(N$15&gt;='01_Input'!$N$53,'01_Input'!$Q$53,0),IF('01_Input'!$P$53="Palier",IF(AND(N$15&gt;='01_Input'!$N$53,N$15&lt;'01_Input'!$O$53),'01_Input'!$Q$53,0),MAX(MIN(N$15,'01_Input'!$O$53)-'01_Input'!$N$53,0)*'01_Input'!$Q$53))+IF('01_Input'!$T$53="Forfait",IF(N$15&gt;='01_Input'!$R$53,'01_Input'!$U$53,0),IF('01_Input'!$T$53="Palier",IF(AND(N$15&gt;='01_Input'!$R$53,N$15&lt;'01_Input'!$S$53),'01_Input'!$U$53,0),MAX(MIN(N$15,'01_Input'!$S$53)-'01_Input'!$R$53,0)*'01_Input'!$U$53))+IF('01_Input'!$X$53="Forfait",IF(N$15&gt;='01_Input'!$V$53,'01_Input'!$Y$53,0),IF('01_Input'!$X$53="Palier",IF(AND(N$15&gt;='01_Input'!$V$53,N$15&lt;'01_Input'!$W$53),'01_Input'!$Y$53,0),MAX(MIN(N$15,'01_Input'!$W$53)-'01_Input'!$V$53,0)*'01_Input'!$Y$53))+IF('01_Input'!$AB$53="Forfait",IF(N$15&gt;='01_Input'!$Z$53,'01_Input'!$AC$53,0),IF('01_Input'!$AB$53="Palier",IF(AND(N$15&gt;='01_Input'!$Z$53,N$15&lt;'01_Input'!$AA$53),'01_Input'!$AC$53,0),MAX(MIN(N$15,'01_Input'!$AA$53)-'01_Input'!$Z$53,0)*'01_Input'!$AC$53))))))))))</f>
        <v/>
      </c>
      <c r="O44" s="25" t="str">
        <f>IF(O$15="","",IF('01_Input'!$C$53="Non",0,MIN('01_Input'!$I$53,MAX('01_Input'!$H$53,IF('01_Input'!$G$53="Résiduel vs Gestion",0,IF('01_Input'!$G$53="Taux Classe sélectionnée",Distrib_Global_Classe_Selectionnee*O$15,IF('01_Input'!$G$53="Frais KYC (paliers de 100M€)",MAX(0,Nb_Investisseurs-Nb_KYC_Gratuites_Par_Tranche*(FLOOR(O$15/Taille_Tranche_KYC,1)+1))*Cout_Par_KYC_Supplementaire,(IF('01_Input'!$L$53="Forfait",IF(O$15&gt;='01_Input'!$J$53,'01_Input'!$M$53,0),IF('01_Input'!$L$53="Palier",IF(AND(O$15&gt;='01_Input'!$J$53,O$15&lt;'01_Input'!$K$53),'01_Input'!$M$53,0),MAX(MIN(O$15,'01_Input'!$K$53)-'01_Input'!$J$53,0)*'01_Input'!$M$53))+IF('01_Input'!$P$53="Forfait",IF(O$15&gt;='01_Input'!$N$53,'01_Input'!$Q$53,0),IF('01_Input'!$P$53="Palier",IF(AND(O$15&gt;='01_Input'!$N$53,O$15&lt;'01_Input'!$O$53),'01_Input'!$Q$53,0),MAX(MIN(O$15,'01_Input'!$O$53)-'01_Input'!$N$53,0)*'01_Input'!$Q$53))+IF('01_Input'!$T$53="Forfait",IF(O$15&gt;='01_Input'!$R$53,'01_Input'!$U$53,0),IF('01_Input'!$T$53="Palier",IF(AND(O$15&gt;='01_Input'!$R$53,O$15&lt;'01_Input'!$S$53),'01_Input'!$U$53,0),MAX(MIN(O$15,'01_Input'!$S$53)-'01_Input'!$R$53,0)*'01_Input'!$U$53))+IF('01_Input'!$X$53="Forfait",IF(O$15&gt;='01_Input'!$V$53,'01_Input'!$Y$53,0),IF('01_Input'!$X$53="Palier",IF(AND(O$15&gt;='01_Input'!$V$53,O$15&lt;'01_Input'!$W$53),'01_Input'!$Y$53,0),MAX(MIN(O$15,'01_Input'!$W$53)-'01_Input'!$V$53,0)*'01_Input'!$Y$53))+IF('01_Input'!$AB$53="Forfait",IF(O$15&gt;='01_Input'!$Z$53,'01_Input'!$AC$53,0),IF('01_Input'!$AB$53="Palier",IF(AND(O$15&gt;='01_Input'!$Z$53,O$15&lt;'01_Input'!$AA$53),'01_Input'!$AC$53,0),MAX(MIN(O$15,'01_Input'!$AA$53)-'01_Input'!$Z$53,0)*'01_Input'!$AC$53))))))))))</f>
        <v/>
      </c>
      <c r="P44" s="25" t="str">
        <f>IF(P$15="","",IF('01_Input'!$C$53="Non",0,MIN('01_Input'!$I$53,MAX('01_Input'!$H$53,IF('01_Input'!$G$53="Résiduel vs Gestion",0,IF('01_Input'!$G$53="Taux Classe sélectionnée",Distrib_Global_Classe_Selectionnee*P$15,IF('01_Input'!$G$53="Frais KYC (paliers de 100M€)",MAX(0,Nb_Investisseurs-Nb_KYC_Gratuites_Par_Tranche*(FLOOR(P$15/Taille_Tranche_KYC,1)+1))*Cout_Par_KYC_Supplementaire,(IF('01_Input'!$L$53="Forfait",IF(P$15&gt;='01_Input'!$J$53,'01_Input'!$M$53,0),IF('01_Input'!$L$53="Palier",IF(AND(P$15&gt;='01_Input'!$J$53,P$15&lt;'01_Input'!$K$53),'01_Input'!$M$53,0),MAX(MIN(P$15,'01_Input'!$K$53)-'01_Input'!$J$53,0)*'01_Input'!$M$53))+IF('01_Input'!$P$53="Forfait",IF(P$15&gt;='01_Input'!$N$53,'01_Input'!$Q$53,0),IF('01_Input'!$P$53="Palier",IF(AND(P$15&gt;='01_Input'!$N$53,P$15&lt;'01_Input'!$O$53),'01_Input'!$Q$53,0),MAX(MIN(P$15,'01_Input'!$O$53)-'01_Input'!$N$53,0)*'01_Input'!$Q$53))+IF('01_Input'!$T$53="Forfait",IF(P$15&gt;='01_Input'!$R$53,'01_Input'!$U$53,0),IF('01_Input'!$T$53="Palier",IF(AND(P$15&gt;='01_Input'!$R$53,P$15&lt;'01_Input'!$S$53),'01_Input'!$U$53,0),MAX(MIN(P$15,'01_Input'!$S$53)-'01_Input'!$R$53,0)*'01_Input'!$U$53))+IF('01_Input'!$X$53="Forfait",IF(P$15&gt;='01_Input'!$V$53,'01_Input'!$Y$53,0),IF('01_Input'!$X$53="Palier",IF(AND(P$15&gt;='01_Input'!$V$53,P$15&lt;'01_Input'!$W$53),'01_Input'!$Y$53,0),MAX(MIN(P$15,'01_Input'!$W$53)-'01_Input'!$V$53,0)*'01_Input'!$Y$53))+IF('01_Input'!$AB$53="Forfait",IF(P$15&gt;='01_Input'!$Z$53,'01_Input'!$AC$53,0),IF('01_Input'!$AB$53="Palier",IF(AND(P$15&gt;='01_Input'!$Z$53,P$15&lt;'01_Input'!$AA$53),'01_Input'!$AC$53,0),MAX(MIN(P$15,'01_Input'!$AA$53)-'01_Input'!$Z$53,0)*'01_Input'!$AC$53))))))))))</f>
        <v/>
      </c>
      <c r="Q44" s="25" t="str">
        <f>IF(Q$15="","",IF('01_Input'!$C$53="Non",0,MIN('01_Input'!$I$53,MAX('01_Input'!$H$53,IF('01_Input'!$G$53="Résiduel vs Gestion",0,IF('01_Input'!$G$53="Taux Classe sélectionnée",Distrib_Global_Classe_Selectionnee*Q$15,IF('01_Input'!$G$53="Frais KYC (paliers de 100M€)",MAX(0,Nb_Investisseurs-Nb_KYC_Gratuites_Par_Tranche*(FLOOR(Q$15/Taille_Tranche_KYC,1)+1))*Cout_Par_KYC_Supplementaire,(IF('01_Input'!$L$53="Forfait",IF(Q$15&gt;='01_Input'!$J$53,'01_Input'!$M$53,0),IF('01_Input'!$L$53="Palier",IF(AND(Q$15&gt;='01_Input'!$J$53,Q$15&lt;'01_Input'!$K$53),'01_Input'!$M$53,0),MAX(MIN(Q$15,'01_Input'!$K$53)-'01_Input'!$J$53,0)*'01_Input'!$M$53))+IF('01_Input'!$P$53="Forfait",IF(Q$15&gt;='01_Input'!$N$53,'01_Input'!$Q$53,0),IF('01_Input'!$P$53="Palier",IF(AND(Q$15&gt;='01_Input'!$N$53,Q$15&lt;'01_Input'!$O$53),'01_Input'!$Q$53,0),MAX(MIN(Q$15,'01_Input'!$O$53)-'01_Input'!$N$53,0)*'01_Input'!$Q$53))+IF('01_Input'!$T$53="Forfait",IF(Q$15&gt;='01_Input'!$R$53,'01_Input'!$U$53,0),IF('01_Input'!$T$53="Palier",IF(AND(Q$15&gt;='01_Input'!$R$53,Q$15&lt;'01_Input'!$S$53),'01_Input'!$U$53,0),MAX(MIN(Q$15,'01_Input'!$S$53)-'01_Input'!$R$53,0)*'01_Input'!$U$53))+IF('01_Input'!$X$53="Forfait",IF(Q$15&gt;='01_Input'!$V$53,'01_Input'!$Y$53,0),IF('01_Input'!$X$53="Palier",IF(AND(Q$15&gt;='01_Input'!$V$53,Q$15&lt;'01_Input'!$W$53),'01_Input'!$Y$53,0),MAX(MIN(Q$15,'01_Input'!$W$53)-'01_Input'!$V$53,0)*'01_Input'!$Y$53))+IF('01_Input'!$AB$53="Forfait",IF(Q$15&gt;='01_Input'!$Z$53,'01_Input'!$AC$53,0),IF('01_Input'!$AB$53="Palier",IF(AND(Q$15&gt;='01_Input'!$Z$53,Q$15&lt;'01_Input'!$AA$53),'01_Input'!$AC$53,0),MAX(MIN(Q$15,'01_Input'!$AA$53)-'01_Input'!$Z$53,0)*'01_Input'!$AC$53))))))))))</f>
        <v/>
      </c>
      <c r="R44" s="25" t="str">
        <f>IF(R$15="","",IF('01_Input'!$C$53="Non",0,MIN('01_Input'!$I$53,MAX('01_Input'!$H$53,IF('01_Input'!$G$53="Résiduel vs Gestion",0,IF('01_Input'!$G$53="Taux Classe sélectionnée",Distrib_Global_Classe_Selectionnee*R$15,IF('01_Input'!$G$53="Frais KYC (paliers de 100M€)",MAX(0,Nb_Investisseurs-Nb_KYC_Gratuites_Par_Tranche*(FLOOR(R$15/Taille_Tranche_KYC,1)+1))*Cout_Par_KYC_Supplementaire,(IF('01_Input'!$L$53="Forfait",IF(R$15&gt;='01_Input'!$J$53,'01_Input'!$M$53,0),IF('01_Input'!$L$53="Palier",IF(AND(R$15&gt;='01_Input'!$J$53,R$15&lt;'01_Input'!$K$53),'01_Input'!$M$53,0),MAX(MIN(R$15,'01_Input'!$K$53)-'01_Input'!$J$53,0)*'01_Input'!$M$53))+IF('01_Input'!$P$53="Forfait",IF(R$15&gt;='01_Input'!$N$53,'01_Input'!$Q$53,0),IF('01_Input'!$P$53="Palier",IF(AND(R$15&gt;='01_Input'!$N$53,R$15&lt;'01_Input'!$O$53),'01_Input'!$Q$53,0),MAX(MIN(R$15,'01_Input'!$O$53)-'01_Input'!$N$53,0)*'01_Input'!$Q$53))+IF('01_Input'!$T$53="Forfait",IF(R$15&gt;='01_Input'!$R$53,'01_Input'!$U$53,0),IF('01_Input'!$T$53="Palier",IF(AND(R$15&gt;='01_Input'!$R$53,R$15&lt;'01_Input'!$S$53),'01_Input'!$U$53,0),MAX(MIN(R$15,'01_Input'!$S$53)-'01_Input'!$R$53,0)*'01_Input'!$U$53))+IF('01_Input'!$X$53="Forfait",IF(R$15&gt;='01_Input'!$V$53,'01_Input'!$Y$53,0),IF('01_Input'!$X$53="Palier",IF(AND(R$15&gt;='01_Input'!$V$53,R$15&lt;'01_Input'!$W$53),'01_Input'!$Y$53,0),MAX(MIN(R$15,'01_Input'!$W$53)-'01_Input'!$V$53,0)*'01_Input'!$Y$53))+IF('01_Input'!$AB$53="Forfait",IF(R$15&gt;='01_Input'!$Z$53,'01_Input'!$AC$53,0),IF('01_Input'!$AB$53="Palier",IF(AND(R$15&gt;='01_Input'!$Z$53,R$15&lt;'01_Input'!$AA$53),'01_Input'!$AC$53,0),MAX(MIN(R$15,'01_Input'!$AA$53)-'01_Input'!$Z$53,0)*'01_Input'!$AC$53))))))))))</f>
        <v/>
      </c>
      <c r="S44" s="25" t="str">
        <f>IF(S$15="","",IF('01_Input'!$C$53="Non",0,MIN('01_Input'!$I$53,MAX('01_Input'!$H$53,IF('01_Input'!$G$53="Résiduel vs Gestion",0,IF('01_Input'!$G$53="Taux Classe sélectionnée",Distrib_Global_Classe_Selectionnee*S$15,IF('01_Input'!$G$53="Frais KYC (paliers de 100M€)",MAX(0,Nb_Investisseurs-Nb_KYC_Gratuites_Par_Tranche*(FLOOR(S$15/Taille_Tranche_KYC,1)+1))*Cout_Par_KYC_Supplementaire,(IF('01_Input'!$L$53="Forfait",IF(S$15&gt;='01_Input'!$J$53,'01_Input'!$M$53,0),IF('01_Input'!$L$53="Palier",IF(AND(S$15&gt;='01_Input'!$J$53,S$15&lt;'01_Input'!$K$53),'01_Input'!$M$53,0),MAX(MIN(S$15,'01_Input'!$K$53)-'01_Input'!$J$53,0)*'01_Input'!$M$53))+IF('01_Input'!$P$53="Forfait",IF(S$15&gt;='01_Input'!$N$53,'01_Input'!$Q$53,0),IF('01_Input'!$P$53="Palier",IF(AND(S$15&gt;='01_Input'!$N$53,S$15&lt;'01_Input'!$O$53),'01_Input'!$Q$53,0),MAX(MIN(S$15,'01_Input'!$O$53)-'01_Input'!$N$53,0)*'01_Input'!$Q$53))+IF('01_Input'!$T$53="Forfait",IF(S$15&gt;='01_Input'!$R$53,'01_Input'!$U$53,0),IF('01_Input'!$T$53="Palier",IF(AND(S$15&gt;='01_Input'!$R$53,S$15&lt;'01_Input'!$S$53),'01_Input'!$U$53,0),MAX(MIN(S$15,'01_Input'!$S$53)-'01_Input'!$R$53,0)*'01_Input'!$U$53))+IF('01_Input'!$X$53="Forfait",IF(S$15&gt;='01_Input'!$V$53,'01_Input'!$Y$53,0),IF('01_Input'!$X$53="Palier",IF(AND(S$15&gt;='01_Input'!$V$53,S$15&lt;'01_Input'!$W$53),'01_Input'!$Y$53,0),MAX(MIN(S$15,'01_Input'!$W$53)-'01_Input'!$V$53,0)*'01_Input'!$Y$53))+IF('01_Input'!$AB$53="Forfait",IF(S$15&gt;='01_Input'!$Z$53,'01_Input'!$AC$53,0),IF('01_Input'!$AB$53="Palier",IF(AND(S$15&gt;='01_Input'!$Z$53,S$15&lt;'01_Input'!$AA$53),'01_Input'!$AC$53,0),MAX(MIN(S$15,'01_Input'!$AA$53)-'01_Input'!$Z$53,0)*'01_Input'!$AC$53))))))))))</f>
        <v/>
      </c>
      <c r="T44" s="25" t="str">
        <f>IF(T$15="","",IF('01_Input'!$C$53="Non",0,MIN('01_Input'!$I$53,MAX('01_Input'!$H$53,IF('01_Input'!$G$53="Résiduel vs Gestion",0,IF('01_Input'!$G$53="Taux Classe sélectionnée",Distrib_Global_Classe_Selectionnee*T$15,IF('01_Input'!$G$53="Frais KYC (paliers de 100M€)",MAX(0,Nb_Investisseurs-Nb_KYC_Gratuites_Par_Tranche*(FLOOR(T$15/Taille_Tranche_KYC,1)+1))*Cout_Par_KYC_Supplementaire,(IF('01_Input'!$L$53="Forfait",IF(T$15&gt;='01_Input'!$J$53,'01_Input'!$M$53,0),IF('01_Input'!$L$53="Palier",IF(AND(T$15&gt;='01_Input'!$J$53,T$15&lt;'01_Input'!$K$53),'01_Input'!$M$53,0),MAX(MIN(T$15,'01_Input'!$K$53)-'01_Input'!$J$53,0)*'01_Input'!$M$53))+IF('01_Input'!$P$53="Forfait",IF(T$15&gt;='01_Input'!$N$53,'01_Input'!$Q$53,0),IF('01_Input'!$P$53="Palier",IF(AND(T$15&gt;='01_Input'!$N$53,T$15&lt;'01_Input'!$O$53),'01_Input'!$Q$53,0),MAX(MIN(T$15,'01_Input'!$O$53)-'01_Input'!$N$53,0)*'01_Input'!$Q$53))+IF('01_Input'!$T$53="Forfait",IF(T$15&gt;='01_Input'!$R$53,'01_Input'!$U$53,0),IF('01_Input'!$T$53="Palier",IF(AND(T$15&gt;='01_Input'!$R$53,T$15&lt;'01_Input'!$S$53),'01_Input'!$U$53,0),MAX(MIN(T$15,'01_Input'!$S$53)-'01_Input'!$R$53,0)*'01_Input'!$U$53))+IF('01_Input'!$X$53="Forfait",IF(T$15&gt;='01_Input'!$V$53,'01_Input'!$Y$53,0),IF('01_Input'!$X$53="Palier",IF(AND(T$15&gt;='01_Input'!$V$53,T$15&lt;'01_Input'!$W$53),'01_Input'!$Y$53,0),MAX(MIN(T$15,'01_Input'!$W$53)-'01_Input'!$V$53,0)*'01_Input'!$Y$53))+IF('01_Input'!$AB$53="Forfait",IF(T$15&gt;='01_Input'!$Z$53,'01_Input'!$AC$53,0),IF('01_Input'!$AB$53="Palier",IF(AND(T$15&gt;='01_Input'!$Z$53,T$15&lt;'01_Input'!$AA$53),'01_Input'!$AC$53,0),MAX(MIN(T$15,'01_Input'!$AA$53)-'01_Input'!$Z$53,0)*'01_Input'!$AC$53))))))))))</f>
        <v/>
      </c>
      <c r="U44" s="25" t="str">
        <f>IF(U$15="","",IF('01_Input'!$C$53="Non",0,MIN('01_Input'!$I$53,MAX('01_Input'!$H$53,IF('01_Input'!$G$53="Résiduel vs Gestion",0,IF('01_Input'!$G$53="Taux Classe sélectionnée",Distrib_Global_Classe_Selectionnee*U$15,IF('01_Input'!$G$53="Frais KYC (paliers de 100M€)",MAX(0,Nb_Investisseurs-Nb_KYC_Gratuites_Par_Tranche*(FLOOR(U$15/Taille_Tranche_KYC,1)+1))*Cout_Par_KYC_Supplementaire,(IF('01_Input'!$L$53="Forfait",IF(U$15&gt;='01_Input'!$J$53,'01_Input'!$M$53,0),IF('01_Input'!$L$53="Palier",IF(AND(U$15&gt;='01_Input'!$J$53,U$15&lt;'01_Input'!$K$53),'01_Input'!$M$53,0),MAX(MIN(U$15,'01_Input'!$K$53)-'01_Input'!$J$53,0)*'01_Input'!$M$53))+IF('01_Input'!$P$53="Forfait",IF(U$15&gt;='01_Input'!$N$53,'01_Input'!$Q$53,0),IF('01_Input'!$P$53="Palier",IF(AND(U$15&gt;='01_Input'!$N$53,U$15&lt;'01_Input'!$O$53),'01_Input'!$Q$53,0),MAX(MIN(U$15,'01_Input'!$O$53)-'01_Input'!$N$53,0)*'01_Input'!$Q$53))+IF('01_Input'!$T$53="Forfait",IF(U$15&gt;='01_Input'!$R$53,'01_Input'!$U$53,0),IF('01_Input'!$T$53="Palier",IF(AND(U$15&gt;='01_Input'!$R$53,U$15&lt;'01_Input'!$S$53),'01_Input'!$U$53,0),MAX(MIN(U$15,'01_Input'!$S$53)-'01_Input'!$R$53,0)*'01_Input'!$U$53))+IF('01_Input'!$X$53="Forfait",IF(U$15&gt;='01_Input'!$V$53,'01_Input'!$Y$53,0),IF('01_Input'!$X$53="Palier",IF(AND(U$15&gt;='01_Input'!$V$53,U$15&lt;'01_Input'!$W$53),'01_Input'!$Y$53,0),MAX(MIN(U$15,'01_Input'!$W$53)-'01_Input'!$V$53,0)*'01_Input'!$Y$53))+IF('01_Input'!$AB$53="Forfait",IF(U$15&gt;='01_Input'!$Z$53,'01_Input'!$AC$53,0),IF('01_Input'!$AB$53="Palier",IF(AND(U$15&gt;='01_Input'!$Z$53,U$15&lt;'01_Input'!$AA$53),'01_Input'!$AC$53,0),MAX(MIN(U$15,'01_Input'!$AA$53)-'01_Input'!$Z$53,0)*'01_Input'!$AC$53))))))))))</f>
        <v/>
      </c>
      <c r="V44" s="25" t="str">
        <f>IF(V$15="","",IF('01_Input'!$C$53="Non",0,MIN('01_Input'!$I$53,MAX('01_Input'!$H$53,IF('01_Input'!$G$53="Résiduel vs Gestion",0,IF('01_Input'!$G$53="Taux Classe sélectionnée",Distrib_Global_Classe_Selectionnee*V$15,IF('01_Input'!$G$53="Frais KYC (paliers de 100M€)",MAX(0,Nb_Investisseurs-Nb_KYC_Gratuites_Par_Tranche*(FLOOR(V$15/Taille_Tranche_KYC,1)+1))*Cout_Par_KYC_Supplementaire,(IF('01_Input'!$L$53="Forfait",IF(V$15&gt;='01_Input'!$J$53,'01_Input'!$M$53,0),IF('01_Input'!$L$53="Palier",IF(AND(V$15&gt;='01_Input'!$J$53,V$15&lt;'01_Input'!$K$53),'01_Input'!$M$53,0),MAX(MIN(V$15,'01_Input'!$K$53)-'01_Input'!$J$53,0)*'01_Input'!$M$53))+IF('01_Input'!$P$53="Forfait",IF(V$15&gt;='01_Input'!$N$53,'01_Input'!$Q$53,0),IF('01_Input'!$P$53="Palier",IF(AND(V$15&gt;='01_Input'!$N$53,V$15&lt;'01_Input'!$O$53),'01_Input'!$Q$53,0),MAX(MIN(V$15,'01_Input'!$O$53)-'01_Input'!$N$53,0)*'01_Input'!$Q$53))+IF('01_Input'!$T$53="Forfait",IF(V$15&gt;='01_Input'!$R$53,'01_Input'!$U$53,0),IF('01_Input'!$T$53="Palier",IF(AND(V$15&gt;='01_Input'!$R$53,V$15&lt;'01_Input'!$S$53),'01_Input'!$U$53,0),MAX(MIN(V$15,'01_Input'!$S$53)-'01_Input'!$R$53,0)*'01_Input'!$U$53))+IF('01_Input'!$X$53="Forfait",IF(V$15&gt;='01_Input'!$V$53,'01_Input'!$Y$53,0),IF('01_Input'!$X$53="Palier",IF(AND(V$15&gt;='01_Input'!$V$53,V$15&lt;'01_Input'!$W$53),'01_Input'!$Y$53,0),MAX(MIN(V$15,'01_Input'!$W$53)-'01_Input'!$V$53,0)*'01_Input'!$Y$53))+IF('01_Input'!$AB$53="Forfait",IF(V$15&gt;='01_Input'!$Z$53,'01_Input'!$AC$53,0),IF('01_Input'!$AB$53="Palier",IF(AND(V$15&gt;='01_Input'!$Z$53,V$15&lt;'01_Input'!$AA$53),'01_Input'!$AC$53,0),MAX(MIN(V$15,'01_Input'!$AA$53)-'01_Input'!$Z$53,0)*'01_Input'!$AC$53))))))))))</f>
        <v/>
      </c>
      <c r="W44" s="25" t="str">
        <f>IF(W$15="","",IF('01_Input'!$C$53="Non",0,MIN('01_Input'!$I$53,MAX('01_Input'!$H$53,IF('01_Input'!$G$53="Résiduel vs Gestion",0,IF('01_Input'!$G$53="Taux Classe sélectionnée",Distrib_Global_Classe_Selectionnee*W$15,IF('01_Input'!$G$53="Frais KYC (paliers de 100M€)",MAX(0,Nb_Investisseurs-Nb_KYC_Gratuites_Par_Tranche*(FLOOR(W$15/Taille_Tranche_KYC,1)+1))*Cout_Par_KYC_Supplementaire,(IF('01_Input'!$L$53="Forfait",IF(W$15&gt;='01_Input'!$J$53,'01_Input'!$M$53,0),IF('01_Input'!$L$53="Palier",IF(AND(W$15&gt;='01_Input'!$J$53,W$15&lt;'01_Input'!$K$53),'01_Input'!$M$53,0),MAX(MIN(W$15,'01_Input'!$K$53)-'01_Input'!$J$53,0)*'01_Input'!$M$53))+IF('01_Input'!$P$53="Forfait",IF(W$15&gt;='01_Input'!$N$53,'01_Input'!$Q$53,0),IF('01_Input'!$P$53="Palier",IF(AND(W$15&gt;='01_Input'!$N$53,W$15&lt;'01_Input'!$O$53),'01_Input'!$Q$53,0),MAX(MIN(W$15,'01_Input'!$O$53)-'01_Input'!$N$53,0)*'01_Input'!$Q$53))+IF('01_Input'!$T$53="Forfait",IF(W$15&gt;='01_Input'!$R$53,'01_Input'!$U$53,0),IF('01_Input'!$T$53="Palier",IF(AND(W$15&gt;='01_Input'!$R$53,W$15&lt;'01_Input'!$S$53),'01_Input'!$U$53,0),MAX(MIN(W$15,'01_Input'!$S$53)-'01_Input'!$R$53,0)*'01_Input'!$U$53))+IF('01_Input'!$X$53="Forfait",IF(W$15&gt;='01_Input'!$V$53,'01_Input'!$Y$53,0),IF('01_Input'!$X$53="Palier",IF(AND(W$15&gt;='01_Input'!$V$53,W$15&lt;'01_Input'!$W$53),'01_Input'!$Y$53,0),MAX(MIN(W$15,'01_Input'!$W$53)-'01_Input'!$V$53,0)*'01_Input'!$Y$53))+IF('01_Input'!$AB$53="Forfait",IF(W$15&gt;='01_Input'!$Z$53,'01_Input'!$AC$53,0),IF('01_Input'!$AB$53="Palier",IF(AND(W$15&gt;='01_Input'!$Z$53,W$15&lt;'01_Input'!$AA$53),'01_Input'!$AC$53,0),MAX(MIN(W$15,'01_Input'!$AA$53)-'01_Input'!$Z$53,0)*'01_Input'!$AC$53))))))))))</f>
        <v/>
      </c>
      <c r="X44" s="25" t="str">
        <f>IF(X$15="","",IF('01_Input'!$C$53="Non",0,MIN('01_Input'!$I$53,MAX('01_Input'!$H$53,IF('01_Input'!$G$53="Résiduel vs Gestion",0,IF('01_Input'!$G$53="Taux Classe sélectionnée",Distrib_Global_Classe_Selectionnee*X$15,IF('01_Input'!$G$53="Frais KYC (paliers de 100M€)",MAX(0,Nb_Investisseurs-Nb_KYC_Gratuites_Par_Tranche*(FLOOR(X$15/Taille_Tranche_KYC,1)+1))*Cout_Par_KYC_Supplementaire,(IF('01_Input'!$L$53="Forfait",IF(X$15&gt;='01_Input'!$J$53,'01_Input'!$M$53,0),IF('01_Input'!$L$53="Palier",IF(AND(X$15&gt;='01_Input'!$J$53,X$15&lt;'01_Input'!$K$53),'01_Input'!$M$53,0),MAX(MIN(X$15,'01_Input'!$K$53)-'01_Input'!$J$53,0)*'01_Input'!$M$53))+IF('01_Input'!$P$53="Forfait",IF(X$15&gt;='01_Input'!$N$53,'01_Input'!$Q$53,0),IF('01_Input'!$P$53="Palier",IF(AND(X$15&gt;='01_Input'!$N$53,X$15&lt;'01_Input'!$O$53),'01_Input'!$Q$53,0),MAX(MIN(X$15,'01_Input'!$O$53)-'01_Input'!$N$53,0)*'01_Input'!$Q$53))+IF('01_Input'!$T$53="Forfait",IF(X$15&gt;='01_Input'!$R$53,'01_Input'!$U$53,0),IF('01_Input'!$T$53="Palier",IF(AND(X$15&gt;='01_Input'!$R$53,X$15&lt;'01_Input'!$S$53),'01_Input'!$U$53,0),MAX(MIN(X$15,'01_Input'!$S$53)-'01_Input'!$R$53,0)*'01_Input'!$U$53))+IF('01_Input'!$X$53="Forfait",IF(X$15&gt;='01_Input'!$V$53,'01_Input'!$Y$53,0),IF('01_Input'!$X$53="Palier",IF(AND(X$15&gt;='01_Input'!$V$53,X$15&lt;'01_Input'!$W$53),'01_Input'!$Y$53,0),MAX(MIN(X$15,'01_Input'!$W$53)-'01_Input'!$V$53,0)*'01_Input'!$Y$53))+IF('01_Input'!$AB$53="Forfait",IF(X$15&gt;='01_Input'!$Z$53,'01_Input'!$AC$53,0),IF('01_Input'!$AB$53="Palier",IF(AND(X$15&gt;='01_Input'!$Z$53,X$15&lt;'01_Input'!$AA$53),'01_Input'!$AC$53,0),MAX(MIN(X$15,'01_Input'!$AA$53)-'01_Input'!$Z$53,0)*'01_Input'!$AC$53))))))))))</f>
        <v/>
      </c>
      <c r="Y44" s="25" t="str">
        <f>IF(Y$15="","",IF('01_Input'!$C$53="Non",0,MIN('01_Input'!$I$53,MAX('01_Input'!$H$53,IF('01_Input'!$G$53="Résiduel vs Gestion",0,IF('01_Input'!$G$53="Taux Classe sélectionnée",Distrib_Global_Classe_Selectionnee*Y$15,IF('01_Input'!$G$53="Frais KYC (paliers de 100M€)",MAX(0,Nb_Investisseurs-Nb_KYC_Gratuites_Par_Tranche*(FLOOR(Y$15/Taille_Tranche_KYC,1)+1))*Cout_Par_KYC_Supplementaire,(IF('01_Input'!$L$53="Forfait",IF(Y$15&gt;='01_Input'!$J$53,'01_Input'!$M$53,0),IF('01_Input'!$L$53="Palier",IF(AND(Y$15&gt;='01_Input'!$J$53,Y$15&lt;'01_Input'!$K$53),'01_Input'!$M$53,0),MAX(MIN(Y$15,'01_Input'!$K$53)-'01_Input'!$J$53,0)*'01_Input'!$M$53))+IF('01_Input'!$P$53="Forfait",IF(Y$15&gt;='01_Input'!$N$53,'01_Input'!$Q$53,0),IF('01_Input'!$P$53="Palier",IF(AND(Y$15&gt;='01_Input'!$N$53,Y$15&lt;'01_Input'!$O$53),'01_Input'!$Q$53,0),MAX(MIN(Y$15,'01_Input'!$O$53)-'01_Input'!$N$53,0)*'01_Input'!$Q$53))+IF('01_Input'!$T$53="Forfait",IF(Y$15&gt;='01_Input'!$R$53,'01_Input'!$U$53,0),IF('01_Input'!$T$53="Palier",IF(AND(Y$15&gt;='01_Input'!$R$53,Y$15&lt;'01_Input'!$S$53),'01_Input'!$U$53,0),MAX(MIN(Y$15,'01_Input'!$S$53)-'01_Input'!$R$53,0)*'01_Input'!$U$53))+IF('01_Input'!$X$53="Forfait",IF(Y$15&gt;='01_Input'!$V$53,'01_Input'!$Y$53,0),IF('01_Input'!$X$53="Palier",IF(AND(Y$15&gt;='01_Input'!$V$53,Y$15&lt;'01_Input'!$W$53),'01_Input'!$Y$53,0),MAX(MIN(Y$15,'01_Input'!$W$53)-'01_Input'!$V$53,0)*'01_Input'!$Y$53))+IF('01_Input'!$AB$53="Forfait",IF(Y$15&gt;='01_Input'!$Z$53,'01_Input'!$AC$53,0),IF('01_Input'!$AB$53="Palier",IF(AND(Y$15&gt;='01_Input'!$Z$53,Y$15&lt;'01_Input'!$AA$53),'01_Input'!$AC$53,0),MAX(MIN(Y$15,'01_Input'!$AA$53)-'01_Input'!$Z$53,0)*'01_Input'!$AC$53))))))))))</f>
        <v/>
      </c>
      <c r="Z44" s="25" t="str">
        <f>IF(Z$15="","",IF('01_Input'!$C$53="Non",0,MIN('01_Input'!$I$53,MAX('01_Input'!$H$53,IF('01_Input'!$G$53="Résiduel vs Gestion",0,IF('01_Input'!$G$53="Taux Classe sélectionnée",Distrib_Global_Classe_Selectionnee*Z$15,IF('01_Input'!$G$53="Frais KYC (paliers de 100M€)",MAX(0,Nb_Investisseurs-Nb_KYC_Gratuites_Par_Tranche*(FLOOR(Z$15/Taille_Tranche_KYC,1)+1))*Cout_Par_KYC_Supplementaire,(IF('01_Input'!$L$53="Forfait",IF(Z$15&gt;='01_Input'!$J$53,'01_Input'!$M$53,0),IF('01_Input'!$L$53="Palier",IF(AND(Z$15&gt;='01_Input'!$J$53,Z$15&lt;'01_Input'!$K$53),'01_Input'!$M$53,0),MAX(MIN(Z$15,'01_Input'!$K$53)-'01_Input'!$J$53,0)*'01_Input'!$M$53))+IF('01_Input'!$P$53="Forfait",IF(Z$15&gt;='01_Input'!$N$53,'01_Input'!$Q$53,0),IF('01_Input'!$P$53="Palier",IF(AND(Z$15&gt;='01_Input'!$N$53,Z$15&lt;'01_Input'!$O$53),'01_Input'!$Q$53,0),MAX(MIN(Z$15,'01_Input'!$O$53)-'01_Input'!$N$53,0)*'01_Input'!$Q$53))+IF('01_Input'!$T$53="Forfait",IF(Z$15&gt;='01_Input'!$R$53,'01_Input'!$U$53,0),IF('01_Input'!$T$53="Palier",IF(AND(Z$15&gt;='01_Input'!$R$53,Z$15&lt;'01_Input'!$S$53),'01_Input'!$U$53,0),MAX(MIN(Z$15,'01_Input'!$S$53)-'01_Input'!$R$53,0)*'01_Input'!$U$53))+IF('01_Input'!$X$53="Forfait",IF(Z$15&gt;='01_Input'!$V$53,'01_Input'!$Y$53,0),IF('01_Input'!$X$53="Palier",IF(AND(Z$15&gt;='01_Input'!$V$53,Z$15&lt;'01_Input'!$W$53),'01_Input'!$Y$53,0),MAX(MIN(Z$15,'01_Input'!$W$53)-'01_Input'!$V$53,0)*'01_Input'!$Y$53))+IF('01_Input'!$AB$53="Forfait",IF(Z$15&gt;='01_Input'!$Z$53,'01_Input'!$AC$53,0),IF('01_Input'!$AB$53="Palier",IF(AND(Z$15&gt;='01_Input'!$Z$53,Z$15&lt;'01_Input'!$AA$53),'01_Input'!$AC$53,0),MAX(MIN(Z$15,'01_Input'!$AA$53)-'01_Input'!$Z$53,0)*'01_Input'!$AC$53))))))))))</f>
        <v/>
      </c>
      <c r="AA44" s="25" t="str">
        <f>IF(AA$15="","",IF('01_Input'!$C$53="Non",0,MIN('01_Input'!$I$53,MAX('01_Input'!$H$53,IF('01_Input'!$G$53="Résiduel vs Gestion",0,IF('01_Input'!$G$53="Taux Classe sélectionnée",Distrib_Global_Classe_Selectionnee*AA$15,IF('01_Input'!$G$53="Frais KYC (paliers de 100M€)",MAX(0,Nb_Investisseurs-Nb_KYC_Gratuites_Par_Tranche*(FLOOR(AA$15/Taille_Tranche_KYC,1)+1))*Cout_Par_KYC_Supplementaire,(IF('01_Input'!$L$53="Forfait",IF(AA$15&gt;='01_Input'!$J$53,'01_Input'!$M$53,0),IF('01_Input'!$L$53="Palier",IF(AND(AA$15&gt;='01_Input'!$J$53,AA$15&lt;'01_Input'!$K$53),'01_Input'!$M$53,0),MAX(MIN(AA$15,'01_Input'!$K$53)-'01_Input'!$J$53,0)*'01_Input'!$M$53))+IF('01_Input'!$P$53="Forfait",IF(AA$15&gt;='01_Input'!$N$53,'01_Input'!$Q$53,0),IF('01_Input'!$P$53="Palier",IF(AND(AA$15&gt;='01_Input'!$N$53,AA$15&lt;'01_Input'!$O$53),'01_Input'!$Q$53,0),MAX(MIN(AA$15,'01_Input'!$O$53)-'01_Input'!$N$53,0)*'01_Input'!$Q$53))+IF('01_Input'!$T$53="Forfait",IF(AA$15&gt;='01_Input'!$R$53,'01_Input'!$U$53,0),IF('01_Input'!$T$53="Palier",IF(AND(AA$15&gt;='01_Input'!$R$53,AA$15&lt;'01_Input'!$S$53),'01_Input'!$U$53,0),MAX(MIN(AA$15,'01_Input'!$S$53)-'01_Input'!$R$53,0)*'01_Input'!$U$53))+IF('01_Input'!$X$53="Forfait",IF(AA$15&gt;='01_Input'!$V$53,'01_Input'!$Y$53,0),IF('01_Input'!$X$53="Palier",IF(AND(AA$15&gt;='01_Input'!$V$53,AA$15&lt;'01_Input'!$W$53),'01_Input'!$Y$53,0),MAX(MIN(AA$15,'01_Input'!$W$53)-'01_Input'!$V$53,0)*'01_Input'!$Y$53))+IF('01_Input'!$AB$53="Forfait",IF(AA$15&gt;='01_Input'!$Z$53,'01_Input'!$AC$53,0),IF('01_Input'!$AB$53="Palier",IF(AND(AA$15&gt;='01_Input'!$Z$53,AA$15&lt;'01_Input'!$AA$53),'01_Input'!$AC$53,0),MAX(MIN(AA$15,'01_Input'!$AA$53)-'01_Input'!$Z$53,0)*'01_Input'!$AC$53))))))))))</f>
        <v/>
      </c>
      <c r="AB44" s="25" t="str">
        <f>IF(AB$15="","",IF('01_Input'!$C$53="Non",0,MIN('01_Input'!$I$53,MAX('01_Input'!$H$53,IF('01_Input'!$G$53="Résiduel vs Gestion",0,IF('01_Input'!$G$53="Taux Classe sélectionnée",Distrib_Global_Classe_Selectionnee*AB$15,IF('01_Input'!$G$53="Frais KYC (paliers de 100M€)",MAX(0,Nb_Investisseurs-Nb_KYC_Gratuites_Par_Tranche*(FLOOR(AB$15/Taille_Tranche_KYC,1)+1))*Cout_Par_KYC_Supplementaire,(IF('01_Input'!$L$53="Forfait",IF(AB$15&gt;='01_Input'!$J$53,'01_Input'!$M$53,0),IF('01_Input'!$L$53="Palier",IF(AND(AB$15&gt;='01_Input'!$J$53,AB$15&lt;'01_Input'!$K$53),'01_Input'!$M$53,0),MAX(MIN(AB$15,'01_Input'!$K$53)-'01_Input'!$J$53,0)*'01_Input'!$M$53))+IF('01_Input'!$P$53="Forfait",IF(AB$15&gt;='01_Input'!$N$53,'01_Input'!$Q$53,0),IF('01_Input'!$P$53="Palier",IF(AND(AB$15&gt;='01_Input'!$N$53,AB$15&lt;'01_Input'!$O$53),'01_Input'!$Q$53,0),MAX(MIN(AB$15,'01_Input'!$O$53)-'01_Input'!$N$53,0)*'01_Input'!$Q$53))+IF('01_Input'!$T$53="Forfait",IF(AB$15&gt;='01_Input'!$R$53,'01_Input'!$U$53,0),IF('01_Input'!$T$53="Palier",IF(AND(AB$15&gt;='01_Input'!$R$53,AB$15&lt;'01_Input'!$S$53),'01_Input'!$U$53,0),MAX(MIN(AB$15,'01_Input'!$S$53)-'01_Input'!$R$53,0)*'01_Input'!$U$53))+IF('01_Input'!$X$53="Forfait",IF(AB$15&gt;='01_Input'!$V$53,'01_Input'!$Y$53,0),IF('01_Input'!$X$53="Palier",IF(AND(AB$15&gt;='01_Input'!$V$53,AB$15&lt;'01_Input'!$W$53),'01_Input'!$Y$53,0),MAX(MIN(AB$15,'01_Input'!$W$53)-'01_Input'!$V$53,0)*'01_Input'!$Y$53))+IF('01_Input'!$AB$53="Forfait",IF(AB$15&gt;='01_Input'!$Z$53,'01_Input'!$AC$53,0),IF('01_Input'!$AB$53="Palier",IF(AND(AB$15&gt;='01_Input'!$Z$53,AB$15&lt;'01_Input'!$AA$53),'01_Input'!$AC$53,0),MAX(MIN(AB$15,'01_Input'!$AA$53)-'01_Input'!$Z$53,0)*'01_Input'!$AC$53))))))))))</f>
        <v/>
      </c>
      <c r="AC44" s="25" t="str">
        <f>IF(AC$15="","",IF('01_Input'!$C$53="Non",0,MIN('01_Input'!$I$53,MAX('01_Input'!$H$53,IF('01_Input'!$G$53="Résiduel vs Gestion",0,IF('01_Input'!$G$53="Taux Classe sélectionnée",Distrib_Global_Classe_Selectionnee*AC$15,IF('01_Input'!$G$53="Frais KYC (paliers de 100M€)",MAX(0,Nb_Investisseurs-Nb_KYC_Gratuites_Par_Tranche*(FLOOR(AC$15/Taille_Tranche_KYC,1)+1))*Cout_Par_KYC_Supplementaire,(IF('01_Input'!$L$53="Forfait",IF(AC$15&gt;='01_Input'!$J$53,'01_Input'!$M$53,0),IF('01_Input'!$L$53="Palier",IF(AND(AC$15&gt;='01_Input'!$J$53,AC$15&lt;'01_Input'!$K$53),'01_Input'!$M$53,0),MAX(MIN(AC$15,'01_Input'!$K$53)-'01_Input'!$J$53,0)*'01_Input'!$M$53))+IF('01_Input'!$P$53="Forfait",IF(AC$15&gt;='01_Input'!$N$53,'01_Input'!$Q$53,0),IF('01_Input'!$P$53="Palier",IF(AND(AC$15&gt;='01_Input'!$N$53,AC$15&lt;'01_Input'!$O$53),'01_Input'!$Q$53,0),MAX(MIN(AC$15,'01_Input'!$O$53)-'01_Input'!$N$53,0)*'01_Input'!$Q$53))+IF('01_Input'!$T$53="Forfait",IF(AC$15&gt;='01_Input'!$R$53,'01_Input'!$U$53,0),IF('01_Input'!$T$53="Palier",IF(AND(AC$15&gt;='01_Input'!$R$53,AC$15&lt;'01_Input'!$S$53),'01_Input'!$U$53,0),MAX(MIN(AC$15,'01_Input'!$S$53)-'01_Input'!$R$53,0)*'01_Input'!$U$53))+IF('01_Input'!$X$53="Forfait",IF(AC$15&gt;='01_Input'!$V$53,'01_Input'!$Y$53,0),IF('01_Input'!$X$53="Palier",IF(AND(AC$15&gt;='01_Input'!$V$53,AC$15&lt;'01_Input'!$W$53),'01_Input'!$Y$53,0),MAX(MIN(AC$15,'01_Input'!$W$53)-'01_Input'!$V$53,0)*'01_Input'!$Y$53))+IF('01_Input'!$AB$53="Forfait",IF(AC$15&gt;='01_Input'!$Z$53,'01_Input'!$AC$53,0),IF('01_Input'!$AB$53="Palier",IF(AND(AC$15&gt;='01_Input'!$Z$53,AC$15&lt;'01_Input'!$AA$53),'01_Input'!$AC$53,0),MAX(MIN(AC$15,'01_Input'!$AA$53)-'01_Input'!$Z$53,0)*'01_Input'!$AC$53))))))))))</f>
        <v/>
      </c>
      <c r="AD44" s="25" t="str">
        <f>IF(AD$15="","",IF('01_Input'!$C$53="Non",0,MIN('01_Input'!$I$53,MAX('01_Input'!$H$53,IF('01_Input'!$G$53="Résiduel vs Gestion",0,IF('01_Input'!$G$53="Taux Classe sélectionnée",Distrib_Global_Classe_Selectionnee*AD$15,IF('01_Input'!$G$53="Frais KYC (paliers de 100M€)",MAX(0,Nb_Investisseurs-Nb_KYC_Gratuites_Par_Tranche*(FLOOR(AD$15/Taille_Tranche_KYC,1)+1))*Cout_Par_KYC_Supplementaire,(IF('01_Input'!$L$53="Forfait",IF(AD$15&gt;='01_Input'!$J$53,'01_Input'!$M$53,0),IF('01_Input'!$L$53="Palier",IF(AND(AD$15&gt;='01_Input'!$J$53,AD$15&lt;'01_Input'!$K$53),'01_Input'!$M$53,0),MAX(MIN(AD$15,'01_Input'!$K$53)-'01_Input'!$J$53,0)*'01_Input'!$M$53))+IF('01_Input'!$P$53="Forfait",IF(AD$15&gt;='01_Input'!$N$53,'01_Input'!$Q$53,0),IF('01_Input'!$P$53="Palier",IF(AND(AD$15&gt;='01_Input'!$N$53,AD$15&lt;'01_Input'!$O$53),'01_Input'!$Q$53,0),MAX(MIN(AD$15,'01_Input'!$O$53)-'01_Input'!$N$53,0)*'01_Input'!$Q$53))+IF('01_Input'!$T$53="Forfait",IF(AD$15&gt;='01_Input'!$R$53,'01_Input'!$U$53,0),IF('01_Input'!$T$53="Palier",IF(AND(AD$15&gt;='01_Input'!$R$53,AD$15&lt;'01_Input'!$S$53),'01_Input'!$U$53,0),MAX(MIN(AD$15,'01_Input'!$S$53)-'01_Input'!$R$53,0)*'01_Input'!$U$53))+IF('01_Input'!$X$53="Forfait",IF(AD$15&gt;='01_Input'!$V$53,'01_Input'!$Y$53,0),IF('01_Input'!$X$53="Palier",IF(AND(AD$15&gt;='01_Input'!$V$53,AD$15&lt;'01_Input'!$W$53),'01_Input'!$Y$53,0),MAX(MIN(AD$15,'01_Input'!$W$53)-'01_Input'!$V$53,0)*'01_Input'!$Y$53))+IF('01_Input'!$AB$53="Forfait",IF(AD$15&gt;='01_Input'!$Z$53,'01_Input'!$AC$53,0),IF('01_Input'!$AB$53="Palier",IF(AND(AD$15&gt;='01_Input'!$Z$53,AD$15&lt;'01_Input'!$AA$53),'01_Input'!$AC$53,0),MAX(MIN(AD$15,'01_Input'!$AA$53)-'01_Input'!$Z$53,0)*'01_Input'!$AC$53))))))))))</f>
        <v/>
      </c>
      <c r="AE44" s="25" t="str">
        <f>IF(AE$15="","",IF('01_Input'!$C$53="Non",0,MIN('01_Input'!$I$53,MAX('01_Input'!$H$53,IF('01_Input'!$G$53="Résiduel vs Gestion",0,IF('01_Input'!$G$53="Taux Classe sélectionnée",Distrib_Global_Classe_Selectionnee*AE$15,IF('01_Input'!$G$53="Frais KYC (paliers de 100M€)",MAX(0,Nb_Investisseurs-Nb_KYC_Gratuites_Par_Tranche*(FLOOR(AE$15/Taille_Tranche_KYC,1)+1))*Cout_Par_KYC_Supplementaire,(IF('01_Input'!$L$53="Forfait",IF(AE$15&gt;='01_Input'!$J$53,'01_Input'!$M$53,0),IF('01_Input'!$L$53="Palier",IF(AND(AE$15&gt;='01_Input'!$J$53,AE$15&lt;'01_Input'!$K$53),'01_Input'!$M$53,0),MAX(MIN(AE$15,'01_Input'!$K$53)-'01_Input'!$J$53,0)*'01_Input'!$M$53))+IF('01_Input'!$P$53="Forfait",IF(AE$15&gt;='01_Input'!$N$53,'01_Input'!$Q$53,0),IF('01_Input'!$P$53="Palier",IF(AND(AE$15&gt;='01_Input'!$N$53,AE$15&lt;'01_Input'!$O$53),'01_Input'!$Q$53,0),MAX(MIN(AE$15,'01_Input'!$O$53)-'01_Input'!$N$53,0)*'01_Input'!$Q$53))+IF('01_Input'!$T$53="Forfait",IF(AE$15&gt;='01_Input'!$R$53,'01_Input'!$U$53,0),IF('01_Input'!$T$53="Palier",IF(AND(AE$15&gt;='01_Input'!$R$53,AE$15&lt;'01_Input'!$S$53),'01_Input'!$U$53,0),MAX(MIN(AE$15,'01_Input'!$S$53)-'01_Input'!$R$53,0)*'01_Input'!$U$53))+IF('01_Input'!$X$53="Forfait",IF(AE$15&gt;='01_Input'!$V$53,'01_Input'!$Y$53,0),IF('01_Input'!$X$53="Palier",IF(AND(AE$15&gt;='01_Input'!$V$53,AE$15&lt;'01_Input'!$W$53),'01_Input'!$Y$53,0),MAX(MIN(AE$15,'01_Input'!$W$53)-'01_Input'!$V$53,0)*'01_Input'!$Y$53))+IF('01_Input'!$AB$53="Forfait",IF(AE$15&gt;='01_Input'!$Z$53,'01_Input'!$AC$53,0),IF('01_Input'!$AB$53="Palier",IF(AND(AE$15&gt;='01_Input'!$Z$53,AE$15&lt;'01_Input'!$AA$53),'01_Input'!$AC$53,0),MAX(MIN(AE$15,'01_Input'!$AA$53)-'01_Input'!$Z$53,0)*'01_Input'!$AC$53))))))))))</f>
        <v/>
      </c>
      <c r="AF44" s="25" t="str">
        <f>IF(AF$15="","",IF('01_Input'!$C$53="Non",0,MIN('01_Input'!$I$53,MAX('01_Input'!$H$53,IF('01_Input'!$G$53="Résiduel vs Gestion",0,IF('01_Input'!$G$53="Taux Classe sélectionnée",Distrib_Global_Classe_Selectionnee*AF$15,IF('01_Input'!$G$53="Frais KYC (paliers de 100M€)",MAX(0,Nb_Investisseurs-Nb_KYC_Gratuites_Par_Tranche*(FLOOR(AF$15/Taille_Tranche_KYC,1)+1))*Cout_Par_KYC_Supplementaire,(IF('01_Input'!$L$53="Forfait",IF(AF$15&gt;='01_Input'!$J$53,'01_Input'!$M$53,0),IF('01_Input'!$L$53="Palier",IF(AND(AF$15&gt;='01_Input'!$J$53,AF$15&lt;'01_Input'!$K$53),'01_Input'!$M$53,0),MAX(MIN(AF$15,'01_Input'!$K$53)-'01_Input'!$J$53,0)*'01_Input'!$M$53))+IF('01_Input'!$P$53="Forfait",IF(AF$15&gt;='01_Input'!$N$53,'01_Input'!$Q$53,0),IF('01_Input'!$P$53="Palier",IF(AND(AF$15&gt;='01_Input'!$N$53,AF$15&lt;'01_Input'!$O$53),'01_Input'!$Q$53,0),MAX(MIN(AF$15,'01_Input'!$O$53)-'01_Input'!$N$53,0)*'01_Input'!$Q$53))+IF('01_Input'!$T$53="Forfait",IF(AF$15&gt;='01_Input'!$R$53,'01_Input'!$U$53,0),IF('01_Input'!$T$53="Palier",IF(AND(AF$15&gt;='01_Input'!$R$53,AF$15&lt;'01_Input'!$S$53),'01_Input'!$U$53,0),MAX(MIN(AF$15,'01_Input'!$S$53)-'01_Input'!$R$53,0)*'01_Input'!$U$53))+IF('01_Input'!$X$53="Forfait",IF(AF$15&gt;='01_Input'!$V$53,'01_Input'!$Y$53,0),IF('01_Input'!$X$53="Palier",IF(AND(AF$15&gt;='01_Input'!$V$53,AF$15&lt;'01_Input'!$W$53),'01_Input'!$Y$53,0),MAX(MIN(AF$15,'01_Input'!$W$53)-'01_Input'!$V$53,0)*'01_Input'!$Y$53))+IF('01_Input'!$AB$53="Forfait",IF(AF$15&gt;='01_Input'!$Z$53,'01_Input'!$AC$53,0),IF('01_Input'!$AB$53="Palier",IF(AND(AF$15&gt;='01_Input'!$Z$53,AF$15&lt;'01_Input'!$AA$53),'01_Input'!$AC$53,0),MAX(MIN(AF$15,'01_Input'!$AA$53)-'01_Input'!$Z$53,0)*'01_Input'!$AC$53))))))))))</f>
        <v/>
      </c>
      <c r="AG44" s="25" t="str">
        <f>IF(AG$15="","",IF('01_Input'!$C$53="Non",0,MIN('01_Input'!$I$53,MAX('01_Input'!$H$53,IF('01_Input'!$G$53="Résiduel vs Gestion",0,IF('01_Input'!$G$53="Taux Classe sélectionnée",Distrib_Global_Classe_Selectionnee*AG$15,IF('01_Input'!$G$53="Frais KYC (paliers de 100M€)",MAX(0,Nb_Investisseurs-Nb_KYC_Gratuites_Par_Tranche*(FLOOR(AG$15/Taille_Tranche_KYC,1)+1))*Cout_Par_KYC_Supplementaire,(IF('01_Input'!$L$53="Forfait",IF(AG$15&gt;='01_Input'!$J$53,'01_Input'!$M$53,0),IF('01_Input'!$L$53="Palier",IF(AND(AG$15&gt;='01_Input'!$J$53,AG$15&lt;'01_Input'!$K$53),'01_Input'!$M$53,0),MAX(MIN(AG$15,'01_Input'!$K$53)-'01_Input'!$J$53,0)*'01_Input'!$M$53))+IF('01_Input'!$P$53="Forfait",IF(AG$15&gt;='01_Input'!$N$53,'01_Input'!$Q$53,0),IF('01_Input'!$P$53="Palier",IF(AND(AG$15&gt;='01_Input'!$N$53,AG$15&lt;'01_Input'!$O$53),'01_Input'!$Q$53,0),MAX(MIN(AG$15,'01_Input'!$O$53)-'01_Input'!$N$53,0)*'01_Input'!$Q$53))+IF('01_Input'!$T$53="Forfait",IF(AG$15&gt;='01_Input'!$R$53,'01_Input'!$U$53,0),IF('01_Input'!$T$53="Palier",IF(AND(AG$15&gt;='01_Input'!$R$53,AG$15&lt;'01_Input'!$S$53),'01_Input'!$U$53,0),MAX(MIN(AG$15,'01_Input'!$S$53)-'01_Input'!$R$53,0)*'01_Input'!$U$53))+IF('01_Input'!$X$53="Forfait",IF(AG$15&gt;='01_Input'!$V$53,'01_Input'!$Y$53,0),IF('01_Input'!$X$53="Palier",IF(AND(AG$15&gt;='01_Input'!$V$53,AG$15&lt;'01_Input'!$W$53),'01_Input'!$Y$53,0),MAX(MIN(AG$15,'01_Input'!$W$53)-'01_Input'!$V$53,0)*'01_Input'!$Y$53))+IF('01_Input'!$AB$53="Forfait",IF(AG$15&gt;='01_Input'!$Z$53,'01_Input'!$AC$53,0),IF('01_Input'!$AB$53="Palier",IF(AND(AG$15&gt;='01_Input'!$Z$53,AG$15&lt;'01_Input'!$AA$53),'01_Input'!$AC$53,0),MAX(MIN(AG$15,'01_Input'!$AA$53)-'01_Input'!$Z$53,0)*'01_Input'!$AC$53))))))))))</f>
        <v/>
      </c>
      <c r="AH44" s="25" t="str">
        <f>IF(AH$15="","",IF('01_Input'!$C$53="Non",0,MIN('01_Input'!$I$53,MAX('01_Input'!$H$53,IF('01_Input'!$G$53="Résiduel vs Gestion",0,IF('01_Input'!$G$53="Taux Classe sélectionnée",Distrib_Global_Classe_Selectionnee*AH$15,IF('01_Input'!$G$53="Frais KYC (paliers de 100M€)",MAX(0,Nb_Investisseurs-Nb_KYC_Gratuites_Par_Tranche*(FLOOR(AH$15/Taille_Tranche_KYC,1)+1))*Cout_Par_KYC_Supplementaire,(IF('01_Input'!$L$53="Forfait",IF(AH$15&gt;='01_Input'!$J$53,'01_Input'!$M$53,0),IF('01_Input'!$L$53="Palier",IF(AND(AH$15&gt;='01_Input'!$J$53,AH$15&lt;'01_Input'!$K$53),'01_Input'!$M$53,0),MAX(MIN(AH$15,'01_Input'!$K$53)-'01_Input'!$J$53,0)*'01_Input'!$M$53))+IF('01_Input'!$P$53="Forfait",IF(AH$15&gt;='01_Input'!$N$53,'01_Input'!$Q$53,0),IF('01_Input'!$P$53="Palier",IF(AND(AH$15&gt;='01_Input'!$N$53,AH$15&lt;'01_Input'!$O$53),'01_Input'!$Q$53,0),MAX(MIN(AH$15,'01_Input'!$O$53)-'01_Input'!$N$53,0)*'01_Input'!$Q$53))+IF('01_Input'!$T$53="Forfait",IF(AH$15&gt;='01_Input'!$R$53,'01_Input'!$U$53,0),IF('01_Input'!$T$53="Palier",IF(AND(AH$15&gt;='01_Input'!$R$53,AH$15&lt;'01_Input'!$S$53),'01_Input'!$U$53,0),MAX(MIN(AH$15,'01_Input'!$S$53)-'01_Input'!$R$53,0)*'01_Input'!$U$53))+IF('01_Input'!$X$53="Forfait",IF(AH$15&gt;='01_Input'!$V$53,'01_Input'!$Y$53,0),IF('01_Input'!$X$53="Palier",IF(AND(AH$15&gt;='01_Input'!$V$53,AH$15&lt;'01_Input'!$W$53),'01_Input'!$Y$53,0),MAX(MIN(AH$15,'01_Input'!$W$53)-'01_Input'!$V$53,0)*'01_Input'!$Y$53))+IF('01_Input'!$AB$53="Forfait",IF(AH$15&gt;='01_Input'!$Z$53,'01_Input'!$AC$53,0),IF('01_Input'!$AB$53="Palier",IF(AND(AH$15&gt;='01_Input'!$Z$53,AH$15&lt;'01_Input'!$AA$53),'01_Input'!$AC$53,0),MAX(MIN(AH$15,'01_Input'!$AA$53)-'01_Input'!$Z$53,0)*'01_Input'!$AC$53))))))))))</f>
        <v/>
      </c>
      <c r="AI44" s="25" t="str">
        <f>IF(AI$15="","",IF('01_Input'!$C$53="Non",0,MIN('01_Input'!$I$53,MAX('01_Input'!$H$53,IF('01_Input'!$G$53="Résiduel vs Gestion",0,IF('01_Input'!$G$53="Taux Classe sélectionnée",Distrib_Global_Classe_Selectionnee*AI$15,IF('01_Input'!$G$53="Frais KYC (paliers de 100M€)",MAX(0,Nb_Investisseurs-Nb_KYC_Gratuites_Par_Tranche*(FLOOR(AI$15/Taille_Tranche_KYC,1)+1))*Cout_Par_KYC_Supplementaire,(IF('01_Input'!$L$53="Forfait",IF(AI$15&gt;='01_Input'!$J$53,'01_Input'!$M$53,0),IF('01_Input'!$L$53="Palier",IF(AND(AI$15&gt;='01_Input'!$J$53,AI$15&lt;'01_Input'!$K$53),'01_Input'!$M$53,0),MAX(MIN(AI$15,'01_Input'!$K$53)-'01_Input'!$J$53,0)*'01_Input'!$M$53))+IF('01_Input'!$P$53="Forfait",IF(AI$15&gt;='01_Input'!$N$53,'01_Input'!$Q$53,0),IF('01_Input'!$P$53="Palier",IF(AND(AI$15&gt;='01_Input'!$N$53,AI$15&lt;'01_Input'!$O$53),'01_Input'!$Q$53,0),MAX(MIN(AI$15,'01_Input'!$O$53)-'01_Input'!$N$53,0)*'01_Input'!$Q$53))+IF('01_Input'!$T$53="Forfait",IF(AI$15&gt;='01_Input'!$R$53,'01_Input'!$U$53,0),IF('01_Input'!$T$53="Palier",IF(AND(AI$15&gt;='01_Input'!$R$53,AI$15&lt;'01_Input'!$S$53),'01_Input'!$U$53,0),MAX(MIN(AI$15,'01_Input'!$S$53)-'01_Input'!$R$53,0)*'01_Input'!$U$53))+IF('01_Input'!$X$53="Forfait",IF(AI$15&gt;='01_Input'!$V$53,'01_Input'!$Y$53,0),IF('01_Input'!$X$53="Palier",IF(AND(AI$15&gt;='01_Input'!$V$53,AI$15&lt;'01_Input'!$W$53),'01_Input'!$Y$53,0),MAX(MIN(AI$15,'01_Input'!$W$53)-'01_Input'!$V$53,0)*'01_Input'!$Y$53))+IF('01_Input'!$AB$53="Forfait",IF(AI$15&gt;='01_Input'!$Z$53,'01_Input'!$AC$53,0),IF('01_Input'!$AB$53="Palier",IF(AND(AI$15&gt;='01_Input'!$Z$53,AI$15&lt;'01_Input'!$AA$53),'01_Input'!$AC$53,0),MAX(MIN(AI$15,'01_Input'!$AA$53)-'01_Input'!$Z$53,0)*'01_Input'!$AC$53))))))))))</f>
        <v/>
      </c>
      <c r="AJ44" s="25" t="str">
        <f>IF(AJ$15="","",IF('01_Input'!$C$53="Non",0,MIN('01_Input'!$I$53,MAX('01_Input'!$H$53,IF('01_Input'!$G$53="Résiduel vs Gestion",0,IF('01_Input'!$G$53="Taux Classe sélectionnée",Distrib_Global_Classe_Selectionnee*AJ$15,IF('01_Input'!$G$53="Frais KYC (paliers de 100M€)",MAX(0,Nb_Investisseurs-Nb_KYC_Gratuites_Par_Tranche*(FLOOR(AJ$15/Taille_Tranche_KYC,1)+1))*Cout_Par_KYC_Supplementaire,(IF('01_Input'!$L$53="Forfait",IF(AJ$15&gt;='01_Input'!$J$53,'01_Input'!$M$53,0),IF('01_Input'!$L$53="Palier",IF(AND(AJ$15&gt;='01_Input'!$J$53,AJ$15&lt;'01_Input'!$K$53),'01_Input'!$M$53,0),MAX(MIN(AJ$15,'01_Input'!$K$53)-'01_Input'!$J$53,0)*'01_Input'!$M$53))+IF('01_Input'!$P$53="Forfait",IF(AJ$15&gt;='01_Input'!$N$53,'01_Input'!$Q$53,0),IF('01_Input'!$P$53="Palier",IF(AND(AJ$15&gt;='01_Input'!$N$53,AJ$15&lt;'01_Input'!$O$53),'01_Input'!$Q$53,0),MAX(MIN(AJ$15,'01_Input'!$O$53)-'01_Input'!$N$53,0)*'01_Input'!$Q$53))+IF('01_Input'!$T$53="Forfait",IF(AJ$15&gt;='01_Input'!$R$53,'01_Input'!$U$53,0),IF('01_Input'!$T$53="Palier",IF(AND(AJ$15&gt;='01_Input'!$R$53,AJ$15&lt;'01_Input'!$S$53),'01_Input'!$U$53,0),MAX(MIN(AJ$15,'01_Input'!$S$53)-'01_Input'!$R$53,0)*'01_Input'!$U$53))+IF('01_Input'!$X$53="Forfait",IF(AJ$15&gt;='01_Input'!$V$53,'01_Input'!$Y$53,0),IF('01_Input'!$X$53="Palier",IF(AND(AJ$15&gt;='01_Input'!$V$53,AJ$15&lt;'01_Input'!$W$53),'01_Input'!$Y$53,0),MAX(MIN(AJ$15,'01_Input'!$W$53)-'01_Input'!$V$53,0)*'01_Input'!$Y$53))+IF('01_Input'!$AB$53="Forfait",IF(AJ$15&gt;='01_Input'!$Z$53,'01_Input'!$AC$53,0),IF('01_Input'!$AB$53="Palier",IF(AND(AJ$15&gt;='01_Input'!$Z$53,AJ$15&lt;'01_Input'!$AA$53),'01_Input'!$AC$53,0),MAX(MIN(AJ$15,'01_Input'!$AA$53)-'01_Input'!$Z$53,0)*'01_Input'!$AC$53))))))))))</f>
        <v/>
      </c>
      <c r="AK44" s="25" t="str">
        <f>IF(AK$15="","",IF('01_Input'!$C$53="Non",0,MIN('01_Input'!$I$53,MAX('01_Input'!$H$53,IF('01_Input'!$G$53="Résiduel vs Gestion",0,IF('01_Input'!$G$53="Taux Classe sélectionnée",Distrib_Global_Classe_Selectionnee*AK$15,IF('01_Input'!$G$53="Frais KYC (paliers de 100M€)",MAX(0,Nb_Investisseurs-Nb_KYC_Gratuites_Par_Tranche*(FLOOR(AK$15/Taille_Tranche_KYC,1)+1))*Cout_Par_KYC_Supplementaire,(IF('01_Input'!$L$53="Forfait",IF(AK$15&gt;='01_Input'!$J$53,'01_Input'!$M$53,0),IF('01_Input'!$L$53="Palier",IF(AND(AK$15&gt;='01_Input'!$J$53,AK$15&lt;'01_Input'!$K$53),'01_Input'!$M$53,0),MAX(MIN(AK$15,'01_Input'!$K$53)-'01_Input'!$J$53,0)*'01_Input'!$M$53))+IF('01_Input'!$P$53="Forfait",IF(AK$15&gt;='01_Input'!$N$53,'01_Input'!$Q$53,0),IF('01_Input'!$P$53="Palier",IF(AND(AK$15&gt;='01_Input'!$N$53,AK$15&lt;'01_Input'!$O$53),'01_Input'!$Q$53,0),MAX(MIN(AK$15,'01_Input'!$O$53)-'01_Input'!$N$53,0)*'01_Input'!$Q$53))+IF('01_Input'!$T$53="Forfait",IF(AK$15&gt;='01_Input'!$R$53,'01_Input'!$U$53,0),IF('01_Input'!$T$53="Palier",IF(AND(AK$15&gt;='01_Input'!$R$53,AK$15&lt;'01_Input'!$S$53),'01_Input'!$U$53,0),MAX(MIN(AK$15,'01_Input'!$S$53)-'01_Input'!$R$53,0)*'01_Input'!$U$53))+IF('01_Input'!$X$53="Forfait",IF(AK$15&gt;='01_Input'!$V$53,'01_Input'!$Y$53,0),IF('01_Input'!$X$53="Palier",IF(AND(AK$15&gt;='01_Input'!$V$53,AK$15&lt;'01_Input'!$W$53),'01_Input'!$Y$53,0),MAX(MIN(AK$15,'01_Input'!$W$53)-'01_Input'!$V$53,0)*'01_Input'!$Y$53))+IF('01_Input'!$AB$53="Forfait",IF(AK$15&gt;='01_Input'!$Z$53,'01_Input'!$AC$53,0),IF('01_Input'!$AB$53="Palier",IF(AND(AK$15&gt;='01_Input'!$Z$53,AK$15&lt;'01_Input'!$AA$53),'01_Input'!$AC$53,0),MAX(MIN(AK$15,'01_Input'!$AA$53)-'01_Input'!$Z$53,0)*'01_Input'!$AC$53))))))))))</f>
        <v/>
      </c>
      <c r="AL44" s="25" t="str">
        <f>IF(AL$15="","",IF('01_Input'!$C$53="Non",0,MIN('01_Input'!$I$53,MAX('01_Input'!$H$53,IF('01_Input'!$G$53="Résiduel vs Gestion",0,IF('01_Input'!$G$53="Taux Classe sélectionnée",Distrib_Global_Classe_Selectionnee*AL$15,IF('01_Input'!$G$53="Frais KYC (paliers de 100M€)",MAX(0,Nb_Investisseurs-Nb_KYC_Gratuites_Par_Tranche*(FLOOR(AL$15/Taille_Tranche_KYC,1)+1))*Cout_Par_KYC_Supplementaire,(IF('01_Input'!$L$53="Forfait",IF(AL$15&gt;='01_Input'!$J$53,'01_Input'!$M$53,0),IF('01_Input'!$L$53="Palier",IF(AND(AL$15&gt;='01_Input'!$J$53,AL$15&lt;'01_Input'!$K$53),'01_Input'!$M$53,0),MAX(MIN(AL$15,'01_Input'!$K$53)-'01_Input'!$J$53,0)*'01_Input'!$M$53))+IF('01_Input'!$P$53="Forfait",IF(AL$15&gt;='01_Input'!$N$53,'01_Input'!$Q$53,0),IF('01_Input'!$P$53="Palier",IF(AND(AL$15&gt;='01_Input'!$N$53,AL$15&lt;'01_Input'!$O$53),'01_Input'!$Q$53,0),MAX(MIN(AL$15,'01_Input'!$O$53)-'01_Input'!$N$53,0)*'01_Input'!$Q$53))+IF('01_Input'!$T$53="Forfait",IF(AL$15&gt;='01_Input'!$R$53,'01_Input'!$U$53,0),IF('01_Input'!$T$53="Palier",IF(AND(AL$15&gt;='01_Input'!$R$53,AL$15&lt;'01_Input'!$S$53),'01_Input'!$U$53,0),MAX(MIN(AL$15,'01_Input'!$S$53)-'01_Input'!$R$53,0)*'01_Input'!$U$53))+IF('01_Input'!$X$53="Forfait",IF(AL$15&gt;='01_Input'!$V$53,'01_Input'!$Y$53,0),IF('01_Input'!$X$53="Palier",IF(AND(AL$15&gt;='01_Input'!$V$53,AL$15&lt;'01_Input'!$W$53),'01_Input'!$Y$53,0),MAX(MIN(AL$15,'01_Input'!$W$53)-'01_Input'!$V$53,0)*'01_Input'!$Y$53))+IF('01_Input'!$AB$53="Forfait",IF(AL$15&gt;='01_Input'!$Z$53,'01_Input'!$AC$53,0),IF('01_Input'!$AB$53="Palier",IF(AND(AL$15&gt;='01_Input'!$Z$53,AL$15&lt;'01_Input'!$AA$53),'01_Input'!$AC$53,0),MAX(MIN(AL$15,'01_Input'!$AA$53)-'01_Input'!$Z$53,0)*'01_Input'!$AC$53))))))))))</f>
        <v/>
      </c>
      <c r="AM44" s="25" t="str">
        <f>IF(AM$15="","",IF('01_Input'!$C$53="Non",0,MIN('01_Input'!$I$53,MAX('01_Input'!$H$53,IF('01_Input'!$G$53="Résiduel vs Gestion",0,IF('01_Input'!$G$53="Taux Classe sélectionnée",Distrib_Global_Classe_Selectionnee*AM$15,IF('01_Input'!$G$53="Frais KYC (paliers de 100M€)",MAX(0,Nb_Investisseurs-Nb_KYC_Gratuites_Par_Tranche*(FLOOR(AM$15/Taille_Tranche_KYC,1)+1))*Cout_Par_KYC_Supplementaire,(IF('01_Input'!$L$53="Forfait",IF(AM$15&gt;='01_Input'!$J$53,'01_Input'!$M$53,0),IF('01_Input'!$L$53="Palier",IF(AND(AM$15&gt;='01_Input'!$J$53,AM$15&lt;'01_Input'!$K$53),'01_Input'!$M$53,0),MAX(MIN(AM$15,'01_Input'!$K$53)-'01_Input'!$J$53,0)*'01_Input'!$M$53))+IF('01_Input'!$P$53="Forfait",IF(AM$15&gt;='01_Input'!$N$53,'01_Input'!$Q$53,0),IF('01_Input'!$P$53="Palier",IF(AND(AM$15&gt;='01_Input'!$N$53,AM$15&lt;'01_Input'!$O$53),'01_Input'!$Q$53,0),MAX(MIN(AM$15,'01_Input'!$O$53)-'01_Input'!$N$53,0)*'01_Input'!$Q$53))+IF('01_Input'!$T$53="Forfait",IF(AM$15&gt;='01_Input'!$R$53,'01_Input'!$U$53,0),IF('01_Input'!$T$53="Palier",IF(AND(AM$15&gt;='01_Input'!$R$53,AM$15&lt;'01_Input'!$S$53),'01_Input'!$U$53,0),MAX(MIN(AM$15,'01_Input'!$S$53)-'01_Input'!$R$53,0)*'01_Input'!$U$53))+IF('01_Input'!$X$53="Forfait",IF(AM$15&gt;='01_Input'!$V$53,'01_Input'!$Y$53,0),IF('01_Input'!$X$53="Palier",IF(AND(AM$15&gt;='01_Input'!$V$53,AM$15&lt;'01_Input'!$W$53),'01_Input'!$Y$53,0),MAX(MIN(AM$15,'01_Input'!$W$53)-'01_Input'!$V$53,0)*'01_Input'!$Y$53))+IF('01_Input'!$AB$53="Forfait",IF(AM$15&gt;='01_Input'!$Z$53,'01_Input'!$AC$53,0),IF('01_Input'!$AB$53="Palier",IF(AND(AM$15&gt;='01_Input'!$Z$53,AM$15&lt;'01_Input'!$AA$53),'01_Input'!$AC$53,0),MAX(MIN(AM$15,'01_Input'!$AA$53)-'01_Input'!$Z$53,0)*'01_Input'!$AC$53))))))))))</f>
        <v/>
      </c>
    </row>
    <row r="45" ht="15.75" customHeight="1">
      <c r="B45" s="68" t="str">
        <f t="shared" si="1"/>
        <v>Commission de Conseil</v>
      </c>
      <c r="D45" s="83">
        <f>IF(D$15="","",IF('01_Input'!$C$54="Non",0,MIN('01_Input'!$I$54,MAX('01_Input'!$H$54,IF('01_Input'!$G$54="Résiduel vs Gestion",0,IF('01_Input'!$G$54="Taux Classe sélectionnée",Distrib_Global_Classe_Selectionnee*D$15,IF('01_Input'!$G$54="Frais KYC (paliers de 100M€)",MAX(0,Nb_Investisseurs-Nb_KYC_Gratuites_Par_Tranche*(FLOOR(D$15/Taille_Tranche_KYC,1)+1))*Cout_Par_KYC_Supplementaire,(IF('01_Input'!$L$54="Forfait",IF(D$15&gt;='01_Input'!$J$54,'01_Input'!$M$54,0),IF('01_Input'!$L$54="Palier",IF(AND(D$15&gt;='01_Input'!$J$54,D$15&lt;'01_Input'!$K$54),'01_Input'!$M$54,0),MAX(MIN(D$15,'01_Input'!$K$54)-'01_Input'!$J$54,0)*'01_Input'!$M$54))+IF('01_Input'!$P$54="Forfait",IF(D$15&gt;='01_Input'!$N$54,'01_Input'!$Q$54,0),IF('01_Input'!$P$54="Palier",IF(AND(D$15&gt;='01_Input'!$N$54,D$15&lt;'01_Input'!$O$54),'01_Input'!$Q$54,0),MAX(MIN(D$15,'01_Input'!$O$54)-'01_Input'!$N$54,0)*'01_Input'!$Q$54))+IF('01_Input'!$T$54="Forfait",IF(D$15&gt;='01_Input'!$R$54,'01_Input'!$U$54,0),IF('01_Input'!$T$54="Palier",IF(AND(D$15&gt;='01_Input'!$R$54,D$15&lt;'01_Input'!$S$54),'01_Input'!$U$54,0),MAX(MIN(D$15,'01_Input'!$S$54)-'01_Input'!$R$54,0)*'01_Input'!$U$54))+IF('01_Input'!$X$54="Forfait",IF(D$15&gt;='01_Input'!$V$54,'01_Input'!$Y$54,0),IF('01_Input'!$X$54="Palier",IF(AND(D$15&gt;='01_Input'!$V$54,D$15&lt;'01_Input'!$W$54),'01_Input'!$Y$54,0),MAX(MIN(D$15,'01_Input'!$W$54)-'01_Input'!$V$54,0)*'01_Input'!$Y$54))+IF('01_Input'!$AB$54="Forfait",IF(D$15&gt;='01_Input'!$Z$54,'01_Input'!$AC$54,0),IF('01_Input'!$AB$54="Palier",IF(AND(D$15&gt;='01_Input'!$Z$54,D$15&lt;'01_Input'!$AA$54),'01_Input'!$AC$54,0),MAX(MIN(D$15,'01_Input'!$AA$54)-'01_Input'!$Z$54,0)*'01_Input'!$AC$54))))))))))</f>
        <v>27540</v>
      </c>
      <c r="E45" s="83">
        <f>IF(E$15="","",IF('01_Input'!$C$54="Non",0,MIN('01_Input'!$I$54,MAX('01_Input'!$H$54,IF('01_Input'!$G$54="Résiduel vs Gestion",0,IF('01_Input'!$G$54="Taux Classe sélectionnée",Distrib_Global_Classe_Selectionnee*E$15,IF('01_Input'!$G$54="Frais KYC (paliers de 100M€)",MAX(0,Nb_Investisseurs-Nb_KYC_Gratuites_Par_Tranche*(FLOOR(E$15/Taille_Tranche_KYC,1)+1))*Cout_Par_KYC_Supplementaire,(IF('01_Input'!$L$54="Forfait",IF(E$15&gt;='01_Input'!$J$54,'01_Input'!$M$54,0),IF('01_Input'!$L$54="Palier",IF(AND(E$15&gt;='01_Input'!$J$54,E$15&lt;'01_Input'!$K$54),'01_Input'!$M$54,0),MAX(MIN(E$15,'01_Input'!$K$54)-'01_Input'!$J$54,0)*'01_Input'!$M$54))+IF('01_Input'!$P$54="Forfait",IF(E$15&gt;='01_Input'!$N$54,'01_Input'!$Q$54,0),IF('01_Input'!$P$54="Palier",IF(AND(E$15&gt;='01_Input'!$N$54,E$15&lt;'01_Input'!$O$54),'01_Input'!$Q$54,0),MAX(MIN(E$15,'01_Input'!$O$54)-'01_Input'!$N$54,0)*'01_Input'!$Q$54))+IF('01_Input'!$T$54="Forfait",IF(E$15&gt;='01_Input'!$R$54,'01_Input'!$U$54,0),IF('01_Input'!$T$54="Palier",IF(AND(E$15&gt;='01_Input'!$R$54,E$15&lt;'01_Input'!$S$54),'01_Input'!$U$54,0),MAX(MIN(E$15,'01_Input'!$S$54)-'01_Input'!$R$54,0)*'01_Input'!$U$54))+IF('01_Input'!$X$54="Forfait",IF(E$15&gt;='01_Input'!$V$54,'01_Input'!$Y$54,0),IF('01_Input'!$X$54="Palier",IF(AND(E$15&gt;='01_Input'!$V$54,E$15&lt;'01_Input'!$W$54),'01_Input'!$Y$54,0),MAX(MIN(E$15,'01_Input'!$W$54)-'01_Input'!$V$54,0)*'01_Input'!$Y$54))+IF('01_Input'!$AB$54="Forfait",IF(E$15&gt;='01_Input'!$Z$54,'01_Input'!$AC$54,0),IF('01_Input'!$AB$54="Palier",IF(AND(E$15&gt;='01_Input'!$Z$54,E$15&lt;'01_Input'!$AA$54),'01_Input'!$AC$54,0),MAX(MIN(E$15,'01_Input'!$AA$54)-'01_Input'!$Z$54,0)*'01_Input'!$AC$54))))))))))</f>
        <v>46575</v>
      </c>
      <c r="F45" s="83" t="str">
        <f>IF(F$15="","",IF('01_Input'!$C$54="Non",0,MIN('01_Input'!$I$54,MAX('01_Input'!$H$54,IF('01_Input'!$G$54="Résiduel vs Gestion",0,IF('01_Input'!$G$54="Taux Classe sélectionnée",Distrib_Global_Classe_Selectionnee*F$15,IF('01_Input'!$G$54="Frais KYC (paliers de 100M€)",MAX(0,Nb_Investisseurs-Nb_KYC_Gratuites_Par_Tranche*(FLOOR(F$15/Taille_Tranche_KYC,1)+1))*Cout_Par_KYC_Supplementaire,(IF('01_Input'!$L$54="Forfait",IF(F$15&gt;='01_Input'!$J$54,'01_Input'!$M$54,0),IF('01_Input'!$L$54="Palier",IF(AND(F$15&gt;='01_Input'!$J$54,F$15&lt;'01_Input'!$K$54),'01_Input'!$M$54,0),MAX(MIN(F$15,'01_Input'!$K$54)-'01_Input'!$J$54,0)*'01_Input'!$M$54))+IF('01_Input'!$P$54="Forfait",IF(F$15&gt;='01_Input'!$N$54,'01_Input'!$Q$54,0),IF('01_Input'!$P$54="Palier",IF(AND(F$15&gt;='01_Input'!$N$54,F$15&lt;'01_Input'!$O$54),'01_Input'!$Q$54,0),MAX(MIN(F$15,'01_Input'!$O$54)-'01_Input'!$N$54,0)*'01_Input'!$Q$54))+IF('01_Input'!$T$54="Forfait",IF(F$15&gt;='01_Input'!$R$54,'01_Input'!$U$54,0),IF('01_Input'!$T$54="Palier",IF(AND(F$15&gt;='01_Input'!$R$54,F$15&lt;'01_Input'!$S$54),'01_Input'!$U$54,0),MAX(MIN(F$15,'01_Input'!$S$54)-'01_Input'!$R$54,0)*'01_Input'!$U$54))+IF('01_Input'!$X$54="Forfait",IF(F$15&gt;='01_Input'!$V$54,'01_Input'!$Y$54,0),IF('01_Input'!$X$54="Palier",IF(AND(F$15&gt;='01_Input'!$V$54,F$15&lt;'01_Input'!$W$54),'01_Input'!$Y$54,0),MAX(MIN(F$15,'01_Input'!$W$54)-'01_Input'!$V$54,0)*'01_Input'!$Y$54))+IF('01_Input'!$AB$54="Forfait",IF(F$15&gt;='01_Input'!$Z$54,'01_Input'!$AC$54,0),IF('01_Input'!$AB$54="Palier",IF(AND(F$15&gt;='01_Input'!$Z$54,F$15&lt;'01_Input'!$AA$54),'01_Input'!$AC$54,0),MAX(MIN(F$15,'01_Input'!$AA$54)-'01_Input'!$Z$54,0)*'01_Input'!$AC$54))))))))))</f>
        <v/>
      </c>
      <c r="G45" s="83" t="str">
        <f>IF(G$15="","",IF('01_Input'!$C$54="Non",0,MIN('01_Input'!$I$54,MAX('01_Input'!$H$54,IF('01_Input'!$G$54="Résiduel vs Gestion",0,IF('01_Input'!$G$54="Taux Classe sélectionnée",Distrib_Global_Classe_Selectionnee*G$15,IF('01_Input'!$G$54="Frais KYC (paliers de 100M€)",MAX(0,Nb_Investisseurs-Nb_KYC_Gratuites_Par_Tranche*(FLOOR(G$15/Taille_Tranche_KYC,1)+1))*Cout_Par_KYC_Supplementaire,(IF('01_Input'!$L$54="Forfait",IF(G$15&gt;='01_Input'!$J$54,'01_Input'!$M$54,0),IF('01_Input'!$L$54="Palier",IF(AND(G$15&gt;='01_Input'!$J$54,G$15&lt;'01_Input'!$K$54),'01_Input'!$M$54,0),MAX(MIN(G$15,'01_Input'!$K$54)-'01_Input'!$J$54,0)*'01_Input'!$M$54))+IF('01_Input'!$P$54="Forfait",IF(G$15&gt;='01_Input'!$N$54,'01_Input'!$Q$54,0),IF('01_Input'!$P$54="Palier",IF(AND(G$15&gt;='01_Input'!$N$54,G$15&lt;'01_Input'!$O$54),'01_Input'!$Q$54,0),MAX(MIN(G$15,'01_Input'!$O$54)-'01_Input'!$N$54,0)*'01_Input'!$Q$54))+IF('01_Input'!$T$54="Forfait",IF(G$15&gt;='01_Input'!$R$54,'01_Input'!$U$54,0),IF('01_Input'!$T$54="Palier",IF(AND(G$15&gt;='01_Input'!$R$54,G$15&lt;'01_Input'!$S$54),'01_Input'!$U$54,0),MAX(MIN(G$15,'01_Input'!$S$54)-'01_Input'!$R$54,0)*'01_Input'!$U$54))+IF('01_Input'!$X$54="Forfait",IF(G$15&gt;='01_Input'!$V$54,'01_Input'!$Y$54,0),IF('01_Input'!$X$54="Palier",IF(AND(G$15&gt;='01_Input'!$V$54,G$15&lt;'01_Input'!$W$54),'01_Input'!$Y$54,0),MAX(MIN(G$15,'01_Input'!$W$54)-'01_Input'!$V$54,0)*'01_Input'!$Y$54))+IF('01_Input'!$AB$54="Forfait",IF(G$15&gt;='01_Input'!$Z$54,'01_Input'!$AC$54,0),IF('01_Input'!$AB$54="Palier",IF(AND(G$15&gt;='01_Input'!$Z$54,G$15&lt;'01_Input'!$AA$54),'01_Input'!$AC$54,0),MAX(MIN(G$15,'01_Input'!$AA$54)-'01_Input'!$Z$54,0)*'01_Input'!$AC$54))))))))))</f>
        <v/>
      </c>
      <c r="H45" s="83" t="str">
        <f>IF(H$15="","",IF('01_Input'!$C$54="Non",0,MIN('01_Input'!$I$54,MAX('01_Input'!$H$54,IF('01_Input'!$G$54="Résiduel vs Gestion",0,IF('01_Input'!$G$54="Taux Classe sélectionnée",Distrib_Global_Classe_Selectionnee*H$15,IF('01_Input'!$G$54="Frais KYC (paliers de 100M€)",MAX(0,Nb_Investisseurs-Nb_KYC_Gratuites_Par_Tranche*(FLOOR(H$15/Taille_Tranche_KYC,1)+1))*Cout_Par_KYC_Supplementaire,(IF('01_Input'!$L$54="Forfait",IF(H$15&gt;='01_Input'!$J$54,'01_Input'!$M$54,0),IF('01_Input'!$L$54="Palier",IF(AND(H$15&gt;='01_Input'!$J$54,H$15&lt;'01_Input'!$K$54),'01_Input'!$M$54,0),MAX(MIN(H$15,'01_Input'!$K$54)-'01_Input'!$J$54,0)*'01_Input'!$M$54))+IF('01_Input'!$P$54="Forfait",IF(H$15&gt;='01_Input'!$N$54,'01_Input'!$Q$54,0),IF('01_Input'!$P$54="Palier",IF(AND(H$15&gt;='01_Input'!$N$54,H$15&lt;'01_Input'!$O$54),'01_Input'!$Q$54,0),MAX(MIN(H$15,'01_Input'!$O$54)-'01_Input'!$N$54,0)*'01_Input'!$Q$54))+IF('01_Input'!$T$54="Forfait",IF(H$15&gt;='01_Input'!$R$54,'01_Input'!$U$54,0),IF('01_Input'!$T$54="Palier",IF(AND(H$15&gt;='01_Input'!$R$54,H$15&lt;'01_Input'!$S$54),'01_Input'!$U$54,0),MAX(MIN(H$15,'01_Input'!$S$54)-'01_Input'!$R$54,0)*'01_Input'!$U$54))+IF('01_Input'!$X$54="Forfait",IF(H$15&gt;='01_Input'!$V$54,'01_Input'!$Y$54,0),IF('01_Input'!$X$54="Palier",IF(AND(H$15&gt;='01_Input'!$V$54,H$15&lt;'01_Input'!$W$54),'01_Input'!$Y$54,0),MAX(MIN(H$15,'01_Input'!$W$54)-'01_Input'!$V$54,0)*'01_Input'!$Y$54))+IF('01_Input'!$AB$54="Forfait",IF(H$15&gt;='01_Input'!$Z$54,'01_Input'!$AC$54,0),IF('01_Input'!$AB$54="Palier",IF(AND(H$15&gt;='01_Input'!$Z$54,H$15&lt;'01_Input'!$AA$54),'01_Input'!$AC$54,0),MAX(MIN(H$15,'01_Input'!$AA$54)-'01_Input'!$Z$54,0)*'01_Input'!$AC$54))))))))))</f>
        <v/>
      </c>
      <c r="I45" s="83" t="str">
        <f>IF(I$15="","",IF('01_Input'!$C$54="Non",0,MIN('01_Input'!$I$54,MAX('01_Input'!$H$54,IF('01_Input'!$G$54="Résiduel vs Gestion",0,IF('01_Input'!$G$54="Taux Classe sélectionnée",Distrib_Global_Classe_Selectionnee*I$15,IF('01_Input'!$G$54="Frais KYC (paliers de 100M€)",MAX(0,Nb_Investisseurs-Nb_KYC_Gratuites_Par_Tranche*(FLOOR(I$15/Taille_Tranche_KYC,1)+1))*Cout_Par_KYC_Supplementaire,(IF('01_Input'!$L$54="Forfait",IF(I$15&gt;='01_Input'!$J$54,'01_Input'!$M$54,0),IF('01_Input'!$L$54="Palier",IF(AND(I$15&gt;='01_Input'!$J$54,I$15&lt;'01_Input'!$K$54),'01_Input'!$M$54,0),MAX(MIN(I$15,'01_Input'!$K$54)-'01_Input'!$J$54,0)*'01_Input'!$M$54))+IF('01_Input'!$P$54="Forfait",IF(I$15&gt;='01_Input'!$N$54,'01_Input'!$Q$54,0),IF('01_Input'!$P$54="Palier",IF(AND(I$15&gt;='01_Input'!$N$54,I$15&lt;'01_Input'!$O$54),'01_Input'!$Q$54,0),MAX(MIN(I$15,'01_Input'!$O$54)-'01_Input'!$N$54,0)*'01_Input'!$Q$54))+IF('01_Input'!$T$54="Forfait",IF(I$15&gt;='01_Input'!$R$54,'01_Input'!$U$54,0),IF('01_Input'!$T$54="Palier",IF(AND(I$15&gt;='01_Input'!$R$54,I$15&lt;'01_Input'!$S$54),'01_Input'!$U$54,0),MAX(MIN(I$15,'01_Input'!$S$54)-'01_Input'!$R$54,0)*'01_Input'!$U$54))+IF('01_Input'!$X$54="Forfait",IF(I$15&gt;='01_Input'!$V$54,'01_Input'!$Y$54,0),IF('01_Input'!$X$54="Palier",IF(AND(I$15&gt;='01_Input'!$V$54,I$15&lt;'01_Input'!$W$54),'01_Input'!$Y$54,0),MAX(MIN(I$15,'01_Input'!$W$54)-'01_Input'!$V$54,0)*'01_Input'!$Y$54))+IF('01_Input'!$AB$54="Forfait",IF(I$15&gt;='01_Input'!$Z$54,'01_Input'!$AC$54,0),IF('01_Input'!$AB$54="Palier",IF(AND(I$15&gt;='01_Input'!$Z$54,I$15&lt;'01_Input'!$AA$54),'01_Input'!$AC$54,0),MAX(MIN(I$15,'01_Input'!$AA$54)-'01_Input'!$Z$54,0)*'01_Input'!$AC$54))))))))))</f>
        <v/>
      </c>
      <c r="J45" s="83" t="str">
        <f>IF(J$15="","",IF('01_Input'!$C$54="Non",0,MIN('01_Input'!$I$54,MAX('01_Input'!$H$54,IF('01_Input'!$G$54="Résiduel vs Gestion",0,IF('01_Input'!$G$54="Taux Classe sélectionnée",Distrib_Global_Classe_Selectionnee*J$15,IF('01_Input'!$G$54="Frais KYC (paliers de 100M€)",MAX(0,Nb_Investisseurs-Nb_KYC_Gratuites_Par_Tranche*(FLOOR(J$15/Taille_Tranche_KYC,1)+1))*Cout_Par_KYC_Supplementaire,(IF('01_Input'!$L$54="Forfait",IF(J$15&gt;='01_Input'!$J$54,'01_Input'!$M$54,0),IF('01_Input'!$L$54="Palier",IF(AND(J$15&gt;='01_Input'!$J$54,J$15&lt;'01_Input'!$K$54),'01_Input'!$M$54,0),MAX(MIN(J$15,'01_Input'!$K$54)-'01_Input'!$J$54,0)*'01_Input'!$M$54))+IF('01_Input'!$P$54="Forfait",IF(J$15&gt;='01_Input'!$N$54,'01_Input'!$Q$54,0),IF('01_Input'!$P$54="Palier",IF(AND(J$15&gt;='01_Input'!$N$54,J$15&lt;'01_Input'!$O$54),'01_Input'!$Q$54,0),MAX(MIN(J$15,'01_Input'!$O$54)-'01_Input'!$N$54,0)*'01_Input'!$Q$54))+IF('01_Input'!$T$54="Forfait",IF(J$15&gt;='01_Input'!$R$54,'01_Input'!$U$54,0),IF('01_Input'!$T$54="Palier",IF(AND(J$15&gt;='01_Input'!$R$54,J$15&lt;'01_Input'!$S$54),'01_Input'!$U$54,0),MAX(MIN(J$15,'01_Input'!$S$54)-'01_Input'!$R$54,0)*'01_Input'!$U$54))+IF('01_Input'!$X$54="Forfait",IF(J$15&gt;='01_Input'!$V$54,'01_Input'!$Y$54,0),IF('01_Input'!$X$54="Palier",IF(AND(J$15&gt;='01_Input'!$V$54,J$15&lt;'01_Input'!$W$54),'01_Input'!$Y$54,0),MAX(MIN(J$15,'01_Input'!$W$54)-'01_Input'!$V$54,0)*'01_Input'!$Y$54))+IF('01_Input'!$AB$54="Forfait",IF(J$15&gt;='01_Input'!$Z$54,'01_Input'!$AC$54,0),IF('01_Input'!$AB$54="Palier",IF(AND(J$15&gt;='01_Input'!$Z$54,J$15&lt;'01_Input'!$AA$54),'01_Input'!$AC$54,0),MAX(MIN(J$15,'01_Input'!$AA$54)-'01_Input'!$Z$54,0)*'01_Input'!$AC$54))))))))))</f>
        <v/>
      </c>
      <c r="K45" s="83" t="str">
        <f>IF(K$15="","",IF('01_Input'!$C$54="Non",0,MIN('01_Input'!$I$54,MAX('01_Input'!$H$54,IF('01_Input'!$G$54="Résiduel vs Gestion",0,IF('01_Input'!$G$54="Taux Classe sélectionnée",Distrib_Global_Classe_Selectionnee*K$15,IF('01_Input'!$G$54="Frais KYC (paliers de 100M€)",MAX(0,Nb_Investisseurs-Nb_KYC_Gratuites_Par_Tranche*(FLOOR(K$15/Taille_Tranche_KYC,1)+1))*Cout_Par_KYC_Supplementaire,(IF('01_Input'!$L$54="Forfait",IF(K$15&gt;='01_Input'!$J$54,'01_Input'!$M$54,0),IF('01_Input'!$L$54="Palier",IF(AND(K$15&gt;='01_Input'!$J$54,K$15&lt;'01_Input'!$K$54),'01_Input'!$M$54,0),MAX(MIN(K$15,'01_Input'!$K$54)-'01_Input'!$J$54,0)*'01_Input'!$M$54))+IF('01_Input'!$P$54="Forfait",IF(K$15&gt;='01_Input'!$N$54,'01_Input'!$Q$54,0),IF('01_Input'!$P$54="Palier",IF(AND(K$15&gt;='01_Input'!$N$54,K$15&lt;'01_Input'!$O$54),'01_Input'!$Q$54,0),MAX(MIN(K$15,'01_Input'!$O$54)-'01_Input'!$N$54,0)*'01_Input'!$Q$54))+IF('01_Input'!$T$54="Forfait",IF(K$15&gt;='01_Input'!$R$54,'01_Input'!$U$54,0),IF('01_Input'!$T$54="Palier",IF(AND(K$15&gt;='01_Input'!$R$54,K$15&lt;'01_Input'!$S$54),'01_Input'!$U$54,0),MAX(MIN(K$15,'01_Input'!$S$54)-'01_Input'!$R$54,0)*'01_Input'!$U$54))+IF('01_Input'!$X$54="Forfait",IF(K$15&gt;='01_Input'!$V$54,'01_Input'!$Y$54,0),IF('01_Input'!$X$54="Palier",IF(AND(K$15&gt;='01_Input'!$V$54,K$15&lt;'01_Input'!$W$54),'01_Input'!$Y$54,0),MAX(MIN(K$15,'01_Input'!$W$54)-'01_Input'!$V$54,0)*'01_Input'!$Y$54))+IF('01_Input'!$AB$54="Forfait",IF(K$15&gt;='01_Input'!$Z$54,'01_Input'!$AC$54,0),IF('01_Input'!$AB$54="Palier",IF(AND(K$15&gt;='01_Input'!$Z$54,K$15&lt;'01_Input'!$AA$54),'01_Input'!$AC$54,0),MAX(MIN(K$15,'01_Input'!$AA$54)-'01_Input'!$Z$54,0)*'01_Input'!$AC$54))))))))))</f>
        <v/>
      </c>
      <c r="L45" s="83" t="str">
        <f>IF(L$15="","",IF('01_Input'!$C$54="Non",0,MIN('01_Input'!$I$54,MAX('01_Input'!$H$54,IF('01_Input'!$G$54="Résiduel vs Gestion",0,IF('01_Input'!$G$54="Taux Classe sélectionnée",Distrib_Global_Classe_Selectionnee*L$15,IF('01_Input'!$G$54="Frais KYC (paliers de 100M€)",MAX(0,Nb_Investisseurs-Nb_KYC_Gratuites_Par_Tranche*(FLOOR(L$15/Taille_Tranche_KYC,1)+1))*Cout_Par_KYC_Supplementaire,(IF('01_Input'!$L$54="Forfait",IF(L$15&gt;='01_Input'!$J$54,'01_Input'!$M$54,0),IF('01_Input'!$L$54="Palier",IF(AND(L$15&gt;='01_Input'!$J$54,L$15&lt;'01_Input'!$K$54),'01_Input'!$M$54,0),MAX(MIN(L$15,'01_Input'!$K$54)-'01_Input'!$J$54,0)*'01_Input'!$M$54))+IF('01_Input'!$P$54="Forfait",IF(L$15&gt;='01_Input'!$N$54,'01_Input'!$Q$54,0),IF('01_Input'!$P$54="Palier",IF(AND(L$15&gt;='01_Input'!$N$54,L$15&lt;'01_Input'!$O$54),'01_Input'!$Q$54,0),MAX(MIN(L$15,'01_Input'!$O$54)-'01_Input'!$N$54,0)*'01_Input'!$Q$54))+IF('01_Input'!$T$54="Forfait",IF(L$15&gt;='01_Input'!$R$54,'01_Input'!$U$54,0),IF('01_Input'!$T$54="Palier",IF(AND(L$15&gt;='01_Input'!$R$54,L$15&lt;'01_Input'!$S$54),'01_Input'!$U$54,0),MAX(MIN(L$15,'01_Input'!$S$54)-'01_Input'!$R$54,0)*'01_Input'!$U$54))+IF('01_Input'!$X$54="Forfait",IF(L$15&gt;='01_Input'!$V$54,'01_Input'!$Y$54,0),IF('01_Input'!$X$54="Palier",IF(AND(L$15&gt;='01_Input'!$V$54,L$15&lt;'01_Input'!$W$54),'01_Input'!$Y$54,0),MAX(MIN(L$15,'01_Input'!$W$54)-'01_Input'!$V$54,0)*'01_Input'!$Y$54))+IF('01_Input'!$AB$54="Forfait",IF(L$15&gt;='01_Input'!$Z$54,'01_Input'!$AC$54,0),IF('01_Input'!$AB$54="Palier",IF(AND(L$15&gt;='01_Input'!$Z$54,L$15&lt;'01_Input'!$AA$54),'01_Input'!$AC$54,0),MAX(MIN(L$15,'01_Input'!$AA$54)-'01_Input'!$Z$54,0)*'01_Input'!$AC$54))))))))))</f>
        <v/>
      </c>
      <c r="M45" s="83" t="str">
        <f>IF(M$15="","",IF('01_Input'!$C$54="Non",0,MIN('01_Input'!$I$54,MAX('01_Input'!$H$54,IF('01_Input'!$G$54="Résiduel vs Gestion",0,IF('01_Input'!$G$54="Taux Classe sélectionnée",Distrib_Global_Classe_Selectionnee*M$15,IF('01_Input'!$G$54="Frais KYC (paliers de 100M€)",MAX(0,Nb_Investisseurs-Nb_KYC_Gratuites_Par_Tranche*(FLOOR(M$15/Taille_Tranche_KYC,1)+1))*Cout_Par_KYC_Supplementaire,(IF('01_Input'!$L$54="Forfait",IF(M$15&gt;='01_Input'!$J$54,'01_Input'!$M$54,0),IF('01_Input'!$L$54="Palier",IF(AND(M$15&gt;='01_Input'!$J$54,M$15&lt;'01_Input'!$K$54),'01_Input'!$M$54,0),MAX(MIN(M$15,'01_Input'!$K$54)-'01_Input'!$J$54,0)*'01_Input'!$M$54))+IF('01_Input'!$P$54="Forfait",IF(M$15&gt;='01_Input'!$N$54,'01_Input'!$Q$54,0),IF('01_Input'!$P$54="Palier",IF(AND(M$15&gt;='01_Input'!$N$54,M$15&lt;'01_Input'!$O$54),'01_Input'!$Q$54,0),MAX(MIN(M$15,'01_Input'!$O$54)-'01_Input'!$N$54,0)*'01_Input'!$Q$54))+IF('01_Input'!$T$54="Forfait",IF(M$15&gt;='01_Input'!$R$54,'01_Input'!$U$54,0),IF('01_Input'!$T$54="Palier",IF(AND(M$15&gt;='01_Input'!$R$54,M$15&lt;'01_Input'!$S$54),'01_Input'!$U$54,0),MAX(MIN(M$15,'01_Input'!$S$54)-'01_Input'!$R$54,0)*'01_Input'!$U$54))+IF('01_Input'!$X$54="Forfait",IF(M$15&gt;='01_Input'!$V$54,'01_Input'!$Y$54,0),IF('01_Input'!$X$54="Palier",IF(AND(M$15&gt;='01_Input'!$V$54,M$15&lt;'01_Input'!$W$54),'01_Input'!$Y$54,0),MAX(MIN(M$15,'01_Input'!$W$54)-'01_Input'!$V$54,0)*'01_Input'!$Y$54))+IF('01_Input'!$AB$54="Forfait",IF(M$15&gt;='01_Input'!$Z$54,'01_Input'!$AC$54,0),IF('01_Input'!$AB$54="Palier",IF(AND(M$15&gt;='01_Input'!$Z$54,M$15&lt;'01_Input'!$AA$54),'01_Input'!$AC$54,0),MAX(MIN(M$15,'01_Input'!$AA$54)-'01_Input'!$Z$54,0)*'01_Input'!$AC$54))))))))))</f>
        <v/>
      </c>
      <c r="N45" s="83" t="str">
        <f>IF(N$15="","",IF('01_Input'!$C$54="Non",0,MIN('01_Input'!$I$54,MAX('01_Input'!$H$54,IF('01_Input'!$G$54="Résiduel vs Gestion",0,IF('01_Input'!$G$54="Taux Classe sélectionnée",Distrib_Global_Classe_Selectionnee*N$15,IF('01_Input'!$G$54="Frais KYC (paliers de 100M€)",MAX(0,Nb_Investisseurs-Nb_KYC_Gratuites_Par_Tranche*(FLOOR(N$15/Taille_Tranche_KYC,1)+1))*Cout_Par_KYC_Supplementaire,(IF('01_Input'!$L$54="Forfait",IF(N$15&gt;='01_Input'!$J$54,'01_Input'!$M$54,0),IF('01_Input'!$L$54="Palier",IF(AND(N$15&gt;='01_Input'!$J$54,N$15&lt;'01_Input'!$K$54),'01_Input'!$M$54,0),MAX(MIN(N$15,'01_Input'!$K$54)-'01_Input'!$J$54,0)*'01_Input'!$M$54))+IF('01_Input'!$P$54="Forfait",IF(N$15&gt;='01_Input'!$N$54,'01_Input'!$Q$54,0),IF('01_Input'!$P$54="Palier",IF(AND(N$15&gt;='01_Input'!$N$54,N$15&lt;'01_Input'!$O$54),'01_Input'!$Q$54,0),MAX(MIN(N$15,'01_Input'!$O$54)-'01_Input'!$N$54,0)*'01_Input'!$Q$54))+IF('01_Input'!$T$54="Forfait",IF(N$15&gt;='01_Input'!$R$54,'01_Input'!$U$54,0),IF('01_Input'!$T$54="Palier",IF(AND(N$15&gt;='01_Input'!$R$54,N$15&lt;'01_Input'!$S$54),'01_Input'!$U$54,0),MAX(MIN(N$15,'01_Input'!$S$54)-'01_Input'!$R$54,0)*'01_Input'!$U$54))+IF('01_Input'!$X$54="Forfait",IF(N$15&gt;='01_Input'!$V$54,'01_Input'!$Y$54,0),IF('01_Input'!$X$54="Palier",IF(AND(N$15&gt;='01_Input'!$V$54,N$15&lt;'01_Input'!$W$54),'01_Input'!$Y$54,0),MAX(MIN(N$15,'01_Input'!$W$54)-'01_Input'!$V$54,0)*'01_Input'!$Y$54))+IF('01_Input'!$AB$54="Forfait",IF(N$15&gt;='01_Input'!$Z$54,'01_Input'!$AC$54,0),IF('01_Input'!$AB$54="Palier",IF(AND(N$15&gt;='01_Input'!$Z$54,N$15&lt;'01_Input'!$AA$54),'01_Input'!$AC$54,0),MAX(MIN(N$15,'01_Input'!$AA$54)-'01_Input'!$Z$54,0)*'01_Input'!$AC$54))))))))))</f>
        <v/>
      </c>
      <c r="O45" s="83" t="str">
        <f>IF(O$15="","",IF('01_Input'!$C$54="Non",0,MIN('01_Input'!$I$54,MAX('01_Input'!$H$54,IF('01_Input'!$G$54="Résiduel vs Gestion",0,IF('01_Input'!$G$54="Taux Classe sélectionnée",Distrib_Global_Classe_Selectionnee*O$15,IF('01_Input'!$G$54="Frais KYC (paliers de 100M€)",MAX(0,Nb_Investisseurs-Nb_KYC_Gratuites_Par_Tranche*(FLOOR(O$15/Taille_Tranche_KYC,1)+1))*Cout_Par_KYC_Supplementaire,(IF('01_Input'!$L$54="Forfait",IF(O$15&gt;='01_Input'!$J$54,'01_Input'!$M$54,0),IF('01_Input'!$L$54="Palier",IF(AND(O$15&gt;='01_Input'!$J$54,O$15&lt;'01_Input'!$K$54),'01_Input'!$M$54,0),MAX(MIN(O$15,'01_Input'!$K$54)-'01_Input'!$J$54,0)*'01_Input'!$M$54))+IF('01_Input'!$P$54="Forfait",IF(O$15&gt;='01_Input'!$N$54,'01_Input'!$Q$54,0),IF('01_Input'!$P$54="Palier",IF(AND(O$15&gt;='01_Input'!$N$54,O$15&lt;'01_Input'!$O$54),'01_Input'!$Q$54,0),MAX(MIN(O$15,'01_Input'!$O$54)-'01_Input'!$N$54,0)*'01_Input'!$Q$54))+IF('01_Input'!$T$54="Forfait",IF(O$15&gt;='01_Input'!$R$54,'01_Input'!$U$54,0),IF('01_Input'!$T$54="Palier",IF(AND(O$15&gt;='01_Input'!$R$54,O$15&lt;'01_Input'!$S$54),'01_Input'!$U$54,0),MAX(MIN(O$15,'01_Input'!$S$54)-'01_Input'!$R$54,0)*'01_Input'!$U$54))+IF('01_Input'!$X$54="Forfait",IF(O$15&gt;='01_Input'!$V$54,'01_Input'!$Y$54,0),IF('01_Input'!$X$54="Palier",IF(AND(O$15&gt;='01_Input'!$V$54,O$15&lt;'01_Input'!$W$54),'01_Input'!$Y$54,0),MAX(MIN(O$15,'01_Input'!$W$54)-'01_Input'!$V$54,0)*'01_Input'!$Y$54))+IF('01_Input'!$AB$54="Forfait",IF(O$15&gt;='01_Input'!$Z$54,'01_Input'!$AC$54,0),IF('01_Input'!$AB$54="Palier",IF(AND(O$15&gt;='01_Input'!$Z$54,O$15&lt;'01_Input'!$AA$54),'01_Input'!$AC$54,0),MAX(MIN(O$15,'01_Input'!$AA$54)-'01_Input'!$Z$54,0)*'01_Input'!$AC$54))))))))))</f>
        <v/>
      </c>
      <c r="P45" s="83" t="str">
        <f>IF(P$15="","",IF('01_Input'!$C$54="Non",0,MIN('01_Input'!$I$54,MAX('01_Input'!$H$54,IF('01_Input'!$G$54="Résiduel vs Gestion",0,IF('01_Input'!$G$54="Taux Classe sélectionnée",Distrib_Global_Classe_Selectionnee*P$15,IF('01_Input'!$G$54="Frais KYC (paliers de 100M€)",MAX(0,Nb_Investisseurs-Nb_KYC_Gratuites_Par_Tranche*(FLOOR(P$15/Taille_Tranche_KYC,1)+1))*Cout_Par_KYC_Supplementaire,(IF('01_Input'!$L$54="Forfait",IF(P$15&gt;='01_Input'!$J$54,'01_Input'!$M$54,0),IF('01_Input'!$L$54="Palier",IF(AND(P$15&gt;='01_Input'!$J$54,P$15&lt;'01_Input'!$K$54),'01_Input'!$M$54,0),MAX(MIN(P$15,'01_Input'!$K$54)-'01_Input'!$J$54,0)*'01_Input'!$M$54))+IF('01_Input'!$P$54="Forfait",IF(P$15&gt;='01_Input'!$N$54,'01_Input'!$Q$54,0),IF('01_Input'!$P$54="Palier",IF(AND(P$15&gt;='01_Input'!$N$54,P$15&lt;'01_Input'!$O$54),'01_Input'!$Q$54,0),MAX(MIN(P$15,'01_Input'!$O$54)-'01_Input'!$N$54,0)*'01_Input'!$Q$54))+IF('01_Input'!$T$54="Forfait",IF(P$15&gt;='01_Input'!$R$54,'01_Input'!$U$54,0),IF('01_Input'!$T$54="Palier",IF(AND(P$15&gt;='01_Input'!$R$54,P$15&lt;'01_Input'!$S$54),'01_Input'!$U$54,0),MAX(MIN(P$15,'01_Input'!$S$54)-'01_Input'!$R$54,0)*'01_Input'!$U$54))+IF('01_Input'!$X$54="Forfait",IF(P$15&gt;='01_Input'!$V$54,'01_Input'!$Y$54,0),IF('01_Input'!$X$54="Palier",IF(AND(P$15&gt;='01_Input'!$V$54,P$15&lt;'01_Input'!$W$54),'01_Input'!$Y$54,0),MAX(MIN(P$15,'01_Input'!$W$54)-'01_Input'!$V$54,0)*'01_Input'!$Y$54))+IF('01_Input'!$AB$54="Forfait",IF(P$15&gt;='01_Input'!$Z$54,'01_Input'!$AC$54,0),IF('01_Input'!$AB$54="Palier",IF(AND(P$15&gt;='01_Input'!$Z$54,P$15&lt;'01_Input'!$AA$54),'01_Input'!$AC$54,0),MAX(MIN(P$15,'01_Input'!$AA$54)-'01_Input'!$Z$54,0)*'01_Input'!$AC$54))))))))))</f>
        <v/>
      </c>
      <c r="Q45" s="83" t="str">
        <f>IF(Q$15="","",IF('01_Input'!$C$54="Non",0,MIN('01_Input'!$I$54,MAX('01_Input'!$H$54,IF('01_Input'!$G$54="Résiduel vs Gestion",0,IF('01_Input'!$G$54="Taux Classe sélectionnée",Distrib_Global_Classe_Selectionnee*Q$15,IF('01_Input'!$G$54="Frais KYC (paliers de 100M€)",MAX(0,Nb_Investisseurs-Nb_KYC_Gratuites_Par_Tranche*(FLOOR(Q$15/Taille_Tranche_KYC,1)+1))*Cout_Par_KYC_Supplementaire,(IF('01_Input'!$L$54="Forfait",IF(Q$15&gt;='01_Input'!$J$54,'01_Input'!$M$54,0),IF('01_Input'!$L$54="Palier",IF(AND(Q$15&gt;='01_Input'!$J$54,Q$15&lt;'01_Input'!$K$54),'01_Input'!$M$54,0),MAX(MIN(Q$15,'01_Input'!$K$54)-'01_Input'!$J$54,0)*'01_Input'!$M$54))+IF('01_Input'!$P$54="Forfait",IF(Q$15&gt;='01_Input'!$N$54,'01_Input'!$Q$54,0),IF('01_Input'!$P$54="Palier",IF(AND(Q$15&gt;='01_Input'!$N$54,Q$15&lt;'01_Input'!$O$54),'01_Input'!$Q$54,0),MAX(MIN(Q$15,'01_Input'!$O$54)-'01_Input'!$N$54,0)*'01_Input'!$Q$54))+IF('01_Input'!$T$54="Forfait",IF(Q$15&gt;='01_Input'!$R$54,'01_Input'!$U$54,0),IF('01_Input'!$T$54="Palier",IF(AND(Q$15&gt;='01_Input'!$R$54,Q$15&lt;'01_Input'!$S$54),'01_Input'!$U$54,0),MAX(MIN(Q$15,'01_Input'!$S$54)-'01_Input'!$R$54,0)*'01_Input'!$U$54))+IF('01_Input'!$X$54="Forfait",IF(Q$15&gt;='01_Input'!$V$54,'01_Input'!$Y$54,0),IF('01_Input'!$X$54="Palier",IF(AND(Q$15&gt;='01_Input'!$V$54,Q$15&lt;'01_Input'!$W$54),'01_Input'!$Y$54,0),MAX(MIN(Q$15,'01_Input'!$W$54)-'01_Input'!$V$54,0)*'01_Input'!$Y$54))+IF('01_Input'!$AB$54="Forfait",IF(Q$15&gt;='01_Input'!$Z$54,'01_Input'!$AC$54,0),IF('01_Input'!$AB$54="Palier",IF(AND(Q$15&gt;='01_Input'!$Z$54,Q$15&lt;'01_Input'!$AA$54),'01_Input'!$AC$54,0),MAX(MIN(Q$15,'01_Input'!$AA$54)-'01_Input'!$Z$54,0)*'01_Input'!$AC$54))))))))))</f>
        <v/>
      </c>
      <c r="R45" s="83" t="str">
        <f>IF(R$15="","",IF('01_Input'!$C$54="Non",0,MIN('01_Input'!$I$54,MAX('01_Input'!$H$54,IF('01_Input'!$G$54="Résiduel vs Gestion",0,IF('01_Input'!$G$54="Taux Classe sélectionnée",Distrib_Global_Classe_Selectionnee*R$15,IF('01_Input'!$G$54="Frais KYC (paliers de 100M€)",MAX(0,Nb_Investisseurs-Nb_KYC_Gratuites_Par_Tranche*(FLOOR(R$15/Taille_Tranche_KYC,1)+1))*Cout_Par_KYC_Supplementaire,(IF('01_Input'!$L$54="Forfait",IF(R$15&gt;='01_Input'!$J$54,'01_Input'!$M$54,0),IF('01_Input'!$L$54="Palier",IF(AND(R$15&gt;='01_Input'!$J$54,R$15&lt;'01_Input'!$K$54),'01_Input'!$M$54,0),MAX(MIN(R$15,'01_Input'!$K$54)-'01_Input'!$J$54,0)*'01_Input'!$M$54))+IF('01_Input'!$P$54="Forfait",IF(R$15&gt;='01_Input'!$N$54,'01_Input'!$Q$54,0),IF('01_Input'!$P$54="Palier",IF(AND(R$15&gt;='01_Input'!$N$54,R$15&lt;'01_Input'!$O$54),'01_Input'!$Q$54,0),MAX(MIN(R$15,'01_Input'!$O$54)-'01_Input'!$N$54,0)*'01_Input'!$Q$54))+IF('01_Input'!$T$54="Forfait",IF(R$15&gt;='01_Input'!$R$54,'01_Input'!$U$54,0),IF('01_Input'!$T$54="Palier",IF(AND(R$15&gt;='01_Input'!$R$54,R$15&lt;'01_Input'!$S$54),'01_Input'!$U$54,0),MAX(MIN(R$15,'01_Input'!$S$54)-'01_Input'!$R$54,0)*'01_Input'!$U$54))+IF('01_Input'!$X$54="Forfait",IF(R$15&gt;='01_Input'!$V$54,'01_Input'!$Y$54,0),IF('01_Input'!$X$54="Palier",IF(AND(R$15&gt;='01_Input'!$V$54,R$15&lt;'01_Input'!$W$54),'01_Input'!$Y$54,0),MAX(MIN(R$15,'01_Input'!$W$54)-'01_Input'!$V$54,0)*'01_Input'!$Y$54))+IF('01_Input'!$AB$54="Forfait",IF(R$15&gt;='01_Input'!$Z$54,'01_Input'!$AC$54,0),IF('01_Input'!$AB$54="Palier",IF(AND(R$15&gt;='01_Input'!$Z$54,R$15&lt;'01_Input'!$AA$54),'01_Input'!$AC$54,0),MAX(MIN(R$15,'01_Input'!$AA$54)-'01_Input'!$Z$54,0)*'01_Input'!$AC$54))))))))))</f>
        <v/>
      </c>
      <c r="S45" s="83" t="str">
        <f>IF(S$15="","",IF('01_Input'!$C$54="Non",0,MIN('01_Input'!$I$54,MAX('01_Input'!$H$54,IF('01_Input'!$G$54="Résiduel vs Gestion",0,IF('01_Input'!$G$54="Taux Classe sélectionnée",Distrib_Global_Classe_Selectionnee*S$15,IF('01_Input'!$G$54="Frais KYC (paliers de 100M€)",MAX(0,Nb_Investisseurs-Nb_KYC_Gratuites_Par_Tranche*(FLOOR(S$15/Taille_Tranche_KYC,1)+1))*Cout_Par_KYC_Supplementaire,(IF('01_Input'!$L$54="Forfait",IF(S$15&gt;='01_Input'!$J$54,'01_Input'!$M$54,0),IF('01_Input'!$L$54="Palier",IF(AND(S$15&gt;='01_Input'!$J$54,S$15&lt;'01_Input'!$K$54),'01_Input'!$M$54,0),MAX(MIN(S$15,'01_Input'!$K$54)-'01_Input'!$J$54,0)*'01_Input'!$M$54))+IF('01_Input'!$P$54="Forfait",IF(S$15&gt;='01_Input'!$N$54,'01_Input'!$Q$54,0),IF('01_Input'!$P$54="Palier",IF(AND(S$15&gt;='01_Input'!$N$54,S$15&lt;'01_Input'!$O$54),'01_Input'!$Q$54,0),MAX(MIN(S$15,'01_Input'!$O$54)-'01_Input'!$N$54,0)*'01_Input'!$Q$54))+IF('01_Input'!$T$54="Forfait",IF(S$15&gt;='01_Input'!$R$54,'01_Input'!$U$54,0),IF('01_Input'!$T$54="Palier",IF(AND(S$15&gt;='01_Input'!$R$54,S$15&lt;'01_Input'!$S$54),'01_Input'!$U$54,0),MAX(MIN(S$15,'01_Input'!$S$54)-'01_Input'!$R$54,0)*'01_Input'!$U$54))+IF('01_Input'!$X$54="Forfait",IF(S$15&gt;='01_Input'!$V$54,'01_Input'!$Y$54,0),IF('01_Input'!$X$54="Palier",IF(AND(S$15&gt;='01_Input'!$V$54,S$15&lt;'01_Input'!$W$54),'01_Input'!$Y$54,0),MAX(MIN(S$15,'01_Input'!$W$54)-'01_Input'!$V$54,0)*'01_Input'!$Y$54))+IF('01_Input'!$AB$54="Forfait",IF(S$15&gt;='01_Input'!$Z$54,'01_Input'!$AC$54,0),IF('01_Input'!$AB$54="Palier",IF(AND(S$15&gt;='01_Input'!$Z$54,S$15&lt;'01_Input'!$AA$54),'01_Input'!$AC$54,0),MAX(MIN(S$15,'01_Input'!$AA$54)-'01_Input'!$Z$54,0)*'01_Input'!$AC$54))))))))))</f>
        <v/>
      </c>
      <c r="T45" s="83" t="str">
        <f>IF(T$15="","",IF('01_Input'!$C$54="Non",0,MIN('01_Input'!$I$54,MAX('01_Input'!$H$54,IF('01_Input'!$G$54="Résiduel vs Gestion",0,IF('01_Input'!$G$54="Taux Classe sélectionnée",Distrib_Global_Classe_Selectionnee*T$15,IF('01_Input'!$G$54="Frais KYC (paliers de 100M€)",MAX(0,Nb_Investisseurs-Nb_KYC_Gratuites_Par_Tranche*(FLOOR(T$15/Taille_Tranche_KYC,1)+1))*Cout_Par_KYC_Supplementaire,(IF('01_Input'!$L$54="Forfait",IF(T$15&gt;='01_Input'!$J$54,'01_Input'!$M$54,0),IF('01_Input'!$L$54="Palier",IF(AND(T$15&gt;='01_Input'!$J$54,T$15&lt;'01_Input'!$K$54),'01_Input'!$M$54,0),MAX(MIN(T$15,'01_Input'!$K$54)-'01_Input'!$J$54,0)*'01_Input'!$M$54))+IF('01_Input'!$P$54="Forfait",IF(T$15&gt;='01_Input'!$N$54,'01_Input'!$Q$54,0),IF('01_Input'!$P$54="Palier",IF(AND(T$15&gt;='01_Input'!$N$54,T$15&lt;'01_Input'!$O$54),'01_Input'!$Q$54,0),MAX(MIN(T$15,'01_Input'!$O$54)-'01_Input'!$N$54,0)*'01_Input'!$Q$54))+IF('01_Input'!$T$54="Forfait",IF(T$15&gt;='01_Input'!$R$54,'01_Input'!$U$54,0),IF('01_Input'!$T$54="Palier",IF(AND(T$15&gt;='01_Input'!$R$54,T$15&lt;'01_Input'!$S$54),'01_Input'!$U$54,0),MAX(MIN(T$15,'01_Input'!$S$54)-'01_Input'!$R$54,0)*'01_Input'!$U$54))+IF('01_Input'!$X$54="Forfait",IF(T$15&gt;='01_Input'!$V$54,'01_Input'!$Y$54,0),IF('01_Input'!$X$54="Palier",IF(AND(T$15&gt;='01_Input'!$V$54,T$15&lt;'01_Input'!$W$54),'01_Input'!$Y$54,0),MAX(MIN(T$15,'01_Input'!$W$54)-'01_Input'!$V$54,0)*'01_Input'!$Y$54))+IF('01_Input'!$AB$54="Forfait",IF(T$15&gt;='01_Input'!$Z$54,'01_Input'!$AC$54,0),IF('01_Input'!$AB$54="Palier",IF(AND(T$15&gt;='01_Input'!$Z$54,T$15&lt;'01_Input'!$AA$54),'01_Input'!$AC$54,0),MAX(MIN(T$15,'01_Input'!$AA$54)-'01_Input'!$Z$54,0)*'01_Input'!$AC$54))))))))))</f>
        <v/>
      </c>
      <c r="U45" s="83" t="str">
        <f>IF(U$15="","",IF('01_Input'!$C$54="Non",0,MIN('01_Input'!$I$54,MAX('01_Input'!$H$54,IF('01_Input'!$G$54="Résiduel vs Gestion",0,IF('01_Input'!$G$54="Taux Classe sélectionnée",Distrib_Global_Classe_Selectionnee*U$15,IF('01_Input'!$G$54="Frais KYC (paliers de 100M€)",MAX(0,Nb_Investisseurs-Nb_KYC_Gratuites_Par_Tranche*(FLOOR(U$15/Taille_Tranche_KYC,1)+1))*Cout_Par_KYC_Supplementaire,(IF('01_Input'!$L$54="Forfait",IF(U$15&gt;='01_Input'!$J$54,'01_Input'!$M$54,0),IF('01_Input'!$L$54="Palier",IF(AND(U$15&gt;='01_Input'!$J$54,U$15&lt;'01_Input'!$K$54),'01_Input'!$M$54,0),MAX(MIN(U$15,'01_Input'!$K$54)-'01_Input'!$J$54,0)*'01_Input'!$M$54))+IF('01_Input'!$P$54="Forfait",IF(U$15&gt;='01_Input'!$N$54,'01_Input'!$Q$54,0),IF('01_Input'!$P$54="Palier",IF(AND(U$15&gt;='01_Input'!$N$54,U$15&lt;'01_Input'!$O$54),'01_Input'!$Q$54,0),MAX(MIN(U$15,'01_Input'!$O$54)-'01_Input'!$N$54,0)*'01_Input'!$Q$54))+IF('01_Input'!$T$54="Forfait",IF(U$15&gt;='01_Input'!$R$54,'01_Input'!$U$54,0),IF('01_Input'!$T$54="Palier",IF(AND(U$15&gt;='01_Input'!$R$54,U$15&lt;'01_Input'!$S$54),'01_Input'!$U$54,0),MAX(MIN(U$15,'01_Input'!$S$54)-'01_Input'!$R$54,0)*'01_Input'!$U$54))+IF('01_Input'!$X$54="Forfait",IF(U$15&gt;='01_Input'!$V$54,'01_Input'!$Y$54,0),IF('01_Input'!$X$54="Palier",IF(AND(U$15&gt;='01_Input'!$V$54,U$15&lt;'01_Input'!$W$54),'01_Input'!$Y$54,0),MAX(MIN(U$15,'01_Input'!$W$54)-'01_Input'!$V$54,0)*'01_Input'!$Y$54))+IF('01_Input'!$AB$54="Forfait",IF(U$15&gt;='01_Input'!$Z$54,'01_Input'!$AC$54,0),IF('01_Input'!$AB$54="Palier",IF(AND(U$15&gt;='01_Input'!$Z$54,U$15&lt;'01_Input'!$AA$54),'01_Input'!$AC$54,0),MAX(MIN(U$15,'01_Input'!$AA$54)-'01_Input'!$Z$54,0)*'01_Input'!$AC$54))))))))))</f>
        <v/>
      </c>
      <c r="V45" s="83" t="str">
        <f>IF(V$15="","",IF('01_Input'!$C$54="Non",0,MIN('01_Input'!$I$54,MAX('01_Input'!$H$54,IF('01_Input'!$G$54="Résiduel vs Gestion",0,IF('01_Input'!$G$54="Taux Classe sélectionnée",Distrib_Global_Classe_Selectionnee*V$15,IF('01_Input'!$G$54="Frais KYC (paliers de 100M€)",MAX(0,Nb_Investisseurs-Nb_KYC_Gratuites_Par_Tranche*(FLOOR(V$15/Taille_Tranche_KYC,1)+1))*Cout_Par_KYC_Supplementaire,(IF('01_Input'!$L$54="Forfait",IF(V$15&gt;='01_Input'!$J$54,'01_Input'!$M$54,0),IF('01_Input'!$L$54="Palier",IF(AND(V$15&gt;='01_Input'!$J$54,V$15&lt;'01_Input'!$K$54),'01_Input'!$M$54,0),MAX(MIN(V$15,'01_Input'!$K$54)-'01_Input'!$J$54,0)*'01_Input'!$M$54))+IF('01_Input'!$P$54="Forfait",IF(V$15&gt;='01_Input'!$N$54,'01_Input'!$Q$54,0),IF('01_Input'!$P$54="Palier",IF(AND(V$15&gt;='01_Input'!$N$54,V$15&lt;'01_Input'!$O$54),'01_Input'!$Q$54,0),MAX(MIN(V$15,'01_Input'!$O$54)-'01_Input'!$N$54,0)*'01_Input'!$Q$54))+IF('01_Input'!$T$54="Forfait",IF(V$15&gt;='01_Input'!$R$54,'01_Input'!$U$54,0),IF('01_Input'!$T$54="Palier",IF(AND(V$15&gt;='01_Input'!$R$54,V$15&lt;'01_Input'!$S$54),'01_Input'!$U$54,0),MAX(MIN(V$15,'01_Input'!$S$54)-'01_Input'!$R$54,0)*'01_Input'!$U$54))+IF('01_Input'!$X$54="Forfait",IF(V$15&gt;='01_Input'!$V$54,'01_Input'!$Y$54,0),IF('01_Input'!$X$54="Palier",IF(AND(V$15&gt;='01_Input'!$V$54,V$15&lt;'01_Input'!$W$54),'01_Input'!$Y$54,0),MAX(MIN(V$15,'01_Input'!$W$54)-'01_Input'!$V$54,0)*'01_Input'!$Y$54))+IF('01_Input'!$AB$54="Forfait",IF(V$15&gt;='01_Input'!$Z$54,'01_Input'!$AC$54,0),IF('01_Input'!$AB$54="Palier",IF(AND(V$15&gt;='01_Input'!$Z$54,V$15&lt;'01_Input'!$AA$54),'01_Input'!$AC$54,0),MAX(MIN(V$15,'01_Input'!$AA$54)-'01_Input'!$Z$54,0)*'01_Input'!$AC$54))))))))))</f>
        <v/>
      </c>
      <c r="W45" s="83" t="str">
        <f>IF(W$15="","",IF('01_Input'!$C$54="Non",0,MIN('01_Input'!$I$54,MAX('01_Input'!$H$54,IF('01_Input'!$G$54="Résiduel vs Gestion",0,IF('01_Input'!$G$54="Taux Classe sélectionnée",Distrib_Global_Classe_Selectionnee*W$15,IF('01_Input'!$G$54="Frais KYC (paliers de 100M€)",MAX(0,Nb_Investisseurs-Nb_KYC_Gratuites_Par_Tranche*(FLOOR(W$15/Taille_Tranche_KYC,1)+1))*Cout_Par_KYC_Supplementaire,(IF('01_Input'!$L$54="Forfait",IF(W$15&gt;='01_Input'!$J$54,'01_Input'!$M$54,0),IF('01_Input'!$L$54="Palier",IF(AND(W$15&gt;='01_Input'!$J$54,W$15&lt;'01_Input'!$K$54),'01_Input'!$M$54,0),MAX(MIN(W$15,'01_Input'!$K$54)-'01_Input'!$J$54,0)*'01_Input'!$M$54))+IF('01_Input'!$P$54="Forfait",IF(W$15&gt;='01_Input'!$N$54,'01_Input'!$Q$54,0),IF('01_Input'!$P$54="Palier",IF(AND(W$15&gt;='01_Input'!$N$54,W$15&lt;'01_Input'!$O$54),'01_Input'!$Q$54,0),MAX(MIN(W$15,'01_Input'!$O$54)-'01_Input'!$N$54,0)*'01_Input'!$Q$54))+IF('01_Input'!$T$54="Forfait",IF(W$15&gt;='01_Input'!$R$54,'01_Input'!$U$54,0),IF('01_Input'!$T$54="Palier",IF(AND(W$15&gt;='01_Input'!$R$54,W$15&lt;'01_Input'!$S$54),'01_Input'!$U$54,0),MAX(MIN(W$15,'01_Input'!$S$54)-'01_Input'!$R$54,0)*'01_Input'!$U$54))+IF('01_Input'!$X$54="Forfait",IF(W$15&gt;='01_Input'!$V$54,'01_Input'!$Y$54,0),IF('01_Input'!$X$54="Palier",IF(AND(W$15&gt;='01_Input'!$V$54,W$15&lt;'01_Input'!$W$54),'01_Input'!$Y$54,0),MAX(MIN(W$15,'01_Input'!$W$54)-'01_Input'!$V$54,0)*'01_Input'!$Y$54))+IF('01_Input'!$AB$54="Forfait",IF(W$15&gt;='01_Input'!$Z$54,'01_Input'!$AC$54,0),IF('01_Input'!$AB$54="Palier",IF(AND(W$15&gt;='01_Input'!$Z$54,W$15&lt;'01_Input'!$AA$54),'01_Input'!$AC$54,0),MAX(MIN(W$15,'01_Input'!$AA$54)-'01_Input'!$Z$54,0)*'01_Input'!$AC$54))))))))))</f>
        <v/>
      </c>
      <c r="X45" s="83" t="str">
        <f>IF(X$15="","",IF('01_Input'!$C$54="Non",0,MIN('01_Input'!$I$54,MAX('01_Input'!$H$54,IF('01_Input'!$G$54="Résiduel vs Gestion",0,IF('01_Input'!$G$54="Taux Classe sélectionnée",Distrib_Global_Classe_Selectionnee*X$15,IF('01_Input'!$G$54="Frais KYC (paliers de 100M€)",MAX(0,Nb_Investisseurs-Nb_KYC_Gratuites_Par_Tranche*(FLOOR(X$15/Taille_Tranche_KYC,1)+1))*Cout_Par_KYC_Supplementaire,(IF('01_Input'!$L$54="Forfait",IF(X$15&gt;='01_Input'!$J$54,'01_Input'!$M$54,0),IF('01_Input'!$L$54="Palier",IF(AND(X$15&gt;='01_Input'!$J$54,X$15&lt;'01_Input'!$K$54),'01_Input'!$M$54,0),MAX(MIN(X$15,'01_Input'!$K$54)-'01_Input'!$J$54,0)*'01_Input'!$M$54))+IF('01_Input'!$P$54="Forfait",IF(X$15&gt;='01_Input'!$N$54,'01_Input'!$Q$54,0),IF('01_Input'!$P$54="Palier",IF(AND(X$15&gt;='01_Input'!$N$54,X$15&lt;'01_Input'!$O$54),'01_Input'!$Q$54,0),MAX(MIN(X$15,'01_Input'!$O$54)-'01_Input'!$N$54,0)*'01_Input'!$Q$54))+IF('01_Input'!$T$54="Forfait",IF(X$15&gt;='01_Input'!$R$54,'01_Input'!$U$54,0),IF('01_Input'!$T$54="Palier",IF(AND(X$15&gt;='01_Input'!$R$54,X$15&lt;'01_Input'!$S$54),'01_Input'!$U$54,0),MAX(MIN(X$15,'01_Input'!$S$54)-'01_Input'!$R$54,0)*'01_Input'!$U$54))+IF('01_Input'!$X$54="Forfait",IF(X$15&gt;='01_Input'!$V$54,'01_Input'!$Y$54,0),IF('01_Input'!$X$54="Palier",IF(AND(X$15&gt;='01_Input'!$V$54,X$15&lt;'01_Input'!$W$54),'01_Input'!$Y$54,0),MAX(MIN(X$15,'01_Input'!$W$54)-'01_Input'!$V$54,0)*'01_Input'!$Y$54))+IF('01_Input'!$AB$54="Forfait",IF(X$15&gt;='01_Input'!$Z$54,'01_Input'!$AC$54,0),IF('01_Input'!$AB$54="Palier",IF(AND(X$15&gt;='01_Input'!$Z$54,X$15&lt;'01_Input'!$AA$54),'01_Input'!$AC$54,0),MAX(MIN(X$15,'01_Input'!$AA$54)-'01_Input'!$Z$54,0)*'01_Input'!$AC$54))))))))))</f>
        <v/>
      </c>
      <c r="Y45" s="83" t="str">
        <f>IF(Y$15="","",IF('01_Input'!$C$54="Non",0,MIN('01_Input'!$I$54,MAX('01_Input'!$H$54,IF('01_Input'!$G$54="Résiduel vs Gestion",0,IF('01_Input'!$G$54="Taux Classe sélectionnée",Distrib_Global_Classe_Selectionnee*Y$15,IF('01_Input'!$G$54="Frais KYC (paliers de 100M€)",MAX(0,Nb_Investisseurs-Nb_KYC_Gratuites_Par_Tranche*(FLOOR(Y$15/Taille_Tranche_KYC,1)+1))*Cout_Par_KYC_Supplementaire,(IF('01_Input'!$L$54="Forfait",IF(Y$15&gt;='01_Input'!$J$54,'01_Input'!$M$54,0),IF('01_Input'!$L$54="Palier",IF(AND(Y$15&gt;='01_Input'!$J$54,Y$15&lt;'01_Input'!$K$54),'01_Input'!$M$54,0),MAX(MIN(Y$15,'01_Input'!$K$54)-'01_Input'!$J$54,0)*'01_Input'!$M$54))+IF('01_Input'!$P$54="Forfait",IF(Y$15&gt;='01_Input'!$N$54,'01_Input'!$Q$54,0),IF('01_Input'!$P$54="Palier",IF(AND(Y$15&gt;='01_Input'!$N$54,Y$15&lt;'01_Input'!$O$54),'01_Input'!$Q$54,0),MAX(MIN(Y$15,'01_Input'!$O$54)-'01_Input'!$N$54,0)*'01_Input'!$Q$54))+IF('01_Input'!$T$54="Forfait",IF(Y$15&gt;='01_Input'!$R$54,'01_Input'!$U$54,0),IF('01_Input'!$T$54="Palier",IF(AND(Y$15&gt;='01_Input'!$R$54,Y$15&lt;'01_Input'!$S$54),'01_Input'!$U$54,0),MAX(MIN(Y$15,'01_Input'!$S$54)-'01_Input'!$R$54,0)*'01_Input'!$U$54))+IF('01_Input'!$X$54="Forfait",IF(Y$15&gt;='01_Input'!$V$54,'01_Input'!$Y$54,0),IF('01_Input'!$X$54="Palier",IF(AND(Y$15&gt;='01_Input'!$V$54,Y$15&lt;'01_Input'!$W$54),'01_Input'!$Y$54,0),MAX(MIN(Y$15,'01_Input'!$W$54)-'01_Input'!$V$54,0)*'01_Input'!$Y$54))+IF('01_Input'!$AB$54="Forfait",IF(Y$15&gt;='01_Input'!$Z$54,'01_Input'!$AC$54,0),IF('01_Input'!$AB$54="Palier",IF(AND(Y$15&gt;='01_Input'!$Z$54,Y$15&lt;'01_Input'!$AA$54),'01_Input'!$AC$54,0),MAX(MIN(Y$15,'01_Input'!$AA$54)-'01_Input'!$Z$54,0)*'01_Input'!$AC$54))))))))))</f>
        <v/>
      </c>
      <c r="Z45" s="83" t="str">
        <f>IF(Z$15="","",IF('01_Input'!$C$54="Non",0,MIN('01_Input'!$I$54,MAX('01_Input'!$H$54,IF('01_Input'!$G$54="Résiduel vs Gestion",0,IF('01_Input'!$G$54="Taux Classe sélectionnée",Distrib_Global_Classe_Selectionnee*Z$15,IF('01_Input'!$G$54="Frais KYC (paliers de 100M€)",MAX(0,Nb_Investisseurs-Nb_KYC_Gratuites_Par_Tranche*(FLOOR(Z$15/Taille_Tranche_KYC,1)+1))*Cout_Par_KYC_Supplementaire,(IF('01_Input'!$L$54="Forfait",IF(Z$15&gt;='01_Input'!$J$54,'01_Input'!$M$54,0),IF('01_Input'!$L$54="Palier",IF(AND(Z$15&gt;='01_Input'!$J$54,Z$15&lt;'01_Input'!$K$54),'01_Input'!$M$54,0),MAX(MIN(Z$15,'01_Input'!$K$54)-'01_Input'!$J$54,0)*'01_Input'!$M$54))+IF('01_Input'!$P$54="Forfait",IF(Z$15&gt;='01_Input'!$N$54,'01_Input'!$Q$54,0),IF('01_Input'!$P$54="Palier",IF(AND(Z$15&gt;='01_Input'!$N$54,Z$15&lt;'01_Input'!$O$54),'01_Input'!$Q$54,0),MAX(MIN(Z$15,'01_Input'!$O$54)-'01_Input'!$N$54,0)*'01_Input'!$Q$54))+IF('01_Input'!$T$54="Forfait",IF(Z$15&gt;='01_Input'!$R$54,'01_Input'!$U$54,0),IF('01_Input'!$T$54="Palier",IF(AND(Z$15&gt;='01_Input'!$R$54,Z$15&lt;'01_Input'!$S$54),'01_Input'!$U$54,0),MAX(MIN(Z$15,'01_Input'!$S$54)-'01_Input'!$R$54,0)*'01_Input'!$U$54))+IF('01_Input'!$X$54="Forfait",IF(Z$15&gt;='01_Input'!$V$54,'01_Input'!$Y$54,0),IF('01_Input'!$X$54="Palier",IF(AND(Z$15&gt;='01_Input'!$V$54,Z$15&lt;'01_Input'!$W$54),'01_Input'!$Y$54,0),MAX(MIN(Z$15,'01_Input'!$W$54)-'01_Input'!$V$54,0)*'01_Input'!$Y$54))+IF('01_Input'!$AB$54="Forfait",IF(Z$15&gt;='01_Input'!$Z$54,'01_Input'!$AC$54,0),IF('01_Input'!$AB$54="Palier",IF(AND(Z$15&gt;='01_Input'!$Z$54,Z$15&lt;'01_Input'!$AA$54),'01_Input'!$AC$54,0),MAX(MIN(Z$15,'01_Input'!$AA$54)-'01_Input'!$Z$54,0)*'01_Input'!$AC$54))))))))))</f>
        <v/>
      </c>
      <c r="AA45" s="83" t="str">
        <f>IF(AA$15="","",IF('01_Input'!$C$54="Non",0,MIN('01_Input'!$I$54,MAX('01_Input'!$H$54,IF('01_Input'!$G$54="Résiduel vs Gestion",0,IF('01_Input'!$G$54="Taux Classe sélectionnée",Distrib_Global_Classe_Selectionnee*AA$15,IF('01_Input'!$G$54="Frais KYC (paliers de 100M€)",MAX(0,Nb_Investisseurs-Nb_KYC_Gratuites_Par_Tranche*(FLOOR(AA$15/Taille_Tranche_KYC,1)+1))*Cout_Par_KYC_Supplementaire,(IF('01_Input'!$L$54="Forfait",IF(AA$15&gt;='01_Input'!$J$54,'01_Input'!$M$54,0),IF('01_Input'!$L$54="Palier",IF(AND(AA$15&gt;='01_Input'!$J$54,AA$15&lt;'01_Input'!$K$54),'01_Input'!$M$54,0),MAX(MIN(AA$15,'01_Input'!$K$54)-'01_Input'!$J$54,0)*'01_Input'!$M$54))+IF('01_Input'!$P$54="Forfait",IF(AA$15&gt;='01_Input'!$N$54,'01_Input'!$Q$54,0),IF('01_Input'!$P$54="Palier",IF(AND(AA$15&gt;='01_Input'!$N$54,AA$15&lt;'01_Input'!$O$54),'01_Input'!$Q$54,0),MAX(MIN(AA$15,'01_Input'!$O$54)-'01_Input'!$N$54,0)*'01_Input'!$Q$54))+IF('01_Input'!$T$54="Forfait",IF(AA$15&gt;='01_Input'!$R$54,'01_Input'!$U$54,0),IF('01_Input'!$T$54="Palier",IF(AND(AA$15&gt;='01_Input'!$R$54,AA$15&lt;'01_Input'!$S$54),'01_Input'!$U$54,0),MAX(MIN(AA$15,'01_Input'!$S$54)-'01_Input'!$R$54,0)*'01_Input'!$U$54))+IF('01_Input'!$X$54="Forfait",IF(AA$15&gt;='01_Input'!$V$54,'01_Input'!$Y$54,0),IF('01_Input'!$X$54="Palier",IF(AND(AA$15&gt;='01_Input'!$V$54,AA$15&lt;'01_Input'!$W$54),'01_Input'!$Y$54,0),MAX(MIN(AA$15,'01_Input'!$W$54)-'01_Input'!$V$54,0)*'01_Input'!$Y$54))+IF('01_Input'!$AB$54="Forfait",IF(AA$15&gt;='01_Input'!$Z$54,'01_Input'!$AC$54,0),IF('01_Input'!$AB$54="Palier",IF(AND(AA$15&gt;='01_Input'!$Z$54,AA$15&lt;'01_Input'!$AA$54),'01_Input'!$AC$54,0),MAX(MIN(AA$15,'01_Input'!$AA$54)-'01_Input'!$Z$54,0)*'01_Input'!$AC$54))))))))))</f>
        <v/>
      </c>
      <c r="AB45" s="83" t="str">
        <f>IF(AB$15="","",IF('01_Input'!$C$54="Non",0,MIN('01_Input'!$I$54,MAX('01_Input'!$H$54,IF('01_Input'!$G$54="Résiduel vs Gestion",0,IF('01_Input'!$G$54="Taux Classe sélectionnée",Distrib_Global_Classe_Selectionnee*AB$15,IF('01_Input'!$G$54="Frais KYC (paliers de 100M€)",MAX(0,Nb_Investisseurs-Nb_KYC_Gratuites_Par_Tranche*(FLOOR(AB$15/Taille_Tranche_KYC,1)+1))*Cout_Par_KYC_Supplementaire,(IF('01_Input'!$L$54="Forfait",IF(AB$15&gt;='01_Input'!$J$54,'01_Input'!$M$54,0),IF('01_Input'!$L$54="Palier",IF(AND(AB$15&gt;='01_Input'!$J$54,AB$15&lt;'01_Input'!$K$54),'01_Input'!$M$54,0),MAX(MIN(AB$15,'01_Input'!$K$54)-'01_Input'!$J$54,0)*'01_Input'!$M$54))+IF('01_Input'!$P$54="Forfait",IF(AB$15&gt;='01_Input'!$N$54,'01_Input'!$Q$54,0),IF('01_Input'!$P$54="Palier",IF(AND(AB$15&gt;='01_Input'!$N$54,AB$15&lt;'01_Input'!$O$54),'01_Input'!$Q$54,0),MAX(MIN(AB$15,'01_Input'!$O$54)-'01_Input'!$N$54,0)*'01_Input'!$Q$54))+IF('01_Input'!$T$54="Forfait",IF(AB$15&gt;='01_Input'!$R$54,'01_Input'!$U$54,0),IF('01_Input'!$T$54="Palier",IF(AND(AB$15&gt;='01_Input'!$R$54,AB$15&lt;'01_Input'!$S$54),'01_Input'!$U$54,0),MAX(MIN(AB$15,'01_Input'!$S$54)-'01_Input'!$R$54,0)*'01_Input'!$U$54))+IF('01_Input'!$X$54="Forfait",IF(AB$15&gt;='01_Input'!$V$54,'01_Input'!$Y$54,0),IF('01_Input'!$X$54="Palier",IF(AND(AB$15&gt;='01_Input'!$V$54,AB$15&lt;'01_Input'!$W$54),'01_Input'!$Y$54,0),MAX(MIN(AB$15,'01_Input'!$W$54)-'01_Input'!$V$54,0)*'01_Input'!$Y$54))+IF('01_Input'!$AB$54="Forfait",IF(AB$15&gt;='01_Input'!$Z$54,'01_Input'!$AC$54,0),IF('01_Input'!$AB$54="Palier",IF(AND(AB$15&gt;='01_Input'!$Z$54,AB$15&lt;'01_Input'!$AA$54),'01_Input'!$AC$54,0),MAX(MIN(AB$15,'01_Input'!$AA$54)-'01_Input'!$Z$54,0)*'01_Input'!$AC$54))))))))))</f>
        <v/>
      </c>
      <c r="AC45" s="83" t="str">
        <f>IF(AC$15="","",IF('01_Input'!$C$54="Non",0,MIN('01_Input'!$I$54,MAX('01_Input'!$H$54,IF('01_Input'!$G$54="Résiduel vs Gestion",0,IF('01_Input'!$G$54="Taux Classe sélectionnée",Distrib_Global_Classe_Selectionnee*AC$15,IF('01_Input'!$G$54="Frais KYC (paliers de 100M€)",MAX(0,Nb_Investisseurs-Nb_KYC_Gratuites_Par_Tranche*(FLOOR(AC$15/Taille_Tranche_KYC,1)+1))*Cout_Par_KYC_Supplementaire,(IF('01_Input'!$L$54="Forfait",IF(AC$15&gt;='01_Input'!$J$54,'01_Input'!$M$54,0),IF('01_Input'!$L$54="Palier",IF(AND(AC$15&gt;='01_Input'!$J$54,AC$15&lt;'01_Input'!$K$54),'01_Input'!$M$54,0),MAX(MIN(AC$15,'01_Input'!$K$54)-'01_Input'!$J$54,0)*'01_Input'!$M$54))+IF('01_Input'!$P$54="Forfait",IF(AC$15&gt;='01_Input'!$N$54,'01_Input'!$Q$54,0),IF('01_Input'!$P$54="Palier",IF(AND(AC$15&gt;='01_Input'!$N$54,AC$15&lt;'01_Input'!$O$54),'01_Input'!$Q$54,0),MAX(MIN(AC$15,'01_Input'!$O$54)-'01_Input'!$N$54,0)*'01_Input'!$Q$54))+IF('01_Input'!$T$54="Forfait",IF(AC$15&gt;='01_Input'!$R$54,'01_Input'!$U$54,0),IF('01_Input'!$T$54="Palier",IF(AND(AC$15&gt;='01_Input'!$R$54,AC$15&lt;'01_Input'!$S$54),'01_Input'!$U$54,0),MAX(MIN(AC$15,'01_Input'!$S$54)-'01_Input'!$R$54,0)*'01_Input'!$U$54))+IF('01_Input'!$X$54="Forfait",IF(AC$15&gt;='01_Input'!$V$54,'01_Input'!$Y$54,0),IF('01_Input'!$X$54="Palier",IF(AND(AC$15&gt;='01_Input'!$V$54,AC$15&lt;'01_Input'!$W$54),'01_Input'!$Y$54,0),MAX(MIN(AC$15,'01_Input'!$W$54)-'01_Input'!$V$54,0)*'01_Input'!$Y$54))+IF('01_Input'!$AB$54="Forfait",IF(AC$15&gt;='01_Input'!$Z$54,'01_Input'!$AC$54,0),IF('01_Input'!$AB$54="Palier",IF(AND(AC$15&gt;='01_Input'!$Z$54,AC$15&lt;'01_Input'!$AA$54),'01_Input'!$AC$54,0),MAX(MIN(AC$15,'01_Input'!$AA$54)-'01_Input'!$Z$54,0)*'01_Input'!$AC$54))))))))))</f>
        <v/>
      </c>
      <c r="AD45" s="83" t="str">
        <f>IF(AD$15="","",IF('01_Input'!$C$54="Non",0,MIN('01_Input'!$I$54,MAX('01_Input'!$H$54,IF('01_Input'!$G$54="Résiduel vs Gestion",0,IF('01_Input'!$G$54="Taux Classe sélectionnée",Distrib_Global_Classe_Selectionnee*AD$15,IF('01_Input'!$G$54="Frais KYC (paliers de 100M€)",MAX(0,Nb_Investisseurs-Nb_KYC_Gratuites_Par_Tranche*(FLOOR(AD$15/Taille_Tranche_KYC,1)+1))*Cout_Par_KYC_Supplementaire,(IF('01_Input'!$L$54="Forfait",IF(AD$15&gt;='01_Input'!$J$54,'01_Input'!$M$54,0),IF('01_Input'!$L$54="Palier",IF(AND(AD$15&gt;='01_Input'!$J$54,AD$15&lt;'01_Input'!$K$54),'01_Input'!$M$54,0),MAX(MIN(AD$15,'01_Input'!$K$54)-'01_Input'!$J$54,0)*'01_Input'!$M$54))+IF('01_Input'!$P$54="Forfait",IF(AD$15&gt;='01_Input'!$N$54,'01_Input'!$Q$54,0),IF('01_Input'!$P$54="Palier",IF(AND(AD$15&gt;='01_Input'!$N$54,AD$15&lt;'01_Input'!$O$54),'01_Input'!$Q$54,0),MAX(MIN(AD$15,'01_Input'!$O$54)-'01_Input'!$N$54,0)*'01_Input'!$Q$54))+IF('01_Input'!$T$54="Forfait",IF(AD$15&gt;='01_Input'!$R$54,'01_Input'!$U$54,0),IF('01_Input'!$T$54="Palier",IF(AND(AD$15&gt;='01_Input'!$R$54,AD$15&lt;'01_Input'!$S$54),'01_Input'!$U$54,0),MAX(MIN(AD$15,'01_Input'!$S$54)-'01_Input'!$R$54,0)*'01_Input'!$U$54))+IF('01_Input'!$X$54="Forfait",IF(AD$15&gt;='01_Input'!$V$54,'01_Input'!$Y$54,0),IF('01_Input'!$X$54="Palier",IF(AND(AD$15&gt;='01_Input'!$V$54,AD$15&lt;'01_Input'!$W$54),'01_Input'!$Y$54,0),MAX(MIN(AD$15,'01_Input'!$W$54)-'01_Input'!$V$54,0)*'01_Input'!$Y$54))+IF('01_Input'!$AB$54="Forfait",IF(AD$15&gt;='01_Input'!$Z$54,'01_Input'!$AC$54,0),IF('01_Input'!$AB$54="Palier",IF(AND(AD$15&gt;='01_Input'!$Z$54,AD$15&lt;'01_Input'!$AA$54),'01_Input'!$AC$54,0),MAX(MIN(AD$15,'01_Input'!$AA$54)-'01_Input'!$Z$54,0)*'01_Input'!$AC$54))))))))))</f>
        <v/>
      </c>
      <c r="AE45" s="83" t="str">
        <f>IF(AE$15="","",IF('01_Input'!$C$54="Non",0,MIN('01_Input'!$I$54,MAX('01_Input'!$H$54,IF('01_Input'!$G$54="Résiduel vs Gestion",0,IF('01_Input'!$G$54="Taux Classe sélectionnée",Distrib_Global_Classe_Selectionnee*AE$15,IF('01_Input'!$G$54="Frais KYC (paliers de 100M€)",MAX(0,Nb_Investisseurs-Nb_KYC_Gratuites_Par_Tranche*(FLOOR(AE$15/Taille_Tranche_KYC,1)+1))*Cout_Par_KYC_Supplementaire,(IF('01_Input'!$L$54="Forfait",IF(AE$15&gt;='01_Input'!$J$54,'01_Input'!$M$54,0),IF('01_Input'!$L$54="Palier",IF(AND(AE$15&gt;='01_Input'!$J$54,AE$15&lt;'01_Input'!$K$54),'01_Input'!$M$54,0),MAX(MIN(AE$15,'01_Input'!$K$54)-'01_Input'!$J$54,0)*'01_Input'!$M$54))+IF('01_Input'!$P$54="Forfait",IF(AE$15&gt;='01_Input'!$N$54,'01_Input'!$Q$54,0),IF('01_Input'!$P$54="Palier",IF(AND(AE$15&gt;='01_Input'!$N$54,AE$15&lt;'01_Input'!$O$54),'01_Input'!$Q$54,0),MAX(MIN(AE$15,'01_Input'!$O$54)-'01_Input'!$N$54,0)*'01_Input'!$Q$54))+IF('01_Input'!$T$54="Forfait",IF(AE$15&gt;='01_Input'!$R$54,'01_Input'!$U$54,0),IF('01_Input'!$T$54="Palier",IF(AND(AE$15&gt;='01_Input'!$R$54,AE$15&lt;'01_Input'!$S$54),'01_Input'!$U$54,0),MAX(MIN(AE$15,'01_Input'!$S$54)-'01_Input'!$R$54,0)*'01_Input'!$U$54))+IF('01_Input'!$X$54="Forfait",IF(AE$15&gt;='01_Input'!$V$54,'01_Input'!$Y$54,0),IF('01_Input'!$X$54="Palier",IF(AND(AE$15&gt;='01_Input'!$V$54,AE$15&lt;'01_Input'!$W$54),'01_Input'!$Y$54,0),MAX(MIN(AE$15,'01_Input'!$W$54)-'01_Input'!$V$54,0)*'01_Input'!$Y$54))+IF('01_Input'!$AB$54="Forfait",IF(AE$15&gt;='01_Input'!$Z$54,'01_Input'!$AC$54,0),IF('01_Input'!$AB$54="Palier",IF(AND(AE$15&gt;='01_Input'!$Z$54,AE$15&lt;'01_Input'!$AA$54),'01_Input'!$AC$54,0),MAX(MIN(AE$15,'01_Input'!$AA$54)-'01_Input'!$Z$54,0)*'01_Input'!$AC$54))))))))))</f>
        <v/>
      </c>
      <c r="AF45" s="83" t="str">
        <f>IF(AF$15="","",IF('01_Input'!$C$54="Non",0,MIN('01_Input'!$I$54,MAX('01_Input'!$H$54,IF('01_Input'!$G$54="Résiduel vs Gestion",0,IF('01_Input'!$G$54="Taux Classe sélectionnée",Distrib_Global_Classe_Selectionnee*AF$15,IF('01_Input'!$G$54="Frais KYC (paliers de 100M€)",MAX(0,Nb_Investisseurs-Nb_KYC_Gratuites_Par_Tranche*(FLOOR(AF$15/Taille_Tranche_KYC,1)+1))*Cout_Par_KYC_Supplementaire,(IF('01_Input'!$L$54="Forfait",IF(AF$15&gt;='01_Input'!$J$54,'01_Input'!$M$54,0),IF('01_Input'!$L$54="Palier",IF(AND(AF$15&gt;='01_Input'!$J$54,AF$15&lt;'01_Input'!$K$54),'01_Input'!$M$54,0),MAX(MIN(AF$15,'01_Input'!$K$54)-'01_Input'!$J$54,0)*'01_Input'!$M$54))+IF('01_Input'!$P$54="Forfait",IF(AF$15&gt;='01_Input'!$N$54,'01_Input'!$Q$54,0),IF('01_Input'!$P$54="Palier",IF(AND(AF$15&gt;='01_Input'!$N$54,AF$15&lt;'01_Input'!$O$54),'01_Input'!$Q$54,0),MAX(MIN(AF$15,'01_Input'!$O$54)-'01_Input'!$N$54,0)*'01_Input'!$Q$54))+IF('01_Input'!$T$54="Forfait",IF(AF$15&gt;='01_Input'!$R$54,'01_Input'!$U$54,0),IF('01_Input'!$T$54="Palier",IF(AND(AF$15&gt;='01_Input'!$R$54,AF$15&lt;'01_Input'!$S$54),'01_Input'!$U$54,0),MAX(MIN(AF$15,'01_Input'!$S$54)-'01_Input'!$R$54,0)*'01_Input'!$U$54))+IF('01_Input'!$X$54="Forfait",IF(AF$15&gt;='01_Input'!$V$54,'01_Input'!$Y$54,0),IF('01_Input'!$X$54="Palier",IF(AND(AF$15&gt;='01_Input'!$V$54,AF$15&lt;'01_Input'!$W$54),'01_Input'!$Y$54,0),MAX(MIN(AF$15,'01_Input'!$W$54)-'01_Input'!$V$54,0)*'01_Input'!$Y$54))+IF('01_Input'!$AB$54="Forfait",IF(AF$15&gt;='01_Input'!$Z$54,'01_Input'!$AC$54,0),IF('01_Input'!$AB$54="Palier",IF(AND(AF$15&gt;='01_Input'!$Z$54,AF$15&lt;'01_Input'!$AA$54),'01_Input'!$AC$54,0),MAX(MIN(AF$15,'01_Input'!$AA$54)-'01_Input'!$Z$54,0)*'01_Input'!$AC$54))))))))))</f>
        <v/>
      </c>
      <c r="AG45" s="83" t="str">
        <f>IF(AG$15="","",IF('01_Input'!$C$54="Non",0,MIN('01_Input'!$I$54,MAX('01_Input'!$H$54,IF('01_Input'!$G$54="Résiduel vs Gestion",0,IF('01_Input'!$G$54="Taux Classe sélectionnée",Distrib_Global_Classe_Selectionnee*AG$15,IF('01_Input'!$G$54="Frais KYC (paliers de 100M€)",MAX(0,Nb_Investisseurs-Nb_KYC_Gratuites_Par_Tranche*(FLOOR(AG$15/Taille_Tranche_KYC,1)+1))*Cout_Par_KYC_Supplementaire,(IF('01_Input'!$L$54="Forfait",IF(AG$15&gt;='01_Input'!$J$54,'01_Input'!$M$54,0),IF('01_Input'!$L$54="Palier",IF(AND(AG$15&gt;='01_Input'!$J$54,AG$15&lt;'01_Input'!$K$54),'01_Input'!$M$54,0),MAX(MIN(AG$15,'01_Input'!$K$54)-'01_Input'!$J$54,0)*'01_Input'!$M$54))+IF('01_Input'!$P$54="Forfait",IF(AG$15&gt;='01_Input'!$N$54,'01_Input'!$Q$54,0),IF('01_Input'!$P$54="Palier",IF(AND(AG$15&gt;='01_Input'!$N$54,AG$15&lt;'01_Input'!$O$54),'01_Input'!$Q$54,0),MAX(MIN(AG$15,'01_Input'!$O$54)-'01_Input'!$N$54,0)*'01_Input'!$Q$54))+IF('01_Input'!$T$54="Forfait",IF(AG$15&gt;='01_Input'!$R$54,'01_Input'!$U$54,0),IF('01_Input'!$T$54="Palier",IF(AND(AG$15&gt;='01_Input'!$R$54,AG$15&lt;'01_Input'!$S$54),'01_Input'!$U$54,0),MAX(MIN(AG$15,'01_Input'!$S$54)-'01_Input'!$R$54,0)*'01_Input'!$U$54))+IF('01_Input'!$X$54="Forfait",IF(AG$15&gt;='01_Input'!$V$54,'01_Input'!$Y$54,0),IF('01_Input'!$X$54="Palier",IF(AND(AG$15&gt;='01_Input'!$V$54,AG$15&lt;'01_Input'!$W$54),'01_Input'!$Y$54,0),MAX(MIN(AG$15,'01_Input'!$W$54)-'01_Input'!$V$54,0)*'01_Input'!$Y$54))+IF('01_Input'!$AB$54="Forfait",IF(AG$15&gt;='01_Input'!$Z$54,'01_Input'!$AC$54,0),IF('01_Input'!$AB$54="Palier",IF(AND(AG$15&gt;='01_Input'!$Z$54,AG$15&lt;'01_Input'!$AA$54),'01_Input'!$AC$54,0),MAX(MIN(AG$15,'01_Input'!$AA$54)-'01_Input'!$Z$54,0)*'01_Input'!$AC$54))))))))))</f>
        <v/>
      </c>
      <c r="AH45" s="83" t="str">
        <f>IF(AH$15="","",IF('01_Input'!$C$54="Non",0,MIN('01_Input'!$I$54,MAX('01_Input'!$H$54,IF('01_Input'!$G$54="Résiduel vs Gestion",0,IF('01_Input'!$G$54="Taux Classe sélectionnée",Distrib_Global_Classe_Selectionnee*AH$15,IF('01_Input'!$G$54="Frais KYC (paliers de 100M€)",MAX(0,Nb_Investisseurs-Nb_KYC_Gratuites_Par_Tranche*(FLOOR(AH$15/Taille_Tranche_KYC,1)+1))*Cout_Par_KYC_Supplementaire,(IF('01_Input'!$L$54="Forfait",IF(AH$15&gt;='01_Input'!$J$54,'01_Input'!$M$54,0),IF('01_Input'!$L$54="Palier",IF(AND(AH$15&gt;='01_Input'!$J$54,AH$15&lt;'01_Input'!$K$54),'01_Input'!$M$54,0),MAX(MIN(AH$15,'01_Input'!$K$54)-'01_Input'!$J$54,0)*'01_Input'!$M$54))+IF('01_Input'!$P$54="Forfait",IF(AH$15&gt;='01_Input'!$N$54,'01_Input'!$Q$54,0),IF('01_Input'!$P$54="Palier",IF(AND(AH$15&gt;='01_Input'!$N$54,AH$15&lt;'01_Input'!$O$54),'01_Input'!$Q$54,0),MAX(MIN(AH$15,'01_Input'!$O$54)-'01_Input'!$N$54,0)*'01_Input'!$Q$54))+IF('01_Input'!$T$54="Forfait",IF(AH$15&gt;='01_Input'!$R$54,'01_Input'!$U$54,0),IF('01_Input'!$T$54="Palier",IF(AND(AH$15&gt;='01_Input'!$R$54,AH$15&lt;'01_Input'!$S$54),'01_Input'!$U$54,0),MAX(MIN(AH$15,'01_Input'!$S$54)-'01_Input'!$R$54,0)*'01_Input'!$U$54))+IF('01_Input'!$X$54="Forfait",IF(AH$15&gt;='01_Input'!$V$54,'01_Input'!$Y$54,0),IF('01_Input'!$X$54="Palier",IF(AND(AH$15&gt;='01_Input'!$V$54,AH$15&lt;'01_Input'!$W$54),'01_Input'!$Y$54,0),MAX(MIN(AH$15,'01_Input'!$W$54)-'01_Input'!$V$54,0)*'01_Input'!$Y$54))+IF('01_Input'!$AB$54="Forfait",IF(AH$15&gt;='01_Input'!$Z$54,'01_Input'!$AC$54,0),IF('01_Input'!$AB$54="Palier",IF(AND(AH$15&gt;='01_Input'!$Z$54,AH$15&lt;'01_Input'!$AA$54),'01_Input'!$AC$54,0),MAX(MIN(AH$15,'01_Input'!$AA$54)-'01_Input'!$Z$54,0)*'01_Input'!$AC$54))))))))))</f>
        <v/>
      </c>
      <c r="AI45" s="83" t="str">
        <f>IF(AI$15="","",IF('01_Input'!$C$54="Non",0,MIN('01_Input'!$I$54,MAX('01_Input'!$H$54,IF('01_Input'!$G$54="Résiduel vs Gestion",0,IF('01_Input'!$G$54="Taux Classe sélectionnée",Distrib_Global_Classe_Selectionnee*AI$15,IF('01_Input'!$G$54="Frais KYC (paliers de 100M€)",MAX(0,Nb_Investisseurs-Nb_KYC_Gratuites_Par_Tranche*(FLOOR(AI$15/Taille_Tranche_KYC,1)+1))*Cout_Par_KYC_Supplementaire,(IF('01_Input'!$L$54="Forfait",IF(AI$15&gt;='01_Input'!$J$54,'01_Input'!$M$54,0),IF('01_Input'!$L$54="Palier",IF(AND(AI$15&gt;='01_Input'!$J$54,AI$15&lt;'01_Input'!$K$54),'01_Input'!$M$54,0),MAX(MIN(AI$15,'01_Input'!$K$54)-'01_Input'!$J$54,0)*'01_Input'!$M$54))+IF('01_Input'!$P$54="Forfait",IF(AI$15&gt;='01_Input'!$N$54,'01_Input'!$Q$54,0),IF('01_Input'!$P$54="Palier",IF(AND(AI$15&gt;='01_Input'!$N$54,AI$15&lt;'01_Input'!$O$54),'01_Input'!$Q$54,0),MAX(MIN(AI$15,'01_Input'!$O$54)-'01_Input'!$N$54,0)*'01_Input'!$Q$54))+IF('01_Input'!$T$54="Forfait",IF(AI$15&gt;='01_Input'!$R$54,'01_Input'!$U$54,0),IF('01_Input'!$T$54="Palier",IF(AND(AI$15&gt;='01_Input'!$R$54,AI$15&lt;'01_Input'!$S$54),'01_Input'!$U$54,0),MAX(MIN(AI$15,'01_Input'!$S$54)-'01_Input'!$R$54,0)*'01_Input'!$U$54))+IF('01_Input'!$X$54="Forfait",IF(AI$15&gt;='01_Input'!$V$54,'01_Input'!$Y$54,0),IF('01_Input'!$X$54="Palier",IF(AND(AI$15&gt;='01_Input'!$V$54,AI$15&lt;'01_Input'!$W$54),'01_Input'!$Y$54,0),MAX(MIN(AI$15,'01_Input'!$W$54)-'01_Input'!$V$54,0)*'01_Input'!$Y$54))+IF('01_Input'!$AB$54="Forfait",IF(AI$15&gt;='01_Input'!$Z$54,'01_Input'!$AC$54,0),IF('01_Input'!$AB$54="Palier",IF(AND(AI$15&gt;='01_Input'!$Z$54,AI$15&lt;'01_Input'!$AA$54),'01_Input'!$AC$54,0),MAX(MIN(AI$15,'01_Input'!$AA$54)-'01_Input'!$Z$54,0)*'01_Input'!$AC$54))))))))))</f>
        <v/>
      </c>
      <c r="AJ45" s="83" t="str">
        <f>IF(AJ$15="","",IF('01_Input'!$C$54="Non",0,MIN('01_Input'!$I$54,MAX('01_Input'!$H$54,IF('01_Input'!$G$54="Résiduel vs Gestion",0,IF('01_Input'!$G$54="Taux Classe sélectionnée",Distrib_Global_Classe_Selectionnee*AJ$15,IF('01_Input'!$G$54="Frais KYC (paliers de 100M€)",MAX(0,Nb_Investisseurs-Nb_KYC_Gratuites_Par_Tranche*(FLOOR(AJ$15/Taille_Tranche_KYC,1)+1))*Cout_Par_KYC_Supplementaire,(IF('01_Input'!$L$54="Forfait",IF(AJ$15&gt;='01_Input'!$J$54,'01_Input'!$M$54,0),IF('01_Input'!$L$54="Palier",IF(AND(AJ$15&gt;='01_Input'!$J$54,AJ$15&lt;'01_Input'!$K$54),'01_Input'!$M$54,0),MAX(MIN(AJ$15,'01_Input'!$K$54)-'01_Input'!$J$54,0)*'01_Input'!$M$54))+IF('01_Input'!$P$54="Forfait",IF(AJ$15&gt;='01_Input'!$N$54,'01_Input'!$Q$54,0),IF('01_Input'!$P$54="Palier",IF(AND(AJ$15&gt;='01_Input'!$N$54,AJ$15&lt;'01_Input'!$O$54),'01_Input'!$Q$54,0),MAX(MIN(AJ$15,'01_Input'!$O$54)-'01_Input'!$N$54,0)*'01_Input'!$Q$54))+IF('01_Input'!$T$54="Forfait",IF(AJ$15&gt;='01_Input'!$R$54,'01_Input'!$U$54,0),IF('01_Input'!$T$54="Palier",IF(AND(AJ$15&gt;='01_Input'!$R$54,AJ$15&lt;'01_Input'!$S$54),'01_Input'!$U$54,0),MAX(MIN(AJ$15,'01_Input'!$S$54)-'01_Input'!$R$54,0)*'01_Input'!$U$54))+IF('01_Input'!$X$54="Forfait",IF(AJ$15&gt;='01_Input'!$V$54,'01_Input'!$Y$54,0),IF('01_Input'!$X$54="Palier",IF(AND(AJ$15&gt;='01_Input'!$V$54,AJ$15&lt;'01_Input'!$W$54),'01_Input'!$Y$54,0),MAX(MIN(AJ$15,'01_Input'!$W$54)-'01_Input'!$V$54,0)*'01_Input'!$Y$54))+IF('01_Input'!$AB$54="Forfait",IF(AJ$15&gt;='01_Input'!$Z$54,'01_Input'!$AC$54,0),IF('01_Input'!$AB$54="Palier",IF(AND(AJ$15&gt;='01_Input'!$Z$54,AJ$15&lt;'01_Input'!$AA$54),'01_Input'!$AC$54,0),MAX(MIN(AJ$15,'01_Input'!$AA$54)-'01_Input'!$Z$54,0)*'01_Input'!$AC$54))))))))))</f>
        <v/>
      </c>
      <c r="AK45" s="83" t="str">
        <f>IF(AK$15="","",IF('01_Input'!$C$54="Non",0,MIN('01_Input'!$I$54,MAX('01_Input'!$H$54,IF('01_Input'!$G$54="Résiduel vs Gestion",0,IF('01_Input'!$G$54="Taux Classe sélectionnée",Distrib_Global_Classe_Selectionnee*AK$15,IF('01_Input'!$G$54="Frais KYC (paliers de 100M€)",MAX(0,Nb_Investisseurs-Nb_KYC_Gratuites_Par_Tranche*(FLOOR(AK$15/Taille_Tranche_KYC,1)+1))*Cout_Par_KYC_Supplementaire,(IF('01_Input'!$L$54="Forfait",IF(AK$15&gt;='01_Input'!$J$54,'01_Input'!$M$54,0),IF('01_Input'!$L$54="Palier",IF(AND(AK$15&gt;='01_Input'!$J$54,AK$15&lt;'01_Input'!$K$54),'01_Input'!$M$54,0),MAX(MIN(AK$15,'01_Input'!$K$54)-'01_Input'!$J$54,0)*'01_Input'!$M$54))+IF('01_Input'!$P$54="Forfait",IF(AK$15&gt;='01_Input'!$N$54,'01_Input'!$Q$54,0),IF('01_Input'!$P$54="Palier",IF(AND(AK$15&gt;='01_Input'!$N$54,AK$15&lt;'01_Input'!$O$54),'01_Input'!$Q$54,0),MAX(MIN(AK$15,'01_Input'!$O$54)-'01_Input'!$N$54,0)*'01_Input'!$Q$54))+IF('01_Input'!$T$54="Forfait",IF(AK$15&gt;='01_Input'!$R$54,'01_Input'!$U$54,0),IF('01_Input'!$T$54="Palier",IF(AND(AK$15&gt;='01_Input'!$R$54,AK$15&lt;'01_Input'!$S$54),'01_Input'!$U$54,0),MAX(MIN(AK$15,'01_Input'!$S$54)-'01_Input'!$R$54,0)*'01_Input'!$U$54))+IF('01_Input'!$X$54="Forfait",IF(AK$15&gt;='01_Input'!$V$54,'01_Input'!$Y$54,0),IF('01_Input'!$X$54="Palier",IF(AND(AK$15&gt;='01_Input'!$V$54,AK$15&lt;'01_Input'!$W$54),'01_Input'!$Y$54,0),MAX(MIN(AK$15,'01_Input'!$W$54)-'01_Input'!$V$54,0)*'01_Input'!$Y$54))+IF('01_Input'!$AB$54="Forfait",IF(AK$15&gt;='01_Input'!$Z$54,'01_Input'!$AC$54,0),IF('01_Input'!$AB$54="Palier",IF(AND(AK$15&gt;='01_Input'!$Z$54,AK$15&lt;'01_Input'!$AA$54),'01_Input'!$AC$54,0),MAX(MIN(AK$15,'01_Input'!$AA$54)-'01_Input'!$Z$54,0)*'01_Input'!$AC$54))))))))))</f>
        <v/>
      </c>
      <c r="AL45" s="83" t="str">
        <f>IF(AL$15="","",IF('01_Input'!$C$54="Non",0,MIN('01_Input'!$I$54,MAX('01_Input'!$H$54,IF('01_Input'!$G$54="Résiduel vs Gestion",0,IF('01_Input'!$G$54="Taux Classe sélectionnée",Distrib_Global_Classe_Selectionnee*AL$15,IF('01_Input'!$G$54="Frais KYC (paliers de 100M€)",MAX(0,Nb_Investisseurs-Nb_KYC_Gratuites_Par_Tranche*(FLOOR(AL$15/Taille_Tranche_KYC,1)+1))*Cout_Par_KYC_Supplementaire,(IF('01_Input'!$L$54="Forfait",IF(AL$15&gt;='01_Input'!$J$54,'01_Input'!$M$54,0),IF('01_Input'!$L$54="Palier",IF(AND(AL$15&gt;='01_Input'!$J$54,AL$15&lt;'01_Input'!$K$54),'01_Input'!$M$54,0),MAX(MIN(AL$15,'01_Input'!$K$54)-'01_Input'!$J$54,0)*'01_Input'!$M$54))+IF('01_Input'!$P$54="Forfait",IF(AL$15&gt;='01_Input'!$N$54,'01_Input'!$Q$54,0),IF('01_Input'!$P$54="Palier",IF(AND(AL$15&gt;='01_Input'!$N$54,AL$15&lt;'01_Input'!$O$54),'01_Input'!$Q$54,0),MAX(MIN(AL$15,'01_Input'!$O$54)-'01_Input'!$N$54,0)*'01_Input'!$Q$54))+IF('01_Input'!$T$54="Forfait",IF(AL$15&gt;='01_Input'!$R$54,'01_Input'!$U$54,0),IF('01_Input'!$T$54="Palier",IF(AND(AL$15&gt;='01_Input'!$R$54,AL$15&lt;'01_Input'!$S$54),'01_Input'!$U$54,0),MAX(MIN(AL$15,'01_Input'!$S$54)-'01_Input'!$R$54,0)*'01_Input'!$U$54))+IF('01_Input'!$X$54="Forfait",IF(AL$15&gt;='01_Input'!$V$54,'01_Input'!$Y$54,0),IF('01_Input'!$X$54="Palier",IF(AND(AL$15&gt;='01_Input'!$V$54,AL$15&lt;'01_Input'!$W$54),'01_Input'!$Y$54,0),MAX(MIN(AL$15,'01_Input'!$W$54)-'01_Input'!$V$54,0)*'01_Input'!$Y$54))+IF('01_Input'!$AB$54="Forfait",IF(AL$15&gt;='01_Input'!$Z$54,'01_Input'!$AC$54,0),IF('01_Input'!$AB$54="Palier",IF(AND(AL$15&gt;='01_Input'!$Z$54,AL$15&lt;'01_Input'!$AA$54),'01_Input'!$AC$54,0),MAX(MIN(AL$15,'01_Input'!$AA$54)-'01_Input'!$Z$54,0)*'01_Input'!$AC$54))))))))))</f>
        <v/>
      </c>
      <c r="AM45" s="83" t="str">
        <f>IF(AM$15="","",IF('01_Input'!$C$54="Non",0,MIN('01_Input'!$I$54,MAX('01_Input'!$H$54,IF('01_Input'!$G$54="Résiduel vs Gestion",0,IF('01_Input'!$G$54="Taux Classe sélectionnée",Distrib_Global_Classe_Selectionnee*AM$15,IF('01_Input'!$G$54="Frais KYC (paliers de 100M€)",MAX(0,Nb_Investisseurs-Nb_KYC_Gratuites_Par_Tranche*(FLOOR(AM$15/Taille_Tranche_KYC,1)+1))*Cout_Par_KYC_Supplementaire,(IF('01_Input'!$L$54="Forfait",IF(AM$15&gt;='01_Input'!$J$54,'01_Input'!$M$54,0),IF('01_Input'!$L$54="Palier",IF(AND(AM$15&gt;='01_Input'!$J$54,AM$15&lt;'01_Input'!$K$54),'01_Input'!$M$54,0),MAX(MIN(AM$15,'01_Input'!$K$54)-'01_Input'!$J$54,0)*'01_Input'!$M$54))+IF('01_Input'!$P$54="Forfait",IF(AM$15&gt;='01_Input'!$N$54,'01_Input'!$Q$54,0),IF('01_Input'!$P$54="Palier",IF(AND(AM$15&gt;='01_Input'!$N$54,AM$15&lt;'01_Input'!$O$54),'01_Input'!$Q$54,0),MAX(MIN(AM$15,'01_Input'!$O$54)-'01_Input'!$N$54,0)*'01_Input'!$Q$54))+IF('01_Input'!$T$54="Forfait",IF(AM$15&gt;='01_Input'!$R$54,'01_Input'!$U$54,0),IF('01_Input'!$T$54="Palier",IF(AND(AM$15&gt;='01_Input'!$R$54,AM$15&lt;'01_Input'!$S$54),'01_Input'!$U$54,0),MAX(MIN(AM$15,'01_Input'!$S$54)-'01_Input'!$R$54,0)*'01_Input'!$U$54))+IF('01_Input'!$X$54="Forfait",IF(AM$15&gt;='01_Input'!$V$54,'01_Input'!$Y$54,0),IF('01_Input'!$X$54="Palier",IF(AND(AM$15&gt;='01_Input'!$V$54,AM$15&lt;'01_Input'!$W$54),'01_Input'!$Y$54,0),MAX(MIN(AM$15,'01_Input'!$W$54)-'01_Input'!$V$54,0)*'01_Input'!$Y$54))+IF('01_Input'!$AB$54="Forfait",IF(AM$15&gt;='01_Input'!$Z$54,'01_Input'!$AC$54,0),IF('01_Input'!$AB$54="Palier",IF(AND(AM$15&gt;='01_Input'!$Z$54,AM$15&lt;'01_Input'!$AA$54),'01_Input'!$AC$54,0),MAX(MIN(AM$15,'01_Input'!$AA$54)-'01_Input'!$Z$54,0)*'01_Input'!$AC$54))))))))))</f>
        <v/>
      </c>
    </row>
    <row r="46" ht="15.75" customHeight="1">
      <c r="B46" s="40" t="str">
        <f t="shared" si="1"/>
        <v>Distribution — Distributeur Global</v>
      </c>
      <c r="D46" s="25">
        <f>IF(D$15="","",IF('01_Input'!$C$55="Non",0,MIN('01_Input'!$I$55,MAX('01_Input'!$H$55,IF('01_Input'!$G$55="Résiduel vs Gestion",0,IF('01_Input'!$G$55="Taux Classe sélectionnée",Distrib_Global_Classe_Selectionnee*D$15,IF('01_Input'!$G$55="Frais KYC (paliers de 100M€)",MAX(0,Nb_Investisseurs-Nb_KYC_Gratuites_Par_Tranche*(FLOOR(D$15/Taille_Tranche_KYC,1)+1))*Cout_Par_KYC_Supplementaire,(IF('01_Input'!$L$55="Forfait",IF(D$15&gt;='01_Input'!$J$55,'01_Input'!$M$55,0),IF('01_Input'!$L$55="Palier",IF(AND(D$15&gt;='01_Input'!$J$55,D$15&lt;'01_Input'!$K$55),'01_Input'!$M$55,0),MAX(MIN(D$15,'01_Input'!$K$55)-'01_Input'!$J$55,0)*'01_Input'!$M$55))+IF('01_Input'!$P$55="Forfait",IF(D$15&gt;='01_Input'!$N$55,'01_Input'!$Q$55,0),IF('01_Input'!$P$55="Palier",IF(AND(D$15&gt;='01_Input'!$N$55,D$15&lt;'01_Input'!$O$55),'01_Input'!$Q$55,0),MAX(MIN(D$15,'01_Input'!$O$55)-'01_Input'!$N$55,0)*'01_Input'!$Q$55))+IF('01_Input'!$T$55="Forfait",IF(D$15&gt;='01_Input'!$R$55,'01_Input'!$U$55,0),IF('01_Input'!$T$55="Palier",IF(AND(D$15&gt;='01_Input'!$R$55,D$15&lt;'01_Input'!$S$55),'01_Input'!$U$55,0),MAX(MIN(D$15,'01_Input'!$S$55)-'01_Input'!$R$55,0)*'01_Input'!$U$55))+IF('01_Input'!$X$55="Forfait",IF(D$15&gt;='01_Input'!$V$55,'01_Input'!$Y$55,0),IF('01_Input'!$X$55="Palier",IF(AND(D$15&gt;='01_Input'!$V$55,D$15&lt;'01_Input'!$W$55),'01_Input'!$Y$55,0),MAX(MIN(D$15,'01_Input'!$W$55)-'01_Input'!$V$55,0)*'01_Input'!$Y$55))+IF('01_Input'!$AB$55="Forfait",IF(D$15&gt;='01_Input'!$Z$55,'01_Input'!$AC$55,0),IF('01_Input'!$AB$55="Palier",IF(AND(D$15&gt;='01_Input'!$Z$55,D$15&lt;'01_Input'!$AA$55),'01_Input'!$AC$55,0),MAX(MIN(D$15,'01_Input'!$AA$55)-'01_Input'!$Z$55,0)*'01_Input'!$AC$55))))))))))</f>
        <v>6120</v>
      </c>
      <c r="E46" s="25">
        <f>IF(E$15="","",IF('01_Input'!$C$55="Non",0,MIN('01_Input'!$I$55,MAX('01_Input'!$H$55,IF('01_Input'!$G$55="Résiduel vs Gestion",0,IF('01_Input'!$G$55="Taux Classe sélectionnée",Distrib_Global_Classe_Selectionnee*E$15,IF('01_Input'!$G$55="Frais KYC (paliers de 100M€)",MAX(0,Nb_Investisseurs-Nb_KYC_Gratuites_Par_Tranche*(FLOOR(E$15/Taille_Tranche_KYC,1)+1))*Cout_Par_KYC_Supplementaire,(IF('01_Input'!$L$55="Forfait",IF(E$15&gt;='01_Input'!$J$55,'01_Input'!$M$55,0),IF('01_Input'!$L$55="Palier",IF(AND(E$15&gt;='01_Input'!$J$55,E$15&lt;'01_Input'!$K$55),'01_Input'!$M$55,0),MAX(MIN(E$15,'01_Input'!$K$55)-'01_Input'!$J$55,0)*'01_Input'!$M$55))+IF('01_Input'!$P$55="Forfait",IF(E$15&gt;='01_Input'!$N$55,'01_Input'!$Q$55,0),IF('01_Input'!$P$55="Palier",IF(AND(E$15&gt;='01_Input'!$N$55,E$15&lt;'01_Input'!$O$55),'01_Input'!$Q$55,0),MAX(MIN(E$15,'01_Input'!$O$55)-'01_Input'!$N$55,0)*'01_Input'!$Q$55))+IF('01_Input'!$T$55="Forfait",IF(E$15&gt;='01_Input'!$R$55,'01_Input'!$U$55,0),IF('01_Input'!$T$55="Palier",IF(AND(E$15&gt;='01_Input'!$R$55,E$15&lt;'01_Input'!$S$55),'01_Input'!$U$55,0),MAX(MIN(E$15,'01_Input'!$S$55)-'01_Input'!$R$55,0)*'01_Input'!$U$55))+IF('01_Input'!$X$55="Forfait",IF(E$15&gt;='01_Input'!$V$55,'01_Input'!$Y$55,0),IF('01_Input'!$X$55="Palier",IF(AND(E$15&gt;='01_Input'!$V$55,E$15&lt;'01_Input'!$W$55),'01_Input'!$Y$55,0),MAX(MIN(E$15,'01_Input'!$W$55)-'01_Input'!$V$55,0)*'01_Input'!$Y$55))+IF('01_Input'!$AB$55="Forfait",IF(E$15&gt;='01_Input'!$Z$55,'01_Input'!$AC$55,0),IF('01_Input'!$AB$55="Palier",IF(AND(E$15&gt;='01_Input'!$Z$55,E$15&lt;'01_Input'!$AA$55),'01_Input'!$AC$55,0),MAX(MIN(E$15,'01_Input'!$AA$55)-'01_Input'!$Z$55,0)*'01_Input'!$AC$55))))))))))</f>
        <v>10350</v>
      </c>
      <c r="F46" s="25" t="str">
        <f>IF(F$15="","",IF('01_Input'!$C$55="Non",0,MIN('01_Input'!$I$55,MAX('01_Input'!$H$55,IF('01_Input'!$G$55="Résiduel vs Gestion",0,IF('01_Input'!$G$55="Taux Classe sélectionnée",Distrib_Global_Classe_Selectionnee*F$15,IF('01_Input'!$G$55="Frais KYC (paliers de 100M€)",MAX(0,Nb_Investisseurs-Nb_KYC_Gratuites_Par_Tranche*(FLOOR(F$15/Taille_Tranche_KYC,1)+1))*Cout_Par_KYC_Supplementaire,(IF('01_Input'!$L$55="Forfait",IF(F$15&gt;='01_Input'!$J$55,'01_Input'!$M$55,0),IF('01_Input'!$L$55="Palier",IF(AND(F$15&gt;='01_Input'!$J$55,F$15&lt;'01_Input'!$K$55),'01_Input'!$M$55,0),MAX(MIN(F$15,'01_Input'!$K$55)-'01_Input'!$J$55,0)*'01_Input'!$M$55))+IF('01_Input'!$P$55="Forfait",IF(F$15&gt;='01_Input'!$N$55,'01_Input'!$Q$55,0),IF('01_Input'!$P$55="Palier",IF(AND(F$15&gt;='01_Input'!$N$55,F$15&lt;'01_Input'!$O$55),'01_Input'!$Q$55,0),MAX(MIN(F$15,'01_Input'!$O$55)-'01_Input'!$N$55,0)*'01_Input'!$Q$55))+IF('01_Input'!$T$55="Forfait",IF(F$15&gt;='01_Input'!$R$55,'01_Input'!$U$55,0),IF('01_Input'!$T$55="Palier",IF(AND(F$15&gt;='01_Input'!$R$55,F$15&lt;'01_Input'!$S$55),'01_Input'!$U$55,0),MAX(MIN(F$15,'01_Input'!$S$55)-'01_Input'!$R$55,0)*'01_Input'!$U$55))+IF('01_Input'!$X$55="Forfait",IF(F$15&gt;='01_Input'!$V$55,'01_Input'!$Y$55,0),IF('01_Input'!$X$55="Palier",IF(AND(F$15&gt;='01_Input'!$V$55,F$15&lt;'01_Input'!$W$55),'01_Input'!$Y$55,0),MAX(MIN(F$15,'01_Input'!$W$55)-'01_Input'!$V$55,0)*'01_Input'!$Y$55))+IF('01_Input'!$AB$55="Forfait",IF(F$15&gt;='01_Input'!$Z$55,'01_Input'!$AC$55,0),IF('01_Input'!$AB$55="Palier",IF(AND(F$15&gt;='01_Input'!$Z$55,F$15&lt;'01_Input'!$AA$55),'01_Input'!$AC$55,0),MAX(MIN(F$15,'01_Input'!$AA$55)-'01_Input'!$Z$55,0)*'01_Input'!$AC$55))))))))))</f>
        <v/>
      </c>
      <c r="G46" s="25" t="str">
        <f>IF(G$15="","",IF('01_Input'!$C$55="Non",0,MIN('01_Input'!$I$55,MAX('01_Input'!$H$55,IF('01_Input'!$G$55="Résiduel vs Gestion",0,IF('01_Input'!$G$55="Taux Classe sélectionnée",Distrib_Global_Classe_Selectionnee*G$15,IF('01_Input'!$G$55="Frais KYC (paliers de 100M€)",MAX(0,Nb_Investisseurs-Nb_KYC_Gratuites_Par_Tranche*(FLOOR(G$15/Taille_Tranche_KYC,1)+1))*Cout_Par_KYC_Supplementaire,(IF('01_Input'!$L$55="Forfait",IF(G$15&gt;='01_Input'!$J$55,'01_Input'!$M$55,0),IF('01_Input'!$L$55="Palier",IF(AND(G$15&gt;='01_Input'!$J$55,G$15&lt;'01_Input'!$K$55),'01_Input'!$M$55,0),MAX(MIN(G$15,'01_Input'!$K$55)-'01_Input'!$J$55,0)*'01_Input'!$M$55))+IF('01_Input'!$P$55="Forfait",IF(G$15&gt;='01_Input'!$N$55,'01_Input'!$Q$55,0),IF('01_Input'!$P$55="Palier",IF(AND(G$15&gt;='01_Input'!$N$55,G$15&lt;'01_Input'!$O$55),'01_Input'!$Q$55,0),MAX(MIN(G$15,'01_Input'!$O$55)-'01_Input'!$N$55,0)*'01_Input'!$Q$55))+IF('01_Input'!$T$55="Forfait",IF(G$15&gt;='01_Input'!$R$55,'01_Input'!$U$55,0),IF('01_Input'!$T$55="Palier",IF(AND(G$15&gt;='01_Input'!$R$55,G$15&lt;'01_Input'!$S$55),'01_Input'!$U$55,0),MAX(MIN(G$15,'01_Input'!$S$55)-'01_Input'!$R$55,0)*'01_Input'!$U$55))+IF('01_Input'!$X$55="Forfait",IF(G$15&gt;='01_Input'!$V$55,'01_Input'!$Y$55,0),IF('01_Input'!$X$55="Palier",IF(AND(G$15&gt;='01_Input'!$V$55,G$15&lt;'01_Input'!$W$55),'01_Input'!$Y$55,0),MAX(MIN(G$15,'01_Input'!$W$55)-'01_Input'!$V$55,0)*'01_Input'!$Y$55))+IF('01_Input'!$AB$55="Forfait",IF(G$15&gt;='01_Input'!$Z$55,'01_Input'!$AC$55,0),IF('01_Input'!$AB$55="Palier",IF(AND(G$15&gt;='01_Input'!$Z$55,G$15&lt;'01_Input'!$AA$55),'01_Input'!$AC$55,0),MAX(MIN(G$15,'01_Input'!$AA$55)-'01_Input'!$Z$55,0)*'01_Input'!$AC$55))))))))))</f>
        <v/>
      </c>
      <c r="H46" s="25" t="str">
        <f>IF(H$15="","",IF('01_Input'!$C$55="Non",0,MIN('01_Input'!$I$55,MAX('01_Input'!$H$55,IF('01_Input'!$G$55="Résiduel vs Gestion",0,IF('01_Input'!$G$55="Taux Classe sélectionnée",Distrib_Global_Classe_Selectionnee*H$15,IF('01_Input'!$G$55="Frais KYC (paliers de 100M€)",MAX(0,Nb_Investisseurs-Nb_KYC_Gratuites_Par_Tranche*(FLOOR(H$15/Taille_Tranche_KYC,1)+1))*Cout_Par_KYC_Supplementaire,(IF('01_Input'!$L$55="Forfait",IF(H$15&gt;='01_Input'!$J$55,'01_Input'!$M$55,0),IF('01_Input'!$L$55="Palier",IF(AND(H$15&gt;='01_Input'!$J$55,H$15&lt;'01_Input'!$K$55),'01_Input'!$M$55,0),MAX(MIN(H$15,'01_Input'!$K$55)-'01_Input'!$J$55,0)*'01_Input'!$M$55))+IF('01_Input'!$P$55="Forfait",IF(H$15&gt;='01_Input'!$N$55,'01_Input'!$Q$55,0),IF('01_Input'!$P$55="Palier",IF(AND(H$15&gt;='01_Input'!$N$55,H$15&lt;'01_Input'!$O$55),'01_Input'!$Q$55,0),MAX(MIN(H$15,'01_Input'!$O$55)-'01_Input'!$N$55,0)*'01_Input'!$Q$55))+IF('01_Input'!$T$55="Forfait",IF(H$15&gt;='01_Input'!$R$55,'01_Input'!$U$55,0),IF('01_Input'!$T$55="Palier",IF(AND(H$15&gt;='01_Input'!$R$55,H$15&lt;'01_Input'!$S$55),'01_Input'!$U$55,0),MAX(MIN(H$15,'01_Input'!$S$55)-'01_Input'!$R$55,0)*'01_Input'!$U$55))+IF('01_Input'!$X$55="Forfait",IF(H$15&gt;='01_Input'!$V$55,'01_Input'!$Y$55,0),IF('01_Input'!$X$55="Palier",IF(AND(H$15&gt;='01_Input'!$V$55,H$15&lt;'01_Input'!$W$55),'01_Input'!$Y$55,0),MAX(MIN(H$15,'01_Input'!$W$55)-'01_Input'!$V$55,0)*'01_Input'!$Y$55))+IF('01_Input'!$AB$55="Forfait",IF(H$15&gt;='01_Input'!$Z$55,'01_Input'!$AC$55,0),IF('01_Input'!$AB$55="Palier",IF(AND(H$15&gt;='01_Input'!$Z$55,H$15&lt;'01_Input'!$AA$55),'01_Input'!$AC$55,0),MAX(MIN(H$15,'01_Input'!$AA$55)-'01_Input'!$Z$55,0)*'01_Input'!$AC$55))))))))))</f>
        <v/>
      </c>
      <c r="I46" s="25" t="str">
        <f>IF(I$15="","",IF('01_Input'!$C$55="Non",0,MIN('01_Input'!$I$55,MAX('01_Input'!$H$55,IF('01_Input'!$G$55="Résiduel vs Gestion",0,IF('01_Input'!$G$55="Taux Classe sélectionnée",Distrib_Global_Classe_Selectionnee*I$15,IF('01_Input'!$G$55="Frais KYC (paliers de 100M€)",MAX(0,Nb_Investisseurs-Nb_KYC_Gratuites_Par_Tranche*(FLOOR(I$15/Taille_Tranche_KYC,1)+1))*Cout_Par_KYC_Supplementaire,(IF('01_Input'!$L$55="Forfait",IF(I$15&gt;='01_Input'!$J$55,'01_Input'!$M$55,0),IF('01_Input'!$L$55="Palier",IF(AND(I$15&gt;='01_Input'!$J$55,I$15&lt;'01_Input'!$K$55),'01_Input'!$M$55,0),MAX(MIN(I$15,'01_Input'!$K$55)-'01_Input'!$J$55,0)*'01_Input'!$M$55))+IF('01_Input'!$P$55="Forfait",IF(I$15&gt;='01_Input'!$N$55,'01_Input'!$Q$55,0),IF('01_Input'!$P$55="Palier",IF(AND(I$15&gt;='01_Input'!$N$55,I$15&lt;'01_Input'!$O$55),'01_Input'!$Q$55,0),MAX(MIN(I$15,'01_Input'!$O$55)-'01_Input'!$N$55,0)*'01_Input'!$Q$55))+IF('01_Input'!$T$55="Forfait",IF(I$15&gt;='01_Input'!$R$55,'01_Input'!$U$55,0),IF('01_Input'!$T$55="Palier",IF(AND(I$15&gt;='01_Input'!$R$55,I$15&lt;'01_Input'!$S$55),'01_Input'!$U$55,0),MAX(MIN(I$15,'01_Input'!$S$55)-'01_Input'!$R$55,0)*'01_Input'!$U$55))+IF('01_Input'!$X$55="Forfait",IF(I$15&gt;='01_Input'!$V$55,'01_Input'!$Y$55,0),IF('01_Input'!$X$55="Palier",IF(AND(I$15&gt;='01_Input'!$V$55,I$15&lt;'01_Input'!$W$55),'01_Input'!$Y$55,0),MAX(MIN(I$15,'01_Input'!$W$55)-'01_Input'!$V$55,0)*'01_Input'!$Y$55))+IF('01_Input'!$AB$55="Forfait",IF(I$15&gt;='01_Input'!$Z$55,'01_Input'!$AC$55,0),IF('01_Input'!$AB$55="Palier",IF(AND(I$15&gt;='01_Input'!$Z$55,I$15&lt;'01_Input'!$AA$55),'01_Input'!$AC$55,0),MAX(MIN(I$15,'01_Input'!$AA$55)-'01_Input'!$Z$55,0)*'01_Input'!$AC$55))))))))))</f>
        <v/>
      </c>
      <c r="J46" s="25" t="str">
        <f>IF(J$15="","",IF('01_Input'!$C$55="Non",0,MIN('01_Input'!$I$55,MAX('01_Input'!$H$55,IF('01_Input'!$G$55="Résiduel vs Gestion",0,IF('01_Input'!$G$55="Taux Classe sélectionnée",Distrib_Global_Classe_Selectionnee*J$15,IF('01_Input'!$G$55="Frais KYC (paliers de 100M€)",MAX(0,Nb_Investisseurs-Nb_KYC_Gratuites_Par_Tranche*(FLOOR(J$15/Taille_Tranche_KYC,1)+1))*Cout_Par_KYC_Supplementaire,(IF('01_Input'!$L$55="Forfait",IF(J$15&gt;='01_Input'!$J$55,'01_Input'!$M$55,0),IF('01_Input'!$L$55="Palier",IF(AND(J$15&gt;='01_Input'!$J$55,J$15&lt;'01_Input'!$K$55),'01_Input'!$M$55,0),MAX(MIN(J$15,'01_Input'!$K$55)-'01_Input'!$J$55,0)*'01_Input'!$M$55))+IF('01_Input'!$P$55="Forfait",IF(J$15&gt;='01_Input'!$N$55,'01_Input'!$Q$55,0),IF('01_Input'!$P$55="Palier",IF(AND(J$15&gt;='01_Input'!$N$55,J$15&lt;'01_Input'!$O$55),'01_Input'!$Q$55,0),MAX(MIN(J$15,'01_Input'!$O$55)-'01_Input'!$N$55,0)*'01_Input'!$Q$55))+IF('01_Input'!$T$55="Forfait",IF(J$15&gt;='01_Input'!$R$55,'01_Input'!$U$55,0),IF('01_Input'!$T$55="Palier",IF(AND(J$15&gt;='01_Input'!$R$55,J$15&lt;'01_Input'!$S$55),'01_Input'!$U$55,0),MAX(MIN(J$15,'01_Input'!$S$55)-'01_Input'!$R$55,0)*'01_Input'!$U$55))+IF('01_Input'!$X$55="Forfait",IF(J$15&gt;='01_Input'!$V$55,'01_Input'!$Y$55,0),IF('01_Input'!$X$55="Palier",IF(AND(J$15&gt;='01_Input'!$V$55,J$15&lt;'01_Input'!$W$55),'01_Input'!$Y$55,0),MAX(MIN(J$15,'01_Input'!$W$55)-'01_Input'!$V$55,0)*'01_Input'!$Y$55))+IF('01_Input'!$AB$55="Forfait",IF(J$15&gt;='01_Input'!$Z$55,'01_Input'!$AC$55,0),IF('01_Input'!$AB$55="Palier",IF(AND(J$15&gt;='01_Input'!$Z$55,J$15&lt;'01_Input'!$AA$55),'01_Input'!$AC$55,0),MAX(MIN(J$15,'01_Input'!$AA$55)-'01_Input'!$Z$55,0)*'01_Input'!$AC$55))))))))))</f>
        <v/>
      </c>
      <c r="K46" s="25" t="str">
        <f>IF(K$15="","",IF('01_Input'!$C$55="Non",0,MIN('01_Input'!$I$55,MAX('01_Input'!$H$55,IF('01_Input'!$G$55="Résiduel vs Gestion",0,IF('01_Input'!$G$55="Taux Classe sélectionnée",Distrib_Global_Classe_Selectionnee*K$15,IF('01_Input'!$G$55="Frais KYC (paliers de 100M€)",MAX(0,Nb_Investisseurs-Nb_KYC_Gratuites_Par_Tranche*(FLOOR(K$15/Taille_Tranche_KYC,1)+1))*Cout_Par_KYC_Supplementaire,(IF('01_Input'!$L$55="Forfait",IF(K$15&gt;='01_Input'!$J$55,'01_Input'!$M$55,0),IF('01_Input'!$L$55="Palier",IF(AND(K$15&gt;='01_Input'!$J$55,K$15&lt;'01_Input'!$K$55),'01_Input'!$M$55,0),MAX(MIN(K$15,'01_Input'!$K$55)-'01_Input'!$J$55,0)*'01_Input'!$M$55))+IF('01_Input'!$P$55="Forfait",IF(K$15&gt;='01_Input'!$N$55,'01_Input'!$Q$55,0),IF('01_Input'!$P$55="Palier",IF(AND(K$15&gt;='01_Input'!$N$55,K$15&lt;'01_Input'!$O$55),'01_Input'!$Q$55,0),MAX(MIN(K$15,'01_Input'!$O$55)-'01_Input'!$N$55,0)*'01_Input'!$Q$55))+IF('01_Input'!$T$55="Forfait",IF(K$15&gt;='01_Input'!$R$55,'01_Input'!$U$55,0),IF('01_Input'!$T$55="Palier",IF(AND(K$15&gt;='01_Input'!$R$55,K$15&lt;'01_Input'!$S$55),'01_Input'!$U$55,0),MAX(MIN(K$15,'01_Input'!$S$55)-'01_Input'!$R$55,0)*'01_Input'!$U$55))+IF('01_Input'!$X$55="Forfait",IF(K$15&gt;='01_Input'!$V$55,'01_Input'!$Y$55,0),IF('01_Input'!$X$55="Palier",IF(AND(K$15&gt;='01_Input'!$V$55,K$15&lt;'01_Input'!$W$55),'01_Input'!$Y$55,0),MAX(MIN(K$15,'01_Input'!$W$55)-'01_Input'!$V$55,0)*'01_Input'!$Y$55))+IF('01_Input'!$AB$55="Forfait",IF(K$15&gt;='01_Input'!$Z$55,'01_Input'!$AC$55,0),IF('01_Input'!$AB$55="Palier",IF(AND(K$15&gt;='01_Input'!$Z$55,K$15&lt;'01_Input'!$AA$55),'01_Input'!$AC$55,0),MAX(MIN(K$15,'01_Input'!$AA$55)-'01_Input'!$Z$55,0)*'01_Input'!$AC$55))))))))))</f>
        <v/>
      </c>
      <c r="L46" s="25" t="str">
        <f>IF(L$15="","",IF('01_Input'!$C$55="Non",0,MIN('01_Input'!$I$55,MAX('01_Input'!$H$55,IF('01_Input'!$G$55="Résiduel vs Gestion",0,IF('01_Input'!$G$55="Taux Classe sélectionnée",Distrib_Global_Classe_Selectionnee*L$15,IF('01_Input'!$G$55="Frais KYC (paliers de 100M€)",MAX(0,Nb_Investisseurs-Nb_KYC_Gratuites_Par_Tranche*(FLOOR(L$15/Taille_Tranche_KYC,1)+1))*Cout_Par_KYC_Supplementaire,(IF('01_Input'!$L$55="Forfait",IF(L$15&gt;='01_Input'!$J$55,'01_Input'!$M$55,0),IF('01_Input'!$L$55="Palier",IF(AND(L$15&gt;='01_Input'!$J$55,L$15&lt;'01_Input'!$K$55),'01_Input'!$M$55,0),MAX(MIN(L$15,'01_Input'!$K$55)-'01_Input'!$J$55,0)*'01_Input'!$M$55))+IF('01_Input'!$P$55="Forfait",IF(L$15&gt;='01_Input'!$N$55,'01_Input'!$Q$55,0),IF('01_Input'!$P$55="Palier",IF(AND(L$15&gt;='01_Input'!$N$55,L$15&lt;'01_Input'!$O$55),'01_Input'!$Q$55,0),MAX(MIN(L$15,'01_Input'!$O$55)-'01_Input'!$N$55,0)*'01_Input'!$Q$55))+IF('01_Input'!$T$55="Forfait",IF(L$15&gt;='01_Input'!$R$55,'01_Input'!$U$55,0),IF('01_Input'!$T$55="Palier",IF(AND(L$15&gt;='01_Input'!$R$55,L$15&lt;'01_Input'!$S$55),'01_Input'!$U$55,0),MAX(MIN(L$15,'01_Input'!$S$55)-'01_Input'!$R$55,0)*'01_Input'!$U$55))+IF('01_Input'!$X$55="Forfait",IF(L$15&gt;='01_Input'!$V$55,'01_Input'!$Y$55,0),IF('01_Input'!$X$55="Palier",IF(AND(L$15&gt;='01_Input'!$V$55,L$15&lt;'01_Input'!$W$55),'01_Input'!$Y$55,0),MAX(MIN(L$15,'01_Input'!$W$55)-'01_Input'!$V$55,0)*'01_Input'!$Y$55))+IF('01_Input'!$AB$55="Forfait",IF(L$15&gt;='01_Input'!$Z$55,'01_Input'!$AC$55,0),IF('01_Input'!$AB$55="Palier",IF(AND(L$15&gt;='01_Input'!$Z$55,L$15&lt;'01_Input'!$AA$55),'01_Input'!$AC$55,0),MAX(MIN(L$15,'01_Input'!$AA$55)-'01_Input'!$Z$55,0)*'01_Input'!$AC$55))))))))))</f>
        <v/>
      </c>
      <c r="M46" s="25" t="str">
        <f>IF(M$15="","",IF('01_Input'!$C$55="Non",0,MIN('01_Input'!$I$55,MAX('01_Input'!$H$55,IF('01_Input'!$G$55="Résiduel vs Gestion",0,IF('01_Input'!$G$55="Taux Classe sélectionnée",Distrib_Global_Classe_Selectionnee*M$15,IF('01_Input'!$G$55="Frais KYC (paliers de 100M€)",MAX(0,Nb_Investisseurs-Nb_KYC_Gratuites_Par_Tranche*(FLOOR(M$15/Taille_Tranche_KYC,1)+1))*Cout_Par_KYC_Supplementaire,(IF('01_Input'!$L$55="Forfait",IF(M$15&gt;='01_Input'!$J$55,'01_Input'!$M$55,0),IF('01_Input'!$L$55="Palier",IF(AND(M$15&gt;='01_Input'!$J$55,M$15&lt;'01_Input'!$K$55),'01_Input'!$M$55,0),MAX(MIN(M$15,'01_Input'!$K$55)-'01_Input'!$J$55,0)*'01_Input'!$M$55))+IF('01_Input'!$P$55="Forfait",IF(M$15&gt;='01_Input'!$N$55,'01_Input'!$Q$55,0),IF('01_Input'!$P$55="Palier",IF(AND(M$15&gt;='01_Input'!$N$55,M$15&lt;'01_Input'!$O$55),'01_Input'!$Q$55,0),MAX(MIN(M$15,'01_Input'!$O$55)-'01_Input'!$N$55,0)*'01_Input'!$Q$55))+IF('01_Input'!$T$55="Forfait",IF(M$15&gt;='01_Input'!$R$55,'01_Input'!$U$55,0),IF('01_Input'!$T$55="Palier",IF(AND(M$15&gt;='01_Input'!$R$55,M$15&lt;'01_Input'!$S$55),'01_Input'!$U$55,0),MAX(MIN(M$15,'01_Input'!$S$55)-'01_Input'!$R$55,0)*'01_Input'!$U$55))+IF('01_Input'!$X$55="Forfait",IF(M$15&gt;='01_Input'!$V$55,'01_Input'!$Y$55,0),IF('01_Input'!$X$55="Palier",IF(AND(M$15&gt;='01_Input'!$V$55,M$15&lt;'01_Input'!$W$55),'01_Input'!$Y$55,0),MAX(MIN(M$15,'01_Input'!$W$55)-'01_Input'!$V$55,0)*'01_Input'!$Y$55))+IF('01_Input'!$AB$55="Forfait",IF(M$15&gt;='01_Input'!$Z$55,'01_Input'!$AC$55,0),IF('01_Input'!$AB$55="Palier",IF(AND(M$15&gt;='01_Input'!$Z$55,M$15&lt;'01_Input'!$AA$55),'01_Input'!$AC$55,0),MAX(MIN(M$15,'01_Input'!$AA$55)-'01_Input'!$Z$55,0)*'01_Input'!$AC$55))))))))))</f>
        <v/>
      </c>
      <c r="N46" s="25" t="str">
        <f>IF(N$15="","",IF('01_Input'!$C$55="Non",0,MIN('01_Input'!$I$55,MAX('01_Input'!$H$55,IF('01_Input'!$G$55="Résiduel vs Gestion",0,IF('01_Input'!$G$55="Taux Classe sélectionnée",Distrib_Global_Classe_Selectionnee*N$15,IF('01_Input'!$G$55="Frais KYC (paliers de 100M€)",MAX(0,Nb_Investisseurs-Nb_KYC_Gratuites_Par_Tranche*(FLOOR(N$15/Taille_Tranche_KYC,1)+1))*Cout_Par_KYC_Supplementaire,(IF('01_Input'!$L$55="Forfait",IF(N$15&gt;='01_Input'!$J$55,'01_Input'!$M$55,0),IF('01_Input'!$L$55="Palier",IF(AND(N$15&gt;='01_Input'!$J$55,N$15&lt;'01_Input'!$K$55),'01_Input'!$M$55,0),MAX(MIN(N$15,'01_Input'!$K$55)-'01_Input'!$J$55,0)*'01_Input'!$M$55))+IF('01_Input'!$P$55="Forfait",IF(N$15&gt;='01_Input'!$N$55,'01_Input'!$Q$55,0),IF('01_Input'!$P$55="Palier",IF(AND(N$15&gt;='01_Input'!$N$55,N$15&lt;'01_Input'!$O$55),'01_Input'!$Q$55,0),MAX(MIN(N$15,'01_Input'!$O$55)-'01_Input'!$N$55,0)*'01_Input'!$Q$55))+IF('01_Input'!$T$55="Forfait",IF(N$15&gt;='01_Input'!$R$55,'01_Input'!$U$55,0),IF('01_Input'!$T$55="Palier",IF(AND(N$15&gt;='01_Input'!$R$55,N$15&lt;'01_Input'!$S$55),'01_Input'!$U$55,0),MAX(MIN(N$15,'01_Input'!$S$55)-'01_Input'!$R$55,0)*'01_Input'!$U$55))+IF('01_Input'!$X$55="Forfait",IF(N$15&gt;='01_Input'!$V$55,'01_Input'!$Y$55,0),IF('01_Input'!$X$55="Palier",IF(AND(N$15&gt;='01_Input'!$V$55,N$15&lt;'01_Input'!$W$55),'01_Input'!$Y$55,0),MAX(MIN(N$15,'01_Input'!$W$55)-'01_Input'!$V$55,0)*'01_Input'!$Y$55))+IF('01_Input'!$AB$55="Forfait",IF(N$15&gt;='01_Input'!$Z$55,'01_Input'!$AC$55,0),IF('01_Input'!$AB$55="Palier",IF(AND(N$15&gt;='01_Input'!$Z$55,N$15&lt;'01_Input'!$AA$55),'01_Input'!$AC$55,0),MAX(MIN(N$15,'01_Input'!$AA$55)-'01_Input'!$Z$55,0)*'01_Input'!$AC$55))))))))))</f>
        <v/>
      </c>
      <c r="O46" s="25" t="str">
        <f>IF(O$15="","",IF('01_Input'!$C$55="Non",0,MIN('01_Input'!$I$55,MAX('01_Input'!$H$55,IF('01_Input'!$G$55="Résiduel vs Gestion",0,IF('01_Input'!$G$55="Taux Classe sélectionnée",Distrib_Global_Classe_Selectionnee*O$15,IF('01_Input'!$G$55="Frais KYC (paliers de 100M€)",MAX(0,Nb_Investisseurs-Nb_KYC_Gratuites_Par_Tranche*(FLOOR(O$15/Taille_Tranche_KYC,1)+1))*Cout_Par_KYC_Supplementaire,(IF('01_Input'!$L$55="Forfait",IF(O$15&gt;='01_Input'!$J$55,'01_Input'!$M$55,0),IF('01_Input'!$L$55="Palier",IF(AND(O$15&gt;='01_Input'!$J$55,O$15&lt;'01_Input'!$K$55),'01_Input'!$M$55,0),MAX(MIN(O$15,'01_Input'!$K$55)-'01_Input'!$J$55,0)*'01_Input'!$M$55))+IF('01_Input'!$P$55="Forfait",IF(O$15&gt;='01_Input'!$N$55,'01_Input'!$Q$55,0),IF('01_Input'!$P$55="Palier",IF(AND(O$15&gt;='01_Input'!$N$55,O$15&lt;'01_Input'!$O$55),'01_Input'!$Q$55,0),MAX(MIN(O$15,'01_Input'!$O$55)-'01_Input'!$N$55,0)*'01_Input'!$Q$55))+IF('01_Input'!$T$55="Forfait",IF(O$15&gt;='01_Input'!$R$55,'01_Input'!$U$55,0),IF('01_Input'!$T$55="Palier",IF(AND(O$15&gt;='01_Input'!$R$55,O$15&lt;'01_Input'!$S$55),'01_Input'!$U$55,0),MAX(MIN(O$15,'01_Input'!$S$55)-'01_Input'!$R$55,0)*'01_Input'!$U$55))+IF('01_Input'!$X$55="Forfait",IF(O$15&gt;='01_Input'!$V$55,'01_Input'!$Y$55,0),IF('01_Input'!$X$55="Palier",IF(AND(O$15&gt;='01_Input'!$V$55,O$15&lt;'01_Input'!$W$55),'01_Input'!$Y$55,0),MAX(MIN(O$15,'01_Input'!$W$55)-'01_Input'!$V$55,0)*'01_Input'!$Y$55))+IF('01_Input'!$AB$55="Forfait",IF(O$15&gt;='01_Input'!$Z$55,'01_Input'!$AC$55,0),IF('01_Input'!$AB$55="Palier",IF(AND(O$15&gt;='01_Input'!$Z$55,O$15&lt;'01_Input'!$AA$55),'01_Input'!$AC$55,0),MAX(MIN(O$15,'01_Input'!$AA$55)-'01_Input'!$Z$55,0)*'01_Input'!$AC$55))))))))))</f>
        <v/>
      </c>
      <c r="P46" s="25" t="str">
        <f>IF(P$15="","",IF('01_Input'!$C$55="Non",0,MIN('01_Input'!$I$55,MAX('01_Input'!$H$55,IF('01_Input'!$G$55="Résiduel vs Gestion",0,IF('01_Input'!$G$55="Taux Classe sélectionnée",Distrib_Global_Classe_Selectionnee*P$15,IF('01_Input'!$G$55="Frais KYC (paliers de 100M€)",MAX(0,Nb_Investisseurs-Nb_KYC_Gratuites_Par_Tranche*(FLOOR(P$15/Taille_Tranche_KYC,1)+1))*Cout_Par_KYC_Supplementaire,(IF('01_Input'!$L$55="Forfait",IF(P$15&gt;='01_Input'!$J$55,'01_Input'!$M$55,0),IF('01_Input'!$L$55="Palier",IF(AND(P$15&gt;='01_Input'!$J$55,P$15&lt;'01_Input'!$K$55),'01_Input'!$M$55,0),MAX(MIN(P$15,'01_Input'!$K$55)-'01_Input'!$J$55,0)*'01_Input'!$M$55))+IF('01_Input'!$P$55="Forfait",IF(P$15&gt;='01_Input'!$N$55,'01_Input'!$Q$55,0),IF('01_Input'!$P$55="Palier",IF(AND(P$15&gt;='01_Input'!$N$55,P$15&lt;'01_Input'!$O$55),'01_Input'!$Q$55,0),MAX(MIN(P$15,'01_Input'!$O$55)-'01_Input'!$N$55,0)*'01_Input'!$Q$55))+IF('01_Input'!$T$55="Forfait",IF(P$15&gt;='01_Input'!$R$55,'01_Input'!$U$55,0),IF('01_Input'!$T$55="Palier",IF(AND(P$15&gt;='01_Input'!$R$55,P$15&lt;'01_Input'!$S$55),'01_Input'!$U$55,0),MAX(MIN(P$15,'01_Input'!$S$55)-'01_Input'!$R$55,0)*'01_Input'!$U$55))+IF('01_Input'!$X$55="Forfait",IF(P$15&gt;='01_Input'!$V$55,'01_Input'!$Y$55,0),IF('01_Input'!$X$55="Palier",IF(AND(P$15&gt;='01_Input'!$V$55,P$15&lt;'01_Input'!$W$55),'01_Input'!$Y$55,0),MAX(MIN(P$15,'01_Input'!$W$55)-'01_Input'!$V$55,0)*'01_Input'!$Y$55))+IF('01_Input'!$AB$55="Forfait",IF(P$15&gt;='01_Input'!$Z$55,'01_Input'!$AC$55,0),IF('01_Input'!$AB$55="Palier",IF(AND(P$15&gt;='01_Input'!$Z$55,P$15&lt;'01_Input'!$AA$55),'01_Input'!$AC$55,0),MAX(MIN(P$15,'01_Input'!$AA$55)-'01_Input'!$Z$55,0)*'01_Input'!$AC$55))))))))))</f>
        <v/>
      </c>
      <c r="Q46" s="25" t="str">
        <f>IF(Q$15="","",IF('01_Input'!$C$55="Non",0,MIN('01_Input'!$I$55,MAX('01_Input'!$H$55,IF('01_Input'!$G$55="Résiduel vs Gestion",0,IF('01_Input'!$G$55="Taux Classe sélectionnée",Distrib_Global_Classe_Selectionnee*Q$15,IF('01_Input'!$G$55="Frais KYC (paliers de 100M€)",MAX(0,Nb_Investisseurs-Nb_KYC_Gratuites_Par_Tranche*(FLOOR(Q$15/Taille_Tranche_KYC,1)+1))*Cout_Par_KYC_Supplementaire,(IF('01_Input'!$L$55="Forfait",IF(Q$15&gt;='01_Input'!$J$55,'01_Input'!$M$55,0),IF('01_Input'!$L$55="Palier",IF(AND(Q$15&gt;='01_Input'!$J$55,Q$15&lt;'01_Input'!$K$55),'01_Input'!$M$55,0),MAX(MIN(Q$15,'01_Input'!$K$55)-'01_Input'!$J$55,0)*'01_Input'!$M$55))+IF('01_Input'!$P$55="Forfait",IF(Q$15&gt;='01_Input'!$N$55,'01_Input'!$Q$55,0),IF('01_Input'!$P$55="Palier",IF(AND(Q$15&gt;='01_Input'!$N$55,Q$15&lt;'01_Input'!$O$55),'01_Input'!$Q$55,0),MAX(MIN(Q$15,'01_Input'!$O$55)-'01_Input'!$N$55,0)*'01_Input'!$Q$55))+IF('01_Input'!$T$55="Forfait",IF(Q$15&gt;='01_Input'!$R$55,'01_Input'!$U$55,0),IF('01_Input'!$T$55="Palier",IF(AND(Q$15&gt;='01_Input'!$R$55,Q$15&lt;'01_Input'!$S$55),'01_Input'!$U$55,0),MAX(MIN(Q$15,'01_Input'!$S$55)-'01_Input'!$R$55,0)*'01_Input'!$U$55))+IF('01_Input'!$X$55="Forfait",IF(Q$15&gt;='01_Input'!$V$55,'01_Input'!$Y$55,0),IF('01_Input'!$X$55="Palier",IF(AND(Q$15&gt;='01_Input'!$V$55,Q$15&lt;'01_Input'!$W$55),'01_Input'!$Y$55,0),MAX(MIN(Q$15,'01_Input'!$W$55)-'01_Input'!$V$55,0)*'01_Input'!$Y$55))+IF('01_Input'!$AB$55="Forfait",IF(Q$15&gt;='01_Input'!$Z$55,'01_Input'!$AC$55,0),IF('01_Input'!$AB$55="Palier",IF(AND(Q$15&gt;='01_Input'!$Z$55,Q$15&lt;'01_Input'!$AA$55),'01_Input'!$AC$55,0),MAX(MIN(Q$15,'01_Input'!$AA$55)-'01_Input'!$Z$55,0)*'01_Input'!$AC$55))))))))))</f>
        <v/>
      </c>
      <c r="R46" s="25" t="str">
        <f>IF(R$15="","",IF('01_Input'!$C$55="Non",0,MIN('01_Input'!$I$55,MAX('01_Input'!$H$55,IF('01_Input'!$G$55="Résiduel vs Gestion",0,IF('01_Input'!$G$55="Taux Classe sélectionnée",Distrib_Global_Classe_Selectionnee*R$15,IF('01_Input'!$G$55="Frais KYC (paliers de 100M€)",MAX(0,Nb_Investisseurs-Nb_KYC_Gratuites_Par_Tranche*(FLOOR(R$15/Taille_Tranche_KYC,1)+1))*Cout_Par_KYC_Supplementaire,(IF('01_Input'!$L$55="Forfait",IF(R$15&gt;='01_Input'!$J$55,'01_Input'!$M$55,0),IF('01_Input'!$L$55="Palier",IF(AND(R$15&gt;='01_Input'!$J$55,R$15&lt;'01_Input'!$K$55),'01_Input'!$M$55,0),MAX(MIN(R$15,'01_Input'!$K$55)-'01_Input'!$J$55,0)*'01_Input'!$M$55))+IF('01_Input'!$P$55="Forfait",IF(R$15&gt;='01_Input'!$N$55,'01_Input'!$Q$55,0),IF('01_Input'!$P$55="Palier",IF(AND(R$15&gt;='01_Input'!$N$55,R$15&lt;'01_Input'!$O$55),'01_Input'!$Q$55,0),MAX(MIN(R$15,'01_Input'!$O$55)-'01_Input'!$N$55,0)*'01_Input'!$Q$55))+IF('01_Input'!$T$55="Forfait",IF(R$15&gt;='01_Input'!$R$55,'01_Input'!$U$55,0),IF('01_Input'!$T$55="Palier",IF(AND(R$15&gt;='01_Input'!$R$55,R$15&lt;'01_Input'!$S$55),'01_Input'!$U$55,0),MAX(MIN(R$15,'01_Input'!$S$55)-'01_Input'!$R$55,0)*'01_Input'!$U$55))+IF('01_Input'!$X$55="Forfait",IF(R$15&gt;='01_Input'!$V$55,'01_Input'!$Y$55,0),IF('01_Input'!$X$55="Palier",IF(AND(R$15&gt;='01_Input'!$V$55,R$15&lt;'01_Input'!$W$55),'01_Input'!$Y$55,0),MAX(MIN(R$15,'01_Input'!$W$55)-'01_Input'!$V$55,0)*'01_Input'!$Y$55))+IF('01_Input'!$AB$55="Forfait",IF(R$15&gt;='01_Input'!$Z$55,'01_Input'!$AC$55,0),IF('01_Input'!$AB$55="Palier",IF(AND(R$15&gt;='01_Input'!$Z$55,R$15&lt;'01_Input'!$AA$55),'01_Input'!$AC$55,0),MAX(MIN(R$15,'01_Input'!$AA$55)-'01_Input'!$Z$55,0)*'01_Input'!$AC$55))))))))))</f>
        <v/>
      </c>
      <c r="S46" s="25" t="str">
        <f>IF(S$15="","",IF('01_Input'!$C$55="Non",0,MIN('01_Input'!$I$55,MAX('01_Input'!$H$55,IF('01_Input'!$G$55="Résiduel vs Gestion",0,IF('01_Input'!$G$55="Taux Classe sélectionnée",Distrib_Global_Classe_Selectionnee*S$15,IF('01_Input'!$G$55="Frais KYC (paliers de 100M€)",MAX(0,Nb_Investisseurs-Nb_KYC_Gratuites_Par_Tranche*(FLOOR(S$15/Taille_Tranche_KYC,1)+1))*Cout_Par_KYC_Supplementaire,(IF('01_Input'!$L$55="Forfait",IF(S$15&gt;='01_Input'!$J$55,'01_Input'!$M$55,0),IF('01_Input'!$L$55="Palier",IF(AND(S$15&gt;='01_Input'!$J$55,S$15&lt;'01_Input'!$K$55),'01_Input'!$M$55,0),MAX(MIN(S$15,'01_Input'!$K$55)-'01_Input'!$J$55,0)*'01_Input'!$M$55))+IF('01_Input'!$P$55="Forfait",IF(S$15&gt;='01_Input'!$N$55,'01_Input'!$Q$55,0),IF('01_Input'!$P$55="Palier",IF(AND(S$15&gt;='01_Input'!$N$55,S$15&lt;'01_Input'!$O$55),'01_Input'!$Q$55,0),MAX(MIN(S$15,'01_Input'!$O$55)-'01_Input'!$N$55,0)*'01_Input'!$Q$55))+IF('01_Input'!$T$55="Forfait",IF(S$15&gt;='01_Input'!$R$55,'01_Input'!$U$55,0),IF('01_Input'!$T$55="Palier",IF(AND(S$15&gt;='01_Input'!$R$55,S$15&lt;'01_Input'!$S$55),'01_Input'!$U$55,0),MAX(MIN(S$15,'01_Input'!$S$55)-'01_Input'!$R$55,0)*'01_Input'!$U$55))+IF('01_Input'!$X$55="Forfait",IF(S$15&gt;='01_Input'!$V$55,'01_Input'!$Y$55,0),IF('01_Input'!$X$55="Palier",IF(AND(S$15&gt;='01_Input'!$V$55,S$15&lt;'01_Input'!$W$55),'01_Input'!$Y$55,0),MAX(MIN(S$15,'01_Input'!$W$55)-'01_Input'!$V$55,0)*'01_Input'!$Y$55))+IF('01_Input'!$AB$55="Forfait",IF(S$15&gt;='01_Input'!$Z$55,'01_Input'!$AC$55,0),IF('01_Input'!$AB$55="Palier",IF(AND(S$15&gt;='01_Input'!$Z$55,S$15&lt;'01_Input'!$AA$55),'01_Input'!$AC$55,0),MAX(MIN(S$15,'01_Input'!$AA$55)-'01_Input'!$Z$55,0)*'01_Input'!$AC$55))))))))))</f>
        <v/>
      </c>
      <c r="T46" s="25" t="str">
        <f>IF(T$15="","",IF('01_Input'!$C$55="Non",0,MIN('01_Input'!$I$55,MAX('01_Input'!$H$55,IF('01_Input'!$G$55="Résiduel vs Gestion",0,IF('01_Input'!$G$55="Taux Classe sélectionnée",Distrib_Global_Classe_Selectionnee*T$15,IF('01_Input'!$G$55="Frais KYC (paliers de 100M€)",MAX(0,Nb_Investisseurs-Nb_KYC_Gratuites_Par_Tranche*(FLOOR(T$15/Taille_Tranche_KYC,1)+1))*Cout_Par_KYC_Supplementaire,(IF('01_Input'!$L$55="Forfait",IF(T$15&gt;='01_Input'!$J$55,'01_Input'!$M$55,0),IF('01_Input'!$L$55="Palier",IF(AND(T$15&gt;='01_Input'!$J$55,T$15&lt;'01_Input'!$K$55),'01_Input'!$M$55,0),MAX(MIN(T$15,'01_Input'!$K$55)-'01_Input'!$J$55,0)*'01_Input'!$M$55))+IF('01_Input'!$P$55="Forfait",IF(T$15&gt;='01_Input'!$N$55,'01_Input'!$Q$55,0),IF('01_Input'!$P$55="Palier",IF(AND(T$15&gt;='01_Input'!$N$55,T$15&lt;'01_Input'!$O$55),'01_Input'!$Q$55,0),MAX(MIN(T$15,'01_Input'!$O$55)-'01_Input'!$N$55,0)*'01_Input'!$Q$55))+IF('01_Input'!$T$55="Forfait",IF(T$15&gt;='01_Input'!$R$55,'01_Input'!$U$55,0),IF('01_Input'!$T$55="Palier",IF(AND(T$15&gt;='01_Input'!$R$55,T$15&lt;'01_Input'!$S$55),'01_Input'!$U$55,0),MAX(MIN(T$15,'01_Input'!$S$55)-'01_Input'!$R$55,0)*'01_Input'!$U$55))+IF('01_Input'!$X$55="Forfait",IF(T$15&gt;='01_Input'!$V$55,'01_Input'!$Y$55,0),IF('01_Input'!$X$55="Palier",IF(AND(T$15&gt;='01_Input'!$V$55,T$15&lt;'01_Input'!$W$55),'01_Input'!$Y$55,0),MAX(MIN(T$15,'01_Input'!$W$55)-'01_Input'!$V$55,0)*'01_Input'!$Y$55))+IF('01_Input'!$AB$55="Forfait",IF(T$15&gt;='01_Input'!$Z$55,'01_Input'!$AC$55,0),IF('01_Input'!$AB$55="Palier",IF(AND(T$15&gt;='01_Input'!$Z$55,T$15&lt;'01_Input'!$AA$55),'01_Input'!$AC$55,0),MAX(MIN(T$15,'01_Input'!$AA$55)-'01_Input'!$Z$55,0)*'01_Input'!$AC$55))))))))))</f>
        <v/>
      </c>
      <c r="U46" s="25" t="str">
        <f>IF(U$15="","",IF('01_Input'!$C$55="Non",0,MIN('01_Input'!$I$55,MAX('01_Input'!$H$55,IF('01_Input'!$G$55="Résiduel vs Gestion",0,IF('01_Input'!$G$55="Taux Classe sélectionnée",Distrib_Global_Classe_Selectionnee*U$15,IF('01_Input'!$G$55="Frais KYC (paliers de 100M€)",MAX(0,Nb_Investisseurs-Nb_KYC_Gratuites_Par_Tranche*(FLOOR(U$15/Taille_Tranche_KYC,1)+1))*Cout_Par_KYC_Supplementaire,(IF('01_Input'!$L$55="Forfait",IF(U$15&gt;='01_Input'!$J$55,'01_Input'!$M$55,0),IF('01_Input'!$L$55="Palier",IF(AND(U$15&gt;='01_Input'!$J$55,U$15&lt;'01_Input'!$K$55),'01_Input'!$M$55,0),MAX(MIN(U$15,'01_Input'!$K$55)-'01_Input'!$J$55,0)*'01_Input'!$M$55))+IF('01_Input'!$P$55="Forfait",IF(U$15&gt;='01_Input'!$N$55,'01_Input'!$Q$55,0),IF('01_Input'!$P$55="Palier",IF(AND(U$15&gt;='01_Input'!$N$55,U$15&lt;'01_Input'!$O$55),'01_Input'!$Q$55,0),MAX(MIN(U$15,'01_Input'!$O$55)-'01_Input'!$N$55,0)*'01_Input'!$Q$55))+IF('01_Input'!$T$55="Forfait",IF(U$15&gt;='01_Input'!$R$55,'01_Input'!$U$55,0),IF('01_Input'!$T$55="Palier",IF(AND(U$15&gt;='01_Input'!$R$55,U$15&lt;'01_Input'!$S$55),'01_Input'!$U$55,0),MAX(MIN(U$15,'01_Input'!$S$55)-'01_Input'!$R$55,0)*'01_Input'!$U$55))+IF('01_Input'!$X$55="Forfait",IF(U$15&gt;='01_Input'!$V$55,'01_Input'!$Y$55,0),IF('01_Input'!$X$55="Palier",IF(AND(U$15&gt;='01_Input'!$V$55,U$15&lt;'01_Input'!$W$55),'01_Input'!$Y$55,0),MAX(MIN(U$15,'01_Input'!$W$55)-'01_Input'!$V$55,0)*'01_Input'!$Y$55))+IF('01_Input'!$AB$55="Forfait",IF(U$15&gt;='01_Input'!$Z$55,'01_Input'!$AC$55,0),IF('01_Input'!$AB$55="Palier",IF(AND(U$15&gt;='01_Input'!$Z$55,U$15&lt;'01_Input'!$AA$55),'01_Input'!$AC$55,0),MAX(MIN(U$15,'01_Input'!$AA$55)-'01_Input'!$Z$55,0)*'01_Input'!$AC$55))))))))))</f>
        <v/>
      </c>
      <c r="V46" s="25" t="str">
        <f>IF(V$15="","",IF('01_Input'!$C$55="Non",0,MIN('01_Input'!$I$55,MAX('01_Input'!$H$55,IF('01_Input'!$G$55="Résiduel vs Gestion",0,IF('01_Input'!$G$55="Taux Classe sélectionnée",Distrib_Global_Classe_Selectionnee*V$15,IF('01_Input'!$G$55="Frais KYC (paliers de 100M€)",MAX(0,Nb_Investisseurs-Nb_KYC_Gratuites_Par_Tranche*(FLOOR(V$15/Taille_Tranche_KYC,1)+1))*Cout_Par_KYC_Supplementaire,(IF('01_Input'!$L$55="Forfait",IF(V$15&gt;='01_Input'!$J$55,'01_Input'!$M$55,0),IF('01_Input'!$L$55="Palier",IF(AND(V$15&gt;='01_Input'!$J$55,V$15&lt;'01_Input'!$K$55),'01_Input'!$M$55,0),MAX(MIN(V$15,'01_Input'!$K$55)-'01_Input'!$J$55,0)*'01_Input'!$M$55))+IF('01_Input'!$P$55="Forfait",IF(V$15&gt;='01_Input'!$N$55,'01_Input'!$Q$55,0),IF('01_Input'!$P$55="Palier",IF(AND(V$15&gt;='01_Input'!$N$55,V$15&lt;'01_Input'!$O$55),'01_Input'!$Q$55,0),MAX(MIN(V$15,'01_Input'!$O$55)-'01_Input'!$N$55,0)*'01_Input'!$Q$55))+IF('01_Input'!$T$55="Forfait",IF(V$15&gt;='01_Input'!$R$55,'01_Input'!$U$55,0),IF('01_Input'!$T$55="Palier",IF(AND(V$15&gt;='01_Input'!$R$55,V$15&lt;'01_Input'!$S$55),'01_Input'!$U$55,0),MAX(MIN(V$15,'01_Input'!$S$55)-'01_Input'!$R$55,0)*'01_Input'!$U$55))+IF('01_Input'!$X$55="Forfait",IF(V$15&gt;='01_Input'!$V$55,'01_Input'!$Y$55,0),IF('01_Input'!$X$55="Palier",IF(AND(V$15&gt;='01_Input'!$V$55,V$15&lt;'01_Input'!$W$55),'01_Input'!$Y$55,0),MAX(MIN(V$15,'01_Input'!$W$55)-'01_Input'!$V$55,0)*'01_Input'!$Y$55))+IF('01_Input'!$AB$55="Forfait",IF(V$15&gt;='01_Input'!$Z$55,'01_Input'!$AC$55,0),IF('01_Input'!$AB$55="Palier",IF(AND(V$15&gt;='01_Input'!$Z$55,V$15&lt;'01_Input'!$AA$55),'01_Input'!$AC$55,0),MAX(MIN(V$15,'01_Input'!$AA$55)-'01_Input'!$Z$55,0)*'01_Input'!$AC$55))))))))))</f>
        <v/>
      </c>
      <c r="W46" s="25" t="str">
        <f>IF(W$15="","",IF('01_Input'!$C$55="Non",0,MIN('01_Input'!$I$55,MAX('01_Input'!$H$55,IF('01_Input'!$G$55="Résiduel vs Gestion",0,IF('01_Input'!$G$55="Taux Classe sélectionnée",Distrib_Global_Classe_Selectionnee*W$15,IF('01_Input'!$G$55="Frais KYC (paliers de 100M€)",MAX(0,Nb_Investisseurs-Nb_KYC_Gratuites_Par_Tranche*(FLOOR(W$15/Taille_Tranche_KYC,1)+1))*Cout_Par_KYC_Supplementaire,(IF('01_Input'!$L$55="Forfait",IF(W$15&gt;='01_Input'!$J$55,'01_Input'!$M$55,0),IF('01_Input'!$L$55="Palier",IF(AND(W$15&gt;='01_Input'!$J$55,W$15&lt;'01_Input'!$K$55),'01_Input'!$M$55,0),MAX(MIN(W$15,'01_Input'!$K$55)-'01_Input'!$J$55,0)*'01_Input'!$M$55))+IF('01_Input'!$P$55="Forfait",IF(W$15&gt;='01_Input'!$N$55,'01_Input'!$Q$55,0),IF('01_Input'!$P$55="Palier",IF(AND(W$15&gt;='01_Input'!$N$55,W$15&lt;'01_Input'!$O$55),'01_Input'!$Q$55,0),MAX(MIN(W$15,'01_Input'!$O$55)-'01_Input'!$N$55,0)*'01_Input'!$Q$55))+IF('01_Input'!$T$55="Forfait",IF(W$15&gt;='01_Input'!$R$55,'01_Input'!$U$55,0),IF('01_Input'!$T$55="Palier",IF(AND(W$15&gt;='01_Input'!$R$55,W$15&lt;'01_Input'!$S$55),'01_Input'!$U$55,0),MAX(MIN(W$15,'01_Input'!$S$55)-'01_Input'!$R$55,0)*'01_Input'!$U$55))+IF('01_Input'!$X$55="Forfait",IF(W$15&gt;='01_Input'!$V$55,'01_Input'!$Y$55,0),IF('01_Input'!$X$55="Palier",IF(AND(W$15&gt;='01_Input'!$V$55,W$15&lt;'01_Input'!$W$55),'01_Input'!$Y$55,0),MAX(MIN(W$15,'01_Input'!$W$55)-'01_Input'!$V$55,0)*'01_Input'!$Y$55))+IF('01_Input'!$AB$55="Forfait",IF(W$15&gt;='01_Input'!$Z$55,'01_Input'!$AC$55,0),IF('01_Input'!$AB$55="Palier",IF(AND(W$15&gt;='01_Input'!$Z$55,W$15&lt;'01_Input'!$AA$55),'01_Input'!$AC$55,0),MAX(MIN(W$15,'01_Input'!$AA$55)-'01_Input'!$Z$55,0)*'01_Input'!$AC$55))))))))))</f>
        <v/>
      </c>
      <c r="X46" s="25" t="str">
        <f>IF(X$15="","",IF('01_Input'!$C$55="Non",0,MIN('01_Input'!$I$55,MAX('01_Input'!$H$55,IF('01_Input'!$G$55="Résiduel vs Gestion",0,IF('01_Input'!$G$55="Taux Classe sélectionnée",Distrib_Global_Classe_Selectionnee*X$15,IF('01_Input'!$G$55="Frais KYC (paliers de 100M€)",MAX(0,Nb_Investisseurs-Nb_KYC_Gratuites_Par_Tranche*(FLOOR(X$15/Taille_Tranche_KYC,1)+1))*Cout_Par_KYC_Supplementaire,(IF('01_Input'!$L$55="Forfait",IF(X$15&gt;='01_Input'!$J$55,'01_Input'!$M$55,0),IF('01_Input'!$L$55="Palier",IF(AND(X$15&gt;='01_Input'!$J$55,X$15&lt;'01_Input'!$K$55),'01_Input'!$M$55,0),MAX(MIN(X$15,'01_Input'!$K$55)-'01_Input'!$J$55,0)*'01_Input'!$M$55))+IF('01_Input'!$P$55="Forfait",IF(X$15&gt;='01_Input'!$N$55,'01_Input'!$Q$55,0),IF('01_Input'!$P$55="Palier",IF(AND(X$15&gt;='01_Input'!$N$55,X$15&lt;'01_Input'!$O$55),'01_Input'!$Q$55,0),MAX(MIN(X$15,'01_Input'!$O$55)-'01_Input'!$N$55,0)*'01_Input'!$Q$55))+IF('01_Input'!$T$55="Forfait",IF(X$15&gt;='01_Input'!$R$55,'01_Input'!$U$55,0),IF('01_Input'!$T$55="Palier",IF(AND(X$15&gt;='01_Input'!$R$55,X$15&lt;'01_Input'!$S$55),'01_Input'!$U$55,0),MAX(MIN(X$15,'01_Input'!$S$55)-'01_Input'!$R$55,0)*'01_Input'!$U$55))+IF('01_Input'!$X$55="Forfait",IF(X$15&gt;='01_Input'!$V$55,'01_Input'!$Y$55,0),IF('01_Input'!$X$55="Palier",IF(AND(X$15&gt;='01_Input'!$V$55,X$15&lt;'01_Input'!$W$55),'01_Input'!$Y$55,0),MAX(MIN(X$15,'01_Input'!$W$55)-'01_Input'!$V$55,0)*'01_Input'!$Y$55))+IF('01_Input'!$AB$55="Forfait",IF(X$15&gt;='01_Input'!$Z$55,'01_Input'!$AC$55,0),IF('01_Input'!$AB$55="Palier",IF(AND(X$15&gt;='01_Input'!$Z$55,X$15&lt;'01_Input'!$AA$55),'01_Input'!$AC$55,0),MAX(MIN(X$15,'01_Input'!$AA$55)-'01_Input'!$Z$55,0)*'01_Input'!$AC$55))))))))))</f>
        <v/>
      </c>
      <c r="Y46" s="25" t="str">
        <f>IF(Y$15="","",IF('01_Input'!$C$55="Non",0,MIN('01_Input'!$I$55,MAX('01_Input'!$H$55,IF('01_Input'!$G$55="Résiduel vs Gestion",0,IF('01_Input'!$G$55="Taux Classe sélectionnée",Distrib_Global_Classe_Selectionnee*Y$15,IF('01_Input'!$G$55="Frais KYC (paliers de 100M€)",MAX(0,Nb_Investisseurs-Nb_KYC_Gratuites_Par_Tranche*(FLOOR(Y$15/Taille_Tranche_KYC,1)+1))*Cout_Par_KYC_Supplementaire,(IF('01_Input'!$L$55="Forfait",IF(Y$15&gt;='01_Input'!$J$55,'01_Input'!$M$55,0),IF('01_Input'!$L$55="Palier",IF(AND(Y$15&gt;='01_Input'!$J$55,Y$15&lt;'01_Input'!$K$55),'01_Input'!$M$55,0),MAX(MIN(Y$15,'01_Input'!$K$55)-'01_Input'!$J$55,0)*'01_Input'!$M$55))+IF('01_Input'!$P$55="Forfait",IF(Y$15&gt;='01_Input'!$N$55,'01_Input'!$Q$55,0),IF('01_Input'!$P$55="Palier",IF(AND(Y$15&gt;='01_Input'!$N$55,Y$15&lt;'01_Input'!$O$55),'01_Input'!$Q$55,0),MAX(MIN(Y$15,'01_Input'!$O$55)-'01_Input'!$N$55,0)*'01_Input'!$Q$55))+IF('01_Input'!$T$55="Forfait",IF(Y$15&gt;='01_Input'!$R$55,'01_Input'!$U$55,0),IF('01_Input'!$T$55="Palier",IF(AND(Y$15&gt;='01_Input'!$R$55,Y$15&lt;'01_Input'!$S$55),'01_Input'!$U$55,0),MAX(MIN(Y$15,'01_Input'!$S$55)-'01_Input'!$R$55,0)*'01_Input'!$U$55))+IF('01_Input'!$X$55="Forfait",IF(Y$15&gt;='01_Input'!$V$55,'01_Input'!$Y$55,0),IF('01_Input'!$X$55="Palier",IF(AND(Y$15&gt;='01_Input'!$V$55,Y$15&lt;'01_Input'!$W$55),'01_Input'!$Y$55,0),MAX(MIN(Y$15,'01_Input'!$W$55)-'01_Input'!$V$55,0)*'01_Input'!$Y$55))+IF('01_Input'!$AB$55="Forfait",IF(Y$15&gt;='01_Input'!$Z$55,'01_Input'!$AC$55,0),IF('01_Input'!$AB$55="Palier",IF(AND(Y$15&gt;='01_Input'!$Z$55,Y$15&lt;'01_Input'!$AA$55),'01_Input'!$AC$55,0),MAX(MIN(Y$15,'01_Input'!$AA$55)-'01_Input'!$Z$55,0)*'01_Input'!$AC$55))))))))))</f>
        <v/>
      </c>
      <c r="Z46" s="25" t="str">
        <f>IF(Z$15="","",IF('01_Input'!$C$55="Non",0,MIN('01_Input'!$I$55,MAX('01_Input'!$H$55,IF('01_Input'!$G$55="Résiduel vs Gestion",0,IF('01_Input'!$G$55="Taux Classe sélectionnée",Distrib_Global_Classe_Selectionnee*Z$15,IF('01_Input'!$G$55="Frais KYC (paliers de 100M€)",MAX(0,Nb_Investisseurs-Nb_KYC_Gratuites_Par_Tranche*(FLOOR(Z$15/Taille_Tranche_KYC,1)+1))*Cout_Par_KYC_Supplementaire,(IF('01_Input'!$L$55="Forfait",IF(Z$15&gt;='01_Input'!$J$55,'01_Input'!$M$55,0),IF('01_Input'!$L$55="Palier",IF(AND(Z$15&gt;='01_Input'!$J$55,Z$15&lt;'01_Input'!$K$55),'01_Input'!$M$55,0),MAX(MIN(Z$15,'01_Input'!$K$55)-'01_Input'!$J$55,0)*'01_Input'!$M$55))+IF('01_Input'!$P$55="Forfait",IF(Z$15&gt;='01_Input'!$N$55,'01_Input'!$Q$55,0),IF('01_Input'!$P$55="Palier",IF(AND(Z$15&gt;='01_Input'!$N$55,Z$15&lt;'01_Input'!$O$55),'01_Input'!$Q$55,0),MAX(MIN(Z$15,'01_Input'!$O$55)-'01_Input'!$N$55,0)*'01_Input'!$Q$55))+IF('01_Input'!$T$55="Forfait",IF(Z$15&gt;='01_Input'!$R$55,'01_Input'!$U$55,0),IF('01_Input'!$T$55="Palier",IF(AND(Z$15&gt;='01_Input'!$R$55,Z$15&lt;'01_Input'!$S$55),'01_Input'!$U$55,0),MAX(MIN(Z$15,'01_Input'!$S$55)-'01_Input'!$R$55,0)*'01_Input'!$U$55))+IF('01_Input'!$X$55="Forfait",IF(Z$15&gt;='01_Input'!$V$55,'01_Input'!$Y$55,0),IF('01_Input'!$X$55="Palier",IF(AND(Z$15&gt;='01_Input'!$V$55,Z$15&lt;'01_Input'!$W$55),'01_Input'!$Y$55,0),MAX(MIN(Z$15,'01_Input'!$W$55)-'01_Input'!$V$55,0)*'01_Input'!$Y$55))+IF('01_Input'!$AB$55="Forfait",IF(Z$15&gt;='01_Input'!$Z$55,'01_Input'!$AC$55,0),IF('01_Input'!$AB$55="Palier",IF(AND(Z$15&gt;='01_Input'!$Z$55,Z$15&lt;'01_Input'!$AA$55),'01_Input'!$AC$55,0),MAX(MIN(Z$15,'01_Input'!$AA$55)-'01_Input'!$Z$55,0)*'01_Input'!$AC$55))))))))))</f>
        <v/>
      </c>
      <c r="AA46" s="25" t="str">
        <f>IF(AA$15="","",IF('01_Input'!$C$55="Non",0,MIN('01_Input'!$I$55,MAX('01_Input'!$H$55,IF('01_Input'!$G$55="Résiduel vs Gestion",0,IF('01_Input'!$G$55="Taux Classe sélectionnée",Distrib_Global_Classe_Selectionnee*AA$15,IF('01_Input'!$G$55="Frais KYC (paliers de 100M€)",MAX(0,Nb_Investisseurs-Nb_KYC_Gratuites_Par_Tranche*(FLOOR(AA$15/Taille_Tranche_KYC,1)+1))*Cout_Par_KYC_Supplementaire,(IF('01_Input'!$L$55="Forfait",IF(AA$15&gt;='01_Input'!$J$55,'01_Input'!$M$55,0),IF('01_Input'!$L$55="Palier",IF(AND(AA$15&gt;='01_Input'!$J$55,AA$15&lt;'01_Input'!$K$55),'01_Input'!$M$55,0),MAX(MIN(AA$15,'01_Input'!$K$55)-'01_Input'!$J$55,0)*'01_Input'!$M$55))+IF('01_Input'!$P$55="Forfait",IF(AA$15&gt;='01_Input'!$N$55,'01_Input'!$Q$55,0),IF('01_Input'!$P$55="Palier",IF(AND(AA$15&gt;='01_Input'!$N$55,AA$15&lt;'01_Input'!$O$55),'01_Input'!$Q$55,0),MAX(MIN(AA$15,'01_Input'!$O$55)-'01_Input'!$N$55,0)*'01_Input'!$Q$55))+IF('01_Input'!$T$55="Forfait",IF(AA$15&gt;='01_Input'!$R$55,'01_Input'!$U$55,0),IF('01_Input'!$T$55="Palier",IF(AND(AA$15&gt;='01_Input'!$R$55,AA$15&lt;'01_Input'!$S$55),'01_Input'!$U$55,0),MAX(MIN(AA$15,'01_Input'!$S$55)-'01_Input'!$R$55,0)*'01_Input'!$U$55))+IF('01_Input'!$X$55="Forfait",IF(AA$15&gt;='01_Input'!$V$55,'01_Input'!$Y$55,0),IF('01_Input'!$X$55="Palier",IF(AND(AA$15&gt;='01_Input'!$V$55,AA$15&lt;'01_Input'!$W$55),'01_Input'!$Y$55,0),MAX(MIN(AA$15,'01_Input'!$W$55)-'01_Input'!$V$55,0)*'01_Input'!$Y$55))+IF('01_Input'!$AB$55="Forfait",IF(AA$15&gt;='01_Input'!$Z$55,'01_Input'!$AC$55,0),IF('01_Input'!$AB$55="Palier",IF(AND(AA$15&gt;='01_Input'!$Z$55,AA$15&lt;'01_Input'!$AA$55),'01_Input'!$AC$55,0),MAX(MIN(AA$15,'01_Input'!$AA$55)-'01_Input'!$Z$55,0)*'01_Input'!$AC$55))))))))))</f>
        <v/>
      </c>
      <c r="AB46" s="25" t="str">
        <f>IF(AB$15="","",IF('01_Input'!$C$55="Non",0,MIN('01_Input'!$I$55,MAX('01_Input'!$H$55,IF('01_Input'!$G$55="Résiduel vs Gestion",0,IF('01_Input'!$G$55="Taux Classe sélectionnée",Distrib_Global_Classe_Selectionnee*AB$15,IF('01_Input'!$G$55="Frais KYC (paliers de 100M€)",MAX(0,Nb_Investisseurs-Nb_KYC_Gratuites_Par_Tranche*(FLOOR(AB$15/Taille_Tranche_KYC,1)+1))*Cout_Par_KYC_Supplementaire,(IF('01_Input'!$L$55="Forfait",IF(AB$15&gt;='01_Input'!$J$55,'01_Input'!$M$55,0),IF('01_Input'!$L$55="Palier",IF(AND(AB$15&gt;='01_Input'!$J$55,AB$15&lt;'01_Input'!$K$55),'01_Input'!$M$55,0),MAX(MIN(AB$15,'01_Input'!$K$55)-'01_Input'!$J$55,0)*'01_Input'!$M$55))+IF('01_Input'!$P$55="Forfait",IF(AB$15&gt;='01_Input'!$N$55,'01_Input'!$Q$55,0),IF('01_Input'!$P$55="Palier",IF(AND(AB$15&gt;='01_Input'!$N$55,AB$15&lt;'01_Input'!$O$55),'01_Input'!$Q$55,0),MAX(MIN(AB$15,'01_Input'!$O$55)-'01_Input'!$N$55,0)*'01_Input'!$Q$55))+IF('01_Input'!$T$55="Forfait",IF(AB$15&gt;='01_Input'!$R$55,'01_Input'!$U$55,0),IF('01_Input'!$T$55="Palier",IF(AND(AB$15&gt;='01_Input'!$R$55,AB$15&lt;'01_Input'!$S$55),'01_Input'!$U$55,0),MAX(MIN(AB$15,'01_Input'!$S$55)-'01_Input'!$R$55,0)*'01_Input'!$U$55))+IF('01_Input'!$X$55="Forfait",IF(AB$15&gt;='01_Input'!$V$55,'01_Input'!$Y$55,0),IF('01_Input'!$X$55="Palier",IF(AND(AB$15&gt;='01_Input'!$V$55,AB$15&lt;'01_Input'!$W$55),'01_Input'!$Y$55,0),MAX(MIN(AB$15,'01_Input'!$W$55)-'01_Input'!$V$55,0)*'01_Input'!$Y$55))+IF('01_Input'!$AB$55="Forfait",IF(AB$15&gt;='01_Input'!$Z$55,'01_Input'!$AC$55,0),IF('01_Input'!$AB$55="Palier",IF(AND(AB$15&gt;='01_Input'!$Z$55,AB$15&lt;'01_Input'!$AA$55),'01_Input'!$AC$55,0),MAX(MIN(AB$15,'01_Input'!$AA$55)-'01_Input'!$Z$55,0)*'01_Input'!$AC$55))))))))))</f>
        <v/>
      </c>
      <c r="AC46" s="25" t="str">
        <f>IF(AC$15="","",IF('01_Input'!$C$55="Non",0,MIN('01_Input'!$I$55,MAX('01_Input'!$H$55,IF('01_Input'!$G$55="Résiduel vs Gestion",0,IF('01_Input'!$G$55="Taux Classe sélectionnée",Distrib_Global_Classe_Selectionnee*AC$15,IF('01_Input'!$G$55="Frais KYC (paliers de 100M€)",MAX(0,Nb_Investisseurs-Nb_KYC_Gratuites_Par_Tranche*(FLOOR(AC$15/Taille_Tranche_KYC,1)+1))*Cout_Par_KYC_Supplementaire,(IF('01_Input'!$L$55="Forfait",IF(AC$15&gt;='01_Input'!$J$55,'01_Input'!$M$55,0),IF('01_Input'!$L$55="Palier",IF(AND(AC$15&gt;='01_Input'!$J$55,AC$15&lt;'01_Input'!$K$55),'01_Input'!$M$55,0),MAX(MIN(AC$15,'01_Input'!$K$55)-'01_Input'!$J$55,0)*'01_Input'!$M$55))+IF('01_Input'!$P$55="Forfait",IF(AC$15&gt;='01_Input'!$N$55,'01_Input'!$Q$55,0),IF('01_Input'!$P$55="Palier",IF(AND(AC$15&gt;='01_Input'!$N$55,AC$15&lt;'01_Input'!$O$55),'01_Input'!$Q$55,0),MAX(MIN(AC$15,'01_Input'!$O$55)-'01_Input'!$N$55,0)*'01_Input'!$Q$55))+IF('01_Input'!$T$55="Forfait",IF(AC$15&gt;='01_Input'!$R$55,'01_Input'!$U$55,0),IF('01_Input'!$T$55="Palier",IF(AND(AC$15&gt;='01_Input'!$R$55,AC$15&lt;'01_Input'!$S$55),'01_Input'!$U$55,0),MAX(MIN(AC$15,'01_Input'!$S$55)-'01_Input'!$R$55,0)*'01_Input'!$U$55))+IF('01_Input'!$X$55="Forfait",IF(AC$15&gt;='01_Input'!$V$55,'01_Input'!$Y$55,0),IF('01_Input'!$X$55="Palier",IF(AND(AC$15&gt;='01_Input'!$V$55,AC$15&lt;'01_Input'!$W$55),'01_Input'!$Y$55,0),MAX(MIN(AC$15,'01_Input'!$W$55)-'01_Input'!$V$55,0)*'01_Input'!$Y$55))+IF('01_Input'!$AB$55="Forfait",IF(AC$15&gt;='01_Input'!$Z$55,'01_Input'!$AC$55,0),IF('01_Input'!$AB$55="Palier",IF(AND(AC$15&gt;='01_Input'!$Z$55,AC$15&lt;'01_Input'!$AA$55),'01_Input'!$AC$55,0),MAX(MIN(AC$15,'01_Input'!$AA$55)-'01_Input'!$Z$55,0)*'01_Input'!$AC$55))))))))))</f>
        <v/>
      </c>
      <c r="AD46" s="25" t="str">
        <f>IF(AD$15="","",IF('01_Input'!$C$55="Non",0,MIN('01_Input'!$I$55,MAX('01_Input'!$H$55,IF('01_Input'!$G$55="Résiduel vs Gestion",0,IF('01_Input'!$G$55="Taux Classe sélectionnée",Distrib_Global_Classe_Selectionnee*AD$15,IF('01_Input'!$G$55="Frais KYC (paliers de 100M€)",MAX(0,Nb_Investisseurs-Nb_KYC_Gratuites_Par_Tranche*(FLOOR(AD$15/Taille_Tranche_KYC,1)+1))*Cout_Par_KYC_Supplementaire,(IF('01_Input'!$L$55="Forfait",IF(AD$15&gt;='01_Input'!$J$55,'01_Input'!$M$55,0),IF('01_Input'!$L$55="Palier",IF(AND(AD$15&gt;='01_Input'!$J$55,AD$15&lt;'01_Input'!$K$55),'01_Input'!$M$55,0),MAX(MIN(AD$15,'01_Input'!$K$55)-'01_Input'!$J$55,0)*'01_Input'!$M$55))+IF('01_Input'!$P$55="Forfait",IF(AD$15&gt;='01_Input'!$N$55,'01_Input'!$Q$55,0),IF('01_Input'!$P$55="Palier",IF(AND(AD$15&gt;='01_Input'!$N$55,AD$15&lt;'01_Input'!$O$55),'01_Input'!$Q$55,0),MAX(MIN(AD$15,'01_Input'!$O$55)-'01_Input'!$N$55,0)*'01_Input'!$Q$55))+IF('01_Input'!$T$55="Forfait",IF(AD$15&gt;='01_Input'!$R$55,'01_Input'!$U$55,0),IF('01_Input'!$T$55="Palier",IF(AND(AD$15&gt;='01_Input'!$R$55,AD$15&lt;'01_Input'!$S$55),'01_Input'!$U$55,0),MAX(MIN(AD$15,'01_Input'!$S$55)-'01_Input'!$R$55,0)*'01_Input'!$U$55))+IF('01_Input'!$X$55="Forfait",IF(AD$15&gt;='01_Input'!$V$55,'01_Input'!$Y$55,0),IF('01_Input'!$X$55="Palier",IF(AND(AD$15&gt;='01_Input'!$V$55,AD$15&lt;'01_Input'!$W$55),'01_Input'!$Y$55,0),MAX(MIN(AD$15,'01_Input'!$W$55)-'01_Input'!$V$55,0)*'01_Input'!$Y$55))+IF('01_Input'!$AB$55="Forfait",IF(AD$15&gt;='01_Input'!$Z$55,'01_Input'!$AC$55,0),IF('01_Input'!$AB$55="Palier",IF(AND(AD$15&gt;='01_Input'!$Z$55,AD$15&lt;'01_Input'!$AA$55),'01_Input'!$AC$55,0),MAX(MIN(AD$15,'01_Input'!$AA$55)-'01_Input'!$Z$55,0)*'01_Input'!$AC$55))))))))))</f>
        <v/>
      </c>
      <c r="AE46" s="25" t="str">
        <f>IF(AE$15="","",IF('01_Input'!$C$55="Non",0,MIN('01_Input'!$I$55,MAX('01_Input'!$H$55,IF('01_Input'!$G$55="Résiduel vs Gestion",0,IF('01_Input'!$G$55="Taux Classe sélectionnée",Distrib_Global_Classe_Selectionnee*AE$15,IF('01_Input'!$G$55="Frais KYC (paliers de 100M€)",MAX(0,Nb_Investisseurs-Nb_KYC_Gratuites_Par_Tranche*(FLOOR(AE$15/Taille_Tranche_KYC,1)+1))*Cout_Par_KYC_Supplementaire,(IF('01_Input'!$L$55="Forfait",IF(AE$15&gt;='01_Input'!$J$55,'01_Input'!$M$55,0),IF('01_Input'!$L$55="Palier",IF(AND(AE$15&gt;='01_Input'!$J$55,AE$15&lt;'01_Input'!$K$55),'01_Input'!$M$55,0),MAX(MIN(AE$15,'01_Input'!$K$55)-'01_Input'!$J$55,0)*'01_Input'!$M$55))+IF('01_Input'!$P$55="Forfait",IF(AE$15&gt;='01_Input'!$N$55,'01_Input'!$Q$55,0),IF('01_Input'!$P$55="Palier",IF(AND(AE$15&gt;='01_Input'!$N$55,AE$15&lt;'01_Input'!$O$55),'01_Input'!$Q$55,0),MAX(MIN(AE$15,'01_Input'!$O$55)-'01_Input'!$N$55,0)*'01_Input'!$Q$55))+IF('01_Input'!$T$55="Forfait",IF(AE$15&gt;='01_Input'!$R$55,'01_Input'!$U$55,0),IF('01_Input'!$T$55="Palier",IF(AND(AE$15&gt;='01_Input'!$R$55,AE$15&lt;'01_Input'!$S$55),'01_Input'!$U$55,0),MAX(MIN(AE$15,'01_Input'!$S$55)-'01_Input'!$R$55,0)*'01_Input'!$U$55))+IF('01_Input'!$X$55="Forfait",IF(AE$15&gt;='01_Input'!$V$55,'01_Input'!$Y$55,0),IF('01_Input'!$X$55="Palier",IF(AND(AE$15&gt;='01_Input'!$V$55,AE$15&lt;'01_Input'!$W$55),'01_Input'!$Y$55,0),MAX(MIN(AE$15,'01_Input'!$W$55)-'01_Input'!$V$55,0)*'01_Input'!$Y$55))+IF('01_Input'!$AB$55="Forfait",IF(AE$15&gt;='01_Input'!$Z$55,'01_Input'!$AC$55,0),IF('01_Input'!$AB$55="Palier",IF(AND(AE$15&gt;='01_Input'!$Z$55,AE$15&lt;'01_Input'!$AA$55),'01_Input'!$AC$55,0),MAX(MIN(AE$15,'01_Input'!$AA$55)-'01_Input'!$Z$55,0)*'01_Input'!$AC$55))))))))))</f>
        <v/>
      </c>
      <c r="AF46" s="25" t="str">
        <f>IF(AF$15="","",IF('01_Input'!$C$55="Non",0,MIN('01_Input'!$I$55,MAX('01_Input'!$H$55,IF('01_Input'!$G$55="Résiduel vs Gestion",0,IF('01_Input'!$G$55="Taux Classe sélectionnée",Distrib_Global_Classe_Selectionnee*AF$15,IF('01_Input'!$G$55="Frais KYC (paliers de 100M€)",MAX(0,Nb_Investisseurs-Nb_KYC_Gratuites_Par_Tranche*(FLOOR(AF$15/Taille_Tranche_KYC,1)+1))*Cout_Par_KYC_Supplementaire,(IF('01_Input'!$L$55="Forfait",IF(AF$15&gt;='01_Input'!$J$55,'01_Input'!$M$55,0),IF('01_Input'!$L$55="Palier",IF(AND(AF$15&gt;='01_Input'!$J$55,AF$15&lt;'01_Input'!$K$55),'01_Input'!$M$55,0),MAX(MIN(AF$15,'01_Input'!$K$55)-'01_Input'!$J$55,0)*'01_Input'!$M$55))+IF('01_Input'!$P$55="Forfait",IF(AF$15&gt;='01_Input'!$N$55,'01_Input'!$Q$55,0),IF('01_Input'!$P$55="Palier",IF(AND(AF$15&gt;='01_Input'!$N$55,AF$15&lt;'01_Input'!$O$55),'01_Input'!$Q$55,0),MAX(MIN(AF$15,'01_Input'!$O$55)-'01_Input'!$N$55,0)*'01_Input'!$Q$55))+IF('01_Input'!$T$55="Forfait",IF(AF$15&gt;='01_Input'!$R$55,'01_Input'!$U$55,0),IF('01_Input'!$T$55="Palier",IF(AND(AF$15&gt;='01_Input'!$R$55,AF$15&lt;'01_Input'!$S$55),'01_Input'!$U$55,0),MAX(MIN(AF$15,'01_Input'!$S$55)-'01_Input'!$R$55,0)*'01_Input'!$U$55))+IF('01_Input'!$X$55="Forfait",IF(AF$15&gt;='01_Input'!$V$55,'01_Input'!$Y$55,0),IF('01_Input'!$X$55="Palier",IF(AND(AF$15&gt;='01_Input'!$V$55,AF$15&lt;'01_Input'!$W$55),'01_Input'!$Y$55,0),MAX(MIN(AF$15,'01_Input'!$W$55)-'01_Input'!$V$55,0)*'01_Input'!$Y$55))+IF('01_Input'!$AB$55="Forfait",IF(AF$15&gt;='01_Input'!$Z$55,'01_Input'!$AC$55,0),IF('01_Input'!$AB$55="Palier",IF(AND(AF$15&gt;='01_Input'!$Z$55,AF$15&lt;'01_Input'!$AA$55),'01_Input'!$AC$55,0),MAX(MIN(AF$15,'01_Input'!$AA$55)-'01_Input'!$Z$55,0)*'01_Input'!$AC$55))))))))))</f>
        <v/>
      </c>
      <c r="AG46" s="25" t="str">
        <f>IF(AG$15="","",IF('01_Input'!$C$55="Non",0,MIN('01_Input'!$I$55,MAX('01_Input'!$H$55,IF('01_Input'!$G$55="Résiduel vs Gestion",0,IF('01_Input'!$G$55="Taux Classe sélectionnée",Distrib_Global_Classe_Selectionnee*AG$15,IF('01_Input'!$G$55="Frais KYC (paliers de 100M€)",MAX(0,Nb_Investisseurs-Nb_KYC_Gratuites_Par_Tranche*(FLOOR(AG$15/Taille_Tranche_KYC,1)+1))*Cout_Par_KYC_Supplementaire,(IF('01_Input'!$L$55="Forfait",IF(AG$15&gt;='01_Input'!$J$55,'01_Input'!$M$55,0),IF('01_Input'!$L$55="Palier",IF(AND(AG$15&gt;='01_Input'!$J$55,AG$15&lt;'01_Input'!$K$55),'01_Input'!$M$55,0),MAX(MIN(AG$15,'01_Input'!$K$55)-'01_Input'!$J$55,0)*'01_Input'!$M$55))+IF('01_Input'!$P$55="Forfait",IF(AG$15&gt;='01_Input'!$N$55,'01_Input'!$Q$55,0),IF('01_Input'!$P$55="Palier",IF(AND(AG$15&gt;='01_Input'!$N$55,AG$15&lt;'01_Input'!$O$55),'01_Input'!$Q$55,0),MAX(MIN(AG$15,'01_Input'!$O$55)-'01_Input'!$N$55,0)*'01_Input'!$Q$55))+IF('01_Input'!$T$55="Forfait",IF(AG$15&gt;='01_Input'!$R$55,'01_Input'!$U$55,0),IF('01_Input'!$T$55="Palier",IF(AND(AG$15&gt;='01_Input'!$R$55,AG$15&lt;'01_Input'!$S$55),'01_Input'!$U$55,0),MAX(MIN(AG$15,'01_Input'!$S$55)-'01_Input'!$R$55,0)*'01_Input'!$U$55))+IF('01_Input'!$X$55="Forfait",IF(AG$15&gt;='01_Input'!$V$55,'01_Input'!$Y$55,0),IF('01_Input'!$X$55="Palier",IF(AND(AG$15&gt;='01_Input'!$V$55,AG$15&lt;'01_Input'!$W$55),'01_Input'!$Y$55,0),MAX(MIN(AG$15,'01_Input'!$W$55)-'01_Input'!$V$55,0)*'01_Input'!$Y$55))+IF('01_Input'!$AB$55="Forfait",IF(AG$15&gt;='01_Input'!$Z$55,'01_Input'!$AC$55,0),IF('01_Input'!$AB$55="Palier",IF(AND(AG$15&gt;='01_Input'!$Z$55,AG$15&lt;'01_Input'!$AA$55),'01_Input'!$AC$55,0),MAX(MIN(AG$15,'01_Input'!$AA$55)-'01_Input'!$Z$55,0)*'01_Input'!$AC$55))))))))))</f>
        <v/>
      </c>
      <c r="AH46" s="25" t="str">
        <f>IF(AH$15="","",IF('01_Input'!$C$55="Non",0,MIN('01_Input'!$I$55,MAX('01_Input'!$H$55,IF('01_Input'!$G$55="Résiduel vs Gestion",0,IF('01_Input'!$G$55="Taux Classe sélectionnée",Distrib_Global_Classe_Selectionnee*AH$15,IF('01_Input'!$G$55="Frais KYC (paliers de 100M€)",MAX(0,Nb_Investisseurs-Nb_KYC_Gratuites_Par_Tranche*(FLOOR(AH$15/Taille_Tranche_KYC,1)+1))*Cout_Par_KYC_Supplementaire,(IF('01_Input'!$L$55="Forfait",IF(AH$15&gt;='01_Input'!$J$55,'01_Input'!$M$55,0),IF('01_Input'!$L$55="Palier",IF(AND(AH$15&gt;='01_Input'!$J$55,AH$15&lt;'01_Input'!$K$55),'01_Input'!$M$55,0),MAX(MIN(AH$15,'01_Input'!$K$55)-'01_Input'!$J$55,0)*'01_Input'!$M$55))+IF('01_Input'!$P$55="Forfait",IF(AH$15&gt;='01_Input'!$N$55,'01_Input'!$Q$55,0),IF('01_Input'!$P$55="Palier",IF(AND(AH$15&gt;='01_Input'!$N$55,AH$15&lt;'01_Input'!$O$55),'01_Input'!$Q$55,0),MAX(MIN(AH$15,'01_Input'!$O$55)-'01_Input'!$N$55,0)*'01_Input'!$Q$55))+IF('01_Input'!$T$55="Forfait",IF(AH$15&gt;='01_Input'!$R$55,'01_Input'!$U$55,0),IF('01_Input'!$T$55="Palier",IF(AND(AH$15&gt;='01_Input'!$R$55,AH$15&lt;'01_Input'!$S$55),'01_Input'!$U$55,0),MAX(MIN(AH$15,'01_Input'!$S$55)-'01_Input'!$R$55,0)*'01_Input'!$U$55))+IF('01_Input'!$X$55="Forfait",IF(AH$15&gt;='01_Input'!$V$55,'01_Input'!$Y$55,0),IF('01_Input'!$X$55="Palier",IF(AND(AH$15&gt;='01_Input'!$V$55,AH$15&lt;'01_Input'!$W$55),'01_Input'!$Y$55,0),MAX(MIN(AH$15,'01_Input'!$W$55)-'01_Input'!$V$55,0)*'01_Input'!$Y$55))+IF('01_Input'!$AB$55="Forfait",IF(AH$15&gt;='01_Input'!$Z$55,'01_Input'!$AC$55,0),IF('01_Input'!$AB$55="Palier",IF(AND(AH$15&gt;='01_Input'!$Z$55,AH$15&lt;'01_Input'!$AA$55),'01_Input'!$AC$55,0),MAX(MIN(AH$15,'01_Input'!$AA$55)-'01_Input'!$Z$55,0)*'01_Input'!$AC$55))))))))))</f>
        <v/>
      </c>
      <c r="AI46" s="25" t="str">
        <f>IF(AI$15="","",IF('01_Input'!$C$55="Non",0,MIN('01_Input'!$I$55,MAX('01_Input'!$H$55,IF('01_Input'!$G$55="Résiduel vs Gestion",0,IF('01_Input'!$G$55="Taux Classe sélectionnée",Distrib_Global_Classe_Selectionnee*AI$15,IF('01_Input'!$G$55="Frais KYC (paliers de 100M€)",MAX(0,Nb_Investisseurs-Nb_KYC_Gratuites_Par_Tranche*(FLOOR(AI$15/Taille_Tranche_KYC,1)+1))*Cout_Par_KYC_Supplementaire,(IF('01_Input'!$L$55="Forfait",IF(AI$15&gt;='01_Input'!$J$55,'01_Input'!$M$55,0),IF('01_Input'!$L$55="Palier",IF(AND(AI$15&gt;='01_Input'!$J$55,AI$15&lt;'01_Input'!$K$55),'01_Input'!$M$55,0),MAX(MIN(AI$15,'01_Input'!$K$55)-'01_Input'!$J$55,0)*'01_Input'!$M$55))+IF('01_Input'!$P$55="Forfait",IF(AI$15&gt;='01_Input'!$N$55,'01_Input'!$Q$55,0),IF('01_Input'!$P$55="Palier",IF(AND(AI$15&gt;='01_Input'!$N$55,AI$15&lt;'01_Input'!$O$55),'01_Input'!$Q$55,0),MAX(MIN(AI$15,'01_Input'!$O$55)-'01_Input'!$N$55,0)*'01_Input'!$Q$55))+IF('01_Input'!$T$55="Forfait",IF(AI$15&gt;='01_Input'!$R$55,'01_Input'!$U$55,0),IF('01_Input'!$T$55="Palier",IF(AND(AI$15&gt;='01_Input'!$R$55,AI$15&lt;'01_Input'!$S$55),'01_Input'!$U$55,0),MAX(MIN(AI$15,'01_Input'!$S$55)-'01_Input'!$R$55,0)*'01_Input'!$U$55))+IF('01_Input'!$X$55="Forfait",IF(AI$15&gt;='01_Input'!$V$55,'01_Input'!$Y$55,0),IF('01_Input'!$X$55="Palier",IF(AND(AI$15&gt;='01_Input'!$V$55,AI$15&lt;'01_Input'!$W$55),'01_Input'!$Y$55,0),MAX(MIN(AI$15,'01_Input'!$W$55)-'01_Input'!$V$55,0)*'01_Input'!$Y$55))+IF('01_Input'!$AB$55="Forfait",IF(AI$15&gt;='01_Input'!$Z$55,'01_Input'!$AC$55,0),IF('01_Input'!$AB$55="Palier",IF(AND(AI$15&gt;='01_Input'!$Z$55,AI$15&lt;'01_Input'!$AA$55),'01_Input'!$AC$55,0),MAX(MIN(AI$15,'01_Input'!$AA$55)-'01_Input'!$Z$55,0)*'01_Input'!$AC$55))))))))))</f>
        <v/>
      </c>
      <c r="AJ46" s="25" t="str">
        <f>IF(AJ$15="","",IF('01_Input'!$C$55="Non",0,MIN('01_Input'!$I$55,MAX('01_Input'!$H$55,IF('01_Input'!$G$55="Résiduel vs Gestion",0,IF('01_Input'!$G$55="Taux Classe sélectionnée",Distrib_Global_Classe_Selectionnee*AJ$15,IF('01_Input'!$G$55="Frais KYC (paliers de 100M€)",MAX(0,Nb_Investisseurs-Nb_KYC_Gratuites_Par_Tranche*(FLOOR(AJ$15/Taille_Tranche_KYC,1)+1))*Cout_Par_KYC_Supplementaire,(IF('01_Input'!$L$55="Forfait",IF(AJ$15&gt;='01_Input'!$J$55,'01_Input'!$M$55,0),IF('01_Input'!$L$55="Palier",IF(AND(AJ$15&gt;='01_Input'!$J$55,AJ$15&lt;'01_Input'!$K$55),'01_Input'!$M$55,0),MAX(MIN(AJ$15,'01_Input'!$K$55)-'01_Input'!$J$55,0)*'01_Input'!$M$55))+IF('01_Input'!$P$55="Forfait",IF(AJ$15&gt;='01_Input'!$N$55,'01_Input'!$Q$55,0),IF('01_Input'!$P$55="Palier",IF(AND(AJ$15&gt;='01_Input'!$N$55,AJ$15&lt;'01_Input'!$O$55),'01_Input'!$Q$55,0),MAX(MIN(AJ$15,'01_Input'!$O$55)-'01_Input'!$N$55,0)*'01_Input'!$Q$55))+IF('01_Input'!$T$55="Forfait",IF(AJ$15&gt;='01_Input'!$R$55,'01_Input'!$U$55,0),IF('01_Input'!$T$55="Palier",IF(AND(AJ$15&gt;='01_Input'!$R$55,AJ$15&lt;'01_Input'!$S$55),'01_Input'!$U$55,0),MAX(MIN(AJ$15,'01_Input'!$S$55)-'01_Input'!$R$55,0)*'01_Input'!$U$55))+IF('01_Input'!$X$55="Forfait",IF(AJ$15&gt;='01_Input'!$V$55,'01_Input'!$Y$55,0),IF('01_Input'!$X$55="Palier",IF(AND(AJ$15&gt;='01_Input'!$V$55,AJ$15&lt;'01_Input'!$W$55),'01_Input'!$Y$55,0),MAX(MIN(AJ$15,'01_Input'!$W$55)-'01_Input'!$V$55,0)*'01_Input'!$Y$55))+IF('01_Input'!$AB$55="Forfait",IF(AJ$15&gt;='01_Input'!$Z$55,'01_Input'!$AC$55,0),IF('01_Input'!$AB$55="Palier",IF(AND(AJ$15&gt;='01_Input'!$Z$55,AJ$15&lt;'01_Input'!$AA$55),'01_Input'!$AC$55,0),MAX(MIN(AJ$15,'01_Input'!$AA$55)-'01_Input'!$Z$55,0)*'01_Input'!$AC$55))))))))))</f>
        <v/>
      </c>
      <c r="AK46" s="25" t="str">
        <f>IF(AK$15="","",IF('01_Input'!$C$55="Non",0,MIN('01_Input'!$I$55,MAX('01_Input'!$H$55,IF('01_Input'!$G$55="Résiduel vs Gestion",0,IF('01_Input'!$G$55="Taux Classe sélectionnée",Distrib_Global_Classe_Selectionnee*AK$15,IF('01_Input'!$G$55="Frais KYC (paliers de 100M€)",MAX(0,Nb_Investisseurs-Nb_KYC_Gratuites_Par_Tranche*(FLOOR(AK$15/Taille_Tranche_KYC,1)+1))*Cout_Par_KYC_Supplementaire,(IF('01_Input'!$L$55="Forfait",IF(AK$15&gt;='01_Input'!$J$55,'01_Input'!$M$55,0),IF('01_Input'!$L$55="Palier",IF(AND(AK$15&gt;='01_Input'!$J$55,AK$15&lt;'01_Input'!$K$55),'01_Input'!$M$55,0),MAX(MIN(AK$15,'01_Input'!$K$55)-'01_Input'!$J$55,0)*'01_Input'!$M$55))+IF('01_Input'!$P$55="Forfait",IF(AK$15&gt;='01_Input'!$N$55,'01_Input'!$Q$55,0),IF('01_Input'!$P$55="Palier",IF(AND(AK$15&gt;='01_Input'!$N$55,AK$15&lt;'01_Input'!$O$55),'01_Input'!$Q$55,0),MAX(MIN(AK$15,'01_Input'!$O$55)-'01_Input'!$N$55,0)*'01_Input'!$Q$55))+IF('01_Input'!$T$55="Forfait",IF(AK$15&gt;='01_Input'!$R$55,'01_Input'!$U$55,0),IF('01_Input'!$T$55="Palier",IF(AND(AK$15&gt;='01_Input'!$R$55,AK$15&lt;'01_Input'!$S$55),'01_Input'!$U$55,0),MAX(MIN(AK$15,'01_Input'!$S$55)-'01_Input'!$R$55,0)*'01_Input'!$U$55))+IF('01_Input'!$X$55="Forfait",IF(AK$15&gt;='01_Input'!$V$55,'01_Input'!$Y$55,0),IF('01_Input'!$X$55="Palier",IF(AND(AK$15&gt;='01_Input'!$V$55,AK$15&lt;'01_Input'!$W$55),'01_Input'!$Y$55,0),MAX(MIN(AK$15,'01_Input'!$W$55)-'01_Input'!$V$55,0)*'01_Input'!$Y$55))+IF('01_Input'!$AB$55="Forfait",IF(AK$15&gt;='01_Input'!$Z$55,'01_Input'!$AC$55,0),IF('01_Input'!$AB$55="Palier",IF(AND(AK$15&gt;='01_Input'!$Z$55,AK$15&lt;'01_Input'!$AA$55),'01_Input'!$AC$55,0),MAX(MIN(AK$15,'01_Input'!$AA$55)-'01_Input'!$Z$55,0)*'01_Input'!$AC$55))))))))))</f>
        <v/>
      </c>
      <c r="AL46" s="25" t="str">
        <f>IF(AL$15="","",IF('01_Input'!$C$55="Non",0,MIN('01_Input'!$I$55,MAX('01_Input'!$H$55,IF('01_Input'!$G$55="Résiduel vs Gestion",0,IF('01_Input'!$G$55="Taux Classe sélectionnée",Distrib_Global_Classe_Selectionnee*AL$15,IF('01_Input'!$G$55="Frais KYC (paliers de 100M€)",MAX(0,Nb_Investisseurs-Nb_KYC_Gratuites_Par_Tranche*(FLOOR(AL$15/Taille_Tranche_KYC,1)+1))*Cout_Par_KYC_Supplementaire,(IF('01_Input'!$L$55="Forfait",IF(AL$15&gt;='01_Input'!$J$55,'01_Input'!$M$55,0),IF('01_Input'!$L$55="Palier",IF(AND(AL$15&gt;='01_Input'!$J$55,AL$15&lt;'01_Input'!$K$55),'01_Input'!$M$55,0),MAX(MIN(AL$15,'01_Input'!$K$55)-'01_Input'!$J$55,0)*'01_Input'!$M$55))+IF('01_Input'!$P$55="Forfait",IF(AL$15&gt;='01_Input'!$N$55,'01_Input'!$Q$55,0),IF('01_Input'!$P$55="Palier",IF(AND(AL$15&gt;='01_Input'!$N$55,AL$15&lt;'01_Input'!$O$55),'01_Input'!$Q$55,0),MAX(MIN(AL$15,'01_Input'!$O$55)-'01_Input'!$N$55,0)*'01_Input'!$Q$55))+IF('01_Input'!$T$55="Forfait",IF(AL$15&gt;='01_Input'!$R$55,'01_Input'!$U$55,0),IF('01_Input'!$T$55="Palier",IF(AND(AL$15&gt;='01_Input'!$R$55,AL$15&lt;'01_Input'!$S$55),'01_Input'!$U$55,0),MAX(MIN(AL$15,'01_Input'!$S$55)-'01_Input'!$R$55,0)*'01_Input'!$U$55))+IF('01_Input'!$X$55="Forfait",IF(AL$15&gt;='01_Input'!$V$55,'01_Input'!$Y$55,0),IF('01_Input'!$X$55="Palier",IF(AND(AL$15&gt;='01_Input'!$V$55,AL$15&lt;'01_Input'!$W$55),'01_Input'!$Y$55,0),MAX(MIN(AL$15,'01_Input'!$W$55)-'01_Input'!$V$55,0)*'01_Input'!$Y$55))+IF('01_Input'!$AB$55="Forfait",IF(AL$15&gt;='01_Input'!$Z$55,'01_Input'!$AC$55,0),IF('01_Input'!$AB$55="Palier",IF(AND(AL$15&gt;='01_Input'!$Z$55,AL$15&lt;'01_Input'!$AA$55),'01_Input'!$AC$55,0),MAX(MIN(AL$15,'01_Input'!$AA$55)-'01_Input'!$Z$55,0)*'01_Input'!$AC$55))))))))))</f>
        <v/>
      </c>
      <c r="AM46" s="25" t="str">
        <f>IF(AM$15="","",IF('01_Input'!$C$55="Non",0,MIN('01_Input'!$I$55,MAX('01_Input'!$H$55,IF('01_Input'!$G$55="Résiduel vs Gestion",0,IF('01_Input'!$G$55="Taux Classe sélectionnée",Distrib_Global_Classe_Selectionnee*AM$15,IF('01_Input'!$G$55="Frais KYC (paliers de 100M€)",MAX(0,Nb_Investisseurs-Nb_KYC_Gratuites_Par_Tranche*(FLOOR(AM$15/Taille_Tranche_KYC,1)+1))*Cout_Par_KYC_Supplementaire,(IF('01_Input'!$L$55="Forfait",IF(AM$15&gt;='01_Input'!$J$55,'01_Input'!$M$55,0),IF('01_Input'!$L$55="Palier",IF(AND(AM$15&gt;='01_Input'!$J$55,AM$15&lt;'01_Input'!$K$55),'01_Input'!$M$55,0),MAX(MIN(AM$15,'01_Input'!$K$55)-'01_Input'!$J$55,0)*'01_Input'!$M$55))+IF('01_Input'!$P$55="Forfait",IF(AM$15&gt;='01_Input'!$N$55,'01_Input'!$Q$55,0),IF('01_Input'!$P$55="Palier",IF(AND(AM$15&gt;='01_Input'!$N$55,AM$15&lt;'01_Input'!$O$55),'01_Input'!$Q$55,0),MAX(MIN(AM$15,'01_Input'!$O$55)-'01_Input'!$N$55,0)*'01_Input'!$Q$55))+IF('01_Input'!$T$55="Forfait",IF(AM$15&gt;='01_Input'!$R$55,'01_Input'!$U$55,0),IF('01_Input'!$T$55="Palier",IF(AND(AM$15&gt;='01_Input'!$R$55,AM$15&lt;'01_Input'!$S$55),'01_Input'!$U$55,0),MAX(MIN(AM$15,'01_Input'!$S$55)-'01_Input'!$R$55,0)*'01_Input'!$U$55))+IF('01_Input'!$X$55="Forfait",IF(AM$15&gt;='01_Input'!$V$55,'01_Input'!$Y$55,0),IF('01_Input'!$X$55="Palier",IF(AND(AM$15&gt;='01_Input'!$V$55,AM$15&lt;'01_Input'!$W$55),'01_Input'!$Y$55,0),MAX(MIN(AM$15,'01_Input'!$W$55)-'01_Input'!$V$55,0)*'01_Input'!$Y$55))+IF('01_Input'!$AB$55="Forfait",IF(AM$15&gt;='01_Input'!$Z$55,'01_Input'!$AC$55,0),IF('01_Input'!$AB$55="Palier",IF(AND(AM$15&gt;='01_Input'!$Z$55,AM$15&lt;'01_Input'!$AA$55),'01_Input'!$AC$55,0),MAX(MIN(AM$15,'01_Input'!$AA$55)-'01_Input'!$Z$55,0)*'01_Input'!$AC$55))))))))))</f>
        <v/>
      </c>
    </row>
    <row r="47" ht="15.75" customHeight="1">
      <c r="B47" s="68" t="str">
        <f t="shared" si="1"/>
        <v>Distribution — Sous-distributeurs</v>
      </c>
      <c r="D47" s="83">
        <f>IF(D$15="","",IF('01_Input'!$C$56="Non",0,MIN('01_Input'!$I$56,MAX('01_Input'!$H$56,IF('01_Input'!$G$56="Résiduel vs Gestion",0,IF('01_Input'!$G$56="Taux Classe sélectionnée",Distrib_SousDistrib_Classe_Selectionnee*D$15,IF('01_Input'!$G$56="Frais KYC (paliers de 100M€)",MAX(0,Nb_Investisseurs-Nb_KYC_Gratuites_Par_Tranche*(FLOOR(D$15/Taille_Tranche_KYC,1)+1))*Cout_Par_KYC_Supplementaire,(IF('01_Input'!$L$56="Forfait",IF(D$15&gt;='01_Input'!$J$56,'01_Input'!$M$56,0),IF('01_Input'!$L$56="Palier",IF(AND(D$15&gt;='01_Input'!$J$56,D$15&lt;'01_Input'!$K$56),'01_Input'!$M$56,0),MAX(MIN(D$15,'01_Input'!$K$56)-'01_Input'!$J$56,0)*'01_Input'!$M$56))+IF('01_Input'!$P$56="Forfait",IF(D$15&gt;='01_Input'!$N$56,'01_Input'!$Q$56,0),IF('01_Input'!$P$56="Palier",IF(AND(D$15&gt;='01_Input'!$N$56,D$15&lt;'01_Input'!$O$56),'01_Input'!$Q$56,0),MAX(MIN(D$15,'01_Input'!$O$56)-'01_Input'!$N$56,0)*'01_Input'!$Q$56))+IF('01_Input'!$T$56="Forfait",IF(D$15&gt;='01_Input'!$R$56,'01_Input'!$U$56,0),IF('01_Input'!$T$56="Palier",IF(AND(D$15&gt;='01_Input'!$R$56,D$15&lt;'01_Input'!$S$56),'01_Input'!$U$56,0),MAX(MIN(D$15,'01_Input'!$S$56)-'01_Input'!$R$56,0)*'01_Input'!$U$56))+IF('01_Input'!$X$56="Forfait",IF(D$15&gt;='01_Input'!$V$56,'01_Input'!$Y$56,0),IF('01_Input'!$X$56="Palier",IF(AND(D$15&gt;='01_Input'!$V$56,D$15&lt;'01_Input'!$W$56),'01_Input'!$Y$56,0),MAX(MIN(D$15,'01_Input'!$W$56)-'01_Input'!$V$56,0)*'01_Input'!$Y$56))+IF('01_Input'!$AB$56="Forfait",IF(D$15&gt;='01_Input'!$Z$56,'01_Input'!$AC$56,0),IF('01_Input'!$AB$56="Palier",IF(AND(D$15&gt;='01_Input'!$Z$56,D$15&lt;'01_Input'!$AA$56),'01_Input'!$AC$56,0),MAX(MIN(D$15,'01_Input'!$AA$56)-'01_Input'!$Z$56,0)*'01_Input'!$AC$56))))))))))</f>
        <v>55080</v>
      </c>
      <c r="E47" s="83">
        <f>IF(E$15="","",IF('01_Input'!$C$56="Non",0,MIN('01_Input'!$I$56,MAX('01_Input'!$H$56,IF('01_Input'!$G$56="Résiduel vs Gestion",0,IF('01_Input'!$G$56="Taux Classe sélectionnée",Distrib_SousDistrib_Classe_Selectionnee*E$15,IF('01_Input'!$G$56="Frais KYC (paliers de 100M€)",MAX(0,Nb_Investisseurs-Nb_KYC_Gratuites_Par_Tranche*(FLOOR(E$15/Taille_Tranche_KYC,1)+1))*Cout_Par_KYC_Supplementaire,(IF('01_Input'!$L$56="Forfait",IF(E$15&gt;='01_Input'!$J$56,'01_Input'!$M$56,0),IF('01_Input'!$L$56="Palier",IF(AND(E$15&gt;='01_Input'!$J$56,E$15&lt;'01_Input'!$K$56),'01_Input'!$M$56,0),MAX(MIN(E$15,'01_Input'!$K$56)-'01_Input'!$J$56,0)*'01_Input'!$M$56))+IF('01_Input'!$P$56="Forfait",IF(E$15&gt;='01_Input'!$N$56,'01_Input'!$Q$56,0),IF('01_Input'!$P$56="Palier",IF(AND(E$15&gt;='01_Input'!$N$56,E$15&lt;'01_Input'!$O$56),'01_Input'!$Q$56,0),MAX(MIN(E$15,'01_Input'!$O$56)-'01_Input'!$N$56,0)*'01_Input'!$Q$56))+IF('01_Input'!$T$56="Forfait",IF(E$15&gt;='01_Input'!$R$56,'01_Input'!$U$56,0),IF('01_Input'!$T$56="Palier",IF(AND(E$15&gt;='01_Input'!$R$56,E$15&lt;'01_Input'!$S$56),'01_Input'!$U$56,0),MAX(MIN(E$15,'01_Input'!$S$56)-'01_Input'!$R$56,0)*'01_Input'!$U$56))+IF('01_Input'!$X$56="Forfait",IF(E$15&gt;='01_Input'!$V$56,'01_Input'!$Y$56,0),IF('01_Input'!$X$56="Palier",IF(AND(E$15&gt;='01_Input'!$V$56,E$15&lt;'01_Input'!$W$56),'01_Input'!$Y$56,0),MAX(MIN(E$15,'01_Input'!$W$56)-'01_Input'!$V$56,0)*'01_Input'!$Y$56))+IF('01_Input'!$AB$56="Forfait",IF(E$15&gt;='01_Input'!$Z$56,'01_Input'!$AC$56,0),IF('01_Input'!$AB$56="Palier",IF(AND(E$15&gt;='01_Input'!$Z$56,E$15&lt;'01_Input'!$AA$56),'01_Input'!$AC$56,0),MAX(MIN(E$15,'01_Input'!$AA$56)-'01_Input'!$Z$56,0)*'01_Input'!$AC$56))))))))))</f>
        <v>93150</v>
      </c>
      <c r="F47" s="83" t="str">
        <f>IF(F$15="","",IF('01_Input'!$C$56="Non",0,MIN('01_Input'!$I$56,MAX('01_Input'!$H$56,IF('01_Input'!$G$56="Résiduel vs Gestion",0,IF('01_Input'!$G$56="Taux Classe sélectionnée",Distrib_SousDistrib_Classe_Selectionnee*F$15,IF('01_Input'!$G$56="Frais KYC (paliers de 100M€)",MAX(0,Nb_Investisseurs-Nb_KYC_Gratuites_Par_Tranche*(FLOOR(F$15/Taille_Tranche_KYC,1)+1))*Cout_Par_KYC_Supplementaire,(IF('01_Input'!$L$56="Forfait",IF(F$15&gt;='01_Input'!$J$56,'01_Input'!$M$56,0),IF('01_Input'!$L$56="Palier",IF(AND(F$15&gt;='01_Input'!$J$56,F$15&lt;'01_Input'!$K$56),'01_Input'!$M$56,0),MAX(MIN(F$15,'01_Input'!$K$56)-'01_Input'!$J$56,0)*'01_Input'!$M$56))+IF('01_Input'!$P$56="Forfait",IF(F$15&gt;='01_Input'!$N$56,'01_Input'!$Q$56,0),IF('01_Input'!$P$56="Palier",IF(AND(F$15&gt;='01_Input'!$N$56,F$15&lt;'01_Input'!$O$56),'01_Input'!$Q$56,0),MAX(MIN(F$15,'01_Input'!$O$56)-'01_Input'!$N$56,0)*'01_Input'!$Q$56))+IF('01_Input'!$T$56="Forfait",IF(F$15&gt;='01_Input'!$R$56,'01_Input'!$U$56,0),IF('01_Input'!$T$56="Palier",IF(AND(F$15&gt;='01_Input'!$R$56,F$15&lt;'01_Input'!$S$56),'01_Input'!$U$56,0),MAX(MIN(F$15,'01_Input'!$S$56)-'01_Input'!$R$56,0)*'01_Input'!$U$56))+IF('01_Input'!$X$56="Forfait",IF(F$15&gt;='01_Input'!$V$56,'01_Input'!$Y$56,0),IF('01_Input'!$X$56="Palier",IF(AND(F$15&gt;='01_Input'!$V$56,F$15&lt;'01_Input'!$W$56),'01_Input'!$Y$56,0),MAX(MIN(F$15,'01_Input'!$W$56)-'01_Input'!$V$56,0)*'01_Input'!$Y$56))+IF('01_Input'!$AB$56="Forfait",IF(F$15&gt;='01_Input'!$Z$56,'01_Input'!$AC$56,0),IF('01_Input'!$AB$56="Palier",IF(AND(F$15&gt;='01_Input'!$Z$56,F$15&lt;'01_Input'!$AA$56),'01_Input'!$AC$56,0),MAX(MIN(F$15,'01_Input'!$AA$56)-'01_Input'!$Z$56,0)*'01_Input'!$AC$56))))))))))</f>
        <v/>
      </c>
      <c r="G47" s="83" t="str">
        <f>IF(G$15="","",IF('01_Input'!$C$56="Non",0,MIN('01_Input'!$I$56,MAX('01_Input'!$H$56,IF('01_Input'!$G$56="Résiduel vs Gestion",0,IF('01_Input'!$G$56="Taux Classe sélectionnée",Distrib_SousDistrib_Classe_Selectionnee*G$15,IF('01_Input'!$G$56="Frais KYC (paliers de 100M€)",MAX(0,Nb_Investisseurs-Nb_KYC_Gratuites_Par_Tranche*(FLOOR(G$15/Taille_Tranche_KYC,1)+1))*Cout_Par_KYC_Supplementaire,(IF('01_Input'!$L$56="Forfait",IF(G$15&gt;='01_Input'!$J$56,'01_Input'!$M$56,0),IF('01_Input'!$L$56="Palier",IF(AND(G$15&gt;='01_Input'!$J$56,G$15&lt;'01_Input'!$K$56),'01_Input'!$M$56,0),MAX(MIN(G$15,'01_Input'!$K$56)-'01_Input'!$J$56,0)*'01_Input'!$M$56))+IF('01_Input'!$P$56="Forfait",IF(G$15&gt;='01_Input'!$N$56,'01_Input'!$Q$56,0),IF('01_Input'!$P$56="Palier",IF(AND(G$15&gt;='01_Input'!$N$56,G$15&lt;'01_Input'!$O$56),'01_Input'!$Q$56,0),MAX(MIN(G$15,'01_Input'!$O$56)-'01_Input'!$N$56,0)*'01_Input'!$Q$56))+IF('01_Input'!$T$56="Forfait",IF(G$15&gt;='01_Input'!$R$56,'01_Input'!$U$56,0),IF('01_Input'!$T$56="Palier",IF(AND(G$15&gt;='01_Input'!$R$56,G$15&lt;'01_Input'!$S$56),'01_Input'!$U$56,0),MAX(MIN(G$15,'01_Input'!$S$56)-'01_Input'!$R$56,0)*'01_Input'!$U$56))+IF('01_Input'!$X$56="Forfait",IF(G$15&gt;='01_Input'!$V$56,'01_Input'!$Y$56,0),IF('01_Input'!$X$56="Palier",IF(AND(G$15&gt;='01_Input'!$V$56,G$15&lt;'01_Input'!$W$56),'01_Input'!$Y$56,0),MAX(MIN(G$15,'01_Input'!$W$56)-'01_Input'!$V$56,0)*'01_Input'!$Y$56))+IF('01_Input'!$AB$56="Forfait",IF(G$15&gt;='01_Input'!$Z$56,'01_Input'!$AC$56,0),IF('01_Input'!$AB$56="Palier",IF(AND(G$15&gt;='01_Input'!$Z$56,G$15&lt;'01_Input'!$AA$56),'01_Input'!$AC$56,0),MAX(MIN(G$15,'01_Input'!$AA$56)-'01_Input'!$Z$56,0)*'01_Input'!$AC$56))))))))))</f>
        <v/>
      </c>
      <c r="H47" s="83" t="str">
        <f>IF(H$15="","",IF('01_Input'!$C$56="Non",0,MIN('01_Input'!$I$56,MAX('01_Input'!$H$56,IF('01_Input'!$G$56="Résiduel vs Gestion",0,IF('01_Input'!$G$56="Taux Classe sélectionnée",Distrib_SousDistrib_Classe_Selectionnee*H$15,IF('01_Input'!$G$56="Frais KYC (paliers de 100M€)",MAX(0,Nb_Investisseurs-Nb_KYC_Gratuites_Par_Tranche*(FLOOR(H$15/Taille_Tranche_KYC,1)+1))*Cout_Par_KYC_Supplementaire,(IF('01_Input'!$L$56="Forfait",IF(H$15&gt;='01_Input'!$J$56,'01_Input'!$M$56,0),IF('01_Input'!$L$56="Palier",IF(AND(H$15&gt;='01_Input'!$J$56,H$15&lt;'01_Input'!$K$56),'01_Input'!$M$56,0),MAX(MIN(H$15,'01_Input'!$K$56)-'01_Input'!$J$56,0)*'01_Input'!$M$56))+IF('01_Input'!$P$56="Forfait",IF(H$15&gt;='01_Input'!$N$56,'01_Input'!$Q$56,0),IF('01_Input'!$P$56="Palier",IF(AND(H$15&gt;='01_Input'!$N$56,H$15&lt;'01_Input'!$O$56),'01_Input'!$Q$56,0),MAX(MIN(H$15,'01_Input'!$O$56)-'01_Input'!$N$56,0)*'01_Input'!$Q$56))+IF('01_Input'!$T$56="Forfait",IF(H$15&gt;='01_Input'!$R$56,'01_Input'!$U$56,0),IF('01_Input'!$T$56="Palier",IF(AND(H$15&gt;='01_Input'!$R$56,H$15&lt;'01_Input'!$S$56),'01_Input'!$U$56,0),MAX(MIN(H$15,'01_Input'!$S$56)-'01_Input'!$R$56,0)*'01_Input'!$U$56))+IF('01_Input'!$X$56="Forfait",IF(H$15&gt;='01_Input'!$V$56,'01_Input'!$Y$56,0),IF('01_Input'!$X$56="Palier",IF(AND(H$15&gt;='01_Input'!$V$56,H$15&lt;'01_Input'!$W$56),'01_Input'!$Y$56,0),MAX(MIN(H$15,'01_Input'!$W$56)-'01_Input'!$V$56,0)*'01_Input'!$Y$56))+IF('01_Input'!$AB$56="Forfait",IF(H$15&gt;='01_Input'!$Z$56,'01_Input'!$AC$56,0),IF('01_Input'!$AB$56="Palier",IF(AND(H$15&gt;='01_Input'!$Z$56,H$15&lt;'01_Input'!$AA$56),'01_Input'!$AC$56,0),MAX(MIN(H$15,'01_Input'!$AA$56)-'01_Input'!$Z$56,0)*'01_Input'!$AC$56))))))))))</f>
        <v/>
      </c>
      <c r="I47" s="83" t="str">
        <f>IF(I$15="","",IF('01_Input'!$C$56="Non",0,MIN('01_Input'!$I$56,MAX('01_Input'!$H$56,IF('01_Input'!$G$56="Résiduel vs Gestion",0,IF('01_Input'!$G$56="Taux Classe sélectionnée",Distrib_SousDistrib_Classe_Selectionnee*I$15,IF('01_Input'!$G$56="Frais KYC (paliers de 100M€)",MAX(0,Nb_Investisseurs-Nb_KYC_Gratuites_Par_Tranche*(FLOOR(I$15/Taille_Tranche_KYC,1)+1))*Cout_Par_KYC_Supplementaire,(IF('01_Input'!$L$56="Forfait",IF(I$15&gt;='01_Input'!$J$56,'01_Input'!$M$56,0),IF('01_Input'!$L$56="Palier",IF(AND(I$15&gt;='01_Input'!$J$56,I$15&lt;'01_Input'!$K$56),'01_Input'!$M$56,0),MAX(MIN(I$15,'01_Input'!$K$56)-'01_Input'!$J$56,0)*'01_Input'!$M$56))+IF('01_Input'!$P$56="Forfait",IF(I$15&gt;='01_Input'!$N$56,'01_Input'!$Q$56,0),IF('01_Input'!$P$56="Palier",IF(AND(I$15&gt;='01_Input'!$N$56,I$15&lt;'01_Input'!$O$56),'01_Input'!$Q$56,0),MAX(MIN(I$15,'01_Input'!$O$56)-'01_Input'!$N$56,0)*'01_Input'!$Q$56))+IF('01_Input'!$T$56="Forfait",IF(I$15&gt;='01_Input'!$R$56,'01_Input'!$U$56,0),IF('01_Input'!$T$56="Palier",IF(AND(I$15&gt;='01_Input'!$R$56,I$15&lt;'01_Input'!$S$56),'01_Input'!$U$56,0),MAX(MIN(I$15,'01_Input'!$S$56)-'01_Input'!$R$56,0)*'01_Input'!$U$56))+IF('01_Input'!$X$56="Forfait",IF(I$15&gt;='01_Input'!$V$56,'01_Input'!$Y$56,0),IF('01_Input'!$X$56="Palier",IF(AND(I$15&gt;='01_Input'!$V$56,I$15&lt;'01_Input'!$W$56),'01_Input'!$Y$56,0),MAX(MIN(I$15,'01_Input'!$W$56)-'01_Input'!$V$56,0)*'01_Input'!$Y$56))+IF('01_Input'!$AB$56="Forfait",IF(I$15&gt;='01_Input'!$Z$56,'01_Input'!$AC$56,0),IF('01_Input'!$AB$56="Palier",IF(AND(I$15&gt;='01_Input'!$Z$56,I$15&lt;'01_Input'!$AA$56),'01_Input'!$AC$56,0),MAX(MIN(I$15,'01_Input'!$AA$56)-'01_Input'!$Z$56,0)*'01_Input'!$AC$56))))))))))</f>
        <v/>
      </c>
      <c r="J47" s="83" t="str">
        <f>IF(J$15="","",IF('01_Input'!$C$56="Non",0,MIN('01_Input'!$I$56,MAX('01_Input'!$H$56,IF('01_Input'!$G$56="Résiduel vs Gestion",0,IF('01_Input'!$G$56="Taux Classe sélectionnée",Distrib_SousDistrib_Classe_Selectionnee*J$15,IF('01_Input'!$G$56="Frais KYC (paliers de 100M€)",MAX(0,Nb_Investisseurs-Nb_KYC_Gratuites_Par_Tranche*(FLOOR(J$15/Taille_Tranche_KYC,1)+1))*Cout_Par_KYC_Supplementaire,(IF('01_Input'!$L$56="Forfait",IF(J$15&gt;='01_Input'!$J$56,'01_Input'!$M$56,0),IF('01_Input'!$L$56="Palier",IF(AND(J$15&gt;='01_Input'!$J$56,J$15&lt;'01_Input'!$K$56),'01_Input'!$M$56,0),MAX(MIN(J$15,'01_Input'!$K$56)-'01_Input'!$J$56,0)*'01_Input'!$M$56))+IF('01_Input'!$P$56="Forfait",IF(J$15&gt;='01_Input'!$N$56,'01_Input'!$Q$56,0),IF('01_Input'!$P$56="Palier",IF(AND(J$15&gt;='01_Input'!$N$56,J$15&lt;'01_Input'!$O$56),'01_Input'!$Q$56,0),MAX(MIN(J$15,'01_Input'!$O$56)-'01_Input'!$N$56,0)*'01_Input'!$Q$56))+IF('01_Input'!$T$56="Forfait",IF(J$15&gt;='01_Input'!$R$56,'01_Input'!$U$56,0),IF('01_Input'!$T$56="Palier",IF(AND(J$15&gt;='01_Input'!$R$56,J$15&lt;'01_Input'!$S$56),'01_Input'!$U$56,0),MAX(MIN(J$15,'01_Input'!$S$56)-'01_Input'!$R$56,0)*'01_Input'!$U$56))+IF('01_Input'!$X$56="Forfait",IF(J$15&gt;='01_Input'!$V$56,'01_Input'!$Y$56,0),IF('01_Input'!$X$56="Palier",IF(AND(J$15&gt;='01_Input'!$V$56,J$15&lt;'01_Input'!$W$56),'01_Input'!$Y$56,0),MAX(MIN(J$15,'01_Input'!$W$56)-'01_Input'!$V$56,0)*'01_Input'!$Y$56))+IF('01_Input'!$AB$56="Forfait",IF(J$15&gt;='01_Input'!$Z$56,'01_Input'!$AC$56,0),IF('01_Input'!$AB$56="Palier",IF(AND(J$15&gt;='01_Input'!$Z$56,J$15&lt;'01_Input'!$AA$56),'01_Input'!$AC$56,0),MAX(MIN(J$15,'01_Input'!$AA$56)-'01_Input'!$Z$56,0)*'01_Input'!$AC$56))))))))))</f>
        <v/>
      </c>
      <c r="K47" s="83" t="str">
        <f>IF(K$15="","",IF('01_Input'!$C$56="Non",0,MIN('01_Input'!$I$56,MAX('01_Input'!$H$56,IF('01_Input'!$G$56="Résiduel vs Gestion",0,IF('01_Input'!$G$56="Taux Classe sélectionnée",Distrib_SousDistrib_Classe_Selectionnee*K$15,IF('01_Input'!$G$56="Frais KYC (paliers de 100M€)",MAX(0,Nb_Investisseurs-Nb_KYC_Gratuites_Par_Tranche*(FLOOR(K$15/Taille_Tranche_KYC,1)+1))*Cout_Par_KYC_Supplementaire,(IF('01_Input'!$L$56="Forfait",IF(K$15&gt;='01_Input'!$J$56,'01_Input'!$M$56,0),IF('01_Input'!$L$56="Palier",IF(AND(K$15&gt;='01_Input'!$J$56,K$15&lt;'01_Input'!$K$56),'01_Input'!$M$56,0),MAX(MIN(K$15,'01_Input'!$K$56)-'01_Input'!$J$56,0)*'01_Input'!$M$56))+IF('01_Input'!$P$56="Forfait",IF(K$15&gt;='01_Input'!$N$56,'01_Input'!$Q$56,0),IF('01_Input'!$P$56="Palier",IF(AND(K$15&gt;='01_Input'!$N$56,K$15&lt;'01_Input'!$O$56),'01_Input'!$Q$56,0),MAX(MIN(K$15,'01_Input'!$O$56)-'01_Input'!$N$56,0)*'01_Input'!$Q$56))+IF('01_Input'!$T$56="Forfait",IF(K$15&gt;='01_Input'!$R$56,'01_Input'!$U$56,0),IF('01_Input'!$T$56="Palier",IF(AND(K$15&gt;='01_Input'!$R$56,K$15&lt;'01_Input'!$S$56),'01_Input'!$U$56,0),MAX(MIN(K$15,'01_Input'!$S$56)-'01_Input'!$R$56,0)*'01_Input'!$U$56))+IF('01_Input'!$X$56="Forfait",IF(K$15&gt;='01_Input'!$V$56,'01_Input'!$Y$56,0),IF('01_Input'!$X$56="Palier",IF(AND(K$15&gt;='01_Input'!$V$56,K$15&lt;'01_Input'!$W$56),'01_Input'!$Y$56,0),MAX(MIN(K$15,'01_Input'!$W$56)-'01_Input'!$V$56,0)*'01_Input'!$Y$56))+IF('01_Input'!$AB$56="Forfait",IF(K$15&gt;='01_Input'!$Z$56,'01_Input'!$AC$56,0),IF('01_Input'!$AB$56="Palier",IF(AND(K$15&gt;='01_Input'!$Z$56,K$15&lt;'01_Input'!$AA$56),'01_Input'!$AC$56,0),MAX(MIN(K$15,'01_Input'!$AA$56)-'01_Input'!$Z$56,0)*'01_Input'!$AC$56))))))))))</f>
        <v/>
      </c>
      <c r="L47" s="83" t="str">
        <f>IF(L$15="","",IF('01_Input'!$C$56="Non",0,MIN('01_Input'!$I$56,MAX('01_Input'!$H$56,IF('01_Input'!$G$56="Résiduel vs Gestion",0,IF('01_Input'!$G$56="Taux Classe sélectionnée",Distrib_SousDistrib_Classe_Selectionnee*L$15,IF('01_Input'!$G$56="Frais KYC (paliers de 100M€)",MAX(0,Nb_Investisseurs-Nb_KYC_Gratuites_Par_Tranche*(FLOOR(L$15/Taille_Tranche_KYC,1)+1))*Cout_Par_KYC_Supplementaire,(IF('01_Input'!$L$56="Forfait",IF(L$15&gt;='01_Input'!$J$56,'01_Input'!$M$56,0),IF('01_Input'!$L$56="Palier",IF(AND(L$15&gt;='01_Input'!$J$56,L$15&lt;'01_Input'!$K$56),'01_Input'!$M$56,0),MAX(MIN(L$15,'01_Input'!$K$56)-'01_Input'!$J$56,0)*'01_Input'!$M$56))+IF('01_Input'!$P$56="Forfait",IF(L$15&gt;='01_Input'!$N$56,'01_Input'!$Q$56,0),IF('01_Input'!$P$56="Palier",IF(AND(L$15&gt;='01_Input'!$N$56,L$15&lt;'01_Input'!$O$56),'01_Input'!$Q$56,0),MAX(MIN(L$15,'01_Input'!$O$56)-'01_Input'!$N$56,0)*'01_Input'!$Q$56))+IF('01_Input'!$T$56="Forfait",IF(L$15&gt;='01_Input'!$R$56,'01_Input'!$U$56,0),IF('01_Input'!$T$56="Palier",IF(AND(L$15&gt;='01_Input'!$R$56,L$15&lt;'01_Input'!$S$56),'01_Input'!$U$56,0),MAX(MIN(L$15,'01_Input'!$S$56)-'01_Input'!$R$56,0)*'01_Input'!$U$56))+IF('01_Input'!$X$56="Forfait",IF(L$15&gt;='01_Input'!$V$56,'01_Input'!$Y$56,0),IF('01_Input'!$X$56="Palier",IF(AND(L$15&gt;='01_Input'!$V$56,L$15&lt;'01_Input'!$W$56),'01_Input'!$Y$56,0),MAX(MIN(L$15,'01_Input'!$W$56)-'01_Input'!$V$56,0)*'01_Input'!$Y$56))+IF('01_Input'!$AB$56="Forfait",IF(L$15&gt;='01_Input'!$Z$56,'01_Input'!$AC$56,0),IF('01_Input'!$AB$56="Palier",IF(AND(L$15&gt;='01_Input'!$Z$56,L$15&lt;'01_Input'!$AA$56),'01_Input'!$AC$56,0),MAX(MIN(L$15,'01_Input'!$AA$56)-'01_Input'!$Z$56,0)*'01_Input'!$AC$56))))))))))</f>
        <v/>
      </c>
      <c r="M47" s="83" t="str">
        <f>IF(M$15="","",IF('01_Input'!$C$56="Non",0,MIN('01_Input'!$I$56,MAX('01_Input'!$H$56,IF('01_Input'!$G$56="Résiduel vs Gestion",0,IF('01_Input'!$G$56="Taux Classe sélectionnée",Distrib_SousDistrib_Classe_Selectionnee*M$15,IF('01_Input'!$G$56="Frais KYC (paliers de 100M€)",MAX(0,Nb_Investisseurs-Nb_KYC_Gratuites_Par_Tranche*(FLOOR(M$15/Taille_Tranche_KYC,1)+1))*Cout_Par_KYC_Supplementaire,(IF('01_Input'!$L$56="Forfait",IF(M$15&gt;='01_Input'!$J$56,'01_Input'!$M$56,0),IF('01_Input'!$L$56="Palier",IF(AND(M$15&gt;='01_Input'!$J$56,M$15&lt;'01_Input'!$K$56),'01_Input'!$M$56,0),MAX(MIN(M$15,'01_Input'!$K$56)-'01_Input'!$J$56,0)*'01_Input'!$M$56))+IF('01_Input'!$P$56="Forfait",IF(M$15&gt;='01_Input'!$N$56,'01_Input'!$Q$56,0),IF('01_Input'!$P$56="Palier",IF(AND(M$15&gt;='01_Input'!$N$56,M$15&lt;'01_Input'!$O$56),'01_Input'!$Q$56,0),MAX(MIN(M$15,'01_Input'!$O$56)-'01_Input'!$N$56,0)*'01_Input'!$Q$56))+IF('01_Input'!$T$56="Forfait",IF(M$15&gt;='01_Input'!$R$56,'01_Input'!$U$56,0),IF('01_Input'!$T$56="Palier",IF(AND(M$15&gt;='01_Input'!$R$56,M$15&lt;'01_Input'!$S$56),'01_Input'!$U$56,0),MAX(MIN(M$15,'01_Input'!$S$56)-'01_Input'!$R$56,0)*'01_Input'!$U$56))+IF('01_Input'!$X$56="Forfait",IF(M$15&gt;='01_Input'!$V$56,'01_Input'!$Y$56,0),IF('01_Input'!$X$56="Palier",IF(AND(M$15&gt;='01_Input'!$V$56,M$15&lt;'01_Input'!$W$56),'01_Input'!$Y$56,0),MAX(MIN(M$15,'01_Input'!$W$56)-'01_Input'!$V$56,0)*'01_Input'!$Y$56))+IF('01_Input'!$AB$56="Forfait",IF(M$15&gt;='01_Input'!$Z$56,'01_Input'!$AC$56,0),IF('01_Input'!$AB$56="Palier",IF(AND(M$15&gt;='01_Input'!$Z$56,M$15&lt;'01_Input'!$AA$56),'01_Input'!$AC$56,0),MAX(MIN(M$15,'01_Input'!$AA$56)-'01_Input'!$Z$56,0)*'01_Input'!$AC$56))))))))))</f>
        <v/>
      </c>
      <c r="N47" s="83" t="str">
        <f>IF(N$15="","",IF('01_Input'!$C$56="Non",0,MIN('01_Input'!$I$56,MAX('01_Input'!$H$56,IF('01_Input'!$G$56="Résiduel vs Gestion",0,IF('01_Input'!$G$56="Taux Classe sélectionnée",Distrib_SousDistrib_Classe_Selectionnee*N$15,IF('01_Input'!$G$56="Frais KYC (paliers de 100M€)",MAX(0,Nb_Investisseurs-Nb_KYC_Gratuites_Par_Tranche*(FLOOR(N$15/Taille_Tranche_KYC,1)+1))*Cout_Par_KYC_Supplementaire,(IF('01_Input'!$L$56="Forfait",IF(N$15&gt;='01_Input'!$J$56,'01_Input'!$M$56,0),IF('01_Input'!$L$56="Palier",IF(AND(N$15&gt;='01_Input'!$J$56,N$15&lt;'01_Input'!$K$56),'01_Input'!$M$56,0),MAX(MIN(N$15,'01_Input'!$K$56)-'01_Input'!$J$56,0)*'01_Input'!$M$56))+IF('01_Input'!$P$56="Forfait",IF(N$15&gt;='01_Input'!$N$56,'01_Input'!$Q$56,0),IF('01_Input'!$P$56="Palier",IF(AND(N$15&gt;='01_Input'!$N$56,N$15&lt;'01_Input'!$O$56),'01_Input'!$Q$56,0),MAX(MIN(N$15,'01_Input'!$O$56)-'01_Input'!$N$56,0)*'01_Input'!$Q$56))+IF('01_Input'!$T$56="Forfait",IF(N$15&gt;='01_Input'!$R$56,'01_Input'!$U$56,0),IF('01_Input'!$T$56="Palier",IF(AND(N$15&gt;='01_Input'!$R$56,N$15&lt;'01_Input'!$S$56),'01_Input'!$U$56,0),MAX(MIN(N$15,'01_Input'!$S$56)-'01_Input'!$R$56,0)*'01_Input'!$U$56))+IF('01_Input'!$X$56="Forfait",IF(N$15&gt;='01_Input'!$V$56,'01_Input'!$Y$56,0),IF('01_Input'!$X$56="Palier",IF(AND(N$15&gt;='01_Input'!$V$56,N$15&lt;'01_Input'!$W$56),'01_Input'!$Y$56,0),MAX(MIN(N$15,'01_Input'!$W$56)-'01_Input'!$V$56,0)*'01_Input'!$Y$56))+IF('01_Input'!$AB$56="Forfait",IF(N$15&gt;='01_Input'!$Z$56,'01_Input'!$AC$56,0),IF('01_Input'!$AB$56="Palier",IF(AND(N$15&gt;='01_Input'!$Z$56,N$15&lt;'01_Input'!$AA$56),'01_Input'!$AC$56,0),MAX(MIN(N$15,'01_Input'!$AA$56)-'01_Input'!$Z$56,0)*'01_Input'!$AC$56))))))))))</f>
        <v/>
      </c>
      <c r="O47" s="83" t="str">
        <f>IF(O$15="","",IF('01_Input'!$C$56="Non",0,MIN('01_Input'!$I$56,MAX('01_Input'!$H$56,IF('01_Input'!$G$56="Résiduel vs Gestion",0,IF('01_Input'!$G$56="Taux Classe sélectionnée",Distrib_SousDistrib_Classe_Selectionnee*O$15,IF('01_Input'!$G$56="Frais KYC (paliers de 100M€)",MAX(0,Nb_Investisseurs-Nb_KYC_Gratuites_Par_Tranche*(FLOOR(O$15/Taille_Tranche_KYC,1)+1))*Cout_Par_KYC_Supplementaire,(IF('01_Input'!$L$56="Forfait",IF(O$15&gt;='01_Input'!$J$56,'01_Input'!$M$56,0),IF('01_Input'!$L$56="Palier",IF(AND(O$15&gt;='01_Input'!$J$56,O$15&lt;'01_Input'!$K$56),'01_Input'!$M$56,0),MAX(MIN(O$15,'01_Input'!$K$56)-'01_Input'!$J$56,0)*'01_Input'!$M$56))+IF('01_Input'!$P$56="Forfait",IF(O$15&gt;='01_Input'!$N$56,'01_Input'!$Q$56,0),IF('01_Input'!$P$56="Palier",IF(AND(O$15&gt;='01_Input'!$N$56,O$15&lt;'01_Input'!$O$56),'01_Input'!$Q$56,0),MAX(MIN(O$15,'01_Input'!$O$56)-'01_Input'!$N$56,0)*'01_Input'!$Q$56))+IF('01_Input'!$T$56="Forfait",IF(O$15&gt;='01_Input'!$R$56,'01_Input'!$U$56,0),IF('01_Input'!$T$56="Palier",IF(AND(O$15&gt;='01_Input'!$R$56,O$15&lt;'01_Input'!$S$56),'01_Input'!$U$56,0),MAX(MIN(O$15,'01_Input'!$S$56)-'01_Input'!$R$56,0)*'01_Input'!$U$56))+IF('01_Input'!$X$56="Forfait",IF(O$15&gt;='01_Input'!$V$56,'01_Input'!$Y$56,0),IF('01_Input'!$X$56="Palier",IF(AND(O$15&gt;='01_Input'!$V$56,O$15&lt;'01_Input'!$W$56),'01_Input'!$Y$56,0),MAX(MIN(O$15,'01_Input'!$W$56)-'01_Input'!$V$56,0)*'01_Input'!$Y$56))+IF('01_Input'!$AB$56="Forfait",IF(O$15&gt;='01_Input'!$Z$56,'01_Input'!$AC$56,0),IF('01_Input'!$AB$56="Palier",IF(AND(O$15&gt;='01_Input'!$Z$56,O$15&lt;'01_Input'!$AA$56),'01_Input'!$AC$56,0),MAX(MIN(O$15,'01_Input'!$AA$56)-'01_Input'!$Z$56,0)*'01_Input'!$AC$56))))))))))</f>
        <v/>
      </c>
      <c r="P47" s="83" t="str">
        <f>IF(P$15="","",IF('01_Input'!$C$56="Non",0,MIN('01_Input'!$I$56,MAX('01_Input'!$H$56,IF('01_Input'!$G$56="Résiduel vs Gestion",0,IF('01_Input'!$G$56="Taux Classe sélectionnée",Distrib_SousDistrib_Classe_Selectionnee*P$15,IF('01_Input'!$G$56="Frais KYC (paliers de 100M€)",MAX(0,Nb_Investisseurs-Nb_KYC_Gratuites_Par_Tranche*(FLOOR(P$15/Taille_Tranche_KYC,1)+1))*Cout_Par_KYC_Supplementaire,(IF('01_Input'!$L$56="Forfait",IF(P$15&gt;='01_Input'!$J$56,'01_Input'!$M$56,0),IF('01_Input'!$L$56="Palier",IF(AND(P$15&gt;='01_Input'!$J$56,P$15&lt;'01_Input'!$K$56),'01_Input'!$M$56,0),MAX(MIN(P$15,'01_Input'!$K$56)-'01_Input'!$J$56,0)*'01_Input'!$M$56))+IF('01_Input'!$P$56="Forfait",IF(P$15&gt;='01_Input'!$N$56,'01_Input'!$Q$56,0),IF('01_Input'!$P$56="Palier",IF(AND(P$15&gt;='01_Input'!$N$56,P$15&lt;'01_Input'!$O$56),'01_Input'!$Q$56,0),MAX(MIN(P$15,'01_Input'!$O$56)-'01_Input'!$N$56,0)*'01_Input'!$Q$56))+IF('01_Input'!$T$56="Forfait",IF(P$15&gt;='01_Input'!$R$56,'01_Input'!$U$56,0),IF('01_Input'!$T$56="Palier",IF(AND(P$15&gt;='01_Input'!$R$56,P$15&lt;'01_Input'!$S$56),'01_Input'!$U$56,0),MAX(MIN(P$15,'01_Input'!$S$56)-'01_Input'!$R$56,0)*'01_Input'!$U$56))+IF('01_Input'!$X$56="Forfait",IF(P$15&gt;='01_Input'!$V$56,'01_Input'!$Y$56,0),IF('01_Input'!$X$56="Palier",IF(AND(P$15&gt;='01_Input'!$V$56,P$15&lt;'01_Input'!$W$56),'01_Input'!$Y$56,0),MAX(MIN(P$15,'01_Input'!$W$56)-'01_Input'!$V$56,0)*'01_Input'!$Y$56))+IF('01_Input'!$AB$56="Forfait",IF(P$15&gt;='01_Input'!$Z$56,'01_Input'!$AC$56,0),IF('01_Input'!$AB$56="Palier",IF(AND(P$15&gt;='01_Input'!$Z$56,P$15&lt;'01_Input'!$AA$56),'01_Input'!$AC$56,0),MAX(MIN(P$15,'01_Input'!$AA$56)-'01_Input'!$Z$56,0)*'01_Input'!$AC$56))))))))))</f>
        <v/>
      </c>
      <c r="Q47" s="83" t="str">
        <f>IF(Q$15="","",IF('01_Input'!$C$56="Non",0,MIN('01_Input'!$I$56,MAX('01_Input'!$H$56,IF('01_Input'!$G$56="Résiduel vs Gestion",0,IF('01_Input'!$G$56="Taux Classe sélectionnée",Distrib_SousDistrib_Classe_Selectionnee*Q$15,IF('01_Input'!$G$56="Frais KYC (paliers de 100M€)",MAX(0,Nb_Investisseurs-Nb_KYC_Gratuites_Par_Tranche*(FLOOR(Q$15/Taille_Tranche_KYC,1)+1))*Cout_Par_KYC_Supplementaire,(IF('01_Input'!$L$56="Forfait",IF(Q$15&gt;='01_Input'!$J$56,'01_Input'!$M$56,0),IF('01_Input'!$L$56="Palier",IF(AND(Q$15&gt;='01_Input'!$J$56,Q$15&lt;'01_Input'!$K$56),'01_Input'!$M$56,0),MAX(MIN(Q$15,'01_Input'!$K$56)-'01_Input'!$J$56,0)*'01_Input'!$M$56))+IF('01_Input'!$P$56="Forfait",IF(Q$15&gt;='01_Input'!$N$56,'01_Input'!$Q$56,0),IF('01_Input'!$P$56="Palier",IF(AND(Q$15&gt;='01_Input'!$N$56,Q$15&lt;'01_Input'!$O$56),'01_Input'!$Q$56,0),MAX(MIN(Q$15,'01_Input'!$O$56)-'01_Input'!$N$56,0)*'01_Input'!$Q$56))+IF('01_Input'!$T$56="Forfait",IF(Q$15&gt;='01_Input'!$R$56,'01_Input'!$U$56,0),IF('01_Input'!$T$56="Palier",IF(AND(Q$15&gt;='01_Input'!$R$56,Q$15&lt;'01_Input'!$S$56),'01_Input'!$U$56,0),MAX(MIN(Q$15,'01_Input'!$S$56)-'01_Input'!$R$56,0)*'01_Input'!$U$56))+IF('01_Input'!$X$56="Forfait",IF(Q$15&gt;='01_Input'!$V$56,'01_Input'!$Y$56,0),IF('01_Input'!$X$56="Palier",IF(AND(Q$15&gt;='01_Input'!$V$56,Q$15&lt;'01_Input'!$W$56),'01_Input'!$Y$56,0),MAX(MIN(Q$15,'01_Input'!$W$56)-'01_Input'!$V$56,0)*'01_Input'!$Y$56))+IF('01_Input'!$AB$56="Forfait",IF(Q$15&gt;='01_Input'!$Z$56,'01_Input'!$AC$56,0),IF('01_Input'!$AB$56="Palier",IF(AND(Q$15&gt;='01_Input'!$Z$56,Q$15&lt;'01_Input'!$AA$56),'01_Input'!$AC$56,0),MAX(MIN(Q$15,'01_Input'!$AA$56)-'01_Input'!$Z$56,0)*'01_Input'!$AC$56))))))))))</f>
        <v/>
      </c>
      <c r="R47" s="83" t="str">
        <f>IF(R$15="","",IF('01_Input'!$C$56="Non",0,MIN('01_Input'!$I$56,MAX('01_Input'!$H$56,IF('01_Input'!$G$56="Résiduel vs Gestion",0,IF('01_Input'!$G$56="Taux Classe sélectionnée",Distrib_SousDistrib_Classe_Selectionnee*R$15,IF('01_Input'!$G$56="Frais KYC (paliers de 100M€)",MAX(0,Nb_Investisseurs-Nb_KYC_Gratuites_Par_Tranche*(FLOOR(R$15/Taille_Tranche_KYC,1)+1))*Cout_Par_KYC_Supplementaire,(IF('01_Input'!$L$56="Forfait",IF(R$15&gt;='01_Input'!$J$56,'01_Input'!$M$56,0),IF('01_Input'!$L$56="Palier",IF(AND(R$15&gt;='01_Input'!$J$56,R$15&lt;'01_Input'!$K$56),'01_Input'!$M$56,0),MAX(MIN(R$15,'01_Input'!$K$56)-'01_Input'!$J$56,0)*'01_Input'!$M$56))+IF('01_Input'!$P$56="Forfait",IF(R$15&gt;='01_Input'!$N$56,'01_Input'!$Q$56,0),IF('01_Input'!$P$56="Palier",IF(AND(R$15&gt;='01_Input'!$N$56,R$15&lt;'01_Input'!$O$56),'01_Input'!$Q$56,0),MAX(MIN(R$15,'01_Input'!$O$56)-'01_Input'!$N$56,0)*'01_Input'!$Q$56))+IF('01_Input'!$T$56="Forfait",IF(R$15&gt;='01_Input'!$R$56,'01_Input'!$U$56,0),IF('01_Input'!$T$56="Palier",IF(AND(R$15&gt;='01_Input'!$R$56,R$15&lt;'01_Input'!$S$56),'01_Input'!$U$56,0),MAX(MIN(R$15,'01_Input'!$S$56)-'01_Input'!$R$56,0)*'01_Input'!$U$56))+IF('01_Input'!$X$56="Forfait",IF(R$15&gt;='01_Input'!$V$56,'01_Input'!$Y$56,0),IF('01_Input'!$X$56="Palier",IF(AND(R$15&gt;='01_Input'!$V$56,R$15&lt;'01_Input'!$W$56),'01_Input'!$Y$56,0),MAX(MIN(R$15,'01_Input'!$W$56)-'01_Input'!$V$56,0)*'01_Input'!$Y$56))+IF('01_Input'!$AB$56="Forfait",IF(R$15&gt;='01_Input'!$Z$56,'01_Input'!$AC$56,0),IF('01_Input'!$AB$56="Palier",IF(AND(R$15&gt;='01_Input'!$Z$56,R$15&lt;'01_Input'!$AA$56),'01_Input'!$AC$56,0),MAX(MIN(R$15,'01_Input'!$AA$56)-'01_Input'!$Z$56,0)*'01_Input'!$AC$56))))))))))</f>
        <v/>
      </c>
      <c r="S47" s="83" t="str">
        <f>IF(S$15="","",IF('01_Input'!$C$56="Non",0,MIN('01_Input'!$I$56,MAX('01_Input'!$H$56,IF('01_Input'!$G$56="Résiduel vs Gestion",0,IF('01_Input'!$G$56="Taux Classe sélectionnée",Distrib_SousDistrib_Classe_Selectionnee*S$15,IF('01_Input'!$G$56="Frais KYC (paliers de 100M€)",MAX(0,Nb_Investisseurs-Nb_KYC_Gratuites_Par_Tranche*(FLOOR(S$15/Taille_Tranche_KYC,1)+1))*Cout_Par_KYC_Supplementaire,(IF('01_Input'!$L$56="Forfait",IF(S$15&gt;='01_Input'!$J$56,'01_Input'!$M$56,0),IF('01_Input'!$L$56="Palier",IF(AND(S$15&gt;='01_Input'!$J$56,S$15&lt;'01_Input'!$K$56),'01_Input'!$M$56,0),MAX(MIN(S$15,'01_Input'!$K$56)-'01_Input'!$J$56,0)*'01_Input'!$M$56))+IF('01_Input'!$P$56="Forfait",IF(S$15&gt;='01_Input'!$N$56,'01_Input'!$Q$56,0),IF('01_Input'!$P$56="Palier",IF(AND(S$15&gt;='01_Input'!$N$56,S$15&lt;'01_Input'!$O$56),'01_Input'!$Q$56,0),MAX(MIN(S$15,'01_Input'!$O$56)-'01_Input'!$N$56,0)*'01_Input'!$Q$56))+IF('01_Input'!$T$56="Forfait",IF(S$15&gt;='01_Input'!$R$56,'01_Input'!$U$56,0),IF('01_Input'!$T$56="Palier",IF(AND(S$15&gt;='01_Input'!$R$56,S$15&lt;'01_Input'!$S$56),'01_Input'!$U$56,0),MAX(MIN(S$15,'01_Input'!$S$56)-'01_Input'!$R$56,0)*'01_Input'!$U$56))+IF('01_Input'!$X$56="Forfait",IF(S$15&gt;='01_Input'!$V$56,'01_Input'!$Y$56,0),IF('01_Input'!$X$56="Palier",IF(AND(S$15&gt;='01_Input'!$V$56,S$15&lt;'01_Input'!$W$56),'01_Input'!$Y$56,0),MAX(MIN(S$15,'01_Input'!$W$56)-'01_Input'!$V$56,0)*'01_Input'!$Y$56))+IF('01_Input'!$AB$56="Forfait",IF(S$15&gt;='01_Input'!$Z$56,'01_Input'!$AC$56,0),IF('01_Input'!$AB$56="Palier",IF(AND(S$15&gt;='01_Input'!$Z$56,S$15&lt;'01_Input'!$AA$56),'01_Input'!$AC$56,0),MAX(MIN(S$15,'01_Input'!$AA$56)-'01_Input'!$Z$56,0)*'01_Input'!$AC$56))))))))))</f>
        <v/>
      </c>
      <c r="T47" s="83" t="str">
        <f>IF(T$15="","",IF('01_Input'!$C$56="Non",0,MIN('01_Input'!$I$56,MAX('01_Input'!$H$56,IF('01_Input'!$G$56="Résiduel vs Gestion",0,IF('01_Input'!$G$56="Taux Classe sélectionnée",Distrib_SousDistrib_Classe_Selectionnee*T$15,IF('01_Input'!$G$56="Frais KYC (paliers de 100M€)",MAX(0,Nb_Investisseurs-Nb_KYC_Gratuites_Par_Tranche*(FLOOR(T$15/Taille_Tranche_KYC,1)+1))*Cout_Par_KYC_Supplementaire,(IF('01_Input'!$L$56="Forfait",IF(T$15&gt;='01_Input'!$J$56,'01_Input'!$M$56,0),IF('01_Input'!$L$56="Palier",IF(AND(T$15&gt;='01_Input'!$J$56,T$15&lt;'01_Input'!$K$56),'01_Input'!$M$56,0),MAX(MIN(T$15,'01_Input'!$K$56)-'01_Input'!$J$56,0)*'01_Input'!$M$56))+IF('01_Input'!$P$56="Forfait",IF(T$15&gt;='01_Input'!$N$56,'01_Input'!$Q$56,0),IF('01_Input'!$P$56="Palier",IF(AND(T$15&gt;='01_Input'!$N$56,T$15&lt;'01_Input'!$O$56),'01_Input'!$Q$56,0),MAX(MIN(T$15,'01_Input'!$O$56)-'01_Input'!$N$56,0)*'01_Input'!$Q$56))+IF('01_Input'!$T$56="Forfait",IF(T$15&gt;='01_Input'!$R$56,'01_Input'!$U$56,0),IF('01_Input'!$T$56="Palier",IF(AND(T$15&gt;='01_Input'!$R$56,T$15&lt;'01_Input'!$S$56),'01_Input'!$U$56,0),MAX(MIN(T$15,'01_Input'!$S$56)-'01_Input'!$R$56,0)*'01_Input'!$U$56))+IF('01_Input'!$X$56="Forfait",IF(T$15&gt;='01_Input'!$V$56,'01_Input'!$Y$56,0),IF('01_Input'!$X$56="Palier",IF(AND(T$15&gt;='01_Input'!$V$56,T$15&lt;'01_Input'!$W$56),'01_Input'!$Y$56,0),MAX(MIN(T$15,'01_Input'!$W$56)-'01_Input'!$V$56,0)*'01_Input'!$Y$56))+IF('01_Input'!$AB$56="Forfait",IF(T$15&gt;='01_Input'!$Z$56,'01_Input'!$AC$56,0),IF('01_Input'!$AB$56="Palier",IF(AND(T$15&gt;='01_Input'!$Z$56,T$15&lt;'01_Input'!$AA$56),'01_Input'!$AC$56,0),MAX(MIN(T$15,'01_Input'!$AA$56)-'01_Input'!$Z$56,0)*'01_Input'!$AC$56))))))))))</f>
        <v/>
      </c>
      <c r="U47" s="83" t="str">
        <f>IF(U$15="","",IF('01_Input'!$C$56="Non",0,MIN('01_Input'!$I$56,MAX('01_Input'!$H$56,IF('01_Input'!$G$56="Résiduel vs Gestion",0,IF('01_Input'!$G$56="Taux Classe sélectionnée",Distrib_SousDistrib_Classe_Selectionnee*U$15,IF('01_Input'!$G$56="Frais KYC (paliers de 100M€)",MAX(0,Nb_Investisseurs-Nb_KYC_Gratuites_Par_Tranche*(FLOOR(U$15/Taille_Tranche_KYC,1)+1))*Cout_Par_KYC_Supplementaire,(IF('01_Input'!$L$56="Forfait",IF(U$15&gt;='01_Input'!$J$56,'01_Input'!$M$56,0),IF('01_Input'!$L$56="Palier",IF(AND(U$15&gt;='01_Input'!$J$56,U$15&lt;'01_Input'!$K$56),'01_Input'!$M$56,0),MAX(MIN(U$15,'01_Input'!$K$56)-'01_Input'!$J$56,0)*'01_Input'!$M$56))+IF('01_Input'!$P$56="Forfait",IF(U$15&gt;='01_Input'!$N$56,'01_Input'!$Q$56,0),IF('01_Input'!$P$56="Palier",IF(AND(U$15&gt;='01_Input'!$N$56,U$15&lt;'01_Input'!$O$56),'01_Input'!$Q$56,0),MAX(MIN(U$15,'01_Input'!$O$56)-'01_Input'!$N$56,0)*'01_Input'!$Q$56))+IF('01_Input'!$T$56="Forfait",IF(U$15&gt;='01_Input'!$R$56,'01_Input'!$U$56,0),IF('01_Input'!$T$56="Palier",IF(AND(U$15&gt;='01_Input'!$R$56,U$15&lt;'01_Input'!$S$56),'01_Input'!$U$56,0),MAX(MIN(U$15,'01_Input'!$S$56)-'01_Input'!$R$56,0)*'01_Input'!$U$56))+IF('01_Input'!$X$56="Forfait",IF(U$15&gt;='01_Input'!$V$56,'01_Input'!$Y$56,0),IF('01_Input'!$X$56="Palier",IF(AND(U$15&gt;='01_Input'!$V$56,U$15&lt;'01_Input'!$W$56),'01_Input'!$Y$56,0),MAX(MIN(U$15,'01_Input'!$W$56)-'01_Input'!$V$56,0)*'01_Input'!$Y$56))+IF('01_Input'!$AB$56="Forfait",IF(U$15&gt;='01_Input'!$Z$56,'01_Input'!$AC$56,0),IF('01_Input'!$AB$56="Palier",IF(AND(U$15&gt;='01_Input'!$Z$56,U$15&lt;'01_Input'!$AA$56),'01_Input'!$AC$56,0),MAX(MIN(U$15,'01_Input'!$AA$56)-'01_Input'!$Z$56,0)*'01_Input'!$AC$56))))))))))</f>
        <v/>
      </c>
      <c r="V47" s="83" t="str">
        <f>IF(V$15="","",IF('01_Input'!$C$56="Non",0,MIN('01_Input'!$I$56,MAX('01_Input'!$H$56,IF('01_Input'!$G$56="Résiduel vs Gestion",0,IF('01_Input'!$G$56="Taux Classe sélectionnée",Distrib_SousDistrib_Classe_Selectionnee*V$15,IF('01_Input'!$G$56="Frais KYC (paliers de 100M€)",MAX(0,Nb_Investisseurs-Nb_KYC_Gratuites_Par_Tranche*(FLOOR(V$15/Taille_Tranche_KYC,1)+1))*Cout_Par_KYC_Supplementaire,(IF('01_Input'!$L$56="Forfait",IF(V$15&gt;='01_Input'!$J$56,'01_Input'!$M$56,0),IF('01_Input'!$L$56="Palier",IF(AND(V$15&gt;='01_Input'!$J$56,V$15&lt;'01_Input'!$K$56),'01_Input'!$M$56,0),MAX(MIN(V$15,'01_Input'!$K$56)-'01_Input'!$J$56,0)*'01_Input'!$M$56))+IF('01_Input'!$P$56="Forfait",IF(V$15&gt;='01_Input'!$N$56,'01_Input'!$Q$56,0),IF('01_Input'!$P$56="Palier",IF(AND(V$15&gt;='01_Input'!$N$56,V$15&lt;'01_Input'!$O$56),'01_Input'!$Q$56,0),MAX(MIN(V$15,'01_Input'!$O$56)-'01_Input'!$N$56,0)*'01_Input'!$Q$56))+IF('01_Input'!$T$56="Forfait",IF(V$15&gt;='01_Input'!$R$56,'01_Input'!$U$56,0),IF('01_Input'!$T$56="Palier",IF(AND(V$15&gt;='01_Input'!$R$56,V$15&lt;'01_Input'!$S$56),'01_Input'!$U$56,0),MAX(MIN(V$15,'01_Input'!$S$56)-'01_Input'!$R$56,0)*'01_Input'!$U$56))+IF('01_Input'!$X$56="Forfait",IF(V$15&gt;='01_Input'!$V$56,'01_Input'!$Y$56,0),IF('01_Input'!$X$56="Palier",IF(AND(V$15&gt;='01_Input'!$V$56,V$15&lt;'01_Input'!$W$56),'01_Input'!$Y$56,0),MAX(MIN(V$15,'01_Input'!$W$56)-'01_Input'!$V$56,0)*'01_Input'!$Y$56))+IF('01_Input'!$AB$56="Forfait",IF(V$15&gt;='01_Input'!$Z$56,'01_Input'!$AC$56,0),IF('01_Input'!$AB$56="Palier",IF(AND(V$15&gt;='01_Input'!$Z$56,V$15&lt;'01_Input'!$AA$56),'01_Input'!$AC$56,0),MAX(MIN(V$15,'01_Input'!$AA$56)-'01_Input'!$Z$56,0)*'01_Input'!$AC$56))))))))))</f>
        <v/>
      </c>
      <c r="W47" s="83" t="str">
        <f>IF(W$15="","",IF('01_Input'!$C$56="Non",0,MIN('01_Input'!$I$56,MAX('01_Input'!$H$56,IF('01_Input'!$G$56="Résiduel vs Gestion",0,IF('01_Input'!$G$56="Taux Classe sélectionnée",Distrib_SousDistrib_Classe_Selectionnee*W$15,IF('01_Input'!$G$56="Frais KYC (paliers de 100M€)",MAX(0,Nb_Investisseurs-Nb_KYC_Gratuites_Par_Tranche*(FLOOR(W$15/Taille_Tranche_KYC,1)+1))*Cout_Par_KYC_Supplementaire,(IF('01_Input'!$L$56="Forfait",IF(W$15&gt;='01_Input'!$J$56,'01_Input'!$M$56,0),IF('01_Input'!$L$56="Palier",IF(AND(W$15&gt;='01_Input'!$J$56,W$15&lt;'01_Input'!$K$56),'01_Input'!$M$56,0),MAX(MIN(W$15,'01_Input'!$K$56)-'01_Input'!$J$56,0)*'01_Input'!$M$56))+IF('01_Input'!$P$56="Forfait",IF(W$15&gt;='01_Input'!$N$56,'01_Input'!$Q$56,0),IF('01_Input'!$P$56="Palier",IF(AND(W$15&gt;='01_Input'!$N$56,W$15&lt;'01_Input'!$O$56),'01_Input'!$Q$56,0),MAX(MIN(W$15,'01_Input'!$O$56)-'01_Input'!$N$56,0)*'01_Input'!$Q$56))+IF('01_Input'!$T$56="Forfait",IF(W$15&gt;='01_Input'!$R$56,'01_Input'!$U$56,0),IF('01_Input'!$T$56="Palier",IF(AND(W$15&gt;='01_Input'!$R$56,W$15&lt;'01_Input'!$S$56),'01_Input'!$U$56,0),MAX(MIN(W$15,'01_Input'!$S$56)-'01_Input'!$R$56,0)*'01_Input'!$U$56))+IF('01_Input'!$X$56="Forfait",IF(W$15&gt;='01_Input'!$V$56,'01_Input'!$Y$56,0),IF('01_Input'!$X$56="Palier",IF(AND(W$15&gt;='01_Input'!$V$56,W$15&lt;'01_Input'!$W$56),'01_Input'!$Y$56,0),MAX(MIN(W$15,'01_Input'!$W$56)-'01_Input'!$V$56,0)*'01_Input'!$Y$56))+IF('01_Input'!$AB$56="Forfait",IF(W$15&gt;='01_Input'!$Z$56,'01_Input'!$AC$56,0),IF('01_Input'!$AB$56="Palier",IF(AND(W$15&gt;='01_Input'!$Z$56,W$15&lt;'01_Input'!$AA$56),'01_Input'!$AC$56,0),MAX(MIN(W$15,'01_Input'!$AA$56)-'01_Input'!$Z$56,0)*'01_Input'!$AC$56))))))))))</f>
        <v/>
      </c>
      <c r="X47" s="83" t="str">
        <f>IF(X$15="","",IF('01_Input'!$C$56="Non",0,MIN('01_Input'!$I$56,MAX('01_Input'!$H$56,IF('01_Input'!$G$56="Résiduel vs Gestion",0,IF('01_Input'!$G$56="Taux Classe sélectionnée",Distrib_SousDistrib_Classe_Selectionnee*X$15,IF('01_Input'!$G$56="Frais KYC (paliers de 100M€)",MAX(0,Nb_Investisseurs-Nb_KYC_Gratuites_Par_Tranche*(FLOOR(X$15/Taille_Tranche_KYC,1)+1))*Cout_Par_KYC_Supplementaire,(IF('01_Input'!$L$56="Forfait",IF(X$15&gt;='01_Input'!$J$56,'01_Input'!$M$56,0),IF('01_Input'!$L$56="Palier",IF(AND(X$15&gt;='01_Input'!$J$56,X$15&lt;'01_Input'!$K$56),'01_Input'!$M$56,0),MAX(MIN(X$15,'01_Input'!$K$56)-'01_Input'!$J$56,0)*'01_Input'!$M$56))+IF('01_Input'!$P$56="Forfait",IF(X$15&gt;='01_Input'!$N$56,'01_Input'!$Q$56,0),IF('01_Input'!$P$56="Palier",IF(AND(X$15&gt;='01_Input'!$N$56,X$15&lt;'01_Input'!$O$56),'01_Input'!$Q$56,0),MAX(MIN(X$15,'01_Input'!$O$56)-'01_Input'!$N$56,0)*'01_Input'!$Q$56))+IF('01_Input'!$T$56="Forfait",IF(X$15&gt;='01_Input'!$R$56,'01_Input'!$U$56,0),IF('01_Input'!$T$56="Palier",IF(AND(X$15&gt;='01_Input'!$R$56,X$15&lt;'01_Input'!$S$56),'01_Input'!$U$56,0),MAX(MIN(X$15,'01_Input'!$S$56)-'01_Input'!$R$56,0)*'01_Input'!$U$56))+IF('01_Input'!$X$56="Forfait",IF(X$15&gt;='01_Input'!$V$56,'01_Input'!$Y$56,0),IF('01_Input'!$X$56="Palier",IF(AND(X$15&gt;='01_Input'!$V$56,X$15&lt;'01_Input'!$W$56),'01_Input'!$Y$56,0),MAX(MIN(X$15,'01_Input'!$W$56)-'01_Input'!$V$56,0)*'01_Input'!$Y$56))+IF('01_Input'!$AB$56="Forfait",IF(X$15&gt;='01_Input'!$Z$56,'01_Input'!$AC$56,0),IF('01_Input'!$AB$56="Palier",IF(AND(X$15&gt;='01_Input'!$Z$56,X$15&lt;'01_Input'!$AA$56),'01_Input'!$AC$56,0),MAX(MIN(X$15,'01_Input'!$AA$56)-'01_Input'!$Z$56,0)*'01_Input'!$AC$56))))))))))</f>
        <v/>
      </c>
      <c r="Y47" s="83" t="str">
        <f>IF(Y$15="","",IF('01_Input'!$C$56="Non",0,MIN('01_Input'!$I$56,MAX('01_Input'!$H$56,IF('01_Input'!$G$56="Résiduel vs Gestion",0,IF('01_Input'!$G$56="Taux Classe sélectionnée",Distrib_SousDistrib_Classe_Selectionnee*Y$15,IF('01_Input'!$G$56="Frais KYC (paliers de 100M€)",MAX(0,Nb_Investisseurs-Nb_KYC_Gratuites_Par_Tranche*(FLOOR(Y$15/Taille_Tranche_KYC,1)+1))*Cout_Par_KYC_Supplementaire,(IF('01_Input'!$L$56="Forfait",IF(Y$15&gt;='01_Input'!$J$56,'01_Input'!$M$56,0),IF('01_Input'!$L$56="Palier",IF(AND(Y$15&gt;='01_Input'!$J$56,Y$15&lt;'01_Input'!$K$56),'01_Input'!$M$56,0),MAX(MIN(Y$15,'01_Input'!$K$56)-'01_Input'!$J$56,0)*'01_Input'!$M$56))+IF('01_Input'!$P$56="Forfait",IF(Y$15&gt;='01_Input'!$N$56,'01_Input'!$Q$56,0),IF('01_Input'!$P$56="Palier",IF(AND(Y$15&gt;='01_Input'!$N$56,Y$15&lt;'01_Input'!$O$56),'01_Input'!$Q$56,0),MAX(MIN(Y$15,'01_Input'!$O$56)-'01_Input'!$N$56,0)*'01_Input'!$Q$56))+IF('01_Input'!$T$56="Forfait",IF(Y$15&gt;='01_Input'!$R$56,'01_Input'!$U$56,0),IF('01_Input'!$T$56="Palier",IF(AND(Y$15&gt;='01_Input'!$R$56,Y$15&lt;'01_Input'!$S$56),'01_Input'!$U$56,0),MAX(MIN(Y$15,'01_Input'!$S$56)-'01_Input'!$R$56,0)*'01_Input'!$U$56))+IF('01_Input'!$X$56="Forfait",IF(Y$15&gt;='01_Input'!$V$56,'01_Input'!$Y$56,0),IF('01_Input'!$X$56="Palier",IF(AND(Y$15&gt;='01_Input'!$V$56,Y$15&lt;'01_Input'!$W$56),'01_Input'!$Y$56,0),MAX(MIN(Y$15,'01_Input'!$W$56)-'01_Input'!$V$56,0)*'01_Input'!$Y$56))+IF('01_Input'!$AB$56="Forfait",IF(Y$15&gt;='01_Input'!$Z$56,'01_Input'!$AC$56,0),IF('01_Input'!$AB$56="Palier",IF(AND(Y$15&gt;='01_Input'!$Z$56,Y$15&lt;'01_Input'!$AA$56),'01_Input'!$AC$56,0),MAX(MIN(Y$15,'01_Input'!$AA$56)-'01_Input'!$Z$56,0)*'01_Input'!$AC$56))))))))))</f>
        <v/>
      </c>
      <c r="Z47" s="83" t="str">
        <f>IF(Z$15="","",IF('01_Input'!$C$56="Non",0,MIN('01_Input'!$I$56,MAX('01_Input'!$H$56,IF('01_Input'!$G$56="Résiduel vs Gestion",0,IF('01_Input'!$G$56="Taux Classe sélectionnée",Distrib_SousDistrib_Classe_Selectionnee*Z$15,IF('01_Input'!$G$56="Frais KYC (paliers de 100M€)",MAX(0,Nb_Investisseurs-Nb_KYC_Gratuites_Par_Tranche*(FLOOR(Z$15/Taille_Tranche_KYC,1)+1))*Cout_Par_KYC_Supplementaire,(IF('01_Input'!$L$56="Forfait",IF(Z$15&gt;='01_Input'!$J$56,'01_Input'!$M$56,0),IF('01_Input'!$L$56="Palier",IF(AND(Z$15&gt;='01_Input'!$J$56,Z$15&lt;'01_Input'!$K$56),'01_Input'!$M$56,0),MAX(MIN(Z$15,'01_Input'!$K$56)-'01_Input'!$J$56,0)*'01_Input'!$M$56))+IF('01_Input'!$P$56="Forfait",IF(Z$15&gt;='01_Input'!$N$56,'01_Input'!$Q$56,0),IF('01_Input'!$P$56="Palier",IF(AND(Z$15&gt;='01_Input'!$N$56,Z$15&lt;'01_Input'!$O$56),'01_Input'!$Q$56,0),MAX(MIN(Z$15,'01_Input'!$O$56)-'01_Input'!$N$56,0)*'01_Input'!$Q$56))+IF('01_Input'!$T$56="Forfait",IF(Z$15&gt;='01_Input'!$R$56,'01_Input'!$U$56,0),IF('01_Input'!$T$56="Palier",IF(AND(Z$15&gt;='01_Input'!$R$56,Z$15&lt;'01_Input'!$S$56),'01_Input'!$U$56,0),MAX(MIN(Z$15,'01_Input'!$S$56)-'01_Input'!$R$56,0)*'01_Input'!$U$56))+IF('01_Input'!$X$56="Forfait",IF(Z$15&gt;='01_Input'!$V$56,'01_Input'!$Y$56,0),IF('01_Input'!$X$56="Palier",IF(AND(Z$15&gt;='01_Input'!$V$56,Z$15&lt;'01_Input'!$W$56),'01_Input'!$Y$56,0),MAX(MIN(Z$15,'01_Input'!$W$56)-'01_Input'!$V$56,0)*'01_Input'!$Y$56))+IF('01_Input'!$AB$56="Forfait",IF(Z$15&gt;='01_Input'!$Z$56,'01_Input'!$AC$56,0),IF('01_Input'!$AB$56="Palier",IF(AND(Z$15&gt;='01_Input'!$Z$56,Z$15&lt;'01_Input'!$AA$56),'01_Input'!$AC$56,0),MAX(MIN(Z$15,'01_Input'!$AA$56)-'01_Input'!$Z$56,0)*'01_Input'!$AC$56))))))))))</f>
        <v/>
      </c>
      <c r="AA47" s="83" t="str">
        <f>IF(AA$15="","",IF('01_Input'!$C$56="Non",0,MIN('01_Input'!$I$56,MAX('01_Input'!$H$56,IF('01_Input'!$G$56="Résiduel vs Gestion",0,IF('01_Input'!$G$56="Taux Classe sélectionnée",Distrib_SousDistrib_Classe_Selectionnee*AA$15,IF('01_Input'!$G$56="Frais KYC (paliers de 100M€)",MAX(0,Nb_Investisseurs-Nb_KYC_Gratuites_Par_Tranche*(FLOOR(AA$15/Taille_Tranche_KYC,1)+1))*Cout_Par_KYC_Supplementaire,(IF('01_Input'!$L$56="Forfait",IF(AA$15&gt;='01_Input'!$J$56,'01_Input'!$M$56,0),IF('01_Input'!$L$56="Palier",IF(AND(AA$15&gt;='01_Input'!$J$56,AA$15&lt;'01_Input'!$K$56),'01_Input'!$M$56,0),MAX(MIN(AA$15,'01_Input'!$K$56)-'01_Input'!$J$56,0)*'01_Input'!$M$56))+IF('01_Input'!$P$56="Forfait",IF(AA$15&gt;='01_Input'!$N$56,'01_Input'!$Q$56,0),IF('01_Input'!$P$56="Palier",IF(AND(AA$15&gt;='01_Input'!$N$56,AA$15&lt;'01_Input'!$O$56),'01_Input'!$Q$56,0),MAX(MIN(AA$15,'01_Input'!$O$56)-'01_Input'!$N$56,0)*'01_Input'!$Q$56))+IF('01_Input'!$T$56="Forfait",IF(AA$15&gt;='01_Input'!$R$56,'01_Input'!$U$56,0),IF('01_Input'!$T$56="Palier",IF(AND(AA$15&gt;='01_Input'!$R$56,AA$15&lt;'01_Input'!$S$56),'01_Input'!$U$56,0),MAX(MIN(AA$15,'01_Input'!$S$56)-'01_Input'!$R$56,0)*'01_Input'!$U$56))+IF('01_Input'!$X$56="Forfait",IF(AA$15&gt;='01_Input'!$V$56,'01_Input'!$Y$56,0),IF('01_Input'!$X$56="Palier",IF(AND(AA$15&gt;='01_Input'!$V$56,AA$15&lt;'01_Input'!$W$56),'01_Input'!$Y$56,0),MAX(MIN(AA$15,'01_Input'!$W$56)-'01_Input'!$V$56,0)*'01_Input'!$Y$56))+IF('01_Input'!$AB$56="Forfait",IF(AA$15&gt;='01_Input'!$Z$56,'01_Input'!$AC$56,0),IF('01_Input'!$AB$56="Palier",IF(AND(AA$15&gt;='01_Input'!$Z$56,AA$15&lt;'01_Input'!$AA$56),'01_Input'!$AC$56,0),MAX(MIN(AA$15,'01_Input'!$AA$56)-'01_Input'!$Z$56,0)*'01_Input'!$AC$56))))))))))</f>
        <v/>
      </c>
      <c r="AB47" s="83" t="str">
        <f>IF(AB$15="","",IF('01_Input'!$C$56="Non",0,MIN('01_Input'!$I$56,MAX('01_Input'!$H$56,IF('01_Input'!$G$56="Résiduel vs Gestion",0,IF('01_Input'!$G$56="Taux Classe sélectionnée",Distrib_SousDistrib_Classe_Selectionnee*AB$15,IF('01_Input'!$G$56="Frais KYC (paliers de 100M€)",MAX(0,Nb_Investisseurs-Nb_KYC_Gratuites_Par_Tranche*(FLOOR(AB$15/Taille_Tranche_KYC,1)+1))*Cout_Par_KYC_Supplementaire,(IF('01_Input'!$L$56="Forfait",IF(AB$15&gt;='01_Input'!$J$56,'01_Input'!$M$56,0),IF('01_Input'!$L$56="Palier",IF(AND(AB$15&gt;='01_Input'!$J$56,AB$15&lt;'01_Input'!$K$56),'01_Input'!$M$56,0),MAX(MIN(AB$15,'01_Input'!$K$56)-'01_Input'!$J$56,0)*'01_Input'!$M$56))+IF('01_Input'!$P$56="Forfait",IF(AB$15&gt;='01_Input'!$N$56,'01_Input'!$Q$56,0),IF('01_Input'!$P$56="Palier",IF(AND(AB$15&gt;='01_Input'!$N$56,AB$15&lt;'01_Input'!$O$56),'01_Input'!$Q$56,0),MAX(MIN(AB$15,'01_Input'!$O$56)-'01_Input'!$N$56,0)*'01_Input'!$Q$56))+IF('01_Input'!$T$56="Forfait",IF(AB$15&gt;='01_Input'!$R$56,'01_Input'!$U$56,0),IF('01_Input'!$T$56="Palier",IF(AND(AB$15&gt;='01_Input'!$R$56,AB$15&lt;'01_Input'!$S$56),'01_Input'!$U$56,0),MAX(MIN(AB$15,'01_Input'!$S$56)-'01_Input'!$R$56,0)*'01_Input'!$U$56))+IF('01_Input'!$X$56="Forfait",IF(AB$15&gt;='01_Input'!$V$56,'01_Input'!$Y$56,0),IF('01_Input'!$X$56="Palier",IF(AND(AB$15&gt;='01_Input'!$V$56,AB$15&lt;'01_Input'!$W$56),'01_Input'!$Y$56,0),MAX(MIN(AB$15,'01_Input'!$W$56)-'01_Input'!$V$56,0)*'01_Input'!$Y$56))+IF('01_Input'!$AB$56="Forfait",IF(AB$15&gt;='01_Input'!$Z$56,'01_Input'!$AC$56,0),IF('01_Input'!$AB$56="Palier",IF(AND(AB$15&gt;='01_Input'!$Z$56,AB$15&lt;'01_Input'!$AA$56),'01_Input'!$AC$56,0),MAX(MIN(AB$15,'01_Input'!$AA$56)-'01_Input'!$Z$56,0)*'01_Input'!$AC$56))))))))))</f>
        <v/>
      </c>
      <c r="AC47" s="83" t="str">
        <f>IF(AC$15="","",IF('01_Input'!$C$56="Non",0,MIN('01_Input'!$I$56,MAX('01_Input'!$H$56,IF('01_Input'!$G$56="Résiduel vs Gestion",0,IF('01_Input'!$G$56="Taux Classe sélectionnée",Distrib_SousDistrib_Classe_Selectionnee*AC$15,IF('01_Input'!$G$56="Frais KYC (paliers de 100M€)",MAX(0,Nb_Investisseurs-Nb_KYC_Gratuites_Par_Tranche*(FLOOR(AC$15/Taille_Tranche_KYC,1)+1))*Cout_Par_KYC_Supplementaire,(IF('01_Input'!$L$56="Forfait",IF(AC$15&gt;='01_Input'!$J$56,'01_Input'!$M$56,0),IF('01_Input'!$L$56="Palier",IF(AND(AC$15&gt;='01_Input'!$J$56,AC$15&lt;'01_Input'!$K$56),'01_Input'!$M$56,0),MAX(MIN(AC$15,'01_Input'!$K$56)-'01_Input'!$J$56,0)*'01_Input'!$M$56))+IF('01_Input'!$P$56="Forfait",IF(AC$15&gt;='01_Input'!$N$56,'01_Input'!$Q$56,0),IF('01_Input'!$P$56="Palier",IF(AND(AC$15&gt;='01_Input'!$N$56,AC$15&lt;'01_Input'!$O$56),'01_Input'!$Q$56,0),MAX(MIN(AC$15,'01_Input'!$O$56)-'01_Input'!$N$56,0)*'01_Input'!$Q$56))+IF('01_Input'!$T$56="Forfait",IF(AC$15&gt;='01_Input'!$R$56,'01_Input'!$U$56,0),IF('01_Input'!$T$56="Palier",IF(AND(AC$15&gt;='01_Input'!$R$56,AC$15&lt;'01_Input'!$S$56),'01_Input'!$U$56,0),MAX(MIN(AC$15,'01_Input'!$S$56)-'01_Input'!$R$56,0)*'01_Input'!$U$56))+IF('01_Input'!$X$56="Forfait",IF(AC$15&gt;='01_Input'!$V$56,'01_Input'!$Y$56,0),IF('01_Input'!$X$56="Palier",IF(AND(AC$15&gt;='01_Input'!$V$56,AC$15&lt;'01_Input'!$W$56),'01_Input'!$Y$56,0),MAX(MIN(AC$15,'01_Input'!$W$56)-'01_Input'!$V$56,0)*'01_Input'!$Y$56))+IF('01_Input'!$AB$56="Forfait",IF(AC$15&gt;='01_Input'!$Z$56,'01_Input'!$AC$56,0),IF('01_Input'!$AB$56="Palier",IF(AND(AC$15&gt;='01_Input'!$Z$56,AC$15&lt;'01_Input'!$AA$56),'01_Input'!$AC$56,0),MAX(MIN(AC$15,'01_Input'!$AA$56)-'01_Input'!$Z$56,0)*'01_Input'!$AC$56))))))))))</f>
        <v/>
      </c>
      <c r="AD47" s="83" t="str">
        <f>IF(AD$15="","",IF('01_Input'!$C$56="Non",0,MIN('01_Input'!$I$56,MAX('01_Input'!$H$56,IF('01_Input'!$G$56="Résiduel vs Gestion",0,IF('01_Input'!$G$56="Taux Classe sélectionnée",Distrib_SousDistrib_Classe_Selectionnee*AD$15,IF('01_Input'!$G$56="Frais KYC (paliers de 100M€)",MAX(0,Nb_Investisseurs-Nb_KYC_Gratuites_Par_Tranche*(FLOOR(AD$15/Taille_Tranche_KYC,1)+1))*Cout_Par_KYC_Supplementaire,(IF('01_Input'!$L$56="Forfait",IF(AD$15&gt;='01_Input'!$J$56,'01_Input'!$M$56,0),IF('01_Input'!$L$56="Palier",IF(AND(AD$15&gt;='01_Input'!$J$56,AD$15&lt;'01_Input'!$K$56),'01_Input'!$M$56,0),MAX(MIN(AD$15,'01_Input'!$K$56)-'01_Input'!$J$56,0)*'01_Input'!$M$56))+IF('01_Input'!$P$56="Forfait",IF(AD$15&gt;='01_Input'!$N$56,'01_Input'!$Q$56,0),IF('01_Input'!$P$56="Palier",IF(AND(AD$15&gt;='01_Input'!$N$56,AD$15&lt;'01_Input'!$O$56),'01_Input'!$Q$56,0),MAX(MIN(AD$15,'01_Input'!$O$56)-'01_Input'!$N$56,0)*'01_Input'!$Q$56))+IF('01_Input'!$T$56="Forfait",IF(AD$15&gt;='01_Input'!$R$56,'01_Input'!$U$56,0),IF('01_Input'!$T$56="Palier",IF(AND(AD$15&gt;='01_Input'!$R$56,AD$15&lt;'01_Input'!$S$56),'01_Input'!$U$56,0),MAX(MIN(AD$15,'01_Input'!$S$56)-'01_Input'!$R$56,0)*'01_Input'!$U$56))+IF('01_Input'!$X$56="Forfait",IF(AD$15&gt;='01_Input'!$V$56,'01_Input'!$Y$56,0),IF('01_Input'!$X$56="Palier",IF(AND(AD$15&gt;='01_Input'!$V$56,AD$15&lt;'01_Input'!$W$56),'01_Input'!$Y$56,0),MAX(MIN(AD$15,'01_Input'!$W$56)-'01_Input'!$V$56,0)*'01_Input'!$Y$56))+IF('01_Input'!$AB$56="Forfait",IF(AD$15&gt;='01_Input'!$Z$56,'01_Input'!$AC$56,0),IF('01_Input'!$AB$56="Palier",IF(AND(AD$15&gt;='01_Input'!$Z$56,AD$15&lt;'01_Input'!$AA$56),'01_Input'!$AC$56,0),MAX(MIN(AD$15,'01_Input'!$AA$56)-'01_Input'!$Z$56,0)*'01_Input'!$AC$56))))))))))</f>
        <v/>
      </c>
      <c r="AE47" s="83" t="str">
        <f>IF(AE$15="","",IF('01_Input'!$C$56="Non",0,MIN('01_Input'!$I$56,MAX('01_Input'!$H$56,IF('01_Input'!$G$56="Résiduel vs Gestion",0,IF('01_Input'!$G$56="Taux Classe sélectionnée",Distrib_SousDistrib_Classe_Selectionnee*AE$15,IF('01_Input'!$G$56="Frais KYC (paliers de 100M€)",MAX(0,Nb_Investisseurs-Nb_KYC_Gratuites_Par_Tranche*(FLOOR(AE$15/Taille_Tranche_KYC,1)+1))*Cout_Par_KYC_Supplementaire,(IF('01_Input'!$L$56="Forfait",IF(AE$15&gt;='01_Input'!$J$56,'01_Input'!$M$56,0),IF('01_Input'!$L$56="Palier",IF(AND(AE$15&gt;='01_Input'!$J$56,AE$15&lt;'01_Input'!$K$56),'01_Input'!$M$56,0),MAX(MIN(AE$15,'01_Input'!$K$56)-'01_Input'!$J$56,0)*'01_Input'!$M$56))+IF('01_Input'!$P$56="Forfait",IF(AE$15&gt;='01_Input'!$N$56,'01_Input'!$Q$56,0),IF('01_Input'!$P$56="Palier",IF(AND(AE$15&gt;='01_Input'!$N$56,AE$15&lt;'01_Input'!$O$56),'01_Input'!$Q$56,0),MAX(MIN(AE$15,'01_Input'!$O$56)-'01_Input'!$N$56,0)*'01_Input'!$Q$56))+IF('01_Input'!$T$56="Forfait",IF(AE$15&gt;='01_Input'!$R$56,'01_Input'!$U$56,0),IF('01_Input'!$T$56="Palier",IF(AND(AE$15&gt;='01_Input'!$R$56,AE$15&lt;'01_Input'!$S$56),'01_Input'!$U$56,0),MAX(MIN(AE$15,'01_Input'!$S$56)-'01_Input'!$R$56,0)*'01_Input'!$U$56))+IF('01_Input'!$X$56="Forfait",IF(AE$15&gt;='01_Input'!$V$56,'01_Input'!$Y$56,0),IF('01_Input'!$X$56="Palier",IF(AND(AE$15&gt;='01_Input'!$V$56,AE$15&lt;'01_Input'!$W$56),'01_Input'!$Y$56,0),MAX(MIN(AE$15,'01_Input'!$W$56)-'01_Input'!$V$56,0)*'01_Input'!$Y$56))+IF('01_Input'!$AB$56="Forfait",IF(AE$15&gt;='01_Input'!$Z$56,'01_Input'!$AC$56,0),IF('01_Input'!$AB$56="Palier",IF(AND(AE$15&gt;='01_Input'!$Z$56,AE$15&lt;'01_Input'!$AA$56),'01_Input'!$AC$56,0),MAX(MIN(AE$15,'01_Input'!$AA$56)-'01_Input'!$Z$56,0)*'01_Input'!$AC$56))))))))))</f>
        <v/>
      </c>
      <c r="AF47" s="83" t="str">
        <f>IF(AF$15="","",IF('01_Input'!$C$56="Non",0,MIN('01_Input'!$I$56,MAX('01_Input'!$H$56,IF('01_Input'!$G$56="Résiduel vs Gestion",0,IF('01_Input'!$G$56="Taux Classe sélectionnée",Distrib_SousDistrib_Classe_Selectionnee*AF$15,IF('01_Input'!$G$56="Frais KYC (paliers de 100M€)",MAX(0,Nb_Investisseurs-Nb_KYC_Gratuites_Par_Tranche*(FLOOR(AF$15/Taille_Tranche_KYC,1)+1))*Cout_Par_KYC_Supplementaire,(IF('01_Input'!$L$56="Forfait",IF(AF$15&gt;='01_Input'!$J$56,'01_Input'!$M$56,0),IF('01_Input'!$L$56="Palier",IF(AND(AF$15&gt;='01_Input'!$J$56,AF$15&lt;'01_Input'!$K$56),'01_Input'!$M$56,0),MAX(MIN(AF$15,'01_Input'!$K$56)-'01_Input'!$J$56,0)*'01_Input'!$M$56))+IF('01_Input'!$P$56="Forfait",IF(AF$15&gt;='01_Input'!$N$56,'01_Input'!$Q$56,0),IF('01_Input'!$P$56="Palier",IF(AND(AF$15&gt;='01_Input'!$N$56,AF$15&lt;'01_Input'!$O$56),'01_Input'!$Q$56,0),MAX(MIN(AF$15,'01_Input'!$O$56)-'01_Input'!$N$56,0)*'01_Input'!$Q$56))+IF('01_Input'!$T$56="Forfait",IF(AF$15&gt;='01_Input'!$R$56,'01_Input'!$U$56,0),IF('01_Input'!$T$56="Palier",IF(AND(AF$15&gt;='01_Input'!$R$56,AF$15&lt;'01_Input'!$S$56),'01_Input'!$U$56,0),MAX(MIN(AF$15,'01_Input'!$S$56)-'01_Input'!$R$56,0)*'01_Input'!$U$56))+IF('01_Input'!$X$56="Forfait",IF(AF$15&gt;='01_Input'!$V$56,'01_Input'!$Y$56,0),IF('01_Input'!$X$56="Palier",IF(AND(AF$15&gt;='01_Input'!$V$56,AF$15&lt;'01_Input'!$W$56),'01_Input'!$Y$56,0),MAX(MIN(AF$15,'01_Input'!$W$56)-'01_Input'!$V$56,0)*'01_Input'!$Y$56))+IF('01_Input'!$AB$56="Forfait",IF(AF$15&gt;='01_Input'!$Z$56,'01_Input'!$AC$56,0),IF('01_Input'!$AB$56="Palier",IF(AND(AF$15&gt;='01_Input'!$Z$56,AF$15&lt;'01_Input'!$AA$56),'01_Input'!$AC$56,0),MAX(MIN(AF$15,'01_Input'!$AA$56)-'01_Input'!$Z$56,0)*'01_Input'!$AC$56))))))))))</f>
        <v/>
      </c>
      <c r="AG47" s="83" t="str">
        <f>IF(AG$15="","",IF('01_Input'!$C$56="Non",0,MIN('01_Input'!$I$56,MAX('01_Input'!$H$56,IF('01_Input'!$G$56="Résiduel vs Gestion",0,IF('01_Input'!$G$56="Taux Classe sélectionnée",Distrib_SousDistrib_Classe_Selectionnee*AG$15,IF('01_Input'!$G$56="Frais KYC (paliers de 100M€)",MAX(0,Nb_Investisseurs-Nb_KYC_Gratuites_Par_Tranche*(FLOOR(AG$15/Taille_Tranche_KYC,1)+1))*Cout_Par_KYC_Supplementaire,(IF('01_Input'!$L$56="Forfait",IF(AG$15&gt;='01_Input'!$J$56,'01_Input'!$M$56,0),IF('01_Input'!$L$56="Palier",IF(AND(AG$15&gt;='01_Input'!$J$56,AG$15&lt;'01_Input'!$K$56),'01_Input'!$M$56,0),MAX(MIN(AG$15,'01_Input'!$K$56)-'01_Input'!$J$56,0)*'01_Input'!$M$56))+IF('01_Input'!$P$56="Forfait",IF(AG$15&gt;='01_Input'!$N$56,'01_Input'!$Q$56,0),IF('01_Input'!$P$56="Palier",IF(AND(AG$15&gt;='01_Input'!$N$56,AG$15&lt;'01_Input'!$O$56),'01_Input'!$Q$56,0),MAX(MIN(AG$15,'01_Input'!$O$56)-'01_Input'!$N$56,0)*'01_Input'!$Q$56))+IF('01_Input'!$T$56="Forfait",IF(AG$15&gt;='01_Input'!$R$56,'01_Input'!$U$56,0),IF('01_Input'!$T$56="Palier",IF(AND(AG$15&gt;='01_Input'!$R$56,AG$15&lt;'01_Input'!$S$56),'01_Input'!$U$56,0),MAX(MIN(AG$15,'01_Input'!$S$56)-'01_Input'!$R$56,0)*'01_Input'!$U$56))+IF('01_Input'!$X$56="Forfait",IF(AG$15&gt;='01_Input'!$V$56,'01_Input'!$Y$56,0),IF('01_Input'!$X$56="Palier",IF(AND(AG$15&gt;='01_Input'!$V$56,AG$15&lt;'01_Input'!$W$56),'01_Input'!$Y$56,0),MAX(MIN(AG$15,'01_Input'!$W$56)-'01_Input'!$V$56,0)*'01_Input'!$Y$56))+IF('01_Input'!$AB$56="Forfait",IF(AG$15&gt;='01_Input'!$Z$56,'01_Input'!$AC$56,0),IF('01_Input'!$AB$56="Palier",IF(AND(AG$15&gt;='01_Input'!$Z$56,AG$15&lt;'01_Input'!$AA$56),'01_Input'!$AC$56,0),MAX(MIN(AG$15,'01_Input'!$AA$56)-'01_Input'!$Z$56,0)*'01_Input'!$AC$56))))))))))</f>
        <v/>
      </c>
      <c r="AH47" s="83" t="str">
        <f>IF(AH$15="","",IF('01_Input'!$C$56="Non",0,MIN('01_Input'!$I$56,MAX('01_Input'!$H$56,IF('01_Input'!$G$56="Résiduel vs Gestion",0,IF('01_Input'!$G$56="Taux Classe sélectionnée",Distrib_SousDistrib_Classe_Selectionnee*AH$15,IF('01_Input'!$G$56="Frais KYC (paliers de 100M€)",MAX(0,Nb_Investisseurs-Nb_KYC_Gratuites_Par_Tranche*(FLOOR(AH$15/Taille_Tranche_KYC,1)+1))*Cout_Par_KYC_Supplementaire,(IF('01_Input'!$L$56="Forfait",IF(AH$15&gt;='01_Input'!$J$56,'01_Input'!$M$56,0),IF('01_Input'!$L$56="Palier",IF(AND(AH$15&gt;='01_Input'!$J$56,AH$15&lt;'01_Input'!$K$56),'01_Input'!$M$56,0),MAX(MIN(AH$15,'01_Input'!$K$56)-'01_Input'!$J$56,0)*'01_Input'!$M$56))+IF('01_Input'!$P$56="Forfait",IF(AH$15&gt;='01_Input'!$N$56,'01_Input'!$Q$56,0),IF('01_Input'!$P$56="Palier",IF(AND(AH$15&gt;='01_Input'!$N$56,AH$15&lt;'01_Input'!$O$56),'01_Input'!$Q$56,0),MAX(MIN(AH$15,'01_Input'!$O$56)-'01_Input'!$N$56,0)*'01_Input'!$Q$56))+IF('01_Input'!$T$56="Forfait",IF(AH$15&gt;='01_Input'!$R$56,'01_Input'!$U$56,0),IF('01_Input'!$T$56="Palier",IF(AND(AH$15&gt;='01_Input'!$R$56,AH$15&lt;'01_Input'!$S$56),'01_Input'!$U$56,0),MAX(MIN(AH$15,'01_Input'!$S$56)-'01_Input'!$R$56,0)*'01_Input'!$U$56))+IF('01_Input'!$X$56="Forfait",IF(AH$15&gt;='01_Input'!$V$56,'01_Input'!$Y$56,0),IF('01_Input'!$X$56="Palier",IF(AND(AH$15&gt;='01_Input'!$V$56,AH$15&lt;'01_Input'!$W$56),'01_Input'!$Y$56,0),MAX(MIN(AH$15,'01_Input'!$W$56)-'01_Input'!$V$56,0)*'01_Input'!$Y$56))+IF('01_Input'!$AB$56="Forfait",IF(AH$15&gt;='01_Input'!$Z$56,'01_Input'!$AC$56,0),IF('01_Input'!$AB$56="Palier",IF(AND(AH$15&gt;='01_Input'!$Z$56,AH$15&lt;'01_Input'!$AA$56),'01_Input'!$AC$56,0),MAX(MIN(AH$15,'01_Input'!$AA$56)-'01_Input'!$Z$56,0)*'01_Input'!$AC$56))))))))))</f>
        <v/>
      </c>
      <c r="AI47" s="83" t="str">
        <f>IF(AI$15="","",IF('01_Input'!$C$56="Non",0,MIN('01_Input'!$I$56,MAX('01_Input'!$H$56,IF('01_Input'!$G$56="Résiduel vs Gestion",0,IF('01_Input'!$G$56="Taux Classe sélectionnée",Distrib_SousDistrib_Classe_Selectionnee*AI$15,IF('01_Input'!$G$56="Frais KYC (paliers de 100M€)",MAX(0,Nb_Investisseurs-Nb_KYC_Gratuites_Par_Tranche*(FLOOR(AI$15/Taille_Tranche_KYC,1)+1))*Cout_Par_KYC_Supplementaire,(IF('01_Input'!$L$56="Forfait",IF(AI$15&gt;='01_Input'!$J$56,'01_Input'!$M$56,0),IF('01_Input'!$L$56="Palier",IF(AND(AI$15&gt;='01_Input'!$J$56,AI$15&lt;'01_Input'!$K$56),'01_Input'!$M$56,0),MAX(MIN(AI$15,'01_Input'!$K$56)-'01_Input'!$J$56,0)*'01_Input'!$M$56))+IF('01_Input'!$P$56="Forfait",IF(AI$15&gt;='01_Input'!$N$56,'01_Input'!$Q$56,0),IF('01_Input'!$P$56="Palier",IF(AND(AI$15&gt;='01_Input'!$N$56,AI$15&lt;'01_Input'!$O$56),'01_Input'!$Q$56,0),MAX(MIN(AI$15,'01_Input'!$O$56)-'01_Input'!$N$56,0)*'01_Input'!$Q$56))+IF('01_Input'!$T$56="Forfait",IF(AI$15&gt;='01_Input'!$R$56,'01_Input'!$U$56,0),IF('01_Input'!$T$56="Palier",IF(AND(AI$15&gt;='01_Input'!$R$56,AI$15&lt;'01_Input'!$S$56),'01_Input'!$U$56,0),MAX(MIN(AI$15,'01_Input'!$S$56)-'01_Input'!$R$56,0)*'01_Input'!$U$56))+IF('01_Input'!$X$56="Forfait",IF(AI$15&gt;='01_Input'!$V$56,'01_Input'!$Y$56,0),IF('01_Input'!$X$56="Palier",IF(AND(AI$15&gt;='01_Input'!$V$56,AI$15&lt;'01_Input'!$W$56),'01_Input'!$Y$56,0),MAX(MIN(AI$15,'01_Input'!$W$56)-'01_Input'!$V$56,0)*'01_Input'!$Y$56))+IF('01_Input'!$AB$56="Forfait",IF(AI$15&gt;='01_Input'!$Z$56,'01_Input'!$AC$56,0),IF('01_Input'!$AB$56="Palier",IF(AND(AI$15&gt;='01_Input'!$Z$56,AI$15&lt;'01_Input'!$AA$56),'01_Input'!$AC$56,0),MAX(MIN(AI$15,'01_Input'!$AA$56)-'01_Input'!$Z$56,0)*'01_Input'!$AC$56))))))))))</f>
        <v/>
      </c>
      <c r="AJ47" s="83" t="str">
        <f>IF(AJ$15="","",IF('01_Input'!$C$56="Non",0,MIN('01_Input'!$I$56,MAX('01_Input'!$H$56,IF('01_Input'!$G$56="Résiduel vs Gestion",0,IF('01_Input'!$G$56="Taux Classe sélectionnée",Distrib_SousDistrib_Classe_Selectionnee*AJ$15,IF('01_Input'!$G$56="Frais KYC (paliers de 100M€)",MAX(0,Nb_Investisseurs-Nb_KYC_Gratuites_Par_Tranche*(FLOOR(AJ$15/Taille_Tranche_KYC,1)+1))*Cout_Par_KYC_Supplementaire,(IF('01_Input'!$L$56="Forfait",IF(AJ$15&gt;='01_Input'!$J$56,'01_Input'!$M$56,0),IF('01_Input'!$L$56="Palier",IF(AND(AJ$15&gt;='01_Input'!$J$56,AJ$15&lt;'01_Input'!$K$56),'01_Input'!$M$56,0),MAX(MIN(AJ$15,'01_Input'!$K$56)-'01_Input'!$J$56,0)*'01_Input'!$M$56))+IF('01_Input'!$P$56="Forfait",IF(AJ$15&gt;='01_Input'!$N$56,'01_Input'!$Q$56,0),IF('01_Input'!$P$56="Palier",IF(AND(AJ$15&gt;='01_Input'!$N$56,AJ$15&lt;'01_Input'!$O$56),'01_Input'!$Q$56,0),MAX(MIN(AJ$15,'01_Input'!$O$56)-'01_Input'!$N$56,0)*'01_Input'!$Q$56))+IF('01_Input'!$T$56="Forfait",IF(AJ$15&gt;='01_Input'!$R$56,'01_Input'!$U$56,0),IF('01_Input'!$T$56="Palier",IF(AND(AJ$15&gt;='01_Input'!$R$56,AJ$15&lt;'01_Input'!$S$56),'01_Input'!$U$56,0),MAX(MIN(AJ$15,'01_Input'!$S$56)-'01_Input'!$R$56,0)*'01_Input'!$U$56))+IF('01_Input'!$X$56="Forfait",IF(AJ$15&gt;='01_Input'!$V$56,'01_Input'!$Y$56,0),IF('01_Input'!$X$56="Palier",IF(AND(AJ$15&gt;='01_Input'!$V$56,AJ$15&lt;'01_Input'!$W$56),'01_Input'!$Y$56,0),MAX(MIN(AJ$15,'01_Input'!$W$56)-'01_Input'!$V$56,0)*'01_Input'!$Y$56))+IF('01_Input'!$AB$56="Forfait",IF(AJ$15&gt;='01_Input'!$Z$56,'01_Input'!$AC$56,0),IF('01_Input'!$AB$56="Palier",IF(AND(AJ$15&gt;='01_Input'!$Z$56,AJ$15&lt;'01_Input'!$AA$56),'01_Input'!$AC$56,0),MAX(MIN(AJ$15,'01_Input'!$AA$56)-'01_Input'!$Z$56,0)*'01_Input'!$AC$56))))))))))</f>
        <v/>
      </c>
      <c r="AK47" s="83" t="str">
        <f>IF(AK$15="","",IF('01_Input'!$C$56="Non",0,MIN('01_Input'!$I$56,MAX('01_Input'!$H$56,IF('01_Input'!$G$56="Résiduel vs Gestion",0,IF('01_Input'!$G$56="Taux Classe sélectionnée",Distrib_SousDistrib_Classe_Selectionnee*AK$15,IF('01_Input'!$G$56="Frais KYC (paliers de 100M€)",MAX(0,Nb_Investisseurs-Nb_KYC_Gratuites_Par_Tranche*(FLOOR(AK$15/Taille_Tranche_KYC,1)+1))*Cout_Par_KYC_Supplementaire,(IF('01_Input'!$L$56="Forfait",IF(AK$15&gt;='01_Input'!$J$56,'01_Input'!$M$56,0),IF('01_Input'!$L$56="Palier",IF(AND(AK$15&gt;='01_Input'!$J$56,AK$15&lt;'01_Input'!$K$56),'01_Input'!$M$56,0),MAX(MIN(AK$15,'01_Input'!$K$56)-'01_Input'!$J$56,0)*'01_Input'!$M$56))+IF('01_Input'!$P$56="Forfait",IF(AK$15&gt;='01_Input'!$N$56,'01_Input'!$Q$56,0),IF('01_Input'!$P$56="Palier",IF(AND(AK$15&gt;='01_Input'!$N$56,AK$15&lt;'01_Input'!$O$56),'01_Input'!$Q$56,0),MAX(MIN(AK$15,'01_Input'!$O$56)-'01_Input'!$N$56,0)*'01_Input'!$Q$56))+IF('01_Input'!$T$56="Forfait",IF(AK$15&gt;='01_Input'!$R$56,'01_Input'!$U$56,0),IF('01_Input'!$T$56="Palier",IF(AND(AK$15&gt;='01_Input'!$R$56,AK$15&lt;'01_Input'!$S$56),'01_Input'!$U$56,0),MAX(MIN(AK$15,'01_Input'!$S$56)-'01_Input'!$R$56,0)*'01_Input'!$U$56))+IF('01_Input'!$X$56="Forfait",IF(AK$15&gt;='01_Input'!$V$56,'01_Input'!$Y$56,0),IF('01_Input'!$X$56="Palier",IF(AND(AK$15&gt;='01_Input'!$V$56,AK$15&lt;'01_Input'!$W$56),'01_Input'!$Y$56,0),MAX(MIN(AK$15,'01_Input'!$W$56)-'01_Input'!$V$56,0)*'01_Input'!$Y$56))+IF('01_Input'!$AB$56="Forfait",IF(AK$15&gt;='01_Input'!$Z$56,'01_Input'!$AC$56,0),IF('01_Input'!$AB$56="Palier",IF(AND(AK$15&gt;='01_Input'!$Z$56,AK$15&lt;'01_Input'!$AA$56),'01_Input'!$AC$56,0),MAX(MIN(AK$15,'01_Input'!$AA$56)-'01_Input'!$Z$56,0)*'01_Input'!$AC$56))))))))))</f>
        <v/>
      </c>
      <c r="AL47" s="83" t="str">
        <f>IF(AL$15="","",IF('01_Input'!$C$56="Non",0,MIN('01_Input'!$I$56,MAX('01_Input'!$H$56,IF('01_Input'!$G$56="Résiduel vs Gestion",0,IF('01_Input'!$G$56="Taux Classe sélectionnée",Distrib_SousDistrib_Classe_Selectionnee*AL$15,IF('01_Input'!$G$56="Frais KYC (paliers de 100M€)",MAX(0,Nb_Investisseurs-Nb_KYC_Gratuites_Par_Tranche*(FLOOR(AL$15/Taille_Tranche_KYC,1)+1))*Cout_Par_KYC_Supplementaire,(IF('01_Input'!$L$56="Forfait",IF(AL$15&gt;='01_Input'!$J$56,'01_Input'!$M$56,0),IF('01_Input'!$L$56="Palier",IF(AND(AL$15&gt;='01_Input'!$J$56,AL$15&lt;'01_Input'!$K$56),'01_Input'!$M$56,0),MAX(MIN(AL$15,'01_Input'!$K$56)-'01_Input'!$J$56,0)*'01_Input'!$M$56))+IF('01_Input'!$P$56="Forfait",IF(AL$15&gt;='01_Input'!$N$56,'01_Input'!$Q$56,0),IF('01_Input'!$P$56="Palier",IF(AND(AL$15&gt;='01_Input'!$N$56,AL$15&lt;'01_Input'!$O$56),'01_Input'!$Q$56,0),MAX(MIN(AL$15,'01_Input'!$O$56)-'01_Input'!$N$56,0)*'01_Input'!$Q$56))+IF('01_Input'!$T$56="Forfait",IF(AL$15&gt;='01_Input'!$R$56,'01_Input'!$U$56,0),IF('01_Input'!$T$56="Palier",IF(AND(AL$15&gt;='01_Input'!$R$56,AL$15&lt;'01_Input'!$S$56),'01_Input'!$U$56,0),MAX(MIN(AL$15,'01_Input'!$S$56)-'01_Input'!$R$56,0)*'01_Input'!$U$56))+IF('01_Input'!$X$56="Forfait",IF(AL$15&gt;='01_Input'!$V$56,'01_Input'!$Y$56,0),IF('01_Input'!$X$56="Palier",IF(AND(AL$15&gt;='01_Input'!$V$56,AL$15&lt;'01_Input'!$W$56),'01_Input'!$Y$56,0),MAX(MIN(AL$15,'01_Input'!$W$56)-'01_Input'!$V$56,0)*'01_Input'!$Y$56))+IF('01_Input'!$AB$56="Forfait",IF(AL$15&gt;='01_Input'!$Z$56,'01_Input'!$AC$56,0),IF('01_Input'!$AB$56="Palier",IF(AND(AL$15&gt;='01_Input'!$Z$56,AL$15&lt;'01_Input'!$AA$56),'01_Input'!$AC$56,0),MAX(MIN(AL$15,'01_Input'!$AA$56)-'01_Input'!$Z$56,0)*'01_Input'!$AC$56))))))))))</f>
        <v/>
      </c>
      <c r="AM47" s="83" t="str">
        <f>IF(AM$15="","",IF('01_Input'!$C$56="Non",0,MIN('01_Input'!$I$56,MAX('01_Input'!$H$56,IF('01_Input'!$G$56="Résiduel vs Gestion",0,IF('01_Input'!$G$56="Taux Classe sélectionnée",Distrib_SousDistrib_Classe_Selectionnee*AM$15,IF('01_Input'!$G$56="Frais KYC (paliers de 100M€)",MAX(0,Nb_Investisseurs-Nb_KYC_Gratuites_Par_Tranche*(FLOOR(AM$15/Taille_Tranche_KYC,1)+1))*Cout_Par_KYC_Supplementaire,(IF('01_Input'!$L$56="Forfait",IF(AM$15&gt;='01_Input'!$J$56,'01_Input'!$M$56,0),IF('01_Input'!$L$56="Palier",IF(AND(AM$15&gt;='01_Input'!$J$56,AM$15&lt;'01_Input'!$K$56),'01_Input'!$M$56,0),MAX(MIN(AM$15,'01_Input'!$K$56)-'01_Input'!$J$56,0)*'01_Input'!$M$56))+IF('01_Input'!$P$56="Forfait",IF(AM$15&gt;='01_Input'!$N$56,'01_Input'!$Q$56,0),IF('01_Input'!$P$56="Palier",IF(AND(AM$15&gt;='01_Input'!$N$56,AM$15&lt;'01_Input'!$O$56),'01_Input'!$Q$56,0),MAX(MIN(AM$15,'01_Input'!$O$56)-'01_Input'!$N$56,0)*'01_Input'!$Q$56))+IF('01_Input'!$T$56="Forfait",IF(AM$15&gt;='01_Input'!$R$56,'01_Input'!$U$56,0),IF('01_Input'!$T$56="Palier",IF(AND(AM$15&gt;='01_Input'!$R$56,AM$15&lt;'01_Input'!$S$56),'01_Input'!$U$56,0),MAX(MIN(AM$15,'01_Input'!$S$56)-'01_Input'!$R$56,0)*'01_Input'!$U$56))+IF('01_Input'!$X$56="Forfait",IF(AM$15&gt;='01_Input'!$V$56,'01_Input'!$Y$56,0),IF('01_Input'!$X$56="Palier",IF(AND(AM$15&gt;='01_Input'!$V$56,AM$15&lt;'01_Input'!$W$56),'01_Input'!$Y$56,0),MAX(MIN(AM$15,'01_Input'!$W$56)-'01_Input'!$V$56,0)*'01_Input'!$Y$56))+IF('01_Input'!$AB$56="Forfait",IF(AM$15&gt;='01_Input'!$Z$56,'01_Input'!$AC$56,0),IF('01_Input'!$AB$56="Palier",IF(AND(AM$15&gt;='01_Input'!$Z$56,AM$15&lt;'01_Input'!$AA$56),'01_Input'!$AC$56,0),MAX(MIN(AM$15,'01_Input'!$AA$56)-'01_Input'!$Z$56,0)*'01_Input'!$AC$56))))))))))</f>
        <v/>
      </c>
    </row>
    <row r="48" ht="15.75" customHeight="1">
      <c r="B48" s="40" t="str">
        <f t="shared" si="1"/>
        <v>Commission Dépositaire (BFCM)</v>
      </c>
      <c r="D48" s="25">
        <f>IF(D$15="","",IF('01_Input'!$C$57="Non",0,MIN('01_Input'!$I$57,MAX('01_Input'!$H$57,IF('01_Input'!$G$57="Résiduel vs Gestion",0,IF('01_Input'!$G$57="Taux Classe sélectionnée",Distrib_Global_Classe_Selectionnee*D$15,IF('01_Input'!$G$57="Frais KYC (paliers de 100M€)",MAX(0,Nb_Investisseurs-Nb_KYC_Gratuites_Par_Tranche*(FLOOR(D$15/Taille_Tranche_KYC,1)+1))*Cout_Par_KYC_Supplementaire,(IF('01_Input'!$L$57="Forfait",IF(D$15&gt;='01_Input'!$J$57,'01_Input'!$M$57,0),IF('01_Input'!$L$57="Palier",IF(AND(D$15&gt;='01_Input'!$J$57,D$15&lt;'01_Input'!$K$57),'01_Input'!$M$57,0),MAX(MIN(D$15,'01_Input'!$K$57)-'01_Input'!$J$57,0)*'01_Input'!$M$57))+IF('01_Input'!$P$57="Forfait",IF(D$15&gt;='01_Input'!$N$57,'01_Input'!$Q$57,0),IF('01_Input'!$P$57="Palier",IF(AND(D$15&gt;='01_Input'!$N$57,D$15&lt;'01_Input'!$O$57),'01_Input'!$Q$57,0),MAX(MIN(D$15,'01_Input'!$O$57)-'01_Input'!$N$57,0)*'01_Input'!$Q$57))+IF('01_Input'!$T$57="Forfait",IF(D$15&gt;='01_Input'!$R$57,'01_Input'!$U$57,0),IF('01_Input'!$T$57="Palier",IF(AND(D$15&gt;='01_Input'!$R$57,D$15&lt;'01_Input'!$S$57),'01_Input'!$U$57,0),MAX(MIN(D$15,'01_Input'!$S$57)-'01_Input'!$R$57,0)*'01_Input'!$U$57))+IF('01_Input'!$X$57="Forfait",IF(D$15&gt;='01_Input'!$V$57,'01_Input'!$Y$57,0),IF('01_Input'!$X$57="Palier",IF(AND(D$15&gt;='01_Input'!$V$57,D$15&lt;'01_Input'!$W$57),'01_Input'!$Y$57,0),MAX(MIN(D$15,'01_Input'!$W$57)-'01_Input'!$V$57,0)*'01_Input'!$Y$57))+IF('01_Input'!$AB$57="Forfait",IF(D$15&gt;='01_Input'!$Z$57,'01_Input'!$AC$57,0),IF('01_Input'!$AB$57="Palier",IF(AND(D$15&gt;='01_Input'!$Z$57,D$15&lt;'01_Input'!$AA$57),'01_Input'!$AC$57,0),MAX(MIN(D$15,'01_Input'!$AA$57)-'01_Input'!$Z$57,0)*'01_Input'!$AC$57))))))))))</f>
        <v>12000</v>
      </c>
      <c r="E48" s="25">
        <f>IF(E$15="","",IF('01_Input'!$C$57="Non",0,MIN('01_Input'!$I$57,MAX('01_Input'!$H$57,IF('01_Input'!$G$57="Résiduel vs Gestion",0,IF('01_Input'!$G$57="Taux Classe sélectionnée",Distrib_Global_Classe_Selectionnee*E$15,IF('01_Input'!$G$57="Frais KYC (paliers de 100M€)",MAX(0,Nb_Investisseurs-Nb_KYC_Gratuites_Par_Tranche*(FLOOR(E$15/Taille_Tranche_KYC,1)+1))*Cout_Par_KYC_Supplementaire,(IF('01_Input'!$L$57="Forfait",IF(E$15&gt;='01_Input'!$J$57,'01_Input'!$M$57,0),IF('01_Input'!$L$57="Palier",IF(AND(E$15&gt;='01_Input'!$J$57,E$15&lt;'01_Input'!$K$57),'01_Input'!$M$57,0),MAX(MIN(E$15,'01_Input'!$K$57)-'01_Input'!$J$57,0)*'01_Input'!$M$57))+IF('01_Input'!$P$57="Forfait",IF(E$15&gt;='01_Input'!$N$57,'01_Input'!$Q$57,0),IF('01_Input'!$P$57="Palier",IF(AND(E$15&gt;='01_Input'!$N$57,E$15&lt;'01_Input'!$O$57),'01_Input'!$Q$57,0),MAX(MIN(E$15,'01_Input'!$O$57)-'01_Input'!$N$57,0)*'01_Input'!$Q$57))+IF('01_Input'!$T$57="Forfait",IF(E$15&gt;='01_Input'!$R$57,'01_Input'!$U$57,0),IF('01_Input'!$T$57="Palier",IF(AND(E$15&gt;='01_Input'!$R$57,E$15&lt;'01_Input'!$S$57),'01_Input'!$U$57,0),MAX(MIN(E$15,'01_Input'!$S$57)-'01_Input'!$R$57,0)*'01_Input'!$U$57))+IF('01_Input'!$X$57="Forfait",IF(E$15&gt;='01_Input'!$V$57,'01_Input'!$Y$57,0),IF('01_Input'!$X$57="Palier",IF(AND(E$15&gt;='01_Input'!$V$57,E$15&lt;'01_Input'!$W$57),'01_Input'!$Y$57,0),MAX(MIN(E$15,'01_Input'!$W$57)-'01_Input'!$V$57,0)*'01_Input'!$Y$57))+IF('01_Input'!$AB$57="Forfait",IF(E$15&gt;='01_Input'!$Z$57,'01_Input'!$AC$57,0),IF('01_Input'!$AB$57="Palier",IF(AND(E$15&gt;='01_Input'!$Z$57,E$15&lt;'01_Input'!$AA$57),'01_Input'!$AC$57,0),MAX(MIN(E$15,'01_Input'!$AA$57)-'01_Input'!$Z$57,0)*'01_Input'!$AC$57))))))))))</f>
        <v>12000</v>
      </c>
      <c r="F48" s="25" t="str">
        <f>IF(F$15="","",IF('01_Input'!$C$57="Non",0,MIN('01_Input'!$I$57,MAX('01_Input'!$H$57,IF('01_Input'!$G$57="Résiduel vs Gestion",0,IF('01_Input'!$G$57="Taux Classe sélectionnée",Distrib_Global_Classe_Selectionnee*F$15,IF('01_Input'!$G$57="Frais KYC (paliers de 100M€)",MAX(0,Nb_Investisseurs-Nb_KYC_Gratuites_Par_Tranche*(FLOOR(F$15/Taille_Tranche_KYC,1)+1))*Cout_Par_KYC_Supplementaire,(IF('01_Input'!$L$57="Forfait",IF(F$15&gt;='01_Input'!$J$57,'01_Input'!$M$57,0),IF('01_Input'!$L$57="Palier",IF(AND(F$15&gt;='01_Input'!$J$57,F$15&lt;'01_Input'!$K$57),'01_Input'!$M$57,0),MAX(MIN(F$15,'01_Input'!$K$57)-'01_Input'!$J$57,0)*'01_Input'!$M$57))+IF('01_Input'!$P$57="Forfait",IF(F$15&gt;='01_Input'!$N$57,'01_Input'!$Q$57,0),IF('01_Input'!$P$57="Palier",IF(AND(F$15&gt;='01_Input'!$N$57,F$15&lt;'01_Input'!$O$57),'01_Input'!$Q$57,0),MAX(MIN(F$15,'01_Input'!$O$57)-'01_Input'!$N$57,0)*'01_Input'!$Q$57))+IF('01_Input'!$T$57="Forfait",IF(F$15&gt;='01_Input'!$R$57,'01_Input'!$U$57,0),IF('01_Input'!$T$57="Palier",IF(AND(F$15&gt;='01_Input'!$R$57,F$15&lt;'01_Input'!$S$57),'01_Input'!$U$57,0),MAX(MIN(F$15,'01_Input'!$S$57)-'01_Input'!$R$57,0)*'01_Input'!$U$57))+IF('01_Input'!$X$57="Forfait",IF(F$15&gt;='01_Input'!$V$57,'01_Input'!$Y$57,0),IF('01_Input'!$X$57="Palier",IF(AND(F$15&gt;='01_Input'!$V$57,F$15&lt;'01_Input'!$W$57),'01_Input'!$Y$57,0),MAX(MIN(F$15,'01_Input'!$W$57)-'01_Input'!$V$57,0)*'01_Input'!$Y$57))+IF('01_Input'!$AB$57="Forfait",IF(F$15&gt;='01_Input'!$Z$57,'01_Input'!$AC$57,0),IF('01_Input'!$AB$57="Palier",IF(AND(F$15&gt;='01_Input'!$Z$57,F$15&lt;'01_Input'!$AA$57),'01_Input'!$AC$57,0),MAX(MIN(F$15,'01_Input'!$AA$57)-'01_Input'!$Z$57,0)*'01_Input'!$AC$57))))))))))</f>
        <v/>
      </c>
      <c r="G48" s="25" t="str">
        <f>IF(G$15="","",IF('01_Input'!$C$57="Non",0,MIN('01_Input'!$I$57,MAX('01_Input'!$H$57,IF('01_Input'!$G$57="Résiduel vs Gestion",0,IF('01_Input'!$G$57="Taux Classe sélectionnée",Distrib_Global_Classe_Selectionnee*G$15,IF('01_Input'!$G$57="Frais KYC (paliers de 100M€)",MAX(0,Nb_Investisseurs-Nb_KYC_Gratuites_Par_Tranche*(FLOOR(G$15/Taille_Tranche_KYC,1)+1))*Cout_Par_KYC_Supplementaire,(IF('01_Input'!$L$57="Forfait",IF(G$15&gt;='01_Input'!$J$57,'01_Input'!$M$57,0),IF('01_Input'!$L$57="Palier",IF(AND(G$15&gt;='01_Input'!$J$57,G$15&lt;'01_Input'!$K$57),'01_Input'!$M$57,0),MAX(MIN(G$15,'01_Input'!$K$57)-'01_Input'!$J$57,0)*'01_Input'!$M$57))+IF('01_Input'!$P$57="Forfait",IF(G$15&gt;='01_Input'!$N$57,'01_Input'!$Q$57,0),IF('01_Input'!$P$57="Palier",IF(AND(G$15&gt;='01_Input'!$N$57,G$15&lt;'01_Input'!$O$57),'01_Input'!$Q$57,0),MAX(MIN(G$15,'01_Input'!$O$57)-'01_Input'!$N$57,0)*'01_Input'!$Q$57))+IF('01_Input'!$T$57="Forfait",IF(G$15&gt;='01_Input'!$R$57,'01_Input'!$U$57,0),IF('01_Input'!$T$57="Palier",IF(AND(G$15&gt;='01_Input'!$R$57,G$15&lt;'01_Input'!$S$57),'01_Input'!$U$57,0),MAX(MIN(G$15,'01_Input'!$S$57)-'01_Input'!$R$57,0)*'01_Input'!$U$57))+IF('01_Input'!$X$57="Forfait",IF(G$15&gt;='01_Input'!$V$57,'01_Input'!$Y$57,0),IF('01_Input'!$X$57="Palier",IF(AND(G$15&gt;='01_Input'!$V$57,G$15&lt;'01_Input'!$W$57),'01_Input'!$Y$57,0),MAX(MIN(G$15,'01_Input'!$W$57)-'01_Input'!$V$57,0)*'01_Input'!$Y$57))+IF('01_Input'!$AB$57="Forfait",IF(G$15&gt;='01_Input'!$Z$57,'01_Input'!$AC$57,0),IF('01_Input'!$AB$57="Palier",IF(AND(G$15&gt;='01_Input'!$Z$57,G$15&lt;'01_Input'!$AA$57),'01_Input'!$AC$57,0),MAX(MIN(G$15,'01_Input'!$AA$57)-'01_Input'!$Z$57,0)*'01_Input'!$AC$57))))))))))</f>
        <v/>
      </c>
      <c r="H48" s="25" t="str">
        <f>IF(H$15="","",IF('01_Input'!$C$57="Non",0,MIN('01_Input'!$I$57,MAX('01_Input'!$H$57,IF('01_Input'!$G$57="Résiduel vs Gestion",0,IF('01_Input'!$G$57="Taux Classe sélectionnée",Distrib_Global_Classe_Selectionnee*H$15,IF('01_Input'!$G$57="Frais KYC (paliers de 100M€)",MAX(0,Nb_Investisseurs-Nb_KYC_Gratuites_Par_Tranche*(FLOOR(H$15/Taille_Tranche_KYC,1)+1))*Cout_Par_KYC_Supplementaire,(IF('01_Input'!$L$57="Forfait",IF(H$15&gt;='01_Input'!$J$57,'01_Input'!$M$57,0),IF('01_Input'!$L$57="Palier",IF(AND(H$15&gt;='01_Input'!$J$57,H$15&lt;'01_Input'!$K$57),'01_Input'!$M$57,0),MAX(MIN(H$15,'01_Input'!$K$57)-'01_Input'!$J$57,0)*'01_Input'!$M$57))+IF('01_Input'!$P$57="Forfait",IF(H$15&gt;='01_Input'!$N$57,'01_Input'!$Q$57,0),IF('01_Input'!$P$57="Palier",IF(AND(H$15&gt;='01_Input'!$N$57,H$15&lt;'01_Input'!$O$57),'01_Input'!$Q$57,0),MAX(MIN(H$15,'01_Input'!$O$57)-'01_Input'!$N$57,0)*'01_Input'!$Q$57))+IF('01_Input'!$T$57="Forfait",IF(H$15&gt;='01_Input'!$R$57,'01_Input'!$U$57,0),IF('01_Input'!$T$57="Palier",IF(AND(H$15&gt;='01_Input'!$R$57,H$15&lt;'01_Input'!$S$57),'01_Input'!$U$57,0),MAX(MIN(H$15,'01_Input'!$S$57)-'01_Input'!$R$57,0)*'01_Input'!$U$57))+IF('01_Input'!$X$57="Forfait",IF(H$15&gt;='01_Input'!$V$57,'01_Input'!$Y$57,0),IF('01_Input'!$X$57="Palier",IF(AND(H$15&gt;='01_Input'!$V$57,H$15&lt;'01_Input'!$W$57),'01_Input'!$Y$57,0),MAX(MIN(H$15,'01_Input'!$W$57)-'01_Input'!$V$57,0)*'01_Input'!$Y$57))+IF('01_Input'!$AB$57="Forfait",IF(H$15&gt;='01_Input'!$Z$57,'01_Input'!$AC$57,0),IF('01_Input'!$AB$57="Palier",IF(AND(H$15&gt;='01_Input'!$Z$57,H$15&lt;'01_Input'!$AA$57),'01_Input'!$AC$57,0),MAX(MIN(H$15,'01_Input'!$AA$57)-'01_Input'!$Z$57,0)*'01_Input'!$AC$57))))))))))</f>
        <v/>
      </c>
      <c r="I48" s="25" t="str">
        <f>IF(I$15="","",IF('01_Input'!$C$57="Non",0,MIN('01_Input'!$I$57,MAX('01_Input'!$H$57,IF('01_Input'!$G$57="Résiduel vs Gestion",0,IF('01_Input'!$G$57="Taux Classe sélectionnée",Distrib_Global_Classe_Selectionnee*I$15,IF('01_Input'!$G$57="Frais KYC (paliers de 100M€)",MAX(0,Nb_Investisseurs-Nb_KYC_Gratuites_Par_Tranche*(FLOOR(I$15/Taille_Tranche_KYC,1)+1))*Cout_Par_KYC_Supplementaire,(IF('01_Input'!$L$57="Forfait",IF(I$15&gt;='01_Input'!$J$57,'01_Input'!$M$57,0),IF('01_Input'!$L$57="Palier",IF(AND(I$15&gt;='01_Input'!$J$57,I$15&lt;'01_Input'!$K$57),'01_Input'!$M$57,0),MAX(MIN(I$15,'01_Input'!$K$57)-'01_Input'!$J$57,0)*'01_Input'!$M$57))+IF('01_Input'!$P$57="Forfait",IF(I$15&gt;='01_Input'!$N$57,'01_Input'!$Q$57,0),IF('01_Input'!$P$57="Palier",IF(AND(I$15&gt;='01_Input'!$N$57,I$15&lt;'01_Input'!$O$57),'01_Input'!$Q$57,0),MAX(MIN(I$15,'01_Input'!$O$57)-'01_Input'!$N$57,0)*'01_Input'!$Q$57))+IF('01_Input'!$T$57="Forfait",IF(I$15&gt;='01_Input'!$R$57,'01_Input'!$U$57,0),IF('01_Input'!$T$57="Palier",IF(AND(I$15&gt;='01_Input'!$R$57,I$15&lt;'01_Input'!$S$57),'01_Input'!$U$57,0),MAX(MIN(I$15,'01_Input'!$S$57)-'01_Input'!$R$57,0)*'01_Input'!$U$57))+IF('01_Input'!$X$57="Forfait",IF(I$15&gt;='01_Input'!$V$57,'01_Input'!$Y$57,0),IF('01_Input'!$X$57="Palier",IF(AND(I$15&gt;='01_Input'!$V$57,I$15&lt;'01_Input'!$W$57),'01_Input'!$Y$57,0),MAX(MIN(I$15,'01_Input'!$W$57)-'01_Input'!$V$57,0)*'01_Input'!$Y$57))+IF('01_Input'!$AB$57="Forfait",IF(I$15&gt;='01_Input'!$Z$57,'01_Input'!$AC$57,0),IF('01_Input'!$AB$57="Palier",IF(AND(I$15&gt;='01_Input'!$Z$57,I$15&lt;'01_Input'!$AA$57),'01_Input'!$AC$57,0),MAX(MIN(I$15,'01_Input'!$AA$57)-'01_Input'!$Z$57,0)*'01_Input'!$AC$57))))))))))</f>
        <v/>
      </c>
      <c r="J48" s="25" t="str">
        <f>IF(J$15="","",IF('01_Input'!$C$57="Non",0,MIN('01_Input'!$I$57,MAX('01_Input'!$H$57,IF('01_Input'!$G$57="Résiduel vs Gestion",0,IF('01_Input'!$G$57="Taux Classe sélectionnée",Distrib_Global_Classe_Selectionnee*J$15,IF('01_Input'!$G$57="Frais KYC (paliers de 100M€)",MAX(0,Nb_Investisseurs-Nb_KYC_Gratuites_Par_Tranche*(FLOOR(J$15/Taille_Tranche_KYC,1)+1))*Cout_Par_KYC_Supplementaire,(IF('01_Input'!$L$57="Forfait",IF(J$15&gt;='01_Input'!$J$57,'01_Input'!$M$57,0),IF('01_Input'!$L$57="Palier",IF(AND(J$15&gt;='01_Input'!$J$57,J$15&lt;'01_Input'!$K$57),'01_Input'!$M$57,0),MAX(MIN(J$15,'01_Input'!$K$57)-'01_Input'!$J$57,0)*'01_Input'!$M$57))+IF('01_Input'!$P$57="Forfait",IF(J$15&gt;='01_Input'!$N$57,'01_Input'!$Q$57,0),IF('01_Input'!$P$57="Palier",IF(AND(J$15&gt;='01_Input'!$N$57,J$15&lt;'01_Input'!$O$57),'01_Input'!$Q$57,0),MAX(MIN(J$15,'01_Input'!$O$57)-'01_Input'!$N$57,0)*'01_Input'!$Q$57))+IF('01_Input'!$T$57="Forfait",IF(J$15&gt;='01_Input'!$R$57,'01_Input'!$U$57,0),IF('01_Input'!$T$57="Palier",IF(AND(J$15&gt;='01_Input'!$R$57,J$15&lt;'01_Input'!$S$57),'01_Input'!$U$57,0),MAX(MIN(J$15,'01_Input'!$S$57)-'01_Input'!$R$57,0)*'01_Input'!$U$57))+IF('01_Input'!$X$57="Forfait",IF(J$15&gt;='01_Input'!$V$57,'01_Input'!$Y$57,0),IF('01_Input'!$X$57="Palier",IF(AND(J$15&gt;='01_Input'!$V$57,J$15&lt;'01_Input'!$W$57),'01_Input'!$Y$57,0),MAX(MIN(J$15,'01_Input'!$W$57)-'01_Input'!$V$57,0)*'01_Input'!$Y$57))+IF('01_Input'!$AB$57="Forfait",IF(J$15&gt;='01_Input'!$Z$57,'01_Input'!$AC$57,0),IF('01_Input'!$AB$57="Palier",IF(AND(J$15&gt;='01_Input'!$Z$57,J$15&lt;'01_Input'!$AA$57),'01_Input'!$AC$57,0),MAX(MIN(J$15,'01_Input'!$AA$57)-'01_Input'!$Z$57,0)*'01_Input'!$AC$57))))))))))</f>
        <v/>
      </c>
      <c r="K48" s="25" t="str">
        <f>IF(K$15="","",IF('01_Input'!$C$57="Non",0,MIN('01_Input'!$I$57,MAX('01_Input'!$H$57,IF('01_Input'!$G$57="Résiduel vs Gestion",0,IF('01_Input'!$G$57="Taux Classe sélectionnée",Distrib_Global_Classe_Selectionnee*K$15,IF('01_Input'!$G$57="Frais KYC (paliers de 100M€)",MAX(0,Nb_Investisseurs-Nb_KYC_Gratuites_Par_Tranche*(FLOOR(K$15/Taille_Tranche_KYC,1)+1))*Cout_Par_KYC_Supplementaire,(IF('01_Input'!$L$57="Forfait",IF(K$15&gt;='01_Input'!$J$57,'01_Input'!$M$57,0),IF('01_Input'!$L$57="Palier",IF(AND(K$15&gt;='01_Input'!$J$57,K$15&lt;'01_Input'!$K$57),'01_Input'!$M$57,0),MAX(MIN(K$15,'01_Input'!$K$57)-'01_Input'!$J$57,0)*'01_Input'!$M$57))+IF('01_Input'!$P$57="Forfait",IF(K$15&gt;='01_Input'!$N$57,'01_Input'!$Q$57,0),IF('01_Input'!$P$57="Palier",IF(AND(K$15&gt;='01_Input'!$N$57,K$15&lt;'01_Input'!$O$57),'01_Input'!$Q$57,0),MAX(MIN(K$15,'01_Input'!$O$57)-'01_Input'!$N$57,0)*'01_Input'!$Q$57))+IF('01_Input'!$T$57="Forfait",IF(K$15&gt;='01_Input'!$R$57,'01_Input'!$U$57,0),IF('01_Input'!$T$57="Palier",IF(AND(K$15&gt;='01_Input'!$R$57,K$15&lt;'01_Input'!$S$57),'01_Input'!$U$57,0),MAX(MIN(K$15,'01_Input'!$S$57)-'01_Input'!$R$57,0)*'01_Input'!$U$57))+IF('01_Input'!$X$57="Forfait",IF(K$15&gt;='01_Input'!$V$57,'01_Input'!$Y$57,0),IF('01_Input'!$X$57="Palier",IF(AND(K$15&gt;='01_Input'!$V$57,K$15&lt;'01_Input'!$W$57),'01_Input'!$Y$57,0),MAX(MIN(K$15,'01_Input'!$W$57)-'01_Input'!$V$57,0)*'01_Input'!$Y$57))+IF('01_Input'!$AB$57="Forfait",IF(K$15&gt;='01_Input'!$Z$57,'01_Input'!$AC$57,0),IF('01_Input'!$AB$57="Palier",IF(AND(K$15&gt;='01_Input'!$Z$57,K$15&lt;'01_Input'!$AA$57),'01_Input'!$AC$57,0),MAX(MIN(K$15,'01_Input'!$AA$57)-'01_Input'!$Z$57,0)*'01_Input'!$AC$57))))))))))</f>
        <v/>
      </c>
      <c r="L48" s="25" t="str">
        <f>IF(L$15="","",IF('01_Input'!$C$57="Non",0,MIN('01_Input'!$I$57,MAX('01_Input'!$H$57,IF('01_Input'!$G$57="Résiduel vs Gestion",0,IF('01_Input'!$G$57="Taux Classe sélectionnée",Distrib_Global_Classe_Selectionnee*L$15,IF('01_Input'!$G$57="Frais KYC (paliers de 100M€)",MAX(0,Nb_Investisseurs-Nb_KYC_Gratuites_Par_Tranche*(FLOOR(L$15/Taille_Tranche_KYC,1)+1))*Cout_Par_KYC_Supplementaire,(IF('01_Input'!$L$57="Forfait",IF(L$15&gt;='01_Input'!$J$57,'01_Input'!$M$57,0),IF('01_Input'!$L$57="Palier",IF(AND(L$15&gt;='01_Input'!$J$57,L$15&lt;'01_Input'!$K$57),'01_Input'!$M$57,0),MAX(MIN(L$15,'01_Input'!$K$57)-'01_Input'!$J$57,0)*'01_Input'!$M$57))+IF('01_Input'!$P$57="Forfait",IF(L$15&gt;='01_Input'!$N$57,'01_Input'!$Q$57,0),IF('01_Input'!$P$57="Palier",IF(AND(L$15&gt;='01_Input'!$N$57,L$15&lt;'01_Input'!$O$57),'01_Input'!$Q$57,0),MAX(MIN(L$15,'01_Input'!$O$57)-'01_Input'!$N$57,0)*'01_Input'!$Q$57))+IF('01_Input'!$T$57="Forfait",IF(L$15&gt;='01_Input'!$R$57,'01_Input'!$U$57,0),IF('01_Input'!$T$57="Palier",IF(AND(L$15&gt;='01_Input'!$R$57,L$15&lt;'01_Input'!$S$57),'01_Input'!$U$57,0),MAX(MIN(L$15,'01_Input'!$S$57)-'01_Input'!$R$57,0)*'01_Input'!$U$57))+IF('01_Input'!$X$57="Forfait",IF(L$15&gt;='01_Input'!$V$57,'01_Input'!$Y$57,0),IF('01_Input'!$X$57="Palier",IF(AND(L$15&gt;='01_Input'!$V$57,L$15&lt;'01_Input'!$W$57),'01_Input'!$Y$57,0),MAX(MIN(L$15,'01_Input'!$W$57)-'01_Input'!$V$57,0)*'01_Input'!$Y$57))+IF('01_Input'!$AB$57="Forfait",IF(L$15&gt;='01_Input'!$Z$57,'01_Input'!$AC$57,0),IF('01_Input'!$AB$57="Palier",IF(AND(L$15&gt;='01_Input'!$Z$57,L$15&lt;'01_Input'!$AA$57),'01_Input'!$AC$57,0),MAX(MIN(L$15,'01_Input'!$AA$57)-'01_Input'!$Z$57,0)*'01_Input'!$AC$57))))))))))</f>
        <v/>
      </c>
      <c r="M48" s="25" t="str">
        <f>IF(M$15="","",IF('01_Input'!$C$57="Non",0,MIN('01_Input'!$I$57,MAX('01_Input'!$H$57,IF('01_Input'!$G$57="Résiduel vs Gestion",0,IF('01_Input'!$G$57="Taux Classe sélectionnée",Distrib_Global_Classe_Selectionnee*M$15,IF('01_Input'!$G$57="Frais KYC (paliers de 100M€)",MAX(0,Nb_Investisseurs-Nb_KYC_Gratuites_Par_Tranche*(FLOOR(M$15/Taille_Tranche_KYC,1)+1))*Cout_Par_KYC_Supplementaire,(IF('01_Input'!$L$57="Forfait",IF(M$15&gt;='01_Input'!$J$57,'01_Input'!$M$57,0),IF('01_Input'!$L$57="Palier",IF(AND(M$15&gt;='01_Input'!$J$57,M$15&lt;'01_Input'!$K$57),'01_Input'!$M$57,0),MAX(MIN(M$15,'01_Input'!$K$57)-'01_Input'!$J$57,0)*'01_Input'!$M$57))+IF('01_Input'!$P$57="Forfait",IF(M$15&gt;='01_Input'!$N$57,'01_Input'!$Q$57,0),IF('01_Input'!$P$57="Palier",IF(AND(M$15&gt;='01_Input'!$N$57,M$15&lt;'01_Input'!$O$57),'01_Input'!$Q$57,0),MAX(MIN(M$15,'01_Input'!$O$57)-'01_Input'!$N$57,0)*'01_Input'!$Q$57))+IF('01_Input'!$T$57="Forfait",IF(M$15&gt;='01_Input'!$R$57,'01_Input'!$U$57,0),IF('01_Input'!$T$57="Palier",IF(AND(M$15&gt;='01_Input'!$R$57,M$15&lt;'01_Input'!$S$57),'01_Input'!$U$57,0),MAX(MIN(M$15,'01_Input'!$S$57)-'01_Input'!$R$57,0)*'01_Input'!$U$57))+IF('01_Input'!$X$57="Forfait",IF(M$15&gt;='01_Input'!$V$57,'01_Input'!$Y$57,0),IF('01_Input'!$X$57="Palier",IF(AND(M$15&gt;='01_Input'!$V$57,M$15&lt;'01_Input'!$W$57),'01_Input'!$Y$57,0),MAX(MIN(M$15,'01_Input'!$W$57)-'01_Input'!$V$57,0)*'01_Input'!$Y$57))+IF('01_Input'!$AB$57="Forfait",IF(M$15&gt;='01_Input'!$Z$57,'01_Input'!$AC$57,0),IF('01_Input'!$AB$57="Palier",IF(AND(M$15&gt;='01_Input'!$Z$57,M$15&lt;'01_Input'!$AA$57),'01_Input'!$AC$57,0),MAX(MIN(M$15,'01_Input'!$AA$57)-'01_Input'!$Z$57,0)*'01_Input'!$AC$57))))))))))</f>
        <v/>
      </c>
      <c r="N48" s="25" t="str">
        <f>IF(N$15="","",IF('01_Input'!$C$57="Non",0,MIN('01_Input'!$I$57,MAX('01_Input'!$H$57,IF('01_Input'!$G$57="Résiduel vs Gestion",0,IF('01_Input'!$G$57="Taux Classe sélectionnée",Distrib_Global_Classe_Selectionnee*N$15,IF('01_Input'!$G$57="Frais KYC (paliers de 100M€)",MAX(0,Nb_Investisseurs-Nb_KYC_Gratuites_Par_Tranche*(FLOOR(N$15/Taille_Tranche_KYC,1)+1))*Cout_Par_KYC_Supplementaire,(IF('01_Input'!$L$57="Forfait",IF(N$15&gt;='01_Input'!$J$57,'01_Input'!$M$57,0),IF('01_Input'!$L$57="Palier",IF(AND(N$15&gt;='01_Input'!$J$57,N$15&lt;'01_Input'!$K$57),'01_Input'!$M$57,0),MAX(MIN(N$15,'01_Input'!$K$57)-'01_Input'!$J$57,0)*'01_Input'!$M$57))+IF('01_Input'!$P$57="Forfait",IF(N$15&gt;='01_Input'!$N$57,'01_Input'!$Q$57,0),IF('01_Input'!$P$57="Palier",IF(AND(N$15&gt;='01_Input'!$N$57,N$15&lt;'01_Input'!$O$57),'01_Input'!$Q$57,0),MAX(MIN(N$15,'01_Input'!$O$57)-'01_Input'!$N$57,0)*'01_Input'!$Q$57))+IF('01_Input'!$T$57="Forfait",IF(N$15&gt;='01_Input'!$R$57,'01_Input'!$U$57,0),IF('01_Input'!$T$57="Palier",IF(AND(N$15&gt;='01_Input'!$R$57,N$15&lt;'01_Input'!$S$57),'01_Input'!$U$57,0),MAX(MIN(N$15,'01_Input'!$S$57)-'01_Input'!$R$57,0)*'01_Input'!$U$57))+IF('01_Input'!$X$57="Forfait",IF(N$15&gt;='01_Input'!$V$57,'01_Input'!$Y$57,0),IF('01_Input'!$X$57="Palier",IF(AND(N$15&gt;='01_Input'!$V$57,N$15&lt;'01_Input'!$W$57),'01_Input'!$Y$57,0),MAX(MIN(N$15,'01_Input'!$W$57)-'01_Input'!$V$57,0)*'01_Input'!$Y$57))+IF('01_Input'!$AB$57="Forfait",IF(N$15&gt;='01_Input'!$Z$57,'01_Input'!$AC$57,0),IF('01_Input'!$AB$57="Palier",IF(AND(N$15&gt;='01_Input'!$Z$57,N$15&lt;'01_Input'!$AA$57),'01_Input'!$AC$57,0),MAX(MIN(N$15,'01_Input'!$AA$57)-'01_Input'!$Z$57,0)*'01_Input'!$AC$57))))))))))</f>
        <v/>
      </c>
      <c r="O48" s="25" t="str">
        <f>IF(O$15="","",IF('01_Input'!$C$57="Non",0,MIN('01_Input'!$I$57,MAX('01_Input'!$H$57,IF('01_Input'!$G$57="Résiduel vs Gestion",0,IF('01_Input'!$G$57="Taux Classe sélectionnée",Distrib_Global_Classe_Selectionnee*O$15,IF('01_Input'!$G$57="Frais KYC (paliers de 100M€)",MAX(0,Nb_Investisseurs-Nb_KYC_Gratuites_Par_Tranche*(FLOOR(O$15/Taille_Tranche_KYC,1)+1))*Cout_Par_KYC_Supplementaire,(IF('01_Input'!$L$57="Forfait",IF(O$15&gt;='01_Input'!$J$57,'01_Input'!$M$57,0),IF('01_Input'!$L$57="Palier",IF(AND(O$15&gt;='01_Input'!$J$57,O$15&lt;'01_Input'!$K$57),'01_Input'!$M$57,0),MAX(MIN(O$15,'01_Input'!$K$57)-'01_Input'!$J$57,0)*'01_Input'!$M$57))+IF('01_Input'!$P$57="Forfait",IF(O$15&gt;='01_Input'!$N$57,'01_Input'!$Q$57,0),IF('01_Input'!$P$57="Palier",IF(AND(O$15&gt;='01_Input'!$N$57,O$15&lt;'01_Input'!$O$57),'01_Input'!$Q$57,0),MAX(MIN(O$15,'01_Input'!$O$57)-'01_Input'!$N$57,0)*'01_Input'!$Q$57))+IF('01_Input'!$T$57="Forfait",IF(O$15&gt;='01_Input'!$R$57,'01_Input'!$U$57,0),IF('01_Input'!$T$57="Palier",IF(AND(O$15&gt;='01_Input'!$R$57,O$15&lt;'01_Input'!$S$57),'01_Input'!$U$57,0),MAX(MIN(O$15,'01_Input'!$S$57)-'01_Input'!$R$57,0)*'01_Input'!$U$57))+IF('01_Input'!$X$57="Forfait",IF(O$15&gt;='01_Input'!$V$57,'01_Input'!$Y$57,0),IF('01_Input'!$X$57="Palier",IF(AND(O$15&gt;='01_Input'!$V$57,O$15&lt;'01_Input'!$W$57),'01_Input'!$Y$57,0),MAX(MIN(O$15,'01_Input'!$W$57)-'01_Input'!$V$57,0)*'01_Input'!$Y$57))+IF('01_Input'!$AB$57="Forfait",IF(O$15&gt;='01_Input'!$Z$57,'01_Input'!$AC$57,0),IF('01_Input'!$AB$57="Palier",IF(AND(O$15&gt;='01_Input'!$Z$57,O$15&lt;'01_Input'!$AA$57),'01_Input'!$AC$57,0),MAX(MIN(O$15,'01_Input'!$AA$57)-'01_Input'!$Z$57,0)*'01_Input'!$AC$57))))))))))</f>
        <v/>
      </c>
      <c r="P48" s="25" t="str">
        <f>IF(P$15="","",IF('01_Input'!$C$57="Non",0,MIN('01_Input'!$I$57,MAX('01_Input'!$H$57,IF('01_Input'!$G$57="Résiduel vs Gestion",0,IF('01_Input'!$G$57="Taux Classe sélectionnée",Distrib_Global_Classe_Selectionnee*P$15,IF('01_Input'!$G$57="Frais KYC (paliers de 100M€)",MAX(0,Nb_Investisseurs-Nb_KYC_Gratuites_Par_Tranche*(FLOOR(P$15/Taille_Tranche_KYC,1)+1))*Cout_Par_KYC_Supplementaire,(IF('01_Input'!$L$57="Forfait",IF(P$15&gt;='01_Input'!$J$57,'01_Input'!$M$57,0),IF('01_Input'!$L$57="Palier",IF(AND(P$15&gt;='01_Input'!$J$57,P$15&lt;'01_Input'!$K$57),'01_Input'!$M$57,0),MAX(MIN(P$15,'01_Input'!$K$57)-'01_Input'!$J$57,0)*'01_Input'!$M$57))+IF('01_Input'!$P$57="Forfait",IF(P$15&gt;='01_Input'!$N$57,'01_Input'!$Q$57,0),IF('01_Input'!$P$57="Palier",IF(AND(P$15&gt;='01_Input'!$N$57,P$15&lt;'01_Input'!$O$57),'01_Input'!$Q$57,0),MAX(MIN(P$15,'01_Input'!$O$57)-'01_Input'!$N$57,0)*'01_Input'!$Q$57))+IF('01_Input'!$T$57="Forfait",IF(P$15&gt;='01_Input'!$R$57,'01_Input'!$U$57,0),IF('01_Input'!$T$57="Palier",IF(AND(P$15&gt;='01_Input'!$R$57,P$15&lt;'01_Input'!$S$57),'01_Input'!$U$57,0),MAX(MIN(P$15,'01_Input'!$S$57)-'01_Input'!$R$57,0)*'01_Input'!$U$57))+IF('01_Input'!$X$57="Forfait",IF(P$15&gt;='01_Input'!$V$57,'01_Input'!$Y$57,0),IF('01_Input'!$X$57="Palier",IF(AND(P$15&gt;='01_Input'!$V$57,P$15&lt;'01_Input'!$W$57),'01_Input'!$Y$57,0),MAX(MIN(P$15,'01_Input'!$W$57)-'01_Input'!$V$57,0)*'01_Input'!$Y$57))+IF('01_Input'!$AB$57="Forfait",IF(P$15&gt;='01_Input'!$Z$57,'01_Input'!$AC$57,0),IF('01_Input'!$AB$57="Palier",IF(AND(P$15&gt;='01_Input'!$Z$57,P$15&lt;'01_Input'!$AA$57),'01_Input'!$AC$57,0),MAX(MIN(P$15,'01_Input'!$AA$57)-'01_Input'!$Z$57,0)*'01_Input'!$AC$57))))))))))</f>
        <v/>
      </c>
      <c r="Q48" s="25" t="str">
        <f>IF(Q$15="","",IF('01_Input'!$C$57="Non",0,MIN('01_Input'!$I$57,MAX('01_Input'!$H$57,IF('01_Input'!$G$57="Résiduel vs Gestion",0,IF('01_Input'!$G$57="Taux Classe sélectionnée",Distrib_Global_Classe_Selectionnee*Q$15,IF('01_Input'!$G$57="Frais KYC (paliers de 100M€)",MAX(0,Nb_Investisseurs-Nb_KYC_Gratuites_Par_Tranche*(FLOOR(Q$15/Taille_Tranche_KYC,1)+1))*Cout_Par_KYC_Supplementaire,(IF('01_Input'!$L$57="Forfait",IF(Q$15&gt;='01_Input'!$J$57,'01_Input'!$M$57,0),IF('01_Input'!$L$57="Palier",IF(AND(Q$15&gt;='01_Input'!$J$57,Q$15&lt;'01_Input'!$K$57),'01_Input'!$M$57,0),MAX(MIN(Q$15,'01_Input'!$K$57)-'01_Input'!$J$57,0)*'01_Input'!$M$57))+IF('01_Input'!$P$57="Forfait",IF(Q$15&gt;='01_Input'!$N$57,'01_Input'!$Q$57,0),IF('01_Input'!$P$57="Palier",IF(AND(Q$15&gt;='01_Input'!$N$57,Q$15&lt;'01_Input'!$O$57),'01_Input'!$Q$57,0),MAX(MIN(Q$15,'01_Input'!$O$57)-'01_Input'!$N$57,0)*'01_Input'!$Q$57))+IF('01_Input'!$T$57="Forfait",IF(Q$15&gt;='01_Input'!$R$57,'01_Input'!$U$57,0),IF('01_Input'!$T$57="Palier",IF(AND(Q$15&gt;='01_Input'!$R$57,Q$15&lt;'01_Input'!$S$57),'01_Input'!$U$57,0),MAX(MIN(Q$15,'01_Input'!$S$57)-'01_Input'!$R$57,0)*'01_Input'!$U$57))+IF('01_Input'!$X$57="Forfait",IF(Q$15&gt;='01_Input'!$V$57,'01_Input'!$Y$57,0),IF('01_Input'!$X$57="Palier",IF(AND(Q$15&gt;='01_Input'!$V$57,Q$15&lt;'01_Input'!$W$57),'01_Input'!$Y$57,0),MAX(MIN(Q$15,'01_Input'!$W$57)-'01_Input'!$V$57,0)*'01_Input'!$Y$57))+IF('01_Input'!$AB$57="Forfait",IF(Q$15&gt;='01_Input'!$Z$57,'01_Input'!$AC$57,0),IF('01_Input'!$AB$57="Palier",IF(AND(Q$15&gt;='01_Input'!$Z$57,Q$15&lt;'01_Input'!$AA$57),'01_Input'!$AC$57,0),MAX(MIN(Q$15,'01_Input'!$AA$57)-'01_Input'!$Z$57,0)*'01_Input'!$AC$57))))))))))</f>
        <v/>
      </c>
      <c r="R48" s="25" t="str">
        <f>IF(R$15="","",IF('01_Input'!$C$57="Non",0,MIN('01_Input'!$I$57,MAX('01_Input'!$H$57,IF('01_Input'!$G$57="Résiduel vs Gestion",0,IF('01_Input'!$G$57="Taux Classe sélectionnée",Distrib_Global_Classe_Selectionnee*R$15,IF('01_Input'!$G$57="Frais KYC (paliers de 100M€)",MAX(0,Nb_Investisseurs-Nb_KYC_Gratuites_Par_Tranche*(FLOOR(R$15/Taille_Tranche_KYC,1)+1))*Cout_Par_KYC_Supplementaire,(IF('01_Input'!$L$57="Forfait",IF(R$15&gt;='01_Input'!$J$57,'01_Input'!$M$57,0),IF('01_Input'!$L$57="Palier",IF(AND(R$15&gt;='01_Input'!$J$57,R$15&lt;'01_Input'!$K$57),'01_Input'!$M$57,0),MAX(MIN(R$15,'01_Input'!$K$57)-'01_Input'!$J$57,0)*'01_Input'!$M$57))+IF('01_Input'!$P$57="Forfait",IF(R$15&gt;='01_Input'!$N$57,'01_Input'!$Q$57,0),IF('01_Input'!$P$57="Palier",IF(AND(R$15&gt;='01_Input'!$N$57,R$15&lt;'01_Input'!$O$57),'01_Input'!$Q$57,0),MAX(MIN(R$15,'01_Input'!$O$57)-'01_Input'!$N$57,0)*'01_Input'!$Q$57))+IF('01_Input'!$T$57="Forfait",IF(R$15&gt;='01_Input'!$R$57,'01_Input'!$U$57,0),IF('01_Input'!$T$57="Palier",IF(AND(R$15&gt;='01_Input'!$R$57,R$15&lt;'01_Input'!$S$57),'01_Input'!$U$57,0),MAX(MIN(R$15,'01_Input'!$S$57)-'01_Input'!$R$57,0)*'01_Input'!$U$57))+IF('01_Input'!$X$57="Forfait",IF(R$15&gt;='01_Input'!$V$57,'01_Input'!$Y$57,0),IF('01_Input'!$X$57="Palier",IF(AND(R$15&gt;='01_Input'!$V$57,R$15&lt;'01_Input'!$W$57),'01_Input'!$Y$57,0),MAX(MIN(R$15,'01_Input'!$W$57)-'01_Input'!$V$57,0)*'01_Input'!$Y$57))+IF('01_Input'!$AB$57="Forfait",IF(R$15&gt;='01_Input'!$Z$57,'01_Input'!$AC$57,0),IF('01_Input'!$AB$57="Palier",IF(AND(R$15&gt;='01_Input'!$Z$57,R$15&lt;'01_Input'!$AA$57),'01_Input'!$AC$57,0),MAX(MIN(R$15,'01_Input'!$AA$57)-'01_Input'!$Z$57,0)*'01_Input'!$AC$57))))))))))</f>
        <v/>
      </c>
      <c r="S48" s="25" t="str">
        <f>IF(S$15="","",IF('01_Input'!$C$57="Non",0,MIN('01_Input'!$I$57,MAX('01_Input'!$H$57,IF('01_Input'!$G$57="Résiduel vs Gestion",0,IF('01_Input'!$G$57="Taux Classe sélectionnée",Distrib_Global_Classe_Selectionnee*S$15,IF('01_Input'!$G$57="Frais KYC (paliers de 100M€)",MAX(0,Nb_Investisseurs-Nb_KYC_Gratuites_Par_Tranche*(FLOOR(S$15/Taille_Tranche_KYC,1)+1))*Cout_Par_KYC_Supplementaire,(IF('01_Input'!$L$57="Forfait",IF(S$15&gt;='01_Input'!$J$57,'01_Input'!$M$57,0),IF('01_Input'!$L$57="Palier",IF(AND(S$15&gt;='01_Input'!$J$57,S$15&lt;'01_Input'!$K$57),'01_Input'!$M$57,0),MAX(MIN(S$15,'01_Input'!$K$57)-'01_Input'!$J$57,0)*'01_Input'!$M$57))+IF('01_Input'!$P$57="Forfait",IF(S$15&gt;='01_Input'!$N$57,'01_Input'!$Q$57,0),IF('01_Input'!$P$57="Palier",IF(AND(S$15&gt;='01_Input'!$N$57,S$15&lt;'01_Input'!$O$57),'01_Input'!$Q$57,0),MAX(MIN(S$15,'01_Input'!$O$57)-'01_Input'!$N$57,0)*'01_Input'!$Q$57))+IF('01_Input'!$T$57="Forfait",IF(S$15&gt;='01_Input'!$R$57,'01_Input'!$U$57,0),IF('01_Input'!$T$57="Palier",IF(AND(S$15&gt;='01_Input'!$R$57,S$15&lt;'01_Input'!$S$57),'01_Input'!$U$57,0),MAX(MIN(S$15,'01_Input'!$S$57)-'01_Input'!$R$57,0)*'01_Input'!$U$57))+IF('01_Input'!$X$57="Forfait",IF(S$15&gt;='01_Input'!$V$57,'01_Input'!$Y$57,0),IF('01_Input'!$X$57="Palier",IF(AND(S$15&gt;='01_Input'!$V$57,S$15&lt;'01_Input'!$W$57),'01_Input'!$Y$57,0),MAX(MIN(S$15,'01_Input'!$W$57)-'01_Input'!$V$57,0)*'01_Input'!$Y$57))+IF('01_Input'!$AB$57="Forfait",IF(S$15&gt;='01_Input'!$Z$57,'01_Input'!$AC$57,0),IF('01_Input'!$AB$57="Palier",IF(AND(S$15&gt;='01_Input'!$Z$57,S$15&lt;'01_Input'!$AA$57),'01_Input'!$AC$57,0),MAX(MIN(S$15,'01_Input'!$AA$57)-'01_Input'!$Z$57,0)*'01_Input'!$AC$57))))))))))</f>
        <v/>
      </c>
      <c r="T48" s="25" t="str">
        <f>IF(T$15="","",IF('01_Input'!$C$57="Non",0,MIN('01_Input'!$I$57,MAX('01_Input'!$H$57,IF('01_Input'!$G$57="Résiduel vs Gestion",0,IF('01_Input'!$G$57="Taux Classe sélectionnée",Distrib_Global_Classe_Selectionnee*T$15,IF('01_Input'!$G$57="Frais KYC (paliers de 100M€)",MAX(0,Nb_Investisseurs-Nb_KYC_Gratuites_Par_Tranche*(FLOOR(T$15/Taille_Tranche_KYC,1)+1))*Cout_Par_KYC_Supplementaire,(IF('01_Input'!$L$57="Forfait",IF(T$15&gt;='01_Input'!$J$57,'01_Input'!$M$57,0),IF('01_Input'!$L$57="Palier",IF(AND(T$15&gt;='01_Input'!$J$57,T$15&lt;'01_Input'!$K$57),'01_Input'!$M$57,0),MAX(MIN(T$15,'01_Input'!$K$57)-'01_Input'!$J$57,0)*'01_Input'!$M$57))+IF('01_Input'!$P$57="Forfait",IF(T$15&gt;='01_Input'!$N$57,'01_Input'!$Q$57,0),IF('01_Input'!$P$57="Palier",IF(AND(T$15&gt;='01_Input'!$N$57,T$15&lt;'01_Input'!$O$57),'01_Input'!$Q$57,0),MAX(MIN(T$15,'01_Input'!$O$57)-'01_Input'!$N$57,0)*'01_Input'!$Q$57))+IF('01_Input'!$T$57="Forfait",IF(T$15&gt;='01_Input'!$R$57,'01_Input'!$U$57,0),IF('01_Input'!$T$57="Palier",IF(AND(T$15&gt;='01_Input'!$R$57,T$15&lt;'01_Input'!$S$57),'01_Input'!$U$57,0),MAX(MIN(T$15,'01_Input'!$S$57)-'01_Input'!$R$57,0)*'01_Input'!$U$57))+IF('01_Input'!$X$57="Forfait",IF(T$15&gt;='01_Input'!$V$57,'01_Input'!$Y$57,0),IF('01_Input'!$X$57="Palier",IF(AND(T$15&gt;='01_Input'!$V$57,T$15&lt;'01_Input'!$W$57),'01_Input'!$Y$57,0),MAX(MIN(T$15,'01_Input'!$W$57)-'01_Input'!$V$57,0)*'01_Input'!$Y$57))+IF('01_Input'!$AB$57="Forfait",IF(T$15&gt;='01_Input'!$Z$57,'01_Input'!$AC$57,0),IF('01_Input'!$AB$57="Palier",IF(AND(T$15&gt;='01_Input'!$Z$57,T$15&lt;'01_Input'!$AA$57),'01_Input'!$AC$57,0),MAX(MIN(T$15,'01_Input'!$AA$57)-'01_Input'!$Z$57,0)*'01_Input'!$AC$57))))))))))</f>
        <v/>
      </c>
      <c r="U48" s="25" t="str">
        <f>IF(U$15="","",IF('01_Input'!$C$57="Non",0,MIN('01_Input'!$I$57,MAX('01_Input'!$H$57,IF('01_Input'!$G$57="Résiduel vs Gestion",0,IF('01_Input'!$G$57="Taux Classe sélectionnée",Distrib_Global_Classe_Selectionnee*U$15,IF('01_Input'!$G$57="Frais KYC (paliers de 100M€)",MAX(0,Nb_Investisseurs-Nb_KYC_Gratuites_Par_Tranche*(FLOOR(U$15/Taille_Tranche_KYC,1)+1))*Cout_Par_KYC_Supplementaire,(IF('01_Input'!$L$57="Forfait",IF(U$15&gt;='01_Input'!$J$57,'01_Input'!$M$57,0),IF('01_Input'!$L$57="Palier",IF(AND(U$15&gt;='01_Input'!$J$57,U$15&lt;'01_Input'!$K$57),'01_Input'!$M$57,0),MAX(MIN(U$15,'01_Input'!$K$57)-'01_Input'!$J$57,0)*'01_Input'!$M$57))+IF('01_Input'!$P$57="Forfait",IF(U$15&gt;='01_Input'!$N$57,'01_Input'!$Q$57,0),IF('01_Input'!$P$57="Palier",IF(AND(U$15&gt;='01_Input'!$N$57,U$15&lt;'01_Input'!$O$57),'01_Input'!$Q$57,0),MAX(MIN(U$15,'01_Input'!$O$57)-'01_Input'!$N$57,0)*'01_Input'!$Q$57))+IF('01_Input'!$T$57="Forfait",IF(U$15&gt;='01_Input'!$R$57,'01_Input'!$U$57,0),IF('01_Input'!$T$57="Palier",IF(AND(U$15&gt;='01_Input'!$R$57,U$15&lt;'01_Input'!$S$57),'01_Input'!$U$57,0),MAX(MIN(U$15,'01_Input'!$S$57)-'01_Input'!$R$57,0)*'01_Input'!$U$57))+IF('01_Input'!$X$57="Forfait",IF(U$15&gt;='01_Input'!$V$57,'01_Input'!$Y$57,0),IF('01_Input'!$X$57="Palier",IF(AND(U$15&gt;='01_Input'!$V$57,U$15&lt;'01_Input'!$W$57),'01_Input'!$Y$57,0),MAX(MIN(U$15,'01_Input'!$W$57)-'01_Input'!$V$57,0)*'01_Input'!$Y$57))+IF('01_Input'!$AB$57="Forfait",IF(U$15&gt;='01_Input'!$Z$57,'01_Input'!$AC$57,0),IF('01_Input'!$AB$57="Palier",IF(AND(U$15&gt;='01_Input'!$Z$57,U$15&lt;'01_Input'!$AA$57),'01_Input'!$AC$57,0),MAX(MIN(U$15,'01_Input'!$AA$57)-'01_Input'!$Z$57,0)*'01_Input'!$AC$57))))))))))</f>
        <v/>
      </c>
      <c r="V48" s="25" t="str">
        <f>IF(V$15="","",IF('01_Input'!$C$57="Non",0,MIN('01_Input'!$I$57,MAX('01_Input'!$H$57,IF('01_Input'!$G$57="Résiduel vs Gestion",0,IF('01_Input'!$G$57="Taux Classe sélectionnée",Distrib_Global_Classe_Selectionnee*V$15,IF('01_Input'!$G$57="Frais KYC (paliers de 100M€)",MAX(0,Nb_Investisseurs-Nb_KYC_Gratuites_Par_Tranche*(FLOOR(V$15/Taille_Tranche_KYC,1)+1))*Cout_Par_KYC_Supplementaire,(IF('01_Input'!$L$57="Forfait",IF(V$15&gt;='01_Input'!$J$57,'01_Input'!$M$57,0),IF('01_Input'!$L$57="Palier",IF(AND(V$15&gt;='01_Input'!$J$57,V$15&lt;'01_Input'!$K$57),'01_Input'!$M$57,0),MAX(MIN(V$15,'01_Input'!$K$57)-'01_Input'!$J$57,0)*'01_Input'!$M$57))+IF('01_Input'!$P$57="Forfait",IF(V$15&gt;='01_Input'!$N$57,'01_Input'!$Q$57,0),IF('01_Input'!$P$57="Palier",IF(AND(V$15&gt;='01_Input'!$N$57,V$15&lt;'01_Input'!$O$57),'01_Input'!$Q$57,0),MAX(MIN(V$15,'01_Input'!$O$57)-'01_Input'!$N$57,0)*'01_Input'!$Q$57))+IF('01_Input'!$T$57="Forfait",IF(V$15&gt;='01_Input'!$R$57,'01_Input'!$U$57,0),IF('01_Input'!$T$57="Palier",IF(AND(V$15&gt;='01_Input'!$R$57,V$15&lt;'01_Input'!$S$57),'01_Input'!$U$57,0),MAX(MIN(V$15,'01_Input'!$S$57)-'01_Input'!$R$57,0)*'01_Input'!$U$57))+IF('01_Input'!$X$57="Forfait",IF(V$15&gt;='01_Input'!$V$57,'01_Input'!$Y$57,0),IF('01_Input'!$X$57="Palier",IF(AND(V$15&gt;='01_Input'!$V$57,V$15&lt;'01_Input'!$W$57),'01_Input'!$Y$57,0),MAX(MIN(V$15,'01_Input'!$W$57)-'01_Input'!$V$57,0)*'01_Input'!$Y$57))+IF('01_Input'!$AB$57="Forfait",IF(V$15&gt;='01_Input'!$Z$57,'01_Input'!$AC$57,0),IF('01_Input'!$AB$57="Palier",IF(AND(V$15&gt;='01_Input'!$Z$57,V$15&lt;'01_Input'!$AA$57),'01_Input'!$AC$57,0),MAX(MIN(V$15,'01_Input'!$AA$57)-'01_Input'!$Z$57,0)*'01_Input'!$AC$57))))))))))</f>
        <v/>
      </c>
      <c r="W48" s="25" t="str">
        <f>IF(W$15="","",IF('01_Input'!$C$57="Non",0,MIN('01_Input'!$I$57,MAX('01_Input'!$H$57,IF('01_Input'!$G$57="Résiduel vs Gestion",0,IF('01_Input'!$G$57="Taux Classe sélectionnée",Distrib_Global_Classe_Selectionnee*W$15,IF('01_Input'!$G$57="Frais KYC (paliers de 100M€)",MAX(0,Nb_Investisseurs-Nb_KYC_Gratuites_Par_Tranche*(FLOOR(W$15/Taille_Tranche_KYC,1)+1))*Cout_Par_KYC_Supplementaire,(IF('01_Input'!$L$57="Forfait",IF(W$15&gt;='01_Input'!$J$57,'01_Input'!$M$57,0),IF('01_Input'!$L$57="Palier",IF(AND(W$15&gt;='01_Input'!$J$57,W$15&lt;'01_Input'!$K$57),'01_Input'!$M$57,0),MAX(MIN(W$15,'01_Input'!$K$57)-'01_Input'!$J$57,0)*'01_Input'!$M$57))+IF('01_Input'!$P$57="Forfait",IF(W$15&gt;='01_Input'!$N$57,'01_Input'!$Q$57,0),IF('01_Input'!$P$57="Palier",IF(AND(W$15&gt;='01_Input'!$N$57,W$15&lt;'01_Input'!$O$57),'01_Input'!$Q$57,0),MAX(MIN(W$15,'01_Input'!$O$57)-'01_Input'!$N$57,0)*'01_Input'!$Q$57))+IF('01_Input'!$T$57="Forfait",IF(W$15&gt;='01_Input'!$R$57,'01_Input'!$U$57,0),IF('01_Input'!$T$57="Palier",IF(AND(W$15&gt;='01_Input'!$R$57,W$15&lt;'01_Input'!$S$57),'01_Input'!$U$57,0),MAX(MIN(W$15,'01_Input'!$S$57)-'01_Input'!$R$57,0)*'01_Input'!$U$57))+IF('01_Input'!$X$57="Forfait",IF(W$15&gt;='01_Input'!$V$57,'01_Input'!$Y$57,0),IF('01_Input'!$X$57="Palier",IF(AND(W$15&gt;='01_Input'!$V$57,W$15&lt;'01_Input'!$W$57),'01_Input'!$Y$57,0),MAX(MIN(W$15,'01_Input'!$W$57)-'01_Input'!$V$57,0)*'01_Input'!$Y$57))+IF('01_Input'!$AB$57="Forfait",IF(W$15&gt;='01_Input'!$Z$57,'01_Input'!$AC$57,0),IF('01_Input'!$AB$57="Palier",IF(AND(W$15&gt;='01_Input'!$Z$57,W$15&lt;'01_Input'!$AA$57),'01_Input'!$AC$57,0),MAX(MIN(W$15,'01_Input'!$AA$57)-'01_Input'!$Z$57,0)*'01_Input'!$AC$57))))))))))</f>
        <v/>
      </c>
      <c r="X48" s="25" t="str">
        <f>IF(X$15="","",IF('01_Input'!$C$57="Non",0,MIN('01_Input'!$I$57,MAX('01_Input'!$H$57,IF('01_Input'!$G$57="Résiduel vs Gestion",0,IF('01_Input'!$G$57="Taux Classe sélectionnée",Distrib_Global_Classe_Selectionnee*X$15,IF('01_Input'!$G$57="Frais KYC (paliers de 100M€)",MAX(0,Nb_Investisseurs-Nb_KYC_Gratuites_Par_Tranche*(FLOOR(X$15/Taille_Tranche_KYC,1)+1))*Cout_Par_KYC_Supplementaire,(IF('01_Input'!$L$57="Forfait",IF(X$15&gt;='01_Input'!$J$57,'01_Input'!$M$57,0),IF('01_Input'!$L$57="Palier",IF(AND(X$15&gt;='01_Input'!$J$57,X$15&lt;'01_Input'!$K$57),'01_Input'!$M$57,0),MAX(MIN(X$15,'01_Input'!$K$57)-'01_Input'!$J$57,0)*'01_Input'!$M$57))+IF('01_Input'!$P$57="Forfait",IF(X$15&gt;='01_Input'!$N$57,'01_Input'!$Q$57,0),IF('01_Input'!$P$57="Palier",IF(AND(X$15&gt;='01_Input'!$N$57,X$15&lt;'01_Input'!$O$57),'01_Input'!$Q$57,0),MAX(MIN(X$15,'01_Input'!$O$57)-'01_Input'!$N$57,0)*'01_Input'!$Q$57))+IF('01_Input'!$T$57="Forfait",IF(X$15&gt;='01_Input'!$R$57,'01_Input'!$U$57,0),IF('01_Input'!$T$57="Palier",IF(AND(X$15&gt;='01_Input'!$R$57,X$15&lt;'01_Input'!$S$57),'01_Input'!$U$57,0),MAX(MIN(X$15,'01_Input'!$S$57)-'01_Input'!$R$57,0)*'01_Input'!$U$57))+IF('01_Input'!$X$57="Forfait",IF(X$15&gt;='01_Input'!$V$57,'01_Input'!$Y$57,0),IF('01_Input'!$X$57="Palier",IF(AND(X$15&gt;='01_Input'!$V$57,X$15&lt;'01_Input'!$W$57),'01_Input'!$Y$57,0),MAX(MIN(X$15,'01_Input'!$W$57)-'01_Input'!$V$57,0)*'01_Input'!$Y$57))+IF('01_Input'!$AB$57="Forfait",IF(X$15&gt;='01_Input'!$Z$57,'01_Input'!$AC$57,0),IF('01_Input'!$AB$57="Palier",IF(AND(X$15&gt;='01_Input'!$Z$57,X$15&lt;'01_Input'!$AA$57),'01_Input'!$AC$57,0),MAX(MIN(X$15,'01_Input'!$AA$57)-'01_Input'!$Z$57,0)*'01_Input'!$AC$57))))))))))</f>
        <v/>
      </c>
      <c r="Y48" s="25" t="str">
        <f>IF(Y$15="","",IF('01_Input'!$C$57="Non",0,MIN('01_Input'!$I$57,MAX('01_Input'!$H$57,IF('01_Input'!$G$57="Résiduel vs Gestion",0,IF('01_Input'!$G$57="Taux Classe sélectionnée",Distrib_Global_Classe_Selectionnee*Y$15,IF('01_Input'!$G$57="Frais KYC (paliers de 100M€)",MAX(0,Nb_Investisseurs-Nb_KYC_Gratuites_Par_Tranche*(FLOOR(Y$15/Taille_Tranche_KYC,1)+1))*Cout_Par_KYC_Supplementaire,(IF('01_Input'!$L$57="Forfait",IF(Y$15&gt;='01_Input'!$J$57,'01_Input'!$M$57,0),IF('01_Input'!$L$57="Palier",IF(AND(Y$15&gt;='01_Input'!$J$57,Y$15&lt;'01_Input'!$K$57),'01_Input'!$M$57,0),MAX(MIN(Y$15,'01_Input'!$K$57)-'01_Input'!$J$57,0)*'01_Input'!$M$57))+IF('01_Input'!$P$57="Forfait",IF(Y$15&gt;='01_Input'!$N$57,'01_Input'!$Q$57,0),IF('01_Input'!$P$57="Palier",IF(AND(Y$15&gt;='01_Input'!$N$57,Y$15&lt;'01_Input'!$O$57),'01_Input'!$Q$57,0),MAX(MIN(Y$15,'01_Input'!$O$57)-'01_Input'!$N$57,0)*'01_Input'!$Q$57))+IF('01_Input'!$T$57="Forfait",IF(Y$15&gt;='01_Input'!$R$57,'01_Input'!$U$57,0),IF('01_Input'!$T$57="Palier",IF(AND(Y$15&gt;='01_Input'!$R$57,Y$15&lt;'01_Input'!$S$57),'01_Input'!$U$57,0),MAX(MIN(Y$15,'01_Input'!$S$57)-'01_Input'!$R$57,0)*'01_Input'!$U$57))+IF('01_Input'!$X$57="Forfait",IF(Y$15&gt;='01_Input'!$V$57,'01_Input'!$Y$57,0),IF('01_Input'!$X$57="Palier",IF(AND(Y$15&gt;='01_Input'!$V$57,Y$15&lt;'01_Input'!$W$57),'01_Input'!$Y$57,0),MAX(MIN(Y$15,'01_Input'!$W$57)-'01_Input'!$V$57,0)*'01_Input'!$Y$57))+IF('01_Input'!$AB$57="Forfait",IF(Y$15&gt;='01_Input'!$Z$57,'01_Input'!$AC$57,0),IF('01_Input'!$AB$57="Palier",IF(AND(Y$15&gt;='01_Input'!$Z$57,Y$15&lt;'01_Input'!$AA$57),'01_Input'!$AC$57,0),MAX(MIN(Y$15,'01_Input'!$AA$57)-'01_Input'!$Z$57,0)*'01_Input'!$AC$57))))))))))</f>
        <v/>
      </c>
      <c r="Z48" s="25" t="str">
        <f>IF(Z$15="","",IF('01_Input'!$C$57="Non",0,MIN('01_Input'!$I$57,MAX('01_Input'!$H$57,IF('01_Input'!$G$57="Résiduel vs Gestion",0,IF('01_Input'!$G$57="Taux Classe sélectionnée",Distrib_Global_Classe_Selectionnee*Z$15,IF('01_Input'!$G$57="Frais KYC (paliers de 100M€)",MAX(0,Nb_Investisseurs-Nb_KYC_Gratuites_Par_Tranche*(FLOOR(Z$15/Taille_Tranche_KYC,1)+1))*Cout_Par_KYC_Supplementaire,(IF('01_Input'!$L$57="Forfait",IF(Z$15&gt;='01_Input'!$J$57,'01_Input'!$M$57,0),IF('01_Input'!$L$57="Palier",IF(AND(Z$15&gt;='01_Input'!$J$57,Z$15&lt;'01_Input'!$K$57),'01_Input'!$M$57,0),MAX(MIN(Z$15,'01_Input'!$K$57)-'01_Input'!$J$57,0)*'01_Input'!$M$57))+IF('01_Input'!$P$57="Forfait",IF(Z$15&gt;='01_Input'!$N$57,'01_Input'!$Q$57,0),IF('01_Input'!$P$57="Palier",IF(AND(Z$15&gt;='01_Input'!$N$57,Z$15&lt;'01_Input'!$O$57),'01_Input'!$Q$57,0),MAX(MIN(Z$15,'01_Input'!$O$57)-'01_Input'!$N$57,0)*'01_Input'!$Q$57))+IF('01_Input'!$T$57="Forfait",IF(Z$15&gt;='01_Input'!$R$57,'01_Input'!$U$57,0),IF('01_Input'!$T$57="Palier",IF(AND(Z$15&gt;='01_Input'!$R$57,Z$15&lt;'01_Input'!$S$57),'01_Input'!$U$57,0),MAX(MIN(Z$15,'01_Input'!$S$57)-'01_Input'!$R$57,0)*'01_Input'!$U$57))+IF('01_Input'!$X$57="Forfait",IF(Z$15&gt;='01_Input'!$V$57,'01_Input'!$Y$57,0),IF('01_Input'!$X$57="Palier",IF(AND(Z$15&gt;='01_Input'!$V$57,Z$15&lt;'01_Input'!$W$57),'01_Input'!$Y$57,0),MAX(MIN(Z$15,'01_Input'!$W$57)-'01_Input'!$V$57,0)*'01_Input'!$Y$57))+IF('01_Input'!$AB$57="Forfait",IF(Z$15&gt;='01_Input'!$Z$57,'01_Input'!$AC$57,0),IF('01_Input'!$AB$57="Palier",IF(AND(Z$15&gt;='01_Input'!$Z$57,Z$15&lt;'01_Input'!$AA$57),'01_Input'!$AC$57,0),MAX(MIN(Z$15,'01_Input'!$AA$57)-'01_Input'!$Z$57,0)*'01_Input'!$AC$57))))))))))</f>
        <v/>
      </c>
      <c r="AA48" s="25" t="str">
        <f>IF(AA$15="","",IF('01_Input'!$C$57="Non",0,MIN('01_Input'!$I$57,MAX('01_Input'!$H$57,IF('01_Input'!$G$57="Résiduel vs Gestion",0,IF('01_Input'!$G$57="Taux Classe sélectionnée",Distrib_Global_Classe_Selectionnee*AA$15,IF('01_Input'!$G$57="Frais KYC (paliers de 100M€)",MAX(0,Nb_Investisseurs-Nb_KYC_Gratuites_Par_Tranche*(FLOOR(AA$15/Taille_Tranche_KYC,1)+1))*Cout_Par_KYC_Supplementaire,(IF('01_Input'!$L$57="Forfait",IF(AA$15&gt;='01_Input'!$J$57,'01_Input'!$M$57,0),IF('01_Input'!$L$57="Palier",IF(AND(AA$15&gt;='01_Input'!$J$57,AA$15&lt;'01_Input'!$K$57),'01_Input'!$M$57,0),MAX(MIN(AA$15,'01_Input'!$K$57)-'01_Input'!$J$57,0)*'01_Input'!$M$57))+IF('01_Input'!$P$57="Forfait",IF(AA$15&gt;='01_Input'!$N$57,'01_Input'!$Q$57,0),IF('01_Input'!$P$57="Palier",IF(AND(AA$15&gt;='01_Input'!$N$57,AA$15&lt;'01_Input'!$O$57),'01_Input'!$Q$57,0),MAX(MIN(AA$15,'01_Input'!$O$57)-'01_Input'!$N$57,0)*'01_Input'!$Q$57))+IF('01_Input'!$T$57="Forfait",IF(AA$15&gt;='01_Input'!$R$57,'01_Input'!$U$57,0),IF('01_Input'!$T$57="Palier",IF(AND(AA$15&gt;='01_Input'!$R$57,AA$15&lt;'01_Input'!$S$57),'01_Input'!$U$57,0),MAX(MIN(AA$15,'01_Input'!$S$57)-'01_Input'!$R$57,0)*'01_Input'!$U$57))+IF('01_Input'!$X$57="Forfait",IF(AA$15&gt;='01_Input'!$V$57,'01_Input'!$Y$57,0),IF('01_Input'!$X$57="Palier",IF(AND(AA$15&gt;='01_Input'!$V$57,AA$15&lt;'01_Input'!$W$57),'01_Input'!$Y$57,0),MAX(MIN(AA$15,'01_Input'!$W$57)-'01_Input'!$V$57,0)*'01_Input'!$Y$57))+IF('01_Input'!$AB$57="Forfait",IF(AA$15&gt;='01_Input'!$Z$57,'01_Input'!$AC$57,0),IF('01_Input'!$AB$57="Palier",IF(AND(AA$15&gt;='01_Input'!$Z$57,AA$15&lt;'01_Input'!$AA$57),'01_Input'!$AC$57,0),MAX(MIN(AA$15,'01_Input'!$AA$57)-'01_Input'!$Z$57,0)*'01_Input'!$AC$57))))))))))</f>
        <v/>
      </c>
      <c r="AB48" s="25" t="str">
        <f>IF(AB$15="","",IF('01_Input'!$C$57="Non",0,MIN('01_Input'!$I$57,MAX('01_Input'!$H$57,IF('01_Input'!$G$57="Résiduel vs Gestion",0,IF('01_Input'!$G$57="Taux Classe sélectionnée",Distrib_Global_Classe_Selectionnee*AB$15,IF('01_Input'!$G$57="Frais KYC (paliers de 100M€)",MAX(0,Nb_Investisseurs-Nb_KYC_Gratuites_Par_Tranche*(FLOOR(AB$15/Taille_Tranche_KYC,1)+1))*Cout_Par_KYC_Supplementaire,(IF('01_Input'!$L$57="Forfait",IF(AB$15&gt;='01_Input'!$J$57,'01_Input'!$M$57,0),IF('01_Input'!$L$57="Palier",IF(AND(AB$15&gt;='01_Input'!$J$57,AB$15&lt;'01_Input'!$K$57),'01_Input'!$M$57,0),MAX(MIN(AB$15,'01_Input'!$K$57)-'01_Input'!$J$57,0)*'01_Input'!$M$57))+IF('01_Input'!$P$57="Forfait",IF(AB$15&gt;='01_Input'!$N$57,'01_Input'!$Q$57,0),IF('01_Input'!$P$57="Palier",IF(AND(AB$15&gt;='01_Input'!$N$57,AB$15&lt;'01_Input'!$O$57),'01_Input'!$Q$57,0),MAX(MIN(AB$15,'01_Input'!$O$57)-'01_Input'!$N$57,0)*'01_Input'!$Q$57))+IF('01_Input'!$T$57="Forfait",IF(AB$15&gt;='01_Input'!$R$57,'01_Input'!$U$57,0),IF('01_Input'!$T$57="Palier",IF(AND(AB$15&gt;='01_Input'!$R$57,AB$15&lt;'01_Input'!$S$57),'01_Input'!$U$57,0),MAX(MIN(AB$15,'01_Input'!$S$57)-'01_Input'!$R$57,0)*'01_Input'!$U$57))+IF('01_Input'!$X$57="Forfait",IF(AB$15&gt;='01_Input'!$V$57,'01_Input'!$Y$57,0),IF('01_Input'!$X$57="Palier",IF(AND(AB$15&gt;='01_Input'!$V$57,AB$15&lt;'01_Input'!$W$57),'01_Input'!$Y$57,0),MAX(MIN(AB$15,'01_Input'!$W$57)-'01_Input'!$V$57,0)*'01_Input'!$Y$57))+IF('01_Input'!$AB$57="Forfait",IF(AB$15&gt;='01_Input'!$Z$57,'01_Input'!$AC$57,0),IF('01_Input'!$AB$57="Palier",IF(AND(AB$15&gt;='01_Input'!$Z$57,AB$15&lt;'01_Input'!$AA$57),'01_Input'!$AC$57,0),MAX(MIN(AB$15,'01_Input'!$AA$57)-'01_Input'!$Z$57,0)*'01_Input'!$AC$57))))))))))</f>
        <v/>
      </c>
      <c r="AC48" s="25" t="str">
        <f>IF(AC$15="","",IF('01_Input'!$C$57="Non",0,MIN('01_Input'!$I$57,MAX('01_Input'!$H$57,IF('01_Input'!$G$57="Résiduel vs Gestion",0,IF('01_Input'!$G$57="Taux Classe sélectionnée",Distrib_Global_Classe_Selectionnee*AC$15,IF('01_Input'!$G$57="Frais KYC (paliers de 100M€)",MAX(0,Nb_Investisseurs-Nb_KYC_Gratuites_Par_Tranche*(FLOOR(AC$15/Taille_Tranche_KYC,1)+1))*Cout_Par_KYC_Supplementaire,(IF('01_Input'!$L$57="Forfait",IF(AC$15&gt;='01_Input'!$J$57,'01_Input'!$M$57,0),IF('01_Input'!$L$57="Palier",IF(AND(AC$15&gt;='01_Input'!$J$57,AC$15&lt;'01_Input'!$K$57),'01_Input'!$M$57,0),MAX(MIN(AC$15,'01_Input'!$K$57)-'01_Input'!$J$57,0)*'01_Input'!$M$57))+IF('01_Input'!$P$57="Forfait",IF(AC$15&gt;='01_Input'!$N$57,'01_Input'!$Q$57,0),IF('01_Input'!$P$57="Palier",IF(AND(AC$15&gt;='01_Input'!$N$57,AC$15&lt;'01_Input'!$O$57),'01_Input'!$Q$57,0),MAX(MIN(AC$15,'01_Input'!$O$57)-'01_Input'!$N$57,0)*'01_Input'!$Q$57))+IF('01_Input'!$T$57="Forfait",IF(AC$15&gt;='01_Input'!$R$57,'01_Input'!$U$57,0),IF('01_Input'!$T$57="Palier",IF(AND(AC$15&gt;='01_Input'!$R$57,AC$15&lt;'01_Input'!$S$57),'01_Input'!$U$57,0),MAX(MIN(AC$15,'01_Input'!$S$57)-'01_Input'!$R$57,0)*'01_Input'!$U$57))+IF('01_Input'!$X$57="Forfait",IF(AC$15&gt;='01_Input'!$V$57,'01_Input'!$Y$57,0),IF('01_Input'!$X$57="Palier",IF(AND(AC$15&gt;='01_Input'!$V$57,AC$15&lt;'01_Input'!$W$57),'01_Input'!$Y$57,0),MAX(MIN(AC$15,'01_Input'!$W$57)-'01_Input'!$V$57,0)*'01_Input'!$Y$57))+IF('01_Input'!$AB$57="Forfait",IF(AC$15&gt;='01_Input'!$Z$57,'01_Input'!$AC$57,0),IF('01_Input'!$AB$57="Palier",IF(AND(AC$15&gt;='01_Input'!$Z$57,AC$15&lt;'01_Input'!$AA$57),'01_Input'!$AC$57,0),MAX(MIN(AC$15,'01_Input'!$AA$57)-'01_Input'!$Z$57,0)*'01_Input'!$AC$57))))))))))</f>
        <v/>
      </c>
      <c r="AD48" s="25" t="str">
        <f>IF(AD$15="","",IF('01_Input'!$C$57="Non",0,MIN('01_Input'!$I$57,MAX('01_Input'!$H$57,IF('01_Input'!$G$57="Résiduel vs Gestion",0,IF('01_Input'!$G$57="Taux Classe sélectionnée",Distrib_Global_Classe_Selectionnee*AD$15,IF('01_Input'!$G$57="Frais KYC (paliers de 100M€)",MAX(0,Nb_Investisseurs-Nb_KYC_Gratuites_Par_Tranche*(FLOOR(AD$15/Taille_Tranche_KYC,1)+1))*Cout_Par_KYC_Supplementaire,(IF('01_Input'!$L$57="Forfait",IF(AD$15&gt;='01_Input'!$J$57,'01_Input'!$M$57,0),IF('01_Input'!$L$57="Palier",IF(AND(AD$15&gt;='01_Input'!$J$57,AD$15&lt;'01_Input'!$K$57),'01_Input'!$M$57,0),MAX(MIN(AD$15,'01_Input'!$K$57)-'01_Input'!$J$57,0)*'01_Input'!$M$57))+IF('01_Input'!$P$57="Forfait",IF(AD$15&gt;='01_Input'!$N$57,'01_Input'!$Q$57,0),IF('01_Input'!$P$57="Palier",IF(AND(AD$15&gt;='01_Input'!$N$57,AD$15&lt;'01_Input'!$O$57),'01_Input'!$Q$57,0),MAX(MIN(AD$15,'01_Input'!$O$57)-'01_Input'!$N$57,0)*'01_Input'!$Q$57))+IF('01_Input'!$T$57="Forfait",IF(AD$15&gt;='01_Input'!$R$57,'01_Input'!$U$57,0),IF('01_Input'!$T$57="Palier",IF(AND(AD$15&gt;='01_Input'!$R$57,AD$15&lt;'01_Input'!$S$57),'01_Input'!$U$57,0),MAX(MIN(AD$15,'01_Input'!$S$57)-'01_Input'!$R$57,0)*'01_Input'!$U$57))+IF('01_Input'!$X$57="Forfait",IF(AD$15&gt;='01_Input'!$V$57,'01_Input'!$Y$57,0),IF('01_Input'!$X$57="Palier",IF(AND(AD$15&gt;='01_Input'!$V$57,AD$15&lt;'01_Input'!$W$57),'01_Input'!$Y$57,0),MAX(MIN(AD$15,'01_Input'!$W$57)-'01_Input'!$V$57,0)*'01_Input'!$Y$57))+IF('01_Input'!$AB$57="Forfait",IF(AD$15&gt;='01_Input'!$Z$57,'01_Input'!$AC$57,0),IF('01_Input'!$AB$57="Palier",IF(AND(AD$15&gt;='01_Input'!$Z$57,AD$15&lt;'01_Input'!$AA$57),'01_Input'!$AC$57,0),MAX(MIN(AD$15,'01_Input'!$AA$57)-'01_Input'!$Z$57,0)*'01_Input'!$AC$57))))))))))</f>
        <v/>
      </c>
      <c r="AE48" s="25" t="str">
        <f>IF(AE$15="","",IF('01_Input'!$C$57="Non",0,MIN('01_Input'!$I$57,MAX('01_Input'!$H$57,IF('01_Input'!$G$57="Résiduel vs Gestion",0,IF('01_Input'!$G$57="Taux Classe sélectionnée",Distrib_Global_Classe_Selectionnee*AE$15,IF('01_Input'!$G$57="Frais KYC (paliers de 100M€)",MAX(0,Nb_Investisseurs-Nb_KYC_Gratuites_Par_Tranche*(FLOOR(AE$15/Taille_Tranche_KYC,1)+1))*Cout_Par_KYC_Supplementaire,(IF('01_Input'!$L$57="Forfait",IF(AE$15&gt;='01_Input'!$J$57,'01_Input'!$M$57,0),IF('01_Input'!$L$57="Palier",IF(AND(AE$15&gt;='01_Input'!$J$57,AE$15&lt;'01_Input'!$K$57),'01_Input'!$M$57,0),MAX(MIN(AE$15,'01_Input'!$K$57)-'01_Input'!$J$57,0)*'01_Input'!$M$57))+IF('01_Input'!$P$57="Forfait",IF(AE$15&gt;='01_Input'!$N$57,'01_Input'!$Q$57,0),IF('01_Input'!$P$57="Palier",IF(AND(AE$15&gt;='01_Input'!$N$57,AE$15&lt;'01_Input'!$O$57),'01_Input'!$Q$57,0),MAX(MIN(AE$15,'01_Input'!$O$57)-'01_Input'!$N$57,0)*'01_Input'!$Q$57))+IF('01_Input'!$T$57="Forfait",IF(AE$15&gt;='01_Input'!$R$57,'01_Input'!$U$57,0),IF('01_Input'!$T$57="Palier",IF(AND(AE$15&gt;='01_Input'!$R$57,AE$15&lt;'01_Input'!$S$57),'01_Input'!$U$57,0),MAX(MIN(AE$15,'01_Input'!$S$57)-'01_Input'!$R$57,0)*'01_Input'!$U$57))+IF('01_Input'!$X$57="Forfait",IF(AE$15&gt;='01_Input'!$V$57,'01_Input'!$Y$57,0),IF('01_Input'!$X$57="Palier",IF(AND(AE$15&gt;='01_Input'!$V$57,AE$15&lt;'01_Input'!$W$57),'01_Input'!$Y$57,0),MAX(MIN(AE$15,'01_Input'!$W$57)-'01_Input'!$V$57,0)*'01_Input'!$Y$57))+IF('01_Input'!$AB$57="Forfait",IF(AE$15&gt;='01_Input'!$Z$57,'01_Input'!$AC$57,0),IF('01_Input'!$AB$57="Palier",IF(AND(AE$15&gt;='01_Input'!$Z$57,AE$15&lt;'01_Input'!$AA$57),'01_Input'!$AC$57,0),MAX(MIN(AE$15,'01_Input'!$AA$57)-'01_Input'!$Z$57,0)*'01_Input'!$AC$57))))))))))</f>
        <v/>
      </c>
      <c r="AF48" s="25" t="str">
        <f>IF(AF$15="","",IF('01_Input'!$C$57="Non",0,MIN('01_Input'!$I$57,MAX('01_Input'!$H$57,IF('01_Input'!$G$57="Résiduel vs Gestion",0,IF('01_Input'!$G$57="Taux Classe sélectionnée",Distrib_Global_Classe_Selectionnee*AF$15,IF('01_Input'!$G$57="Frais KYC (paliers de 100M€)",MAX(0,Nb_Investisseurs-Nb_KYC_Gratuites_Par_Tranche*(FLOOR(AF$15/Taille_Tranche_KYC,1)+1))*Cout_Par_KYC_Supplementaire,(IF('01_Input'!$L$57="Forfait",IF(AF$15&gt;='01_Input'!$J$57,'01_Input'!$M$57,0),IF('01_Input'!$L$57="Palier",IF(AND(AF$15&gt;='01_Input'!$J$57,AF$15&lt;'01_Input'!$K$57),'01_Input'!$M$57,0),MAX(MIN(AF$15,'01_Input'!$K$57)-'01_Input'!$J$57,0)*'01_Input'!$M$57))+IF('01_Input'!$P$57="Forfait",IF(AF$15&gt;='01_Input'!$N$57,'01_Input'!$Q$57,0),IF('01_Input'!$P$57="Palier",IF(AND(AF$15&gt;='01_Input'!$N$57,AF$15&lt;'01_Input'!$O$57),'01_Input'!$Q$57,0),MAX(MIN(AF$15,'01_Input'!$O$57)-'01_Input'!$N$57,0)*'01_Input'!$Q$57))+IF('01_Input'!$T$57="Forfait",IF(AF$15&gt;='01_Input'!$R$57,'01_Input'!$U$57,0),IF('01_Input'!$T$57="Palier",IF(AND(AF$15&gt;='01_Input'!$R$57,AF$15&lt;'01_Input'!$S$57),'01_Input'!$U$57,0),MAX(MIN(AF$15,'01_Input'!$S$57)-'01_Input'!$R$57,0)*'01_Input'!$U$57))+IF('01_Input'!$X$57="Forfait",IF(AF$15&gt;='01_Input'!$V$57,'01_Input'!$Y$57,0),IF('01_Input'!$X$57="Palier",IF(AND(AF$15&gt;='01_Input'!$V$57,AF$15&lt;'01_Input'!$W$57),'01_Input'!$Y$57,0),MAX(MIN(AF$15,'01_Input'!$W$57)-'01_Input'!$V$57,0)*'01_Input'!$Y$57))+IF('01_Input'!$AB$57="Forfait",IF(AF$15&gt;='01_Input'!$Z$57,'01_Input'!$AC$57,0),IF('01_Input'!$AB$57="Palier",IF(AND(AF$15&gt;='01_Input'!$Z$57,AF$15&lt;'01_Input'!$AA$57),'01_Input'!$AC$57,0),MAX(MIN(AF$15,'01_Input'!$AA$57)-'01_Input'!$Z$57,0)*'01_Input'!$AC$57))))))))))</f>
        <v/>
      </c>
      <c r="AG48" s="25" t="str">
        <f>IF(AG$15="","",IF('01_Input'!$C$57="Non",0,MIN('01_Input'!$I$57,MAX('01_Input'!$H$57,IF('01_Input'!$G$57="Résiduel vs Gestion",0,IF('01_Input'!$G$57="Taux Classe sélectionnée",Distrib_Global_Classe_Selectionnee*AG$15,IF('01_Input'!$G$57="Frais KYC (paliers de 100M€)",MAX(0,Nb_Investisseurs-Nb_KYC_Gratuites_Par_Tranche*(FLOOR(AG$15/Taille_Tranche_KYC,1)+1))*Cout_Par_KYC_Supplementaire,(IF('01_Input'!$L$57="Forfait",IF(AG$15&gt;='01_Input'!$J$57,'01_Input'!$M$57,0),IF('01_Input'!$L$57="Palier",IF(AND(AG$15&gt;='01_Input'!$J$57,AG$15&lt;'01_Input'!$K$57),'01_Input'!$M$57,0),MAX(MIN(AG$15,'01_Input'!$K$57)-'01_Input'!$J$57,0)*'01_Input'!$M$57))+IF('01_Input'!$P$57="Forfait",IF(AG$15&gt;='01_Input'!$N$57,'01_Input'!$Q$57,0),IF('01_Input'!$P$57="Palier",IF(AND(AG$15&gt;='01_Input'!$N$57,AG$15&lt;'01_Input'!$O$57),'01_Input'!$Q$57,0),MAX(MIN(AG$15,'01_Input'!$O$57)-'01_Input'!$N$57,0)*'01_Input'!$Q$57))+IF('01_Input'!$T$57="Forfait",IF(AG$15&gt;='01_Input'!$R$57,'01_Input'!$U$57,0),IF('01_Input'!$T$57="Palier",IF(AND(AG$15&gt;='01_Input'!$R$57,AG$15&lt;'01_Input'!$S$57),'01_Input'!$U$57,0),MAX(MIN(AG$15,'01_Input'!$S$57)-'01_Input'!$R$57,0)*'01_Input'!$U$57))+IF('01_Input'!$X$57="Forfait",IF(AG$15&gt;='01_Input'!$V$57,'01_Input'!$Y$57,0),IF('01_Input'!$X$57="Palier",IF(AND(AG$15&gt;='01_Input'!$V$57,AG$15&lt;'01_Input'!$W$57),'01_Input'!$Y$57,0),MAX(MIN(AG$15,'01_Input'!$W$57)-'01_Input'!$V$57,0)*'01_Input'!$Y$57))+IF('01_Input'!$AB$57="Forfait",IF(AG$15&gt;='01_Input'!$Z$57,'01_Input'!$AC$57,0),IF('01_Input'!$AB$57="Palier",IF(AND(AG$15&gt;='01_Input'!$Z$57,AG$15&lt;'01_Input'!$AA$57),'01_Input'!$AC$57,0),MAX(MIN(AG$15,'01_Input'!$AA$57)-'01_Input'!$Z$57,0)*'01_Input'!$AC$57))))))))))</f>
        <v/>
      </c>
      <c r="AH48" s="25" t="str">
        <f>IF(AH$15="","",IF('01_Input'!$C$57="Non",0,MIN('01_Input'!$I$57,MAX('01_Input'!$H$57,IF('01_Input'!$G$57="Résiduel vs Gestion",0,IF('01_Input'!$G$57="Taux Classe sélectionnée",Distrib_Global_Classe_Selectionnee*AH$15,IF('01_Input'!$G$57="Frais KYC (paliers de 100M€)",MAX(0,Nb_Investisseurs-Nb_KYC_Gratuites_Par_Tranche*(FLOOR(AH$15/Taille_Tranche_KYC,1)+1))*Cout_Par_KYC_Supplementaire,(IF('01_Input'!$L$57="Forfait",IF(AH$15&gt;='01_Input'!$J$57,'01_Input'!$M$57,0),IF('01_Input'!$L$57="Palier",IF(AND(AH$15&gt;='01_Input'!$J$57,AH$15&lt;'01_Input'!$K$57),'01_Input'!$M$57,0),MAX(MIN(AH$15,'01_Input'!$K$57)-'01_Input'!$J$57,0)*'01_Input'!$M$57))+IF('01_Input'!$P$57="Forfait",IF(AH$15&gt;='01_Input'!$N$57,'01_Input'!$Q$57,0),IF('01_Input'!$P$57="Palier",IF(AND(AH$15&gt;='01_Input'!$N$57,AH$15&lt;'01_Input'!$O$57),'01_Input'!$Q$57,0),MAX(MIN(AH$15,'01_Input'!$O$57)-'01_Input'!$N$57,0)*'01_Input'!$Q$57))+IF('01_Input'!$T$57="Forfait",IF(AH$15&gt;='01_Input'!$R$57,'01_Input'!$U$57,0),IF('01_Input'!$T$57="Palier",IF(AND(AH$15&gt;='01_Input'!$R$57,AH$15&lt;'01_Input'!$S$57),'01_Input'!$U$57,0),MAX(MIN(AH$15,'01_Input'!$S$57)-'01_Input'!$R$57,0)*'01_Input'!$U$57))+IF('01_Input'!$X$57="Forfait",IF(AH$15&gt;='01_Input'!$V$57,'01_Input'!$Y$57,0),IF('01_Input'!$X$57="Palier",IF(AND(AH$15&gt;='01_Input'!$V$57,AH$15&lt;'01_Input'!$W$57),'01_Input'!$Y$57,0),MAX(MIN(AH$15,'01_Input'!$W$57)-'01_Input'!$V$57,0)*'01_Input'!$Y$57))+IF('01_Input'!$AB$57="Forfait",IF(AH$15&gt;='01_Input'!$Z$57,'01_Input'!$AC$57,0),IF('01_Input'!$AB$57="Palier",IF(AND(AH$15&gt;='01_Input'!$Z$57,AH$15&lt;'01_Input'!$AA$57),'01_Input'!$AC$57,0),MAX(MIN(AH$15,'01_Input'!$AA$57)-'01_Input'!$Z$57,0)*'01_Input'!$AC$57))))))))))</f>
        <v/>
      </c>
      <c r="AI48" s="25" t="str">
        <f>IF(AI$15="","",IF('01_Input'!$C$57="Non",0,MIN('01_Input'!$I$57,MAX('01_Input'!$H$57,IF('01_Input'!$G$57="Résiduel vs Gestion",0,IF('01_Input'!$G$57="Taux Classe sélectionnée",Distrib_Global_Classe_Selectionnee*AI$15,IF('01_Input'!$G$57="Frais KYC (paliers de 100M€)",MAX(0,Nb_Investisseurs-Nb_KYC_Gratuites_Par_Tranche*(FLOOR(AI$15/Taille_Tranche_KYC,1)+1))*Cout_Par_KYC_Supplementaire,(IF('01_Input'!$L$57="Forfait",IF(AI$15&gt;='01_Input'!$J$57,'01_Input'!$M$57,0),IF('01_Input'!$L$57="Palier",IF(AND(AI$15&gt;='01_Input'!$J$57,AI$15&lt;'01_Input'!$K$57),'01_Input'!$M$57,0),MAX(MIN(AI$15,'01_Input'!$K$57)-'01_Input'!$J$57,0)*'01_Input'!$M$57))+IF('01_Input'!$P$57="Forfait",IF(AI$15&gt;='01_Input'!$N$57,'01_Input'!$Q$57,0),IF('01_Input'!$P$57="Palier",IF(AND(AI$15&gt;='01_Input'!$N$57,AI$15&lt;'01_Input'!$O$57),'01_Input'!$Q$57,0),MAX(MIN(AI$15,'01_Input'!$O$57)-'01_Input'!$N$57,0)*'01_Input'!$Q$57))+IF('01_Input'!$T$57="Forfait",IF(AI$15&gt;='01_Input'!$R$57,'01_Input'!$U$57,0),IF('01_Input'!$T$57="Palier",IF(AND(AI$15&gt;='01_Input'!$R$57,AI$15&lt;'01_Input'!$S$57),'01_Input'!$U$57,0),MAX(MIN(AI$15,'01_Input'!$S$57)-'01_Input'!$R$57,0)*'01_Input'!$U$57))+IF('01_Input'!$X$57="Forfait",IF(AI$15&gt;='01_Input'!$V$57,'01_Input'!$Y$57,0),IF('01_Input'!$X$57="Palier",IF(AND(AI$15&gt;='01_Input'!$V$57,AI$15&lt;'01_Input'!$W$57),'01_Input'!$Y$57,0),MAX(MIN(AI$15,'01_Input'!$W$57)-'01_Input'!$V$57,0)*'01_Input'!$Y$57))+IF('01_Input'!$AB$57="Forfait",IF(AI$15&gt;='01_Input'!$Z$57,'01_Input'!$AC$57,0),IF('01_Input'!$AB$57="Palier",IF(AND(AI$15&gt;='01_Input'!$Z$57,AI$15&lt;'01_Input'!$AA$57),'01_Input'!$AC$57,0),MAX(MIN(AI$15,'01_Input'!$AA$57)-'01_Input'!$Z$57,0)*'01_Input'!$AC$57))))))))))</f>
        <v/>
      </c>
      <c r="AJ48" s="25" t="str">
        <f>IF(AJ$15="","",IF('01_Input'!$C$57="Non",0,MIN('01_Input'!$I$57,MAX('01_Input'!$H$57,IF('01_Input'!$G$57="Résiduel vs Gestion",0,IF('01_Input'!$G$57="Taux Classe sélectionnée",Distrib_Global_Classe_Selectionnee*AJ$15,IF('01_Input'!$G$57="Frais KYC (paliers de 100M€)",MAX(0,Nb_Investisseurs-Nb_KYC_Gratuites_Par_Tranche*(FLOOR(AJ$15/Taille_Tranche_KYC,1)+1))*Cout_Par_KYC_Supplementaire,(IF('01_Input'!$L$57="Forfait",IF(AJ$15&gt;='01_Input'!$J$57,'01_Input'!$M$57,0),IF('01_Input'!$L$57="Palier",IF(AND(AJ$15&gt;='01_Input'!$J$57,AJ$15&lt;'01_Input'!$K$57),'01_Input'!$M$57,0),MAX(MIN(AJ$15,'01_Input'!$K$57)-'01_Input'!$J$57,0)*'01_Input'!$M$57))+IF('01_Input'!$P$57="Forfait",IF(AJ$15&gt;='01_Input'!$N$57,'01_Input'!$Q$57,0),IF('01_Input'!$P$57="Palier",IF(AND(AJ$15&gt;='01_Input'!$N$57,AJ$15&lt;'01_Input'!$O$57),'01_Input'!$Q$57,0),MAX(MIN(AJ$15,'01_Input'!$O$57)-'01_Input'!$N$57,0)*'01_Input'!$Q$57))+IF('01_Input'!$T$57="Forfait",IF(AJ$15&gt;='01_Input'!$R$57,'01_Input'!$U$57,0),IF('01_Input'!$T$57="Palier",IF(AND(AJ$15&gt;='01_Input'!$R$57,AJ$15&lt;'01_Input'!$S$57),'01_Input'!$U$57,0),MAX(MIN(AJ$15,'01_Input'!$S$57)-'01_Input'!$R$57,0)*'01_Input'!$U$57))+IF('01_Input'!$X$57="Forfait",IF(AJ$15&gt;='01_Input'!$V$57,'01_Input'!$Y$57,0),IF('01_Input'!$X$57="Palier",IF(AND(AJ$15&gt;='01_Input'!$V$57,AJ$15&lt;'01_Input'!$W$57),'01_Input'!$Y$57,0),MAX(MIN(AJ$15,'01_Input'!$W$57)-'01_Input'!$V$57,0)*'01_Input'!$Y$57))+IF('01_Input'!$AB$57="Forfait",IF(AJ$15&gt;='01_Input'!$Z$57,'01_Input'!$AC$57,0),IF('01_Input'!$AB$57="Palier",IF(AND(AJ$15&gt;='01_Input'!$Z$57,AJ$15&lt;'01_Input'!$AA$57),'01_Input'!$AC$57,0),MAX(MIN(AJ$15,'01_Input'!$AA$57)-'01_Input'!$Z$57,0)*'01_Input'!$AC$57))))))))))</f>
        <v/>
      </c>
      <c r="AK48" s="25" t="str">
        <f>IF(AK$15="","",IF('01_Input'!$C$57="Non",0,MIN('01_Input'!$I$57,MAX('01_Input'!$H$57,IF('01_Input'!$G$57="Résiduel vs Gestion",0,IF('01_Input'!$G$57="Taux Classe sélectionnée",Distrib_Global_Classe_Selectionnee*AK$15,IF('01_Input'!$G$57="Frais KYC (paliers de 100M€)",MAX(0,Nb_Investisseurs-Nb_KYC_Gratuites_Par_Tranche*(FLOOR(AK$15/Taille_Tranche_KYC,1)+1))*Cout_Par_KYC_Supplementaire,(IF('01_Input'!$L$57="Forfait",IF(AK$15&gt;='01_Input'!$J$57,'01_Input'!$M$57,0),IF('01_Input'!$L$57="Palier",IF(AND(AK$15&gt;='01_Input'!$J$57,AK$15&lt;'01_Input'!$K$57),'01_Input'!$M$57,0),MAX(MIN(AK$15,'01_Input'!$K$57)-'01_Input'!$J$57,0)*'01_Input'!$M$57))+IF('01_Input'!$P$57="Forfait",IF(AK$15&gt;='01_Input'!$N$57,'01_Input'!$Q$57,0),IF('01_Input'!$P$57="Palier",IF(AND(AK$15&gt;='01_Input'!$N$57,AK$15&lt;'01_Input'!$O$57),'01_Input'!$Q$57,0),MAX(MIN(AK$15,'01_Input'!$O$57)-'01_Input'!$N$57,0)*'01_Input'!$Q$57))+IF('01_Input'!$T$57="Forfait",IF(AK$15&gt;='01_Input'!$R$57,'01_Input'!$U$57,0),IF('01_Input'!$T$57="Palier",IF(AND(AK$15&gt;='01_Input'!$R$57,AK$15&lt;'01_Input'!$S$57),'01_Input'!$U$57,0),MAX(MIN(AK$15,'01_Input'!$S$57)-'01_Input'!$R$57,0)*'01_Input'!$U$57))+IF('01_Input'!$X$57="Forfait",IF(AK$15&gt;='01_Input'!$V$57,'01_Input'!$Y$57,0),IF('01_Input'!$X$57="Palier",IF(AND(AK$15&gt;='01_Input'!$V$57,AK$15&lt;'01_Input'!$W$57),'01_Input'!$Y$57,0),MAX(MIN(AK$15,'01_Input'!$W$57)-'01_Input'!$V$57,0)*'01_Input'!$Y$57))+IF('01_Input'!$AB$57="Forfait",IF(AK$15&gt;='01_Input'!$Z$57,'01_Input'!$AC$57,0),IF('01_Input'!$AB$57="Palier",IF(AND(AK$15&gt;='01_Input'!$Z$57,AK$15&lt;'01_Input'!$AA$57),'01_Input'!$AC$57,0),MAX(MIN(AK$15,'01_Input'!$AA$57)-'01_Input'!$Z$57,0)*'01_Input'!$AC$57))))))))))</f>
        <v/>
      </c>
      <c r="AL48" s="25" t="str">
        <f>IF(AL$15="","",IF('01_Input'!$C$57="Non",0,MIN('01_Input'!$I$57,MAX('01_Input'!$H$57,IF('01_Input'!$G$57="Résiduel vs Gestion",0,IF('01_Input'!$G$57="Taux Classe sélectionnée",Distrib_Global_Classe_Selectionnee*AL$15,IF('01_Input'!$G$57="Frais KYC (paliers de 100M€)",MAX(0,Nb_Investisseurs-Nb_KYC_Gratuites_Par_Tranche*(FLOOR(AL$15/Taille_Tranche_KYC,1)+1))*Cout_Par_KYC_Supplementaire,(IF('01_Input'!$L$57="Forfait",IF(AL$15&gt;='01_Input'!$J$57,'01_Input'!$M$57,0),IF('01_Input'!$L$57="Palier",IF(AND(AL$15&gt;='01_Input'!$J$57,AL$15&lt;'01_Input'!$K$57),'01_Input'!$M$57,0),MAX(MIN(AL$15,'01_Input'!$K$57)-'01_Input'!$J$57,0)*'01_Input'!$M$57))+IF('01_Input'!$P$57="Forfait",IF(AL$15&gt;='01_Input'!$N$57,'01_Input'!$Q$57,0),IF('01_Input'!$P$57="Palier",IF(AND(AL$15&gt;='01_Input'!$N$57,AL$15&lt;'01_Input'!$O$57),'01_Input'!$Q$57,0),MAX(MIN(AL$15,'01_Input'!$O$57)-'01_Input'!$N$57,0)*'01_Input'!$Q$57))+IF('01_Input'!$T$57="Forfait",IF(AL$15&gt;='01_Input'!$R$57,'01_Input'!$U$57,0),IF('01_Input'!$T$57="Palier",IF(AND(AL$15&gt;='01_Input'!$R$57,AL$15&lt;'01_Input'!$S$57),'01_Input'!$U$57,0),MAX(MIN(AL$15,'01_Input'!$S$57)-'01_Input'!$R$57,0)*'01_Input'!$U$57))+IF('01_Input'!$X$57="Forfait",IF(AL$15&gt;='01_Input'!$V$57,'01_Input'!$Y$57,0),IF('01_Input'!$X$57="Palier",IF(AND(AL$15&gt;='01_Input'!$V$57,AL$15&lt;'01_Input'!$W$57),'01_Input'!$Y$57,0),MAX(MIN(AL$15,'01_Input'!$W$57)-'01_Input'!$V$57,0)*'01_Input'!$Y$57))+IF('01_Input'!$AB$57="Forfait",IF(AL$15&gt;='01_Input'!$Z$57,'01_Input'!$AC$57,0),IF('01_Input'!$AB$57="Palier",IF(AND(AL$15&gt;='01_Input'!$Z$57,AL$15&lt;'01_Input'!$AA$57),'01_Input'!$AC$57,0),MAX(MIN(AL$15,'01_Input'!$AA$57)-'01_Input'!$Z$57,0)*'01_Input'!$AC$57))))))))))</f>
        <v/>
      </c>
      <c r="AM48" s="25" t="str">
        <f>IF(AM$15="","",IF('01_Input'!$C$57="Non",0,MIN('01_Input'!$I$57,MAX('01_Input'!$H$57,IF('01_Input'!$G$57="Résiduel vs Gestion",0,IF('01_Input'!$G$57="Taux Classe sélectionnée",Distrib_Global_Classe_Selectionnee*AM$15,IF('01_Input'!$G$57="Frais KYC (paliers de 100M€)",MAX(0,Nb_Investisseurs-Nb_KYC_Gratuites_Par_Tranche*(FLOOR(AM$15/Taille_Tranche_KYC,1)+1))*Cout_Par_KYC_Supplementaire,(IF('01_Input'!$L$57="Forfait",IF(AM$15&gt;='01_Input'!$J$57,'01_Input'!$M$57,0),IF('01_Input'!$L$57="Palier",IF(AND(AM$15&gt;='01_Input'!$J$57,AM$15&lt;'01_Input'!$K$57),'01_Input'!$M$57,0),MAX(MIN(AM$15,'01_Input'!$K$57)-'01_Input'!$J$57,0)*'01_Input'!$M$57))+IF('01_Input'!$P$57="Forfait",IF(AM$15&gt;='01_Input'!$N$57,'01_Input'!$Q$57,0),IF('01_Input'!$P$57="Palier",IF(AND(AM$15&gt;='01_Input'!$N$57,AM$15&lt;'01_Input'!$O$57),'01_Input'!$Q$57,0),MAX(MIN(AM$15,'01_Input'!$O$57)-'01_Input'!$N$57,0)*'01_Input'!$Q$57))+IF('01_Input'!$T$57="Forfait",IF(AM$15&gt;='01_Input'!$R$57,'01_Input'!$U$57,0),IF('01_Input'!$T$57="Palier",IF(AND(AM$15&gt;='01_Input'!$R$57,AM$15&lt;'01_Input'!$S$57),'01_Input'!$U$57,0),MAX(MIN(AM$15,'01_Input'!$S$57)-'01_Input'!$R$57,0)*'01_Input'!$U$57))+IF('01_Input'!$X$57="Forfait",IF(AM$15&gt;='01_Input'!$V$57,'01_Input'!$Y$57,0),IF('01_Input'!$X$57="Palier",IF(AND(AM$15&gt;='01_Input'!$V$57,AM$15&lt;'01_Input'!$W$57),'01_Input'!$Y$57,0),MAX(MIN(AM$15,'01_Input'!$W$57)-'01_Input'!$V$57,0)*'01_Input'!$Y$57))+IF('01_Input'!$AB$57="Forfait",IF(AM$15&gt;='01_Input'!$Z$57,'01_Input'!$AC$57,0),IF('01_Input'!$AB$57="Palier",IF(AND(AM$15&gt;='01_Input'!$Z$57,AM$15&lt;'01_Input'!$AA$57),'01_Input'!$AC$57,0),MAX(MIN(AM$15,'01_Input'!$AA$57)-'01_Input'!$Z$57,0)*'01_Input'!$AC$57))))))))))</f>
        <v/>
      </c>
    </row>
    <row r="49" ht="15.75" customHeight="1">
      <c r="B49" s="68" t="str">
        <f t="shared" si="1"/>
        <v>Commissaire aux Comptes</v>
      </c>
      <c r="D49" s="83">
        <f>IF(D$15="","",IF('01_Input'!$C$58="Non",0,MIN('01_Input'!$I$58,MAX('01_Input'!$H$58,IF('01_Input'!$G$58="Résiduel vs Gestion",0,IF('01_Input'!$G$58="Taux Classe sélectionnée",Distrib_Global_Classe_Selectionnee*D$15,IF('01_Input'!$G$58="Frais KYC (paliers de 100M€)",MAX(0,Nb_Investisseurs-Nb_KYC_Gratuites_Par_Tranche*(FLOOR(D$15/Taille_Tranche_KYC,1)+1))*Cout_Par_KYC_Supplementaire,(IF('01_Input'!$L$58="Forfait",IF(D$15&gt;='01_Input'!$J$58,'01_Input'!$M$58,0),IF('01_Input'!$L$58="Palier",IF(AND(D$15&gt;='01_Input'!$J$58,D$15&lt;'01_Input'!$K$58),'01_Input'!$M$58,0),MAX(MIN(D$15,'01_Input'!$K$58)-'01_Input'!$J$58,0)*'01_Input'!$M$58))+IF('01_Input'!$P$58="Forfait",IF(D$15&gt;='01_Input'!$N$58,'01_Input'!$Q$58,0),IF('01_Input'!$P$58="Palier",IF(AND(D$15&gt;='01_Input'!$N$58,D$15&lt;'01_Input'!$O$58),'01_Input'!$Q$58,0),MAX(MIN(D$15,'01_Input'!$O$58)-'01_Input'!$N$58,0)*'01_Input'!$Q$58))+IF('01_Input'!$T$58="Forfait",IF(D$15&gt;='01_Input'!$R$58,'01_Input'!$U$58,0),IF('01_Input'!$T$58="Palier",IF(AND(D$15&gt;='01_Input'!$R$58,D$15&lt;'01_Input'!$S$58),'01_Input'!$U$58,0),MAX(MIN(D$15,'01_Input'!$S$58)-'01_Input'!$R$58,0)*'01_Input'!$U$58))+IF('01_Input'!$X$58="Forfait",IF(D$15&gt;='01_Input'!$V$58,'01_Input'!$Y$58,0),IF('01_Input'!$X$58="Palier",IF(AND(D$15&gt;='01_Input'!$V$58,D$15&lt;'01_Input'!$W$58),'01_Input'!$Y$58,0),MAX(MIN(D$15,'01_Input'!$W$58)-'01_Input'!$V$58,0)*'01_Input'!$Y$58))+IF('01_Input'!$AB$58="Forfait",IF(D$15&gt;='01_Input'!$Z$58,'01_Input'!$AC$58,0),IF('01_Input'!$AB$58="Palier",IF(AND(D$15&gt;='01_Input'!$Z$58,D$15&lt;'01_Input'!$AA$58),'01_Input'!$AC$58,0),MAX(MIN(D$15,'01_Input'!$AA$58)-'01_Input'!$Z$58,0)*'01_Input'!$AC$58))))))))))</f>
        <v>5500</v>
      </c>
      <c r="E49" s="83">
        <f>IF(E$15="","",IF('01_Input'!$C$58="Non",0,MIN('01_Input'!$I$58,MAX('01_Input'!$H$58,IF('01_Input'!$G$58="Résiduel vs Gestion",0,IF('01_Input'!$G$58="Taux Classe sélectionnée",Distrib_Global_Classe_Selectionnee*E$15,IF('01_Input'!$G$58="Frais KYC (paliers de 100M€)",MAX(0,Nb_Investisseurs-Nb_KYC_Gratuites_Par_Tranche*(FLOOR(E$15/Taille_Tranche_KYC,1)+1))*Cout_Par_KYC_Supplementaire,(IF('01_Input'!$L$58="Forfait",IF(E$15&gt;='01_Input'!$J$58,'01_Input'!$M$58,0),IF('01_Input'!$L$58="Palier",IF(AND(E$15&gt;='01_Input'!$J$58,E$15&lt;'01_Input'!$K$58),'01_Input'!$M$58,0),MAX(MIN(E$15,'01_Input'!$K$58)-'01_Input'!$J$58,0)*'01_Input'!$M$58))+IF('01_Input'!$P$58="Forfait",IF(E$15&gt;='01_Input'!$N$58,'01_Input'!$Q$58,0),IF('01_Input'!$P$58="Palier",IF(AND(E$15&gt;='01_Input'!$N$58,E$15&lt;'01_Input'!$O$58),'01_Input'!$Q$58,0),MAX(MIN(E$15,'01_Input'!$O$58)-'01_Input'!$N$58,0)*'01_Input'!$Q$58))+IF('01_Input'!$T$58="Forfait",IF(E$15&gt;='01_Input'!$R$58,'01_Input'!$U$58,0),IF('01_Input'!$T$58="Palier",IF(AND(E$15&gt;='01_Input'!$R$58,E$15&lt;'01_Input'!$S$58),'01_Input'!$U$58,0),MAX(MIN(E$15,'01_Input'!$S$58)-'01_Input'!$R$58,0)*'01_Input'!$U$58))+IF('01_Input'!$X$58="Forfait",IF(E$15&gt;='01_Input'!$V$58,'01_Input'!$Y$58,0),IF('01_Input'!$X$58="Palier",IF(AND(E$15&gt;='01_Input'!$V$58,E$15&lt;'01_Input'!$W$58),'01_Input'!$Y$58,0),MAX(MIN(E$15,'01_Input'!$W$58)-'01_Input'!$V$58,0)*'01_Input'!$Y$58))+IF('01_Input'!$AB$58="Forfait",IF(E$15&gt;='01_Input'!$Z$58,'01_Input'!$AC$58,0),IF('01_Input'!$AB$58="Palier",IF(AND(E$15&gt;='01_Input'!$Z$58,E$15&lt;'01_Input'!$AA$58),'01_Input'!$AC$58,0),MAX(MIN(E$15,'01_Input'!$AA$58)-'01_Input'!$Z$58,0)*'01_Input'!$AC$58))))))))))</f>
        <v>5500</v>
      </c>
      <c r="F49" s="83" t="str">
        <f>IF(F$15="","",IF('01_Input'!$C$58="Non",0,MIN('01_Input'!$I$58,MAX('01_Input'!$H$58,IF('01_Input'!$G$58="Résiduel vs Gestion",0,IF('01_Input'!$G$58="Taux Classe sélectionnée",Distrib_Global_Classe_Selectionnee*F$15,IF('01_Input'!$G$58="Frais KYC (paliers de 100M€)",MAX(0,Nb_Investisseurs-Nb_KYC_Gratuites_Par_Tranche*(FLOOR(F$15/Taille_Tranche_KYC,1)+1))*Cout_Par_KYC_Supplementaire,(IF('01_Input'!$L$58="Forfait",IF(F$15&gt;='01_Input'!$J$58,'01_Input'!$M$58,0),IF('01_Input'!$L$58="Palier",IF(AND(F$15&gt;='01_Input'!$J$58,F$15&lt;'01_Input'!$K$58),'01_Input'!$M$58,0),MAX(MIN(F$15,'01_Input'!$K$58)-'01_Input'!$J$58,0)*'01_Input'!$M$58))+IF('01_Input'!$P$58="Forfait",IF(F$15&gt;='01_Input'!$N$58,'01_Input'!$Q$58,0),IF('01_Input'!$P$58="Palier",IF(AND(F$15&gt;='01_Input'!$N$58,F$15&lt;'01_Input'!$O$58),'01_Input'!$Q$58,0),MAX(MIN(F$15,'01_Input'!$O$58)-'01_Input'!$N$58,0)*'01_Input'!$Q$58))+IF('01_Input'!$T$58="Forfait",IF(F$15&gt;='01_Input'!$R$58,'01_Input'!$U$58,0),IF('01_Input'!$T$58="Palier",IF(AND(F$15&gt;='01_Input'!$R$58,F$15&lt;'01_Input'!$S$58),'01_Input'!$U$58,0),MAX(MIN(F$15,'01_Input'!$S$58)-'01_Input'!$R$58,0)*'01_Input'!$U$58))+IF('01_Input'!$X$58="Forfait",IF(F$15&gt;='01_Input'!$V$58,'01_Input'!$Y$58,0),IF('01_Input'!$X$58="Palier",IF(AND(F$15&gt;='01_Input'!$V$58,F$15&lt;'01_Input'!$W$58),'01_Input'!$Y$58,0),MAX(MIN(F$15,'01_Input'!$W$58)-'01_Input'!$V$58,0)*'01_Input'!$Y$58))+IF('01_Input'!$AB$58="Forfait",IF(F$15&gt;='01_Input'!$Z$58,'01_Input'!$AC$58,0),IF('01_Input'!$AB$58="Palier",IF(AND(F$15&gt;='01_Input'!$Z$58,F$15&lt;'01_Input'!$AA$58),'01_Input'!$AC$58,0),MAX(MIN(F$15,'01_Input'!$AA$58)-'01_Input'!$Z$58,0)*'01_Input'!$AC$58))))))))))</f>
        <v/>
      </c>
      <c r="G49" s="83" t="str">
        <f>IF(G$15="","",IF('01_Input'!$C$58="Non",0,MIN('01_Input'!$I$58,MAX('01_Input'!$H$58,IF('01_Input'!$G$58="Résiduel vs Gestion",0,IF('01_Input'!$G$58="Taux Classe sélectionnée",Distrib_Global_Classe_Selectionnee*G$15,IF('01_Input'!$G$58="Frais KYC (paliers de 100M€)",MAX(0,Nb_Investisseurs-Nb_KYC_Gratuites_Par_Tranche*(FLOOR(G$15/Taille_Tranche_KYC,1)+1))*Cout_Par_KYC_Supplementaire,(IF('01_Input'!$L$58="Forfait",IF(G$15&gt;='01_Input'!$J$58,'01_Input'!$M$58,0),IF('01_Input'!$L$58="Palier",IF(AND(G$15&gt;='01_Input'!$J$58,G$15&lt;'01_Input'!$K$58),'01_Input'!$M$58,0),MAX(MIN(G$15,'01_Input'!$K$58)-'01_Input'!$J$58,0)*'01_Input'!$M$58))+IF('01_Input'!$P$58="Forfait",IF(G$15&gt;='01_Input'!$N$58,'01_Input'!$Q$58,0),IF('01_Input'!$P$58="Palier",IF(AND(G$15&gt;='01_Input'!$N$58,G$15&lt;'01_Input'!$O$58),'01_Input'!$Q$58,0),MAX(MIN(G$15,'01_Input'!$O$58)-'01_Input'!$N$58,0)*'01_Input'!$Q$58))+IF('01_Input'!$T$58="Forfait",IF(G$15&gt;='01_Input'!$R$58,'01_Input'!$U$58,0),IF('01_Input'!$T$58="Palier",IF(AND(G$15&gt;='01_Input'!$R$58,G$15&lt;'01_Input'!$S$58),'01_Input'!$U$58,0),MAX(MIN(G$15,'01_Input'!$S$58)-'01_Input'!$R$58,0)*'01_Input'!$U$58))+IF('01_Input'!$X$58="Forfait",IF(G$15&gt;='01_Input'!$V$58,'01_Input'!$Y$58,0),IF('01_Input'!$X$58="Palier",IF(AND(G$15&gt;='01_Input'!$V$58,G$15&lt;'01_Input'!$W$58),'01_Input'!$Y$58,0),MAX(MIN(G$15,'01_Input'!$W$58)-'01_Input'!$V$58,0)*'01_Input'!$Y$58))+IF('01_Input'!$AB$58="Forfait",IF(G$15&gt;='01_Input'!$Z$58,'01_Input'!$AC$58,0),IF('01_Input'!$AB$58="Palier",IF(AND(G$15&gt;='01_Input'!$Z$58,G$15&lt;'01_Input'!$AA$58),'01_Input'!$AC$58,0),MAX(MIN(G$15,'01_Input'!$AA$58)-'01_Input'!$Z$58,0)*'01_Input'!$AC$58))))))))))</f>
        <v/>
      </c>
      <c r="H49" s="83" t="str">
        <f>IF(H$15="","",IF('01_Input'!$C$58="Non",0,MIN('01_Input'!$I$58,MAX('01_Input'!$H$58,IF('01_Input'!$G$58="Résiduel vs Gestion",0,IF('01_Input'!$G$58="Taux Classe sélectionnée",Distrib_Global_Classe_Selectionnee*H$15,IF('01_Input'!$G$58="Frais KYC (paliers de 100M€)",MAX(0,Nb_Investisseurs-Nb_KYC_Gratuites_Par_Tranche*(FLOOR(H$15/Taille_Tranche_KYC,1)+1))*Cout_Par_KYC_Supplementaire,(IF('01_Input'!$L$58="Forfait",IF(H$15&gt;='01_Input'!$J$58,'01_Input'!$M$58,0),IF('01_Input'!$L$58="Palier",IF(AND(H$15&gt;='01_Input'!$J$58,H$15&lt;'01_Input'!$K$58),'01_Input'!$M$58,0),MAX(MIN(H$15,'01_Input'!$K$58)-'01_Input'!$J$58,0)*'01_Input'!$M$58))+IF('01_Input'!$P$58="Forfait",IF(H$15&gt;='01_Input'!$N$58,'01_Input'!$Q$58,0),IF('01_Input'!$P$58="Palier",IF(AND(H$15&gt;='01_Input'!$N$58,H$15&lt;'01_Input'!$O$58),'01_Input'!$Q$58,0),MAX(MIN(H$15,'01_Input'!$O$58)-'01_Input'!$N$58,0)*'01_Input'!$Q$58))+IF('01_Input'!$T$58="Forfait",IF(H$15&gt;='01_Input'!$R$58,'01_Input'!$U$58,0),IF('01_Input'!$T$58="Palier",IF(AND(H$15&gt;='01_Input'!$R$58,H$15&lt;'01_Input'!$S$58),'01_Input'!$U$58,0),MAX(MIN(H$15,'01_Input'!$S$58)-'01_Input'!$R$58,0)*'01_Input'!$U$58))+IF('01_Input'!$X$58="Forfait",IF(H$15&gt;='01_Input'!$V$58,'01_Input'!$Y$58,0),IF('01_Input'!$X$58="Palier",IF(AND(H$15&gt;='01_Input'!$V$58,H$15&lt;'01_Input'!$W$58),'01_Input'!$Y$58,0),MAX(MIN(H$15,'01_Input'!$W$58)-'01_Input'!$V$58,0)*'01_Input'!$Y$58))+IF('01_Input'!$AB$58="Forfait",IF(H$15&gt;='01_Input'!$Z$58,'01_Input'!$AC$58,0),IF('01_Input'!$AB$58="Palier",IF(AND(H$15&gt;='01_Input'!$Z$58,H$15&lt;'01_Input'!$AA$58),'01_Input'!$AC$58,0),MAX(MIN(H$15,'01_Input'!$AA$58)-'01_Input'!$Z$58,0)*'01_Input'!$AC$58))))))))))</f>
        <v/>
      </c>
      <c r="I49" s="83" t="str">
        <f>IF(I$15="","",IF('01_Input'!$C$58="Non",0,MIN('01_Input'!$I$58,MAX('01_Input'!$H$58,IF('01_Input'!$G$58="Résiduel vs Gestion",0,IF('01_Input'!$G$58="Taux Classe sélectionnée",Distrib_Global_Classe_Selectionnee*I$15,IF('01_Input'!$G$58="Frais KYC (paliers de 100M€)",MAX(0,Nb_Investisseurs-Nb_KYC_Gratuites_Par_Tranche*(FLOOR(I$15/Taille_Tranche_KYC,1)+1))*Cout_Par_KYC_Supplementaire,(IF('01_Input'!$L$58="Forfait",IF(I$15&gt;='01_Input'!$J$58,'01_Input'!$M$58,0),IF('01_Input'!$L$58="Palier",IF(AND(I$15&gt;='01_Input'!$J$58,I$15&lt;'01_Input'!$K$58),'01_Input'!$M$58,0),MAX(MIN(I$15,'01_Input'!$K$58)-'01_Input'!$J$58,0)*'01_Input'!$M$58))+IF('01_Input'!$P$58="Forfait",IF(I$15&gt;='01_Input'!$N$58,'01_Input'!$Q$58,0),IF('01_Input'!$P$58="Palier",IF(AND(I$15&gt;='01_Input'!$N$58,I$15&lt;'01_Input'!$O$58),'01_Input'!$Q$58,0),MAX(MIN(I$15,'01_Input'!$O$58)-'01_Input'!$N$58,0)*'01_Input'!$Q$58))+IF('01_Input'!$T$58="Forfait",IF(I$15&gt;='01_Input'!$R$58,'01_Input'!$U$58,0),IF('01_Input'!$T$58="Palier",IF(AND(I$15&gt;='01_Input'!$R$58,I$15&lt;'01_Input'!$S$58),'01_Input'!$U$58,0),MAX(MIN(I$15,'01_Input'!$S$58)-'01_Input'!$R$58,0)*'01_Input'!$U$58))+IF('01_Input'!$X$58="Forfait",IF(I$15&gt;='01_Input'!$V$58,'01_Input'!$Y$58,0),IF('01_Input'!$X$58="Palier",IF(AND(I$15&gt;='01_Input'!$V$58,I$15&lt;'01_Input'!$W$58),'01_Input'!$Y$58,0),MAX(MIN(I$15,'01_Input'!$W$58)-'01_Input'!$V$58,0)*'01_Input'!$Y$58))+IF('01_Input'!$AB$58="Forfait",IF(I$15&gt;='01_Input'!$Z$58,'01_Input'!$AC$58,0),IF('01_Input'!$AB$58="Palier",IF(AND(I$15&gt;='01_Input'!$Z$58,I$15&lt;'01_Input'!$AA$58),'01_Input'!$AC$58,0),MAX(MIN(I$15,'01_Input'!$AA$58)-'01_Input'!$Z$58,0)*'01_Input'!$AC$58))))))))))</f>
        <v/>
      </c>
      <c r="J49" s="83" t="str">
        <f>IF(J$15="","",IF('01_Input'!$C$58="Non",0,MIN('01_Input'!$I$58,MAX('01_Input'!$H$58,IF('01_Input'!$G$58="Résiduel vs Gestion",0,IF('01_Input'!$G$58="Taux Classe sélectionnée",Distrib_Global_Classe_Selectionnee*J$15,IF('01_Input'!$G$58="Frais KYC (paliers de 100M€)",MAX(0,Nb_Investisseurs-Nb_KYC_Gratuites_Par_Tranche*(FLOOR(J$15/Taille_Tranche_KYC,1)+1))*Cout_Par_KYC_Supplementaire,(IF('01_Input'!$L$58="Forfait",IF(J$15&gt;='01_Input'!$J$58,'01_Input'!$M$58,0),IF('01_Input'!$L$58="Palier",IF(AND(J$15&gt;='01_Input'!$J$58,J$15&lt;'01_Input'!$K$58),'01_Input'!$M$58,0),MAX(MIN(J$15,'01_Input'!$K$58)-'01_Input'!$J$58,0)*'01_Input'!$M$58))+IF('01_Input'!$P$58="Forfait",IF(J$15&gt;='01_Input'!$N$58,'01_Input'!$Q$58,0),IF('01_Input'!$P$58="Palier",IF(AND(J$15&gt;='01_Input'!$N$58,J$15&lt;'01_Input'!$O$58),'01_Input'!$Q$58,0),MAX(MIN(J$15,'01_Input'!$O$58)-'01_Input'!$N$58,0)*'01_Input'!$Q$58))+IF('01_Input'!$T$58="Forfait",IF(J$15&gt;='01_Input'!$R$58,'01_Input'!$U$58,0),IF('01_Input'!$T$58="Palier",IF(AND(J$15&gt;='01_Input'!$R$58,J$15&lt;'01_Input'!$S$58),'01_Input'!$U$58,0),MAX(MIN(J$15,'01_Input'!$S$58)-'01_Input'!$R$58,0)*'01_Input'!$U$58))+IF('01_Input'!$X$58="Forfait",IF(J$15&gt;='01_Input'!$V$58,'01_Input'!$Y$58,0),IF('01_Input'!$X$58="Palier",IF(AND(J$15&gt;='01_Input'!$V$58,J$15&lt;'01_Input'!$W$58),'01_Input'!$Y$58,0),MAX(MIN(J$15,'01_Input'!$W$58)-'01_Input'!$V$58,0)*'01_Input'!$Y$58))+IF('01_Input'!$AB$58="Forfait",IF(J$15&gt;='01_Input'!$Z$58,'01_Input'!$AC$58,0),IF('01_Input'!$AB$58="Palier",IF(AND(J$15&gt;='01_Input'!$Z$58,J$15&lt;'01_Input'!$AA$58),'01_Input'!$AC$58,0),MAX(MIN(J$15,'01_Input'!$AA$58)-'01_Input'!$Z$58,0)*'01_Input'!$AC$58))))))))))</f>
        <v/>
      </c>
      <c r="K49" s="83" t="str">
        <f>IF(K$15="","",IF('01_Input'!$C$58="Non",0,MIN('01_Input'!$I$58,MAX('01_Input'!$H$58,IF('01_Input'!$G$58="Résiduel vs Gestion",0,IF('01_Input'!$G$58="Taux Classe sélectionnée",Distrib_Global_Classe_Selectionnee*K$15,IF('01_Input'!$G$58="Frais KYC (paliers de 100M€)",MAX(0,Nb_Investisseurs-Nb_KYC_Gratuites_Par_Tranche*(FLOOR(K$15/Taille_Tranche_KYC,1)+1))*Cout_Par_KYC_Supplementaire,(IF('01_Input'!$L$58="Forfait",IF(K$15&gt;='01_Input'!$J$58,'01_Input'!$M$58,0),IF('01_Input'!$L$58="Palier",IF(AND(K$15&gt;='01_Input'!$J$58,K$15&lt;'01_Input'!$K$58),'01_Input'!$M$58,0),MAX(MIN(K$15,'01_Input'!$K$58)-'01_Input'!$J$58,0)*'01_Input'!$M$58))+IF('01_Input'!$P$58="Forfait",IF(K$15&gt;='01_Input'!$N$58,'01_Input'!$Q$58,0),IF('01_Input'!$P$58="Palier",IF(AND(K$15&gt;='01_Input'!$N$58,K$15&lt;'01_Input'!$O$58),'01_Input'!$Q$58,0),MAX(MIN(K$15,'01_Input'!$O$58)-'01_Input'!$N$58,0)*'01_Input'!$Q$58))+IF('01_Input'!$T$58="Forfait",IF(K$15&gt;='01_Input'!$R$58,'01_Input'!$U$58,0),IF('01_Input'!$T$58="Palier",IF(AND(K$15&gt;='01_Input'!$R$58,K$15&lt;'01_Input'!$S$58),'01_Input'!$U$58,0),MAX(MIN(K$15,'01_Input'!$S$58)-'01_Input'!$R$58,0)*'01_Input'!$U$58))+IF('01_Input'!$X$58="Forfait",IF(K$15&gt;='01_Input'!$V$58,'01_Input'!$Y$58,0),IF('01_Input'!$X$58="Palier",IF(AND(K$15&gt;='01_Input'!$V$58,K$15&lt;'01_Input'!$W$58),'01_Input'!$Y$58,0),MAX(MIN(K$15,'01_Input'!$W$58)-'01_Input'!$V$58,0)*'01_Input'!$Y$58))+IF('01_Input'!$AB$58="Forfait",IF(K$15&gt;='01_Input'!$Z$58,'01_Input'!$AC$58,0),IF('01_Input'!$AB$58="Palier",IF(AND(K$15&gt;='01_Input'!$Z$58,K$15&lt;'01_Input'!$AA$58),'01_Input'!$AC$58,0),MAX(MIN(K$15,'01_Input'!$AA$58)-'01_Input'!$Z$58,0)*'01_Input'!$AC$58))))))))))</f>
        <v/>
      </c>
      <c r="L49" s="83" t="str">
        <f>IF(L$15="","",IF('01_Input'!$C$58="Non",0,MIN('01_Input'!$I$58,MAX('01_Input'!$H$58,IF('01_Input'!$G$58="Résiduel vs Gestion",0,IF('01_Input'!$G$58="Taux Classe sélectionnée",Distrib_Global_Classe_Selectionnee*L$15,IF('01_Input'!$G$58="Frais KYC (paliers de 100M€)",MAX(0,Nb_Investisseurs-Nb_KYC_Gratuites_Par_Tranche*(FLOOR(L$15/Taille_Tranche_KYC,1)+1))*Cout_Par_KYC_Supplementaire,(IF('01_Input'!$L$58="Forfait",IF(L$15&gt;='01_Input'!$J$58,'01_Input'!$M$58,0),IF('01_Input'!$L$58="Palier",IF(AND(L$15&gt;='01_Input'!$J$58,L$15&lt;'01_Input'!$K$58),'01_Input'!$M$58,0),MAX(MIN(L$15,'01_Input'!$K$58)-'01_Input'!$J$58,0)*'01_Input'!$M$58))+IF('01_Input'!$P$58="Forfait",IF(L$15&gt;='01_Input'!$N$58,'01_Input'!$Q$58,0),IF('01_Input'!$P$58="Palier",IF(AND(L$15&gt;='01_Input'!$N$58,L$15&lt;'01_Input'!$O$58),'01_Input'!$Q$58,0),MAX(MIN(L$15,'01_Input'!$O$58)-'01_Input'!$N$58,0)*'01_Input'!$Q$58))+IF('01_Input'!$T$58="Forfait",IF(L$15&gt;='01_Input'!$R$58,'01_Input'!$U$58,0),IF('01_Input'!$T$58="Palier",IF(AND(L$15&gt;='01_Input'!$R$58,L$15&lt;'01_Input'!$S$58),'01_Input'!$U$58,0),MAX(MIN(L$15,'01_Input'!$S$58)-'01_Input'!$R$58,0)*'01_Input'!$U$58))+IF('01_Input'!$X$58="Forfait",IF(L$15&gt;='01_Input'!$V$58,'01_Input'!$Y$58,0),IF('01_Input'!$X$58="Palier",IF(AND(L$15&gt;='01_Input'!$V$58,L$15&lt;'01_Input'!$W$58),'01_Input'!$Y$58,0),MAX(MIN(L$15,'01_Input'!$W$58)-'01_Input'!$V$58,0)*'01_Input'!$Y$58))+IF('01_Input'!$AB$58="Forfait",IF(L$15&gt;='01_Input'!$Z$58,'01_Input'!$AC$58,0),IF('01_Input'!$AB$58="Palier",IF(AND(L$15&gt;='01_Input'!$Z$58,L$15&lt;'01_Input'!$AA$58),'01_Input'!$AC$58,0),MAX(MIN(L$15,'01_Input'!$AA$58)-'01_Input'!$Z$58,0)*'01_Input'!$AC$58))))))))))</f>
        <v/>
      </c>
      <c r="M49" s="83" t="str">
        <f>IF(M$15="","",IF('01_Input'!$C$58="Non",0,MIN('01_Input'!$I$58,MAX('01_Input'!$H$58,IF('01_Input'!$G$58="Résiduel vs Gestion",0,IF('01_Input'!$G$58="Taux Classe sélectionnée",Distrib_Global_Classe_Selectionnee*M$15,IF('01_Input'!$G$58="Frais KYC (paliers de 100M€)",MAX(0,Nb_Investisseurs-Nb_KYC_Gratuites_Par_Tranche*(FLOOR(M$15/Taille_Tranche_KYC,1)+1))*Cout_Par_KYC_Supplementaire,(IF('01_Input'!$L$58="Forfait",IF(M$15&gt;='01_Input'!$J$58,'01_Input'!$M$58,0),IF('01_Input'!$L$58="Palier",IF(AND(M$15&gt;='01_Input'!$J$58,M$15&lt;'01_Input'!$K$58),'01_Input'!$M$58,0),MAX(MIN(M$15,'01_Input'!$K$58)-'01_Input'!$J$58,0)*'01_Input'!$M$58))+IF('01_Input'!$P$58="Forfait",IF(M$15&gt;='01_Input'!$N$58,'01_Input'!$Q$58,0),IF('01_Input'!$P$58="Palier",IF(AND(M$15&gt;='01_Input'!$N$58,M$15&lt;'01_Input'!$O$58),'01_Input'!$Q$58,0),MAX(MIN(M$15,'01_Input'!$O$58)-'01_Input'!$N$58,0)*'01_Input'!$Q$58))+IF('01_Input'!$T$58="Forfait",IF(M$15&gt;='01_Input'!$R$58,'01_Input'!$U$58,0),IF('01_Input'!$T$58="Palier",IF(AND(M$15&gt;='01_Input'!$R$58,M$15&lt;'01_Input'!$S$58),'01_Input'!$U$58,0),MAX(MIN(M$15,'01_Input'!$S$58)-'01_Input'!$R$58,0)*'01_Input'!$U$58))+IF('01_Input'!$X$58="Forfait",IF(M$15&gt;='01_Input'!$V$58,'01_Input'!$Y$58,0),IF('01_Input'!$X$58="Palier",IF(AND(M$15&gt;='01_Input'!$V$58,M$15&lt;'01_Input'!$W$58),'01_Input'!$Y$58,0),MAX(MIN(M$15,'01_Input'!$W$58)-'01_Input'!$V$58,0)*'01_Input'!$Y$58))+IF('01_Input'!$AB$58="Forfait",IF(M$15&gt;='01_Input'!$Z$58,'01_Input'!$AC$58,0),IF('01_Input'!$AB$58="Palier",IF(AND(M$15&gt;='01_Input'!$Z$58,M$15&lt;'01_Input'!$AA$58),'01_Input'!$AC$58,0),MAX(MIN(M$15,'01_Input'!$AA$58)-'01_Input'!$Z$58,0)*'01_Input'!$AC$58))))))))))</f>
        <v/>
      </c>
      <c r="N49" s="83" t="str">
        <f>IF(N$15="","",IF('01_Input'!$C$58="Non",0,MIN('01_Input'!$I$58,MAX('01_Input'!$H$58,IF('01_Input'!$G$58="Résiduel vs Gestion",0,IF('01_Input'!$G$58="Taux Classe sélectionnée",Distrib_Global_Classe_Selectionnee*N$15,IF('01_Input'!$G$58="Frais KYC (paliers de 100M€)",MAX(0,Nb_Investisseurs-Nb_KYC_Gratuites_Par_Tranche*(FLOOR(N$15/Taille_Tranche_KYC,1)+1))*Cout_Par_KYC_Supplementaire,(IF('01_Input'!$L$58="Forfait",IF(N$15&gt;='01_Input'!$J$58,'01_Input'!$M$58,0),IF('01_Input'!$L$58="Palier",IF(AND(N$15&gt;='01_Input'!$J$58,N$15&lt;'01_Input'!$K$58),'01_Input'!$M$58,0),MAX(MIN(N$15,'01_Input'!$K$58)-'01_Input'!$J$58,0)*'01_Input'!$M$58))+IF('01_Input'!$P$58="Forfait",IF(N$15&gt;='01_Input'!$N$58,'01_Input'!$Q$58,0),IF('01_Input'!$P$58="Palier",IF(AND(N$15&gt;='01_Input'!$N$58,N$15&lt;'01_Input'!$O$58),'01_Input'!$Q$58,0),MAX(MIN(N$15,'01_Input'!$O$58)-'01_Input'!$N$58,0)*'01_Input'!$Q$58))+IF('01_Input'!$T$58="Forfait",IF(N$15&gt;='01_Input'!$R$58,'01_Input'!$U$58,0),IF('01_Input'!$T$58="Palier",IF(AND(N$15&gt;='01_Input'!$R$58,N$15&lt;'01_Input'!$S$58),'01_Input'!$U$58,0),MAX(MIN(N$15,'01_Input'!$S$58)-'01_Input'!$R$58,0)*'01_Input'!$U$58))+IF('01_Input'!$X$58="Forfait",IF(N$15&gt;='01_Input'!$V$58,'01_Input'!$Y$58,0),IF('01_Input'!$X$58="Palier",IF(AND(N$15&gt;='01_Input'!$V$58,N$15&lt;'01_Input'!$W$58),'01_Input'!$Y$58,0),MAX(MIN(N$15,'01_Input'!$W$58)-'01_Input'!$V$58,0)*'01_Input'!$Y$58))+IF('01_Input'!$AB$58="Forfait",IF(N$15&gt;='01_Input'!$Z$58,'01_Input'!$AC$58,0),IF('01_Input'!$AB$58="Palier",IF(AND(N$15&gt;='01_Input'!$Z$58,N$15&lt;'01_Input'!$AA$58),'01_Input'!$AC$58,0),MAX(MIN(N$15,'01_Input'!$AA$58)-'01_Input'!$Z$58,0)*'01_Input'!$AC$58))))))))))</f>
        <v/>
      </c>
      <c r="O49" s="83" t="str">
        <f>IF(O$15="","",IF('01_Input'!$C$58="Non",0,MIN('01_Input'!$I$58,MAX('01_Input'!$H$58,IF('01_Input'!$G$58="Résiduel vs Gestion",0,IF('01_Input'!$G$58="Taux Classe sélectionnée",Distrib_Global_Classe_Selectionnee*O$15,IF('01_Input'!$G$58="Frais KYC (paliers de 100M€)",MAX(0,Nb_Investisseurs-Nb_KYC_Gratuites_Par_Tranche*(FLOOR(O$15/Taille_Tranche_KYC,1)+1))*Cout_Par_KYC_Supplementaire,(IF('01_Input'!$L$58="Forfait",IF(O$15&gt;='01_Input'!$J$58,'01_Input'!$M$58,0),IF('01_Input'!$L$58="Palier",IF(AND(O$15&gt;='01_Input'!$J$58,O$15&lt;'01_Input'!$K$58),'01_Input'!$M$58,0),MAX(MIN(O$15,'01_Input'!$K$58)-'01_Input'!$J$58,0)*'01_Input'!$M$58))+IF('01_Input'!$P$58="Forfait",IF(O$15&gt;='01_Input'!$N$58,'01_Input'!$Q$58,0),IF('01_Input'!$P$58="Palier",IF(AND(O$15&gt;='01_Input'!$N$58,O$15&lt;'01_Input'!$O$58),'01_Input'!$Q$58,0),MAX(MIN(O$15,'01_Input'!$O$58)-'01_Input'!$N$58,0)*'01_Input'!$Q$58))+IF('01_Input'!$T$58="Forfait",IF(O$15&gt;='01_Input'!$R$58,'01_Input'!$U$58,0),IF('01_Input'!$T$58="Palier",IF(AND(O$15&gt;='01_Input'!$R$58,O$15&lt;'01_Input'!$S$58),'01_Input'!$U$58,0),MAX(MIN(O$15,'01_Input'!$S$58)-'01_Input'!$R$58,0)*'01_Input'!$U$58))+IF('01_Input'!$X$58="Forfait",IF(O$15&gt;='01_Input'!$V$58,'01_Input'!$Y$58,0),IF('01_Input'!$X$58="Palier",IF(AND(O$15&gt;='01_Input'!$V$58,O$15&lt;'01_Input'!$W$58),'01_Input'!$Y$58,0),MAX(MIN(O$15,'01_Input'!$W$58)-'01_Input'!$V$58,0)*'01_Input'!$Y$58))+IF('01_Input'!$AB$58="Forfait",IF(O$15&gt;='01_Input'!$Z$58,'01_Input'!$AC$58,0),IF('01_Input'!$AB$58="Palier",IF(AND(O$15&gt;='01_Input'!$Z$58,O$15&lt;'01_Input'!$AA$58),'01_Input'!$AC$58,0),MAX(MIN(O$15,'01_Input'!$AA$58)-'01_Input'!$Z$58,0)*'01_Input'!$AC$58))))))))))</f>
        <v/>
      </c>
      <c r="P49" s="83" t="str">
        <f>IF(P$15="","",IF('01_Input'!$C$58="Non",0,MIN('01_Input'!$I$58,MAX('01_Input'!$H$58,IF('01_Input'!$G$58="Résiduel vs Gestion",0,IF('01_Input'!$G$58="Taux Classe sélectionnée",Distrib_Global_Classe_Selectionnee*P$15,IF('01_Input'!$G$58="Frais KYC (paliers de 100M€)",MAX(0,Nb_Investisseurs-Nb_KYC_Gratuites_Par_Tranche*(FLOOR(P$15/Taille_Tranche_KYC,1)+1))*Cout_Par_KYC_Supplementaire,(IF('01_Input'!$L$58="Forfait",IF(P$15&gt;='01_Input'!$J$58,'01_Input'!$M$58,0),IF('01_Input'!$L$58="Palier",IF(AND(P$15&gt;='01_Input'!$J$58,P$15&lt;'01_Input'!$K$58),'01_Input'!$M$58,0),MAX(MIN(P$15,'01_Input'!$K$58)-'01_Input'!$J$58,0)*'01_Input'!$M$58))+IF('01_Input'!$P$58="Forfait",IF(P$15&gt;='01_Input'!$N$58,'01_Input'!$Q$58,0),IF('01_Input'!$P$58="Palier",IF(AND(P$15&gt;='01_Input'!$N$58,P$15&lt;'01_Input'!$O$58),'01_Input'!$Q$58,0),MAX(MIN(P$15,'01_Input'!$O$58)-'01_Input'!$N$58,0)*'01_Input'!$Q$58))+IF('01_Input'!$T$58="Forfait",IF(P$15&gt;='01_Input'!$R$58,'01_Input'!$U$58,0),IF('01_Input'!$T$58="Palier",IF(AND(P$15&gt;='01_Input'!$R$58,P$15&lt;'01_Input'!$S$58),'01_Input'!$U$58,0),MAX(MIN(P$15,'01_Input'!$S$58)-'01_Input'!$R$58,0)*'01_Input'!$U$58))+IF('01_Input'!$X$58="Forfait",IF(P$15&gt;='01_Input'!$V$58,'01_Input'!$Y$58,0),IF('01_Input'!$X$58="Palier",IF(AND(P$15&gt;='01_Input'!$V$58,P$15&lt;'01_Input'!$W$58),'01_Input'!$Y$58,0),MAX(MIN(P$15,'01_Input'!$W$58)-'01_Input'!$V$58,0)*'01_Input'!$Y$58))+IF('01_Input'!$AB$58="Forfait",IF(P$15&gt;='01_Input'!$Z$58,'01_Input'!$AC$58,0),IF('01_Input'!$AB$58="Palier",IF(AND(P$15&gt;='01_Input'!$Z$58,P$15&lt;'01_Input'!$AA$58),'01_Input'!$AC$58,0),MAX(MIN(P$15,'01_Input'!$AA$58)-'01_Input'!$Z$58,0)*'01_Input'!$AC$58))))))))))</f>
        <v/>
      </c>
      <c r="Q49" s="83" t="str">
        <f>IF(Q$15="","",IF('01_Input'!$C$58="Non",0,MIN('01_Input'!$I$58,MAX('01_Input'!$H$58,IF('01_Input'!$G$58="Résiduel vs Gestion",0,IF('01_Input'!$G$58="Taux Classe sélectionnée",Distrib_Global_Classe_Selectionnee*Q$15,IF('01_Input'!$G$58="Frais KYC (paliers de 100M€)",MAX(0,Nb_Investisseurs-Nb_KYC_Gratuites_Par_Tranche*(FLOOR(Q$15/Taille_Tranche_KYC,1)+1))*Cout_Par_KYC_Supplementaire,(IF('01_Input'!$L$58="Forfait",IF(Q$15&gt;='01_Input'!$J$58,'01_Input'!$M$58,0),IF('01_Input'!$L$58="Palier",IF(AND(Q$15&gt;='01_Input'!$J$58,Q$15&lt;'01_Input'!$K$58),'01_Input'!$M$58,0),MAX(MIN(Q$15,'01_Input'!$K$58)-'01_Input'!$J$58,0)*'01_Input'!$M$58))+IF('01_Input'!$P$58="Forfait",IF(Q$15&gt;='01_Input'!$N$58,'01_Input'!$Q$58,0),IF('01_Input'!$P$58="Palier",IF(AND(Q$15&gt;='01_Input'!$N$58,Q$15&lt;'01_Input'!$O$58),'01_Input'!$Q$58,0),MAX(MIN(Q$15,'01_Input'!$O$58)-'01_Input'!$N$58,0)*'01_Input'!$Q$58))+IF('01_Input'!$T$58="Forfait",IF(Q$15&gt;='01_Input'!$R$58,'01_Input'!$U$58,0),IF('01_Input'!$T$58="Palier",IF(AND(Q$15&gt;='01_Input'!$R$58,Q$15&lt;'01_Input'!$S$58),'01_Input'!$U$58,0),MAX(MIN(Q$15,'01_Input'!$S$58)-'01_Input'!$R$58,0)*'01_Input'!$U$58))+IF('01_Input'!$X$58="Forfait",IF(Q$15&gt;='01_Input'!$V$58,'01_Input'!$Y$58,0),IF('01_Input'!$X$58="Palier",IF(AND(Q$15&gt;='01_Input'!$V$58,Q$15&lt;'01_Input'!$W$58),'01_Input'!$Y$58,0),MAX(MIN(Q$15,'01_Input'!$W$58)-'01_Input'!$V$58,0)*'01_Input'!$Y$58))+IF('01_Input'!$AB$58="Forfait",IF(Q$15&gt;='01_Input'!$Z$58,'01_Input'!$AC$58,0),IF('01_Input'!$AB$58="Palier",IF(AND(Q$15&gt;='01_Input'!$Z$58,Q$15&lt;'01_Input'!$AA$58),'01_Input'!$AC$58,0),MAX(MIN(Q$15,'01_Input'!$AA$58)-'01_Input'!$Z$58,0)*'01_Input'!$AC$58))))))))))</f>
        <v/>
      </c>
      <c r="R49" s="83" t="str">
        <f>IF(R$15="","",IF('01_Input'!$C$58="Non",0,MIN('01_Input'!$I$58,MAX('01_Input'!$H$58,IF('01_Input'!$G$58="Résiduel vs Gestion",0,IF('01_Input'!$G$58="Taux Classe sélectionnée",Distrib_Global_Classe_Selectionnee*R$15,IF('01_Input'!$G$58="Frais KYC (paliers de 100M€)",MAX(0,Nb_Investisseurs-Nb_KYC_Gratuites_Par_Tranche*(FLOOR(R$15/Taille_Tranche_KYC,1)+1))*Cout_Par_KYC_Supplementaire,(IF('01_Input'!$L$58="Forfait",IF(R$15&gt;='01_Input'!$J$58,'01_Input'!$M$58,0),IF('01_Input'!$L$58="Palier",IF(AND(R$15&gt;='01_Input'!$J$58,R$15&lt;'01_Input'!$K$58),'01_Input'!$M$58,0),MAX(MIN(R$15,'01_Input'!$K$58)-'01_Input'!$J$58,0)*'01_Input'!$M$58))+IF('01_Input'!$P$58="Forfait",IF(R$15&gt;='01_Input'!$N$58,'01_Input'!$Q$58,0),IF('01_Input'!$P$58="Palier",IF(AND(R$15&gt;='01_Input'!$N$58,R$15&lt;'01_Input'!$O$58),'01_Input'!$Q$58,0),MAX(MIN(R$15,'01_Input'!$O$58)-'01_Input'!$N$58,0)*'01_Input'!$Q$58))+IF('01_Input'!$T$58="Forfait",IF(R$15&gt;='01_Input'!$R$58,'01_Input'!$U$58,0),IF('01_Input'!$T$58="Palier",IF(AND(R$15&gt;='01_Input'!$R$58,R$15&lt;'01_Input'!$S$58),'01_Input'!$U$58,0),MAX(MIN(R$15,'01_Input'!$S$58)-'01_Input'!$R$58,0)*'01_Input'!$U$58))+IF('01_Input'!$X$58="Forfait",IF(R$15&gt;='01_Input'!$V$58,'01_Input'!$Y$58,0),IF('01_Input'!$X$58="Palier",IF(AND(R$15&gt;='01_Input'!$V$58,R$15&lt;'01_Input'!$W$58),'01_Input'!$Y$58,0),MAX(MIN(R$15,'01_Input'!$W$58)-'01_Input'!$V$58,0)*'01_Input'!$Y$58))+IF('01_Input'!$AB$58="Forfait",IF(R$15&gt;='01_Input'!$Z$58,'01_Input'!$AC$58,0),IF('01_Input'!$AB$58="Palier",IF(AND(R$15&gt;='01_Input'!$Z$58,R$15&lt;'01_Input'!$AA$58),'01_Input'!$AC$58,0),MAX(MIN(R$15,'01_Input'!$AA$58)-'01_Input'!$Z$58,0)*'01_Input'!$AC$58))))))))))</f>
        <v/>
      </c>
      <c r="S49" s="83" t="str">
        <f>IF(S$15="","",IF('01_Input'!$C$58="Non",0,MIN('01_Input'!$I$58,MAX('01_Input'!$H$58,IF('01_Input'!$G$58="Résiduel vs Gestion",0,IF('01_Input'!$G$58="Taux Classe sélectionnée",Distrib_Global_Classe_Selectionnee*S$15,IF('01_Input'!$G$58="Frais KYC (paliers de 100M€)",MAX(0,Nb_Investisseurs-Nb_KYC_Gratuites_Par_Tranche*(FLOOR(S$15/Taille_Tranche_KYC,1)+1))*Cout_Par_KYC_Supplementaire,(IF('01_Input'!$L$58="Forfait",IF(S$15&gt;='01_Input'!$J$58,'01_Input'!$M$58,0),IF('01_Input'!$L$58="Palier",IF(AND(S$15&gt;='01_Input'!$J$58,S$15&lt;'01_Input'!$K$58),'01_Input'!$M$58,0),MAX(MIN(S$15,'01_Input'!$K$58)-'01_Input'!$J$58,0)*'01_Input'!$M$58))+IF('01_Input'!$P$58="Forfait",IF(S$15&gt;='01_Input'!$N$58,'01_Input'!$Q$58,0),IF('01_Input'!$P$58="Palier",IF(AND(S$15&gt;='01_Input'!$N$58,S$15&lt;'01_Input'!$O$58),'01_Input'!$Q$58,0),MAX(MIN(S$15,'01_Input'!$O$58)-'01_Input'!$N$58,0)*'01_Input'!$Q$58))+IF('01_Input'!$T$58="Forfait",IF(S$15&gt;='01_Input'!$R$58,'01_Input'!$U$58,0),IF('01_Input'!$T$58="Palier",IF(AND(S$15&gt;='01_Input'!$R$58,S$15&lt;'01_Input'!$S$58),'01_Input'!$U$58,0),MAX(MIN(S$15,'01_Input'!$S$58)-'01_Input'!$R$58,0)*'01_Input'!$U$58))+IF('01_Input'!$X$58="Forfait",IF(S$15&gt;='01_Input'!$V$58,'01_Input'!$Y$58,0),IF('01_Input'!$X$58="Palier",IF(AND(S$15&gt;='01_Input'!$V$58,S$15&lt;'01_Input'!$W$58),'01_Input'!$Y$58,0),MAX(MIN(S$15,'01_Input'!$W$58)-'01_Input'!$V$58,0)*'01_Input'!$Y$58))+IF('01_Input'!$AB$58="Forfait",IF(S$15&gt;='01_Input'!$Z$58,'01_Input'!$AC$58,0),IF('01_Input'!$AB$58="Palier",IF(AND(S$15&gt;='01_Input'!$Z$58,S$15&lt;'01_Input'!$AA$58),'01_Input'!$AC$58,0),MAX(MIN(S$15,'01_Input'!$AA$58)-'01_Input'!$Z$58,0)*'01_Input'!$AC$58))))))))))</f>
        <v/>
      </c>
      <c r="T49" s="83" t="str">
        <f>IF(T$15="","",IF('01_Input'!$C$58="Non",0,MIN('01_Input'!$I$58,MAX('01_Input'!$H$58,IF('01_Input'!$G$58="Résiduel vs Gestion",0,IF('01_Input'!$G$58="Taux Classe sélectionnée",Distrib_Global_Classe_Selectionnee*T$15,IF('01_Input'!$G$58="Frais KYC (paliers de 100M€)",MAX(0,Nb_Investisseurs-Nb_KYC_Gratuites_Par_Tranche*(FLOOR(T$15/Taille_Tranche_KYC,1)+1))*Cout_Par_KYC_Supplementaire,(IF('01_Input'!$L$58="Forfait",IF(T$15&gt;='01_Input'!$J$58,'01_Input'!$M$58,0),IF('01_Input'!$L$58="Palier",IF(AND(T$15&gt;='01_Input'!$J$58,T$15&lt;'01_Input'!$K$58),'01_Input'!$M$58,0),MAX(MIN(T$15,'01_Input'!$K$58)-'01_Input'!$J$58,0)*'01_Input'!$M$58))+IF('01_Input'!$P$58="Forfait",IF(T$15&gt;='01_Input'!$N$58,'01_Input'!$Q$58,0),IF('01_Input'!$P$58="Palier",IF(AND(T$15&gt;='01_Input'!$N$58,T$15&lt;'01_Input'!$O$58),'01_Input'!$Q$58,0),MAX(MIN(T$15,'01_Input'!$O$58)-'01_Input'!$N$58,0)*'01_Input'!$Q$58))+IF('01_Input'!$T$58="Forfait",IF(T$15&gt;='01_Input'!$R$58,'01_Input'!$U$58,0),IF('01_Input'!$T$58="Palier",IF(AND(T$15&gt;='01_Input'!$R$58,T$15&lt;'01_Input'!$S$58),'01_Input'!$U$58,0),MAX(MIN(T$15,'01_Input'!$S$58)-'01_Input'!$R$58,0)*'01_Input'!$U$58))+IF('01_Input'!$X$58="Forfait",IF(T$15&gt;='01_Input'!$V$58,'01_Input'!$Y$58,0),IF('01_Input'!$X$58="Palier",IF(AND(T$15&gt;='01_Input'!$V$58,T$15&lt;'01_Input'!$W$58),'01_Input'!$Y$58,0),MAX(MIN(T$15,'01_Input'!$W$58)-'01_Input'!$V$58,0)*'01_Input'!$Y$58))+IF('01_Input'!$AB$58="Forfait",IF(T$15&gt;='01_Input'!$Z$58,'01_Input'!$AC$58,0),IF('01_Input'!$AB$58="Palier",IF(AND(T$15&gt;='01_Input'!$Z$58,T$15&lt;'01_Input'!$AA$58),'01_Input'!$AC$58,0),MAX(MIN(T$15,'01_Input'!$AA$58)-'01_Input'!$Z$58,0)*'01_Input'!$AC$58))))))))))</f>
        <v/>
      </c>
      <c r="U49" s="83" t="str">
        <f>IF(U$15="","",IF('01_Input'!$C$58="Non",0,MIN('01_Input'!$I$58,MAX('01_Input'!$H$58,IF('01_Input'!$G$58="Résiduel vs Gestion",0,IF('01_Input'!$G$58="Taux Classe sélectionnée",Distrib_Global_Classe_Selectionnee*U$15,IF('01_Input'!$G$58="Frais KYC (paliers de 100M€)",MAX(0,Nb_Investisseurs-Nb_KYC_Gratuites_Par_Tranche*(FLOOR(U$15/Taille_Tranche_KYC,1)+1))*Cout_Par_KYC_Supplementaire,(IF('01_Input'!$L$58="Forfait",IF(U$15&gt;='01_Input'!$J$58,'01_Input'!$M$58,0),IF('01_Input'!$L$58="Palier",IF(AND(U$15&gt;='01_Input'!$J$58,U$15&lt;'01_Input'!$K$58),'01_Input'!$M$58,0),MAX(MIN(U$15,'01_Input'!$K$58)-'01_Input'!$J$58,0)*'01_Input'!$M$58))+IF('01_Input'!$P$58="Forfait",IF(U$15&gt;='01_Input'!$N$58,'01_Input'!$Q$58,0),IF('01_Input'!$P$58="Palier",IF(AND(U$15&gt;='01_Input'!$N$58,U$15&lt;'01_Input'!$O$58),'01_Input'!$Q$58,0),MAX(MIN(U$15,'01_Input'!$O$58)-'01_Input'!$N$58,0)*'01_Input'!$Q$58))+IF('01_Input'!$T$58="Forfait",IF(U$15&gt;='01_Input'!$R$58,'01_Input'!$U$58,0),IF('01_Input'!$T$58="Palier",IF(AND(U$15&gt;='01_Input'!$R$58,U$15&lt;'01_Input'!$S$58),'01_Input'!$U$58,0),MAX(MIN(U$15,'01_Input'!$S$58)-'01_Input'!$R$58,0)*'01_Input'!$U$58))+IF('01_Input'!$X$58="Forfait",IF(U$15&gt;='01_Input'!$V$58,'01_Input'!$Y$58,0),IF('01_Input'!$X$58="Palier",IF(AND(U$15&gt;='01_Input'!$V$58,U$15&lt;'01_Input'!$W$58),'01_Input'!$Y$58,0),MAX(MIN(U$15,'01_Input'!$W$58)-'01_Input'!$V$58,0)*'01_Input'!$Y$58))+IF('01_Input'!$AB$58="Forfait",IF(U$15&gt;='01_Input'!$Z$58,'01_Input'!$AC$58,0),IF('01_Input'!$AB$58="Palier",IF(AND(U$15&gt;='01_Input'!$Z$58,U$15&lt;'01_Input'!$AA$58),'01_Input'!$AC$58,0),MAX(MIN(U$15,'01_Input'!$AA$58)-'01_Input'!$Z$58,0)*'01_Input'!$AC$58))))))))))</f>
        <v/>
      </c>
      <c r="V49" s="83" t="str">
        <f>IF(V$15="","",IF('01_Input'!$C$58="Non",0,MIN('01_Input'!$I$58,MAX('01_Input'!$H$58,IF('01_Input'!$G$58="Résiduel vs Gestion",0,IF('01_Input'!$G$58="Taux Classe sélectionnée",Distrib_Global_Classe_Selectionnee*V$15,IF('01_Input'!$G$58="Frais KYC (paliers de 100M€)",MAX(0,Nb_Investisseurs-Nb_KYC_Gratuites_Par_Tranche*(FLOOR(V$15/Taille_Tranche_KYC,1)+1))*Cout_Par_KYC_Supplementaire,(IF('01_Input'!$L$58="Forfait",IF(V$15&gt;='01_Input'!$J$58,'01_Input'!$M$58,0),IF('01_Input'!$L$58="Palier",IF(AND(V$15&gt;='01_Input'!$J$58,V$15&lt;'01_Input'!$K$58),'01_Input'!$M$58,0),MAX(MIN(V$15,'01_Input'!$K$58)-'01_Input'!$J$58,0)*'01_Input'!$M$58))+IF('01_Input'!$P$58="Forfait",IF(V$15&gt;='01_Input'!$N$58,'01_Input'!$Q$58,0),IF('01_Input'!$P$58="Palier",IF(AND(V$15&gt;='01_Input'!$N$58,V$15&lt;'01_Input'!$O$58),'01_Input'!$Q$58,0),MAX(MIN(V$15,'01_Input'!$O$58)-'01_Input'!$N$58,0)*'01_Input'!$Q$58))+IF('01_Input'!$T$58="Forfait",IF(V$15&gt;='01_Input'!$R$58,'01_Input'!$U$58,0),IF('01_Input'!$T$58="Palier",IF(AND(V$15&gt;='01_Input'!$R$58,V$15&lt;'01_Input'!$S$58),'01_Input'!$U$58,0),MAX(MIN(V$15,'01_Input'!$S$58)-'01_Input'!$R$58,0)*'01_Input'!$U$58))+IF('01_Input'!$X$58="Forfait",IF(V$15&gt;='01_Input'!$V$58,'01_Input'!$Y$58,0),IF('01_Input'!$X$58="Palier",IF(AND(V$15&gt;='01_Input'!$V$58,V$15&lt;'01_Input'!$W$58),'01_Input'!$Y$58,0),MAX(MIN(V$15,'01_Input'!$W$58)-'01_Input'!$V$58,0)*'01_Input'!$Y$58))+IF('01_Input'!$AB$58="Forfait",IF(V$15&gt;='01_Input'!$Z$58,'01_Input'!$AC$58,0),IF('01_Input'!$AB$58="Palier",IF(AND(V$15&gt;='01_Input'!$Z$58,V$15&lt;'01_Input'!$AA$58),'01_Input'!$AC$58,0),MAX(MIN(V$15,'01_Input'!$AA$58)-'01_Input'!$Z$58,0)*'01_Input'!$AC$58))))))))))</f>
        <v/>
      </c>
      <c r="W49" s="83" t="str">
        <f>IF(W$15="","",IF('01_Input'!$C$58="Non",0,MIN('01_Input'!$I$58,MAX('01_Input'!$H$58,IF('01_Input'!$G$58="Résiduel vs Gestion",0,IF('01_Input'!$G$58="Taux Classe sélectionnée",Distrib_Global_Classe_Selectionnee*W$15,IF('01_Input'!$G$58="Frais KYC (paliers de 100M€)",MAX(0,Nb_Investisseurs-Nb_KYC_Gratuites_Par_Tranche*(FLOOR(W$15/Taille_Tranche_KYC,1)+1))*Cout_Par_KYC_Supplementaire,(IF('01_Input'!$L$58="Forfait",IF(W$15&gt;='01_Input'!$J$58,'01_Input'!$M$58,0),IF('01_Input'!$L$58="Palier",IF(AND(W$15&gt;='01_Input'!$J$58,W$15&lt;'01_Input'!$K$58),'01_Input'!$M$58,0),MAX(MIN(W$15,'01_Input'!$K$58)-'01_Input'!$J$58,0)*'01_Input'!$M$58))+IF('01_Input'!$P$58="Forfait",IF(W$15&gt;='01_Input'!$N$58,'01_Input'!$Q$58,0),IF('01_Input'!$P$58="Palier",IF(AND(W$15&gt;='01_Input'!$N$58,W$15&lt;'01_Input'!$O$58),'01_Input'!$Q$58,0),MAX(MIN(W$15,'01_Input'!$O$58)-'01_Input'!$N$58,0)*'01_Input'!$Q$58))+IF('01_Input'!$T$58="Forfait",IF(W$15&gt;='01_Input'!$R$58,'01_Input'!$U$58,0),IF('01_Input'!$T$58="Palier",IF(AND(W$15&gt;='01_Input'!$R$58,W$15&lt;'01_Input'!$S$58),'01_Input'!$U$58,0),MAX(MIN(W$15,'01_Input'!$S$58)-'01_Input'!$R$58,0)*'01_Input'!$U$58))+IF('01_Input'!$X$58="Forfait",IF(W$15&gt;='01_Input'!$V$58,'01_Input'!$Y$58,0),IF('01_Input'!$X$58="Palier",IF(AND(W$15&gt;='01_Input'!$V$58,W$15&lt;'01_Input'!$W$58),'01_Input'!$Y$58,0),MAX(MIN(W$15,'01_Input'!$W$58)-'01_Input'!$V$58,0)*'01_Input'!$Y$58))+IF('01_Input'!$AB$58="Forfait",IF(W$15&gt;='01_Input'!$Z$58,'01_Input'!$AC$58,0),IF('01_Input'!$AB$58="Palier",IF(AND(W$15&gt;='01_Input'!$Z$58,W$15&lt;'01_Input'!$AA$58),'01_Input'!$AC$58,0),MAX(MIN(W$15,'01_Input'!$AA$58)-'01_Input'!$Z$58,0)*'01_Input'!$AC$58))))))))))</f>
        <v/>
      </c>
      <c r="X49" s="83" t="str">
        <f>IF(X$15="","",IF('01_Input'!$C$58="Non",0,MIN('01_Input'!$I$58,MAX('01_Input'!$H$58,IF('01_Input'!$G$58="Résiduel vs Gestion",0,IF('01_Input'!$G$58="Taux Classe sélectionnée",Distrib_Global_Classe_Selectionnee*X$15,IF('01_Input'!$G$58="Frais KYC (paliers de 100M€)",MAX(0,Nb_Investisseurs-Nb_KYC_Gratuites_Par_Tranche*(FLOOR(X$15/Taille_Tranche_KYC,1)+1))*Cout_Par_KYC_Supplementaire,(IF('01_Input'!$L$58="Forfait",IF(X$15&gt;='01_Input'!$J$58,'01_Input'!$M$58,0),IF('01_Input'!$L$58="Palier",IF(AND(X$15&gt;='01_Input'!$J$58,X$15&lt;'01_Input'!$K$58),'01_Input'!$M$58,0),MAX(MIN(X$15,'01_Input'!$K$58)-'01_Input'!$J$58,0)*'01_Input'!$M$58))+IF('01_Input'!$P$58="Forfait",IF(X$15&gt;='01_Input'!$N$58,'01_Input'!$Q$58,0),IF('01_Input'!$P$58="Palier",IF(AND(X$15&gt;='01_Input'!$N$58,X$15&lt;'01_Input'!$O$58),'01_Input'!$Q$58,0),MAX(MIN(X$15,'01_Input'!$O$58)-'01_Input'!$N$58,0)*'01_Input'!$Q$58))+IF('01_Input'!$T$58="Forfait",IF(X$15&gt;='01_Input'!$R$58,'01_Input'!$U$58,0),IF('01_Input'!$T$58="Palier",IF(AND(X$15&gt;='01_Input'!$R$58,X$15&lt;'01_Input'!$S$58),'01_Input'!$U$58,0),MAX(MIN(X$15,'01_Input'!$S$58)-'01_Input'!$R$58,0)*'01_Input'!$U$58))+IF('01_Input'!$X$58="Forfait",IF(X$15&gt;='01_Input'!$V$58,'01_Input'!$Y$58,0),IF('01_Input'!$X$58="Palier",IF(AND(X$15&gt;='01_Input'!$V$58,X$15&lt;'01_Input'!$W$58),'01_Input'!$Y$58,0),MAX(MIN(X$15,'01_Input'!$W$58)-'01_Input'!$V$58,0)*'01_Input'!$Y$58))+IF('01_Input'!$AB$58="Forfait",IF(X$15&gt;='01_Input'!$Z$58,'01_Input'!$AC$58,0),IF('01_Input'!$AB$58="Palier",IF(AND(X$15&gt;='01_Input'!$Z$58,X$15&lt;'01_Input'!$AA$58),'01_Input'!$AC$58,0),MAX(MIN(X$15,'01_Input'!$AA$58)-'01_Input'!$Z$58,0)*'01_Input'!$AC$58))))))))))</f>
        <v/>
      </c>
      <c r="Y49" s="83" t="str">
        <f>IF(Y$15="","",IF('01_Input'!$C$58="Non",0,MIN('01_Input'!$I$58,MAX('01_Input'!$H$58,IF('01_Input'!$G$58="Résiduel vs Gestion",0,IF('01_Input'!$G$58="Taux Classe sélectionnée",Distrib_Global_Classe_Selectionnee*Y$15,IF('01_Input'!$G$58="Frais KYC (paliers de 100M€)",MAX(0,Nb_Investisseurs-Nb_KYC_Gratuites_Par_Tranche*(FLOOR(Y$15/Taille_Tranche_KYC,1)+1))*Cout_Par_KYC_Supplementaire,(IF('01_Input'!$L$58="Forfait",IF(Y$15&gt;='01_Input'!$J$58,'01_Input'!$M$58,0),IF('01_Input'!$L$58="Palier",IF(AND(Y$15&gt;='01_Input'!$J$58,Y$15&lt;'01_Input'!$K$58),'01_Input'!$M$58,0),MAX(MIN(Y$15,'01_Input'!$K$58)-'01_Input'!$J$58,0)*'01_Input'!$M$58))+IF('01_Input'!$P$58="Forfait",IF(Y$15&gt;='01_Input'!$N$58,'01_Input'!$Q$58,0),IF('01_Input'!$P$58="Palier",IF(AND(Y$15&gt;='01_Input'!$N$58,Y$15&lt;'01_Input'!$O$58),'01_Input'!$Q$58,0),MAX(MIN(Y$15,'01_Input'!$O$58)-'01_Input'!$N$58,0)*'01_Input'!$Q$58))+IF('01_Input'!$T$58="Forfait",IF(Y$15&gt;='01_Input'!$R$58,'01_Input'!$U$58,0),IF('01_Input'!$T$58="Palier",IF(AND(Y$15&gt;='01_Input'!$R$58,Y$15&lt;'01_Input'!$S$58),'01_Input'!$U$58,0),MAX(MIN(Y$15,'01_Input'!$S$58)-'01_Input'!$R$58,0)*'01_Input'!$U$58))+IF('01_Input'!$X$58="Forfait",IF(Y$15&gt;='01_Input'!$V$58,'01_Input'!$Y$58,0),IF('01_Input'!$X$58="Palier",IF(AND(Y$15&gt;='01_Input'!$V$58,Y$15&lt;'01_Input'!$W$58),'01_Input'!$Y$58,0),MAX(MIN(Y$15,'01_Input'!$W$58)-'01_Input'!$V$58,0)*'01_Input'!$Y$58))+IF('01_Input'!$AB$58="Forfait",IF(Y$15&gt;='01_Input'!$Z$58,'01_Input'!$AC$58,0),IF('01_Input'!$AB$58="Palier",IF(AND(Y$15&gt;='01_Input'!$Z$58,Y$15&lt;'01_Input'!$AA$58),'01_Input'!$AC$58,0),MAX(MIN(Y$15,'01_Input'!$AA$58)-'01_Input'!$Z$58,0)*'01_Input'!$AC$58))))))))))</f>
        <v/>
      </c>
      <c r="Z49" s="83" t="str">
        <f>IF(Z$15="","",IF('01_Input'!$C$58="Non",0,MIN('01_Input'!$I$58,MAX('01_Input'!$H$58,IF('01_Input'!$G$58="Résiduel vs Gestion",0,IF('01_Input'!$G$58="Taux Classe sélectionnée",Distrib_Global_Classe_Selectionnee*Z$15,IF('01_Input'!$G$58="Frais KYC (paliers de 100M€)",MAX(0,Nb_Investisseurs-Nb_KYC_Gratuites_Par_Tranche*(FLOOR(Z$15/Taille_Tranche_KYC,1)+1))*Cout_Par_KYC_Supplementaire,(IF('01_Input'!$L$58="Forfait",IF(Z$15&gt;='01_Input'!$J$58,'01_Input'!$M$58,0),IF('01_Input'!$L$58="Palier",IF(AND(Z$15&gt;='01_Input'!$J$58,Z$15&lt;'01_Input'!$K$58),'01_Input'!$M$58,0),MAX(MIN(Z$15,'01_Input'!$K$58)-'01_Input'!$J$58,0)*'01_Input'!$M$58))+IF('01_Input'!$P$58="Forfait",IF(Z$15&gt;='01_Input'!$N$58,'01_Input'!$Q$58,0),IF('01_Input'!$P$58="Palier",IF(AND(Z$15&gt;='01_Input'!$N$58,Z$15&lt;'01_Input'!$O$58),'01_Input'!$Q$58,0),MAX(MIN(Z$15,'01_Input'!$O$58)-'01_Input'!$N$58,0)*'01_Input'!$Q$58))+IF('01_Input'!$T$58="Forfait",IF(Z$15&gt;='01_Input'!$R$58,'01_Input'!$U$58,0),IF('01_Input'!$T$58="Palier",IF(AND(Z$15&gt;='01_Input'!$R$58,Z$15&lt;'01_Input'!$S$58),'01_Input'!$U$58,0),MAX(MIN(Z$15,'01_Input'!$S$58)-'01_Input'!$R$58,0)*'01_Input'!$U$58))+IF('01_Input'!$X$58="Forfait",IF(Z$15&gt;='01_Input'!$V$58,'01_Input'!$Y$58,0),IF('01_Input'!$X$58="Palier",IF(AND(Z$15&gt;='01_Input'!$V$58,Z$15&lt;'01_Input'!$W$58),'01_Input'!$Y$58,0),MAX(MIN(Z$15,'01_Input'!$W$58)-'01_Input'!$V$58,0)*'01_Input'!$Y$58))+IF('01_Input'!$AB$58="Forfait",IF(Z$15&gt;='01_Input'!$Z$58,'01_Input'!$AC$58,0),IF('01_Input'!$AB$58="Palier",IF(AND(Z$15&gt;='01_Input'!$Z$58,Z$15&lt;'01_Input'!$AA$58),'01_Input'!$AC$58,0),MAX(MIN(Z$15,'01_Input'!$AA$58)-'01_Input'!$Z$58,0)*'01_Input'!$AC$58))))))))))</f>
        <v/>
      </c>
      <c r="AA49" s="83" t="str">
        <f>IF(AA$15="","",IF('01_Input'!$C$58="Non",0,MIN('01_Input'!$I$58,MAX('01_Input'!$H$58,IF('01_Input'!$G$58="Résiduel vs Gestion",0,IF('01_Input'!$G$58="Taux Classe sélectionnée",Distrib_Global_Classe_Selectionnee*AA$15,IF('01_Input'!$G$58="Frais KYC (paliers de 100M€)",MAX(0,Nb_Investisseurs-Nb_KYC_Gratuites_Par_Tranche*(FLOOR(AA$15/Taille_Tranche_KYC,1)+1))*Cout_Par_KYC_Supplementaire,(IF('01_Input'!$L$58="Forfait",IF(AA$15&gt;='01_Input'!$J$58,'01_Input'!$M$58,0),IF('01_Input'!$L$58="Palier",IF(AND(AA$15&gt;='01_Input'!$J$58,AA$15&lt;'01_Input'!$K$58),'01_Input'!$M$58,0),MAX(MIN(AA$15,'01_Input'!$K$58)-'01_Input'!$J$58,0)*'01_Input'!$M$58))+IF('01_Input'!$P$58="Forfait",IF(AA$15&gt;='01_Input'!$N$58,'01_Input'!$Q$58,0),IF('01_Input'!$P$58="Palier",IF(AND(AA$15&gt;='01_Input'!$N$58,AA$15&lt;'01_Input'!$O$58),'01_Input'!$Q$58,0),MAX(MIN(AA$15,'01_Input'!$O$58)-'01_Input'!$N$58,0)*'01_Input'!$Q$58))+IF('01_Input'!$T$58="Forfait",IF(AA$15&gt;='01_Input'!$R$58,'01_Input'!$U$58,0),IF('01_Input'!$T$58="Palier",IF(AND(AA$15&gt;='01_Input'!$R$58,AA$15&lt;'01_Input'!$S$58),'01_Input'!$U$58,0),MAX(MIN(AA$15,'01_Input'!$S$58)-'01_Input'!$R$58,0)*'01_Input'!$U$58))+IF('01_Input'!$X$58="Forfait",IF(AA$15&gt;='01_Input'!$V$58,'01_Input'!$Y$58,0),IF('01_Input'!$X$58="Palier",IF(AND(AA$15&gt;='01_Input'!$V$58,AA$15&lt;'01_Input'!$W$58),'01_Input'!$Y$58,0),MAX(MIN(AA$15,'01_Input'!$W$58)-'01_Input'!$V$58,0)*'01_Input'!$Y$58))+IF('01_Input'!$AB$58="Forfait",IF(AA$15&gt;='01_Input'!$Z$58,'01_Input'!$AC$58,0),IF('01_Input'!$AB$58="Palier",IF(AND(AA$15&gt;='01_Input'!$Z$58,AA$15&lt;'01_Input'!$AA$58),'01_Input'!$AC$58,0),MAX(MIN(AA$15,'01_Input'!$AA$58)-'01_Input'!$Z$58,0)*'01_Input'!$AC$58))))))))))</f>
        <v/>
      </c>
      <c r="AB49" s="83" t="str">
        <f>IF(AB$15="","",IF('01_Input'!$C$58="Non",0,MIN('01_Input'!$I$58,MAX('01_Input'!$H$58,IF('01_Input'!$G$58="Résiduel vs Gestion",0,IF('01_Input'!$G$58="Taux Classe sélectionnée",Distrib_Global_Classe_Selectionnee*AB$15,IF('01_Input'!$G$58="Frais KYC (paliers de 100M€)",MAX(0,Nb_Investisseurs-Nb_KYC_Gratuites_Par_Tranche*(FLOOR(AB$15/Taille_Tranche_KYC,1)+1))*Cout_Par_KYC_Supplementaire,(IF('01_Input'!$L$58="Forfait",IF(AB$15&gt;='01_Input'!$J$58,'01_Input'!$M$58,0),IF('01_Input'!$L$58="Palier",IF(AND(AB$15&gt;='01_Input'!$J$58,AB$15&lt;'01_Input'!$K$58),'01_Input'!$M$58,0),MAX(MIN(AB$15,'01_Input'!$K$58)-'01_Input'!$J$58,0)*'01_Input'!$M$58))+IF('01_Input'!$P$58="Forfait",IF(AB$15&gt;='01_Input'!$N$58,'01_Input'!$Q$58,0),IF('01_Input'!$P$58="Palier",IF(AND(AB$15&gt;='01_Input'!$N$58,AB$15&lt;'01_Input'!$O$58),'01_Input'!$Q$58,0),MAX(MIN(AB$15,'01_Input'!$O$58)-'01_Input'!$N$58,0)*'01_Input'!$Q$58))+IF('01_Input'!$T$58="Forfait",IF(AB$15&gt;='01_Input'!$R$58,'01_Input'!$U$58,0),IF('01_Input'!$T$58="Palier",IF(AND(AB$15&gt;='01_Input'!$R$58,AB$15&lt;'01_Input'!$S$58),'01_Input'!$U$58,0),MAX(MIN(AB$15,'01_Input'!$S$58)-'01_Input'!$R$58,0)*'01_Input'!$U$58))+IF('01_Input'!$X$58="Forfait",IF(AB$15&gt;='01_Input'!$V$58,'01_Input'!$Y$58,0),IF('01_Input'!$X$58="Palier",IF(AND(AB$15&gt;='01_Input'!$V$58,AB$15&lt;'01_Input'!$W$58),'01_Input'!$Y$58,0),MAX(MIN(AB$15,'01_Input'!$W$58)-'01_Input'!$V$58,0)*'01_Input'!$Y$58))+IF('01_Input'!$AB$58="Forfait",IF(AB$15&gt;='01_Input'!$Z$58,'01_Input'!$AC$58,0),IF('01_Input'!$AB$58="Palier",IF(AND(AB$15&gt;='01_Input'!$Z$58,AB$15&lt;'01_Input'!$AA$58),'01_Input'!$AC$58,0),MAX(MIN(AB$15,'01_Input'!$AA$58)-'01_Input'!$Z$58,0)*'01_Input'!$AC$58))))))))))</f>
        <v/>
      </c>
      <c r="AC49" s="83" t="str">
        <f>IF(AC$15="","",IF('01_Input'!$C$58="Non",0,MIN('01_Input'!$I$58,MAX('01_Input'!$H$58,IF('01_Input'!$G$58="Résiduel vs Gestion",0,IF('01_Input'!$G$58="Taux Classe sélectionnée",Distrib_Global_Classe_Selectionnee*AC$15,IF('01_Input'!$G$58="Frais KYC (paliers de 100M€)",MAX(0,Nb_Investisseurs-Nb_KYC_Gratuites_Par_Tranche*(FLOOR(AC$15/Taille_Tranche_KYC,1)+1))*Cout_Par_KYC_Supplementaire,(IF('01_Input'!$L$58="Forfait",IF(AC$15&gt;='01_Input'!$J$58,'01_Input'!$M$58,0),IF('01_Input'!$L$58="Palier",IF(AND(AC$15&gt;='01_Input'!$J$58,AC$15&lt;'01_Input'!$K$58),'01_Input'!$M$58,0),MAX(MIN(AC$15,'01_Input'!$K$58)-'01_Input'!$J$58,0)*'01_Input'!$M$58))+IF('01_Input'!$P$58="Forfait",IF(AC$15&gt;='01_Input'!$N$58,'01_Input'!$Q$58,0),IF('01_Input'!$P$58="Palier",IF(AND(AC$15&gt;='01_Input'!$N$58,AC$15&lt;'01_Input'!$O$58),'01_Input'!$Q$58,0),MAX(MIN(AC$15,'01_Input'!$O$58)-'01_Input'!$N$58,0)*'01_Input'!$Q$58))+IF('01_Input'!$T$58="Forfait",IF(AC$15&gt;='01_Input'!$R$58,'01_Input'!$U$58,0),IF('01_Input'!$T$58="Palier",IF(AND(AC$15&gt;='01_Input'!$R$58,AC$15&lt;'01_Input'!$S$58),'01_Input'!$U$58,0),MAX(MIN(AC$15,'01_Input'!$S$58)-'01_Input'!$R$58,0)*'01_Input'!$U$58))+IF('01_Input'!$X$58="Forfait",IF(AC$15&gt;='01_Input'!$V$58,'01_Input'!$Y$58,0),IF('01_Input'!$X$58="Palier",IF(AND(AC$15&gt;='01_Input'!$V$58,AC$15&lt;'01_Input'!$W$58),'01_Input'!$Y$58,0),MAX(MIN(AC$15,'01_Input'!$W$58)-'01_Input'!$V$58,0)*'01_Input'!$Y$58))+IF('01_Input'!$AB$58="Forfait",IF(AC$15&gt;='01_Input'!$Z$58,'01_Input'!$AC$58,0),IF('01_Input'!$AB$58="Palier",IF(AND(AC$15&gt;='01_Input'!$Z$58,AC$15&lt;'01_Input'!$AA$58),'01_Input'!$AC$58,0),MAX(MIN(AC$15,'01_Input'!$AA$58)-'01_Input'!$Z$58,0)*'01_Input'!$AC$58))))))))))</f>
        <v/>
      </c>
      <c r="AD49" s="83" t="str">
        <f>IF(AD$15="","",IF('01_Input'!$C$58="Non",0,MIN('01_Input'!$I$58,MAX('01_Input'!$H$58,IF('01_Input'!$G$58="Résiduel vs Gestion",0,IF('01_Input'!$G$58="Taux Classe sélectionnée",Distrib_Global_Classe_Selectionnee*AD$15,IF('01_Input'!$G$58="Frais KYC (paliers de 100M€)",MAX(0,Nb_Investisseurs-Nb_KYC_Gratuites_Par_Tranche*(FLOOR(AD$15/Taille_Tranche_KYC,1)+1))*Cout_Par_KYC_Supplementaire,(IF('01_Input'!$L$58="Forfait",IF(AD$15&gt;='01_Input'!$J$58,'01_Input'!$M$58,0),IF('01_Input'!$L$58="Palier",IF(AND(AD$15&gt;='01_Input'!$J$58,AD$15&lt;'01_Input'!$K$58),'01_Input'!$M$58,0),MAX(MIN(AD$15,'01_Input'!$K$58)-'01_Input'!$J$58,0)*'01_Input'!$M$58))+IF('01_Input'!$P$58="Forfait",IF(AD$15&gt;='01_Input'!$N$58,'01_Input'!$Q$58,0),IF('01_Input'!$P$58="Palier",IF(AND(AD$15&gt;='01_Input'!$N$58,AD$15&lt;'01_Input'!$O$58),'01_Input'!$Q$58,0),MAX(MIN(AD$15,'01_Input'!$O$58)-'01_Input'!$N$58,0)*'01_Input'!$Q$58))+IF('01_Input'!$T$58="Forfait",IF(AD$15&gt;='01_Input'!$R$58,'01_Input'!$U$58,0),IF('01_Input'!$T$58="Palier",IF(AND(AD$15&gt;='01_Input'!$R$58,AD$15&lt;'01_Input'!$S$58),'01_Input'!$U$58,0),MAX(MIN(AD$15,'01_Input'!$S$58)-'01_Input'!$R$58,0)*'01_Input'!$U$58))+IF('01_Input'!$X$58="Forfait",IF(AD$15&gt;='01_Input'!$V$58,'01_Input'!$Y$58,0),IF('01_Input'!$X$58="Palier",IF(AND(AD$15&gt;='01_Input'!$V$58,AD$15&lt;'01_Input'!$W$58),'01_Input'!$Y$58,0),MAX(MIN(AD$15,'01_Input'!$W$58)-'01_Input'!$V$58,0)*'01_Input'!$Y$58))+IF('01_Input'!$AB$58="Forfait",IF(AD$15&gt;='01_Input'!$Z$58,'01_Input'!$AC$58,0),IF('01_Input'!$AB$58="Palier",IF(AND(AD$15&gt;='01_Input'!$Z$58,AD$15&lt;'01_Input'!$AA$58),'01_Input'!$AC$58,0),MAX(MIN(AD$15,'01_Input'!$AA$58)-'01_Input'!$Z$58,0)*'01_Input'!$AC$58))))))))))</f>
        <v/>
      </c>
      <c r="AE49" s="83" t="str">
        <f>IF(AE$15="","",IF('01_Input'!$C$58="Non",0,MIN('01_Input'!$I$58,MAX('01_Input'!$H$58,IF('01_Input'!$G$58="Résiduel vs Gestion",0,IF('01_Input'!$G$58="Taux Classe sélectionnée",Distrib_Global_Classe_Selectionnee*AE$15,IF('01_Input'!$G$58="Frais KYC (paliers de 100M€)",MAX(0,Nb_Investisseurs-Nb_KYC_Gratuites_Par_Tranche*(FLOOR(AE$15/Taille_Tranche_KYC,1)+1))*Cout_Par_KYC_Supplementaire,(IF('01_Input'!$L$58="Forfait",IF(AE$15&gt;='01_Input'!$J$58,'01_Input'!$M$58,0),IF('01_Input'!$L$58="Palier",IF(AND(AE$15&gt;='01_Input'!$J$58,AE$15&lt;'01_Input'!$K$58),'01_Input'!$M$58,0),MAX(MIN(AE$15,'01_Input'!$K$58)-'01_Input'!$J$58,0)*'01_Input'!$M$58))+IF('01_Input'!$P$58="Forfait",IF(AE$15&gt;='01_Input'!$N$58,'01_Input'!$Q$58,0),IF('01_Input'!$P$58="Palier",IF(AND(AE$15&gt;='01_Input'!$N$58,AE$15&lt;'01_Input'!$O$58),'01_Input'!$Q$58,0),MAX(MIN(AE$15,'01_Input'!$O$58)-'01_Input'!$N$58,0)*'01_Input'!$Q$58))+IF('01_Input'!$T$58="Forfait",IF(AE$15&gt;='01_Input'!$R$58,'01_Input'!$U$58,0),IF('01_Input'!$T$58="Palier",IF(AND(AE$15&gt;='01_Input'!$R$58,AE$15&lt;'01_Input'!$S$58),'01_Input'!$U$58,0),MAX(MIN(AE$15,'01_Input'!$S$58)-'01_Input'!$R$58,0)*'01_Input'!$U$58))+IF('01_Input'!$X$58="Forfait",IF(AE$15&gt;='01_Input'!$V$58,'01_Input'!$Y$58,0),IF('01_Input'!$X$58="Palier",IF(AND(AE$15&gt;='01_Input'!$V$58,AE$15&lt;'01_Input'!$W$58),'01_Input'!$Y$58,0),MAX(MIN(AE$15,'01_Input'!$W$58)-'01_Input'!$V$58,0)*'01_Input'!$Y$58))+IF('01_Input'!$AB$58="Forfait",IF(AE$15&gt;='01_Input'!$Z$58,'01_Input'!$AC$58,0),IF('01_Input'!$AB$58="Palier",IF(AND(AE$15&gt;='01_Input'!$Z$58,AE$15&lt;'01_Input'!$AA$58),'01_Input'!$AC$58,0),MAX(MIN(AE$15,'01_Input'!$AA$58)-'01_Input'!$Z$58,0)*'01_Input'!$AC$58))))))))))</f>
        <v/>
      </c>
      <c r="AF49" s="83" t="str">
        <f>IF(AF$15="","",IF('01_Input'!$C$58="Non",0,MIN('01_Input'!$I$58,MAX('01_Input'!$H$58,IF('01_Input'!$G$58="Résiduel vs Gestion",0,IF('01_Input'!$G$58="Taux Classe sélectionnée",Distrib_Global_Classe_Selectionnee*AF$15,IF('01_Input'!$G$58="Frais KYC (paliers de 100M€)",MAX(0,Nb_Investisseurs-Nb_KYC_Gratuites_Par_Tranche*(FLOOR(AF$15/Taille_Tranche_KYC,1)+1))*Cout_Par_KYC_Supplementaire,(IF('01_Input'!$L$58="Forfait",IF(AF$15&gt;='01_Input'!$J$58,'01_Input'!$M$58,0),IF('01_Input'!$L$58="Palier",IF(AND(AF$15&gt;='01_Input'!$J$58,AF$15&lt;'01_Input'!$K$58),'01_Input'!$M$58,0),MAX(MIN(AF$15,'01_Input'!$K$58)-'01_Input'!$J$58,0)*'01_Input'!$M$58))+IF('01_Input'!$P$58="Forfait",IF(AF$15&gt;='01_Input'!$N$58,'01_Input'!$Q$58,0),IF('01_Input'!$P$58="Palier",IF(AND(AF$15&gt;='01_Input'!$N$58,AF$15&lt;'01_Input'!$O$58),'01_Input'!$Q$58,0),MAX(MIN(AF$15,'01_Input'!$O$58)-'01_Input'!$N$58,0)*'01_Input'!$Q$58))+IF('01_Input'!$T$58="Forfait",IF(AF$15&gt;='01_Input'!$R$58,'01_Input'!$U$58,0),IF('01_Input'!$T$58="Palier",IF(AND(AF$15&gt;='01_Input'!$R$58,AF$15&lt;'01_Input'!$S$58),'01_Input'!$U$58,0),MAX(MIN(AF$15,'01_Input'!$S$58)-'01_Input'!$R$58,0)*'01_Input'!$U$58))+IF('01_Input'!$X$58="Forfait",IF(AF$15&gt;='01_Input'!$V$58,'01_Input'!$Y$58,0),IF('01_Input'!$X$58="Palier",IF(AND(AF$15&gt;='01_Input'!$V$58,AF$15&lt;'01_Input'!$W$58),'01_Input'!$Y$58,0),MAX(MIN(AF$15,'01_Input'!$W$58)-'01_Input'!$V$58,0)*'01_Input'!$Y$58))+IF('01_Input'!$AB$58="Forfait",IF(AF$15&gt;='01_Input'!$Z$58,'01_Input'!$AC$58,0),IF('01_Input'!$AB$58="Palier",IF(AND(AF$15&gt;='01_Input'!$Z$58,AF$15&lt;'01_Input'!$AA$58),'01_Input'!$AC$58,0),MAX(MIN(AF$15,'01_Input'!$AA$58)-'01_Input'!$Z$58,0)*'01_Input'!$AC$58))))))))))</f>
        <v/>
      </c>
      <c r="AG49" s="83" t="str">
        <f>IF(AG$15="","",IF('01_Input'!$C$58="Non",0,MIN('01_Input'!$I$58,MAX('01_Input'!$H$58,IF('01_Input'!$G$58="Résiduel vs Gestion",0,IF('01_Input'!$G$58="Taux Classe sélectionnée",Distrib_Global_Classe_Selectionnee*AG$15,IF('01_Input'!$G$58="Frais KYC (paliers de 100M€)",MAX(0,Nb_Investisseurs-Nb_KYC_Gratuites_Par_Tranche*(FLOOR(AG$15/Taille_Tranche_KYC,1)+1))*Cout_Par_KYC_Supplementaire,(IF('01_Input'!$L$58="Forfait",IF(AG$15&gt;='01_Input'!$J$58,'01_Input'!$M$58,0),IF('01_Input'!$L$58="Palier",IF(AND(AG$15&gt;='01_Input'!$J$58,AG$15&lt;'01_Input'!$K$58),'01_Input'!$M$58,0),MAX(MIN(AG$15,'01_Input'!$K$58)-'01_Input'!$J$58,0)*'01_Input'!$M$58))+IF('01_Input'!$P$58="Forfait",IF(AG$15&gt;='01_Input'!$N$58,'01_Input'!$Q$58,0),IF('01_Input'!$P$58="Palier",IF(AND(AG$15&gt;='01_Input'!$N$58,AG$15&lt;'01_Input'!$O$58),'01_Input'!$Q$58,0),MAX(MIN(AG$15,'01_Input'!$O$58)-'01_Input'!$N$58,0)*'01_Input'!$Q$58))+IF('01_Input'!$T$58="Forfait",IF(AG$15&gt;='01_Input'!$R$58,'01_Input'!$U$58,0),IF('01_Input'!$T$58="Palier",IF(AND(AG$15&gt;='01_Input'!$R$58,AG$15&lt;'01_Input'!$S$58),'01_Input'!$U$58,0),MAX(MIN(AG$15,'01_Input'!$S$58)-'01_Input'!$R$58,0)*'01_Input'!$U$58))+IF('01_Input'!$X$58="Forfait",IF(AG$15&gt;='01_Input'!$V$58,'01_Input'!$Y$58,0),IF('01_Input'!$X$58="Palier",IF(AND(AG$15&gt;='01_Input'!$V$58,AG$15&lt;'01_Input'!$W$58),'01_Input'!$Y$58,0),MAX(MIN(AG$15,'01_Input'!$W$58)-'01_Input'!$V$58,0)*'01_Input'!$Y$58))+IF('01_Input'!$AB$58="Forfait",IF(AG$15&gt;='01_Input'!$Z$58,'01_Input'!$AC$58,0),IF('01_Input'!$AB$58="Palier",IF(AND(AG$15&gt;='01_Input'!$Z$58,AG$15&lt;'01_Input'!$AA$58),'01_Input'!$AC$58,0),MAX(MIN(AG$15,'01_Input'!$AA$58)-'01_Input'!$Z$58,0)*'01_Input'!$AC$58))))))))))</f>
        <v/>
      </c>
      <c r="AH49" s="83" t="str">
        <f>IF(AH$15="","",IF('01_Input'!$C$58="Non",0,MIN('01_Input'!$I$58,MAX('01_Input'!$H$58,IF('01_Input'!$G$58="Résiduel vs Gestion",0,IF('01_Input'!$G$58="Taux Classe sélectionnée",Distrib_Global_Classe_Selectionnee*AH$15,IF('01_Input'!$G$58="Frais KYC (paliers de 100M€)",MAX(0,Nb_Investisseurs-Nb_KYC_Gratuites_Par_Tranche*(FLOOR(AH$15/Taille_Tranche_KYC,1)+1))*Cout_Par_KYC_Supplementaire,(IF('01_Input'!$L$58="Forfait",IF(AH$15&gt;='01_Input'!$J$58,'01_Input'!$M$58,0),IF('01_Input'!$L$58="Palier",IF(AND(AH$15&gt;='01_Input'!$J$58,AH$15&lt;'01_Input'!$K$58),'01_Input'!$M$58,0),MAX(MIN(AH$15,'01_Input'!$K$58)-'01_Input'!$J$58,0)*'01_Input'!$M$58))+IF('01_Input'!$P$58="Forfait",IF(AH$15&gt;='01_Input'!$N$58,'01_Input'!$Q$58,0),IF('01_Input'!$P$58="Palier",IF(AND(AH$15&gt;='01_Input'!$N$58,AH$15&lt;'01_Input'!$O$58),'01_Input'!$Q$58,0),MAX(MIN(AH$15,'01_Input'!$O$58)-'01_Input'!$N$58,0)*'01_Input'!$Q$58))+IF('01_Input'!$T$58="Forfait",IF(AH$15&gt;='01_Input'!$R$58,'01_Input'!$U$58,0),IF('01_Input'!$T$58="Palier",IF(AND(AH$15&gt;='01_Input'!$R$58,AH$15&lt;'01_Input'!$S$58),'01_Input'!$U$58,0),MAX(MIN(AH$15,'01_Input'!$S$58)-'01_Input'!$R$58,0)*'01_Input'!$U$58))+IF('01_Input'!$X$58="Forfait",IF(AH$15&gt;='01_Input'!$V$58,'01_Input'!$Y$58,0),IF('01_Input'!$X$58="Palier",IF(AND(AH$15&gt;='01_Input'!$V$58,AH$15&lt;'01_Input'!$W$58),'01_Input'!$Y$58,0),MAX(MIN(AH$15,'01_Input'!$W$58)-'01_Input'!$V$58,0)*'01_Input'!$Y$58))+IF('01_Input'!$AB$58="Forfait",IF(AH$15&gt;='01_Input'!$Z$58,'01_Input'!$AC$58,0),IF('01_Input'!$AB$58="Palier",IF(AND(AH$15&gt;='01_Input'!$Z$58,AH$15&lt;'01_Input'!$AA$58),'01_Input'!$AC$58,0),MAX(MIN(AH$15,'01_Input'!$AA$58)-'01_Input'!$Z$58,0)*'01_Input'!$AC$58))))))))))</f>
        <v/>
      </c>
      <c r="AI49" s="83" t="str">
        <f>IF(AI$15="","",IF('01_Input'!$C$58="Non",0,MIN('01_Input'!$I$58,MAX('01_Input'!$H$58,IF('01_Input'!$G$58="Résiduel vs Gestion",0,IF('01_Input'!$G$58="Taux Classe sélectionnée",Distrib_Global_Classe_Selectionnee*AI$15,IF('01_Input'!$G$58="Frais KYC (paliers de 100M€)",MAX(0,Nb_Investisseurs-Nb_KYC_Gratuites_Par_Tranche*(FLOOR(AI$15/Taille_Tranche_KYC,1)+1))*Cout_Par_KYC_Supplementaire,(IF('01_Input'!$L$58="Forfait",IF(AI$15&gt;='01_Input'!$J$58,'01_Input'!$M$58,0),IF('01_Input'!$L$58="Palier",IF(AND(AI$15&gt;='01_Input'!$J$58,AI$15&lt;'01_Input'!$K$58),'01_Input'!$M$58,0),MAX(MIN(AI$15,'01_Input'!$K$58)-'01_Input'!$J$58,0)*'01_Input'!$M$58))+IF('01_Input'!$P$58="Forfait",IF(AI$15&gt;='01_Input'!$N$58,'01_Input'!$Q$58,0),IF('01_Input'!$P$58="Palier",IF(AND(AI$15&gt;='01_Input'!$N$58,AI$15&lt;'01_Input'!$O$58),'01_Input'!$Q$58,0),MAX(MIN(AI$15,'01_Input'!$O$58)-'01_Input'!$N$58,0)*'01_Input'!$Q$58))+IF('01_Input'!$T$58="Forfait",IF(AI$15&gt;='01_Input'!$R$58,'01_Input'!$U$58,0),IF('01_Input'!$T$58="Palier",IF(AND(AI$15&gt;='01_Input'!$R$58,AI$15&lt;'01_Input'!$S$58),'01_Input'!$U$58,0),MAX(MIN(AI$15,'01_Input'!$S$58)-'01_Input'!$R$58,0)*'01_Input'!$U$58))+IF('01_Input'!$X$58="Forfait",IF(AI$15&gt;='01_Input'!$V$58,'01_Input'!$Y$58,0),IF('01_Input'!$X$58="Palier",IF(AND(AI$15&gt;='01_Input'!$V$58,AI$15&lt;'01_Input'!$W$58),'01_Input'!$Y$58,0),MAX(MIN(AI$15,'01_Input'!$W$58)-'01_Input'!$V$58,0)*'01_Input'!$Y$58))+IF('01_Input'!$AB$58="Forfait",IF(AI$15&gt;='01_Input'!$Z$58,'01_Input'!$AC$58,0),IF('01_Input'!$AB$58="Palier",IF(AND(AI$15&gt;='01_Input'!$Z$58,AI$15&lt;'01_Input'!$AA$58),'01_Input'!$AC$58,0),MAX(MIN(AI$15,'01_Input'!$AA$58)-'01_Input'!$Z$58,0)*'01_Input'!$AC$58))))))))))</f>
        <v/>
      </c>
      <c r="AJ49" s="83" t="str">
        <f>IF(AJ$15="","",IF('01_Input'!$C$58="Non",0,MIN('01_Input'!$I$58,MAX('01_Input'!$H$58,IF('01_Input'!$G$58="Résiduel vs Gestion",0,IF('01_Input'!$G$58="Taux Classe sélectionnée",Distrib_Global_Classe_Selectionnee*AJ$15,IF('01_Input'!$G$58="Frais KYC (paliers de 100M€)",MAX(0,Nb_Investisseurs-Nb_KYC_Gratuites_Par_Tranche*(FLOOR(AJ$15/Taille_Tranche_KYC,1)+1))*Cout_Par_KYC_Supplementaire,(IF('01_Input'!$L$58="Forfait",IF(AJ$15&gt;='01_Input'!$J$58,'01_Input'!$M$58,0),IF('01_Input'!$L$58="Palier",IF(AND(AJ$15&gt;='01_Input'!$J$58,AJ$15&lt;'01_Input'!$K$58),'01_Input'!$M$58,0),MAX(MIN(AJ$15,'01_Input'!$K$58)-'01_Input'!$J$58,0)*'01_Input'!$M$58))+IF('01_Input'!$P$58="Forfait",IF(AJ$15&gt;='01_Input'!$N$58,'01_Input'!$Q$58,0),IF('01_Input'!$P$58="Palier",IF(AND(AJ$15&gt;='01_Input'!$N$58,AJ$15&lt;'01_Input'!$O$58),'01_Input'!$Q$58,0),MAX(MIN(AJ$15,'01_Input'!$O$58)-'01_Input'!$N$58,0)*'01_Input'!$Q$58))+IF('01_Input'!$T$58="Forfait",IF(AJ$15&gt;='01_Input'!$R$58,'01_Input'!$U$58,0),IF('01_Input'!$T$58="Palier",IF(AND(AJ$15&gt;='01_Input'!$R$58,AJ$15&lt;'01_Input'!$S$58),'01_Input'!$U$58,0),MAX(MIN(AJ$15,'01_Input'!$S$58)-'01_Input'!$R$58,0)*'01_Input'!$U$58))+IF('01_Input'!$X$58="Forfait",IF(AJ$15&gt;='01_Input'!$V$58,'01_Input'!$Y$58,0),IF('01_Input'!$X$58="Palier",IF(AND(AJ$15&gt;='01_Input'!$V$58,AJ$15&lt;'01_Input'!$W$58),'01_Input'!$Y$58,0),MAX(MIN(AJ$15,'01_Input'!$W$58)-'01_Input'!$V$58,0)*'01_Input'!$Y$58))+IF('01_Input'!$AB$58="Forfait",IF(AJ$15&gt;='01_Input'!$Z$58,'01_Input'!$AC$58,0),IF('01_Input'!$AB$58="Palier",IF(AND(AJ$15&gt;='01_Input'!$Z$58,AJ$15&lt;'01_Input'!$AA$58),'01_Input'!$AC$58,0),MAX(MIN(AJ$15,'01_Input'!$AA$58)-'01_Input'!$Z$58,0)*'01_Input'!$AC$58))))))))))</f>
        <v/>
      </c>
      <c r="AK49" s="83" t="str">
        <f>IF(AK$15="","",IF('01_Input'!$C$58="Non",0,MIN('01_Input'!$I$58,MAX('01_Input'!$H$58,IF('01_Input'!$G$58="Résiduel vs Gestion",0,IF('01_Input'!$G$58="Taux Classe sélectionnée",Distrib_Global_Classe_Selectionnee*AK$15,IF('01_Input'!$G$58="Frais KYC (paliers de 100M€)",MAX(0,Nb_Investisseurs-Nb_KYC_Gratuites_Par_Tranche*(FLOOR(AK$15/Taille_Tranche_KYC,1)+1))*Cout_Par_KYC_Supplementaire,(IF('01_Input'!$L$58="Forfait",IF(AK$15&gt;='01_Input'!$J$58,'01_Input'!$M$58,0),IF('01_Input'!$L$58="Palier",IF(AND(AK$15&gt;='01_Input'!$J$58,AK$15&lt;'01_Input'!$K$58),'01_Input'!$M$58,0),MAX(MIN(AK$15,'01_Input'!$K$58)-'01_Input'!$J$58,0)*'01_Input'!$M$58))+IF('01_Input'!$P$58="Forfait",IF(AK$15&gt;='01_Input'!$N$58,'01_Input'!$Q$58,0),IF('01_Input'!$P$58="Palier",IF(AND(AK$15&gt;='01_Input'!$N$58,AK$15&lt;'01_Input'!$O$58),'01_Input'!$Q$58,0),MAX(MIN(AK$15,'01_Input'!$O$58)-'01_Input'!$N$58,0)*'01_Input'!$Q$58))+IF('01_Input'!$T$58="Forfait",IF(AK$15&gt;='01_Input'!$R$58,'01_Input'!$U$58,0),IF('01_Input'!$T$58="Palier",IF(AND(AK$15&gt;='01_Input'!$R$58,AK$15&lt;'01_Input'!$S$58),'01_Input'!$U$58,0),MAX(MIN(AK$15,'01_Input'!$S$58)-'01_Input'!$R$58,0)*'01_Input'!$U$58))+IF('01_Input'!$X$58="Forfait",IF(AK$15&gt;='01_Input'!$V$58,'01_Input'!$Y$58,0),IF('01_Input'!$X$58="Palier",IF(AND(AK$15&gt;='01_Input'!$V$58,AK$15&lt;'01_Input'!$W$58),'01_Input'!$Y$58,0),MAX(MIN(AK$15,'01_Input'!$W$58)-'01_Input'!$V$58,0)*'01_Input'!$Y$58))+IF('01_Input'!$AB$58="Forfait",IF(AK$15&gt;='01_Input'!$Z$58,'01_Input'!$AC$58,0),IF('01_Input'!$AB$58="Palier",IF(AND(AK$15&gt;='01_Input'!$Z$58,AK$15&lt;'01_Input'!$AA$58),'01_Input'!$AC$58,0),MAX(MIN(AK$15,'01_Input'!$AA$58)-'01_Input'!$Z$58,0)*'01_Input'!$AC$58))))))))))</f>
        <v/>
      </c>
      <c r="AL49" s="83" t="str">
        <f>IF(AL$15="","",IF('01_Input'!$C$58="Non",0,MIN('01_Input'!$I$58,MAX('01_Input'!$H$58,IF('01_Input'!$G$58="Résiduel vs Gestion",0,IF('01_Input'!$G$58="Taux Classe sélectionnée",Distrib_Global_Classe_Selectionnee*AL$15,IF('01_Input'!$G$58="Frais KYC (paliers de 100M€)",MAX(0,Nb_Investisseurs-Nb_KYC_Gratuites_Par_Tranche*(FLOOR(AL$15/Taille_Tranche_KYC,1)+1))*Cout_Par_KYC_Supplementaire,(IF('01_Input'!$L$58="Forfait",IF(AL$15&gt;='01_Input'!$J$58,'01_Input'!$M$58,0),IF('01_Input'!$L$58="Palier",IF(AND(AL$15&gt;='01_Input'!$J$58,AL$15&lt;'01_Input'!$K$58),'01_Input'!$M$58,0),MAX(MIN(AL$15,'01_Input'!$K$58)-'01_Input'!$J$58,0)*'01_Input'!$M$58))+IF('01_Input'!$P$58="Forfait",IF(AL$15&gt;='01_Input'!$N$58,'01_Input'!$Q$58,0),IF('01_Input'!$P$58="Palier",IF(AND(AL$15&gt;='01_Input'!$N$58,AL$15&lt;'01_Input'!$O$58),'01_Input'!$Q$58,0),MAX(MIN(AL$15,'01_Input'!$O$58)-'01_Input'!$N$58,0)*'01_Input'!$Q$58))+IF('01_Input'!$T$58="Forfait",IF(AL$15&gt;='01_Input'!$R$58,'01_Input'!$U$58,0),IF('01_Input'!$T$58="Palier",IF(AND(AL$15&gt;='01_Input'!$R$58,AL$15&lt;'01_Input'!$S$58),'01_Input'!$U$58,0),MAX(MIN(AL$15,'01_Input'!$S$58)-'01_Input'!$R$58,0)*'01_Input'!$U$58))+IF('01_Input'!$X$58="Forfait",IF(AL$15&gt;='01_Input'!$V$58,'01_Input'!$Y$58,0),IF('01_Input'!$X$58="Palier",IF(AND(AL$15&gt;='01_Input'!$V$58,AL$15&lt;'01_Input'!$W$58),'01_Input'!$Y$58,0),MAX(MIN(AL$15,'01_Input'!$W$58)-'01_Input'!$V$58,0)*'01_Input'!$Y$58))+IF('01_Input'!$AB$58="Forfait",IF(AL$15&gt;='01_Input'!$Z$58,'01_Input'!$AC$58,0),IF('01_Input'!$AB$58="Palier",IF(AND(AL$15&gt;='01_Input'!$Z$58,AL$15&lt;'01_Input'!$AA$58),'01_Input'!$AC$58,0),MAX(MIN(AL$15,'01_Input'!$AA$58)-'01_Input'!$Z$58,0)*'01_Input'!$AC$58))))))))))</f>
        <v/>
      </c>
      <c r="AM49" s="83" t="str">
        <f>IF(AM$15="","",IF('01_Input'!$C$58="Non",0,MIN('01_Input'!$I$58,MAX('01_Input'!$H$58,IF('01_Input'!$G$58="Résiduel vs Gestion",0,IF('01_Input'!$G$58="Taux Classe sélectionnée",Distrib_Global_Classe_Selectionnee*AM$15,IF('01_Input'!$G$58="Frais KYC (paliers de 100M€)",MAX(0,Nb_Investisseurs-Nb_KYC_Gratuites_Par_Tranche*(FLOOR(AM$15/Taille_Tranche_KYC,1)+1))*Cout_Par_KYC_Supplementaire,(IF('01_Input'!$L$58="Forfait",IF(AM$15&gt;='01_Input'!$J$58,'01_Input'!$M$58,0),IF('01_Input'!$L$58="Palier",IF(AND(AM$15&gt;='01_Input'!$J$58,AM$15&lt;'01_Input'!$K$58),'01_Input'!$M$58,0),MAX(MIN(AM$15,'01_Input'!$K$58)-'01_Input'!$J$58,0)*'01_Input'!$M$58))+IF('01_Input'!$P$58="Forfait",IF(AM$15&gt;='01_Input'!$N$58,'01_Input'!$Q$58,0),IF('01_Input'!$P$58="Palier",IF(AND(AM$15&gt;='01_Input'!$N$58,AM$15&lt;'01_Input'!$O$58),'01_Input'!$Q$58,0),MAX(MIN(AM$15,'01_Input'!$O$58)-'01_Input'!$N$58,0)*'01_Input'!$Q$58))+IF('01_Input'!$T$58="Forfait",IF(AM$15&gt;='01_Input'!$R$58,'01_Input'!$U$58,0),IF('01_Input'!$T$58="Palier",IF(AND(AM$15&gt;='01_Input'!$R$58,AM$15&lt;'01_Input'!$S$58),'01_Input'!$U$58,0),MAX(MIN(AM$15,'01_Input'!$S$58)-'01_Input'!$R$58,0)*'01_Input'!$U$58))+IF('01_Input'!$X$58="Forfait",IF(AM$15&gt;='01_Input'!$V$58,'01_Input'!$Y$58,0),IF('01_Input'!$X$58="Palier",IF(AND(AM$15&gt;='01_Input'!$V$58,AM$15&lt;'01_Input'!$W$58),'01_Input'!$Y$58,0),MAX(MIN(AM$15,'01_Input'!$W$58)-'01_Input'!$V$58,0)*'01_Input'!$Y$58))+IF('01_Input'!$AB$58="Forfait",IF(AM$15&gt;='01_Input'!$Z$58,'01_Input'!$AC$58,0),IF('01_Input'!$AB$58="Palier",IF(AND(AM$15&gt;='01_Input'!$Z$58,AM$15&lt;'01_Input'!$AA$58),'01_Input'!$AC$58,0),MAX(MIN(AM$15,'01_Input'!$AA$58)-'01_Input'!$Z$58,0)*'01_Input'!$AC$58))))))))))</f>
        <v/>
      </c>
    </row>
    <row r="50" ht="15.75" customHeight="1">
      <c r="B50" s="40" t="str">
        <f t="shared" si="1"/>
        <v>CAC — Frais par Distribution</v>
      </c>
      <c r="D50" s="25">
        <f>IF(D$15="","",IF('01_Input'!$C$59="Non",0,MIN('01_Input'!$I$59,MAX('01_Input'!$H$59,IF('01_Input'!$G$59="Résiduel vs Gestion",0,IF('01_Input'!$G$59="Taux Classe sélectionnée",Distrib_Global_Classe_Selectionnee*D$15,IF('01_Input'!$G$59="Frais KYC (paliers de 100M€)",MAX(0,Nb_Investisseurs-Nb_KYC_Gratuites_Par_Tranche*(FLOOR(D$15/Taille_Tranche_KYC,1)+1))*Cout_Par_KYC_Supplementaire,(IF('01_Input'!$L$59="Forfait",IF(D$15&gt;='01_Input'!$J$59,'01_Input'!$M$59,0),IF('01_Input'!$L$59="Palier",IF(AND(D$15&gt;='01_Input'!$J$59,D$15&lt;'01_Input'!$K$59),'01_Input'!$M$59,0),MAX(MIN(D$15,'01_Input'!$K$59)-'01_Input'!$J$59,0)*'01_Input'!$M$59))+IF('01_Input'!$P$59="Forfait",IF(D$15&gt;='01_Input'!$N$59,'01_Input'!$Q$59,0),IF('01_Input'!$P$59="Palier",IF(AND(D$15&gt;='01_Input'!$N$59,D$15&lt;'01_Input'!$O$59),'01_Input'!$Q$59,0),MAX(MIN(D$15,'01_Input'!$O$59)-'01_Input'!$N$59,0)*'01_Input'!$Q$59))+IF('01_Input'!$T$59="Forfait",IF(D$15&gt;='01_Input'!$R$59,'01_Input'!$U$59,0),IF('01_Input'!$T$59="Palier",IF(AND(D$15&gt;='01_Input'!$R$59,D$15&lt;'01_Input'!$S$59),'01_Input'!$U$59,0),MAX(MIN(D$15,'01_Input'!$S$59)-'01_Input'!$R$59,0)*'01_Input'!$U$59))+IF('01_Input'!$X$59="Forfait",IF(D$15&gt;='01_Input'!$V$59,'01_Input'!$Y$59,0),IF('01_Input'!$X$59="Palier",IF(AND(D$15&gt;='01_Input'!$V$59,D$15&lt;'01_Input'!$W$59),'01_Input'!$Y$59,0),MAX(MIN(D$15,'01_Input'!$W$59)-'01_Input'!$V$59,0)*'01_Input'!$Y$59))+IF('01_Input'!$AB$59="Forfait",IF(D$15&gt;='01_Input'!$Z$59,'01_Input'!$AC$59,0),IF('01_Input'!$AB$59="Palier",IF(AND(D$15&gt;='01_Input'!$Z$59,D$15&lt;'01_Input'!$AA$59),'01_Input'!$AC$59,0),MAX(MIN(D$15,'01_Input'!$AA$59)-'01_Input'!$Z$59,0)*'01_Input'!$AC$59))))))))))</f>
        <v>0</v>
      </c>
      <c r="E50" s="25">
        <f>IF(E$15="","",IF('01_Input'!$C$59="Non",0,MIN('01_Input'!$I$59,MAX('01_Input'!$H$59,IF('01_Input'!$G$59="Résiduel vs Gestion",0,IF('01_Input'!$G$59="Taux Classe sélectionnée",Distrib_Global_Classe_Selectionnee*E$15,IF('01_Input'!$G$59="Frais KYC (paliers de 100M€)",MAX(0,Nb_Investisseurs-Nb_KYC_Gratuites_Par_Tranche*(FLOOR(E$15/Taille_Tranche_KYC,1)+1))*Cout_Par_KYC_Supplementaire,(IF('01_Input'!$L$59="Forfait",IF(E$15&gt;='01_Input'!$J$59,'01_Input'!$M$59,0),IF('01_Input'!$L$59="Palier",IF(AND(E$15&gt;='01_Input'!$J$59,E$15&lt;'01_Input'!$K$59),'01_Input'!$M$59,0),MAX(MIN(E$15,'01_Input'!$K$59)-'01_Input'!$J$59,0)*'01_Input'!$M$59))+IF('01_Input'!$P$59="Forfait",IF(E$15&gt;='01_Input'!$N$59,'01_Input'!$Q$59,0),IF('01_Input'!$P$59="Palier",IF(AND(E$15&gt;='01_Input'!$N$59,E$15&lt;'01_Input'!$O$59),'01_Input'!$Q$59,0),MAX(MIN(E$15,'01_Input'!$O$59)-'01_Input'!$N$59,0)*'01_Input'!$Q$59))+IF('01_Input'!$T$59="Forfait",IF(E$15&gt;='01_Input'!$R$59,'01_Input'!$U$59,0),IF('01_Input'!$T$59="Palier",IF(AND(E$15&gt;='01_Input'!$R$59,E$15&lt;'01_Input'!$S$59),'01_Input'!$U$59,0),MAX(MIN(E$15,'01_Input'!$S$59)-'01_Input'!$R$59,0)*'01_Input'!$U$59))+IF('01_Input'!$X$59="Forfait",IF(E$15&gt;='01_Input'!$V$59,'01_Input'!$Y$59,0),IF('01_Input'!$X$59="Palier",IF(AND(E$15&gt;='01_Input'!$V$59,E$15&lt;'01_Input'!$W$59),'01_Input'!$Y$59,0),MAX(MIN(E$15,'01_Input'!$W$59)-'01_Input'!$V$59,0)*'01_Input'!$Y$59))+IF('01_Input'!$AB$59="Forfait",IF(E$15&gt;='01_Input'!$Z$59,'01_Input'!$AC$59,0),IF('01_Input'!$AB$59="Palier",IF(AND(E$15&gt;='01_Input'!$Z$59,E$15&lt;'01_Input'!$AA$59),'01_Input'!$AC$59,0),MAX(MIN(E$15,'01_Input'!$AA$59)-'01_Input'!$Z$59,0)*'01_Input'!$AC$59))))))))))</f>
        <v>0</v>
      </c>
      <c r="F50" s="25" t="str">
        <f>IF(F$15="","",IF('01_Input'!$C$59="Non",0,MIN('01_Input'!$I$59,MAX('01_Input'!$H$59,IF('01_Input'!$G$59="Résiduel vs Gestion",0,IF('01_Input'!$G$59="Taux Classe sélectionnée",Distrib_Global_Classe_Selectionnee*F$15,IF('01_Input'!$G$59="Frais KYC (paliers de 100M€)",MAX(0,Nb_Investisseurs-Nb_KYC_Gratuites_Par_Tranche*(FLOOR(F$15/Taille_Tranche_KYC,1)+1))*Cout_Par_KYC_Supplementaire,(IF('01_Input'!$L$59="Forfait",IF(F$15&gt;='01_Input'!$J$59,'01_Input'!$M$59,0),IF('01_Input'!$L$59="Palier",IF(AND(F$15&gt;='01_Input'!$J$59,F$15&lt;'01_Input'!$K$59),'01_Input'!$M$59,0),MAX(MIN(F$15,'01_Input'!$K$59)-'01_Input'!$J$59,0)*'01_Input'!$M$59))+IF('01_Input'!$P$59="Forfait",IF(F$15&gt;='01_Input'!$N$59,'01_Input'!$Q$59,0),IF('01_Input'!$P$59="Palier",IF(AND(F$15&gt;='01_Input'!$N$59,F$15&lt;'01_Input'!$O$59),'01_Input'!$Q$59,0),MAX(MIN(F$15,'01_Input'!$O$59)-'01_Input'!$N$59,0)*'01_Input'!$Q$59))+IF('01_Input'!$T$59="Forfait",IF(F$15&gt;='01_Input'!$R$59,'01_Input'!$U$59,0),IF('01_Input'!$T$59="Palier",IF(AND(F$15&gt;='01_Input'!$R$59,F$15&lt;'01_Input'!$S$59),'01_Input'!$U$59,0),MAX(MIN(F$15,'01_Input'!$S$59)-'01_Input'!$R$59,0)*'01_Input'!$U$59))+IF('01_Input'!$X$59="Forfait",IF(F$15&gt;='01_Input'!$V$59,'01_Input'!$Y$59,0),IF('01_Input'!$X$59="Palier",IF(AND(F$15&gt;='01_Input'!$V$59,F$15&lt;'01_Input'!$W$59),'01_Input'!$Y$59,0),MAX(MIN(F$15,'01_Input'!$W$59)-'01_Input'!$V$59,0)*'01_Input'!$Y$59))+IF('01_Input'!$AB$59="Forfait",IF(F$15&gt;='01_Input'!$Z$59,'01_Input'!$AC$59,0),IF('01_Input'!$AB$59="Palier",IF(AND(F$15&gt;='01_Input'!$Z$59,F$15&lt;'01_Input'!$AA$59),'01_Input'!$AC$59,0),MAX(MIN(F$15,'01_Input'!$AA$59)-'01_Input'!$Z$59,0)*'01_Input'!$AC$59))))))))))</f>
        <v/>
      </c>
      <c r="G50" s="25" t="str">
        <f>IF(G$15="","",IF('01_Input'!$C$59="Non",0,MIN('01_Input'!$I$59,MAX('01_Input'!$H$59,IF('01_Input'!$G$59="Résiduel vs Gestion",0,IF('01_Input'!$G$59="Taux Classe sélectionnée",Distrib_Global_Classe_Selectionnee*G$15,IF('01_Input'!$G$59="Frais KYC (paliers de 100M€)",MAX(0,Nb_Investisseurs-Nb_KYC_Gratuites_Par_Tranche*(FLOOR(G$15/Taille_Tranche_KYC,1)+1))*Cout_Par_KYC_Supplementaire,(IF('01_Input'!$L$59="Forfait",IF(G$15&gt;='01_Input'!$J$59,'01_Input'!$M$59,0),IF('01_Input'!$L$59="Palier",IF(AND(G$15&gt;='01_Input'!$J$59,G$15&lt;'01_Input'!$K$59),'01_Input'!$M$59,0),MAX(MIN(G$15,'01_Input'!$K$59)-'01_Input'!$J$59,0)*'01_Input'!$M$59))+IF('01_Input'!$P$59="Forfait",IF(G$15&gt;='01_Input'!$N$59,'01_Input'!$Q$59,0),IF('01_Input'!$P$59="Palier",IF(AND(G$15&gt;='01_Input'!$N$59,G$15&lt;'01_Input'!$O$59),'01_Input'!$Q$59,0),MAX(MIN(G$15,'01_Input'!$O$59)-'01_Input'!$N$59,0)*'01_Input'!$Q$59))+IF('01_Input'!$T$59="Forfait",IF(G$15&gt;='01_Input'!$R$59,'01_Input'!$U$59,0),IF('01_Input'!$T$59="Palier",IF(AND(G$15&gt;='01_Input'!$R$59,G$15&lt;'01_Input'!$S$59),'01_Input'!$U$59,0),MAX(MIN(G$15,'01_Input'!$S$59)-'01_Input'!$R$59,0)*'01_Input'!$U$59))+IF('01_Input'!$X$59="Forfait",IF(G$15&gt;='01_Input'!$V$59,'01_Input'!$Y$59,0),IF('01_Input'!$X$59="Palier",IF(AND(G$15&gt;='01_Input'!$V$59,G$15&lt;'01_Input'!$W$59),'01_Input'!$Y$59,0),MAX(MIN(G$15,'01_Input'!$W$59)-'01_Input'!$V$59,0)*'01_Input'!$Y$59))+IF('01_Input'!$AB$59="Forfait",IF(G$15&gt;='01_Input'!$Z$59,'01_Input'!$AC$59,0),IF('01_Input'!$AB$59="Palier",IF(AND(G$15&gt;='01_Input'!$Z$59,G$15&lt;'01_Input'!$AA$59),'01_Input'!$AC$59,0),MAX(MIN(G$15,'01_Input'!$AA$59)-'01_Input'!$Z$59,0)*'01_Input'!$AC$59))))))))))</f>
        <v/>
      </c>
      <c r="H50" s="25" t="str">
        <f>IF(H$15="","",IF('01_Input'!$C$59="Non",0,MIN('01_Input'!$I$59,MAX('01_Input'!$H$59,IF('01_Input'!$G$59="Résiduel vs Gestion",0,IF('01_Input'!$G$59="Taux Classe sélectionnée",Distrib_Global_Classe_Selectionnee*H$15,IF('01_Input'!$G$59="Frais KYC (paliers de 100M€)",MAX(0,Nb_Investisseurs-Nb_KYC_Gratuites_Par_Tranche*(FLOOR(H$15/Taille_Tranche_KYC,1)+1))*Cout_Par_KYC_Supplementaire,(IF('01_Input'!$L$59="Forfait",IF(H$15&gt;='01_Input'!$J$59,'01_Input'!$M$59,0),IF('01_Input'!$L$59="Palier",IF(AND(H$15&gt;='01_Input'!$J$59,H$15&lt;'01_Input'!$K$59),'01_Input'!$M$59,0),MAX(MIN(H$15,'01_Input'!$K$59)-'01_Input'!$J$59,0)*'01_Input'!$M$59))+IF('01_Input'!$P$59="Forfait",IF(H$15&gt;='01_Input'!$N$59,'01_Input'!$Q$59,0),IF('01_Input'!$P$59="Palier",IF(AND(H$15&gt;='01_Input'!$N$59,H$15&lt;'01_Input'!$O$59),'01_Input'!$Q$59,0),MAX(MIN(H$15,'01_Input'!$O$59)-'01_Input'!$N$59,0)*'01_Input'!$Q$59))+IF('01_Input'!$T$59="Forfait",IF(H$15&gt;='01_Input'!$R$59,'01_Input'!$U$59,0),IF('01_Input'!$T$59="Palier",IF(AND(H$15&gt;='01_Input'!$R$59,H$15&lt;'01_Input'!$S$59),'01_Input'!$U$59,0),MAX(MIN(H$15,'01_Input'!$S$59)-'01_Input'!$R$59,0)*'01_Input'!$U$59))+IF('01_Input'!$X$59="Forfait",IF(H$15&gt;='01_Input'!$V$59,'01_Input'!$Y$59,0),IF('01_Input'!$X$59="Palier",IF(AND(H$15&gt;='01_Input'!$V$59,H$15&lt;'01_Input'!$W$59),'01_Input'!$Y$59,0),MAX(MIN(H$15,'01_Input'!$W$59)-'01_Input'!$V$59,0)*'01_Input'!$Y$59))+IF('01_Input'!$AB$59="Forfait",IF(H$15&gt;='01_Input'!$Z$59,'01_Input'!$AC$59,0),IF('01_Input'!$AB$59="Palier",IF(AND(H$15&gt;='01_Input'!$Z$59,H$15&lt;'01_Input'!$AA$59),'01_Input'!$AC$59,0),MAX(MIN(H$15,'01_Input'!$AA$59)-'01_Input'!$Z$59,0)*'01_Input'!$AC$59))))))))))</f>
        <v/>
      </c>
      <c r="I50" s="25" t="str">
        <f>IF(I$15="","",IF('01_Input'!$C$59="Non",0,MIN('01_Input'!$I$59,MAX('01_Input'!$H$59,IF('01_Input'!$G$59="Résiduel vs Gestion",0,IF('01_Input'!$G$59="Taux Classe sélectionnée",Distrib_Global_Classe_Selectionnee*I$15,IF('01_Input'!$G$59="Frais KYC (paliers de 100M€)",MAX(0,Nb_Investisseurs-Nb_KYC_Gratuites_Par_Tranche*(FLOOR(I$15/Taille_Tranche_KYC,1)+1))*Cout_Par_KYC_Supplementaire,(IF('01_Input'!$L$59="Forfait",IF(I$15&gt;='01_Input'!$J$59,'01_Input'!$M$59,0),IF('01_Input'!$L$59="Palier",IF(AND(I$15&gt;='01_Input'!$J$59,I$15&lt;'01_Input'!$K$59),'01_Input'!$M$59,0),MAX(MIN(I$15,'01_Input'!$K$59)-'01_Input'!$J$59,0)*'01_Input'!$M$59))+IF('01_Input'!$P$59="Forfait",IF(I$15&gt;='01_Input'!$N$59,'01_Input'!$Q$59,0),IF('01_Input'!$P$59="Palier",IF(AND(I$15&gt;='01_Input'!$N$59,I$15&lt;'01_Input'!$O$59),'01_Input'!$Q$59,0),MAX(MIN(I$15,'01_Input'!$O$59)-'01_Input'!$N$59,0)*'01_Input'!$Q$59))+IF('01_Input'!$T$59="Forfait",IF(I$15&gt;='01_Input'!$R$59,'01_Input'!$U$59,0),IF('01_Input'!$T$59="Palier",IF(AND(I$15&gt;='01_Input'!$R$59,I$15&lt;'01_Input'!$S$59),'01_Input'!$U$59,0),MAX(MIN(I$15,'01_Input'!$S$59)-'01_Input'!$R$59,0)*'01_Input'!$U$59))+IF('01_Input'!$X$59="Forfait",IF(I$15&gt;='01_Input'!$V$59,'01_Input'!$Y$59,0),IF('01_Input'!$X$59="Palier",IF(AND(I$15&gt;='01_Input'!$V$59,I$15&lt;'01_Input'!$W$59),'01_Input'!$Y$59,0),MAX(MIN(I$15,'01_Input'!$W$59)-'01_Input'!$V$59,0)*'01_Input'!$Y$59))+IF('01_Input'!$AB$59="Forfait",IF(I$15&gt;='01_Input'!$Z$59,'01_Input'!$AC$59,0),IF('01_Input'!$AB$59="Palier",IF(AND(I$15&gt;='01_Input'!$Z$59,I$15&lt;'01_Input'!$AA$59),'01_Input'!$AC$59,0),MAX(MIN(I$15,'01_Input'!$AA$59)-'01_Input'!$Z$59,0)*'01_Input'!$AC$59))))))))))</f>
        <v/>
      </c>
      <c r="J50" s="25" t="str">
        <f>IF(J$15="","",IF('01_Input'!$C$59="Non",0,MIN('01_Input'!$I$59,MAX('01_Input'!$H$59,IF('01_Input'!$G$59="Résiduel vs Gestion",0,IF('01_Input'!$G$59="Taux Classe sélectionnée",Distrib_Global_Classe_Selectionnee*J$15,IF('01_Input'!$G$59="Frais KYC (paliers de 100M€)",MAX(0,Nb_Investisseurs-Nb_KYC_Gratuites_Par_Tranche*(FLOOR(J$15/Taille_Tranche_KYC,1)+1))*Cout_Par_KYC_Supplementaire,(IF('01_Input'!$L$59="Forfait",IF(J$15&gt;='01_Input'!$J$59,'01_Input'!$M$59,0),IF('01_Input'!$L$59="Palier",IF(AND(J$15&gt;='01_Input'!$J$59,J$15&lt;'01_Input'!$K$59),'01_Input'!$M$59,0),MAX(MIN(J$15,'01_Input'!$K$59)-'01_Input'!$J$59,0)*'01_Input'!$M$59))+IF('01_Input'!$P$59="Forfait",IF(J$15&gt;='01_Input'!$N$59,'01_Input'!$Q$59,0),IF('01_Input'!$P$59="Palier",IF(AND(J$15&gt;='01_Input'!$N$59,J$15&lt;'01_Input'!$O$59),'01_Input'!$Q$59,0),MAX(MIN(J$15,'01_Input'!$O$59)-'01_Input'!$N$59,0)*'01_Input'!$Q$59))+IF('01_Input'!$T$59="Forfait",IF(J$15&gt;='01_Input'!$R$59,'01_Input'!$U$59,0),IF('01_Input'!$T$59="Palier",IF(AND(J$15&gt;='01_Input'!$R$59,J$15&lt;'01_Input'!$S$59),'01_Input'!$U$59,0),MAX(MIN(J$15,'01_Input'!$S$59)-'01_Input'!$R$59,0)*'01_Input'!$U$59))+IF('01_Input'!$X$59="Forfait",IF(J$15&gt;='01_Input'!$V$59,'01_Input'!$Y$59,0),IF('01_Input'!$X$59="Palier",IF(AND(J$15&gt;='01_Input'!$V$59,J$15&lt;'01_Input'!$W$59),'01_Input'!$Y$59,0),MAX(MIN(J$15,'01_Input'!$W$59)-'01_Input'!$V$59,0)*'01_Input'!$Y$59))+IF('01_Input'!$AB$59="Forfait",IF(J$15&gt;='01_Input'!$Z$59,'01_Input'!$AC$59,0),IF('01_Input'!$AB$59="Palier",IF(AND(J$15&gt;='01_Input'!$Z$59,J$15&lt;'01_Input'!$AA$59),'01_Input'!$AC$59,0),MAX(MIN(J$15,'01_Input'!$AA$59)-'01_Input'!$Z$59,0)*'01_Input'!$AC$59))))))))))</f>
        <v/>
      </c>
      <c r="K50" s="25" t="str">
        <f>IF(K$15="","",IF('01_Input'!$C$59="Non",0,MIN('01_Input'!$I$59,MAX('01_Input'!$H$59,IF('01_Input'!$G$59="Résiduel vs Gestion",0,IF('01_Input'!$G$59="Taux Classe sélectionnée",Distrib_Global_Classe_Selectionnee*K$15,IF('01_Input'!$G$59="Frais KYC (paliers de 100M€)",MAX(0,Nb_Investisseurs-Nb_KYC_Gratuites_Par_Tranche*(FLOOR(K$15/Taille_Tranche_KYC,1)+1))*Cout_Par_KYC_Supplementaire,(IF('01_Input'!$L$59="Forfait",IF(K$15&gt;='01_Input'!$J$59,'01_Input'!$M$59,0),IF('01_Input'!$L$59="Palier",IF(AND(K$15&gt;='01_Input'!$J$59,K$15&lt;'01_Input'!$K$59),'01_Input'!$M$59,0),MAX(MIN(K$15,'01_Input'!$K$59)-'01_Input'!$J$59,0)*'01_Input'!$M$59))+IF('01_Input'!$P$59="Forfait",IF(K$15&gt;='01_Input'!$N$59,'01_Input'!$Q$59,0),IF('01_Input'!$P$59="Palier",IF(AND(K$15&gt;='01_Input'!$N$59,K$15&lt;'01_Input'!$O$59),'01_Input'!$Q$59,0),MAX(MIN(K$15,'01_Input'!$O$59)-'01_Input'!$N$59,0)*'01_Input'!$Q$59))+IF('01_Input'!$T$59="Forfait",IF(K$15&gt;='01_Input'!$R$59,'01_Input'!$U$59,0),IF('01_Input'!$T$59="Palier",IF(AND(K$15&gt;='01_Input'!$R$59,K$15&lt;'01_Input'!$S$59),'01_Input'!$U$59,0),MAX(MIN(K$15,'01_Input'!$S$59)-'01_Input'!$R$59,0)*'01_Input'!$U$59))+IF('01_Input'!$X$59="Forfait",IF(K$15&gt;='01_Input'!$V$59,'01_Input'!$Y$59,0),IF('01_Input'!$X$59="Palier",IF(AND(K$15&gt;='01_Input'!$V$59,K$15&lt;'01_Input'!$W$59),'01_Input'!$Y$59,0),MAX(MIN(K$15,'01_Input'!$W$59)-'01_Input'!$V$59,0)*'01_Input'!$Y$59))+IF('01_Input'!$AB$59="Forfait",IF(K$15&gt;='01_Input'!$Z$59,'01_Input'!$AC$59,0),IF('01_Input'!$AB$59="Palier",IF(AND(K$15&gt;='01_Input'!$Z$59,K$15&lt;'01_Input'!$AA$59),'01_Input'!$AC$59,0),MAX(MIN(K$15,'01_Input'!$AA$59)-'01_Input'!$Z$59,0)*'01_Input'!$AC$59))))))))))</f>
        <v/>
      </c>
      <c r="L50" s="25" t="str">
        <f>IF(L$15="","",IF('01_Input'!$C$59="Non",0,MIN('01_Input'!$I$59,MAX('01_Input'!$H$59,IF('01_Input'!$G$59="Résiduel vs Gestion",0,IF('01_Input'!$G$59="Taux Classe sélectionnée",Distrib_Global_Classe_Selectionnee*L$15,IF('01_Input'!$G$59="Frais KYC (paliers de 100M€)",MAX(0,Nb_Investisseurs-Nb_KYC_Gratuites_Par_Tranche*(FLOOR(L$15/Taille_Tranche_KYC,1)+1))*Cout_Par_KYC_Supplementaire,(IF('01_Input'!$L$59="Forfait",IF(L$15&gt;='01_Input'!$J$59,'01_Input'!$M$59,0),IF('01_Input'!$L$59="Palier",IF(AND(L$15&gt;='01_Input'!$J$59,L$15&lt;'01_Input'!$K$59),'01_Input'!$M$59,0),MAX(MIN(L$15,'01_Input'!$K$59)-'01_Input'!$J$59,0)*'01_Input'!$M$59))+IF('01_Input'!$P$59="Forfait",IF(L$15&gt;='01_Input'!$N$59,'01_Input'!$Q$59,0),IF('01_Input'!$P$59="Palier",IF(AND(L$15&gt;='01_Input'!$N$59,L$15&lt;'01_Input'!$O$59),'01_Input'!$Q$59,0),MAX(MIN(L$15,'01_Input'!$O$59)-'01_Input'!$N$59,0)*'01_Input'!$Q$59))+IF('01_Input'!$T$59="Forfait",IF(L$15&gt;='01_Input'!$R$59,'01_Input'!$U$59,0),IF('01_Input'!$T$59="Palier",IF(AND(L$15&gt;='01_Input'!$R$59,L$15&lt;'01_Input'!$S$59),'01_Input'!$U$59,0),MAX(MIN(L$15,'01_Input'!$S$59)-'01_Input'!$R$59,0)*'01_Input'!$U$59))+IF('01_Input'!$X$59="Forfait",IF(L$15&gt;='01_Input'!$V$59,'01_Input'!$Y$59,0),IF('01_Input'!$X$59="Palier",IF(AND(L$15&gt;='01_Input'!$V$59,L$15&lt;'01_Input'!$W$59),'01_Input'!$Y$59,0),MAX(MIN(L$15,'01_Input'!$W$59)-'01_Input'!$V$59,0)*'01_Input'!$Y$59))+IF('01_Input'!$AB$59="Forfait",IF(L$15&gt;='01_Input'!$Z$59,'01_Input'!$AC$59,0),IF('01_Input'!$AB$59="Palier",IF(AND(L$15&gt;='01_Input'!$Z$59,L$15&lt;'01_Input'!$AA$59),'01_Input'!$AC$59,0),MAX(MIN(L$15,'01_Input'!$AA$59)-'01_Input'!$Z$59,0)*'01_Input'!$AC$59))))))))))</f>
        <v/>
      </c>
      <c r="M50" s="25" t="str">
        <f>IF(M$15="","",IF('01_Input'!$C$59="Non",0,MIN('01_Input'!$I$59,MAX('01_Input'!$H$59,IF('01_Input'!$G$59="Résiduel vs Gestion",0,IF('01_Input'!$G$59="Taux Classe sélectionnée",Distrib_Global_Classe_Selectionnee*M$15,IF('01_Input'!$G$59="Frais KYC (paliers de 100M€)",MAX(0,Nb_Investisseurs-Nb_KYC_Gratuites_Par_Tranche*(FLOOR(M$15/Taille_Tranche_KYC,1)+1))*Cout_Par_KYC_Supplementaire,(IF('01_Input'!$L$59="Forfait",IF(M$15&gt;='01_Input'!$J$59,'01_Input'!$M$59,0),IF('01_Input'!$L$59="Palier",IF(AND(M$15&gt;='01_Input'!$J$59,M$15&lt;'01_Input'!$K$59),'01_Input'!$M$59,0),MAX(MIN(M$15,'01_Input'!$K$59)-'01_Input'!$J$59,0)*'01_Input'!$M$59))+IF('01_Input'!$P$59="Forfait",IF(M$15&gt;='01_Input'!$N$59,'01_Input'!$Q$59,0),IF('01_Input'!$P$59="Palier",IF(AND(M$15&gt;='01_Input'!$N$59,M$15&lt;'01_Input'!$O$59),'01_Input'!$Q$59,0),MAX(MIN(M$15,'01_Input'!$O$59)-'01_Input'!$N$59,0)*'01_Input'!$Q$59))+IF('01_Input'!$T$59="Forfait",IF(M$15&gt;='01_Input'!$R$59,'01_Input'!$U$59,0),IF('01_Input'!$T$59="Palier",IF(AND(M$15&gt;='01_Input'!$R$59,M$15&lt;'01_Input'!$S$59),'01_Input'!$U$59,0),MAX(MIN(M$15,'01_Input'!$S$59)-'01_Input'!$R$59,0)*'01_Input'!$U$59))+IF('01_Input'!$X$59="Forfait",IF(M$15&gt;='01_Input'!$V$59,'01_Input'!$Y$59,0),IF('01_Input'!$X$59="Palier",IF(AND(M$15&gt;='01_Input'!$V$59,M$15&lt;'01_Input'!$W$59),'01_Input'!$Y$59,0),MAX(MIN(M$15,'01_Input'!$W$59)-'01_Input'!$V$59,0)*'01_Input'!$Y$59))+IF('01_Input'!$AB$59="Forfait",IF(M$15&gt;='01_Input'!$Z$59,'01_Input'!$AC$59,0),IF('01_Input'!$AB$59="Palier",IF(AND(M$15&gt;='01_Input'!$Z$59,M$15&lt;'01_Input'!$AA$59),'01_Input'!$AC$59,0),MAX(MIN(M$15,'01_Input'!$AA$59)-'01_Input'!$Z$59,0)*'01_Input'!$AC$59))))))))))</f>
        <v/>
      </c>
      <c r="N50" s="25" t="str">
        <f>IF(N$15="","",IF('01_Input'!$C$59="Non",0,MIN('01_Input'!$I$59,MAX('01_Input'!$H$59,IF('01_Input'!$G$59="Résiduel vs Gestion",0,IF('01_Input'!$G$59="Taux Classe sélectionnée",Distrib_Global_Classe_Selectionnee*N$15,IF('01_Input'!$G$59="Frais KYC (paliers de 100M€)",MAX(0,Nb_Investisseurs-Nb_KYC_Gratuites_Par_Tranche*(FLOOR(N$15/Taille_Tranche_KYC,1)+1))*Cout_Par_KYC_Supplementaire,(IF('01_Input'!$L$59="Forfait",IF(N$15&gt;='01_Input'!$J$59,'01_Input'!$M$59,0),IF('01_Input'!$L$59="Palier",IF(AND(N$15&gt;='01_Input'!$J$59,N$15&lt;'01_Input'!$K$59),'01_Input'!$M$59,0),MAX(MIN(N$15,'01_Input'!$K$59)-'01_Input'!$J$59,0)*'01_Input'!$M$59))+IF('01_Input'!$P$59="Forfait",IF(N$15&gt;='01_Input'!$N$59,'01_Input'!$Q$59,0),IF('01_Input'!$P$59="Palier",IF(AND(N$15&gt;='01_Input'!$N$59,N$15&lt;'01_Input'!$O$59),'01_Input'!$Q$59,0),MAX(MIN(N$15,'01_Input'!$O$59)-'01_Input'!$N$59,0)*'01_Input'!$Q$59))+IF('01_Input'!$T$59="Forfait",IF(N$15&gt;='01_Input'!$R$59,'01_Input'!$U$59,0),IF('01_Input'!$T$59="Palier",IF(AND(N$15&gt;='01_Input'!$R$59,N$15&lt;'01_Input'!$S$59),'01_Input'!$U$59,0),MAX(MIN(N$15,'01_Input'!$S$59)-'01_Input'!$R$59,0)*'01_Input'!$U$59))+IF('01_Input'!$X$59="Forfait",IF(N$15&gt;='01_Input'!$V$59,'01_Input'!$Y$59,0),IF('01_Input'!$X$59="Palier",IF(AND(N$15&gt;='01_Input'!$V$59,N$15&lt;'01_Input'!$W$59),'01_Input'!$Y$59,0),MAX(MIN(N$15,'01_Input'!$W$59)-'01_Input'!$V$59,0)*'01_Input'!$Y$59))+IF('01_Input'!$AB$59="Forfait",IF(N$15&gt;='01_Input'!$Z$59,'01_Input'!$AC$59,0),IF('01_Input'!$AB$59="Palier",IF(AND(N$15&gt;='01_Input'!$Z$59,N$15&lt;'01_Input'!$AA$59),'01_Input'!$AC$59,0),MAX(MIN(N$15,'01_Input'!$AA$59)-'01_Input'!$Z$59,0)*'01_Input'!$AC$59))))))))))</f>
        <v/>
      </c>
      <c r="O50" s="25" t="str">
        <f>IF(O$15="","",IF('01_Input'!$C$59="Non",0,MIN('01_Input'!$I$59,MAX('01_Input'!$H$59,IF('01_Input'!$G$59="Résiduel vs Gestion",0,IF('01_Input'!$G$59="Taux Classe sélectionnée",Distrib_Global_Classe_Selectionnee*O$15,IF('01_Input'!$G$59="Frais KYC (paliers de 100M€)",MAX(0,Nb_Investisseurs-Nb_KYC_Gratuites_Par_Tranche*(FLOOR(O$15/Taille_Tranche_KYC,1)+1))*Cout_Par_KYC_Supplementaire,(IF('01_Input'!$L$59="Forfait",IF(O$15&gt;='01_Input'!$J$59,'01_Input'!$M$59,0),IF('01_Input'!$L$59="Palier",IF(AND(O$15&gt;='01_Input'!$J$59,O$15&lt;'01_Input'!$K$59),'01_Input'!$M$59,0),MAX(MIN(O$15,'01_Input'!$K$59)-'01_Input'!$J$59,0)*'01_Input'!$M$59))+IF('01_Input'!$P$59="Forfait",IF(O$15&gt;='01_Input'!$N$59,'01_Input'!$Q$59,0),IF('01_Input'!$P$59="Palier",IF(AND(O$15&gt;='01_Input'!$N$59,O$15&lt;'01_Input'!$O$59),'01_Input'!$Q$59,0),MAX(MIN(O$15,'01_Input'!$O$59)-'01_Input'!$N$59,0)*'01_Input'!$Q$59))+IF('01_Input'!$T$59="Forfait",IF(O$15&gt;='01_Input'!$R$59,'01_Input'!$U$59,0),IF('01_Input'!$T$59="Palier",IF(AND(O$15&gt;='01_Input'!$R$59,O$15&lt;'01_Input'!$S$59),'01_Input'!$U$59,0),MAX(MIN(O$15,'01_Input'!$S$59)-'01_Input'!$R$59,0)*'01_Input'!$U$59))+IF('01_Input'!$X$59="Forfait",IF(O$15&gt;='01_Input'!$V$59,'01_Input'!$Y$59,0),IF('01_Input'!$X$59="Palier",IF(AND(O$15&gt;='01_Input'!$V$59,O$15&lt;'01_Input'!$W$59),'01_Input'!$Y$59,0),MAX(MIN(O$15,'01_Input'!$W$59)-'01_Input'!$V$59,0)*'01_Input'!$Y$59))+IF('01_Input'!$AB$59="Forfait",IF(O$15&gt;='01_Input'!$Z$59,'01_Input'!$AC$59,0),IF('01_Input'!$AB$59="Palier",IF(AND(O$15&gt;='01_Input'!$Z$59,O$15&lt;'01_Input'!$AA$59),'01_Input'!$AC$59,0),MAX(MIN(O$15,'01_Input'!$AA$59)-'01_Input'!$Z$59,0)*'01_Input'!$AC$59))))))))))</f>
        <v/>
      </c>
      <c r="P50" s="25" t="str">
        <f>IF(P$15="","",IF('01_Input'!$C$59="Non",0,MIN('01_Input'!$I$59,MAX('01_Input'!$H$59,IF('01_Input'!$G$59="Résiduel vs Gestion",0,IF('01_Input'!$G$59="Taux Classe sélectionnée",Distrib_Global_Classe_Selectionnee*P$15,IF('01_Input'!$G$59="Frais KYC (paliers de 100M€)",MAX(0,Nb_Investisseurs-Nb_KYC_Gratuites_Par_Tranche*(FLOOR(P$15/Taille_Tranche_KYC,1)+1))*Cout_Par_KYC_Supplementaire,(IF('01_Input'!$L$59="Forfait",IF(P$15&gt;='01_Input'!$J$59,'01_Input'!$M$59,0),IF('01_Input'!$L$59="Palier",IF(AND(P$15&gt;='01_Input'!$J$59,P$15&lt;'01_Input'!$K$59),'01_Input'!$M$59,0),MAX(MIN(P$15,'01_Input'!$K$59)-'01_Input'!$J$59,0)*'01_Input'!$M$59))+IF('01_Input'!$P$59="Forfait",IF(P$15&gt;='01_Input'!$N$59,'01_Input'!$Q$59,0),IF('01_Input'!$P$59="Palier",IF(AND(P$15&gt;='01_Input'!$N$59,P$15&lt;'01_Input'!$O$59),'01_Input'!$Q$59,0),MAX(MIN(P$15,'01_Input'!$O$59)-'01_Input'!$N$59,0)*'01_Input'!$Q$59))+IF('01_Input'!$T$59="Forfait",IF(P$15&gt;='01_Input'!$R$59,'01_Input'!$U$59,0),IF('01_Input'!$T$59="Palier",IF(AND(P$15&gt;='01_Input'!$R$59,P$15&lt;'01_Input'!$S$59),'01_Input'!$U$59,0),MAX(MIN(P$15,'01_Input'!$S$59)-'01_Input'!$R$59,0)*'01_Input'!$U$59))+IF('01_Input'!$X$59="Forfait",IF(P$15&gt;='01_Input'!$V$59,'01_Input'!$Y$59,0),IF('01_Input'!$X$59="Palier",IF(AND(P$15&gt;='01_Input'!$V$59,P$15&lt;'01_Input'!$W$59),'01_Input'!$Y$59,0),MAX(MIN(P$15,'01_Input'!$W$59)-'01_Input'!$V$59,0)*'01_Input'!$Y$59))+IF('01_Input'!$AB$59="Forfait",IF(P$15&gt;='01_Input'!$Z$59,'01_Input'!$AC$59,0),IF('01_Input'!$AB$59="Palier",IF(AND(P$15&gt;='01_Input'!$Z$59,P$15&lt;'01_Input'!$AA$59),'01_Input'!$AC$59,0),MAX(MIN(P$15,'01_Input'!$AA$59)-'01_Input'!$Z$59,0)*'01_Input'!$AC$59))))))))))</f>
        <v/>
      </c>
      <c r="Q50" s="25" t="str">
        <f>IF(Q$15="","",IF('01_Input'!$C$59="Non",0,MIN('01_Input'!$I$59,MAX('01_Input'!$H$59,IF('01_Input'!$G$59="Résiduel vs Gestion",0,IF('01_Input'!$G$59="Taux Classe sélectionnée",Distrib_Global_Classe_Selectionnee*Q$15,IF('01_Input'!$G$59="Frais KYC (paliers de 100M€)",MAX(0,Nb_Investisseurs-Nb_KYC_Gratuites_Par_Tranche*(FLOOR(Q$15/Taille_Tranche_KYC,1)+1))*Cout_Par_KYC_Supplementaire,(IF('01_Input'!$L$59="Forfait",IF(Q$15&gt;='01_Input'!$J$59,'01_Input'!$M$59,0),IF('01_Input'!$L$59="Palier",IF(AND(Q$15&gt;='01_Input'!$J$59,Q$15&lt;'01_Input'!$K$59),'01_Input'!$M$59,0),MAX(MIN(Q$15,'01_Input'!$K$59)-'01_Input'!$J$59,0)*'01_Input'!$M$59))+IF('01_Input'!$P$59="Forfait",IF(Q$15&gt;='01_Input'!$N$59,'01_Input'!$Q$59,0),IF('01_Input'!$P$59="Palier",IF(AND(Q$15&gt;='01_Input'!$N$59,Q$15&lt;'01_Input'!$O$59),'01_Input'!$Q$59,0),MAX(MIN(Q$15,'01_Input'!$O$59)-'01_Input'!$N$59,0)*'01_Input'!$Q$59))+IF('01_Input'!$T$59="Forfait",IF(Q$15&gt;='01_Input'!$R$59,'01_Input'!$U$59,0),IF('01_Input'!$T$59="Palier",IF(AND(Q$15&gt;='01_Input'!$R$59,Q$15&lt;'01_Input'!$S$59),'01_Input'!$U$59,0),MAX(MIN(Q$15,'01_Input'!$S$59)-'01_Input'!$R$59,0)*'01_Input'!$U$59))+IF('01_Input'!$X$59="Forfait",IF(Q$15&gt;='01_Input'!$V$59,'01_Input'!$Y$59,0),IF('01_Input'!$X$59="Palier",IF(AND(Q$15&gt;='01_Input'!$V$59,Q$15&lt;'01_Input'!$W$59),'01_Input'!$Y$59,0),MAX(MIN(Q$15,'01_Input'!$W$59)-'01_Input'!$V$59,0)*'01_Input'!$Y$59))+IF('01_Input'!$AB$59="Forfait",IF(Q$15&gt;='01_Input'!$Z$59,'01_Input'!$AC$59,0),IF('01_Input'!$AB$59="Palier",IF(AND(Q$15&gt;='01_Input'!$Z$59,Q$15&lt;'01_Input'!$AA$59),'01_Input'!$AC$59,0),MAX(MIN(Q$15,'01_Input'!$AA$59)-'01_Input'!$Z$59,0)*'01_Input'!$AC$59))))))))))</f>
        <v/>
      </c>
      <c r="R50" s="25" t="str">
        <f>IF(R$15="","",IF('01_Input'!$C$59="Non",0,MIN('01_Input'!$I$59,MAX('01_Input'!$H$59,IF('01_Input'!$G$59="Résiduel vs Gestion",0,IF('01_Input'!$G$59="Taux Classe sélectionnée",Distrib_Global_Classe_Selectionnee*R$15,IF('01_Input'!$G$59="Frais KYC (paliers de 100M€)",MAX(0,Nb_Investisseurs-Nb_KYC_Gratuites_Par_Tranche*(FLOOR(R$15/Taille_Tranche_KYC,1)+1))*Cout_Par_KYC_Supplementaire,(IF('01_Input'!$L$59="Forfait",IF(R$15&gt;='01_Input'!$J$59,'01_Input'!$M$59,0),IF('01_Input'!$L$59="Palier",IF(AND(R$15&gt;='01_Input'!$J$59,R$15&lt;'01_Input'!$K$59),'01_Input'!$M$59,0),MAX(MIN(R$15,'01_Input'!$K$59)-'01_Input'!$J$59,0)*'01_Input'!$M$59))+IF('01_Input'!$P$59="Forfait",IF(R$15&gt;='01_Input'!$N$59,'01_Input'!$Q$59,0),IF('01_Input'!$P$59="Palier",IF(AND(R$15&gt;='01_Input'!$N$59,R$15&lt;'01_Input'!$O$59),'01_Input'!$Q$59,0),MAX(MIN(R$15,'01_Input'!$O$59)-'01_Input'!$N$59,0)*'01_Input'!$Q$59))+IF('01_Input'!$T$59="Forfait",IF(R$15&gt;='01_Input'!$R$59,'01_Input'!$U$59,0),IF('01_Input'!$T$59="Palier",IF(AND(R$15&gt;='01_Input'!$R$59,R$15&lt;'01_Input'!$S$59),'01_Input'!$U$59,0),MAX(MIN(R$15,'01_Input'!$S$59)-'01_Input'!$R$59,0)*'01_Input'!$U$59))+IF('01_Input'!$X$59="Forfait",IF(R$15&gt;='01_Input'!$V$59,'01_Input'!$Y$59,0),IF('01_Input'!$X$59="Palier",IF(AND(R$15&gt;='01_Input'!$V$59,R$15&lt;'01_Input'!$W$59),'01_Input'!$Y$59,0),MAX(MIN(R$15,'01_Input'!$W$59)-'01_Input'!$V$59,0)*'01_Input'!$Y$59))+IF('01_Input'!$AB$59="Forfait",IF(R$15&gt;='01_Input'!$Z$59,'01_Input'!$AC$59,0),IF('01_Input'!$AB$59="Palier",IF(AND(R$15&gt;='01_Input'!$Z$59,R$15&lt;'01_Input'!$AA$59),'01_Input'!$AC$59,0),MAX(MIN(R$15,'01_Input'!$AA$59)-'01_Input'!$Z$59,0)*'01_Input'!$AC$59))))))))))</f>
        <v/>
      </c>
      <c r="S50" s="25" t="str">
        <f>IF(S$15="","",IF('01_Input'!$C$59="Non",0,MIN('01_Input'!$I$59,MAX('01_Input'!$H$59,IF('01_Input'!$G$59="Résiduel vs Gestion",0,IF('01_Input'!$G$59="Taux Classe sélectionnée",Distrib_Global_Classe_Selectionnee*S$15,IF('01_Input'!$G$59="Frais KYC (paliers de 100M€)",MAX(0,Nb_Investisseurs-Nb_KYC_Gratuites_Par_Tranche*(FLOOR(S$15/Taille_Tranche_KYC,1)+1))*Cout_Par_KYC_Supplementaire,(IF('01_Input'!$L$59="Forfait",IF(S$15&gt;='01_Input'!$J$59,'01_Input'!$M$59,0),IF('01_Input'!$L$59="Palier",IF(AND(S$15&gt;='01_Input'!$J$59,S$15&lt;'01_Input'!$K$59),'01_Input'!$M$59,0),MAX(MIN(S$15,'01_Input'!$K$59)-'01_Input'!$J$59,0)*'01_Input'!$M$59))+IF('01_Input'!$P$59="Forfait",IF(S$15&gt;='01_Input'!$N$59,'01_Input'!$Q$59,0),IF('01_Input'!$P$59="Palier",IF(AND(S$15&gt;='01_Input'!$N$59,S$15&lt;'01_Input'!$O$59),'01_Input'!$Q$59,0),MAX(MIN(S$15,'01_Input'!$O$59)-'01_Input'!$N$59,0)*'01_Input'!$Q$59))+IF('01_Input'!$T$59="Forfait",IF(S$15&gt;='01_Input'!$R$59,'01_Input'!$U$59,0),IF('01_Input'!$T$59="Palier",IF(AND(S$15&gt;='01_Input'!$R$59,S$15&lt;'01_Input'!$S$59),'01_Input'!$U$59,0),MAX(MIN(S$15,'01_Input'!$S$59)-'01_Input'!$R$59,0)*'01_Input'!$U$59))+IF('01_Input'!$X$59="Forfait",IF(S$15&gt;='01_Input'!$V$59,'01_Input'!$Y$59,0),IF('01_Input'!$X$59="Palier",IF(AND(S$15&gt;='01_Input'!$V$59,S$15&lt;'01_Input'!$W$59),'01_Input'!$Y$59,0),MAX(MIN(S$15,'01_Input'!$W$59)-'01_Input'!$V$59,0)*'01_Input'!$Y$59))+IF('01_Input'!$AB$59="Forfait",IF(S$15&gt;='01_Input'!$Z$59,'01_Input'!$AC$59,0),IF('01_Input'!$AB$59="Palier",IF(AND(S$15&gt;='01_Input'!$Z$59,S$15&lt;'01_Input'!$AA$59),'01_Input'!$AC$59,0),MAX(MIN(S$15,'01_Input'!$AA$59)-'01_Input'!$Z$59,0)*'01_Input'!$AC$59))))))))))</f>
        <v/>
      </c>
      <c r="T50" s="25" t="str">
        <f>IF(T$15="","",IF('01_Input'!$C$59="Non",0,MIN('01_Input'!$I$59,MAX('01_Input'!$H$59,IF('01_Input'!$G$59="Résiduel vs Gestion",0,IF('01_Input'!$G$59="Taux Classe sélectionnée",Distrib_Global_Classe_Selectionnee*T$15,IF('01_Input'!$G$59="Frais KYC (paliers de 100M€)",MAX(0,Nb_Investisseurs-Nb_KYC_Gratuites_Par_Tranche*(FLOOR(T$15/Taille_Tranche_KYC,1)+1))*Cout_Par_KYC_Supplementaire,(IF('01_Input'!$L$59="Forfait",IF(T$15&gt;='01_Input'!$J$59,'01_Input'!$M$59,0),IF('01_Input'!$L$59="Palier",IF(AND(T$15&gt;='01_Input'!$J$59,T$15&lt;'01_Input'!$K$59),'01_Input'!$M$59,0),MAX(MIN(T$15,'01_Input'!$K$59)-'01_Input'!$J$59,0)*'01_Input'!$M$59))+IF('01_Input'!$P$59="Forfait",IF(T$15&gt;='01_Input'!$N$59,'01_Input'!$Q$59,0),IF('01_Input'!$P$59="Palier",IF(AND(T$15&gt;='01_Input'!$N$59,T$15&lt;'01_Input'!$O$59),'01_Input'!$Q$59,0),MAX(MIN(T$15,'01_Input'!$O$59)-'01_Input'!$N$59,0)*'01_Input'!$Q$59))+IF('01_Input'!$T$59="Forfait",IF(T$15&gt;='01_Input'!$R$59,'01_Input'!$U$59,0),IF('01_Input'!$T$59="Palier",IF(AND(T$15&gt;='01_Input'!$R$59,T$15&lt;'01_Input'!$S$59),'01_Input'!$U$59,0),MAX(MIN(T$15,'01_Input'!$S$59)-'01_Input'!$R$59,0)*'01_Input'!$U$59))+IF('01_Input'!$X$59="Forfait",IF(T$15&gt;='01_Input'!$V$59,'01_Input'!$Y$59,0),IF('01_Input'!$X$59="Palier",IF(AND(T$15&gt;='01_Input'!$V$59,T$15&lt;'01_Input'!$W$59),'01_Input'!$Y$59,0),MAX(MIN(T$15,'01_Input'!$W$59)-'01_Input'!$V$59,0)*'01_Input'!$Y$59))+IF('01_Input'!$AB$59="Forfait",IF(T$15&gt;='01_Input'!$Z$59,'01_Input'!$AC$59,0),IF('01_Input'!$AB$59="Palier",IF(AND(T$15&gt;='01_Input'!$Z$59,T$15&lt;'01_Input'!$AA$59),'01_Input'!$AC$59,0),MAX(MIN(T$15,'01_Input'!$AA$59)-'01_Input'!$Z$59,0)*'01_Input'!$AC$59))))))))))</f>
        <v/>
      </c>
      <c r="U50" s="25" t="str">
        <f>IF(U$15="","",IF('01_Input'!$C$59="Non",0,MIN('01_Input'!$I$59,MAX('01_Input'!$H$59,IF('01_Input'!$G$59="Résiduel vs Gestion",0,IF('01_Input'!$G$59="Taux Classe sélectionnée",Distrib_Global_Classe_Selectionnee*U$15,IF('01_Input'!$G$59="Frais KYC (paliers de 100M€)",MAX(0,Nb_Investisseurs-Nb_KYC_Gratuites_Par_Tranche*(FLOOR(U$15/Taille_Tranche_KYC,1)+1))*Cout_Par_KYC_Supplementaire,(IF('01_Input'!$L$59="Forfait",IF(U$15&gt;='01_Input'!$J$59,'01_Input'!$M$59,0),IF('01_Input'!$L$59="Palier",IF(AND(U$15&gt;='01_Input'!$J$59,U$15&lt;'01_Input'!$K$59),'01_Input'!$M$59,0),MAX(MIN(U$15,'01_Input'!$K$59)-'01_Input'!$J$59,0)*'01_Input'!$M$59))+IF('01_Input'!$P$59="Forfait",IF(U$15&gt;='01_Input'!$N$59,'01_Input'!$Q$59,0),IF('01_Input'!$P$59="Palier",IF(AND(U$15&gt;='01_Input'!$N$59,U$15&lt;'01_Input'!$O$59),'01_Input'!$Q$59,0),MAX(MIN(U$15,'01_Input'!$O$59)-'01_Input'!$N$59,0)*'01_Input'!$Q$59))+IF('01_Input'!$T$59="Forfait",IF(U$15&gt;='01_Input'!$R$59,'01_Input'!$U$59,0),IF('01_Input'!$T$59="Palier",IF(AND(U$15&gt;='01_Input'!$R$59,U$15&lt;'01_Input'!$S$59),'01_Input'!$U$59,0),MAX(MIN(U$15,'01_Input'!$S$59)-'01_Input'!$R$59,0)*'01_Input'!$U$59))+IF('01_Input'!$X$59="Forfait",IF(U$15&gt;='01_Input'!$V$59,'01_Input'!$Y$59,0),IF('01_Input'!$X$59="Palier",IF(AND(U$15&gt;='01_Input'!$V$59,U$15&lt;'01_Input'!$W$59),'01_Input'!$Y$59,0),MAX(MIN(U$15,'01_Input'!$W$59)-'01_Input'!$V$59,0)*'01_Input'!$Y$59))+IF('01_Input'!$AB$59="Forfait",IF(U$15&gt;='01_Input'!$Z$59,'01_Input'!$AC$59,0),IF('01_Input'!$AB$59="Palier",IF(AND(U$15&gt;='01_Input'!$Z$59,U$15&lt;'01_Input'!$AA$59),'01_Input'!$AC$59,0),MAX(MIN(U$15,'01_Input'!$AA$59)-'01_Input'!$Z$59,0)*'01_Input'!$AC$59))))))))))</f>
        <v/>
      </c>
      <c r="V50" s="25" t="str">
        <f>IF(V$15="","",IF('01_Input'!$C$59="Non",0,MIN('01_Input'!$I$59,MAX('01_Input'!$H$59,IF('01_Input'!$G$59="Résiduel vs Gestion",0,IF('01_Input'!$G$59="Taux Classe sélectionnée",Distrib_Global_Classe_Selectionnee*V$15,IF('01_Input'!$G$59="Frais KYC (paliers de 100M€)",MAX(0,Nb_Investisseurs-Nb_KYC_Gratuites_Par_Tranche*(FLOOR(V$15/Taille_Tranche_KYC,1)+1))*Cout_Par_KYC_Supplementaire,(IF('01_Input'!$L$59="Forfait",IF(V$15&gt;='01_Input'!$J$59,'01_Input'!$M$59,0),IF('01_Input'!$L$59="Palier",IF(AND(V$15&gt;='01_Input'!$J$59,V$15&lt;'01_Input'!$K$59),'01_Input'!$M$59,0),MAX(MIN(V$15,'01_Input'!$K$59)-'01_Input'!$J$59,0)*'01_Input'!$M$59))+IF('01_Input'!$P$59="Forfait",IF(V$15&gt;='01_Input'!$N$59,'01_Input'!$Q$59,0),IF('01_Input'!$P$59="Palier",IF(AND(V$15&gt;='01_Input'!$N$59,V$15&lt;'01_Input'!$O$59),'01_Input'!$Q$59,0),MAX(MIN(V$15,'01_Input'!$O$59)-'01_Input'!$N$59,0)*'01_Input'!$Q$59))+IF('01_Input'!$T$59="Forfait",IF(V$15&gt;='01_Input'!$R$59,'01_Input'!$U$59,0),IF('01_Input'!$T$59="Palier",IF(AND(V$15&gt;='01_Input'!$R$59,V$15&lt;'01_Input'!$S$59),'01_Input'!$U$59,0),MAX(MIN(V$15,'01_Input'!$S$59)-'01_Input'!$R$59,0)*'01_Input'!$U$59))+IF('01_Input'!$X$59="Forfait",IF(V$15&gt;='01_Input'!$V$59,'01_Input'!$Y$59,0),IF('01_Input'!$X$59="Palier",IF(AND(V$15&gt;='01_Input'!$V$59,V$15&lt;'01_Input'!$W$59),'01_Input'!$Y$59,0),MAX(MIN(V$15,'01_Input'!$W$59)-'01_Input'!$V$59,0)*'01_Input'!$Y$59))+IF('01_Input'!$AB$59="Forfait",IF(V$15&gt;='01_Input'!$Z$59,'01_Input'!$AC$59,0),IF('01_Input'!$AB$59="Palier",IF(AND(V$15&gt;='01_Input'!$Z$59,V$15&lt;'01_Input'!$AA$59),'01_Input'!$AC$59,0),MAX(MIN(V$15,'01_Input'!$AA$59)-'01_Input'!$Z$59,0)*'01_Input'!$AC$59))))))))))</f>
        <v/>
      </c>
      <c r="W50" s="25" t="str">
        <f>IF(W$15="","",IF('01_Input'!$C$59="Non",0,MIN('01_Input'!$I$59,MAX('01_Input'!$H$59,IF('01_Input'!$G$59="Résiduel vs Gestion",0,IF('01_Input'!$G$59="Taux Classe sélectionnée",Distrib_Global_Classe_Selectionnee*W$15,IF('01_Input'!$G$59="Frais KYC (paliers de 100M€)",MAX(0,Nb_Investisseurs-Nb_KYC_Gratuites_Par_Tranche*(FLOOR(W$15/Taille_Tranche_KYC,1)+1))*Cout_Par_KYC_Supplementaire,(IF('01_Input'!$L$59="Forfait",IF(W$15&gt;='01_Input'!$J$59,'01_Input'!$M$59,0),IF('01_Input'!$L$59="Palier",IF(AND(W$15&gt;='01_Input'!$J$59,W$15&lt;'01_Input'!$K$59),'01_Input'!$M$59,0),MAX(MIN(W$15,'01_Input'!$K$59)-'01_Input'!$J$59,0)*'01_Input'!$M$59))+IF('01_Input'!$P$59="Forfait",IF(W$15&gt;='01_Input'!$N$59,'01_Input'!$Q$59,0),IF('01_Input'!$P$59="Palier",IF(AND(W$15&gt;='01_Input'!$N$59,W$15&lt;'01_Input'!$O$59),'01_Input'!$Q$59,0),MAX(MIN(W$15,'01_Input'!$O$59)-'01_Input'!$N$59,0)*'01_Input'!$Q$59))+IF('01_Input'!$T$59="Forfait",IF(W$15&gt;='01_Input'!$R$59,'01_Input'!$U$59,0),IF('01_Input'!$T$59="Palier",IF(AND(W$15&gt;='01_Input'!$R$59,W$15&lt;'01_Input'!$S$59),'01_Input'!$U$59,0),MAX(MIN(W$15,'01_Input'!$S$59)-'01_Input'!$R$59,0)*'01_Input'!$U$59))+IF('01_Input'!$X$59="Forfait",IF(W$15&gt;='01_Input'!$V$59,'01_Input'!$Y$59,0),IF('01_Input'!$X$59="Palier",IF(AND(W$15&gt;='01_Input'!$V$59,W$15&lt;'01_Input'!$W$59),'01_Input'!$Y$59,0),MAX(MIN(W$15,'01_Input'!$W$59)-'01_Input'!$V$59,0)*'01_Input'!$Y$59))+IF('01_Input'!$AB$59="Forfait",IF(W$15&gt;='01_Input'!$Z$59,'01_Input'!$AC$59,0),IF('01_Input'!$AB$59="Palier",IF(AND(W$15&gt;='01_Input'!$Z$59,W$15&lt;'01_Input'!$AA$59),'01_Input'!$AC$59,0),MAX(MIN(W$15,'01_Input'!$AA$59)-'01_Input'!$Z$59,0)*'01_Input'!$AC$59))))))))))</f>
        <v/>
      </c>
      <c r="X50" s="25" t="str">
        <f>IF(X$15="","",IF('01_Input'!$C$59="Non",0,MIN('01_Input'!$I$59,MAX('01_Input'!$H$59,IF('01_Input'!$G$59="Résiduel vs Gestion",0,IF('01_Input'!$G$59="Taux Classe sélectionnée",Distrib_Global_Classe_Selectionnee*X$15,IF('01_Input'!$G$59="Frais KYC (paliers de 100M€)",MAX(0,Nb_Investisseurs-Nb_KYC_Gratuites_Par_Tranche*(FLOOR(X$15/Taille_Tranche_KYC,1)+1))*Cout_Par_KYC_Supplementaire,(IF('01_Input'!$L$59="Forfait",IF(X$15&gt;='01_Input'!$J$59,'01_Input'!$M$59,0),IF('01_Input'!$L$59="Palier",IF(AND(X$15&gt;='01_Input'!$J$59,X$15&lt;'01_Input'!$K$59),'01_Input'!$M$59,0),MAX(MIN(X$15,'01_Input'!$K$59)-'01_Input'!$J$59,0)*'01_Input'!$M$59))+IF('01_Input'!$P$59="Forfait",IF(X$15&gt;='01_Input'!$N$59,'01_Input'!$Q$59,0),IF('01_Input'!$P$59="Palier",IF(AND(X$15&gt;='01_Input'!$N$59,X$15&lt;'01_Input'!$O$59),'01_Input'!$Q$59,0),MAX(MIN(X$15,'01_Input'!$O$59)-'01_Input'!$N$59,0)*'01_Input'!$Q$59))+IF('01_Input'!$T$59="Forfait",IF(X$15&gt;='01_Input'!$R$59,'01_Input'!$U$59,0),IF('01_Input'!$T$59="Palier",IF(AND(X$15&gt;='01_Input'!$R$59,X$15&lt;'01_Input'!$S$59),'01_Input'!$U$59,0),MAX(MIN(X$15,'01_Input'!$S$59)-'01_Input'!$R$59,0)*'01_Input'!$U$59))+IF('01_Input'!$X$59="Forfait",IF(X$15&gt;='01_Input'!$V$59,'01_Input'!$Y$59,0),IF('01_Input'!$X$59="Palier",IF(AND(X$15&gt;='01_Input'!$V$59,X$15&lt;'01_Input'!$W$59),'01_Input'!$Y$59,0),MAX(MIN(X$15,'01_Input'!$W$59)-'01_Input'!$V$59,0)*'01_Input'!$Y$59))+IF('01_Input'!$AB$59="Forfait",IF(X$15&gt;='01_Input'!$Z$59,'01_Input'!$AC$59,0),IF('01_Input'!$AB$59="Palier",IF(AND(X$15&gt;='01_Input'!$Z$59,X$15&lt;'01_Input'!$AA$59),'01_Input'!$AC$59,0),MAX(MIN(X$15,'01_Input'!$AA$59)-'01_Input'!$Z$59,0)*'01_Input'!$AC$59))))))))))</f>
        <v/>
      </c>
      <c r="Y50" s="25" t="str">
        <f>IF(Y$15="","",IF('01_Input'!$C$59="Non",0,MIN('01_Input'!$I$59,MAX('01_Input'!$H$59,IF('01_Input'!$G$59="Résiduel vs Gestion",0,IF('01_Input'!$G$59="Taux Classe sélectionnée",Distrib_Global_Classe_Selectionnee*Y$15,IF('01_Input'!$G$59="Frais KYC (paliers de 100M€)",MAX(0,Nb_Investisseurs-Nb_KYC_Gratuites_Par_Tranche*(FLOOR(Y$15/Taille_Tranche_KYC,1)+1))*Cout_Par_KYC_Supplementaire,(IF('01_Input'!$L$59="Forfait",IF(Y$15&gt;='01_Input'!$J$59,'01_Input'!$M$59,0),IF('01_Input'!$L$59="Palier",IF(AND(Y$15&gt;='01_Input'!$J$59,Y$15&lt;'01_Input'!$K$59),'01_Input'!$M$59,0),MAX(MIN(Y$15,'01_Input'!$K$59)-'01_Input'!$J$59,0)*'01_Input'!$M$59))+IF('01_Input'!$P$59="Forfait",IF(Y$15&gt;='01_Input'!$N$59,'01_Input'!$Q$59,0),IF('01_Input'!$P$59="Palier",IF(AND(Y$15&gt;='01_Input'!$N$59,Y$15&lt;'01_Input'!$O$59),'01_Input'!$Q$59,0),MAX(MIN(Y$15,'01_Input'!$O$59)-'01_Input'!$N$59,0)*'01_Input'!$Q$59))+IF('01_Input'!$T$59="Forfait",IF(Y$15&gt;='01_Input'!$R$59,'01_Input'!$U$59,0),IF('01_Input'!$T$59="Palier",IF(AND(Y$15&gt;='01_Input'!$R$59,Y$15&lt;'01_Input'!$S$59),'01_Input'!$U$59,0),MAX(MIN(Y$15,'01_Input'!$S$59)-'01_Input'!$R$59,0)*'01_Input'!$U$59))+IF('01_Input'!$X$59="Forfait",IF(Y$15&gt;='01_Input'!$V$59,'01_Input'!$Y$59,0),IF('01_Input'!$X$59="Palier",IF(AND(Y$15&gt;='01_Input'!$V$59,Y$15&lt;'01_Input'!$W$59),'01_Input'!$Y$59,0),MAX(MIN(Y$15,'01_Input'!$W$59)-'01_Input'!$V$59,0)*'01_Input'!$Y$59))+IF('01_Input'!$AB$59="Forfait",IF(Y$15&gt;='01_Input'!$Z$59,'01_Input'!$AC$59,0),IF('01_Input'!$AB$59="Palier",IF(AND(Y$15&gt;='01_Input'!$Z$59,Y$15&lt;'01_Input'!$AA$59),'01_Input'!$AC$59,0),MAX(MIN(Y$15,'01_Input'!$AA$59)-'01_Input'!$Z$59,0)*'01_Input'!$AC$59))))))))))</f>
        <v/>
      </c>
      <c r="Z50" s="25" t="str">
        <f>IF(Z$15="","",IF('01_Input'!$C$59="Non",0,MIN('01_Input'!$I$59,MAX('01_Input'!$H$59,IF('01_Input'!$G$59="Résiduel vs Gestion",0,IF('01_Input'!$G$59="Taux Classe sélectionnée",Distrib_Global_Classe_Selectionnee*Z$15,IF('01_Input'!$G$59="Frais KYC (paliers de 100M€)",MAX(0,Nb_Investisseurs-Nb_KYC_Gratuites_Par_Tranche*(FLOOR(Z$15/Taille_Tranche_KYC,1)+1))*Cout_Par_KYC_Supplementaire,(IF('01_Input'!$L$59="Forfait",IF(Z$15&gt;='01_Input'!$J$59,'01_Input'!$M$59,0),IF('01_Input'!$L$59="Palier",IF(AND(Z$15&gt;='01_Input'!$J$59,Z$15&lt;'01_Input'!$K$59),'01_Input'!$M$59,0),MAX(MIN(Z$15,'01_Input'!$K$59)-'01_Input'!$J$59,0)*'01_Input'!$M$59))+IF('01_Input'!$P$59="Forfait",IF(Z$15&gt;='01_Input'!$N$59,'01_Input'!$Q$59,0),IF('01_Input'!$P$59="Palier",IF(AND(Z$15&gt;='01_Input'!$N$59,Z$15&lt;'01_Input'!$O$59),'01_Input'!$Q$59,0),MAX(MIN(Z$15,'01_Input'!$O$59)-'01_Input'!$N$59,0)*'01_Input'!$Q$59))+IF('01_Input'!$T$59="Forfait",IF(Z$15&gt;='01_Input'!$R$59,'01_Input'!$U$59,0),IF('01_Input'!$T$59="Palier",IF(AND(Z$15&gt;='01_Input'!$R$59,Z$15&lt;'01_Input'!$S$59),'01_Input'!$U$59,0),MAX(MIN(Z$15,'01_Input'!$S$59)-'01_Input'!$R$59,0)*'01_Input'!$U$59))+IF('01_Input'!$X$59="Forfait",IF(Z$15&gt;='01_Input'!$V$59,'01_Input'!$Y$59,0),IF('01_Input'!$X$59="Palier",IF(AND(Z$15&gt;='01_Input'!$V$59,Z$15&lt;'01_Input'!$W$59),'01_Input'!$Y$59,0),MAX(MIN(Z$15,'01_Input'!$W$59)-'01_Input'!$V$59,0)*'01_Input'!$Y$59))+IF('01_Input'!$AB$59="Forfait",IF(Z$15&gt;='01_Input'!$Z$59,'01_Input'!$AC$59,0),IF('01_Input'!$AB$59="Palier",IF(AND(Z$15&gt;='01_Input'!$Z$59,Z$15&lt;'01_Input'!$AA$59),'01_Input'!$AC$59,0),MAX(MIN(Z$15,'01_Input'!$AA$59)-'01_Input'!$Z$59,0)*'01_Input'!$AC$59))))))))))</f>
        <v/>
      </c>
      <c r="AA50" s="25" t="str">
        <f>IF(AA$15="","",IF('01_Input'!$C$59="Non",0,MIN('01_Input'!$I$59,MAX('01_Input'!$H$59,IF('01_Input'!$G$59="Résiduel vs Gestion",0,IF('01_Input'!$G$59="Taux Classe sélectionnée",Distrib_Global_Classe_Selectionnee*AA$15,IF('01_Input'!$G$59="Frais KYC (paliers de 100M€)",MAX(0,Nb_Investisseurs-Nb_KYC_Gratuites_Par_Tranche*(FLOOR(AA$15/Taille_Tranche_KYC,1)+1))*Cout_Par_KYC_Supplementaire,(IF('01_Input'!$L$59="Forfait",IF(AA$15&gt;='01_Input'!$J$59,'01_Input'!$M$59,0),IF('01_Input'!$L$59="Palier",IF(AND(AA$15&gt;='01_Input'!$J$59,AA$15&lt;'01_Input'!$K$59),'01_Input'!$M$59,0),MAX(MIN(AA$15,'01_Input'!$K$59)-'01_Input'!$J$59,0)*'01_Input'!$M$59))+IF('01_Input'!$P$59="Forfait",IF(AA$15&gt;='01_Input'!$N$59,'01_Input'!$Q$59,0),IF('01_Input'!$P$59="Palier",IF(AND(AA$15&gt;='01_Input'!$N$59,AA$15&lt;'01_Input'!$O$59),'01_Input'!$Q$59,0),MAX(MIN(AA$15,'01_Input'!$O$59)-'01_Input'!$N$59,0)*'01_Input'!$Q$59))+IF('01_Input'!$T$59="Forfait",IF(AA$15&gt;='01_Input'!$R$59,'01_Input'!$U$59,0),IF('01_Input'!$T$59="Palier",IF(AND(AA$15&gt;='01_Input'!$R$59,AA$15&lt;'01_Input'!$S$59),'01_Input'!$U$59,0),MAX(MIN(AA$15,'01_Input'!$S$59)-'01_Input'!$R$59,0)*'01_Input'!$U$59))+IF('01_Input'!$X$59="Forfait",IF(AA$15&gt;='01_Input'!$V$59,'01_Input'!$Y$59,0),IF('01_Input'!$X$59="Palier",IF(AND(AA$15&gt;='01_Input'!$V$59,AA$15&lt;'01_Input'!$W$59),'01_Input'!$Y$59,0),MAX(MIN(AA$15,'01_Input'!$W$59)-'01_Input'!$V$59,0)*'01_Input'!$Y$59))+IF('01_Input'!$AB$59="Forfait",IF(AA$15&gt;='01_Input'!$Z$59,'01_Input'!$AC$59,0),IF('01_Input'!$AB$59="Palier",IF(AND(AA$15&gt;='01_Input'!$Z$59,AA$15&lt;'01_Input'!$AA$59),'01_Input'!$AC$59,0),MAX(MIN(AA$15,'01_Input'!$AA$59)-'01_Input'!$Z$59,0)*'01_Input'!$AC$59))))))))))</f>
        <v/>
      </c>
      <c r="AB50" s="25" t="str">
        <f>IF(AB$15="","",IF('01_Input'!$C$59="Non",0,MIN('01_Input'!$I$59,MAX('01_Input'!$H$59,IF('01_Input'!$G$59="Résiduel vs Gestion",0,IF('01_Input'!$G$59="Taux Classe sélectionnée",Distrib_Global_Classe_Selectionnee*AB$15,IF('01_Input'!$G$59="Frais KYC (paliers de 100M€)",MAX(0,Nb_Investisseurs-Nb_KYC_Gratuites_Par_Tranche*(FLOOR(AB$15/Taille_Tranche_KYC,1)+1))*Cout_Par_KYC_Supplementaire,(IF('01_Input'!$L$59="Forfait",IF(AB$15&gt;='01_Input'!$J$59,'01_Input'!$M$59,0),IF('01_Input'!$L$59="Palier",IF(AND(AB$15&gt;='01_Input'!$J$59,AB$15&lt;'01_Input'!$K$59),'01_Input'!$M$59,0),MAX(MIN(AB$15,'01_Input'!$K$59)-'01_Input'!$J$59,0)*'01_Input'!$M$59))+IF('01_Input'!$P$59="Forfait",IF(AB$15&gt;='01_Input'!$N$59,'01_Input'!$Q$59,0),IF('01_Input'!$P$59="Palier",IF(AND(AB$15&gt;='01_Input'!$N$59,AB$15&lt;'01_Input'!$O$59),'01_Input'!$Q$59,0),MAX(MIN(AB$15,'01_Input'!$O$59)-'01_Input'!$N$59,0)*'01_Input'!$Q$59))+IF('01_Input'!$T$59="Forfait",IF(AB$15&gt;='01_Input'!$R$59,'01_Input'!$U$59,0),IF('01_Input'!$T$59="Palier",IF(AND(AB$15&gt;='01_Input'!$R$59,AB$15&lt;'01_Input'!$S$59),'01_Input'!$U$59,0),MAX(MIN(AB$15,'01_Input'!$S$59)-'01_Input'!$R$59,0)*'01_Input'!$U$59))+IF('01_Input'!$X$59="Forfait",IF(AB$15&gt;='01_Input'!$V$59,'01_Input'!$Y$59,0),IF('01_Input'!$X$59="Palier",IF(AND(AB$15&gt;='01_Input'!$V$59,AB$15&lt;'01_Input'!$W$59),'01_Input'!$Y$59,0),MAX(MIN(AB$15,'01_Input'!$W$59)-'01_Input'!$V$59,0)*'01_Input'!$Y$59))+IF('01_Input'!$AB$59="Forfait",IF(AB$15&gt;='01_Input'!$Z$59,'01_Input'!$AC$59,0),IF('01_Input'!$AB$59="Palier",IF(AND(AB$15&gt;='01_Input'!$Z$59,AB$15&lt;'01_Input'!$AA$59),'01_Input'!$AC$59,0),MAX(MIN(AB$15,'01_Input'!$AA$59)-'01_Input'!$Z$59,0)*'01_Input'!$AC$59))))))))))</f>
        <v/>
      </c>
      <c r="AC50" s="25" t="str">
        <f>IF(AC$15="","",IF('01_Input'!$C$59="Non",0,MIN('01_Input'!$I$59,MAX('01_Input'!$H$59,IF('01_Input'!$G$59="Résiduel vs Gestion",0,IF('01_Input'!$G$59="Taux Classe sélectionnée",Distrib_Global_Classe_Selectionnee*AC$15,IF('01_Input'!$G$59="Frais KYC (paliers de 100M€)",MAX(0,Nb_Investisseurs-Nb_KYC_Gratuites_Par_Tranche*(FLOOR(AC$15/Taille_Tranche_KYC,1)+1))*Cout_Par_KYC_Supplementaire,(IF('01_Input'!$L$59="Forfait",IF(AC$15&gt;='01_Input'!$J$59,'01_Input'!$M$59,0),IF('01_Input'!$L$59="Palier",IF(AND(AC$15&gt;='01_Input'!$J$59,AC$15&lt;'01_Input'!$K$59),'01_Input'!$M$59,0),MAX(MIN(AC$15,'01_Input'!$K$59)-'01_Input'!$J$59,0)*'01_Input'!$M$59))+IF('01_Input'!$P$59="Forfait",IF(AC$15&gt;='01_Input'!$N$59,'01_Input'!$Q$59,0),IF('01_Input'!$P$59="Palier",IF(AND(AC$15&gt;='01_Input'!$N$59,AC$15&lt;'01_Input'!$O$59),'01_Input'!$Q$59,0),MAX(MIN(AC$15,'01_Input'!$O$59)-'01_Input'!$N$59,0)*'01_Input'!$Q$59))+IF('01_Input'!$T$59="Forfait",IF(AC$15&gt;='01_Input'!$R$59,'01_Input'!$U$59,0),IF('01_Input'!$T$59="Palier",IF(AND(AC$15&gt;='01_Input'!$R$59,AC$15&lt;'01_Input'!$S$59),'01_Input'!$U$59,0),MAX(MIN(AC$15,'01_Input'!$S$59)-'01_Input'!$R$59,0)*'01_Input'!$U$59))+IF('01_Input'!$X$59="Forfait",IF(AC$15&gt;='01_Input'!$V$59,'01_Input'!$Y$59,0),IF('01_Input'!$X$59="Palier",IF(AND(AC$15&gt;='01_Input'!$V$59,AC$15&lt;'01_Input'!$W$59),'01_Input'!$Y$59,0),MAX(MIN(AC$15,'01_Input'!$W$59)-'01_Input'!$V$59,0)*'01_Input'!$Y$59))+IF('01_Input'!$AB$59="Forfait",IF(AC$15&gt;='01_Input'!$Z$59,'01_Input'!$AC$59,0),IF('01_Input'!$AB$59="Palier",IF(AND(AC$15&gt;='01_Input'!$Z$59,AC$15&lt;'01_Input'!$AA$59),'01_Input'!$AC$59,0),MAX(MIN(AC$15,'01_Input'!$AA$59)-'01_Input'!$Z$59,0)*'01_Input'!$AC$59))))))))))</f>
        <v/>
      </c>
      <c r="AD50" s="25" t="str">
        <f>IF(AD$15="","",IF('01_Input'!$C$59="Non",0,MIN('01_Input'!$I$59,MAX('01_Input'!$H$59,IF('01_Input'!$G$59="Résiduel vs Gestion",0,IF('01_Input'!$G$59="Taux Classe sélectionnée",Distrib_Global_Classe_Selectionnee*AD$15,IF('01_Input'!$G$59="Frais KYC (paliers de 100M€)",MAX(0,Nb_Investisseurs-Nb_KYC_Gratuites_Par_Tranche*(FLOOR(AD$15/Taille_Tranche_KYC,1)+1))*Cout_Par_KYC_Supplementaire,(IF('01_Input'!$L$59="Forfait",IF(AD$15&gt;='01_Input'!$J$59,'01_Input'!$M$59,0),IF('01_Input'!$L$59="Palier",IF(AND(AD$15&gt;='01_Input'!$J$59,AD$15&lt;'01_Input'!$K$59),'01_Input'!$M$59,0),MAX(MIN(AD$15,'01_Input'!$K$59)-'01_Input'!$J$59,0)*'01_Input'!$M$59))+IF('01_Input'!$P$59="Forfait",IF(AD$15&gt;='01_Input'!$N$59,'01_Input'!$Q$59,0),IF('01_Input'!$P$59="Palier",IF(AND(AD$15&gt;='01_Input'!$N$59,AD$15&lt;'01_Input'!$O$59),'01_Input'!$Q$59,0),MAX(MIN(AD$15,'01_Input'!$O$59)-'01_Input'!$N$59,0)*'01_Input'!$Q$59))+IF('01_Input'!$T$59="Forfait",IF(AD$15&gt;='01_Input'!$R$59,'01_Input'!$U$59,0),IF('01_Input'!$T$59="Palier",IF(AND(AD$15&gt;='01_Input'!$R$59,AD$15&lt;'01_Input'!$S$59),'01_Input'!$U$59,0),MAX(MIN(AD$15,'01_Input'!$S$59)-'01_Input'!$R$59,0)*'01_Input'!$U$59))+IF('01_Input'!$X$59="Forfait",IF(AD$15&gt;='01_Input'!$V$59,'01_Input'!$Y$59,0),IF('01_Input'!$X$59="Palier",IF(AND(AD$15&gt;='01_Input'!$V$59,AD$15&lt;'01_Input'!$W$59),'01_Input'!$Y$59,0),MAX(MIN(AD$15,'01_Input'!$W$59)-'01_Input'!$V$59,0)*'01_Input'!$Y$59))+IF('01_Input'!$AB$59="Forfait",IF(AD$15&gt;='01_Input'!$Z$59,'01_Input'!$AC$59,0),IF('01_Input'!$AB$59="Palier",IF(AND(AD$15&gt;='01_Input'!$Z$59,AD$15&lt;'01_Input'!$AA$59),'01_Input'!$AC$59,0),MAX(MIN(AD$15,'01_Input'!$AA$59)-'01_Input'!$Z$59,0)*'01_Input'!$AC$59))))))))))</f>
        <v/>
      </c>
      <c r="AE50" s="25" t="str">
        <f>IF(AE$15="","",IF('01_Input'!$C$59="Non",0,MIN('01_Input'!$I$59,MAX('01_Input'!$H$59,IF('01_Input'!$G$59="Résiduel vs Gestion",0,IF('01_Input'!$G$59="Taux Classe sélectionnée",Distrib_Global_Classe_Selectionnee*AE$15,IF('01_Input'!$G$59="Frais KYC (paliers de 100M€)",MAX(0,Nb_Investisseurs-Nb_KYC_Gratuites_Par_Tranche*(FLOOR(AE$15/Taille_Tranche_KYC,1)+1))*Cout_Par_KYC_Supplementaire,(IF('01_Input'!$L$59="Forfait",IF(AE$15&gt;='01_Input'!$J$59,'01_Input'!$M$59,0),IF('01_Input'!$L$59="Palier",IF(AND(AE$15&gt;='01_Input'!$J$59,AE$15&lt;'01_Input'!$K$59),'01_Input'!$M$59,0),MAX(MIN(AE$15,'01_Input'!$K$59)-'01_Input'!$J$59,0)*'01_Input'!$M$59))+IF('01_Input'!$P$59="Forfait",IF(AE$15&gt;='01_Input'!$N$59,'01_Input'!$Q$59,0),IF('01_Input'!$P$59="Palier",IF(AND(AE$15&gt;='01_Input'!$N$59,AE$15&lt;'01_Input'!$O$59),'01_Input'!$Q$59,0),MAX(MIN(AE$15,'01_Input'!$O$59)-'01_Input'!$N$59,0)*'01_Input'!$Q$59))+IF('01_Input'!$T$59="Forfait",IF(AE$15&gt;='01_Input'!$R$59,'01_Input'!$U$59,0),IF('01_Input'!$T$59="Palier",IF(AND(AE$15&gt;='01_Input'!$R$59,AE$15&lt;'01_Input'!$S$59),'01_Input'!$U$59,0),MAX(MIN(AE$15,'01_Input'!$S$59)-'01_Input'!$R$59,0)*'01_Input'!$U$59))+IF('01_Input'!$X$59="Forfait",IF(AE$15&gt;='01_Input'!$V$59,'01_Input'!$Y$59,0),IF('01_Input'!$X$59="Palier",IF(AND(AE$15&gt;='01_Input'!$V$59,AE$15&lt;'01_Input'!$W$59),'01_Input'!$Y$59,0),MAX(MIN(AE$15,'01_Input'!$W$59)-'01_Input'!$V$59,0)*'01_Input'!$Y$59))+IF('01_Input'!$AB$59="Forfait",IF(AE$15&gt;='01_Input'!$Z$59,'01_Input'!$AC$59,0),IF('01_Input'!$AB$59="Palier",IF(AND(AE$15&gt;='01_Input'!$Z$59,AE$15&lt;'01_Input'!$AA$59),'01_Input'!$AC$59,0),MAX(MIN(AE$15,'01_Input'!$AA$59)-'01_Input'!$Z$59,0)*'01_Input'!$AC$59))))))))))</f>
        <v/>
      </c>
      <c r="AF50" s="25" t="str">
        <f>IF(AF$15="","",IF('01_Input'!$C$59="Non",0,MIN('01_Input'!$I$59,MAX('01_Input'!$H$59,IF('01_Input'!$G$59="Résiduel vs Gestion",0,IF('01_Input'!$G$59="Taux Classe sélectionnée",Distrib_Global_Classe_Selectionnee*AF$15,IF('01_Input'!$G$59="Frais KYC (paliers de 100M€)",MAX(0,Nb_Investisseurs-Nb_KYC_Gratuites_Par_Tranche*(FLOOR(AF$15/Taille_Tranche_KYC,1)+1))*Cout_Par_KYC_Supplementaire,(IF('01_Input'!$L$59="Forfait",IF(AF$15&gt;='01_Input'!$J$59,'01_Input'!$M$59,0),IF('01_Input'!$L$59="Palier",IF(AND(AF$15&gt;='01_Input'!$J$59,AF$15&lt;'01_Input'!$K$59),'01_Input'!$M$59,0),MAX(MIN(AF$15,'01_Input'!$K$59)-'01_Input'!$J$59,0)*'01_Input'!$M$59))+IF('01_Input'!$P$59="Forfait",IF(AF$15&gt;='01_Input'!$N$59,'01_Input'!$Q$59,0),IF('01_Input'!$P$59="Palier",IF(AND(AF$15&gt;='01_Input'!$N$59,AF$15&lt;'01_Input'!$O$59),'01_Input'!$Q$59,0),MAX(MIN(AF$15,'01_Input'!$O$59)-'01_Input'!$N$59,0)*'01_Input'!$Q$59))+IF('01_Input'!$T$59="Forfait",IF(AF$15&gt;='01_Input'!$R$59,'01_Input'!$U$59,0),IF('01_Input'!$T$59="Palier",IF(AND(AF$15&gt;='01_Input'!$R$59,AF$15&lt;'01_Input'!$S$59),'01_Input'!$U$59,0),MAX(MIN(AF$15,'01_Input'!$S$59)-'01_Input'!$R$59,0)*'01_Input'!$U$59))+IF('01_Input'!$X$59="Forfait",IF(AF$15&gt;='01_Input'!$V$59,'01_Input'!$Y$59,0),IF('01_Input'!$X$59="Palier",IF(AND(AF$15&gt;='01_Input'!$V$59,AF$15&lt;'01_Input'!$W$59),'01_Input'!$Y$59,0),MAX(MIN(AF$15,'01_Input'!$W$59)-'01_Input'!$V$59,0)*'01_Input'!$Y$59))+IF('01_Input'!$AB$59="Forfait",IF(AF$15&gt;='01_Input'!$Z$59,'01_Input'!$AC$59,0),IF('01_Input'!$AB$59="Palier",IF(AND(AF$15&gt;='01_Input'!$Z$59,AF$15&lt;'01_Input'!$AA$59),'01_Input'!$AC$59,0),MAX(MIN(AF$15,'01_Input'!$AA$59)-'01_Input'!$Z$59,0)*'01_Input'!$AC$59))))))))))</f>
        <v/>
      </c>
      <c r="AG50" s="25" t="str">
        <f>IF(AG$15="","",IF('01_Input'!$C$59="Non",0,MIN('01_Input'!$I$59,MAX('01_Input'!$H$59,IF('01_Input'!$G$59="Résiduel vs Gestion",0,IF('01_Input'!$G$59="Taux Classe sélectionnée",Distrib_Global_Classe_Selectionnee*AG$15,IF('01_Input'!$G$59="Frais KYC (paliers de 100M€)",MAX(0,Nb_Investisseurs-Nb_KYC_Gratuites_Par_Tranche*(FLOOR(AG$15/Taille_Tranche_KYC,1)+1))*Cout_Par_KYC_Supplementaire,(IF('01_Input'!$L$59="Forfait",IF(AG$15&gt;='01_Input'!$J$59,'01_Input'!$M$59,0),IF('01_Input'!$L$59="Palier",IF(AND(AG$15&gt;='01_Input'!$J$59,AG$15&lt;'01_Input'!$K$59),'01_Input'!$M$59,0),MAX(MIN(AG$15,'01_Input'!$K$59)-'01_Input'!$J$59,0)*'01_Input'!$M$59))+IF('01_Input'!$P$59="Forfait",IF(AG$15&gt;='01_Input'!$N$59,'01_Input'!$Q$59,0),IF('01_Input'!$P$59="Palier",IF(AND(AG$15&gt;='01_Input'!$N$59,AG$15&lt;'01_Input'!$O$59),'01_Input'!$Q$59,0),MAX(MIN(AG$15,'01_Input'!$O$59)-'01_Input'!$N$59,0)*'01_Input'!$Q$59))+IF('01_Input'!$T$59="Forfait",IF(AG$15&gt;='01_Input'!$R$59,'01_Input'!$U$59,0),IF('01_Input'!$T$59="Palier",IF(AND(AG$15&gt;='01_Input'!$R$59,AG$15&lt;'01_Input'!$S$59),'01_Input'!$U$59,0),MAX(MIN(AG$15,'01_Input'!$S$59)-'01_Input'!$R$59,0)*'01_Input'!$U$59))+IF('01_Input'!$X$59="Forfait",IF(AG$15&gt;='01_Input'!$V$59,'01_Input'!$Y$59,0),IF('01_Input'!$X$59="Palier",IF(AND(AG$15&gt;='01_Input'!$V$59,AG$15&lt;'01_Input'!$W$59),'01_Input'!$Y$59,0),MAX(MIN(AG$15,'01_Input'!$W$59)-'01_Input'!$V$59,0)*'01_Input'!$Y$59))+IF('01_Input'!$AB$59="Forfait",IF(AG$15&gt;='01_Input'!$Z$59,'01_Input'!$AC$59,0),IF('01_Input'!$AB$59="Palier",IF(AND(AG$15&gt;='01_Input'!$Z$59,AG$15&lt;'01_Input'!$AA$59),'01_Input'!$AC$59,0),MAX(MIN(AG$15,'01_Input'!$AA$59)-'01_Input'!$Z$59,0)*'01_Input'!$AC$59))))))))))</f>
        <v/>
      </c>
      <c r="AH50" s="25" t="str">
        <f>IF(AH$15="","",IF('01_Input'!$C$59="Non",0,MIN('01_Input'!$I$59,MAX('01_Input'!$H$59,IF('01_Input'!$G$59="Résiduel vs Gestion",0,IF('01_Input'!$G$59="Taux Classe sélectionnée",Distrib_Global_Classe_Selectionnee*AH$15,IF('01_Input'!$G$59="Frais KYC (paliers de 100M€)",MAX(0,Nb_Investisseurs-Nb_KYC_Gratuites_Par_Tranche*(FLOOR(AH$15/Taille_Tranche_KYC,1)+1))*Cout_Par_KYC_Supplementaire,(IF('01_Input'!$L$59="Forfait",IF(AH$15&gt;='01_Input'!$J$59,'01_Input'!$M$59,0),IF('01_Input'!$L$59="Palier",IF(AND(AH$15&gt;='01_Input'!$J$59,AH$15&lt;'01_Input'!$K$59),'01_Input'!$M$59,0),MAX(MIN(AH$15,'01_Input'!$K$59)-'01_Input'!$J$59,0)*'01_Input'!$M$59))+IF('01_Input'!$P$59="Forfait",IF(AH$15&gt;='01_Input'!$N$59,'01_Input'!$Q$59,0),IF('01_Input'!$P$59="Palier",IF(AND(AH$15&gt;='01_Input'!$N$59,AH$15&lt;'01_Input'!$O$59),'01_Input'!$Q$59,0),MAX(MIN(AH$15,'01_Input'!$O$59)-'01_Input'!$N$59,0)*'01_Input'!$Q$59))+IF('01_Input'!$T$59="Forfait",IF(AH$15&gt;='01_Input'!$R$59,'01_Input'!$U$59,0),IF('01_Input'!$T$59="Palier",IF(AND(AH$15&gt;='01_Input'!$R$59,AH$15&lt;'01_Input'!$S$59),'01_Input'!$U$59,0),MAX(MIN(AH$15,'01_Input'!$S$59)-'01_Input'!$R$59,0)*'01_Input'!$U$59))+IF('01_Input'!$X$59="Forfait",IF(AH$15&gt;='01_Input'!$V$59,'01_Input'!$Y$59,0),IF('01_Input'!$X$59="Palier",IF(AND(AH$15&gt;='01_Input'!$V$59,AH$15&lt;'01_Input'!$W$59),'01_Input'!$Y$59,0),MAX(MIN(AH$15,'01_Input'!$W$59)-'01_Input'!$V$59,0)*'01_Input'!$Y$59))+IF('01_Input'!$AB$59="Forfait",IF(AH$15&gt;='01_Input'!$Z$59,'01_Input'!$AC$59,0),IF('01_Input'!$AB$59="Palier",IF(AND(AH$15&gt;='01_Input'!$Z$59,AH$15&lt;'01_Input'!$AA$59),'01_Input'!$AC$59,0),MAX(MIN(AH$15,'01_Input'!$AA$59)-'01_Input'!$Z$59,0)*'01_Input'!$AC$59))))))))))</f>
        <v/>
      </c>
      <c r="AI50" s="25" t="str">
        <f>IF(AI$15="","",IF('01_Input'!$C$59="Non",0,MIN('01_Input'!$I$59,MAX('01_Input'!$H$59,IF('01_Input'!$G$59="Résiduel vs Gestion",0,IF('01_Input'!$G$59="Taux Classe sélectionnée",Distrib_Global_Classe_Selectionnee*AI$15,IF('01_Input'!$G$59="Frais KYC (paliers de 100M€)",MAX(0,Nb_Investisseurs-Nb_KYC_Gratuites_Par_Tranche*(FLOOR(AI$15/Taille_Tranche_KYC,1)+1))*Cout_Par_KYC_Supplementaire,(IF('01_Input'!$L$59="Forfait",IF(AI$15&gt;='01_Input'!$J$59,'01_Input'!$M$59,0),IF('01_Input'!$L$59="Palier",IF(AND(AI$15&gt;='01_Input'!$J$59,AI$15&lt;'01_Input'!$K$59),'01_Input'!$M$59,0),MAX(MIN(AI$15,'01_Input'!$K$59)-'01_Input'!$J$59,0)*'01_Input'!$M$59))+IF('01_Input'!$P$59="Forfait",IF(AI$15&gt;='01_Input'!$N$59,'01_Input'!$Q$59,0),IF('01_Input'!$P$59="Palier",IF(AND(AI$15&gt;='01_Input'!$N$59,AI$15&lt;'01_Input'!$O$59),'01_Input'!$Q$59,0),MAX(MIN(AI$15,'01_Input'!$O$59)-'01_Input'!$N$59,0)*'01_Input'!$Q$59))+IF('01_Input'!$T$59="Forfait",IF(AI$15&gt;='01_Input'!$R$59,'01_Input'!$U$59,0),IF('01_Input'!$T$59="Palier",IF(AND(AI$15&gt;='01_Input'!$R$59,AI$15&lt;'01_Input'!$S$59),'01_Input'!$U$59,0),MAX(MIN(AI$15,'01_Input'!$S$59)-'01_Input'!$R$59,0)*'01_Input'!$U$59))+IF('01_Input'!$X$59="Forfait",IF(AI$15&gt;='01_Input'!$V$59,'01_Input'!$Y$59,0),IF('01_Input'!$X$59="Palier",IF(AND(AI$15&gt;='01_Input'!$V$59,AI$15&lt;'01_Input'!$W$59),'01_Input'!$Y$59,0),MAX(MIN(AI$15,'01_Input'!$W$59)-'01_Input'!$V$59,0)*'01_Input'!$Y$59))+IF('01_Input'!$AB$59="Forfait",IF(AI$15&gt;='01_Input'!$Z$59,'01_Input'!$AC$59,0),IF('01_Input'!$AB$59="Palier",IF(AND(AI$15&gt;='01_Input'!$Z$59,AI$15&lt;'01_Input'!$AA$59),'01_Input'!$AC$59,0),MAX(MIN(AI$15,'01_Input'!$AA$59)-'01_Input'!$Z$59,0)*'01_Input'!$AC$59))))))))))</f>
        <v/>
      </c>
      <c r="AJ50" s="25" t="str">
        <f>IF(AJ$15="","",IF('01_Input'!$C$59="Non",0,MIN('01_Input'!$I$59,MAX('01_Input'!$H$59,IF('01_Input'!$G$59="Résiduel vs Gestion",0,IF('01_Input'!$G$59="Taux Classe sélectionnée",Distrib_Global_Classe_Selectionnee*AJ$15,IF('01_Input'!$G$59="Frais KYC (paliers de 100M€)",MAX(0,Nb_Investisseurs-Nb_KYC_Gratuites_Par_Tranche*(FLOOR(AJ$15/Taille_Tranche_KYC,1)+1))*Cout_Par_KYC_Supplementaire,(IF('01_Input'!$L$59="Forfait",IF(AJ$15&gt;='01_Input'!$J$59,'01_Input'!$M$59,0),IF('01_Input'!$L$59="Palier",IF(AND(AJ$15&gt;='01_Input'!$J$59,AJ$15&lt;'01_Input'!$K$59),'01_Input'!$M$59,0),MAX(MIN(AJ$15,'01_Input'!$K$59)-'01_Input'!$J$59,0)*'01_Input'!$M$59))+IF('01_Input'!$P$59="Forfait",IF(AJ$15&gt;='01_Input'!$N$59,'01_Input'!$Q$59,0),IF('01_Input'!$P$59="Palier",IF(AND(AJ$15&gt;='01_Input'!$N$59,AJ$15&lt;'01_Input'!$O$59),'01_Input'!$Q$59,0),MAX(MIN(AJ$15,'01_Input'!$O$59)-'01_Input'!$N$59,0)*'01_Input'!$Q$59))+IF('01_Input'!$T$59="Forfait",IF(AJ$15&gt;='01_Input'!$R$59,'01_Input'!$U$59,0),IF('01_Input'!$T$59="Palier",IF(AND(AJ$15&gt;='01_Input'!$R$59,AJ$15&lt;'01_Input'!$S$59),'01_Input'!$U$59,0),MAX(MIN(AJ$15,'01_Input'!$S$59)-'01_Input'!$R$59,0)*'01_Input'!$U$59))+IF('01_Input'!$X$59="Forfait",IF(AJ$15&gt;='01_Input'!$V$59,'01_Input'!$Y$59,0),IF('01_Input'!$X$59="Palier",IF(AND(AJ$15&gt;='01_Input'!$V$59,AJ$15&lt;'01_Input'!$W$59),'01_Input'!$Y$59,0),MAX(MIN(AJ$15,'01_Input'!$W$59)-'01_Input'!$V$59,0)*'01_Input'!$Y$59))+IF('01_Input'!$AB$59="Forfait",IF(AJ$15&gt;='01_Input'!$Z$59,'01_Input'!$AC$59,0),IF('01_Input'!$AB$59="Palier",IF(AND(AJ$15&gt;='01_Input'!$Z$59,AJ$15&lt;'01_Input'!$AA$59),'01_Input'!$AC$59,0),MAX(MIN(AJ$15,'01_Input'!$AA$59)-'01_Input'!$Z$59,0)*'01_Input'!$AC$59))))))))))</f>
        <v/>
      </c>
      <c r="AK50" s="25" t="str">
        <f>IF(AK$15="","",IF('01_Input'!$C$59="Non",0,MIN('01_Input'!$I$59,MAX('01_Input'!$H$59,IF('01_Input'!$G$59="Résiduel vs Gestion",0,IF('01_Input'!$G$59="Taux Classe sélectionnée",Distrib_Global_Classe_Selectionnee*AK$15,IF('01_Input'!$G$59="Frais KYC (paliers de 100M€)",MAX(0,Nb_Investisseurs-Nb_KYC_Gratuites_Par_Tranche*(FLOOR(AK$15/Taille_Tranche_KYC,1)+1))*Cout_Par_KYC_Supplementaire,(IF('01_Input'!$L$59="Forfait",IF(AK$15&gt;='01_Input'!$J$59,'01_Input'!$M$59,0),IF('01_Input'!$L$59="Palier",IF(AND(AK$15&gt;='01_Input'!$J$59,AK$15&lt;'01_Input'!$K$59),'01_Input'!$M$59,0),MAX(MIN(AK$15,'01_Input'!$K$59)-'01_Input'!$J$59,0)*'01_Input'!$M$59))+IF('01_Input'!$P$59="Forfait",IF(AK$15&gt;='01_Input'!$N$59,'01_Input'!$Q$59,0),IF('01_Input'!$P$59="Palier",IF(AND(AK$15&gt;='01_Input'!$N$59,AK$15&lt;'01_Input'!$O$59),'01_Input'!$Q$59,0),MAX(MIN(AK$15,'01_Input'!$O$59)-'01_Input'!$N$59,0)*'01_Input'!$Q$59))+IF('01_Input'!$T$59="Forfait",IF(AK$15&gt;='01_Input'!$R$59,'01_Input'!$U$59,0),IF('01_Input'!$T$59="Palier",IF(AND(AK$15&gt;='01_Input'!$R$59,AK$15&lt;'01_Input'!$S$59),'01_Input'!$U$59,0),MAX(MIN(AK$15,'01_Input'!$S$59)-'01_Input'!$R$59,0)*'01_Input'!$U$59))+IF('01_Input'!$X$59="Forfait",IF(AK$15&gt;='01_Input'!$V$59,'01_Input'!$Y$59,0),IF('01_Input'!$X$59="Palier",IF(AND(AK$15&gt;='01_Input'!$V$59,AK$15&lt;'01_Input'!$W$59),'01_Input'!$Y$59,0),MAX(MIN(AK$15,'01_Input'!$W$59)-'01_Input'!$V$59,0)*'01_Input'!$Y$59))+IF('01_Input'!$AB$59="Forfait",IF(AK$15&gt;='01_Input'!$Z$59,'01_Input'!$AC$59,0),IF('01_Input'!$AB$59="Palier",IF(AND(AK$15&gt;='01_Input'!$Z$59,AK$15&lt;'01_Input'!$AA$59),'01_Input'!$AC$59,0),MAX(MIN(AK$15,'01_Input'!$AA$59)-'01_Input'!$Z$59,0)*'01_Input'!$AC$59))))))))))</f>
        <v/>
      </c>
      <c r="AL50" s="25" t="str">
        <f>IF(AL$15="","",IF('01_Input'!$C$59="Non",0,MIN('01_Input'!$I$59,MAX('01_Input'!$H$59,IF('01_Input'!$G$59="Résiduel vs Gestion",0,IF('01_Input'!$G$59="Taux Classe sélectionnée",Distrib_Global_Classe_Selectionnee*AL$15,IF('01_Input'!$G$59="Frais KYC (paliers de 100M€)",MAX(0,Nb_Investisseurs-Nb_KYC_Gratuites_Par_Tranche*(FLOOR(AL$15/Taille_Tranche_KYC,1)+1))*Cout_Par_KYC_Supplementaire,(IF('01_Input'!$L$59="Forfait",IF(AL$15&gt;='01_Input'!$J$59,'01_Input'!$M$59,0),IF('01_Input'!$L$59="Palier",IF(AND(AL$15&gt;='01_Input'!$J$59,AL$15&lt;'01_Input'!$K$59),'01_Input'!$M$59,0),MAX(MIN(AL$15,'01_Input'!$K$59)-'01_Input'!$J$59,0)*'01_Input'!$M$59))+IF('01_Input'!$P$59="Forfait",IF(AL$15&gt;='01_Input'!$N$59,'01_Input'!$Q$59,0),IF('01_Input'!$P$59="Palier",IF(AND(AL$15&gt;='01_Input'!$N$59,AL$15&lt;'01_Input'!$O$59),'01_Input'!$Q$59,0),MAX(MIN(AL$15,'01_Input'!$O$59)-'01_Input'!$N$59,0)*'01_Input'!$Q$59))+IF('01_Input'!$T$59="Forfait",IF(AL$15&gt;='01_Input'!$R$59,'01_Input'!$U$59,0),IF('01_Input'!$T$59="Palier",IF(AND(AL$15&gt;='01_Input'!$R$59,AL$15&lt;'01_Input'!$S$59),'01_Input'!$U$59,0),MAX(MIN(AL$15,'01_Input'!$S$59)-'01_Input'!$R$59,0)*'01_Input'!$U$59))+IF('01_Input'!$X$59="Forfait",IF(AL$15&gt;='01_Input'!$V$59,'01_Input'!$Y$59,0),IF('01_Input'!$X$59="Palier",IF(AND(AL$15&gt;='01_Input'!$V$59,AL$15&lt;'01_Input'!$W$59),'01_Input'!$Y$59,0),MAX(MIN(AL$15,'01_Input'!$W$59)-'01_Input'!$V$59,0)*'01_Input'!$Y$59))+IF('01_Input'!$AB$59="Forfait",IF(AL$15&gt;='01_Input'!$Z$59,'01_Input'!$AC$59,0),IF('01_Input'!$AB$59="Palier",IF(AND(AL$15&gt;='01_Input'!$Z$59,AL$15&lt;'01_Input'!$AA$59),'01_Input'!$AC$59,0),MAX(MIN(AL$15,'01_Input'!$AA$59)-'01_Input'!$Z$59,0)*'01_Input'!$AC$59))))))))))</f>
        <v/>
      </c>
      <c r="AM50" s="25" t="str">
        <f>IF(AM$15="","",IF('01_Input'!$C$59="Non",0,MIN('01_Input'!$I$59,MAX('01_Input'!$H$59,IF('01_Input'!$G$59="Résiduel vs Gestion",0,IF('01_Input'!$G$59="Taux Classe sélectionnée",Distrib_Global_Classe_Selectionnee*AM$15,IF('01_Input'!$G$59="Frais KYC (paliers de 100M€)",MAX(0,Nb_Investisseurs-Nb_KYC_Gratuites_Par_Tranche*(FLOOR(AM$15/Taille_Tranche_KYC,1)+1))*Cout_Par_KYC_Supplementaire,(IF('01_Input'!$L$59="Forfait",IF(AM$15&gt;='01_Input'!$J$59,'01_Input'!$M$59,0),IF('01_Input'!$L$59="Palier",IF(AND(AM$15&gt;='01_Input'!$J$59,AM$15&lt;'01_Input'!$K$59),'01_Input'!$M$59,0),MAX(MIN(AM$15,'01_Input'!$K$59)-'01_Input'!$J$59,0)*'01_Input'!$M$59))+IF('01_Input'!$P$59="Forfait",IF(AM$15&gt;='01_Input'!$N$59,'01_Input'!$Q$59,0),IF('01_Input'!$P$59="Palier",IF(AND(AM$15&gt;='01_Input'!$N$59,AM$15&lt;'01_Input'!$O$59),'01_Input'!$Q$59,0),MAX(MIN(AM$15,'01_Input'!$O$59)-'01_Input'!$N$59,0)*'01_Input'!$Q$59))+IF('01_Input'!$T$59="Forfait",IF(AM$15&gt;='01_Input'!$R$59,'01_Input'!$U$59,0),IF('01_Input'!$T$59="Palier",IF(AND(AM$15&gt;='01_Input'!$R$59,AM$15&lt;'01_Input'!$S$59),'01_Input'!$U$59,0),MAX(MIN(AM$15,'01_Input'!$S$59)-'01_Input'!$R$59,0)*'01_Input'!$U$59))+IF('01_Input'!$X$59="Forfait",IF(AM$15&gt;='01_Input'!$V$59,'01_Input'!$Y$59,0),IF('01_Input'!$X$59="Palier",IF(AND(AM$15&gt;='01_Input'!$V$59,AM$15&lt;'01_Input'!$W$59),'01_Input'!$Y$59,0),MAX(MIN(AM$15,'01_Input'!$W$59)-'01_Input'!$V$59,0)*'01_Input'!$Y$59))+IF('01_Input'!$AB$59="Forfait",IF(AM$15&gt;='01_Input'!$Z$59,'01_Input'!$AC$59,0),IF('01_Input'!$AB$59="Palier",IF(AND(AM$15&gt;='01_Input'!$Z$59,AM$15&lt;'01_Input'!$AA$59),'01_Input'!$AC$59,0),MAX(MIN(AM$15,'01_Input'!$AA$59)-'01_Input'!$Z$59,0)*'01_Input'!$AC$59))))))))))</f>
        <v/>
      </c>
    </row>
    <row r="51" ht="15.75" customHeight="1">
      <c r="B51" s="68" t="str">
        <f t="shared" si="1"/>
        <v>Reporting — Rapport Annuel (CIC)</v>
      </c>
      <c r="D51" s="83">
        <f>IF(D$15="","",IF('01_Input'!$C$60="Non",0,MIN('01_Input'!$I$60,MAX('01_Input'!$H$60,IF('01_Input'!$G$60="Résiduel vs Gestion",0,IF('01_Input'!$G$60="Taux Classe sélectionnée",Distrib_Global_Classe_Selectionnee*D$15,IF('01_Input'!$G$60="Frais KYC (paliers de 100M€)",MAX(0,Nb_Investisseurs-Nb_KYC_Gratuites_Par_Tranche*(FLOOR(D$15/Taille_Tranche_KYC,1)+1))*Cout_Par_KYC_Supplementaire,(IF('01_Input'!$L$60="Forfait",IF(D$15&gt;='01_Input'!$J$60,'01_Input'!$M$60,0),IF('01_Input'!$L$60="Palier",IF(AND(D$15&gt;='01_Input'!$J$60,D$15&lt;'01_Input'!$K$60),'01_Input'!$M$60,0),MAX(MIN(D$15,'01_Input'!$K$60)-'01_Input'!$J$60,0)*'01_Input'!$M$60))+IF('01_Input'!$P$60="Forfait",IF(D$15&gt;='01_Input'!$N$60,'01_Input'!$Q$60,0),IF('01_Input'!$P$60="Palier",IF(AND(D$15&gt;='01_Input'!$N$60,D$15&lt;'01_Input'!$O$60),'01_Input'!$Q$60,0),MAX(MIN(D$15,'01_Input'!$O$60)-'01_Input'!$N$60,0)*'01_Input'!$Q$60))+IF('01_Input'!$T$60="Forfait",IF(D$15&gt;='01_Input'!$R$60,'01_Input'!$U$60,0),IF('01_Input'!$T$60="Palier",IF(AND(D$15&gt;='01_Input'!$R$60,D$15&lt;'01_Input'!$S$60),'01_Input'!$U$60,0),MAX(MIN(D$15,'01_Input'!$S$60)-'01_Input'!$R$60,0)*'01_Input'!$U$60))+IF('01_Input'!$X$60="Forfait",IF(D$15&gt;='01_Input'!$V$60,'01_Input'!$Y$60,0),IF('01_Input'!$X$60="Palier",IF(AND(D$15&gt;='01_Input'!$V$60,D$15&lt;'01_Input'!$W$60),'01_Input'!$Y$60,0),MAX(MIN(D$15,'01_Input'!$W$60)-'01_Input'!$V$60,0)*'01_Input'!$Y$60))+IF('01_Input'!$AB$60="Forfait",IF(D$15&gt;='01_Input'!$Z$60,'01_Input'!$AC$60,0),IF('01_Input'!$AB$60="Palier",IF(AND(D$15&gt;='01_Input'!$Z$60,D$15&lt;'01_Input'!$AA$60),'01_Input'!$AC$60,0),MAX(MIN(D$15,'01_Input'!$AA$60)-'01_Input'!$Z$60,0)*'01_Input'!$AC$60))))))))))</f>
        <v>800</v>
      </c>
      <c r="E51" s="83">
        <f>IF(E$15="","",IF('01_Input'!$C$60="Non",0,MIN('01_Input'!$I$60,MAX('01_Input'!$H$60,IF('01_Input'!$G$60="Résiduel vs Gestion",0,IF('01_Input'!$G$60="Taux Classe sélectionnée",Distrib_Global_Classe_Selectionnee*E$15,IF('01_Input'!$G$60="Frais KYC (paliers de 100M€)",MAX(0,Nb_Investisseurs-Nb_KYC_Gratuites_Par_Tranche*(FLOOR(E$15/Taille_Tranche_KYC,1)+1))*Cout_Par_KYC_Supplementaire,(IF('01_Input'!$L$60="Forfait",IF(E$15&gt;='01_Input'!$J$60,'01_Input'!$M$60,0),IF('01_Input'!$L$60="Palier",IF(AND(E$15&gt;='01_Input'!$J$60,E$15&lt;'01_Input'!$K$60),'01_Input'!$M$60,0),MAX(MIN(E$15,'01_Input'!$K$60)-'01_Input'!$J$60,0)*'01_Input'!$M$60))+IF('01_Input'!$P$60="Forfait",IF(E$15&gt;='01_Input'!$N$60,'01_Input'!$Q$60,0),IF('01_Input'!$P$60="Palier",IF(AND(E$15&gt;='01_Input'!$N$60,E$15&lt;'01_Input'!$O$60),'01_Input'!$Q$60,0),MAX(MIN(E$15,'01_Input'!$O$60)-'01_Input'!$N$60,0)*'01_Input'!$Q$60))+IF('01_Input'!$T$60="Forfait",IF(E$15&gt;='01_Input'!$R$60,'01_Input'!$U$60,0),IF('01_Input'!$T$60="Palier",IF(AND(E$15&gt;='01_Input'!$R$60,E$15&lt;'01_Input'!$S$60),'01_Input'!$U$60,0),MAX(MIN(E$15,'01_Input'!$S$60)-'01_Input'!$R$60,0)*'01_Input'!$U$60))+IF('01_Input'!$X$60="Forfait",IF(E$15&gt;='01_Input'!$V$60,'01_Input'!$Y$60,0),IF('01_Input'!$X$60="Palier",IF(AND(E$15&gt;='01_Input'!$V$60,E$15&lt;'01_Input'!$W$60),'01_Input'!$Y$60,0),MAX(MIN(E$15,'01_Input'!$W$60)-'01_Input'!$V$60,0)*'01_Input'!$Y$60))+IF('01_Input'!$AB$60="Forfait",IF(E$15&gt;='01_Input'!$Z$60,'01_Input'!$AC$60,0),IF('01_Input'!$AB$60="Palier",IF(AND(E$15&gt;='01_Input'!$Z$60,E$15&lt;'01_Input'!$AA$60),'01_Input'!$AC$60,0),MAX(MIN(E$15,'01_Input'!$AA$60)-'01_Input'!$Z$60,0)*'01_Input'!$AC$60))))))))))</f>
        <v>800</v>
      </c>
      <c r="F51" s="83" t="str">
        <f>IF(F$15="","",IF('01_Input'!$C$60="Non",0,MIN('01_Input'!$I$60,MAX('01_Input'!$H$60,IF('01_Input'!$G$60="Résiduel vs Gestion",0,IF('01_Input'!$G$60="Taux Classe sélectionnée",Distrib_Global_Classe_Selectionnee*F$15,IF('01_Input'!$G$60="Frais KYC (paliers de 100M€)",MAX(0,Nb_Investisseurs-Nb_KYC_Gratuites_Par_Tranche*(FLOOR(F$15/Taille_Tranche_KYC,1)+1))*Cout_Par_KYC_Supplementaire,(IF('01_Input'!$L$60="Forfait",IF(F$15&gt;='01_Input'!$J$60,'01_Input'!$M$60,0),IF('01_Input'!$L$60="Palier",IF(AND(F$15&gt;='01_Input'!$J$60,F$15&lt;'01_Input'!$K$60),'01_Input'!$M$60,0),MAX(MIN(F$15,'01_Input'!$K$60)-'01_Input'!$J$60,0)*'01_Input'!$M$60))+IF('01_Input'!$P$60="Forfait",IF(F$15&gt;='01_Input'!$N$60,'01_Input'!$Q$60,0),IF('01_Input'!$P$60="Palier",IF(AND(F$15&gt;='01_Input'!$N$60,F$15&lt;'01_Input'!$O$60),'01_Input'!$Q$60,0),MAX(MIN(F$15,'01_Input'!$O$60)-'01_Input'!$N$60,0)*'01_Input'!$Q$60))+IF('01_Input'!$T$60="Forfait",IF(F$15&gt;='01_Input'!$R$60,'01_Input'!$U$60,0),IF('01_Input'!$T$60="Palier",IF(AND(F$15&gt;='01_Input'!$R$60,F$15&lt;'01_Input'!$S$60),'01_Input'!$U$60,0),MAX(MIN(F$15,'01_Input'!$S$60)-'01_Input'!$R$60,0)*'01_Input'!$U$60))+IF('01_Input'!$X$60="Forfait",IF(F$15&gt;='01_Input'!$V$60,'01_Input'!$Y$60,0),IF('01_Input'!$X$60="Palier",IF(AND(F$15&gt;='01_Input'!$V$60,F$15&lt;'01_Input'!$W$60),'01_Input'!$Y$60,0),MAX(MIN(F$15,'01_Input'!$W$60)-'01_Input'!$V$60,0)*'01_Input'!$Y$60))+IF('01_Input'!$AB$60="Forfait",IF(F$15&gt;='01_Input'!$Z$60,'01_Input'!$AC$60,0),IF('01_Input'!$AB$60="Palier",IF(AND(F$15&gt;='01_Input'!$Z$60,F$15&lt;'01_Input'!$AA$60),'01_Input'!$AC$60,0),MAX(MIN(F$15,'01_Input'!$AA$60)-'01_Input'!$Z$60,0)*'01_Input'!$AC$60))))))))))</f>
        <v/>
      </c>
      <c r="G51" s="83" t="str">
        <f>IF(G$15="","",IF('01_Input'!$C$60="Non",0,MIN('01_Input'!$I$60,MAX('01_Input'!$H$60,IF('01_Input'!$G$60="Résiduel vs Gestion",0,IF('01_Input'!$G$60="Taux Classe sélectionnée",Distrib_Global_Classe_Selectionnee*G$15,IF('01_Input'!$G$60="Frais KYC (paliers de 100M€)",MAX(0,Nb_Investisseurs-Nb_KYC_Gratuites_Par_Tranche*(FLOOR(G$15/Taille_Tranche_KYC,1)+1))*Cout_Par_KYC_Supplementaire,(IF('01_Input'!$L$60="Forfait",IF(G$15&gt;='01_Input'!$J$60,'01_Input'!$M$60,0),IF('01_Input'!$L$60="Palier",IF(AND(G$15&gt;='01_Input'!$J$60,G$15&lt;'01_Input'!$K$60),'01_Input'!$M$60,0),MAX(MIN(G$15,'01_Input'!$K$60)-'01_Input'!$J$60,0)*'01_Input'!$M$60))+IF('01_Input'!$P$60="Forfait",IF(G$15&gt;='01_Input'!$N$60,'01_Input'!$Q$60,0),IF('01_Input'!$P$60="Palier",IF(AND(G$15&gt;='01_Input'!$N$60,G$15&lt;'01_Input'!$O$60),'01_Input'!$Q$60,0),MAX(MIN(G$15,'01_Input'!$O$60)-'01_Input'!$N$60,0)*'01_Input'!$Q$60))+IF('01_Input'!$T$60="Forfait",IF(G$15&gt;='01_Input'!$R$60,'01_Input'!$U$60,0),IF('01_Input'!$T$60="Palier",IF(AND(G$15&gt;='01_Input'!$R$60,G$15&lt;'01_Input'!$S$60),'01_Input'!$U$60,0),MAX(MIN(G$15,'01_Input'!$S$60)-'01_Input'!$R$60,0)*'01_Input'!$U$60))+IF('01_Input'!$X$60="Forfait",IF(G$15&gt;='01_Input'!$V$60,'01_Input'!$Y$60,0),IF('01_Input'!$X$60="Palier",IF(AND(G$15&gt;='01_Input'!$V$60,G$15&lt;'01_Input'!$W$60),'01_Input'!$Y$60,0),MAX(MIN(G$15,'01_Input'!$W$60)-'01_Input'!$V$60,0)*'01_Input'!$Y$60))+IF('01_Input'!$AB$60="Forfait",IF(G$15&gt;='01_Input'!$Z$60,'01_Input'!$AC$60,0),IF('01_Input'!$AB$60="Palier",IF(AND(G$15&gt;='01_Input'!$Z$60,G$15&lt;'01_Input'!$AA$60),'01_Input'!$AC$60,0),MAX(MIN(G$15,'01_Input'!$AA$60)-'01_Input'!$Z$60,0)*'01_Input'!$AC$60))))))))))</f>
        <v/>
      </c>
      <c r="H51" s="83" t="str">
        <f>IF(H$15="","",IF('01_Input'!$C$60="Non",0,MIN('01_Input'!$I$60,MAX('01_Input'!$H$60,IF('01_Input'!$G$60="Résiduel vs Gestion",0,IF('01_Input'!$G$60="Taux Classe sélectionnée",Distrib_Global_Classe_Selectionnee*H$15,IF('01_Input'!$G$60="Frais KYC (paliers de 100M€)",MAX(0,Nb_Investisseurs-Nb_KYC_Gratuites_Par_Tranche*(FLOOR(H$15/Taille_Tranche_KYC,1)+1))*Cout_Par_KYC_Supplementaire,(IF('01_Input'!$L$60="Forfait",IF(H$15&gt;='01_Input'!$J$60,'01_Input'!$M$60,0),IF('01_Input'!$L$60="Palier",IF(AND(H$15&gt;='01_Input'!$J$60,H$15&lt;'01_Input'!$K$60),'01_Input'!$M$60,0),MAX(MIN(H$15,'01_Input'!$K$60)-'01_Input'!$J$60,0)*'01_Input'!$M$60))+IF('01_Input'!$P$60="Forfait",IF(H$15&gt;='01_Input'!$N$60,'01_Input'!$Q$60,0),IF('01_Input'!$P$60="Palier",IF(AND(H$15&gt;='01_Input'!$N$60,H$15&lt;'01_Input'!$O$60),'01_Input'!$Q$60,0),MAX(MIN(H$15,'01_Input'!$O$60)-'01_Input'!$N$60,0)*'01_Input'!$Q$60))+IF('01_Input'!$T$60="Forfait",IF(H$15&gt;='01_Input'!$R$60,'01_Input'!$U$60,0),IF('01_Input'!$T$60="Palier",IF(AND(H$15&gt;='01_Input'!$R$60,H$15&lt;'01_Input'!$S$60),'01_Input'!$U$60,0),MAX(MIN(H$15,'01_Input'!$S$60)-'01_Input'!$R$60,0)*'01_Input'!$U$60))+IF('01_Input'!$X$60="Forfait",IF(H$15&gt;='01_Input'!$V$60,'01_Input'!$Y$60,0),IF('01_Input'!$X$60="Palier",IF(AND(H$15&gt;='01_Input'!$V$60,H$15&lt;'01_Input'!$W$60),'01_Input'!$Y$60,0),MAX(MIN(H$15,'01_Input'!$W$60)-'01_Input'!$V$60,0)*'01_Input'!$Y$60))+IF('01_Input'!$AB$60="Forfait",IF(H$15&gt;='01_Input'!$Z$60,'01_Input'!$AC$60,0),IF('01_Input'!$AB$60="Palier",IF(AND(H$15&gt;='01_Input'!$Z$60,H$15&lt;'01_Input'!$AA$60),'01_Input'!$AC$60,0),MAX(MIN(H$15,'01_Input'!$AA$60)-'01_Input'!$Z$60,0)*'01_Input'!$AC$60))))))))))</f>
        <v/>
      </c>
      <c r="I51" s="83" t="str">
        <f>IF(I$15="","",IF('01_Input'!$C$60="Non",0,MIN('01_Input'!$I$60,MAX('01_Input'!$H$60,IF('01_Input'!$G$60="Résiduel vs Gestion",0,IF('01_Input'!$G$60="Taux Classe sélectionnée",Distrib_Global_Classe_Selectionnee*I$15,IF('01_Input'!$G$60="Frais KYC (paliers de 100M€)",MAX(0,Nb_Investisseurs-Nb_KYC_Gratuites_Par_Tranche*(FLOOR(I$15/Taille_Tranche_KYC,1)+1))*Cout_Par_KYC_Supplementaire,(IF('01_Input'!$L$60="Forfait",IF(I$15&gt;='01_Input'!$J$60,'01_Input'!$M$60,0),IF('01_Input'!$L$60="Palier",IF(AND(I$15&gt;='01_Input'!$J$60,I$15&lt;'01_Input'!$K$60),'01_Input'!$M$60,0),MAX(MIN(I$15,'01_Input'!$K$60)-'01_Input'!$J$60,0)*'01_Input'!$M$60))+IF('01_Input'!$P$60="Forfait",IF(I$15&gt;='01_Input'!$N$60,'01_Input'!$Q$60,0),IF('01_Input'!$P$60="Palier",IF(AND(I$15&gt;='01_Input'!$N$60,I$15&lt;'01_Input'!$O$60),'01_Input'!$Q$60,0),MAX(MIN(I$15,'01_Input'!$O$60)-'01_Input'!$N$60,0)*'01_Input'!$Q$60))+IF('01_Input'!$T$60="Forfait",IF(I$15&gt;='01_Input'!$R$60,'01_Input'!$U$60,0),IF('01_Input'!$T$60="Palier",IF(AND(I$15&gt;='01_Input'!$R$60,I$15&lt;'01_Input'!$S$60),'01_Input'!$U$60,0),MAX(MIN(I$15,'01_Input'!$S$60)-'01_Input'!$R$60,0)*'01_Input'!$U$60))+IF('01_Input'!$X$60="Forfait",IF(I$15&gt;='01_Input'!$V$60,'01_Input'!$Y$60,0),IF('01_Input'!$X$60="Palier",IF(AND(I$15&gt;='01_Input'!$V$60,I$15&lt;'01_Input'!$W$60),'01_Input'!$Y$60,0),MAX(MIN(I$15,'01_Input'!$W$60)-'01_Input'!$V$60,0)*'01_Input'!$Y$60))+IF('01_Input'!$AB$60="Forfait",IF(I$15&gt;='01_Input'!$Z$60,'01_Input'!$AC$60,0),IF('01_Input'!$AB$60="Palier",IF(AND(I$15&gt;='01_Input'!$Z$60,I$15&lt;'01_Input'!$AA$60),'01_Input'!$AC$60,0),MAX(MIN(I$15,'01_Input'!$AA$60)-'01_Input'!$Z$60,0)*'01_Input'!$AC$60))))))))))</f>
        <v/>
      </c>
      <c r="J51" s="83" t="str">
        <f>IF(J$15="","",IF('01_Input'!$C$60="Non",0,MIN('01_Input'!$I$60,MAX('01_Input'!$H$60,IF('01_Input'!$G$60="Résiduel vs Gestion",0,IF('01_Input'!$G$60="Taux Classe sélectionnée",Distrib_Global_Classe_Selectionnee*J$15,IF('01_Input'!$G$60="Frais KYC (paliers de 100M€)",MAX(0,Nb_Investisseurs-Nb_KYC_Gratuites_Par_Tranche*(FLOOR(J$15/Taille_Tranche_KYC,1)+1))*Cout_Par_KYC_Supplementaire,(IF('01_Input'!$L$60="Forfait",IF(J$15&gt;='01_Input'!$J$60,'01_Input'!$M$60,0),IF('01_Input'!$L$60="Palier",IF(AND(J$15&gt;='01_Input'!$J$60,J$15&lt;'01_Input'!$K$60),'01_Input'!$M$60,0),MAX(MIN(J$15,'01_Input'!$K$60)-'01_Input'!$J$60,0)*'01_Input'!$M$60))+IF('01_Input'!$P$60="Forfait",IF(J$15&gt;='01_Input'!$N$60,'01_Input'!$Q$60,0),IF('01_Input'!$P$60="Palier",IF(AND(J$15&gt;='01_Input'!$N$60,J$15&lt;'01_Input'!$O$60),'01_Input'!$Q$60,0),MAX(MIN(J$15,'01_Input'!$O$60)-'01_Input'!$N$60,0)*'01_Input'!$Q$60))+IF('01_Input'!$T$60="Forfait",IF(J$15&gt;='01_Input'!$R$60,'01_Input'!$U$60,0),IF('01_Input'!$T$60="Palier",IF(AND(J$15&gt;='01_Input'!$R$60,J$15&lt;'01_Input'!$S$60),'01_Input'!$U$60,0),MAX(MIN(J$15,'01_Input'!$S$60)-'01_Input'!$R$60,0)*'01_Input'!$U$60))+IF('01_Input'!$X$60="Forfait",IF(J$15&gt;='01_Input'!$V$60,'01_Input'!$Y$60,0),IF('01_Input'!$X$60="Palier",IF(AND(J$15&gt;='01_Input'!$V$60,J$15&lt;'01_Input'!$W$60),'01_Input'!$Y$60,0),MAX(MIN(J$15,'01_Input'!$W$60)-'01_Input'!$V$60,0)*'01_Input'!$Y$60))+IF('01_Input'!$AB$60="Forfait",IF(J$15&gt;='01_Input'!$Z$60,'01_Input'!$AC$60,0),IF('01_Input'!$AB$60="Palier",IF(AND(J$15&gt;='01_Input'!$Z$60,J$15&lt;'01_Input'!$AA$60),'01_Input'!$AC$60,0),MAX(MIN(J$15,'01_Input'!$AA$60)-'01_Input'!$Z$60,0)*'01_Input'!$AC$60))))))))))</f>
        <v/>
      </c>
      <c r="K51" s="83" t="str">
        <f>IF(K$15="","",IF('01_Input'!$C$60="Non",0,MIN('01_Input'!$I$60,MAX('01_Input'!$H$60,IF('01_Input'!$G$60="Résiduel vs Gestion",0,IF('01_Input'!$G$60="Taux Classe sélectionnée",Distrib_Global_Classe_Selectionnee*K$15,IF('01_Input'!$G$60="Frais KYC (paliers de 100M€)",MAX(0,Nb_Investisseurs-Nb_KYC_Gratuites_Par_Tranche*(FLOOR(K$15/Taille_Tranche_KYC,1)+1))*Cout_Par_KYC_Supplementaire,(IF('01_Input'!$L$60="Forfait",IF(K$15&gt;='01_Input'!$J$60,'01_Input'!$M$60,0),IF('01_Input'!$L$60="Palier",IF(AND(K$15&gt;='01_Input'!$J$60,K$15&lt;'01_Input'!$K$60),'01_Input'!$M$60,0),MAX(MIN(K$15,'01_Input'!$K$60)-'01_Input'!$J$60,0)*'01_Input'!$M$60))+IF('01_Input'!$P$60="Forfait",IF(K$15&gt;='01_Input'!$N$60,'01_Input'!$Q$60,0),IF('01_Input'!$P$60="Palier",IF(AND(K$15&gt;='01_Input'!$N$60,K$15&lt;'01_Input'!$O$60),'01_Input'!$Q$60,0),MAX(MIN(K$15,'01_Input'!$O$60)-'01_Input'!$N$60,0)*'01_Input'!$Q$60))+IF('01_Input'!$T$60="Forfait",IF(K$15&gt;='01_Input'!$R$60,'01_Input'!$U$60,0),IF('01_Input'!$T$60="Palier",IF(AND(K$15&gt;='01_Input'!$R$60,K$15&lt;'01_Input'!$S$60),'01_Input'!$U$60,0),MAX(MIN(K$15,'01_Input'!$S$60)-'01_Input'!$R$60,0)*'01_Input'!$U$60))+IF('01_Input'!$X$60="Forfait",IF(K$15&gt;='01_Input'!$V$60,'01_Input'!$Y$60,0),IF('01_Input'!$X$60="Palier",IF(AND(K$15&gt;='01_Input'!$V$60,K$15&lt;'01_Input'!$W$60),'01_Input'!$Y$60,0),MAX(MIN(K$15,'01_Input'!$W$60)-'01_Input'!$V$60,0)*'01_Input'!$Y$60))+IF('01_Input'!$AB$60="Forfait",IF(K$15&gt;='01_Input'!$Z$60,'01_Input'!$AC$60,0),IF('01_Input'!$AB$60="Palier",IF(AND(K$15&gt;='01_Input'!$Z$60,K$15&lt;'01_Input'!$AA$60),'01_Input'!$AC$60,0),MAX(MIN(K$15,'01_Input'!$AA$60)-'01_Input'!$Z$60,0)*'01_Input'!$AC$60))))))))))</f>
        <v/>
      </c>
      <c r="L51" s="83" t="str">
        <f>IF(L$15="","",IF('01_Input'!$C$60="Non",0,MIN('01_Input'!$I$60,MAX('01_Input'!$H$60,IF('01_Input'!$G$60="Résiduel vs Gestion",0,IF('01_Input'!$G$60="Taux Classe sélectionnée",Distrib_Global_Classe_Selectionnee*L$15,IF('01_Input'!$G$60="Frais KYC (paliers de 100M€)",MAX(0,Nb_Investisseurs-Nb_KYC_Gratuites_Par_Tranche*(FLOOR(L$15/Taille_Tranche_KYC,1)+1))*Cout_Par_KYC_Supplementaire,(IF('01_Input'!$L$60="Forfait",IF(L$15&gt;='01_Input'!$J$60,'01_Input'!$M$60,0),IF('01_Input'!$L$60="Palier",IF(AND(L$15&gt;='01_Input'!$J$60,L$15&lt;'01_Input'!$K$60),'01_Input'!$M$60,0),MAX(MIN(L$15,'01_Input'!$K$60)-'01_Input'!$J$60,0)*'01_Input'!$M$60))+IF('01_Input'!$P$60="Forfait",IF(L$15&gt;='01_Input'!$N$60,'01_Input'!$Q$60,0),IF('01_Input'!$P$60="Palier",IF(AND(L$15&gt;='01_Input'!$N$60,L$15&lt;'01_Input'!$O$60),'01_Input'!$Q$60,0),MAX(MIN(L$15,'01_Input'!$O$60)-'01_Input'!$N$60,0)*'01_Input'!$Q$60))+IF('01_Input'!$T$60="Forfait",IF(L$15&gt;='01_Input'!$R$60,'01_Input'!$U$60,0),IF('01_Input'!$T$60="Palier",IF(AND(L$15&gt;='01_Input'!$R$60,L$15&lt;'01_Input'!$S$60),'01_Input'!$U$60,0),MAX(MIN(L$15,'01_Input'!$S$60)-'01_Input'!$R$60,0)*'01_Input'!$U$60))+IF('01_Input'!$X$60="Forfait",IF(L$15&gt;='01_Input'!$V$60,'01_Input'!$Y$60,0),IF('01_Input'!$X$60="Palier",IF(AND(L$15&gt;='01_Input'!$V$60,L$15&lt;'01_Input'!$W$60),'01_Input'!$Y$60,0),MAX(MIN(L$15,'01_Input'!$W$60)-'01_Input'!$V$60,0)*'01_Input'!$Y$60))+IF('01_Input'!$AB$60="Forfait",IF(L$15&gt;='01_Input'!$Z$60,'01_Input'!$AC$60,0),IF('01_Input'!$AB$60="Palier",IF(AND(L$15&gt;='01_Input'!$Z$60,L$15&lt;'01_Input'!$AA$60),'01_Input'!$AC$60,0),MAX(MIN(L$15,'01_Input'!$AA$60)-'01_Input'!$Z$60,0)*'01_Input'!$AC$60))))))))))</f>
        <v/>
      </c>
      <c r="M51" s="83" t="str">
        <f>IF(M$15="","",IF('01_Input'!$C$60="Non",0,MIN('01_Input'!$I$60,MAX('01_Input'!$H$60,IF('01_Input'!$G$60="Résiduel vs Gestion",0,IF('01_Input'!$G$60="Taux Classe sélectionnée",Distrib_Global_Classe_Selectionnee*M$15,IF('01_Input'!$G$60="Frais KYC (paliers de 100M€)",MAX(0,Nb_Investisseurs-Nb_KYC_Gratuites_Par_Tranche*(FLOOR(M$15/Taille_Tranche_KYC,1)+1))*Cout_Par_KYC_Supplementaire,(IF('01_Input'!$L$60="Forfait",IF(M$15&gt;='01_Input'!$J$60,'01_Input'!$M$60,0),IF('01_Input'!$L$60="Palier",IF(AND(M$15&gt;='01_Input'!$J$60,M$15&lt;'01_Input'!$K$60),'01_Input'!$M$60,0),MAX(MIN(M$15,'01_Input'!$K$60)-'01_Input'!$J$60,0)*'01_Input'!$M$60))+IF('01_Input'!$P$60="Forfait",IF(M$15&gt;='01_Input'!$N$60,'01_Input'!$Q$60,0),IF('01_Input'!$P$60="Palier",IF(AND(M$15&gt;='01_Input'!$N$60,M$15&lt;'01_Input'!$O$60),'01_Input'!$Q$60,0),MAX(MIN(M$15,'01_Input'!$O$60)-'01_Input'!$N$60,0)*'01_Input'!$Q$60))+IF('01_Input'!$T$60="Forfait",IF(M$15&gt;='01_Input'!$R$60,'01_Input'!$U$60,0),IF('01_Input'!$T$60="Palier",IF(AND(M$15&gt;='01_Input'!$R$60,M$15&lt;'01_Input'!$S$60),'01_Input'!$U$60,0),MAX(MIN(M$15,'01_Input'!$S$60)-'01_Input'!$R$60,0)*'01_Input'!$U$60))+IF('01_Input'!$X$60="Forfait",IF(M$15&gt;='01_Input'!$V$60,'01_Input'!$Y$60,0),IF('01_Input'!$X$60="Palier",IF(AND(M$15&gt;='01_Input'!$V$60,M$15&lt;'01_Input'!$W$60),'01_Input'!$Y$60,0),MAX(MIN(M$15,'01_Input'!$W$60)-'01_Input'!$V$60,0)*'01_Input'!$Y$60))+IF('01_Input'!$AB$60="Forfait",IF(M$15&gt;='01_Input'!$Z$60,'01_Input'!$AC$60,0),IF('01_Input'!$AB$60="Palier",IF(AND(M$15&gt;='01_Input'!$Z$60,M$15&lt;'01_Input'!$AA$60),'01_Input'!$AC$60,0),MAX(MIN(M$15,'01_Input'!$AA$60)-'01_Input'!$Z$60,0)*'01_Input'!$AC$60))))))))))</f>
        <v/>
      </c>
      <c r="N51" s="83" t="str">
        <f>IF(N$15="","",IF('01_Input'!$C$60="Non",0,MIN('01_Input'!$I$60,MAX('01_Input'!$H$60,IF('01_Input'!$G$60="Résiduel vs Gestion",0,IF('01_Input'!$G$60="Taux Classe sélectionnée",Distrib_Global_Classe_Selectionnee*N$15,IF('01_Input'!$G$60="Frais KYC (paliers de 100M€)",MAX(0,Nb_Investisseurs-Nb_KYC_Gratuites_Par_Tranche*(FLOOR(N$15/Taille_Tranche_KYC,1)+1))*Cout_Par_KYC_Supplementaire,(IF('01_Input'!$L$60="Forfait",IF(N$15&gt;='01_Input'!$J$60,'01_Input'!$M$60,0),IF('01_Input'!$L$60="Palier",IF(AND(N$15&gt;='01_Input'!$J$60,N$15&lt;'01_Input'!$K$60),'01_Input'!$M$60,0),MAX(MIN(N$15,'01_Input'!$K$60)-'01_Input'!$J$60,0)*'01_Input'!$M$60))+IF('01_Input'!$P$60="Forfait",IF(N$15&gt;='01_Input'!$N$60,'01_Input'!$Q$60,0),IF('01_Input'!$P$60="Palier",IF(AND(N$15&gt;='01_Input'!$N$60,N$15&lt;'01_Input'!$O$60),'01_Input'!$Q$60,0),MAX(MIN(N$15,'01_Input'!$O$60)-'01_Input'!$N$60,0)*'01_Input'!$Q$60))+IF('01_Input'!$T$60="Forfait",IF(N$15&gt;='01_Input'!$R$60,'01_Input'!$U$60,0),IF('01_Input'!$T$60="Palier",IF(AND(N$15&gt;='01_Input'!$R$60,N$15&lt;'01_Input'!$S$60),'01_Input'!$U$60,0),MAX(MIN(N$15,'01_Input'!$S$60)-'01_Input'!$R$60,0)*'01_Input'!$U$60))+IF('01_Input'!$X$60="Forfait",IF(N$15&gt;='01_Input'!$V$60,'01_Input'!$Y$60,0),IF('01_Input'!$X$60="Palier",IF(AND(N$15&gt;='01_Input'!$V$60,N$15&lt;'01_Input'!$W$60),'01_Input'!$Y$60,0),MAX(MIN(N$15,'01_Input'!$W$60)-'01_Input'!$V$60,0)*'01_Input'!$Y$60))+IF('01_Input'!$AB$60="Forfait",IF(N$15&gt;='01_Input'!$Z$60,'01_Input'!$AC$60,0),IF('01_Input'!$AB$60="Palier",IF(AND(N$15&gt;='01_Input'!$Z$60,N$15&lt;'01_Input'!$AA$60),'01_Input'!$AC$60,0),MAX(MIN(N$15,'01_Input'!$AA$60)-'01_Input'!$Z$60,0)*'01_Input'!$AC$60))))))))))</f>
        <v/>
      </c>
      <c r="O51" s="83" t="str">
        <f>IF(O$15="","",IF('01_Input'!$C$60="Non",0,MIN('01_Input'!$I$60,MAX('01_Input'!$H$60,IF('01_Input'!$G$60="Résiduel vs Gestion",0,IF('01_Input'!$G$60="Taux Classe sélectionnée",Distrib_Global_Classe_Selectionnee*O$15,IF('01_Input'!$G$60="Frais KYC (paliers de 100M€)",MAX(0,Nb_Investisseurs-Nb_KYC_Gratuites_Par_Tranche*(FLOOR(O$15/Taille_Tranche_KYC,1)+1))*Cout_Par_KYC_Supplementaire,(IF('01_Input'!$L$60="Forfait",IF(O$15&gt;='01_Input'!$J$60,'01_Input'!$M$60,0),IF('01_Input'!$L$60="Palier",IF(AND(O$15&gt;='01_Input'!$J$60,O$15&lt;'01_Input'!$K$60),'01_Input'!$M$60,0),MAX(MIN(O$15,'01_Input'!$K$60)-'01_Input'!$J$60,0)*'01_Input'!$M$60))+IF('01_Input'!$P$60="Forfait",IF(O$15&gt;='01_Input'!$N$60,'01_Input'!$Q$60,0),IF('01_Input'!$P$60="Palier",IF(AND(O$15&gt;='01_Input'!$N$60,O$15&lt;'01_Input'!$O$60),'01_Input'!$Q$60,0),MAX(MIN(O$15,'01_Input'!$O$60)-'01_Input'!$N$60,0)*'01_Input'!$Q$60))+IF('01_Input'!$T$60="Forfait",IF(O$15&gt;='01_Input'!$R$60,'01_Input'!$U$60,0),IF('01_Input'!$T$60="Palier",IF(AND(O$15&gt;='01_Input'!$R$60,O$15&lt;'01_Input'!$S$60),'01_Input'!$U$60,0),MAX(MIN(O$15,'01_Input'!$S$60)-'01_Input'!$R$60,0)*'01_Input'!$U$60))+IF('01_Input'!$X$60="Forfait",IF(O$15&gt;='01_Input'!$V$60,'01_Input'!$Y$60,0),IF('01_Input'!$X$60="Palier",IF(AND(O$15&gt;='01_Input'!$V$60,O$15&lt;'01_Input'!$W$60),'01_Input'!$Y$60,0),MAX(MIN(O$15,'01_Input'!$W$60)-'01_Input'!$V$60,0)*'01_Input'!$Y$60))+IF('01_Input'!$AB$60="Forfait",IF(O$15&gt;='01_Input'!$Z$60,'01_Input'!$AC$60,0),IF('01_Input'!$AB$60="Palier",IF(AND(O$15&gt;='01_Input'!$Z$60,O$15&lt;'01_Input'!$AA$60),'01_Input'!$AC$60,0),MAX(MIN(O$15,'01_Input'!$AA$60)-'01_Input'!$Z$60,0)*'01_Input'!$AC$60))))))))))</f>
        <v/>
      </c>
      <c r="P51" s="83" t="str">
        <f>IF(P$15="","",IF('01_Input'!$C$60="Non",0,MIN('01_Input'!$I$60,MAX('01_Input'!$H$60,IF('01_Input'!$G$60="Résiduel vs Gestion",0,IF('01_Input'!$G$60="Taux Classe sélectionnée",Distrib_Global_Classe_Selectionnee*P$15,IF('01_Input'!$G$60="Frais KYC (paliers de 100M€)",MAX(0,Nb_Investisseurs-Nb_KYC_Gratuites_Par_Tranche*(FLOOR(P$15/Taille_Tranche_KYC,1)+1))*Cout_Par_KYC_Supplementaire,(IF('01_Input'!$L$60="Forfait",IF(P$15&gt;='01_Input'!$J$60,'01_Input'!$M$60,0),IF('01_Input'!$L$60="Palier",IF(AND(P$15&gt;='01_Input'!$J$60,P$15&lt;'01_Input'!$K$60),'01_Input'!$M$60,0),MAX(MIN(P$15,'01_Input'!$K$60)-'01_Input'!$J$60,0)*'01_Input'!$M$60))+IF('01_Input'!$P$60="Forfait",IF(P$15&gt;='01_Input'!$N$60,'01_Input'!$Q$60,0),IF('01_Input'!$P$60="Palier",IF(AND(P$15&gt;='01_Input'!$N$60,P$15&lt;'01_Input'!$O$60),'01_Input'!$Q$60,0),MAX(MIN(P$15,'01_Input'!$O$60)-'01_Input'!$N$60,0)*'01_Input'!$Q$60))+IF('01_Input'!$T$60="Forfait",IF(P$15&gt;='01_Input'!$R$60,'01_Input'!$U$60,0),IF('01_Input'!$T$60="Palier",IF(AND(P$15&gt;='01_Input'!$R$60,P$15&lt;'01_Input'!$S$60),'01_Input'!$U$60,0),MAX(MIN(P$15,'01_Input'!$S$60)-'01_Input'!$R$60,0)*'01_Input'!$U$60))+IF('01_Input'!$X$60="Forfait",IF(P$15&gt;='01_Input'!$V$60,'01_Input'!$Y$60,0),IF('01_Input'!$X$60="Palier",IF(AND(P$15&gt;='01_Input'!$V$60,P$15&lt;'01_Input'!$W$60),'01_Input'!$Y$60,0),MAX(MIN(P$15,'01_Input'!$W$60)-'01_Input'!$V$60,0)*'01_Input'!$Y$60))+IF('01_Input'!$AB$60="Forfait",IF(P$15&gt;='01_Input'!$Z$60,'01_Input'!$AC$60,0),IF('01_Input'!$AB$60="Palier",IF(AND(P$15&gt;='01_Input'!$Z$60,P$15&lt;'01_Input'!$AA$60),'01_Input'!$AC$60,0),MAX(MIN(P$15,'01_Input'!$AA$60)-'01_Input'!$Z$60,0)*'01_Input'!$AC$60))))))))))</f>
        <v/>
      </c>
      <c r="Q51" s="83" t="str">
        <f>IF(Q$15="","",IF('01_Input'!$C$60="Non",0,MIN('01_Input'!$I$60,MAX('01_Input'!$H$60,IF('01_Input'!$G$60="Résiduel vs Gestion",0,IF('01_Input'!$G$60="Taux Classe sélectionnée",Distrib_Global_Classe_Selectionnee*Q$15,IF('01_Input'!$G$60="Frais KYC (paliers de 100M€)",MAX(0,Nb_Investisseurs-Nb_KYC_Gratuites_Par_Tranche*(FLOOR(Q$15/Taille_Tranche_KYC,1)+1))*Cout_Par_KYC_Supplementaire,(IF('01_Input'!$L$60="Forfait",IF(Q$15&gt;='01_Input'!$J$60,'01_Input'!$M$60,0),IF('01_Input'!$L$60="Palier",IF(AND(Q$15&gt;='01_Input'!$J$60,Q$15&lt;'01_Input'!$K$60),'01_Input'!$M$60,0),MAX(MIN(Q$15,'01_Input'!$K$60)-'01_Input'!$J$60,0)*'01_Input'!$M$60))+IF('01_Input'!$P$60="Forfait",IF(Q$15&gt;='01_Input'!$N$60,'01_Input'!$Q$60,0),IF('01_Input'!$P$60="Palier",IF(AND(Q$15&gt;='01_Input'!$N$60,Q$15&lt;'01_Input'!$O$60),'01_Input'!$Q$60,0),MAX(MIN(Q$15,'01_Input'!$O$60)-'01_Input'!$N$60,0)*'01_Input'!$Q$60))+IF('01_Input'!$T$60="Forfait",IF(Q$15&gt;='01_Input'!$R$60,'01_Input'!$U$60,0),IF('01_Input'!$T$60="Palier",IF(AND(Q$15&gt;='01_Input'!$R$60,Q$15&lt;'01_Input'!$S$60),'01_Input'!$U$60,0),MAX(MIN(Q$15,'01_Input'!$S$60)-'01_Input'!$R$60,0)*'01_Input'!$U$60))+IF('01_Input'!$X$60="Forfait",IF(Q$15&gt;='01_Input'!$V$60,'01_Input'!$Y$60,0),IF('01_Input'!$X$60="Palier",IF(AND(Q$15&gt;='01_Input'!$V$60,Q$15&lt;'01_Input'!$W$60),'01_Input'!$Y$60,0),MAX(MIN(Q$15,'01_Input'!$W$60)-'01_Input'!$V$60,0)*'01_Input'!$Y$60))+IF('01_Input'!$AB$60="Forfait",IF(Q$15&gt;='01_Input'!$Z$60,'01_Input'!$AC$60,0),IF('01_Input'!$AB$60="Palier",IF(AND(Q$15&gt;='01_Input'!$Z$60,Q$15&lt;'01_Input'!$AA$60),'01_Input'!$AC$60,0),MAX(MIN(Q$15,'01_Input'!$AA$60)-'01_Input'!$Z$60,0)*'01_Input'!$AC$60))))))))))</f>
        <v/>
      </c>
      <c r="R51" s="83" t="str">
        <f>IF(R$15="","",IF('01_Input'!$C$60="Non",0,MIN('01_Input'!$I$60,MAX('01_Input'!$H$60,IF('01_Input'!$G$60="Résiduel vs Gestion",0,IF('01_Input'!$G$60="Taux Classe sélectionnée",Distrib_Global_Classe_Selectionnee*R$15,IF('01_Input'!$G$60="Frais KYC (paliers de 100M€)",MAX(0,Nb_Investisseurs-Nb_KYC_Gratuites_Par_Tranche*(FLOOR(R$15/Taille_Tranche_KYC,1)+1))*Cout_Par_KYC_Supplementaire,(IF('01_Input'!$L$60="Forfait",IF(R$15&gt;='01_Input'!$J$60,'01_Input'!$M$60,0),IF('01_Input'!$L$60="Palier",IF(AND(R$15&gt;='01_Input'!$J$60,R$15&lt;'01_Input'!$K$60),'01_Input'!$M$60,0),MAX(MIN(R$15,'01_Input'!$K$60)-'01_Input'!$J$60,0)*'01_Input'!$M$60))+IF('01_Input'!$P$60="Forfait",IF(R$15&gt;='01_Input'!$N$60,'01_Input'!$Q$60,0),IF('01_Input'!$P$60="Palier",IF(AND(R$15&gt;='01_Input'!$N$60,R$15&lt;'01_Input'!$O$60),'01_Input'!$Q$60,0),MAX(MIN(R$15,'01_Input'!$O$60)-'01_Input'!$N$60,0)*'01_Input'!$Q$60))+IF('01_Input'!$T$60="Forfait",IF(R$15&gt;='01_Input'!$R$60,'01_Input'!$U$60,0),IF('01_Input'!$T$60="Palier",IF(AND(R$15&gt;='01_Input'!$R$60,R$15&lt;'01_Input'!$S$60),'01_Input'!$U$60,0),MAX(MIN(R$15,'01_Input'!$S$60)-'01_Input'!$R$60,0)*'01_Input'!$U$60))+IF('01_Input'!$X$60="Forfait",IF(R$15&gt;='01_Input'!$V$60,'01_Input'!$Y$60,0),IF('01_Input'!$X$60="Palier",IF(AND(R$15&gt;='01_Input'!$V$60,R$15&lt;'01_Input'!$W$60),'01_Input'!$Y$60,0),MAX(MIN(R$15,'01_Input'!$W$60)-'01_Input'!$V$60,0)*'01_Input'!$Y$60))+IF('01_Input'!$AB$60="Forfait",IF(R$15&gt;='01_Input'!$Z$60,'01_Input'!$AC$60,0),IF('01_Input'!$AB$60="Palier",IF(AND(R$15&gt;='01_Input'!$Z$60,R$15&lt;'01_Input'!$AA$60),'01_Input'!$AC$60,0),MAX(MIN(R$15,'01_Input'!$AA$60)-'01_Input'!$Z$60,0)*'01_Input'!$AC$60))))))))))</f>
        <v/>
      </c>
      <c r="S51" s="83" t="str">
        <f>IF(S$15="","",IF('01_Input'!$C$60="Non",0,MIN('01_Input'!$I$60,MAX('01_Input'!$H$60,IF('01_Input'!$G$60="Résiduel vs Gestion",0,IF('01_Input'!$G$60="Taux Classe sélectionnée",Distrib_Global_Classe_Selectionnee*S$15,IF('01_Input'!$G$60="Frais KYC (paliers de 100M€)",MAX(0,Nb_Investisseurs-Nb_KYC_Gratuites_Par_Tranche*(FLOOR(S$15/Taille_Tranche_KYC,1)+1))*Cout_Par_KYC_Supplementaire,(IF('01_Input'!$L$60="Forfait",IF(S$15&gt;='01_Input'!$J$60,'01_Input'!$M$60,0),IF('01_Input'!$L$60="Palier",IF(AND(S$15&gt;='01_Input'!$J$60,S$15&lt;'01_Input'!$K$60),'01_Input'!$M$60,0),MAX(MIN(S$15,'01_Input'!$K$60)-'01_Input'!$J$60,0)*'01_Input'!$M$60))+IF('01_Input'!$P$60="Forfait",IF(S$15&gt;='01_Input'!$N$60,'01_Input'!$Q$60,0),IF('01_Input'!$P$60="Palier",IF(AND(S$15&gt;='01_Input'!$N$60,S$15&lt;'01_Input'!$O$60),'01_Input'!$Q$60,0),MAX(MIN(S$15,'01_Input'!$O$60)-'01_Input'!$N$60,0)*'01_Input'!$Q$60))+IF('01_Input'!$T$60="Forfait",IF(S$15&gt;='01_Input'!$R$60,'01_Input'!$U$60,0),IF('01_Input'!$T$60="Palier",IF(AND(S$15&gt;='01_Input'!$R$60,S$15&lt;'01_Input'!$S$60),'01_Input'!$U$60,0),MAX(MIN(S$15,'01_Input'!$S$60)-'01_Input'!$R$60,0)*'01_Input'!$U$60))+IF('01_Input'!$X$60="Forfait",IF(S$15&gt;='01_Input'!$V$60,'01_Input'!$Y$60,0),IF('01_Input'!$X$60="Palier",IF(AND(S$15&gt;='01_Input'!$V$60,S$15&lt;'01_Input'!$W$60),'01_Input'!$Y$60,0),MAX(MIN(S$15,'01_Input'!$W$60)-'01_Input'!$V$60,0)*'01_Input'!$Y$60))+IF('01_Input'!$AB$60="Forfait",IF(S$15&gt;='01_Input'!$Z$60,'01_Input'!$AC$60,0),IF('01_Input'!$AB$60="Palier",IF(AND(S$15&gt;='01_Input'!$Z$60,S$15&lt;'01_Input'!$AA$60),'01_Input'!$AC$60,0),MAX(MIN(S$15,'01_Input'!$AA$60)-'01_Input'!$Z$60,0)*'01_Input'!$AC$60))))))))))</f>
        <v/>
      </c>
      <c r="T51" s="83" t="str">
        <f>IF(T$15="","",IF('01_Input'!$C$60="Non",0,MIN('01_Input'!$I$60,MAX('01_Input'!$H$60,IF('01_Input'!$G$60="Résiduel vs Gestion",0,IF('01_Input'!$G$60="Taux Classe sélectionnée",Distrib_Global_Classe_Selectionnee*T$15,IF('01_Input'!$G$60="Frais KYC (paliers de 100M€)",MAX(0,Nb_Investisseurs-Nb_KYC_Gratuites_Par_Tranche*(FLOOR(T$15/Taille_Tranche_KYC,1)+1))*Cout_Par_KYC_Supplementaire,(IF('01_Input'!$L$60="Forfait",IF(T$15&gt;='01_Input'!$J$60,'01_Input'!$M$60,0),IF('01_Input'!$L$60="Palier",IF(AND(T$15&gt;='01_Input'!$J$60,T$15&lt;'01_Input'!$K$60),'01_Input'!$M$60,0),MAX(MIN(T$15,'01_Input'!$K$60)-'01_Input'!$J$60,0)*'01_Input'!$M$60))+IF('01_Input'!$P$60="Forfait",IF(T$15&gt;='01_Input'!$N$60,'01_Input'!$Q$60,0),IF('01_Input'!$P$60="Palier",IF(AND(T$15&gt;='01_Input'!$N$60,T$15&lt;'01_Input'!$O$60),'01_Input'!$Q$60,0),MAX(MIN(T$15,'01_Input'!$O$60)-'01_Input'!$N$60,0)*'01_Input'!$Q$60))+IF('01_Input'!$T$60="Forfait",IF(T$15&gt;='01_Input'!$R$60,'01_Input'!$U$60,0),IF('01_Input'!$T$60="Palier",IF(AND(T$15&gt;='01_Input'!$R$60,T$15&lt;'01_Input'!$S$60),'01_Input'!$U$60,0),MAX(MIN(T$15,'01_Input'!$S$60)-'01_Input'!$R$60,0)*'01_Input'!$U$60))+IF('01_Input'!$X$60="Forfait",IF(T$15&gt;='01_Input'!$V$60,'01_Input'!$Y$60,0),IF('01_Input'!$X$60="Palier",IF(AND(T$15&gt;='01_Input'!$V$60,T$15&lt;'01_Input'!$W$60),'01_Input'!$Y$60,0),MAX(MIN(T$15,'01_Input'!$W$60)-'01_Input'!$V$60,0)*'01_Input'!$Y$60))+IF('01_Input'!$AB$60="Forfait",IF(T$15&gt;='01_Input'!$Z$60,'01_Input'!$AC$60,0),IF('01_Input'!$AB$60="Palier",IF(AND(T$15&gt;='01_Input'!$Z$60,T$15&lt;'01_Input'!$AA$60),'01_Input'!$AC$60,0),MAX(MIN(T$15,'01_Input'!$AA$60)-'01_Input'!$Z$60,0)*'01_Input'!$AC$60))))))))))</f>
        <v/>
      </c>
      <c r="U51" s="83" t="str">
        <f>IF(U$15="","",IF('01_Input'!$C$60="Non",0,MIN('01_Input'!$I$60,MAX('01_Input'!$H$60,IF('01_Input'!$G$60="Résiduel vs Gestion",0,IF('01_Input'!$G$60="Taux Classe sélectionnée",Distrib_Global_Classe_Selectionnee*U$15,IF('01_Input'!$G$60="Frais KYC (paliers de 100M€)",MAX(0,Nb_Investisseurs-Nb_KYC_Gratuites_Par_Tranche*(FLOOR(U$15/Taille_Tranche_KYC,1)+1))*Cout_Par_KYC_Supplementaire,(IF('01_Input'!$L$60="Forfait",IF(U$15&gt;='01_Input'!$J$60,'01_Input'!$M$60,0),IF('01_Input'!$L$60="Palier",IF(AND(U$15&gt;='01_Input'!$J$60,U$15&lt;'01_Input'!$K$60),'01_Input'!$M$60,0),MAX(MIN(U$15,'01_Input'!$K$60)-'01_Input'!$J$60,0)*'01_Input'!$M$60))+IF('01_Input'!$P$60="Forfait",IF(U$15&gt;='01_Input'!$N$60,'01_Input'!$Q$60,0),IF('01_Input'!$P$60="Palier",IF(AND(U$15&gt;='01_Input'!$N$60,U$15&lt;'01_Input'!$O$60),'01_Input'!$Q$60,0),MAX(MIN(U$15,'01_Input'!$O$60)-'01_Input'!$N$60,0)*'01_Input'!$Q$60))+IF('01_Input'!$T$60="Forfait",IF(U$15&gt;='01_Input'!$R$60,'01_Input'!$U$60,0),IF('01_Input'!$T$60="Palier",IF(AND(U$15&gt;='01_Input'!$R$60,U$15&lt;'01_Input'!$S$60),'01_Input'!$U$60,0),MAX(MIN(U$15,'01_Input'!$S$60)-'01_Input'!$R$60,0)*'01_Input'!$U$60))+IF('01_Input'!$X$60="Forfait",IF(U$15&gt;='01_Input'!$V$60,'01_Input'!$Y$60,0),IF('01_Input'!$X$60="Palier",IF(AND(U$15&gt;='01_Input'!$V$60,U$15&lt;'01_Input'!$W$60),'01_Input'!$Y$60,0),MAX(MIN(U$15,'01_Input'!$W$60)-'01_Input'!$V$60,0)*'01_Input'!$Y$60))+IF('01_Input'!$AB$60="Forfait",IF(U$15&gt;='01_Input'!$Z$60,'01_Input'!$AC$60,0),IF('01_Input'!$AB$60="Palier",IF(AND(U$15&gt;='01_Input'!$Z$60,U$15&lt;'01_Input'!$AA$60),'01_Input'!$AC$60,0),MAX(MIN(U$15,'01_Input'!$AA$60)-'01_Input'!$Z$60,0)*'01_Input'!$AC$60))))))))))</f>
        <v/>
      </c>
      <c r="V51" s="83" t="str">
        <f>IF(V$15="","",IF('01_Input'!$C$60="Non",0,MIN('01_Input'!$I$60,MAX('01_Input'!$H$60,IF('01_Input'!$G$60="Résiduel vs Gestion",0,IF('01_Input'!$G$60="Taux Classe sélectionnée",Distrib_Global_Classe_Selectionnee*V$15,IF('01_Input'!$G$60="Frais KYC (paliers de 100M€)",MAX(0,Nb_Investisseurs-Nb_KYC_Gratuites_Par_Tranche*(FLOOR(V$15/Taille_Tranche_KYC,1)+1))*Cout_Par_KYC_Supplementaire,(IF('01_Input'!$L$60="Forfait",IF(V$15&gt;='01_Input'!$J$60,'01_Input'!$M$60,0),IF('01_Input'!$L$60="Palier",IF(AND(V$15&gt;='01_Input'!$J$60,V$15&lt;'01_Input'!$K$60),'01_Input'!$M$60,0),MAX(MIN(V$15,'01_Input'!$K$60)-'01_Input'!$J$60,0)*'01_Input'!$M$60))+IF('01_Input'!$P$60="Forfait",IF(V$15&gt;='01_Input'!$N$60,'01_Input'!$Q$60,0),IF('01_Input'!$P$60="Palier",IF(AND(V$15&gt;='01_Input'!$N$60,V$15&lt;'01_Input'!$O$60),'01_Input'!$Q$60,0),MAX(MIN(V$15,'01_Input'!$O$60)-'01_Input'!$N$60,0)*'01_Input'!$Q$60))+IF('01_Input'!$T$60="Forfait",IF(V$15&gt;='01_Input'!$R$60,'01_Input'!$U$60,0),IF('01_Input'!$T$60="Palier",IF(AND(V$15&gt;='01_Input'!$R$60,V$15&lt;'01_Input'!$S$60),'01_Input'!$U$60,0),MAX(MIN(V$15,'01_Input'!$S$60)-'01_Input'!$R$60,0)*'01_Input'!$U$60))+IF('01_Input'!$X$60="Forfait",IF(V$15&gt;='01_Input'!$V$60,'01_Input'!$Y$60,0),IF('01_Input'!$X$60="Palier",IF(AND(V$15&gt;='01_Input'!$V$60,V$15&lt;'01_Input'!$W$60),'01_Input'!$Y$60,0),MAX(MIN(V$15,'01_Input'!$W$60)-'01_Input'!$V$60,0)*'01_Input'!$Y$60))+IF('01_Input'!$AB$60="Forfait",IF(V$15&gt;='01_Input'!$Z$60,'01_Input'!$AC$60,0),IF('01_Input'!$AB$60="Palier",IF(AND(V$15&gt;='01_Input'!$Z$60,V$15&lt;'01_Input'!$AA$60),'01_Input'!$AC$60,0),MAX(MIN(V$15,'01_Input'!$AA$60)-'01_Input'!$Z$60,0)*'01_Input'!$AC$60))))))))))</f>
        <v/>
      </c>
      <c r="W51" s="83" t="str">
        <f>IF(W$15="","",IF('01_Input'!$C$60="Non",0,MIN('01_Input'!$I$60,MAX('01_Input'!$H$60,IF('01_Input'!$G$60="Résiduel vs Gestion",0,IF('01_Input'!$G$60="Taux Classe sélectionnée",Distrib_Global_Classe_Selectionnee*W$15,IF('01_Input'!$G$60="Frais KYC (paliers de 100M€)",MAX(0,Nb_Investisseurs-Nb_KYC_Gratuites_Par_Tranche*(FLOOR(W$15/Taille_Tranche_KYC,1)+1))*Cout_Par_KYC_Supplementaire,(IF('01_Input'!$L$60="Forfait",IF(W$15&gt;='01_Input'!$J$60,'01_Input'!$M$60,0),IF('01_Input'!$L$60="Palier",IF(AND(W$15&gt;='01_Input'!$J$60,W$15&lt;'01_Input'!$K$60),'01_Input'!$M$60,0),MAX(MIN(W$15,'01_Input'!$K$60)-'01_Input'!$J$60,0)*'01_Input'!$M$60))+IF('01_Input'!$P$60="Forfait",IF(W$15&gt;='01_Input'!$N$60,'01_Input'!$Q$60,0),IF('01_Input'!$P$60="Palier",IF(AND(W$15&gt;='01_Input'!$N$60,W$15&lt;'01_Input'!$O$60),'01_Input'!$Q$60,0),MAX(MIN(W$15,'01_Input'!$O$60)-'01_Input'!$N$60,0)*'01_Input'!$Q$60))+IF('01_Input'!$T$60="Forfait",IF(W$15&gt;='01_Input'!$R$60,'01_Input'!$U$60,0),IF('01_Input'!$T$60="Palier",IF(AND(W$15&gt;='01_Input'!$R$60,W$15&lt;'01_Input'!$S$60),'01_Input'!$U$60,0),MAX(MIN(W$15,'01_Input'!$S$60)-'01_Input'!$R$60,0)*'01_Input'!$U$60))+IF('01_Input'!$X$60="Forfait",IF(W$15&gt;='01_Input'!$V$60,'01_Input'!$Y$60,0),IF('01_Input'!$X$60="Palier",IF(AND(W$15&gt;='01_Input'!$V$60,W$15&lt;'01_Input'!$W$60),'01_Input'!$Y$60,0),MAX(MIN(W$15,'01_Input'!$W$60)-'01_Input'!$V$60,0)*'01_Input'!$Y$60))+IF('01_Input'!$AB$60="Forfait",IF(W$15&gt;='01_Input'!$Z$60,'01_Input'!$AC$60,0),IF('01_Input'!$AB$60="Palier",IF(AND(W$15&gt;='01_Input'!$Z$60,W$15&lt;'01_Input'!$AA$60),'01_Input'!$AC$60,0),MAX(MIN(W$15,'01_Input'!$AA$60)-'01_Input'!$Z$60,0)*'01_Input'!$AC$60))))))))))</f>
        <v/>
      </c>
      <c r="X51" s="83" t="str">
        <f>IF(X$15="","",IF('01_Input'!$C$60="Non",0,MIN('01_Input'!$I$60,MAX('01_Input'!$H$60,IF('01_Input'!$G$60="Résiduel vs Gestion",0,IF('01_Input'!$G$60="Taux Classe sélectionnée",Distrib_Global_Classe_Selectionnee*X$15,IF('01_Input'!$G$60="Frais KYC (paliers de 100M€)",MAX(0,Nb_Investisseurs-Nb_KYC_Gratuites_Par_Tranche*(FLOOR(X$15/Taille_Tranche_KYC,1)+1))*Cout_Par_KYC_Supplementaire,(IF('01_Input'!$L$60="Forfait",IF(X$15&gt;='01_Input'!$J$60,'01_Input'!$M$60,0),IF('01_Input'!$L$60="Palier",IF(AND(X$15&gt;='01_Input'!$J$60,X$15&lt;'01_Input'!$K$60),'01_Input'!$M$60,0),MAX(MIN(X$15,'01_Input'!$K$60)-'01_Input'!$J$60,0)*'01_Input'!$M$60))+IF('01_Input'!$P$60="Forfait",IF(X$15&gt;='01_Input'!$N$60,'01_Input'!$Q$60,0),IF('01_Input'!$P$60="Palier",IF(AND(X$15&gt;='01_Input'!$N$60,X$15&lt;'01_Input'!$O$60),'01_Input'!$Q$60,0),MAX(MIN(X$15,'01_Input'!$O$60)-'01_Input'!$N$60,0)*'01_Input'!$Q$60))+IF('01_Input'!$T$60="Forfait",IF(X$15&gt;='01_Input'!$R$60,'01_Input'!$U$60,0),IF('01_Input'!$T$60="Palier",IF(AND(X$15&gt;='01_Input'!$R$60,X$15&lt;'01_Input'!$S$60),'01_Input'!$U$60,0),MAX(MIN(X$15,'01_Input'!$S$60)-'01_Input'!$R$60,0)*'01_Input'!$U$60))+IF('01_Input'!$X$60="Forfait",IF(X$15&gt;='01_Input'!$V$60,'01_Input'!$Y$60,0),IF('01_Input'!$X$60="Palier",IF(AND(X$15&gt;='01_Input'!$V$60,X$15&lt;'01_Input'!$W$60),'01_Input'!$Y$60,0),MAX(MIN(X$15,'01_Input'!$W$60)-'01_Input'!$V$60,0)*'01_Input'!$Y$60))+IF('01_Input'!$AB$60="Forfait",IF(X$15&gt;='01_Input'!$Z$60,'01_Input'!$AC$60,0),IF('01_Input'!$AB$60="Palier",IF(AND(X$15&gt;='01_Input'!$Z$60,X$15&lt;'01_Input'!$AA$60),'01_Input'!$AC$60,0),MAX(MIN(X$15,'01_Input'!$AA$60)-'01_Input'!$Z$60,0)*'01_Input'!$AC$60))))))))))</f>
        <v/>
      </c>
      <c r="Y51" s="83" t="str">
        <f>IF(Y$15="","",IF('01_Input'!$C$60="Non",0,MIN('01_Input'!$I$60,MAX('01_Input'!$H$60,IF('01_Input'!$G$60="Résiduel vs Gestion",0,IF('01_Input'!$G$60="Taux Classe sélectionnée",Distrib_Global_Classe_Selectionnee*Y$15,IF('01_Input'!$G$60="Frais KYC (paliers de 100M€)",MAX(0,Nb_Investisseurs-Nb_KYC_Gratuites_Par_Tranche*(FLOOR(Y$15/Taille_Tranche_KYC,1)+1))*Cout_Par_KYC_Supplementaire,(IF('01_Input'!$L$60="Forfait",IF(Y$15&gt;='01_Input'!$J$60,'01_Input'!$M$60,0),IF('01_Input'!$L$60="Palier",IF(AND(Y$15&gt;='01_Input'!$J$60,Y$15&lt;'01_Input'!$K$60),'01_Input'!$M$60,0),MAX(MIN(Y$15,'01_Input'!$K$60)-'01_Input'!$J$60,0)*'01_Input'!$M$60))+IF('01_Input'!$P$60="Forfait",IF(Y$15&gt;='01_Input'!$N$60,'01_Input'!$Q$60,0),IF('01_Input'!$P$60="Palier",IF(AND(Y$15&gt;='01_Input'!$N$60,Y$15&lt;'01_Input'!$O$60),'01_Input'!$Q$60,0),MAX(MIN(Y$15,'01_Input'!$O$60)-'01_Input'!$N$60,0)*'01_Input'!$Q$60))+IF('01_Input'!$T$60="Forfait",IF(Y$15&gt;='01_Input'!$R$60,'01_Input'!$U$60,0),IF('01_Input'!$T$60="Palier",IF(AND(Y$15&gt;='01_Input'!$R$60,Y$15&lt;'01_Input'!$S$60),'01_Input'!$U$60,0),MAX(MIN(Y$15,'01_Input'!$S$60)-'01_Input'!$R$60,0)*'01_Input'!$U$60))+IF('01_Input'!$X$60="Forfait",IF(Y$15&gt;='01_Input'!$V$60,'01_Input'!$Y$60,0),IF('01_Input'!$X$60="Palier",IF(AND(Y$15&gt;='01_Input'!$V$60,Y$15&lt;'01_Input'!$W$60),'01_Input'!$Y$60,0),MAX(MIN(Y$15,'01_Input'!$W$60)-'01_Input'!$V$60,0)*'01_Input'!$Y$60))+IF('01_Input'!$AB$60="Forfait",IF(Y$15&gt;='01_Input'!$Z$60,'01_Input'!$AC$60,0),IF('01_Input'!$AB$60="Palier",IF(AND(Y$15&gt;='01_Input'!$Z$60,Y$15&lt;'01_Input'!$AA$60),'01_Input'!$AC$60,0),MAX(MIN(Y$15,'01_Input'!$AA$60)-'01_Input'!$Z$60,0)*'01_Input'!$AC$60))))))))))</f>
        <v/>
      </c>
      <c r="Z51" s="83" t="str">
        <f>IF(Z$15="","",IF('01_Input'!$C$60="Non",0,MIN('01_Input'!$I$60,MAX('01_Input'!$H$60,IF('01_Input'!$G$60="Résiduel vs Gestion",0,IF('01_Input'!$G$60="Taux Classe sélectionnée",Distrib_Global_Classe_Selectionnee*Z$15,IF('01_Input'!$G$60="Frais KYC (paliers de 100M€)",MAX(0,Nb_Investisseurs-Nb_KYC_Gratuites_Par_Tranche*(FLOOR(Z$15/Taille_Tranche_KYC,1)+1))*Cout_Par_KYC_Supplementaire,(IF('01_Input'!$L$60="Forfait",IF(Z$15&gt;='01_Input'!$J$60,'01_Input'!$M$60,0),IF('01_Input'!$L$60="Palier",IF(AND(Z$15&gt;='01_Input'!$J$60,Z$15&lt;'01_Input'!$K$60),'01_Input'!$M$60,0),MAX(MIN(Z$15,'01_Input'!$K$60)-'01_Input'!$J$60,0)*'01_Input'!$M$60))+IF('01_Input'!$P$60="Forfait",IF(Z$15&gt;='01_Input'!$N$60,'01_Input'!$Q$60,0),IF('01_Input'!$P$60="Palier",IF(AND(Z$15&gt;='01_Input'!$N$60,Z$15&lt;'01_Input'!$O$60),'01_Input'!$Q$60,0),MAX(MIN(Z$15,'01_Input'!$O$60)-'01_Input'!$N$60,0)*'01_Input'!$Q$60))+IF('01_Input'!$T$60="Forfait",IF(Z$15&gt;='01_Input'!$R$60,'01_Input'!$U$60,0),IF('01_Input'!$T$60="Palier",IF(AND(Z$15&gt;='01_Input'!$R$60,Z$15&lt;'01_Input'!$S$60),'01_Input'!$U$60,0),MAX(MIN(Z$15,'01_Input'!$S$60)-'01_Input'!$R$60,0)*'01_Input'!$U$60))+IF('01_Input'!$X$60="Forfait",IF(Z$15&gt;='01_Input'!$V$60,'01_Input'!$Y$60,0),IF('01_Input'!$X$60="Palier",IF(AND(Z$15&gt;='01_Input'!$V$60,Z$15&lt;'01_Input'!$W$60),'01_Input'!$Y$60,0),MAX(MIN(Z$15,'01_Input'!$W$60)-'01_Input'!$V$60,0)*'01_Input'!$Y$60))+IF('01_Input'!$AB$60="Forfait",IF(Z$15&gt;='01_Input'!$Z$60,'01_Input'!$AC$60,0),IF('01_Input'!$AB$60="Palier",IF(AND(Z$15&gt;='01_Input'!$Z$60,Z$15&lt;'01_Input'!$AA$60),'01_Input'!$AC$60,0),MAX(MIN(Z$15,'01_Input'!$AA$60)-'01_Input'!$Z$60,0)*'01_Input'!$AC$60))))))))))</f>
        <v/>
      </c>
      <c r="AA51" s="83" t="str">
        <f>IF(AA$15="","",IF('01_Input'!$C$60="Non",0,MIN('01_Input'!$I$60,MAX('01_Input'!$H$60,IF('01_Input'!$G$60="Résiduel vs Gestion",0,IF('01_Input'!$G$60="Taux Classe sélectionnée",Distrib_Global_Classe_Selectionnee*AA$15,IF('01_Input'!$G$60="Frais KYC (paliers de 100M€)",MAX(0,Nb_Investisseurs-Nb_KYC_Gratuites_Par_Tranche*(FLOOR(AA$15/Taille_Tranche_KYC,1)+1))*Cout_Par_KYC_Supplementaire,(IF('01_Input'!$L$60="Forfait",IF(AA$15&gt;='01_Input'!$J$60,'01_Input'!$M$60,0),IF('01_Input'!$L$60="Palier",IF(AND(AA$15&gt;='01_Input'!$J$60,AA$15&lt;'01_Input'!$K$60),'01_Input'!$M$60,0),MAX(MIN(AA$15,'01_Input'!$K$60)-'01_Input'!$J$60,0)*'01_Input'!$M$60))+IF('01_Input'!$P$60="Forfait",IF(AA$15&gt;='01_Input'!$N$60,'01_Input'!$Q$60,0),IF('01_Input'!$P$60="Palier",IF(AND(AA$15&gt;='01_Input'!$N$60,AA$15&lt;'01_Input'!$O$60),'01_Input'!$Q$60,0),MAX(MIN(AA$15,'01_Input'!$O$60)-'01_Input'!$N$60,0)*'01_Input'!$Q$60))+IF('01_Input'!$T$60="Forfait",IF(AA$15&gt;='01_Input'!$R$60,'01_Input'!$U$60,0),IF('01_Input'!$T$60="Palier",IF(AND(AA$15&gt;='01_Input'!$R$60,AA$15&lt;'01_Input'!$S$60),'01_Input'!$U$60,0),MAX(MIN(AA$15,'01_Input'!$S$60)-'01_Input'!$R$60,0)*'01_Input'!$U$60))+IF('01_Input'!$X$60="Forfait",IF(AA$15&gt;='01_Input'!$V$60,'01_Input'!$Y$60,0),IF('01_Input'!$X$60="Palier",IF(AND(AA$15&gt;='01_Input'!$V$60,AA$15&lt;'01_Input'!$W$60),'01_Input'!$Y$60,0),MAX(MIN(AA$15,'01_Input'!$W$60)-'01_Input'!$V$60,0)*'01_Input'!$Y$60))+IF('01_Input'!$AB$60="Forfait",IF(AA$15&gt;='01_Input'!$Z$60,'01_Input'!$AC$60,0),IF('01_Input'!$AB$60="Palier",IF(AND(AA$15&gt;='01_Input'!$Z$60,AA$15&lt;'01_Input'!$AA$60),'01_Input'!$AC$60,0),MAX(MIN(AA$15,'01_Input'!$AA$60)-'01_Input'!$Z$60,0)*'01_Input'!$AC$60))))))))))</f>
        <v/>
      </c>
      <c r="AB51" s="83" t="str">
        <f>IF(AB$15="","",IF('01_Input'!$C$60="Non",0,MIN('01_Input'!$I$60,MAX('01_Input'!$H$60,IF('01_Input'!$G$60="Résiduel vs Gestion",0,IF('01_Input'!$G$60="Taux Classe sélectionnée",Distrib_Global_Classe_Selectionnee*AB$15,IF('01_Input'!$G$60="Frais KYC (paliers de 100M€)",MAX(0,Nb_Investisseurs-Nb_KYC_Gratuites_Par_Tranche*(FLOOR(AB$15/Taille_Tranche_KYC,1)+1))*Cout_Par_KYC_Supplementaire,(IF('01_Input'!$L$60="Forfait",IF(AB$15&gt;='01_Input'!$J$60,'01_Input'!$M$60,0),IF('01_Input'!$L$60="Palier",IF(AND(AB$15&gt;='01_Input'!$J$60,AB$15&lt;'01_Input'!$K$60),'01_Input'!$M$60,0),MAX(MIN(AB$15,'01_Input'!$K$60)-'01_Input'!$J$60,0)*'01_Input'!$M$60))+IF('01_Input'!$P$60="Forfait",IF(AB$15&gt;='01_Input'!$N$60,'01_Input'!$Q$60,0),IF('01_Input'!$P$60="Palier",IF(AND(AB$15&gt;='01_Input'!$N$60,AB$15&lt;'01_Input'!$O$60),'01_Input'!$Q$60,0),MAX(MIN(AB$15,'01_Input'!$O$60)-'01_Input'!$N$60,0)*'01_Input'!$Q$60))+IF('01_Input'!$T$60="Forfait",IF(AB$15&gt;='01_Input'!$R$60,'01_Input'!$U$60,0),IF('01_Input'!$T$60="Palier",IF(AND(AB$15&gt;='01_Input'!$R$60,AB$15&lt;'01_Input'!$S$60),'01_Input'!$U$60,0),MAX(MIN(AB$15,'01_Input'!$S$60)-'01_Input'!$R$60,0)*'01_Input'!$U$60))+IF('01_Input'!$X$60="Forfait",IF(AB$15&gt;='01_Input'!$V$60,'01_Input'!$Y$60,0),IF('01_Input'!$X$60="Palier",IF(AND(AB$15&gt;='01_Input'!$V$60,AB$15&lt;'01_Input'!$W$60),'01_Input'!$Y$60,0),MAX(MIN(AB$15,'01_Input'!$W$60)-'01_Input'!$V$60,0)*'01_Input'!$Y$60))+IF('01_Input'!$AB$60="Forfait",IF(AB$15&gt;='01_Input'!$Z$60,'01_Input'!$AC$60,0),IF('01_Input'!$AB$60="Palier",IF(AND(AB$15&gt;='01_Input'!$Z$60,AB$15&lt;'01_Input'!$AA$60),'01_Input'!$AC$60,0),MAX(MIN(AB$15,'01_Input'!$AA$60)-'01_Input'!$Z$60,0)*'01_Input'!$AC$60))))))))))</f>
        <v/>
      </c>
      <c r="AC51" s="83" t="str">
        <f>IF(AC$15="","",IF('01_Input'!$C$60="Non",0,MIN('01_Input'!$I$60,MAX('01_Input'!$H$60,IF('01_Input'!$G$60="Résiduel vs Gestion",0,IF('01_Input'!$G$60="Taux Classe sélectionnée",Distrib_Global_Classe_Selectionnee*AC$15,IF('01_Input'!$G$60="Frais KYC (paliers de 100M€)",MAX(0,Nb_Investisseurs-Nb_KYC_Gratuites_Par_Tranche*(FLOOR(AC$15/Taille_Tranche_KYC,1)+1))*Cout_Par_KYC_Supplementaire,(IF('01_Input'!$L$60="Forfait",IF(AC$15&gt;='01_Input'!$J$60,'01_Input'!$M$60,0),IF('01_Input'!$L$60="Palier",IF(AND(AC$15&gt;='01_Input'!$J$60,AC$15&lt;'01_Input'!$K$60),'01_Input'!$M$60,0),MAX(MIN(AC$15,'01_Input'!$K$60)-'01_Input'!$J$60,0)*'01_Input'!$M$60))+IF('01_Input'!$P$60="Forfait",IF(AC$15&gt;='01_Input'!$N$60,'01_Input'!$Q$60,0),IF('01_Input'!$P$60="Palier",IF(AND(AC$15&gt;='01_Input'!$N$60,AC$15&lt;'01_Input'!$O$60),'01_Input'!$Q$60,0),MAX(MIN(AC$15,'01_Input'!$O$60)-'01_Input'!$N$60,0)*'01_Input'!$Q$60))+IF('01_Input'!$T$60="Forfait",IF(AC$15&gt;='01_Input'!$R$60,'01_Input'!$U$60,0),IF('01_Input'!$T$60="Palier",IF(AND(AC$15&gt;='01_Input'!$R$60,AC$15&lt;'01_Input'!$S$60),'01_Input'!$U$60,0),MAX(MIN(AC$15,'01_Input'!$S$60)-'01_Input'!$R$60,0)*'01_Input'!$U$60))+IF('01_Input'!$X$60="Forfait",IF(AC$15&gt;='01_Input'!$V$60,'01_Input'!$Y$60,0),IF('01_Input'!$X$60="Palier",IF(AND(AC$15&gt;='01_Input'!$V$60,AC$15&lt;'01_Input'!$W$60),'01_Input'!$Y$60,0),MAX(MIN(AC$15,'01_Input'!$W$60)-'01_Input'!$V$60,0)*'01_Input'!$Y$60))+IF('01_Input'!$AB$60="Forfait",IF(AC$15&gt;='01_Input'!$Z$60,'01_Input'!$AC$60,0),IF('01_Input'!$AB$60="Palier",IF(AND(AC$15&gt;='01_Input'!$Z$60,AC$15&lt;'01_Input'!$AA$60),'01_Input'!$AC$60,0),MAX(MIN(AC$15,'01_Input'!$AA$60)-'01_Input'!$Z$60,0)*'01_Input'!$AC$60))))))))))</f>
        <v/>
      </c>
      <c r="AD51" s="83" t="str">
        <f>IF(AD$15="","",IF('01_Input'!$C$60="Non",0,MIN('01_Input'!$I$60,MAX('01_Input'!$H$60,IF('01_Input'!$G$60="Résiduel vs Gestion",0,IF('01_Input'!$G$60="Taux Classe sélectionnée",Distrib_Global_Classe_Selectionnee*AD$15,IF('01_Input'!$G$60="Frais KYC (paliers de 100M€)",MAX(0,Nb_Investisseurs-Nb_KYC_Gratuites_Par_Tranche*(FLOOR(AD$15/Taille_Tranche_KYC,1)+1))*Cout_Par_KYC_Supplementaire,(IF('01_Input'!$L$60="Forfait",IF(AD$15&gt;='01_Input'!$J$60,'01_Input'!$M$60,0),IF('01_Input'!$L$60="Palier",IF(AND(AD$15&gt;='01_Input'!$J$60,AD$15&lt;'01_Input'!$K$60),'01_Input'!$M$60,0),MAX(MIN(AD$15,'01_Input'!$K$60)-'01_Input'!$J$60,0)*'01_Input'!$M$60))+IF('01_Input'!$P$60="Forfait",IF(AD$15&gt;='01_Input'!$N$60,'01_Input'!$Q$60,0),IF('01_Input'!$P$60="Palier",IF(AND(AD$15&gt;='01_Input'!$N$60,AD$15&lt;'01_Input'!$O$60),'01_Input'!$Q$60,0),MAX(MIN(AD$15,'01_Input'!$O$60)-'01_Input'!$N$60,0)*'01_Input'!$Q$60))+IF('01_Input'!$T$60="Forfait",IF(AD$15&gt;='01_Input'!$R$60,'01_Input'!$U$60,0),IF('01_Input'!$T$60="Palier",IF(AND(AD$15&gt;='01_Input'!$R$60,AD$15&lt;'01_Input'!$S$60),'01_Input'!$U$60,0),MAX(MIN(AD$15,'01_Input'!$S$60)-'01_Input'!$R$60,0)*'01_Input'!$U$60))+IF('01_Input'!$X$60="Forfait",IF(AD$15&gt;='01_Input'!$V$60,'01_Input'!$Y$60,0),IF('01_Input'!$X$60="Palier",IF(AND(AD$15&gt;='01_Input'!$V$60,AD$15&lt;'01_Input'!$W$60),'01_Input'!$Y$60,0),MAX(MIN(AD$15,'01_Input'!$W$60)-'01_Input'!$V$60,0)*'01_Input'!$Y$60))+IF('01_Input'!$AB$60="Forfait",IF(AD$15&gt;='01_Input'!$Z$60,'01_Input'!$AC$60,0),IF('01_Input'!$AB$60="Palier",IF(AND(AD$15&gt;='01_Input'!$Z$60,AD$15&lt;'01_Input'!$AA$60),'01_Input'!$AC$60,0),MAX(MIN(AD$15,'01_Input'!$AA$60)-'01_Input'!$Z$60,0)*'01_Input'!$AC$60))))))))))</f>
        <v/>
      </c>
      <c r="AE51" s="83" t="str">
        <f>IF(AE$15="","",IF('01_Input'!$C$60="Non",0,MIN('01_Input'!$I$60,MAX('01_Input'!$H$60,IF('01_Input'!$G$60="Résiduel vs Gestion",0,IF('01_Input'!$G$60="Taux Classe sélectionnée",Distrib_Global_Classe_Selectionnee*AE$15,IF('01_Input'!$G$60="Frais KYC (paliers de 100M€)",MAX(0,Nb_Investisseurs-Nb_KYC_Gratuites_Par_Tranche*(FLOOR(AE$15/Taille_Tranche_KYC,1)+1))*Cout_Par_KYC_Supplementaire,(IF('01_Input'!$L$60="Forfait",IF(AE$15&gt;='01_Input'!$J$60,'01_Input'!$M$60,0),IF('01_Input'!$L$60="Palier",IF(AND(AE$15&gt;='01_Input'!$J$60,AE$15&lt;'01_Input'!$K$60),'01_Input'!$M$60,0),MAX(MIN(AE$15,'01_Input'!$K$60)-'01_Input'!$J$60,0)*'01_Input'!$M$60))+IF('01_Input'!$P$60="Forfait",IF(AE$15&gt;='01_Input'!$N$60,'01_Input'!$Q$60,0),IF('01_Input'!$P$60="Palier",IF(AND(AE$15&gt;='01_Input'!$N$60,AE$15&lt;'01_Input'!$O$60),'01_Input'!$Q$60,0),MAX(MIN(AE$15,'01_Input'!$O$60)-'01_Input'!$N$60,0)*'01_Input'!$Q$60))+IF('01_Input'!$T$60="Forfait",IF(AE$15&gt;='01_Input'!$R$60,'01_Input'!$U$60,0),IF('01_Input'!$T$60="Palier",IF(AND(AE$15&gt;='01_Input'!$R$60,AE$15&lt;'01_Input'!$S$60),'01_Input'!$U$60,0),MAX(MIN(AE$15,'01_Input'!$S$60)-'01_Input'!$R$60,0)*'01_Input'!$U$60))+IF('01_Input'!$X$60="Forfait",IF(AE$15&gt;='01_Input'!$V$60,'01_Input'!$Y$60,0),IF('01_Input'!$X$60="Palier",IF(AND(AE$15&gt;='01_Input'!$V$60,AE$15&lt;'01_Input'!$W$60),'01_Input'!$Y$60,0),MAX(MIN(AE$15,'01_Input'!$W$60)-'01_Input'!$V$60,0)*'01_Input'!$Y$60))+IF('01_Input'!$AB$60="Forfait",IF(AE$15&gt;='01_Input'!$Z$60,'01_Input'!$AC$60,0),IF('01_Input'!$AB$60="Palier",IF(AND(AE$15&gt;='01_Input'!$Z$60,AE$15&lt;'01_Input'!$AA$60),'01_Input'!$AC$60,0),MAX(MIN(AE$15,'01_Input'!$AA$60)-'01_Input'!$Z$60,0)*'01_Input'!$AC$60))))))))))</f>
        <v/>
      </c>
      <c r="AF51" s="83" t="str">
        <f>IF(AF$15="","",IF('01_Input'!$C$60="Non",0,MIN('01_Input'!$I$60,MAX('01_Input'!$H$60,IF('01_Input'!$G$60="Résiduel vs Gestion",0,IF('01_Input'!$G$60="Taux Classe sélectionnée",Distrib_Global_Classe_Selectionnee*AF$15,IF('01_Input'!$G$60="Frais KYC (paliers de 100M€)",MAX(0,Nb_Investisseurs-Nb_KYC_Gratuites_Par_Tranche*(FLOOR(AF$15/Taille_Tranche_KYC,1)+1))*Cout_Par_KYC_Supplementaire,(IF('01_Input'!$L$60="Forfait",IF(AF$15&gt;='01_Input'!$J$60,'01_Input'!$M$60,0),IF('01_Input'!$L$60="Palier",IF(AND(AF$15&gt;='01_Input'!$J$60,AF$15&lt;'01_Input'!$K$60),'01_Input'!$M$60,0),MAX(MIN(AF$15,'01_Input'!$K$60)-'01_Input'!$J$60,0)*'01_Input'!$M$60))+IF('01_Input'!$P$60="Forfait",IF(AF$15&gt;='01_Input'!$N$60,'01_Input'!$Q$60,0),IF('01_Input'!$P$60="Palier",IF(AND(AF$15&gt;='01_Input'!$N$60,AF$15&lt;'01_Input'!$O$60),'01_Input'!$Q$60,0),MAX(MIN(AF$15,'01_Input'!$O$60)-'01_Input'!$N$60,0)*'01_Input'!$Q$60))+IF('01_Input'!$T$60="Forfait",IF(AF$15&gt;='01_Input'!$R$60,'01_Input'!$U$60,0),IF('01_Input'!$T$60="Palier",IF(AND(AF$15&gt;='01_Input'!$R$60,AF$15&lt;'01_Input'!$S$60),'01_Input'!$U$60,0),MAX(MIN(AF$15,'01_Input'!$S$60)-'01_Input'!$R$60,0)*'01_Input'!$U$60))+IF('01_Input'!$X$60="Forfait",IF(AF$15&gt;='01_Input'!$V$60,'01_Input'!$Y$60,0),IF('01_Input'!$X$60="Palier",IF(AND(AF$15&gt;='01_Input'!$V$60,AF$15&lt;'01_Input'!$W$60),'01_Input'!$Y$60,0),MAX(MIN(AF$15,'01_Input'!$W$60)-'01_Input'!$V$60,0)*'01_Input'!$Y$60))+IF('01_Input'!$AB$60="Forfait",IF(AF$15&gt;='01_Input'!$Z$60,'01_Input'!$AC$60,0),IF('01_Input'!$AB$60="Palier",IF(AND(AF$15&gt;='01_Input'!$Z$60,AF$15&lt;'01_Input'!$AA$60),'01_Input'!$AC$60,0),MAX(MIN(AF$15,'01_Input'!$AA$60)-'01_Input'!$Z$60,0)*'01_Input'!$AC$60))))))))))</f>
        <v/>
      </c>
      <c r="AG51" s="83" t="str">
        <f>IF(AG$15="","",IF('01_Input'!$C$60="Non",0,MIN('01_Input'!$I$60,MAX('01_Input'!$H$60,IF('01_Input'!$G$60="Résiduel vs Gestion",0,IF('01_Input'!$G$60="Taux Classe sélectionnée",Distrib_Global_Classe_Selectionnee*AG$15,IF('01_Input'!$G$60="Frais KYC (paliers de 100M€)",MAX(0,Nb_Investisseurs-Nb_KYC_Gratuites_Par_Tranche*(FLOOR(AG$15/Taille_Tranche_KYC,1)+1))*Cout_Par_KYC_Supplementaire,(IF('01_Input'!$L$60="Forfait",IF(AG$15&gt;='01_Input'!$J$60,'01_Input'!$M$60,0),IF('01_Input'!$L$60="Palier",IF(AND(AG$15&gt;='01_Input'!$J$60,AG$15&lt;'01_Input'!$K$60),'01_Input'!$M$60,0),MAX(MIN(AG$15,'01_Input'!$K$60)-'01_Input'!$J$60,0)*'01_Input'!$M$60))+IF('01_Input'!$P$60="Forfait",IF(AG$15&gt;='01_Input'!$N$60,'01_Input'!$Q$60,0),IF('01_Input'!$P$60="Palier",IF(AND(AG$15&gt;='01_Input'!$N$60,AG$15&lt;'01_Input'!$O$60),'01_Input'!$Q$60,0),MAX(MIN(AG$15,'01_Input'!$O$60)-'01_Input'!$N$60,0)*'01_Input'!$Q$60))+IF('01_Input'!$T$60="Forfait",IF(AG$15&gt;='01_Input'!$R$60,'01_Input'!$U$60,0),IF('01_Input'!$T$60="Palier",IF(AND(AG$15&gt;='01_Input'!$R$60,AG$15&lt;'01_Input'!$S$60),'01_Input'!$U$60,0),MAX(MIN(AG$15,'01_Input'!$S$60)-'01_Input'!$R$60,0)*'01_Input'!$U$60))+IF('01_Input'!$X$60="Forfait",IF(AG$15&gt;='01_Input'!$V$60,'01_Input'!$Y$60,0),IF('01_Input'!$X$60="Palier",IF(AND(AG$15&gt;='01_Input'!$V$60,AG$15&lt;'01_Input'!$W$60),'01_Input'!$Y$60,0),MAX(MIN(AG$15,'01_Input'!$W$60)-'01_Input'!$V$60,0)*'01_Input'!$Y$60))+IF('01_Input'!$AB$60="Forfait",IF(AG$15&gt;='01_Input'!$Z$60,'01_Input'!$AC$60,0),IF('01_Input'!$AB$60="Palier",IF(AND(AG$15&gt;='01_Input'!$Z$60,AG$15&lt;'01_Input'!$AA$60),'01_Input'!$AC$60,0),MAX(MIN(AG$15,'01_Input'!$AA$60)-'01_Input'!$Z$60,0)*'01_Input'!$AC$60))))))))))</f>
        <v/>
      </c>
      <c r="AH51" s="83" t="str">
        <f>IF(AH$15="","",IF('01_Input'!$C$60="Non",0,MIN('01_Input'!$I$60,MAX('01_Input'!$H$60,IF('01_Input'!$G$60="Résiduel vs Gestion",0,IF('01_Input'!$G$60="Taux Classe sélectionnée",Distrib_Global_Classe_Selectionnee*AH$15,IF('01_Input'!$G$60="Frais KYC (paliers de 100M€)",MAX(0,Nb_Investisseurs-Nb_KYC_Gratuites_Par_Tranche*(FLOOR(AH$15/Taille_Tranche_KYC,1)+1))*Cout_Par_KYC_Supplementaire,(IF('01_Input'!$L$60="Forfait",IF(AH$15&gt;='01_Input'!$J$60,'01_Input'!$M$60,0),IF('01_Input'!$L$60="Palier",IF(AND(AH$15&gt;='01_Input'!$J$60,AH$15&lt;'01_Input'!$K$60),'01_Input'!$M$60,0),MAX(MIN(AH$15,'01_Input'!$K$60)-'01_Input'!$J$60,0)*'01_Input'!$M$60))+IF('01_Input'!$P$60="Forfait",IF(AH$15&gt;='01_Input'!$N$60,'01_Input'!$Q$60,0),IF('01_Input'!$P$60="Palier",IF(AND(AH$15&gt;='01_Input'!$N$60,AH$15&lt;'01_Input'!$O$60),'01_Input'!$Q$60,0),MAX(MIN(AH$15,'01_Input'!$O$60)-'01_Input'!$N$60,0)*'01_Input'!$Q$60))+IF('01_Input'!$T$60="Forfait",IF(AH$15&gt;='01_Input'!$R$60,'01_Input'!$U$60,0),IF('01_Input'!$T$60="Palier",IF(AND(AH$15&gt;='01_Input'!$R$60,AH$15&lt;'01_Input'!$S$60),'01_Input'!$U$60,0),MAX(MIN(AH$15,'01_Input'!$S$60)-'01_Input'!$R$60,0)*'01_Input'!$U$60))+IF('01_Input'!$X$60="Forfait",IF(AH$15&gt;='01_Input'!$V$60,'01_Input'!$Y$60,0),IF('01_Input'!$X$60="Palier",IF(AND(AH$15&gt;='01_Input'!$V$60,AH$15&lt;'01_Input'!$W$60),'01_Input'!$Y$60,0),MAX(MIN(AH$15,'01_Input'!$W$60)-'01_Input'!$V$60,0)*'01_Input'!$Y$60))+IF('01_Input'!$AB$60="Forfait",IF(AH$15&gt;='01_Input'!$Z$60,'01_Input'!$AC$60,0),IF('01_Input'!$AB$60="Palier",IF(AND(AH$15&gt;='01_Input'!$Z$60,AH$15&lt;'01_Input'!$AA$60),'01_Input'!$AC$60,0),MAX(MIN(AH$15,'01_Input'!$AA$60)-'01_Input'!$Z$60,0)*'01_Input'!$AC$60))))))))))</f>
        <v/>
      </c>
      <c r="AI51" s="83" t="str">
        <f>IF(AI$15="","",IF('01_Input'!$C$60="Non",0,MIN('01_Input'!$I$60,MAX('01_Input'!$H$60,IF('01_Input'!$G$60="Résiduel vs Gestion",0,IF('01_Input'!$G$60="Taux Classe sélectionnée",Distrib_Global_Classe_Selectionnee*AI$15,IF('01_Input'!$G$60="Frais KYC (paliers de 100M€)",MAX(0,Nb_Investisseurs-Nb_KYC_Gratuites_Par_Tranche*(FLOOR(AI$15/Taille_Tranche_KYC,1)+1))*Cout_Par_KYC_Supplementaire,(IF('01_Input'!$L$60="Forfait",IF(AI$15&gt;='01_Input'!$J$60,'01_Input'!$M$60,0),IF('01_Input'!$L$60="Palier",IF(AND(AI$15&gt;='01_Input'!$J$60,AI$15&lt;'01_Input'!$K$60),'01_Input'!$M$60,0),MAX(MIN(AI$15,'01_Input'!$K$60)-'01_Input'!$J$60,0)*'01_Input'!$M$60))+IF('01_Input'!$P$60="Forfait",IF(AI$15&gt;='01_Input'!$N$60,'01_Input'!$Q$60,0),IF('01_Input'!$P$60="Palier",IF(AND(AI$15&gt;='01_Input'!$N$60,AI$15&lt;'01_Input'!$O$60),'01_Input'!$Q$60,0),MAX(MIN(AI$15,'01_Input'!$O$60)-'01_Input'!$N$60,0)*'01_Input'!$Q$60))+IF('01_Input'!$T$60="Forfait",IF(AI$15&gt;='01_Input'!$R$60,'01_Input'!$U$60,0),IF('01_Input'!$T$60="Palier",IF(AND(AI$15&gt;='01_Input'!$R$60,AI$15&lt;'01_Input'!$S$60),'01_Input'!$U$60,0),MAX(MIN(AI$15,'01_Input'!$S$60)-'01_Input'!$R$60,0)*'01_Input'!$U$60))+IF('01_Input'!$X$60="Forfait",IF(AI$15&gt;='01_Input'!$V$60,'01_Input'!$Y$60,0),IF('01_Input'!$X$60="Palier",IF(AND(AI$15&gt;='01_Input'!$V$60,AI$15&lt;'01_Input'!$W$60),'01_Input'!$Y$60,0),MAX(MIN(AI$15,'01_Input'!$W$60)-'01_Input'!$V$60,0)*'01_Input'!$Y$60))+IF('01_Input'!$AB$60="Forfait",IF(AI$15&gt;='01_Input'!$Z$60,'01_Input'!$AC$60,0),IF('01_Input'!$AB$60="Palier",IF(AND(AI$15&gt;='01_Input'!$Z$60,AI$15&lt;'01_Input'!$AA$60),'01_Input'!$AC$60,0),MAX(MIN(AI$15,'01_Input'!$AA$60)-'01_Input'!$Z$60,0)*'01_Input'!$AC$60))))))))))</f>
        <v/>
      </c>
      <c r="AJ51" s="83" t="str">
        <f>IF(AJ$15="","",IF('01_Input'!$C$60="Non",0,MIN('01_Input'!$I$60,MAX('01_Input'!$H$60,IF('01_Input'!$G$60="Résiduel vs Gestion",0,IF('01_Input'!$G$60="Taux Classe sélectionnée",Distrib_Global_Classe_Selectionnee*AJ$15,IF('01_Input'!$G$60="Frais KYC (paliers de 100M€)",MAX(0,Nb_Investisseurs-Nb_KYC_Gratuites_Par_Tranche*(FLOOR(AJ$15/Taille_Tranche_KYC,1)+1))*Cout_Par_KYC_Supplementaire,(IF('01_Input'!$L$60="Forfait",IF(AJ$15&gt;='01_Input'!$J$60,'01_Input'!$M$60,0),IF('01_Input'!$L$60="Palier",IF(AND(AJ$15&gt;='01_Input'!$J$60,AJ$15&lt;'01_Input'!$K$60),'01_Input'!$M$60,0),MAX(MIN(AJ$15,'01_Input'!$K$60)-'01_Input'!$J$60,0)*'01_Input'!$M$60))+IF('01_Input'!$P$60="Forfait",IF(AJ$15&gt;='01_Input'!$N$60,'01_Input'!$Q$60,0),IF('01_Input'!$P$60="Palier",IF(AND(AJ$15&gt;='01_Input'!$N$60,AJ$15&lt;'01_Input'!$O$60),'01_Input'!$Q$60,0),MAX(MIN(AJ$15,'01_Input'!$O$60)-'01_Input'!$N$60,0)*'01_Input'!$Q$60))+IF('01_Input'!$T$60="Forfait",IF(AJ$15&gt;='01_Input'!$R$60,'01_Input'!$U$60,0),IF('01_Input'!$T$60="Palier",IF(AND(AJ$15&gt;='01_Input'!$R$60,AJ$15&lt;'01_Input'!$S$60),'01_Input'!$U$60,0),MAX(MIN(AJ$15,'01_Input'!$S$60)-'01_Input'!$R$60,0)*'01_Input'!$U$60))+IF('01_Input'!$X$60="Forfait",IF(AJ$15&gt;='01_Input'!$V$60,'01_Input'!$Y$60,0),IF('01_Input'!$X$60="Palier",IF(AND(AJ$15&gt;='01_Input'!$V$60,AJ$15&lt;'01_Input'!$W$60),'01_Input'!$Y$60,0),MAX(MIN(AJ$15,'01_Input'!$W$60)-'01_Input'!$V$60,0)*'01_Input'!$Y$60))+IF('01_Input'!$AB$60="Forfait",IF(AJ$15&gt;='01_Input'!$Z$60,'01_Input'!$AC$60,0),IF('01_Input'!$AB$60="Palier",IF(AND(AJ$15&gt;='01_Input'!$Z$60,AJ$15&lt;'01_Input'!$AA$60),'01_Input'!$AC$60,0),MAX(MIN(AJ$15,'01_Input'!$AA$60)-'01_Input'!$Z$60,0)*'01_Input'!$AC$60))))))))))</f>
        <v/>
      </c>
      <c r="AK51" s="83" t="str">
        <f>IF(AK$15="","",IF('01_Input'!$C$60="Non",0,MIN('01_Input'!$I$60,MAX('01_Input'!$H$60,IF('01_Input'!$G$60="Résiduel vs Gestion",0,IF('01_Input'!$G$60="Taux Classe sélectionnée",Distrib_Global_Classe_Selectionnee*AK$15,IF('01_Input'!$G$60="Frais KYC (paliers de 100M€)",MAX(0,Nb_Investisseurs-Nb_KYC_Gratuites_Par_Tranche*(FLOOR(AK$15/Taille_Tranche_KYC,1)+1))*Cout_Par_KYC_Supplementaire,(IF('01_Input'!$L$60="Forfait",IF(AK$15&gt;='01_Input'!$J$60,'01_Input'!$M$60,0),IF('01_Input'!$L$60="Palier",IF(AND(AK$15&gt;='01_Input'!$J$60,AK$15&lt;'01_Input'!$K$60),'01_Input'!$M$60,0),MAX(MIN(AK$15,'01_Input'!$K$60)-'01_Input'!$J$60,0)*'01_Input'!$M$60))+IF('01_Input'!$P$60="Forfait",IF(AK$15&gt;='01_Input'!$N$60,'01_Input'!$Q$60,0),IF('01_Input'!$P$60="Palier",IF(AND(AK$15&gt;='01_Input'!$N$60,AK$15&lt;'01_Input'!$O$60),'01_Input'!$Q$60,0),MAX(MIN(AK$15,'01_Input'!$O$60)-'01_Input'!$N$60,0)*'01_Input'!$Q$60))+IF('01_Input'!$T$60="Forfait",IF(AK$15&gt;='01_Input'!$R$60,'01_Input'!$U$60,0),IF('01_Input'!$T$60="Palier",IF(AND(AK$15&gt;='01_Input'!$R$60,AK$15&lt;'01_Input'!$S$60),'01_Input'!$U$60,0),MAX(MIN(AK$15,'01_Input'!$S$60)-'01_Input'!$R$60,0)*'01_Input'!$U$60))+IF('01_Input'!$X$60="Forfait",IF(AK$15&gt;='01_Input'!$V$60,'01_Input'!$Y$60,0),IF('01_Input'!$X$60="Palier",IF(AND(AK$15&gt;='01_Input'!$V$60,AK$15&lt;'01_Input'!$W$60),'01_Input'!$Y$60,0),MAX(MIN(AK$15,'01_Input'!$W$60)-'01_Input'!$V$60,0)*'01_Input'!$Y$60))+IF('01_Input'!$AB$60="Forfait",IF(AK$15&gt;='01_Input'!$Z$60,'01_Input'!$AC$60,0),IF('01_Input'!$AB$60="Palier",IF(AND(AK$15&gt;='01_Input'!$Z$60,AK$15&lt;'01_Input'!$AA$60),'01_Input'!$AC$60,0),MAX(MIN(AK$15,'01_Input'!$AA$60)-'01_Input'!$Z$60,0)*'01_Input'!$AC$60))))))))))</f>
        <v/>
      </c>
      <c r="AL51" s="83" t="str">
        <f>IF(AL$15="","",IF('01_Input'!$C$60="Non",0,MIN('01_Input'!$I$60,MAX('01_Input'!$H$60,IF('01_Input'!$G$60="Résiduel vs Gestion",0,IF('01_Input'!$G$60="Taux Classe sélectionnée",Distrib_Global_Classe_Selectionnee*AL$15,IF('01_Input'!$G$60="Frais KYC (paliers de 100M€)",MAX(0,Nb_Investisseurs-Nb_KYC_Gratuites_Par_Tranche*(FLOOR(AL$15/Taille_Tranche_KYC,1)+1))*Cout_Par_KYC_Supplementaire,(IF('01_Input'!$L$60="Forfait",IF(AL$15&gt;='01_Input'!$J$60,'01_Input'!$M$60,0),IF('01_Input'!$L$60="Palier",IF(AND(AL$15&gt;='01_Input'!$J$60,AL$15&lt;'01_Input'!$K$60),'01_Input'!$M$60,0),MAX(MIN(AL$15,'01_Input'!$K$60)-'01_Input'!$J$60,0)*'01_Input'!$M$60))+IF('01_Input'!$P$60="Forfait",IF(AL$15&gt;='01_Input'!$N$60,'01_Input'!$Q$60,0),IF('01_Input'!$P$60="Palier",IF(AND(AL$15&gt;='01_Input'!$N$60,AL$15&lt;'01_Input'!$O$60),'01_Input'!$Q$60,0),MAX(MIN(AL$15,'01_Input'!$O$60)-'01_Input'!$N$60,0)*'01_Input'!$Q$60))+IF('01_Input'!$T$60="Forfait",IF(AL$15&gt;='01_Input'!$R$60,'01_Input'!$U$60,0),IF('01_Input'!$T$60="Palier",IF(AND(AL$15&gt;='01_Input'!$R$60,AL$15&lt;'01_Input'!$S$60),'01_Input'!$U$60,0),MAX(MIN(AL$15,'01_Input'!$S$60)-'01_Input'!$R$60,0)*'01_Input'!$U$60))+IF('01_Input'!$X$60="Forfait",IF(AL$15&gt;='01_Input'!$V$60,'01_Input'!$Y$60,0),IF('01_Input'!$X$60="Palier",IF(AND(AL$15&gt;='01_Input'!$V$60,AL$15&lt;'01_Input'!$W$60),'01_Input'!$Y$60,0),MAX(MIN(AL$15,'01_Input'!$W$60)-'01_Input'!$V$60,0)*'01_Input'!$Y$60))+IF('01_Input'!$AB$60="Forfait",IF(AL$15&gt;='01_Input'!$Z$60,'01_Input'!$AC$60,0),IF('01_Input'!$AB$60="Palier",IF(AND(AL$15&gt;='01_Input'!$Z$60,AL$15&lt;'01_Input'!$AA$60),'01_Input'!$AC$60,0),MAX(MIN(AL$15,'01_Input'!$AA$60)-'01_Input'!$Z$60,0)*'01_Input'!$AC$60))))))))))</f>
        <v/>
      </c>
      <c r="AM51" s="83" t="str">
        <f>IF(AM$15="","",IF('01_Input'!$C$60="Non",0,MIN('01_Input'!$I$60,MAX('01_Input'!$H$60,IF('01_Input'!$G$60="Résiduel vs Gestion",0,IF('01_Input'!$G$60="Taux Classe sélectionnée",Distrib_Global_Classe_Selectionnee*AM$15,IF('01_Input'!$G$60="Frais KYC (paliers de 100M€)",MAX(0,Nb_Investisseurs-Nb_KYC_Gratuites_Par_Tranche*(FLOOR(AM$15/Taille_Tranche_KYC,1)+1))*Cout_Par_KYC_Supplementaire,(IF('01_Input'!$L$60="Forfait",IF(AM$15&gt;='01_Input'!$J$60,'01_Input'!$M$60,0),IF('01_Input'!$L$60="Palier",IF(AND(AM$15&gt;='01_Input'!$J$60,AM$15&lt;'01_Input'!$K$60),'01_Input'!$M$60,0),MAX(MIN(AM$15,'01_Input'!$K$60)-'01_Input'!$J$60,0)*'01_Input'!$M$60))+IF('01_Input'!$P$60="Forfait",IF(AM$15&gt;='01_Input'!$N$60,'01_Input'!$Q$60,0),IF('01_Input'!$P$60="Palier",IF(AND(AM$15&gt;='01_Input'!$N$60,AM$15&lt;'01_Input'!$O$60),'01_Input'!$Q$60,0),MAX(MIN(AM$15,'01_Input'!$O$60)-'01_Input'!$N$60,0)*'01_Input'!$Q$60))+IF('01_Input'!$T$60="Forfait",IF(AM$15&gt;='01_Input'!$R$60,'01_Input'!$U$60,0),IF('01_Input'!$T$60="Palier",IF(AND(AM$15&gt;='01_Input'!$R$60,AM$15&lt;'01_Input'!$S$60),'01_Input'!$U$60,0),MAX(MIN(AM$15,'01_Input'!$S$60)-'01_Input'!$R$60,0)*'01_Input'!$U$60))+IF('01_Input'!$X$60="Forfait",IF(AM$15&gt;='01_Input'!$V$60,'01_Input'!$Y$60,0),IF('01_Input'!$X$60="Palier",IF(AND(AM$15&gt;='01_Input'!$V$60,AM$15&lt;'01_Input'!$W$60),'01_Input'!$Y$60,0),MAX(MIN(AM$15,'01_Input'!$W$60)-'01_Input'!$V$60,0)*'01_Input'!$Y$60))+IF('01_Input'!$AB$60="Forfait",IF(AM$15&gt;='01_Input'!$Z$60,'01_Input'!$AC$60,0),IF('01_Input'!$AB$60="Palier",IF(AND(AM$15&gt;='01_Input'!$Z$60,AM$15&lt;'01_Input'!$AA$60),'01_Input'!$AC$60,0),MAX(MIN(AM$15,'01_Input'!$AA$60)-'01_Input'!$Z$60,0)*'01_Input'!$AC$60))))))))))</f>
        <v/>
      </c>
    </row>
    <row r="52" ht="15.75" customHeight="1">
      <c r="B52" s="40" t="str">
        <f t="shared" si="1"/>
        <v>Valorisation (CIC)</v>
      </c>
      <c r="D52" s="25">
        <f>IF(D$15="","",IF('01_Input'!$C$61="Non",0,MIN('01_Input'!$I$61,MAX('01_Input'!$H$61,IF('01_Input'!$G$61="Résiduel vs Gestion",0,IF('01_Input'!$G$61="Taux Classe sélectionnée",Distrib_Global_Classe_Selectionnee*D$15,IF('01_Input'!$G$61="Frais KYC (paliers de 100M€)",MAX(0,Nb_Investisseurs-Nb_KYC_Gratuites_Par_Tranche*(FLOOR(D$15/Taille_Tranche_KYC,1)+1))*Cout_Par_KYC_Supplementaire,(IF('01_Input'!$L$61="Forfait",IF(D$15&gt;='01_Input'!$J$61,'01_Input'!$M$61,0),IF('01_Input'!$L$61="Palier",IF(AND(D$15&gt;='01_Input'!$J$61,D$15&lt;'01_Input'!$K$61),'01_Input'!$M$61,0),MAX(MIN(D$15,'01_Input'!$K$61)-'01_Input'!$J$61,0)*'01_Input'!$M$61))+IF('01_Input'!$P$61="Forfait",IF(D$15&gt;='01_Input'!$N$61,'01_Input'!$Q$61,0),IF('01_Input'!$P$61="Palier",IF(AND(D$15&gt;='01_Input'!$N$61,D$15&lt;'01_Input'!$O$61),'01_Input'!$Q$61,0),MAX(MIN(D$15,'01_Input'!$O$61)-'01_Input'!$N$61,0)*'01_Input'!$Q$61))+IF('01_Input'!$T$61="Forfait",IF(D$15&gt;='01_Input'!$R$61,'01_Input'!$U$61,0),IF('01_Input'!$T$61="Palier",IF(AND(D$15&gt;='01_Input'!$R$61,D$15&lt;'01_Input'!$S$61),'01_Input'!$U$61,0),MAX(MIN(D$15,'01_Input'!$S$61)-'01_Input'!$R$61,0)*'01_Input'!$U$61))+IF('01_Input'!$X$61="Forfait",IF(D$15&gt;='01_Input'!$V$61,'01_Input'!$Y$61,0),IF('01_Input'!$X$61="Palier",IF(AND(D$15&gt;='01_Input'!$V$61,D$15&lt;'01_Input'!$W$61),'01_Input'!$Y$61,0),MAX(MIN(D$15,'01_Input'!$W$61)-'01_Input'!$V$61,0)*'01_Input'!$Y$61))+IF('01_Input'!$AB$61="Forfait",IF(D$15&gt;='01_Input'!$Z$61,'01_Input'!$AC$61,0),IF('01_Input'!$AB$61="Palier",IF(AND(D$15&gt;='01_Input'!$Z$61,D$15&lt;'01_Input'!$AA$61),'01_Input'!$AC$61,0),MAX(MIN(D$15,'01_Input'!$AA$61)-'01_Input'!$Z$61,0)*'01_Input'!$AC$61))))))))))</f>
        <v>12000</v>
      </c>
      <c r="E52" s="25">
        <f>IF(E$15="","",IF('01_Input'!$C$61="Non",0,MIN('01_Input'!$I$61,MAX('01_Input'!$H$61,IF('01_Input'!$G$61="Résiduel vs Gestion",0,IF('01_Input'!$G$61="Taux Classe sélectionnée",Distrib_Global_Classe_Selectionnee*E$15,IF('01_Input'!$G$61="Frais KYC (paliers de 100M€)",MAX(0,Nb_Investisseurs-Nb_KYC_Gratuites_Par_Tranche*(FLOOR(E$15/Taille_Tranche_KYC,1)+1))*Cout_Par_KYC_Supplementaire,(IF('01_Input'!$L$61="Forfait",IF(E$15&gt;='01_Input'!$J$61,'01_Input'!$M$61,0),IF('01_Input'!$L$61="Palier",IF(AND(E$15&gt;='01_Input'!$J$61,E$15&lt;'01_Input'!$K$61),'01_Input'!$M$61,0),MAX(MIN(E$15,'01_Input'!$K$61)-'01_Input'!$J$61,0)*'01_Input'!$M$61))+IF('01_Input'!$P$61="Forfait",IF(E$15&gt;='01_Input'!$N$61,'01_Input'!$Q$61,0),IF('01_Input'!$P$61="Palier",IF(AND(E$15&gt;='01_Input'!$N$61,E$15&lt;'01_Input'!$O$61),'01_Input'!$Q$61,0),MAX(MIN(E$15,'01_Input'!$O$61)-'01_Input'!$N$61,0)*'01_Input'!$Q$61))+IF('01_Input'!$T$61="Forfait",IF(E$15&gt;='01_Input'!$R$61,'01_Input'!$U$61,0),IF('01_Input'!$T$61="Palier",IF(AND(E$15&gt;='01_Input'!$R$61,E$15&lt;'01_Input'!$S$61),'01_Input'!$U$61,0),MAX(MIN(E$15,'01_Input'!$S$61)-'01_Input'!$R$61,0)*'01_Input'!$U$61))+IF('01_Input'!$X$61="Forfait",IF(E$15&gt;='01_Input'!$V$61,'01_Input'!$Y$61,0),IF('01_Input'!$X$61="Palier",IF(AND(E$15&gt;='01_Input'!$V$61,E$15&lt;'01_Input'!$W$61),'01_Input'!$Y$61,0),MAX(MIN(E$15,'01_Input'!$W$61)-'01_Input'!$V$61,0)*'01_Input'!$Y$61))+IF('01_Input'!$AB$61="Forfait",IF(E$15&gt;='01_Input'!$Z$61,'01_Input'!$AC$61,0),IF('01_Input'!$AB$61="Palier",IF(AND(E$15&gt;='01_Input'!$Z$61,E$15&lt;'01_Input'!$AA$61),'01_Input'!$AC$61,0),MAX(MIN(E$15,'01_Input'!$AA$61)-'01_Input'!$Z$61,0)*'01_Input'!$AC$61))))))))))</f>
        <v>12000</v>
      </c>
      <c r="F52" s="25" t="str">
        <f>IF(F$15="","",IF('01_Input'!$C$61="Non",0,MIN('01_Input'!$I$61,MAX('01_Input'!$H$61,IF('01_Input'!$G$61="Résiduel vs Gestion",0,IF('01_Input'!$G$61="Taux Classe sélectionnée",Distrib_Global_Classe_Selectionnee*F$15,IF('01_Input'!$G$61="Frais KYC (paliers de 100M€)",MAX(0,Nb_Investisseurs-Nb_KYC_Gratuites_Par_Tranche*(FLOOR(F$15/Taille_Tranche_KYC,1)+1))*Cout_Par_KYC_Supplementaire,(IF('01_Input'!$L$61="Forfait",IF(F$15&gt;='01_Input'!$J$61,'01_Input'!$M$61,0),IF('01_Input'!$L$61="Palier",IF(AND(F$15&gt;='01_Input'!$J$61,F$15&lt;'01_Input'!$K$61),'01_Input'!$M$61,0),MAX(MIN(F$15,'01_Input'!$K$61)-'01_Input'!$J$61,0)*'01_Input'!$M$61))+IF('01_Input'!$P$61="Forfait",IF(F$15&gt;='01_Input'!$N$61,'01_Input'!$Q$61,0),IF('01_Input'!$P$61="Palier",IF(AND(F$15&gt;='01_Input'!$N$61,F$15&lt;'01_Input'!$O$61),'01_Input'!$Q$61,0),MAX(MIN(F$15,'01_Input'!$O$61)-'01_Input'!$N$61,0)*'01_Input'!$Q$61))+IF('01_Input'!$T$61="Forfait",IF(F$15&gt;='01_Input'!$R$61,'01_Input'!$U$61,0),IF('01_Input'!$T$61="Palier",IF(AND(F$15&gt;='01_Input'!$R$61,F$15&lt;'01_Input'!$S$61),'01_Input'!$U$61,0),MAX(MIN(F$15,'01_Input'!$S$61)-'01_Input'!$R$61,0)*'01_Input'!$U$61))+IF('01_Input'!$X$61="Forfait",IF(F$15&gt;='01_Input'!$V$61,'01_Input'!$Y$61,0),IF('01_Input'!$X$61="Palier",IF(AND(F$15&gt;='01_Input'!$V$61,F$15&lt;'01_Input'!$W$61),'01_Input'!$Y$61,0),MAX(MIN(F$15,'01_Input'!$W$61)-'01_Input'!$V$61,0)*'01_Input'!$Y$61))+IF('01_Input'!$AB$61="Forfait",IF(F$15&gt;='01_Input'!$Z$61,'01_Input'!$AC$61,0),IF('01_Input'!$AB$61="Palier",IF(AND(F$15&gt;='01_Input'!$Z$61,F$15&lt;'01_Input'!$AA$61),'01_Input'!$AC$61,0),MAX(MIN(F$15,'01_Input'!$AA$61)-'01_Input'!$Z$61,0)*'01_Input'!$AC$61))))))))))</f>
        <v/>
      </c>
      <c r="G52" s="25" t="str">
        <f>IF(G$15="","",IF('01_Input'!$C$61="Non",0,MIN('01_Input'!$I$61,MAX('01_Input'!$H$61,IF('01_Input'!$G$61="Résiduel vs Gestion",0,IF('01_Input'!$G$61="Taux Classe sélectionnée",Distrib_Global_Classe_Selectionnee*G$15,IF('01_Input'!$G$61="Frais KYC (paliers de 100M€)",MAX(0,Nb_Investisseurs-Nb_KYC_Gratuites_Par_Tranche*(FLOOR(G$15/Taille_Tranche_KYC,1)+1))*Cout_Par_KYC_Supplementaire,(IF('01_Input'!$L$61="Forfait",IF(G$15&gt;='01_Input'!$J$61,'01_Input'!$M$61,0),IF('01_Input'!$L$61="Palier",IF(AND(G$15&gt;='01_Input'!$J$61,G$15&lt;'01_Input'!$K$61),'01_Input'!$M$61,0),MAX(MIN(G$15,'01_Input'!$K$61)-'01_Input'!$J$61,0)*'01_Input'!$M$61))+IF('01_Input'!$P$61="Forfait",IF(G$15&gt;='01_Input'!$N$61,'01_Input'!$Q$61,0),IF('01_Input'!$P$61="Palier",IF(AND(G$15&gt;='01_Input'!$N$61,G$15&lt;'01_Input'!$O$61),'01_Input'!$Q$61,0),MAX(MIN(G$15,'01_Input'!$O$61)-'01_Input'!$N$61,0)*'01_Input'!$Q$61))+IF('01_Input'!$T$61="Forfait",IF(G$15&gt;='01_Input'!$R$61,'01_Input'!$U$61,0),IF('01_Input'!$T$61="Palier",IF(AND(G$15&gt;='01_Input'!$R$61,G$15&lt;'01_Input'!$S$61),'01_Input'!$U$61,0),MAX(MIN(G$15,'01_Input'!$S$61)-'01_Input'!$R$61,0)*'01_Input'!$U$61))+IF('01_Input'!$X$61="Forfait",IF(G$15&gt;='01_Input'!$V$61,'01_Input'!$Y$61,0),IF('01_Input'!$X$61="Palier",IF(AND(G$15&gt;='01_Input'!$V$61,G$15&lt;'01_Input'!$W$61),'01_Input'!$Y$61,0),MAX(MIN(G$15,'01_Input'!$W$61)-'01_Input'!$V$61,0)*'01_Input'!$Y$61))+IF('01_Input'!$AB$61="Forfait",IF(G$15&gt;='01_Input'!$Z$61,'01_Input'!$AC$61,0),IF('01_Input'!$AB$61="Palier",IF(AND(G$15&gt;='01_Input'!$Z$61,G$15&lt;'01_Input'!$AA$61),'01_Input'!$AC$61,0),MAX(MIN(G$15,'01_Input'!$AA$61)-'01_Input'!$Z$61,0)*'01_Input'!$AC$61))))))))))</f>
        <v/>
      </c>
      <c r="H52" s="25" t="str">
        <f>IF(H$15="","",IF('01_Input'!$C$61="Non",0,MIN('01_Input'!$I$61,MAX('01_Input'!$H$61,IF('01_Input'!$G$61="Résiduel vs Gestion",0,IF('01_Input'!$G$61="Taux Classe sélectionnée",Distrib_Global_Classe_Selectionnee*H$15,IF('01_Input'!$G$61="Frais KYC (paliers de 100M€)",MAX(0,Nb_Investisseurs-Nb_KYC_Gratuites_Par_Tranche*(FLOOR(H$15/Taille_Tranche_KYC,1)+1))*Cout_Par_KYC_Supplementaire,(IF('01_Input'!$L$61="Forfait",IF(H$15&gt;='01_Input'!$J$61,'01_Input'!$M$61,0),IF('01_Input'!$L$61="Palier",IF(AND(H$15&gt;='01_Input'!$J$61,H$15&lt;'01_Input'!$K$61),'01_Input'!$M$61,0),MAX(MIN(H$15,'01_Input'!$K$61)-'01_Input'!$J$61,0)*'01_Input'!$M$61))+IF('01_Input'!$P$61="Forfait",IF(H$15&gt;='01_Input'!$N$61,'01_Input'!$Q$61,0),IF('01_Input'!$P$61="Palier",IF(AND(H$15&gt;='01_Input'!$N$61,H$15&lt;'01_Input'!$O$61),'01_Input'!$Q$61,0),MAX(MIN(H$15,'01_Input'!$O$61)-'01_Input'!$N$61,0)*'01_Input'!$Q$61))+IF('01_Input'!$T$61="Forfait",IF(H$15&gt;='01_Input'!$R$61,'01_Input'!$U$61,0),IF('01_Input'!$T$61="Palier",IF(AND(H$15&gt;='01_Input'!$R$61,H$15&lt;'01_Input'!$S$61),'01_Input'!$U$61,0),MAX(MIN(H$15,'01_Input'!$S$61)-'01_Input'!$R$61,0)*'01_Input'!$U$61))+IF('01_Input'!$X$61="Forfait",IF(H$15&gt;='01_Input'!$V$61,'01_Input'!$Y$61,0),IF('01_Input'!$X$61="Palier",IF(AND(H$15&gt;='01_Input'!$V$61,H$15&lt;'01_Input'!$W$61),'01_Input'!$Y$61,0),MAX(MIN(H$15,'01_Input'!$W$61)-'01_Input'!$V$61,0)*'01_Input'!$Y$61))+IF('01_Input'!$AB$61="Forfait",IF(H$15&gt;='01_Input'!$Z$61,'01_Input'!$AC$61,0),IF('01_Input'!$AB$61="Palier",IF(AND(H$15&gt;='01_Input'!$Z$61,H$15&lt;'01_Input'!$AA$61),'01_Input'!$AC$61,0),MAX(MIN(H$15,'01_Input'!$AA$61)-'01_Input'!$Z$61,0)*'01_Input'!$AC$61))))))))))</f>
        <v/>
      </c>
      <c r="I52" s="25" t="str">
        <f>IF(I$15="","",IF('01_Input'!$C$61="Non",0,MIN('01_Input'!$I$61,MAX('01_Input'!$H$61,IF('01_Input'!$G$61="Résiduel vs Gestion",0,IF('01_Input'!$G$61="Taux Classe sélectionnée",Distrib_Global_Classe_Selectionnee*I$15,IF('01_Input'!$G$61="Frais KYC (paliers de 100M€)",MAX(0,Nb_Investisseurs-Nb_KYC_Gratuites_Par_Tranche*(FLOOR(I$15/Taille_Tranche_KYC,1)+1))*Cout_Par_KYC_Supplementaire,(IF('01_Input'!$L$61="Forfait",IF(I$15&gt;='01_Input'!$J$61,'01_Input'!$M$61,0),IF('01_Input'!$L$61="Palier",IF(AND(I$15&gt;='01_Input'!$J$61,I$15&lt;'01_Input'!$K$61),'01_Input'!$M$61,0),MAX(MIN(I$15,'01_Input'!$K$61)-'01_Input'!$J$61,0)*'01_Input'!$M$61))+IF('01_Input'!$P$61="Forfait",IF(I$15&gt;='01_Input'!$N$61,'01_Input'!$Q$61,0),IF('01_Input'!$P$61="Palier",IF(AND(I$15&gt;='01_Input'!$N$61,I$15&lt;'01_Input'!$O$61),'01_Input'!$Q$61,0),MAX(MIN(I$15,'01_Input'!$O$61)-'01_Input'!$N$61,0)*'01_Input'!$Q$61))+IF('01_Input'!$T$61="Forfait",IF(I$15&gt;='01_Input'!$R$61,'01_Input'!$U$61,0),IF('01_Input'!$T$61="Palier",IF(AND(I$15&gt;='01_Input'!$R$61,I$15&lt;'01_Input'!$S$61),'01_Input'!$U$61,0),MAX(MIN(I$15,'01_Input'!$S$61)-'01_Input'!$R$61,0)*'01_Input'!$U$61))+IF('01_Input'!$X$61="Forfait",IF(I$15&gt;='01_Input'!$V$61,'01_Input'!$Y$61,0),IF('01_Input'!$X$61="Palier",IF(AND(I$15&gt;='01_Input'!$V$61,I$15&lt;'01_Input'!$W$61),'01_Input'!$Y$61,0),MAX(MIN(I$15,'01_Input'!$W$61)-'01_Input'!$V$61,0)*'01_Input'!$Y$61))+IF('01_Input'!$AB$61="Forfait",IF(I$15&gt;='01_Input'!$Z$61,'01_Input'!$AC$61,0),IF('01_Input'!$AB$61="Palier",IF(AND(I$15&gt;='01_Input'!$Z$61,I$15&lt;'01_Input'!$AA$61),'01_Input'!$AC$61,0),MAX(MIN(I$15,'01_Input'!$AA$61)-'01_Input'!$Z$61,0)*'01_Input'!$AC$61))))))))))</f>
        <v/>
      </c>
      <c r="J52" s="25" t="str">
        <f>IF(J$15="","",IF('01_Input'!$C$61="Non",0,MIN('01_Input'!$I$61,MAX('01_Input'!$H$61,IF('01_Input'!$G$61="Résiduel vs Gestion",0,IF('01_Input'!$G$61="Taux Classe sélectionnée",Distrib_Global_Classe_Selectionnee*J$15,IF('01_Input'!$G$61="Frais KYC (paliers de 100M€)",MAX(0,Nb_Investisseurs-Nb_KYC_Gratuites_Par_Tranche*(FLOOR(J$15/Taille_Tranche_KYC,1)+1))*Cout_Par_KYC_Supplementaire,(IF('01_Input'!$L$61="Forfait",IF(J$15&gt;='01_Input'!$J$61,'01_Input'!$M$61,0),IF('01_Input'!$L$61="Palier",IF(AND(J$15&gt;='01_Input'!$J$61,J$15&lt;'01_Input'!$K$61),'01_Input'!$M$61,0),MAX(MIN(J$15,'01_Input'!$K$61)-'01_Input'!$J$61,0)*'01_Input'!$M$61))+IF('01_Input'!$P$61="Forfait",IF(J$15&gt;='01_Input'!$N$61,'01_Input'!$Q$61,0),IF('01_Input'!$P$61="Palier",IF(AND(J$15&gt;='01_Input'!$N$61,J$15&lt;'01_Input'!$O$61),'01_Input'!$Q$61,0),MAX(MIN(J$15,'01_Input'!$O$61)-'01_Input'!$N$61,0)*'01_Input'!$Q$61))+IF('01_Input'!$T$61="Forfait",IF(J$15&gt;='01_Input'!$R$61,'01_Input'!$U$61,0),IF('01_Input'!$T$61="Palier",IF(AND(J$15&gt;='01_Input'!$R$61,J$15&lt;'01_Input'!$S$61),'01_Input'!$U$61,0),MAX(MIN(J$15,'01_Input'!$S$61)-'01_Input'!$R$61,0)*'01_Input'!$U$61))+IF('01_Input'!$X$61="Forfait",IF(J$15&gt;='01_Input'!$V$61,'01_Input'!$Y$61,0),IF('01_Input'!$X$61="Palier",IF(AND(J$15&gt;='01_Input'!$V$61,J$15&lt;'01_Input'!$W$61),'01_Input'!$Y$61,0),MAX(MIN(J$15,'01_Input'!$W$61)-'01_Input'!$V$61,0)*'01_Input'!$Y$61))+IF('01_Input'!$AB$61="Forfait",IF(J$15&gt;='01_Input'!$Z$61,'01_Input'!$AC$61,0),IF('01_Input'!$AB$61="Palier",IF(AND(J$15&gt;='01_Input'!$Z$61,J$15&lt;'01_Input'!$AA$61),'01_Input'!$AC$61,0),MAX(MIN(J$15,'01_Input'!$AA$61)-'01_Input'!$Z$61,0)*'01_Input'!$AC$61))))))))))</f>
        <v/>
      </c>
      <c r="K52" s="25" t="str">
        <f>IF(K$15="","",IF('01_Input'!$C$61="Non",0,MIN('01_Input'!$I$61,MAX('01_Input'!$H$61,IF('01_Input'!$G$61="Résiduel vs Gestion",0,IF('01_Input'!$G$61="Taux Classe sélectionnée",Distrib_Global_Classe_Selectionnee*K$15,IF('01_Input'!$G$61="Frais KYC (paliers de 100M€)",MAX(0,Nb_Investisseurs-Nb_KYC_Gratuites_Par_Tranche*(FLOOR(K$15/Taille_Tranche_KYC,1)+1))*Cout_Par_KYC_Supplementaire,(IF('01_Input'!$L$61="Forfait",IF(K$15&gt;='01_Input'!$J$61,'01_Input'!$M$61,0),IF('01_Input'!$L$61="Palier",IF(AND(K$15&gt;='01_Input'!$J$61,K$15&lt;'01_Input'!$K$61),'01_Input'!$M$61,0),MAX(MIN(K$15,'01_Input'!$K$61)-'01_Input'!$J$61,0)*'01_Input'!$M$61))+IF('01_Input'!$P$61="Forfait",IF(K$15&gt;='01_Input'!$N$61,'01_Input'!$Q$61,0),IF('01_Input'!$P$61="Palier",IF(AND(K$15&gt;='01_Input'!$N$61,K$15&lt;'01_Input'!$O$61),'01_Input'!$Q$61,0),MAX(MIN(K$15,'01_Input'!$O$61)-'01_Input'!$N$61,0)*'01_Input'!$Q$61))+IF('01_Input'!$T$61="Forfait",IF(K$15&gt;='01_Input'!$R$61,'01_Input'!$U$61,0),IF('01_Input'!$T$61="Palier",IF(AND(K$15&gt;='01_Input'!$R$61,K$15&lt;'01_Input'!$S$61),'01_Input'!$U$61,0),MAX(MIN(K$15,'01_Input'!$S$61)-'01_Input'!$R$61,0)*'01_Input'!$U$61))+IF('01_Input'!$X$61="Forfait",IF(K$15&gt;='01_Input'!$V$61,'01_Input'!$Y$61,0),IF('01_Input'!$X$61="Palier",IF(AND(K$15&gt;='01_Input'!$V$61,K$15&lt;'01_Input'!$W$61),'01_Input'!$Y$61,0),MAX(MIN(K$15,'01_Input'!$W$61)-'01_Input'!$V$61,0)*'01_Input'!$Y$61))+IF('01_Input'!$AB$61="Forfait",IF(K$15&gt;='01_Input'!$Z$61,'01_Input'!$AC$61,0),IF('01_Input'!$AB$61="Palier",IF(AND(K$15&gt;='01_Input'!$Z$61,K$15&lt;'01_Input'!$AA$61),'01_Input'!$AC$61,0),MAX(MIN(K$15,'01_Input'!$AA$61)-'01_Input'!$Z$61,0)*'01_Input'!$AC$61))))))))))</f>
        <v/>
      </c>
      <c r="L52" s="25" t="str">
        <f>IF(L$15="","",IF('01_Input'!$C$61="Non",0,MIN('01_Input'!$I$61,MAX('01_Input'!$H$61,IF('01_Input'!$G$61="Résiduel vs Gestion",0,IF('01_Input'!$G$61="Taux Classe sélectionnée",Distrib_Global_Classe_Selectionnee*L$15,IF('01_Input'!$G$61="Frais KYC (paliers de 100M€)",MAX(0,Nb_Investisseurs-Nb_KYC_Gratuites_Par_Tranche*(FLOOR(L$15/Taille_Tranche_KYC,1)+1))*Cout_Par_KYC_Supplementaire,(IF('01_Input'!$L$61="Forfait",IF(L$15&gt;='01_Input'!$J$61,'01_Input'!$M$61,0),IF('01_Input'!$L$61="Palier",IF(AND(L$15&gt;='01_Input'!$J$61,L$15&lt;'01_Input'!$K$61),'01_Input'!$M$61,0),MAX(MIN(L$15,'01_Input'!$K$61)-'01_Input'!$J$61,0)*'01_Input'!$M$61))+IF('01_Input'!$P$61="Forfait",IF(L$15&gt;='01_Input'!$N$61,'01_Input'!$Q$61,0),IF('01_Input'!$P$61="Palier",IF(AND(L$15&gt;='01_Input'!$N$61,L$15&lt;'01_Input'!$O$61),'01_Input'!$Q$61,0),MAX(MIN(L$15,'01_Input'!$O$61)-'01_Input'!$N$61,0)*'01_Input'!$Q$61))+IF('01_Input'!$T$61="Forfait",IF(L$15&gt;='01_Input'!$R$61,'01_Input'!$U$61,0),IF('01_Input'!$T$61="Palier",IF(AND(L$15&gt;='01_Input'!$R$61,L$15&lt;'01_Input'!$S$61),'01_Input'!$U$61,0),MAX(MIN(L$15,'01_Input'!$S$61)-'01_Input'!$R$61,0)*'01_Input'!$U$61))+IF('01_Input'!$X$61="Forfait",IF(L$15&gt;='01_Input'!$V$61,'01_Input'!$Y$61,0),IF('01_Input'!$X$61="Palier",IF(AND(L$15&gt;='01_Input'!$V$61,L$15&lt;'01_Input'!$W$61),'01_Input'!$Y$61,0),MAX(MIN(L$15,'01_Input'!$W$61)-'01_Input'!$V$61,0)*'01_Input'!$Y$61))+IF('01_Input'!$AB$61="Forfait",IF(L$15&gt;='01_Input'!$Z$61,'01_Input'!$AC$61,0),IF('01_Input'!$AB$61="Palier",IF(AND(L$15&gt;='01_Input'!$Z$61,L$15&lt;'01_Input'!$AA$61),'01_Input'!$AC$61,0),MAX(MIN(L$15,'01_Input'!$AA$61)-'01_Input'!$Z$61,0)*'01_Input'!$AC$61))))))))))</f>
        <v/>
      </c>
      <c r="M52" s="25" t="str">
        <f>IF(M$15="","",IF('01_Input'!$C$61="Non",0,MIN('01_Input'!$I$61,MAX('01_Input'!$H$61,IF('01_Input'!$G$61="Résiduel vs Gestion",0,IF('01_Input'!$G$61="Taux Classe sélectionnée",Distrib_Global_Classe_Selectionnee*M$15,IF('01_Input'!$G$61="Frais KYC (paliers de 100M€)",MAX(0,Nb_Investisseurs-Nb_KYC_Gratuites_Par_Tranche*(FLOOR(M$15/Taille_Tranche_KYC,1)+1))*Cout_Par_KYC_Supplementaire,(IF('01_Input'!$L$61="Forfait",IF(M$15&gt;='01_Input'!$J$61,'01_Input'!$M$61,0),IF('01_Input'!$L$61="Palier",IF(AND(M$15&gt;='01_Input'!$J$61,M$15&lt;'01_Input'!$K$61),'01_Input'!$M$61,0),MAX(MIN(M$15,'01_Input'!$K$61)-'01_Input'!$J$61,0)*'01_Input'!$M$61))+IF('01_Input'!$P$61="Forfait",IF(M$15&gt;='01_Input'!$N$61,'01_Input'!$Q$61,0),IF('01_Input'!$P$61="Palier",IF(AND(M$15&gt;='01_Input'!$N$61,M$15&lt;'01_Input'!$O$61),'01_Input'!$Q$61,0),MAX(MIN(M$15,'01_Input'!$O$61)-'01_Input'!$N$61,0)*'01_Input'!$Q$61))+IF('01_Input'!$T$61="Forfait",IF(M$15&gt;='01_Input'!$R$61,'01_Input'!$U$61,0),IF('01_Input'!$T$61="Palier",IF(AND(M$15&gt;='01_Input'!$R$61,M$15&lt;'01_Input'!$S$61),'01_Input'!$U$61,0),MAX(MIN(M$15,'01_Input'!$S$61)-'01_Input'!$R$61,0)*'01_Input'!$U$61))+IF('01_Input'!$X$61="Forfait",IF(M$15&gt;='01_Input'!$V$61,'01_Input'!$Y$61,0),IF('01_Input'!$X$61="Palier",IF(AND(M$15&gt;='01_Input'!$V$61,M$15&lt;'01_Input'!$W$61),'01_Input'!$Y$61,0),MAX(MIN(M$15,'01_Input'!$W$61)-'01_Input'!$V$61,0)*'01_Input'!$Y$61))+IF('01_Input'!$AB$61="Forfait",IF(M$15&gt;='01_Input'!$Z$61,'01_Input'!$AC$61,0),IF('01_Input'!$AB$61="Palier",IF(AND(M$15&gt;='01_Input'!$Z$61,M$15&lt;'01_Input'!$AA$61),'01_Input'!$AC$61,0),MAX(MIN(M$15,'01_Input'!$AA$61)-'01_Input'!$Z$61,0)*'01_Input'!$AC$61))))))))))</f>
        <v/>
      </c>
      <c r="N52" s="25" t="str">
        <f>IF(N$15="","",IF('01_Input'!$C$61="Non",0,MIN('01_Input'!$I$61,MAX('01_Input'!$H$61,IF('01_Input'!$G$61="Résiduel vs Gestion",0,IF('01_Input'!$G$61="Taux Classe sélectionnée",Distrib_Global_Classe_Selectionnee*N$15,IF('01_Input'!$G$61="Frais KYC (paliers de 100M€)",MAX(0,Nb_Investisseurs-Nb_KYC_Gratuites_Par_Tranche*(FLOOR(N$15/Taille_Tranche_KYC,1)+1))*Cout_Par_KYC_Supplementaire,(IF('01_Input'!$L$61="Forfait",IF(N$15&gt;='01_Input'!$J$61,'01_Input'!$M$61,0),IF('01_Input'!$L$61="Palier",IF(AND(N$15&gt;='01_Input'!$J$61,N$15&lt;'01_Input'!$K$61),'01_Input'!$M$61,0),MAX(MIN(N$15,'01_Input'!$K$61)-'01_Input'!$J$61,0)*'01_Input'!$M$61))+IF('01_Input'!$P$61="Forfait",IF(N$15&gt;='01_Input'!$N$61,'01_Input'!$Q$61,0),IF('01_Input'!$P$61="Palier",IF(AND(N$15&gt;='01_Input'!$N$61,N$15&lt;'01_Input'!$O$61),'01_Input'!$Q$61,0),MAX(MIN(N$15,'01_Input'!$O$61)-'01_Input'!$N$61,0)*'01_Input'!$Q$61))+IF('01_Input'!$T$61="Forfait",IF(N$15&gt;='01_Input'!$R$61,'01_Input'!$U$61,0),IF('01_Input'!$T$61="Palier",IF(AND(N$15&gt;='01_Input'!$R$61,N$15&lt;'01_Input'!$S$61),'01_Input'!$U$61,0),MAX(MIN(N$15,'01_Input'!$S$61)-'01_Input'!$R$61,0)*'01_Input'!$U$61))+IF('01_Input'!$X$61="Forfait",IF(N$15&gt;='01_Input'!$V$61,'01_Input'!$Y$61,0),IF('01_Input'!$X$61="Palier",IF(AND(N$15&gt;='01_Input'!$V$61,N$15&lt;'01_Input'!$W$61),'01_Input'!$Y$61,0),MAX(MIN(N$15,'01_Input'!$W$61)-'01_Input'!$V$61,0)*'01_Input'!$Y$61))+IF('01_Input'!$AB$61="Forfait",IF(N$15&gt;='01_Input'!$Z$61,'01_Input'!$AC$61,0),IF('01_Input'!$AB$61="Palier",IF(AND(N$15&gt;='01_Input'!$Z$61,N$15&lt;'01_Input'!$AA$61),'01_Input'!$AC$61,0),MAX(MIN(N$15,'01_Input'!$AA$61)-'01_Input'!$Z$61,0)*'01_Input'!$AC$61))))))))))</f>
        <v/>
      </c>
      <c r="O52" s="25" t="str">
        <f>IF(O$15="","",IF('01_Input'!$C$61="Non",0,MIN('01_Input'!$I$61,MAX('01_Input'!$H$61,IF('01_Input'!$G$61="Résiduel vs Gestion",0,IF('01_Input'!$G$61="Taux Classe sélectionnée",Distrib_Global_Classe_Selectionnee*O$15,IF('01_Input'!$G$61="Frais KYC (paliers de 100M€)",MAX(0,Nb_Investisseurs-Nb_KYC_Gratuites_Par_Tranche*(FLOOR(O$15/Taille_Tranche_KYC,1)+1))*Cout_Par_KYC_Supplementaire,(IF('01_Input'!$L$61="Forfait",IF(O$15&gt;='01_Input'!$J$61,'01_Input'!$M$61,0),IF('01_Input'!$L$61="Palier",IF(AND(O$15&gt;='01_Input'!$J$61,O$15&lt;'01_Input'!$K$61),'01_Input'!$M$61,0),MAX(MIN(O$15,'01_Input'!$K$61)-'01_Input'!$J$61,0)*'01_Input'!$M$61))+IF('01_Input'!$P$61="Forfait",IF(O$15&gt;='01_Input'!$N$61,'01_Input'!$Q$61,0),IF('01_Input'!$P$61="Palier",IF(AND(O$15&gt;='01_Input'!$N$61,O$15&lt;'01_Input'!$O$61),'01_Input'!$Q$61,0),MAX(MIN(O$15,'01_Input'!$O$61)-'01_Input'!$N$61,0)*'01_Input'!$Q$61))+IF('01_Input'!$T$61="Forfait",IF(O$15&gt;='01_Input'!$R$61,'01_Input'!$U$61,0),IF('01_Input'!$T$61="Palier",IF(AND(O$15&gt;='01_Input'!$R$61,O$15&lt;'01_Input'!$S$61),'01_Input'!$U$61,0),MAX(MIN(O$15,'01_Input'!$S$61)-'01_Input'!$R$61,0)*'01_Input'!$U$61))+IF('01_Input'!$X$61="Forfait",IF(O$15&gt;='01_Input'!$V$61,'01_Input'!$Y$61,0),IF('01_Input'!$X$61="Palier",IF(AND(O$15&gt;='01_Input'!$V$61,O$15&lt;'01_Input'!$W$61),'01_Input'!$Y$61,0),MAX(MIN(O$15,'01_Input'!$W$61)-'01_Input'!$V$61,0)*'01_Input'!$Y$61))+IF('01_Input'!$AB$61="Forfait",IF(O$15&gt;='01_Input'!$Z$61,'01_Input'!$AC$61,0),IF('01_Input'!$AB$61="Palier",IF(AND(O$15&gt;='01_Input'!$Z$61,O$15&lt;'01_Input'!$AA$61),'01_Input'!$AC$61,0),MAX(MIN(O$15,'01_Input'!$AA$61)-'01_Input'!$Z$61,0)*'01_Input'!$AC$61))))))))))</f>
        <v/>
      </c>
      <c r="P52" s="25" t="str">
        <f>IF(P$15="","",IF('01_Input'!$C$61="Non",0,MIN('01_Input'!$I$61,MAX('01_Input'!$H$61,IF('01_Input'!$G$61="Résiduel vs Gestion",0,IF('01_Input'!$G$61="Taux Classe sélectionnée",Distrib_Global_Classe_Selectionnee*P$15,IF('01_Input'!$G$61="Frais KYC (paliers de 100M€)",MAX(0,Nb_Investisseurs-Nb_KYC_Gratuites_Par_Tranche*(FLOOR(P$15/Taille_Tranche_KYC,1)+1))*Cout_Par_KYC_Supplementaire,(IF('01_Input'!$L$61="Forfait",IF(P$15&gt;='01_Input'!$J$61,'01_Input'!$M$61,0),IF('01_Input'!$L$61="Palier",IF(AND(P$15&gt;='01_Input'!$J$61,P$15&lt;'01_Input'!$K$61),'01_Input'!$M$61,0),MAX(MIN(P$15,'01_Input'!$K$61)-'01_Input'!$J$61,0)*'01_Input'!$M$61))+IF('01_Input'!$P$61="Forfait",IF(P$15&gt;='01_Input'!$N$61,'01_Input'!$Q$61,0),IF('01_Input'!$P$61="Palier",IF(AND(P$15&gt;='01_Input'!$N$61,P$15&lt;'01_Input'!$O$61),'01_Input'!$Q$61,0),MAX(MIN(P$15,'01_Input'!$O$61)-'01_Input'!$N$61,0)*'01_Input'!$Q$61))+IF('01_Input'!$T$61="Forfait",IF(P$15&gt;='01_Input'!$R$61,'01_Input'!$U$61,0),IF('01_Input'!$T$61="Palier",IF(AND(P$15&gt;='01_Input'!$R$61,P$15&lt;'01_Input'!$S$61),'01_Input'!$U$61,0),MAX(MIN(P$15,'01_Input'!$S$61)-'01_Input'!$R$61,0)*'01_Input'!$U$61))+IF('01_Input'!$X$61="Forfait",IF(P$15&gt;='01_Input'!$V$61,'01_Input'!$Y$61,0),IF('01_Input'!$X$61="Palier",IF(AND(P$15&gt;='01_Input'!$V$61,P$15&lt;'01_Input'!$W$61),'01_Input'!$Y$61,0),MAX(MIN(P$15,'01_Input'!$W$61)-'01_Input'!$V$61,0)*'01_Input'!$Y$61))+IF('01_Input'!$AB$61="Forfait",IF(P$15&gt;='01_Input'!$Z$61,'01_Input'!$AC$61,0),IF('01_Input'!$AB$61="Palier",IF(AND(P$15&gt;='01_Input'!$Z$61,P$15&lt;'01_Input'!$AA$61),'01_Input'!$AC$61,0),MAX(MIN(P$15,'01_Input'!$AA$61)-'01_Input'!$Z$61,0)*'01_Input'!$AC$61))))))))))</f>
        <v/>
      </c>
      <c r="Q52" s="25" t="str">
        <f>IF(Q$15="","",IF('01_Input'!$C$61="Non",0,MIN('01_Input'!$I$61,MAX('01_Input'!$H$61,IF('01_Input'!$G$61="Résiduel vs Gestion",0,IF('01_Input'!$G$61="Taux Classe sélectionnée",Distrib_Global_Classe_Selectionnee*Q$15,IF('01_Input'!$G$61="Frais KYC (paliers de 100M€)",MAX(0,Nb_Investisseurs-Nb_KYC_Gratuites_Par_Tranche*(FLOOR(Q$15/Taille_Tranche_KYC,1)+1))*Cout_Par_KYC_Supplementaire,(IF('01_Input'!$L$61="Forfait",IF(Q$15&gt;='01_Input'!$J$61,'01_Input'!$M$61,0),IF('01_Input'!$L$61="Palier",IF(AND(Q$15&gt;='01_Input'!$J$61,Q$15&lt;'01_Input'!$K$61),'01_Input'!$M$61,0),MAX(MIN(Q$15,'01_Input'!$K$61)-'01_Input'!$J$61,0)*'01_Input'!$M$61))+IF('01_Input'!$P$61="Forfait",IF(Q$15&gt;='01_Input'!$N$61,'01_Input'!$Q$61,0),IF('01_Input'!$P$61="Palier",IF(AND(Q$15&gt;='01_Input'!$N$61,Q$15&lt;'01_Input'!$O$61),'01_Input'!$Q$61,0),MAX(MIN(Q$15,'01_Input'!$O$61)-'01_Input'!$N$61,0)*'01_Input'!$Q$61))+IF('01_Input'!$T$61="Forfait",IF(Q$15&gt;='01_Input'!$R$61,'01_Input'!$U$61,0),IF('01_Input'!$T$61="Palier",IF(AND(Q$15&gt;='01_Input'!$R$61,Q$15&lt;'01_Input'!$S$61),'01_Input'!$U$61,0),MAX(MIN(Q$15,'01_Input'!$S$61)-'01_Input'!$R$61,0)*'01_Input'!$U$61))+IF('01_Input'!$X$61="Forfait",IF(Q$15&gt;='01_Input'!$V$61,'01_Input'!$Y$61,0),IF('01_Input'!$X$61="Palier",IF(AND(Q$15&gt;='01_Input'!$V$61,Q$15&lt;'01_Input'!$W$61),'01_Input'!$Y$61,0),MAX(MIN(Q$15,'01_Input'!$W$61)-'01_Input'!$V$61,0)*'01_Input'!$Y$61))+IF('01_Input'!$AB$61="Forfait",IF(Q$15&gt;='01_Input'!$Z$61,'01_Input'!$AC$61,0),IF('01_Input'!$AB$61="Palier",IF(AND(Q$15&gt;='01_Input'!$Z$61,Q$15&lt;'01_Input'!$AA$61),'01_Input'!$AC$61,0),MAX(MIN(Q$15,'01_Input'!$AA$61)-'01_Input'!$Z$61,0)*'01_Input'!$AC$61))))))))))</f>
        <v/>
      </c>
      <c r="R52" s="25" t="str">
        <f>IF(R$15="","",IF('01_Input'!$C$61="Non",0,MIN('01_Input'!$I$61,MAX('01_Input'!$H$61,IF('01_Input'!$G$61="Résiduel vs Gestion",0,IF('01_Input'!$G$61="Taux Classe sélectionnée",Distrib_Global_Classe_Selectionnee*R$15,IF('01_Input'!$G$61="Frais KYC (paliers de 100M€)",MAX(0,Nb_Investisseurs-Nb_KYC_Gratuites_Par_Tranche*(FLOOR(R$15/Taille_Tranche_KYC,1)+1))*Cout_Par_KYC_Supplementaire,(IF('01_Input'!$L$61="Forfait",IF(R$15&gt;='01_Input'!$J$61,'01_Input'!$M$61,0),IF('01_Input'!$L$61="Palier",IF(AND(R$15&gt;='01_Input'!$J$61,R$15&lt;'01_Input'!$K$61),'01_Input'!$M$61,0),MAX(MIN(R$15,'01_Input'!$K$61)-'01_Input'!$J$61,0)*'01_Input'!$M$61))+IF('01_Input'!$P$61="Forfait",IF(R$15&gt;='01_Input'!$N$61,'01_Input'!$Q$61,0),IF('01_Input'!$P$61="Palier",IF(AND(R$15&gt;='01_Input'!$N$61,R$15&lt;'01_Input'!$O$61),'01_Input'!$Q$61,0),MAX(MIN(R$15,'01_Input'!$O$61)-'01_Input'!$N$61,0)*'01_Input'!$Q$61))+IF('01_Input'!$T$61="Forfait",IF(R$15&gt;='01_Input'!$R$61,'01_Input'!$U$61,0),IF('01_Input'!$T$61="Palier",IF(AND(R$15&gt;='01_Input'!$R$61,R$15&lt;'01_Input'!$S$61),'01_Input'!$U$61,0),MAX(MIN(R$15,'01_Input'!$S$61)-'01_Input'!$R$61,0)*'01_Input'!$U$61))+IF('01_Input'!$X$61="Forfait",IF(R$15&gt;='01_Input'!$V$61,'01_Input'!$Y$61,0),IF('01_Input'!$X$61="Palier",IF(AND(R$15&gt;='01_Input'!$V$61,R$15&lt;'01_Input'!$W$61),'01_Input'!$Y$61,0),MAX(MIN(R$15,'01_Input'!$W$61)-'01_Input'!$V$61,0)*'01_Input'!$Y$61))+IF('01_Input'!$AB$61="Forfait",IF(R$15&gt;='01_Input'!$Z$61,'01_Input'!$AC$61,0),IF('01_Input'!$AB$61="Palier",IF(AND(R$15&gt;='01_Input'!$Z$61,R$15&lt;'01_Input'!$AA$61),'01_Input'!$AC$61,0),MAX(MIN(R$15,'01_Input'!$AA$61)-'01_Input'!$Z$61,0)*'01_Input'!$AC$61))))))))))</f>
        <v/>
      </c>
      <c r="S52" s="25" t="str">
        <f>IF(S$15="","",IF('01_Input'!$C$61="Non",0,MIN('01_Input'!$I$61,MAX('01_Input'!$H$61,IF('01_Input'!$G$61="Résiduel vs Gestion",0,IF('01_Input'!$G$61="Taux Classe sélectionnée",Distrib_Global_Classe_Selectionnee*S$15,IF('01_Input'!$G$61="Frais KYC (paliers de 100M€)",MAX(0,Nb_Investisseurs-Nb_KYC_Gratuites_Par_Tranche*(FLOOR(S$15/Taille_Tranche_KYC,1)+1))*Cout_Par_KYC_Supplementaire,(IF('01_Input'!$L$61="Forfait",IF(S$15&gt;='01_Input'!$J$61,'01_Input'!$M$61,0),IF('01_Input'!$L$61="Palier",IF(AND(S$15&gt;='01_Input'!$J$61,S$15&lt;'01_Input'!$K$61),'01_Input'!$M$61,0),MAX(MIN(S$15,'01_Input'!$K$61)-'01_Input'!$J$61,0)*'01_Input'!$M$61))+IF('01_Input'!$P$61="Forfait",IF(S$15&gt;='01_Input'!$N$61,'01_Input'!$Q$61,0),IF('01_Input'!$P$61="Palier",IF(AND(S$15&gt;='01_Input'!$N$61,S$15&lt;'01_Input'!$O$61),'01_Input'!$Q$61,0),MAX(MIN(S$15,'01_Input'!$O$61)-'01_Input'!$N$61,0)*'01_Input'!$Q$61))+IF('01_Input'!$T$61="Forfait",IF(S$15&gt;='01_Input'!$R$61,'01_Input'!$U$61,0),IF('01_Input'!$T$61="Palier",IF(AND(S$15&gt;='01_Input'!$R$61,S$15&lt;'01_Input'!$S$61),'01_Input'!$U$61,0),MAX(MIN(S$15,'01_Input'!$S$61)-'01_Input'!$R$61,0)*'01_Input'!$U$61))+IF('01_Input'!$X$61="Forfait",IF(S$15&gt;='01_Input'!$V$61,'01_Input'!$Y$61,0),IF('01_Input'!$X$61="Palier",IF(AND(S$15&gt;='01_Input'!$V$61,S$15&lt;'01_Input'!$W$61),'01_Input'!$Y$61,0),MAX(MIN(S$15,'01_Input'!$W$61)-'01_Input'!$V$61,0)*'01_Input'!$Y$61))+IF('01_Input'!$AB$61="Forfait",IF(S$15&gt;='01_Input'!$Z$61,'01_Input'!$AC$61,0),IF('01_Input'!$AB$61="Palier",IF(AND(S$15&gt;='01_Input'!$Z$61,S$15&lt;'01_Input'!$AA$61),'01_Input'!$AC$61,0),MAX(MIN(S$15,'01_Input'!$AA$61)-'01_Input'!$Z$61,0)*'01_Input'!$AC$61))))))))))</f>
        <v/>
      </c>
      <c r="T52" s="25" t="str">
        <f>IF(T$15="","",IF('01_Input'!$C$61="Non",0,MIN('01_Input'!$I$61,MAX('01_Input'!$H$61,IF('01_Input'!$G$61="Résiduel vs Gestion",0,IF('01_Input'!$G$61="Taux Classe sélectionnée",Distrib_Global_Classe_Selectionnee*T$15,IF('01_Input'!$G$61="Frais KYC (paliers de 100M€)",MAX(0,Nb_Investisseurs-Nb_KYC_Gratuites_Par_Tranche*(FLOOR(T$15/Taille_Tranche_KYC,1)+1))*Cout_Par_KYC_Supplementaire,(IF('01_Input'!$L$61="Forfait",IF(T$15&gt;='01_Input'!$J$61,'01_Input'!$M$61,0),IF('01_Input'!$L$61="Palier",IF(AND(T$15&gt;='01_Input'!$J$61,T$15&lt;'01_Input'!$K$61),'01_Input'!$M$61,0),MAX(MIN(T$15,'01_Input'!$K$61)-'01_Input'!$J$61,0)*'01_Input'!$M$61))+IF('01_Input'!$P$61="Forfait",IF(T$15&gt;='01_Input'!$N$61,'01_Input'!$Q$61,0),IF('01_Input'!$P$61="Palier",IF(AND(T$15&gt;='01_Input'!$N$61,T$15&lt;'01_Input'!$O$61),'01_Input'!$Q$61,0),MAX(MIN(T$15,'01_Input'!$O$61)-'01_Input'!$N$61,0)*'01_Input'!$Q$61))+IF('01_Input'!$T$61="Forfait",IF(T$15&gt;='01_Input'!$R$61,'01_Input'!$U$61,0),IF('01_Input'!$T$61="Palier",IF(AND(T$15&gt;='01_Input'!$R$61,T$15&lt;'01_Input'!$S$61),'01_Input'!$U$61,0),MAX(MIN(T$15,'01_Input'!$S$61)-'01_Input'!$R$61,0)*'01_Input'!$U$61))+IF('01_Input'!$X$61="Forfait",IF(T$15&gt;='01_Input'!$V$61,'01_Input'!$Y$61,0),IF('01_Input'!$X$61="Palier",IF(AND(T$15&gt;='01_Input'!$V$61,T$15&lt;'01_Input'!$W$61),'01_Input'!$Y$61,0),MAX(MIN(T$15,'01_Input'!$W$61)-'01_Input'!$V$61,0)*'01_Input'!$Y$61))+IF('01_Input'!$AB$61="Forfait",IF(T$15&gt;='01_Input'!$Z$61,'01_Input'!$AC$61,0),IF('01_Input'!$AB$61="Palier",IF(AND(T$15&gt;='01_Input'!$Z$61,T$15&lt;'01_Input'!$AA$61),'01_Input'!$AC$61,0),MAX(MIN(T$15,'01_Input'!$AA$61)-'01_Input'!$Z$61,0)*'01_Input'!$AC$61))))))))))</f>
        <v/>
      </c>
      <c r="U52" s="25" t="str">
        <f>IF(U$15="","",IF('01_Input'!$C$61="Non",0,MIN('01_Input'!$I$61,MAX('01_Input'!$H$61,IF('01_Input'!$G$61="Résiduel vs Gestion",0,IF('01_Input'!$G$61="Taux Classe sélectionnée",Distrib_Global_Classe_Selectionnee*U$15,IF('01_Input'!$G$61="Frais KYC (paliers de 100M€)",MAX(0,Nb_Investisseurs-Nb_KYC_Gratuites_Par_Tranche*(FLOOR(U$15/Taille_Tranche_KYC,1)+1))*Cout_Par_KYC_Supplementaire,(IF('01_Input'!$L$61="Forfait",IF(U$15&gt;='01_Input'!$J$61,'01_Input'!$M$61,0),IF('01_Input'!$L$61="Palier",IF(AND(U$15&gt;='01_Input'!$J$61,U$15&lt;'01_Input'!$K$61),'01_Input'!$M$61,0),MAX(MIN(U$15,'01_Input'!$K$61)-'01_Input'!$J$61,0)*'01_Input'!$M$61))+IF('01_Input'!$P$61="Forfait",IF(U$15&gt;='01_Input'!$N$61,'01_Input'!$Q$61,0),IF('01_Input'!$P$61="Palier",IF(AND(U$15&gt;='01_Input'!$N$61,U$15&lt;'01_Input'!$O$61),'01_Input'!$Q$61,0),MAX(MIN(U$15,'01_Input'!$O$61)-'01_Input'!$N$61,0)*'01_Input'!$Q$61))+IF('01_Input'!$T$61="Forfait",IF(U$15&gt;='01_Input'!$R$61,'01_Input'!$U$61,0),IF('01_Input'!$T$61="Palier",IF(AND(U$15&gt;='01_Input'!$R$61,U$15&lt;'01_Input'!$S$61),'01_Input'!$U$61,0),MAX(MIN(U$15,'01_Input'!$S$61)-'01_Input'!$R$61,0)*'01_Input'!$U$61))+IF('01_Input'!$X$61="Forfait",IF(U$15&gt;='01_Input'!$V$61,'01_Input'!$Y$61,0),IF('01_Input'!$X$61="Palier",IF(AND(U$15&gt;='01_Input'!$V$61,U$15&lt;'01_Input'!$W$61),'01_Input'!$Y$61,0),MAX(MIN(U$15,'01_Input'!$W$61)-'01_Input'!$V$61,0)*'01_Input'!$Y$61))+IF('01_Input'!$AB$61="Forfait",IF(U$15&gt;='01_Input'!$Z$61,'01_Input'!$AC$61,0),IF('01_Input'!$AB$61="Palier",IF(AND(U$15&gt;='01_Input'!$Z$61,U$15&lt;'01_Input'!$AA$61),'01_Input'!$AC$61,0),MAX(MIN(U$15,'01_Input'!$AA$61)-'01_Input'!$Z$61,0)*'01_Input'!$AC$61))))))))))</f>
        <v/>
      </c>
      <c r="V52" s="25" t="str">
        <f>IF(V$15="","",IF('01_Input'!$C$61="Non",0,MIN('01_Input'!$I$61,MAX('01_Input'!$H$61,IF('01_Input'!$G$61="Résiduel vs Gestion",0,IF('01_Input'!$G$61="Taux Classe sélectionnée",Distrib_Global_Classe_Selectionnee*V$15,IF('01_Input'!$G$61="Frais KYC (paliers de 100M€)",MAX(0,Nb_Investisseurs-Nb_KYC_Gratuites_Par_Tranche*(FLOOR(V$15/Taille_Tranche_KYC,1)+1))*Cout_Par_KYC_Supplementaire,(IF('01_Input'!$L$61="Forfait",IF(V$15&gt;='01_Input'!$J$61,'01_Input'!$M$61,0),IF('01_Input'!$L$61="Palier",IF(AND(V$15&gt;='01_Input'!$J$61,V$15&lt;'01_Input'!$K$61),'01_Input'!$M$61,0),MAX(MIN(V$15,'01_Input'!$K$61)-'01_Input'!$J$61,0)*'01_Input'!$M$61))+IF('01_Input'!$P$61="Forfait",IF(V$15&gt;='01_Input'!$N$61,'01_Input'!$Q$61,0),IF('01_Input'!$P$61="Palier",IF(AND(V$15&gt;='01_Input'!$N$61,V$15&lt;'01_Input'!$O$61),'01_Input'!$Q$61,0),MAX(MIN(V$15,'01_Input'!$O$61)-'01_Input'!$N$61,0)*'01_Input'!$Q$61))+IF('01_Input'!$T$61="Forfait",IF(V$15&gt;='01_Input'!$R$61,'01_Input'!$U$61,0),IF('01_Input'!$T$61="Palier",IF(AND(V$15&gt;='01_Input'!$R$61,V$15&lt;'01_Input'!$S$61),'01_Input'!$U$61,0),MAX(MIN(V$15,'01_Input'!$S$61)-'01_Input'!$R$61,0)*'01_Input'!$U$61))+IF('01_Input'!$X$61="Forfait",IF(V$15&gt;='01_Input'!$V$61,'01_Input'!$Y$61,0),IF('01_Input'!$X$61="Palier",IF(AND(V$15&gt;='01_Input'!$V$61,V$15&lt;'01_Input'!$W$61),'01_Input'!$Y$61,0),MAX(MIN(V$15,'01_Input'!$W$61)-'01_Input'!$V$61,0)*'01_Input'!$Y$61))+IF('01_Input'!$AB$61="Forfait",IF(V$15&gt;='01_Input'!$Z$61,'01_Input'!$AC$61,0),IF('01_Input'!$AB$61="Palier",IF(AND(V$15&gt;='01_Input'!$Z$61,V$15&lt;'01_Input'!$AA$61),'01_Input'!$AC$61,0),MAX(MIN(V$15,'01_Input'!$AA$61)-'01_Input'!$Z$61,0)*'01_Input'!$AC$61))))))))))</f>
        <v/>
      </c>
      <c r="W52" s="25" t="str">
        <f>IF(W$15="","",IF('01_Input'!$C$61="Non",0,MIN('01_Input'!$I$61,MAX('01_Input'!$H$61,IF('01_Input'!$G$61="Résiduel vs Gestion",0,IF('01_Input'!$G$61="Taux Classe sélectionnée",Distrib_Global_Classe_Selectionnee*W$15,IF('01_Input'!$G$61="Frais KYC (paliers de 100M€)",MAX(0,Nb_Investisseurs-Nb_KYC_Gratuites_Par_Tranche*(FLOOR(W$15/Taille_Tranche_KYC,1)+1))*Cout_Par_KYC_Supplementaire,(IF('01_Input'!$L$61="Forfait",IF(W$15&gt;='01_Input'!$J$61,'01_Input'!$M$61,0),IF('01_Input'!$L$61="Palier",IF(AND(W$15&gt;='01_Input'!$J$61,W$15&lt;'01_Input'!$K$61),'01_Input'!$M$61,0),MAX(MIN(W$15,'01_Input'!$K$61)-'01_Input'!$J$61,0)*'01_Input'!$M$61))+IF('01_Input'!$P$61="Forfait",IF(W$15&gt;='01_Input'!$N$61,'01_Input'!$Q$61,0),IF('01_Input'!$P$61="Palier",IF(AND(W$15&gt;='01_Input'!$N$61,W$15&lt;'01_Input'!$O$61),'01_Input'!$Q$61,0),MAX(MIN(W$15,'01_Input'!$O$61)-'01_Input'!$N$61,0)*'01_Input'!$Q$61))+IF('01_Input'!$T$61="Forfait",IF(W$15&gt;='01_Input'!$R$61,'01_Input'!$U$61,0),IF('01_Input'!$T$61="Palier",IF(AND(W$15&gt;='01_Input'!$R$61,W$15&lt;'01_Input'!$S$61),'01_Input'!$U$61,0),MAX(MIN(W$15,'01_Input'!$S$61)-'01_Input'!$R$61,0)*'01_Input'!$U$61))+IF('01_Input'!$X$61="Forfait",IF(W$15&gt;='01_Input'!$V$61,'01_Input'!$Y$61,0),IF('01_Input'!$X$61="Palier",IF(AND(W$15&gt;='01_Input'!$V$61,W$15&lt;'01_Input'!$W$61),'01_Input'!$Y$61,0),MAX(MIN(W$15,'01_Input'!$W$61)-'01_Input'!$V$61,0)*'01_Input'!$Y$61))+IF('01_Input'!$AB$61="Forfait",IF(W$15&gt;='01_Input'!$Z$61,'01_Input'!$AC$61,0),IF('01_Input'!$AB$61="Palier",IF(AND(W$15&gt;='01_Input'!$Z$61,W$15&lt;'01_Input'!$AA$61),'01_Input'!$AC$61,0),MAX(MIN(W$15,'01_Input'!$AA$61)-'01_Input'!$Z$61,0)*'01_Input'!$AC$61))))))))))</f>
        <v/>
      </c>
      <c r="X52" s="25" t="str">
        <f>IF(X$15="","",IF('01_Input'!$C$61="Non",0,MIN('01_Input'!$I$61,MAX('01_Input'!$H$61,IF('01_Input'!$G$61="Résiduel vs Gestion",0,IF('01_Input'!$G$61="Taux Classe sélectionnée",Distrib_Global_Classe_Selectionnee*X$15,IF('01_Input'!$G$61="Frais KYC (paliers de 100M€)",MAX(0,Nb_Investisseurs-Nb_KYC_Gratuites_Par_Tranche*(FLOOR(X$15/Taille_Tranche_KYC,1)+1))*Cout_Par_KYC_Supplementaire,(IF('01_Input'!$L$61="Forfait",IF(X$15&gt;='01_Input'!$J$61,'01_Input'!$M$61,0),IF('01_Input'!$L$61="Palier",IF(AND(X$15&gt;='01_Input'!$J$61,X$15&lt;'01_Input'!$K$61),'01_Input'!$M$61,0),MAX(MIN(X$15,'01_Input'!$K$61)-'01_Input'!$J$61,0)*'01_Input'!$M$61))+IF('01_Input'!$P$61="Forfait",IF(X$15&gt;='01_Input'!$N$61,'01_Input'!$Q$61,0),IF('01_Input'!$P$61="Palier",IF(AND(X$15&gt;='01_Input'!$N$61,X$15&lt;'01_Input'!$O$61),'01_Input'!$Q$61,0),MAX(MIN(X$15,'01_Input'!$O$61)-'01_Input'!$N$61,0)*'01_Input'!$Q$61))+IF('01_Input'!$T$61="Forfait",IF(X$15&gt;='01_Input'!$R$61,'01_Input'!$U$61,0),IF('01_Input'!$T$61="Palier",IF(AND(X$15&gt;='01_Input'!$R$61,X$15&lt;'01_Input'!$S$61),'01_Input'!$U$61,0),MAX(MIN(X$15,'01_Input'!$S$61)-'01_Input'!$R$61,0)*'01_Input'!$U$61))+IF('01_Input'!$X$61="Forfait",IF(X$15&gt;='01_Input'!$V$61,'01_Input'!$Y$61,0),IF('01_Input'!$X$61="Palier",IF(AND(X$15&gt;='01_Input'!$V$61,X$15&lt;'01_Input'!$W$61),'01_Input'!$Y$61,0),MAX(MIN(X$15,'01_Input'!$W$61)-'01_Input'!$V$61,0)*'01_Input'!$Y$61))+IF('01_Input'!$AB$61="Forfait",IF(X$15&gt;='01_Input'!$Z$61,'01_Input'!$AC$61,0),IF('01_Input'!$AB$61="Palier",IF(AND(X$15&gt;='01_Input'!$Z$61,X$15&lt;'01_Input'!$AA$61),'01_Input'!$AC$61,0),MAX(MIN(X$15,'01_Input'!$AA$61)-'01_Input'!$Z$61,0)*'01_Input'!$AC$61))))))))))</f>
        <v/>
      </c>
      <c r="Y52" s="25" t="str">
        <f>IF(Y$15="","",IF('01_Input'!$C$61="Non",0,MIN('01_Input'!$I$61,MAX('01_Input'!$H$61,IF('01_Input'!$G$61="Résiduel vs Gestion",0,IF('01_Input'!$G$61="Taux Classe sélectionnée",Distrib_Global_Classe_Selectionnee*Y$15,IF('01_Input'!$G$61="Frais KYC (paliers de 100M€)",MAX(0,Nb_Investisseurs-Nb_KYC_Gratuites_Par_Tranche*(FLOOR(Y$15/Taille_Tranche_KYC,1)+1))*Cout_Par_KYC_Supplementaire,(IF('01_Input'!$L$61="Forfait",IF(Y$15&gt;='01_Input'!$J$61,'01_Input'!$M$61,0),IF('01_Input'!$L$61="Palier",IF(AND(Y$15&gt;='01_Input'!$J$61,Y$15&lt;'01_Input'!$K$61),'01_Input'!$M$61,0),MAX(MIN(Y$15,'01_Input'!$K$61)-'01_Input'!$J$61,0)*'01_Input'!$M$61))+IF('01_Input'!$P$61="Forfait",IF(Y$15&gt;='01_Input'!$N$61,'01_Input'!$Q$61,0),IF('01_Input'!$P$61="Palier",IF(AND(Y$15&gt;='01_Input'!$N$61,Y$15&lt;'01_Input'!$O$61),'01_Input'!$Q$61,0),MAX(MIN(Y$15,'01_Input'!$O$61)-'01_Input'!$N$61,0)*'01_Input'!$Q$61))+IF('01_Input'!$T$61="Forfait",IF(Y$15&gt;='01_Input'!$R$61,'01_Input'!$U$61,0),IF('01_Input'!$T$61="Palier",IF(AND(Y$15&gt;='01_Input'!$R$61,Y$15&lt;'01_Input'!$S$61),'01_Input'!$U$61,0),MAX(MIN(Y$15,'01_Input'!$S$61)-'01_Input'!$R$61,0)*'01_Input'!$U$61))+IF('01_Input'!$X$61="Forfait",IF(Y$15&gt;='01_Input'!$V$61,'01_Input'!$Y$61,0),IF('01_Input'!$X$61="Palier",IF(AND(Y$15&gt;='01_Input'!$V$61,Y$15&lt;'01_Input'!$W$61),'01_Input'!$Y$61,0),MAX(MIN(Y$15,'01_Input'!$W$61)-'01_Input'!$V$61,0)*'01_Input'!$Y$61))+IF('01_Input'!$AB$61="Forfait",IF(Y$15&gt;='01_Input'!$Z$61,'01_Input'!$AC$61,0),IF('01_Input'!$AB$61="Palier",IF(AND(Y$15&gt;='01_Input'!$Z$61,Y$15&lt;'01_Input'!$AA$61),'01_Input'!$AC$61,0),MAX(MIN(Y$15,'01_Input'!$AA$61)-'01_Input'!$Z$61,0)*'01_Input'!$AC$61))))))))))</f>
        <v/>
      </c>
      <c r="Z52" s="25" t="str">
        <f>IF(Z$15="","",IF('01_Input'!$C$61="Non",0,MIN('01_Input'!$I$61,MAX('01_Input'!$H$61,IF('01_Input'!$G$61="Résiduel vs Gestion",0,IF('01_Input'!$G$61="Taux Classe sélectionnée",Distrib_Global_Classe_Selectionnee*Z$15,IF('01_Input'!$G$61="Frais KYC (paliers de 100M€)",MAX(0,Nb_Investisseurs-Nb_KYC_Gratuites_Par_Tranche*(FLOOR(Z$15/Taille_Tranche_KYC,1)+1))*Cout_Par_KYC_Supplementaire,(IF('01_Input'!$L$61="Forfait",IF(Z$15&gt;='01_Input'!$J$61,'01_Input'!$M$61,0),IF('01_Input'!$L$61="Palier",IF(AND(Z$15&gt;='01_Input'!$J$61,Z$15&lt;'01_Input'!$K$61),'01_Input'!$M$61,0),MAX(MIN(Z$15,'01_Input'!$K$61)-'01_Input'!$J$61,0)*'01_Input'!$M$61))+IF('01_Input'!$P$61="Forfait",IF(Z$15&gt;='01_Input'!$N$61,'01_Input'!$Q$61,0),IF('01_Input'!$P$61="Palier",IF(AND(Z$15&gt;='01_Input'!$N$61,Z$15&lt;'01_Input'!$O$61),'01_Input'!$Q$61,0),MAX(MIN(Z$15,'01_Input'!$O$61)-'01_Input'!$N$61,0)*'01_Input'!$Q$61))+IF('01_Input'!$T$61="Forfait",IF(Z$15&gt;='01_Input'!$R$61,'01_Input'!$U$61,0),IF('01_Input'!$T$61="Palier",IF(AND(Z$15&gt;='01_Input'!$R$61,Z$15&lt;'01_Input'!$S$61),'01_Input'!$U$61,0),MAX(MIN(Z$15,'01_Input'!$S$61)-'01_Input'!$R$61,0)*'01_Input'!$U$61))+IF('01_Input'!$X$61="Forfait",IF(Z$15&gt;='01_Input'!$V$61,'01_Input'!$Y$61,0),IF('01_Input'!$X$61="Palier",IF(AND(Z$15&gt;='01_Input'!$V$61,Z$15&lt;'01_Input'!$W$61),'01_Input'!$Y$61,0),MAX(MIN(Z$15,'01_Input'!$W$61)-'01_Input'!$V$61,0)*'01_Input'!$Y$61))+IF('01_Input'!$AB$61="Forfait",IF(Z$15&gt;='01_Input'!$Z$61,'01_Input'!$AC$61,0),IF('01_Input'!$AB$61="Palier",IF(AND(Z$15&gt;='01_Input'!$Z$61,Z$15&lt;'01_Input'!$AA$61),'01_Input'!$AC$61,0),MAX(MIN(Z$15,'01_Input'!$AA$61)-'01_Input'!$Z$61,0)*'01_Input'!$AC$61))))))))))</f>
        <v/>
      </c>
      <c r="AA52" s="25" t="str">
        <f>IF(AA$15="","",IF('01_Input'!$C$61="Non",0,MIN('01_Input'!$I$61,MAX('01_Input'!$H$61,IF('01_Input'!$G$61="Résiduel vs Gestion",0,IF('01_Input'!$G$61="Taux Classe sélectionnée",Distrib_Global_Classe_Selectionnee*AA$15,IF('01_Input'!$G$61="Frais KYC (paliers de 100M€)",MAX(0,Nb_Investisseurs-Nb_KYC_Gratuites_Par_Tranche*(FLOOR(AA$15/Taille_Tranche_KYC,1)+1))*Cout_Par_KYC_Supplementaire,(IF('01_Input'!$L$61="Forfait",IF(AA$15&gt;='01_Input'!$J$61,'01_Input'!$M$61,0),IF('01_Input'!$L$61="Palier",IF(AND(AA$15&gt;='01_Input'!$J$61,AA$15&lt;'01_Input'!$K$61),'01_Input'!$M$61,0),MAX(MIN(AA$15,'01_Input'!$K$61)-'01_Input'!$J$61,0)*'01_Input'!$M$61))+IF('01_Input'!$P$61="Forfait",IF(AA$15&gt;='01_Input'!$N$61,'01_Input'!$Q$61,0),IF('01_Input'!$P$61="Palier",IF(AND(AA$15&gt;='01_Input'!$N$61,AA$15&lt;'01_Input'!$O$61),'01_Input'!$Q$61,0),MAX(MIN(AA$15,'01_Input'!$O$61)-'01_Input'!$N$61,0)*'01_Input'!$Q$61))+IF('01_Input'!$T$61="Forfait",IF(AA$15&gt;='01_Input'!$R$61,'01_Input'!$U$61,0),IF('01_Input'!$T$61="Palier",IF(AND(AA$15&gt;='01_Input'!$R$61,AA$15&lt;'01_Input'!$S$61),'01_Input'!$U$61,0),MAX(MIN(AA$15,'01_Input'!$S$61)-'01_Input'!$R$61,0)*'01_Input'!$U$61))+IF('01_Input'!$X$61="Forfait",IF(AA$15&gt;='01_Input'!$V$61,'01_Input'!$Y$61,0),IF('01_Input'!$X$61="Palier",IF(AND(AA$15&gt;='01_Input'!$V$61,AA$15&lt;'01_Input'!$W$61),'01_Input'!$Y$61,0),MAX(MIN(AA$15,'01_Input'!$W$61)-'01_Input'!$V$61,0)*'01_Input'!$Y$61))+IF('01_Input'!$AB$61="Forfait",IF(AA$15&gt;='01_Input'!$Z$61,'01_Input'!$AC$61,0),IF('01_Input'!$AB$61="Palier",IF(AND(AA$15&gt;='01_Input'!$Z$61,AA$15&lt;'01_Input'!$AA$61),'01_Input'!$AC$61,0),MAX(MIN(AA$15,'01_Input'!$AA$61)-'01_Input'!$Z$61,0)*'01_Input'!$AC$61))))))))))</f>
        <v/>
      </c>
      <c r="AB52" s="25" t="str">
        <f>IF(AB$15="","",IF('01_Input'!$C$61="Non",0,MIN('01_Input'!$I$61,MAX('01_Input'!$H$61,IF('01_Input'!$G$61="Résiduel vs Gestion",0,IF('01_Input'!$G$61="Taux Classe sélectionnée",Distrib_Global_Classe_Selectionnee*AB$15,IF('01_Input'!$G$61="Frais KYC (paliers de 100M€)",MAX(0,Nb_Investisseurs-Nb_KYC_Gratuites_Par_Tranche*(FLOOR(AB$15/Taille_Tranche_KYC,1)+1))*Cout_Par_KYC_Supplementaire,(IF('01_Input'!$L$61="Forfait",IF(AB$15&gt;='01_Input'!$J$61,'01_Input'!$M$61,0),IF('01_Input'!$L$61="Palier",IF(AND(AB$15&gt;='01_Input'!$J$61,AB$15&lt;'01_Input'!$K$61),'01_Input'!$M$61,0),MAX(MIN(AB$15,'01_Input'!$K$61)-'01_Input'!$J$61,0)*'01_Input'!$M$61))+IF('01_Input'!$P$61="Forfait",IF(AB$15&gt;='01_Input'!$N$61,'01_Input'!$Q$61,0),IF('01_Input'!$P$61="Palier",IF(AND(AB$15&gt;='01_Input'!$N$61,AB$15&lt;'01_Input'!$O$61),'01_Input'!$Q$61,0),MAX(MIN(AB$15,'01_Input'!$O$61)-'01_Input'!$N$61,0)*'01_Input'!$Q$61))+IF('01_Input'!$T$61="Forfait",IF(AB$15&gt;='01_Input'!$R$61,'01_Input'!$U$61,0),IF('01_Input'!$T$61="Palier",IF(AND(AB$15&gt;='01_Input'!$R$61,AB$15&lt;'01_Input'!$S$61),'01_Input'!$U$61,0),MAX(MIN(AB$15,'01_Input'!$S$61)-'01_Input'!$R$61,0)*'01_Input'!$U$61))+IF('01_Input'!$X$61="Forfait",IF(AB$15&gt;='01_Input'!$V$61,'01_Input'!$Y$61,0),IF('01_Input'!$X$61="Palier",IF(AND(AB$15&gt;='01_Input'!$V$61,AB$15&lt;'01_Input'!$W$61),'01_Input'!$Y$61,0),MAX(MIN(AB$15,'01_Input'!$W$61)-'01_Input'!$V$61,0)*'01_Input'!$Y$61))+IF('01_Input'!$AB$61="Forfait",IF(AB$15&gt;='01_Input'!$Z$61,'01_Input'!$AC$61,0),IF('01_Input'!$AB$61="Palier",IF(AND(AB$15&gt;='01_Input'!$Z$61,AB$15&lt;'01_Input'!$AA$61),'01_Input'!$AC$61,0),MAX(MIN(AB$15,'01_Input'!$AA$61)-'01_Input'!$Z$61,0)*'01_Input'!$AC$61))))))))))</f>
        <v/>
      </c>
      <c r="AC52" s="25" t="str">
        <f>IF(AC$15="","",IF('01_Input'!$C$61="Non",0,MIN('01_Input'!$I$61,MAX('01_Input'!$H$61,IF('01_Input'!$G$61="Résiduel vs Gestion",0,IF('01_Input'!$G$61="Taux Classe sélectionnée",Distrib_Global_Classe_Selectionnee*AC$15,IF('01_Input'!$G$61="Frais KYC (paliers de 100M€)",MAX(0,Nb_Investisseurs-Nb_KYC_Gratuites_Par_Tranche*(FLOOR(AC$15/Taille_Tranche_KYC,1)+1))*Cout_Par_KYC_Supplementaire,(IF('01_Input'!$L$61="Forfait",IF(AC$15&gt;='01_Input'!$J$61,'01_Input'!$M$61,0),IF('01_Input'!$L$61="Palier",IF(AND(AC$15&gt;='01_Input'!$J$61,AC$15&lt;'01_Input'!$K$61),'01_Input'!$M$61,0),MAX(MIN(AC$15,'01_Input'!$K$61)-'01_Input'!$J$61,0)*'01_Input'!$M$61))+IF('01_Input'!$P$61="Forfait",IF(AC$15&gt;='01_Input'!$N$61,'01_Input'!$Q$61,0),IF('01_Input'!$P$61="Palier",IF(AND(AC$15&gt;='01_Input'!$N$61,AC$15&lt;'01_Input'!$O$61),'01_Input'!$Q$61,0),MAX(MIN(AC$15,'01_Input'!$O$61)-'01_Input'!$N$61,0)*'01_Input'!$Q$61))+IF('01_Input'!$T$61="Forfait",IF(AC$15&gt;='01_Input'!$R$61,'01_Input'!$U$61,0),IF('01_Input'!$T$61="Palier",IF(AND(AC$15&gt;='01_Input'!$R$61,AC$15&lt;'01_Input'!$S$61),'01_Input'!$U$61,0),MAX(MIN(AC$15,'01_Input'!$S$61)-'01_Input'!$R$61,0)*'01_Input'!$U$61))+IF('01_Input'!$X$61="Forfait",IF(AC$15&gt;='01_Input'!$V$61,'01_Input'!$Y$61,0),IF('01_Input'!$X$61="Palier",IF(AND(AC$15&gt;='01_Input'!$V$61,AC$15&lt;'01_Input'!$W$61),'01_Input'!$Y$61,0),MAX(MIN(AC$15,'01_Input'!$W$61)-'01_Input'!$V$61,0)*'01_Input'!$Y$61))+IF('01_Input'!$AB$61="Forfait",IF(AC$15&gt;='01_Input'!$Z$61,'01_Input'!$AC$61,0),IF('01_Input'!$AB$61="Palier",IF(AND(AC$15&gt;='01_Input'!$Z$61,AC$15&lt;'01_Input'!$AA$61),'01_Input'!$AC$61,0),MAX(MIN(AC$15,'01_Input'!$AA$61)-'01_Input'!$Z$61,0)*'01_Input'!$AC$61))))))))))</f>
        <v/>
      </c>
      <c r="AD52" s="25" t="str">
        <f>IF(AD$15="","",IF('01_Input'!$C$61="Non",0,MIN('01_Input'!$I$61,MAX('01_Input'!$H$61,IF('01_Input'!$G$61="Résiduel vs Gestion",0,IF('01_Input'!$G$61="Taux Classe sélectionnée",Distrib_Global_Classe_Selectionnee*AD$15,IF('01_Input'!$G$61="Frais KYC (paliers de 100M€)",MAX(0,Nb_Investisseurs-Nb_KYC_Gratuites_Par_Tranche*(FLOOR(AD$15/Taille_Tranche_KYC,1)+1))*Cout_Par_KYC_Supplementaire,(IF('01_Input'!$L$61="Forfait",IF(AD$15&gt;='01_Input'!$J$61,'01_Input'!$M$61,0),IF('01_Input'!$L$61="Palier",IF(AND(AD$15&gt;='01_Input'!$J$61,AD$15&lt;'01_Input'!$K$61),'01_Input'!$M$61,0),MAX(MIN(AD$15,'01_Input'!$K$61)-'01_Input'!$J$61,0)*'01_Input'!$M$61))+IF('01_Input'!$P$61="Forfait",IF(AD$15&gt;='01_Input'!$N$61,'01_Input'!$Q$61,0),IF('01_Input'!$P$61="Palier",IF(AND(AD$15&gt;='01_Input'!$N$61,AD$15&lt;'01_Input'!$O$61),'01_Input'!$Q$61,0),MAX(MIN(AD$15,'01_Input'!$O$61)-'01_Input'!$N$61,0)*'01_Input'!$Q$61))+IF('01_Input'!$T$61="Forfait",IF(AD$15&gt;='01_Input'!$R$61,'01_Input'!$U$61,0),IF('01_Input'!$T$61="Palier",IF(AND(AD$15&gt;='01_Input'!$R$61,AD$15&lt;'01_Input'!$S$61),'01_Input'!$U$61,0),MAX(MIN(AD$15,'01_Input'!$S$61)-'01_Input'!$R$61,0)*'01_Input'!$U$61))+IF('01_Input'!$X$61="Forfait",IF(AD$15&gt;='01_Input'!$V$61,'01_Input'!$Y$61,0),IF('01_Input'!$X$61="Palier",IF(AND(AD$15&gt;='01_Input'!$V$61,AD$15&lt;'01_Input'!$W$61),'01_Input'!$Y$61,0),MAX(MIN(AD$15,'01_Input'!$W$61)-'01_Input'!$V$61,0)*'01_Input'!$Y$61))+IF('01_Input'!$AB$61="Forfait",IF(AD$15&gt;='01_Input'!$Z$61,'01_Input'!$AC$61,0),IF('01_Input'!$AB$61="Palier",IF(AND(AD$15&gt;='01_Input'!$Z$61,AD$15&lt;'01_Input'!$AA$61),'01_Input'!$AC$61,0),MAX(MIN(AD$15,'01_Input'!$AA$61)-'01_Input'!$Z$61,0)*'01_Input'!$AC$61))))))))))</f>
        <v/>
      </c>
      <c r="AE52" s="25" t="str">
        <f>IF(AE$15="","",IF('01_Input'!$C$61="Non",0,MIN('01_Input'!$I$61,MAX('01_Input'!$H$61,IF('01_Input'!$G$61="Résiduel vs Gestion",0,IF('01_Input'!$G$61="Taux Classe sélectionnée",Distrib_Global_Classe_Selectionnee*AE$15,IF('01_Input'!$G$61="Frais KYC (paliers de 100M€)",MAX(0,Nb_Investisseurs-Nb_KYC_Gratuites_Par_Tranche*(FLOOR(AE$15/Taille_Tranche_KYC,1)+1))*Cout_Par_KYC_Supplementaire,(IF('01_Input'!$L$61="Forfait",IF(AE$15&gt;='01_Input'!$J$61,'01_Input'!$M$61,0),IF('01_Input'!$L$61="Palier",IF(AND(AE$15&gt;='01_Input'!$J$61,AE$15&lt;'01_Input'!$K$61),'01_Input'!$M$61,0),MAX(MIN(AE$15,'01_Input'!$K$61)-'01_Input'!$J$61,0)*'01_Input'!$M$61))+IF('01_Input'!$P$61="Forfait",IF(AE$15&gt;='01_Input'!$N$61,'01_Input'!$Q$61,0),IF('01_Input'!$P$61="Palier",IF(AND(AE$15&gt;='01_Input'!$N$61,AE$15&lt;'01_Input'!$O$61),'01_Input'!$Q$61,0),MAX(MIN(AE$15,'01_Input'!$O$61)-'01_Input'!$N$61,0)*'01_Input'!$Q$61))+IF('01_Input'!$T$61="Forfait",IF(AE$15&gt;='01_Input'!$R$61,'01_Input'!$U$61,0),IF('01_Input'!$T$61="Palier",IF(AND(AE$15&gt;='01_Input'!$R$61,AE$15&lt;'01_Input'!$S$61),'01_Input'!$U$61,0),MAX(MIN(AE$15,'01_Input'!$S$61)-'01_Input'!$R$61,0)*'01_Input'!$U$61))+IF('01_Input'!$X$61="Forfait",IF(AE$15&gt;='01_Input'!$V$61,'01_Input'!$Y$61,0),IF('01_Input'!$X$61="Palier",IF(AND(AE$15&gt;='01_Input'!$V$61,AE$15&lt;'01_Input'!$W$61),'01_Input'!$Y$61,0),MAX(MIN(AE$15,'01_Input'!$W$61)-'01_Input'!$V$61,0)*'01_Input'!$Y$61))+IF('01_Input'!$AB$61="Forfait",IF(AE$15&gt;='01_Input'!$Z$61,'01_Input'!$AC$61,0),IF('01_Input'!$AB$61="Palier",IF(AND(AE$15&gt;='01_Input'!$Z$61,AE$15&lt;'01_Input'!$AA$61),'01_Input'!$AC$61,0),MAX(MIN(AE$15,'01_Input'!$AA$61)-'01_Input'!$Z$61,0)*'01_Input'!$AC$61))))))))))</f>
        <v/>
      </c>
      <c r="AF52" s="25" t="str">
        <f>IF(AF$15="","",IF('01_Input'!$C$61="Non",0,MIN('01_Input'!$I$61,MAX('01_Input'!$H$61,IF('01_Input'!$G$61="Résiduel vs Gestion",0,IF('01_Input'!$G$61="Taux Classe sélectionnée",Distrib_Global_Classe_Selectionnee*AF$15,IF('01_Input'!$G$61="Frais KYC (paliers de 100M€)",MAX(0,Nb_Investisseurs-Nb_KYC_Gratuites_Par_Tranche*(FLOOR(AF$15/Taille_Tranche_KYC,1)+1))*Cout_Par_KYC_Supplementaire,(IF('01_Input'!$L$61="Forfait",IF(AF$15&gt;='01_Input'!$J$61,'01_Input'!$M$61,0),IF('01_Input'!$L$61="Palier",IF(AND(AF$15&gt;='01_Input'!$J$61,AF$15&lt;'01_Input'!$K$61),'01_Input'!$M$61,0),MAX(MIN(AF$15,'01_Input'!$K$61)-'01_Input'!$J$61,0)*'01_Input'!$M$61))+IF('01_Input'!$P$61="Forfait",IF(AF$15&gt;='01_Input'!$N$61,'01_Input'!$Q$61,0),IF('01_Input'!$P$61="Palier",IF(AND(AF$15&gt;='01_Input'!$N$61,AF$15&lt;'01_Input'!$O$61),'01_Input'!$Q$61,0),MAX(MIN(AF$15,'01_Input'!$O$61)-'01_Input'!$N$61,0)*'01_Input'!$Q$61))+IF('01_Input'!$T$61="Forfait",IF(AF$15&gt;='01_Input'!$R$61,'01_Input'!$U$61,0),IF('01_Input'!$T$61="Palier",IF(AND(AF$15&gt;='01_Input'!$R$61,AF$15&lt;'01_Input'!$S$61),'01_Input'!$U$61,0),MAX(MIN(AF$15,'01_Input'!$S$61)-'01_Input'!$R$61,0)*'01_Input'!$U$61))+IF('01_Input'!$X$61="Forfait",IF(AF$15&gt;='01_Input'!$V$61,'01_Input'!$Y$61,0),IF('01_Input'!$X$61="Palier",IF(AND(AF$15&gt;='01_Input'!$V$61,AF$15&lt;'01_Input'!$W$61),'01_Input'!$Y$61,0),MAX(MIN(AF$15,'01_Input'!$W$61)-'01_Input'!$V$61,0)*'01_Input'!$Y$61))+IF('01_Input'!$AB$61="Forfait",IF(AF$15&gt;='01_Input'!$Z$61,'01_Input'!$AC$61,0),IF('01_Input'!$AB$61="Palier",IF(AND(AF$15&gt;='01_Input'!$Z$61,AF$15&lt;'01_Input'!$AA$61),'01_Input'!$AC$61,0),MAX(MIN(AF$15,'01_Input'!$AA$61)-'01_Input'!$Z$61,0)*'01_Input'!$AC$61))))))))))</f>
        <v/>
      </c>
      <c r="AG52" s="25" t="str">
        <f>IF(AG$15="","",IF('01_Input'!$C$61="Non",0,MIN('01_Input'!$I$61,MAX('01_Input'!$H$61,IF('01_Input'!$G$61="Résiduel vs Gestion",0,IF('01_Input'!$G$61="Taux Classe sélectionnée",Distrib_Global_Classe_Selectionnee*AG$15,IF('01_Input'!$G$61="Frais KYC (paliers de 100M€)",MAX(0,Nb_Investisseurs-Nb_KYC_Gratuites_Par_Tranche*(FLOOR(AG$15/Taille_Tranche_KYC,1)+1))*Cout_Par_KYC_Supplementaire,(IF('01_Input'!$L$61="Forfait",IF(AG$15&gt;='01_Input'!$J$61,'01_Input'!$M$61,0),IF('01_Input'!$L$61="Palier",IF(AND(AG$15&gt;='01_Input'!$J$61,AG$15&lt;'01_Input'!$K$61),'01_Input'!$M$61,0),MAX(MIN(AG$15,'01_Input'!$K$61)-'01_Input'!$J$61,0)*'01_Input'!$M$61))+IF('01_Input'!$P$61="Forfait",IF(AG$15&gt;='01_Input'!$N$61,'01_Input'!$Q$61,0),IF('01_Input'!$P$61="Palier",IF(AND(AG$15&gt;='01_Input'!$N$61,AG$15&lt;'01_Input'!$O$61),'01_Input'!$Q$61,0),MAX(MIN(AG$15,'01_Input'!$O$61)-'01_Input'!$N$61,0)*'01_Input'!$Q$61))+IF('01_Input'!$T$61="Forfait",IF(AG$15&gt;='01_Input'!$R$61,'01_Input'!$U$61,0),IF('01_Input'!$T$61="Palier",IF(AND(AG$15&gt;='01_Input'!$R$61,AG$15&lt;'01_Input'!$S$61),'01_Input'!$U$61,0),MAX(MIN(AG$15,'01_Input'!$S$61)-'01_Input'!$R$61,0)*'01_Input'!$U$61))+IF('01_Input'!$X$61="Forfait",IF(AG$15&gt;='01_Input'!$V$61,'01_Input'!$Y$61,0),IF('01_Input'!$X$61="Palier",IF(AND(AG$15&gt;='01_Input'!$V$61,AG$15&lt;'01_Input'!$W$61),'01_Input'!$Y$61,0),MAX(MIN(AG$15,'01_Input'!$W$61)-'01_Input'!$V$61,0)*'01_Input'!$Y$61))+IF('01_Input'!$AB$61="Forfait",IF(AG$15&gt;='01_Input'!$Z$61,'01_Input'!$AC$61,0),IF('01_Input'!$AB$61="Palier",IF(AND(AG$15&gt;='01_Input'!$Z$61,AG$15&lt;'01_Input'!$AA$61),'01_Input'!$AC$61,0),MAX(MIN(AG$15,'01_Input'!$AA$61)-'01_Input'!$Z$61,0)*'01_Input'!$AC$61))))))))))</f>
        <v/>
      </c>
      <c r="AH52" s="25" t="str">
        <f>IF(AH$15="","",IF('01_Input'!$C$61="Non",0,MIN('01_Input'!$I$61,MAX('01_Input'!$H$61,IF('01_Input'!$G$61="Résiduel vs Gestion",0,IF('01_Input'!$G$61="Taux Classe sélectionnée",Distrib_Global_Classe_Selectionnee*AH$15,IF('01_Input'!$G$61="Frais KYC (paliers de 100M€)",MAX(0,Nb_Investisseurs-Nb_KYC_Gratuites_Par_Tranche*(FLOOR(AH$15/Taille_Tranche_KYC,1)+1))*Cout_Par_KYC_Supplementaire,(IF('01_Input'!$L$61="Forfait",IF(AH$15&gt;='01_Input'!$J$61,'01_Input'!$M$61,0),IF('01_Input'!$L$61="Palier",IF(AND(AH$15&gt;='01_Input'!$J$61,AH$15&lt;'01_Input'!$K$61),'01_Input'!$M$61,0),MAX(MIN(AH$15,'01_Input'!$K$61)-'01_Input'!$J$61,0)*'01_Input'!$M$61))+IF('01_Input'!$P$61="Forfait",IF(AH$15&gt;='01_Input'!$N$61,'01_Input'!$Q$61,0),IF('01_Input'!$P$61="Palier",IF(AND(AH$15&gt;='01_Input'!$N$61,AH$15&lt;'01_Input'!$O$61),'01_Input'!$Q$61,0),MAX(MIN(AH$15,'01_Input'!$O$61)-'01_Input'!$N$61,0)*'01_Input'!$Q$61))+IF('01_Input'!$T$61="Forfait",IF(AH$15&gt;='01_Input'!$R$61,'01_Input'!$U$61,0),IF('01_Input'!$T$61="Palier",IF(AND(AH$15&gt;='01_Input'!$R$61,AH$15&lt;'01_Input'!$S$61),'01_Input'!$U$61,0),MAX(MIN(AH$15,'01_Input'!$S$61)-'01_Input'!$R$61,0)*'01_Input'!$U$61))+IF('01_Input'!$X$61="Forfait",IF(AH$15&gt;='01_Input'!$V$61,'01_Input'!$Y$61,0),IF('01_Input'!$X$61="Palier",IF(AND(AH$15&gt;='01_Input'!$V$61,AH$15&lt;'01_Input'!$W$61),'01_Input'!$Y$61,0),MAX(MIN(AH$15,'01_Input'!$W$61)-'01_Input'!$V$61,0)*'01_Input'!$Y$61))+IF('01_Input'!$AB$61="Forfait",IF(AH$15&gt;='01_Input'!$Z$61,'01_Input'!$AC$61,0),IF('01_Input'!$AB$61="Palier",IF(AND(AH$15&gt;='01_Input'!$Z$61,AH$15&lt;'01_Input'!$AA$61),'01_Input'!$AC$61,0),MAX(MIN(AH$15,'01_Input'!$AA$61)-'01_Input'!$Z$61,0)*'01_Input'!$AC$61))))))))))</f>
        <v/>
      </c>
      <c r="AI52" s="25" t="str">
        <f>IF(AI$15="","",IF('01_Input'!$C$61="Non",0,MIN('01_Input'!$I$61,MAX('01_Input'!$H$61,IF('01_Input'!$G$61="Résiduel vs Gestion",0,IF('01_Input'!$G$61="Taux Classe sélectionnée",Distrib_Global_Classe_Selectionnee*AI$15,IF('01_Input'!$G$61="Frais KYC (paliers de 100M€)",MAX(0,Nb_Investisseurs-Nb_KYC_Gratuites_Par_Tranche*(FLOOR(AI$15/Taille_Tranche_KYC,1)+1))*Cout_Par_KYC_Supplementaire,(IF('01_Input'!$L$61="Forfait",IF(AI$15&gt;='01_Input'!$J$61,'01_Input'!$M$61,0),IF('01_Input'!$L$61="Palier",IF(AND(AI$15&gt;='01_Input'!$J$61,AI$15&lt;'01_Input'!$K$61),'01_Input'!$M$61,0),MAX(MIN(AI$15,'01_Input'!$K$61)-'01_Input'!$J$61,0)*'01_Input'!$M$61))+IF('01_Input'!$P$61="Forfait",IF(AI$15&gt;='01_Input'!$N$61,'01_Input'!$Q$61,0),IF('01_Input'!$P$61="Palier",IF(AND(AI$15&gt;='01_Input'!$N$61,AI$15&lt;'01_Input'!$O$61),'01_Input'!$Q$61,0),MAX(MIN(AI$15,'01_Input'!$O$61)-'01_Input'!$N$61,0)*'01_Input'!$Q$61))+IF('01_Input'!$T$61="Forfait",IF(AI$15&gt;='01_Input'!$R$61,'01_Input'!$U$61,0),IF('01_Input'!$T$61="Palier",IF(AND(AI$15&gt;='01_Input'!$R$61,AI$15&lt;'01_Input'!$S$61),'01_Input'!$U$61,0),MAX(MIN(AI$15,'01_Input'!$S$61)-'01_Input'!$R$61,0)*'01_Input'!$U$61))+IF('01_Input'!$X$61="Forfait",IF(AI$15&gt;='01_Input'!$V$61,'01_Input'!$Y$61,0),IF('01_Input'!$X$61="Palier",IF(AND(AI$15&gt;='01_Input'!$V$61,AI$15&lt;'01_Input'!$W$61),'01_Input'!$Y$61,0),MAX(MIN(AI$15,'01_Input'!$W$61)-'01_Input'!$V$61,0)*'01_Input'!$Y$61))+IF('01_Input'!$AB$61="Forfait",IF(AI$15&gt;='01_Input'!$Z$61,'01_Input'!$AC$61,0),IF('01_Input'!$AB$61="Palier",IF(AND(AI$15&gt;='01_Input'!$Z$61,AI$15&lt;'01_Input'!$AA$61),'01_Input'!$AC$61,0),MAX(MIN(AI$15,'01_Input'!$AA$61)-'01_Input'!$Z$61,0)*'01_Input'!$AC$61))))))))))</f>
        <v/>
      </c>
      <c r="AJ52" s="25" t="str">
        <f>IF(AJ$15="","",IF('01_Input'!$C$61="Non",0,MIN('01_Input'!$I$61,MAX('01_Input'!$H$61,IF('01_Input'!$G$61="Résiduel vs Gestion",0,IF('01_Input'!$G$61="Taux Classe sélectionnée",Distrib_Global_Classe_Selectionnee*AJ$15,IF('01_Input'!$G$61="Frais KYC (paliers de 100M€)",MAX(0,Nb_Investisseurs-Nb_KYC_Gratuites_Par_Tranche*(FLOOR(AJ$15/Taille_Tranche_KYC,1)+1))*Cout_Par_KYC_Supplementaire,(IF('01_Input'!$L$61="Forfait",IF(AJ$15&gt;='01_Input'!$J$61,'01_Input'!$M$61,0),IF('01_Input'!$L$61="Palier",IF(AND(AJ$15&gt;='01_Input'!$J$61,AJ$15&lt;'01_Input'!$K$61),'01_Input'!$M$61,0),MAX(MIN(AJ$15,'01_Input'!$K$61)-'01_Input'!$J$61,0)*'01_Input'!$M$61))+IF('01_Input'!$P$61="Forfait",IF(AJ$15&gt;='01_Input'!$N$61,'01_Input'!$Q$61,0),IF('01_Input'!$P$61="Palier",IF(AND(AJ$15&gt;='01_Input'!$N$61,AJ$15&lt;'01_Input'!$O$61),'01_Input'!$Q$61,0),MAX(MIN(AJ$15,'01_Input'!$O$61)-'01_Input'!$N$61,0)*'01_Input'!$Q$61))+IF('01_Input'!$T$61="Forfait",IF(AJ$15&gt;='01_Input'!$R$61,'01_Input'!$U$61,0),IF('01_Input'!$T$61="Palier",IF(AND(AJ$15&gt;='01_Input'!$R$61,AJ$15&lt;'01_Input'!$S$61),'01_Input'!$U$61,0),MAX(MIN(AJ$15,'01_Input'!$S$61)-'01_Input'!$R$61,0)*'01_Input'!$U$61))+IF('01_Input'!$X$61="Forfait",IF(AJ$15&gt;='01_Input'!$V$61,'01_Input'!$Y$61,0),IF('01_Input'!$X$61="Palier",IF(AND(AJ$15&gt;='01_Input'!$V$61,AJ$15&lt;'01_Input'!$W$61),'01_Input'!$Y$61,0),MAX(MIN(AJ$15,'01_Input'!$W$61)-'01_Input'!$V$61,0)*'01_Input'!$Y$61))+IF('01_Input'!$AB$61="Forfait",IF(AJ$15&gt;='01_Input'!$Z$61,'01_Input'!$AC$61,0),IF('01_Input'!$AB$61="Palier",IF(AND(AJ$15&gt;='01_Input'!$Z$61,AJ$15&lt;'01_Input'!$AA$61),'01_Input'!$AC$61,0),MAX(MIN(AJ$15,'01_Input'!$AA$61)-'01_Input'!$Z$61,0)*'01_Input'!$AC$61))))))))))</f>
        <v/>
      </c>
      <c r="AK52" s="25" t="str">
        <f>IF(AK$15="","",IF('01_Input'!$C$61="Non",0,MIN('01_Input'!$I$61,MAX('01_Input'!$H$61,IF('01_Input'!$G$61="Résiduel vs Gestion",0,IF('01_Input'!$G$61="Taux Classe sélectionnée",Distrib_Global_Classe_Selectionnee*AK$15,IF('01_Input'!$G$61="Frais KYC (paliers de 100M€)",MAX(0,Nb_Investisseurs-Nb_KYC_Gratuites_Par_Tranche*(FLOOR(AK$15/Taille_Tranche_KYC,1)+1))*Cout_Par_KYC_Supplementaire,(IF('01_Input'!$L$61="Forfait",IF(AK$15&gt;='01_Input'!$J$61,'01_Input'!$M$61,0),IF('01_Input'!$L$61="Palier",IF(AND(AK$15&gt;='01_Input'!$J$61,AK$15&lt;'01_Input'!$K$61),'01_Input'!$M$61,0),MAX(MIN(AK$15,'01_Input'!$K$61)-'01_Input'!$J$61,0)*'01_Input'!$M$61))+IF('01_Input'!$P$61="Forfait",IF(AK$15&gt;='01_Input'!$N$61,'01_Input'!$Q$61,0),IF('01_Input'!$P$61="Palier",IF(AND(AK$15&gt;='01_Input'!$N$61,AK$15&lt;'01_Input'!$O$61),'01_Input'!$Q$61,0),MAX(MIN(AK$15,'01_Input'!$O$61)-'01_Input'!$N$61,0)*'01_Input'!$Q$61))+IF('01_Input'!$T$61="Forfait",IF(AK$15&gt;='01_Input'!$R$61,'01_Input'!$U$61,0),IF('01_Input'!$T$61="Palier",IF(AND(AK$15&gt;='01_Input'!$R$61,AK$15&lt;'01_Input'!$S$61),'01_Input'!$U$61,0),MAX(MIN(AK$15,'01_Input'!$S$61)-'01_Input'!$R$61,0)*'01_Input'!$U$61))+IF('01_Input'!$X$61="Forfait",IF(AK$15&gt;='01_Input'!$V$61,'01_Input'!$Y$61,0),IF('01_Input'!$X$61="Palier",IF(AND(AK$15&gt;='01_Input'!$V$61,AK$15&lt;'01_Input'!$W$61),'01_Input'!$Y$61,0),MAX(MIN(AK$15,'01_Input'!$W$61)-'01_Input'!$V$61,0)*'01_Input'!$Y$61))+IF('01_Input'!$AB$61="Forfait",IF(AK$15&gt;='01_Input'!$Z$61,'01_Input'!$AC$61,0),IF('01_Input'!$AB$61="Palier",IF(AND(AK$15&gt;='01_Input'!$Z$61,AK$15&lt;'01_Input'!$AA$61),'01_Input'!$AC$61,0),MAX(MIN(AK$15,'01_Input'!$AA$61)-'01_Input'!$Z$61,0)*'01_Input'!$AC$61))))))))))</f>
        <v/>
      </c>
      <c r="AL52" s="25" t="str">
        <f>IF(AL$15="","",IF('01_Input'!$C$61="Non",0,MIN('01_Input'!$I$61,MAX('01_Input'!$H$61,IF('01_Input'!$G$61="Résiduel vs Gestion",0,IF('01_Input'!$G$61="Taux Classe sélectionnée",Distrib_Global_Classe_Selectionnee*AL$15,IF('01_Input'!$G$61="Frais KYC (paliers de 100M€)",MAX(0,Nb_Investisseurs-Nb_KYC_Gratuites_Par_Tranche*(FLOOR(AL$15/Taille_Tranche_KYC,1)+1))*Cout_Par_KYC_Supplementaire,(IF('01_Input'!$L$61="Forfait",IF(AL$15&gt;='01_Input'!$J$61,'01_Input'!$M$61,0),IF('01_Input'!$L$61="Palier",IF(AND(AL$15&gt;='01_Input'!$J$61,AL$15&lt;'01_Input'!$K$61),'01_Input'!$M$61,0),MAX(MIN(AL$15,'01_Input'!$K$61)-'01_Input'!$J$61,0)*'01_Input'!$M$61))+IF('01_Input'!$P$61="Forfait",IF(AL$15&gt;='01_Input'!$N$61,'01_Input'!$Q$61,0),IF('01_Input'!$P$61="Palier",IF(AND(AL$15&gt;='01_Input'!$N$61,AL$15&lt;'01_Input'!$O$61),'01_Input'!$Q$61,0),MAX(MIN(AL$15,'01_Input'!$O$61)-'01_Input'!$N$61,0)*'01_Input'!$Q$61))+IF('01_Input'!$T$61="Forfait",IF(AL$15&gt;='01_Input'!$R$61,'01_Input'!$U$61,0),IF('01_Input'!$T$61="Palier",IF(AND(AL$15&gt;='01_Input'!$R$61,AL$15&lt;'01_Input'!$S$61),'01_Input'!$U$61,0),MAX(MIN(AL$15,'01_Input'!$S$61)-'01_Input'!$R$61,0)*'01_Input'!$U$61))+IF('01_Input'!$X$61="Forfait",IF(AL$15&gt;='01_Input'!$V$61,'01_Input'!$Y$61,0),IF('01_Input'!$X$61="Palier",IF(AND(AL$15&gt;='01_Input'!$V$61,AL$15&lt;'01_Input'!$W$61),'01_Input'!$Y$61,0),MAX(MIN(AL$15,'01_Input'!$W$61)-'01_Input'!$V$61,0)*'01_Input'!$Y$61))+IF('01_Input'!$AB$61="Forfait",IF(AL$15&gt;='01_Input'!$Z$61,'01_Input'!$AC$61,0),IF('01_Input'!$AB$61="Palier",IF(AND(AL$15&gt;='01_Input'!$Z$61,AL$15&lt;'01_Input'!$AA$61),'01_Input'!$AC$61,0),MAX(MIN(AL$15,'01_Input'!$AA$61)-'01_Input'!$Z$61,0)*'01_Input'!$AC$61))))))))))</f>
        <v/>
      </c>
      <c r="AM52" s="25" t="str">
        <f>IF(AM$15="","",IF('01_Input'!$C$61="Non",0,MIN('01_Input'!$I$61,MAX('01_Input'!$H$61,IF('01_Input'!$G$61="Résiduel vs Gestion",0,IF('01_Input'!$G$61="Taux Classe sélectionnée",Distrib_Global_Classe_Selectionnee*AM$15,IF('01_Input'!$G$61="Frais KYC (paliers de 100M€)",MAX(0,Nb_Investisseurs-Nb_KYC_Gratuites_Par_Tranche*(FLOOR(AM$15/Taille_Tranche_KYC,1)+1))*Cout_Par_KYC_Supplementaire,(IF('01_Input'!$L$61="Forfait",IF(AM$15&gt;='01_Input'!$J$61,'01_Input'!$M$61,0),IF('01_Input'!$L$61="Palier",IF(AND(AM$15&gt;='01_Input'!$J$61,AM$15&lt;'01_Input'!$K$61),'01_Input'!$M$61,0),MAX(MIN(AM$15,'01_Input'!$K$61)-'01_Input'!$J$61,0)*'01_Input'!$M$61))+IF('01_Input'!$P$61="Forfait",IF(AM$15&gt;='01_Input'!$N$61,'01_Input'!$Q$61,0),IF('01_Input'!$P$61="Palier",IF(AND(AM$15&gt;='01_Input'!$N$61,AM$15&lt;'01_Input'!$O$61),'01_Input'!$Q$61,0),MAX(MIN(AM$15,'01_Input'!$O$61)-'01_Input'!$N$61,0)*'01_Input'!$Q$61))+IF('01_Input'!$T$61="Forfait",IF(AM$15&gt;='01_Input'!$R$61,'01_Input'!$U$61,0),IF('01_Input'!$T$61="Palier",IF(AND(AM$15&gt;='01_Input'!$R$61,AM$15&lt;'01_Input'!$S$61),'01_Input'!$U$61,0),MAX(MIN(AM$15,'01_Input'!$S$61)-'01_Input'!$R$61,0)*'01_Input'!$U$61))+IF('01_Input'!$X$61="Forfait",IF(AM$15&gt;='01_Input'!$V$61,'01_Input'!$Y$61,0),IF('01_Input'!$X$61="Palier",IF(AND(AM$15&gt;='01_Input'!$V$61,AM$15&lt;'01_Input'!$W$61),'01_Input'!$Y$61,0),MAX(MIN(AM$15,'01_Input'!$W$61)-'01_Input'!$V$61,0)*'01_Input'!$Y$61))+IF('01_Input'!$AB$61="Forfait",IF(AM$15&gt;='01_Input'!$Z$61,'01_Input'!$AC$61,0),IF('01_Input'!$AB$61="Palier",IF(AND(AM$15&gt;='01_Input'!$Z$61,AM$15&lt;'01_Input'!$AA$61),'01_Input'!$AC$61,0),MAX(MIN(AM$15,'01_Input'!$AA$61)-'01_Input'!$Z$61,0)*'01_Input'!$AC$61))))))))))</f>
        <v/>
      </c>
    </row>
    <row r="53" ht="15.75" customHeight="1">
      <c r="B53" s="68" t="str">
        <f t="shared" si="1"/>
        <v>Reporting AIFM (part refacturée au fonds)</v>
      </c>
      <c r="D53" s="83">
        <f>IF(D$15="","",IF('01_Input'!$C$62="Non",0,MIN('01_Input'!$I$62,MAX('01_Input'!$H$62,IF('01_Input'!$G$62="Résiduel vs Gestion",0,IF('01_Input'!$G$62="Taux Classe sélectionnée",Distrib_Global_Classe_Selectionnee*D$15,IF('01_Input'!$G$62="Frais KYC (paliers de 100M€)",MAX(0,Nb_Investisseurs-Nb_KYC_Gratuites_Par_Tranche*(FLOOR(D$15/Taille_Tranche_KYC,1)+1))*Cout_Par_KYC_Supplementaire,(IF('01_Input'!$L$62="Forfait",IF(D$15&gt;='01_Input'!$J$62,'01_Input'!$M$62,0),IF('01_Input'!$L$62="Palier",IF(AND(D$15&gt;='01_Input'!$J$62,D$15&lt;'01_Input'!$K$62),'01_Input'!$M$62,0),MAX(MIN(D$15,'01_Input'!$K$62)-'01_Input'!$J$62,0)*'01_Input'!$M$62))+IF('01_Input'!$P$62="Forfait",IF(D$15&gt;='01_Input'!$N$62,'01_Input'!$Q$62,0),IF('01_Input'!$P$62="Palier",IF(AND(D$15&gt;='01_Input'!$N$62,D$15&lt;'01_Input'!$O$62),'01_Input'!$Q$62,0),MAX(MIN(D$15,'01_Input'!$O$62)-'01_Input'!$N$62,0)*'01_Input'!$Q$62))+IF('01_Input'!$T$62="Forfait",IF(D$15&gt;='01_Input'!$R$62,'01_Input'!$U$62,0),IF('01_Input'!$T$62="Palier",IF(AND(D$15&gt;='01_Input'!$R$62,D$15&lt;'01_Input'!$S$62),'01_Input'!$U$62,0),MAX(MIN(D$15,'01_Input'!$S$62)-'01_Input'!$R$62,0)*'01_Input'!$U$62))+IF('01_Input'!$X$62="Forfait",IF(D$15&gt;='01_Input'!$V$62,'01_Input'!$Y$62,0),IF('01_Input'!$X$62="Palier",IF(AND(D$15&gt;='01_Input'!$V$62,D$15&lt;'01_Input'!$W$62),'01_Input'!$Y$62,0),MAX(MIN(D$15,'01_Input'!$W$62)-'01_Input'!$V$62,0)*'01_Input'!$Y$62))+IF('01_Input'!$AB$62="Forfait",IF(D$15&gt;='01_Input'!$Z$62,'01_Input'!$AC$62,0),IF('01_Input'!$AB$62="Palier",IF(AND(D$15&gt;='01_Input'!$Z$62,D$15&lt;'01_Input'!$AA$62),'01_Input'!$AC$62,0),MAX(MIN(D$15,'01_Input'!$AA$62)-'01_Input'!$Z$62,0)*'01_Input'!$AC$62))))))))))</f>
        <v>0</v>
      </c>
      <c r="E53" s="83">
        <f>IF(E$15="","",IF('01_Input'!$C$62="Non",0,MIN('01_Input'!$I$62,MAX('01_Input'!$H$62,IF('01_Input'!$G$62="Résiduel vs Gestion",0,IF('01_Input'!$G$62="Taux Classe sélectionnée",Distrib_Global_Classe_Selectionnee*E$15,IF('01_Input'!$G$62="Frais KYC (paliers de 100M€)",MAX(0,Nb_Investisseurs-Nb_KYC_Gratuites_Par_Tranche*(FLOOR(E$15/Taille_Tranche_KYC,1)+1))*Cout_Par_KYC_Supplementaire,(IF('01_Input'!$L$62="Forfait",IF(E$15&gt;='01_Input'!$J$62,'01_Input'!$M$62,0),IF('01_Input'!$L$62="Palier",IF(AND(E$15&gt;='01_Input'!$J$62,E$15&lt;'01_Input'!$K$62),'01_Input'!$M$62,0),MAX(MIN(E$15,'01_Input'!$K$62)-'01_Input'!$J$62,0)*'01_Input'!$M$62))+IF('01_Input'!$P$62="Forfait",IF(E$15&gt;='01_Input'!$N$62,'01_Input'!$Q$62,0),IF('01_Input'!$P$62="Palier",IF(AND(E$15&gt;='01_Input'!$N$62,E$15&lt;'01_Input'!$O$62),'01_Input'!$Q$62,0),MAX(MIN(E$15,'01_Input'!$O$62)-'01_Input'!$N$62,0)*'01_Input'!$Q$62))+IF('01_Input'!$T$62="Forfait",IF(E$15&gt;='01_Input'!$R$62,'01_Input'!$U$62,0),IF('01_Input'!$T$62="Palier",IF(AND(E$15&gt;='01_Input'!$R$62,E$15&lt;'01_Input'!$S$62),'01_Input'!$U$62,0),MAX(MIN(E$15,'01_Input'!$S$62)-'01_Input'!$R$62,0)*'01_Input'!$U$62))+IF('01_Input'!$X$62="Forfait",IF(E$15&gt;='01_Input'!$V$62,'01_Input'!$Y$62,0),IF('01_Input'!$X$62="Palier",IF(AND(E$15&gt;='01_Input'!$V$62,E$15&lt;'01_Input'!$W$62),'01_Input'!$Y$62,0),MAX(MIN(E$15,'01_Input'!$W$62)-'01_Input'!$V$62,0)*'01_Input'!$Y$62))+IF('01_Input'!$AB$62="Forfait",IF(E$15&gt;='01_Input'!$Z$62,'01_Input'!$AC$62,0),IF('01_Input'!$AB$62="Palier",IF(AND(E$15&gt;='01_Input'!$Z$62,E$15&lt;'01_Input'!$AA$62),'01_Input'!$AC$62,0),MAX(MIN(E$15,'01_Input'!$AA$62)-'01_Input'!$Z$62,0)*'01_Input'!$AC$62))))))))))</f>
        <v>0</v>
      </c>
      <c r="F53" s="83" t="str">
        <f>IF(F$15="","",IF('01_Input'!$C$62="Non",0,MIN('01_Input'!$I$62,MAX('01_Input'!$H$62,IF('01_Input'!$G$62="Résiduel vs Gestion",0,IF('01_Input'!$G$62="Taux Classe sélectionnée",Distrib_Global_Classe_Selectionnee*F$15,IF('01_Input'!$G$62="Frais KYC (paliers de 100M€)",MAX(0,Nb_Investisseurs-Nb_KYC_Gratuites_Par_Tranche*(FLOOR(F$15/Taille_Tranche_KYC,1)+1))*Cout_Par_KYC_Supplementaire,(IF('01_Input'!$L$62="Forfait",IF(F$15&gt;='01_Input'!$J$62,'01_Input'!$M$62,0),IF('01_Input'!$L$62="Palier",IF(AND(F$15&gt;='01_Input'!$J$62,F$15&lt;'01_Input'!$K$62),'01_Input'!$M$62,0),MAX(MIN(F$15,'01_Input'!$K$62)-'01_Input'!$J$62,0)*'01_Input'!$M$62))+IF('01_Input'!$P$62="Forfait",IF(F$15&gt;='01_Input'!$N$62,'01_Input'!$Q$62,0),IF('01_Input'!$P$62="Palier",IF(AND(F$15&gt;='01_Input'!$N$62,F$15&lt;'01_Input'!$O$62),'01_Input'!$Q$62,0),MAX(MIN(F$15,'01_Input'!$O$62)-'01_Input'!$N$62,0)*'01_Input'!$Q$62))+IF('01_Input'!$T$62="Forfait",IF(F$15&gt;='01_Input'!$R$62,'01_Input'!$U$62,0),IF('01_Input'!$T$62="Palier",IF(AND(F$15&gt;='01_Input'!$R$62,F$15&lt;'01_Input'!$S$62),'01_Input'!$U$62,0),MAX(MIN(F$15,'01_Input'!$S$62)-'01_Input'!$R$62,0)*'01_Input'!$U$62))+IF('01_Input'!$X$62="Forfait",IF(F$15&gt;='01_Input'!$V$62,'01_Input'!$Y$62,0),IF('01_Input'!$X$62="Palier",IF(AND(F$15&gt;='01_Input'!$V$62,F$15&lt;'01_Input'!$W$62),'01_Input'!$Y$62,0),MAX(MIN(F$15,'01_Input'!$W$62)-'01_Input'!$V$62,0)*'01_Input'!$Y$62))+IF('01_Input'!$AB$62="Forfait",IF(F$15&gt;='01_Input'!$Z$62,'01_Input'!$AC$62,0),IF('01_Input'!$AB$62="Palier",IF(AND(F$15&gt;='01_Input'!$Z$62,F$15&lt;'01_Input'!$AA$62),'01_Input'!$AC$62,0),MAX(MIN(F$15,'01_Input'!$AA$62)-'01_Input'!$Z$62,0)*'01_Input'!$AC$62))))))))))</f>
        <v/>
      </c>
      <c r="G53" s="83" t="str">
        <f>IF(G$15="","",IF('01_Input'!$C$62="Non",0,MIN('01_Input'!$I$62,MAX('01_Input'!$H$62,IF('01_Input'!$G$62="Résiduel vs Gestion",0,IF('01_Input'!$G$62="Taux Classe sélectionnée",Distrib_Global_Classe_Selectionnee*G$15,IF('01_Input'!$G$62="Frais KYC (paliers de 100M€)",MAX(0,Nb_Investisseurs-Nb_KYC_Gratuites_Par_Tranche*(FLOOR(G$15/Taille_Tranche_KYC,1)+1))*Cout_Par_KYC_Supplementaire,(IF('01_Input'!$L$62="Forfait",IF(G$15&gt;='01_Input'!$J$62,'01_Input'!$M$62,0),IF('01_Input'!$L$62="Palier",IF(AND(G$15&gt;='01_Input'!$J$62,G$15&lt;'01_Input'!$K$62),'01_Input'!$M$62,0),MAX(MIN(G$15,'01_Input'!$K$62)-'01_Input'!$J$62,0)*'01_Input'!$M$62))+IF('01_Input'!$P$62="Forfait",IF(G$15&gt;='01_Input'!$N$62,'01_Input'!$Q$62,0),IF('01_Input'!$P$62="Palier",IF(AND(G$15&gt;='01_Input'!$N$62,G$15&lt;'01_Input'!$O$62),'01_Input'!$Q$62,0),MAX(MIN(G$15,'01_Input'!$O$62)-'01_Input'!$N$62,0)*'01_Input'!$Q$62))+IF('01_Input'!$T$62="Forfait",IF(G$15&gt;='01_Input'!$R$62,'01_Input'!$U$62,0),IF('01_Input'!$T$62="Palier",IF(AND(G$15&gt;='01_Input'!$R$62,G$15&lt;'01_Input'!$S$62),'01_Input'!$U$62,0),MAX(MIN(G$15,'01_Input'!$S$62)-'01_Input'!$R$62,0)*'01_Input'!$U$62))+IF('01_Input'!$X$62="Forfait",IF(G$15&gt;='01_Input'!$V$62,'01_Input'!$Y$62,0),IF('01_Input'!$X$62="Palier",IF(AND(G$15&gt;='01_Input'!$V$62,G$15&lt;'01_Input'!$W$62),'01_Input'!$Y$62,0),MAX(MIN(G$15,'01_Input'!$W$62)-'01_Input'!$V$62,0)*'01_Input'!$Y$62))+IF('01_Input'!$AB$62="Forfait",IF(G$15&gt;='01_Input'!$Z$62,'01_Input'!$AC$62,0),IF('01_Input'!$AB$62="Palier",IF(AND(G$15&gt;='01_Input'!$Z$62,G$15&lt;'01_Input'!$AA$62),'01_Input'!$AC$62,0),MAX(MIN(G$15,'01_Input'!$AA$62)-'01_Input'!$Z$62,0)*'01_Input'!$AC$62))))))))))</f>
        <v/>
      </c>
      <c r="H53" s="83" t="str">
        <f>IF(H$15="","",IF('01_Input'!$C$62="Non",0,MIN('01_Input'!$I$62,MAX('01_Input'!$H$62,IF('01_Input'!$G$62="Résiduel vs Gestion",0,IF('01_Input'!$G$62="Taux Classe sélectionnée",Distrib_Global_Classe_Selectionnee*H$15,IF('01_Input'!$G$62="Frais KYC (paliers de 100M€)",MAX(0,Nb_Investisseurs-Nb_KYC_Gratuites_Par_Tranche*(FLOOR(H$15/Taille_Tranche_KYC,1)+1))*Cout_Par_KYC_Supplementaire,(IF('01_Input'!$L$62="Forfait",IF(H$15&gt;='01_Input'!$J$62,'01_Input'!$M$62,0),IF('01_Input'!$L$62="Palier",IF(AND(H$15&gt;='01_Input'!$J$62,H$15&lt;'01_Input'!$K$62),'01_Input'!$M$62,0),MAX(MIN(H$15,'01_Input'!$K$62)-'01_Input'!$J$62,0)*'01_Input'!$M$62))+IF('01_Input'!$P$62="Forfait",IF(H$15&gt;='01_Input'!$N$62,'01_Input'!$Q$62,0),IF('01_Input'!$P$62="Palier",IF(AND(H$15&gt;='01_Input'!$N$62,H$15&lt;'01_Input'!$O$62),'01_Input'!$Q$62,0),MAX(MIN(H$15,'01_Input'!$O$62)-'01_Input'!$N$62,0)*'01_Input'!$Q$62))+IF('01_Input'!$T$62="Forfait",IF(H$15&gt;='01_Input'!$R$62,'01_Input'!$U$62,0),IF('01_Input'!$T$62="Palier",IF(AND(H$15&gt;='01_Input'!$R$62,H$15&lt;'01_Input'!$S$62),'01_Input'!$U$62,0),MAX(MIN(H$15,'01_Input'!$S$62)-'01_Input'!$R$62,0)*'01_Input'!$U$62))+IF('01_Input'!$X$62="Forfait",IF(H$15&gt;='01_Input'!$V$62,'01_Input'!$Y$62,0),IF('01_Input'!$X$62="Palier",IF(AND(H$15&gt;='01_Input'!$V$62,H$15&lt;'01_Input'!$W$62),'01_Input'!$Y$62,0),MAX(MIN(H$15,'01_Input'!$W$62)-'01_Input'!$V$62,0)*'01_Input'!$Y$62))+IF('01_Input'!$AB$62="Forfait",IF(H$15&gt;='01_Input'!$Z$62,'01_Input'!$AC$62,0),IF('01_Input'!$AB$62="Palier",IF(AND(H$15&gt;='01_Input'!$Z$62,H$15&lt;'01_Input'!$AA$62),'01_Input'!$AC$62,0),MAX(MIN(H$15,'01_Input'!$AA$62)-'01_Input'!$Z$62,0)*'01_Input'!$AC$62))))))))))</f>
        <v/>
      </c>
      <c r="I53" s="83" t="str">
        <f>IF(I$15="","",IF('01_Input'!$C$62="Non",0,MIN('01_Input'!$I$62,MAX('01_Input'!$H$62,IF('01_Input'!$G$62="Résiduel vs Gestion",0,IF('01_Input'!$G$62="Taux Classe sélectionnée",Distrib_Global_Classe_Selectionnee*I$15,IF('01_Input'!$G$62="Frais KYC (paliers de 100M€)",MAX(0,Nb_Investisseurs-Nb_KYC_Gratuites_Par_Tranche*(FLOOR(I$15/Taille_Tranche_KYC,1)+1))*Cout_Par_KYC_Supplementaire,(IF('01_Input'!$L$62="Forfait",IF(I$15&gt;='01_Input'!$J$62,'01_Input'!$M$62,0),IF('01_Input'!$L$62="Palier",IF(AND(I$15&gt;='01_Input'!$J$62,I$15&lt;'01_Input'!$K$62),'01_Input'!$M$62,0),MAX(MIN(I$15,'01_Input'!$K$62)-'01_Input'!$J$62,0)*'01_Input'!$M$62))+IF('01_Input'!$P$62="Forfait",IF(I$15&gt;='01_Input'!$N$62,'01_Input'!$Q$62,0),IF('01_Input'!$P$62="Palier",IF(AND(I$15&gt;='01_Input'!$N$62,I$15&lt;'01_Input'!$O$62),'01_Input'!$Q$62,0),MAX(MIN(I$15,'01_Input'!$O$62)-'01_Input'!$N$62,0)*'01_Input'!$Q$62))+IF('01_Input'!$T$62="Forfait",IF(I$15&gt;='01_Input'!$R$62,'01_Input'!$U$62,0),IF('01_Input'!$T$62="Palier",IF(AND(I$15&gt;='01_Input'!$R$62,I$15&lt;'01_Input'!$S$62),'01_Input'!$U$62,0),MAX(MIN(I$15,'01_Input'!$S$62)-'01_Input'!$R$62,0)*'01_Input'!$U$62))+IF('01_Input'!$X$62="Forfait",IF(I$15&gt;='01_Input'!$V$62,'01_Input'!$Y$62,0),IF('01_Input'!$X$62="Palier",IF(AND(I$15&gt;='01_Input'!$V$62,I$15&lt;'01_Input'!$W$62),'01_Input'!$Y$62,0),MAX(MIN(I$15,'01_Input'!$W$62)-'01_Input'!$V$62,0)*'01_Input'!$Y$62))+IF('01_Input'!$AB$62="Forfait",IF(I$15&gt;='01_Input'!$Z$62,'01_Input'!$AC$62,0),IF('01_Input'!$AB$62="Palier",IF(AND(I$15&gt;='01_Input'!$Z$62,I$15&lt;'01_Input'!$AA$62),'01_Input'!$AC$62,0),MAX(MIN(I$15,'01_Input'!$AA$62)-'01_Input'!$Z$62,0)*'01_Input'!$AC$62))))))))))</f>
        <v/>
      </c>
      <c r="J53" s="83" t="str">
        <f>IF(J$15="","",IF('01_Input'!$C$62="Non",0,MIN('01_Input'!$I$62,MAX('01_Input'!$H$62,IF('01_Input'!$G$62="Résiduel vs Gestion",0,IF('01_Input'!$G$62="Taux Classe sélectionnée",Distrib_Global_Classe_Selectionnee*J$15,IF('01_Input'!$G$62="Frais KYC (paliers de 100M€)",MAX(0,Nb_Investisseurs-Nb_KYC_Gratuites_Par_Tranche*(FLOOR(J$15/Taille_Tranche_KYC,1)+1))*Cout_Par_KYC_Supplementaire,(IF('01_Input'!$L$62="Forfait",IF(J$15&gt;='01_Input'!$J$62,'01_Input'!$M$62,0),IF('01_Input'!$L$62="Palier",IF(AND(J$15&gt;='01_Input'!$J$62,J$15&lt;'01_Input'!$K$62),'01_Input'!$M$62,0),MAX(MIN(J$15,'01_Input'!$K$62)-'01_Input'!$J$62,0)*'01_Input'!$M$62))+IF('01_Input'!$P$62="Forfait",IF(J$15&gt;='01_Input'!$N$62,'01_Input'!$Q$62,0),IF('01_Input'!$P$62="Palier",IF(AND(J$15&gt;='01_Input'!$N$62,J$15&lt;'01_Input'!$O$62),'01_Input'!$Q$62,0),MAX(MIN(J$15,'01_Input'!$O$62)-'01_Input'!$N$62,0)*'01_Input'!$Q$62))+IF('01_Input'!$T$62="Forfait",IF(J$15&gt;='01_Input'!$R$62,'01_Input'!$U$62,0),IF('01_Input'!$T$62="Palier",IF(AND(J$15&gt;='01_Input'!$R$62,J$15&lt;'01_Input'!$S$62),'01_Input'!$U$62,0),MAX(MIN(J$15,'01_Input'!$S$62)-'01_Input'!$R$62,0)*'01_Input'!$U$62))+IF('01_Input'!$X$62="Forfait",IF(J$15&gt;='01_Input'!$V$62,'01_Input'!$Y$62,0),IF('01_Input'!$X$62="Palier",IF(AND(J$15&gt;='01_Input'!$V$62,J$15&lt;'01_Input'!$W$62),'01_Input'!$Y$62,0),MAX(MIN(J$15,'01_Input'!$W$62)-'01_Input'!$V$62,0)*'01_Input'!$Y$62))+IF('01_Input'!$AB$62="Forfait",IF(J$15&gt;='01_Input'!$Z$62,'01_Input'!$AC$62,0),IF('01_Input'!$AB$62="Palier",IF(AND(J$15&gt;='01_Input'!$Z$62,J$15&lt;'01_Input'!$AA$62),'01_Input'!$AC$62,0),MAX(MIN(J$15,'01_Input'!$AA$62)-'01_Input'!$Z$62,0)*'01_Input'!$AC$62))))))))))</f>
        <v/>
      </c>
      <c r="K53" s="83" t="str">
        <f>IF(K$15="","",IF('01_Input'!$C$62="Non",0,MIN('01_Input'!$I$62,MAX('01_Input'!$H$62,IF('01_Input'!$G$62="Résiduel vs Gestion",0,IF('01_Input'!$G$62="Taux Classe sélectionnée",Distrib_Global_Classe_Selectionnee*K$15,IF('01_Input'!$G$62="Frais KYC (paliers de 100M€)",MAX(0,Nb_Investisseurs-Nb_KYC_Gratuites_Par_Tranche*(FLOOR(K$15/Taille_Tranche_KYC,1)+1))*Cout_Par_KYC_Supplementaire,(IF('01_Input'!$L$62="Forfait",IF(K$15&gt;='01_Input'!$J$62,'01_Input'!$M$62,0),IF('01_Input'!$L$62="Palier",IF(AND(K$15&gt;='01_Input'!$J$62,K$15&lt;'01_Input'!$K$62),'01_Input'!$M$62,0),MAX(MIN(K$15,'01_Input'!$K$62)-'01_Input'!$J$62,0)*'01_Input'!$M$62))+IF('01_Input'!$P$62="Forfait",IF(K$15&gt;='01_Input'!$N$62,'01_Input'!$Q$62,0),IF('01_Input'!$P$62="Palier",IF(AND(K$15&gt;='01_Input'!$N$62,K$15&lt;'01_Input'!$O$62),'01_Input'!$Q$62,0),MAX(MIN(K$15,'01_Input'!$O$62)-'01_Input'!$N$62,0)*'01_Input'!$Q$62))+IF('01_Input'!$T$62="Forfait",IF(K$15&gt;='01_Input'!$R$62,'01_Input'!$U$62,0),IF('01_Input'!$T$62="Palier",IF(AND(K$15&gt;='01_Input'!$R$62,K$15&lt;'01_Input'!$S$62),'01_Input'!$U$62,0),MAX(MIN(K$15,'01_Input'!$S$62)-'01_Input'!$R$62,0)*'01_Input'!$U$62))+IF('01_Input'!$X$62="Forfait",IF(K$15&gt;='01_Input'!$V$62,'01_Input'!$Y$62,0),IF('01_Input'!$X$62="Palier",IF(AND(K$15&gt;='01_Input'!$V$62,K$15&lt;'01_Input'!$W$62),'01_Input'!$Y$62,0),MAX(MIN(K$15,'01_Input'!$W$62)-'01_Input'!$V$62,0)*'01_Input'!$Y$62))+IF('01_Input'!$AB$62="Forfait",IF(K$15&gt;='01_Input'!$Z$62,'01_Input'!$AC$62,0),IF('01_Input'!$AB$62="Palier",IF(AND(K$15&gt;='01_Input'!$Z$62,K$15&lt;'01_Input'!$AA$62),'01_Input'!$AC$62,0),MAX(MIN(K$15,'01_Input'!$AA$62)-'01_Input'!$Z$62,0)*'01_Input'!$AC$62))))))))))</f>
        <v/>
      </c>
      <c r="L53" s="83" t="str">
        <f>IF(L$15="","",IF('01_Input'!$C$62="Non",0,MIN('01_Input'!$I$62,MAX('01_Input'!$H$62,IF('01_Input'!$G$62="Résiduel vs Gestion",0,IF('01_Input'!$G$62="Taux Classe sélectionnée",Distrib_Global_Classe_Selectionnee*L$15,IF('01_Input'!$G$62="Frais KYC (paliers de 100M€)",MAX(0,Nb_Investisseurs-Nb_KYC_Gratuites_Par_Tranche*(FLOOR(L$15/Taille_Tranche_KYC,1)+1))*Cout_Par_KYC_Supplementaire,(IF('01_Input'!$L$62="Forfait",IF(L$15&gt;='01_Input'!$J$62,'01_Input'!$M$62,0),IF('01_Input'!$L$62="Palier",IF(AND(L$15&gt;='01_Input'!$J$62,L$15&lt;'01_Input'!$K$62),'01_Input'!$M$62,0),MAX(MIN(L$15,'01_Input'!$K$62)-'01_Input'!$J$62,0)*'01_Input'!$M$62))+IF('01_Input'!$P$62="Forfait",IF(L$15&gt;='01_Input'!$N$62,'01_Input'!$Q$62,0),IF('01_Input'!$P$62="Palier",IF(AND(L$15&gt;='01_Input'!$N$62,L$15&lt;'01_Input'!$O$62),'01_Input'!$Q$62,0),MAX(MIN(L$15,'01_Input'!$O$62)-'01_Input'!$N$62,0)*'01_Input'!$Q$62))+IF('01_Input'!$T$62="Forfait",IF(L$15&gt;='01_Input'!$R$62,'01_Input'!$U$62,0),IF('01_Input'!$T$62="Palier",IF(AND(L$15&gt;='01_Input'!$R$62,L$15&lt;'01_Input'!$S$62),'01_Input'!$U$62,0),MAX(MIN(L$15,'01_Input'!$S$62)-'01_Input'!$R$62,0)*'01_Input'!$U$62))+IF('01_Input'!$X$62="Forfait",IF(L$15&gt;='01_Input'!$V$62,'01_Input'!$Y$62,0),IF('01_Input'!$X$62="Palier",IF(AND(L$15&gt;='01_Input'!$V$62,L$15&lt;'01_Input'!$W$62),'01_Input'!$Y$62,0),MAX(MIN(L$15,'01_Input'!$W$62)-'01_Input'!$V$62,0)*'01_Input'!$Y$62))+IF('01_Input'!$AB$62="Forfait",IF(L$15&gt;='01_Input'!$Z$62,'01_Input'!$AC$62,0),IF('01_Input'!$AB$62="Palier",IF(AND(L$15&gt;='01_Input'!$Z$62,L$15&lt;'01_Input'!$AA$62),'01_Input'!$AC$62,0),MAX(MIN(L$15,'01_Input'!$AA$62)-'01_Input'!$Z$62,0)*'01_Input'!$AC$62))))))))))</f>
        <v/>
      </c>
      <c r="M53" s="83" t="str">
        <f>IF(M$15="","",IF('01_Input'!$C$62="Non",0,MIN('01_Input'!$I$62,MAX('01_Input'!$H$62,IF('01_Input'!$G$62="Résiduel vs Gestion",0,IF('01_Input'!$G$62="Taux Classe sélectionnée",Distrib_Global_Classe_Selectionnee*M$15,IF('01_Input'!$G$62="Frais KYC (paliers de 100M€)",MAX(0,Nb_Investisseurs-Nb_KYC_Gratuites_Par_Tranche*(FLOOR(M$15/Taille_Tranche_KYC,1)+1))*Cout_Par_KYC_Supplementaire,(IF('01_Input'!$L$62="Forfait",IF(M$15&gt;='01_Input'!$J$62,'01_Input'!$M$62,0),IF('01_Input'!$L$62="Palier",IF(AND(M$15&gt;='01_Input'!$J$62,M$15&lt;'01_Input'!$K$62),'01_Input'!$M$62,0),MAX(MIN(M$15,'01_Input'!$K$62)-'01_Input'!$J$62,0)*'01_Input'!$M$62))+IF('01_Input'!$P$62="Forfait",IF(M$15&gt;='01_Input'!$N$62,'01_Input'!$Q$62,0),IF('01_Input'!$P$62="Palier",IF(AND(M$15&gt;='01_Input'!$N$62,M$15&lt;'01_Input'!$O$62),'01_Input'!$Q$62,0),MAX(MIN(M$15,'01_Input'!$O$62)-'01_Input'!$N$62,0)*'01_Input'!$Q$62))+IF('01_Input'!$T$62="Forfait",IF(M$15&gt;='01_Input'!$R$62,'01_Input'!$U$62,0),IF('01_Input'!$T$62="Palier",IF(AND(M$15&gt;='01_Input'!$R$62,M$15&lt;'01_Input'!$S$62),'01_Input'!$U$62,0),MAX(MIN(M$15,'01_Input'!$S$62)-'01_Input'!$R$62,0)*'01_Input'!$U$62))+IF('01_Input'!$X$62="Forfait",IF(M$15&gt;='01_Input'!$V$62,'01_Input'!$Y$62,0),IF('01_Input'!$X$62="Palier",IF(AND(M$15&gt;='01_Input'!$V$62,M$15&lt;'01_Input'!$W$62),'01_Input'!$Y$62,0),MAX(MIN(M$15,'01_Input'!$W$62)-'01_Input'!$V$62,0)*'01_Input'!$Y$62))+IF('01_Input'!$AB$62="Forfait",IF(M$15&gt;='01_Input'!$Z$62,'01_Input'!$AC$62,0),IF('01_Input'!$AB$62="Palier",IF(AND(M$15&gt;='01_Input'!$Z$62,M$15&lt;'01_Input'!$AA$62),'01_Input'!$AC$62,0),MAX(MIN(M$15,'01_Input'!$AA$62)-'01_Input'!$Z$62,0)*'01_Input'!$AC$62))))))))))</f>
        <v/>
      </c>
      <c r="N53" s="83" t="str">
        <f>IF(N$15="","",IF('01_Input'!$C$62="Non",0,MIN('01_Input'!$I$62,MAX('01_Input'!$H$62,IF('01_Input'!$G$62="Résiduel vs Gestion",0,IF('01_Input'!$G$62="Taux Classe sélectionnée",Distrib_Global_Classe_Selectionnee*N$15,IF('01_Input'!$G$62="Frais KYC (paliers de 100M€)",MAX(0,Nb_Investisseurs-Nb_KYC_Gratuites_Par_Tranche*(FLOOR(N$15/Taille_Tranche_KYC,1)+1))*Cout_Par_KYC_Supplementaire,(IF('01_Input'!$L$62="Forfait",IF(N$15&gt;='01_Input'!$J$62,'01_Input'!$M$62,0),IF('01_Input'!$L$62="Palier",IF(AND(N$15&gt;='01_Input'!$J$62,N$15&lt;'01_Input'!$K$62),'01_Input'!$M$62,0),MAX(MIN(N$15,'01_Input'!$K$62)-'01_Input'!$J$62,0)*'01_Input'!$M$62))+IF('01_Input'!$P$62="Forfait",IF(N$15&gt;='01_Input'!$N$62,'01_Input'!$Q$62,0),IF('01_Input'!$P$62="Palier",IF(AND(N$15&gt;='01_Input'!$N$62,N$15&lt;'01_Input'!$O$62),'01_Input'!$Q$62,0),MAX(MIN(N$15,'01_Input'!$O$62)-'01_Input'!$N$62,0)*'01_Input'!$Q$62))+IF('01_Input'!$T$62="Forfait",IF(N$15&gt;='01_Input'!$R$62,'01_Input'!$U$62,0),IF('01_Input'!$T$62="Palier",IF(AND(N$15&gt;='01_Input'!$R$62,N$15&lt;'01_Input'!$S$62),'01_Input'!$U$62,0),MAX(MIN(N$15,'01_Input'!$S$62)-'01_Input'!$R$62,0)*'01_Input'!$U$62))+IF('01_Input'!$X$62="Forfait",IF(N$15&gt;='01_Input'!$V$62,'01_Input'!$Y$62,0),IF('01_Input'!$X$62="Palier",IF(AND(N$15&gt;='01_Input'!$V$62,N$15&lt;'01_Input'!$W$62),'01_Input'!$Y$62,0),MAX(MIN(N$15,'01_Input'!$W$62)-'01_Input'!$V$62,0)*'01_Input'!$Y$62))+IF('01_Input'!$AB$62="Forfait",IF(N$15&gt;='01_Input'!$Z$62,'01_Input'!$AC$62,0),IF('01_Input'!$AB$62="Palier",IF(AND(N$15&gt;='01_Input'!$Z$62,N$15&lt;'01_Input'!$AA$62),'01_Input'!$AC$62,0),MAX(MIN(N$15,'01_Input'!$AA$62)-'01_Input'!$Z$62,0)*'01_Input'!$AC$62))))))))))</f>
        <v/>
      </c>
      <c r="O53" s="83" t="str">
        <f>IF(O$15="","",IF('01_Input'!$C$62="Non",0,MIN('01_Input'!$I$62,MAX('01_Input'!$H$62,IF('01_Input'!$G$62="Résiduel vs Gestion",0,IF('01_Input'!$G$62="Taux Classe sélectionnée",Distrib_Global_Classe_Selectionnee*O$15,IF('01_Input'!$G$62="Frais KYC (paliers de 100M€)",MAX(0,Nb_Investisseurs-Nb_KYC_Gratuites_Par_Tranche*(FLOOR(O$15/Taille_Tranche_KYC,1)+1))*Cout_Par_KYC_Supplementaire,(IF('01_Input'!$L$62="Forfait",IF(O$15&gt;='01_Input'!$J$62,'01_Input'!$M$62,0),IF('01_Input'!$L$62="Palier",IF(AND(O$15&gt;='01_Input'!$J$62,O$15&lt;'01_Input'!$K$62),'01_Input'!$M$62,0),MAX(MIN(O$15,'01_Input'!$K$62)-'01_Input'!$J$62,0)*'01_Input'!$M$62))+IF('01_Input'!$P$62="Forfait",IF(O$15&gt;='01_Input'!$N$62,'01_Input'!$Q$62,0),IF('01_Input'!$P$62="Palier",IF(AND(O$15&gt;='01_Input'!$N$62,O$15&lt;'01_Input'!$O$62),'01_Input'!$Q$62,0),MAX(MIN(O$15,'01_Input'!$O$62)-'01_Input'!$N$62,0)*'01_Input'!$Q$62))+IF('01_Input'!$T$62="Forfait",IF(O$15&gt;='01_Input'!$R$62,'01_Input'!$U$62,0),IF('01_Input'!$T$62="Palier",IF(AND(O$15&gt;='01_Input'!$R$62,O$15&lt;'01_Input'!$S$62),'01_Input'!$U$62,0),MAX(MIN(O$15,'01_Input'!$S$62)-'01_Input'!$R$62,0)*'01_Input'!$U$62))+IF('01_Input'!$X$62="Forfait",IF(O$15&gt;='01_Input'!$V$62,'01_Input'!$Y$62,0),IF('01_Input'!$X$62="Palier",IF(AND(O$15&gt;='01_Input'!$V$62,O$15&lt;'01_Input'!$W$62),'01_Input'!$Y$62,0),MAX(MIN(O$15,'01_Input'!$W$62)-'01_Input'!$V$62,0)*'01_Input'!$Y$62))+IF('01_Input'!$AB$62="Forfait",IF(O$15&gt;='01_Input'!$Z$62,'01_Input'!$AC$62,0),IF('01_Input'!$AB$62="Palier",IF(AND(O$15&gt;='01_Input'!$Z$62,O$15&lt;'01_Input'!$AA$62),'01_Input'!$AC$62,0),MAX(MIN(O$15,'01_Input'!$AA$62)-'01_Input'!$Z$62,0)*'01_Input'!$AC$62))))))))))</f>
        <v/>
      </c>
      <c r="P53" s="83" t="str">
        <f>IF(P$15="","",IF('01_Input'!$C$62="Non",0,MIN('01_Input'!$I$62,MAX('01_Input'!$H$62,IF('01_Input'!$G$62="Résiduel vs Gestion",0,IF('01_Input'!$G$62="Taux Classe sélectionnée",Distrib_Global_Classe_Selectionnee*P$15,IF('01_Input'!$G$62="Frais KYC (paliers de 100M€)",MAX(0,Nb_Investisseurs-Nb_KYC_Gratuites_Par_Tranche*(FLOOR(P$15/Taille_Tranche_KYC,1)+1))*Cout_Par_KYC_Supplementaire,(IF('01_Input'!$L$62="Forfait",IF(P$15&gt;='01_Input'!$J$62,'01_Input'!$M$62,0),IF('01_Input'!$L$62="Palier",IF(AND(P$15&gt;='01_Input'!$J$62,P$15&lt;'01_Input'!$K$62),'01_Input'!$M$62,0),MAX(MIN(P$15,'01_Input'!$K$62)-'01_Input'!$J$62,0)*'01_Input'!$M$62))+IF('01_Input'!$P$62="Forfait",IF(P$15&gt;='01_Input'!$N$62,'01_Input'!$Q$62,0),IF('01_Input'!$P$62="Palier",IF(AND(P$15&gt;='01_Input'!$N$62,P$15&lt;'01_Input'!$O$62),'01_Input'!$Q$62,0),MAX(MIN(P$15,'01_Input'!$O$62)-'01_Input'!$N$62,0)*'01_Input'!$Q$62))+IF('01_Input'!$T$62="Forfait",IF(P$15&gt;='01_Input'!$R$62,'01_Input'!$U$62,0),IF('01_Input'!$T$62="Palier",IF(AND(P$15&gt;='01_Input'!$R$62,P$15&lt;'01_Input'!$S$62),'01_Input'!$U$62,0),MAX(MIN(P$15,'01_Input'!$S$62)-'01_Input'!$R$62,0)*'01_Input'!$U$62))+IF('01_Input'!$X$62="Forfait",IF(P$15&gt;='01_Input'!$V$62,'01_Input'!$Y$62,0),IF('01_Input'!$X$62="Palier",IF(AND(P$15&gt;='01_Input'!$V$62,P$15&lt;'01_Input'!$W$62),'01_Input'!$Y$62,0),MAX(MIN(P$15,'01_Input'!$W$62)-'01_Input'!$V$62,0)*'01_Input'!$Y$62))+IF('01_Input'!$AB$62="Forfait",IF(P$15&gt;='01_Input'!$Z$62,'01_Input'!$AC$62,0),IF('01_Input'!$AB$62="Palier",IF(AND(P$15&gt;='01_Input'!$Z$62,P$15&lt;'01_Input'!$AA$62),'01_Input'!$AC$62,0),MAX(MIN(P$15,'01_Input'!$AA$62)-'01_Input'!$Z$62,0)*'01_Input'!$AC$62))))))))))</f>
        <v/>
      </c>
      <c r="Q53" s="83" t="str">
        <f>IF(Q$15="","",IF('01_Input'!$C$62="Non",0,MIN('01_Input'!$I$62,MAX('01_Input'!$H$62,IF('01_Input'!$G$62="Résiduel vs Gestion",0,IF('01_Input'!$G$62="Taux Classe sélectionnée",Distrib_Global_Classe_Selectionnee*Q$15,IF('01_Input'!$G$62="Frais KYC (paliers de 100M€)",MAX(0,Nb_Investisseurs-Nb_KYC_Gratuites_Par_Tranche*(FLOOR(Q$15/Taille_Tranche_KYC,1)+1))*Cout_Par_KYC_Supplementaire,(IF('01_Input'!$L$62="Forfait",IF(Q$15&gt;='01_Input'!$J$62,'01_Input'!$M$62,0),IF('01_Input'!$L$62="Palier",IF(AND(Q$15&gt;='01_Input'!$J$62,Q$15&lt;'01_Input'!$K$62),'01_Input'!$M$62,0),MAX(MIN(Q$15,'01_Input'!$K$62)-'01_Input'!$J$62,0)*'01_Input'!$M$62))+IF('01_Input'!$P$62="Forfait",IF(Q$15&gt;='01_Input'!$N$62,'01_Input'!$Q$62,0),IF('01_Input'!$P$62="Palier",IF(AND(Q$15&gt;='01_Input'!$N$62,Q$15&lt;'01_Input'!$O$62),'01_Input'!$Q$62,0),MAX(MIN(Q$15,'01_Input'!$O$62)-'01_Input'!$N$62,0)*'01_Input'!$Q$62))+IF('01_Input'!$T$62="Forfait",IF(Q$15&gt;='01_Input'!$R$62,'01_Input'!$U$62,0),IF('01_Input'!$T$62="Palier",IF(AND(Q$15&gt;='01_Input'!$R$62,Q$15&lt;'01_Input'!$S$62),'01_Input'!$U$62,0),MAX(MIN(Q$15,'01_Input'!$S$62)-'01_Input'!$R$62,0)*'01_Input'!$U$62))+IF('01_Input'!$X$62="Forfait",IF(Q$15&gt;='01_Input'!$V$62,'01_Input'!$Y$62,0),IF('01_Input'!$X$62="Palier",IF(AND(Q$15&gt;='01_Input'!$V$62,Q$15&lt;'01_Input'!$W$62),'01_Input'!$Y$62,0),MAX(MIN(Q$15,'01_Input'!$W$62)-'01_Input'!$V$62,0)*'01_Input'!$Y$62))+IF('01_Input'!$AB$62="Forfait",IF(Q$15&gt;='01_Input'!$Z$62,'01_Input'!$AC$62,0),IF('01_Input'!$AB$62="Palier",IF(AND(Q$15&gt;='01_Input'!$Z$62,Q$15&lt;'01_Input'!$AA$62),'01_Input'!$AC$62,0),MAX(MIN(Q$15,'01_Input'!$AA$62)-'01_Input'!$Z$62,0)*'01_Input'!$AC$62))))))))))</f>
        <v/>
      </c>
      <c r="R53" s="83" t="str">
        <f>IF(R$15="","",IF('01_Input'!$C$62="Non",0,MIN('01_Input'!$I$62,MAX('01_Input'!$H$62,IF('01_Input'!$G$62="Résiduel vs Gestion",0,IF('01_Input'!$G$62="Taux Classe sélectionnée",Distrib_Global_Classe_Selectionnee*R$15,IF('01_Input'!$G$62="Frais KYC (paliers de 100M€)",MAX(0,Nb_Investisseurs-Nb_KYC_Gratuites_Par_Tranche*(FLOOR(R$15/Taille_Tranche_KYC,1)+1))*Cout_Par_KYC_Supplementaire,(IF('01_Input'!$L$62="Forfait",IF(R$15&gt;='01_Input'!$J$62,'01_Input'!$M$62,0),IF('01_Input'!$L$62="Palier",IF(AND(R$15&gt;='01_Input'!$J$62,R$15&lt;'01_Input'!$K$62),'01_Input'!$M$62,0),MAX(MIN(R$15,'01_Input'!$K$62)-'01_Input'!$J$62,0)*'01_Input'!$M$62))+IF('01_Input'!$P$62="Forfait",IF(R$15&gt;='01_Input'!$N$62,'01_Input'!$Q$62,0),IF('01_Input'!$P$62="Palier",IF(AND(R$15&gt;='01_Input'!$N$62,R$15&lt;'01_Input'!$O$62),'01_Input'!$Q$62,0),MAX(MIN(R$15,'01_Input'!$O$62)-'01_Input'!$N$62,0)*'01_Input'!$Q$62))+IF('01_Input'!$T$62="Forfait",IF(R$15&gt;='01_Input'!$R$62,'01_Input'!$U$62,0),IF('01_Input'!$T$62="Palier",IF(AND(R$15&gt;='01_Input'!$R$62,R$15&lt;'01_Input'!$S$62),'01_Input'!$U$62,0),MAX(MIN(R$15,'01_Input'!$S$62)-'01_Input'!$R$62,0)*'01_Input'!$U$62))+IF('01_Input'!$X$62="Forfait",IF(R$15&gt;='01_Input'!$V$62,'01_Input'!$Y$62,0),IF('01_Input'!$X$62="Palier",IF(AND(R$15&gt;='01_Input'!$V$62,R$15&lt;'01_Input'!$W$62),'01_Input'!$Y$62,0),MAX(MIN(R$15,'01_Input'!$W$62)-'01_Input'!$V$62,0)*'01_Input'!$Y$62))+IF('01_Input'!$AB$62="Forfait",IF(R$15&gt;='01_Input'!$Z$62,'01_Input'!$AC$62,0),IF('01_Input'!$AB$62="Palier",IF(AND(R$15&gt;='01_Input'!$Z$62,R$15&lt;'01_Input'!$AA$62),'01_Input'!$AC$62,0),MAX(MIN(R$15,'01_Input'!$AA$62)-'01_Input'!$Z$62,0)*'01_Input'!$AC$62))))))))))</f>
        <v/>
      </c>
      <c r="S53" s="83" t="str">
        <f>IF(S$15="","",IF('01_Input'!$C$62="Non",0,MIN('01_Input'!$I$62,MAX('01_Input'!$H$62,IF('01_Input'!$G$62="Résiduel vs Gestion",0,IF('01_Input'!$G$62="Taux Classe sélectionnée",Distrib_Global_Classe_Selectionnee*S$15,IF('01_Input'!$G$62="Frais KYC (paliers de 100M€)",MAX(0,Nb_Investisseurs-Nb_KYC_Gratuites_Par_Tranche*(FLOOR(S$15/Taille_Tranche_KYC,1)+1))*Cout_Par_KYC_Supplementaire,(IF('01_Input'!$L$62="Forfait",IF(S$15&gt;='01_Input'!$J$62,'01_Input'!$M$62,0),IF('01_Input'!$L$62="Palier",IF(AND(S$15&gt;='01_Input'!$J$62,S$15&lt;'01_Input'!$K$62),'01_Input'!$M$62,0),MAX(MIN(S$15,'01_Input'!$K$62)-'01_Input'!$J$62,0)*'01_Input'!$M$62))+IF('01_Input'!$P$62="Forfait",IF(S$15&gt;='01_Input'!$N$62,'01_Input'!$Q$62,0),IF('01_Input'!$P$62="Palier",IF(AND(S$15&gt;='01_Input'!$N$62,S$15&lt;'01_Input'!$O$62),'01_Input'!$Q$62,0),MAX(MIN(S$15,'01_Input'!$O$62)-'01_Input'!$N$62,0)*'01_Input'!$Q$62))+IF('01_Input'!$T$62="Forfait",IF(S$15&gt;='01_Input'!$R$62,'01_Input'!$U$62,0),IF('01_Input'!$T$62="Palier",IF(AND(S$15&gt;='01_Input'!$R$62,S$15&lt;'01_Input'!$S$62),'01_Input'!$U$62,0),MAX(MIN(S$15,'01_Input'!$S$62)-'01_Input'!$R$62,0)*'01_Input'!$U$62))+IF('01_Input'!$X$62="Forfait",IF(S$15&gt;='01_Input'!$V$62,'01_Input'!$Y$62,0),IF('01_Input'!$X$62="Palier",IF(AND(S$15&gt;='01_Input'!$V$62,S$15&lt;'01_Input'!$W$62),'01_Input'!$Y$62,0),MAX(MIN(S$15,'01_Input'!$W$62)-'01_Input'!$V$62,0)*'01_Input'!$Y$62))+IF('01_Input'!$AB$62="Forfait",IF(S$15&gt;='01_Input'!$Z$62,'01_Input'!$AC$62,0),IF('01_Input'!$AB$62="Palier",IF(AND(S$15&gt;='01_Input'!$Z$62,S$15&lt;'01_Input'!$AA$62),'01_Input'!$AC$62,0),MAX(MIN(S$15,'01_Input'!$AA$62)-'01_Input'!$Z$62,0)*'01_Input'!$AC$62))))))))))</f>
        <v/>
      </c>
      <c r="T53" s="83" t="str">
        <f>IF(T$15="","",IF('01_Input'!$C$62="Non",0,MIN('01_Input'!$I$62,MAX('01_Input'!$H$62,IF('01_Input'!$G$62="Résiduel vs Gestion",0,IF('01_Input'!$G$62="Taux Classe sélectionnée",Distrib_Global_Classe_Selectionnee*T$15,IF('01_Input'!$G$62="Frais KYC (paliers de 100M€)",MAX(0,Nb_Investisseurs-Nb_KYC_Gratuites_Par_Tranche*(FLOOR(T$15/Taille_Tranche_KYC,1)+1))*Cout_Par_KYC_Supplementaire,(IF('01_Input'!$L$62="Forfait",IF(T$15&gt;='01_Input'!$J$62,'01_Input'!$M$62,0),IF('01_Input'!$L$62="Palier",IF(AND(T$15&gt;='01_Input'!$J$62,T$15&lt;'01_Input'!$K$62),'01_Input'!$M$62,0),MAX(MIN(T$15,'01_Input'!$K$62)-'01_Input'!$J$62,0)*'01_Input'!$M$62))+IF('01_Input'!$P$62="Forfait",IF(T$15&gt;='01_Input'!$N$62,'01_Input'!$Q$62,0),IF('01_Input'!$P$62="Palier",IF(AND(T$15&gt;='01_Input'!$N$62,T$15&lt;'01_Input'!$O$62),'01_Input'!$Q$62,0),MAX(MIN(T$15,'01_Input'!$O$62)-'01_Input'!$N$62,0)*'01_Input'!$Q$62))+IF('01_Input'!$T$62="Forfait",IF(T$15&gt;='01_Input'!$R$62,'01_Input'!$U$62,0),IF('01_Input'!$T$62="Palier",IF(AND(T$15&gt;='01_Input'!$R$62,T$15&lt;'01_Input'!$S$62),'01_Input'!$U$62,0),MAX(MIN(T$15,'01_Input'!$S$62)-'01_Input'!$R$62,0)*'01_Input'!$U$62))+IF('01_Input'!$X$62="Forfait",IF(T$15&gt;='01_Input'!$V$62,'01_Input'!$Y$62,0),IF('01_Input'!$X$62="Palier",IF(AND(T$15&gt;='01_Input'!$V$62,T$15&lt;'01_Input'!$W$62),'01_Input'!$Y$62,0),MAX(MIN(T$15,'01_Input'!$W$62)-'01_Input'!$V$62,0)*'01_Input'!$Y$62))+IF('01_Input'!$AB$62="Forfait",IF(T$15&gt;='01_Input'!$Z$62,'01_Input'!$AC$62,0),IF('01_Input'!$AB$62="Palier",IF(AND(T$15&gt;='01_Input'!$Z$62,T$15&lt;'01_Input'!$AA$62),'01_Input'!$AC$62,0),MAX(MIN(T$15,'01_Input'!$AA$62)-'01_Input'!$Z$62,0)*'01_Input'!$AC$62))))))))))</f>
        <v/>
      </c>
      <c r="U53" s="83" t="str">
        <f>IF(U$15="","",IF('01_Input'!$C$62="Non",0,MIN('01_Input'!$I$62,MAX('01_Input'!$H$62,IF('01_Input'!$G$62="Résiduel vs Gestion",0,IF('01_Input'!$G$62="Taux Classe sélectionnée",Distrib_Global_Classe_Selectionnee*U$15,IF('01_Input'!$G$62="Frais KYC (paliers de 100M€)",MAX(0,Nb_Investisseurs-Nb_KYC_Gratuites_Par_Tranche*(FLOOR(U$15/Taille_Tranche_KYC,1)+1))*Cout_Par_KYC_Supplementaire,(IF('01_Input'!$L$62="Forfait",IF(U$15&gt;='01_Input'!$J$62,'01_Input'!$M$62,0),IF('01_Input'!$L$62="Palier",IF(AND(U$15&gt;='01_Input'!$J$62,U$15&lt;'01_Input'!$K$62),'01_Input'!$M$62,0),MAX(MIN(U$15,'01_Input'!$K$62)-'01_Input'!$J$62,0)*'01_Input'!$M$62))+IF('01_Input'!$P$62="Forfait",IF(U$15&gt;='01_Input'!$N$62,'01_Input'!$Q$62,0),IF('01_Input'!$P$62="Palier",IF(AND(U$15&gt;='01_Input'!$N$62,U$15&lt;'01_Input'!$O$62),'01_Input'!$Q$62,0),MAX(MIN(U$15,'01_Input'!$O$62)-'01_Input'!$N$62,0)*'01_Input'!$Q$62))+IF('01_Input'!$T$62="Forfait",IF(U$15&gt;='01_Input'!$R$62,'01_Input'!$U$62,0),IF('01_Input'!$T$62="Palier",IF(AND(U$15&gt;='01_Input'!$R$62,U$15&lt;'01_Input'!$S$62),'01_Input'!$U$62,0),MAX(MIN(U$15,'01_Input'!$S$62)-'01_Input'!$R$62,0)*'01_Input'!$U$62))+IF('01_Input'!$X$62="Forfait",IF(U$15&gt;='01_Input'!$V$62,'01_Input'!$Y$62,0),IF('01_Input'!$X$62="Palier",IF(AND(U$15&gt;='01_Input'!$V$62,U$15&lt;'01_Input'!$W$62),'01_Input'!$Y$62,0),MAX(MIN(U$15,'01_Input'!$W$62)-'01_Input'!$V$62,0)*'01_Input'!$Y$62))+IF('01_Input'!$AB$62="Forfait",IF(U$15&gt;='01_Input'!$Z$62,'01_Input'!$AC$62,0),IF('01_Input'!$AB$62="Palier",IF(AND(U$15&gt;='01_Input'!$Z$62,U$15&lt;'01_Input'!$AA$62),'01_Input'!$AC$62,0),MAX(MIN(U$15,'01_Input'!$AA$62)-'01_Input'!$Z$62,0)*'01_Input'!$AC$62))))))))))</f>
        <v/>
      </c>
      <c r="V53" s="83" t="str">
        <f>IF(V$15="","",IF('01_Input'!$C$62="Non",0,MIN('01_Input'!$I$62,MAX('01_Input'!$H$62,IF('01_Input'!$G$62="Résiduel vs Gestion",0,IF('01_Input'!$G$62="Taux Classe sélectionnée",Distrib_Global_Classe_Selectionnee*V$15,IF('01_Input'!$G$62="Frais KYC (paliers de 100M€)",MAX(0,Nb_Investisseurs-Nb_KYC_Gratuites_Par_Tranche*(FLOOR(V$15/Taille_Tranche_KYC,1)+1))*Cout_Par_KYC_Supplementaire,(IF('01_Input'!$L$62="Forfait",IF(V$15&gt;='01_Input'!$J$62,'01_Input'!$M$62,0),IF('01_Input'!$L$62="Palier",IF(AND(V$15&gt;='01_Input'!$J$62,V$15&lt;'01_Input'!$K$62),'01_Input'!$M$62,0),MAX(MIN(V$15,'01_Input'!$K$62)-'01_Input'!$J$62,0)*'01_Input'!$M$62))+IF('01_Input'!$P$62="Forfait",IF(V$15&gt;='01_Input'!$N$62,'01_Input'!$Q$62,0),IF('01_Input'!$P$62="Palier",IF(AND(V$15&gt;='01_Input'!$N$62,V$15&lt;'01_Input'!$O$62),'01_Input'!$Q$62,0),MAX(MIN(V$15,'01_Input'!$O$62)-'01_Input'!$N$62,0)*'01_Input'!$Q$62))+IF('01_Input'!$T$62="Forfait",IF(V$15&gt;='01_Input'!$R$62,'01_Input'!$U$62,0),IF('01_Input'!$T$62="Palier",IF(AND(V$15&gt;='01_Input'!$R$62,V$15&lt;'01_Input'!$S$62),'01_Input'!$U$62,0),MAX(MIN(V$15,'01_Input'!$S$62)-'01_Input'!$R$62,0)*'01_Input'!$U$62))+IF('01_Input'!$X$62="Forfait",IF(V$15&gt;='01_Input'!$V$62,'01_Input'!$Y$62,0),IF('01_Input'!$X$62="Palier",IF(AND(V$15&gt;='01_Input'!$V$62,V$15&lt;'01_Input'!$W$62),'01_Input'!$Y$62,0),MAX(MIN(V$15,'01_Input'!$W$62)-'01_Input'!$V$62,0)*'01_Input'!$Y$62))+IF('01_Input'!$AB$62="Forfait",IF(V$15&gt;='01_Input'!$Z$62,'01_Input'!$AC$62,0),IF('01_Input'!$AB$62="Palier",IF(AND(V$15&gt;='01_Input'!$Z$62,V$15&lt;'01_Input'!$AA$62),'01_Input'!$AC$62,0),MAX(MIN(V$15,'01_Input'!$AA$62)-'01_Input'!$Z$62,0)*'01_Input'!$AC$62))))))))))</f>
        <v/>
      </c>
      <c r="W53" s="83" t="str">
        <f>IF(W$15="","",IF('01_Input'!$C$62="Non",0,MIN('01_Input'!$I$62,MAX('01_Input'!$H$62,IF('01_Input'!$G$62="Résiduel vs Gestion",0,IF('01_Input'!$G$62="Taux Classe sélectionnée",Distrib_Global_Classe_Selectionnee*W$15,IF('01_Input'!$G$62="Frais KYC (paliers de 100M€)",MAX(0,Nb_Investisseurs-Nb_KYC_Gratuites_Par_Tranche*(FLOOR(W$15/Taille_Tranche_KYC,1)+1))*Cout_Par_KYC_Supplementaire,(IF('01_Input'!$L$62="Forfait",IF(W$15&gt;='01_Input'!$J$62,'01_Input'!$M$62,0),IF('01_Input'!$L$62="Palier",IF(AND(W$15&gt;='01_Input'!$J$62,W$15&lt;'01_Input'!$K$62),'01_Input'!$M$62,0),MAX(MIN(W$15,'01_Input'!$K$62)-'01_Input'!$J$62,0)*'01_Input'!$M$62))+IF('01_Input'!$P$62="Forfait",IF(W$15&gt;='01_Input'!$N$62,'01_Input'!$Q$62,0),IF('01_Input'!$P$62="Palier",IF(AND(W$15&gt;='01_Input'!$N$62,W$15&lt;'01_Input'!$O$62),'01_Input'!$Q$62,0),MAX(MIN(W$15,'01_Input'!$O$62)-'01_Input'!$N$62,0)*'01_Input'!$Q$62))+IF('01_Input'!$T$62="Forfait",IF(W$15&gt;='01_Input'!$R$62,'01_Input'!$U$62,0),IF('01_Input'!$T$62="Palier",IF(AND(W$15&gt;='01_Input'!$R$62,W$15&lt;'01_Input'!$S$62),'01_Input'!$U$62,0),MAX(MIN(W$15,'01_Input'!$S$62)-'01_Input'!$R$62,0)*'01_Input'!$U$62))+IF('01_Input'!$X$62="Forfait",IF(W$15&gt;='01_Input'!$V$62,'01_Input'!$Y$62,0),IF('01_Input'!$X$62="Palier",IF(AND(W$15&gt;='01_Input'!$V$62,W$15&lt;'01_Input'!$W$62),'01_Input'!$Y$62,0),MAX(MIN(W$15,'01_Input'!$W$62)-'01_Input'!$V$62,0)*'01_Input'!$Y$62))+IF('01_Input'!$AB$62="Forfait",IF(W$15&gt;='01_Input'!$Z$62,'01_Input'!$AC$62,0),IF('01_Input'!$AB$62="Palier",IF(AND(W$15&gt;='01_Input'!$Z$62,W$15&lt;'01_Input'!$AA$62),'01_Input'!$AC$62,0),MAX(MIN(W$15,'01_Input'!$AA$62)-'01_Input'!$Z$62,0)*'01_Input'!$AC$62))))))))))</f>
        <v/>
      </c>
      <c r="X53" s="83" t="str">
        <f>IF(X$15="","",IF('01_Input'!$C$62="Non",0,MIN('01_Input'!$I$62,MAX('01_Input'!$H$62,IF('01_Input'!$G$62="Résiduel vs Gestion",0,IF('01_Input'!$G$62="Taux Classe sélectionnée",Distrib_Global_Classe_Selectionnee*X$15,IF('01_Input'!$G$62="Frais KYC (paliers de 100M€)",MAX(0,Nb_Investisseurs-Nb_KYC_Gratuites_Par_Tranche*(FLOOR(X$15/Taille_Tranche_KYC,1)+1))*Cout_Par_KYC_Supplementaire,(IF('01_Input'!$L$62="Forfait",IF(X$15&gt;='01_Input'!$J$62,'01_Input'!$M$62,0),IF('01_Input'!$L$62="Palier",IF(AND(X$15&gt;='01_Input'!$J$62,X$15&lt;'01_Input'!$K$62),'01_Input'!$M$62,0),MAX(MIN(X$15,'01_Input'!$K$62)-'01_Input'!$J$62,0)*'01_Input'!$M$62))+IF('01_Input'!$P$62="Forfait",IF(X$15&gt;='01_Input'!$N$62,'01_Input'!$Q$62,0),IF('01_Input'!$P$62="Palier",IF(AND(X$15&gt;='01_Input'!$N$62,X$15&lt;'01_Input'!$O$62),'01_Input'!$Q$62,0),MAX(MIN(X$15,'01_Input'!$O$62)-'01_Input'!$N$62,0)*'01_Input'!$Q$62))+IF('01_Input'!$T$62="Forfait",IF(X$15&gt;='01_Input'!$R$62,'01_Input'!$U$62,0),IF('01_Input'!$T$62="Palier",IF(AND(X$15&gt;='01_Input'!$R$62,X$15&lt;'01_Input'!$S$62),'01_Input'!$U$62,0),MAX(MIN(X$15,'01_Input'!$S$62)-'01_Input'!$R$62,0)*'01_Input'!$U$62))+IF('01_Input'!$X$62="Forfait",IF(X$15&gt;='01_Input'!$V$62,'01_Input'!$Y$62,0),IF('01_Input'!$X$62="Palier",IF(AND(X$15&gt;='01_Input'!$V$62,X$15&lt;'01_Input'!$W$62),'01_Input'!$Y$62,0),MAX(MIN(X$15,'01_Input'!$W$62)-'01_Input'!$V$62,0)*'01_Input'!$Y$62))+IF('01_Input'!$AB$62="Forfait",IF(X$15&gt;='01_Input'!$Z$62,'01_Input'!$AC$62,0),IF('01_Input'!$AB$62="Palier",IF(AND(X$15&gt;='01_Input'!$Z$62,X$15&lt;'01_Input'!$AA$62),'01_Input'!$AC$62,0),MAX(MIN(X$15,'01_Input'!$AA$62)-'01_Input'!$Z$62,0)*'01_Input'!$AC$62))))))))))</f>
        <v/>
      </c>
      <c r="Y53" s="83" t="str">
        <f>IF(Y$15="","",IF('01_Input'!$C$62="Non",0,MIN('01_Input'!$I$62,MAX('01_Input'!$H$62,IF('01_Input'!$G$62="Résiduel vs Gestion",0,IF('01_Input'!$G$62="Taux Classe sélectionnée",Distrib_Global_Classe_Selectionnee*Y$15,IF('01_Input'!$G$62="Frais KYC (paliers de 100M€)",MAX(0,Nb_Investisseurs-Nb_KYC_Gratuites_Par_Tranche*(FLOOR(Y$15/Taille_Tranche_KYC,1)+1))*Cout_Par_KYC_Supplementaire,(IF('01_Input'!$L$62="Forfait",IF(Y$15&gt;='01_Input'!$J$62,'01_Input'!$M$62,0),IF('01_Input'!$L$62="Palier",IF(AND(Y$15&gt;='01_Input'!$J$62,Y$15&lt;'01_Input'!$K$62),'01_Input'!$M$62,0),MAX(MIN(Y$15,'01_Input'!$K$62)-'01_Input'!$J$62,0)*'01_Input'!$M$62))+IF('01_Input'!$P$62="Forfait",IF(Y$15&gt;='01_Input'!$N$62,'01_Input'!$Q$62,0),IF('01_Input'!$P$62="Palier",IF(AND(Y$15&gt;='01_Input'!$N$62,Y$15&lt;'01_Input'!$O$62),'01_Input'!$Q$62,0),MAX(MIN(Y$15,'01_Input'!$O$62)-'01_Input'!$N$62,0)*'01_Input'!$Q$62))+IF('01_Input'!$T$62="Forfait",IF(Y$15&gt;='01_Input'!$R$62,'01_Input'!$U$62,0),IF('01_Input'!$T$62="Palier",IF(AND(Y$15&gt;='01_Input'!$R$62,Y$15&lt;'01_Input'!$S$62),'01_Input'!$U$62,0),MAX(MIN(Y$15,'01_Input'!$S$62)-'01_Input'!$R$62,0)*'01_Input'!$U$62))+IF('01_Input'!$X$62="Forfait",IF(Y$15&gt;='01_Input'!$V$62,'01_Input'!$Y$62,0),IF('01_Input'!$X$62="Palier",IF(AND(Y$15&gt;='01_Input'!$V$62,Y$15&lt;'01_Input'!$W$62),'01_Input'!$Y$62,0),MAX(MIN(Y$15,'01_Input'!$W$62)-'01_Input'!$V$62,0)*'01_Input'!$Y$62))+IF('01_Input'!$AB$62="Forfait",IF(Y$15&gt;='01_Input'!$Z$62,'01_Input'!$AC$62,0),IF('01_Input'!$AB$62="Palier",IF(AND(Y$15&gt;='01_Input'!$Z$62,Y$15&lt;'01_Input'!$AA$62),'01_Input'!$AC$62,0),MAX(MIN(Y$15,'01_Input'!$AA$62)-'01_Input'!$Z$62,0)*'01_Input'!$AC$62))))))))))</f>
        <v/>
      </c>
      <c r="Z53" s="83" t="str">
        <f>IF(Z$15="","",IF('01_Input'!$C$62="Non",0,MIN('01_Input'!$I$62,MAX('01_Input'!$H$62,IF('01_Input'!$G$62="Résiduel vs Gestion",0,IF('01_Input'!$G$62="Taux Classe sélectionnée",Distrib_Global_Classe_Selectionnee*Z$15,IF('01_Input'!$G$62="Frais KYC (paliers de 100M€)",MAX(0,Nb_Investisseurs-Nb_KYC_Gratuites_Par_Tranche*(FLOOR(Z$15/Taille_Tranche_KYC,1)+1))*Cout_Par_KYC_Supplementaire,(IF('01_Input'!$L$62="Forfait",IF(Z$15&gt;='01_Input'!$J$62,'01_Input'!$M$62,0),IF('01_Input'!$L$62="Palier",IF(AND(Z$15&gt;='01_Input'!$J$62,Z$15&lt;'01_Input'!$K$62),'01_Input'!$M$62,0),MAX(MIN(Z$15,'01_Input'!$K$62)-'01_Input'!$J$62,0)*'01_Input'!$M$62))+IF('01_Input'!$P$62="Forfait",IF(Z$15&gt;='01_Input'!$N$62,'01_Input'!$Q$62,0),IF('01_Input'!$P$62="Palier",IF(AND(Z$15&gt;='01_Input'!$N$62,Z$15&lt;'01_Input'!$O$62),'01_Input'!$Q$62,0),MAX(MIN(Z$15,'01_Input'!$O$62)-'01_Input'!$N$62,0)*'01_Input'!$Q$62))+IF('01_Input'!$T$62="Forfait",IF(Z$15&gt;='01_Input'!$R$62,'01_Input'!$U$62,0),IF('01_Input'!$T$62="Palier",IF(AND(Z$15&gt;='01_Input'!$R$62,Z$15&lt;'01_Input'!$S$62),'01_Input'!$U$62,0),MAX(MIN(Z$15,'01_Input'!$S$62)-'01_Input'!$R$62,0)*'01_Input'!$U$62))+IF('01_Input'!$X$62="Forfait",IF(Z$15&gt;='01_Input'!$V$62,'01_Input'!$Y$62,0),IF('01_Input'!$X$62="Palier",IF(AND(Z$15&gt;='01_Input'!$V$62,Z$15&lt;'01_Input'!$W$62),'01_Input'!$Y$62,0),MAX(MIN(Z$15,'01_Input'!$W$62)-'01_Input'!$V$62,0)*'01_Input'!$Y$62))+IF('01_Input'!$AB$62="Forfait",IF(Z$15&gt;='01_Input'!$Z$62,'01_Input'!$AC$62,0),IF('01_Input'!$AB$62="Palier",IF(AND(Z$15&gt;='01_Input'!$Z$62,Z$15&lt;'01_Input'!$AA$62),'01_Input'!$AC$62,0),MAX(MIN(Z$15,'01_Input'!$AA$62)-'01_Input'!$Z$62,0)*'01_Input'!$AC$62))))))))))</f>
        <v/>
      </c>
      <c r="AA53" s="83" t="str">
        <f>IF(AA$15="","",IF('01_Input'!$C$62="Non",0,MIN('01_Input'!$I$62,MAX('01_Input'!$H$62,IF('01_Input'!$G$62="Résiduel vs Gestion",0,IF('01_Input'!$G$62="Taux Classe sélectionnée",Distrib_Global_Classe_Selectionnee*AA$15,IF('01_Input'!$G$62="Frais KYC (paliers de 100M€)",MAX(0,Nb_Investisseurs-Nb_KYC_Gratuites_Par_Tranche*(FLOOR(AA$15/Taille_Tranche_KYC,1)+1))*Cout_Par_KYC_Supplementaire,(IF('01_Input'!$L$62="Forfait",IF(AA$15&gt;='01_Input'!$J$62,'01_Input'!$M$62,0),IF('01_Input'!$L$62="Palier",IF(AND(AA$15&gt;='01_Input'!$J$62,AA$15&lt;'01_Input'!$K$62),'01_Input'!$M$62,0),MAX(MIN(AA$15,'01_Input'!$K$62)-'01_Input'!$J$62,0)*'01_Input'!$M$62))+IF('01_Input'!$P$62="Forfait",IF(AA$15&gt;='01_Input'!$N$62,'01_Input'!$Q$62,0),IF('01_Input'!$P$62="Palier",IF(AND(AA$15&gt;='01_Input'!$N$62,AA$15&lt;'01_Input'!$O$62),'01_Input'!$Q$62,0),MAX(MIN(AA$15,'01_Input'!$O$62)-'01_Input'!$N$62,0)*'01_Input'!$Q$62))+IF('01_Input'!$T$62="Forfait",IF(AA$15&gt;='01_Input'!$R$62,'01_Input'!$U$62,0),IF('01_Input'!$T$62="Palier",IF(AND(AA$15&gt;='01_Input'!$R$62,AA$15&lt;'01_Input'!$S$62),'01_Input'!$U$62,0),MAX(MIN(AA$15,'01_Input'!$S$62)-'01_Input'!$R$62,0)*'01_Input'!$U$62))+IF('01_Input'!$X$62="Forfait",IF(AA$15&gt;='01_Input'!$V$62,'01_Input'!$Y$62,0),IF('01_Input'!$X$62="Palier",IF(AND(AA$15&gt;='01_Input'!$V$62,AA$15&lt;'01_Input'!$W$62),'01_Input'!$Y$62,0),MAX(MIN(AA$15,'01_Input'!$W$62)-'01_Input'!$V$62,0)*'01_Input'!$Y$62))+IF('01_Input'!$AB$62="Forfait",IF(AA$15&gt;='01_Input'!$Z$62,'01_Input'!$AC$62,0),IF('01_Input'!$AB$62="Palier",IF(AND(AA$15&gt;='01_Input'!$Z$62,AA$15&lt;'01_Input'!$AA$62),'01_Input'!$AC$62,0),MAX(MIN(AA$15,'01_Input'!$AA$62)-'01_Input'!$Z$62,0)*'01_Input'!$AC$62))))))))))</f>
        <v/>
      </c>
      <c r="AB53" s="83" t="str">
        <f>IF(AB$15="","",IF('01_Input'!$C$62="Non",0,MIN('01_Input'!$I$62,MAX('01_Input'!$H$62,IF('01_Input'!$G$62="Résiduel vs Gestion",0,IF('01_Input'!$G$62="Taux Classe sélectionnée",Distrib_Global_Classe_Selectionnee*AB$15,IF('01_Input'!$G$62="Frais KYC (paliers de 100M€)",MAX(0,Nb_Investisseurs-Nb_KYC_Gratuites_Par_Tranche*(FLOOR(AB$15/Taille_Tranche_KYC,1)+1))*Cout_Par_KYC_Supplementaire,(IF('01_Input'!$L$62="Forfait",IF(AB$15&gt;='01_Input'!$J$62,'01_Input'!$M$62,0),IF('01_Input'!$L$62="Palier",IF(AND(AB$15&gt;='01_Input'!$J$62,AB$15&lt;'01_Input'!$K$62),'01_Input'!$M$62,0),MAX(MIN(AB$15,'01_Input'!$K$62)-'01_Input'!$J$62,0)*'01_Input'!$M$62))+IF('01_Input'!$P$62="Forfait",IF(AB$15&gt;='01_Input'!$N$62,'01_Input'!$Q$62,0),IF('01_Input'!$P$62="Palier",IF(AND(AB$15&gt;='01_Input'!$N$62,AB$15&lt;'01_Input'!$O$62),'01_Input'!$Q$62,0),MAX(MIN(AB$15,'01_Input'!$O$62)-'01_Input'!$N$62,0)*'01_Input'!$Q$62))+IF('01_Input'!$T$62="Forfait",IF(AB$15&gt;='01_Input'!$R$62,'01_Input'!$U$62,0),IF('01_Input'!$T$62="Palier",IF(AND(AB$15&gt;='01_Input'!$R$62,AB$15&lt;'01_Input'!$S$62),'01_Input'!$U$62,0),MAX(MIN(AB$15,'01_Input'!$S$62)-'01_Input'!$R$62,0)*'01_Input'!$U$62))+IF('01_Input'!$X$62="Forfait",IF(AB$15&gt;='01_Input'!$V$62,'01_Input'!$Y$62,0),IF('01_Input'!$X$62="Palier",IF(AND(AB$15&gt;='01_Input'!$V$62,AB$15&lt;'01_Input'!$W$62),'01_Input'!$Y$62,0),MAX(MIN(AB$15,'01_Input'!$W$62)-'01_Input'!$V$62,0)*'01_Input'!$Y$62))+IF('01_Input'!$AB$62="Forfait",IF(AB$15&gt;='01_Input'!$Z$62,'01_Input'!$AC$62,0),IF('01_Input'!$AB$62="Palier",IF(AND(AB$15&gt;='01_Input'!$Z$62,AB$15&lt;'01_Input'!$AA$62),'01_Input'!$AC$62,0),MAX(MIN(AB$15,'01_Input'!$AA$62)-'01_Input'!$Z$62,0)*'01_Input'!$AC$62))))))))))</f>
        <v/>
      </c>
      <c r="AC53" s="83" t="str">
        <f>IF(AC$15="","",IF('01_Input'!$C$62="Non",0,MIN('01_Input'!$I$62,MAX('01_Input'!$H$62,IF('01_Input'!$G$62="Résiduel vs Gestion",0,IF('01_Input'!$G$62="Taux Classe sélectionnée",Distrib_Global_Classe_Selectionnee*AC$15,IF('01_Input'!$G$62="Frais KYC (paliers de 100M€)",MAX(0,Nb_Investisseurs-Nb_KYC_Gratuites_Par_Tranche*(FLOOR(AC$15/Taille_Tranche_KYC,1)+1))*Cout_Par_KYC_Supplementaire,(IF('01_Input'!$L$62="Forfait",IF(AC$15&gt;='01_Input'!$J$62,'01_Input'!$M$62,0),IF('01_Input'!$L$62="Palier",IF(AND(AC$15&gt;='01_Input'!$J$62,AC$15&lt;'01_Input'!$K$62),'01_Input'!$M$62,0),MAX(MIN(AC$15,'01_Input'!$K$62)-'01_Input'!$J$62,0)*'01_Input'!$M$62))+IF('01_Input'!$P$62="Forfait",IF(AC$15&gt;='01_Input'!$N$62,'01_Input'!$Q$62,0),IF('01_Input'!$P$62="Palier",IF(AND(AC$15&gt;='01_Input'!$N$62,AC$15&lt;'01_Input'!$O$62),'01_Input'!$Q$62,0),MAX(MIN(AC$15,'01_Input'!$O$62)-'01_Input'!$N$62,0)*'01_Input'!$Q$62))+IF('01_Input'!$T$62="Forfait",IF(AC$15&gt;='01_Input'!$R$62,'01_Input'!$U$62,0),IF('01_Input'!$T$62="Palier",IF(AND(AC$15&gt;='01_Input'!$R$62,AC$15&lt;'01_Input'!$S$62),'01_Input'!$U$62,0),MAX(MIN(AC$15,'01_Input'!$S$62)-'01_Input'!$R$62,0)*'01_Input'!$U$62))+IF('01_Input'!$X$62="Forfait",IF(AC$15&gt;='01_Input'!$V$62,'01_Input'!$Y$62,0),IF('01_Input'!$X$62="Palier",IF(AND(AC$15&gt;='01_Input'!$V$62,AC$15&lt;'01_Input'!$W$62),'01_Input'!$Y$62,0),MAX(MIN(AC$15,'01_Input'!$W$62)-'01_Input'!$V$62,0)*'01_Input'!$Y$62))+IF('01_Input'!$AB$62="Forfait",IF(AC$15&gt;='01_Input'!$Z$62,'01_Input'!$AC$62,0),IF('01_Input'!$AB$62="Palier",IF(AND(AC$15&gt;='01_Input'!$Z$62,AC$15&lt;'01_Input'!$AA$62),'01_Input'!$AC$62,0),MAX(MIN(AC$15,'01_Input'!$AA$62)-'01_Input'!$Z$62,0)*'01_Input'!$AC$62))))))))))</f>
        <v/>
      </c>
      <c r="AD53" s="83" t="str">
        <f>IF(AD$15="","",IF('01_Input'!$C$62="Non",0,MIN('01_Input'!$I$62,MAX('01_Input'!$H$62,IF('01_Input'!$G$62="Résiduel vs Gestion",0,IF('01_Input'!$G$62="Taux Classe sélectionnée",Distrib_Global_Classe_Selectionnee*AD$15,IF('01_Input'!$G$62="Frais KYC (paliers de 100M€)",MAX(0,Nb_Investisseurs-Nb_KYC_Gratuites_Par_Tranche*(FLOOR(AD$15/Taille_Tranche_KYC,1)+1))*Cout_Par_KYC_Supplementaire,(IF('01_Input'!$L$62="Forfait",IF(AD$15&gt;='01_Input'!$J$62,'01_Input'!$M$62,0),IF('01_Input'!$L$62="Palier",IF(AND(AD$15&gt;='01_Input'!$J$62,AD$15&lt;'01_Input'!$K$62),'01_Input'!$M$62,0),MAX(MIN(AD$15,'01_Input'!$K$62)-'01_Input'!$J$62,0)*'01_Input'!$M$62))+IF('01_Input'!$P$62="Forfait",IF(AD$15&gt;='01_Input'!$N$62,'01_Input'!$Q$62,0),IF('01_Input'!$P$62="Palier",IF(AND(AD$15&gt;='01_Input'!$N$62,AD$15&lt;'01_Input'!$O$62),'01_Input'!$Q$62,0),MAX(MIN(AD$15,'01_Input'!$O$62)-'01_Input'!$N$62,0)*'01_Input'!$Q$62))+IF('01_Input'!$T$62="Forfait",IF(AD$15&gt;='01_Input'!$R$62,'01_Input'!$U$62,0),IF('01_Input'!$T$62="Palier",IF(AND(AD$15&gt;='01_Input'!$R$62,AD$15&lt;'01_Input'!$S$62),'01_Input'!$U$62,0),MAX(MIN(AD$15,'01_Input'!$S$62)-'01_Input'!$R$62,0)*'01_Input'!$U$62))+IF('01_Input'!$X$62="Forfait",IF(AD$15&gt;='01_Input'!$V$62,'01_Input'!$Y$62,0),IF('01_Input'!$X$62="Palier",IF(AND(AD$15&gt;='01_Input'!$V$62,AD$15&lt;'01_Input'!$W$62),'01_Input'!$Y$62,0),MAX(MIN(AD$15,'01_Input'!$W$62)-'01_Input'!$V$62,0)*'01_Input'!$Y$62))+IF('01_Input'!$AB$62="Forfait",IF(AD$15&gt;='01_Input'!$Z$62,'01_Input'!$AC$62,0),IF('01_Input'!$AB$62="Palier",IF(AND(AD$15&gt;='01_Input'!$Z$62,AD$15&lt;'01_Input'!$AA$62),'01_Input'!$AC$62,0),MAX(MIN(AD$15,'01_Input'!$AA$62)-'01_Input'!$Z$62,0)*'01_Input'!$AC$62))))))))))</f>
        <v/>
      </c>
      <c r="AE53" s="83" t="str">
        <f>IF(AE$15="","",IF('01_Input'!$C$62="Non",0,MIN('01_Input'!$I$62,MAX('01_Input'!$H$62,IF('01_Input'!$G$62="Résiduel vs Gestion",0,IF('01_Input'!$G$62="Taux Classe sélectionnée",Distrib_Global_Classe_Selectionnee*AE$15,IF('01_Input'!$G$62="Frais KYC (paliers de 100M€)",MAX(0,Nb_Investisseurs-Nb_KYC_Gratuites_Par_Tranche*(FLOOR(AE$15/Taille_Tranche_KYC,1)+1))*Cout_Par_KYC_Supplementaire,(IF('01_Input'!$L$62="Forfait",IF(AE$15&gt;='01_Input'!$J$62,'01_Input'!$M$62,0),IF('01_Input'!$L$62="Palier",IF(AND(AE$15&gt;='01_Input'!$J$62,AE$15&lt;'01_Input'!$K$62),'01_Input'!$M$62,0),MAX(MIN(AE$15,'01_Input'!$K$62)-'01_Input'!$J$62,0)*'01_Input'!$M$62))+IF('01_Input'!$P$62="Forfait",IF(AE$15&gt;='01_Input'!$N$62,'01_Input'!$Q$62,0),IF('01_Input'!$P$62="Palier",IF(AND(AE$15&gt;='01_Input'!$N$62,AE$15&lt;'01_Input'!$O$62),'01_Input'!$Q$62,0),MAX(MIN(AE$15,'01_Input'!$O$62)-'01_Input'!$N$62,0)*'01_Input'!$Q$62))+IF('01_Input'!$T$62="Forfait",IF(AE$15&gt;='01_Input'!$R$62,'01_Input'!$U$62,0),IF('01_Input'!$T$62="Palier",IF(AND(AE$15&gt;='01_Input'!$R$62,AE$15&lt;'01_Input'!$S$62),'01_Input'!$U$62,0),MAX(MIN(AE$15,'01_Input'!$S$62)-'01_Input'!$R$62,0)*'01_Input'!$U$62))+IF('01_Input'!$X$62="Forfait",IF(AE$15&gt;='01_Input'!$V$62,'01_Input'!$Y$62,0),IF('01_Input'!$X$62="Palier",IF(AND(AE$15&gt;='01_Input'!$V$62,AE$15&lt;'01_Input'!$W$62),'01_Input'!$Y$62,0),MAX(MIN(AE$15,'01_Input'!$W$62)-'01_Input'!$V$62,0)*'01_Input'!$Y$62))+IF('01_Input'!$AB$62="Forfait",IF(AE$15&gt;='01_Input'!$Z$62,'01_Input'!$AC$62,0),IF('01_Input'!$AB$62="Palier",IF(AND(AE$15&gt;='01_Input'!$Z$62,AE$15&lt;'01_Input'!$AA$62),'01_Input'!$AC$62,0),MAX(MIN(AE$15,'01_Input'!$AA$62)-'01_Input'!$Z$62,0)*'01_Input'!$AC$62))))))))))</f>
        <v/>
      </c>
      <c r="AF53" s="83" t="str">
        <f>IF(AF$15="","",IF('01_Input'!$C$62="Non",0,MIN('01_Input'!$I$62,MAX('01_Input'!$H$62,IF('01_Input'!$G$62="Résiduel vs Gestion",0,IF('01_Input'!$G$62="Taux Classe sélectionnée",Distrib_Global_Classe_Selectionnee*AF$15,IF('01_Input'!$G$62="Frais KYC (paliers de 100M€)",MAX(0,Nb_Investisseurs-Nb_KYC_Gratuites_Par_Tranche*(FLOOR(AF$15/Taille_Tranche_KYC,1)+1))*Cout_Par_KYC_Supplementaire,(IF('01_Input'!$L$62="Forfait",IF(AF$15&gt;='01_Input'!$J$62,'01_Input'!$M$62,0),IF('01_Input'!$L$62="Palier",IF(AND(AF$15&gt;='01_Input'!$J$62,AF$15&lt;'01_Input'!$K$62),'01_Input'!$M$62,0),MAX(MIN(AF$15,'01_Input'!$K$62)-'01_Input'!$J$62,0)*'01_Input'!$M$62))+IF('01_Input'!$P$62="Forfait",IF(AF$15&gt;='01_Input'!$N$62,'01_Input'!$Q$62,0),IF('01_Input'!$P$62="Palier",IF(AND(AF$15&gt;='01_Input'!$N$62,AF$15&lt;'01_Input'!$O$62),'01_Input'!$Q$62,0),MAX(MIN(AF$15,'01_Input'!$O$62)-'01_Input'!$N$62,0)*'01_Input'!$Q$62))+IF('01_Input'!$T$62="Forfait",IF(AF$15&gt;='01_Input'!$R$62,'01_Input'!$U$62,0),IF('01_Input'!$T$62="Palier",IF(AND(AF$15&gt;='01_Input'!$R$62,AF$15&lt;'01_Input'!$S$62),'01_Input'!$U$62,0),MAX(MIN(AF$15,'01_Input'!$S$62)-'01_Input'!$R$62,0)*'01_Input'!$U$62))+IF('01_Input'!$X$62="Forfait",IF(AF$15&gt;='01_Input'!$V$62,'01_Input'!$Y$62,0),IF('01_Input'!$X$62="Palier",IF(AND(AF$15&gt;='01_Input'!$V$62,AF$15&lt;'01_Input'!$W$62),'01_Input'!$Y$62,0),MAX(MIN(AF$15,'01_Input'!$W$62)-'01_Input'!$V$62,0)*'01_Input'!$Y$62))+IF('01_Input'!$AB$62="Forfait",IF(AF$15&gt;='01_Input'!$Z$62,'01_Input'!$AC$62,0),IF('01_Input'!$AB$62="Palier",IF(AND(AF$15&gt;='01_Input'!$Z$62,AF$15&lt;'01_Input'!$AA$62),'01_Input'!$AC$62,0),MAX(MIN(AF$15,'01_Input'!$AA$62)-'01_Input'!$Z$62,0)*'01_Input'!$AC$62))))))))))</f>
        <v/>
      </c>
      <c r="AG53" s="83" t="str">
        <f>IF(AG$15="","",IF('01_Input'!$C$62="Non",0,MIN('01_Input'!$I$62,MAX('01_Input'!$H$62,IF('01_Input'!$G$62="Résiduel vs Gestion",0,IF('01_Input'!$G$62="Taux Classe sélectionnée",Distrib_Global_Classe_Selectionnee*AG$15,IF('01_Input'!$G$62="Frais KYC (paliers de 100M€)",MAX(0,Nb_Investisseurs-Nb_KYC_Gratuites_Par_Tranche*(FLOOR(AG$15/Taille_Tranche_KYC,1)+1))*Cout_Par_KYC_Supplementaire,(IF('01_Input'!$L$62="Forfait",IF(AG$15&gt;='01_Input'!$J$62,'01_Input'!$M$62,0),IF('01_Input'!$L$62="Palier",IF(AND(AG$15&gt;='01_Input'!$J$62,AG$15&lt;'01_Input'!$K$62),'01_Input'!$M$62,0),MAX(MIN(AG$15,'01_Input'!$K$62)-'01_Input'!$J$62,0)*'01_Input'!$M$62))+IF('01_Input'!$P$62="Forfait",IF(AG$15&gt;='01_Input'!$N$62,'01_Input'!$Q$62,0),IF('01_Input'!$P$62="Palier",IF(AND(AG$15&gt;='01_Input'!$N$62,AG$15&lt;'01_Input'!$O$62),'01_Input'!$Q$62,0),MAX(MIN(AG$15,'01_Input'!$O$62)-'01_Input'!$N$62,0)*'01_Input'!$Q$62))+IF('01_Input'!$T$62="Forfait",IF(AG$15&gt;='01_Input'!$R$62,'01_Input'!$U$62,0),IF('01_Input'!$T$62="Palier",IF(AND(AG$15&gt;='01_Input'!$R$62,AG$15&lt;'01_Input'!$S$62),'01_Input'!$U$62,0),MAX(MIN(AG$15,'01_Input'!$S$62)-'01_Input'!$R$62,0)*'01_Input'!$U$62))+IF('01_Input'!$X$62="Forfait",IF(AG$15&gt;='01_Input'!$V$62,'01_Input'!$Y$62,0),IF('01_Input'!$X$62="Palier",IF(AND(AG$15&gt;='01_Input'!$V$62,AG$15&lt;'01_Input'!$W$62),'01_Input'!$Y$62,0),MAX(MIN(AG$15,'01_Input'!$W$62)-'01_Input'!$V$62,0)*'01_Input'!$Y$62))+IF('01_Input'!$AB$62="Forfait",IF(AG$15&gt;='01_Input'!$Z$62,'01_Input'!$AC$62,0),IF('01_Input'!$AB$62="Palier",IF(AND(AG$15&gt;='01_Input'!$Z$62,AG$15&lt;'01_Input'!$AA$62),'01_Input'!$AC$62,0),MAX(MIN(AG$15,'01_Input'!$AA$62)-'01_Input'!$Z$62,0)*'01_Input'!$AC$62))))))))))</f>
        <v/>
      </c>
      <c r="AH53" s="83" t="str">
        <f>IF(AH$15="","",IF('01_Input'!$C$62="Non",0,MIN('01_Input'!$I$62,MAX('01_Input'!$H$62,IF('01_Input'!$G$62="Résiduel vs Gestion",0,IF('01_Input'!$G$62="Taux Classe sélectionnée",Distrib_Global_Classe_Selectionnee*AH$15,IF('01_Input'!$G$62="Frais KYC (paliers de 100M€)",MAX(0,Nb_Investisseurs-Nb_KYC_Gratuites_Par_Tranche*(FLOOR(AH$15/Taille_Tranche_KYC,1)+1))*Cout_Par_KYC_Supplementaire,(IF('01_Input'!$L$62="Forfait",IF(AH$15&gt;='01_Input'!$J$62,'01_Input'!$M$62,0),IF('01_Input'!$L$62="Palier",IF(AND(AH$15&gt;='01_Input'!$J$62,AH$15&lt;'01_Input'!$K$62),'01_Input'!$M$62,0),MAX(MIN(AH$15,'01_Input'!$K$62)-'01_Input'!$J$62,0)*'01_Input'!$M$62))+IF('01_Input'!$P$62="Forfait",IF(AH$15&gt;='01_Input'!$N$62,'01_Input'!$Q$62,0),IF('01_Input'!$P$62="Palier",IF(AND(AH$15&gt;='01_Input'!$N$62,AH$15&lt;'01_Input'!$O$62),'01_Input'!$Q$62,0),MAX(MIN(AH$15,'01_Input'!$O$62)-'01_Input'!$N$62,0)*'01_Input'!$Q$62))+IF('01_Input'!$T$62="Forfait",IF(AH$15&gt;='01_Input'!$R$62,'01_Input'!$U$62,0),IF('01_Input'!$T$62="Palier",IF(AND(AH$15&gt;='01_Input'!$R$62,AH$15&lt;'01_Input'!$S$62),'01_Input'!$U$62,0),MAX(MIN(AH$15,'01_Input'!$S$62)-'01_Input'!$R$62,0)*'01_Input'!$U$62))+IF('01_Input'!$X$62="Forfait",IF(AH$15&gt;='01_Input'!$V$62,'01_Input'!$Y$62,0),IF('01_Input'!$X$62="Palier",IF(AND(AH$15&gt;='01_Input'!$V$62,AH$15&lt;'01_Input'!$W$62),'01_Input'!$Y$62,0),MAX(MIN(AH$15,'01_Input'!$W$62)-'01_Input'!$V$62,0)*'01_Input'!$Y$62))+IF('01_Input'!$AB$62="Forfait",IF(AH$15&gt;='01_Input'!$Z$62,'01_Input'!$AC$62,0),IF('01_Input'!$AB$62="Palier",IF(AND(AH$15&gt;='01_Input'!$Z$62,AH$15&lt;'01_Input'!$AA$62),'01_Input'!$AC$62,0),MAX(MIN(AH$15,'01_Input'!$AA$62)-'01_Input'!$Z$62,0)*'01_Input'!$AC$62))))))))))</f>
        <v/>
      </c>
      <c r="AI53" s="83" t="str">
        <f>IF(AI$15="","",IF('01_Input'!$C$62="Non",0,MIN('01_Input'!$I$62,MAX('01_Input'!$H$62,IF('01_Input'!$G$62="Résiduel vs Gestion",0,IF('01_Input'!$G$62="Taux Classe sélectionnée",Distrib_Global_Classe_Selectionnee*AI$15,IF('01_Input'!$G$62="Frais KYC (paliers de 100M€)",MAX(0,Nb_Investisseurs-Nb_KYC_Gratuites_Par_Tranche*(FLOOR(AI$15/Taille_Tranche_KYC,1)+1))*Cout_Par_KYC_Supplementaire,(IF('01_Input'!$L$62="Forfait",IF(AI$15&gt;='01_Input'!$J$62,'01_Input'!$M$62,0),IF('01_Input'!$L$62="Palier",IF(AND(AI$15&gt;='01_Input'!$J$62,AI$15&lt;'01_Input'!$K$62),'01_Input'!$M$62,0),MAX(MIN(AI$15,'01_Input'!$K$62)-'01_Input'!$J$62,0)*'01_Input'!$M$62))+IF('01_Input'!$P$62="Forfait",IF(AI$15&gt;='01_Input'!$N$62,'01_Input'!$Q$62,0),IF('01_Input'!$P$62="Palier",IF(AND(AI$15&gt;='01_Input'!$N$62,AI$15&lt;'01_Input'!$O$62),'01_Input'!$Q$62,0),MAX(MIN(AI$15,'01_Input'!$O$62)-'01_Input'!$N$62,0)*'01_Input'!$Q$62))+IF('01_Input'!$T$62="Forfait",IF(AI$15&gt;='01_Input'!$R$62,'01_Input'!$U$62,0),IF('01_Input'!$T$62="Palier",IF(AND(AI$15&gt;='01_Input'!$R$62,AI$15&lt;'01_Input'!$S$62),'01_Input'!$U$62,0),MAX(MIN(AI$15,'01_Input'!$S$62)-'01_Input'!$R$62,0)*'01_Input'!$U$62))+IF('01_Input'!$X$62="Forfait",IF(AI$15&gt;='01_Input'!$V$62,'01_Input'!$Y$62,0),IF('01_Input'!$X$62="Palier",IF(AND(AI$15&gt;='01_Input'!$V$62,AI$15&lt;'01_Input'!$W$62),'01_Input'!$Y$62,0),MAX(MIN(AI$15,'01_Input'!$W$62)-'01_Input'!$V$62,0)*'01_Input'!$Y$62))+IF('01_Input'!$AB$62="Forfait",IF(AI$15&gt;='01_Input'!$Z$62,'01_Input'!$AC$62,0),IF('01_Input'!$AB$62="Palier",IF(AND(AI$15&gt;='01_Input'!$Z$62,AI$15&lt;'01_Input'!$AA$62),'01_Input'!$AC$62,0),MAX(MIN(AI$15,'01_Input'!$AA$62)-'01_Input'!$Z$62,0)*'01_Input'!$AC$62))))))))))</f>
        <v/>
      </c>
      <c r="AJ53" s="83" t="str">
        <f>IF(AJ$15="","",IF('01_Input'!$C$62="Non",0,MIN('01_Input'!$I$62,MAX('01_Input'!$H$62,IF('01_Input'!$G$62="Résiduel vs Gestion",0,IF('01_Input'!$G$62="Taux Classe sélectionnée",Distrib_Global_Classe_Selectionnee*AJ$15,IF('01_Input'!$G$62="Frais KYC (paliers de 100M€)",MAX(0,Nb_Investisseurs-Nb_KYC_Gratuites_Par_Tranche*(FLOOR(AJ$15/Taille_Tranche_KYC,1)+1))*Cout_Par_KYC_Supplementaire,(IF('01_Input'!$L$62="Forfait",IF(AJ$15&gt;='01_Input'!$J$62,'01_Input'!$M$62,0),IF('01_Input'!$L$62="Palier",IF(AND(AJ$15&gt;='01_Input'!$J$62,AJ$15&lt;'01_Input'!$K$62),'01_Input'!$M$62,0),MAX(MIN(AJ$15,'01_Input'!$K$62)-'01_Input'!$J$62,0)*'01_Input'!$M$62))+IF('01_Input'!$P$62="Forfait",IF(AJ$15&gt;='01_Input'!$N$62,'01_Input'!$Q$62,0),IF('01_Input'!$P$62="Palier",IF(AND(AJ$15&gt;='01_Input'!$N$62,AJ$15&lt;'01_Input'!$O$62),'01_Input'!$Q$62,0),MAX(MIN(AJ$15,'01_Input'!$O$62)-'01_Input'!$N$62,0)*'01_Input'!$Q$62))+IF('01_Input'!$T$62="Forfait",IF(AJ$15&gt;='01_Input'!$R$62,'01_Input'!$U$62,0),IF('01_Input'!$T$62="Palier",IF(AND(AJ$15&gt;='01_Input'!$R$62,AJ$15&lt;'01_Input'!$S$62),'01_Input'!$U$62,0),MAX(MIN(AJ$15,'01_Input'!$S$62)-'01_Input'!$R$62,0)*'01_Input'!$U$62))+IF('01_Input'!$X$62="Forfait",IF(AJ$15&gt;='01_Input'!$V$62,'01_Input'!$Y$62,0),IF('01_Input'!$X$62="Palier",IF(AND(AJ$15&gt;='01_Input'!$V$62,AJ$15&lt;'01_Input'!$W$62),'01_Input'!$Y$62,0),MAX(MIN(AJ$15,'01_Input'!$W$62)-'01_Input'!$V$62,0)*'01_Input'!$Y$62))+IF('01_Input'!$AB$62="Forfait",IF(AJ$15&gt;='01_Input'!$Z$62,'01_Input'!$AC$62,0),IF('01_Input'!$AB$62="Palier",IF(AND(AJ$15&gt;='01_Input'!$Z$62,AJ$15&lt;'01_Input'!$AA$62),'01_Input'!$AC$62,0),MAX(MIN(AJ$15,'01_Input'!$AA$62)-'01_Input'!$Z$62,0)*'01_Input'!$AC$62))))))))))</f>
        <v/>
      </c>
      <c r="AK53" s="83" t="str">
        <f>IF(AK$15="","",IF('01_Input'!$C$62="Non",0,MIN('01_Input'!$I$62,MAX('01_Input'!$H$62,IF('01_Input'!$G$62="Résiduel vs Gestion",0,IF('01_Input'!$G$62="Taux Classe sélectionnée",Distrib_Global_Classe_Selectionnee*AK$15,IF('01_Input'!$G$62="Frais KYC (paliers de 100M€)",MAX(0,Nb_Investisseurs-Nb_KYC_Gratuites_Par_Tranche*(FLOOR(AK$15/Taille_Tranche_KYC,1)+1))*Cout_Par_KYC_Supplementaire,(IF('01_Input'!$L$62="Forfait",IF(AK$15&gt;='01_Input'!$J$62,'01_Input'!$M$62,0),IF('01_Input'!$L$62="Palier",IF(AND(AK$15&gt;='01_Input'!$J$62,AK$15&lt;'01_Input'!$K$62),'01_Input'!$M$62,0),MAX(MIN(AK$15,'01_Input'!$K$62)-'01_Input'!$J$62,0)*'01_Input'!$M$62))+IF('01_Input'!$P$62="Forfait",IF(AK$15&gt;='01_Input'!$N$62,'01_Input'!$Q$62,0),IF('01_Input'!$P$62="Palier",IF(AND(AK$15&gt;='01_Input'!$N$62,AK$15&lt;'01_Input'!$O$62),'01_Input'!$Q$62,0),MAX(MIN(AK$15,'01_Input'!$O$62)-'01_Input'!$N$62,0)*'01_Input'!$Q$62))+IF('01_Input'!$T$62="Forfait",IF(AK$15&gt;='01_Input'!$R$62,'01_Input'!$U$62,0),IF('01_Input'!$T$62="Palier",IF(AND(AK$15&gt;='01_Input'!$R$62,AK$15&lt;'01_Input'!$S$62),'01_Input'!$U$62,0),MAX(MIN(AK$15,'01_Input'!$S$62)-'01_Input'!$R$62,0)*'01_Input'!$U$62))+IF('01_Input'!$X$62="Forfait",IF(AK$15&gt;='01_Input'!$V$62,'01_Input'!$Y$62,0),IF('01_Input'!$X$62="Palier",IF(AND(AK$15&gt;='01_Input'!$V$62,AK$15&lt;'01_Input'!$W$62),'01_Input'!$Y$62,0),MAX(MIN(AK$15,'01_Input'!$W$62)-'01_Input'!$V$62,0)*'01_Input'!$Y$62))+IF('01_Input'!$AB$62="Forfait",IF(AK$15&gt;='01_Input'!$Z$62,'01_Input'!$AC$62,0),IF('01_Input'!$AB$62="Palier",IF(AND(AK$15&gt;='01_Input'!$Z$62,AK$15&lt;'01_Input'!$AA$62),'01_Input'!$AC$62,0),MAX(MIN(AK$15,'01_Input'!$AA$62)-'01_Input'!$Z$62,0)*'01_Input'!$AC$62))))))))))</f>
        <v/>
      </c>
      <c r="AL53" s="83" t="str">
        <f>IF(AL$15="","",IF('01_Input'!$C$62="Non",0,MIN('01_Input'!$I$62,MAX('01_Input'!$H$62,IF('01_Input'!$G$62="Résiduel vs Gestion",0,IF('01_Input'!$G$62="Taux Classe sélectionnée",Distrib_Global_Classe_Selectionnee*AL$15,IF('01_Input'!$G$62="Frais KYC (paliers de 100M€)",MAX(0,Nb_Investisseurs-Nb_KYC_Gratuites_Par_Tranche*(FLOOR(AL$15/Taille_Tranche_KYC,1)+1))*Cout_Par_KYC_Supplementaire,(IF('01_Input'!$L$62="Forfait",IF(AL$15&gt;='01_Input'!$J$62,'01_Input'!$M$62,0),IF('01_Input'!$L$62="Palier",IF(AND(AL$15&gt;='01_Input'!$J$62,AL$15&lt;'01_Input'!$K$62),'01_Input'!$M$62,0),MAX(MIN(AL$15,'01_Input'!$K$62)-'01_Input'!$J$62,0)*'01_Input'!$M$62))+IF('01_Input'!$P$62="Forfait",IF(AL$15&gt;='01_Input'!$N$62,'01_Input'!$Q$62,0),IF('01_Input'!$P$62="Palier",IF(AND(AL$15&gt;='01_Input'!$N$62,AL$15&lt;'01_Input'!$O$62),'01_Input'!$Q$62,0),MAX(MIN(AL$15,'01_Input'!$O$62)-'01_Input'!$N$62,0)*'01_Input'!$Q$62))+IF('01_Input'!$T$62="Forfait",IF(AL$15&gt;='01_Input'!$R$62,'01_Input'!$U$62,0),IF('01_Input'!$T$62="Palier",IF(AND(AL$15&gt;='01_Input'!$R$62,AL$15&lt;'01_Input'!$S$62),'01_Input'!$U$62,0),MAX(MIN(AL$15,'01_Input'!$S$62)-'01_Input'!$R$62,0)*'01_Input'!$U$62))+IF('01_Input'!$X$62="Forfait",IF(AL$15&gt;='01_Input'!$V$62,'01_Input'!$Y$62,0),IF('01_Input'!$X$62="Palier",IF(AND(AL$15&gt;='01_Input'!$V$62,AL$15&lt;'01_Input'!$W$62),'01_Input'!$Y$62,0),MAX(MIN(AL$15,'01_Input'!$W$62)-'01_Input'!$V$62,0)*'01_Input'!$Y$62))+IF('01_Input'!$AB$62="Forfait",IF(AL$15&gt;='01_Input'!$Z$62,'01_Input'!$AC$62,0),IF('01_Input'!$AB$62="Palier",IF(AND(AL$15&gt;='01_Input'!$Z$62,AL$15&lt;'01_Input'!$AA$62),'01_Input'!$AC$62,0),MAX(MIN(AL$15,'01_Input'!$AA$62)-'01_Input'!$Z$62,0)*'01_Input'!$AC$62))))))))))</f>
        <v/>
      </c>
      <c r="AM53" s="83" t="str">
        <f>IF(AM$15="","",IF('01_Input'!$C$62="Non",0,MIN('01_Input'!$I$62,MAX('01_Input'!$H$62,IF('01_Input'!$G$62="Résiduel vs Gestion",0,IF('01_Input'!$G$62="Taux Classe sélectionnée",Distrib_Global_Classe_Selectionnee*AM$15,IF('01_Input'!$G$62="Frais KYC (paliers de 100M€)",MAX(0,Nb_Investisseurs-Nb_KYC_Gratuites_Par_Tranche*(FLOOR(AM$15/Taille_Tranche_KYC,1)+1))*Cout_Par_KYC_Supplementaire,(IF('01_Input'!$L$62="Forfait",IF(AM$15&gt;='01_Input'!$J$62,'01_Input'!$M$62,0),IF('01_Input'!$L$62="Palier",IF(AND(AM$15&gt;='01_Input'!$J$62,AM$15&lt;'01_Input'!$K$62),'01_Input'!$M$62,0),MAX(MIN(AM$15,'01_Input'!$K$62)-'01_Input'!$J$62,0)*'01_Input'!$M$62))+IF('01_Input'!$P$62="Forfait",IF(AM$15&gt;='01_Input'!$N$62,'01_Input'!$Q$62,0),IF('01_Input'!$P$62="Palier",IF(AND(AM$15&gt;='01_Input'!$N$62,AM$15&lt;'01_Input'!$O$62),'01_Input'!$Q$62,0),MAX(MIN(AM$15,'01_Input'!$O$62)-'01_Input'!$N$62,0)*'01_Input'!$Q$62))+IF('01_Input'!$T$62="Forfait",IF(AM$15&gt;='01_Input'!$R$62,'01_Input'!$U$62,0),IF('01_Input'!$T$62="Palier",IF(AND(AM$15&gt;='01_Input'!$R$62,AM$15&lt;'01_Input'!$S$62),'01_Input'!$U$62,0),MAX(MIN(AM$15,'01_Input'!$S$62)-'01_Input'!$R$62,0)*'01_Input'!$U$62))+IF('01_Input'!$X$62="Forfait",IF(AM$15&gt;='01_Input'!$V$62,'01_Input'!$Y$62,0),IF('01_Input'!$X$62="Palier",IF(AND(AM$15&gt;='01_Input'!$V$62,AM$15&lt;'01_Input'!$W$62),'01_Input'!$Y$62,0),MAX(MIN(AM$15,'01_Input'!$W$62)-'01_Input'!$V$62,0)*'01_Input'!$Y$62))+IF('01_Input'!$AB$62="Forfait",IF(AM$15&gt;='01_Input'!$Z$62,'01_Input'!$AC$62,0),IF('01_Input'!$AB$62="Palier",IF(AND(AM$15&gt;='01_Input'!$Z$62,AM$15&lt;'01_Input'!$AA$62),'01_Input'!$AC$62,0),MAX(MIN(AM$15,'01_Input'!$AA$62)-'01_Input'!$Z$62,0)*'01_Input'!$AC$62))))))))))</f>
        <v/>
      </c>
    </row>
    <row r="54" ht="15.75" customHeight="1">
      <c r="B54" s="40" t="str">
        <f t="shared" si="1"/>
        <v>Tenue du Passif</v>
      </c>
      <c r="D54" s="25">
        <f>IF(D$15="","",IF('01_Input'!$C$63="Non",0,MIN('01_Input'!$I$63,MAX('01_Input'!$H$63,IF('01_Input'!$G$63="Résiduel vs Gestion",0,IF('01_Input'!$G$63="Taux Classe sélectionnée",Distrib_Global_Classe_Selectionnee*D$15,IF('01_Input'!$G$63="Frais KYC (paliers de 100M€)",MAX(0,Nb_Investisseurs-Nb_KYC_Gratuites_Par_Tranche*(FLOOR(D$15/Taille_Tranche_KYC,1)+1))*Cout_Par_KYC_Supplementaire,(IF('01_Input'!$L$63="Forfait",IF(D$15&gt;='01_Input'!$J$63,'01_Input'!$M$63,0),IF('01_Input'!$L$63="Palier",IF(AND(D$15&gt;='01_Input'!$J$63,D$15&lt;'01_Input'!$K$63),'01_Input'!$M$63,0),MAX(MIN(D$15,'01_Input'!$K$63)-'01_Input'!$J$63,0)*'01_Input'!$M$63))+IF('01_Input'!$P$63="Forfait",IF(D$15&gt;='01_Input'!$N$63,'01_Input'!$Q$63,0),IF('01_Input'!$P$63="Palier",IF(AND(D$15&gt;='01_Input'!$N$63,D$15&lt;'01_Input'!$O$63),'01_Input'!$Q$63,0),MAX(MIN(D$15,'01_Input'!$O$63)-'01_Input'!$N$63,0)*'01_Input'!$Q$63))+IF('01_Input'!$T$63="Forfait",IF(D$15&gt;='01_Input'!$R$63,'01_Input'!$U$63,0),IF('01_Input'!$T$63="Palier",IF(AND(D$15&gt;='01_Input'!$R$63,D$15&lt;'01_Input'!$S$63),'01_Input'!$U$63,0),MAX(MIN(D$15,'01_Input'!$S$63)-'01_Input'!$R$63,0)*'01_Input'!$U$63))+IF('01_Input'!$X$63="Forfait",IF(D$15&gt;='01_Input'!$V$63,'01_Input'!$Y$63,0),IF('01_Input'!$X$63="Palier",IF(AND(D$15&gt;='01_Input'!$V$63,D$15&lt;'01_Input'!$W$63),'01_Input'!$Y$63,0),MAX(MIN(D$15,'01_Input'!$W$63)-'01_Input'!$V$63,0)*'01_Input'!$Y$63))+IF('01_Input'!$AB$63="Forfait",IF(D$15&gt;='01_Input'!$Z$63,'01_Input'!$AC$63,0),IF('01_Input'!$AB$63="Palier",IF(AND(D$15&gt;='01_Input'!$Z$63,D$15&lt;'01_Input'!$AA$63),'01_Input'!$AC$63,0),MAX(MIN(D$15,'01_Input'!$AA$63)-'01_Input'!$Z$63,0)*'01_Input'!$AC$63))))))))))</f>
        <v>1900</v>
      </c>
      <c r="E54" s="25">
        <f>IF(E$15="","",IF('01_Input'!$C$63="Non",0,MIN('01_Input'!$I$63,MAX('01_Input'!$H$63,IF('01_Input'!$G$63="Résiduel vs Gestion",0,IF('01_Input'!$G$63="Taux Classe sélectionnée",Distrib_Global_Classe_Selectionnee*E$15,IF('01_Input'!$G$63="Frais KYC (paliers de 100M€)",MAX(0,Nb_Investisseurs-Nb_KYC_Gratuites_Par_Tranche*(FLOOR(E$15/Taille_Tranche_KYC,1)+1))*Cout_Par_KYC_Supplementaire,(IF('01_Input'!$L$63="Forfait",IF(E$15&gt;='01_Input'!$J$63,'01_Input'!$M$63,0),IF('01_Input'!$L$63="Palier",IF(AND(E$15&gt;='01_Input'!$J$63,E$15&lt;'01_Input'!$K$63),'01_Input'!$M$63,0),MAX(MIN(E$15,'01_Input'!$K$63)-'01_Input'!$J$63,0)*'01_Input'!$M$63))+IF('01_Input'!$P$63="Forfait",IF(E$15&gt;='01_Input'!$N$63,'01_Input'!$Q$63,0),IF('01_Input'!$P$63="Palier",IF(AND(E$15&gt;='01_Input'!$N$63,E$15&lt;'01_Input'!$O$63),'01_Input'!$Q$63,0),MAX(MIN(E$15,'01_Input'!$O$63)-'01_Input'!$N$63,0)*'01_Input'!$Q$63))+IF('01_Input'!$T$63="Forfait",IF(E$15&gt;='01_Input'!$R$63,'01_Input'!$U$63,0),IF('01_Input'!$T$63="Palier",IF(AND(E$15&gt;='01_Input'!$R$63,E$15&lt;'01_Input'!$S$63),'01_Input'!$U$63,0),MAX(MIN(E$15,'01_Input'!$S$63)-'01_Input'!$R$63,0)*'01_Input'!$U$63))+IF('01_Input'!$X$63="Forfait",IF(E$15&gt;='01_Input'!$V$63,'01_Input'!$Y$63,0),IF('01_Input'!$X$63="Palier",IF(AND(E$15&gt;='01_Input'!$V$63,E$15&lt;'01_Input'!$W$63),'01_Input'!$Y$63,0),MAX(MIN(E$15,'01_Input'!$W$63)-'01_Input'!$V$63,0)*'01_Input'!$Y$63))+IF('01_Input'!$AB$63="Forfait",IF(E$15&gt;='01_Input'!$Z$63,'01_Input'!$AC$63,0),IF('01_Input'!$AB$63="Palier",IF(AND(E$15&gt;='01_Input'!$Z$63,E$15&lt;'01_Input'!$AA$63),'01_Input'!$AC$63,0),MAX(MIN(E$15,'01_Input'!$AA$63)-'01_Input'!$Z$63,0)*'01_Input'!$AC$63))))))))))</f>
        <v>1900</v>
      </c>
      <c r="F54" s="25" t="str">
        <f>IF(F$15="","",IF('01_Input'!$C$63="Non",0,MIN('01_Input'!$I$63,MAX('01_Input'!$H$63,IF('01_Input'!$G$63="Résiduel vs Gestion",0,IF('01_Input'!$G$63="Taux Classe sélectionnée",Distrib_Global_Classe_Selectionnee*F$15,IF('01_Input'!$G$63="Frais KYC (paliers de 100M€)",MAX(0,Nb_Investisseurs-Nb_KYC_Gratuites_Par_Tranche*(FLOOR(F$15/Taille_Tranche_KYC,1)+1))*Cout_Par_KYC_Supplementaire,(IF('01_Input'!$L$63="Forfait",IF(F$15&gt;='01_Input'!$J$63,'01_Input'!$M$63,0),IF('01_Input'!$L$63="Palier",IF(AND(F$15&gt;='01_Input'!$J$63,F$15&lt;'01_Input'!$K$63),'01_Input'!$M$63,0),MAX(MIN(F$15,'01_Input'!$K$63)-'01_Input'!$J$63,0)*'01_Input'!$M$63))+IF('01_Input'!$P$63="Forfait",IF(F$15&gt;='01_Input'!$N$63,'01_Input'!$Q$63,0),IF('01_Input'!$P$63="Palier",IF(AND(F$15&gt;='01_Input'!$N$63,F$15&lt;'01_Input'!$O$63),'01_Input'!$Q$63,0),MAX(MIN(F$15,'01_Input'!$O$63)-'01_Input'!$N$63,0)*'01_Input'!$Q$63))+IF('01_Input'!$T$63="Forfait",IF(F$15&gt;='01_Input'!$R$63,'01_Input'!$U$63,0),IF('01_Input'!$T$63="Palier",IF(AND(F$15&gt;='01_Input'!$R$63,F$15&lt;'01_Input'!$S$63),'01_Input'!$U$63,0),MAX(MIN(F$15,'01_Input'!$S$63)-'01_Input'!$R$63,0)*'01_Input'!$U$63))+IF('01_Input'!$X$63="Forfait",IF(F$15&gt;='01_Input'!$V$63,'01_Input'!$Y$63,0),IF('01_Input'!$X$63="Palier",IF(AND(F$15&gt;='01_Input'!$V$63,F$15&lt;'01_Input'!$W$63),'01_Input'!$Y$63,0),MAX(MIN(F$15,'01_Input'!$W$63)-'01_Input'!$V$63,0)*'01_Input'!$Y$63))+IF('01_Input'!$AB$63="Forfait",IF(F$15&gt;='01_Input'!$Z$63,'01_Input'!$AC$63,0),IF('01_Input'!$AB$63="Palier",IF(AND(F$15&gt;='01_Input'!$Z$63,F$15&lt;'01_Input'!$AA$63),'01_Input'!$AC$63,0),MAX(MIN(F$15,'01_Input'!$AA$63)-'01_Input'!$Z$63,0)*'01_Input'!$AC$63))))))))))</f>
        <v/>
      </c>
      <c r="G54" s="25" t="str">
        <f>IF(G$15="","",IF('01_Input'!$C$63="Non",0,MIN('01_Input'!$I$63,MAX('01_Input'!$H$63,IF('01_Input'!$G$63="Résiduel vs Gestion",0,IF('01_Input'!$G$63="Taux Classe sélectionnée",Distrib_Global_Classe_Selectionnee*G$15,IF('01_Input'!$G$63="Frais KYC (paliers de 100M€)",MAX(0,Nb_Investisseurs-Nb_KYC_Gratuites_Par_Tranche*(FLOOR(G$15/Taille_Tranche_KYC,1)+1))*Cout_Par_KYC_Supplementaire,(IF('01_Input'!$L$63="Forfait",IF(G$15&gt;='01_Input'!$J$63,'01_Input'!$M$63,0),IF('01_Input'!$L$63="Palier",IF(AND(G$15&gt;='01_Input'!$J$63,G$15&lt;'01_Input'!$K$63),'01_Input'!$M$63,0),MAX(MIN(G$15,'01_Input'!$K$63)-'01_Input'!$J$63,0)*'01_Input'!$M$63))+IF('01_Input'!$P$63="Forfait",IF(G$15&gt;='01_Input'!$N$63,'01_Input'!$Q$63,0),IF('01_Input'!$P$63="Palier",IF(AND(G$15&gt;='01_Input'!$N$63,G$15&lt;'01_Input'!$O$63),'01_Input'!$Q$63,0),MAX(MIN(G$15,'01_Input'!$O$63)-'01_Input'!$N$63,0)*'01_Input'!$Q$63))+IF('01_Input'!$T$63="Forfait",IF(G$15&gt;='01_Input'!$R$63,'01_Input'!$U$63,0),IF('01_Input'!$T$63="Palier",IF(AND(G$15&gt;='01_Input'!$R$63,G$15&lt;'01_Input'!$S$63),'01_Input'!$U$63,0),MAX(MIN(G$15,'01_Input'!$S$63)-'01_Input'!$R$63,0)*'01_Input'!$U$63))+IF('01_Input'!$X$63="Forfait",IF(G$15&gt;='01_Input'!$V$63,'01_Input'!$Y$63,0),IF('01_Input'!$X$63="Palier",IF(AND(G$15&gt;='01_Input'!$V$63,G$15&lt;'01_Input'!$W$63),'01_Input'!$Y$63,0),MAX(MIN(G$15,'01_Input'!$W$63)-'01_Input'!$V$63,0)*'01_Input'!$Y$63))+IF('01_Input'!$AB$63="Forfait",IF(G$15&gt;='01_Input'!$Z$63,'01_Input'!$AC$63,0),IF('01_Input'!$AB$63="Palier",IF(AND(G$15&gt;='01_Input'!$Z$63,G$15&lt;'01_Input'!$AA$63),'01_Input'!$AC$63,0),MAX(MIN(G$15,'01_Input'!$AA$63)-'01_Input'!$Z$63,0)*'01_Input'!$AC$63))))))))))</f>
        <v/>
      </c>
      <c r="H54" s="25" t="str">
        <f>IF(H$15="","",IF('01_Input'!$C$63="Non",0,MIN('01_Input'!$I$63,MAX('01_Input'!$H$63,IF('01_Input'!$G$63="Résiduel vs Gestion",0,IF('01_Input'!$G$63="Taux Classe sélectionnée",Distrib_Global_Classe_Selectionnee*H$15,IF('01_Input'!$G$63="Frais KYC (paliers de 100M€)",MAX(0,Nb_Investisseurs-Nb_KYC_Gratuites_Par_Tranche*(FLOOR(H$15/Taille_Tranche_KYC,1)+1))*Cout_Par_KYC_Supplementaire,(IF('01_Input'!$L$63="Forfait",IF(H$15&gt;='01_Input'!$J$63,'01_Input'!$M$63,0),IF('01_Input'!$L$63="Palier",IF(AND(H$15&gt;='01_Input'!$J$63,H$15&lt;'01_Input'!$K$63),'01_Input'!$M$63,0),MAX(MIN(H$15,'01_Input'!$K$63)-'01_Input'!$J$63,0)*'01_Input'!$M$63))+IF('01_Input'!$P$63="Forfait",IF(H$15&gt;='01_Input'!$N$63,'01_Input'!$Q$63,0),IF('01_Input'!$P$63="Palier",IF(AND(H$15&gt;='01_Input'!$N$63,H$15&lt;'01_Input'!$O$63),'01_Input'!$Q$63,0),MAX(MIN(H$15,'01_Input'!$O$63)-'01_Input'!$N$63,0)*'01_Input'!$Q$63))+IF('01_Input'!$T$63="Forfait",IF(H$15&gt;='01_Input'!$R$63,'01_Input'!$U$63,0),IF('01_Input'!$T$63="Palier",IF(AND(H$15&gt;='01_Input'!$R$63,H$15&lt;'01_Input'!$S$63),'01_Input'!$U$63,0),MAX(MIN(H$15,'01_Input'!$S$63)-'01_Input'!$R$63,0)*'01_Input'!$U$63))+IF('01_Input'!$X$63="Forfait",IF(H$15&gt;='01_Input'!$V$63,'01_Input'!$Y$63,0),IF('01_Input'!$X$63="Palier",IF(AND(H$15&gt;='01_Input'!$V$63,H$15&lt;'01_Input'!$W$63),'01_Input'!$Y$63,0),MAX(MIN(H$15,'01_Input'!$W$63)-'01_Input'!$V$63,0)*'01_Input'!$Y$63))+IF('01_Input'!$AB$63="Forfait",IF(H$15&gt;='01_Input'!$Z$63,'01_Input'!$AC$63,0),IF('01_Input'!$AB$63="Palier",IF(AND(H$15&gt;='01_Input'!$Z$63,H$15&lt;'01_Input'!$AA$63),'01_Input'!$AC$63,0),MAX(MIN(H$15,'01_Input'!$AA$63)-'01_Input'!$Z$63,0)*'01_Input'!$AC$63))))))))))</f>
        <v/>
      </c>
      <c r="I54" s="25" t="str">
        <f>IF(I$15="","",IF('01_Input'!$C$63="Non",0,MIN('01_Input'!$I$63,MAX('01_Input'!$H$63,IF('01_Input'!$G$63="Résiduel vs Gestion",0,IF('01_Input'!$G$63="Taux Classe sélectionnée",Distrib_Global_Classe_Selectionnee*I$15,IF('01_Input'!$G$63="Frais KYC (paliers de 100M€)",MAX(0,Nb_Investisseurs-Nb_KYC_Gratuites_Par_Tranche*(FLOOR(I$15/Taille_Tranche_KYC,1)+1))*Cout_Par_KYC_Supplementaire,(IF('01_Input'!$L$63="Forfait",IF(I$15&gt;='01_Input'!$J$63,'01_Input'!$M$63,0),IF('01_Input'!$L$63="Palier",IF(AND(I$15&gt;='01_Input'!$J$63,I$15&lt;'01_Input'!$K$63),'01_Input'!$M$63,0),MAX(MIN(I$15,'01_Input'!$K$63)-'01_Input'!$J$63,0)*'01_Input'!$M$63))+IF('01_Input'!$P$63="Forfait",IF(I$15&gt;='01_Input'!$N$63,'01_Input'!$Q$63,0),IF('01_Input'!$P$63="Palier",IF(AND(I$15&gt;='01_Input'!$N$63,I$15&lt;'01_Input'!$O$63),'01_Input'!$Q$63,0),MAX(MIN(I$15,'01_Input'!$O$63)-'01_Input'!$N$63,0)*'01_Input'!$Q$63))+IF('01_Input'!$T$63="Forfait",IF(I$15&gt;='01_Input'!$R$63,'01_Input'!$U$63,0),IF('01_Input'!$T$63="Palier",IF(AND(I$15&gt;='01_Input'!$R$63,I$15&lt;'01_Input'!$S$63),'01_Input'!$U$63,0),MAX(MIN(I$15,'01_Input'!$S$63)-'01_Input'!$R$63,0)*'01_Input'!$U$63))+IF('01_Input'!$X$63="Forfait",IF(I$15&gt;='01_Input'!$V$63,'01_Input'!$Y$63,0),IF('01_Input'!$X$63="Palier",IF(AND(I$15&gt;='01_Input'!$V$63,I$15&lt;'01_Input'!$W$63),'01_Input'!$Y$63,0),MAX(MIN(I$15,'01_Input'!$W$63)-'01_Input'!$V$63,0)*'01_Input'!$Y$63))+IF('01_Input'!$AB$63="Forfait",IF(I$15&gt;='01_Input'!$Z$63,'01_Input'!$AC$63,0),IF('01_Input'!$AB$63="Palier",IF(AND(I$15&gt;='01_Input'!$Z$63,I$15&lt;'01_Input'!$AA$63),'01_Input'!$AC$63,0),MAX(MIN(I$15,'01_Input'!$AA$63)-'01_Input'!$Z$63,0)*'01_Input'!$AC$63))))))))))</f>
        <v/>
      </c>
      <c r="J54" s="25" t="str">
        <f>IF(J$15="","",IF('01_Input'!$C$63="Non",0,MIN('01_Input'!$I$63,MAX('01_Input'!$H$63,IF('01_Input'!$G$63="Résiduel vs Gestion",0,IF('01_Input'!$G$63="Taux Classe sélectionnée",Distrib_Global_Classe_Selectionnee*J$15,IF('01_Input'!$G$63="Frais KYC (paliers de 100M€)",MAX(0,Nb_Investisseurs-Nb_KYC_Gratuites_Par_Tranche*(FLOOR(J$15/Taille_Tranche_KYC,1)+1))*Cout_Par_KYC_Supplementaire,(IF('01_Input'!$L$63="Forfait",IF(J$15&gt;='01_Input'!$J$63,'01_Input'!$M$63,0),IF('01_Input'!$L$63="Palier",IF(AND(J$15&gt;='01_Input'!$J$63,J$15&lt;'01_Input'!$K$63),'01_Input'!$M$63,0),MAX(MIN(J$15,'01_Input'!$K$63)-'01_Input'!$J$63,0)*'01_Input'!$M$63))+IF('01_Input'!$P$63="Forfait",IF(J$15&gt;='01_Input'!$N$63,'01_Input'!$Q$63,0),IF('01_Input'!$P$63="Palier",IF(AND(J$15&gt;='01_Input'!$N$63,J$15&lt;'01_Input'!$O$63),'01_Input'!$Q$63,0),MAX(MIN(J$15,'01_Input'!$O$63)-'01_Input'!$N$63,0)*'01_Input'!$Q$63))+IF('01_Input'!$T$63="Forfait",IF(J$15&gt;='01_Input'!$R$63,'01_Input'!$U$63,0),IF('01_Input'!$T$63="Palier",IF(AND(J$15&gt;='01_Input'!$R$63,J$15&lt;'01_Input'!$S$63),'01_Input'!$U$63,0),MAX(MIN(J$15,'01_Input'!$S$63)-'01_Input'!$R$63,0)*'01_Input'!$U$63))+IF('01_Input'!$X$63="Forfait",IF(J$15&gt;='01_Input'!$V$63,'01_Input'!$Y$63,0),IF('01_Input'!$X$63="Palier",IF(AND(J$15&gt;='01_Input'!$V$63,J$15&lt;'01_Input'!$W$63),'01_Input'!$Y$63,0),MAX(MIN(J$15,'01_Input'!$W$63)-'01_Input'!$V$63,0)*'01_Input'!$Y$63))+IF('01_Input'!$AB$63="Forfait",IF(J$15&gt;='01_Input'!$Z$63,'01_Input'!$AC$63,0),IF('01_Input'!$AB$63="Palier",IF(AND(J$15&gt;='01_Input'!$Z$63,J$15&lt;'01_Input'!$AA$63),'01_Input'!$AC$63,0),MAX(MIN(J$15,'01_Input'!$AA$63)-'01_Input'!$Z$63,0)*'01_Input'!$AC$63))))))))))</f>
        <v/>
      </c>
      <c r="K54" s="25" t="str">
        <f>IF(K$15="","",IF('01_Input'!$C$63="Non",0,MIN('01_Input'!$I$63,MAX('01_Input'!$H$63,IF('01_Input'!$G$63="Résiduel vs Gestion",0,IF('01_Input'!$G$63="Taux Classe sélectionnée",Distrib_Global_Classe_Selectionnee*K$15,IF('01_Input'!$G$63="Frais KYC (paliers de 100M€)",MAX(0,Nb_Investisseurs-Nb_KYC_Gratuites_Par_Tranche*(FLOOR(K$15/Taille_Tranche_KYC,1)+1))*Cout_Par_KYC_Supplementaire,(IF('01_Input'!$L$63="Forfait",IF(K$15&gt;='01_Input'!$J$63,'01_Input'!$M$63,0),IF('01_Input'!$L$63="Palier",IF(AND(K$15&gt;='01_Input'!$J$63,K$15&lt;'01_Input'!$K$63),'01_Input'!$M$63,0),MAX(MIN(K$15,'01_Input'!$K$63)-'01_Input'!$J$63,0)*'01_Input'!$M$63))+IF('01_Input'!$P$63="Forfait",IF(K$15&gt;='01_Input'!$N$63,'01_Input'!$Q$63,0),IF('01_Input'!$P$63="Palier",IF(AND(K$15&gt;='01_Input'!$N$63,K$15&lt;'01_Input'!$O$63),'01_Input'!$Q$63,0),MAX(MIN(K$15,'01_Input'!$O$63)-'01_Input'!$N$63,0)*'01_Input'!$Q$63))+IF('01_Input'!$T$63="Forfait",IF(K$15&gt;='01_Input'!$R$63,'01_Input'!$U$63,0),IF('01_Input'!$T$63="Palier",IF(AND(K$15&gt;='01_Input'!$R$63,K$15&lt;'01_Input'!$S$63),'01_Input'!$U$63,0),MAX(MIN(K$15,'01_Input'!$S$63)-'01_Input'!$R$63,0)*'01_Input'!$U$63))+IF('01_Input'!$X$63="Forfait",IF(K$15&gt;='01_Input'!$V$63,'01_Input'!$Y$63,0),IF('01_Input'!$X$63="Palier",IF(AND(K$15&gt;='01_Input'!$V$63,K$15&lt;'01_Input'!$W$63),'01_Input'!$Y$63,0),MAX(MIN(K$15,'01_Input'!$W$63)-'01_Input'!$V$63,0)*'01_Input'!$Y$63))+IF('01_Input'!$AB$63="Forfait",IF(K$15&gt;='01_Input'!$Z$63,'01_Input'!$AC$63,0),IF('01_Input'!$AB$63="Palier",IF(AND(K$15&gt;='01_Input'!$Z$63,K$15&lt;'01_Input'!$AA$63),'01_Input'!$AC$63,0),MAX(MIN(K$15,'01_Input'!$AA$63)-'01_Input'!$Z$63,0)*'01_Input'!$AC$63))))))))))</f>
        <v/>
      </c>
      <c r="L54" s="25" t="str">
        <f>IF(L$15="","",IF('01_Input'!$C$63="Non",0,MIN('01_Input'!$I$63,MAX('01_Input'!$H$63,IF('01_Input'!$G$63="Résiduel vs Gestion",0,IF('01_Input'!$G$63="Taux Classe sélectionnée",Distrib_Global_Classe_Selectionnee*L$15,IF('01_Input'!$G$63="Frais KYC (paliers de 100M€)",MAX(0,Nb_Investisseurs-Nb_KYC_Gratuites_Par_Tranche*(FLOOR(L$15/Taille_Tranche_KYC,1)+1))*Cout_Par_KYC_Supplementaire,(IF('01_Input'!$L$63="Forfait",IF(L$15&gt;='01_Input'!$J$63,'01_Input'!$M$63,0),IF('01_Input'!$L$63="Palier",IF(AND(L$15&gt;='01_Input'!$J$63,L$15&lt;'01_Input'!$K$63),'01_Input'!$M$63,0),MAX(MIN(L$15,'01_Input'!$K$63)-'01_Input'!$J$63,0)*'01_Input'!$M$63))+IF('01_Input'!$P$63="Forfait",IF(L$15&gt;='01_Input'!$N$63,'01_Input'!$Q$63,0),IF('01_Input'!$P$63="Palier",IF(AND(L$15&gt;='01_Input'!$N$63,L$15&lt;'01_Input'!$O$63),'01_Input'!$Q$63,0),MAX(MIN(L$15,'01_Input'!$O$63)-'01_Input'!$N$63,0)*'01_Input'!$Q$63))+IF('01_Input'!$T$63="Forfait",IF(L$15&gt;='01_Input'!$R$63,'01_Input'!$U$63,0),IF('01_Input'!$T$63="Palier",IF(AND(L$15&gt;='01_Input'!$R$63,L$15&lt;'01_Input'!$S$63),'01_Input'!$U$63,0),MAX(MIN(L$15,'01_Input'!$S$63)-'01_Input'!$R$63,0)*'01_Input'!$U$63))+IF('01_Input'!$X$63="Forfait",IF(L$15&gt;='01_Input'!$V$63,'01_Input'!$Y$63,0),IF('01_Input'!$X$63="Palier",IF(AND(L$15&gt;='01_Input'!$V$63,L$15&lt;'01_Input'!$W$63),'01_Input'!$Y$63,0),MAX(MIN(L$15,'01_Input'!$W$63)-'01_Input'!$V$63,0)*'01_Input'!$Y$63))+IF('01_Input'!$AB$63="Forfait",IF(L$15&gt;='01_Input'!$Z$63,'01_Input'!$AC$63,0),IF('01_Input'!$AB$63="Palier",IF(AND(L$15&gt;='01_Input'!$Z$63,L$15&lt;'01_Input'!$AA$63),'01_Input'!$AC$63,0),MAX(MIN(L$15,'01_Input'!$AA$63)-'01_Input'!$Z$63,0)*'01_Input'!$AC$63))))))))))</f>
        <v/>
      </c>
      <c r="M54" s="25" t="str">
        <f>IF(M$15="","",IF('01_Input'!$C$63="Non",0,MIN('01_Input'!$I$63,MAX('01_Input'!$H$63,IF('01_Input'!$G$63="Résiduel vs Gestion",0,IF('01_Input'!$G$63="Taux Classe sélectionnée",Distrib_Global_Classe_Selectionnee*M$15,IF('01_Input'!$G$63="Frais KYC (paliers de 100M€)",MAX(0,Nb_Investisseurs-Nb_KYC_Gratuites_Par_Tranche*(FLOOR(M$15/Taille_Tranche_KYC,1)+1))*Cout_Par_KYC_Supplementaire,(IF('01_Input'!$L$63="Forfait",IF(M$15&gt;='01_Input'!$J$63,'01_Input'!$M$63,0),IF('01_Input'!$L$63="Palier",IF(AND(M$15&gt;='01_Input'!$J$63,M$15&lt;'01_Input'!$K$63),'01_Input'!$M$63,0),MAX(MIN(M$15,'01_Input'!$K$63)-'01_Input'!$J$63,0)*'01_Input'!$M$63))+IF('01_Input'!$P$63="Forfait",IF(M$15&gt;='01_Input'!$N$63,'01_Input'!$Q$63,0),IF('01_Input'!$P$63="Palier",IF(AND(M$15&gt;='01_Input'!$N$63,M$15&lt;'01_Input'!$O$63),'01_Input'!$Q$63,0),MAX(MIN(M$15,'01_Input'!$O$63)-'01_Input'!$N$63,0)*'01_Input'!$Q$63))+IF('01_Input'!$T$63="Forfait",IF(M$15&gt;='01_Input'!$R$63,'01_Input'!$U$63,0),IF('01_Input'!$T$63="Palier",IF(AND(M$15&gt;='01_Input'!$R$63,M$15&lt;'01_Input'!$S$63),'01_Input'!$U$63,0),MAX(MIN(M$15,'01_Input'!$S$63)-'01_Input'!$R$63,0)*'01_Input'!$U$63))+IF('01_Input'!$X$63="Forfait",IF(M$15&gt;='01_Input'!$V$63,'01_Input'!$Y$63,0),IF('01_Input'!$X$63="Palier",IF(AND(M$15&gt;='01_Input'!$V$63,M$15&lt;'01_Input'!$W$63),'01_Input'!$Y$63,0),MAX(MIN(M$15,'01_Input'!$W$63)-'01_Input'!$V$63,0)*'01_Input'!$Y$63))+IF('01_Input'!$AB$63="Forfait",IF(M$15&gt;='01_Input'!$Z$63,'01_Input'!$AC$63,0),IF('01_Input'!$AB$63="Palier",IF(AND(M$15&gt;='01_Input'!$Z$63,M$15&lt;'01_Input'!$AA$63),'01_Input'!$AC$63,0),MAX(MIN(M$15,'01_Input'!$AA$63)-'01_Input'!$Z$63,0)*'01_Input'!$AC$63))))))))))</f>
        <v/>
      </c>
      <c r="N54" s="25" t="str">
        <f>IF(N$15="","",IF('01_Input'!$C$63="Non",0,MIN('01_Input'!$I$63,MAX('01_Input'!$H$63,IF('01_Input'!$G$63="Résiduel vs Gestion",0,IF('01_Input'!$G$63="Taux Classe sélectionnée",Distrib_Global_Classe_Selectionnee*N$15,IF('01_Input'!$G$63="Frais KYC (paliers de 100M€)",MAX(0,Nb_Investisseurs-Nb_KYC_Gratuites_Par_Tranche*(FLOOR(N$15/Taille_Tranche_KYC,1)+1))*Cout_Par_KYC_Supplementaire,(IF('01_Input'!$L$63="Forfait",IF(N$15&gt;='01_Input'!$J$63,'01_Input'!$M$63,0),IF('01_Input'!$L$63="Palier",IF(AND(N$15&gt;='01_Input'!$J$63,N$15&lt;'01_Input'!$K$63),'01_Input'!$M$63,0),MAX(MIN(N$15,'01_Input'!$K$63)-'01_Input'!$J$63,0)*'01_Input'!$M$63))+IF('01_Input'!$P$63="Forfait",IF(N$15&gt;='01_Input'!$N$63,'01_Input'!$Q$63,0),IF('01_Input'!$P$63="Palier",IF(AND(N$15&gt;='01_Input'!$N$63,N$15&lt;'01_Input'!$O$63),'01_Input'!$Q$63,0),MAX(MIN(N$15,'01_Input'!$O$63)-'01_Input'!$N$63,0)*'01_Input'!$Q$63))+IF('01_Input'!$T$63="Forfait",IF(N$15&gt;='01_Input'!$R$63,'01_Input'!$U$63,0),IF('01_Input'!$T$63="Palier",IF(AND(N$15&gt;='01_Input'!$R$63,N$15&lt;'01_Input'!$S$63),'01_Input'!$U$63,0),MAX(MIN(N$15,'01_Input'!$S$63)-'01_Input'!$R$63,0)*'01_Input'!$U$63))+IF('01_Input'!$X$63="Forfait",IF(N$15&gt;='01_Input'!$V$63,'01_Input'!$Y$63,0),IF('01_Input'!$X$63="Palier",IF(AND(N$15&gt;='01_Input'!$V$63,N$15&lt;'01_Input'!$W$63),'01_Input'!$Y$63,0),MAX(MIN(N$15,'01_Input'!$W$63)-'01_Input'!$V$63,0)*'01_Input'!$Y$63))+IF('01_Input'!$AB$63="Forfait",IF(N$15&gt;='01_Input'!$Z$63,'01_Input'!$AC$63,0),IF('01_Input'!$AB$63="Palier",IF(AND(N$15&gt;='01_Input'!$Z$63,N$15&lt;'01_Input'!$AA$63),'01_Input'!$AC$63,0),MAX(MIN(N$15,'01_Input'!$AA$63)-'01_Input'!$Z$63,0)*'01_Input'!$AC$63))))))))))</f>
        <v/>
      </c>
      <c r="O54" s="25" t="str">
        <f>IF(O$15="","",IF('01_Input'!$C$63="Non",0,MIN('01_Input'!$I$63,MAX('01_Input'!$H$63,IF('01_Input'!$G$63="Résiduel vs Gestion",0,IF('01_Input'!$G$63="Taux Classe sélectionnée",Distrib_Global_Classe_Selectionnee*O$15,IF('01_Input'!$G$63="Frais KYC (paliers de 100M€)",MAX(0,Nb_Investisseurs-Nb_KYC_Gratuites_Par_Tranche*(FLOOR(O$15/Taille_Tranche_KYC,1)+1))*Cout_Par_KYC_Supplementaire,(IF('01_Input'!$L$63="Forfait",IF(O$15&gt;='01_Input'!$J$63,'01_Input'!$M$63,0),IF('01_Input'!$L$63="Palier",IF(AND(O$15&gt;='01_Input'!$J$63,O$15&lt;'01_Input'!$K$63),'01_Input'!$M$63,0),MAX(MIN(O$15,'01_Input'!$K$63)-'01_Input'!$J$63,0)*'01_Input'!$M$63))+IF('01_Input'!$P$63="Forfait",IF(O$15&gt;='01_Input'!$N$63,'01_Input'!$Q$63,0),IF('01_Input'!$P$63="Palier",IF(AND(O$15&gt;='01_Input'!$N$63,O$15&lt;'01_Input'!$O$63),'01_Input'!$Q$63,0),MAX(MIN(O$15,'01_Input'!$O$63)-'01_Input'!$N$63,0)*'01_Input'!$Q$63))+IF('01_Input'!$T$63="Forfait",IF(O$15&gt;='01_Input'!$R$63,'01_Input'!$U$63,0),IF('01_Input'!$T$63="Palier",IF(AND(O$15&gt;='01_Input'!$R$63,O$15&lt;'01_Input'!$S$63),'01_Input'!$U$63,0),MAX(MIN(O$15,'01_Input'!$S$63)-'01_Input'!$R$63,0)*'01_Input'!$U$63))+IF('01_Input'!$X$63="Forfait",IF(O$15&gt;='01_Input'!$V$63,'01_Input'!$Y$63,0),IF('01_Input'!$X$63="Palier",IF(AND(O$15&gt;='01_Input'!$V$63,O$15&lt;'01_Input'!$W$63),'01_Input'!$Y$63,0),MAX(MIN(O$15,'01_Input'!$W$63)-'01_Input'!$V$63,0)*'01_Input'!$Y$63))+IF('01_Input'!$AB$63="Forfait",IF(O$15&gt;='01_Input'!$Z$63,'01_Input'!$AC$63,0),IF('01_Input'!$AB$63="Palier",IF(AND(O$15&gt;='01_Input'!$Z$63,O$15&lt;'01_Input'!$AA$63),'01_Input'!$AC$63,0),MAX(MIN(O$15,'01_Input'!$AA$63)-'01_Input'!$Z$63,0)*'01_Input'!$AC$63))))))))))</f>
        <v/>
      </c>
      <c r="P54" s="25" t="str">
        <f>IF(P$15="","",IF('01_Input'!$C$63="Non",0,MIN('01_Input'!$I$63,MAX('01_Input'!$H$63,IF('01_Input'!$G$63="Résiduel vs Gestion",0,IF('01_Input'!$G$63="Taux Classe sélectionnée",Distrib_Global_Classe_Selectionnee*P$15,IF('01_Input'!$G$63="Frais KYC (paliers de 100M€)",MAX(0,Nb_Investisseurs-Nb_KYC_Gratuites_Par_Tranche*(FLOOR(P$15/Taille_Tranche_KYC,1)+1))*Cout_Par_KYC_Supplementaire,(IF('01_Input'!$L$63="Forfait",IF(P$15&gt;='01_Input'!$J$63,'01_Input'!$M$63,0),IF('01_Input'!$L$63="Palier",IF(AND(P$15&gt;='01_Input'!$J$63,P$15&lt;'01_Input'!$K$63),'01_Input'!$M$63,0),MAX(MIN(P$15,'01_Input'!$K$63)-'01_Input'!$J$63,0)*'01_Input'!$M$63))+IF('01_Input'!$P$63="Forfait",IF(P$15&gt;='01_Input'!$N$63,'01_Input'!$Q$63,0),IF('01_Input'!$P$63="Palier",IF(AND(P$15&gt;='01_Input'!$N$63,P$15&lt;'01_Input'!$O$63),'01_Input'!$Q$63,0),MAX(MIN(P$15,'01_Input'!$O$63)-'01_Input'!$N$63,0)*'01_Input'!$Q$63))+IF('01_Input'!$T$63="Forfait",IF(P$15&gt;='01_Input'!$R$63,'01_Input'!$U$63,0),IF('01_Input'!$T$63="Palier",IF(AND(P$15&gt;='01_Input'!$R$63,P$15&lt;'01_Input'!$S$63),'01_Input'!$U$63,0),MAX(MIN(P$15,'01_Input'!$S$63)-'01_Input'!$R$63,0)*'01_Input'!$U$63))+IF('01_Input'!$X$63="Forfait",IF(P$15&gt;='01_Input'!$V$63,'01_Input'!$Y$63,0),IF('01_Input'!$X$63="Palier",IF(AND(P$15&gt;='01_Input'!$V$63,P$15&lt;'01_Input'!$W$63),'01_Input'!$Y$63,0),MAX(MIN(P$15,'01_Input'!$W$63)-'01_Input'!$V$63,0)*'01_Input'!$Y$63))+IF('01_Input'!$AB$63="Forfait",IF(P$15&gt;='01_Input'!$Z$63,'01_Input'!$AC$63,0),IF('01_Input'!$AB$63="Palier",IF(AND(P$15&gt;='01_Input'!$Z$63,P$15&lt;'01_Input'!$AA$63),'01_Input'!$AC$63,0),MAX(MIN(P$15,'01_Input'!$AA$63)-'01_Input'!$Z$63,0)*'01_Input'!$AC$63))))))))))</f>
        <v/>
      </c>
      <c r="Q54" s="25" t="str">
        <f>IF(Q$15="","",IF('01_Input'!$C$63="Non",0,MIN('01_Input'!$I$63,MAX('01_Input'!$H$63,IF('01_Input'!$G$63="Résiduel vs Gestion",0,IF('01_Input'!$G$63="Taux Classe sélectionnée",Distrib_Global_Classe_Selectionnee*Q$15,IF('01_Input'!$G$63="Frais KYC (paliers de 100M€)",MAX(0,Nb_Investisseurs-Nb_KYC_Gratuites_Par_Tranche*(FLOOR(Q$15/Taille_Tranche_KYC,1)+1))*Cout_Par_KYC_Supplementaire,(IF('01_Input'!$L$63="Forfait",IF(Q$15&gt;='01_Input'!$J$63,'01_Input'!$M$63,0),IF('01_Input'!$L$63="Palier",IF(AND(Q$15&gt;='01_Input'!$J$63,Q$15&lt;'01_Input'!$K$63),'01_Input'!$M$63,0),MAX(MIN(Q$15,'01_Input'!$K$63)-'01_Input'!$J$63,0)*'01_Input'!$M$63))+IF('01_Input'!$P$63="Forfait",IF(Q$15&gt;='01_Input'!$N$63,'01_Input'!$Q$63,0),IF('01_Input'!$P$63="Palier",IF(AND(Q$15&gt;='01_Input'!$N$63,Q$15&lt;'01_Input'!$O$63),'01_Input'!$Q$63,0),MAX(MIN(Q$15,'01_Input'!$O$63)-'01_Input'!$N$63,0)*'01_Input'!$Q$63))+IF('01_Input'!$T$63="Forfait",IF(Q$15&gt;='01_Input'!$R$63,'01_Input'!$U$63,0),IF('01_Input'!$T$63="Palier",IF(AND(Q$15&gt;='01_Input'!$R$63,Q$15&lt;'01_Input'!$S$63),'01_Input'!$U$63,0),MAX(MIN(Q$15,'01_Input'!$S$63)-'01_Input'!$R$63,0)*'01_Input'!$U$63))+IF('01_Input'!$X$63="Forfait",IF(Q$15&gt;='01_Input'!$V$63,'01_Input'!$Y$63,0),IF('01_Input'!$X$63="Palier",IF(AND(Q$15&gt;='01_Input'!$V$63,Q$15&lt;'01_Input'!$W$63),'01_Input'!$Y$63,0),MAX(MIN(Q$15,'01_Input'!$W$63)-'01_Input'!$V$63,0)*'01_Input'!$Y$63))+IF('01_Input'!$AB$63="Forfait",IF(Q$15&gt;='01_Input'!$Z$63,'01_Input'!$AC$63,0),IF('01_Input'!$AB$63="Palier",IF(AND(Q$15&gt;='01_Input'!$Z$63,Q$15&lt;'01_Input'!$AA$63),'01_Input'!$AC$63,0),MAX(MIN(Q$15,'01_Input'!$AA$63)-'01_Input'!$Z$63,0)*'01_Input'!$AC$63))))))))))</f>
        <v/>
      </c>
      <c r="R54" s="25" t="str">
        <f>IF(R$15="","",IF('01_Input'!$C$63="Non",0,MIN('01_Input'!$I$63,MAX('01_Input'!$H$63,IF('01_Input'!$G$63="Résiduel vs Gestion",0,IF('01_Input'!$G$63="Taux Classe sélectionnée",Distrib_Global_Classe_Selectionnee*R$15,IF('01_Input'!$G$63="Frais KYC (paliers de 100M€)",MAX(0,Nb_Investisseurs-Nb_KYC_Gratuites_Par_Tranche*(FLOOR(R$15/Taille_Tranche_KYC,1)+1))*Cout_Par_KYC_Supplementaire,(IF('01_Input'!$L$63="Forfait",IF(R$15&gt;='01_Input'!$J$63,'01_Input'!$M$63,0),IF('01_Input'!$L$63="Palier",IF(AND(R$15&gt;='01_Input'!$J$63,R$15&lt;'01_Input'!$K$63),'01_Input'!$M$63,0),MAX(MIN(R$15,'01_Input'!$K$63)-'01_Input'!$J$63,0)*'01_Input'!$M$63))+IF('01_Input'!$P$63="Forfait",IF(R$15&gt;='01_Input'!$N$63,'01_Input'!$Q$63,0),IF('01_Input'!$P$63="Palier",IF(AND(R$15&gt;='01_Input'!$N$63,R$15&lt;'01_Input'!$O$63),'01_Input'!$Q$63,0),MAX(MIN(R$15,'01_Input'!$O$63)-'01_Input'!$N$63,0)*'01_Input'!$Q$63))+IF('01_Input'!$T$63="Forfait",IF(R$15&gt;='01_Input'!$R$63,'01_Input'!$U$63,0),IF('01_Input'!$T$63="Palier",IF(AND(R$15&gt;='01_Input'!$R$63,R$15&lt;'01_Input'!$S$63),'01_Input'!$U$63,0),MAX(MIN(R$15,'01_Input'!$S$63)-'01_Input'!$R$63,0)*'01_Input'!$U$63))+IF('01_Input'!$X$63="Forfait",IF(R$15&gt;='01_Input'!$V$63,'01_Input'!$Y$63,0),IF('01_Input'!$X$63="Palier",IF(AND(R$15&gt;='01_Input'!$V$63,R$15&lt;'01_Input'!$W$63),'01_Input'!$Y$63,0),MAX(MIN(R$15,'01_Input'!$W$63)-'01_Input'!$V$63,0)*'01_Input'!$Y$63))+IF('01_Input'!$AB$63="Forfait",IF(R$15&gt;='01_Input'!$Z$63,'01_Input'!$AC$63,0),IF('01_Input'!$AB$63="Palier",IF(AND(R$15&gt;='01_Input'!$Z$63,R$15&lt;'01_Input'!$AA$63),'01_Input'!$AC$63,0),MAX(MIN(R$15,'01_Input'!$AA$63)-'01_Input'!$Z$63,0)*'01_Input'!$AC$63))))))))))</f>
        <v/>
      </c>
      <c r="S54" s="25" t="str">
        <f>IF(S$15="","",IF('01_Input'!$C$63="Non",0,MIN('01_Input'!$I$63,MAX('01_Input'!$H$63,IF('01_Input'!$G$63="Résiduel vs Gestion",0,IF('01_Input'!$G$63="Taux Classe sélectionnée",Distrib_Global_Classe_Selectionnee*S$15,IF('01_Input'!$G$63="Frais KYC (paliers de 100M€)",MAX(0,Nb_Investisseurs-Nb_KYC_Gratuites_Par_Tranche*(FLOOR(S$15/Taille_Tranche_KYC,1)+1))*Cout_Par_KYC_Supplementaire,(IF('01_Input'!$L$63="Forfait",IF(S$15&gt;='01_Input'!$J$63,'01_Input'!$M$63,0),IF('01_Input'!$L$63="Palier",IF(AND(S$15&gt;='01_Input'!$J$63,S$15&lt;'01_Input'!$K$63),'01_Input'!$M$63,0),MAX(MIN(S$15,'01_Input'!$K$63)-'01_Input'!$J$63,0)*'01_Input'!$M$63))+IF('01_Input'!$P$63="Forfait",IF(S$15&gt;='01_Input'!$N$63,'01_Input'!$Q$63,0),IF('01_Input'!$P$63="Palier",IF(AND(S$15&gt;='01_Input'!$N$63,S$15&lt;'01_Input'!$O$63),'01_Input'!$Q$63,0),MAX(MIN(S$15,'01_Input'!$O$63)-'01_Input'!$N$63,0)*'01_Input'!$Q$63))+IF('01_Input'!$T$63="Forfait",IF(S$15&gt;='01_Input'!$R$63,'01_Input'!$U$63,0),IF('01_Input'!$T$63="Palier",IF(AND(S$15&gt;='01_Input'!$R$63,S$15&lt;'01_Input'!$S$63),'01_Input'!$U$63,0),MAX(MIN(S$15,'01_Input'!$S$63)-'01_Input'!$R$63,0)*'01_Input'!$U$63))+IF('01_Input'!$X$63="Forfait",IF(S$15&gt;='01_Input'!$V$63,'01_Input'!$Y$63,0),IF('01_Input'!$X$63="Palier",IF(AND(S$15&gt;='01_Input'!$V$63,S$15&lt;'01_Input'!$W$63),'01_Input'!$Y$63,0),MAX(MIN(S$15,'01_Input'!$W$63)-'01_Input'!$V$63,0)*'01_Input'!$Y$63))+IF('01_Input'!$AB$63="Forfait",IF(S$15&gt;='01_Input'!$Z$63,'01_Input'!$AC$63,0),IF('01_Input'!$AB$63="Palier",IF(AND(S$15&gt;='01_Input'!$Z$63,S$15&lt;'01_Input'!$AA$63),'01_Input'!$AC$63,0),MAX(MIN(S$15,'01_Input'!$AA$63)-'01_Input'!$Z$63,0)*'01_Input'!$AC$63))))))))))</f>
        <v/>
      </c>
      <c r="T54" s="25" t="str">
        <f>IF(T$15="","",IF('01_Input'!$C$63="Non",0,MIN('01_Input'!$I$63,MAX('01_Input'!$H$63,IF('01_Input'!$G$63="Résiduel vs Gestion",0,IF('01_Input'!$G$63="Taux Classe sélectionnée",Distrib_Global_Classe_Selectionnee*T$15,IF('01_Input'!$G$63="Frais KYC (paliers de 100M€)",MAX(0,Nb_Investisseurs-Nb_KYC_Gratuites_Par_Tranche*(FLOOR(T$15/Taille_Tranche_KYC,1)+1))*Cout_Par_KYC_Supplementaire,(IF('01_Input'!$L$63="Forfait",IF(T$15&gt;='01_Input'!$J$63,'01_Input'!$M$63,0),IF('01_Input'!$L$63="Palier",IF(AND(T$15&gt;='01_Input'!$J$63,T$15&lt;'01_Input'!$K$63),'01_Input'!$M$63,0),MAX(MIN(T$15,'01_Input'!$K$63)-'01_Input'!$J$63,0)*'01_Input'!$M$63))+IF('01_Input'!$P$63="Forfait",IF(T$15&gt;='01_Input'!$N$63,'01_Input'!$Q$63,0),IF('01_Input'!$P$63="Palier",IF(AND(T$15&gt;='01_Input'!$N$63,T$15&lt;'01_Input'!$O$63),'01_Input'!$Q$63,0),MAX(MIN(T$15,'01_Input'!$O$63)-'01_Input'!$N$63,0)*'01_Input'!$Q$63))+IF('01_Input'!$T$63="Forfait",IF(T$15&gt;='01_Input'!$R$63,'01_Input'!$U$63,0),IF('01_Input'!$T$63="Palier",IF(AND(T$15&gt;='01_Input'!$R$63,T$15&lt;'01_Input'!$S$63),'01_Input'!$U$63,0),MAX(MIN(T$15,'01_Input'!$S$63)-'01_Input'!$R$63,0)*'01_Input'!$U$63))+IF('01_Input'!$X$63="Forfait",IF(T$15&gt;='01_Input'!$V$63,'01_Input'!$Y$63,0),IF('01_Input'!$X$63="Palier",IF(AND(T$15&gt;='01_Input'!$V$63,T$15&lt;'01_Input'!$W$63),'01_Input'!$Y$63,0),MAX(MIN(T$15,'01_Input'!$W$63)-'01_Input'!$V$63,0)*'01_Input'!$Y$63))+IF('01_Input'!$AB$63="Forfait",IF(T$15&gt;='01_Input'!$Z$63,'01_Input'!$AC$63,0),IF('01_Input'!$AB$63="Palier",IF(AND(T$15&gt;='01_Input'!$Z$63,T$15&lt;'01_Input'!$AA$63),'01_Input'!$AC$63,0),MAX(MIN(T$15,'01_Input'!$AA$63)-'01_Input'!$Z$63,0)*'01_Input'!$AC$63))))))))))</f>
        <v/>
      </c>
      <c r="U54" s="25" t="str">
        <f>IF(U$15="","",IF('01_Input'!$C$63="Non",0,MIN('01_Input'!$I$63,MAX('01_Input'!$H$63,IF('01_Input'!$G$63="Résiduel vs Gestion",0,IF('01_Input'!$G$63="Taux Classe sélectionnée",Distrib_Global_Classe_Selectionnee*U$15,IF('01_Input'!$G$63="Frais KYC (paliers de 100M€)",MAX(0,Nb_Investisseurs-Nb_KYC_Gratuites_Par_Tranche*(FLOOR(U$15/Taille_Tranche_KYC,1)+1))*Cout_Par_KYC_Supplementaire,(IF('01_Input'!$L$63="Forfait",IF(U$15&gt;='01_Input'!$J$63,'01_Input'!$M$63,0),IF('01_Input'!$L$63="Palier",IF(AND(U$15&gt;='01_Input'!$J$63,U$15&lt;'01_Input'!$K$63),'01_Input'!$M$63,0),MAX(MIN(U$15,'01_Input'!$K$63)-'01_Input'!$J$63,0)*'01_Input'!$M$63))+IF('01_Input'!$P$63="Forfait",IF(U$15&gt;='01_Input'!$N$63,'01_Input'!$Q$63,0),IF('01_Input'!$P$63="Palier",IF(AND(U$15&gt;='01_Input'!$N$63,U$15&lt;'01_Input'!$O$63),'01_Input'!$Q$63,0),MAX(MIN(U$15,'01_Input'!$O$63)-'01_Input'!$N$63,0)*'01_Input'!$Q$63))+IF('01_Input'!$T$63="Forfait",IF(U$15&gt;='01_Input'!$R$63,'01_Input'!$U$63,0),IF('01_Input'!$T$63="Palier",IF(AND(U$15&gt;='01_Input'!$R$63,U$15&lt;'01_Input'!$S$63),'01_Input'!$U$63,0),MAX(MIN(U$15,'01_Input'!$S$63)-'01_Input'!$R$63,0)*'01_Input'!$U$63))+IF('01_Input'!$X$63="Forfait",IF(U$15&gt;='01_Input'!$V$63,'01_Input'!$Y$63,0),IF('01_Input'!$X$63="Palier",IF(AND(U$15&gt;='01_Input'!$V$63,U$15&lt;'01_Input'!$W$63),'01_Input'!$Y$63,0),MAX(MIN(U$15,'01_Input'!$W$63)-'01_Input'!$V$63,0)*'01_Input'!$Y$63))+IF('01_Input'!$AB$63="Forfait",IF(U$15&gt;='01_Input'!$Z$63,'01_Input'!$AC$63,0),IF('01_Input'!$AB$63="Palier",IF(AND(U$15&gt;='01_Input'!$Z$63,U$15&lt;'01_Input'!$AA$63),'01_Input'!$AC$63,0),MAX(MIN(U$15,'01_Input'!$AA$63)-'01_Input'!$Z$63,0)*'01_Input'!$AC$63))))))))))</f>
        <v/>
      </c>
      <c r="V54" s="25" t="str">
        <f>IF(V$15="","",IF('01_Input'!$C$63="Non",0,MIN('01_Input'!$I$63,MAX('01_Input'!$H$63,IF('01_Input'!$G$63="Résiduel vs Gestion",0,IF('01_Input'!$G$63="Taux Classe sélectionnée",Distrib_Global_Classe_Selectionnee*V$15,IF('01_Input'!$G$63="Frais KYC (paliers de 100M€)",MAX(0,Nb_Investisseurs-Nb_KYC_Gratuites_Par_Tranche*(FLOOR(V$15/Taille_Tranche_KYC,1)+1))*Cout_Par_KYC_Supplementaire,(IF('01_Input'!$L$63="Forfait",IF(V$15&gt;='01_Input'!$J$63,'01_Input'!$M$63,0),IF('01_Input'!$L$63="Palier",IF(AND(V$15&gt;='01_Input'!$J$63,V$15&lt;'01_Input'!$K$63),'01_Input'!$M$63,0),MAX(MIN(V$15,'01_Input'!$K$63)-'01_Input'!$J$63,0)*'01_Input'!$M$63))+IF('01_Input'!$P$63="Forfait",IF(V$15&gt;='01_Input'!$N$63,'01_Input'!$Q$63,0),IF('01_Input'!$P$63="Palier",IF(AND(V$15&gt;='01_Input'!$N$63,V$15&lt;'01_Input'!$O$63),'01_Input'!$Q$63,0),MAX(MIN(V$15,'01_Input'!$O$63)-'01_Input'!$N$63,0)*'01_Input'!$Q$63))+IF('01_Input'!$T$63="Forfait",IF(V$15&gt;='01_Input'!$R$63,'01_Input'!$U$63,0),IF('01_Input'!$T$63="Palier",IF(AND(V$15&gt;='01_Input'!$R$63,V$15&lt;'01_Input'!$S$63),'01_Input'!$U$63,0),MAX(MIN(V$15,'01_Input'!$S$63)-'01_Input'!$R$63,0)*'01_Input'!$U$63))+IF('01_Input'!$X$63="Forfait",IF(V$15&gt;='01_Input'!$V$63,'01_Input'!$Y$63,0),IF('01_Input'!$X$63="Palier",IF(AND(V$15&gt;='01_Input'!$V$63,V$15&lt;'01_Input'!$W$63),'01_Input'!$Y$63,0),MAX(MIN(V$15,'01_Input'!$W$63)-'01_Input'!$V$63,0)*'01_Input'!$Y$63))+IF('01_Input'!$AB$63="Forfait",IF(V$15&gt;='01_Input'!$Z$63,'01_Input'!$AC$63,0),IF('01_Input'!$AB$63="Palier",IF(AND(V$15&gt;='01_Input'!$Z$63,V$15&lt;'01_Input'!$AA$63),'01_Input'!$AC$63,0),MAX(MIN(V$15,'01_Input'!$AA$63)-'01_Input'!$Z$63,0)*'01_Input'!$AC$63))))))))))</f>
        <v/>
      </c>
      <c r="W54" s="25" t="str">
        <f>IF(W$15="","",IF('01_Input'!$C$63="Non",0,MIN('01_Input'!$I$63,MAX('01_Input'!$H$63,IF('01_Input'!$G$63="Résiduel vs Gestion",0,IF('01_Input'!$G$63="Taux Classe sélectionnée",Distrib_Global_Classe_Selectionnee*W$15,IF('01_Input'!$G$63="Frais KYC (paliers de 100M€)",MAX(0,Nb_Investisseurs-Nb_KYC_Gratuites_Par_Tranche*(FLOOR(W$15/Taille_Tranche_KYC,1)+1))*Cout_Par_KYC_Supplementaire,(IF('01_Input'!$L$63="Forfait",IF(W$15&gt;='01_Input'!$J$63,'01_Input'!$M$63,0),IF('01_Input'!$L$63="Palier",IF(AND(W$15&gt;='01_Input'!$J$63,W$15&lt;'01_Input'!$K$63),'01_Input'!$M$63,0),MAX(MIN(W$15,'01_Input'!$K$63)-'01_Input'!$J$63,0)*'01_Input'!$M$63))+IF('01_Input'!$P$63="Forfait",IF(W$15&gt;='01_Input'!$N$63,'01_Input'!$Q$63,0),IF('01_Input'!$P$63="Palier",IF(AND(W$15&gt;='01_Input'!$N$63,W$15&lt;'01_Input'!$O$63),'01_Input'!$Q$63,0),MAX(MIN(W$15,'01_Input'!$O$63)-'01_Input'!$N$63,0)*'01_Input'!$Q$63))+IF('01_Input'!$T$63="Forfait",IF(W$15&gt;='01_Input'!$R$63,'01_Input'!$U$63,0),IF('01_Input'!$T$63="Palier",IF(AND(W$15&gt;='01_Input'!$R$63,W$15&lt;'01_Input'!$S$63),'01_Input'!$U$63,0),MAX(MIN(W$15,'01_Input'!$S$63)-'01_Input'!$R$63,0)*'01_Input'!$U$63))+IF('01_Input'!$X$63="Forfait",IF(W$15&gt;='01_Input'!$V$63,'01_Input'!$Y$63,0),IF('01_Input'!$X$63="Palier",IF(AND(W$15&gt;='01_Input'!$V$63,W$15&lt;'01_Input'!$W$63),'01_Input'!$Y$63,0),MAX(MIN(W$15,'01_Input'!$W$63)-'01_Input'!$V$63,0)*'01_Input'!$Y$63))+IF('01_Input'!$AB$63="Forfait",IF(W$15&gt;='01_Input'!$Z$63,'01_Input'!$AC$63,0),IF('01_Input'!$AB$63="Palier",IF(AND(W$15&gt;='01_Input'!$Z$63,W$15&lt;'01_Input'!$AA$63),'01_Input'!$AC$63,0),MAX(MIN(W$15,'01_Input'!$AA$63)-'01_Input'!$Z$63,0)*'01_Input'!$AC$63))))))))))</f>
        <v/>
      </c>
      <c r="X54" s="25" t="str">
        <f>IF(X$15="","",IF('01_Input'!$C$63="Non",0,MIN('01_Input'!$I$63,MAX('01_Input'!$H$63,IF('01_Input'!$G$63="Résiduel vs Gestion",0,IF('01_Input'!$G$63="Taux Classe sélectionnée",Distrib_Global_Classe_Selectionnee*X$15,IF('01_Input'!$G$63="Frais KYC (paliers de 100M€)",MAX(0,Nb_Investisseurs-Nb_KYC_Gratuites_Par_Tranche*(FLOOR(X$15/Taille_Tranche_KYC,1)+1))*Cout_Par_KYC_Supplementaire,(IF('01_Input'!$L$63="Forfait",IF(X$15&gt;='01_Input'!$J$63,'01_Input'!$M$63,0),IF('01_Input'!$L$63="Palier",IF(AND(X$15&gt;='01_Input'!$J$63,X$15&lt;'01_Input'!$K$63),'01_Input'!$M$63,0),MAX(MIN(X$15,'01_Input'!$K$63)-'01_Input'!$J$63,0)*'01_Input'!$M$63))+IF('01_Input'!$P$63="Forfait",IF(X$15&gt;='01_Input'!$N$63,'01_Input'!$Q$63,0),IF('01_Input'!$P$63="Palier",IF(AND(X$15&gt;='01_Input'!$N$63,X$15&lt;'01_Input'!$O$63),'01_Input'!$Q$63,0),MAX(MIN(X$15,'01_Input'!$O$63)-'01_Input'!$N$63,0)*'01_Input'!$Q$63))+IF('01_Input'!$T$63="Forfait",IF(X$15&gt;='01_Input'!$R$63,'01_Input'!$U$63,0),IF('01_Input'!$T$63="Palier",IF(AND(X$15&gt;='01_Input'!$R$63,X$15&lt;'01_Input'!$S$63),'01_Input'!$U$63,0),MAX(MIN(X$15,'01_Input'!$S$63)-'01_Input'!$R$63,0)*'01_Input'!$U$63))+IF('01_Input'!$X$63="Forfait",IF(X$15&gt;='01_Input'!$V$63,'01_Input'!$Y$63,0),IF('01_Input'!$X$63="Palier",IF(AND(X$15&gt;='01_Input'!$V$63,X$15&lt;'01_Input'!$W$63),'01_Input'!$Y$63,0),MAX(MIN(X$15,'01_Input'!$W$63)-'01_Input'!$V$63,0)*'01_Input'!$Y$63))+IF('01_Input'!$AB$63="Forfait",IF(X$15&gt;='01_Input'!$Z$63,'01_Input'!$AC$63,0),IF('01_Input'!$AB$63="Palier",IF(AND(X$15&gt;='01_Input'!$Z$63,X$15&lt;'01_Input'!$AA$63),'01_Input'!$AC$63,0),MAX(MIN(X$15,'01_Input'!$AA$63)-'01_Input'!$Z$63,0)*'01_Input'!$AC$63))))))))))</f>
        <v/>
      </c>
      <c r="Y54" s="25" t="str">
        <f>IF(Y$15="","",IF('01_Input'!$C$63="Non",0,MIN('01_Input'!$I$63,MAX('01_Input'!$H$63,IF('01_Input'!$G$63="Résiduel vs Gestion",0,IF('01_Input'!$G$63="Taux Classe sélectionnée",Distrib_Global_Classe_Selectionnee*Y$15,IF('01_Input'!$G$63="Frais KYC (paliers de 100M€)",MAX(0,Nb_Investisseurs-Nb_KYC_Gratuites_Par_Tranche*(FLOOR(Y$15/Taille_Tranche_KYC,1)+1))*Cout_Par_KYC_Supplementaire,(IF('01_Input'!$L$63="Forfait",IF(Y$15&gt;='01_Input'!$J$63,'01_Input'!$M$63,0),IF('01_Input'!$L$63="Palier",IF(AND(Y$15&gt;='01_Input'!$J$63,Y$15&lt;'01_Input'!$K$63),'01_Input'!$M$63,0),MAX(MIN(Y$15,'01_Input'!$K$63)-'01_Input'!$J$63,0)*'01_Input'!$M$63))+IF('01_Input'!$P$63="Forfait",IF(Y$15&gt;='01_Input'!$N$63,'01_Input'!$Q$63,0),IF('01_Input'!$P$63="Palier",IF(AND(Y$15&gt;='01_Input'!$N$63,Y$15&lt;'01_Input'!$O$63),'01_Input'!$Q$63,0),MAX(MIN(Y$15,'01_Input'!$O$63)-'01_Input'!$N$63,0)*'01_Input'!$Q$63))+IF('01_Input'!$T$63="Forfait",IF(Y$15&gt;='01_Input'!$R$63,'01_Input'!$U$63,0),IF('01_Input'!$T$63="Palier",IF(AND(Y$15&gt;='01_Input'!$R$63,Y$15&lt;'01_Input'!$S$63),'01_Input'!$U$63,0),MAX(MIN(Y$15,'01_Input'!$S$63)-'01_Input'!$R$63,0)*'01_Input'!$U$63))+IF('01_Input'!$X$63="Forfait",IF(Y$15&gt;='01_Input'!$V$63,'01_Input'!$Y$63,0),IF('01_Input'!$X$63="Palier",IF(AND(Y$15&gt;='01_Input'!$V$63,Y$15&lt;'01_Input'!$W$63),'01_Input'!$Y$63,0),MAX(MIN(Y$15,'01_Input'!$W$63)-'01_Input'!$V$63,0)*'01_Input'!$Y$63))+IF('01_Input'!$AB$63="Forfait",IF(Y$15&gt;='01_Input'!$Z$63,'01_Input'!$AC$63,0),IF('01_Input'!$AB$63="Palier",IF(AND(Y$15&gt;='01_Input'!$Z$63,Y$15&lt;'01_Input'!$AA$63),'01_Input'!$AC$63,0),MAX(MIN(Y$15,'01_Input'!$AA$63)-'01_Input'!$Z$63,0)*'01_Input'!$AC$63))))))))))</f>
        <v/>
      </c>
      <c r="Z54" s="25" t="str">
        <f>IF(Z$15="","",IF('01_Input'!$C$63="Non",0,MIN('01_Input'!$I$63,MAX('01_Input'!$H$63,IF('01_Input'!$G$63="Résiduel vs Gestion",0,IF('01_Input'!$G$63="Taux Classe sélectionnée",Distrib_Global_Classe_Selectionnee*Z$15,IF('01_Input'!$G$63="Frais KYC (paliers de 100M€)",MAX(0,Nb_Investisseurs-Nb_KYC_Gratuites_Par_Tranche*(FLOOR(Z$15/Taille_Tranche_KYC,1)+1))*Cout_Par_KYC_Supplementaire,(IF('01_Input'!$L$63="Forfait",IF(Z$15&gt;='01_Input'!$J$63,'01_Input'!$M$63,0),IF('01_Input'!$L$63="Palier",IF(AND(Z$15&gt;='01_Input'!$J$63,Z$15&lt;'01_Input'!$K$63),'01_Input'!$M$63,0),MAX(MIN(Z$15,'01_Input'!$K$63)-'01_Input'!$J$63,0)*'01_Input'!$M$63))+IF('01_Input'!$P$63="Forfait",IF(Z$15&gt;='01_Input'!$N$63,'01_Input'!$Q$63,0),IF('01_Input'!$P$63="Palier",IF(AND(Z$15&gt;='01_Input'!$N$63,Z$15&lt;'01_Input'!$O$63),'01_Input'!$Q$63,0),MAX(MIN(Z$15,'01_Input'!$O$63)-'01_Input'!$N$63,0)*'01_Input'!$Q$63))+IF('01_Input'!$T$63="Forfait",IF(Z$15&gt;='01_Input'!$R$63,'01_Input'!$U$63,0),IF('01_Input'!$T$63="Palier",IF(AND(Z$15&gt;='01_Input'!$R$63,Z$15&lt;'01_Input'!$S$63),'01_Input'!$U$63,0),MAX(MIN(Z$15,'01_Input'!$S$63)-'01_Input'!$R$63,0)*'01_Input'!$U$63))+IF('01_Input'!$X$63="Forfait",IF(Z$15&gt;='01_Input'!$V$63,'01_Input'!$Y$63,0),IF('01_Input'!$X$63="Palier",IF(AND(Z$15&gt;='01_Input'!$V$63,Z$15&lt;'01_Input'!$W$63),'01_Input'!$Y$63,0),MAX(MIN(Z$15,'01_Input'!$W$63)-'01_Input'!$V$63,0)*'01_Input'!$Y$63))+IF('01_Input'!$AB$63="Forfait",IF(Z$15&gt;='01_Input'!$Z$63,'01_Input'!$AC$63,0),IF('01_Input'!$AB$63="Palier",IF(AND(Z$15&gt;='01_Input'!$Z$63,Z$15&lt;'01_Input'!$AA$63),'01_Input'!$AC$63,0),MAX(MIN(Z$15,'01_Input'!$AA$63)-'01_Input'!$Z$63,0)*'01_Input'!$AC$63))))))))))</f>
        <v/>
      </c>
      <c r="AA54" s="25" t="str">
        <f>IF(AA$15="","",IF('01_Input'!$C$63="Non",0,MIN('01_Input'!$I$63,MAX('01_Input'!$H$63,IF('01_Input'!$G$63="Résiduel vs Gestion",0,IF('01_Input'!$G$63="Taux Classe sélectionnée",Distrib_Global_Classe_Selectionnee*AA$15,IF('01_Input'!$G$63="Frais KYC (paliers de 100M€)",MAX(0,Nb_Investisseurs-Nb_KYC_Gratuites_Par_Tranche*(FLOOR(AA$15/Taille_Tranche_KYC,1)+1))*Cout_Par_KYC_Supplementaire,(IF('01_Input'!$L$63="Forfait",IF(AA$15&gt;='01_Input'!$J$63,'01_Input'!$M$63,0),IF('01_Input'!$L$63="Palier",IF(AND(AA$15&gt;='01_Input'!$J$63,AA$15&lt;'01_Input'!$K$63),'01_Input'!$M$63,0),MAX(MIN(AA$15,'01_Input'!$K$63)-'01_Input'!$J$63,0)*'01_Input'!$M$63))+IF('01_Input'!$P$63="Forfait",IF(AA$15&gt;='01_Input'!$N$63,'01_Input'!$Q$63,0),IF('01_Input'!$P$63="Palier",IF(AND(AA$15&gt;='01_Input'!$N$63,AA$15&lt;'01_Input'!$O$63),'01_Input'!$Q$63,0),MAX(MIN(AA$15,'01_Input'!$O$63)-'01_Input'!$N$63,0)*'01_Input'!$Q$63))+IF('01_Input'!$T$63="Forfait",IF(AA$15&gt;='01_Input'!$R$63,'01_Input'!$U$63,0),IF('01_Input'!$T$63="Palier",IF(AND(AA$15&gt;='01_Input'!$R$63,AA$15&lt;'01_Input'!$S$63),'01_Input'!$U$63,0),MAX(MIN(AA$15,'01_Input'!$S$63)-'01_Input'!$R$63,0)*'01_Input'!$U$63))+IF('01_Input'!$X$63="Forfait",IF(AA$15&gt;='01_Input'!$V$63,'01_Input'!$Y$63,0),IF('01_Input'!$X$63="Palier",IF(AND(AA$15&gt;='01_Input'!$V$63,AA$15&lt;'01_Input'!$W$63),'01_Input'!$Y$63,0),MAX(MIN(AA$15,'01_Input'!$W$63)-'01_Input'!$V$63,0)*'01_Input'!$Y$63))+IF('01_Input'!$AB$63="Forfait",IF(AA$15&gt;='01_Input'!$Z$63,'01_Input'!$AC$63,0),IF('01_Input'!$AB$63="Palier",IF(AND(AA$15&gt;='01_Input'!$Z$63,AA$15&lt;'01_Input'!$AA$63),'01_Input'!$AC$63,0),MAX(MIN(AA$15,'01_Input'!$AA$63)-'01_Input'!$Z$63,0)*'01_Input'!$AC$63))))))))))</f>
        <v/>
      </c>
      <c r="AB54" s="25" t="str">
        <f>IF(AB$15="","",IF('01_Input'!$C$63="Non",0,MIN('01_Input'!$I$63,MAX('01_Input'!$H$63,IF('01_Input'!$G$63="Résiduel vs Gestion",0,IF('01_Input'!$G$63="Taux Classe sélectionnée",Distrib_Global_Classe_Selectionnee*AB$15,IF('01_Input'!$G$63="Frais KYC (paliers de 100M€)",MAX(0,Nb_Investisseurs-Nb_KYC_Gratuites_Par_Tranche*(FLOOR(AB$15/Taille_Tranche_KYC,1)+1))*Cout_Par_KYC_Supplementaire,(IF('01_Input'!$L$63="Forfait",IF(AB$15&gt;='01_Input'!$J$63,'01_Input'!$M$63,0),IF('01_Input'!$L$63="Palier",IF(AND(AB$15&gt;='01_Input'!$J$63,AB$15&lt;'01_Input'!$K$63),'01_Input'!$M$63,0),MAX(MIN(AB$15,'01_Input'!$K$63)-'01_Input'!$J$63,0)*'01_Input'!$M$63))+IF('01_Input'!$P$63="Forfait",IF(AB$15&gt;='01_Input'!$N$63,'01_Input'!$Q$63,0),IF('01_Input'!$P$63="Palier",IF(AND(AB$15&gt;='01_Input'!$N$63,AB$15&lt;'01_Input'!$O$63),'01_Input'!$Q$63,0),MAX(MIN(AB$15,'01_Input'!$O$63)-'01_Input'!$N$63,0)*'01_Input'!$Q$63))+IF('01_Input'!$T$63="Forfait",IF(AB$15&gt;='01_Input'!$R$63,'01_Input'!$U$63,0),IF('01_Input'!$T$63="Palier",IF(AND(AB$15&gt;='01_Input'!$R$63,AB$15&lt;'01_Input'!$S$63),'01_Input'!$U$63,0),MAX(MIN(AB$15,'01_Input'!$S$63)-'01_Input'!$R$63,0)*'01_Input'!$U$63))+IF('01_Input'!$X$63="Forfait",IF(AB$15&gt;='01_Input'!$V$63,'01_Input'!$Y$63,0),IF('01_Input'!$X$63="Palier",IF(AND(AB$15&gt;='01_Input'!$V$63,AB$15&lt;'01_Input'!$W$63),'01_Input'!$Y$63,0),MAX(MIN(AB$15,'01_Input'!$W$63)-'01_Input'!$V$63,0)*'01_Input'!$Y$63))+IF('01_Input'!$AB$63="Forfait",IF(AB$15&gt;='01_Input'!$Z$63,'01_Input'!$AC$63,0),IF('01_Input'!$AB$63="Palier",IF(AND(AB$15&gt;='01_Input'!$Z$63,AB$15&lt;'01_Input'!$AA$63),'01_Input'!$AC$63,0),MAX(MIN(AB$15,'01_Input'!$AA$63)-'01_Input'!$Z$63,0)*'01_Input'!$AC$63))))))))))</f>
        <v/>
      </c>
      <c r="AC54" s="25" t="str">
        <f>IF(AC$15="","",IF('01_Input'!$C$63="Non",0,MIN('01_Input'!$I$63,MAX('01_Input'!$H$63,IF('01_Input'!$G$63="Résiduel vs Gestion",0,IF('01_Input'!$G$63="Taux Classe sélectionnée",Distrib_Global_Classe_Selectionnee*AC$15,IF('01_Input'!$G$63="Frais KYC (paliers de 100M€)",MAX(0,Nb_Investisseurs-Nb_KYC_Gratuites_Par_Tranche*(FLOOR(AC$15/Taille_Tranche_KYC,1)+1))*Cout_Par_KYC_Supplementaire,(IF('01_Input'!$L$63="Forfait",IF(AC$15&gt;='01_Input'!$J$63,'01_Input'!$M$63,0),IF('01_Input'!$L$63="Palier",IF(AND(AC$15&gt;='01_Input'!$J$63,AC$15&lt;'01_Input'!$K$63),'01_Input'!$M$63,0),MAX(MIN(AC$15,'01_Input'!$K$63)-'01_Input'!$J$63,0)*'01_Input'!$M$63))+IF('01_Input'!$P$63="Forfait",IF(AC$15&gt;='01_Input'!$N$63,'01_Input'!$Q$63,0),IF('01_Input'!$P$63="Palier",IF(AND(AC$15&gt;='01_Input'!$N$63,AC$15&lt;'01_Input'!$O$63),'01_Input'!$Q$63,0),MAX(MIN(AC$15,'01_Input'!$O$63)-'01_Input'!$N$63,0)*'01_Input'!$Q$63))+IF('01_Input'!$T$63="Forfait",IF(AC$15&gt;='01_Input'!$R$63,'01_Input'!$U$63,0),IF('01_Input'!$T$63="Palier",IF(AND(AC$15&gt;='01_Input'!$R$63,AC$15&lt;'01_Input'!$S$63),'01_Input'!$U$63,0),MAX(MIN(AC$15,'01_Input'!$S$63)-'01_Input'!$R$63,0)*'01_Input'!$U$63))+IF('01_Input'!$X$63="Forfait",IF(AC$15&gt;='01_Input'!$V$63,'01_Input'!$Y$63,0),IF('01_Input'!$X$63="Palier",IF(AND(AC$15&gt;='01_Input'!$V$63,AC$15&lt;'01_Input'!$W$63),'01_Input'!$Y$63,0),MAX(MIN(AC$15,'01_Input'!$W$63)-'01_Input'!$V$63,0)*'01_Input'!$Y$63))+IF('01_Input'!$AB$63="Forfait",IF(AC$15&gt;='01_Input'!$Z$63,'01_Input'!$AC$63,0),IF('01_Input'!$AB$63="Palier",IF(AND(AC$15&gt;='01_Input'!$Z$63,AC$15&lt;'01_Input'!$AA$63),'01_Input'!$AC$63,0),MAX(MIN(AC$15,'01_Input'!$AA$63)-'01_Input'!$Z$63,0)*'01_Input'!$AC$63))))))))))</f>
        <v/>
      </c>
      <c r="AD54" s="25" t="str">
        <f>IF(AD$15="","",IF('01_Input'!$C$63="Non",0,MIN('01_Input'!$I$63,MAX('01_Input'!$H$63,IF('01_Input'!$G$63="Résiduel vs Gestion",0,IF('01_Input'!$G$63="Taux Classe sélectionnée",Distrib_Global_Classe_Selectionnee*AD$15,IF('01_Input'!$G$63="Frais KYC (paliers de 100M€)",MAX(0,Nb_Investisseurs-Nb_KYC_Gratuites_Par_Tranche*(FLOOR(AD$15/Taille_Tranche_KYC,1)+1))*Cout_Par_KYC_Supplementaire,(IF('01_Input'!$L$63="Forfait",IF(AD$15&gt;='01_Input'!$J$63,'01_Input'!$M$63,0),IF('01_Input'!$L$63="Palier",IF(AND(AD$15&gt;='01_Input'!$J$63,AD$15&lt;'01_Input'!$K$63),'01_Input'!$M$63,0),MAX(MIN(AD$15,'01_Input'!$K$63)-'01_Input'!$J$63,0)*'01_Input'!$M$63))+IF('01_Input'!$P$63="Forfait",IF(AD$15&gt;='01_Input'!$N$63,'01_Input'!$Q$63,0),IF('01_Input'!$P$63="Palier",IF(AND(AD$15&gt;='01_Input'!$N$63,AD$15&lt;'01_Input'!$O$63),'01_Input'!$Q$63,0),MAX(MIN(AD$15,'01_Input'!$O$63)-'01_Input'!$N$63,0)*'01_Input'!$Q$63))+IF('01_Input'!$T$63="Forfait",IF(AD$15&gt;='01_Input'!$R$63,'01_Input'!$U$63,0),IF('01_Input'!$T$63="Palier",IF(AND(AD$15&gt;='01_Input'!$R$63,AD$15&lt;'01_Input'!$S$63),'01_Input'!$U$63,0),MAX(MIN(AD$15,'01_Input'!$S$63)-'01_Input'!$R$63,0)*'01_Input'!$U$63))+IF('01_Input'!$X$63="Forfait",IF(AD$15&gt;='01_Input'!$V$63,'01_Input'!$Y$63,0),IF('01_Input'!$X$63="Palier",IF(AND(AD$15&gt;='01_Input'!$V$63,AD$15&lt;'01_Input'!$W$63),'01_Input'!$Y$63,0),MAX(MIN(AD$15,'01_Input'!$W$63)-'01_Input'!$V$63,0)*'01_Input'!$Y$63))+IF('01_Input'!$AB$63="Forfait",IF(AD$15&gt;='01_Input'!$Z$63,'01_Input'!$AC$63,0),IF('01_Input'!$AB$63="Palier",IF(AND(AD$15&gt;='01_Input'!$Z$63,AD$15&lt;'01_Input'!$AA$63),'01_Input'!$AC$63,0),MAX(MIN(AD$15,'01_Input'!$AA$63)-'01_Input'!$Z$63,0)*'01_Input'!$AC$63))))))))))</f>
        <v/>
      </c>
      <c r="AE54" s="25" t="str">
        <f>IF(AE$15="","",IF('01_Input'!$C$63="Non",0,MIN('01_Input'!$I$63,MAX('01_Input'!$H$63,IF('01_Input'!$G$63="Résiduel vs Gestion",0,IF('01_Input'!$G$63="Taux Classe sélectionnée",Distrib_Global_Classe_Selectionnee*AE$15,IF('01_Input'!$G$63="Frais KYC (paliers de 100M€)",MAX(0,Nb_Investisseurs-Nb_KYC_Gratuites_Par_Tranche*(FLOOR(AE$15/Taille_Tranche_KYC,1)+1))*Cout_Par_KYC_Supplementaire,(IF('01_Input'!$L$63="Forfait",IF(AE$15&gt;='01_Input'!$J$63,'01_Input'!$M$63,0),IF('01_Input'!$L$63="Palier",IF(AND(AE$15&gt;='01_Input'!$J$63,AE$15&lt;'01_Input'!$K$63),'01_Input'!$M$63,0),MAX(MIN(AE$15,'01_Input'!$K$63)-'01_Input'!$J$63,0)*'01_Input'!$M$63))+IF('01_Input'!$P$63="Forfait",IF(AE$15&gt;='01_Input'!$N$63,'01_Input'!$Q$63,0),IF('01_Input'!$P$63="Palier",IF(AND(AE$15&gt;='01_Input'!$N$63,AE$15&lt;'01_Input'!$O$63),'01_Input'!$Q$63,0),MAX(MIN(AE$15,'01_Input'!$O$63)-'01_Input'!$N$63,0)*'01_Input'!$Q$63))+IF('01_Input'!$T$63="Forfait",IF(AE$15&gt;='01_Input'!$R$63,'01_Input'!$U$63,0),IF('01_Input'!$T$63="Palier",IF(AND(AE$15&gt;='01_Input'!$R$63,AE$15&lt;'01_Input'!$S$63),'01_Input'!$U$63,0),MAX(MIN(AE$15,'01_Input'!$S$63)-'01_Input'!$R$63,0)*'01_Input'!$U$63))+IF('01_Input'!$X$63="Forfait",IF(AE$15&gt;='01_Input'!$V$63,'01_Input'!$Y$63,0),IF('01_Input'!$X$63="Palier",IF(AND(AE$15&gt;='01_Input'!$V$63,AE$15&lt;'01_Input'!$W$63),'01_Input'!$Y$63,0),MAX(MIN(AE$15,'01_Input'!$W$63)-'01_Input'!$V$63,0)*'01_Input'!$Y$63))+IF('01_Input'!$AB$63="Forfait",IF(AE$15&gt;='01_Input'!$Z$63,'01_Input'!$AC$63,0),IF('01_Input'!$AB$63="Palier",IF(AND(AE$15&gt;='01_Input'!$Z$63,AE$15&lt;'01_Input'!$AA$63),'01_Input'!$AC$63,0),MAX(MIN(AE$15,'01_Input'!$AA$63)-'01_Input'!$Z$63,0)*'01_Input'!$AC$63))))))))))</f>
        <v/>
      </c>
      <c r="AF54" s="25" t="str">
        <f>IF(AF$15="","",IF('01_Input'!$C$63="Non",0,MIN('01_Input'!$I$63,MAX('01_Input'!$H$63,IF('01_Input'!$G$63="Résiduel vs Gestion",0,IF('01_Input'!$G$63="Taux Classe sélectionnée",Distrib_Global_Classe_Selectionnee*AF$15,IF('01_Input'!$G$63="Frais KYC (paliers de 100M€)",MAX(0,Nb_Investisseurs-Nb_KYC_Gratuites_Par_Tranche*(FLOOR(AF$15/Taille_Tranche_KYC,1)+1))*Cout_Par_KYC_Supplementaire,(IF('01_Input'!$L$63="Forfait",IF(AF$15&gt;='01_Input'!$J$63,'01_Input'!$M$63,0),IF('01_Input'!$L$63="Palier",IF(AND(AF$15&gt;='01_Input'!$J$63,AF$15&lt;'01_Input'!$K$63),'01_Input'!$M$63,0),MAX(MIN(AF$15,'01_Input'!$K$63)-'01_Input'!$J$63,0)*'01_Input'!$M$63))+IF('01_Input'!$P$63="Forfait",IF(AF$15&gt;='01_Input'!$N$63,'01_Input'!$Q$63,0),IF('01_Input'!$P$63="Palier",IF(AND(AF$15&gt;='01_Input'!$N$63,AF$15&lt;'01_Input'!$O$63),'01_Input'!$Q$63,0),MAX(MIN(AF$15,'01_Input'!$O$63)-'01_Input'!$N$63,0)*'01_Input'!$Q$63))+IF('01_Input'!$T$63="Forfait",IF(AF$15&gt;='01_Input'!$R$63,'01_Input'!$U$63,0),IF('01_Input'!$T$63="Palier",IF(AND(AF$15&gt;='01_Input'!$R$63,AF$15&lt;'01_Input'!$S$63),'01_Input'!$U$63,0),MAX(MIN(AF$15,'01_Input'!$S$63)-'01_Input'!$R$63,0)*'01_Input'!$U$63))+IF('01_Input'!$X$63="Forfait",IF(AF$15&gt;='01_Input'!$V$63,'01_Input'!$Y$63,0),IF('01_Input'!$X$63="Palier",IF(AND(AF$15&gt;='01_Input'!$V$63,AF$15&lt;'01_Input'!$W$63),'01_Input'!$Y$63,0),MAX(MIN(AF$15,'01_Input'!$W$63)-'01_Input'!$V$63,0)*'01_Input'!$Y$63))+IF('01_Input'!$AB$63="Forfait",IF(AF$15&gt;='01_Input'!$Z$63,'01_Input'!$AC$63,0),IF('01_Input'!$AB$63="Palier",IF(AND(AF$15&gt;='01_Input'!$Z$63,AF$15&lt;'01_Input'!$AA$63),'01_Input'!$AC$63,0),MAX(MIN(AF$15,'01_Input'!$AA$63)-'01_Input'!$Z$63,0)*'01_Input'!$AC$63))))))))))</f>
        <v/>
      </c>
      <c r="AG54" s="25" t="str">
        <f>IF(AG$15="","",IF('01_Input'!$C$63="Non",0,MIN('01_Input'!$I$63,MAX('01_Input'!$H$63,IF('01_Input'!$G$63="Résiduel vs Gestion",0,IF('01_Input'!$G$63="Taux Classe sélectionnée",Distrib_Global_Classe_Selectionnee*AG$15,IF('01_Input'!$G$63="Frais KYC (paliers de 100M€)",MAX(0,Nb_Investisseurs-Nb_KYC_Gratuites_Par_Tranche*(FLOOR(AG$15/Taille_Tranche_KYC,1)+1))*Cout_Par_KYC_Supplementaire,(IF('01_Input'!$L$63="Forfait",IF(AG$15&gt;='01_Input'!$J$63,'01_Input'!$M$63,0),IF('01_Input'!$L$63="Palier",IF(AND(AG$15&gt;='01_Input'!$J$63,AG$15&lt;'01_Input'!$K$63),'01_Input'!$M$63,0),MAX(MIN(AG$15,'01_Input'!$K$63)-'01_Input'!$J$63,0)*'01_Input'!$M$63))+IF('01_Input'!$P$63="Forfait",IF(AG$15&gt;='01_Input'!$N$63,'01_Input'!$Q$63,0),IF('01_Input'!$P$63="Palier",IF(AND(AG$15&gt;='01_Input'!$N$63,AG$15&lt;'01_Input'!$O$63),'01_Input'!$Q$63,0),MAX(MIN(AG$15,'01_Input'!$O$63)-'01_Input'!$N$63,0)*'01_Input'!$Q$63))+IF('01_Input'!$T$63="Forfait",IF(AG$15&gt;='01_Input'!$R$63,'01_Input'!$U$63,0),IF('01_Input'!$T$63="Palier",IF(AND(AG$15&gt;='01_Input'!$R$63,AG$15&lt;'01_Input'!$S$63),'01_Input'!$U$63,0),MAX(MIN(AG$15,'01_Input'!$S$63)-'01_Input'!$R$63,0)*'01_Input'!$U$63))+IF('01_Input'!$X$63="Forfait",IF(AG$15&gt;='01_Input'!$V$63,'01_Input'!$Y$63,0),IF('01_Input'!$X$63="Palier",IF(AND(AG$15&gt;='01_Input'!$V$63,AG$15&lt;'01_Input'!$W$63),'01_Input'!$Y$63,0),MAX(MIN(AG$15,'01_Input'!$W$63)-'01_Input'!$V$63,0)*'01_Input'!$Y$63))+IF('01_Input'!$AB$63="Forfait",IF(AG$15&gt;='01_Input'!$Z$63,'01_Input'!$AC$63,0),IF('01_Input'!$AB$63="Palier",IF(AND(AG$15&gt;='01_Input'!$Z$63,AG$15&lt;'01_Input'!$AA$63),'01_Input'!$AC$63,0),MAX(MIN(AG$15,'01_Input'!$AA$63)-'01_Input'!$Z$63,0)*'01_Input'!$AC$63))))))))))</f>
        <v/>
      </c>
      <c r="AH54" s="25" t="str">
        <f>IF(AH$15="","",IF('01_Input'!$C$63="Non",0,MIN('01_Input'!$I$63,MAX('01_Input'!$H$63,IF('01_Input'!$G$63="Résiduel vs Gestion",0,IF('01_Input'!$G$63="Taux Classe sélectionnée",Distrib_Global_Classe_Selectionnee*AH$15,IF('01_Input'!$G$63="Frais KYC (paliers de 100M€)",MAX(0,Nb_Investisseurs-Nb_KYC_Gratuites_Par_Tranche*(FLOOR(AH$15/Taille_Tranche_KYC,1)+1))*Cout_Par_KYC_Supplementaire,(IF('01_Input'!$L$63="Forfait",IF(AH$15&gt;='01_Input'!$J$63,'01_Input'!$M$63,0),IF('01_Input'!$L$63="Palier",IF(AND(AH$15&gt;='01_Input'!$J$63,AH$15&lt;'01_Input'!$K$63),'01_Input'!$M$63,0),MAX(MIN(AH$15,'01_Input'!$K$63)-'01_Input'!$J$63,0)*'01_Input'!$M$63))+IF('01_Input'!$P$63="Forfait",IF(AH$15&gt;='01_Input'!$N$63,'01_Input'!$Q$63,0),IF('01_Input'!$P$63="Palier",IF(AND(AH$15&gt;='01_Input'!$N$63,AH$15&lt;'01_Input'!$O$63),'01_Input'!$Q$63,0),MAX(MIN(AH$15,'01_Input'!$O$63)-'01_Input'!$N$63,0)*'01_Input'!$Q$63))+IF('01_Input'!$T$63="Forfait",IF(AH$15&gt;='01_Input'!$R$63,'01_Input'!$U$63,0),IF('01_Input'!$T$63="Palier",IF(AND(AH$15&gt;='01_Input'!$R$63,AH$15&lt;'01_Input'!$S$63),'01_Input'!$U$63,0),MAX(MIN(AH$15,'01_Input'!$S$63)-'01_Input'!$R$63,0)*'01_Input'!$U$63))+IF('01_Input'!$X$63="Forfait",IF(AH$15&gt;='01_Input'!$V$63,'01_Input'!$Y$63,0),IF('01_Input'!$X$63="Palier",IF(AND(AH$15&gt;='01_Input'!$V$63,AH$15&lt;'01_Input'!$W$63),'01_Input'!$Y$63,0),MAX(MIN(AH$15,'01_Input'!$W$63)-'01_Input'!$V$63,0)*'01_Input'!$Y$63))+IF('01_Input'!$AB$63="Forfait",IF(AH$15&gt;='01_Input'!$Z$63,'01_Input'!$AC$63,0),IF('01_Input'!$AB$63="Palier",IF(AND(AH$15&gt;='01_Input'!$Z$63,AH$15&lt;'01_Input'!$AA$63),'01_Input'!$AC$63,0),MAX(MIN(AH$15,'01_Input'!$AA$63)-'01_Input'!$Z$63,0)*'01_Input'!$AC$63))))))))))</f>
        <v/>
      </c>
      <c r="AI54" s="25" t="str">
        <f>IF(AI$15="","",IF('01_Input'!$C$63="Non",0,MIN('01_Input'!$I$63,MAX('01_Input'!$H$63,IF('01_Input'!$G$63="Résiduel vs Gestion",0,IF('01_Input'!$G$63="Taux Classe sélectionnée",Distrib_Global_Classe_Selectionnee*AI$15,IF('01_Input'!$G$63="Frais KYC (paliers de 100M€)",MAX(0,Nb_Investisseurs-Nb_KYC_Gratuites_Par_Tranche*(FLOOR(AI$15/Taille_Tranche_KYC,1)+1))*Cout_Par_KYC_Supplementaire,(IF('01_Input'!$L$63="Forfait",IF(AI$15&gt;='01_Input'!$J$63,'01_Input'!$M$63,0),IF('01_Input'!$L$63="Palier",IF(AND(AI$15&gt;='01_Input'!$J$63,AI$15&lt;'01_Input'!$K$63),'01_Input'!$M$63,0),MAX(MIN(AI$15,'01_Input'!$K$63)-'01_Input'!$J$63,0)*'01_Input'!$M$63))+IF('01_Input'!$P$63="Forfait",IF(AI$15&gt;='01_Input'!$N$63,'01_Input'!$Q$63,0),IF('01_Input'!$P$63="Palier",IF(AND(AI$15&gt;='01_Input'!$N$63,AI$15&lt;'01_Input'!$O$63),'01_Input'!$Q$63,0),MAX(MIN(AI$15,'01_Input'!$O$63)-'01_Input'!$N$63,0)*'01_Input'!$Q$63))+IF('01_Input'!$T$63="Forfait",IF(AI$15&gt;='01_Input'!$R$63,'01_Input'!$U$63,0),IF('01_Input'!$T$63="Palier",IF(AND(AI$15&gt;='01_Input'!$R$63,AI$15&lt;'01_Input'!$S$63),'01_Input'!$U$63,0),MAX(MIN(AI$15,'01_Input'!$S$63)-'01_Input'!$R$63,0)*'01_Input'!$U$63))+IF('01_Input'!$X$63="Forfait",IF(AI$15&gt;='01_Input'!$V$63,'01_Input'!$Y$63,0),IF('01_Input'!$X$63="Palier",IF(AND(AI$15&gt;='01_Input'!$V$63,AI$15&lt;'01_Input'!$W$63),'01_Input'!$Y$63,0),MAX(MIN(AI$15,'01_Input'!$W$63)-'01_Input'!$V$63,0)*'01_Input'!$Y$63))+IF('01_Input'!$AB$63="Forfait",IF(AI$15&gt;='01_Input'!$Z$63,'01_Input'!$AC$63,0),IF('01_Input'!$AB$63="Palier",IF(AND(AI$15&gt;='01_Input'!$Z$63,AI$15&lt;'01_Input'!$AA$63),'01_Input'!$AC$63,0),MAX(MIN(AI$15,'01_Input'!$AA$63)-'01_Input'!$Z$63,0)*'01_Input'!$AC$63))))))))))</f>
        <v/>
      </c>
      <c r="AJ54" s="25" t="str">
        <f>IF(AJ$15="","",IF('01_Input'!$C$63="Non",0,MIN('01_Input'!$I$63,MAX('01_Input'!$H$63,IF('01_Input'!$G$63="Résiduel vs Gestion",0,IF('01_Input'!$G$63="Taux Classe sélectionnée",Distrib_Global_Classe_Selectionnee*AJ$15,IF('01_Input'!$G$63="Frais KYC (paliers de 100M€)",MAX(0,Nb_Investisseurs-Nb_KYC_Gratuites_Par_Tranche*(FLOOR(AJ$15/Taille_Tranche_KYC,1)+1))*Cout_Par_KYC_Supplementaire,(IF('01_Input'!$L$63="Forfait",IF(AJ$15&gt;='01_Input'!$J$63,'01_Input'!$M$63,0),IF('01_Input'!$L$63="Palier",IF(AND(AJ$15&gt;='01_Input'!$J$63,AJ$15&lt;'01_Input'!$K$63),'01_Input'!$M$63,0),MAX(MIN(AJ$15,'01_Input'!$K$63)-'01_Input'!$J$63,0)*'01_Input'!$M$63))+IF('01_Input'!$P$63="Forfait",IF(AJ$15&gt;='01_Input'!$N$63,'01_Input'!$Q$63,0),IF('01_Input'!$P$63="Palier",IF(AND(AJ$15&gt;='01_Input'!$N$63,AJ$15&lt;'01_Input'!$O$63),'01_Input'!$Q$63,0),MAX(MIN(AJ$15,'01_Input'!$O$63)-'01_Input'!$N$63,0)*'01_Input'!$Q$63))+IF('01_Input'!$T$63="Forfait",IF(AJ$15&gt;='01_Input'!$R$63,'01_Input'!$U$63,0),IF('01_Input'!$T$63="Palier",IF(AND(AJ$15&gt;='01_Input'!$R$63,AJ$15&lt;'01_Input'!$S$63),'01_Input'!$U$63,0),MAX(MIN(AJ$15,'01_Input'!$S$63)-'01_Input'!$R$63,0)*'01_Input'!$U$63))+IF('01_Input'!$X$63="Forfait",IF(AJ$15&gt;='01_Input'!$V$63,'01_Input'!$Y$63,0),IF('01_Input'!$X$63="Palier",IF(AND(AJ$15&gt;='01_Input'!$V$63,AJ$15&lt;'01_Input'!$W$63),'01_Input'!$Y$63,0),MAX(MIN(AJ$15,'01_Input'!$W$63)-'01_Input'!$V$63,0)*'01_Input'!$Y$63))+IF('01_Input'!$AB$63="Forfait",IF(AJ$15&gt;='01_Input'!$Z$63,'01_Input'!$AC$63,0),IF('01_Input'!$AB$63="Palier",IF(AND(AJ$15&gt;='01_Input'!$Z$63,AJ$15&lt;'01_Input'!$AA$63),'01_Input'!$AC$63,0),MAX(MIN(AJ$15,'01_Input'!$AA$63)-'01_Input'!$Z$63,0)*'01_Input'!$AC$63))))))))))</f>
        <v/>
      </c>
      <c r="AK54" s="25" t="str">
        <f>IF(AK$15="","",IF('01_Input'!$C$63="Non",0,MIN('01_Input'!$I$63,MAX('01_Input'!$H$63,IF('01_Input'!$G$63="Résiduel vs Gestion",0,IF('01_Input'!$G$63="Taux Classe sélectionnée",Distrib_Global_Classe_Selectionnee*AK$15,IF('01_Input'!$G$63="Frais KYC (paliers de 100M€)",MAX(0,Nb_Investisseurs-Nb_KYC_Gratuites_Par_Tranche*(FLOOR(AK$15/Taille_Tranche_KYC,1)+1))*Cout_Par_KYC_Supplementaire,(IF('01_Input'!$L$63="Forfait",IF(AK$15&gt;='01_Input'!$J$63,'01_Input'!$M$63,0),IF('01_Input'!$L$63="Palier",IF(AND(AK$15&gt;='01_Input'!$J$63,AK$15&lt;'01_Input'!$K$63),'01_Input'!$M$63,0),MAX(MIN(AK$15,'01_Input'!$K$63)-'01_Input'!$J$63,0)*'01_Input'!$M$63))+IF('01_Input'!$P$63="Forfait",IF(AK$15&gt;='01_Input'!$N$63,'01_Input'!$Q$63,0),IF('01_Input'!$P$63="Palier",IF(AND(AK$15&gt;='01_Input'!$N$63,AK$15&lt;'01_Input'!$O$63),'01_Input'!$Q$63,0),MAX(MIN(AK$15,'01_Input'!$O$63)-'01_Input'!$N$63,0)*'01_Input'!$Q$63))+IF('01_Input'!$T$63="Forfait",IF(AK$15&gt;='01_Input'!$R$63,'01_Input'!$U$63,0),IF('01_Input'!$T$63="Palier",IF(AND(AK$15&gt;='01_Input'!$R$63,AK$15&lt;'01_Input'!$S$63),'01_Input'!$U$63,0),MAX(MIN(AK$15,'01_Input'!$S$63)-'01_Input'!$R$63,0)*'01_Input'!$U$63))+IF('01_Input'!$X$63="Forfait",IF(AK$15&gt;='01_Input'!$V$63,'01_Input'!$Y$63,0),IF('01_Input'!$X$63="Palier",IF(AND(AK$15&gt;='01_Input'!$V$63,AK$15&lt;'01_Input'!$W$63),'01_Input'!$Y$63,0),MAX(MIN(AK$15,'01_Input'!$W$63)-'01_Input'!$V$63,0)*'01_Input'!$Y$63))+IF('01_Input'!$AB$63="Forfait",IF(AK$15&gt;='01_Input'!$Z$63,'01_Input'!$AC$63,0),IF('01_Input'!$AB$63="Palier",IF(AND(AK$15&gt;='01_Input'!$Z$63,AK$15&lt;'01_Input'!$AA$63),'01_Input'!$AC$63,0),MAX(MIN(AK$15,'01_Input'!$AA$63)-'01_Input'!$Z$63,0)*'01_Input'!$AC$63))))))))))</f>
        <v/>
      </c>
      <c r="AL54" s="25" t="str">
        <f>IF(AL$15="","",IF('01_Input'!$C$63="Non",0,MIN('01_Input'!$I$63,MAX('01_Input'!$H$63,IF('01_Input'!$G$63="Résiduel vs Gestion",0,IF('01_Input'!$G$63="Taux Classe sélectionnée",Distrib_Global_Classe_Selectionnee*AL$15,IF('01_Input'!$G$63="Frais KYC (paliers de 100M€)",MAX(0,Nb_Investisseurs-Nb_KYC_Gratuites_Par_Tranche*(FLOOR(AL$15/Taille_Tranche_KYC,1)+1))*Cout_Par_KYC_Supplementaire,(IF('01_Input'!$L$63="Forfait",IF(AL$15&gt;='01_Input'!$J$63,'01_Input'!$M$63,0),IF('01_Input'!$L$63="Palier",IF(AND(AL$15&gt;='01_Input'!$J$63,AL$15&lt;'01_Input'!$K$63),'01_Input'!$M$63,0),MAX(MIN(AL$15,'01_Input'!$K$63)-'01_Input'!$J$63,0)*'01_Input'!$M$63))+IF('01_Input'!$P$63="Forfait",IF(AL$15&gt;='01_Input'!$N$63,'01_Input'!$Q$63,0),IF('01_Input'!$P$63="Palier",IF(AND(AL$15&gt;='01_Input'!$N$63,AL$15&lt;'01_Input'!$O$63),'01_Input'!$Q$63,0),MAX(MIN(AL$15,'01_Input'!$O$63)-'01_Input'!$N$63,0)*'01_Input'!$Q$63))+IF('01_Input'!$T$63="Forfait",IF(AL$15&gt;='01_Input'!$R$63,'01_Input'!$U$63,0),IF('01_Input'!$T$63="Palier",IF(AND(AL$15&gt;='01_Input'!$R$63,AL$15&lt;'01_Input'!$S$63),'01_Input'!$U$63,0),MAX(MIN(AL$15,'01_Input'!$S$63)-'01_Input'!$R$63,0)*'01_Input'!$U$63))+IF('01_Input'!$X$63="Forfait",IF(AL$15&gt;='01_Input'!$V$63,'01_Input'!$Y$63,0),IF('01_Input'!$X$63="Palier",IF(AND(AL$15&gt;='01_Input'!$V$63,AL$15&lt;'01_Input'!$W$63),'01_Input'!$Y$63,0),MAX(MIN(AL$15,'01_Input'!$W$63)-'01_Input'!$V$63,0)*'01_Input'!$Y$63))+IF('01_Input'!$AB$63="Forfait",IF(AL$15&gt;='01_Input'!$Z$63,'01_Input'!$AC$63,0),IF('01_Input'!$AB$63="Palier",IF(AND(AL$15&gt;='01_Input'!$Z$63,AL$15&lt;'01_Input'!$AA$63),'01_Input'!$AC$63,0),MAX(MIN(AL$15,'01_Input'!$AA$63)-'01_Input'!$Z$63,0)*'01_Input'!$AC$63))))))))))</f>
        <v/>
      </c>
      <c r="AM54" s="25" t="str">
        <f>IF(AM$15="","",IF('01_Input'!$C$63="Non",0,MIN('01_Input'!$I$63,MAX('01_Input'!$H$63,IF('01_Input'!$G$63="Résiduel vs Gestion",0,IF('01_Input'!$G$63="Taux Classe sélectionnée",Distrib_Global_Classe_Selectionnee*AM$15,IF('01_Input'!$G$63="Frais KYC (paliers de 100M€)",MAX(0,Nb_Investisseurs-Nb_KYC_Gratuites_Par_Tranche*(FLOOR(AM$15/Taille_Tranche_KYC,1)+1))*Cout_Par_KYC_Supplementaire,(IF('01_Input'!$L$63="Forfait",IF(AM$15&gt;='01_Input'!$J$63,'01_Input'!$M$63,0),IF('01_Input'!$L$63="Palier",IF(AND(AM$15&gt;='01_Input'!$J$63,AM$15&lt;'01_Input'!$K$63),'01_Input'!$M$63,0),MAX(MIN(AM$15,'01_Input'!$K$63)-'01_Input'!$J$63,0)*'01_Input'!$M$63))+IF('01_Input'!$P$63="Forfait",IF(AM$15&gt;='01_Input'!$N$63,'01_Input'!$Q$63,0),IF('01_Input'!$P$63="Palier",IF(AND(AM$15&gt;='01_Input'!$N$63,AM$15&lt;'01_Input'!$O$63),'01_Input'!$Q$63,0),MAX(MIN(AM$15,'01_Input'!$O$63)-'01_Input'!$N$63,0)*'01_Input'!$Q$63))+IF('01_Input'!$T$63="Forfait",IF(AM$15&gt;='01_Input'!$R$63,'01_Input'!$U$63,0),IF('01_Input'!$T$63="Palier",IF(AND(AM$15&gt;='01_Input'!$R$63,AM$15&lt;'01_Input'!$S$63),'01_Input'!$U$63,0),MAX(MIN(AM$15,'01_Input'!$S$63)-'01_Input'!$R$63,0)*'01_Input'!$U$63))+IF('01_Input'!$X$63="Forfait",IF(AM$15&gt;='01_Input'!$V$63,'01_Input'!$Y$63,0),IF('01_Input'!$X$63="Palier",IF(AND(AM$15&gt;='01_Input'!$V$63,AM$15&lt;'01_Input'!$W$63),'01_Input'!$Y$63,0),MAX(MIN(AM$15,'01_Input'!$W$63)-'01_Input'!$V$63,0)*'01_Input'!$Y$63))+IF('01_Input'!$AB$63="Forfait",IF(AM$15&gt;='01_Input'!$Z$63,'01_Input'!$AC$63,0),IF('01_Input'!$AB$63="Palier",IF(AND(AM$15&gt;='01_Input'!$Z$63,AM$15&lt;'01_Input'!$AA$63),'01_Input'!$AC$63,0),MAX(MIN(AM$15,'01_Input'!$AA$63)-'01_Input'!$Z$63,0)*'01_Input'!$AC$63))))))))))</f>
        <v/>
      </c>
    </row>
    <row r="55" ht="15.75" customHeight="1">
      <c r="B55" s="68" t="str">
        <f t="shared" si="1"/>
        <v>Finologee</v>
      </c>
      <c r="D55" s="83">
        <f>IF(D$15="","",IF('01_Input'!$C$64="Non",0,MIN('01_Input'!$I$64,MAX('01_Input'!$H$64,IF('01_Input'!$G$64="Résiduel vs Gestion",0,IF('01_Input'!$G$64="Taux Classe sélectionnée",Distrib_Global_Classe_Selectionnee*D$15,IF('01_Input'!$G$64="Frais KYC (paliers de 100M€)",MAX(0,Nb_Investisseurs-Nb_KYC_Gratuites_Par_Tranche*(FLOOR(D$15/Taille_Tranche_KYC,1)+1))*Cout_Par_KYC_Supplementaire,(IF('01_Input'!$L$64="Forfait",IF(D$15&gt;='01_Input'!$J$64,'01_Input'!$M$64,0),IF('01_Input'!$L$64="Palier",IF(AND(D$15&gt;='01_Input'!$J$64,D$15&lt;'01_Input'!$K$64),'01_Input'!$M$64,0),MAX(MIN(D$15,'01_Input'!$K$64)-'01_Input'!$J$64,0)*'01_Input'!$M$64))+IF('01_Input'!$P$64="Forfait",IF(D$15&gt;='01_Input'!$N$64,'01_Input'!$Q$64,0),IF('01_Input'!$P$64="Palier",IF(AND(D$15&gt;='01_Input'!$N$64,D$15&lt;'01_Input'!$O$64),'01_Input'!$Q$64,0),MAX(MIN(D$15,'01_Input'!$O$64)-'01_Input'!$N$64,0)*'01_Input'!$Q$64))+IF('01_Input'!$T$64="Forfait",IF(D$15&gt;='01_Input'!$R$64,'01_Input'!$U$64,0),IF('01_Input'!$T$64="Palier",IF(AND(D$15&gt;='01_Input'!$R$64,D$15&lt;'01_Input'!$S$64),'01_Input'!$U$64,0),MAX(MIN(D$15,'01_Input'!$S$64)-'01_Input'!$R$64,0)*'01_Input'!$U$64))+IF('01_Input'!$X$64="Forfait",IF(D$15&gt;='01_Input'!$V$64,'01_Input'!$Y$64,0),IF('01_Input'!$X$64="Palier",IF(AND(D$15&gt;='01_Input'!$V$64,D$15&lt;'01_Input'!$W$64),'01_Input'!$Y$64,0),MAX(MIN(D$15,'01_Input'!$W$64)-'01_Input'!$V$64,0)*'01_Input'!$Y$64))+IF('01_Input'!$AB$64="Forfait",IF(D$15&gt;='01_Input'!$Z$64,'01_Input'!$AC$64,0),IF('01_Input'!$AB$64="Palier",IF(AND(D$15&gt;='01_Input'!$Z$64,D$15&lt;'01_Input'!$AA$64),'01_Input'!$AC$64,0),MAX(MIN(D$15,'01_Input'!$AA$64)-'01_Input'!$Z$64,0)*'01_Input'!$AC$64))))))))))</f>
        <v>1392</v>
      </c>
      <c r="E55" s="83">
        <f>IF(E$15="","",IF('01_Input'!$C$64="Non",0,MIN('01_Input'!$I$64,MAX('01_Input'!$H$64,IF('01_Input'!$G$64="Résiduel vs Gestion",0,IF('01_Input'!$G$64="Taux Classe sélectionnée",Distrib_Global_Classe_Selectionnee*E$15,IF('01_Input'!$G$64="Frais KYC (paliers de 100M€)",MAX(0,Nb_Investisseurs-Nb_KYC_Gratuites_Par_Tranche*(FLOOR(E$15/Taille_Tranche_KYC,1)+1))*Cout_Par_KYC_Supplementaire,(IF('01_Input'!$L$64="Forfait",IF(E$15&gt;='01_Input'!$J$64,'01_Input'!$M$64,0),IF('01_Input'!$L$64="Palier",IF(AND(E$15&gt;='01_Input'!$J$64,E$15&lt;'01_Input'!$K$64),'01_Input'!$M$64,0),MAX(MIN(E$15,'01_Input'!$K$64)-'01_Input'!$J$64,0)*'01_Input'!$M$64))+IF('01_Input'!$P$64="Forfait",IF(E$15&gt;='01_Input'!$N$64,'01_Input'!$Q$64,0),IF('01_Input'!$P$64="Palier",IF(AND(E$15&gt;='01_Input'!$N$64,E$15&lt;'01_Input'!$O$64),'01_Input'!$Q$64,0),MAX(MIN(E$15,'01_Input'!$O$64)-'01_Input'!$N$64,0)*'01_Input'!$Q$64))+IF('01_Input'!$T$64="Forfait",IF(E$15&gt;='01_Input'!$R$64,'01_Input'!$U$64,0),IF('01_Input'!$T$64="Palier",IF(AND(E$15&gt;='01_Input'!$R$64,E$15&lt;'01_Input'!$S$64),'01_Input'!$U$64,0),MAX(MIN(E$15,'01_Input'!$S$64)-'01_Input'!$R$64,0)*'01_Input'!$U$64))+IF('01_Input'!$X$64="Forfait",IF(E$15&gt;='01_Input'!$V$64,'01_Input'!$Y$64,0),IF('01_Input'!$X$64="Palier",IF(AND(E$15&gt;='01_Input'!$V$64,E$15&lt;'01_Input'!$W$64),'01_Input'!$Y$64,0),MAX(MIN(E$15,'01_Input'!$W$64)-'01_Input'!$V$64,0)*'01_Input'!$Y$64))+IF('01_Input'!$AB$64="Forfait",IF(E$15&gt;='01_Input'!$Z$64,'01_Input'!$AC$64,0),IF('01_Input'!$AB$64="Palier",IF(AND(E$15&gt;='01_Input'!$Z$64,E$15&lt;'01_Input'!$AA$64),'01_Input'!$AC$64,0),MAX(MIN(E$15,'01_Input'!$AA$64)-'01_Input'!$Z$64,0)*'01_Input'!$AC$64))))))))))</f>
        <v>1392</v>
      </c>
      <c r="F55" s="83" t="str">
        <f>IF(F$15="","",IF('01_Input'!$C$64="Non",0,MIN('01_Input'!$I$64,MAX('01_Input'!$H$64,IF('01_Input'!$G$64="Résiduel vs Gestion",0,IF('01_Input'!$G$64="Taux Classe sélectionnée",Distrib_Global_Classe_Selectionnee*F$15,IF('01_Input'!$G$64="Frais KYC (paliers de 100M€)",MAX(0,Nb_Investisseurs-Nb_KYC_Gratuites_Par_Tranche*(FLOOR(F$15/Taille_Tranche_KYC,1)+1))*Cout_Par_KYC_Supplementaire,(IF('01_Input'!$L$64="Forfait",IF(F$15&gt;='01_Input'!$J$64,'01_Input'!$M$64,0),IF('01_Input'!$L$64="Palier",IF(AND(F$15&gt;='01_Input'!$J$64,F$15&lt;'01_Input'!$K$64),'01_Input'!$M$64,0),MAX(MIN(F$15,'01_Input'!$K$64)-'01_Input'!$J$64,0)*'01_Input'!$M$64))+IF('01_Input'!$P$64="Forfait",IF(F$15&gt;='01_Input'!$N$64,'01_Input'!$Q$64,0),IF('01_Input'!$P$64="Palier",IF(AND(F$15&gt;='01_Input'!$N$64,F$15&lt;'01_Input'!$O$64),'01_Input'!$Q$64,0),MAX(MIN(F$15,'01_Input'!$O$64)-'01_Input'!$N$64,0)*'01_Input'!$Q$64))+IF('01_Input'!$T$64="Forfait",IF(F$15&gt;='01_Input'!$R$64,'01_Input'!$U$64,0),IF('01_Input'!$T$64="Palier",IF(AND(F$15&gt;='01_Input'!$R$64,F$15&lt;'01_Input'!$S$64),'01_Input'!$U$64,0),MAX(MIN(F$15,'01_Input'!$S$64)-'01_Input'!$R$64,0)*'01_Input'!$U$64))+IF('01_Input'!$X$64="Forfait",IF(F$15&gt;='01_Input'!$V$64,'01_Input'!$Y$64,0),IF('01_Input'!$X$64="Palier",IF(AND(F$15&gt;='01_Input'!$V$64,F$15&lt;'01_Input'!$W$64),'01_Input'!$Y$64,0),MAX(MIN(F$15,'01_Input'!$W$64)-'01_Input'!$V$64,0)*'01_Input'!$Y$64))+IF('01_Input'!$AB$64="Forfait",IF(F$15&gt;='01_Input'!$Z$64,'01_Input'!$AC$64,0),IF('01_Input'!$AB$64="Palier",IF(AND(F$15&gt;='01_Input'!$Z$64,F$15&lt;'01_Input'!$AA$64),'01_Input'!$AC$64,0),MAX(MIN(F$15,'01_Input'!$AA$64)-'01_Input'!$Z$64,0)*'01_Input'!$AC$64))))))))))</f>
        <v/>
      </c>
      <c r="G55" s="83" t="str">
        <f>IF(G$15="","",IF('01_Input'!$C$64="Non",0,MIN('01_Input'!$I$64,MAX('01_Input'!$H$64,IF('01_Input'!$G$64="Résiduel vs Gestion",0,IF('01_Input'!$G$64="Taux Classe sélectionnée",Distrib_Global_Classe_Selectionnee*G$15,IF('01_Input'!$G$64="Frais KYC (paliers de 100M€)",MAX(0,Nb_Investisseurs-Nb_KYC_Gratuites_Par_Tranche*(FLOOR(G$15/Taille_Tranche_KYC,1)+1))*Cout_Par_KYC_Supplementaire,(IF('01_Input'!$L$64="Forfait",IF(G$15&gt;='01_Input'!$J$64,'01_Input'!$M$64,0),IF('01_Input'!$L$64="Palier",IF(AND(G$15&gt;='01_Input'!$J$64,G$15&lt;'01_Input'!$K$64),'01_Input'!$M$64,0),MAX(MIN(G$15,'01_Input'!$K$64)-'01_Input'!$J$64,0)*'01_Input'!$M$64))+IF('01_Input'!$P$64="Forfait",IF(G$15&gt;='01_Input'!$N$64,'01_Input'!$Q$64,0),IF('01_Input'!$P$64="Palier",IF(AND(G$15&gt;='01_Input'!$N$64,G$15&lt;'01_Input'!$O$64),'01_Input'!$Q$64,0),MAX(MIN(G$15,'01_Input'!$O$64)-'01_Input'!$N$64,0)*'01_Input'!$Q$64))+IF('01_Input'!$T$64="Forfait",IF(G$15&gt;='01_Input'!$R$64,'01_Input'!$U$64,0),IF('01_Input'!$T$64="Palier",IF(AND(G$15&gt;='01_Input'!$R$64,G$15&lt;'01_Input'!$S$64),'01_Input'!$U$64,0),MAX(MIN(G$15,'01_Input'!$S$64)-'01_Input'!$R$64,0)*'01_Input'!$U$64))+IF('01_Input'!$X$64="Forfait",IF(G$15&gt;='01_Input'!$V$64,'01_Input'!$Y$64,0),IF('01_Input'!$X$64="Palier",IF(AND(G$15&gt;='01_Input'!$V$64,G$15&lt;'01_Input'!$W$64),'01_Input'!$Y$64,0),MAX(MIN(G$15,'01_Input'!$W$64)-'01_Input'!$V$64,0)*'01_Input'!$Y$64))+IF('01_Input'!$AB$64="Forfait",IF(G$15&gt;='01_Input'!$Z$64,'01_Input'!$AC$64,0),IF('01_Input'!$AB$64="Palier",IF(AND(G$15&gt;='01_Input'!$Z$64,G$15&lt;'01_Input'!$AA$64),'01_Input'!$AC$64,0),MAX(MIN(G$15,'01_Input'!$AA$64)-'01_Input'!$Z$64,0)*'01_Input'!$AC$64))))))))))</f>
        <v/>
      </c>
      <c r="H55" s="83" t="str">
        <f>IF(H$15="","",IF('01_Input'!$C$64="Non",0,MIN('01_Input'!$I$64,MAX('01_Input'!$H$64,IF('01_Input'!$G$64="Résiduel vs Gestion",0,IF('01_Input'!$G$64="Taux Classe sélectionnée",Distrib_Global_Classe_Selectionnee*H$15,IF('01_Input'!$G$64="Frais KYC (paliers de 100M€)",MAX(0,Nb_Investisseurs-Nb_KYC_Gratuites_Par_Tranche*(FLOOR(H$15/Taille_Tranche_KYC,1)+1))*Cout_Par_KYC_Supplementaire,(IF('01_Input'!$L$64="Forfait",IF(H$15&gt;='01_Input'!$J$64,'01_Input'!$M$64,0),IF('01_Input'!$L$64="Palier",IF(AND(H$15&gt;='01_Input'!$J$64,H$15&lt;'01_Input'!$K$64),'01_Input'!$M$64,0),MAX(MIN(H$15,'01_Input'!$K$64)-'01_Input'!$J$64,0)*'01_Input'!$M$64))+IF('01_Input'!$P$64="Forfait",IF(H$15&gt;='01_Input'!$N$64,'01_Input'!$Q$64,0),IF('01_Input'!$P$64="Palier",IF(AND(H$15&gt;='01_Input'!$N$64,H$15&lt;'01_Input'!$O$64),'01_Input'!$Q$64,0),MAX(MIN(H$15,'01_Input'!$O$64)-'01_Input'!$N$64,0)*'01_Input'!$Q$64))+IF('01_Input'!$T$64="Forfait",IF(H$15&gt;='01_Input'!$R$64,'01_Input'!$U$64,0),IF('01_Input'!$T$64="Palier",IF(AND(H$15&gt;='01_Input'!$R$64,H$15&lt;'01_Input'!$S$64),'01_Input'!$U$64,0),MAX(MIN(H$15,'01_Input'!$S$64)-'01_Input'!$R$64,0)*'01_Input'!$U$64))+IF('01_Input'!$X$64="Forfait",IF(H$15&gt;='01_Input'!$V$64,'01_Input'!$Y$64,0),IF('01_Input'!$X$64="Palier",IF(AND(H$15&gt;='01_Input'!$V$64,H$15&lt;'01_Input'!$W$64),'01_Input'!$Y$64,0),MAX(MIN(H$15,'01_Input'!$W$64)-'01_Input'!$V$64,0)*'01_Input'!$Y$64))+IF('01_Input'!$AB$64="Forfait",IF(H$15&gt;='01_Input'!$Z$64,'01_Input'!$AC$64,0),IF('01_Input'!$AB$64="Palier",IF(AND(H$15&gt;='01_Input'!$Z$64,H$15&lt;'01_Input'!$AA$64),'01_Input'!$AC$64,0),MAX(MIN(H$15,'01_Input'!$AA$64)-'01_Input'!$Z$64,0)*'01_Input'!$AC$64))))))))))</f>
        <v/>
      </c>
      <c r="I55" s="83" t="str">
        <f>IF(I$15="","",IF('01_Input'!$C$64="Non",0,MIN('01_Input'!$I$64,MAX('01_Input'!$H$64,IF('01_Input'!$G$64="Résiduel vs Gestion",0,IF('01_Input'!$G$64="Taux Classe sélectionnée",Distrib_Global_Classe_Selectionnee*I$15,IF('01_Input'!$G$64="Frais KYC (paliers de 100M€)",MAX(0,Nb_Investisseurs-Nb_KYC_Gratuites_Par_Tranche*(FLOOR(I$15/Taille_Tranche_KYC,1)+1))*Cout_Par_KYC_Supplementaire,(IF('01_Input'!$L$64="Forfait",IF(I$15&gt;='01_Input'!$J$64,'01_Input'!$M$64,0),IF('01_Input'!$L$64="Palier",IF(AND(I$15&gt;='01_Input'!$J$64,I$15&lt;'01_Input'!$K$64),'01_Input'!$M$64,0),MAX(MIN(I$15,'01_Input'!$K$64)-'01_Input'!$J$64,0)*'01_Input'!$M$64))+IF('01_Input'!$P$64="Forfait",IF(I$15&gt;='01_Input'!$N$64,'01_Input'!$Q$64,0),IF('01_Input'!$P$64="Palier",IF(AND(I$15&gt;='01_Input'!$N$64,I$15&lt;'01_Input'!$O$64),'01_Input'!$Q$64,0),MAX(MIN(I$15,'01_Input'!$O$64)-'01_Input'!$N$64,0)*'01_Input'!$Q$64))+IF('01_Input'!$T$64="Forfait",IF(I$15&gt;='01_Input'!$R$64,'01_Input'!$U$64,0),IF('01_Input'!$T$64="Palier",IF(AND(I$15&gt;='01_Input'!$R$64,I$15&lt;'01_Input'!$S$64),'01_Input'!$U$64,0),MAX(MIN(I$15,'01_Input'!$S$64)-'01_Input'!$R$64,0)*'01_Input'!$U$64))+IF('01_Input'!$X$64="Forfait",IF(I$15&gt;='01_Input'!$V$64,'01_Input'!$Y$64,0),IF('01_Input'!$X$64="Palier",IF(AND(I$15&gt;='01_Input'!$V$64,I$15&lt;'01_Input'!$W$64),'01_Input'!$Y$64,0),MAX(MIN(I$15,'01_Input'!$W$64)-'01_Input'!$V$64,0)*'01_Input'!$Y$64))+IF('01_Input'!$AB$64="Forfait",IF(I$15&gt;='01_Input'!$Z$64,'01_Input'!$AC$64,0),IF('01_Input'!$AB$64="Palier",IF(AND(I$15&gt;='01_Input'!$Z$64,I$15&lt;'01_Input'!$AA$64),'01_Input'!$AC$64,0),MAX(MIN(I$15,'01_Input'!$AA$64)-'01_Input'!$Z$64,0)*'01_Input'!$AC$64))))))))))</f>
        <v/>
      </c>
      <c r="J55" s="83" t="str">
        <f>IF(J$15="","",IF('01_Input'!$C$64="Non",0,MIN('01_Input'!$I$64,MAX('01_Input'!$H$64,IF('01_Input'!$G$64="Résiduel vs Gestion",0,IF('01_Input'!$G$64="Taux Classe sélectionnée",Distrib_Global_Classe_Selectionnee*J$15,IF('01_Input'!$G$64="Frais KYC (paliers de 100M€)",MAX(0,Nb_Investisseurs-Nb_KYC_Gratuites_Par_Tranche*(FLOOR(J$15/Taille_Tranche_KYC,1)+1))*Cout_Par_KYC_Supplementaire,(IF('01_Input'!$L$64="Forfait",IF(J$15&gt;='01_Input'!$J$64,'01_Input'!$M$64,0),IF('01_Input'!$L$64="Palier",IF(AND(J$15&gt;='01_Input'!$J$64,J$15&lt;'01_Input'!$K$64),'01_Input'!$M$64,0),MAX(MIN(J$15,'01_Input'!$K$64)-'01_Input'!$J$64,0)*'01_Input'!$M$64))+IF('01_Input'!$P$64="Forfait",IF(J$15&gt;='01_Input'!$N$64,'01_Input'!$Q$64,0),IF('01_Input'!$P$64="Palier",IF(AND(J$15&gt;='01_Input'!$N$64,J$15&lt;'01_Input'!$O$64),'01_Input'!$Q$64,0),MAX(MIN(J$15,'01_Input'!$O$64)-'01_Input'!$N$64,0)*'01_Input'!$Q$64))+IF('01_Input'!$T$64="Forfait",IF(J$15&gt;='01_Input'!$R$64,'01_Input'!$U$64,0),IF('01_Input'!$T$64="Palier",IF(AND(J$15&gt;='01_Input'!$R$64,J$15&lt;'01_Input'!$S$64),'01_Input'!$U$64,0),MAX(MIN(J$15,'01_Input'!$S$64)-'01_Input'!$R$64,0)*'01_Input'!$U$64))+IF('01_Input'!$X$64="Forfait",IF(J$15&gt;='01_Input'!$V$64,'01_Input'!$Y$64,0),IF('01_Input'!$X$64="Palier",IF(AND(J$15&gt;='01_Input'!$V$64,J$15&lt;'01_Input'!$W$64),'01_Input'!$Y$64,0),MAX(MIN(J$15,'01_Input'!$W$64)-'01_Input'!$V$64,0)*'01_Input'!$Y$64))+IF('01_Input'!$AB$64="Forfait",IF(J$15&gt;='01_Input'!$Z$64,'01_Input'!$AC$64,0),IF('01_Input'!$AB$64="Palier",IF(AND(J$15&gt;='01_Input'!$Z$64,J$15&lt;'01_Input'!$AA$64),'01_Input'!$AC$64,0),MAX(MIN(J$15,'01_Input'!$AA$64)-'01_Input'!$Z$64,0)*'01_Input'!$AC$64))))))))))</f>
        <v/>
      </c>
      <c r="K55" s="83" t="str">
        <f>IF(K$15="","",IF('01_Input'!$C$64="Non",0,MIN('01_Input'!$I$64,MAX('01_Input'!$H$64,IF('01_Input'!$G$64="Résiduel vs Gestion",0,IF('01_Input'!$G$64="Taux Classe sélectionnée",Distrib_Global_Classe_Selectionnee*K$15,IF('01_Input'!$G$64="Frais KYC (paliers de 100M€)",MAX(0,Nb_Investisseurs-Nb_KYC_Gratuites_Par_Tranche*(FLOOR(K$15/Taille_Tranche_KYC,1)+1))*Cout_Par_KYC_Supplementaire,(IF('01_Input'!$L$64="Forfait",IF(K$15&gt;='01_Input'!$J$64,'01_Input'!$M$64,0),IF('01_Input'!$L$64="Palier",IF(AND(K$15&gt;='01_Input'!$J$64,K$15&lt;'01_Input'!$K$64),'01_Input'!$M$64,0),MAX(MIN(K$15,'01_Input'!$K$64)-'01_Input'!$J$64,0)*'01_Input'!$M$64))+IF('01_Input'!$P$64="Forfait",IF(K$15&gt;='01_Input'!$N$64,'01_Input'!$Q$64,0),IF('01_Input'!$P$64="Palier",IF(AND(K$15&gt;='01_Input'!$N$64,K$15&lt;'01_Input'!$O$64),'01_Input'!$Q$64,0),MAX(MIN(K$15,'01_Input'!$O$64)-'01_Input'!$N$64,0)*'01_Input'!$Q$64))+IF('01_Input'!$T$64="Forfait",IF(K$15&gt;='01_Input'!$R$64,'01_Input'!$U$64,0),IF('01_Input'!$T$64="Palier",IF(AND(K$15&gt;='01_Input'!$R$64,K$15&lt;'01_Input'!$S$64),'01_Input'!$U$64,0),MAX(MIN(K$15,'01_Input'!$S$64)-'01_Input'!$R$64,0)*'01_Input'!$U$64))+IF('01_Input'!$X$64="Forfait",IF(K$15&gt;='01_Input'!$V$64,'01_Input'!$Y$64,0),IF('01_Input'!$X$64="Palier",IF(AND(K$15&gt;='01_Input'!$V$64,K$15&lt;'01_Input'!$W$64),'01_Input'!$Y$64,0),MAX(MIN(K$15,'01_Input'!$W$64)-'01_Input'!$V$64,0)*'01_Input'!$Y$64))+IF('01_Input'!$AB$64="Forfait",IF(K$15&gt;='01_Input'!$Z$64,'01_Input'!$AC$64,0),IF('01_Input'!$AB$64="Palier",IF(AND(K$15&gt;='01_Input'!$Z$64,K$15&lt;'01_Input'!$AA$64),'01_Input'!$AC$64,0),MAX(MIN(K$15,'01_Input'!$AA$64)-'01_Input'!$Z$64,0)*'01_Input'!$AC$64))))))))))</f>
        <v/>
      </c>
      <c r="L55" s="83" t="str">
        <f>IF(L$15="","",IF('01_Input'!$C$64="Non",0,MIN('01_Input'!$I$64,MAX('01_Input'!$H$64,IF('01_Input'!$G$64="Résiduel vs Gestion",0,IF('01_Input'!$G$64="Taux Classe sélectionnée",Distrib_Global_Classe_Selectionnee*L$15,IF('01_Input'!$G$64="Frais KYC (paliers de 100M€)",MAX(0,Nb_Investisseurs-Nb_KYC_Gratuites_Par_Tranche*(FLOOR(L$15/Taille_Tranche_KYC,1)+1))*Cout_Par_KYC_Supplementaire,(IF('01_Input'!$L$64="Forfait",IF(L$15&gt;='01_Input'!$J$64,'01_Input'!$M$64,0),IF('01_Input'!$L$64="Palier",IF(AND(L$15&gt;='01_Input'!$J$64,L$15&lt;'01_Input'!$K$64),'01_Input'!$M$64,0),MAX(MIN(L$15,'01_Input'!$K$64)-'01_Input'!$J$64,0)*'01_Input'!$M$64))+IF('01_Input'!$P$64="Forfait",IF(L$15&gt;='01_Input'!$N$64,'01_Input'!$Q$64,0),IF('01_Input'!$P$64="Palier",IF(AND(L$15&gt;='01_Input'!$N$64,L$15&lt;'01_Input'!$O$64),'01_Input'!$Q$64,0),MAX(MIN(L$15,'01_Input'!$O$64)-'01_Input'!$N$64,0)*'01_Input'!$Q$64))+IF('01_Input'!$T$64="Forfait",IF(L$15&gt;='01_Input'!$R$64,'01_Input'!$U$64,0),IF('01_Input'!$T$64="Palier",IF(AND(L$15&gt;='01_Input'!$R$64,L$15&lt;'01_Input'!$S$64),'01_Input'!$U$64,0),MAX(MIN(L$15,'01_Input'!$S$64)-'01_Input'!$R$64,0)*'01_Input'!$U$64))+IF('01_Input'!$X$64="Forfait",IF(L$15&gt;='01_Input'!$V$64,'01_Input'!$Y$64,0),IF('01_Input'!$X$64="Palier",IF(AND(L$15&gt;='01_Input'!$V$64,L$15&lt;'01_Input'!$W$64),'01_Input'!$Y$64,0),MAX(MIN(L$15,'01_Input'!$W$64)-'01_Input'!$V$64,0)*'01_Input'!$Y$64))+IF('01_Input'!$AB$64="Forfait",IF(L$15&gt;='01_Input'!$Z$64,'01_Input'!$AC$64,0),IF('01_Input'!$AB$64="Palier",IF(AND(L$15&gt;='01_Input'!$Z$64,L$15&lt;'01_Input'!$AA$64),'01_Input'!$AC$64,0),MAX(MIN(L$15,'01_Input'!$AA$64)-'01_Input'!$Z$64,0)*'01_Input'!$AC$64))))))))))</f>
        <v/>
      </c>
      <c r="M55" s="83" t="str">
        <f>IF(M$15="","",IF('01_Input'!$C$64="Non",0,MIN('01_Input'!$I$64,MAX('01_Input'!$H$64,IF('01_Input'!$G$64="Résiduel vs Gestion",0,IF('01_Input'!$G$64="Taux Classe sélectionnée",Distrib_Global_Classe_Selectionnee*M$15,IF('01_Input'!$G$64="Frais KYC (paliers de 100M€)",MAX(0,Nb_Investisseurs-Nb_KYC_Gratuites_Par_Tranche*(FLOOR(M$15/Taille_Tranche_KYC,1)+1))*Cout_Par_KYC_Supplementaire,(IF('01_Input'!$L$64="Forfait",IF(M$15&gt;='01_Input'!$J$64,'01_Input'!$M$64,0),IF('01_Input'!$L$64="Palier",IF(AND(M$15&gt;='01_Input'!$J$64,M$15&lt;'01_Input'!$K$64),'01_Input'!$M$64,0),MAX(MIN(M$15,'01_Input'!$K$64)-'01_Input'!$J$64,0)*'01_Input'!$M$64))+IF('01_Input'!$P$64="Forfait",IF(M$15&gt;='01_Input'!$N$64,'01_Input'!$Q$64,0),IF('01_Input'!$P$64="Palier",IF(AND(M$15&gt;='01_Input'!$N$64,M$15&lt;'01_Input'!$O$64),'01_Input'!$Q$64,0),MAX(MIN(M$15,'01_Input'!$O$64)-'01_Input'!$N$64,0)*'01_Input'!$Q$64))+IF('01_Input'!$T$64="Forfait",IF(M$15&gt;='01_Input'!$R$64,'01_Input'!$U$64,0),IF('01_Input'!$T$64="Palier",IF(AND(M$15&gt;='01_Input'!$R$64,M$15&lt;'01_Input'!$S$64),'01_Input'!$U$64,0),MAX(MIN(M$15,'01_Input'!$S$64)-'01_Input'!$R$64,0)*'01_Input'!$U$64))+IF('01_Input'!$X$64="Forfait",IF(M$15&gt;='01_Input'!$V$64,'01_Input'!$Y$64,0),IF('01_Input'!$X$64="Palier",IF(AND(M$15&gt;='01_Input'!$V$64,M$15&lt;'01_Input'!$W$64),'01_Input'!$Y$64,0),MAX(MIN(M$15,'01_Input'!$W$64)-'01_Input'!$V$64,0)*'01_Input'!$Y$64))+IF('01_Input'!$AB$64="Forfait",IF(M$15&gt;='01_Input'!$Z$64,'01_Input'!$AC$64,0),IF('01_Input'!$AB$64="Palier",IF(AND(M$15&gt;='01_Input'!$Z$64,M$15&lt;'01_Input'!$AA$64),'01_Input'!$AC$64,0),MAX(MIN(M$15,'01_Input'!$AA$64)-'01_Input'!$Z$64,0)*'01_Input'!$AC$64))))))))))</f>
        <v/>
      </c>
      <c r="N55" s="83" t="str">
        <f>IF(N$15="","",IF('01_Input'!$C$64="Non",0,MIN('01_Input'!$I$64,MAX('01_Input'!$H$64,IF('01_Input'!$G$64="Résiduel vs Gestion",0,IF('01_Input'!$G$64="Taux Classe sélectionnée",Distrib_Global_Classe_Selectionnee*N$15,IF('01_Input'!$G$64="Frais KYC (paliers de 100M€)",MAX(0,Nb_Investisseurs-Nb_KYC_Gratuites_Par_Tranche*(FLOOR(N$15/Taille_Tranche_KYC,1)+1))*Cout_Par_KYC_Supplementaire,(IF('01_Input'!$L$64="Forfait",IF(N$15&gt;='01_Input'!$J$64,'01_Input'!$M$64,0),IF('01_Input'!$L$64="Palier",IF(AND(N$15&gt;='01_Input'!$J$64,N$15&lt;'01_Input'!$K$64),'01_Input'!$M$64,0),MAX(MIN(N$15,'01_Input'!$K$64)-'01_Input'!$J$64,0)*'01_Input'!$M$64))+IF('01_Input'!$P$64="Forfait",IF(N$15&gt;='01_Input'!$N$64,'01_Input'!$Q$64,0),IF('01_Input'!$P$64="Palier",IF(AND(N$15&gt;='01_Input'!$N$64,N$15&lt;'01_Input'!$O$64),'01_Input'!$Q$64,0),MAX(MIN(N$15,'01_Input'!$O$64)-'01_Input'!$N$64,0)*'01_Input'!$Q$64))+IF('01_Input'!$T$64="Forfait",IF(N$15&gt;='01_Input'!$R$64,'01_Input'!$U$64,0),IF('01_Input'!$T$64="Palier",IF(AND(N$15&gt;='01_Input'!$R$64,N$15&lt;'01_Input'!$S$64),'01_Input'!$U$64,0),MAX(MIN(N$15,'01_Input'!$S$64)-'01_Input'!$R$64,0)*'01_Input'!$U$64))+IF('01_Input'!$X$64="Forfait",IF(N$15&gt;='01_Input'!$V$64,'01_Input'!$Y$64,0),IF('01_Input'!$X$64="Palier",IF(AND(N$15&gt;='01_Input'!$V$64,N$15&lt;'01_Input'!$W$64),'01_Input'!$Y$64,0),MAX(MIN(N$15,'01_Input'!$W$64)-'01_Input'!$V$64,0)*'01_Input'!$Y$64))+IF('01_Input'!$AB$64="Forfait",IF(N$15&gt;='01_Input'!$Z$64,'01_Input'!$AC$64,0),IF('01_Input'!$AB$64="Palier",IF(AND(N$15&gt;='01_Input'!$Z$64,N$15&lt;'01_Input'!$AA$64),'01_Input'!$AC$64,0),MAX(MIN(N$15,'01_Input'!$AA$64)-'01_Input'!$Z$64,0)*'01_Input'!$AC$64))))))))))</f>
        <v/>
      </c>
      <c r="O55" s="83" t="str">
        <f>IF(O$15="","",IF('01_Input'!$C$64="Non",0,MIN('01_Input'!$I$64,MAX('01_Input'!$H$64,IF('01_Input'!$G$64="Résiduel vs Gestion",0,IF('01_Input'!$G$64="Taux Classe sélectionnée",Distrib_Global_Classe_Selectionnee*O$15,IF('01_Input'!$G$64="Frais KYC (paliers de 100M€)",MAX(0,Nb_Investisseurs-Nb_KYC_Gratuites_Par_Tranche*(FLOOR(O$15/Taille_Tranche_KYC,1)+1))*Cout_Par_KYC_Supplementaire,(IF('01_Input'!$L$64="Forfait",IF(O$15&gt;='01_Input'!$J$64,'01_Input'!$M$64,0),IF('01_Input'!$L$64="Palier",IF(AND(O$15&gt;='01_Input'!$J$64,O$15&lt;'01_Input'!$K$64),'01_Input'!$M$64,0),MAX(MIN(O$15,'01_Input'!$K$64)-'01_Input'!$J$64,0)*'01_Input'!$M$64))+IF('01_Input'!$P$64="Forfait",IF(O$15&gt;='01_Input'!$N$64,'01_Input'!$Q$64,0),IF('01_Input'!$P$64="Palier",IF(AND(O$15&gt;='01_Input'!$N$64,O$15&lt;'01_Input'!$O$64),'01_Input'!$Q$64,0),MAX(MIN(O$15,'01_Input'!$O$64)-'01_Input'!$N$64,0)*'01_Input'!$Q$64))+IF('01_Input'!$T$64="Forfait",IF(O$15&gt;='01_Input'!$R$64,'01_Input'!$U$64,0),IF('01_Input'!$T$64="Palier",IF(AND(O$15&gt;='01_Input'!$R$64,O$15&lt;'01_Input'!$S$64),'01_Input'!$U$64,0),MAX(MIN(O$15,'01_Input'!$S$64)-'01_Input'!$R$64,0)*'01_Input'!$U$64))+IF('01_Input'!$X$64="Forfait",IF(O$15&gt;='01_Input'!$V$64,'01_Input'!$Y$64,0),IF('01_Input'!$X$64="Palier",IF(AND(O$15&gt;='01_Input'!$V$64,O$15&lt;'01_Input'!$W$64),'01_Input'!$Y$64,0),MAX(MIN(O$15,'01_Input'!$W$64)-'01_Input'!$V$64,0)*'01_Input'!$Y$64))+IF('01_Input'!$AB$64="Forfait",IF(O$15&gt;='01_Input'!$Z$64,'01_Input'!$AC$64,0),IF('01_Input'!$AB$64="Palier",IF(AND(O$15&gt;='01_Input'!$Z$64,O$15&lt;'01_Input'!$AA$64),'01_Input'!$AC$64,0),MAX(MIN(O$15,'01_Input'!$AA$64)-'01_Input'!$Z$64,0)*'01_Input'!$AC$64))))))))))</f>
        <v/>
      </c>
      <c r="P55" s="83" t="str">
        <f>IF(P$15="","",IF('01_Input'!$C$64="Non",0,MIN('01_Input'!$I$64,MAX('01_Input'!$H$64,IF('01_Input'!$G$64="Résiduel vs Gestion",0,IF('01_Input'!$G$64="Taux Classe sélectionnée",Distrib_Global_Classe_Selectionnee*P$15,IF('01_Input'!$G$64="Frais KYC (paliers de 100M€)",MAX(0,Nb_Investisseurs-Nb_KYC_Gratuites_Par_Tranche*(FLOOR(P$15/Taille_Tranche_KYC,1)+1))*Cout_Par_KYC_Supplementaire,(IF('01_Input'!$L$64="Forfait",IF(P$15&gt;='01_Input'!$J$64,'01_Input'!$M$64,0),IF('01_Input'!$L$64="Palier",IF(AND(P$15&gt;='01_Input'!$J$64,P$15&lt;'01_Input'!$K$64),'01_Input'!$M$64,0),MAX(MIN(P$15,'01_Input'!$K$64)-'01_Input'!$J$64,0)*'01_Input'!$M$64))+IF('01_Input'!$P$64="Forfait",IF(P$15&gt;='01_Input'!$N$64,'01_Input'!$Q$64,0),IF('01_Input'!$P$64="Palier",IF(AND(P$15&gt;='01_Input'!$N$64,P$15&lt;'01_Input'!$O$64),'01_Input'!$Q$64,0),MAX(MIN(P$15,'01_Input'!$O$64)-'01_Input'!$N$64,0)*'01_Input'!$Q$64))+IF('01_Input'!$T$64="Forfait",IF(P$15&gt;='01_Input'!$R$64,'01_Input'!$U$64,0),IF('01_Input'!$T$64="Palier",IF(AND(P$15&gt;='01_Input'!$R$64,P$15&lt;'01_Input'!$S$64),'01_Input'!$U$64,0),MAX(MIN(P$15,'01_Input'!$S$64)-'01_Input'!$R$64,0)*'01_Input'!$U$64))+IF('01_Input'!$X$64="Forfait",IF(P$15&gt;='01_Input'!$V$64,'01_Input'!$Y$64,0),IF('01_Input'!$X$64="Palier",IF(AND(P$15&gt;='01_Input'!$V$64,P$15&lt;'01_Input'!$W$64),'01_Input'!$Y$64,0),MAX(MIN(P$15,'01_Input'!$W$64)-'01_Input'!$V$64,0)*'01_Input'!$Y$64))+IF('01_Input'!$AB$64="Forfait",IF(P$15&gt;='01_Input'!$Z$64,'01_Input'!$AC$64,0),IF('01_Input'!$AB$64="Palier",IF(AND(P$15&gt;='01_Input'!$Z$64,P$15&lt;'01_Input'!$AA$64),'01_Input'!$AC$64,0),MAX(MIN(P$15,'01_Input'!$AA$64)-'01_Input'!$Z$64,0)*'01_Input'!$AC$64))))))))))</f>
        <v/>
      </c>
      <c r="Q55" s="83" t="str">
        <f>IF(Q$15="","",IF('01_Input'!$C$64="Non",0,MIN('01_Input'!$I$64,MAX('01_Input'!$H$64,IF('01_Input'!$G$64="Résiduel vs Gestion",0,IF('01_Input'!$G$64="Taux Classe sélectionnée",Distrib_Global_Classe_Selectionnee*Q$15,IF('01_Input'!$G$64="Frais KYC (paliers de 100M€)",MAX(0,Nb_Investisseurs-Nb_KYC_Gratuites_Par_Tranche*(FLOOR(Q$15/Taille_Tranche_KYC,1)+1))*Cout_Par_KYC_Supplementaire,(IF('01_Input'!$L$64="Forfait",IF(Q$15&gt;='01_Input'!$J$64,'01_Input'!$M$64,0),IF('01_Input'!$L$64="Palier",IF(AND(Q$15&gt;='01_Input'!$J$64,Q$15&lt;'01_Input'!$K$64),'01_Input'!$M$64,0),MAX(MIN(Q$15,'01_Input'!$K$64)-'01_Input'!$J$64,0)*'01_Input'!$M$64))+IF('01_Input'!$P$64="Forfait",IF(Q$15&gt;='01_Input'!$N$64,'01_Input'!$Q$64,0),IF('01_Input'!$P$64="Palier",IF(AND(Q$15&gt;='01_Input'!$N$64,Q$15&lt;'01_Input'!$O$64),'01_Input'!$Q$64,0),MAX(MIN(Q$15,'01_Input'!$O$64)-'01_Input'!$N$64,0)*'01_Input'!$Q$64))+IF('01_Input'!$T$64="Forfait",IF(Q$15&gt;='01_Input'!$R$64,'01_Input'!$U$64,0),IF('01_Input'!$T$64="Palier",IF(AND(Q$15&gt;='01_Input'!$R$64,Q$15&lt;'01_Input'!$S$64),'01_Input'!$U$64,0),MAX(MIN(Q$15,'01_Input'!$S$64)-'01_Input'!$R$64,0)*'01_Input'!$U$64))+IF('01_Input'!$X$64="Forfait",IF(Q$15&gt;='01_Input'!$V$64,'01_Input'!$Y$64,0),IF('01_Input'!$X$64="Palier",IF(AND(Q$15&gt;='01_Input'!$V$64,Q$15&lt;'01_Input'!$W$64),'01_Input'!$Y$64,0),MAX(MIN(Q$15,'01_Input'!$W$64)-'01_Input'!$V$64,0)*'01_Input'!$Y$64))+IF('01_Input'!$AB$64="Forfait",IF(Q$15&gt;='01_Input'!$Z$64,'01_Input'!$AC$64,0),IF('01_Input'!$AB$64="Palier",IF(AND(Q$15&gt;='01_Input'!$Z$64,Q$15&lt;'01_Input'!$AA$64),'01_Input'!$AC$64,0),MAX(MIN(Q$15,'01_Input'!$AA$64)-'01_Input'!$Z$64,0)*'01_Input'!$AC$64))))))))))</f>
        <v/>
      </c>
      <c r="R55" s="83" t="str">
        <f>IF(R$15="","",IF('01_Input'!$C$64="Non",0,MIN('01_Input'!$I$64,MAX('01_Input'!$H$64,IF('01_Input'!$G$64="Résiduel vs Gestion",0,IF('01_Input'!$G$64="Taux Classe sélectionnée",Distrib_Global_Classe_Selectionnee*R$15,IF('01_Input'!$G$64="Frais KYC (paliers de 100M€)",MAX(0,Nb_Investisseurs-Nb_KYC_Gratuites_Par_Tranche*(FLOOR(R$15/Taille_Tranche_KYC,1)+1))*Cout_Par_KYC_Supplementaire,(IF('01_Input'!$L$64="Forfait",IF(R$15&gt;='01_Input'!$J$64,'01_Input'!$M$64,0),IF('01_Input'!$L$64="Palier",IF(AND(R$15&gt;='01_Input'!$J$64,R$15&lt;'01_Input'!$K$64),'01_Input'!$M$64,0),MAX(MIN(R$15,'01_Input'!$K$64)-'01_Input'!$J$64,0)*'01_Input'!$M$64))+IF('01_Input'!$P$64="Forfait",IF(R$15&gt;='01_Input'!$N$64,'01_Input'!$Q$64,0),IF('01_Input'!$P$64="Palier",IF(AND(R$15&gt;='01_Input'!$N$64,R$15&lt;'01_Input'!$O$64),'01_Input'!$Q$64,0),MAX(MIN(R$15,'01_Input'!$O$64)-'01_Input'!$N$64,0)*'01_Input'!$Q$64))+IF('01_Input'!$T$64="Forfait",IF(R$15&gt;='01_Input'!$R$64,'01_Input'!$U$64,0),IF('01_Input'!$T$64="Palier",IF(AND(R$15&gt;='01_Input'!$R$64,R$15&lt;'01_Input'!$S$64),'01_Input'!$U$64,0),MAX(MIN(R$15,'01_Input'!$S$64)-'01_Input'!$R$64,0)*'01_Input'!$U$64))+IF('01_Input'!$X$64="Forfait",IF(R$15&gt;='01_Input'!$V$64,'01_Input'!$Y$64,0),IF('01_Input'!$X$64="Palier",IF(AND(R$15&gt;='01_Input'!$V$64,R$15&lt;'01_Input'!$W$64),'01_Input'!$Y$64,0),MAX(MIN(R$15,'01_Input'!$W$64)-'01_Input'!$V$64,0)*'01_Input'!$Y$64))+IF('01_Input'!$AB$64="Forfait",IF(R$15&gt;='01_Input'!$Z$64,'01_Input'!$AC$64,0),IF('01_Input'!$AB$64="Palier",IF(AND(R$15&gt;='01_Input'!$Z$64,R$15&lt;'01_Input'!$AA$64),'01_Input'!$AC$64,0),MAX(MIN(R$15,'01_Input'!$AA$64)-'01_Input'!$Z$64,0)*'01_Input'!$AC$64))))))))))</f>
        <v/>
      </c>
      <c r="S55" s="83" t="str">
        <f>IF(S$15="","",IF('01_Input'!$C$64="Non",0,MIN('01_Input'!$I$64,MAX('01_Input'!$H$64,IF('01_Input'!$G$64="Résiduel vs Gestion",0,IF('01_Input'!$G$64="Taux Classe sélectionnée",Distrib_Global_Classe_Selectionnee*S$15,IF('01_Input'!$G$64="Frais KYC (paliers de 100M€)",MAX(0,Nb_Investisseurs-Nb_KYC_Gratuites_Par_Tranche*(FLOOR(S$15/Taille_Tranche_KYC,1)+1))*Cout_Par_KYC_Supplementaire,(IF('01_Input'!$L$64="Forfait",IF(S$15&gt;='01_Input'!$J$64,'01_Input'!$M$64,0),IF('01_Input'!$L$64="Palier",IF(AND(S$15&gt;='01_Input'!$J$64,S$15&lt;'01_Input'!$K$64),'01_Input'!$M$64,0),MAX(MIN(S$15,'01_Input'!$K$64)-'01_Input'!$J$64,0)*'01_Input'!$M$64))+IF('01_Input'!$P$64="Forfait",IF(S$15&gt;='01_Input'!$N$64,'01_Input'!$Q$64,0),IF('01_Input'!$P$64="Palier",IF(AND(S$15&gt;='01_Input'!$N$64,S$15&lt;'01_Input'!$O$64),'01_Input'!$Q$64,0),MAX(MIN(S$15,'01_Input'!$O$64)-'01_Input'!$N$64,0)*'01_Input'!$Q$64))+IF('01_Input'!$T$64="Forfait",IF(S$15&gt;='01_Input'!$R$64,'01_Input'!$U$64,0),IF('01_Input'!$T$64="Palier",IF(AND(S$15&gt;='01_Input'!$R$64,S$15&lt;'01_Input'!$S$64),'01_Input'!$U$64,0),MAX(MIN(S$15,'01_Input'!$S$64)-'01_Input'!$R$64,0)*'01_Input'!$U$64))+IF('01_Input'!$X$64="Forfait",IF(S$15&gt;='01_Input'!$V$64,'01_Input'!$Y$64,0),IF('01_Input'!$X$64="Palier",IF(AND(S$15&gt;='01_Input'!$V$64,S$15&lt;'01_Input'!$W$64),'01_Input'!$Y$64,0),MAX(MIN(S$15,'01_Input'!$W$64)-'01_Input'!$V$64,0)*'01_Input'!$Y$64))+IF('01_Input'!$AB$64="Forfait",IF(S$15&gt;='01_Input'!$Z$64,'01_Input'!$AC$64,0),IF('01_Input'!$AB$64="Palier",IF(AND(S$15&gt;='01_Input'!$Z$64,S$15&lt;'01_Input'!$AA$64),'01_Input'!$AC$64,0),MAX(MIN(S$15,'01_Input'!$AA$64)-'01_Input'!$Z$64,0)*'01_Input'!$AC$64))))))))))</f>
        <v/>
      </c>
      <c r="T55" s="83" t="str">
        <f>IF(T$15="","",IF('01_Input'!$C$64="Non",0,MIN('01_Input'!$I$64,MAX('01_Input'!$H$64,IF('01_Input'!$G$64="Résiduel vs Gestion",0,IF('01_Input'!$G$64="Taux Classe sélectionnée",Distrib_Global_Classe_Selectionnee*T$15,IF('01_Input'!$G$64="Frais KYC (paliers de 100M€)",MAX(0,Nb_Investisseurs-Nb_KYC_Gratuites_Par_Tranche*(FLOOR(T$15/Taille_Tranche_KYC,1)+1))*Cout_Par_KYC_Supplementaire,(IF('01_Input'!$L$64="Forfait",IF(T$15&gt;='01_Input'!$J$64,'01_Input'!$M$64,0),IF('01_Input'!$L$64="Palier",IF(AND(T$15&gt;='01_Input'!$J$64,T$15&lt;'01_Input'!$K$64),'01_Input'!$M$64,0),MAX(MIN(T$15,'01_Input'!$K$64)-'01_Input'!$J$64,0)*'01_Input'!$M$64))+IF('01_Input'!$P$64="Forfait",IF(T$15&gt;='01_Input'!$N$64,'01_Input'!$Q$64,0),IF('01_Input'!$P$64="Palier",IF(AND(T$15&gt;='01_Input'!$N$64,T$15&lt;'01_Input'!$O$64),'01_Input'!$Q$64,0),MAX(MIN(T$15,'01_Input'!$O$64)-'01_Input'!$N$64,0)*'01_Input'!$Q$64))+IF('01_Input'!$T$64="Forfait",IF(T$15&gt;='01_Input'!$R$64,'01_Input'!$U$64,0),IF('01_Input'!$T$64="Palier",IF(AND(T$15&gt;='01_Input'!$R$64,T$15&lt;'01_Input'!$S$64),'01_Input'!$U$64,0),MAX(MIN(T$15,'01_Input'!$S$64)-'01_Input'!$R$64,0)*'01_Input'!$U$64))+IF('01_Input'!$X$64="Forfait",IF(T$15&gt;='01_Input'!$V$64,'01_Input'!$Y$64,0),IF('01_Input'!$X$64="Palier",IF(AND(T$15&gt;='01_Input'!$V$64,T$15&lt;'01_Input'!$W$64),'01_Input'!$Y$64,0),MAX(MIN(T$15,'01_Input'!$W$64)-'01_Input'!$V$64,0)*'01_Input'!$Y$64))+IF('01_Input'!$AB$64="Forfait",IF(T$15&gt;='01_Input'!$Z$64,'01_Input'!$AC$64,0),IF('01_Input'!$AB$64="Palier",IF(AND(T$15&gt;='01_Input'!$Z$64,T$15&lt;'01_Input'!$AA$64),'01_Input'!$AC$64,0),MAX(MIN(T$15,'01_Input'!$AA$64)-'01_Input'!$Z$64,0)*'01_Input'!$AC$64))))))))))</f>
        <v/>
      </c>
      <c r="U55" s="83" t="str">
        <f>IF(U$15="","",IF('01_Input'!$C$64="Non",0,MIN('01_Input'!$I$64,MAX('01_Input'!$H$64,IF('01_Input'!$G$64="Résiduel vs Gestion",0,IF('01_Input'!$G$64="Taux Classe sélectionnée",Distrib_Global_Classe_Selectionnee*U$15,IF('01_Input'!$G$64="Frais KYC (paliers de 100M€)",MAX(0,Nb_Investisseurs-Nb_KYC_Gratuites_Par_Tranche*(FLOOR(U$15/Taille_Tranche_KYC,1)+1))*Cout_Par_KYC_Supplementaire,(IF('01_Input'!$L$64="Forfait",IF(U$15&gt;='01_Input'!$J$64,'01_Input'!$M$64,0),IF('01_Input'!$L$64="Palier",IF(AND(U$15&gt;='01_Input'!$J$64,U$15&lt;'01_Input'!$K$64),'01_Input'!$M$64,0),MAX(MIN(U$15,'01_Input'!$K$64)-'01_Input'!$J$64,0)*'01_Input'!$M$64))+IF('01_Input'!$P$64="Forfait",IF(U$15&gt;='01_Input'!$N$64,'01_Input'!$Q$64,0),IF('01_Input'!$P$64="Palier",IF(AND(U$15&gt;='01_Input'!$N$64,U$15&lt;'01_Input'!$O$64),'01_Input'!$Q$64,0),MAX(MIN(U$15,'01_Input'!$O$64)-'01_Input'!$N$64,0)*'01_Input'!$Q$64))+IF('01_Input'!$T$64="Forfait",IF(U$15&gt;='01_Input'!$R$64,'01_Input'!$U$64,0),IF('01_Input'!$T$64="Palier",IF(AND(U$15&gt;='01_Input'!$R$64,U$15&lt;'01_Input'!$S$64),'01_Input'!$U$64,0),MAX(MIN(U$15,'01_Input'!$S$64)-'01_Input'!$R$64,0)*'01_Input'!$U$64))+IF('01_Input'!$X$64="Forfait",IF(U$15&gt;='01_Input'!$V$64,'01_Input'!$Y$64,0),IF('01_Input'!$X$64="Palier",IF(AND(U$15&gt;='01_Input'!$V$64,U$15&lt;'01_Input'!$W$64),'01_Input'!$Y$64,0),MAX(MIN(U$15,'01_Input'!$W$64)-'01_Input'!$V$64,0)*'01_Input'!$Y$64))+IF('01_Input'!$AB$64="Forfait",IF(U$15&gt;='01_Input'!$Z$64,'01_Input'!$AC$64,0),IF('01_Input'!$AB$64="Palier",IF(AND(U$15&gt;='01_Input'!$Z$64,U$15&lt;'01_Input'!$AA$64),'01_Input'!$AC$64,0),MAX(MIN(U$15,'01_Input'!$AA$64)-'01_Input'!$Z$64,0)*'01_Input'!$AC$64))))))))))</f>
        <v/>
      </c>
      <c r="V55" s="83" t="str">
        <f>IF(V$15="","",IF('01_Input'!$C$64="Non",0,MIN('01_Input'!$I$64,MAX('01_Input'!$H$64,IF('01_Input'!$G$64="Résiduel vs Gestion",0,IF('01_Input'!$G$64="Taux Classe sélectionnée",Distrib_Global_Classe_Selectionnee*V$15,IF('01_Input'!$G$64="Frais KYC (paliers de 100M€)",MAX(0,Nb_Investisseurs-Nb_KYC_Gratuites_Par_Tranche*(FLOOR(V$15/Taille_Tranche_KYC,1)+1))*Cout_Par_KYC_Supplementaire,(IF('01_Input'!$L$64="Forfait",IF(V$15&gt;='01_Input'!$J$64,'01_Input'!$M$64,0),IF('01_Input'!$L$64="Palier",IF(AND(V$15&gt;='01_Input'!$J$64,V$15&lt;'01_Input'!$K$64),'01_Input'!$M$64,0),MAX(MIN(V$15,'01_Input'!$K$64)-'01_Input'!$J$64,0)*'01_Input'!$M$64))+IF('01_Input'!$P$64="Forfait",IF(V$15&gt;='01_Input'!$N$64,'01_Input'!$Q$64,0),IF('01_Input'!$P$64="Palier",IF(AND(V$15&gt;='01_Input'!$N$64,V$15&lt;'01_Input'!$O$64),'01_Input'!$Q$64,0),MAX(MIN(V$15,'01_Input'!$O$64)-'01_Input'!$N$64,0)*'01_Input'!$Q$64))+IF('01_Input'!$T$64="Forfait",IF(V$15&gt;='01_Input'!$R$64,'01_Input'!$U$64,0),IF('01_Input'!$T$64="Palier",IF(AND(V$15&gt;='01_Input'!$R$64,V$15&lt;'01_Input'!$S$64),'01_Input'!$U$64,0),MAX(MIN(V$15,'01_Input'!$S$64)-'01_Input'!$R$64,0)*'01_Input'!$U$64))+IF('01_Input'!$X$64="Forfait",IF(V$15&gt;='01_Input'!$V$64,'01_Input'!$Y$64,0),IF('01_Input'!$X$64="Palier",IF(AND(V$15&gt;='01_Input'!$V$64,V$15&lt;'01_Input'!$W$64),'01_Input'!$Y$64,0),MAX(MIN(V$15,'01_Input'!$W$64)-'01_Input'!$V$64,0)*'01_Input'!$Y$64))+IF('01_Input'!$AB$64="Forfait",IF(V$15&gt;='01_Input'!$Z$64,'01_Input'!$AC$64,0),IF('01_Input'!$AB$64="Palier",IF(AND(V$15&gt;='01_Input'!$Z$64,V$15&lt;'01_Input'!$AA$64),'01_Input'!$AC$64,0),MAX(MIN(V$15,'01_Input'!$AA$64)-'01_Input'!$Z$64,0)*'01_Input'!$AC$64))))))))))</f>
        <v/>
      </c>
      <c r="W55" s="83" t="str">
        <f>IF(W$15="","",IF('01_Input'!$C$64="Non",0,MIN('01_Input'!$I$64,MAX('01_Input'!$H$64,IF('01_Input'!$G$64="Résiduel vs Gestion",0,IF('01_Input'!$G$64="Taux Classe sélectionnée",Distrib_Global_Classe_Selectionnee*W$15,IF('01_Input'!$G$64="Frais KYC (paliers de 100M€)",MAX(0,Nb_Investisseurs-Nb_KYC_Gratuites_Par_Tranche*(FLOOR(W$15/Taille_Tranche_KYC,1)+1))*Cout_Par_KYC_Supplementaire,(IF('01_Input'!$L$64="Forfait",IF(W$15&gt;='01_Input'!$J$64,'01_Input'!$M$64,0),IF('01_Input'!$L$64="Palier",IF(AND(W$15&gt;='01_Input'!$J$64,W$15&lt;'01_Input'!$K$64),'01_Input'!$M$64,0),MAX(MIN(W$15,'01_Input'!$K$64)-'01_Input'!$J$64,0)*'01_Input'!$M$64))+IF('01_Input'!$P$64="Forfait",IF(W$15&gt;='01_Input'!$N$64,'01_Input'!$Q$64,0),IF('01_Input'!$P$64="Palier",IF(AND(W$15&gt;='01_Input'!$N$64,W$15&lt;'01_Input'!$O$64),'01_Input'!$Q$64,0),MAX(MIN(W$15,'01_Input'!$O$64)-'01_Input'!$N$64,0)*'01_Input'!$Q$64))+IF('01_Input'!$T$64="Forfait",IF(W$15&gt;='01_Input'!$R$64,'01_Input'!$U$64,0),IF('01_Input'!$T$64="Palier",IF(AND(W$15&gt;='01_Input'!$R$64,W$15&lt;'01_Input'!$S$64),'01_Input'!$U$64,0),MAX(MIN(W$15,'01_Input'!$S$64)-'01_Input'!$R$64,0)*'01_Input'!$U$64))+IF('01_Input'!$X$64="Forfait",IF(W$15&gt;='01_Input'!$V$64,'01_Input'!$Y$64,0),IF('01_Input'!$X$64="Palier",IF(AND(W$15&gt;='01_Input'!$V$64,W$15&lt;'01_Input'!$W$64),'01_Input'!$Y$64,0),MAX(MIN(W$15,'01_Input'!$W$64)-'01_Input'!$V$64,0)*'01_Input'!$Y$64))+IF('01_Input'!$AB$64="Forfait",IF(W$15&gt;='01_Input'!$Z$64,'01_Input'!$AC$64,0),IF('01_Input'!$AB$64="Palier",IF(AND(W$15&gt;='01_Input'!$Z$64,W$15&lt;'01_Input'!$AA$64),'01_Input'!$AC$64,0),MAX(MIN(W$15,'01_Input'!$AA$64)-'01_Input'!$Z$64,0)*'01_Input'!$AC$64))))))))))</f>
        <v/>
      </c>
      <c r="X55" s="83" t="str">
        <f>IF(X$15="","",IF('01_Input'!$C$64="Non",0,MIN('01_Input'!$I$64,MAX('01_Input'!$H$64,IF('01_Input'!$G$64="Résiduel vs Gestion",0,IF('01_Input'!$G$64="Taux Classe sélectionnée",Distrib_Global_Classe_Selectionnee*X$15,IF('01_Input'!$G$64="Frais KYC (paliers de 100M€)",MAX(0,Nb_Investisseurs-Nb_KYC_Gratuites_Par_Tranche*(FLOOR(X$15/Taille_Tranche_KYC,1)+1))*Cout_Par_KYC_Supplementaire,(IF('01_Input'!$L$64="Forfait",IF(X$15&gt;='01_Input'!$J$64,'01_Input'!$M$64,0),IF('01_Input'!$L$64="Palier",IF(AND(X$15&gt;='01_Input'!$J$64,X$15&lt;'01_Input'!$K$64),'01_Input'!$M$64,0),MAX(MIN(X$15,'01_Input'!$K$64)-'01_Input'!$J$64,0)*'01_Input'!$M$64))+IF('01_Input'!$P$64="Forfait",IF(X$15&gt;='01_Input'!$N$64,'01_Input'!$Q$64,0),IF('01_Input'!$P$64="Palier",IF(AND(X$15&gt;='01_Input'!$N$64,X$15&lt;'01_Input'!$O$64),'01_Input'!$Q$64,0),MAX(MIN(X$15,'01_Input'!$O$64)-'01_Input'!$N$64,0)*'01_Input'!$Q$64))+IF('01_Input'!$T$64="Forfait",IF(X$15&gt;='01_Input'!$R$64,'01_Input'!$U$64,0),IF('01_Input'!$T$64="Palier",IF(AND(X$15&gt;='01_Input'!$R$64,X$15&lt;'01_Input'!$S$64),'01_Input'!$U$64,0),MAX(MIN(X$15,'01_Input'!$S$64)-'01_Input'!$R$64,0)*'01_Input'!$U$64))+IF('01_Input'!$X$64="Forfait",IF(X$15&gt;='01_Input'!$V$64,'01_Input'!$Y$64,0),IF('01_Input'!$X$64="Palier",IF(AND(X$15&gt;='01_Input'!$V$64,X$15&lt;'01_Input'!$W$64),'01_Input'!$Y$64,0),MAX(MIN(X$15,'01_Input'!$W$64)-'01_Input'!$V$64,0)*'01_Input'!$Y$64))+IF('01_Input'!$AB$64="Forfait",IF(X$15&gt;='01_Input'!$Z$64,'01_Input'!$AC$64,0),IF('01_Input'!$AB$64="Palier",IF(AND(X$15&gt;='01_Input'!$Z$64,X$15&lt;'01_Input'!$AA$64),'01_Input'!$AC$64,0),MAX(MIN(X$15,'01_Input'!$AA$64)-'01_Input'!$Z$64,0)*'01_Input'!$AC$64))))))))))</f>
        <v/>
      </c>
      <c r="Y55" s="83" t="str">
        <f>IF(Y$15="","",IF('01_Input'!$C$64="Non",0,MIN('01_Input'!$I$64,MAX('01_Input'!$H$64,IF('01_Input'!$G$64="Résiduel vs Gestion",0,IF('01_Input'!$G$64="Taux Classe sélectionnée",Distrib_Global_Classe_Selectionnee*Y$15,IF('01_Input'!$G$64="Frais KYC (paliers de 100M€)",MAX(0,Nb_Investisseurs-Nb_KYC_Gratuites_Par_Tranche*(FLOOR(Y$15/Taille_Tranche_KYC,1)+1))*Cout_Par_KYC_Supplementaire,(IF('01_Input'!$L$64="Forfait",IF(Y$15&gt;='01_Input'!$J$64,'01_Input'!$M$64,0),IF('01_Input'!$L$64="Palier",IF(AND(Y$15&gt;='01_Input'!$J$64,Y$15&lt;'01_Input'!$K$64),'01_Input'!$M$64,0),MAX(MIN(Y$15,'01_Input'!$K$64)-'01_Input'!$J$64,0)*'01_Input'!$M$64))+IF('01_Input'!$P$64="Forfait",IF(Y$15&gt;='01_Input'!$N$64,'01_Input'!$Q$64,0),IF('01_Input'!$P$64="Palier",IF(AND(Y$15&gt;='01_Input'!$N$64,Y$15&lt;'01_Input'!$O$64),'01_Input'!$Q$64,0),MAX(MIN(Y$15,'01_Input'!$O$64)-'01_Input'!$N$64,0)*'01_Input'!$Q$64))+IF('01_Input'!$T$64="Forfait",IF(Y$15&gt;='01_Input'!$R$64,'01_Input'!$U$64,0),IF('01_Input'!$T$64="Palier",IF(AND(Y$15&gt;='01_Input'!$R$64,Y$15&lt;'01_Input'!$S$64),'01_Input'!$U$64,0),MAX(MIN(Y$15,'01_Input'!$S$64)-'01_Input'!$R$64,0)*'01_Input'!$U$64))+IF('01_Input'!$X$64="Forfait",IF(Y$15&gt;='01_Input'!$V$64,'01_Input'!$Y$64,0),IF('01_Input'!$X$64="Palier",IF(AND(Y$15&gt;='01_Input'!$V$64,Y$15&lt;'01_Input'!$W$64),'01_Input'!$Y$64,0),MAX(MIN(Y$15,'01_Input'!$W$64)-'01_Input'!$V$64,0)*'01_Input'!$Y$64))+IF('01_Input'!$AB$64="Forfait",IF(Y$15&gt;='01_Input'!$Z$64,'01_Input'!$AC$64,0),IF('01_Input'!$AB$64="Palier",IF(AND(Y$15&gt;='01_Input'!$Z$64,Y$15&lt;'01_Input'!$AA$64),'01_Input'!$AC$64,0),MAX(MIN(Y$15,'01_Input'!$AA$64)-'01_Input'!$Z$64,0)*'01_Input'!$AC$64))))))))))</f>
        <v/>
      </c>
      <c r="Z55" s="83" t="str">
        <f>IF(Z$15="","",IF('01_Input'!$C$64="Non",0,MIN('01_Input'!$I$64,MAX('01_Input'!$H$64,IF('01_Input'!$G$64="Résiduel vs Gestion",0,IF('01_Input'!$G$64="Taux Classe sélectionnée",Distrib_Global_Classe_Selectionnee*Z$15,IF('01_Input'!$G$64="Frais KYC (paliers de 100M€)",MAX(0,Nb_Investisseurs-Nb_KYC_Gratuites_Par_Tranche*(FLOOR(Z$15/Taille_Tranche_KYC,1)+1))*Cout_Par_KYC_Supplementaire,(IF('01_Input'!$L$64="Forfait",IF(Z$15&gt;='01_Input'!$J$64,'01_Input'!$M$64,0),IF('01_Input'!$L$64="Palier",IF(AND(Z$15&gt;='01_Input'!$J$64,Z$15&lt;'01_Input'!$K$64),'01_Input'!$M$64,0),MAX(MIN(Z$15,'01_Input'!$K$64)-'01_Input'!$J$64,0)*'01_Input'!$M$64))+IF('01_Input'!$P$64="Forfait",IF(Z$15&gt;='01_Input'!$N$64,'01_Input'!$Q$64,0),IF('01_Input'!$P$64="Palier",IF(AND(Z$15&gt;='01_Input'!$N$64,Z$15&lt;'01_Input'!$O$64),'01_Input'!$Q$64,0),MAX(MIN(Z$15,'01_Input'!$O$64)-'01_Input'!$N$64,0)*'01_Input'!$Q$64))+IF('01_Input'!$T$64="Forfait",IF(Z$15&gt;='01_Input'!$R$64,'01_Input'!$U$64,0),IF('01_Input'!$T$64="Palier",IF(AND(Z$15&gt;='01_Input'!$R$64,Z$15&lt;'01_Input'!$S$64),'01_Input'!$U$64,0),MAX(MIN(Z$15,'01_Input'!$S$64)-'01_Input'!$R$64,0)*'01_Input'!$U$64))+IF('01_Input'!$X$64="Forfait",IF(Z$15&gt;='01_Input'!$V$64,'01_Input'!$Y$64,0),IF('01_Input'!$X$64="Palier",IF(AND(Z$15&gt;='01_Input'!$V$64,Z$15&lt;'01_Input'!$W$64),'01_Input'!$Y$64,0),MAX(MIN(Z$15,'01_Input'!$W$64)-'01_Input'!$V$64,0)*'01_Input'!$Y$64))+IF('01_Input'!$AB$64="Forfait",IF(Z$15&gt;='01_Input'!$Z$64,'01_Input'!$AC$64,0),IF('01_Input'!$AB$64="Palier",IF(AND(Z$15&gt;='01_Input'!$Z$64,Z$15&lt;'01_Input'!$AA$64),'01_Input'!$AC$64,0),MAX(MIN(Z$15,'01_Input'!$AA$64)-'01_Input'!$Z$64,0)*'01_Input'!$AC$64))))))))))</f>
        <v/>
      </c>
      <c r="AA55" s="83" t="str">
        <f>IF(AA$15="","",IF('01_Input'!$C$64="Non",0,MIN('01_Input'!$I$64,MAX('01_Input'!$H$64,IF('01_Input'!$G$64="Résiduel vs Gestion",0,IF('01_Input'!$G$64="Taux Classe sélectionnée",Distrib_Global_Classe_Selectionnee*AA$15,IF('01_Input'!$G$64="Frais KYC (paliers de 100M€)",MAX(0,Nb_Investisseurs-Nb_KYC_Gratuites_Par_Tranche*(FLOOR(AA$15/Taille_Tranche_KYC,1)+1))*Cout_Par_KYC_Supplementaire,(IF('01_Input'!$L$64="Forfait",IF(AA$15&gt;='01_Input'!$J$64,'01_Input'!$M$64,0),IF('01_Input'!$L$64="Palier",IF(AND(AA$15&gt;='01_Input'!$J$64,AA$15&lt;'01_Input'!$K$64),'01_Input'!$M$64,0),MAX(MIN(AA$15,'01_Input'!$K$64)-'01_Input'!$J$64,0)*'01_Input'!$M$64))+IF('01_Input'!$P$64="Forfait",IF(AA$15&gt;='01_Input'!$N$64,'01_Input'!$Q$64,0),IF('01_Input'!$P$64="Palier",IF(AND(AA$15&gt;='01_Input'!$N$64,AA$15&lt;'01_Input'!$O$64),'01_Input'!$Q$64,0),MAX(MIN(AA$15,'01_Input'!$O$64)-'01_Input'!$N$64,0)*'01_Input'!$Q$64))+IF('01_Input'!$T$64="Forfait",IF(AA$15&gt;='01_Input'!$R$64,'01_Input'!$U$64,0),IF('01_Input'!$T$64="Palier",IF(AND(AA$15&gt;='01_Input'!$R$64,AA$15&lt;'01_Input'!$S$64),'01_Input'!$U$64,0),MAX(MIN(AA$15,'01_Input'!$S$64)-'01_Input'!$R$64,0)*'01_Input'!$U$64))+IF('01_Input'!$X$64="Forfait",IF(AA$15&gt;='01_Input'!$V$64,'01_Input'!$Y$64,0),IF('01_Input'!$X$64="Palier",IF(AND(AA$15&gt;='01_Input'!$V$64,AA$15&lt;'01_Input'!$W$64),'01_Input'!$Y$64,0),MAX(MIN(AA$15,'01_Input'!$W$64)-'01_Input'!$V$64,0)*'01_Input'!$Y$64))+IF('01_Input'!$AB$64="Forfait",IF(AA$15&gt;='01_Input'!$Z$64,'01_Input'!$AC$64,0),IF('01_Input'!$AB$64="Palier",IF(AND(AA$15&gt;='01_Input'!$Z$64,AA$15&lt;'01_Input'!$AA$64),'01_Input'!$AC$64,0),MAX(MIN(AA$15,'01_Input'!$AA$64)-'01_Input'!$Z$64,0)*'01_Input'!$AC$64))))))))))</f>
        <v/>
      </c>
      <c r="AB55" s="83" t="str">
        <f>IF(AB$15="","",IF('01_Input'!$C$64="Non",0,MIN('01_Input'!$I$64,MAX('01_Input'!$H$64,IF('01_Input'!$G$64="Résiduel vs Gestion",0,IF('01_Input'!$G$64="Taux Classe sélectionnée",Distrib_Global_Classe_Selectionnee*AB$15,IF('01_Input'!$G$64="Frais KYC (paliers de 100M€)",MAX(0,Nb_Investisseurs-Nb_KYC_Gratuites_Par_Tranche*(FLOOR(AB$15/Taille_Tranche_KYC,1)+1))*Cout_Par_KYC_Supplementaire,(IF('01_Input'!$L$64="Forfait",IF(AB$15&gt;='01_Input'!$J$64,'01_Input'!$M$64,0),IF('01_Input'!$L$64="Palier",IF(AND(AB$15&gt;='01_Input'!$J$64,AB$15&lt;'01_Input'!$K$64),'01_Input'!$M$64,0),MAX(MIN(AB$15,'01_Input'!$K$64)-'01_Input'!$J$64,0)*'01_Input'!$M$64))+IF('01_Input'!$P$64="Forfait",IF(AB$15&gt;='01_Input'!$N$64,'01_Input'!$Q$64,0),IF('01_Input'!$P$64="Palier",IF(AND(AB$15&gt;='01_Input'!$N$64,AB$15&lt;'01_Input'!$O$64),'01_Input'!$Q$64,0),MAX(MIN(AB$15,'01_Input'!$O$64)-'01_Input'!$N$64,0)*'01_Input'!$Q$64))+IF('01_Input'!$T$64="Forfait",IF(AB$15&gt;='01_Input'!$R$64,'01_Input'!$U$64,0),IF('01_Input'!$T$64="Palier",IF(AND(AB$15&gt;='01_Input'!$R$64,AB$15&lt;'01_Input'!$S$64),'01_Input'!$U$64,0),MAX(MIN(AB$15,'01_Input'!$S$64)-'01_Input'!$R$64,0)*'01_Input'!$U$64))+IF('01_Input'!$X$64="Forfait",IF(AB$15&gt;='01_Input'!$V$64,'01_Input'!$Y$64,0),IF('01_Input'!$X$64="Palier",IF(AND(AB$15&gt;='01_Input'!$V$64,AB$15&lt;'01_Input'!$W$64),'01_Input'!$Y$64,0),MAX(MIN(AB$15,'01_Input'!$W$64)-'01_Input'!$V$64,0)*'01_Input'!$Y$64))+IF('01_Input'!$AB$64="Forfait",IF(AB$15&gt;='01_Input'!$Z$64,'01_Input'!$AC$64,0),IF('01_Input'!$AB$64="Palier",IF(AND(AB$15&gt;='01_Input'!$Z$64,AB$15&lt;'01_Input'!$AA$64),'01_Input'!$AC$64,0),MAX(MIN(AB$15,'01_Input'!$AA$64)-'01_Input'!$Z$64,0)*'01_Input'!$AC$64))))))))))</f>
        <v/>
      </c>
      <c r="AC55" s="83" t="str">
        <f>IF(AC$15="","",IF('01_Input'!$C$64="Non",0,MIN('01_Input'!$I$64,MAX('01_Input'!$H$64,IF('01_Input'!$G$64="Résiduel vs Gestion",0,IF('01_Input'!$G$64="Taux Classe sélectionnée",Distrib_Global_Classe_Selectionnee*AC$15,IF('01_Input'!$G$64="Frais KYC (paliers de 100M€)",MAX(0,Nb_Investisseurs-Nb_KYC_Gratuites_Par_Tranche*(FLOOR(AC$15/Taille_Tranche_KYC,1)+1))*Cout_Par_KYC_Supplementaire,(IF('01_Input'!$L$64="Forfait",IF(AC$15&gt;='01_Input'!$J$64,'01_Input'!$M$64,0),IF('01_Input'!$L$64="Palier",IF(AND(AC$15&gt;='01_Input'!$J$64,AC$15&lt;'01_Input'!$K$64),'01_Input'!$M$64,0),MAX(MIN(AC$15,'01_Input'!$K$64)-'01_Input'!$J$64,0)*'01_Input'!$M$64))+IF('01_Input'!$P$64="Forfait",IF(AC$15&gt;='01_Input'!$N$64,'01_Input'!$Q$64,0),IF('01_Input'!$P$64="Palier",IF(AND(AC$15&gt;='01_Input'!$N$64,AC$15&lt;'01_Input'!$O$64),'01_Input'!$Q$64,0),MAX(MIN(AC$15,'01_Input'!$O$64)-'01_Input'!$N$64,0)*'01_Input'!$Q$64))+IF('01_Input'!$T$64="Forfait",IF(AC$15&gt;='01_Input'!$R$64,'01_Input'!$U$64,0),IF('01_Input'!$T$64="Palier",IF(AND(AC$15&gt;='01_Input'!$R$64,AC$15&lt;'01_Input'!$S$64),'01_Input'!$U$64,0),MAX(MIN(AC$15,'01_Input'!$S$64)-'01_Input'!$R$64,0)*'01_Input'!$U$64))+IF('01_Input'!$X$64="Forfait",IF(AC$15&gt;='01_Input'!$V$64,'01_Input'!$Y$64,0),IF('01_Input'!$X$64="Palier",IF(AND(AC$15&gt;='01_Input'!$V$64,AC$15&lt;'01_Input'!$W$64),'01_Input'!$Y$64,0),MAX(MIN(AC$15,'01_Input'!$W$64)-'01_Input'!$V$64,0)*'01_Input'!$Y$64))+IF('01_Input'!$AB$64="Forfait",IF(AC$15&gt;='01_Input'!$Z$64,'01_Input'!$AC$64,0),IF('01_Input'!$AB$64="Palier",IF(AND(AC$15&gt;='01_Input'!$Z$64,AC$15&lt;'01_Input'!$AA$64),'01_Input'!$AC$64,0),MAX(MIN(AC$15,'01_Input'!$AA$64)-'01_Input'!$Z$64,0)*'01_Input'!$AC$64))))))))))</f>
        <v/>
      </c>
      <c r="AD55" s="83" t="str">
        <f>IF(AD$15="","",IF('01_Input'!$C$64="Non",0,MIN('01_Input'!$I$64,MAX('01_Input'!$H$64,IF('01_Input'!$G$64="Résiduel vs Gestion",0,IF('01_Input'!$G$64="Taux Classe sélectionnée",Distrib_Global_Classe_Selectionnee*AD$15,IF('01_Input'!$G$64="Frais KYC (paliers de 100M€)",MAX(0,Nb_Investisseurs-Nb_KYC_Gratuites_Par_Tranche*(FLOOR(AD$15/Taille_Tranche_KYC,1)+1))*Cout_Par_KYC_Supplementaire,(IF('01_Input'!$L$64="Forfait",IF(AD$15&gt;='01_Input'!$J$64,'01_Input'!$M$64,0),IF('01_Input'!$L$64="Palier",IF(AND(AD$15&gt;='01_Input'!$J$64,AD$15&lt;'01_Input'!$K$64),'01_Input'!$M$64,0),MAX(MIN(AD$15,'01_Input'!$K$64)-'01_Input'!$J$64,0)*'01_Input'!$M$64))+IF('01_Input'!$P$64="Forfait",IF(AD$15&gt;='01_Input'!$N$64,'01_Input'!$Q$64,0),IF('01_Input'!$P$64="Palier",IF(AND(AD$15&gt;='01_Input'!$N$64,AD$15&lt;'01_Input'!$O$64),'01_Input'!$Q$64,0),MAX(MIN(AD$15,'01_Input'!$O$64)-'01_Input'!$N$64,0)*'01_Input'!$Q$64))+IF('01_Input'!$T$64="Forfait",IF(AD$15&gt;='01_Input'!$R$64,'01_Input'!$U$64,0),IF('01_Input'!$T$64="Palier",IF(AND(AD$15&gt;='01_Input'!$R$64,AD$15&lt;'01_Input'!$S$64),'01_Input'!$U$64,0),MAX(MIN(AD$15,'01_Input'!$S$64)-'01_Input'!$R$64,0)*'01_Input'!$U$64))+IF('01_Input'!$X$64="Forfait",IF(AD$15&gt;='01_Input'!$V$64,'01_Input'!$Y$64,0),IF('01_Input'!$X$64="Palier",IF(AND(AD$15&gt;='01_Input'!$V$64,AD$15&lt;'01_Input'!$W$64),'01_Input'!$Y$64,0),MAX(MIN(AD$15,'01_Input'!$W$64)-'01_Input'!$V$64,0)*'01_Input'!$Y$64))+IF('01_Input'!$AB$64="Forfait",IF(AD$15&gt;='01_Input'!$Z$64,'01_Input'!$AC$64,0),IF('01_Input'!$AB$64="Palier",IF(AND(AD$15&gt;='01_Input'!$Z$64,AD$15&lt;'01_Input'!$AA$64),'01_Input'!$AC$64,0),MAX(MIN(AD$15,'01_Input'!$AA$64)-'01_Input'!$Z$64,0)*'01_Input'!$AC$64))))))))))</f>
        <v/>
      </c>
      <c r="AE55" s="83" t="str">
        <f>IF(AE$15="","",IF('01_Input'!$C$64="Non",0,MIN('01_Input'!$I$64,MAX('01_Input'!$H$64,IF('01_Input'!$G$64="Résiduel vs Gestion",0,IF('01_Input'!$G$64="Taux Classe sélectionnée",Distrib_Global_Classe_Selectionnee*AE$15,IF('01_Input'!$G$64="Frais KYC (paliers de 100M€)",MAX(0,Nb_Investisseurs-Nb_KYC_Gratuites_Par_Tranche*(FLOOR(AE$15/Taille_Tranche_KYC,1)+1))*Cout_Par_KYC_Supplementaire,(IF('01_Input'!$L$64="Forfait",IF(AE$15&gt;='01_Input'!$J$64,'01_Input'!$M$64,0),IF('01_Input'!$L$64="Palier",IF(AND(AE$15&gt;='01_Input'!$J$64,AE$15&lt;'01_Input'!$K$64),'01_Input'!$M$64,0),MAX(MIN(AE$15,'01_Input'!$K$64)-'01_Input'!$J$64,0)*'01_Input'!$M$64))+IF('01_Input'!$P$64="Forfait",IF(AE$15&gt;='01_Input'!$N$64,'01_Input'!$Q$64,0),IF('01_Input'!$P$64="Palier",IF(AND(AE$15&gt;='01_Input'!$N$64,AE$15&lt;'01_Input'!$O$64),'01_Input'!$Q$64,0),MAX(MIN(AE$15,'01_Input'!$O$64)-'01_Input'!$N$64,0)*'01_Input'!$Q$64))+IF('01_Input'!$T$64="Forfait",IF(AE$15&gt;='01_Input'!$R$64,'01_Input'!$U$64,0),IF('01_Input'!$T$64="Palier",IF(AND(AE$15&gt;='01_Input'!$R$64,AE$15&lt;'01_Input'!$S$64),'01_Input'!$U$64,0),MAX(MIN(AE$15,'01_Input'!$S$64)-'01_Input'!$R$64,0)*'01_Input'!$U$64))+IF('01_Input'!$X$64="Forfait",IF(AE$15&gt;='01_Input'!$V$64,'01_Input'!$Y$64,0),IF('01_Input'!$X$64="Palier",IF(AND(AE$15&gt;='01_Input'!$V$64,AE$15&lt;'01_Input'!$W$64),'01_Input'!$Y$64,0),MAX(MIN(AE$15,'01_Input'!$W$64)-'01_Input'!$V$64,0)*'01_Input'!$Y$64))+IF('01_Input'!$AB$64="Forfait",IF(AE$15&gt;='01_Input'!$Z$64,'01_Input'!$AC$64,0),IF('01_Input'!$AB$64="Palier",IF(AND(AE$15&gt;='01_Input'!$Z$64,AE$15&lt;'01_Input'!$AA$64),'01_Input'!$AC$64,0),MAX(MIN(AE$15,'01_Input'!$AA$64)-'01_Input'!$Z$64,0)*'01_Input'!$AC$64))))))))))</f>
        <v/>
      </c>
      <c r="AF55" s="83" t="str">
        <f>IF(AF$15="","",IF('01_Input'!$C$64="Non",0,MIN('01_Input'!$I$64,MAX('01_Input'!$H$64,IF('01_Input'!$G$64="Résiduel vs Gestion",0,IF('01_Input'!$G$64="Taux Classe sélectionnée",Distrib_Global_Classe_Selectionnee*AF$15,IF('01_Input'!$G$64="Frais KYC (paliers de 100M€)",MAX(0,Nb_Investisseurs-Nb_KYC_Gratuites_Par_Tranche*(FLOOR(AF$15/Taille_Tranche_KYC,1)+1))*Cout_Par_KYC_Supplementaire,(IF('01_Input'!$L$64="Forfait",IF(AF$15&gt;='01_Input'!$J$64,'01_Input'!$M$64,0),IF('01_Input'!$L$64="Palier",IF(AND(AF$15&gt;='01_Input'!$J$64,AF$15&lt;'01_Input'!$K$64),'01_Input'!$M$64,0),MAX(MIN(AF$15,'01_Input'!$K$64)-'01_Input'!$J$64,0)*'01_Input'!$M$64))+IF('01_Input'!$P$64="Forfait",IF(AF$15&gt;='01_Input'!$N$64,'01_Input'!$Q$64,0),IF('01_Input'!$P$64="Palier",IF(AND(AF$15&gt;='01_Input'!$N$64,AF$15&lt;'01_Input'!$O$64),'01_Input'!$Q$64,0),MAX(MIN(AF$15,'01_Input'!$O$64)-'01_Input'!$N$64,0)*'01_Input'!$Q$64))+IF('01_Input'!$T$64="Forfait",IF(AF$15&gt;='01_Input'!$R$64,'01_Input'!$U$64,0),IF('01_Input'!$T$64="Palier",IF(AND(AF$15&gt;='01_Input'!$R$64,AF$15&lt;'01_Input'!$S$64),'01_Input'!$U$64,0),MAX(MIN(AF$15,'01_Input'!$S$64)-'01_Input'!$R$64,0)*'01_Input'!$U$64))+IF('01_Input'!$X$64="Forfait",IF(AF$15&gt;='01_Input'!$V$64,'01_Input'!$Y$64,0),IF('01_Input'!$X$64="Palier",IF(AND(AF$15&gt;='01_Input'!$V$64,AF$15&lt;'01_Input'!$W$64),'01_Input'!$Y$64,0),MAX(MIN(AF$15,'01_Input'!$W$64)-'01_Input'!$V$64,0)*'01_Input'!$Y$64))+IF('01_Input'!$AB$64="Forfait",IF(AF$15&gt;='01_Input'!$Z$64,'01_Input'!$AC$64,0),IF('01_Input'!$AB$64="Palier",IF(AND(AF$15&gt;='01_Input'!$Z$64,AF$15&lt;'01_Input'!$AA$64),'01_Input'!$AC$64,0),MAX(MIN(AF$15,'01_Input'!$AA$64)-'01_Input'!$Z$64,0)*'01_Input'!$AC$64))))))))))</f>
        <v/>
      </c>
      <c r="AG55" s="83" t="str">
        <f>IF(AG$15="","",IF('01_Input'!$C$64="Non",0,MIN('01_Input'!$I$64,MAX('01_Input'!$H$64,IF('01_Input'!$G$64="Résiduel vs Gestion",0,IF('01_Input'!$G$64="Taux Classe sélectionnée",Distrib_Global_Classe_Selectionnee*AG$15,IF('01_Input'!$G$64="Frais KYC (paliers de 100M€)",MAX(0,Nb_Investisseurs-Nb_KYC_Gratuites_Par_Tranche*(FLOOR(AG$15/Taille_Tranche_KYC,1)+1))*Cout_Par_KYC_Supplementaire,(IF('01_Input'!$L$64="Forfait",IF(AG$15&gt;='01_Input'!$J$64,'01_Input'!$M$64,0),IF('01_Input'!$L$64="Palier",IF(AND(AG$15&gt;='01_Input'!$J$64,AG$15&lt;'01_Input'!$K$64),'01_Input'!$M$64,0),MAX(MIN(AG$15,'01_Input'!$K$64)-'01_Input'!$J$64,0)*'01_Input'!$M$64))+IF('01_Input'!$P$64="Forfait",IF(AG$15&gt;='01_Input'!$N$64,'01_Input'!$Q$64,0),IF('01_Input'!$P$64="Palier",IF(AND(AG$15&gt;='01_Input'!$N$64,AG$15&lt;'01_Input'!$O$64),'01_Input'!$Q$64,0),MAX(MIN(AG$15,'01_Input'!$O$64)-'01_Input'!$N$64,0)*'01_Input'!$Q$64))+IF('01_Input'!$T$64="Forfait",IF(AG$15&gt;='01_Input'!$R$64,'01_Input'!$U$64,0),IF('01_Input'!$T$64="Palier",IF(AND(AG$15&gt;='01_Input'!$R$64,AG$15&lt;'01_Input'!$S$64),'01_Input'!$U$64,0),MAX(MIN(AG$15,'01_Input'!$S$64)-'01_Input'!$R$64,0)*'01_Input'!$U$64))+IF('01_Input'!$X$64="Forfait",IF(AG$15&gt;='01_Input'!$V$64,'01_Input'!$Y$64,0),IF('01_Input'!$X$64="Palier",IF(AND(AG$15&gt;='01_Input'!$V$64,AG$15&lt;'01_Input'!$W$64),'01_Input'!$Y$64,0),MAX(MIN(AG$15,'01_Input'!$W$64)-'01_Input'!$V$64,0)*'01_Input'!$Y$64))+IF('01_Input'!$AB$64="Forfait",IF(AG$15&gt;='01_Input'!$Z$64,'01_Input'!$AC$64,0),IF('01_Input'!$AB$64="Palier",IF(AND(AG$15&gt;='01_Input'!$Z$64,AG$15&lt;'01_Input'!$AA$64),'01_Input'!$AC$64,0),MAX(MIN(AG$15,'01_Input'!$AA$64)-'01_Input'!$Z$64,0)*'01_Input'!$AC$64))))))))))</f>
        <v/>
      </c>
      <c r="AH55" s="83" t="str">
        <f>IF(AH$15="","",IF('01_Input'!$C$64="Non",0,MIN('01_Input'!$I$64,MAX('01_Input'!$H$64,IF('01_Input'!$G$64="Résiduel vs Gestion",0,IF('01_Input'!$G$64="Taux Classe sélectionnée",Distrib_Global_Classe_Selectionnee*AH$15,IF('01_Input'!$G$64="Frais KYC (paliers de 100M€)",MAX(0,Nb_Investisseurs-Nb_KYC_Gratuites_Par_Tranche*(FLOOR(AH$15/Taille_Tranche_KYC,1)+1))*Cout_Par_KYC_Supplementaire,(IF('01_Input'!$L$64="Forfait",IF(AH$15&gt;='01_Input'!$J$64,'01_Input'!$M$64,0),IF('01_Input'!$L$64="Palier",IF(AND(AH$15&gt;='01_Input'!$J$64,AH$15&lt;'01_Input'!$K$64),'01_Input'!$M$64,0),MAX(MIN(AH$15,'01_Input'!$K$64)-'01_Input'!$J$64,0)*'01_Input'!$M$64))+IF('01_Input'!$P$64="Forfait",IF(AH$15&gt;='01_Input'!$N$64,'01_Input'!$Q$64,0),IF('01_Input'!$P$64="Palier",IF(AND(AH$15&gt;='01_Input'!$N$64,AH$15&lt;'01_Input'!$O$64),'01_Input'!$Q$64,0),MAX(MIN(AH$15,'01_Input'!$O$64)-'01_Input'!$N$64,0)*'01_Input'!$Q$64))+IF('01_Input'!$T$64="Forfait",IF(AH$15&gt;='01_Input'!$R$64,'01_Input'!$U$64,0),IF('01_Input'!$T$64="Palier",IF(AND(AH$15&gt;='01_Input'!$R$64,AH$15&lt;'01_Input'!$S$64),'01_Input'!$U$64,0),MAX(MIN(AH$15,'01_Input'!$S$64)-'01_Input'!$R$64,0)*'01_Input'!$U$64))+IF('01_Input'!$X$64="Forfait",IF(AH$15&gt;='01_Input'!$V$64,'01_Input'!$Y$64,0),IF('01_Input'!$X$64="Palier",IF(AND(AH$15&gt;='01_Input'!$V$64,AH$15&lt;'01_Input'!$W$64),'01_Input'!$Y$64,0),MAX(MIN(AH$15,'01_Input'!$W$64)-'01_Input'!$V$64,0)*'01_Input'!$Y$64))+IF('01_Input'!$AB$64="Forfait",IF(AH$15&gt;='01_Input'!$Z$64,'01_Input'!$AC$64,0),IF('01_Input'!$AB$64="Palier",IF(AND(AH$15&gt;='01_Input'!$Z$64,AH$15&lt;'01_Input'!$AA$64),'01_Input'!$AC$64,0),MAX(MIN(AH$15,'01_Input'!$AA$64)-'01_Input'!$Z$64,0)*'01_Input'!$AC$64))))))))))</f>
        <v/>
      </c>
      <c r="AI55" s="83" t="str">
        <f>IF(AI$15="","",IF('01_Input'!$C$64="Non",0,MIN('01_Input'!$I$64,MAX('01_Input'!$H$64,IF('01_Input'!$G$64="Résiduel vs Gestion",0,IF('01_Input'!$G$64="Taux Classe sélectionnée",Distrib_Global_Classe_Selectionnee*AI$15,IF('01_Input'!$G$64="Frais KYC (paliers de 100M€)",MAX(0,Nb_Investisseurs-Nb_KYC_Gratuites_Par_Tranche*(FLOOR(AI$15/Taille_Tranche_KYC,1)+1))*Cout_Par_KYC_Supplementaire,(IF('01_Input'!$L$64="Forfait",IF(AI$15&gt;='01_Input'!$J$64,'01_Input'!$M$64,0),IF('01_Input'!$L$64="Palier",IF(AND(AI$15&gt;='01_Input'!$J$64,AI$15&lt;'01_Input'!$K$64),'01_Input'!$M$64,0),MAX(MIN(AI$15,'01_Input'!$K$64)-'01_Input'!$J$64,0)*'01_Input'!$M$64))+IF('01_Input'!$P$64="Forfait",IF(AI$15&gt;='01_Input'!$N$64,'01_Input'!$Q$64,0),IF('01_Input'!$P$64="Palier",IF(AND(AI$15&gt;='01_Input'!$N$64,AI$15&lt;'01_Input'!$O$64),'01_Input'!$Q$64,0),MAX(MIN(AI$15,'01_Input'!$O$64)-'01_Input'!$N$64,0)*'01_Input'!$Q$64))+IF('01_Input'!$T$64="Forfait",IF(AI$15&gt;='01_Input'!$R$64,'01_Input'!$U$64,0),IF('01_Input'!$T$64="Palier",IF(AND(AI$15&gt;='01_Input'!$R$64,AI$15&lt;'01_Input'!$S$64),'01_Input'!$U$64,0),MAX(MIN(AI$15,'01_Input'!$S$64)-'01_Input'!$R$64,0)*'01_Input'!$U$64))+IF('01_Input'!$X$64="Forfait",IF(AI$15&gt;='01_Input'!$V$64,'01_Input'!$Y$64,0),IF('01_Input'!$X$64="Palier",IF(AND(AI$15&gt;='01_Input'!$V$64,AI$15&lt;'01_Input'!$W$64),'01_Input'!$Y$64,0),MAX(MIN(AI$15,'01_Input'!$W$64)-'01_Input'!$V$64,0)*'01_Input'!$Y$64))+IF('01_Input'!$AB$64="Forfait",IF(AI$15&gt;='01_Input'!$Z$64,'01_Input'!$AC$64,0),IF('01_Input'!$AB$64="Palier",IF(AND(AI$15&gt;='01_Input'!$Z$64,AI$15&lt;'01_Input'!$AA$64),'01_Input'!$AC$64,0),MAX(MIN(AI$15,'01_Input'!$AA$64)-'01_Input'!$Z$64,0)*'01_Input'!$AC$64))))))))))</f>
        <v/>
      </c>
      <c r="AJ55" s="83" t="str">
        <f>IF(AJ$15="","",IF('01_Input'!$C$64="Non",0,MIN('01_Input'!$I$64,MAX('01_Input'!$H$64,IF('01_Input'!$G$64="Résiduel vs Gestion",0,IF('01_Input'!$G$64="Taux Classe sélectionnée",Distrib_Global_Classe_Selectionnee*AJ$15,IF('01_Input'!$G$64="Frais KYC (paliers de 100M€)",MAX(0,Nb_Investisseurs-Nb_KYC_Gratuites_Par_Tranche*(FLOOR(AJ$15/Taille_Tranche_KYC,1)+1))*Cout_Par_KYC_Supplementaire,(IF('01_Input'!$L$64="Forfait",IF(AJ$15&gt;='01_Input'!$J$64,'01_Input'!$M$64,0),IF('01_Input'!$L$64="Palier",IF(AND(AJ$15&gt;='01_Input'!$J$64,AJ$15&lt;'01_Input'!$K$64),'01_Input'!$M$64,0),MAX(MIN(AJ$15,'01_Input'!$K$64)-'01_Input'!$J$64,0)*'01_Input'!$M$64))+IF('01_Input'!$P$64="Forfait",IF(AJ$15&gt;='01_Input'!$N$64,'01_Input'!$Q$64,0),IF('01_Input'!$P$64="Palier",IF(AND(AJ$15&gt;='01_Input'!$N$64,AJ$15&lt;'01_Input'!$O$64),'01_Input'!$Q$64,0),MAX(MIN(AJ$15,'01_Input'!$O$64)-'01_Input'!$N$64,0)*'01_Input'!$Q$64))+IF('01_Input'!$T$64="Forfait",IF(AJ$15&gt;='01_Input'!$R$64,'01_Input'!$U$64,0),IF('01_Input'!$T$64="Palier",IF(AND(AJ$15&gt;='01_Input'!$R$64,AJ$15&lt;'01_Input'!$S$64),'01_Input'!$U$64,0),MAX(MIN(AJ$15,'01_Input'!$S$64)-'01_Input'!$R$64,0)*'01_Input'!$U$64))+IF('01_Input'!$X$64="Forfait",IF(AJ$15&gt;='01_Input'!$V$64,'01_Input'!$Y$64,0),IF('01_Input'!$X$64="Palier",IF(AND(AJ$15&gt;='01_Input'!$V$64,AJ$15&lt;'01_Input'!$W$64),'01_Input'!$Y$64,0),MAX(MIN(AJ$15,'01_Input'!$W$64)-'01_Input'!$V$64,0)*'01_Input'!$Y$64))+IF('01_Input'!$AB$64="Forfait",IF(AJ$15&gt;='01_Input'!$Z$64,'01_Input'!$AC$64,0),IF('01_Input'!$AB$64="Palier",IF(AND(AJ$15&gt;='01_Input'!$Z$64,AJ$15&lt;'01_Input'!$AA$64),'01_Input'!$AC$64,0),MAX(MIN(AJ$15,'01_Input'!$AA$64)-'01_Input'!$Z$64,0)*'01_Input'!$AC$64))))))))))</f>
        <v/>
      </c>
      <c r="AK55" s="83" t="str">
        <f>IF(AK$15="","",IF('01_Input'!$C$64="Non",0,MIN('01_Input'!$I$64,MAX('01_Input'!$H$64,IF('01_Input'!$G$64="Résiduel vs Gestion",0,IF('01_Input'!$G$64="Taux Classe sélectionnée",Distrib_Global_Classe_Selectionnee*AK$15,IF('01_Input'!$G$64="Frais KYC (paliers de 100M€)",MAX(0,Nb_Investisseurs-Nb_KYC_Gratuites_Par_Tranche*(FLOOR(AK$15/Taille_Tranche_KYC,1)+1))*Cout_Par_KYC_Supplementaire,(IF('01_Input'!$L$64="Forfait",IF(AK$15&gt;='01_Input'!$J$64,'01_Input'!$M$64,0),IF('01_Input'!$L$64="Palier",IF(AND(AK$15&gt;='01_Input'!$J$64,AK$15&lt;'01_Input'!$K$64),'01_Input'!$M$64,0),MAX(MIN(AK$15,'01_Input'!$K$64)-'01_Input'!$J$64,0)*'01_Input'!$M$64))+IF('01_Input'!$P$64="Forfait",IF(AK$15&gt;='01_Input'!$N$64,'01_Input'!$Q$64,0),IF('01_Input'!$P$64="Palier",IF(AND(AK$15&gt;='01_Input'!$N$64,AK$15&lt;'01_Input'!$O$64),'01_Input'!$Q$64,0),MAX(MIN(AK$15,'01_Input'!$O$64)-'01_Input'!$N$64,0)*'01_Input'!$Q$64))+IF('01_Input'!$T$64="Forfait",IF(AK$15&gt;='01_Input'!$R$64,'01_Input'!$U$64,0),IF('01_Input'!$T$64="Palier",IF(AND(AK$15&gt;='01_Input'!$R$64,AK$15&lt;'01_Input'!$S$64),'01_Input'!$U$64,0),MAX(MIN(AK$15,'01_Input'!$S$64)-'01_Input'!$R$64,0)*'01_Input'!$U$64))+IF('01_Input'!$X$64="Forfait",IF(AK$15&gt;='01_Input'!$V$64,'01_Input'!$Y$64,0),IF('01_Input'!$X$64="Palier",IF(AND(AK$15&gt;='01_Input'!$V$64,AK$15&lt;'01_Input'!$W$64),'01_Input'!$Y$64,0),MAX(MIN(AK$15,'01_Input'!$W$64)-'01_Input'!$V$64,0)*'01_Input'!$Y$64))+IF('01_Input'!$AB$64="Forfait",IF(AK$15&gt;='01_Input'!$Z$64,'01_Input'!$AC$64,0),IF('01_Input'!$AB$64="Palier",IF(AND(AK$15&gt;='01_Input'!$Z$64,AK$15&lt;'01_Input'!$AA$64),'01_Input'!$AC$64,0),MAX(MIN(AK$15,'01_Input'!$AA$64)-'01_Input'!$Z$64,0)*'01_Input'!$AC$64))))))))))</f>
        <v/>
      </c>
      <c r="AL55" s="83" t="str">
        <f>IF(AL$15="","",IF('01_Input'!$C$64="Non",0,MIN('01_Input'!$I$64,MAX('01_Input'!$H$64,IF('01_Input'!$G$64="Résiduel vs Gestion",0,IF('01_Input'!$G$64="Taux Classe sélectionnée",Distrib_Global_Classe_Selectionnee*AL$15,IF('01_Input'!$G$64="Frais KYC (paliers de 100M€)",MAX(0,Nb_Investisseurs-Nb_KYC_Gratuites_Par_Tranche*(FLOOR(AL$15/Taille_Tranche_KYC,1)+1))*Cout_Par_KYC_Supplementaire,(IF('01_Input'!$L$64="Forfait",IF(AL$15&gt;='01_Input'!$J$64,'01_Input'!$M$64,0),IF('01_Input'!$L$64="Palier",IF(AND(AL$15&gt;='01_Input'!$J$64,AL$15&lt;'01_Input'!$K$64),'01_Input'!$M$64,0),MAX(MIN(AL$15,'01_Input'!$K$64)-'01_Input'!$J$64,0)*'01_Input'!$M$64))+IF('01_Input'!$P$64="Forfait",IF(AL$15&gt;='01_Input'!$N$64,'01_Input'!$Q$64,0),IF('01_Input'!$P$64="Palier",IF(AND(AL$15&gt;='01_Input'!$N$64,AL$15&lt;'01_Input'!$O$64),'01_Input'!$Q$64,0),MAX(MIN(AL$15,'01_Input'!$O$64)-'01_Input'!$N$64,0)*'01_Input'!$Q$64))+IF('01_Input'!$T$64="Forfait",IF(AL$15&gt;='01_Input'!$R$64,'01_Input'!$U$64,0),IF('01_Input'!$T$64="Palier",IF(AND(AL$15&gt;='01_Input'!$R$64,AL$15&lt;'01_Input'!$S$64),'01_Input'!$U$64,0),MAX(MIN(AL$15,'01_Input'!$S$64)-'01_Input'!$R$64,0)*'01_Input'!$U$64))+IF('01_Input'!$X$64="Forfait",IF(AL$15&gt;='01_Input'!$V$64,'01_Input'!$Y$64,0),IF('01_Input'!$X$64="Palier",IF(AND(AL$15&gt;='01_Input'!$V$64,AL$15&lt;'01_Input'!$W$64),'01_Input'!$Y$64,0),MAX(MIN(AL$15,'01_Input'!$W$64)-'01_Input'!$V$64,0)*'01_Input'!$Y$64))+IF('01_Input'!$AB$64="Forfait",IF(AL$15&gt;='01_Input'!$Z$64,'01_Input'!$AC$64,0),IF('01_Input'!$AB$64="Palier",IF(AND(AL$15&gt;='01_Input'!$Z$64,AL$15&lt;'01_Input'!$AA$64),'01_Input'!$AC$64,0),MAX(MIN(AL$15,'01_Input'!$AA$64)-'01_Input'!$Z$64,0)*'01_Input'!$AC$64))))))))))</f>
        <v/>
      </c>
      <c r="AM55" s="83" t="str">
        <f>IF(AM$15="","",IF('01_Input'!$C$64="Non",0,MIN('01_Input'!$I$64,MAX('01_Input'!$H$64,IF('01_Input'!$G$64="Résiduel vs Gestion",0,IF('01_Input'!$G$64="Taux Classe sélectionnée",Distrib_Global_Classe_Selectionnee*AM$15,IF('01_Input'!$G$64="Frais KYC (paliers de 100M€)",MAX(0,Nb_Investisseurs-Nb_KYC_Gratuites_Par_Tranche*(FLOOR(AM$15/Taille_Tranche_KYC,1)+1))*Cout_Par_KYC_Supplementaire,(IF('01_Input'!$L$64="Forfait",IF(AM$15&gt;='01_Input'!$J$64,'01_Input'!$M$64,0),IF('01_Input'!$L$64="Palier",IF(AND(AM$15&gt;='01_Input'!$J$64,AM$15&lt;'01_Input'!$K$64),'01_Input'!$M$64,0),MAX(MIN(AM$15,'01_Input'!$K$64)-'01_Input'!$J$64,0)*'01_Input'!$M$64))+IF('01_Input'!$P$64="Forfait",IF(AM$15&gt;='01_Input'!$N$64,'01_Input'!$Q$64,0),IF('01_Input'!$P$64="Palier",IF(AND(AM$15&gt;='01_Input'!$N$64,AM$15&lt;'01_Input'!$O$64),'01_Input'!$Q$64,0),MAX(MIN(AM$15,'01_Input'!$O$64)-'01_Input'!$N$64,0)*'01_Input'!$Q$64))+IF('01_Input'!$T$64="Forfait",IF(AM$15&gt;='01_Input'!$R$64,'01_Input'!$U$64,0),IF('01_Input'!$T$64="Palier",IF(AND(AM$15&gt;='01_Input'!$R$64,AM$15&lt;'01_Input'!$S$64),'01_Input'!$U$64,0),MAX(MIN(AM$15,'01_Input'!$S$64)-'01_Input'!$R$64,0)*'01_Input'!$U$64))+IF('01_Input'!$X$64="Forfait",IF(AM$15&gt;='01_Input'!$V$64,'01_Input'!$Y$64,0),IF('01_Input'!$X$64="Palier",IF(AND(AM$15&gt;='01_Input'!$V$64,AM$15&lt;'01_Input'!$W$64),'01_Input'!$Y$64,0),MAX(MIN(AM$15,'01_Input'!$W$64)-'01_Input'!$V$64,0)*'01_Input'!$Y$64))+IF('01_Input'!$AB$64="Forfait",IF(AM$15&gt;='01_Input'!$Z$64,'01_Input'!$AC$64,0),IF('01_Input'!$AB$64="Palier",IF(AND(AM$15&gt;='01_Input'!$Z$64,AM$15&lt;'01_Input'!$AA$64),'01_Input'!$AC$64,0),MAX(MIN(AM$15,'01_Input'!$AA$64)-'01_Input'!$Z$64,0)*'01_Input'!$AC$64))))))))))</f>
        <v/>
      </c>
    </row>
    <row r="56" ht="15.75" customHeight="1">
      <c r="B56" s="40" t="str">
        <f t="shared" si="1"/>
        <v>Frais KYC (au-delà du forfait inclus)</v>
      </c>
      <c r="D56" s="25">
        <f>IF(D$15="","",IF('01_Input'!$C$65="Non",0,MIN('01_Input'!$I$65,MAX('01_Input'!$H$65,IF('01_Input'!$G$65="Résiduel vs Gestion",0,IF('01_Input'!$G$65="Taux Classe sélectionnée",Distrib_Global_Classe_Selectionnee*D$15,IF('01_Input'!$G$65="Frais KYC (paliers de 100M€)",MAX(0,Nb_Investisseurs-Nb_KYC_Gratuites_Par_Tranche*(FLOOR(D$15/Taille_Tranche_KYC,1)+1))*Cout_Par_KYC_Supplementaire,(IF('01_Input'!$L$65="Forfait",IF(D$15&gt;='01_Input'!$J$65,'01_Input'!$M$65,0),IF('01_Input'!$L$65="Palier",IF(AND(D$15&gt;='01_Input'!$J$65,D$15&lt;'01_Input'!$K$65),'01_Input'!$M$65,0),MAX(MIN(D$15,'01_Input'!$K$65)-'01_Input'!$J$65,0)*'01_Input'!$M$65))+IF('01_Input'!$P$65="Forfait",IF(D$15&gt;='01_Input'!$N$65,'01_Input'!$Q$65,0),IF('01_Input'!$P$65="Palier",IF(AND(D$15&gt;='01_Input'!$N$65,D$15&lt;'01_Input'!$O$65),'01_Input'!$Q$65,0),MAX(MIN(D$15,'01_Input'!$O$65)-'01_Input'!$N$65,0)*'01_Input'!$Q$65))+IF('01_Input'!$T$65="Forfait",IF(D$15&gt;='01_Input'!$R$65,'01_Input'!$U$65,0),IF('01_Input'!$T$65="Palier",IF(AND(D$15&gt;='01_Input'!$R$65,D$15&lt;'01_Input'!$S$65),'01_Input'!$U$65,0),MAX(MIN(D$15,'01_Input'!$S$65)-'01_Input'!$R$65,0)*'01_Input'!$U$65))+IF('01_Input'!$X$65="Forfait",IF(D$15&gt;='01_Input'!$V$65,'01_Input'!$Y$65,0),IF('01_Input'!$X$65="Palier",IF(AND(D$15&gt;='01_Input'!$V$65,D$15&lt;'01_Input'!$W$65),'01_Input'!$Y$65,0),MAX(MIN(D$15,'01_Input'!$W$65)-'01_Input'!$V$65,0)*'01_Input'!$Y$65))+IF('01_Input'!$AB$65="Forfait",IF(D$15&gt;='01_Input'!$Z$65,'01_Input'!$AC$65,0),IF('01_Input'!$AB$65="Palier",IF(AND(D$15&gt;='01_Input'!$Z$65,D$15&lt;'01_Input'!$AA$65),'01_Input'!$AC$65,0),MAX(MIN(D$15,'01_Input'!$AA$65)-'01_Input'!$Z$65,0)*'01_Input'!$AC$65))))))))))</f>
        <v>0</v>
      </c>
      <c r="E56" s="25">
        <f>IF(E$15="","",IF('01_Input'!$C$65="Non",0,MIN('01_Input'!$I$65,MAX('01_Input'!$H$65,IF('01_Input'!$G$65="Résiduel vs Gestion",0,IF('01_Input'!$G$65="Taux Classe sélectionnée",Distrib_Global_Classe_Selectionnee*E$15,IF('01_Input'!$G$65="Frais KYC (paliers de 100M€)",MAX(0,Nb_Investisseurs-Nb_KYC_Gratuites_Par_Tranche*(FLOOR(E$15/Taille_Tranche_KYC,1)+1))*Cout_Par_KYC_Supplementaire,(IF('01_Input'!$L$65="Forfait",IF(E$15&gt;='01_Input'!$J$65,'01_Input'!$M$65,0),IF('01_Input'!$L$65="Palier",IF(AND(E$15&gt;='01_Input'!$J$65,E$15&lt;'01_Input'!$K$65),'01_Input'!$M$65,0),MAX(MIN(E$15,'01_Input'!$K$65)-'01_Input'!$J$65,0)*'01_Input'!$M$65))+IF('01_Input'!$P$65="Forfait",IF(E$15&gt;='01_Input'!$N$65,'01_Input'!$Q$65,0),IF('01_Input'!$P$65="Palier",IF(AND(E$15&gt;='01_Input'!$N$65,E$15&lt;'01_Input'!$O$65),'01_Input'!$Q$65,0),MAX(MIN(E$15,'01_Input'!$O$65)-'01_Input'!$N$65,0)*'01_Input'!$Q$65))+IF('01_Input'!$T$65="Forfait",IF(E$15&gt;='01_Input'!$R$65,'01_Input'!$U$65,0),IF('01_Input'!$T$65="Palier",IF(AND(E$15&gt;='01_Input'!$R$65,E$15&lt;'01_Input'!$S$65),'01_Input'!$U$65,0),MAX(MIN(E$15,'01_Input'!$S$65)-'01_Input'!$R$65,0)*'01_Input'!$U$65))+IF('01_Input'!$X$65="Forfait",IF(E$15&gt;='01_Input'!$V$65,'01_Input'!$Y$65,0),IF('01_Input'!$X$65="Palier",IF(AND(E$15&gt;='01_Input'!$V$65,E$15&lt;'01_Input'!$W$65),'01_Input'!$Y$65,0),MAX(MIN(E$15,'01_Input'!$W$65)-'01_Input'!$V$65,0)*'01_Input'!$Y$65))+IF('01_Input'!$AB$65="Forfait",IF(E$15&gt;='01_Input'!$Z$65,'01_Input'!$AC$65,0),IF('01_Input'!$AB$65="Palier",IF(AND(E$15&gt;='01_Input'!$Z$65,E$15&lt;'01_Input'!$AA$65),'01_Input'!$AC$65,0),MAX(MIN(E$15,'01_Input'!$AA$65)-'01_Input'!$Z$65,0)*'01_Input'!$AC$65))))))))))</f>
        <v>0</v>
      </c>
      <c r="F56" s="25" t="str">
        <f>IF(F$15="","",IF('01_Input'!$C$65="Non",0,MIN('01_Input'!$I$65,MAX('01_Input'!$H$65,IF('01_Input'!$G$65="Résiduel vs Gestion",0,IF('01_Input'!$G$65="Taux Classe sélectionnée",Distrib_Global_Classe_Selectionnee*F$15,IF('01_Input'!$G$65="Frais KYC (paliers de 100M€)",MAX(0,Nb_Investisseurs-Nb_KYC_Gratuites_Par_Tranche*(FLOOR(F$15/Taille_Tranche_KYC,1)+1))*Cout_Par_KYC_Supplementaire,(IF('01_Input'!$L$65="Forfait",IF(F$15&gt;='01_Input'!$J$65,'01_Input'!$M$65,0),IF('01_Input'!$L$65="Palier",IF(AND(F$15&gt;='01_Input'!$J$65,F$15&lt;'01_Input'!$K$65),'01_Input'!$M$65,0),MAX(MIN(F$15,'01_Input'!$K$65)-'01_Input'!$J$65,0)*'01_Input'!$M$65))+IF('01_Input'!$P$65="Forfait",IF(F$15&gt;='01_Input'!$N$65,'01_Input'!$Q$65,0),IF('01_Input'!$P$65="Palier",IF(AND(F$15&gt;='01_Input'!$N$65,F$15&lt;'01_Input'!$O$65),'01_Input'!$Q$65,0),MAX(MIN(F$15,'01_Input'!$O$65)-'01_Input'!$N$65,0)*'01_Input'!$Q$65))+IF('01_Input'!$T$65="Forfait",IF(F$15&gt;='01_Input'!$R$65,'01_Input'!$U$65,0),IF('01_Input'!$T$65="Palier",IF(AND(F$15&gt;='01_Input'!$R$65,F$15&lt;'01_Input'!$S$65),'01_Input'!$U$65,0),MAX(MIN(F$15,'01_Input'!$S$65)-'01_Input'!$R$65,0)*'01_Input'!$U$65))+IF('01_Input'!$X$65="Forfait",IF(F$15&gt;='01_Input'!$V$65,'01_Input'!$Y$65,0),IF('01_Input'!$X$65="Palier",IF(AND(F$15&gt;='01_Input'!$V$65,F$15&lt;'01_Input'!$W$65),'01_Input'!$Y$65,0),MAX(MIN(F$15,'01_Input'!$W$65)-'01_Input'!$V$65,0)*'01_Input'!$Y$65))+IF('01_Input'!$AB$65="Forfait",IF(F$15&gt;='01_Input'!$Z$65,'01_Input'!$AC$65,0),IF('01_Input'!$AB$65="Palier",IF(AND(F$15&gt;='01_Input'!$Z$65,F$15&lt;'01_Input'!$AA$65),'01_Input'!$AC$65,0),MAX(MIN(F$15,'01_Input'!$AA$65)-'01_Input'!$Z$65,0)*'01_Input'!$AC$65))))))))))</f>
        <v/>
      </c>
      <c r="G56" s="25" t="str">
        <f>IF(G$15="","",IF('01_Input'!$C$65="Non",0,MIN('01_Input'!$I$65,MAX('01_Input'!$H$65,IF('01_Input'!$G$65="Résiduel vs Gestion",0,IF('01_Input'!$G$65="Taux Classe sélectionnée",Distrib_Global_Classe_Selectionnee*G$15,IF('01_Input'!$G$65="Frais KYC (paliers de 100M€)",MAX(0,Nb_Investisseurs-Nb_KYC_Gratuites_Par_Tranche*(FLOOR(G$15/Taille_Tranche_KYC,1)+1))*Cout_Par_KYC_Supplementaire,(IF('01_Input'!$L$65="Forfait",IF(G$15&gt;='01_Input'!$J$65,'01_Input'!$M$65,0),IF('01_Input'!$L$65="Palier",IF(AND(G$15&gt;='01_Input'!$J$65,G$15&lt;'01_Input'!$K$65),'01_Input'!$M$65,0),MAX(MIN(G$15,'01_Input'!$K$65)-'01_Input'!$J$65,0)*'01_Input'!$M$65))+IF('01_Input'!$P$65="Forfait",IF(G$15&gt;='01_Input'!$N$65,'01_Input'!$Q$65,0),IF('01_Input'!$P$65="Palier",IF(AND(G$15&gt;='01_Input'!$N$65,G$15&lt;'01_Input'!$O$65),'01_Input'!$Q$65,0),MAX(MIN(G$15,'01_Input'!$O$65)-'01_Input'!$N$65,0)*'01_Input'!$Q$65))+IF('01_Input'!$T$65="Forfait",IF(G$15&gt;='01_Input'!$R$65,'01_Input'!$U$65,0),IF('01_Input'!$T$65="Palier",IF(AND(G$15&gt;='01_Input'!$R$65,G$15&lt;'01_Input'!$S$65),'01_Input'!$U$65,0),MAX(MIN(G$15,'01_Input'!$S$65)-'01_Input'!$R$65,0)*'01_Input'!$U$65))+IF('01_Input'!$X$65="Forfait",IF(G$15&gt;='01_Input'!$V$65,'01_Input'!$Y$65,0),IF('01_Input'!$X$65="Palier",IF(AND(G$15&gt;='01_Input'!$V$65,G$15&lt;'01_Input'!$W$65),'01_Input'!$Y$65,0),MAX(MIN(G$15,'01_Input'!$W$65)-'01_Input'!$V$65,0)*'01_Input'!$Y$65))+IF('01_Input'!$AB$65="Forfait",IF(G$15&gt;='01_Input'!$Z$65,'01_Input'!$AC$65,0),IF('01_Input'!$AB$65="Palier",IF(AND(G$15&gt;='01_Input'!$Z$65,G$15&lt;'01_Input'!$AA$65),'01_Input'!$AC$65,0),MAX(MIN(G$15,'01_Input'!$AA$65)-'01_Input'!$Z$65,0)*'01_Input'!$AC$65))))))))))</f>
        <v/>
      </c>
      <c r="H56" s="25" t="str">
        <f>IF(H$15="","",IF('01_Input'!$C$65="Non",0,MIN('01_Input'!$I$65,MAX('01_Input'!$H$65,IF('01_Input'!$G$65="Résiduel vs Gestion",0,IF('01_Input'!$G$65="Taux Classe sélectionnée",Distrib_Global_Classe_Selectionnee*H$15,IF('01_Input'!$G$65="Frais KYC (paliers de 100M€)",MAX(0,Nb_Investisseurs-Nb_KYC_Gratuites_Par_Tranche*(FLOOR(H$15/Taille_Tranche_KYC,1)+1))*Cout_Par_KYC_Supplementaire,(IF('01_Input'!$L$65="Forfait",IF(H$15&gt;='01_Input'!$J$65,'01_Input'!$M$65,0),IF('01_Input'!$L$65="Palier",IF(AND(H$15&gt;='01_Input'!$J$65,H$15&lt;'01_Input'!$K$65),'01_Input'!$M$65,0),MAX(MIN(H$15,'01_Input'!$K$65)-'01_Input'!$J$65,0)*'01_Input'!$M$65))+IF('01_Input'!$P$65="Forfait",IF(H$15&gt;='01_Input'!$N$65,'01_Input'!$Q$65,0),IF('01_Input'!$P$65="Palier",IF(AND(H$15&gt;='01_Input'!$N$65,H$15&lt;'01_Input'!$O$65),'01_Input'!$Q$65,0),MAX(MIN(H$15,'01_Input'!$O$65)-'01_Input'!$N$65,0)*'01_Input'!$Q$65))+IF('01_Input'!$T$65="Forfait",IF(H$15&gt;='01_Input'!$R$65,'01_Input'!$U$65,0),IF('01_Input'!$T$65="Palier",IF(AND(H$15&gt;='01_Input'!$R$65,H$15&lt;'01_Input'!$S$65),'01_Input'!$U$65,0),MAX(MIN(H$15,'01_Input'!$S$65)-'01_Input'!$R$65,0)*'01_Input'!$U$65))+IF('01_Input'!$X$65="Forfait",IF(H$15&gt;='01_Input'!$V$65,'01_Input'!$Y$65,0),IF('01_Input'!$X$65="Palier",IF(AND(H$15&gt;='01_Input'!$V$65,H$15&lt;'01_Input'!$W$65),'01_Input'!$Y$65,0),MAX(MIN(H$15,'01_Input'!$W$65)-'01_Input'!$V$65,0)*'01_Input'!$Y$65))+IF('01_Input'!$AB$65="Forfait",IF(H$15&gt;='01_Input'!$Z$65,'01_Input'!$AC$65,0),IF('01_Input'!$AB$65="Palier",IF(AND(H$15&gt;='01_Input'!$Z$65,H$15&lt;'01_Input'!$AA$65),'01_Input'!$AC$65,0),MAX(MIN(H$15,'01_Input'!$AA$65)-'01_Input'!$Z$65,0)*'01_Input'!$AC$65))))))))))</f>
        <v/>
      </c>
      <c r="I56" s="25" t="str">
        <f>IF(I$15="","",IF('01_Input'!$C$65="Non",0,MIN('01_Input'!$I$65,MAX('01_Input'!$H$65,IF('01_Input'!$G$65="Résiduel vs Gestion",0,IF('01_Input'!$G$65="Taux Classe sélectionnée",Distrib_Global_Classe_Selectionnee*I$15,IF('01_Input'!$G$65="Frais KYC (paliers de 100M€)",MAX(0,Nb_Investisseurs-Nb_KYC_Gratuites_Par_Tranche*(FLOOR(I$15/Taille_Tranche_KYC,1)+1))*Cout_Par_KYC_Supplementaire,(IF('01_Input'!$L$65="Forfait",IF(I$15&gt;='01_Input'!$J$65,'01_Input'!$M$65,0),IF('01_Input'!$L$65="Palier",IF(AND(I$15&gt;='01_Input'!$J$65,I$15&lt;'01_Input'!$K$65),'01_Input'!$M$65,0),MAX(MIN(I$15,'01_Input'!$K$65)-'01_Input'!$J$65,0)*'01_Input'!$M$65))+IF('01_Input'!$P$65="Forfait",IF(I$15&gt;='01_Input'!$N$65,'01_Input'!$Q$65,0),IF('01_Input'!$P$65="Palier",IF(AND(I$15&gt;='01_Input'!$N$65,I$15&lt;'01_Input'!$O$65),'01_Input'!$Q$65,0),MAX(MIN(I$15,'01_Input'!$O$65)-'01_Input'!$N$65,0)*'01_Input'!$Q$65))+IF('01_Input'!$T$65="Forfait",IF(I$15&gt;='01_Input'!$R$65,'01_Input'!$U$65,0),IF('01_Input'!$T$65="Palier",IF(AND(I$15&gt;='01_Input'!$R$65,I$15&lt;'01_Input'!$S$65),'01_Input'!$U$65,0),MAX(MIN(I$15,'01_Input'!$S$65)-'01_Input'!$R$65,0)*'01_Input'!$U$65))+IF('01_Input'!$X$65="Forfait",IF(I$15&gt;='01_Input'!$V$65,'01_Input'!$Y$65,0),IF('01_Input'!$X$65="Palier",IF(AND(I$15&gt;='01_Input'!$V$65,I$15&lt;'01_Input'!$W$65),'01_Input'!$Y$65,0),MAX(MIN(I$15,'01_Input'!$W$65)-'01_Input'!$V$65,0)*'01_Input'!$Y$65))+IF('01_Input'!$AB$65="Forfait",IF(I$15&gt;='01_Input'!$Z$65,'01_Input'!$AC$65,0),IF('01_Input'!$AB$65="Palier",IF(AND(I$15&gt;='01_Input'!$Z$65,I$15&lt;'01_Input'!$AA$65),'01_Input'!$AC$65,0),MAX(MIN(I$15,'01_Input'!$AA$65)-'01_Input'!$Z$65,0)*'01_Input'!$AC$65))))))))))</f>
        <v/>
      </c>
      <c r="J56" s="25" t="str">
        <f>IF(J$15="","",IF('01_Input'!$C$65="Non",0,MIN('01_Input'!$I$65,MAX('01_Input'!$H$65,IF('01_Input'!$G$65="Résiduel vs Gestion",0,IF('01_Input'!$G$65="Taux Classe sélectionnée",Distrib_Global_Classe_Selectionnee*J$15,IF('01_Input'!$G$65="Frais KYC (paliers de 100M€)",MAX(0,Nb_Investisseurs-Nb_KYC_Gratuites_Par_Tranche*(FLOOR(J$15/Taille_Tranche_KYC,1)+1))*Cout_Par_KYC_Supplementaire,(IF('01_Input'!$L$65="Forfait",IF(J$15&gt;='01_Input'!$J$65,'01_Input'!$M$65,0),IF('01_Input'!$L$65="Palier",IF(AND(J$15&gt;='01_Input'!$J$65,J$15&lt;'01_Input'!$K$65),'01_Input'!$M$65,0),MAX(MIN(J$15,'01_Input'!$K$65)-'01_Input'!$J$65,0)*'01_Input'!$M$65))+IF('01_Input'!$P$65="Forfait",IF(J$15&gt;='01_Input'!$N$65,'01_Input'!$Q$65,0),IF('01_Input'!$P$65="Palier",IF(AND(J$15&gt;='01_Input'!$N$65,J$15&lt;'01_Input'!$O$65),'01_Input'!$Q$65,0),MAX(MIN(J$15,'01_Input'!$O$65)-'01_Input'!$N$65,0)*'01_Input'!$Q$65))+IF('01_Input'!$T$65="Forfait",IF(J$15&gt;='01_Input'!$R$65,'01_Input'!$U$65,0),IF('01_Input'!$T$65="Palier",IF(AND(J$15&gt;='01_Input'!$R$65,J$15&lt;'01_Input'!$S$65),'01_Input'!$U$65,0),MAX(MIN(J$15,'01_Input'!$S$65)-'01_Input'!$R$65,0)*'01_Input'!$U$65))+IF('01_Input'!$X$65="Forfait",IF(J$15&gt;='01_Input'!$V$65,'01_Input'!$Y$65,0),IF('01_Input'!$X$65="Palier",IF(AND(J$15&gt;='01_Input'!$V$65,J$15&lt;'01_Input'!$W$65),'01_Input'!$Y$65,0),MAX(MIN(J$15,'01_Input'!$W$65)-'01_Input'!$V$65,0)*'01_Input'!$Y$65))+IF('01_Input'!$AB$65="Forfait",IF(J$15&gt;='01_Input'!$Z$65,'01_Input'!$AC$65,0),IF('01_Input'!$AB$65="Palier",IF(AND(J$15&gt;='01_Input'!$Z$65,J$15&lt;'01_Input'!$AA$65),'01_Input'!$AC$65,0),MAX(MIN(J$15,'01_Input'!$AA$65)-'01_Input'!$Z$65,0)*'01_Input'!$AC$65))))))))))</f>
        <v/>
      </c>
      <c r="K56" s="25" t="str">
        <f>IF(K$15="","",IF('01_Input'!$C$65="Non",0,MIN('01_Input'!$I$65,MAX('01_Input'!$H$65,IF('01_Input'!$G$65="Résiduel vs Gestion",0,IF('01_Input'!$G$65="Taux Classe sélectionnée",Distrib_Global_Classe_Selectionnee*K$15,IF('01_Input'!$G$65="Frais KYC (paliers de 100M€)",MAX(0,Nb_Investisseurs-Nb_KYC_Gratuites_Par_Tranche*(FLOOR(K$15/Taille_Tranche_KYC,1)+1))*Cout_Par_KYC_Supplementaire,(IF('01_Input'!$L$65="Forfait",IF(K$15&gt;='01_Input'!$J$65,'01_Input'!$M$65,0),IF('01_Input'!$L$65="Palier",IF(AND(K$15&gt;='01_Input'!$J$65,K$15&lt;'01_Input'!$K$65),'01_Input'!$M$65,0),MAX(MIN(K$15,'01_Input'!$K$65)-'01_Input'!$J$65,0)*'01_Input'!$M$65))+IF('01_Input'!$P$65="Forfait",IF(K$15&gt;='01_Input'!$N$65,'01_Input'!$Q$65,0),IF('01_Input'!$P$65="Palier",IF(AND(K$15&gt;='01_Input'!$N$65,K$15&lt;'01_Input'!$O$65),'01_Input'!$Q$65,0),MAX(MIN(K$15,'01_Input'!$O$65)-'01_Input'!$N$65,0)*'01_Input'!$Q$65))+IF('01_Input'!$T$65="Forfait",IF(K$15&gt;='01_Input'!$R$65,'01_Input'!$U$65,0),IF('01_Input'!$T$65="Palier",IF(AND(K$15&gt;='01_Input'!$R$65,K$15&lt;'01_Input'!$S$65),'01_Input'!$U$65,0),MAX(MIN(K$15,'01_Input'!$S$65)-'01_Input'!$R$65,0)*'01_Input'!$U$65))+IF('01_Input'!$X$65="Forfait",IF(K$15&gt;='01_Input'!$V$65,'01_Input'!$Y$65,0),IF('01_Input'!$X$65="Palier",IF(AND(K$15&gt;='01_Input'!$V$65,K$15&lt;'01_Input'!$W$65),'01_Input'!$Y$65,0),MAX(MIN(K$15,'01_Input'!$W$65)-'01_Input'!$V$65,0)*'01_Input'!$Y$65))+IF('01_Input'!$AB$65="Forfait",IF(K$15&gt;='01_Input'!$Z$65,'01_Input'!$AC$65,0),IF('01_Input'!$AB$65="Palier",IF(AND(K$15&gt;='01_Input'!$Z$65,K$15&lt;'01_Input'!$AA$65),'01_Input'!$AC$65,0),MAX(MIN(K$15,'01_Input'!$AA$65)-'01_Input'!$Z$65,0)*'01_Input'!$AC$65))))))))))</f>
        <v/>
      </c>
      <c r="L56" s="25" t="str">
        <f>IF(L$15="","",IF('01_Input'!$C$65="Non",0,MIN('01_Input'!$I$65,MAX('01_Input'!$H$65,IF('01_Input'!$G$65="Résiduel vs Gestion",0,IF('01_Input'!$G$65="Taux Classe sélectionnée",Distrib_Global_Classe_Selectionnee*L$15,IF('01_Input'!$G$65="Frais KYC (paliers de 100M€)",MAX(0,Nb_Investisseurs-Nb_KYC_Gratuites_Par_Tranche*(FLOOR(L$15/Taille_Tranche_KYC,1)+1))*Cout_Par_KYC_Supplementaire,(IF('01_Input'!$L$65="Forfait",IF(L$15&gt;='01_Input'!$J$65,'01_Input'!$M$65,0),IF('01_Input'!$L$65="Palier",IF(AND(L$15&gt;='01_Input'!$J$65,L$15&lt;'01_Input'!$K$65),'01_Input'!$M$65,0),MAX(MIN(L$15,'01_Input'!$K$65)-'01_Input'!$J$65,0)*'01_Input'!$M$65))+IF('01_Input'!$P$65="Forfait",IF(L$15&gt;='01_Input'!$N$65,'01_Input'!$Q$65,0),IF('01_Input'!$P$65="Palier",IF(AND(L$15&gt;='01_Input'!$N$65,L$15&lt;'01_Input'!$O$65),'01_Input'!$Q$65,0),MAX(MIN(L$15,'01_Input'!$O$65)-'01_Input'!$N$65,0)*'01_Input'!$Q$65))+IF('01_Input'!$T$65="Forfait",IF(L$15&gt;='01_Input'!$R$65,'01_Input'!$U$65,0),IF('01_Input'!$T$65="Palier",IF(AND(L$15&gt;='01_Input'!$R$65,L$15&lt;'01_Input'!$S$65),'01_Input'!$U$65,0),MAX(MIN(L$15,'01_Input'!$S$65)-'01_Input'!$R$65,0)*'01_Input'!$U$65))+IF('01_Input'!$X$65="Forfait",IF(L$15&gt;='01_Input'!$V$65,'01_Input'!$Y$65,0),IF('01_Input'!$X$65="Palier",IF(AND(L$15&gt;='01_Input'!$V$65,L$15&lt;'01_Input'!$W$65),'01_Input'!$Y$65,0),MAX(MIN(L$15,'01_Input'!$W$65)-'01_Input'!$V$65,0)*'01_Input'!$Y$65))+IF('01_Input'!$AB$65="Forfait",IF(L$15&gt;='01_Input'!$Z$65,'01_Input'!$AC$65,0),IF('01_Input'!$AB$65="Palier",IF(AND(L$15&gt;='01_Input'!$Z$65,L$15&lt;'01_Input'!$AA$65),'01_Input'!$AC$65,0),MAX(MIN(L$15,'01_Input'!$AA$65)-'01_Input'!$Z$65,0)*'01_Input'!$AC$65))))))))))</f>
        <v/>
      </c>
      <c r="M56" s="25" t="str">
        <f>IF(M$15="","",IF('01_Input'!$C$65="Non",0,MIN('01_Input'!$I$65,MAX('01_Input'!$H$65,IF('01_Input'!$G$65="Résiduel vs Gestion",0,IF('01_Input'!$G$65="Taux Classe sélectionnée",Distrib_Global_Classe_Selectionnee*M$15,IF('01_Input'!$G$65="Frais KYC (paliers de 100M€)",MAX(0,Nb_Investisseurs-Nb_KYC_Gratuites_Par_Tranche*(FLOOR(M$15/Taille_Tranche_KYC,1)+1))*Cout_Par_KYC_Supplementaire,(IF('01_Input'!$L$65="Forfait",IF(M$15&gt;='01_Input'!$J$65,'01_Input'!$M$65,0),IF('01_Input'!$L$65="Palier",IF(AND(M$15&gt;='01_Input'!$J$65,M$15&lt;'01_Input'!$K$65),'01_Input'!$M$65,0),MAX(MIN(M$15,'01_Input'!$K$65)-'01_Input'!$J$65,0)*'01_Input'!$M$65))+IF('01_Input'!$P$65="Forfait",IF(M$15&gt;='01_Input'!$N$65,'01_Input'!$Q$65,0),IF('01_Input'!$P$65="Palier",IF(AND(M$15&gt;='01_Input'!$N$65,M$15&lt;'01_Input'!$O$65),'01_Input'!$Q$65,0),MAX(MIN(M$15,'01_Input'!$O$65)-'01_Input'!$N$65,0)*'01_Input'!$Q$65))+IF('01_Input'!$T$65="Forfait",IF(M$15&gt;='01_Input'!$R$65,'01_Input'!$U$65,0),IF('01_Input'!$T$65="Palier",IF(AND(M$15&gt;='01_Input'!$R$65,M$15&lt;'01_Input'!$S$65),'01_Input'!$U$65,0),MAX(MIN(M$15,'01_Input'!$S$65)-'01_Input'!$R$65,0)*'01_Input'!$U$65))+IF('01_Input'!$X$65="Forfait",IF(M$15&gt;='01_Input'!$V$65,'01_Input'!$Y$65,0),IF('01_Input'!$X$65="Palier",IF(AND(M$15&gt;='01_Input'!$V$65,M$15&lt;'01_Input'!$W$65),'01_Input'!$Y$65,0),MAX(MIN(M$15,'01_Input'!$W$65)-'01_Input'!$V$65,0)*'01_Input'!$Y$65))+IF('01_Input'!$AB$65="Forfait",IF(M$15&gt;='01_Input'!$Z$65,'01_Input'!$AC$65,0),IF('01_Input'!$AB$65="Palier",IF(AND(M$15&gt;='01_Input'!$Z$65,M$15&lt;'01_Input'!$AA$65),'01_Input'!$AC$65,0),MAX(MIN(M$15,'01_Input'!$AA$65)-'01_Input'!$Z$65,0)*'01_Input'!$AC$65))))))))))</f>
        <v/>
      </c>
      <c r="N56" s="25" t="str">
        <f>IF(N$15="","",IF('01_Input'!$C$65="Non",0,MIN('01_Input'!$I$65,MAX('01_Input'!$H$65,IF('01_Input'!$G$65="Résiduel vs Gestion",0,IF('01_Input'!$G$65="Taux Classe sélectionnée",Distrib_Global_Classe_Selectionnee*N$15,IF('01_Input'!$G$65="Frais KYC (paliers de 100M€)",MAX(0,Nb_Investisseurs-Nb_KYC_Gratuites_Par_Tranche*(FLOOR(N$15/Taille_Tranche_KYC,1)+1))*Cout_Par_KYC_Supplementaire,(IF('01_Input'!$L$65="Forfait",IF(N$15&gt;='01_Input'!$J$65,'01_Input'!$M$65,0),IF('01_Input'!$L$65="Palier",IF(AND(N$15&gt;='01_Input'!$J$65,N$15&lt;'01_Input'!$K$65),'01_Input'!$M$65,0),MAX(MIN(N$15,'01_Input'!$K$65)-'01_Input'!$J$65,0)*'01_Input'!$M$65))+IF('01_Input'!$P$65="Forfait",IF(N$15&gt;='01_Input'!$N$65,'01_Input'!$Q$65,0),IF('01_Input'!$P$65="Palier",IF(AND(N$15&gt;='01_Input'!$N$65,N$15&lt;'01_Input'!$O$65),'01_Input'!$Q$65,0),MAX(MIN(N$15,'01_Input'!$O$65)-'01_Input'!$N$65,0)*'01_Input'!$Q$65))+IF('01_Input'!$T$65="Forfait",IF(N$15&gt;='01_Input'!$R$65,'01_Input'!$U$65,0),IF('01_Input'!$T$65="Palier",IF(AND(N$15&gt;='01_Input'!$R$65,N$15&lt;'01_Input'!$S$65),'01_Input'!$U$65,0),MAX(MIN(N$15,'01_Input'!$S$65)-'01_Input'!$R$65,0)*'01_Input'!$U$65))+IF('01_Input'!$X$65="Forfait",IF(N$15&gt;='01_Input'!$V$65,'01_Input'!$Y$65,0),IF('01_Input'!$X$65="Palier",IF(AND(N$15&gt;='01_Input'!$V$65,N$15&lt;'01_Input'!$W$65),'01_Input'!$Y$65,0),MAX(MIN(N$15,'01_Input'!$W$65)-'01_Input'!$V$65,0)*'01_Input'!$Y$65))+IF('01_Input'!$AB$65="Forfait",IF(N$15&gt;='01_Input'!$Z$65,'01_Input'!$AC$65,0),IF('01_Input'!$AB$65="Palier",IF(AND(N$15&gt;='01_Input'!$Z$65,N$15&lt;'01_Input'!$AA$65),'01_Input'!$AC$65,0),MAX(MIN(N$15,'01_Input'!$AA$65)-'01_Input'!$Z$65,0)*'01_Input'!$AC$65))))))))))</f>
        <v/>
      </c>
      <c r="O56" s="25" t="str">
        <f>IF(O$15="","",IF('01_Input'!$C$65="Non",0,MIN('01_Input'!$I$65,MAX('01_Input'!$H$65,IF('01_Input'!$G$65="Résiduel vs Gestion",0,IF('01_Input'!$G$65="Taux Classe sélectionnée",Distrib_Global_Classe_Selectionnee*O$15,IF('01_Input'!$G$65="Frais KYC (paliers de 100M€)",MAX(0,Nb_Investisseurs-Nb_KYC_Gratuites_Par_Tranche*(FLOOR(O$15/Taille_Tranche_KYC,1)+1))*Cout_Par_KYC_Supplementaire,(IF('01_Input'!$L$65="Forfait",IF(O$15&gt;='01_Input'!$J$65,'01_Input'!$M$65,0),IF('01_Input'!$L$65="Palier",IF(AND(O$15&gt;='01_Input'!$J$65,O$15&lt;'01_Input'!$K$65),'01_Input'!$M$65,0),MAX(MIN(O$15,'01_Input'!$K$65)-'01_Input'!$J$65,0)*'01_Input'!$M$65))+IF('01_Input'!$P$65="Forfait",IF(O$15&gt;='01_Input'!$N$65,'01_Input'!$Q$65,0),IF('01_Input'!$P$65="Palier",IF(AND(O$15&gt;='01_Input'!$N$65,O$15&lt;'01_Input'!$O$65),'01_Input'!$Q$65,0),MAX(MIN(O$15,'01_Input'!$O$65)-'01_Input'!$N$65,0)*'01_Input'!$Q$65))+IF('01_Input'!$T$65="Forfait",IF(O$15&gt;='01_Input'!$R$65,'01_Input'!$U$65,0),IF('01_Input'!$T$65="Palier",IF(AND(O$15&gt;='01_Input'!$R$65,O$15&lt;'01_Input'!$S$65),'01_Input'!$U$65,0),MAX(MIN(O$15,'01_Input'!$S$65)-'01_Input'!$R$65,0)*'01_Input'!$U$65))+IF('01_Input'!$X$65="Forfait",IF(O$15&gt;='01_Input'!$V$65,'01_Input'!$Y$65,0),IF('01_Input'!$X$65="Palier",IF(AND(O$15&gt;='01_Input'!$V$65,O$15&lt;'01_Input'!$W$65),'01_Input'!$Y$65,0),MAX(MIN(O$15,'01_Input'!$W$65)-'01_Input'!$V$65,0)*'01_Input'!$Y$65))+IF('01_Input'!$AB$65="Forfait",IF(O$15&gt;='01_Input'!$Z$65,'01_Input'!$AC$65,0),IF('01_Input'!$AB$65="Palier",IF(AND(O$15&gt;='01_Input'!$Z$65,O$15&lt;'01_Input'!$AA$65),'01_Input'!$AC$65,0),MAX(MIN(O$15,'01_Input'!$AA$65)-'01_Input'!$Z$65,0)*'01_Input'!$AC$65))))))))))</f>
        <v/>
      </c>
      <c r="P56" s="25" t="str">
        <f>IF(P$15="","",IF('01_Input'!$C$65="Non",0,MIN('01_Input'!$I$65,MAX('01_Input'!$H$65,IF('01_Input'!$G$65="Résiduel vs Gestion",0,IF('01_Input'!$G$65="Taux Classe sélectionnée",Distrib_Global_Classe_Selectionnee*P$15,IF('01_Input'!$G$65="Frais KYC (paliers de 100M€)",MAX(0,Nb_Investisseurs-Nb_KYC_Gratuites_Par_Tranche*(FLOOR(P$15/Taille_Tranche_KYC,1)+1))*Cout_Par_KYC_Supplementaire,(IF('01_Input'!$L$65="Forfait",IF(P$15&gt;='01_Input'!$J$65,'01_Input'!$M$65,0),IF('01_Input'!$L$65="Palier",IF(AND(P$15&gt;='01_Input'!$J$65,P$15&lt;'01_Input'!$K$65),'01_Input'!$M$65,0),MAX(MIN(P$15,'01_Input'!$K$65)-'01_Input'!$J$65,0)*'01_Input'!$M$65))+IF('01_Input'!$P$65="Forfait",IF(P$15&gt;='01_Input'!$N$65,'01_Input'!$Q$65,0),IF('01_Input'!$P$65="Palier",IF(AND(P$15&gt;='01_Input'!$N$65,P$15&lt;'01_Input'!$O$65),'01_Input'!$Q$65,0),MAX(MIN(P$15,'01_Input'!$O$65)-'01_Input'!$N$65,0)*'01_Input'!$Q$65))+IF('01_Input'!$T$65="Forfait",IF(P$15&gt;='01_Input'!$R$65,'01_Input'!$U$65,0),IF('01_Input'!$T$65="Palier",IF(AND(P$15&gt;='01_Input'!$R$65,P$15&lt;'01_Input'!$S$65),'01_Input'!$U$65,0),MAX(MIN(P$15,'01_Input'!$S$65)-'01_Input'!$R$65,0)*'01_Input'!$U$65))+IF('01_Input'!$X$65="Forfait",IF(P$15&gt;='01_Input'!$V$65,'01_Input'!$Y$65,0),IF('01_Input'!$X$65="Palier",IF(AND(P$15&gt;='01_Input'!$V$65,P$15&lt;'01_Input'!$W$65),'01_Input'!$Y$65,0),MAX(MIN(P$15,'01_Input'!$W$65)-'01_Input'!$V$65,0)*'01_Input'!$Y$65))+IF('01_Input'!$AB$65="Forfait",IF(P$15&gt;='01_Input'!$Z$65,'01_Input'!$AC$65,0),IF('01_Input'!$AB$65="Palier",IF(AND(P$15&gt;='01_Input'!$Z$65,P$15&lt;'01_Input'!$AA$65),'01_Input'!$AC$65,0),MAX(MIN(P$15,'01_Input'!$AA$65)-'01_Input'!$Z$65,0)*'01_Input'!$AC$65))))))))))</f>
        <v/>
      </c>
      <c r="Q56" s="25" t="str">
        <f>IF(Q$15="","",IF('01_Input'!$C$65="Non",0,MIN('01_Input'!$I$65,MAX('01_Input'!$H$65,IF('01_Input'!$G$65="Résiduel vs Gestion",0,IF('01_Input'!$G$65="Taux Classe sélectionnée",Distrib_Global_Classe_Selectionnee*Q$15,IF('01_Input'!$G$65="Frais KYC (paliers de 100M€)",MAX(0,Nb_Investisseurs-Nb_KYC_Gratuites_Par_Tranche*(FLOOR(Q$15/Taille_Tranche_KYC,1)+1))*Cout_Par_KYC_Supplementaire,(IF('01_Input'!$L$65="Forfait",IF(Q$15&gt;='01_Input'!$J$65,'01_Input'!$M$65,0),IF('01_Input'!$L$65="Palier",IF(AND(Q$15&gt;='01_Input'!$J$65,Q$15&lt;'01_Input'!$K$65),'01_Input'!$M$65,0),MAX(MIN(Q$15,'01_Input'!$K$65)-'01_Input'!$J$65,0)*'01_Input'!$M$65))+IF('01_Input'!$P$65="Forfait",IF(Q$15&gt;='01_Input'!$N$65,'01_Input'!$Q$65,0),IF('01_Input'!$P$65="Palier",IF(AND(Q$15&gt;='01_Input'!$N$65,Q$15&lt;'01_Input'!$O$65),'01_Input'!$Q$65,0),MAX(MIN(Q$15,'01_Input'!$O$65)-'01_Input'!$N$65,0)*'01_Input'!$Q$65))+IF('01_Input'!$T$65="Forfait",IF(Q$15&gt;='01_Input'!$R$65,'01_Input'!$U$65,0),IF('01_Input'!$T$65="Palier",IF(AND(Q$15&gt;='01_Input'!$R$65,Q$15&lt;'01_Input'!$S$65),'01_Input'!$U$65,0),MAX(MIN(Q$15,'01_Input'!$S$65)-'01_Input'!$R$65,0)*'01_Input'!$U$65))+IF('01_Input'!$X$65="Forfait",IF(Q$15&gt;='01_Input'!$V$65,'01_Input'!$Y$65,0),IF('01_Input'!$X$65="Palier",IF(AND(Q$15&gt;='01_Input'!$V$65,Q$15&lt;'01_Input'!$W$65),'01_Input'!$Y$65,0),MAX(MIN(Q$15,'01_Input'!$W$65)-'01_Input'!$V$65,0)*'01_Input'!$Y$65))+IF('01_Input'!$AB$65="Forfait",IF(Q$15&gt;='01_Input'!$Z$65,'01_Input'!$AC$65,0),IF('01_Input'!$AB$65="Palier",IF(AND(Q$15&gt;='01_Input'!$Z$65,Q$15&lt;'01_Input'!$AA$65),'01_Input'!$AC$65,0),MAX(MIN(Q$15,'01_Input'!$AA$65)-'01_Input'!$Z$65,0)*'01_Input'!$AC$65))))))))))</f>
        <v/>
      </c>
      <c r="R56" s="25" t="str">
        <f>IF(R$15="","",IF('01_Input'!$C$65="Non",0,MIN('01_Input'!$I$65,MAX('01_Input'!$H$65,IF('01_Input'!$G$65="Résiduel vs Gestion",0,IF('01_Input'!$G$65="Taux Classe sélectionnée",Distrib_Global_Classe_Selectionnee*R$15,IF('01_Input'!$G$65="Frais KYC (paliers de 100M€)",MAX(0,Nb_Investisseurs-Nb_KYC_Gratuites_Par_Tranche*(FLOOR(R$15/Taille_Tranche_KYC,1)+1))*Cout_Par_KYC_Supplementaire,(IF('01_Input'!$L$65="Forfait",IF(R$15&gt;='01_Input'!$J$65,'01_Input'!$M$65,0),IF('01_Input'!$L$65="Palier",IF(AND(R$15&gt;='01_Input'!$J$65,R$15&lt;'01_Input'!$K$65),'01_Input'!$M$65,0),MAX(MIN(R$15,'01_Input'!$K$65)-'01_Input'!$J$65,0)*'01_Input'!$M$65))+IF('01_Input'!$P$65="Forfait",IF(R$15&gt;='01_Input'!$N$65,'01_Input'!$Q$65,0),IF('01_Input'!$P$65="Palier",IF(AND(R$15&gt;='01_Input'!$N$65,R$15&lt;'01_Input'!$O$65),'01_Input'!$Q$65,0),MAX(MIN(R$15,'01_Input'!$O$65)-'01_Input'!$N$65,0)*'01_Input'!$Q$65))+IF('01_Input'!$T$65="Forfait",IF(R$15&gt;='01_Input'!$R$65,'01_Input'!$U$65,0),IF('01_Input'!$T$65="Palier",IF(AND(R$15&gt;='01_Input'!$R$65,R$15&lt;'01_Input'!$S$65),'01_Input'!$U$65,0),MAX(MIN(R$15,'01_Input'!$S$65)-'01_Input'!$R$65,0)*'01_Input'!$U$65))+IF('01_Input'!$X$65="Forfait",IF(R$15&gt;='01_Input'!$V$65,'01_Input'!$Y$65,0),IF('01_Input'!$X$65="Palier",IF(AND(R$15&gt;='01_Input'!$V$65,R$15&lt;'01_Input'!$W$65),'01_Input'!$Y$65,0),MAX(MIN(R$15,'01_Input'!$W$65)-'01_Input'!$V$65,0)*'01_Input'!$Y$65))+IF('01_Input'!$AB$65="Forfait",IF(R$15&gt;='01_Input'!$Z$65,'01_Input'!$AC$65,0),IF('01_Input'!$AB$65="Palier",IF(AND(R$15&gt;='01_Input'!$Z$65,R$15&lt;'01_Input'!$AA$65),'01_Input'!$AC$65,0),MAX(MIN(R$15,'01_Input'!$AA$65)-'01_Input'!$Z$65,0)*'01_Input'!$AC$65))))))))))</f>
        <v/>
      </c>
      <c r="S56" s="25" t="str">
        <f>IF(S$15="","",IF('01_Input'!$C$65="Non",0,MIN('01_Input'!$I$65,MAX('01_Input'!$H$65,IF('01_Input'!$G$65="Résiduel vs Gestion",0,IF('01_Input'!$G$65="Taux Classe sélectionnée",Distrib_Global_Classe_Selectionnee*S$15,IF('01_Input'!$G$65="Frais KYC (paliers de 100M€)",MAX(0,Nb_Investisseurs-Nb_KYC_Gratuites_Par_Tranche*(FLOOR(S$15/Taille_Tranche_KYC,1)+1))*Cout_Par_KYC_Supplementaire,(IF('01_Input'!$L$65="Forfait",IF(S$15&gt;='01_Input'!$J$65,'01_Input'!$M$65,0),IF('01_Input'!$L$65="Palier",IF(AND(S$15&gt;='01_Input'!$J$65,S$15&lt;'01_Input'!$K$65),'01_Input'!$M$65,0),MAX(MIN(S$15,'01_Input'!$K$65)-'01_Input'!$J$65,0)*'01_Input'!$M$65))+IF('01_Input'!$P$65="Forfait",IF(S$15&gt;='01_Input'!$N$65,'01_Input'!$Q$65,0),IF('01_Input'!$P$65="Palier",IF(AND(S$15&gt;='01_Input'!$N$65,S$15&lt;'01_Input'!$O$65),'01_Input'!$Q$65,0),MAX(MIN(S$15,'01_Input'!$O$65)-'01_Input'!$N$65,0)*'01_Input'!$Q$65))+IF('01_Input'!$T$65="Forfait",IF(S$15&gt;='01_Input'!$R$65,'01_Input'!$U$65,0),IF('01_Input'!$T$65="Palier",IF(AND(S$15&gt;='01_Input'!$R$65,S$15&lt;'01_Input'!$S$65),'01_Input'!$U$65,0),MAX(MIN(S$15,'01_Input'!$S$65)-'01_Input'!$R$65,0)*'01_Input'!$U$65))+IF('01_Input'!$X$65="Forfait",IF(S$15&gt;='01_Input'!$V$65,'01_Input'!$Y$65,0),IF('01_Input'!$X$65="Palier",IF(AND(S$15&gt;='01_Input'!$V$65,S$15&lt;'01_Input'!$W$65),'01_Input'!$Y$65,0),MAX(MIN(S$15,'01_Input'!$W$65)-'01_Input'!$V$65,0)*'01_Input'!$Y$65))+IF('01_Input'!$AB$65="Forfait",IF(S$15&gt;='01_Input'!$Z$65,'01_Input'!$AC$65,0),IF('01_Input'!$AB$65="Palier",IF(AND(S$15&gt;='01_Input'!$Z$65,S$15&lt;'01_Input'!$AA$65),'01_Input'!$AC$65,0),MAX(MIN(S$15,'01_Input'!$AA$65)-'01_Input'!$Z$65,0)*'01_Input'!$AC$65))))))))))</f>
        <v/>
      </c>
      <c r="T56" s="25" t="str">
        <f>IF(T$15="","",IF('01_Input'!$C$65="Non",0,MIN('01_Input'!$I$65,MAX('01_Input'!$H$65,IF('01_Input'!$G$65="Résiduel vs Gestion",0,IF('01_Input'!$G$65="Taux Classe sélectionnée",Distrib_Global_Classe_Selectionnee*T$15,IF('01_Input'!$G$65="Frais KYC (paliers de 100M€)",MAX(0,Nb_Investisseurs-Nb_KYC_Gratuites_Par_Tranche*(FLOOR(T$15/Taille_Tranche_KYC,1)+1))*Cout_Par_KYC_Supplementaire,(IF('01_Input'!$L$65="Forfait",IF(T$15&gt;='01_Input'!$J$65,'01_Input'!$M$65,0),IF('01_Input'!$L$65="Palier",IF(AND(T$15&gt;='01_Input'!$J$65,T$15&lt;'01_Input'!$K$65),'01_Input'!$M$65,0),MAX(MIN(T$15,'01_Input'!$K$65)-'01_Input'!$J$65,0)*'01_Input'!$M$65))+IF('01_Input'!$P$65="Forfait",IF(T$15&gt;='01_Input'!$N$65,'01_Input'!$Q$65,0),IF('01_Input'!$P$65="Palier",IF(AND(T$15&gt;='01_Input'!$N$65,T$15&lt;'01_Input'!$O$65),'01_Input'!$Q$65,0),MAX(MIN(T$15,'01_Input'!$O$65)-'01_Input'!$N$65,0)*'01_Input'!$Q$65))+IF('01_Input'!$T$65="Forfait",IF(T$15&gt;='01_Input'!$R$65,'01_Input'!$U$65,0),IF('01_Input'!$T$65="Palier",IF(AND(T$15&gt;='01_Input'!$R$65,T$15&lt;'01_Input'!$S$65),'01_Input'!$U$65,0),MAX(MIN(T$15,'01_Input'!$S$65)-'01_Input'!$R$65,0)*'01_Input'!$U$65))+IF('01_Input'!$X$65="Forfait",IF(T$15&gt;='01_Input'!$V$65,'01_Input'!$Y$65,0),IF('01_Input'!$X$65="Palier",IF(AND(T$15&gt;='01_Input'!$V$65,T$15&lt;'01_Input'!$W$65),'01_Input'!$Y$65,0),MAX(MIN(T$15,'01_Input'!$W$65)-'01_Input'!$V$65,0)*'01_Input'!$Y$65))+IF('01_Input'!$AB$65="Forfait",IF(T$15&gt;='01_Input'!$Z$65,'01_Input'!$AC$65,0),IF('01_Input'!$AB$65="Palier",IF(AND(T$15&gt;='01_Input'!$Z$65,T$15&lt;'01_Input'!$AA$65),'01_Input'!$AC$65,0),MAX(MIN(T$15,'01_Input'!$AA$65)-'01_Input'!$Z$65,0)*'01_Input'!$AC$65))))))))))</f>
        <v/>
      </c>
      <c r="U56" s="25" t="str">
        <f>IF(U$15="","",IF('01_Input'!$C$65="Non",0,MIN('01_Input'!$I$65,MAX('01_Input'!$H$65,IF('01_Input'!$G$65="Résiduel vs Gestion",0,IF('01_Input'!$G$65="Taux Classe sélectionnée",Distrib_Global_Classe_Selectionnee*U$15,IF('01_Input'!$G$65="Frais KYC (paliers de 100M€)",MAX(0,Nb_Investisseurs-Nb_KYC_Gratuites_Par_Tranche*(FLOOR(U$15/Taille_Tranche_KYC,1)+1))*Cout_Par_KYC_Supplementaire,(IF('01_Input'!$L$65="Forfait",IF(U$15&gt;='01_Input'!$J$65,'01_Input'!$M$65,0),IF('01_Input'!$L$65="Palier",IF(AND(U$15&gt;='01_Input'!$J$65,U$15&lt;'01_Input'!$K$65),'01_Input'!$M$65,0),MAX(MIN(U$15,'01_Input'!$K$65)-'01_Input'!$J$65,0)*'01_Input'!$M$65))+IF('01_Input'!$P$65="Forfait",IF(U$15&gt;='01_Input'!$N$65,'01_Input'!$Q$65,0),IF('01_Input'!$P$65="Palier",IF(AND(U$15&gt;='01_Input'!$N$65,U$15&lt;'01_Input'!$O$65),'01_Input'!$Q$65,0),MAX(MIN(U$15,'01_Input'!$O$65)-'01_Input'!$N$65,0)*'01_Input'!$Q$65))+IF('01_Input'!$T$65="Forfait",IF(U$15&gt;='01_Input'!$R$65,'01_Input'!$U$65,0),IF('01_Input'!$T$65="Palier",IF(AND(U$15&gt;='01_Input'!$R$65,U$15&lt;'01_Input'!$S$65),'01_Input'!$U$65,0),MAX(MIN(U$15,'01_Input'!$S$65)-'01_Input'!$R$65,0)*'01_Input'!$U$65))+IF('01_Input'!$X$65="Forfait",IF(U$15&gt;='01_Input'!$V$65,'01_Input'!$Y$65,0),IF('01_Input'!$X$65="Palier",IF(AND(U$15&gt;='01_Input'!$V$65,U$15&lt;'01_Input'!$W$65),'01_Input'!$Y$65,0),MAX(MIN(U$15,'01_Input'!$W$65)-'01_Input'!$V$65,0)*'01_Input'!$Y$65))+IF('01_Input'!$AB$65="Forfait",IF(U$15&gt;='01_Input'!$Z$65,'01_Input'!$AC$65,0),IF('01_Input'!$AB$65="Palier",IF(AND(U$15&gt;='01_Input'!$Z$65,U$15&lt;'01_Input'!$AA$65),'01_Input'!$AC$65,0),MAX(MIN(U$15,'01_Input'!$AA$65)-'01_Input'!$Z$65,0)*'01_Input'!$AC$65))))))))))</f>
        <v/>
      </c>
      <c r="V56" s="25" t="str">
        <f>IF(V$15="","",IF('01_Input'!$C$65="Non",0,MIN('01_Input'!$I$65,MAX('01_Input'!$H$65,IF('01_Input'!$G$65="Résiduel vs Gestion",0,IF('01_Input'!$G$65="Taux Classe sélectionnée",Distrib_Global_Classe_Selectionnee*V$15,IF('01_Input'!$G$65="Frais KYC (paliers de 100M€)",MAX(0,Nb_Investisseurs-Nb_KYC_Gratuites_Par_Tranche*(FLOOR(V$15/Taille_Tranche_KYC,1)+1))*Cout_Par_KYC_Supplementaire,(IF('01_Input'!$L$65="Forfait",IF(V$15&gt;='01_Input'!$J$65,'01_Input'!$M$65,0),IF('01_Input'!$L$65="Palier",IF(AND(V$15&gt;='01_Input'!$J$65,V$15&lt;'01_Input'!$K$65),'01_Input'!$M$65,0),MAX(MIN(V$15,'01_Input'!$K$65)-'01_Input'!$J$65,0)*'01_Input'!$M$65))+IF('01_Input'!$P$65="Forfait",IF(V$15&gt;='01_Input'!$N$65,'01_Input'!$Q$65,0),IF('01_Input'!$P$65="Palier",IF(AND(V$15&gt;='01_Input'!$N$65,V$15&lt;'01_Input'!$O$65),'01_Input'!$Q$65,0),MAX(MIN(V$15,'01_Input'!$O$65)-'01_Input'!$N$65,0)*'01_Input'!$Q$65))+IF('01_Input'!$T$65="Forfait",IF(V$15&gt;='01_Input'!$R$65,'01_Input'!$U$65,0),IF('01_Input'!$T$65="Palier",IF(AND(V$15&gt;='01_Input'!$R$65,V$15&lt;'01_Input'!$S$65),'01_Input'!$U$65,0),MAX(MIN(V$15,'01_Input'!$S$65)-'01_Input'!$R$65,0)*'01_Input'!$U$65))+IF('01_Input'!$X$65="Forfait",IF(V$15&gt;='01_Input'!$V$65,'01_Input'!$Y$65,0),IF('01_Input'!$X$65="Palier",IF(AND(V$15&gt;='01_Input'!$V$65,V$15&lt;'01_Input'!$W$65),'01_Input'!$Y$65,0),MAX(MIN(V$15,'01_Input'!$W$65)-'01_Input'!$V$65,0)*'01_Input'!$Y$65))+IF('01_Input'!$AB$65="Forfait",IF(V$15&gt;='01_Input'!$Z$65,'01_Input'!$AC$65,0),IF('01_Input'!$AB$65="Palier",IF(AND(V$15&gt;='01_Input'!$Z$65,V$15&lt;'01_Input'!$AA$65),'01_Input'!$AC$65,0),MAX(MIN(V$15,'01_Input'!$AA$65)-'01_Input'!$Z$65,0)*'01_Input'!$AC$65))))))))))</f>
        <v/>
      </c>
      <c r="W56" s="25" t="str">
        <f>IF(W$15="","",IF('01_Input'!$C$65="Non",0,MIN('01_Input'!$I$65,MAX('01_Input'!$H$65,IF('01_Input'!$G$65="Résiduel vs Gestion",0,IF('01_Input'!$G$65="Taux Classe sélectionnée",Distrib_Global_Classe_Selectionnee*W$15,IF('01_Input'!$G$65="Frais KYC (paliers de 100M€)",MAX(0,Nb_Investisseurs-Nb_KYC_Gratuites_Par_Tranche*(FLOOR(W$15/Taille_Tranche_KYC,1)+1))*Cout_Par_KYC_Supplementaire,(IF('01_Input'!$L$65="Forfait",IF(W$15&gt;='01_Input'!$J$65,'01_Input'!$M$65,0),IF('01_Input'!$L$65="Palier",IF(AND(W$15&gt;='01_Input'!$J$65,W$15&lt;'01_Input'!$K$65),'01_Input'!$M$65,0),MAX(MIN(W$15,'01_Input'!$K$65)-'01_Input'!$J$65,0)*'01_Input'!$M$65))+IF('01_Input'!$P$65="Forfait",IF(W$15&gt;='01_Input'!$N$65,'01_Input'!$Q$65,0),IF('01_Input'!$P$65="Palier",IF(AND(W$15&gt;='01_Input'!$N$65,W$15&lt;'01_Input'!$O$65),'01_Input'!$Q$65,0),MAX(MIN(W$15,'01_Input'!$O$65)-'01_Input'!$N$65,0)*'01_Input'!$Q$65))+IF('01_Input'!$T$65="Forfait",IF(W$15&gt;='01_Input'!$R$65,'01_Input'!$U$65,0),IF('01_Input'!$T$65="Palier",IF(AND(W$15&gt;='01_Input'!$R$65,W$15&lt;'01_Input'!$S$65),'01_Input'!$U$65,0),MAX(MIN(W$15,'01_Input'!$S$65)-'01_Input'!$R$65,0)*'01_Input'!$U$65))+IF('01_Input'!$X$65="Forfait",IF(W$15&gt;='01_Input'!$V$65,'01_Input'!$Y$65,0),IF('01_Input'!$X$65="Palier",IF(AND(W$15&gt;='01_Input'!$V$65,W$15&lt;'01_Input'!$W$65),'01_Input'!$Y$65,0),MAX(MIN(W$15,'01_Input'!$W$65)-'01_Input'!$V$65,0)*'01_Input'!$Y$65))+IF('01_Input'!$AB$65="Forfait",IF(W$15&gt;='01_Input'!$Z$65,'01_Input'!$AC$65,0),IF('01_Input'!$AB$65="Palier",IF(AND(W$15&gt;='01_Input'!$Z$65,W$15&lt;'01_Input'!$AA$65),'01_Input'!$AC$65,0),MAX(MIN(W$15,'01_Input'!$AA$65)-'01_Input'!$Z$65,0)*'01_Input'!$AC$65))))))))))</f>
        <v/>
      </c>
      <c r="X56" s="25" t="str">
        <f>IF(X$15="","",IF('01_Input'!$C$65="Non",0,MIN('01_Input'!$I$65,MAX('01_Input'!$H$65,IF('01_Input'!$G$65="Résiduel vs Gestion",0,IF('01_Input'!$G$65="Taux Classe sélectionnée",Distrib_Global_Classe_Selectionnee*X$15,IF('01_Input'!$G$65="Frais KYC (paliers de 100M€)",MAX(0,Nb_Investisseurs-Nb_KYC_Gratuites_Par_Tranche*(FLOOR(X$15/Taille_Tranche_KYC,1)+1))*Cout_Par_KYC_Supplementaire,(IF('01_Input'!$L$65="Forfait",IF(X$15&gt;='01_Input'!$J$65,'01_Input'!$M$65,0),IF('01_Input'!$L$65="Palier",IF(AND(X$15&gt;='01_Input'!$J$65,X$15&lt;'01_Input'!$K$65),'01_Input'!$M$65,0),MAX(MIN(X$15,'01_Input'!$K$65)-'01_Input'!$J$65,0)*'01_Input'!$M$65))+IF('01_Input'!$P$65="Forfait",IF(X$15&gt;='01_Input'!$N$65,'01_Input'!$Q$65,0),IF('01_Input'!$P$65="Palier",IF(AND(X$15&gt;='01_Input'!$N$65,X$15&lt;'01_Input'!$O$65),'01_Input'!$Q$65,0),MAX(MIN(X$15,'01_Input'!$O$65)-'01_Input'!$N$65,0)*'01_Input'!$Q$65))+IF('01_Input'!$T$65="Forfait",IF(X$15&gt;='01_Input'!$R$65,'01_Input'!$U$65,0),IF('01_Input'!$T$65="Palier",IF(AND(X$15&gt;='01_Input'!$R$65,X$15&lt;'01_Input'!$S$65),'01_Input'!$U$65,0),MAX(MIN(X$15,'01_Input'!$S$65)-'01_Input'!$R$65,0)*'01_Input'!$U$65))+IF('01_Input'!$X$65="Forfait",IF(X$15&gt;='01_Input'!$V$65,'01_Input'!$Y$65,0),IF('01_Input'!$X$65="Palier",IF(AND(X$15&gt;='01_Input'!$V$65,X$15&lt;'01_Input'!$W$65),'01_Input'!$Y$65,0),MAX(MIN(X$15,'01_Input'!$W$65)-'01_Input'!$V$65,0)*'01_Input'!$Y$65))+IF('01_Input'!$AB$65="Forfait",IF(X$15&gt;='01_Input'!$Z$65,'01_Input'!$AC$65,0),IF('01_Input'!$AB$65="Palier",IF(AND(X$15&gt;='01_Input'!$Z$65,X$15&lt;'01_Input'!$AA$65),'01_Input'!$AC$65,0),MAX(MIN(X$15,'01_Input'!$AA$65)-'01_Input'!$Z$65,0)*'01_Input'!$AC$65))))))))))</f>
        <v/>
      </c>
      <c r="Y56" s="25" t="str">
        <f>IF(Y$15="","",IF('01_Input'!$C$65="Non",0,MIN('01_Input'!$I$65,MAX('01_Input'!$H$65,IF('01_Input'!$G$65="Résiduel vs Gestion",0,IF('01_Input'!$G$65="Taux Classe sélectionnée",Distrib_Global_Classe_Selectionnee*Y$15,IF('01_Input'!$G$65="Frais KYC (paliers de 100M€)",MAX(0,Nb_Investisseurs-Nb_KYC_Gratuites_Par_Tranche*(FLOOR(Y$15/Taille_Tranche_KYC,1)+1))*Cout_Par_KYC_Supplementaire,(IF('01_Input'!$L$65="Forfait",IF(Y$15&gt;='01_Input'!$J$65,'01_Input'!$M$65,0),IF('01_Input'!$L$65="Palier",IF(AND(Y$15&gt;='01_Input'!$J$65,Y$15&lt;'01_Input'!$K$65),'01_Input'!$M$65,0),MAX(MIN(Y$15,'01_Input'!$K$65)-'01_Input'!$J$65,0)*'01_Input'!$M$65))+IF('01_Input'!$P$65="Forfait",IF(Y$15&gt;='01_Input'!$N$65,'01_Input'!$Q$65,0),IF('01_Input'!$P$65="Palier",IF(AND(Y$15&gt;='01_Input'!$N$65,Y$15&lt;'01_Input'!$O$65),'01_Input'!$Q$65,0),MAX(MIN(Y$15,'01_Input'!$O$65)-'01_Input'!$N$65,0)*'01_Input'!$Q$65))+IF('01_Input'!$T$65="Forfait",IF(Y$15&gt;='01_Input'!$R$65,'01_Input'!$U$65,0),IF('01_Input'!$T$65="Palier",IF(AND(Y$15&gt;='01_Input'!$R$65,Y$15&lt;'01_Input'!$S$65),'01_Input'!$U$65,0),MAX(MIN(Y$15,'01_Input'!$S$65)-'01_Input'!$R$65,0)*'01_Input'!$U$65))+IF('01_Input'!$X$65="Forfait",IF(Y$15&gt;='01_Input'!$V$65,'01_Input'!$Y$65,0),IF('01_Input'!$X$65="Palier",IF(AND(Y$15&gt;='01_Input'!$V$65,Y$15&lt;'01_Input'!$W$65),'01_Input'!$Y$65,0),MAX(MIN(Y$15,'01_Input'!$W$65)-'01_Input'!$V$65,0)*'01_Input'!$Y$65))+IF('01_Input'!$AB$65="Forfait",IF(Y$15&gt;='01_Input'!$Z$65,'01_Input'!$AC$65,0),IF('01_Input'!$AB$65="Palier",IF(AND(Y$15&gt;='01_Input'!$Z$65,Y$15&lt;'01_Input'!$AA$65),'01_Input'!$AC$65,0),MAX(MIN(Y$15,'01_Input'!$AA$65)-'01_Input'!$Z$65,0)*'01_Input'!$AC$65))))))))))</f>
        <v/>
      </c>
      <c r="Z56" s="25" t="str">
        <f>IF(Z$15="","",IF('01_Input'!$C$65="Non",0,MIN('01_Input'!$I$65,MAX('01_Input'!$H$65,IF('01_Input'!$G$65="Résiduel vs Gestion",0,IF('01_Input'!$G$65="Taux Classe sélectionnée",Distrib_Global_Classe_Selectionnee*Z$15,IF('01_Input'!$G$65="Frais KYC (paliers de 100M€)",MAX(0,Nb_Investisseurs-Nb_KYC_Gratuites_Par_Tranche*(FLOOR(Z$15/Taille_Tranche_KYC,1)+1))*Cout_Par_KYC_Supplementaire,(IF('01_Input'!$L$65="Forfait",IF(Z$15&gt;='01_Input'!$J$65,'01_Input'!$M$65,0),IF('01_Input'!$L$65="Palier",IF(AND(Z$15&gt;='01_Input'!$J$65,Z$15&lt;'01_Input'!$K$65),'01_Input'!$M$65,0),MAX(MIN(Z$15,'01_Input'!$K$65)-'01_Input'!$J$65,0)*'01_Input'!$M$65))+IF('01_Input'!$P$65="Forfait",IF(Z$15&gt;='01_Input'!$N$65,'01_Input'!$Q$65,0),IF('01_Input'!$P$65="Palier",IF(AND(Z$15&gt;='01_Input'!$N$65,Z$15&lt;'01_Input'!$O$65),'01_Input'!$Q$65,0),MAX(MIN(Z$15,'01_Input'!$O$65)-'01_Input'!$N$65,0)*'01_Input'!$Q$65))+IF('01_Input'!$T$65="Forfait",IF(Z$15&gt;='01_Input'!$R$65,'01_Input'!$U$65,0),IF('01_Input'!$T$65="Palier",IF(AND(Z$15&gt;='01_Input'!$R$65,Z$15&lt;'01_Input'!$S$65),'01_Input'!$U$65,0),MAX(MIN(Z$15,'01_Input'!$S$65)-'01_Input'!$R$65,0)*'01_Input'!$U$65))+IF('01_Input'!$X$65="Forfait",IF(Z$15&gt;='01_Input'!$V$65,'01_Input'!$Y$65,0),IF('01_Input'!$X$65="Palier",IF(AND(Z$15&gt;='01_Input'!$V$65,Z$15&lt;'01_Input'!$W$65),'01_Input'!$Y$65,0),MAX(MIN(Z$15,'01_Input'!$W$65)-'01_Input'!$V$65,0)*'01_Input'!$Y$65))+IF('01_Input'!$AB$65="Forfait",IF(Z$15&gt;='01_Input'!$Z$65,'01_Input'!$AC$65,0),IF('01_Input'!$AB$65="Palier",IF(AND(Z$15&gt;='01_Input'!$Z$65,Z$15&lt;'01_Input'!$AA$65),'01_Input'!$AC$65,0),MAX(MIN(Z$15,'01_Input'!$AA$65)-'01_Input'!$Z$65,0)*'01_Input'!$AC$65))))))))))</f>
        <v/>
      </c>
      <c r="AA56" s="25" t="str">
        <f>IF(AA$15="","",IF('01_Input'!$C$65="Non",0,MIN('01_Input'!$I$65,MAX('01_Input'!$H$65,IF('01_Input'!$G$65="Résiduel vs Gestion",0,IF('01_Input'!$G$65="Taux Classe sélectionnée",Distrib_Global_Classe_Selectionnee*AA$15,IF('01_Input'!$G$65="Frais KYC (paliers de 100M€)",MAX(0,Nb_Investisseurs-Nb_KYC_Gratuites_Par_Tranche*(FLOOR(AA$15/Taille_Tranche_KYC,1)+1))*Cout_Par_KYC_Supplementaire,(IF('01_Input'!$L$65="Forfait",IF(AA$15&gt;='01_Input'!$J$65,'01_Input'!$M$65,0),IF('01_Input'!$L$65="Palier",IF(AND(AA$15&gt;='01_Input'!$J$65,AA$15&lt;'01_Input'!$K$65),'01_Input'!$M$65,0),MAX(MIN(AA$15,'01_Input'!$K$65)-'01_Input'!$J$65,0)*'01_Input'!$M$65))+IF('01_Input'!$P$65="Forfait",IF(AA$15&gt;='01_Input'!$N$65,'01_Input'!$Q$65,0),IF('01_Input'!$P$65="Palier",IF(AND(AA$15&gt;='01_Input'!$N$65,AA$15&lt;'01_Input'!$O$65),'01_Input'!$Q$65,0),MAX(MIN(AA$15,'01_Input'!$O$65)-'01_Input'!$N$65,0)*'01_Input'!$Q$65))+IF('01_Input'!$T$65="Forfait",IF(AA$15&gt;='01_Input'!$R$65,'01_Input'!$U$65,0),IF('01_Input'!$T$65="Palier",IF(AND(AA$15&gt;='01_Input'!$R$65,AA$15&lt;'01_Input'!$S$65),'01_Input'!$U$65,0),MAX(MIN(AA$15,'01_Input'!$S$65)-'01_Input'!$R$65,0)*'01_Input'!$U$65))+IF('01_Input'!$X$65="Forfait",IF(AA$15&gt;='01_Input'!$V$65,'01_Input'!$Y$65,0),IF('01_Input'!$X$65="Palier",IF(AND(AA$15&gt;='01_Input'!$V$65,AA$15&lt;'01_Input'!$W$65),'01_Input'!$Y$65,0),MAX(MIN(AA$15,'01_Input'!$W$65)-'01_Input'!$V$65,0)*'01_Input'!$Y$65))+IF('01_Input'!$AB$65="Forfait",IF(AA$15&gt;='01_Input'!$Z$65,'01_Input'!$AC$65,0),IF('01_Input'!$AB$65="Palier",IF(AND(AA$15&gt;='01_Input'!$Z$65,AA$15&lt;'01_Input'!$AA$65),'01_Input'!$AC$65,0),MAX(MIN(AA$15,'01_Input'!$AA$65)-'01_Input'!$Z$65,0)*'01_Input'!$AC$65))))))))))</f>
        <v/>
      </c>
      <c r="AB56" s="25" t="str">
        <f>IF(AB$15="","",IF('01_Input'!$C$65="Non",0,MIN('01_Input'!$I$65,MAX('01_Input'!$H$65,IF('01_Input'!$G$65="Résiduel vs Gestion",0,IF('01_Input'!$G$65="Taux Classe sélectionnée",Distrib_Global_Classe_Selectionnee*AB$15,IF('01_Input'!$G$65="Frais KYC (paliers de 100M€)",MAX(0,Nb_Investisseurs-Nb_KYC_Gratuites_Par_Tranche*(FLOOR(AB$15/Taille_Tranche_KYC,1)+1))*Cout_Par_KYC_Supplementaire,(IF('01_Input'!$L$65="Forfait",IF(AB$15&gt;='01_Input'!$J$65,'01_Input'!$M$65,0),IF('01_Input'!$L$65="Palier",IF(AND(AB$15&gt;='01_Input'!$J$65,AB$15&lt;'01_Input'!$K$65),'01_Input'!$M$65,0),MAX(MIN(AB$15,'01_Input'!$K$65)-'01_Input'!$J$65,0)*'01_Input'!$M$65))+IF('01_Input'!$P$65="Forfait",IF(AB$15&gt;='01_Input'!$N$65,'01_Input'!$Q$65,0),IF('01_Input'!$P$65="Palier",IF(AND(AB$15&gt;='01_Input'!$N$65,AB$15&lt;'01_Input'!$O$65),'01_Input'!$Q$65,0),MAX(MIN(AB$15,'01_Input'!$O$65)-'01_Input'!$N$65,0)*'01_Input'!$Q$65))+IF('01_Input'!$T$65="Forfait",IF(AB$15&gt;='01_Input'!$R$65,'01_Input'!$U$65,0),IF('01_Input'!$T$65="Palier",IF(AND(AB$15&gt;='01_Input'!$R$65,AB$15&lt;'01_Input'!$S$65),'01_Input'!$U$65,0),MAX(MIN(AB$15,'01_Input'!$S$65)-'01_Input'!$R$65,0)*'01_Input'!$U$65))+IF('01_Input'!$X$65="Forfait",IF(AB$15&gt;='01_Input'!$V$65,'01_Input'!$Y$65,0),IF('01_Input'!$X$65="Palier",IF(AND(AB$15&gt;='01_Input'!$V$65,AB$15&lt;'01_Input'!$W$65),'01_Input'!$Y$65,0),MAX(MIN(AB$15,'01_Input'!$W$65)-'01_Input'!$V$65,0)*'01_Input'!$Y$65))+IF('01_Input'!$AB$65="Forfait",IF(AB$15&gt;='01_Input'!$Z$65,'01_Input'!$AC$65,0),IF('01_Input'!$AB$65="Palier",IF(AND(AB$15&gt;='01_Input'!$Z$65,AB$15&lt;'01_Input'!$AA$65),'01_Input'!$AC$65,0),MAX(MIN(AB$15,'01_Input'!$AA$65)-'01_Input'!$Z$65,0)*'01_Input'!$AC$65))))))))))</f>
        <v/>
      </c>
      <c r="AC56" s="25" t="str">
        <f>IF(AC$15="","",IF('01_Input'!$C$65="Non",0,MIN('01_Input'!$I$65,MAX('01_Input'!$H$65,IF('01_Input'!$G$65="Résiduel vs Gestion",0,IF('01_Input'!$G$65="Taux Classe sélectionnée",Distrib_Global_Classe_Selectionnee*AC$15,IF('01_Input'!$G$65="Frais KYC (paliers de 100M€)",MAX(0,Nb_Investisseurs-Nb_KYC_Gratuites_Par_Tranche*(FLOOR(AC$15/Taille_Tranche_KYC,1)+1))*Cout_Par_KYC_Supplementaire,(IF('01_Input'!$L$65="Forfait",IF(AC$15&gt;='01_Input'!$J$65,'01_Input'!$M$65,0),IF('01_Input'!$L$65="Palier",IF(AND(AC$15&gt;='01_Input'!$J$65,AC$15&lt;'01_Input'!$K$65),'01_Input'!$M$65,0),MAX(MIN(AC$15,'01_Input'!$K$65)-'01_Input'!$J$65,0)*'01_Input'!$M$65))+IF('01_Input'!$P$65="Forfait",IF(AC$15&gt;='01_Input'!$N$65,'01_Input'!$Q$65,0),IF('01_Input'!$P$65="Palier",IF(AND(AC$15&gt;='01_Input'!$N$65,AC$15&lt;'01_Input'!$O$65),'01_Input'!$Q$65,0),MAX(MIN(AC$15,'01_Input'!$O$65)-'01_Input'!$N$65,0)*'01_Input'!$Q$65))+IF('01_Input'!$T$65="Forfait",IF(AC$15&gt;='01_Input'!$R$65,'01_Input'!$U$65,0),IF('01_Input'!$T$65="Palier",IF(AND(AC$15&gt;='01_Input'!$R$65,AC$15&lt;'01_Input'!$S$65),'01_Input'!$U$65,0),MAX(MIN(AC$15,'01_Input'!$S$65)-'01_Input'!$R$65,0)*'01_Input'!$U$65))+IF('01_Input'!$X$65="Forfait",IF(AC$15&gt;='01_Input'!$V$65,'01_Input'!$Y$65,0),IF('01_Input'!$X$65="Palier",IF(AND(AC$15&gt;='01_Input'!$V$65,AC$15&lt;'01_Input'!$W$65),'01_Input'!$Y$65,0),MAX(MIN(AC$15,'01_Input'!$W$65)-'01_Input'!$V$65,0)*'01_Input'!$Y$65))+IF('01_Input'!$AB$65="Forfait",IF(AC$15&gt;='01_Input'!$Z$65,'01_Input'!$AC$65,0),IF('01_Input'!$AB$65="Palier",IF(AND(AC$15&gt;='01_Input'!$Z$65,AC$15&lt;'01_Input'!$AA$65),'01_Input'!$AC$65,0),MAX(MIN(AC$15,'01_Input'!$AA$65)-'01_Input'!$Z$65,0)*'01_Input'!$AC$65))))))))))</f>
        <v/>
      </c>
      <c r="AD56" s="25" t="str">
        <f>IF(AD$15="","",IF('01_Input'!$C$65="Non",0,MIN('01_Input'!$I$65,MAX('01_Input'!$H$65,IF('01_Input'!$G$65="Résiduel vs Gestion",0,IF('01_Input'!$G$65="Taux Classe sélectionnée",Distrib_Global_Classe_Selectionnee*AD$15,IF('01_Input'!$G$65="Frais KYC (paliers de 100M€)",MAX(0,Nb_Investisseurs-Nb_KYC_Gratuites_Par_Tranche*(FLOOR(AD$15/Taille_Tranche_KYC,1)+1))*Cout_Par_KYC_Supplementaire,(IF('01_Input'!$L$65="Forfait",IF(AD$15&gt;='01_Input'!$J$65,'01_Input'!$M$65,0),IF('01_Input'!$L$65="Palier",IF(AND(AD$15&gt;='01_Input'!$J$65,AD$15&lt;'01_Input'!$K$65),'01_Input'!$M$65,0),MAX(MIN(AD$15,'01_Input'!$K$65)-'01_Input'!$J$65,0)*'01_Input'!$M$65))+IF('01_Input'!$P$65="Forfait",IF(AD$15&gt;='01_Input'!$N$65,'01_Input'!$Q$65,0),IF('01_Input'!$P$65="Palier",IF(AND(AD$15&gt;='01_Input'!$N$65,AD$15&lt;'01_Input'!$O$65),'01_Input'!$Q$65,0),MAX(MIN(AD$15,'01_Input'!$O$65)-'01_Input'!$N$65,0)*'01_Input'!$Q$65))+IF('01_Input'!$T$65="Forfait",IF(AD$15&gt;='01_Input'!$R$65,'01_Input'!$U$65,0),IF('01_Input'!$T$65="Palier",IF(AND(AD$15&gt;='01_Input'!$R$65,AD$15&lt;'01_Input'!$S$65),'01_Input'!$U$65,0),MAX(MIN(AD$15,'01_Input'!$S$65)-'01_Input'!$R$65,0)*'01_Input'!$U$65))+IF('01_Input'!$X$65="Forfait",IF(AD$15&gt;='01_Input'!$V$65,'01_Input'!$Y$65,0),IF('01_Input'!$X$65="Palier",IF(AND(AD$15&gt;='01_Input'!$V$65,AD$15&lt;'01_Input'!$W$65),'01_Input'!$Y$65,0),MAX(MIN(AD$15,'01_Input'!$W$65)-'01_Input'!$V$65,0)*'01_Input'!$Y$65))+IF('01_Input'!$AB$65="Forfait",IF(AD$15&gt;='01_Input'!$Z$65,'01_Input'!$AC$65,0),IF('01_Input'!$AB$65="Palier",IF(AND(AD$15&gt;='01_Input'!$Z$65,AD$15&lt;'01_Input'!$AA$65),'01_Input'!$AC$65,0),MAX(MIN(AD$15,'01_Input'!$AA$65)-'01_Input'!$Z$65,0)*'01_Input'!$AC$65))))))))))</f>
        <v/>
      </c>
      <c r="AE56" s="25" t="str">
        <f>IF(AE$15="","",IF('01_Input'!$C$65="Non",0,MIN('01_Input'!$I$65,MAX('01_Input'!$H$65,IF('01_Input'!$G$65="Résiduel vs Gestion",0,IF('01_Input'!$G$65="Taux Classe sélectionnée",Distrib_Global_Classe_Selectionnee*AE$15,IF('01_Input'!$G$65="Frais KYC (paliers de 100M€)",MAX(0,Nb_Investisseurs-Nb_KYC_Gratuites_Par_Tranche*(FLOOR(AE$15/Taille_Tranche_KYC,1)+1))*Cout_Par_KYC_Supplementaire,(IF('01_Input'!$L$65="Forfait",IF(AE$15&gt;='01_Input'!$J$65,'01_Input'!$M$65,0),IF('01_Input'!$L$65="Palier",IF(AND(AE$15&gt;='01_Input'!$J$65,AE$15&lt;'01_Input'!$K$65),'01_Input'!$M$65,0),MAX(MIN(AE$15,'01_Input'!$K$65)-'01_Input'!$J$65,0)*'01_Input'!$M$65))+IF('01_Input'!$P$65="Forfait",IF(AE$15&gt;='01_Input'!$N$65,'01_Input'!$Q$65,0),IF('01_Input'!$P$65="Palier",IF(AND(AE$15&gt;='01_Input'!$N$65,AE$15&lt;'01_Input'!$O$65),'01_Input'!$Q$65,0),MAX(MIN(AE$15,'01_Input'!$O$65)-'01_Input'!$N$65,0)*'01_Input'!$Q$65))+IF('01_Input'!$T$65="Forfait",IF(AE$15&gt;='01_Input'!$R$65,'01_Input'!$U$65,0),IF('01_Input'!$T$65="Palier",IF(AND(AE$15&gt;='01_Input'!$R$65,AE$15&lt;'01_Input'!$S$65),'01_Input'!$U$65,0),MAX(MIN(AE$15,'01_Input'!$S$65)-'01_Input'!$R$65,0)*'01_Input'!$U$65))+IF('01_Input'!$X$65="Forfait",IF(AE$15&gt;='01_Input'!$V$65,'01_Input'!$Y$65,0),IF('01_Input'!$X$65="Palier",IF(AND(AE$15&gt;='01_Input'!$V$65,AE$15&lt;'01_Input'!$W$65),'01_Input'!$Y$65,0),MAX(MIN(AE$15,'01_Input'!$W$65)-'01_Input'!$V$65,0)*'01_Input'!$Y$65))+IF('01_Input'!$AB$65="Forfait",IF(AE$15&gt;='01_Input'!$Z$65,'01_Input'!$AC$65,0),IF('01_Input'!$AB$65="Palier",IF(AND(AE$15&gt;='01_Input'!$Z$65,AE$15&lt;'01_Input'!$AA$65),'01_Input'!$AC$65,0),MAX(MIN(AE$15,'01_Input'!$AA$65)-'01_Input'!$Z$65,0)*'01_Input'!$AC$65))))))))))</f>
        <v/>
      </c>
      <c r="AF56" s="25" t="str">
        <f>IF(AF$15="","",IF('01_Input'!$C$65="Non",0,MIN('01_Input'!$I$65,MAX('01_Input'!$H$65,IF('01_Input'!$G$65="Résiduel vs Gestion",0,IF('01_Input'!$G$65="Taux Classe sélectionnée",Distrib_Global_Classe_Selectionnee*AF$15,IF('01_Input'!$G$65="Frais KYC (paliers de 100M€)",MAX(0,Nb_Investisseurs-Nb_KYC_Gratuites_Par_Tranche*(FLOOR(AF$15/Taille_Tranche_KYC,1)+1))*Cout_Par_KYC_Supplementaire,(IF('01_Input'!$L$65="Forfait",IF(AF$15&gt;='01_Input'!$J$65,'01_Input'!$M$65,0),IF('01_Input'!$L$65="Palier",IF(AND(AF$15&gt;='01_Input'!$J$65,AF$15&lt;'01_Input'!$K$65),'01_Input'!$M$65,0),MAX(MIN(AF$15,'01_Input'!$K$65)-'01_Input'!$J$65,0)*'01_Input'!$M$65))+IF('01_Input'!$P$65="Forfait",IF(AF$15&gt;='01_Input'!$N$65,'01_Input'!$Q$65,0),IF('01_Input'!$P$65="Palier",IF(AND(AF$15&gt;='01_Input'!$N$65,AF$15&lt;'01_Input'!$O$65),'01_Input'!$Q$65,0),MAX(MIN(AF$15,'01_Input'!$O$65)-'01_Input'!$N$65,0)*'01_Input'!$Q$65))+IF('01_Input'!$T$65="Forfait",IF(AF$15&gt;='01_Input'!$R$65,'01_Input'!$U$65,0),IF('01_Input'!$T$65="Palier",IF(AND(AF$15&gt;='01_Input'!$R$65,AF$15&lt;'01_Input'!$S$65),'01_Input'!$U$65,0),MAX(MIN(AF$15,'01_Input'!$S$65)-'01_Input'!$R$65,0)*'01_Input'!$U$65))+IF('01_Input'!$X$65="Forfait",IF(AF$15&gt;='01_Input'!$V$65,'01_Input'!$Y$65,0),IF('01_Input'!$X$65="Palier",IF(AND(AF$15&gt;='01_Input'!$V$65,AF$15&lt;'01_Input'!$W$65),'01_Input'!$Y$65,0),MAX(MIN(AF$15,'01_Input'!$W$65)-'01_Input'!$V$65,0)*'01_Input'!$Y$65))+IF('01_Input'!$AB$65="Forfait",IF(AF$15&gt;='01_Input'!$Z$65,'01_Input'!$AC$65,0),IF('01_Input'!$AB$65="Palier",IF(AND(AF$15&gt;='01_Input'!$Z$65,AF$15&lt;'01_Input'!$AA$65),'01_Input'!$AC$65,0),MAX(MIN(AF$15,'01_Input'!$AA$65)-'01_Input'!$Z$65,0)*'01_Input'!$AC$65))))))))))</f>
        <v/>
      </c>
      <c r="AG56" s="25" t="str">
        <f>IF(AG$15="","",IF('01_Input'!$C$65="Non",0,MIN('01_Input'!$I$65,MAX('01_Input'!$H$65,IF('01_Input'!$G$65="Résiduel vs Gestion",0,IF('01_Input'!$G$65="Taux Classe sélectionnée",Distrib_Global_Classe_Selectionnee*AG$15,IF('01_Input'!$G$65="Frais KYC (paliers de 100M€)",MAX(0,Nb_Investisseurs-Nb_KYC_Gratuites_Par_Tranche*(FLOOR(AG$15/Taille_Tranche_KYC,1)+1))*Cout_Par_KYC_Supplementaire,(IF('01_Input'!$L$65="Forfait",IF(AG$15&gt;='01_Input'!$J$65,'01_Input'!$M$65,0),IF('01_Input'!$L$65="Palier",IF(AND(AG$15&gt;='01_Input'!$J$65,AG$15&lt;'01_Input'!$K$65),'01_Input'!$M$65,0),MAX(MIN(AG$15,'01_Input'!$K$65)-'01_Input'!$J$65,0)*'01_Input'!$M$65))+IF('01_Input'!$P$65="Forfait",IF(AG$15&gt;='01_Input'!$N$65,'01_Input'!$Q$65,0),IF('01_Input'!$P$65="Palier",IF(AND(AG$15&gt;='01_Input'!$N$65,AG$15&lt;'01_Input'!$O$65),'01_Input'!$Q$65,0),MAX(MIN(AG$15,'01_Input'!$O$65)-'01_Input'!$N$65,0)*'01_Input'!$Q$65))+IF('01_Input'!$T$65="Forfait",IF(AG$15&gt;='01_Input'!$R$65,'01_Input'!$U$65,0),IF('01_Input'!$T$65="Palier",IF(AND(AG$15&gt;='01_Input'!$R$65,AG$15&lt;'01_Input'!$S$65),'01_Input'!$U$65,0),MAX(MIN(AG$15,'01_Input'!$S$65)-'01_Input'!$R$65,0)*'01_Input'!$U$65))+IF('01_Input'!$X$65="Forfait",IF(AG$15&gt;='01_Input'!$V$65,'01_Input'!$Y$65,0),IF('01_Input'!$X$65="Palier",IF(AND(AG$15&gt;='01_Input'!$V$65,AG$15&lt;'01_Input'!$W$65),'01_Input'!$Y$65,0),MAX(MIN(AG$15,'01_Input'!$W$65)-'01_Input'!$V$65,0)*'01_Input'!$Y$65))+IF('01_Input'!$AB$65="Forfait",IF(AG$15&gt;='01_Input'!$Z$65,'01_Input'!$AC$65,0),IF('01_Input'!$AB$65="Palier",IF(AND(AG$15&gt;='01_Input'!$Z$65,AG$15&lt;'01_Input'!$AA$65),'01_Input'!$AC$65,0),MAX(MIN(AG$15,'01_Input'!$AA$65)-'01_Input'!$Z$65,0)*'01_Input'!$AC$65))))))))))</f>
        <v/>
      </c>
      <c r="AH56" s="25" t="str">
        <f>IF(AH$15="","",IF('01_Input'!$C$65="Non",0,MIN('01_Input'!$I$65,MAX('01_Input'!$H$65,IF('01_Input'!$G$65="Résiduel vs Gestion",0,IF('01_Input'!$G$65="Taux Classe sélectionnée",Distrib_Global_Classe_Selectionnee*AH$15,IF('01_Input'!$G$65="Frais KYC (paliers de 100M€)",MAX(0,Nb_Investisseurs-Nb_KYC_Gratuites_Par_Tranche*(FLOOR(AH$15/Taille_Tranche_KYC,1)+1))*Cout_Par_KYC_Supplementaire,(IF('01_Input'!$L$65="Forfait",IF(AH$15&gt;='01_Input'!$J$65,'01_Input'!$M$65,0),IF('01_Input'!$L$65="Palier",IF(AND(AH$15&gt;='01_Input'!$J$65,AH$15&lt;'01_Input'!$K$65),'01_Input'!$M$65,0),MAX(MIN(AH$15,'01_Input'!$K$65)-'01_Input'!$J$65,0)*'01_Input'!$M$65))+IF('01_Input'!$P$65="Forfait",IF(AH$15&gt;='01_Input'!$N$65,'01_Input'!$Q$65,0),IF('01_Input'!$P$65="Palier",IF(AND(AH$15&gt;='01_Input'!$N$65,AH$15&lt;'01_Input'!$O$65),'01_Input'!$Q$65,0),MAX(MIN(AH$15,'01_Input'!$O$65)-'01_Input'!$N$65,0)*'01_Input'!$Q$65))+IF('01_Input'!$T$65="Forfait",IF(AH$15&gt;='01_Input'!$R$65,'01_Input'!$U$65,0),IF('01_Input'!$T$65="Palier",IF(AND(AH$15&gt;='01_Input'!$R$65,AH$15&lt;'01_Input'!$S$65),'01_Input'!$U$65,0),MAX(MIN(AH$15,'01_Input'!$S$65)-'01_Input'!$R$65,0)*'01_Input'!$U$65))+IF('01_Input'!$X$65="Forfait",IF(AH$15&gt;='01_Input'!$V$65,'01_Input'!$Y$65,0),IF('01_Input'!$X$65="Palier",IF(AND(AH$15&gt;='01_Input'!$V$65,AH$15&lt;'01_Input'!$W$65),'01_Input'!$Y$65,0),MAX(MIN(AH$15,'01_Input'!$W$65)-'01_Input'!$V$65,0)*'01_Input'!$Y$65))+IF('01_Input'!$AB$65="Forfait",IF(AH$15&gt;='01_Input'!$Z$65,'01_Input'!$AC$65,0),IF('01_Input'!$AB$65="Palier",IF(AND(AH$15&gt;='01_Input'!$Z$65,AH$15&lt;'01_Input'!$AA$65),'01_Input'!$AC$65,0),MAX(MIN(AH$15,'01_Input'!$AA$65)-'01_Input'!$Z$65,0)*'01_Input'!$AC$65))))))))))</f>
        <v/>
      </c>
      <c r="AI56" s="25" t="str">
        <f>IF(AI$15="","",IF('01_Input'!$C$65="Non",0,MIN('01_Input'!$I$65,MAX('01_Input'!$H$65,IF('01_Input'!$G$65="Résiduel vs Gestion",0,IF('01_Input'!$G$65="Taux Classe sélectionnée",Distrib_Global_Classe_Selectionnee*AI$15,IF('01_Input'!$G$65="Frais KYC (paliers de 100M€)",MAX(0,Nb_Investisseurs-Nb_KYC_Gratuites_Par_Tranche*(FLOOR(AI$15/Taille_Tranche_KYC,1)+1))*Cout_Par_KYC_Supplementaire,(IF('01_Input'!$L$65="Forfait",IF(AI$15&gt;='01_Input'!$J$65,'01_Input'!$M$65,0),IF('01_Input'!$L$65="Palier",IF(AND(AI$15&gt;='01_Input'!$J$65,AI$15&lt;'01_Input'!$K$65),'01_Input'!$M$65,0),MAX(MIN(AI$15,'01_Input'!$K$65)-'01_Input'!$J$65,0)*'01_Input'!$M$65))+IF('01_Input'!$P$65="Forfait",IF(AI$15&gt;='01_Input'!$N$65,'01_Input'!$Q$65,0),IF('01_Input'!$P$65="Palier",IF(AND(AI$15&gt;='01_Input'!$N$65,AI$15&lt;'01_Input'!$O$65),'01_Input'!$Q$65,0),MAX(MIN(AI$15,'01_Input'!$O$65)-'01_Input'!$N$65,0)*'01_Input'!$Q$65))+IF('01_Input'!$T$65="Forfait",IF(AI$15&gt;='01_Input'!$R$65,'01_Input'!$U$65,0),IF('01_Input'!$T$65="Palier",IF(AND(AI$15&gt;='01_Input'!$R$65,AI$15&lt;'01_Input'!$S$65),'01_Input'!$U$65,0),MAX(MIN(AI$15,'01_Input'!$S$65)-'01_Input'!$R$65,0)*'01_Input'!$U$65))+IF('01_Input'!$X$65="Forfait",IF(AI$15&gt;='01_Input'!$V$65,'01_Input'!$Y$65,0),IF('01_Input'!$X$65="Palier",IF(AND(AI$15&gt;='01_Input'!$V$65,AI$15&lt;'01_Input'!$W$65),'01_Input'!$Y$65,0),MAX(MIN(AI$15,'01_Input'!$W$65)-'01_Input'!$V$65,0)*'01_Input'!$Y$65))+IF('01_Input'!$AB$65="Forfait",IF(AI$15&gt;='01_Input'!$Z$65,'01_Input'!$AC$65,0),IF('01_Input'!$AB$65="Palier",IF(AND(AI$15&gt;='01_Input'!$Z$65,AI$15&lt;'01_Input'!$AA$65),'01_Input'!$AC$65,0),MAX(MIN(AI$15,'01_Input'!$AA$65)-'01_Input'!$Z$65,0)*'01_Input'!$AC$65))))))))))</f>
        <v/>
      </c>
      <c r="AJ56" s="25" t="str">
        <f>IF(AJ$15="","",IF('01_Input'!$C$65="Non",0,MIN('01_Input'!$I$65,MAX('01_Input'!$H$65,IF('01_Input'!$G$65="Résiduel vs Gestion",0,IF('01_Input'!$G$65="Taux Classe sélectionnée",Distrib_Global_Classe_Selectionnee*AJ$15,IF('01_Input'!$G$65="Frais KYC (paliers de 100M€)",MAX(0,Nb_Investisseurs-Nb_KYC_Gratuites_Par_Tranche*(FLOOR(AJ$15/Taille_Tranche_KYC,1)+1))*Cout_Par_KYC_Supplementaire,(IF('01_Input'!$L$65="Forfait",IF(AJ$15&gt;='01_Input'!$J$65,'01_Input'!$M$65,0),IF('01_Input'!$L$65="Palier",IF(AND(AJ$15&gt;='01_Input'!$J$65,AJ$15&lt;'01_Input'!$K$65),'01_Input'!$M$65,0),MAX(MIN(AJ$15,'01_Input'!$K$65)-'01_Input'!$J$65,0)*'01_Input'!$M$65))+IF('01_Input'!$P$65="Forfait",IF(AJ$15&gt;='01_Input'!$N$65,'01_Input'!$Q$65,0),IF('01_Input'!$P$65="Palier",IF(AND(AJ$15&gt;='01_Input'!$N$65,AJ$15&lt;'01_Input'!$O$65),'01_Input'!$Q$65,0),MAX(MIN(AJ$15,'01_Input'!$O$65)-'01_Input'!$N$65,0)*'01_Input'!$Q$65))+IF('01_Input'!$T$65="Forfait",IF(AJ$15&gt;='01_Input'!$R$65,'01_Input'!$U$65,0),IF('01_Input'!$T$65="Palier",IF(AND(AJ$15&gt;='01_Input'!$R$65,AJ$15&lt;'01_Input'!$S$65),'01_Input'!$U$65,0),MAX(MIN(AJ$15,'01_Input'!$S$65)-'01_Input'!$R$65,0)*'01_Input'!$U$65))+IF('01_Input'!$X$65="Forfait",IF(AJ$15&gt;='01_Input'!$V$65,'01_Input'!$Y$65,0),IF('01_Input'!$X$65="Palier",IF(AND(AJ$15&gt;='01_Input'!$V$65,AJ$15&lt;'01_Input'!$W$65),'01_Input'!$Y$65,0),MAX(MIN(AJ$15,'01_Input'!$W$65)-'01_Input'!$V$65,0)*'01_Input'!$Y$65))+IF('01_Input'!$AB$65="Forfait",IF(AJ$15&gt;='01_Input'!$Z$65,'01_Input'!$AC$65,0),IF('01_Input'!$AB$65="Palier",IF(AND(AJ$15&gt;='01_Input'!$Z$65,AJ$15&lt;'01_Input'!$AA$65),'01_Input'!$AC$65,0),MAX(MIN(AJ$15,'01_Input'!$AA$65)-'01_Input'!$Z$65,0)*'01_Input'!$AC$65))))))))))</f>
        <v/>
      </c>
      <c r="AK56" s="25" t="str">
        <f>IF(AK$15="","",IF('01_Input'!$C$65="Non",0,MIN('01_Input'!$I$65,MAX('01_Input'!$H$65,IF('01_Input'!$G$65="Résiduel vs Gestion",0,IF('01_Input'!$G$65="Taux Classe sélectionnée",Distrib_Global_Classe_Selectionnee*AK$15,IF('01_Input'!$G$65="Frais KYC (paliers de 100M€)",MAX(0,Nb_Investisseurs-Nb_KYC_Gratuites_Par_Tranche*(FLOOR(AK$15/Taille_Tranche_KYC,1)+1))*Cout_Par_KYC_Supplementaire,(IF('01_Input'!$L$65="Forfait",IF(AK$15&gt;='01_Input'!$J$65,'01_Input'!$M$65,0),IF('01_Input'!$L$65="Palier",IF(AND(AK$15&gt;='01_Input'!$J$65,AK$15&lt;'01_Input'!$K$65),'01_Input'!$M$65,0),MAX(MIN(AK$15,'01_Input'!$K$65)-'01_Input'!$J$65,0)*'01_Input'!$M$65))+IF('01_Input'!$P$65="Forfait",IF(AK$15&gt;='01_Input'!$N$65,'01_Input'!$Q$65,0),IF('01_Input'!$P$65="Palier",IF(AND(AK$15&gt;='01_Input'!$N$65,AK$15&lt;'01_Input'!$O$65),'01_Input'!$Q$65,0),MAX(MIN(AK$15,'01_Input'!$O$65)-'01_Input'!$N$65,0)*'01_Input'!$Q$65))+IF('01_Input'!$T$65="Forfait",IF(AK$15&gt;='01_Input'!$R$65,'01_Input'!$U$65,0),IF('01_Input'!$T$65="Palier",IF(AND(AK$15&gt;='01_Input'!$R$65,AK$15&lt;'01_Input'!$S$65),'01_Input'!$U$65,0),MAX(MIN(AK$15,'01_Input'!$S$65)-'01_Input'!$R$65,0)*'01_Input'!$U$65))+IF('01_Input'!$X$65="Forfait",IF(AK$15&gt;='01_Input'!$V$65,'01_Input'!$Y$65,0),IF('01_Input'!$X$65="Palier",IF(AND(AK$15&gt;='01_Input'!$V$65,AK$15&lt;'01_Input'!$W$65),'01_Input'!$Y$65,0),MAX(MIN(AK$15,'01_Input'!$W$65)-'01_Input'!$V$65,0)*'01_Input'!$Y$65))+IF('01_Input'!$AB$65="Forfait",IF(AK$15&gt;='01_Input'!$Z$65,'01_Input'!$AC$65,0),IF('01_Input'!$AB$65="Palier",IF(AND(AK$15&gt;='01_Input'!$Z$65,AK$15&lt;'01_Input'!$AA$65),'01_Input'!$AC$65,0),MAX(MIN(AK$15,'01_Input'!$AA$65)-'01_Input'!$Z$65,0)*'01_Input'!$AC$65))))))))))</f>
        <v/>
      </c>
      <c r="AL56" s="25" t="str">
        <f>IF(AL$15="","",IF('01_Input'!$C$65="Non",0,MIN('01_Input'!$I$65,MAX('01_Input'!$H$65,IF('01_Input'!$G$65="Résiduel vs Gestion",0,IF('01_Input'!$G$65="Taux Classe sélectionnée",Distrib_Global_Classe_Selectionnee*AL$15,IF('01_Input'!$G$65="Frais KYC (paliers de 100M€)",MAX(0,Nb_Investisseurs-Nb_KYC_Gratuites_Par_Tranche*(FLOOR(AL$15/Taille_Tranche_KYC,1)+1))*Cout_Par_KYC_Supplementaire,(IF('01_Input'!$L$65="Forfait",IF(AL$15&gt;='01_Input'!$J$65,'01_Input'!$M$65,0),IF('01_Input'!$L$65="Palier",IF(AND(AL$15&gt;='01_Input'!$J$65,AL$15&lt;'01_Input'!$K$65),'01_Input'!$M$65,0),MAX(MIN(AL$15,'01_Input'!$K$65)-'01_Input'!$J$65,0)*'01_Input'!$M$65))+IF('01_Input'!$P$65="Forfait",IF(AL$15&gt;='01_Input'!$N$65,'01_Input'!$Q$65,0),IF('01_Input'!$P$65="Palier",IF(AND(AL$15&gt;='01_Input'!$N$65,AL$15&lt;'01_Input'!$O$65),'01_Input'!$Q$65,0),MAX(MIN(AL$15,'01_Input'!$O$65)-'01_Input'!$N$65,0)*'01_Input'!$Q$65))+IF('01_Input'!$T$65="Forfait",IF(AL$15&gt;='01_Input'!$R$65,'01_Input'!$U$65,0),IF('01_Input'!$T$65="Palier",IF(AND(AL$15&gt;='01_Input'!$R$65,AL$15&lt;'01_Input'!$S$65),'01_Input'!$U$65,0),MAX(MIN(AL$15,'01_Input'!$S$65)-'01_Input'!$R$65,0)*'01_Input'!$U$65))+IF('01_Input'!$X$65="Forfait",IF(AL$15&gt;='01_Input'!$V$65,'01_Input'!$Y$65,0),IF('01_Input'!$X$65="Palier",IF(AND(AL$15&gt;='01_Input'!$V$65,AL$15&lt;'01_Input'!$W$65),'01_Input'!$Y$65,0),MAX(MIN(AL$15,'01_Input'!$W$65)-'01_Input'!$V$65,0)*'01_Input'!$Y$65))+IF('01_Input'!$AB$65="Forfait",IF(AL$15&gt;='01_Input'!$Z$65,'01_Input'!$AC$65,0),IF('01_Input'!$AB$65="Palier",IF(AND(AL$15&gt;='01_Input'!$Z$65,AL$15&lt;'01_Input'!$AA$65),'01_Input'!$AC$65,0),MAX(MIN(AL$15,'01_Input'!$AA$65)-'01_Input'!$Z$65,0)*'01_Input'!$AC$65))))))))))</f>
        <v/>
      </c>
      <c r="AM56" s="25" t="str">
        <f>IF(AM$15="","",IF('01_Input'!$C$65="Non",0,MIN('01_Input'!$I$65,MAX('01_Input'!$H$65,IF('01_Input'!$G$65="Résiduel vs Gestion",0,IF('01_Input'!$G$65="Taux Classe sélectionnée",Distrib_Global_Classe_Selectionnee*AM$15,IF('01_Input'!$G$65="Frais KYC (paliers de 100M€)",MAX(0,Nb_Investisseurs-Nb_KYC_Gratuites_Par_Tranche*(FLOOR(AM$15/Taille_Tranche_KYC,1)+1))*Cout_Par_KYC_Supplementaire,(IF('01_Input'!$L$65="Forfait",IF(AM$15&gt;='01_Input'!$J$65,'01_Input'!$M$65,0),IF('01_Input'!$L$65="Palier",IF(AND(AM$15&gt;='01_Input'!$J$65,AM$15&lt;'01_Input'!$K$65),'01_Input'!$M$65,0),MAX(MIN(AM$15,'01_Input'!$K$65)-'01_Input'!$J$65,0)*'01_Input'!$M$65))+IF('01_Input'!$P$65="Forfait",IF(AM$15&gt;='01_Input'!$N$65,'01_Input'!$Q$65,0),IF('01_Input'!$P$65="Palier",IF(AND(AM$15&gt;='01_Input'!$N$65,AM$15&lt;'01_Input'!$O$65),'01_Input'!$Q$65,0),MAX(MIN(AM$15,'01_Input'!$O$65)-'01_Input'!$N$65,0)*'01_Input'!$Q$65))+IF('01_Input'!$T$65="Forfait",IF(AM$15&gt;='01_Input'!$R$65,'01_Input'!$U$65,0),IF('01_Input'!$T$65="Palier",IF(AND(AM$15&gt;='01_Input'!$R$65,AM$15&lt;'01_Input'!$S$65),'01_Input'!$U$65,0),MAX(MIN(AM$15,'01_Input'!$S$65)-'01_Input'!$R$65,0)*'01_Input'!$U$65))+IF('01_Input'!$X$65="Forfait",IF(AM$15&gt;='01_Input'!$V$65,'01_Input'!$Y$65,0),IF('01_Input'!$X$65="Palier",IF(AND(AM$15&gt;='01_Input'!$V$65,AM$15&lt;'01_Input'!$W$65),'01_Input'!$Y$65,0),MAX(MIN(AM$15,'01_Input'!$W$65)-'01_Input'!$V$65,0)*'01_Input'!$Y$65))+IF('01_Input'!$AB$65="Forfait",IF(AM$15&gt;='01_Input'!$Z$65,'01_Input'!$AC$65,0),IF('01_Input'!$AB$65="Palier",IF(AND(AM$15&gt;='01_Input'!$Z$65,AM$15&lt;'01_Input'!$AA$65),'01_Input'!$AC$65,0),MAX(MIN(AM$15,'01_Input'!$AA$65)-'01_Input'!$Z$65,0)*'01_Input'!$AC$65))))))))))</f>
        <v/>
      </c>
    </row>
    <row r="57" ht="15.75" customHeight="1">
      <c r="B57" s="68" t="str">
        <f t="shared" si="1"/>
        <v>Frais de Constitution (hors barème — actif par défaut, voir 05_Tresorerie)</v>
      </c>
      <c r="D57" s="83">
        <f>IF(D$15="","",IF('01_Input'!$C$66="Non",0,MIN('01_Input'!$I$66,MAX('01_Input'!$H$66,IF('01_Input'!$G$66="Résiduel vs Gestion",0,IF('01_Input'!$G$66="Taux Classe sélectionnée",Distrib_Global_Classe_Selectionnee*D$15,IF('01_Input'!$G$66="Frais KYC (paliers de 100M€)",MAX(0,Nb_Investisseurs-Nb_KYC_Gratuites_Par_Tranche*(FLOOR(D$15/Taille_Tranche_KYC,1)+1))*Cout_Par_KYC_Supplementaire,(IF('01_Input'!$L$66="Forfait",IF(D$15&gt;='01_Input'!$J$66,'01_Input'!$M$66,0),IF('01_Input'!$L$66="Palier",IF(AND(D$15&gt;='01_Input'!$J$66,D$15&lt;'01_Input'!$K$66),'01_Input'!$M$66,0),MAX(MIN(D$15,'01_Input'!$K$66)-'01_Input'!$J$66,0)*'01_Input'!$M$66))+IF('01_Input'!$P$66="Forfait",IF(D$15&gt;='01_Input'!$N$66,'01_Input'!$Q$66,0),IF('01_Input'!$P$66="Palier",IF(AND(D$15&gt;='01_Input'!$N$66,D$15&lt;'01_Input'!$O$66),'01_Input'!$Q$66,0),MAX(MIN(D$15,'01_Input'!$O$66)-'01_Input'!$N$66,0)*'01_Input'!$Q$66))+IF('01_Input'!$T$66="Forfait",IF(D$15&gt;='01_Input'!$R$66,'01_Input'!$U$66,0),IF('01_Input'!$T$66="Palier",IF(AND(D$15&gt;='01_Input'!$R$66,D$15&lt;'01_Input'!$S$66),'01_Input'!$U$66,0),MAX(MIN(D$15,'01_Input'!$S$66)-'01_Input'!$R$66,0)*'01_Input'!$U$66))+IF('01_Input'!$X$66="Forfait",IF(D$15&gt;='01_Input'!$V$66,'01_Input'!$Y$66,0),IF('01_Input'!$X$66="Palier",IF(AND(D$15&gt;='01_Input'!$V$66,D$15&lt;'01_Input'!$W$66),'01_Input'!$Y$66,0),MAX(MIN(D$15,'01_Input'!$W$66)-'01_Input'!$V$66,0)*'01_Input'!$Y$66))+IF('01_Input'!$AB$66="Forfait",IF(D$15&gt;='01_Input'!$Z$66,'01_Input'!$AC$66,0),IF('01_Input'!$AB$66="Palier",IF(AND(D$15&gt;='01_Input'!$Z$66,D$15&lt;'01_Input'!$AA$66),'01_Input'!$AC$66,0),MAX(MIN(D$15,'01_Input'!$AA$66)-'01_Input'!$Z$66,0)*'01_Input'!$AC$66))))))))))</f>
        <v>0</v>
      </c>
      <c r="E57" s="83">
        <f>IF(E$15="","",IF('01_Input'!$C$66="Non",0,MIN('01_Input'!$I$66,MAX('01_Input'!$H$66,IF('01_Input'!$G$66="Résiduel vs Gestion",0,IF('01_Input'!$G$66="Taux Classe sélectionnée",Distrib_Global_Classe_Selectionnee*E$15,IF('01_Input'!$G$66="Frais KYC (paliers de 100M€)",MAX(0,Nb_Investisseurs-Nb_KYC_Gratuites_Par_Tranche*(FLOOR(E$15/Taille_Tranche_KYC,1)+1))*Cout_Par_KYC_Supplementaire,(IF('01_Input'!$L$66="Forfait",IF(E$15&gt;='01_Input'!$J$66,'01_Input'!$M$66,0),IF('01_Input'!$L$66="Palier",IF(AND(E$15&gt;='01_Input'!$J$66,E$15&lt;'01_Input'!$K$66),'01_Input'!$M$66,0),MAX(MIN(E$15,'01_Input'!$K$66)-'01_Input'!$J$66,0)*'01_Input'!$M$66))+IF('01_Input'!$P$66="Forfait",IF(E$15&gt;='01_Input'!$N$66,'01_Input'!$Q$66,0),IF('01_Input'!$P$66="Palier",IF(AND(E$15&gt;='01_Input'!$N$66,E$15&lt;'01_Input'!$O$66),'01_Input'!$Q$66,0),MAX(MIN(E$15,'01_Input'!$O$66)-'01_Input'!$N$66,0)*'01_Input'!$Q$66))+IF('01_Input'!$T$66="Forfait",IF(E$15&gt;='01_Input'!$R$66,'01_Input'!$U$66,0),IF('01_Input'!$T$66="Palier",IF(AND(E$15&gt;='01_Input'!$R$66,E$15&lt;'01_Input'!$S$66),'01_Input'!$U$66,0),MAX(MIN(E$15,'01_Input'!$S$66)-'01_Input'!$R$66,0)*'01_Input'!$U$66))+IF('01_Input'!$X$66="Forfait",IF(E$15&gt;='01_Input'!$V$66,'01_Input'!$Y$66,0),IF('01_Input'!$X$66="Palier",IF(AND(E$15&gt;='01_Input'!$V$66,E$15&lt;'01_Input'!$W$66),'01_Input'!$Y$66,0),MAX(MIN(E$15,'01_Input'!$W$66)-'01_Input'!$V$66,0)*'01_Input'!$Y$66))+IF('01_Input'!$AB$66="Forfait",IF(E$15&gt;='01_Input'!$Z$66,'01_Input'!$AC$66,0),IF('01_Input'!$AB$66="Palier",IF(AND(E$15&gt;='01_Input'!$Z$66,E$15&lt;'01_Input'!$AA$66),'01_Input'!$AC$66,0),MAX(MIN(E$15,'01_Input'!$AA$66)-'01_Input'!$Z$66,0)*'01_Input'!$AC$66))))))))))</f>
        <v>0</v>
      </c>
      <c r="F57" s="83" t="str">
        <f>IF(F$15="","",IF('01_Input'!$C$66="Non",0,MIN('01_Input'!$I$66,MAX('01_Input'!$H$66,IF('01_Input'!$G$66="Résiduel vs Gestion",0,IF('01_Input'!$G$66="Taux Classe sélectionnée",Distrib_Global_Classe_Selectionnee*F$15,IF('01_Input'!$G$66="Frais KYC (paliers de 100M€)",MAX(0,Nb_Investisseurs-Nb_KYC_Gratuites_Par_Tranche*(FLOOR(F$15/Taille_Tranche_KYC,1)+1))*Cout_Par_KYC_Supplementaire,(IF('01_Input'!$L$66="Forfait",IF(F$15&gt;='01_Input'!$J$66,'01_Input'!$M$66,0),IF('01_Input'!$L$66="Palier",IF(AND(F$15&gt;='01_Input'!$J$66,F$15&lt;'01_Input'!$K$66),'01_Input'!$M$66,0),MAX(MIN(F$15,'01_Input'!$K$66)-'01_Input'!$J$66,0)*'01_Input'!$M$66))+IF('01_Input'!$P$66="Forfait",IF(F$15&gt;='01_Input'!$N$66,'01_Input'!$Q$66,0),IF('01_Input'!$P$66="Palier",IF(AND(F$15&gt;='01_Input'!$N$66,F$15&lt;'01_Input'!$O$66),'01_Input'!$Q$66,0),MAX(MIN(F$15,'01_Input'!$O$66)-'01_Input'!$N$66,0)*'01_Input'!$Q$66))+IF('01_Input'!$T$66="Forfait",IF(F$15&gt;='01_Input'!$R$66,'01_Input'!$U$66,0),IF('01_Input'!$T$66="Palier",IF(AND(F$15&gt;='01_Input'!$R$66,F$15&lt;'01_Input'!$S$66),'01_Input'!$U$66,0),MAX(MIN(F$15,'01_Input'!$S$66)-'01_Input'!$R$66,0)*'01_Input'!$U$66))+IF('01_Input'!$X$66="Forfait",IF(F$15&gt;='01_Input'!$V$66,'01_Input'!$Y$66,0),IF('01_Input'!$X$66="Palier",IF(AND(F$15&gt;='01_Input'!$V$66,F$15&lt;'01_Input'!$W$66),'01_Input'!$Y$66,0),MAX(MIN(F$15,'01_Input'!$W$66)-'01_Input'!$V$66,0)*'01_Input'!$Y$66))+IF('01_Input'!$AB$66="Forfait",IF(F$15&gt;='01_Input'!$Z$66,'01_Input'!$AC$66,0),IF('01_Input'!$AB$66="Palier",IF(AND(F$15&gt;='01_Input'!$Z$66,F$15&lt;'01_Input'!$AA$66),'01_Input'!$AC$66,0),MAX(MIN(F$15,'01_Input'!$AA$66)-'01_Input'!$Z$66,0)*'01_Input'!$AC$66))))))))))</f>
        <v/>
      </c>
      <c r="G57" s="83" t="str">
        <f>IF(G$15="","",IF('01_Input'!$C$66="Non",0,MIN('01_Input'!$I$66,MAX('01_Input'!$H$66,IF('01_Input'!$G$66="Résiduel vs Gestion",0,IF('01_Input'!$G$66="Taux Classe sélectionnée",Distrib_Global_Classe_Selectionnee*G$15,IF('01_Input'!$G$66="Frais KYC (paliers de 100M€)",MAX(0,Nb_Investisseurs-Nb_KYC_Gratuites_Par_Tranche*(FLOOR(G$15/Taille_Tranche_KYC,1)+1))*Cout_Par_KYC_Supplementaire,(IF('01_Input'!$L$66="Forfait",IF(G$15&gt;='01_Input'!$J$66,'01_Input'!$M$66,0),IF('01_Input'!$L$66="Palier",IF(AND(G$15&gt;='01_Input'!$J$66,G$15&lt;'01_Input'!$K$66),'01_Input'!$M$66,0),MAX(MIN(G$15,'01_Input'!$K$66)-'01_Input'!$J$66,0)*'01_Input'!$M$66))+IF('01_Input'!$P$66="Forfait",IF(G$15&gt;='01_Input'!$N$66,'01_Input'!$Q$66,0),IF('01_Input'!$P$66="Palier",IF(AND(G$15&gt;='01_Input'!$N$66,G$15&lt;'01_Input'!$O$66),'01_Input'!$Q$66,0),MAX(MIN(G$15,'01_Input'!$O$66)-'01_Input'!$N$66,0)*'01_Input'!$Q$66))+IF('01_Input'!$T$66="Forfait",IF(G$15&gt;='01_Input'!$R$66,'01_Input'!$U$66,0),IF('01_Input'!$T$66="Palier",IF(AND(G$15&gt;='01_Input'!$R$66,G$15&lt;'01_Input'!$S$66),'01_Input'!$U$66,0),MAX(MIN(G$15,'01_Input'!$S$66)-'01_Input'!$R$66,0)*'01_Input'!$U$66))+IF('01_Input'!$X$66="Forfait",IF(G$15&gt;='01_Input'!$V$66,'01_Input'!$Y$66,0),IF('01_Input'!$X$66="Palier",IF(AND(G$15&gt;='01_Input'!$V$66,G$15&lt;'01_Input'!$W$66),'01_Input'!$Y$66,0),MAX(MIN(G$15,'01_Input'!$W$66)-'01_Input'!$V$66,0)*'01_Input'!$Y$66))+IF('01_Input'!$AB$66="Forfait",IF(G$15&gt;='01_Input'!$Z$66,'01_Input'!$AC$66,0),IF('01_Input'!$AB$66="Palier",IF(AND(G$15&gt;='01_Input'!$Z$66,G$15&lt;'01_Input'!$AA$66),'01_Input'!$AC$66,0),MAX(MIN(G$15,'01_Input'!$AA$66)-'01_Input'!$Z$66,0)*'01_Input'!$AC$66))))))))))</f>
        <v/>
      </c>
      <c r="H57" s="83" t="str">
        <f>IF(H$15="","",IF('01_Input'!$C$66="Non",0,MIN('01_Input'!$I$66,MAX('01_Input'!$H$66,IF('01_Input'!$G$66="Résiduel vs Gestion",0,IF('01_Input'!$G$66="Taux Classe sélectionnée",Distrib_Global_Classe_Selectionnee*H$15,IF('01_Input'!$G$66="Frais KYC (paliers de 100M€)",MAX(0,Nb_Investisseurs-Nb_KYC_Gratuites_Par_Tranche*(FLOOR(H$15/Taille_Tranche_KYC,1)+1))*Cout_Par_KYC_Supplementaire,(IF('01_Input'!$L$66="Forfait",IF(H$15&gt;='01_Input'!$J$66,'01_Input'!$M$66,0),IF('01_Input'!$L$66="Palier",IF(AND(H$15&gt;='01_Input'!$J$66,H$15&lt;'01_Input'!$K$66),'01_Input'!$M$66,0),MAX(MIN(H$15,'01_Input'!$K$66)-'01_Input'!$J$66,0)*'01_Input'!$M$66))+IF('01_Input'!$P$66="Forfait",IF(H$15&gt;='01_Input'!$N$66,'01_Input'!$Q$66,0),IF('01_Input'!$P$66="Palier",IF(AND(H$15&gt;='01_Input'!$N$66,H$15&lt;'01_Input'!$O$66),'01_Input'!$Q$66,0),MAX(MIN(H$15,'01_Input'!$O$66)-'01_Input'!$N$66,0)*'01_Input'!$Q$66))+IF('01_Input'!$T$66="Forfait",IF(H$15&gt;='01_Input'!$R$66,'01_Input'!$U$66,0),IF('01_Input'!$T$66="Palier",IF(AND(H$15&gt;='01_Input'!$R$66,H$15&lt;'01_Input'!$S$66),'01_Input'!$U$66,0),MAX(MIN(H$15,'01_Input'!$S$66)-'01_Input'!$R$66,0)*'01_Input'!$U$66))+IF('01_Input'!$X$66="Forfait",IF(H$15&gt;='01_Input'!$V$66,'01_Input'!$Y$66,0),IF('01_Input'!$X$66="Palier",IF(AND(H$15&gt;='01_Input'!$V$66,H$15&lt;'01_Input'!$W$66),'01_Input'!$Y$66,0),MAX(MIN(H$15,'01_Input'!$W$66)-'01_Input'!$V$66,0)*'01_Input'!$Y$66))+IF('01_Input'!$AB$66="Forfait",IF(H$15&gt;='01_Input'!$Z$66,'01_Input'!$AC$66,0),IF('01_Input'!$AB$66="Palier",IF(AND(H$15&gt;='01_Input'!$Z$66,H$15&lt;'01_Input'!$AA$66),'01_Input'!$AC$66,0),MAX(MIN(H$15,'01_Input'!$AA$66)-'01_Input'!$Z$66,0)*'01_Input'!$AC$66))))))))))</f>
        <v/>
      </c>
      <c r="I57" s="83" t="str">
        <f>IF(I$15="","",IF('01_Input'!$C$66="Non",0,MIN('01_Input'!$I$66,MAX('01_Input'!$H$66,IF('01_Input'!$G$66="Résiduel vs Gestion",0,IF('01_Input'!$G$66="Taux Classe sélectionnée",Distrib_Global_Classe_Selectionnee*I$15,IF('01_Input'!$G$66="Frais KYC (paliers de 100M€)",MAX(0,Nb_Investisseurs-Nb_KYC_Gratuites_Par_Tranche*(FLOOR(I$15/Taille_Tranche_KYC,1)+1))*Cout_Par_KYC_Supplementaire,(IF('01_Input'!$L$66="Forfait",IF(I$15&gt;='01_Input'!$J$66,'01_Input'!$M$66,0),IF('01_Input'!$L$66="Palier",IF(AND(I$15&gt;='01_Input'!$J$66,I$15&lt;'01_Input'!$K$66),'01_Input'!$M$66,0),MAX(MIN(I$15,'01_Input'!$K$66)-'01_Input'!$J$66,0)*'01_Input'!$M$66))+IF('01_Input'!$P$66="Forfait",IF(I$15&gt;='01_Input'!$N$66,'01_Input'!$Q$66,0),IF('01_Input'!$P$66="Palier",IF(AND(I$15&gt;='01_Input'!$N$66,I$15&lt;'01_Input'!$O$66),'01_Input'!$Q$66,0),MAX(MIN(I$15,'01_Input'!$O$66)-'01_Input'!$N$66,0)*'01_Input'!$Q$66))+IF('01_Input'!$T$66="Forfait",IF(I$15&gt;='01_Input'!$R$66,'01_Input'!$U$66,0),IF('01_Input'!$T$66="Palier",IF(AND(I$15&gt;='01_Input'!$R$66,I$15&lt;'01_Input'!$S$66),'01_Input'!$U$66,0),MAX(MIN(I$15,'01_Input'!$S$66)-'01_Input'!$R$66,0)*'01_Input'!$U$66))+IF('01_Input'!$X$66="Forfait",IF(I$15&gt;='01_Input'!$V$66,'01_Input'!$Y$66,0),IF('01_Input'!$X$66="Palier",IF(AND(I$15&gt;='01_Input'!$V$66,I$15&lt;'01_Input'!$W$66),'01_Input'!$Y$66,0),MAX(MIN(I$15,'01_Input'!$W$66)-'01_Input'!$V$66,0)*'01_Input'!$Y$66))+IF('01_Input'!$AB$66="Forfait",IF(I$15&gt;='01_Input'!$Z$66,'01_Input'!$AC$66,0),IF('01_Input'!$AB$66="Palier",IF(AND(I$15&gt;='01_Input'!$Z$66,I$15&lt;'01_Input'!$AA$66),'01_Input'!$AC$66,0),MAX(MIN(I$15,'01_Input'!$AA$66)-'01_Input'!$Z$66,0)*'01_Input'!$AC$66))))))))))</f>
        <v/>
      </c>
      <c r="J57" s="83" t="str">
        <f>IF(J$15="","",IF('01_Input'!$C$66="Non",0,MIN('01_Input'!$I$66,MAX('01_Input'!$H$66,IF('01_Input'!$G$66="Résiduel vs Gestion",0,IF('01_Input'!$G$66="Taux Classe sélectionnée",Distrib_Global_Classe_Selectionnee*J$15,IF('01_Input'!$G$66="Frais KYC (paliers de 100M€)",MAX(0,Nb_Investisseurs-Nb_KYC_Gratuites_Par_Tranche*(FLOOR(J$15/Taille_Tranche_KYC,1)+1))*Cout_Par_KYC_Supplementaire,(IF('01_Input'!$L$66="Forfait",IF(J$15&gt;='01_Input'!$J$66,'01_Input'!$M$66,0),IF('01_Input'!$L$66="Palier",IF(AND(J$15&gt;='01_Input'!$J$66,J$15&lt;'01_Input'!$K$66),'01_Input'!$M$66,0),MAX(MIN(J$15,'01_Input'!$K$66)-'01_Input'!$J$66,0)*'01_Input'!$M$66))+IF('01_Input'!$P$66="Forfait",IF(J$15&gt;='01_Input'!$N$66,'01_Input'!$Q$66,0),IF('01_Input'!$P$66="Palier",IF(AND(J$15&gt;='01_Input'!$N$66,J$15&lt;'01_Input'!$O$66),'01_Input'!$Q$66,0),MAX(MIN(J$15,'01_Input'!$O$66)-'01_Input'!$N$66,0)*'01_Input'!$Q$66))+IF('01_Input'!$T$66="Forfait",IF(J$15&gt;='01_Input'!$R$66,'01_Input'!$U$66,0),IF('01_Input'!$T$66="Palier",IF(AND(J$15&gt;='01_Input'!$R$66,J$15&lt;'01_Input'!$S$66),'01_Input'!$U$66,0),MAX(MIN(J$15,'01_Input'!$S$66)-'01_Input'!$R$66,0)*'01_Input'!$U$66))+IF('01_Input'!$X$66="Forfait",IF(J$15&gt;='01_Input'!$V$66,'01_Input'!$Y$66,0),IF('01_Input'!$X$66="Palier",IF(AND(J$15&gt;='01_Input'!$V$66,J$15&lt;'01_Input'!$W$66),'01_Input'!$Y$66,0),MAX(MIN(J$15,'01_Input'!$W$66)-'01_Input'!$V$66,0)*'01_Input'!$Y$66))+IF('01_Input'!$AB$66="Forfait",IF(J$15&gt;='01_Input'!$Z$66,'01_Input'!$AC$66,0),IF('01_Input'!$AB$66="Palier",IF(AND(J$15&gt;='01_Input'!$Z$66,J$15&lt;'01_Input'!$AA$66),'01_Input'!$AC$66,0),MAX(MIN(J$15,'01_Input'!$AA$66)-'01_Input'!$Z$66,0)*'01_Input'!$AC$66))))))))))</f>
        <v/>
      </c>
      <c r="K57" s="83" t="str">
        <f>IF(K$15="","",IF('01_Input'!$C$66="Non",0,MIN('01_Input'!$I$66,MAX('01_Input'!$H$66,IF('01_Input'!$G$66="Résiduel vs Gestion",0,IF('01_Input'!$G$66="Taux Classe sélectionnée",Distrib_Global_Classe_Selectionnee*K$15,IF('01_Input'!$G$66="Frais KYC (paliers de 100M€)",MAX(0,Nb_Investisseurs-Nb_KYC_Gratuites_Par_Tranche*(FLOOR(K$15/Taille_Tranche_KYC,1)+1))*Cout_Par_KYC_Supplementaire,(IF('01_Input'!$L$66="Forfait",IF(K$15&gt;='01_Input'!$J$66,'01_Input'!$M$66,0),IF('01_Input'!$L$66="Palier",IF(AND(K$15&gt;='01_Input'!$J$66,K$15&lt;'01_Input'!$K$66),'01_Input'!$M$66,0),MAX(MIN(K$15,'01_Input'!$K$66)-'01_Input'!$J$66,0)*'01_Input'!$M$66))+IF('01_Input'!$P$66="Forfait",IF(K$15&gt;='01_Input'!$N$66,'01_Input'!$Q$66,0),IF('01_Input'!$P$66="Palier",IF(AND(K$15&gt;='01_Input'!$N$66,K$15&lt;'01_Input'!$O$66),'01_Input'!$Q$66,0),MAX(MIN(K$15,'01_Input'!$O$66)-'01_Input'!$N$66,0)*'01_Input'!$Q$66))+IF('01_Input'!$T$66="Forfait",IF(K$15&gt;='01_Input'!$R$66,'01_Input'!$U$66,0),IF('01_Input'!$T$66="Palier",IF(AND(K$15&gt;='01_Input'!$R$66,K$15&lt;'01_Input'!$S$66),'01_Input'!$U$66,0),MAX(MIN(K$15,'01_Input'!$S$66)-'01_Input'!$R$66,0)*'01_Input'!$U$66))+IF('01_Input'!$X$66="Forfait",IF(K$15&gt;='01_Input'!$V$66,'01_Input'!$Y$66,0),IF('01_Input'!$X$66="Palier",IF(AND(K$15&gt;='01_Input'!$V$66,K$15&lt;'01_Input'!$W$66),'01_Input'!$Y$66,0),MAX(MIN(K$15,'01_Input'!$W$66)-'01_Input'!$V$66,0)*'01_Input'!$Y$66))+IF('01_Input'!$AB$66="Forfait",IF(K$15&gt;='01_Input'!$Z$66,'01_Input'!$AC$66,0),IF('01_Input'!$AB$66="Palier",IF(AND(K$15&gt;='01_Input'!$Z$66,K$15&lt;'01_Input'!$AA$66),'01_Input'!$AC$66,0),MAX(MIN(K$15,'01_Input'!$AA$66)-'01_Input'!$Z$66,0)*'01_Input'!$AC$66))))))))))</f>
        <v/>
      </c>
      <c r="L57" s="83" t="str">
        <f>IF(L$15="","",IF('01_Input'!$C$66="Non",0,MIN('01_Input'!$I$66,MAX('01_Input'!$H$66,IF('01_Input'!$G$66="Résiduel vs Gestion",0,IF('01_Input'!$G$66="Taux Classe sélectionnée",Distrib_Global_Classe_Selectionnee*L$15,IF('01_Input'!$G$66="Frais KYC (paliers de 100M€)",MAX(0,Nb_Investisseurs-Nb_KYC_Gratuites_Par_Tranche*(FLOOR(L$15/Taille_Tranche_KYC,1)+1))*Cout_Par_KYC_Supplementaire,(IF('01_Input'!$L$66="Forfait",IF(L$15&gt;='01_Input'!$J$66,'01_Input'!$M$66,0),IF('01_Input'!$L$66="Palier",IF(AND(L$15&gt;='01_Input'!$J$66,L$15&lt;'01_Input'!$K$66),'01_Input'!$M$66,0),MAX(MIN(L$15,'01_Input'!$K$66)-'01_Input'!$J$66,0)*'01_Input'!$M$66))+IF('01_Input'!$P$66="Forfait",IF(L$15&gt;='01_Input'!$N$66,'01_Input'!$Q$66,0),IF('01_Input'!$P$66="Palier",IF(AND(L$15&gt;='01_Input'!$N$66,L$15&lt;'01_Input'!$O$66),'01_Input'!$Q$66,0),MAX(MIN(L$15,'01_Input'!$O$66)-'01_Input'!$N$66,0)*'01_Input'!$Q$66))+IF('01_Input'!$T$66="Forfait",IF(L$15&gt;='01_Input'!$R$66,'01_Input'!$U$66,0),IF('01_Input'!$T$66="Palier",IF(AND(L$15&gt;='01_Input'!$R$66,L$15&lt;'01_Input'!$S$66),'01_Input'!$U$66,0),MAX(MIN(L$15,'01_Input'!$S$66)-'01_Input'!$R$66,0)*'01_Input'!$U$66))+IF('01_Input'!$X$66="Forfait",IF(L$15&gt;='01_Input'!$V$66,'01_Input'!$Y$66,0),IF('01_Input'!$X$66="Palier",IF(AND(L$15&gt;='01_Input'!$V$66,L$15&lt;'01_Input'!$W$66),'01_Input'!$Y$66,0),MAX(MIN(L$15,'01_Input'!$W$66)-'01_Input'!$V$66,0)*'01_Input'!$Y$66))+IF('01_Input'!$AB$66="Forfait",IF(L$15&gt;='01_Input'!$Z$66,'01_Input'!$AC$66,0),IF('01_Input'!$AB$66="Palier",IF(AND(L$15&gt;='01_Input'!$Z$66,L$15&lt;'01_Input'!$AA$66),'01_Input'!$AC$66,0),MAX(MIN(L$15,'01_Input'!$AA$66)-'01_Input'!$Z$66,0)*'01_Input'!$AC$66))))))))))</f>
        <v/>
      </c>
      <c r="M57" s="83" t="str">
        <f>IF(M$15="","",IF('01_Input'!$C$66="Non",0,MIN('01_Input'!$I$66,MAX('01_Input'!$H$66,IF('01_Input'!$G$66="Résiduel vs Gestion",0,IF('01_Input'!$G$66="Taux Classe sélectionnée",Distrib_Global_Classe_Selectionnee*M$15,IF('01_Input'!$G$66="Frais KYC (paliers de 100M€)",MAX(0,Nb_Investisseurs-Nb_KYC_Gratuites_Par_Tranche*(FLOOR(M$15/Taille_Tranche_KYC,1)+1))*Cout_Par_KYC_Supplementaire,(IF('01_Input'!$L$66="Forfait",IF(M$15&gt;='01_Input'!$J$66,'01_Input'!$M$66,0),IF('01_Input'!$L$66="Palier",IF(AND(M$15&gt;='01_Input'!$J$66,M$15&lt;'01_Input'!$K$66),'01_Input'!$M$66,0),MAX(MIN(M$15,'01_Input'!$K$66)-'01_Input'!$J$66,0)*'01_Input'!$M$66))+IF('01_Input'!$P$66="Forfait",IF(M$15&gt;='01_Input'!$N$66,'01_Input'!$Q$66,0),IF('01_Input'!$P$66="Palier",IF(AND(M$15&gt;='01_Input'!$N$66,M$15&lt;'01_Input'!$O$66),'01_Input'!$Q$66,0),MAX(MIN(M$15,'01_Input'!$O$66)-'01_Input'!$N$66,0)*'01_Input'!$Q$66))+IF('01_Input'!$T$66="Forfait",IF(M$15&gt;='01_Input'!$R$66,'01_Input'!$U$66,0),IF('01_Input'!$T$66="Palier",IF(AND(M$15&gt;='01_Input'!$R$66,M$15&lt;'01_Input'!$S$66),'01_Input'!$U$66,0),MAX(MIN(M$15,'01_Input'!$S$66)-'01_Input'!$R$66,0)*'01_Input'!$U$66))+IF('01_Input'!$X$66="Forfait",IF(M$15&gt;='01_Input'!$V$66,'01_Input'!$Y$66,0),IF('01_Input'!$X$66="Palier",IF(AND(M$15&gt;='01_Input'!$V$66,M$15&lt;'01_Input'!$W$66),'01_Input'!$Y$66,0),MAX(MIN(M$15,'01_Input'!$W$66)-'01_Input'!$V$66,0)*'01_Input'!$Y$66))+IF('01_Input'!$AB$66="Forfait",IF(M$15&gt;='01_Input'!$Z$66,'01_Input'!$AC$66,0),IF('01_Input'!$AB$66="Palier",IF(AND(M$15&gt;='01_Input'!$Z$66,M$15&lt;'01_Input'!$AA$66),'01_Input'!$AC$66,0),MAX(MIN(M$15,'01_Input'!$AA$66)-'01_Input'!$Z$66,0)*'01_Input'!$AC$66))))))))))</f>
        <v/>
      </c>
      <c r="N57" s="83" t="str">
        <f>IF(N$15="","",IF('01_Input'!$C$66="Non",0,MIN('01_Input'!$I$66,MAX('01_Input'!$H$66,IF('01_Input'!$G$66="Résiduel vs Gestion",0,IF('01_Input'!$G$66="Taux Classe sélectionnée",Distrib_Global_Classe_Selectionnee*N$15,IF('01_Input'!$G$66="Frais KYC (paliers de 100M€)",MAX(0,Nb_Investisseurs-Nb_KYC_Gratuites_Par_Tranche*(FLOOR(N$15/Taille_Tranche_KYC,1)+1))*Cout_Par_KYC_Supplementaire,(IF('01_Input'!$L$66="Forfait",IF(N$15&gt;='01_Input'!$J$66,'01_Input'!$M$66,0),IF('01_Input'!$L$66="Palier",IF(AND(N$15&gt;='01_Input'!$J$66,N$15&lt;'01_Input'!$K$66),'01_Input'!$M$66,0),MAX(MIN(N$15,'01_Input'!$K$66)-'01_Input'!$J$66,0)*'01_Input'!$M$66))+IF('01_Input'!$P$66="Forfait",IF(N$15&gt;='01_Input'!$N$66,'01_Input'!$Q$66,0),IF('01_Input'!$P$66="Palier",IF(AND(N$15&gt;='01_Input'!$N$66,N$15&lt;'01_Input'!$O$66),'01_Input'!$Q$66,0),MAX(MIN(N$15,'01_Input'!$O$66)-'01_Input'!$N$66,0)*'01_Input'!$Q$66))+IF('01_Input'!$T$66="Forfait",IF(N$15&gt;='01_Input'!$R$66,'01_Input'!$U$66,0),IF('01_Input'!$T$66="Palier",IF(AND(N$15&gt;='01_Input'!$R$66,N$15&lt;'01_Input'!$S$66),'01_Input'!$U$66,0),MAX(MIN(N$15,'01_Input'!$S$66)-'01_Input'!$R$66,0)*'01_Input'!$U$66))+IF('01_Input'!$X$66="Forfait",IF(N$15&gt;='01_Input'!$V$66,'01_Input'!$Y$66,0),IF('01_Input'!$X$66="Palier",IF(AND(N$15&gt;='01_Input'!$V$66,N$15&lt;'01_Input'!$W$66),'01_Input'!$Y$66,0),MAX(MIN(N$15,'01_Input'!$W$66)-'01_Input'!$V$66,0)*'01_Input'!$Y$66))+IF('01_Input'!$AB$66="Forfait",IF(N$15&gt;='01_Input'!$Z$66,'01_Input'!$AC$66,0),IF('01_Input'!$AB$66="Palier",IF(AND(N$15&gt;='01_Input'!$Z$66,N$15&lt;'01_Input'!$AA$66),'01_Input'!$AC$66,0),MAX(MIN(N$15,'01_Input'!$AA$66)-'01_Input'!$Z$66,0)*'01_Input'!$AC$66))))))))))</f>
        <v/>
      </c>
      <c r="O57" s="83" t="str">
        <f>IF(O$15="","",IF('01_Input'!$C$66="Non",0,MIN('01_Input'!$I$66,MAX('01_Input'!$H$66,IF('01_Input'!$G$66="Résiduel vs Gestion",0,IF('01_Input'!$G$66="Taux Classe sélectionnée",Distrib_Global_Classe_Selectionnee*O$15,IF('01_Input'!$G$66="Frais KYC (paliers de 100M€)",MAX(0,Nb_Investisseurs-Nb_KYC_Gratuites_Par_Tranche*(FLOOR(O$15/Taille_Tranche_KYC,1)+1))*Cout_Par_KYC_Supplementaire,(IF('01_Input'!$L$66="Forfait",IF(O$15&gt;='01_Input'!$J$66,'01_Input'!$M$66,0),IF('01_Input'!$L$66="Palier",IF(AND(O$15&gt;='01_Input'!$J$66,O$15&lt;'01_Input'!$K$66),'01_Input'!$M$66,0),MAX(MIN(O$15,'01_Input'!$K$66)-'01_Input'!$J$66,0)*'01_Input'!$M$66))+IF('01_Input'!$P$66="Forfait",IF(O$15&gt;='01_Input'!$N$66,'01_Input'!$Q$66,0),IF('01_Input'!$P$66="Palier",IF(AND(O$15&gt;='01_Input'!$N$66,O$15&lt;'01_Input'!$O$66),'01_Input'!$Q$66,0),MAX(MIN(O$15,'01_Input'!$O$66)-'01_Input'!$N$66,0)*'01_Input'!$Q$66))+IF('01_Input'!$T$66="Forfait",IF(O$15&gt;='01_Input'!$R$66,'01_Input'!$U$66,0),IF('01_Input'!$T$66="Palier",IF(AND(O$15&gt;='01_Input'!$R$66,O$15&lt;'01_Input'!$S$66),'01_Input'!$U$66,0),MAX(MIN(O$15,'01_Input'!$S$66)-'01_Input'!$R$66,0)*'01_Input'!$U$66))+IF('01_Input'!$X$66="Forfait",IF(O$15&gt;='01_Input'!$V$66,'01_Input'!$Y$66,0),IF('01_Input'!$X$66="Palier",IF(AND(O$15&gt;='01_Input'!$V$66,O$15&lt;'01_Input'!$W$66),'01_Input'!$Y$66,0),MAX(MIN(O$15,'01_Input'!$W$66)-'01_Input'!$V$66,0)*'01_Input'!$Y$66))+IF('01_Input'!$AB$66="Forfait",IF(O$15&gt;='01_Input'!$Z$66,'01_Input'!$AC$66,0),IF('01_Input'!$AB$66="Palier",IF(AND(O$15&gt;='01_Input'!$Z$66,O$15&lt;'01_Input'!$AA$66),'01_Input'!$AC$66,0),MAX(MIN(O$15,'01_Input'!$AA$66)-'01_Input'!$Z$66,0)*'01_Input'!$AC$66))))))))))</f>
        <v/>
      </c>
      <c r="P57" s="83" t="str">
        <f>IF(P$15="","",IF('01_Input'!$C$66="Non",0,MIN('01_Input'!$I$66,MAX('01_Input'!$H$66,IF('01_Input'!$G$66="Résiduel vs Gestion",0,IF('01_Input'!$G$66="Taux Classe sélectionnée",Distrib_Global_Classe_Selectionnee*P$15,IF('01_Input'!$G$66="Frais KYC (paliers de 100M€)",MAX(0,Nb_Investisseurs-Nb_KYC_Gratuites_Par_Tranche*(FLOOR(P$15/Taille_Tranche_KYC,1)+1))*Cout_Par_KYC_Supplementaire,(IF('01_Input'!$L$66="Forfait",IF(P$15&gt;='01_Input'!$J$66,'01_Input'!$M$66,0),IF('01_Input'!$L$66="Palier",IF(AND(P$15&gt;='01_Input'!$J$66,P$15&lt;'01_Input'!$K$66),'01_Input'!$M$66,0),MAX(MIN(P$15,'01_Input'!$K$66)-'01_Input'!$J$66,0)*'01_Input'!$M$66))+IF('01_Input'!$P$66="Forfait",IF(P$15&gt;='01_Input'!$N$66,'01_Input'!$Q$66,0),IF('01_Input'!$P$66="Palier",IF(AND(P$15&gt;='01_Input'!$N$66,P$15&lt;'01_Input'!$O$66),'01_Input'!$Q$66,0),MAX(MIN(P$15,'01_Input'!$O$66)-'01_Input'!$N$66,0)*'01_Input'!$Q$66))+IF('01_Input'!$T$66="Forfait",IF(P$15&gt;='01_Input'!$R$66,'01_Input'!$U$66,0),IF('01_Input'!$T$66="Palier",IF(AND(P$15&gt;='01_Input'!$R$66,P$15&lt;'01_Input'!$S$66),'01_Input'!$U$66,0),MAX(MIN(P$15,'01_Input'!$S$66)-'01_Input'!$R$66,0)*'01_Input'!$U$66))+IF('01_Input'!$X$66="Forfait",IF(P$15&gt;='01_Input'!$V$66,'01_Input'!$Y$66,0),IF('01_Input'!$X$66="Palier",IF(AND(P$15&gt;='01_Input'!$V$66,P$15&lt;'01_Input'!$W$66),'01_Input'!$Y$66,0),MAX(MIN(P$15,'01_Input'!$W$66)-'01_Input'!$V$66,0)*'01_Input'!$Y$66))+IF('01_Input'!$AB$66="Forfait",IF(P$15&gt;='01_Input'!$Z$66,'01_Input'!$AC$66,0),IF('01_Input'!$AB$66="Palier",IF(AND(P$15&gt;='01_Input'!$Z$66,P$15&lt;'01_Input'!$AA$66),'01_Input'!$AC$66,0),MAX(MIN(P$15,'01_Input'!$AA$66)-'01_Input'!$Z$66,0)*'01_Input'!$AC$66))))))))))</f>
        <v/>
      </c>
      <c r="Q57" s="83" t="str">
        <f>IF(Q$15="","",IF('01_Input'!$C$66="Non",0,MIN('01_Input'!$I$66,MAX('01_Input'!$H$66,IF('01_Input'!$G$66="Résiduel vs Gestion",0,IF('01_Input'!$G$66="Taux Classe sélectionnée",Distrib_Global_Classe_Selectionnee*Q$15,IF('01_Input'!$G$66="Frais KYC (paliers de 100M€)",MAX(0,Nb_Investisseurs-Nb_KYC_Gratuites_Par_Tranche*(FLOOR(Q$15/Taille_Tranche_KYC,1)+1))*Cout_Par_KYC_Supplementaire,(IF('01_Input'!$L$66="Forfait",IF(Q$15&gt;='01_Input'!$J$66,'01_Input'!$M$66,0),IF('01_Input'!$L$66="Palier",IF(AND(Q$15&gt;='01_Input'!$J$66,Q$15&lt;'01_Input'!$K$66),'01_Input'!$M$66,0),MAX(MIN(Q$15,'01_Input'!$K$66)-'01_Input'!$J$66,0)*'01_Input'!$M$66))+IF('01_Input'!$P$66="Forfait",IF(Q$15&gt;='01_Input'!$N$66,'01_Input'!$Q$66,0),IF('01_Input'!$P$66="Palier",IF(AND(Q$15&gt;='01_Input'!$N$66,Q$15&lt;'01_Input'!$O$66),'01_Input'!$Q$66,0),MAX(MIN(Q$15,'01_Input'!$O$66)-'01_Input'!$N$66,0)*'01_Input'!$Q$66))+IF('01_Input'!$T$66="Forfait",IF(Q$15&gt;='01_Input'!$R$66,'01_Input'!$U$66,0),IF('01_Input'!$T$66="Palier",IF(AND(Q$15&gt;='01_Input'!$R$66,Q$15&lt;'01_Input'!$S$66),'01_Input'!$U$66,0),MAX(MIN(Q$15,'01_Input'!$S$66)-'01_Input'!$R$66,0)*'01_Input'!$U$66))+IF('01_Input'!$X$66="Forfait",IF(Q$15&gt;='01_Input'!$V$66,'01_Input'!$Y$66,0),IF('01_Input'!$X$66="Palier",IF(AND(Q$15&gt;='01_Input'!$V$66,Q$15&lt;'01_Input'!$W$66),'01_Input'!$Y$66,0),MAX(MIN(Q$15,'01_Input'!$W$66)-'01_Input'!$V$66,0)*'01_Input'!$Y$66))+IF('01_Input'!$AB$66="Forfait",IF(Q$15&gt;='01_Input'!$Z$66,'01_Input'!$AC$66,0),IF('01_Input'!$AB$66="Palier",IF(AND(Q$15&gt;='01_Input'!$Z$66,Q$15&lt;'01_Input'!$AA$66),'01_Input'!$AC$66,0),MAX(MIN(Q$15,'01_Input'!$AA$66)-'01_Input'!$Z$66,0)*'01_Input'!$AC$66))))))))))</f>
        <v/>
      </c>
      <c r="R57" s="83" t="str">
        <f>IF(R$15="","",IF('01_Input'!$C$66="Non",0,MIN('01_Input'!$I$66,MAX('01_Input'!$H$66,IF('01_Input'!$G$66="Résiduel vs Gestion",0,IF('01_Input'!$G$66="Taux Classe sélectionnée",Distrib_Global_Classe_Selectionnee*R$15,IF('01_Input'!$G$66="Frais KYC (paliers de 100M€)",MAX(0,Nb_Investisseurs-Nb_KYC_Gratuites_Par_Tranche*(FLOOR(R$15/Taille_Tranche_KYC,1)+1))*Cout_Par_KYC_Supplementaire,(IF('01_Input'!$L$66="Forfait",IF(R$15&gt;='01_Input'!$J$66,'01_Input'!$M$66,0),IF('01_Input'!$L$66="Palier",IF(AND(R$15&gt;='01_Input'!$J$66,R$15&lt;'01_Input'!$K$66),'01_Input'!$M$66,0),MAX(MIN(R$15,'01_Input'!$K$66)-'01_Input'!$J$66,0)*'01_Input'!$M$66))+IF('01_Input'!$P$66="Forfait",IF(R$15&gt;='01_Input'!$N$66,'01_Input'!$Q$66,0),IF('01_Input'!$P$66="Palier",IF(AND(R$15&gt;='01_Input'!$N$66,R$15&lt;'01_Input'!$O$66),'01_Input'!$Q$66,0),MAX(MIN(R$15,'01_Input'!$O$66)-'01_Input'!$N$66,0)*'01_Input'!$Q$66))+IF('01_Input'!$T$66="Forfait",IF(R$15&gt;='01_Input'!$R$66,'01_Input'!$U$66,0),IF('01_Input'!$T$66="Palier",IF(AND(R$15&gt;='01_Input'!$R$66,R$15&lt;'01_Input'!$S$66),'01_Input'!$U$66,0),MAX(MIN(R$15,'01_Input'!$S$66)-'01_Input'!$R$66,0)*'01_Input'!$U$66))+IF('01_Input'!$X$66="Forfait",IF(R$15&gt;='01_Input'!$V$66,'01_Input'!$Y$66,0),IF('01_Input'!$X$66="Palier",IF(AND(R$15&gt;='01_Input'!$V$66,R$15&lt;'01_Input'!$W$66),'01_Input'!$Y$66,0),MAX(MIN(R$15,'01_Input'!$W$66)-'01_Input'!$V$66,0)*'01_Input'!$Y$66))+IF('01_Input'!$AB$66="Forfait",IF(R$15&gt;='01_Input'!$Z$66,'01_Input'!$AC$66,0),IF('01_Input'!$AB$66="Palier",IF(AND(R$15&gt;='01_Input'!$Z$66,R$15&lt;'01_Input'!$AA$66),'01_Input'!$AC$66,0),MAX(MIN(R$15,'01_Input'!$AA$66)-'01_Input'!$Z$66,0)*'01_Input'!$AC$66))))))))))</f>
        <v/>
      </c>
      <c r="S57" s="83" t="str">
        <f>IF(S$15="","",IF('01_Input'!$C$66="Non",0,MIN('01_Input'!$I$66,MAX('01_Input'!$H$66,IF('01_Input'!$G$66="Résiduel vs Gestion",0,IF('01_Input'!$G$66="Taux Classe sélectionnée",Distrib_Global_Classe_Selectionnee*S$15,IF('01_Input'!$G$66="Frais KYC (paliers de 100M€)",MAX(0,Nb_Investisseurs-Nb_KYC_Gratuites_Par_Tranche*(FLOOR(S$15/Taille_Tranche_KYC,1)+1))*Cout_Par_KYC_Supplementaire,(IF('01_Input'!$L$66="Forfait",IF(S$15&gt;='01_Input'!$J$66,'01_Input'!$M$66,0),IF('01_Input'!$L$66="Palier",IF(AND(S$15&gt;='01_Input'!$J$66,S$15&lt;'01_Input'!$K$66),'01_Input'!$M$66,0),MAX(MIN(S$15,'01_Input'!$K$66)-'01_Input'!$J$66,0)*'01_Input'!$M$66))+IF('01_Input'!$P$66="Forfait",IF(S$15&gt;='01_Input'!$N$66,'01_Input'!$Q$66,0),IF('01_Input'!$P$66="Palier",IF(AND(S$15&gt;='01_Input'!$N$66,S$15&lt;'01_Input'!$O$66),'01_Input'!$Q$66,0),MAX(MIN(S$15,'01_Input'!$O$66)-'01_Input'!$N$66,0)*'01_Input'!$Q$66))+IF('01_Input'!$T$66="Forfait",IF(S$15&gt;='01_Input'!$R$66,'01_Input'!$U$66,0),IF('01_Input'!$T$66="Palier",IF(AND(S$15&gt;='01_Input'!$R$66,S$15&lt;'01_Input'!$S$66),'01_Input'!$U$66,0),MAX(MIN(S$15,'01_Input'!$S$66)-'01_Input'!$R$66,0)*'01_Input'!$U$66))+IF('01_Input'!$X$66="Forfait",IF(S$15&gt;='01_Input'!$V$66,'01_Input'!$Y$66,0),IF('01_Input'!$X$66="Palier",IF(AND(S$15&gt;='01_Input'!$V$66,S$15&lt;'01_Input'!$W$66),'01_Input'!$Y$66,0),MAX(MIN(S$15,'01_Input'!$W$66)-'01_Input'!$V$66,0)*'01_Input'!$Y$66))+IF('01_Input'!$AB$66="Forfait",IF(S$15&gt;='01_Input'!$Z$66,'01_Input'!$AC$66,0),IF('01_Input'!$AB$66="Palier",IF(AND(S$15&gt;='01_Input'!$Z$66,S$15&lt;'01_Input'!$AA$66),'01_Input'!$AC$66,0),MAX(MIN(S$15,'01_Input'!$AA$66)-'01_Input'!$Z$66,0)*'01_Input'!$AC$66))))))))))</f>
        <v/>
      </c>
      <c r="T57" s="83" t="str">
        <f>IF(T$15="","",IF('01_Input'!$C$66="Non",0,MIN('01_Input'!$I$66,MAX('01_Input'!$H$66,IF('01_Input'!$G$66="Résiduel vs Gestion",0,IF('01_Input'!$G$66="Taux Classe sélectionnée",Distrib_Global_Classe_Selectionnee*T$15,IF('01_Input'!$G$66="Frais KYC (paliers de 100M€)",MAX(0,Nb_Investisseurs-Nb_KYC_Gratuites_Par_Tranche*(FLOOR(T$15/Taille_Tranche_KYC,1)+1))*Cout_Par_KYC_Supplementaire,(IF('01_Input'!$L$66="Forfait",IF(T$15&gt;='01_Input'!$J$66,'01_Input'!$M$66,0),IF('01_Input'!$L$66="Palier",IF(AND(T$15&gt;='01_Input'!$J$66,T$15&lt;'01_Input'!$K$66),'01_Input'!$M$66,0),MAX(MIN(T$15,'01_Input'!$K$66)-'01_Input'!$J$66,0)*'01_Input'!$M$66))+IF('01_Input'!$P$66="Forfait",IF(T$15&gt;='01_Input'!$N$66,'01_Input'!$Q$66,0),IF('01_Input'!$P$66="Palier",IF(AND(T$15&gt;='01_Input'!$N$66,T$15&lt;'01_Input'!$O$66),'01_Input'!$Q$66,0),MAX(MIN(T$15,'01_Input'!$O$66)-'01_Input'!$N$66,0)*'01_Input'!$Q$66))+IF('01_Input'!$T$66="Forfait",IF(T$15&gt;='01_Input'!$R$66,'01_Input'!$U$66,0),IF('01_Input'!$T$66="Palier",IF(AND(T$15&gt;='01_Input'!$R$66,T$15&lt;'01_Input'!$S$66),'01_Input'!$U$66,0),MAX(MIN(T$15,'01_Input'!$S$66)-'01_Input'!$R$66,0)*'01_Input'!$U$66))+IF('01_Input'!$X$66="Forfait",IF(T$15&gt;='01_Input'!$V$66,'01_Input'!$Y$66,0),IF('01_Input'!$X$66="Palier",IF(AND(T$15&gt;='01_Input'!$V$66,T$15&lt;'01_Input'!$W$66),'01_Input'!$Y$66,0),MAX(MIN(T$15,'01_Input'!$W$66)-'01_Input'!$V$66,0)*'01_Input'!$Y$66))+IF('01_Input'!$AB$66="Forfait",IF(T$15&gt;='01_Input'!$Z$66,'01_Input'!$AC$66,0),IF('01_Input'!$AB$66="Palier",IF(AND(T$15&gt;='01_Input'!$Z$66,T$15&lt;'01_Input'!$AA$66),'01_Input'!$AC$66,0),MAX(MIN(T$15,'01_Input'!$AA$66)-'01_Input'!$Z$66,0)*'01_Input'!$AC$66))))))))))</f>
        <v/>
      </c>
      <c r="U57" s="83" t="str">
        <f>IF(U$15="","",IF('01_Input'!$C$66="Non",0,MIN('01_Input'!$I$66,MAX('01_Input'!$H$66,IF('01_Input'!$G$66="Résiduel vs Gestion",0,IF('01_Input'!$G$66="Taux Classe sélectionnée",Distrib_Global_Classe_Selectionnee*U$15,IF('01_Input'!$G$66="Frais KYC (paliers de 100M€)",MAX(0,Nb_Investisseurs-Nb_KYC_Gratuites_Par_Tranche*(FLOOR(U$15/Taille_Tranche_KYC,1)+1))*Cout_Par_KYC_Supplementaire,(IF('01_Input'!$L$66="Forfait",IF(U$15&gt;='01_Input'!$J$66,'01_Input'!$M$66,0),IF('01_Input'!$L$66="Palier",IF(AND(U$15&gt;='01_Input'!$J$66,U$15&lt;'01_Input'!$K$66),'01_Input'!$M$66,0),MAX(MIN(U$15,'01_Input'!$K$66)-'01_Input'!$J$66,0)*'01_Input'!$M$66))+IF('01_Input'!$P$66="Forfait",IF(U$15&gt;='01_Input'!$N$66,'01_Input'!$Q$66,0),IF('01_Input'!$P$66="Palier",IF(AND(U$15&gt;='01_Input'!$N$66,U$15&lt;'01_Input'!$O$66),'01_Input'!$Q$66,0),MAX(MIN(U$15,'01_Input'!$O$66)-'01_Input'!$N$66,0)*'01_Input'!$Q$66))+IF('01_Input'!$T$66="Forfait",IF(U$15&gt;='01_Input'!$R$66,'01_Input'!$U$66,0),IF('01_Input'!$T$66="Palier",IF(AND(U$15&gt;='01_Input'!$R$66,U$15&lt;'01_Input'!$S$66),'01_Input'!$U$66,0),MAX(MIN(U$15,'01_Input'!$S$66)-'01_Input'!$R$66,0)*'01_Input'!$U$66))+IF('01_Input'!$X$66="Forfait",IF(U$15&gt;='01_Input'!$V$66,'01_Input'!$Y$66,0),IF('01_Input'!$X$66="Palier",IF(AND(U$15&gt;='01_Input'!$V$66,U$15&lt;'01_Input'!$W$66),'01_Input'!$Y$66,0),MAX(MIN(U$15,'01_Input'!$W$66)-'01_Input'!$V$66,0)*'01_Input'!$Y$66))+IF('01_Input'!$AB$66="Forfait",IF(U$15&gt;='01_Input'!$Z$66,'01_Input'!$AC$66,0),IF('01_Input'!$AB$66="Palier",IF(AND(U$15&gt;='01_Input'!$Z$66,U$15&lt;'01_Input'!$AA$66),'01_Input'!$AC$66,0),MAX(MIN(U$15,'01_Input'!$AA$66)-'01_Input'!$Z$66,0)*'01_Input'!$AC$66))))))))))</f>
        <v/>
      </c>
      <c r="V57" s="83" t="str">
        <f>IF(V$15="","",IF('01_Input'!$C$66="Non",0,MIN('01_Input'!$I$66,MAX('01_Input'!$H$66,IF('01_Input'!$G$66="Résiduel vs Gestion",0,IF('01_Input'!$G$66="Taux Classe sélectionnée",Distrib_Global_Classe_Selectionnee*V$15,IF('01_Input'!$G$66="Frais KYC (paliers de 100M€)",MAX(0,Nb_Investisseurs-Nb_KYC_Gratuites_Par_Tranche*(FLOOR(V$15/Taille_Tranche_KYC,1)+1))*Cout_Par_KYC_Supplementaire,(IF('01_Input'!$L$66="Forfait",IF(V$15&gt;='01_Input'!$J$66,'01_Input'!$M$66,0),IF('01_Input'!$L$66="Palier",IF(AND(V$15&gt;='01_Input'!$J$66,V$15&lt;'01_Input'!$K$66),'01_Input'!$M$66,0),MAX(MIN(V$15,'01_Input'!$K$66)-'01_Input'!$J$66,0)*'01_Input'!$M$66))+IF('01_Input'!$P$66="Forfait",IF(V$15&gt;='01_Input'!$N$66,'01_Input'!$Q$66,0),IF('01_Input'!$P$66="Palier",IF(AND(V$15&gt;='01_Input'!$N$66,V$15&lt;'01_Input'!$O$66),'01_Input'!$Q$66,0),MAX(MIN(V$15,'01_Input'!$O$66)-'01_Input'!$N$66,0)*'01_Input'!$Q$66))+IF('01_Input'!$T$66="Forfait",IF(V$15&gt;='01_Input'!$R$66,'01_Input'!$U$66,0),IF('01_Input'!$T$66="Palier",IF(AND(V$15&gt;='01_Input'!$R$66,V$15&lt;'01_Input'!$S$66),'01_Input'!$U$66,0),MAX(MIN(V$15,'01_Input'!$S$66)-'01_Input'!$R$66,0)*'01_Input'!$U$66))+IF('01_Input'!$X$66="Forfait",IF(V$15&gt;='01_Input'!$V$66,'01_Input'!$Y$66,0),IF('01_Input'!$X$66="Palier",IF(AND(V$15&gt;='01_Input'!$V$66,V$15&lt;'01_Input'!$W$66),'01_Input'!$Y$66,0),MAX(MIN(V$15,'01_Input'!$W$66)-'01_Input'!$V$66,0)*'01_Input'!$Y$66))+IF('01_Input'!$AB$66="Forfait",IF(V$15&gt;='01_Input'!$Z$66,'01_Input'!$AC$66,0),IF('01_Input'!$AB$66="Palier",IF(AND(V$15&gt;='01_Input'!$Z$66,V$15&lt;'01_Input'!$AA$66),'01_Input'!$AC$66,0),MAX(MIN(V$15,'01_Input'!$AA$66)-'01_Input'!$Z$66,0)*'01_Input'!$AC$66))))))))))</f>
        <v/>
      </c>
      <c r="W57" s="83" t="str">
        <f>IF(W$15="","",IF('01_Input'!$C$66="Non",0,MIN('01_Input'!$I$66,MAX('01_Input'!$H$66,IF('01_Input'!$G$66="Résiduel vs Gestion",0,IF('01_Input'!$G$66="Taux Classe sélectionnée",Distrib_Global_Classe_Selectionnee*W$15,IF('01_Input'!$G$66="Frais KYC (paliers de 100M€)",MAX(0,Nb_Investisseurs-Nb_KYC_Gratuites_Par_Tranche*(FLOOR(W$15/Taille_Tranche_KYC,1)+1))*Cout_Par_KYC_Supplementaire,(IF('01_Input'!$L$66="Forfait",IF(W$15&gt;='01_Input'!$J$66,'01_Input'!$M$66,0),IF('01_Input'!$L$66="Palier",IF(AND(W$15&gt;='01_Input'!$J$66,W$15&lt;'01_Input'!$K$66),'01_Input'!$M$66,0),MAX(MIN(W$15,'01_Input'!$K$66)-'01_Input'!$J$66,0)*'01_Input'!$M$66))+IF('01_Input'!$P$66="Forfait",IF(W$15&gt;='01_Input'!$N$66,'01_Input'!$Q$66,0),IF('01_Input'!$P$66="Palier",IF(AND(W$15&gt;='01_Input'!$N$66,W$15&lt;'01_Input'!$O$66),'01_Input'!$Q$66,0),MAX(MIN(W$15,'01_Input'!$O$66)-'01_Input'!$N$66,0)*'01_Input'!$Q$66))+IF('01_Input'!$T$66="Forfait",IF(W$15&gt;='01_Input'!$R$66,'01_Input'!$U$66,0),IF('01_Input'!$T$66="Palier",IF(AND(W$15&gt;='01_Input'!$R$66,W$15&lt;'01_Input'!$S$66),'01_Input'!$U$66,0),MAX(MIN(W$15,'01_Input'!$S$66)-'01_Input'!$R$66,0)*'01_Input'!$U$66))+IF('01_Input'!$X$66="Forfait",IF(W$15&gt;='01_Input'!$V$66,'01_Input'!$Y$66,0),IF('01_Input'!$X$66="Palier",IF(AND(W$15&gt;='01_Input'!$V$66,W$15&lt;'01_Input'!$W$66),'01_Input'!$Y$66,0),MAX(MIN(W$15,'01_Input'!$W$66)-'01_Input'!$V$66,0)*'01_Input'!$Y$66))+IF('01_Input'!$AB$66="Forfait",IF(W$15&gt;='01_Input'!$Z$66,'01_Input'!$AC$66,0),IF('01_Input'!$AB$66="Palier",IF(AND(W$15&gt;='01_Input'!$Z$66,W$15&lt;'01_Input'!$AA$66),'01_Input'!$AC$66,0),MAX(MIN(W$15,'01_Input'!$AA$66)-'01_Input'!$Z$66,0)*'01_Input'!$AC$66))))))))))</f>
        <v/>
      </c>
      <c r="X57" s="83" t="str">
        <f>IF(X$15="","",IF('01_Input'!$C$66="Non",0,MIN('01_Input'!$I$66,MAX('01_Input'!$H$66,IF('01_Input'!$G$66="Résiduel vs Gestion",0,IF('01_Input'!$G$66="Taux Classe sélectionnée",Distrib_Global_Classe_Selectionnee*X$15,IF('01_Input'!$G$66="Frais KYC (paliers de 100M€)",MAX(0,Nb_Investisseurs-Nb_KYC_Gratuites_Par_Tranche*(FLOOR(X$15/Taille_Tranche_KYC,1)+1))*Cout_Par_KYC_Supplementaire,(IF('01_Input'!$L$66="Forfait",IF(X$15&gt;='01_Input'!$J$66,'01_Input'!$M$66,0),IF('01_Input'!$L$66="Palier",IF(AND(X$15&gt;='01_Input'!$J$66,X$15&lt;'01_Input'!$K$66),'01_Input'!$M$66,0),MAX(MIN(X$15,'01_Input'!$K$66)-'01_Input'!$J$66,0)*'01_Input'!$M$66))+IF('01_Input'!$P$66="Forfait",IF(X$15&gt;='01_Input'!$N$66,'01_Input'!$Q$66,0),IF('01_Input'!$P$66="Palier",IF(AND(X$15&gt;='01_Input'!$N$66,X$15&lt;'01_Input'!$O$66),'01_Input'!$Q$66,0),MAX(MIN(X$15,'01_Input'!$O$66)-'01_Input'!$N$66,0)*'01_Input'!$Q$66))+IF('01_Input'!$T$66="Forfait",IF(X$15&gt;='01_Input'!$R$66,'01_Input'!$U$66,0),IF('01_Input'!$T$66="Palier",IF(AND(X$15&gt;='01_Input'!$R$66,X$15&lt;'01_Input'!$S$66),'01_Input'!$U$66,0),MAX(MIN(X$15,'01_Input'!$S$66)-'01_Input'!$R$66,0)*'01_Input'!$U$66))+IF('01_Input'!$X$66="Forfait",IF(X$15&gt;='01_Input'!$V$66,'01_Input'!$Y$66,0),IF('01_Input'!$X$66="Palier",IF(AND(X$15&gt;='01_Input'!$V$66,X$15&lt;'01_Input'!$W$66),'01_Input'!$Y$66,0),MAX(MIN(X$15,'01_Input'!$W$66)-'01_Input'!$V$66,0)*'01_Input'!$Y$66))+IF('01_Input'!$AB$66="Forfait",IF(X$15&gt;='01_Input'!$Z$66,'01_Input'!$AC$66,0),IF('01_Input'!$AB$66="Palier",IF(AND(X$15&gt;='01_Input'!$Z$66,X$15&lt;'01_Input'!$AA$66),'01_Input'!$AC$66,0),MAX(MIN(X$15,'01_Input'!$AA$66)-'01_Input'!$Z$66,0)*'01_Input'!$AC$66))))))))))</f>
        <v/>
      </c>
      <c r="Y57" s="83" t="str">
        <f>IF(Y$15="","",IF('01_Input'!$C$66="Non",0,MIN('01_Input'!$I$66,MAX('01_Input'!$H$66,IF('01_Input'!$G$66="Résiduel vs Gestion",0,IF('01_Input'!$G$66="Taux Classe sélectionnée",Distrib_Global_Classe_Selectionnee*Y$15,IF('01_Input'!$G$66="Frais KYC (paliers de 100M€)",MAX(0,Nb_Investisseurs-Nb_KYC_Gratuites_Par_Tranche*(FLOOR(Y$15/Taille_Tranche_KYC,1)+1))*Cout_Par_KYC_Supplementaire,(IF('01_Input'!$L$66="Forfait",IF(Y$15&gt;='01_Input'!$J$66,'01_Input'!$M$66,0),IF('01_Input'!$L$66="Palier",IF(AND(Y$15&gt;='01_Input'!$J$66,Y$15&lt;'01_Input'!$K$66),'01_Input'!$M$66,0),MAX(MIN(Y$15,'01_Input'!$K$66)-'01_Input'!$J$66,0)*'01_Input'!$M$66))+IF('01_Input'!$P$66="Forfait",IF(Y$15&gt;='01_Input'!$N$66,'01_Input'!$Q$66,0),IF('01_Input'!$P$66="Palier",IF(AND(Y$15&gt;='01_Input'!$N$66,Y$15&lt;'01_Input'!$O$66),'01_Input'!$Q$66,0),MAX(MIN(Y$15,'01_Input'!$O$66)-'01_Input'!$N$66,0)*'01_Input'!$Q$66))+IF('01_Input'!$T$66="Forfait",IF(Y$15&gt;='01_Input'!$R$66,'01_Input'!$U$66,0),IF('01_Input'!$T$66="Palier",IF(AND(Y$15&gt;='01_Input'!$R$66,Y$15&lt;'01_Input'!$S$66),'01_Input'!$U$66,0),MAX(MIN(Y$15,'01_Input'!$S$66)-'01_Input'!$R$66,0)*'01_Input'!$U$66))+IF('01_Input'!$X$66="Forfait",IF(Y$15&gt;='01_Input'!$V$66,'01_Input'!$Y$66,0),IF('01_Input'!$X$66="Palier",IF(AND(Y$15&gt;='01_Input'!$V$66,Y$15&lt;'01_Input'!$W$66),'01_Input'!$Y$66,0),MAX(MIN(Y$15,'01_Input'!$W$66)-'01_Input'!$V$66,0)*'01_Input'!$Y$66))+IF('01_Input'!$AB$66="Forfait",IF(Y$15&gt;='01_Input'!$Z$66,'01_Input'!$AC$66,0),IF('01_Input'!$AB$66="Palier",IF(AND(Y$15&gt;='01_Input'!$Z$66,Y$15&lt;'01_Input'!$AA$66),'01_Input'!$AC$66,0),MAX(MIN(Y$15,'01_Input'!$AA$66)-'01_Input'!$Z$66,0)*'01_Input'!$AC$66))))))))))</f>
        <v/>
      </c>
      <c r="Z57" s="83" t="str">
        <f>IF(Z$15="","",IF('01_Input'!$C$66="Non",0,MIN('01_Input'!$I$66,MAX('01_Input'!$H$66,IF('01_Input'!$G$66="Résiduel vs Gestion",0,IF('01_Input'!$G$66="Taux Classe sélectionnée",Distrib_Global_Classe_Selectionnee*Z$15,IF('01_Input'!$G$66="Frais KYC (paliers de 100M€)",MAX(0,Nb_Investisseurs-Nb_KYC_Gratuites_Par_Tranche*(FLOOR(Z$15/Taille_Tranche_KYC,1)+1))*Cout_Par_KYC_Supplementaire,(IF('01_Input'!$L$66="Forfait",IF(Z$15&gt;='01_Input'!$J$66,'01_Input'!$M$66,0),IF('01_Input'!$L$66="Palier",IF(AND(Z$15&gt;='01_Input'!$J$66,Z$15&lt;'01_Input'!$K$66),'01_Input'!$M$66,0),MAX(MIN(Z$15,'01_Input'!$K$66)-'01_Input'!$J$66,0)*'01_Input'!$M$66))+IF('01_Input'!$P$66="Forfait",IF(Z$15&gt;='01_Input'!$N$66,'01_Input'!$Q$66,0),IF('01_Input'!$P$66="Palier",IF(AND(Z$15&gt;='01_Input'!$N$66,Z$15&lt;'01_Input'!$O$66),'01_Input'!$Q$66,0),MAX(MIN(Z$15,'01_Input'!$O$66)-'01_Input'!$N$66,0)*'01_Input'!$Q$66))+IF('01_Input'!$T$66="Forfait",IF(Z$15&gt;='01_Input'!$R$66,'01_Input'!$U$66,0),IF('01_Input'!$T$66="Palier",IF(AND(Z$15&gt;='01_Input'!$R$66,Z$15&lt;'01_Input'!$S$66),'01_Input'!$U$66,0),MAX(MIN(Z$15,'01_Input'!$S$66)-'01_Input'!$R$66,0)*'01_Input'!$U$66))+IF('01_Input'!$X$66="Forfait",IF(Z$15&gt;='01_Input'!$V$66,'01_Input'!$Y$66,0),IF('01_Input'!$X$66="Palier",IF(AND(Z$15&gt;='01_Input'!$V$66,Z$15&lt;'01_Input'!$W$66),'01_Input'!$Y$66,0),MAX(MIN(Z$15,'01_Input'!$W$66)-'01_Input'!$V$66,0)*'01_Input'!$Y$66))+IF('01_Input'!$AB$66="Forfait",IF(Z$15&gt;='01_Input'!$Z$66,'01_Input'!$AC$66,0),IF('01_Input'!$AB$66="Palier",IF(AND(Z$15&gt;='01_Input'!$Z$66,Z$15&lt;'01_Input'!$AA$66),'01_Input'!$AC$66,0),MAX(MIN(Z$15,'01_Input'!$AA$66)-'01_Input'!$Z$66,0)*'01_Input'!$AC$66))))))))))</f>
        <v/>
      </c>
      <c r="AA57" s="83" t="str">
        <f>IF(AA$15="","",IF('01_Input'!$C$66="Non",0,MIN('01_Input'!$I$66,MAX('01_Input'!$H$66,IF('01_Input'!$G$66="Résiduel vs Gestion",0,IF('01_Input'!$G$66="Taux Classe sélectionnée",Distrib_Global_Classe_Selectionnee*AA$15,IF('01_Input'!$G$66="Frais KYC (paliers de 100M€)",MAX(0,Nb_Investisseurs-Nb_KYC_Gratuites_Par_Tranche*(FLOOR(AA$15/Taille_Tranche_KYC,1)+1))*Cout_Par_KYC_Supplementaire,(IF('01_Input'!$L$66="Forfait",IF(AA$15&gt;='01_Input'!$J$66,'01_Input'!$M$66,0),IF('01_Input'!$L$66="Palier",IF(AND(AA$15&gt;='01_Input'!$J$66,AA$15&lt;'01_Input'!$K$66),'01_Input'!$M$66,0),MAX(MIN(AA$15,'01_Input'!$K$66)-'01_Input'!$J$66,0)*'01_Input'!$M$66))+IF('01_Input'!$P$66="Forfait",IF(AA$15&gt;='01_Input'!$N$66,'01_Input'!$Q$66,0),IF('01_Input'!$P$66="Palier",IF(AND(AA$15&gt;='01_Input'!$N$66,AA$15&lt;'01_Input'!$O$66),'01_Input'!$Q$66,0),MAX(MIN(AA$15,'01_Input'!$O$66)-'01_Input'!$N$66,0)*'01_Input'!$Q$66))+IF('01_Input'!$T$66="Forfait",IF(AA$15&gt;='01_Input'!$R$66,'01_Input'!$U$66,0),IF('01_Input'!$T$66="Palier",IF(AND(AA$15&gt;='01_Input'!$R$66,AA$15&lt;'01_Input'!$S$66),'01_Input'!$U$66,0),MAX(MIN(AA$15,'01_Input'!$S$66)-'01_Input'!$R$66,0)*'01_Input'!$U$66))+IF('01_Input'!$X$66="Forfait",IF(AA$15&gt;='01_Input'!$V$66,'01_Input'!$Y$66,0),IF('01_Input'!$X$66="Palier",IF(AND(AA$15&gt;='01_Input'!$V$66,AA$15&lt;'01_Input'!$W$66),'01_Input'!$Y$66,0),MAX(MIN(AA$15,'01_Input'!$W$66)-'01_Input'!$V$66,0)*'01_Input'!$Y$66))+IF('01_Input'!$AB$66="Forfait",IF(AA$15&gt;='01_Input'!$Z$66,'01_Input'!$AC$66,0),IF('01_Input'!$AB$66="Palier",IF(AND(AA$15&gt;='01_Input'!$Z$66,AA$15&lt;'01_Input'!$AA$66),'01_Input'!$AC$66,0),MAX(MIN(AA$15,'01_Input'!$AA$66)-'01_Input'!$Z$66,0)*'01_Input'!$AC$66))))))))))</f>
        <v/>
      </c>
      <c r="AB57" s="83" t="str">
        <f>IF(AB$15="","",IF('01_Input'!$C$66="Non",0,MIN('01_Input'!$I$66,MAX('01_Input'!$H$66,IF('01_Input'!$G$66="Résiduel vs Gestion",0,IF('01_Input'!$G$66="Taux Classe sélectionnée",Distrib_Global_Classe_Selectionnee*AB$15,IF('01_Input'!$G$66="Frais KYC (paliers de 100M€)",MAX(0,Nb_Investisseurs-Nb_KYC_Gratuites_Par_Tranche*(FLOOR(AB$15/Taille_Tranche_KYC,1)+1))*Cout_Par_KYC_Supplementaire,(IF('01_Input'!$L$66="Forfait",IF(AB$15&gt;='01_Input'!$J$66,'01_Input'!$M$66,0),IF('01_Input'!$L$66="Palier",IF(AND(AB$15&gt;='01_Input'!$J$66,AB$15&lt;'01_Input'!$K$66),'01_Input'!$M$66,0),MAX(MIN(AB$15,'01_Input'!$K$66)-'01_Input'!$J$66,0)*'01_Input'!$M$66))+IF('01_Input'!$P$66="Forfait",IF(AB$15&gt;='01_Input'!$N$66,'01_Input'!$Q$66,0),IF('01_Input'!$P$66="Palier",IF(AND(AB$15&gt;='01_Input'!$N$66,AB$15&lt;'01_Input'!$O$66),'01_Input'!$Q$66,0),MAX(MIN(AB$15,'01_Input'!$O$66)-'01_Input'!$N$66,0)*'01_Input'!$Q$66))+IF('01_Input'!$T$66="Forfait",IF(AB$15&gt;='01_Input'!$R$66,'01_Input'!$U$66,0),IF('01_Input'!$T$66="Palier",IF(AND(AB$15&gt;='01_Input'!$R$66,AB$15&lt;'01_Input'!$S$66),'01_Input'!$U$66,0),MAX(MIN(AB$15,'01_Input'!$S$66)-'01_Input'!$R$66,0)*'01_Input'!$U$66))+IF('01_Input'!$X$66="Forfait",IF(AB$15&gt;='01_Input'!$V$66,'01_Input'!$Y$66,0),IF('01_Input'!$X$66="Palier",IF(AND(AB$15&gt;='01_Input'!$V$66,AB$15&lt;'01_Input'!$W$66),'01_Input'!$Y$66,0),MAX(MIN(AB$15,'01_Input'!$W$66)-'01_Input'!$V$66,0)*'01_Input'!$Y$66))+IF('01_Input'!$AB$66="Forfait",IF(AB$15&gt;='01_Input'!$Z$66,'01_Input'!$AC$66,0),IF('01_Input'!$AB$66="Palier",IF(AND(AB$15&gt;='01_Input'!$Z$66,AB$15&lt;'01_Input'!$AA$66),'01_Input'!$AC$66,0),MAX(MIN(AB$15,'01_Input'!$AA$66)-'01_Input'!$Z$66,0)*'01_Input'!$AC$66))))))))))</f>
        <v/>
      </c>
      <c r="AC57" s="83" t="str">
        <f>IF(AC$15="","",IF('01_Input'!$C$66="Non",0,MIN('01_Input'!$I$66,MAX('01_Input'!$H$66,IF('01_Input'!$G$66="Résiduel vs Gestion",0,IF('01_Input'!$G$66="Taux Classe sélectionnée",Distrib_Global_Classe_Selectionnee*AC$15,IF('01_Input'!$G$66="Frais KYC (paliers de 100M€)",MAX(0,Nb_Investisseurs-Nb_KYC_Gratuites_Par_Tranche*(FLOOR(AC$15/Taille_Tranche_KYC,1)+1))*Cout_Par_KYC_Supplementaire,(IF('01_Input'!$L$66="Forfait",IF(AC$15&gt;='01_Input'!$J$66,'01_Input'!$M$66,0),IF('01_Input'!$L$66="Palier",IF(AND(AC$15&gt;='01_Input'!$J$66,AC$15&lt;'01_Input'!$K$66),'01_Input'!$M$66,0),MAX(MIN(AC$15,'01_Input'!$K$66)-'01_Input'!$J$66,0)*'01_Input'!$M$66))+IF('01_Input'!$P$66="Forfait",IF(AC$15&gt;='01_Input'!$N$66,'01_Input'!$Q$66,0),IF('01_Input'!$P$66="Palier",IF(AND(AC$15&gt;='01_Input'!$N$66,AC$15&lt;'01_Input'!$O$66),'01_Input'!$Q$66,0),MAX(MIN(AC$15,'01_Input'!$O$66)-'01_Input'!$N$66,0)*'01_Input'!$Q$66))+IF('01_Input'!$T$66="Forfait",IF(AC$15&gt;='01_Input'!$R$66,'01_Input'!$U$66,0),IF('01_Input'!$T$66="Palier",IF(AND(AC$15&gt;='01_Input'!$R$66,AC$15&lt;'01_Input'!$S$66),'01_Input'!$U$66,0),MAX(MIN(AC$15,'01_Input'!$S$66)-'01_Input'!$R$66,0)*'01_Input'!$U$66))+IF('01_Input'!$X$66="Forfait",IF(AC$15&gt;='01_Input'!$V$66,'01_Input'!$Y$66,0),IF('01_Input'!$X$66="Palier",IF(AND(AC$15&gt;='01_Input'!$V$66,AC$15&lt;'01_Input'!$W$66),'01_Input'!$Y$66,0),MAX(MIN(AC$15,'01_Input'!$W$66)-'01_Input'!$V$66,0)*'01_Input'!$Y$66))+IF('01_Input'!$AB$66="Forfait",IF(AC$15&gt;='01_Input'!$Z$66,'01_Input'!$AC$66,0),IF('01_Input'!$AB$66="Palier",IF(AND(AC$15&gt;='01_Input'!$Z$66,AC$15&lt;'01_Input'!$AA$66),'01_Input'!$AC$66,0),MAX(MIN(AC$15,'01_Input'!$AA$66)-'01_Input'!$Z$66,0)*'01_Input'!$AC$66))))))))))</f>
        <v/>
      </c>
      <c r="AD57" s="83" t="str">
        <f>IF(AD$15="","",IF('01_Input'!$C$66="Non",0,MIN('01_Input'!$I$66,MAX('01_Input'!$H$66,IF('01_Input'!$G$66="Résiduel vs Gestion",0,IF('01_Input'!$G$66="Taux Classe sélectionnée",Distrib_Global_Classe_Selectionnee*AD$15,IF('01_Input'!$G$66="Frais KYC (paliers de 100M€)",MAX(0,Nb_Investisseurs-Nb_KYC_Gratuites_Par_Tranche*(FLOOR(AD$15/Taille_Tranche_KYC,1)+1))*Cout_Par_KYC_Supplementaire,(IF('01_Input'!$L$66="Forfait",IF(AD$15&gt;='01_Input'!$J$66,'01_Input'!$M$66,0),IF('01_Input'!$L$66="Palier",IF(AND(AD$15&gt;='01_Input'!$J$66,AD$15&lt;'01_Input'!$K$66),'01_Input'!$M$66,0),MAX(MIN(AD$15,'01_Input'!$K$66)-'01_Input'!$J$66,0)*'01_Input'!$M$66))+IF('01_Input'!$P$66="Forfait",IF(AD$15&gt;='01_Input'!$N$66,'01_Input'!$Q$66,0),IF('01_Input'!$P$66="Palier",IF(AND(AD$15&gt;='01_Input'!$N$66,AD$15&lt;'01_Input'!$O$66),'01_Input'!$Q$66,0),MAX(MIN(AD$15,'01_Input'!$O$66)-'01_Input'!$N$66,0)*'01_Input'!$Q$66))+IF('01_Input'!$T$66="Forfait",IF(AD$15&gt;='01_Input'!$R$66,'01_Input'!$U$66,0),IF('01_Input'!$T$66="Palier",IF(AND(AD$15&gt;='01_Input'!$R$66,AD$15&lt;'01_Input'!$S$66),'01_Input'!$U$66,0),MAX(MIN(AD$15,'01_Input'!$S$66)-'01_Input'!$R$66,0)*'01_Input'!$U$66))+IF('01_Input'!$X$66="Forfait",IF(AD$15&gt;='01_Input'!$V$66,'01_Input'!$Y$66,0),IF('01_Input'!$X$66="Palier",IF(AND(AD$15&gt;='01_Input'!$V$66,AD$15&lt;'01_Input'!$W$66),'01_Input'!$Y$66,0),MAX(MIN(AD$15,'01_Input'!$W$66)-'01_Input'!$V$66,0)*'01_Input'!$Y$66))+IF('01_Input'!$AB$66="Forfait",IF(AD$15&gt;='01_Input'!$Z$66,'01_Input'!$AC$66,0),IF('01_Input'!$AB$66="Palier",IF(AND(AD$15&gt;='01_Input'!$Z$66,AD$15&lt;'01_Input'!$AA$66),'01_Input'!$AC$66,0),MAX(MIN(AD$15,'01_Input'!$AA$66)-'01_Input'!$Z$66,0)*'01_Input'!$AC$66))))))))))</f>
        <v/>
      </c>
      <c r="AE57" s="83" t="str">
        <f>IF(AE$15="","",IF('01_Input'!$C$66="Non",0,MIN('01_Input'!$I$66,MAX('01_Input'!$H$66,IF('01_Input'!$G$66="Résiduel vs Gestion",0,IF('01_Input'!$G$66="Taux Classe sélectionnée",Distrib_Global_Classe_Selectionnee*AE$15,IF('01_Input'!$G$66="Frais KYC (paliers de 100M€)",MAX(0,Nb_Investisseurs-Nb_KYC_Gratuites_Par_Tranche*(FLOOR(AE$15/Taille_Tranche_KYC,1)+1))*Cout_Par_KYC_Supplementaire,(IF('01_Input'!$L$66="Forfait",IF(AE$15&gt;='01_Input'!$J$66,'01_Input'!$M$66,0),IF('01_Input'!$L$66="Palier",IF(AND(AE$15&gt;='01_Input'!$J$66,AE$15&lt;'01_Input'!$K$66),'01_Input'!$M$66,0),MAX(MIN(AE$15,'01_Input'!$K$66)-'01_Input'!$J$66,0)*'01_Input'!$M$66))+IF('01_Input'!$P$66="Forfait",IF(AE$15&gt;='01_Input'!$N$66,'01_Input'!$Q$66,0),IF('01_Input'!$P$66="Palier",IF(AND(AE$15&gt;='01_Input'!$N$66,AE$15&lt;'01_Input'!$O$66),'01_Input'!$Q$66,0),MAX(MIN(AE$15,'01_Input'!$O$66)-'01_Input'!$N$66,0)*'01_Input'!$Q$66))+IF('01_Input'!$T$66="Forfait",IF(AE$15&gt;='01_Input'!$R$66,'01_Input'!$U$66,0),IF('01_Input'!$T$66="Palier",IF(AND(AE$15&gt;='01_Input'!$R$66,AE$15&lt;'01_Input'!$S$66),'01_Input'!$U$66,0),MAX(MIN(AE$15,'01_Input'!$S$66)-'01_Input'!$R$66,0)*'01_Input'!$U$66))+IF('01_Input'!$X$66="Forfait",IF(AE$15&gt;='01_Input'!$V$66,'01_Input'!$Y$66,0),IF('01_Input'!$X$66="Palier",IF(AND(AE$15&gt;='01_Input'!$V$66,AE$15&lt;'01_Input'!$W$66),'01_Input'!$Y$66,0),MAX(MIN(AE$15,'01_Input'!$W$66)-'01_Input'!$V$66,0)*'01_Input'!$Y$66))+IF('01_Input'!$AB$66="Forfait",IF(AE$15&gt;='01_Input'!$Z$66,'01_Input'!$AC$66,0),IF('01_Input'!$AB$66="Palier",IF(AND(AE$15&gt;='01_Input'!$Z$66,AE$15&lt;'01_Input'!$AA$66),'01_Input'!$AC$66,0),MAX(MIN(AE$15,'01_Input'!$AA$66)-'01_Input'!$Z$66,0)*'01_Input'!$AC$66))))))))))</f>
        <v/>
      </c>
      <c r="AF57" s="83" t="str">
        <f>IF(AF$15="","",IF('01_Input'!$C$66="Non",0,MIN('01_Input'!$I$66,MAX('01_Input'!$H$66,IF('01_Input'!$G$66="Résiduel vs Gestion",0,IF('01_Input'!$G$66="Taux Classe sélectionnée",Distrib_Global_Classe_Selectionnee*AF$15,IF('01_Input'!$G$66="Frais KYC (paliers de 100M€)",MAX(0,Nb_Investisseurs-Nb_KYC_Gratuites_Par_Tranche*(FLOOR(AF$15/Taille_Tranche_KYC,1)+1))*Cout_Par_KYC_Supplementaire,(IF('01_Input'!$L$66="Forfait",IF(AF$15&gt;='01_Input'!$J$66,'01_Input'!$M$66,0),IF('01_Input'!$L$66="Palier",IF(AND(AF$15&gt;='01_Input'!$J$66,AF$15&lt;'01_Input'!$K$66),'01_Input'!$M$66,0),MAX(MIN(AF$15,'01_Input'!$K$66)-'01_Input'!$J$66,0)*'01_Input'!$M$66))+IF('01_Input'!$P$66="Forfait",IF(AF$15&gt;='01_Input'!$N$66,'01_Input'!$Q$66,0),IF('01_Input'!$P$66="Palier",IF(AND(AF$15&gt;='01_Input'!$N$66,AF$15&lt;'01_Input'!$O$66),'01_Input'!$Q$66,0),MAX(MIN(AF$15,'01_Input'!$O$66)-'01_Input'!$N$66,0)*'01_Input'!$Q$66))+IF('01_Input'!$T$66="Forfait",IF(AF$15&gt;='01_Input'!$R$66,'01_Input'!$U$66,0),IF('01_Input'!$T$66="Palier",IF(AND(AF$15&gt;='01_Input'!$R$66,AF$15&lt;'01_Input'!$S$66),'01_Input'!$U$66,0),MAX(MIN(AF$15,'01_Input'!$S$66)-'01_Input'!$R$66,0)*'01_Input'!$U$66))+IF('01_Input'!$X$66="Forfait",IF(AF$15&gt;='01_Input'!$V$66,'01_Input'!$Y$66,0),IF('01_Input'!$X$66="Palier",IF(AND(AF$15&gt;='01_Input'!$V$66,AF$15&lt;'01_Input'!$W$66),'01_Input'!$Y$66,0),MAX(MIN(AF$15,'01_Input'!$W$66)-'01_Input'!$V$66,0)*'01_Input'!$Y$66))+IF('01_Input'!$AB$66="Forfait",IF(AF$15&gt;='01_Input'!$Z$66,'01_Input'!$AC$66,0),IF('01_Input'!$AB$66="Palier",IF(AND(AF$15&gt;='01_Input'!$Z$66,AF$15&lt;'01_Input'!$AA$66),'01_Input'!$AC$66,0),MAX(MIN(AF$15,'01_Input'!$AA$66)-'01_Input'!$Z$66,0)*'01_Input'!$AC$66))))))))))</f>
        <v/>
      </c>
      <c r="AG57" s="83" t="str">
        <f>IF(AG$15="","",IF('01_Input'!$C$66="Non",0,MIN('01_Input'!$I$66,MAX('01_Input'!$H$66,IF('01_Input'!$G$66="Résiduel vs Gestion",0,IF('01_Input'!$G$66="Taux Classe sélectionnée",Distrib_Global_Classe_Selectionnee*AG$15,IF('01_Input'!$G$66="Frais KYC (paliers de 100M€)",MAX(0,Nb_Investisseurs-Nb_KYC_Gratuites_Par_Tranche*(FLOOR(AG$15/Taille_Tranche_KYC,1)+1))*Cout_Par_KYC_Supplementaire,(IF('01_Input'!$L$66="Forfait",IF(AG$15&gt;='01_Input'!$J$66,'01_Input'!$M$66,0),IF('01_Input'!$L$66="Palier",IF(AND(AG$15&gt;='01_Input'!$J$66,AG$15&lt;'01_Input'!$K$66),'01_Input'!$M$66,0),MAX(MIN(AG$15,'01_Input'!$K$66)-'01_Input'!$J$66,0)*'01_Input'!$M$66))+IF('01_Input'!$P$66="Forfait",IF(AG$15&gt;='01_Input'!$N$66,'01_Input'!$Q$66,0),IF('01_Input'!$P$66="Palier",IF(AND(AG$15&gt;='01_Input'!$N$66,AG$15&lt;'01_Input'!$O$66),'01_Input'!$Q$66,0),MAX(MIN(AG$15,'01_Input'!$O$66)-'01_Input'!$N$66,0)*'01_Input'!$Q$66))+IF('01_Input'!$T$66="Forfait",IF(AG$15&gt;='01_Input'!$R$66,'01_Input'!$U$66,0),IF('01_Input'!$T$66="Palier",IF(AND(AG$15&gt;='01_Input'!$R$66,AG$15&lt;'01_Input'!$S$66),'01_Input'!$U$66,0),MAX(MIN(AG$15,'01_Input'!$S$66)-'01_Input'!$R$66,0)*'01_Input'!$U$66))+IF('01_Input'!$X$66="Forfait",IF(AG$15&gt;='01_Input'!$V$66,'01_Input'!$Y$66,0),IF('01_Input'!$X$66="Palier",IF(AND(AG$15&gt;='01_Input'!$V$66,AG$15&lt;'01_Input'!$W$66),'01_Input'!$Y$66,0),MAX(MIN(AG$15,'01_Input'!$W$66)-'01_Input'!$V$66,0)*'01_Input'!$Y$66))+IF('01_Input'!$AB$66="Forfait",IF(AG$15&gt;='01_Input'!$Z$66,'01_Input'!$AC$66,0),IF('01_Input'!$AB$66="Palier",IF(AND(AG$15&gt;='01_Input'!$Z$66,AG$15&lt;'01_Input'!$AA$66),'01_Input'!$AC$66,0),MAX(MIN(AG$15,'01_Input'!$AA$66)-'01_Input'!$Z$66,0)*'01_Input'!$AC$66))))))))))</f>
        <v/>
      </c>
      <c r="AH57" s="83" t="str">
        <f>IF(AH$15="","",IF('01_Input'!$C$66="Non",0,MIN('01_Input'!$I$66,MAX('01_Input'!$H$66,IF('01_Input'!$G$66="Résiduel vs Gestion",0,IF('01_Input'!$G$66="Taux Classe sélectionnée",Distrib_Global_Classe_Selectionnee*AH$15,IF('01_Input'!$G$66="Frais KYC (paliers de 100M€)",MAX(0,Nb_Investisseurs-Nb_KYC_Gratuites_Par_Tranche*(FLOOR(AH$15/Taille_Tranche_KYC,1)+1))*Cout_Par_KYC_Supplementaire,(IF('01_Input'!$L$66="Forfait",IF(AH$15&gt;='01_Input'!$J$66,'01_Input'!$M$66,0),IF('01_Input'!$L$66="Palier",IF(AND(AH$15&gt;='01_Input'!$J$66,AH$15&lt;'01_Input'!$K$66),'01_Input'!$M$66,0),MAX(MIN(AH$15,'01_Input'!$K$66)-'01_Input'!$J$66,0)*'01_Input'!$M$66))+IF('01_Input'!$P$66="Forfait",IF(AH$15&gt;='01_Input'!$N$66,'01_Input'!$Q$66,0),IF('01_Input'!$P$66="Palier",IF(AND(AH$15&gt;='01_Input'!$N$66,AH$15&lt;'01_Input'!$O$66),'01_Input'!$Q$66,0),MAX(MIN(AH$15,'01_Input'!$O$66)-'01_Input'!$N$66,0)*'01_Input'!$Q$66))+IF('01_Input'!$T$66="Forfait",IF(AH$15&gt;='01_Input'!$R$66,'01_Input'!$U$66,0),IF('01_Input'!$T$66="Palier",IF(AND(AH$15&gt;='01_Input'!$R$66,AH$15&lt;'01_Input'!$S$66),'01_Input'!$U$66,0),MAX(MIN(AH$15,'01_Input'!$S$66)-'01_Input'!$R$66,0)*'01_Input'!$U$66))+IF('01_Input'!$X$66="Forfait",IF(AH$15&gt;='01_Input'!$V$66,'01_Input'!$Y$66,0),IF('01_Input'!$X$66="Palier",IF(AND(AH$15&gt;='01_Input'!$V$66,AH$15&lt;'01_Input'!$W$66),'01_Input'!$Y$66,0),MAX(MIN(AH$15,'01_Input'!$W$66)-'01_Input'!$V$66,0)*'01_Input'!$Y$66))+IF('01_Input'!$AB$66="Forfait",IF(AH$15&gt;='01_Input'!$Z$66,'01_Input'!$AC$66,0),IF('01_Input'!$AB$66="Palier",IF(AND(AH$15&gt;='01_Input'!$Z$66,AH$15&lt;'01_Input'!$AA$66),'01_Input'!$AC$66,0),MAX(MIN(AH$15,'01_Input'!$AA$66)-'01_Input'!$Z$66,0)*'01_Input'!$AC$66))))))))))</f>
        <v/>
      </c>
      <c r="AI57" s="83" t="str">
        <f>IF(AI$15="","",IF('01_Input'!$C$66="Non",0,MIN('01_Input'!$I$66,MAX('01_Input'!$H$66,IF('01_Input'!$G$66="Résiduel vs Gestion",0,IF('01_Input'!$G$66="Taux Classe sélectionnée",Distrib_Global_Classe_Selectionnee*AI$15,IF('01_Input'!$G$66="Frais KYC (paliers de 100M€)",MAX(0,Nb_Investisseurs-Nb_KYC_Gratuites_Par_Tranche*(FLOOR(AI$15/Taille_Tranche_KYC,1)+1))*Cout_Par_KYC_Supplementaire,(IF('01_Input'!$L$66="Forfait",IF(AI$15&gt;='01_Input'!$J$66,'01_Input'!$M$66,0),IF('01_Input'!$L$66="Palier",IF(AND(AI$15&gt;='01_Input'!$J$66,AI$15&lt;'01_Input'!$K$66),'01_Input'!$M$66,0),MAX(MIN(AI$15,'01_Input'!$K$66)-'01_Input'!$J$66,0)*'01_Input'!$M$66))+IF('01_Input'!$P$66="Forfait",IF(AI$15&gt;='01_Input'!$N$66,'01_Input'!$Q$66,0),IF('01_Input'!$P$66="Palier",IF(AND(AI$15&gt;='01_Input'!$N$66,AI$15&lt;'01_Input'!$O$66),'01_Input'!$Q$66,0),MAX(MIN(AI$15,'01_Input'!$O$66)-'01_Input'!$N$66,0)*'01_Input'!$Q$66))+IF('01_Input'!$T$66="Forfait",IF(AI$15&gt;='01_Input'!$R$66,'01_Input'!$U$66,0),IF('01_Input'!$T$66="Palier",IF(AND(AI$15&gt;='01_Input'!$R$66,AI$15&lt;'01_Input'!$S$66),'01_Input'!$U$66,0),MAX(MIN(AI$15,'01_Input'!$S$66)-'01_Input'!$R$66,0)*'01_Input'!$U$66))+IF('01_Input'!$X$66="Forfait",IF(AI$15&gt;='01_Input'!$V$66,'01_Input'!$Y$66,0),IF('01_Input'!$X$66="Palier",IF(AND(AI$15&gt;='01_Input'!$V$66,AI$15&lt;'01_Input'!$W$66),'01_Input'!$Y$66,0),MAX(MIN(AI$15,'01_Input'!$W$66)-'01_Input'!$V$66,0)*'01_Input'!$Y$66))+IF('01_Input'!$AB$66="Forfait",IF(AI$15&gt;='01_Input'!$Z$66,'01_Input'!$AC$66,0),IF('01_Input'!$AB$66="Palier",IF(AND(AI$15&gt;='01_Input'!$Z$66,AI$15&lt;'01_Input'!$AA$66),'01_Input'!$AC$66,0),MAX(MIN(AI$15,'01_Input'!$AA$66)-'01_Input'!$Z$66,0)*'01_Input'!$AC$66))))))))))</f>
        <v/>
      </c>
      <c r="AJ57" s="83" t="str">
        <f>IF(AJ$15="","",IF('01_Input'!$C$66="Non",0,MIN('01_Input'!$I$66,MAX('01_Input'!$H$66,IF('01_Input'!$G$66="Résiduel vs Gestion",0,IF('01_Input'!$G$66="Taux Classe sélectionnée",Distrib_Global_Classe_Selectionnee*AJ$15,IF('01_Input'!$G$66="Frais KYC (paliers de 100M€)",MAX(0,Nb_Investisseurs-Nb_KYC_Gratuites_Par_Tranche*(FLOOR(AJ$15/Taille_Tranche_KYC,1)+1))*Cout_Par_KYC_Supplementaire,(IF('01_Input'!$L$66="Forfait",IF(AJ$15&gt;='01_Input'!$J$66,'01_Input'!$M$66,0),IF('01_Input'!$L$66="Palier",IF(AND(AJ$15&gt;='01_Input'!$J$66,AJ$15&lt;'01_Input'!$K$66),'01_Input'!$M$66,0),MAX(MIN(AJ$15,'01_Input'!$K$66)-'01_Input'!$J$66,0)*'01_Input'!$M$66))+IF('01_Input'!$P$66="Forfait",IF(AJ$15&gt;='01_Input'!$N$66,'01_Input'!$Q$66,0),IF('01_Input'!$P$66="Palier",IF(AND(AJ$15&gt;='01_Input'!$N$66,AJ$15&lt;'01_Input'!$O$66),'01_Input'!$Q$66,0),MAX(MIN(AJ$15,'01_Input'!$O$66)-'01_Input'!$N$66,0)*'01_Input'!$Q$66))+IF('01_Input'!$T$66="Forfait",IF(AJ$15&gt;='01_Input'!$R$66,'01_Input'!$U$66,0),IF('01_Input'!$T$66="Palier",IF(AND(AJ$15&gt;='01_Input'!$R$66,AJ$15&lt;'01_Input'!$S$66),'01_Input'!$U$66,0),MAX(MIN(AJ$15,'01_Input'!$S$66)-'01_Input'!$R$66,0)*'01_Input'!$U$66))+IF('01_Input'!$X$66="Forfait",IF(AJ$15&gt;='01_Input'!$V$66,'01_Input'!$Y$66,0),IF('01_Input'!$X$66="Palier",IF(AND(AJ$15&gt;='01_Input'!$V$66,AJ$15&lt;'01_Input'!$W$66),'01_Input'!$Y$66,0),MAX(MIN(AJ$15,'01_Input'!$W$66)-'01_Input'!$V$66,0)*'01_Input'!$Y$66))+IF('01_Input'!$AB$66="Forfait",IF(AJ$15&gt;='01_Input'!$Z$66,'01_Input'!$AC$66,0),IF('01_Input'!$AB$66="Palier",IF(AND(AJ$15&gt;='01_Input'!$Z$66,AJ$15&lt;'01_Input'!$AA$66),'01_Input'!$AC$66,0),MAX(MIN(AJ$15,'01_Input'!$AA$66)-'01_Input'!$Z$66,0)*'01_Input'!$AC$66))))))))))</f>
        <v/>
      </c>
      <c r="AK57" s="83" t="str">
        <f>IF(AK$15="","",IF('01_Input'!$C$66="Non",0,MIN('01_Input'!$I$66,MAX('01_Input'!$H$66,IF('01_Input'!$G$66="Résiduel vs Gestion",0,IF('01_Input'!$G$66="Taux Classe sélectionnée",Distrib_Global_Classe_Selectionnee*AK$15,IF('01_Input'!$G$66="Frais KYC (paliers de 100M€)",MAX(0,Nb_Investisseurs-Nb_KYC_Gratuites_Par_Tranche*(FLOOR(AK$15/Taille_Tranche_KYC,1)+1))*Cout_Par_KYC_Supplementaire,(IF('01_Input'!$L$66="Forfait",IF(AK$15&gt;='01_Input'!$J$66,'01_Input'!$M$66,0),IF('01_Input'!$L$66="Palier",IF(AND(AK$15&gt;='01_Input'!$J$66,AK$15&lt;'01_Input'!$K$66),'01_Input'!$M$66,0),MAX(MIN(AK$15,'01_Input'!$K$66)-'01_Input'!$J$66,0)*'01_Input'!$M$66))+IF('01_Input'!$P$66="Forfait",IF(AK$15&gt;='01_Input'!$N$66,'01_Input'!$Q$66,0),IF('01_Input'!$P$66="Palier",IF(AND(AK$15&gt;='01_Input'!$N$66,AK$15&lt;'01_Input'!$O$66),'01_Input'!$Q$66,0),MAX(MIN(AK$15,'01_Input'!$O$66)-'01_Input'!$N$66,0)*'01_Input'!$Q$66))+IF('01_Input'!$T$66="Forfait",IF(AK$15&gt;='01_Input'!$R$66,'01_Input'!$U$66,0),IF('01_Input'!$T$66="Palier",IF(AND(AK$15&gt;='01_Input'!$R$66,AK$15&lt;'01_Input'!$S$66),'01_Input'!$U$66,0),MAX(MIN(AK$15,'01_Input'!$S$66)-'01_Input'!$R$66,0)*'01_Input'!$U$66))+IF('01_Input'!$X$66="Forfait",IF(AK$15&gt;='01_Input'!$V$66,'01_Input'!$Y$66,0),IF('01_Input'!$X$66="Palier",IF(AND(AK$15&gt;='01_Input'!$V$66,AK$15&lt;'01_Input'!$W$66),'01_Input'!$Y$66,0),MAX(MIN(AK$15,'01_Input'!$W$66)-'01_Input'!$V$66,0)*'01_Input'!$Y$66))+IF('01_Input'!$AB$66="Forfait",IF(AK$15&gt;='01_Input'!$Z$66,'01_Input'!$AC$66,0),IF('01_Input'!$AB$66="Palier",IF(AND(AK$15&gt;='01_Input'!$Z$66,AK$15&lt;'01_Input'!$AA$66),'01_Input'!$AC$66,0),MAX(MIN(AK$15,'01_Input'!$AA$66)-'01_Input'!$Z$66,0)*'01_Input'!$AC$66))))))))))</f>
        <v/>
      </c>
      <c r="AL57" s="83" t="str">
        <f>IF(AL$15="","",IF('01_Input'!$C$66="Non",0,MIN('01_Input'!$I$66,MAX('01_Input'!$H$66,IF('01_Input'!$G$66="Résiduel vs Gestion",0,IF('01_Input'!$G$66="Taux Classe sélectionnée",Distrib_Global_Classe_Selectionnee*AL$15,IF('01_Input'!$G$66="Frais KYC (paliers de 100M€)",MAX(0,Nb_Investisseurs-Nb_KYC_Gratuites_Par_Tranche*(FLOOR(AL$15/Taille_Tranche_KYC,1)+1))*Cout_Par_KYC_Supplementaire,(IF('01_Input'!$L$66="Forfait",IF(AL$15&gt;='01_Input'!$J$66,'01_Input'!$M$66,0),IF('01_Input'!$L$66="Palier",IF(AND(AL$15&gt;='01_Input'!$J$66,AL$15&lt;'01_Input'!$K$66),'01_Input'!$M$66,0),MAX(MIN(AL$15,'01_Input'!$K$66)-'01_Input'!$J$66,0)*'01_Input'!$M$66))+IF('01_Input'!$P$66="Forfait",IF(AL$15&gt;='01_Input'!$N$66,'01_Input'!$Q$66,0),IF('01_Input'!$P$66="Palier",IF(AND(AL$15&gt;='01_Input'!$N$66,AL$15&lt;'01_Input'!$O$66),'01_Input'!$Q$66,0),MAX(MIN(AL$15,'01_Input'!$O$66)-'01_Input'!$N$66,0)*'01_Input'!$Q$66))+IF('01_Input'!$T$66="Forfait",IF(AL$15&gt;='01_Input'!$R$66,'01_Input'!$U$66,0),IF('01_Input'!$T$66="Palier",IF(AND(AL$15&gt;='01_Input'!$R$66,AL$15&lt;'01_Input'!$S$66),'01_Input'!$U$66,0),MAX(MIN(AL$15,'01_Input'!$S$66)-'01_Input'!$R$66,0)*'01_Input'!$U$66))+IF('01_Input'!$X$66="Forfait",IF(AL$15&gt;='01_Input'!$V$66,'01_Input'!$Y$66,0),IF('01_Input'!$X$66="Palier",IF(AND(AL$15&gt;='01_Input'!$V$66,AL$15&lt;'01_Input'!$W$66),'01_Input'!$Y$66,0),MAX(MIN(AL$15,'01_Input'!$W$66)-'01_Input'!$V$66,0)*'01_Input'!$Y$66))+IF('01_Input'!$AB$66="Forfait",IF(AL$15&gt;='01_Input'!$Z$66,'01_Input'!$AC$66,0),IF('01_Input'!$AB$66="Palier",IF(AND(AL$15&gt;='01_Input'!$Z$66,AL$15&lt;'01_Input'!$AA$66),'01_Input'!$AC$66,0),MAX(MIN(AL$15,'01_Input'!$AA$66)-'01_Input'!$Z$66,0)*'01_Input'!$AC$66))))))))))</f>
        <v/>
      </c>
      <c r="AM57" s="83" t="str">
        <f>IF(AM$15="","",IF('01_Input'!$C$66="Non",0,MIN('01_Input'!$I$66,MAX('01_Input'!$H$66,IF('01_Input'!$G$66="Résiduel vs Gestion",0,IF('01_Input'!$G$66="Taux Classe sélectionnée",Distrib_Global_Classe_Selectionnee*AM$15,IF('01_Input'!$G$66="Frais KYC (paliers de 100M€)",MAX(0,Nb_Investisseurs-Nb_KYC_Gratuites_Par_Tranche*(FLOOR(AM$15/Taille_Tranche_KYC,1)+1))*Cout_Par_KYC_Supplementaire,(IF('01_Input'!$L$66="Forfait",IF(AM$15&gt;='01_Input'!$J$66,'01_Input'!$M$66,0),IF('01_Input'!$L$66="Palier",IF(AND(AM$15&gt;='01_Input'!$J$66,AM$15&lt;'01_Input'!$K$66),'01_Input'!$M$66,0),MAX(MIN(AM$15,'01_Input'!$K$66)-'01_Input'!$J$66,0)*'01_Input'!$M$66))+IF('01_Input'!$P$66="Forfait",IF(AM$15&gt;='01_Input'!$N$66,'01_Input'!$Q$66,0),IF('01_Input'!$P$66="Palier",IF(AND(AM$15&gt;='01_Input'!$N$66,AM$15&lt;'01_Input'!$O$66),'01_Input'!$Q$66,0),MAX(MIN(AM$15,'01_Input'!$O$66)-'01_Input'!$N$66,0)*'01_Input'!$Q$66))+IF('01_Input'!$T$66="Forfait",IF(AM$15&gt;='01_Input'!$R$66,'01_Input'!$U$66,0),IF('01_Input'!$T$66="Palier",IF(AND(AM$15&gt;='01_Input'!$R$66,AM$15&lt;'01_Input'!$S$66),'01_Input'!$U$66,0),MAX(MIN(AM$15,'01_Input'!$S$66)-'01_Input'!$R$66,0)*'01_Input'!$U$66))+IF('01_Input'!$X$66="Forfait",IF(AM$15&gt;='01_Input'!$V$66,'01_Input'!$Y$66,0),IF('01_Input'!$X$66="Palier",IF(AND(AM$15&gt;='01_Input'!$V$66,AM$15&lt;'01_Input'!$W$66),'01_Input'!$Y$66,0),MAX(MIN(AM$15,'01_Input'!$W$66)-'01_Input'!$V$66,0)*'01_Input'!$Y$66))+IF('01_Input'!$AB$66="Forfait",IF(AM$15&gt;='01_Input'!$Z$66,'01_Input'!$AC$66,0),IF('01_Input'!$AB$66="Palier",IF(AND(AM$15&gt;='01_Input'!$Z$66,AM$15&lt;'01_Input'!$AA$66),'01_Input'!$AC$66,0),MAX(MIN(AM$15,'01_Input'!$AA$66)-'01_Input'!$Z$66,0)*'01_Input'!$AC$66))))))))))</f>
        <v/>
      </c>
    </row>
    <row r="58" ht="15.75" customHeight="1">
      <c r="B58" s="40" t="str">
        <f t="shared" si="1"/>
        <v>Dépositaire — Forfait liquidation (ANC&lt;5M€)</v>
      </c>
      <c r="D58" s="25">
        <f>IF(D$15="","",IF('01_Input'!$C$67="Non",0,MIN('01_Input'!$I$67,MAX('01_Input'!$H$67,IF('01_Input'!$G$67="Résiduel vs Gestion",0,IF('01_Input'!$G$67="Taux Classe sélectionnée",Distrib_Global_Classe_Selectionnee*D$15,IF('01_Input'!$G$67="Frais KYC (paliers de 100M€)",MAX(0,Nb_Investisseurs-Nb_KYC_Gratuites_Par_Tranche*(FLOOR(D$15/Taille_Tranche_KYC,1)+1))*Cout_Par_KYC_Supplementaire,(IF('01_Input'!$L$67="Forfait",IF(D$15&gt;='01_Input'!$J$67,'01_Input'!$M$67,0),IF('01_Input'!$L$67="Palier",IF(AND(D$15&gt;='01_Input'!$J$67,D$15&lt;'01_Input'!$K$67),'01_Input'!$M$67,0),MAX(MIN(D$15,'01_Input'!$K$67)-'01_Input'!$J$67,0)*'01_Input'!$M$67))+IF('01_Input'!$P$67="Forfait",IF(D$15&gt;='01_Input'!$N$67,'01_Input'!$Q$67,0),IF('01_Input'!$P$67="Palier",IF(AND(D$15&gt;='01_Input'!$N$67,D$15&lt;'01_Input'!$O$67),'01_Input'!$Q$67,0),MAX(MIN(D$15,'01_Input'!$O$67)-'01_Input'!$N$67,0)*'01_Input'!$Q$67))+IF('01_Input'!$T$67="Forfait",IF(D$15&gt;='01_Input'!$R$67,'01_Input'!$U$67,0),IF('01_Input'!$T$67="Palier",IF(AND(D$15&gt;='01_Input'!$R$67,D$15&lt;'01_Input'!$S$67),'01_Input'!$U$67,0),MAX(MIN(D$15,'01_Input'!$S$67)-'01_Input'!$R$67,0)*'01_Input'!$U$67))+IF('01_Input'!$X$67="Forfait",IF(D$15&gt;='01_Input'!$V$67,'01_Input'!$Y$67,0),IF('01_Input'!$X$67="Palier",IF(AND(D$15&gt;='01_Input'!$V$67,D$15&lt;'01_Input'!$W$67),'01_Input'!$Y$67,0),MAX(MIN(D$15,'01_Input'!$W$67)-'01_Input'!$V$67,0)*'01_Input'!$Y$67))+IF('01_Input'!$AB$67="Forfait",IF(D$15&gt;='01_Input'!$Z$67,'01_Input'!$AC$67,0),IF('01_Input'!$AB$67="Palier",IF(AND(D$15&gt;='01_Input'!$Z$67,D$15&lt;'01_Input'!$AA$67),'01_Input'!$AC$67,0),MAX(MIN(D$15,'01_Input'!$AA$67)-'01_Input'!$Z$67,0)*'01_Input'!$AC$67))))))))))</f>
        <v>0</v>
      </c>
      <c r="E58" s="25">
        <f>IF(E$15="","",IF('01_Input'!$C$67="Non",0,MIN('01_Input'!$I$67,MAX('01_Input'!$H$67,IF('01_Input'!$G$67="Résiduel vs Gestion",0,IF('01_Input'!$G$67="Taux Classe sélectionnée",Distrib_Global_Classe_Selectionnee*E$15,IF('01_Input'!$G$67="Frais KYC (paliers de 100M€)",MAX(0,Nb_Investisseurs-Nb_KYC_Gratuites_Par_Tranche*(FLOOR(E$15/Taille_Tranche_KYC,1)+1))*Cout_Par_KYC_Supplementaire,(IF('01_Input'!$L$67="Forfait",IF(E$15&gt;='01_Input'!$J$67,'01_Input'!$M$67,0),IF('01_Input'!$L$67="Palier",IF(AND(E$15&gt;='01_Input'!$J$67,E$15&lt;'01_Input'!$K$67),'01_Input'!$M$67,0),MAX(MIN(E$15,'01_Input'!$K$67)-'01_Input'!$J$67,0)*'01_Input'!$M$67))+IF('01_Input'!$P$67="Forfait",IF(E$15&gt;='01_Input'!$N$67,'01_Input'!$Q$67,0),IF('01_Input'!$P$67="Palier",IF(AND(E$15&gt;='01_Input'!$N$67,E$15&lt;'01_Input'!$O$67),'01_Input'!$Q$67,0),MAX(MIN(E$15,'01_Input'!$O$67)-'01_Input'!$N$67,0)*'01_Input'!$Q$67))+IF('01_Input'!$T$67="Forfait",IF(E$15&gt;='01_Input'!$R$67,'01_Input'!$U$67,0),IF('01_Input'!$T$67="Palier",IF(AND(E$15&gt;='01_Input'!$R$67,E$15&lt;'01_Input'!$S$67),'01_Input'!$U$67,0),MAX(MIN(E$15,'01_Input'!$S$67)-'01_Input'!$R$67,0)*'01_Input'!$U$67))+IF('01_Input'!$X$67="Forfait",IF(E$15&gt;='01_Input'!$V$67,'01_Input'!$Y$67,0),IF('01_Input'!$X$67="Palier",IF(AND(E$15&gt;='01_Input'!$V$67,E$15&lt;'01_Input'!$W$67),'01_Input'!$Y$67,0),MAX(MIN(E$15,'01_Input'!$W$67)-'01_Input'!$V$67,0)*'01_Input'!$Y$67))+IF('01_Input'!$AB$67="Forfait",IF(E$15&gt;='01_Input'!$Z$67,'01_Input'!$AC$67,0),IF('01_Input'!$AB$67="Palier",IF(AND(E$15&gt;='01_Input'!$Z$67,E$15&lt;'01_Input'!$AA$67),'01_Input'!$AC$67,0),MAX(MIN(E$15,'01_Input'!$AA$67)-'01_Input'!$Z$67,0)*'01_Input'!$AC$67))))))))))</f>
        <v>0</v>
      </c>
      <c r="F58" s="25" t="str">
        <f>IF(F$15="","",IF('01_Input'!$C$67="Non",0,MIN('01_Input'!$I$67,MAX('01_Input'!$H$67,IF('01_Input'!$G$67="Résiduel vs Gestion",0,IF('01_Input'!$G$67="Taux Classe sélectionnée",Distrib_Global_Classe_Selectionnee*F$15,IF('01_Input'!$G$67="Frais KYC (paliers de 100M€)",MAX(0,Nb_Investisseurs-Nb_KYC_Gratuites_Par_Tranche*(FLOOR(F$15/Taille_Tranche_KYC,1)+1))*Cout_Par_KYC_Supplementaire,(IF('01_Input'!$L$67="Forfait",IF(F$15&gt;='01_Input'!$J$67,'01_Input'!$M$67,0),IF('01_Input'!$L$67="Palier",IF(AND(F$15&gt;='01_Input'!$J$67,F$15&lt;'01_Input'!$K$67),'01_Input'!$M$67,0),MAX(MIN(F$15,'01_Input'!$K$67)-'01_Input'!$J$67,0)*'01_Input'!$M$67))+IF('01_Input'!$P$67="Forfait",IF(F$15&gt;='01_Input'!$N$67,'01_Input'!$Q$67,0),IF('01_Input'!$P$67="Palier",IF(AND(F$15&gt;='01_Input'!$N$67,F$15&lt;'01_Input'!$O$67),'01_Input'!$Q$67,0),MAX(MIN(F$15,'01_Input'!$O$67)-'01_Input'!$N$67,0)*'01_Input'!$Q$67))+IF('01_Input'!$T$67="Forfait",IF(F$15&gt;='01_Input'!$R$67,'01_Input'!$U$67,0),IF('01_Input'!$T$67="Palier",IF(AND(F$15&gt;='01_Input'!$R$67,F$15&lt;'01_Input'!$S$67),'01_Input'!$U$67,0),MAX(MIN(F$15,'01_Input'!$S$67)-'01_Input'!$R$67,0)*'01_Input'!$U$67))+IF('01_Input'!$X$67="Forfait",IF(F$15&gt;='01_Input'!$V$67,'01_Input'!$Y$67,0),IF('01_Input'!$X$67="Palier",IF(AND(F$15&gt;='01_Input'!$V$67,F$15&lt;'01_Input'!$W$67),'01_Input'!$Y$67,0),MAX(MIN(F$15,'01_Input'!$W$67)-'01_Input'!$V$67,0)*'01_Input'!$Y$67))+IF('01_Input'!$AB$67="Forfait",IF(F$15&gt;='01_Input'!$Z$67,'01_Input'!$AC$67,0),IF('01_Input'!$AB$67="Palier",IF(AND(F$15&gt;='01_Input'!$Z$67,F$15&lt;'01_Input'!$AA$67),'01_Input'!$AC$67,0),MAX(MIN(F$15,'01_Input'!$AA$67)-'01_Input'!$Z$67,0)*'01_Input'!$AC$67))))))))))</f>
        <v/>
      </c>
      <c r="G58" s="25" t="str">
        <f>IF(G$15="","",IF('01_Input'!$C$67="Non",0,MIN('01_Input'!$I$67,MAX('01_Input'!$H$67,IF('01_Input'!$G$67="Résiduel vs Gestion",0,IF('01_Input'!$G$67="Taux Classe sélectionnée",Distrib_Global_Classe_Selectionnee*G$15,IF('01_Input'!$G$67="Frais KYC (paliers de 100M€)",MAX(0,Nb_Investisseurs-Nb_KYC_Gratuites_Par_Tranche*(FLOOR(G$15/Taille_Tranche_KYC,1)+1))*Cout_Par_KYC_Supplementaire,(IF('01_Input'!$L$67="Forfait",IF(G$15&gt;='01_Input'!$J$67,'01_Input'!$M$67,0),IF('01_Input'!$L$67="Palier",IF(AND(G$15&gt;='01_Input'!$J$67,G$15&lt;'01_Input'!$K$67),'01_Input'!$M$67,0),MAX(MIN(G$15,'01_Input'!$K$67)-'01_Input'!$J$67,0)*'01_Input'!$M$67))+IF('01_Input'!$P$67="Forfait",IF(G$15&gt;='01_Input'!$N$67,'01_Input'!$Q$67,0),IF('01_Input'!$P$67="Palier",IF(AND(G$15&gt;='01_Input'!$N$67,G$15&lt;'01_Input'!$O$67),'01_Input'!$Q$67,0),MAX(MIN(G$15,'01_Input'!$O$67)-'01_Input'!$N$67,0)*'01_Input'!$Q$67))+IF('01_Input'!$T$67="Forfait",IF(G$15&gt;='01_Input'!$R$67,'01_Input'!$U$67,0),IF('01_Input'!$T$67="Palier",IF(AND(G$15&gt;='01_Input'!$R$67,G$15&lt;'01_Input'!$S$67),'01_Input'!$U$67,0),MAX(MIN(G$15,'01_Input'!$S$67)-'01_Input'!$R$67,0)*'01_Input'!$U$67))+IF('01_Input'!$X$67="Forfait",IF(G$15&gt;='01_Input'!$V$67,'01_Input'!$Y$67,0),IF('01_Input'!$X$67="Palier",IF(AND(G$15&gt;='01_Input'!$V$67,G$15&lt;'01_Input'!$W$67),'01_Input'!$Y$67,0),MAX(MIN(G$15,'01_Input'!$W$67)-'01_Input'!$V$67,0)*'01_Input'!$Y$67))+IF('01_Input'!$AB$67="Forfait",IF(G$15&gt;='01_Input'!$Z$67,'01_Input'!$AC$67,0),IF('01_Input'!$AB$67="Palier",IF(AND(G$15&gt;='01_Input'!$Z$67,G$15&lt;'01_Input'!$AA$67),'01_Input'!$AC$67,0),MAX(MIN(G$15,'01_Input'!$AA$67)-'01_Input'!$Z$67,0)*'01_Input'!$AC$67))))))))))</f>
        <v/>
      </c>
      <c r="H58" s="25" t="str">
        <f>IF(H$15="","",IF('01_Input'!$C$67="Non",0,MIN('01_Input'!$I$67,MAX('01_Input'!$H$67,IF('01_Input'!$G$67="Résiduel vs Gestion",0,IF('01_Input'!$G$67="Taux Classe sélectionnée",Distrib_Global_Classe_Selectionnee*H$15,IF('01_Input'!$G$67="Frais KYC (paliers de 100M€)",MAX(0,Nb_Investisseurs-Nb_KYC_Gratuites_Par_Tranche*(FLOOR(H$15/Taille_Tranche_KYC,1)+1))*Cout_Par_KYC_Supplementaire,(IF('01_Input'!$L$67="Forfait",IF(H$15&gt;='01_Input'!$J$67,'01_Input'!$M$67,0),IF('01_Input'!$L$67="Palier",IF(AND(H$15&gt;='01_Input'!$J$67,H$15&lt;'01_Input'!$K$67),'01_Input'!$M$67,0),MAX(MIN(H$15,'01_Input'!$K$67)-'01_Input'!$J$67,0)*'01_Input'!$M$67))+IF('01_Input'!$P$67="Forfait",IF(H$15&gt;='01_Input'!$N$67,'01_Input'!$Q$67,0),IF('01_Input'!$P$67="Palier",IF(AND(H$15&gt;='01_Input'!$N$67,H$15&lt;'01_Input'!$O$67),'01_Input'!$Q$67,0),MAX(MIN(H$15,'01_Input'!$O$67)-'01_Input'!$N$67,0)*'01_Input'!$Q$67))+IF('01_Input'!$T$67="Forfait",IF(H$15&gt;='01_Input'!$R$67,'01_Input'!$U$67,0),IF('01_Input'!$T$67="Palier",IF(AND(H$15&gt;='01_Input'!$R$67,H$15&lt;'01_Input'!$S$67),'01_Input'!$U$67,0),MAX(MIN(H$15,'01_Input'!$S$67)-'01_Input'!$R$67,0)*'01_Input'!$U$67))+IF('01_Input'!$X$67="Forfait",IF(H$15&gt;='01_Input'!$V$67,'01_Input'!$Y$67,0),IF('01_Input'!$X$67="Palier",IF(AND(H$15&gt;='01_Input'!$V$67,H$15&lt;'01_Input'!$W$67),'01_Input'!$Y$67,0),MAX(MIN(H$15,'01_Input'!$W$67)-'01_Input'!$V$67,0)*'01_Input'!$Y$67))+IF('01_Input'!$AB$67="Forfait",IF(H$15&gt;='01_Input'!$Z$67,'01_Input'!$AC$67,0),IF('01_Input'!$AB$67="Palier",IF(AND(H$15&gt;='01_Input'!$Z$67,H$15&lt;'01_Input'!$AA$67),'01_Input'!$AC$67,0),MAX(MIN(H$15,'01_Input'!$AA$67)-'01_Input'!$Z$67,0)*'01_Input'!$AC$67))))))))))</f>
        <v/>
      </c>
      <c r="I58" s="25" t="str">
        <f>IF(I$15="","",IF('01_Input'!$C$67="Non",0,MIN('01_Input'!$I$67,MAX('01_Input'!$H$67,IF('01_Input'!$G$67="Résiduel vs Gestion",0,IF('01_Input'!$G$67="Taux Classe sélectionnée",Distrib_Global_Classe_Selectionnee*I$15,IF('01_Input'!$G$67="Frais KYC (paliers de 100M€)",MAX(0,Nb_Investisseurs-Nb_KYC_Gratuites_Par_Tranche*(FLOOR(I$15/Taille_Tranche_KYC,1)+1))*Cout_Par_KYC_Supplementaire,(IF('01_Input'!$L$67="Forfait",IF(I$15&gt;='01_Input'!$J$67,'01_Input'!$M$67,0),IF('01_Input'!$L$67="Palier",IF(AND(I$15&gt;='01_Input'!$J$67,I$15&lt;'01_Input'!$K$67),'01_Input'!$M$67,0),MAX(MIN(I$15,'01_Input'!$K$67)-'01_Input'!$J$67,0)*'01_Input'!$M$67))+IF('01_Input'!$P$67="Forfait",IF(I$15&gt;='01_Input'!$N$67,'01_Input'!$Q$67,0),IF('01_Input'!$P$67="Palier",IF(AND(I$15&gt;='01_Input'!$N$67,I$15&lt;'01_Input'!$O$67),'01_Input'!$Q$67,0),MAX(MIN(I$15,'01_Input'!$O$67)-'01_Input'!$N$67,0)*'01_Input'!$Q$67))+IF('01_Input'!$T$67="Forfait",IF(I$15&gt;='01_Input'!$R$67,'01_Input'!$U$67,0),IF('01_Input'!$T$67="Palier",IF(AND(I$15&gt;='01_Input'!$R$67,I$15&lt;'01_Input'!$S$67),'01_Input'!$U$67,0),MAX(MIN(I$15,'01_Input'!$S$67)-'01_Input'!$R$67,0)*'01_Input'!$U$67))+IF('01_Input'!$X$67="Forfait",IF(I$15&gt;='01_Input'!$V$67,'01_Input'!$Y$67,0),IF('01_Input'!$X$67="Palier",IF(AND(I$15&gt;='01_Input'!$V$67,I$15&lt;'01_Input'!$W$67),'01_Input'!$Y$67,0),MAX(MIN(I$15,'01_Input'!$W$67)-'01_Input'!$V$67,0)*'01_Input'!$Y$67))+IF('01_Input'!$AB$67="Forfait",IF(I$15&gt;='01_Input'!$Z$67,'01_Input'!$AC$67,0),IF('01_Input'!$AB$67="Palier",IF(AND(I$15&gt;='01_Input'!$Z$67,I$15&lt;'01_Input'!$AA$67),'01_Input'!$AC$67,0),MAX(MIN(I$15,'01_Input'!$AA$67)-'01_Input'!$Z$67,0)*'01_Input'!$AC$67))))))))))</f>
        <v/>
      </c>
      <c r="J58" s="25" t="str">
        <f>IF(J$15="","",IF('01_Input'!$C$67="Non",0,MIN('01_Input'!$I$67,MAX('01_Input'!$H$67,IF('01_Input'!$G$67="Résiduel vs Gestion",0,IF('01_Input'!$G$67="Taux Classe sélectionnée",Distrib_Global_Classe_Selectionnee*J$15,IF('01_Input'!$G$67="Frais KYC (paliers de 100M€)",MAX(0,Nb_Investisseurs-Nb_KYC_Gratuites_Par_Tranche*(FLOOR(J$15/Taille_Tranche_KYC,1)+1))*Cout_Par_KYC_Supplementaire,(IF('01_Input'!$L$67="Forfait",IF(J$15&gt;='01_Input'!$J$67,'01_Input'!$M$67,0),IF('01_Input'!$L$67="Palier",IF(AND(J$15&gt;='01_Input'!$J$67,J$15&lt;'01_Input'!$K$67),'01_Input'!$M$67,0),MAX(MIN(J$15,'01_Input'!$K$67)-'01_Input'!$J$67,0)*'01_Input'!$M$67))+IF('01_Input'!$P$67="Forfait",IF(J$15&gt;='01_Input'!$N$67,'01_Input'!$Q$67,0),IF('01_Input'!$P$67="Palier",IF(AND(J$15&gt;='01_Input'!$N$67,J$15&lt;'01_Input'!$O$67),'01_Input'!$Q$67,0),MAX(MIN(J$15,'01_Input'!$O$67)-'01_Input'!$N$67,0)*'01_Input'!$Q$67))+IF('01_Input'!$T$67="Forfait",IF(J$15&gt;='01_Input'!$R$67,'01_Input'!$U$67,0),IF('01_Input'!$T$67="Palier",IF(AND(J$15&gt;='01_Input'!$R$67,J$15&lt;'01_Input'!$S$67),'01_Input'!$U$67,0),MAX(MIN(J$15,'01_Input'!$S$67)-'01_Input'!$R$67,0)*'01_Input'!$U$67))+IF('01_Input'!$X$67="Forfait",IF(J$15&gt;='01_Input'!$V$67,'01_Input'!$Y$67,0),IF('01_Input'!$X$67="Palier",IF(AND(J$15&gt;='01_Input'!$V$67,J$15&lt;'01_Input'!$W$67),'01_Input'!$Y$67,0),MAX(MIN(J$15,'01_Input'!$W$67)-'01_Input'!$V$67,0)*'01_Input'!$Y$67))+IF('01_Input'!$AB$67="Forfait",IF(J$15&gt;='01_Input'!$Z$67,'01_Input'!$AC$67,0),IF('01_Input'!$AB$67="Palier",IF(AND(J$15&gt;='01_Input'!$Z$67,J$15&lt;'01_Input'!$AA$67),'01_Input'!$AC$67,0),MAX(MIN(J$15,'01_Input'!$AA$67)-'01_Input'!$Z$67,0)*'01_Input'!$AC$67))))))))))</f>
        <v/>
      </c>
      <c r="K58" s="25" t="str">
        <f>IF(K$15="","",IF('01_Input'!$C$67="Non",0,MIN('01_Input'!$I$67,MAX('01_Input'!$H$67,IF('01_Input'!$G$67="Résiduel vs Gestion",0,IF('01_Input'!$G$67="Taux Classe sélectionnée",Distrib_Global_Classe_Selectionnee*K$15,IF('01_Input'!$G$67="Frais KYC (paliers de 100M€)",MAX(0,Nb_Investisseurs-Nb_KYC_Gratuites_Par_Tranche*(FLOOR(K$15/Taille_Tranche_KYC,1)+1))*Cout_Par_KYC_Supplementaire,(IF('01_Input'!$L$67="Forfait",IF(K$15&gt;='01_Input'!$J$67,'01_Input'!$M$67,0),IF('01_Input'!$L$67="Palier",IF(AND(K$15&gt;='01_Input'!$J$67,K$15&lt;'01_Input'!$K$67),'01_Input'!$M$67,0),MAX(MIN(K$15,'01_Input'!$K$67)-'01_Input'!$J$67,0)*'01_Input'!$M$67))+IF('01_Input'!$P$67="Forfait",IF(K$15&gt;='01_Input'!$N$67,'01_Input'!$Q$67,0),IF('01_Input'!$P$67="Palier",IF(AND(K$15&gt;='01_Input'!$N$67,K$15&lt;'01_Input'!$O$67),'01_Input'!$Q$67,0),MAX(MIN(K$15,'01_Input'!$O$67)-'01_Input'!$N$67,0)*'01_Input'!$Q$67))+IF('01_Input'!$T$67="Forfait",IF(K$15&gt;='01_Input'!$R$67,'01_Input'!$U$67,0),IF('01_Input'!$T$67="Palier",IF(AND(K$15&gt;='01_Input'!$R$67,K$15&lt;'01_Input'!$S$67),'01_Input'!$U$67,0),MAX(MIN(K$15,'01_Input'!$S$67)-'01_Input'!$R$67,0)*'01_Input'!$U$67))+IF('01_Input'!$X$67="Forfait",IF(K$15&gt;='01_Input'!$V$67,'01_Input'!$Y$67,0),IF('01_Input'!$X$67="Palier",IF(AND(K$15&gt;='01_Input'!$V$67,K$15&lt;'01_Input'!$W$67),'01_Input'!$Y$67,0),MAX(MIN(K$15,'01_Input'!$W$67)-'01_Input'!$V$67,0)*'01_Input'!$Y$67))+IF('01_Input'!$AB$67="Forfait",IF(K$15&gt;='01_Input'!$Z$67,'01_Input'!$AC$67,0),IF('01_Input'!$AB$67="Palier",IF(AND(K$15&gt;='01_Input'!$Z$67,K$15&lt;'01_Input'!$AA$67),'01_Input'!$AC$67,0),MAX(MIN(K$15,'01_Input'!$AA$67)-'01_Input'!$Z$67,0)*'01_Input'!$AC$67))))))))))</f>
        <v/>
      </c>
      <c r="L58" s="25" t="str">
        <f>IF(L$15="","",IF('01_Input'!$C$67="Non",0,MIN('01_Input'!$I$67,MAX('01_Input'!$H$67,IF('01_Input'!$G$67="Résiduel vs Gestion",0,IF('01_Input'!$G$67="Taux Classe sélectionnée",Distrib_Global_Classe_Selectionnee*L$15,IF('01_Input'!$G$67="Frais KYC (paliers de 100M€)",MAX(0,Nb_Investisseurs-Nb_KYC_Gratuites_Par_Tranche*(FLOOR(L$15/Taille_Tranche_KYC,1)+1))*Cout_Par_KYC_Supplementaire,(IF('01_Input'!$L$67="Forfait",IF(L$15&gt;='01_Input'!$J$67,'01_Input'!$M$67,0),IF('01_Input'!$L$67="Palier",IF(AND(L$15&gt;='01_Input'!$J$67,L$15&lt;'01_Input'!$K$67),'01_Input'!$M$67,0),MAX(MIN(L$15,'01_Input'!$K$67)-'01_Input'!$J$67,0)*'01_Input'!$M$67))+IF('01_Input'!$P$67="Forfait",IF(L$15&gt;='01_Input'!$N$67,'01_Input'!$Q$67,0),IF('01_Input'!$P$67="Palier",IF(AND(L$15&gt;='01_Input'!$N$67,L$15&lt;'01_Input'!$O$67),'01_Input'!$Q$67,0),MAX(MIN(L$15,'01_Input'!$O$67)-'01_Input'!$N$67,0)*'01_Input'!$Q$67))+IF('01_Input'!$T$67="Forfait",IF(L$15&gt;='01_Input'!$R$67,'01_Input'!$U$67,0),IF('01_Input'!$T$67="Palier",IF(AND(L$15&gt;='01_Input'!$R$67,L$15&lt;'01_Input'!$S$67),'01_Input'!$U$67,0),MAX(MIN(L$15,'01_Input'!$S$67)-'01_Input'!$R$67,0)*'01_Input'!$U$67))+IF('01_Input'!$X$67="Forfait",IF(L$15&gt;='01_Input'!$V$67,'01_Input'!$Y$67,0),IF('01_Input'!$X$67="Palier",IF(AND(L$15&gt;='01_Input'!$V$67,L$15&lt;'01_Input'!$W$67),'01_Input'!$Y$67,0),MAX(MIN(L$15,'01_Input'!$W$67)-'01_Input'!$V$67,0)*'01_Input'!$Y$67))+IF('01_Input'!$AB$67="Forfait",IF(L$15&gt;='01_Input'!$Z$67,'01_Input'!$AC$67,0),IF('01_Input'!$AB$67="Palier",IF(AND(L$15&gt;='01_Input'!$Z$67,L$15&lt;'01_Input'!$AA$67),'01_Input'!$AC$67,0),MAX(MIN(L$15,'01_Input'!$AA$67)-'01_Input'!$Z$67,0)*'01_Input'!$AC$67))))))))))</f>
        <v/>
      </c>
      <c r="M58" s="25" t="str">
        <f>IF(M$15="","",IF('01_Input'!$C$67="Non",0,MIN('01_Input'!$I$67,MAX('01_Input'!$H$67,IF('01_Input'!$G$67="Résiduel vs Gestion",0,IF('01_Input'!$G$67="Taux Classe sélectionnée",Distrib_Global_Classe_Selectionnee*M$15,IF('01_Input'!$G$67="Frais KYC (paliers de 100M€)",MAX(0,Nb_Investisseurs-Nb_KYC_Gratuites_Par_Tranche*(FLOOR(M$15/Taille_Tranche_KYC,1)+1))*Cout_Par_KYC_Supplementaire,(IF('01_Input'!$L$67="Forfait",IF(M$15&gt;='01_Input'!$J$67,'01_Input'!$M$67,0),IF('01_Input'!$L$67="Palier",IF(AND(M$15&gt;='01_Input'!$J$67,M$15&lt;'01_Input'!$K$67),'01_Input'!$M$67,0),MAX(MIN(M$15,'01_Input'!$K$67)-'01_Input'!$J$67,0)*'01_Input'!$M$67))+IF('01_Input'!$P$67="Forfait",IF(M$15&gt;='01_Input'!$N$67,'01_Input'!$Q$67,0),IF('01_Input'!$P$67="Palier",IF(AND(M$15&gt;='01_Input'!$N$67,M$15&lt;'01_Input'!$O$67),'01_Input'!$Q$67,0),MAX(MIN(M$15,'01_Input'!$O$67)-'01_Input'!$N$67,0)*'01_Input'!$Q$67))+IF('01_Input'!$T$67="Forfait",IF(M$15&gt;='01_Input'!$R$67,'01_Input'!$U$67,0),IF('01_Input'!$T$67="Palier",IF(AND(M$15&gt;='01_Input'!$R$67,M$15&lt;'01_Input'!$S$67),'01_Input'!$U$67,0),MAX(MIN(M$15,'01_Input'!$S$67)-'01_Input'!$R$67,0)*'01_Input'!$U$67))+IF('01_Input'!$X$67="Forfait",IF(M$15&gt;='01_Input'!$V$67,'01_Input'!$Y$67,0),IF('01_Input'!$X$67="Palier",IF(AND(M$15&gt;='01_Input'!$V$67,M$15&lt;'01_Input'!$W$67),'01_Input'!$Y$67,0),MAX(MIN(M$15,'01_Input'!$W$67)-'01_Input'!$V$67,0)*'01_Input'!$Y$67))+IF('01_Input'!$AB$67="Forfait",IF(M$15&gt;='01_Input'!$Z$67,'01_Input'!$AC$67,0),IF('01_Input'!$AB$67="Palier",IF(AND(M$15&gt;='01_Input'!$Z$67,M$15&lt;'01_Input'!$AA$67),'01_Input'!$AC$67,0),MAX(MIN(M$15,'01_Input'!$AA$67)-'01_Input'!$Z$67,0)*'01_Input'!$AC$67))))))))))</f>
        <v/>
      </c>
      <c r="N58" s="25" t="str">
        <f>IF(N$15="","",IF('01_Input'!$C$67="Non",0,MIN('01_Input'!$I$67,MAX('01_Input'!$H$67,IF('01_Input'!$G$67="Résiduel vs Gestion",0,IF('01_Input'!$G$67="Taux Classe sélectionnée",Distrib_Global_Classe_Selectionnee*N$15,IF('01_Input'!$G$67="Frais KYC (paliers de 100M€)",MAX(0,Nb_Investisseurs-Nb_KYC_Gratuites_Par_Tranche*(FLOOR(N$15/Taille_Tranche_KYC,1)+1))*Cout_Par_KYC_Supplementaire,(IF('01_Input'!$L$67="Forfait",IF(N$15&gt;='01_Input'!$J$67,'01_Input'!$M$67,0),IF('01_Input'!$L$67="Palier",IF(AND(N$15&gt;='01_Input'!$J$67,N$15&lt;'01_Input'!$K$67),'01_Input'!$M$67,0),MAX(MIN(N$15,'01_Input'!$K$67)-'01_Input'!$J$67,0)*'01_Input'!$M$67))+IF('01_Input'!$P$67="Forfait",IF(N$15&gt;='01_Input'!$N$67,'01_Input'!$Q$67,0),IF('01_Input'!$P$67="Palier",IF(AND(N$15&gt;='01_Input'!$N$67,N$15&lt;'01_Input'!$O$67),'01_Input'!$Q$67,0),MAX(MIN(N$15,'01_Input'!$O$67)-'01_Input'!$N$67,0)*'01_Input'!$Q$67))+IF('01_Input'!$T$67="Forfait",IF(N$15&gt;='01_Input'!$R$67,'01_Input'!$U$67,0),IF('01_Input'!$T$67="Palier",IF(AND(N$15&gt;='01_Input'!$R$67,N$15&lt;'01_Input'!$S$67),'01_Input'!$U$67,0),MAX(MIN(N$15,'01_Input'!$S$67)-'01_Input'!$R$67,0)*'01_Input'!$U$67))+IF('01_Input'!$X$67="Forfait",IF(N$15&gt;='01_Input'!$V$67,'01_Input'!$Y$67,0),IF('01_Input'!$X$67="Palier",IF(AND(N$15&gt;='01_Input'!$V$67,N$15&lt;'01_Input'!$W$67),'01_Input'!$Y$67,0),MAX(MIN(N$15,'01_Input'!$W$67)-'01_Input'!$V$67,0)*'01_Input'!$Y$67))+IF('01_Input'!$AB$67="Forfait",IF(N$15&gt;='01_Input'!$Z$67,'01_Input'!$AC$67,0),IF('01_Input'!$AB$67="Palier",IF(AND(N$15&gt;='01_Input'!$Z$67,N$15&lt;'01_Input'!$AA$67),'01_Input'!$AC$67,0),MAX(MIN(N$15,'01_Input'!$AA$67)-'01_Input'!$Z$67,0)*'01_Input'!$AC$67))))))))))</f>
        <v/>
      </c>
      <c r="O58" s="25" t="str">
        <f>IF(O$15="","",IF('01_Input'!$C$67="Non",0,MIN('01_Input'!$I$67,MAX('01_Input'!$H$67,IF('01_Input'!$G$67="Résiduel vs Gestion",0,IF('01_Input'!$G$67="Taux Classe sélectionnée",Distrib_Global_Classe_Selectionnee*O$15,IF('01_Input'!$G$67="Frais KYC (paliers de 100M€)",MAX(0,Nb_Investisseurs-Nb_KYC_Gratuites_Par_Tranche*(FLOOR(O$15/Taille_Tranche_KYC,1)+1))*Cout_Par_KYC_Supplementaire,(IF('01_Input'!$L$67="Forfait",IF(O$15&gt;='01_Input'!$J$67,'01_Input'!$M$67,0),IF('01_Input'!$L$67="Palier",IF(AND(O$15&gt;='01_Input'!$J$67,O$15&lt;'01_Input'!$K$67),'01_Input'!$M$67,0),MAX(MIN(O$15,'01_Input'!$K$67)-'01_Input'!$J$67,0)*'01_Input'!$M$67))+IF('01_Input'!$P$67="Forfait",IF(O$15&gt;='01_Input'!$N$67,'01_Input'!$Q$67,0),IF('01_Input'!$P$67="Palier",IF(AND(O$15&gt;='01_Input'!$N$67,O$15&lt;'01_Input'!$O$67),'01_Input'!$Q$67,0),MAX(MIN(O$15,'01_Input'!$O$67)-'01_Input'!$N$67,0)*'01_Input'!$Q$67))+IF('01_Input'!$T$67="Forfait",IF(O$15&gt;='01_Input'!$R$67,'01_Input'!$U$67,0),IF('01_Input'!$T$67="Palier",IF(AND(O$15&gt;='01_Input'!$R$67,O$15&lt;'01_Input'!$S$67),'01_Input'!$U$67,0),MAX(MIN(O$15,'01_Input'!$S$67)-'01_Input'!$R$67,0)*'01_Input'!$U$67))+IF('01_Input'!$X$67="Forfait",IF(O$15&gt;='01_Input'!$V$67,'01_Input'!$Y$67,0),IF('01_Input'!$X$67="Palier",IF(AND(O$15&gt;='01_Input'!$V$67,O$15&lt;'01_Input'!$W$67),'01_Input'!$Y$67,0),MAX(MIN(O$15,'01_Input'!$W$67)-'01_Input'!$V$67,0)*'01_Input'!$Y$67))+IF('01_Input'!$AB$67="Forfait",IF(O$15&gt;='01_Input'!$Z$67,'01_Input'!$AC$67,0),IF('01_Input'!$AB$67="Palier",IF(AND(O$15&gt;='01_Input'!$Z$67,O$15&lt;'01_Input'!$AA$67),'01_Input'!$AC$67,0),MAX(MIN(O$15,'01_Input'!$AA$67)-'01_Input'!$Z$67,0)*'01_Input'!$AC$67))))))))))</f>
        <v/>
      </c>
      <c r="P58" s="25" t="str">
        <f>IF(P$15="","",IF('01_Input'!$C$67="Non",0,MIN('01_Input'!$I$67,MAX('01_Input'!$H$67,IF('01_Input'!$G$67="Résiduel vs Gestion",0,IF('01_Input'!$G$67="Taux Classe sélectionnée",Distrib_Global_Classe_Selectionnee*P$15,IF('01_Input'!$G$67="Frais KYC (paliers de 100M€)",MAX(0,Nb_Investisseurs-Nb_KYC_Gratuites_Par_Tranche*(FLOOR(P$15/Taille_Tranche_KYC,1)+1))*Cout_Par_KYC_Supplementaire,(IF('01_Input'!$L$67="Forfait",IF(P$15&gt;='01_Input'!$J$67,'01_Input'!$M$67,0),IF('01_Input'!$L$67="Palier",IF(AND(P$15&gt;='01_Input'!$J$67,P$15&lt;'01_Input'!$K$67),'01_Input'!$M$67,0),MAX(MIN(P$15,'01_Input'!$K$67)-'01_Input'!$J$67,0)*'01_Input'!$M$67))+IF('01_Input'!$P$67="Forfait",IF(P$15&gt;='01_Input'!$N$67,'01_Input'!$Q$67,0),IF('01_Input'!$P$67="Palier",IF(AND(P$15&gt;='01_Input'!$N$67,P$15&lt;'01_Input'!$O$67),'01_Input'!$Q$67,0),MAX(MIN(P$15,'01_Input'!$O$67)-'01_Input'!$N$67,0)*'01_Input'!$Q$67))+IF('01_Input'!$T$67="Forfait",IF(P$15&gt;='01_Input'!$R$67,'01_Input'!$U$67,0),IF('01_Input'!$T$67="Palier",IF(AND(P$15&gt;='01_Input'!$R$67,P$15&lt;'01_Input'!$S$67),'01_Input'!$U$67,0),MAX(MIN(P$15,'01_Input'!$S$67)-'01_Input'!$R$67,0)*'01_Input'!$U$67))+IF('01_Input'!$X$67="Forfait",IF(P$15&gt;='01_Input'!$V$67,'01_Input'!$Y$67,0),IF('01_Input'!$X$67="Palier",IF(AND(P$15&gt;='01_Input'!$V$67,P$15&lt;'01_Input'!$W$67),'01_Input'!$Y$67,0),MAX(MIN(P$15,'01_Input'!$W$67)-'01_Input'!$V$67,0)*'01_Input'!$Y$67))+IF('01_Input'!$AB$67="Forfait",IF(P$15&gt;='01_Input'!$Z$67,'01_Input'!$AC$67,0),IF('01_Input'!$AB$67="Palier",IF(AND(P$15&gt;='01_Input'!$Z$67,P$15&lt;'01_Input'!$AA$67),'01_Input'!$AC$67,0),MAX(MIN(P$15,'01_Input'!$AA$67)-'01_Input'!$Z$67,0)*'01_Input'!$AC$67))))))))))</f>
        <v/>
      </c>
      <c r="Q58" s="25" t="str">
        <f>IF(Q$15="","",IF('01_Input'!$C$67="Non",0,MIN('01_Input'!$I$67,MAX('01_Input'!$H$67,IF('01_Input'!$G$67="Résiduel vs Gestion",0,IF('01_Input'!$G$67="Taux Classe sélectionnée",Distrib_Global_Classe_Selectionnee*Q$15,IF('01_Input'!$G$67="Frais KYC (paliers de 100M€)",MAX(0,Nb_Investisseurs-Nb_KYC_Gratuites_Par_Tranche*(FLOOR(Q$15/Taille_Tranche_KYC,1)+1))*Cout_Par_KYC_Supplementaire,(IF('01_Input'!$L$67="Forfait",IF(Q$15&gt;='01_Input'!$J$67,'01_Input'!$M$67,0),IF('01_Input'!$L$67="Palier",IF(AND(Q$15&gt;='01_Input'!$J$67,Q$15&lt;'01_Input'!$K$67),'01_Input'!$M$67,0),MAX(MIN(Q$15,'01_Input'!$K$67)-'01_Input'!$J$67,0)*'01_Input'!$M$67))+IF('01_Input'!$P$67="Forfait",IF(Q$15&gt;='01_Input'!$N$67,'01_Input'!$Q$67,0),IF('01_Input'!$P$67="Palier",IF(AND(Q$15&gt;='01_Input'!$N$67,Q$15&lt;'01_Input'!$O$67),'01_Input'!$Q$67,0),MAX(MIN(Q$15,'01_Input'!$O$67)-'01_Input'!$N$67,0)*'01_Input'!$Q$67))+IF('01_Input'!$T$67="Forfait",IF(Q$15&gt;='01_Input'!$R$67,'01_Input'!$U$67,0),IF('01_Input'!$T$67="Palier",IF(AND(Q$15&gt;='01_Input'!$R$67,Q$15&lt;'01_Input'!$S$67),'01_Input'!$U$67,0),MAX(MIN(Q$15,'01_Input'!$S$67)-'01_Input'!$R$67,0)*'01_Input'!$U$67))+IF('01_Input'!$X$67="Forfait",IF(Q$15&gt;='01_Input'!$V$67,'01_Input'!$Y$67,0),IF('01_Input'!$X$67="Palier",IF(AND(Q$15&gt;='01_Input'!$V$67,Q$15&lt;'01_Input'!$W$67),'01_Input'!$Y$67,0),MAX(MIN(Q$15,'01_Input'!$W$67)-'01_Input'!$V$67,0)*'01_Input'!$Y$67))+IF('01_Input'!$AB$67="Forfait",IF(Q$15&gt;='01_Input'!$Z$67,'01_Input'!$AC$67,0),IF('01_Input'!$AB$67="Palier",IF(AND(Q$15&gt;='01_Input'!$Z$67,Q$15&lt;'01_Input'!$AA$67),'01_Input'!$AC$67,0),MAX(MIN(Q$15,'01_Input'!$AA$67)-'01_Input'!$Z$67,0)*'01_Input'!$AC$67))))))))))</f>
        <v/>
      </c>
      <c r="R58" s="25" t="str">
        <f>IF(R$15="","",IF('01_Input'!$C$67="Non",0,MIN('01_Input'!$I$67,MAX('01_Input'!$H$67,IF('01_Input'!$G$67="Résiduel vs Gestion",0,IF('01_Input'!$G$67="Taux Classe sélectionnée",Distrib_Global_Classe_Selectionnee*R$15,IF('01_Input'!$G$67="Frais KYC (paliers de 100M€)",MAX(0,Nb_Investisseurs-Nb_KYC_Gratuites_Par_Tranche*(FLOOR(R$15/Taille_Tranche_KYC,1)+1))*Cout_Par_KYC_Supplementaire,(IF('01_Input'!$L$67="Forfait",IF(R$15&gt;='01_Input'!$J$67,'01_Input'!$M$67,0),IF('01_Input'!$L$67="Palier",IF(AND(R$15&gt;='01_Input'!$J$67,R$15&lt;'01_Input'!$K$67),'01_Input'!$M$67,0),MAX(MIN(R$15,'01_Input'!$K$67)-'01_Input'!$J$67,0)*'01_Input'!$M$67))+IF('01_Input'!$P$67="Forfait",IF(R$15&gt;='01_Input'!$N$67,'01_Input'!$Q$67,0),IF('01_Input'!$P$67="Palier",IF(AND(R$15&gt;='01_Input'!$N$67,R$15&lt;'01_Input'!$O$67),'01_Input'!$Q$67,0),MAX(MIN(R$15,'01_Input'!$O$67)-'01_Input'!$N$67,0)*'01_Input'!$Q$67))+IF('01_Input'!$T$67="Forfait",IF(R$15&gt;='01_Input'!$R$67,'01_Input'!$U$67,0),IF('01_Input'!$T$67="Palier",IF(AND(R$15&gt;='01_Input'!$R$67,R$15&lt;'01_Input'!$S$67),'01_Input'!$U$67,0),MAX(MIN(R$15,'01_Input'!$S$67)-'01_Input'!$R$67,0)*'01_Input'!$U$67))+IF('01_Input'!$X$67="Forfait",IF(R$15&gt;='01_Input'!$V$67,'01_Input'!$Y$67,0),IF('01_Input'!$X$67="Palier",IF(AND(R$15&gt;='01_Input'!$V$67,R$15&lt;'01_Input'!$W$67),'01_Input'!$Y$67,0),MAX(MIN(R$15,'01_Input'!$W$67)-'01_Input'!$V$67,0)*'01_Input'!$Y$67))+IF('01_Input'!$AB$67="Forfait",IF(R$15&gt;='01_Input'!$Z$67,'01_Input'!$AC$67,0),IF('01_Input'!$AB$67="Palier",IF(AND(R$15&gt;='01_Input'!$Z$67,R$15&lt;'01_Input'!$AA$67),'01_Input'!$AC$67,0),MAX(MIN(R$15,'01_Input'!$AA$67)-'01_Input'!$Z$67,0)*'01_Input'!$AC$67))))))))))</f>
        <v/>
      </c>
      <c r="S58" s="25" t="str">
        <f>IF(S$15="","",IF('01_Input'!$C$67="Non",0,MIN('01_Input'!$I$67,MAX('01_Input'!$H$67,IF('01_Input'!$G$67="Résiduel vs Gestion",0,IF('01_Input'!$G$67="Taux Classe sélectionnée",Distrib_Global_Classe_Selectionnee*S$15,IF('01_Input'!$G$67="Frais KYC (paliers de 100M€)",MAX(0,Nb_Investisseurs-Nb_KYC_Gratuites_Par_Tranche*(FLOOR(S$15/Taille_Tranche_KYC,1)+1))*Cout_Par_KYC_Supplementaire,(IF('01_Input'!$L$67="Forfait",IF(S$15&gt;='01_Input'!$J$67,'01_Input'!$M$67,0),IF('01_Input'!$L$67="Palier",IF(AND(S$15&gt;='01_Input'!$J$67,S$15&lt;'01_Input'!$K$67),'01_Input'!$M$67,0),MAX(MIN(S$15,'01_Input'!$K$67)-'01_Input'!$J$67,0)*'01_Input'!$M$67))+IF('01_Input'!$P$67="Forfait",IF(S$15&gt;='01_Input'!$N$67,'01_Input'!$Q$67,0),IF('01_Input'!$P$67="Palier",IF(AND(S$15&gt;='01_Input'!$N$67,S$15&lt;'01_Input'!$O$67),'01_Input'!$Q$67,0),MAX(MIN(S$15,'01_Input'!$O$67)-'01_Input'!$N$67,0)*'01_Input'!$Q$67))+IF('01_Input'!$T$67="Forfait",IF(S$15&gt;='01_Input'!$R$67,'01_Input'!$U$67,0),IF('01_Input'!$T$67="Palier",IF(AND(S$15&gt;='01_Input'!$R$67,S$15&lt;'01_Input'!$S$67),'01_Input'!$U$67,0),MAX(MIN(S$15,'01_Input'!$S$67)-'01_Input'!$R$67,0)*'01_Input'!$U$67))+IF('01_Input'!$X$67="Forfait",IF(S$15&gt;='01_Input'!$V$67,'01_Input'!$Y$67,0),IF('01_Input'!$X$67="Palier",IF(AND(S$15&gt;='01_Input'!$V$67,S$15&lt;'01_Input'!$W$67),'01_Input'!$Y$67,0),MAX(MIN(S$15,'01_Input'!$W$67)-'01_Input'!$V$67,0)*'01_Input'!$Y$67))+IF('01_Input'!$AB$67="Forfait",IF(S$15&gt;='01_Input'!$Z$67,'01_Input'!$AC$67,0),IF('01_Input'!$AB$67="Palier",IF(AND(S$15&gt;='01_Input'!$Z$67,S$15&lt;'01_Input'!$AA$67),'01_Input'!$AC$67,0),MAX(MIN(S$15,'01_Input'!$AA$67)-'01_Input'!$Z$67,0)*'01_Input'!$AC$67))))))))))</f>
        <v/>
      </c>
      <c r="T58" s="25" t="str">
        <f>IF(T$15="","",IF('01_Input'!$C$67="Non",0,MIN('01_Input'!$I$67,MAX('01_Input'!$H$67,IF('01_Input'!$G$67="Résiduel vs Gestion",0,IF('01_Input'!$G$67="Taux Classe sélectionnée",Distrib_Global_Classe_Selectionnee*T$15,IF('01_Input'!$G$67="Frais KYC (paliers de 100M€)",MAX(0,Nb_Investisseurs-Nb_KYC_Gratuites_Par_Tranche*(FLOOR(T$15/Taille_Tranche_KYC,1)+1))*Cout_Par_KYC_Supplementaire,(IF('01_Input'!$L$67="Forfait",IF(T$15&gt;='01_Input'!$J$67,'01_Input'!$M$67,0),IF('01_Input'!$L$67="Palier",IF(AND(T$15&gt;='01_Input'!$J$67,T$15&lt;'01_Input'!$K$67),'01_Input'!$M$67,0),MAX(MIN(T$15,'01_Input'!$K$67)-'01_Input'!$J$67,0)*'01_Input'!$M$67))+IF('01_Input'!$P$67="Forfait",IF(T$15&gt;='01_Input'!$N$67,'01_Input'!$Q$67,0),IF('01_Input'!$P$67="Palier",IF(AND(T$15&gt;='01_Input'!$N$67,T$15&lt;'01_Input'!$O$67),'01_Input'!$Q$67,0),MAX(MIN(T$15,'01_Input'!$O$67)-'01_Input'!$N$67,0)*'01_Input'!$Q$67))+IF('01_Input'!$T$67="Forfait",IF(T$15&gt;='01_Input'!$R$67,'01_Input'!$U$67,0),IF('01_Input'!$T$67="Palier",IF(AND(T$15&gt;='01_Input'!$R$67,T$15&lt;'01_Input'!$S$67),'01_Input'!$U$67,0),MAX(MIN(T$15,'01_Input'!$S$67)-'01_Input'!$R$67,0)*'01_Input'!$U$67))+IF('01_Input'!$X$67="Forfait",IF(T$15&gt;='01_Input'!$V$67,'01_Input'!$Y$67,0),IF('01_Input'!$X$67="Palier",IF(AND(T$15&gt;='01_Input'!$V$67,T$15&lt;'01_Input'!$W$67),'01_Input'!$Y$67,0),MAX(MIN(T$15,'01_Input'!$W$67)-'01_Input'!$V$67,0)*'01_Input'!$Y$67))+IF('01_Input'!$AB$67="Forfait",IF(T$15&gt;='01_Input'!$Z$67,'01_Input'!$AC$67,0),IF('01_Input'!$AB$67="Palier",IF(AND(T$15&gt;='01_Input'!$Z$67,T$15&lt;'01_Input'!$AA$67),'01_Input'!$AC$67,0),MAX(MIN(T$15,'01_Input'!$AA$67)-'01_Input'!$Z$67,0)*'01_Input'!$AC$67))))))))))</f>
        <v/>
      </c>
      <c r="U58" s="25" t="str">
        <f>IF(U$15="","",IF('01_Input'!$C$67="Non",0,MIN('01_Input'!$I$67,MAX('01_Input'!$H$67,IF('01_Input'!$G$67="Résiduel vs Gestion",0,IF('01_Input'!$G$67="Taux Classe sélectionnée",Distrib_Global_Classe_Selectionnee*U$15,IF('01_Input'!$G$67="Frais KYC (paliers de 100M€)",MAX(0,Nb_Investisseurs-Nb_KYC_Gratuites_Par_Tranche*(FLOOR(U$15/Taille_Tranche_KYC,1)+1))*Cout_Par_KYC_Supplementaire,(IF('01_Input'!$L$67="Forfait",IF(U$15&gt;='01_Input'!$J$67,'01_Input'!$M$67,0),IF('01_Input'!$L$67="Palier",IF(AND(U$15&gt;='01_Input'!$J$67,U$15&lt;'01_Input'!$K$67),'01_Input'!$M$67,0),MAX(MIN(U$15,'01_Input'!$K$67)-'01_Input'!$J$67,0)*'01_Input'!$M$67))+IF('01_Input'!$P$67="Forfait",IF(U$15&gt;='01_Input'!$N$67,'01_Input'!$Q$67,0),IF('01_Input'!$P$67="Palier",IF(AND(U$15&gt;='01_Input'!$N$67,U$15&lt;'01_Input'!$O$67),'01_Input'!$Q$67,0),MAX(MIN(U$15,'01_Input'!$O$67)-'01_Input'!$N$67,0)*'01_Input'!$Q$67))+IF('01_Input'!$T$67="Forfait",IF(U$15&gt;='01_Input'!$R$67,'01_Input'!$U$67,0),IF('01_Input'!$T$67="Palier",IF(AND(U$15&gt;='01_Input'!$R$67,U$15&lt;'01_Input'!$S$67),'01_Input'!$U$67,0),MAX(MIN(U$15,'01_Input'!$S$67)-'01_Input'!$R$67,0)*'01_Input'!$U$67))+IF('01_Input'!$X$67="Forfait",IF(U$15&gt;='01_Input'!$V$67,'01_Input'!$Y$67,0),IF('01_Input'!$X$67="Palier",IF(AND(U$15&gt;='01_Input'!$V$67,U$15&lt;'01_Input'!$W$67),'01_Input'!$Y$67,0),MAX(MIN(U$15,'01_Input'!$W$67)-'01_Input'!$V$67,0)*'01_Input'!$Y$67))+IF('01_Input'!$AB$67="Forfait",IF(U$15&gt;='01_Input'!$Z$67,'01_Input'!$AC$67,0),IF('01_Input'!$AB$67="Palier",IF(AND(U$15&gt;='01_Input'!$Z$67,U$15&lt;'01_Input'!$AA$67),'01_Input'!$AC$67,0),MAX(MIN(U$15,'01_Input'!$AA$67)-'01_Input'!$Z$67,0)*'01_Input'!$AC$67))))))))))</f>
        <v/>
      </c>
      <c r="V58" s="25" t="str">
        <f>IF(V$15="","",IF('01_Input'!$C$67="Non",0,MIN('01_Input'!$I$67,MAX('01_Input'!$H$67,IF('01_Input'!$G$67="Résiduel vs Gestion",0,IF('01_Input'!$G$67="Taux Classe sélectionnée",Distrib_Global_Classe_Selectionnee*V$15,IF('01_Input'!$G$67="Frais KYC (paliers de 100M€)",MAX(0,Nb_Investisseurs-Nb_KYC_Gratuites_Par_Tranche*(FLOOR(V$15/Taille_Tranche_KYC,1)+1))*Cout_Par_KYC_Supplementaire,(IF('01_Input'!$L$67="Forfait",IF(V$15&gt;='01_Input'!$J$67,'01_Input'!$M$67,0),IF('01_Input'!$L$67="Palier",IF(AND(V$15&gt;='01_Input'!$J$67,V$15&lt;'01_Input'!$K$67),'01_Input'!$M$67,0),MAX(MIN(V$15,'01_Input'!$K$67)-'01_Input'!$J$67,0)*'01_Input'!$M$67))+IF('01_Input'!$P$67="Forfait",IF(V$15&gt;='01_Input'!$N$67,'01_Input'!$Q$67,0),IF('01_Input'!$P$67="Palier",IF(AND(V$15&gt;='01_Input'!$N$67,V$15&lt;'01_Input'!$O$67),'01_Input'!$Q$67,0),MAX(MIN(V$15,'01_Input'!$O$67)-'01_Input'!$N$67,0)*'01_Input'!$Q$67))+IF('01_Input'!$T$67="Forfait",IF(V$15&gt;='01_Input'!$R$67,'01_Input'!$U$67,0),IF('01_Input'!$T$67="Palier",IF(AND(V$15&gt;='01_Input'!$R$67,V$15&lt;'01_Input'!$S$67),'01_Input'!$U$67,0),MAX(MIN(V$15,'01_Input'!$S$67)-'01_Input'!$R$67,0)*'01_Input'!$U$67))+IF('01_Input'!$X$67="Forfait",IF(V$15&gt;='01_Input'!$V$67,'01_Input'!$Y$67,0),IF('01_Input'!$X$67="Palier",IF(AND(V$15&gt;='01_Input'!$V$67,V$15&lt;'01_Input'!$W$67),'01_Input'!$Y$67,0),MAX(MIN(V$15,'01_Input'!$W$67)-'01_Input'!$V$67,0)*'01_Input'!$Y$67))+IF('01_Input'!$AB$67="Forfait",IF(V$15&gt;='01_Input'!$Z$67,'01_Input'!$AC$67,0),IF('01_Input'!$AB$67="Palier",IF(AND(V$15&gt;='01_Input'!$Z$67,V$15&lt;'01_Input'!$AA$67),'01_Input'!$AC$67,0),MAX(MIN(V$15,'01_Input'!$AA$67)-'01_Input'!$Z$67,0)*'01_Input'!$AC$67))))))))))</f>
        <v/>
      </c>
      <c r="W58" s="25" t="str">
        <f>IF(W$15="","",IF('01_Input'!$C$67="Non",0,MIN('01_Input'!$I$67,MAX('01_Input'!$H$67,IF('01_Input'!$G$67="Résiduel vs Gestion",0,IF('01_Input'!$G$67="Taux Classe sélectionnée",Distrib_Global_Classe_Selectionnee*W$15,IF('01_Input'!$G$67="Frais KYC (paliers de 100M€)",MAX(0,Nb_Investisseurs-Nb_KYC_Gratuites_Par_Tranche*(FLOOR(W$15/Taille_Tranche_KYC,1)+1))*Cout_Par_KYC_Supplementaire,(IF('01_Input'!$L$67="Forfait",IF(W$15&gt;='01_Input'!$J$67,'01_Input'!$M$67,0),IF('01_Input'!$L$67="Palier",IF(AND(W$15&gt;='01_Input'!$J$67,W$15&lt;'01_Input'!$K$67),'01_Input'!$M$67,0),MAX(MIN(W$15,'01_Input'!$K$67)-'01_Input'!$J$67,0)*'01_Input'!$M$67))+IF('01_Input'!$P$67="Forfait",IF(W$15&gt;='01_Input'!$N$67,'01_Input'!$Q$67,0),IF('01_Input'!$P$67="Palier",IF(AND(W$15&gt;='01_Input'!$N$67,W$15&lt;'01_Input'!$O$67),'01_Input'!$Q$67,0),MAX(MIN(W$15,'01_Input'!$O$67)-'01_Input'!$N$67,0)*'01_Input'!$Q$67))+IF('01_Input'!$T$67="Forfait",IF(W$15&gt;='01_Input'!$R$67,'01_Input'!$U$67,0),IF('01_Input'!$T$67="Palier",IF(AND(W$15&gt;='01_Input'!$R$67,W$15&lt;'01_Input'!$S$67),'01_Input'!$U$67,0),MAX(MIN(W$15,'01_Input'!$S$67)-'01_Input'!$R$67,0)*'01_Input'!$U$67))+IF('01_Input'!$X$67="Forfait",IF(W$15&gt;='01_Input'!$V$67,'01_Input'!$Y$67,0),IF('01_Input'!$X$67="Palier",IF(AND(W$15&gt;='01_Input'!$V$67,W$15&lt;'01_Input'!$W$67),'01_Input'!$Y$67,0),MAX(MIN(W$15,'01_Input'!$W$67)-'01_Input'!$V$67,0)*'01_Input'!$Y$67))+IF('01_Input'!$AB$67="Forfait",IF(W$15&gt;='01_Input'!$Z$67,'01_Input'!$AC$67,0),IF('01_Input'!$AB$67="Palier",IF(AND(W$15&gt;='01_Input'!$Z$67,W$15&lt;'01_Input'!$AA$67),'01_Input'!$AC$67,0),MAX(MIN(W$15,'01_Input'!$AA$67)-'01_Input'!$Z$67,0)*'01_Input'!$AC$67))))))))))</f>
        <v/>
      </c>
      <c r="X58" s="25" t="str">
        <f>IF(X$15="","",IF('01_Input'!$C$67="Non",0,MIN('01_Input'!$I$67,MAX('01_Input'!$H$67,IF('01_Input'!$G$67="Résiduel vs Gestion",0,IF('01_Input'!$G$67="Taux Classe sélectionnée",Distrib_Global_Classe_Selectionnee*X$15,IF('01_Input'!$G$67="Frais KYC (paliers de 100M€)",MAX(0,Nb_Investisseurs-Nb_KYC_Gratuites_Par_Tranche*(FLOOR(X$15/Taille_Tranche_KYC,1)+1))*Cout_Par_KYC_Supplementaire,(IF('01_Input'!$L$67="Forfait",IF(X$15&gt;='01_Input'!$J$67,'01_Input'!$M$67,0),IF('01_Input'!$L$67="Palier",IF(AND(X$15&gt;='01_Input'!$J$67,X$15&lt;'01_Input'!$K$67),'01_Input'!$M$67,0),MAX(MIN(X$15,'01_Input'!$K$67)-'01_Input'!$J$67,0)*'01_Input'!$M$67))+IF('01_Input'!$P$67="Forfait",IF(X$15&gt;='01_Input'!$N$67,'01_Input'!$Q$67,0),IF('01_Input'!$P$67="Palier",IF(AND(X$15&gt;='01_Input'!$N$67,X$15&lt;'01_Input'!$O$67),'01_Input'!$Q$67,0),MAX(MIN(X$15,'01_Input'!$O$67)-'01_Input'!$N$67,0)*'01_Input'!$Q$67))+IF('01_Input'!$T$67="Forfait",IF(X$15&gt;='01_Input'!$R$67,'01_Input'!$U$67,0),IF('01_Input'!$T$67="Palier",IF(AND(X$15&gt;='01_Input'!$R$67,X$15&lt;'01_Input'!$S$67),'01_Input'!$U$67,0),MAX(MIN(X$15,'01_Input'!$S$67)-'01_Input'!$R$67,0)*'01_Input'!$U$67))+IF('01_Input'!$X$67="Forfait",IF(X$15&gt;='01_Input'!$V$67,'01_Input'!$Y$67,0),IF('01_Input'!$X$67="Palier",IF(AND(X$15&gt;='01_Input'!$V$67,X$15&lt;'01_Input'!$W$67),'01_Input'!$Y$67,0),MAX(MIN(X$15,'01_Input'!$W$67)-'01_Input'!$V$67,0)*'01_Input'!$Y$67))+IF('01_Input'!$AB$67="Forfait",IF(X$15&gt;='01_Input'!$Z$67,'01_Input'!$AC$67,0),IF('01_Input'!$AB$67="Palier",IF(AND(X$15&gt;='01_Input'!$Z$67,X$15&lt;'01_Input'!$AA$67),'01_Input'!$AC$67,0),MAX(MIN(X$15,'01_Input'!$AA$67)-'01_Input'!$Z$67,0)*'01_Input'!$AC$67))))))))))</f>
        <v/>
      </c>
      <c r="Y58" s="25" t="str">
        <f>IF(Y$15="","",IF('01_Input'!$C$67="Non",0,MIN('01_Input'!$I$67,MAX('01_Input'!$H$67,IF('01_Input'!$G$67="Résiduel vs Gestion",0,IF('01_Input'!$G$67="Taux Classe sélectionnée",Distrib_Global_Classe_Selectionnee*Y$15,IF('01_Input'!$G$67="Frais KYC (paliers de 100M€)",MAX(0,Nb_Investisseurs-Nb_KYC_Gratuites_Par_Tranche*(FLOOR(Y$15/Taille_Tranche_KYC,1)+1))*Cout_Par_KYC_Supplementaire,(IF('01_Input'!$L$67="Forfait",IF(Y$15&gt;='01_Input'!$J$67,'01_Input'!$M$67,0),IF('01_Input'!$L$67="Palier",IF(AND(Y$15&gt;='01_Input'!$J$67,Y$15&lt;'01_Input'!$K$67),'01_Input'!$M$67,0),MAX(MIN(Y$15,'01_Input'!$K$67)-'01_Input'!$J$67,0)*'01_Input'!$M$67))+IF('01_Input'!$P$67="Forfait",IF(Y$15&gt;='01_Input'!$N$67,'01_Input'!$Q$67,0),IF('01_Input'!$P$67="Palier",IF(AND(Y$15&gt;='01_Input'!$N$67,Y$15&lt;'01_Input'!$O$67),'01_Input'!$Q$67,0),MAX(MIN(Y$15,'01_Input'!$O$67)-'01_Input'!$N$67,0)*'01_Input'!$Q$67))+IF('01_Input'!$T$67="Forfait",IF(Y$15&gt;='01_Input'!$R$67,'01_Input'!$U$67,0),IF('01_Input'!$T$67="Palier",IF(AND(Y$15&gt;='01_Input'!$R$67,Y$15&lt;'01_Input'!$S$67),'01_Input'!$U$67,0),MAX(MIN(Y$15,'01_Input'!$S$67)-'01_Input'!$R$67,0)*'01_Input'!$U$67))+IF('01_Input'!$X$67="Forfait",IF(Y$15&gt;='01_Input'!$V$67,'01_Input'!$Y$67,0),IF('01_Input'!$X$67="Palier",IF(AND(Y$15&gt;='01_Input'!$V$67,Y$15&lt;'01_Input'!$W$67),'01_Input'!$Y$67,0),MAX(MIN(Y$15,'01_Input'!$W$67)-'01_Input'!$V$67,0)*'01_Input'!$Y$67))+IF('01_Input'!$AB$67="Forfait",IF(Y$15&gt;='01_Input'!$Z$67,'01_Input'!$AC$67,0),IF('01_Input'!$AB$67="Palier",IF(AND(Y$15&gt;='01_Input'!$Z$67,Y$15&lt;'01_Input'!$AA$67),'01_Input'!$AC$67,0),MAX(MIN(Y$15,'01_Input'!$AA$67)-'01_Input'!$Z$67,0)*'01_Input'!$AC$67))))))))))</f>
        <v/>
      </c>
      <c r="Z58" s="25" t="str">
        <f>IF(Z$15="","",IF('01_Input'!$C$67="Non",0,MIN('01_Input'!$I$67,MAX('01_Input'!$H$67,IF('01_Input'!$G$67="Résiduel vs Gestion",0,IF('01_Input'!$G$67="Taux Classe sélectionnée",Distrib_Global_Classe_Selectionnee*Z$15,IF('01_Input'!$G$67="Frais KYC (paliers de 100M€)",MAX(0,Nb_Investisseurs-Nb_KYC_Gratuites_Par_Tranche*(FLOOR(Z$15/Taille_Tranche_KYC,1)+1))*Cout_Par_KYC_Supplementaire,(IF('01_Input'!$L$67="Forfait",IF(Z$15&gt;='01_Input'!$J$67,'01_Input'!$M$67,0),IF('01_Input'!$L$67="Palier",IF(AND(Z$15&gt;='01_Input'!$J$67,Z$15&lt;'01_Input'!$K$67),'01_Input'!$M$67,0),MAX(MIN(Z$15,'01_Input'!$K$67)-'01_Input'!$J$67,0)*'01_Input'!$M$67))+IF('01_Input'!$P$67="Forfait",IF(Z$15&gt;='01_Input'!$N$67,'01_Input'!$Q$67,0),IF('01_Input'!$P$67="Palier",IF(AND(Z$15&gt;='01_Input'!$N$67,Z$15&lt;'01_Input'!$O$67),'01_Input'!$Q$67,0),MAX(MIN(Z$15,'01_Input'!$O$67)-'01_Input'!$N$67,0)*'01_Input'!$Q$67))+IF('01_Input'!$T$67="Forfait",IF(Z$15&gt;='01_Input'!$R$67,'01_Input'!$U$67,0),IF('01_Input'!$T$67="Palier",IF(AND(Z$15&gt;='01_Input'!$R$67,Z$15&lt;'01_Input'!$S$67),'01_Input'!$U$67,0),MAX(MIN(Z$15,'01_Input'!$S$67)-'01_Input'!$R$67,0)*'01_Input'!$U$67))+IF('01_Input'!$X$67="Forfait",IF(Z$15&gt;='01_Input'!$V$67,'01_Input'!$Y$67,0),IF('01_Input'!$X$67="Palier",IF(AND(Z$15&gt;='01_Input'!$V$67,Z$15&lt;'01_Input'!$W$67),'01_Input'!$Y$67,0),MAX(MIN(Z$15,'01_Input'!$W$67)-'01_Input'!$V$67,0)*'01_Input'!$Y$67))+IF('01_Input'!$AB$67="Forfait",IF(Z$15&gt;='01_Input'!$Z$67,'01_Input'!$AC$67,0),IF('01_Input'!$AB$67="Palier",IF(AND(Z$15&gt;='01_Input'!$Z$67,Z$15&lt;'01_Input'!$AA$67),'01_Input'!$AC$67,0),MAX(MIN(Z$15,'01_Input'!$AA$67)-'01_Input'!$Z$67,0)*'01_Input'!$AC$67))))))))))</f>
        <v/>
      </c>
      <c r="AA58" s="25" t="str">
        <f>IF(AA$15="","",IF('01_Input'!$C$67="Non",0,MIN('01_Input'!$I$67,MAX('01_Input'!$H$67,IF('01_Input'!$G$67="Résiduel vs Gestion",0,IF('01_Input'!$G$67="Taux Classe sélectionnée",Distrib_Global_Classe_Selectionnee*AA$15,IF('01_Input'!$G$67="Frais KYC (paliers de 100M€)",MAX(0,Nb_Investisseurs-Nb_KYC_Gratuites_Par_Tranche*(FLOOR(AA$15/Taille_Tranche_KYC,1)+1))*Cout_Par_KYC_Supplementaire,(IF('01_Input'!$L$67="Forfait",IF(AA$15&gt;='01_Input'!$J$67,'01_Input'!$M$67,0),IF('01_Input'!$L$67="Palier",IF(AND(AA$15&gt;='01_Input'!$J$67,AA$15&lt;'01_Input'!$K$67),'01_Input'!$M$67,0),MAX(MIN(AA$15,'01_Input'!$K$67)-'01_Input'!$J$67,0)*'01_Input'!$M$67))+IF('01_Input'!$P$67="Forfait",IF(AA$15&gt;='01_Input'!$N$67,'01_Input'!$Q$67,0),IF('01_Input'!$P$67="Palier",IF(AND(AA$15&gt;='01_Input'!$N$67,AA$15&lt;'01_Input'!$O$67),'01_Input'!$Q$67,0),MAX(MIN(AA$15,'01_Input'!$O$67)-'01_Input'!$N$67,0)*'01_Input'!$Q$67))+IF('01_Input'!$T$67="Forfait",IF(AA$15&gt;='01_Input'!$R$67,'01_Input'!$U$67,0),IF('01_Input'!$T$67="Palier",IF(AND(AA$15&gt;='01_Input'!$R$67,AA$15&lt;'01_Input'!$S$67),'01_Input'!$U$67,0),MAX(MIN(AA$15,'01_Input'!$S$67)-'01_Input'!$R$67,0)*'01_Input'!$U$67))+IF('01_Input'!$X$67="Forfait",IF(AA$15&gt;='01_Input'!$V$67,'01_Input'!$Y$67,0),IF('01_Input'!$X$67="Palier",IF(AND(AA$15&gt;='01_Input'!$V$67,AA$15&lt;'01_Input'!$W$67),'01_Input'!$Y$67,0),MAX(MIN(AA$15,'01_Input'!$W$67)-'01_Input'!$V$67,0)*'01_Input'!$Y$67))+IF('01_Input'!$AB$67="Forfait",IF(AA$15&gt;='01_Input'!$Z$67,'01_Input'!$AC$67,0),IF('01_Input'!$AB$67="Palier",IF(AND(AA$15&gt;='01_Input'!$Z$67,AA$15&lt;'01_Input'!$AA$67),'01_Input'!$AC$67,0),MAX(MIN(AA$15,'01_Input'!$AA$67)-'01_Input'!$Z$67,0)*'01_Input'!$AC$67))))))))))</f>
        <v/>
      </c>
      <c r="AB58" s="25" t="str">
        <f>IF(AB$15="","",IF('01_Input'!$C$67="Non",0,MIN('01_Input'!$I$67,MAX('01_Input'!$H$67,IF('01_Input'!$G$67="Résiduel vs Gestion",0,IF('01_Input'!$G$67="Taux Classe sélectionnée",Distrib_Global_Classe_Selectionnee*AB$15,IF('01_Input'!$G$67="Frais KYC (paliers de 100M€)",MAX(0,Nb_Investisseurs-Nb_KYC_Gratuites_Par_Tranche*(FLOOR(AB$15/Taille_Tranche_KYC,1)+1))*Cout_Par_KYC_Supplementaire,(IF('01_Input'!$L$67="Forfait",IF(AB$15&gt;='01_Input'!$J$67,'01_Input'!$M$67,0),IF('01_Input'!$L$67="Palier",IF(AND(AB$15&gt;='01_Input'!$J$67,AB$15&lt;'01_Input'!$K$67),'01_Input'!$M$67,0),MAX(MIN(AB$15,'01_Input'!$K$67)-'01_Input'!$J$67,0)*'01_Input'!$M$67))+IF('01_Input'!$P$67="Forfait",IF(AB$15&gt;='01_Input'!$N$67,'01_Input'!$Q$67,0),IF('01_Input'!$P$67="Palier",IF(AND(AB$15&gt;='01_Input'!$N$67,AB$15&lt;'01_Input'!$O$67),'01_Input'!$Q$67,0),MAX(MIN(AB$15,'01_Input'!$O$67)-'01_Input'!$N$67,0)*'01_Input'!$Q$67))+IF('01_Input'!$T$67="Forfait",IF(AB$15&gt;='01_Input'!$R$67,'01_Input'!$U$67,0),IF('01_Input'!$T$67="Palier",IF(AND(AB$15&gt;='01_Input'!$R$67,AB$15&lt;'01_Input'!$S$67),'01_Input'!$U$67,0),MAX(MIN(AB$15,'01_Input'!$S$67)-'01_Input'!$R$67,0)*'01_Input'!$U$67))+IF('01_Input'!$X$67="Forfait",IF(AB$15&gt;='01_Input'!$V$67,'01_Input'!$Y$67,0),IF('01_Input'!$X$67="Palier",IF(AND(AB$15&gt;='01_Input'!$V$67,AB$15&lt;'01_Input'!$W$67),'01_Input'!$Y$67,0),MAX(MIN(AB$15,'01_Input'!$W$67)-'01_Input'!$V$67,0)*'01_Input'!$Y$67))+IF('01_Input'!$AB$67="Forfait",IF(AB$15&gt;='01_Input'!$Z$67,'01_Input'!$AC$67,0),IF('01_Input'!$AB$67="Palier",IF(AND(AB$15&gt;='01_Input'!$Z$67,AB$15&lt;'01_Input'!$AA$67),'01_Input'!$AC$67,0),MAX(MIN(AB$15,'01_Input'!$AA$67)-'01_Input'!$Z$67,0)*'01_Input'!$AC$67))))))))))</f>
        <v/>
      </c>
      <c r="AC58" s="25" t="str">
        <f>IF(AC$15="","",IF('01_Input'!$C$67="Non",0,MIN('01_Input'!$I$67,MAX('01_Input'!$H$67,IF('01_Input'!$G$67="Résiduel vs Gestion",0,IF('01_Input'!$G$67="Taux Classe sélectionnée",Distrib_Global_Classe_Selectionnee*AC$15,IF('01_Input'!$G$67="Frais KYC (paliers de 100M€)",MAX(0,Nb_Investisseurs-Nb_KYC_Gratuites_Par_Tranche*(FLOOR(AC$15/Taille_Tranche_KYC,1)+1))*Cout_Par_KYC_Supplementaire,(IF('01_Input'!$L$67="Forfait",IF(AC$15&gt;='01_Input'!$J$67,'01_Input'!$M$67,0),IF('01_Input'!$L$67="Palier",IF(AND(AC$15&gt;='01_Input'!$J$67,AC$15&lt;'01_Input'!$K$67),'01_Input'!$M$67,0),MAX(MIN(AC$15,'01_Input'!$K$67)-'01_Input'!$J$67,0)*'01_Input'!$M$67))+IF('01_Input'!$P$67="Forfait",IF(AC$15&gt;='01_Input'!$N$67,'01_Input'!$Q$67,0),IF('01_Input'!$P$67="Palier",IF(AND(AC$15&gt;='01_Input'!$N$67,AC$15&lt;'01_Input'!$O$67),'01_Input'!$Q$67,0),MAX(MIN(AC$15,'01_Input'!$O$67)-'01_Input'!$N$67,0)*'01_Input'!$Q$67))+IF('01_Input'!$T$67="Forfait",IF(AC$15&gt;='01_Input'!$R$67,'01_Input'!$U$67,0),IF('01_Input'!$T$67="Palier",IF(AND(AC$15&gt;='01_Input'!$R$67,AC$15&lt;'01_Input'!$S$67),'01_Input'!$U$67,0),MAX(MIN(AC$15,'01_Input'!$S$67)-'01_Input'!$R$67,0)*'01_Input'!$U$67))+IF('01_Input'!$X$67="Forfait",IF(AC$15&gt;='01_Input'!$V$67,'01_Input'!$Y$67,0),IF('01_Input'!$X$67="Palier",IF(AND(AC$15&gt;='01_Input'!$V$67,AC$15&lt;'01_Input'!$W$67),'01_Input'!$Y$67,0),MAX(MIN(AC$15,'01_Input'!$W$67)-'01_Input'!$V$67,0)*'01_Input'!$Y$67))+IF('01_Input'!$AB$67="Forfait",IF(AC$15&gt;='01_Input'!$Z$67,'01_Input'!$AC$67,0),IF('01_Input'!$AB$67="Palier",IF(AND(AC$15&gt;='01_Input'!$Z$67,AC$15&lt;'01_Input'!$AA$67),'01_Input'!$AC$67,0),MAX(MIN(AC$15,'01_Input'!$AA$67)-'01_Input'!$Z$67,0)*'01_Input'!$AC$67))))))))))</f>
        <v/>
      </c>
      <c r="AD58" s="25" t="str">
        <f>IF(AD$15="","",IF('01_Input'!$C$67="Non",0,MIN('01_Input'!$I$67,MAX('01_Input'!$H$67,IF('01_Input'!$G$67="Résiduel vs Gestion",0,IF('01_Input'!$G$67="Taux Classe sélectionnée",Distrib_Global_Classe_Selectionnee*AD$15,IF('01_Input'!$G$67="Frais KYC (paliers de 100M€)",MAX(0,Nb_Investisseurs-Nb_KYC_Gratuites_Par_Tranche*(FLOOR(AD$15/Taille_Tranche_KYC,1)+1))*Cout_Par_KYC_Supplementaire,(IF('01_Input'!$L$67="Forfait",IF(AD$15&gt;='01_Input'!$J$67,'01_Input'!$M$67,0),IF('01_Input'!$L$67="Palier",IF(AND(AD$15&gt;='01_Input'!$J$67,AD$15&lt;'01_Input'!$K$67),'01_Input'!$M$67,0),MAX(MIN(AD$15,'01_Input'!$K$67)-'01_Input'!$J$67,0)*'01_Input'!$M$67))+IF('01_Input'!$P$67="Forfait",IF(AD$15&gt;='01_Input'!$N$67,'01_Input'!$Q$67,0),IF('01_Input'!$P$67="Palier",IF(AND(AD$15&gt;='01_Input'!$N$67,AD$15&lt;'01_Input'!$O$67),'01_Input'!$Q$67,0),MAX(MIN(AD$15,'01_Input'!$O$67)-'01_Input'!$N$67,0)*'01_Input'!$Q$67))+IF('01_Input'!$T$67="Forfait",IF(AD$15&gt;='01_Input'!$R$67,'01_Input'!$U$67,0),IF('01_Input'!$T$67="Palier",IF(AND(AD$15&gt;='01_Input'!$R$67,AD$15&lt;'01_Input'!$S$67),'01_Input'!$U$67,0),MAX(MIN(AD$15,'01_Input'!$S$67)-'01_Input'!$R$67,0)*'01_Input'!$U$67))+IF('01_Input'!$X$67="Forfait",IF(AD$15&gt;='01_Input'!$V$67,'01_Input'!$Y$67,0),IF('01_Input'!$X$67="Palier",IF(AND(AD$15&gt;='01_Input'!$V$67,AD$15&lt;'01_Input'!$W$67),'01_Input'!$Y$67,0),MAX(MIN(AD$15,'01_Input'!$W$67)-'01_Input'!$V$67,0)*'01_Input'!$Y$67))+IF('01_Input'!$AB$67="Forfait",IF(AD$15&gt;='01_Input'!$Z$67,'01_Input'!$AC$67,0),IF('01_Input'!$AB$67="Palier",IF(AND(AD$15&gt;='01_Input'!$Z$67,AD$15&lt;'01_Input'!$AA$67),'01_Input'!$AC$67,0),MAX(MIN(AD$15,'01_Input'!$AA$67)-'01_Input'!$Z$67,0)*'01_Input'!$AC$67))))))))))</f>
        <v/>
      </c>
      <c r="AE58" s="25" t="str">
        <f>IF(AE$15="","",IF('01_Input'!$C$67="Non",0,MIN('01_Input'!$I$67,MAX('01_Input'!$H$67,IF('01_Input'!$G$67="Résiduel vs Gestion",0,IF('01_Input'!$G$67="Taux Classe sélectionnée",Distrib_Global_Classe_Selectionnee*AE$15,IF('01_Input'!$G$67="Frais KYC (paliers de 100M€)",MAX(0,Nb_Investisseurs-Nb_KYC_Gratuites_Par_Tranche*(FLOOR(AE$15/Taille_Tranche_KYC,1)+1))*Cout_Par_KYC_Supplementaire,(IF('01_Input'!$L$67="Forfait",IF(AE$15&gt;='01_Input'!$J$67,'01_Input'!$M$67,0),IF('01_Input'!$L$67="Palier",IF(AND(AE$15&gt;='01_Input'!$J$67,AE$15&lt;'01_Input'!$K$67),'01_Input'!$M$67,0),MAX(MIN(AE$15,'01_Input'!$K$67)-'01_Input'!$J$67,0)*'01_Input'!$M$67))+IF('01_Input'!$P$67="Forfait",IF(AE$15&gt;='01_Input'!$N$67,'01_Input'!$Q$67,0),IF('01_Input'!$P$67="Palier",IF(AND(AE$15&gt;='01_Input'!$N$67,AE$15&lt;'01_Input'!$O$67),'01_Input'!$Q$67,0),MAX(MIN(AE$15,'01_Input'!$O$67)-'01_Input'!$N$67,0)*'01_Input'!$Q$67))+IF('01_Input'!$T$67="Forfait",IF(AE$15&gt;='01_Input'!$R$67,'01_Input'!$U$67,0),IF('01_Input'!$T$67="Palier",IF(AND(AE$15&gt;='01_Input'!$R$67,AE$15&lt;'01_Input'!$S$67),'01_Input'!$U$67,0),MAX(MIN(AE$15,'01_Input'!$S$67)-'01_Input'!$R$67,0)*'01_Input'!$U$67))+IF('01_Input'!$X$67="Forfait",IF(AE$15&gt;='01_Input'!$V$67,'01_Input'!$Y$67,0),IF('01_Input'!$X$67="Palier",IF(AND(AE$15&gt;='01_Input'!$V$67,AE$15&lt;'01_Input'!$W$67),'01_Input'!$Y$67,0),MAX(MIN(AE$15,'01_Input'!$W$67)-'01_Input'!$V$67,0)*'01_Input'!$Y$67))+IF('01_Input'!$AB$67="Forfait",IF(AE$15&gt;='01_Input'!$Z$67,'01_Input'!$AC$67,0),IF('01_Input'!$AB$67="Palier",IF(AND(AE$15&gt;='01_Input'!$Z$67,AE$15&lt;'01_Input'!$AA$67),'01_Input'!$AC$67,0),MAX(MIN(AE$15,'01_Input'!$AA$67)-'01_Input'!$Z$67,0)*'01_Input'!$AC$67))))))))))</f>
        <v/>
      </c>
      <c r="AF58" s="25" t="str">
        <f>IF(AF$15="","",IF('01_Input'!$C$67="Non",0,MIN('01_Input'!$I$67,MAX('01_Input'!$H$67,IF('01_Input'!$G$67="Résiduel vs Gestion",0,IF('01_Input'!$G$67="Taux Classe sélectionnée",Distrib_Global_Classe_Selectionnee*AF$15,IF('01_Input'!$G$67="Frais KYC (paliers de 100M€)",MAX(0,Nb_Investisseurs-Nb_KYC_Gratuites_Par_Tranche*(FLOOR(AF$15/Taille_Tranche_KYC,1)+1))*Cout_Par_KYC_Supplementaire,(IF('01_Input'!$L$67="Forfait",IF(AF$15&gt;='01_Input'!$J$67,'01_Input'!$M$67,0),IF('01_Input'!$L$67="Palier",IF(AND(AF$15&gt;='01_Input'!$J$67,AF$15&lt;'01_Input'!$K$67),'01_Input'!$M$67,0),MAX(MIN(AF$15,'01_Input'!$K$67)-'01_Input'!$J$67,0)*'01_Input'!$M$67))+IF('01_Input'!$P$67="Forfait",IF(AF$15&gt;='01_Input'!$N$67,'01_Input'!$Q$67,0),IF('01_Input'!$P$67="Palier",IF(AND(AF$15&gt;='01_Input'!$N$67,AF$15&lt;'01_Input'!$O$67),'01_Input'!$Q$67,0),MAX(MIN(AF$15,'01_Input'!$O$67)-'01_Input'!$N$67,0)*'01_Input'!$Q$67))+IF('01_Input'!$T$67="Forfait",IF(AF$15&gt;='01_Input'!$R$67,'01_Input'!$U$67,0),IF('01_Input'!$T$67="Palier",IF(AND(AF$15&gt;='01_Input'!$R$67,AF$15&lt;'01_Input'!$S$67),'01_Input'!$U$67,0),MAX(MIN(AF$15,'01_Input'!$S$67)-'01_Input'!$R$67,0)*'01_Input'!$U$67))+IF('01_Input'!$X$67="Forfait",IF(AF$15&gt;='01_Input'!$V$67,'01_Input'!$Y$67,0),IF('01_Input'!$X$67="Palier",IF(AND(AF$15&gt;='01_Input'!$V$67,AF$15&lt;'01_Input'!$W$67),'01_Input'!$Y$67,0),MAX(MIN(AF$15,'01_Input'!$W$67)-'01_Input'!$V$67,0)*'01_Input'!$Y$67))+IF('01_Input'!$AB$67="Forfait",IF(AF$15&gt;='01_Input'!$Z$67,'01_Input'!$AC$67,0),IF('01_Input'!$AB$67="Palier",IF(AND(AF$15&gt;='01_Input'!$Z$67,AF$15&lt;'01_Input'!$AA$67),'01_Input'!$AC$67,0),MAX(MIN(AF$15,'01_Input'!$AA$67)-'01_Input'!$Z$67,0)*'01_Input'!$AC$67))))))))))</f>
        <v/>
      </c>
      <c r="AG58" s="25" t="str">
        <f>IF(AG$15="","",IF('01_Input'!$C$67="Non",0,MIN('01_Input'!$I$67,MAX('01_Input'!$H$67,IF('01_Input'!$G$67="Résiduel vs Gestion",0,IF('01_Input'!$G$67="Taux Classe sélectionnée",Distrib_Global_Classe_Selectionnee*AG$15,IF('01_Input'!$G$67="Frais KYC (paliers de 100M€)",MAX(0,Nb_Investisseurs-Nb_KYC_Gratuites_Par_Tranche*(FLOOR(AG$15/Taille_Tranche_KYC,1)+1))*Cout_Par_KYC_Supplementaire,(IF('01_Input'!$L$67="Forfait",IF(AG$15&gt;='01_Input'!$J$67,'01_Input'!$M$67,0),IF('01_Input'!$L$67="Palier",IF(AND(AG$15&gt;='01_Input'!$J$67,AG$15&lt;'01_Input'!$K$67),'01_Input'!$M$67,0),MAX(MIN(AG$15,'01_Input'!$K$67)-'01_Input'!$J$67,0)*'01_Input'!$M$67))+IF('01_Input'!$P$67="Forfait",IF(AG$15&gt;='01_Input'!$N$67,'01_Input'!$Q$67,0),IF('01_Input'!$P$67="Palier",IF(AND(AG$15&gt;='01_Input'!$N$67,AG$15&lt;'01_Input'!$O$67),'01_Input'!$Q$67,0),MAX(MIN(AG$15,'01_Input'!$O$67)-'01_Input'!$N$67,0)*'01_Input'!$Q$67))+IF('01_Input'!$T$67="Forfait",IF(AG$15&gt;='01_Input'!$R$67,'01_Input'!$U$67,0),IF('01_Input'!$T$67="Palier",IF(AND(AG$15&gt;='01_Input'!$R$67,AG$15&lt;'01_Input'!$S$67),'01_Input'!$U$67,0),MAX(MIN(AG$15,'01_Input'!$S$67)-'01_Input'!$R$67,0)*'01_Input'!$U$67))+IF('01_Input'!$X$67="Forfait",IF(AG$15&gt;='01_Input'!$V$67,'01_Input'!$Y$67,0),IF('01_Input'!$X$67="Palier",IF(AND(AG$15&gt;='01_Input'!$V$67,AG$15&lt;'01_Input'!$W$67),'01_Input'!$Y$67,0),MAX(MIN(AG$15,'01_Input'!$W$67)-'01_Input'!$V$67,0)*'01_Input'!$Y$67))+IF('01_Input'!$AB$67="Forfait",IF(AG$15&gt;='01_Input'!$Z$67,'01_Input'!$AC$67,0),IF('01_Input'!$AB$67="Palier",IF(AND(AG$15&gt;='01_Input'!$Z$67,AG$15&lt;'01_Input'!$AA$67),'01_Input'!$AC$67,0),MAX(MIN(AG$15,'01_Input'!$AA$67)-'01_Input'!$Z$67,0)*'01_Input'!$AC$67))))))))))</f>
        <v/>
      </c>
      <c r="AH58" s="25" t="str">
        <f>IF(AH$15="","",IF('01_Input'!$C$67="Non",0,MIN('01_Input'!$I$67,MAX('01_Input'!$H$67,IF('01_Input'!$G$67="Résiduel vs Gestion",0,IF('01_Input'!$G$67="Taux Classe sélectionnée",Distrib_Global_Classe_Selectionnee*AH$15,IF('01_Input'!$G$67="Frais KYC (paliers de 100M€)",MAX(0,Nb_Investisseurs-Nb_KYC_Gratuites_Par_Tranche*(FLOOR(AH$15/Taille_Tranche_KYC,1)+1))*Cout_Par_KYC_Supplementaire,(IF('01_Input'!$L$67="Forfait",IF(AH$15&gt;='01_Input'!$J$67,'01_Input'!$M$67,0),IF('01_Input'!$L$67="Palier",IF(AND(AH$15&gt;='01_Input'!$J$67,AH$15&lt;'01_Input'!$K$67),'01_Input'!$M$67,0),MAX(MIN(AH$15,'01_Input'!$K$67)-'01_Input'!$J$67,0)*'01_Input'!$M$67))+IF('01_Input'!$P$67="Forfait",IF(AH$15&gt;='01_Input'!$N$67,'01_Input'!$Q$67,0),IF('01_Input'!$P$67="Palier",IF(AND(AH$15&gt;='01_Input'!$N$67,AH$15&lt;'01_Input'!$O$67),'01_Input'!$Q$67,0),MAX(MIN(AH$15,'01_Input'!$O$67)-'01_Input'!$N$67,0)*'01_Input'!$Q$67))+IF('01_Input'!$T$67="Forfait",IF(AH$15&gt;='01_Input'!$R$67,'01_Input'!$U$67,0),IF('01_Input'!$T$67="Palier",IF(AND(AH$15&gt;='01_Input'!$R$67,AH$15&lt;'01_Input'!$S$67),'01_Input'!$U$67,0),MAX(MIN(AH$15,'01_Input'!$S$67)-'01_Input'!$R$67,0)*'01_Input'!$U$67))+IF('01_Input'!$X$67="Forfait",IF(AH$15&gt;='01_Input'!$V$67,'01_Input'!$Y$67,0),IF('01_Input'!$X$67="Palier",IF(AND(AH$15&gt;='01_Input'!$V$67,AH$15&lt;'01_Input'!$W$67),'01_Input'!$Y$67,0),MAX(MIN(AH$15,'01_Input'!$W$67)-'01_Input'!$V$67,0)*'01_Input'!$Y$67))+IF('01_Input'!$AB$67="Forfait",IF(AH$15&gt;='01_Input'!$Z$67,'01_Input'!$AC$67,0),IF('01_Input'!$AB$67="Palier",IF(AND(AH$15&gt;='01_Input'!$Z$67,AH$15&lt;'01_Input'!$AA$67),'01_Input'!$AC$67,0),MAX(MIN(AH$15,'01_Input'!$AA$67)-'01_Input'!$Z$67,0)*'01_Input'!$AC$67))))))))))</f>
        <v/>
      </c>
      <c r="AI58" s="25" t="str">
        <f>IF(AI$15="","",IF('01_Input'!$C$67="Non",0,MIN('01_Input'!$I$67,MAX('01_Input'!$H$67,IF('01_Input'!$G$67="Résiduel vs Gestion",0,IF('01_Input'!$G$67="Taux Classe sélectionnée",Distrib_Global_Classe_Selectionnee*AI$15,IF('01_Input'!$G$67="Frais KYC (paliers de 100M€)",MAX(0,Nb_Investisseurs-Nb_KYC_Gratuites_Par_Tranche*(FLOOR(AI$15/Taille_Tranche_KYC,1)+1))*Cout_Par_KYC_Supplementaire,(IF('01_Input'!$L$67="Forfait",IF(AI$15&gt;='01_Input'!$J$67,'01_Input'!$M$67,0),IF('01_Input'!$L$67="Palier",IF(AND(AI$15&gt;='01_Input'!$J$67,AI$15&lt;'01_Input'!$K$67),'01_Input'!$M$67,0),MAX(MIN(AI$15,'01_Input'!$K$67)-'01_Input'!$J$67,0)*'01_Input'!$M$67))+IF('01_Input'!$P$67="Forfait",IF(AI$15&gt;='01_Input'!$N$67,'01_Input'!$Q$67,0),IF('01_Input'!$P$67="Palier",IF(AND(AI$15&gt;='01_Input'!$N$67,AI$15&lt;'01_Input'!$O$67),'01_Input'!$Q$67,0),MAX(MIN(AI$15,'01_Input'!$O$67)-'01_Input'!$N$67,0)*'01_Input'!$Q$67))+IF('01_Input'!$T$67="Forfait",IF(AI$15&gt;='01_Input'!$R$67,'01_Input'!$U$67,0),IF('01_Input'!$T$67="Palier",IF(AND(AI$15&gt;='01_Input'!$R$67,AI$15&lt;'01_Input'!$S$67),'01_Input'!$U$67,0),MAX(MIN(AI$15,'01_Input'!$S$67)-'01_Input'!$R$67,0)*'01_Input'!$U$67))+IF('01_Input'!$X$67="Forfait",IF(AI$15&gt;='01_Input'!$V$67,'01_Input'!$Y$67,0),IF('01_Input'!$X$67="Palier",IF(AND(AI$15&gt;='01_Input'!$V$67,AI$15&lt;'01_Input'!$W$67),'01_Input'!$Y$67,0),MAX(MIN(AI$15,'01_Input'!$W$67)-'01_Input'!$V$67,0)*'01_Input'!$Y$67))+IF('01_Input'!$AB$67="Forfait",IF(AI$15&gt;='01_Input'!$Z$67,'01_Input'!$AC$67,0),IF('01_Input'!$AB$67="Palier",IF(AND(AI$15&gt;='01_Input'!$Z$67,AI$15&lt;'01_Input'!$AA$67),'01_Input'!$AC$67,0),MAX(MIN(AI$15,'01_Input'!$AA$67)-'01_Input'!$Z$67,0)*'01_Input'!$AC$67))))))))))</f>
        <v/>
      </c>
      <c r="AJ58" s="25" t="str">
        <f>IF(AJ$15="","",IF('01_Input'!$C$67="Non",0,MIN('01_Input'!$I$67,MAX('01_Input'!$H$67,IF('01_Input'!$G$67="Résiduel vs Gestion",0,IF('01_Input'!$G$67="Taux Classe sélectionnée",Distrib_Global_Classe_Selectionnee*AJ$15,IF('01_Input'!$G$67="Frais KYC (paliers de 100M€)",MAX(0,Nb_Investisseurs-Nb_KYC_Gratuites_Par_Tranche*(FLOOR(AJ$15/Taille_Tranche_KYC,1)+1))*Cout_Par_KYC_Supplementaire,(IF('01_Input'!$L$67="Forfait",IF(AJ$15&gt;='01_Input'!$J$67,'01_Input'!$M$67,0),IF('01_Input'!$L$67="Palier",IF(AND(AJ$15&gt;='01_Input'!$J$67,AJ$15&lt;'01_Input'!$K$67),'01_Input'!$M$67,0),MAX(MIN(AJ$15,'01_Input'!$K$67)-'01_Input'!$J$67,0)*'01_Input'!$M$67))+IF('01_Input'!$P$67="Forfait",IF(AJ$15&gt;='01_Input'!$N$67,'01_Input'!$Q$67,0),IF('01_Input'!$P$67="Palier",IF(AND(AJ$15&gt;='01_Input'!$N$67,AJ$15&lt;'01_Input'!$O$67),'01_Input'!$Q$67,0),MAX(MIN(AJ$15,'01_Input'!$O$67)-'01_Input'!$N$67,0)*'01_Input'!$Q$67))+IF('01_Input'!$T$67="Forfait",IF(AJ$15&gt;='01_Input'!$R$67,'01_Input'!$U$67,0),IF('01_Input'!$T$67="Palier",IF(AND(AJ$15&gt;='01_Input'!$R$67,AJ$15&lt;'01_Input'!$S$67),'01_Input'!$U$67,0),MAX(MIN(AJ$15,'01_Input'!$S$67)-'01_Input'!$R$67,0)*'01_Input'!$U$67))+IF('01_Input'!$X$67="Forfait",IF(AJ$15&gt;='01_Input'!$V$67,'01_Input'!$Y$67,0),IF('01_Input'!$X$67="Palier",IF(AND(AJ$15&gt;='01_Input'!$V$67,AJ$15&lt;'01_Input'!$W$67),'01_Input'!$Y$67,0),MAX(MIN(AJ$15,'01_Input'!$W$67)-'01_Input'!$V$67,0)*'01_Input'!$Y$67))+IF('01_Input'!$AB$67="Forfait",IF(AJ$15&gt;='01_Input'!$Z$67,'01_Input'!$AC$67,0),IF('01_Input'!$AB$67="Palier",IF(AND(AJ$15&gt;='01_Input'!$Z$67,AJ$15&lt;'01_Input'!$AA$67),'01_Input'!$AC$67,0),MAX(MIN(AJ$15,'01_Input'!$AA$67)-'01_Input'!$Z$67,0)*'01_Input'!$AC$67))))))))))</f>
        <v/>
      </c>
      <c r="AK58" s="25" t="str">
        <f>IF(AK$15="","",IF('01_Input'!$C$67="Non",0,MIN('01_Input'!$I$67,MAX('01_Input'!$H$67,IF('01_Input'!$G$67="Résiduel vs Gestion",0,IF('01_Input'!$G$67="Taux Classe sélectionnée",Distrib_Global_Classe_Selectionnee*AK$15,IF('01_Input'!$G$67="Frais KYC (paliers de 100M€)",MAX(0,Nb_Investisseurs-Nb_KYC_Gratuites_Par_Tranche*(FLOOR(AK$15/Taille_Tranche_KYC,1)+1))*Cout_Par_KYC_Supplementaire,(IF('01_Input'!$L$67="Forfait",IF(AK$15&gt;='01_Input'!$J$67,'01_Input'!$M$67,0),IF('01_Input'!$L$67="Palier",IF(AND(AK$15&gt;='01_Input'!$J$67,AK$15&lt;'01_Input'!$K$67),'01_Input'!$M$67,0),MAX(MIN(AK$15,'01_Input'!$K$67)-'01_Input'!$J$67,0)*'01_Input'!$M$67))+IF('01_Input'!$P$67="Forfait",IF(AK$15&gt;='01_Input'!$N$67,'01_Input'!$Q$67,0),IF('01_Input'!$P$67="Palier",IF(AND(AK$15&gt;='01_Input'!$N$67,AK$15&lt;'01_Input'!$O$67),'01_Input'!$Q$67,0),MAX(MIN(AK$15,'01_Input'!$O$67)-'01_Input'!$N$67,0)*'01_Input'!$Q$67))+IF('01_Input'!$T$67="Forfait",IF(AK$15&gt;='01_Input'!$R$67,'01_Input'!$U$67,0),IF('01_Input'!$T$67="Palier",IF(AND(AK$15&gt;='01_Input'!$R$67,AK$15&lt;'01_Input'!$S$67),'01_Input'!$U$67,0),MAX(MIN(AK$15,'01_Input'!$S$67)-'01_Input'!$R$67,0)*'01_Input'!$U$67))+IF('01_Input'!$X$67="Forfait",IF(AK$15&gt;='01_Input'!$V$67,'01_Input'!$Y$67,0),IF('01_Input'!$X$67="Palier",IF(AND(AK$15&gt;='01_Input'!$V$67,AK$15&lt;'01_Input'!$W$67),'01_Input'!$Y$67,0),MAX(MIN(AK$15,'01_Input'!$W$67)-'01_Input'!$V$67,0)*'01_Input'!$Y$67))+IF('01_Input'!$AB$67="Forfait",IF(AK$15&gt;='01_Input'!$Z$67,'01_Input'!$AC$67,0),IF('01_Input'!$AB$67="Palier",IF(AND(AK$15&gt;='01_Input'!$Z$67,AK$15&lt;'01_Input'!$AA$67),'01_Input'!$AC$67,0),MAX(MIN(AK$15,'01_Input'!$AA$67)-'01_Input'!$Z$67,0)*'01_Input'!$AC$67))))))))))</f>
        <v/>
      </c>
      <c r="AL58" s="25" t="str">
        <f>IF(AL$15="","",IF('01_Input'!$C$67="Non",0,MIN('01_Input'!$I$67,MAX('01_Input'!$H$67,IF('01_Input'!$G$67="Résiduel vs Gestion",0,IF('01_Input'!$G$67="Taux Classe sélectionnée",Distrib_Global_Classe_Selectionnee*AL$15,IF('01_Input'!$G$67="Frais KYC (paliers de 100M€)",MAX(0,Nb_Investisseurs-Nb_KYC_Gratuites_Par_Tranche*(FLOOR(AL$15/Taille_Tranche_KYC,1)+1))*Cout_Par_KYC_Supplementaire,(IF('01_Input'!$L$67="Forfait",IF(AL$15&gt;='01_Input'!$J$67,'01_Input'!$M$67,0),IF('01_Input'!$L$67="Palier",IF(AND(AL$15&gt;='01_Input'!$J$67,AL$15&lt;'01_Input'!$K$67),'01_Input'!$M$67,0),MAX(MIN(AL$15,'01_Input'!$K$67)-'01_Input'!$J$67,0)*'01_Input'!$M$67))+IF('01_Input'!$P$67="Forfait",IF(AL$15&gt;='01_Input'!$N$67,'01_Input'!$Q$67,0),IF('01_Input'!$P$67="Palier",IF(AND(AL$15&gt;='01_Input'!$N$67,AL$15&lt;'01_Input'!$O$67),'01_Input'!$Q$67,0),MAX(MIN(AL$15,'01_Input'!$O$67)-'01_Input'!$N$67,0)*'01_Input'!$Q$67))+IF('01_Input'!$T$67="Forfait",IF(AL$15&gt;='01_Input'!$R$67,'01_Input'!$U$67,0),IF('01_Input'!$T$67="Palier",IF(AND(AL$15&gt;='01_Input'!$R$67,AL$15&lt;'01_Input'!$S$67),'01_Input'!$U$67,0),MAX(MIN(AL$15,'01_Input'!$S$67)-'01_Input'!$R$67,0)*'01_Input'!$U$67))+IF('01_Input'!$X$67="Forfait",IF(AL$15&gt;='01_Input'!$V$67,'01_Input'!$Y$67,0),IF('01_Input'!$X$67="Palier",IF(AND(AL$15&gt;='01_Input'!$V$67,AL$15&lt;'01_Input'!$W$67),'01_Input'!$Y$67,0),MAX(MIN(AL$15,'01_Input'!$W$67)-'01_Input'!$V$67,0)*'01_Input'!$Y$67))+IF('01_Input'!$AB$67="Forfait",IF(AL$15&gt;='01_Input'!$Z$67,'01_Input'!$AC$67,0),IF('01_Input'!$AB$67="Palier",IF(AND(AL$15&gt;='01_Input'!$Z$67,AL$15&lt;'01_Input'!$AA$67),'01_Input'!$AC$67,0),MAX(MIN(AL$15,'01_Input'!$AA$67)-'01_Input'!$Z$67,0)*'01_Input'!$AC$67))))))))))</f>
        <v/>
      </c>
      <c r="AM58" s="25" t="str">
        <f>IF(AM$15="","",IF('01_Input'!$C$67="Non",0,MIN('01_Input'!$I$67,MAX('01_Input'!$H$67,IF('01_Input'!$G$67="Résiduel vs Gestion",0,IF('01_Input'!$G$67="Taux Classe sélectionnée",Distrib_Global_Classe_Selectionnee*AM$15,IF('01_Input'!$G$67="Frais KYC (paliers de 100M€)",MAX(0,Nb_Investisseurs-Nb_KYC_Gratuites_Par_Tranche*(FLOOR(AM$15/Taille_Tranche_KYC,1)+1))*Cout_Par_KYC_Supplementaire,(IF('01_Input'!$L$67="Forfait",IF(AM$15&gt;='01_Input'!$J$67,'01_Input'!$M$67,0),IF('01_Input'!$L$67="Palier",IF(AND(AM$15&gt;='01_Input'!$J$67,AM$15&lt;'01_Input'!$K$67),'01_Input'!$M$67,0),MAX(MIN(AM$15,'01_Input'!$K$67)-'01_Input'!$J$67,0)*'01_Input'!$M$67))+IF('01_Input'!$P$67="Forfait",IF(AM$15&gt;='01_Input'!$N$67,'01_Input'!$Q$67,0),IF('01_Input'!$P$67="Palier",IF(AND(AM$15&gt;='01_Input'!$N$67,AM$15&lt;'01_Input'!$O$67),'01_Input'!$Q$67,0),MAX(MIN(AM$15,'01_Input'!$O$67)-'01_Input'!$N$67,0)*'01_Input'!$Q$67))+IF('01_Input'!$T$67="Forfait",IF(AM$15&gt;='01_Input'!$R$67,'01_Input'!$U$67,0),IF('01_Input'!$T$67="Palier",IF(AND(AM$15&gt;='01_Input'!$R$67,AM$15&lt;'01_Input'!$S$67),'01_Input'!$U$67,0),MAX(MIN(AM$15,'01_Input'!$S$67)-'01_Input'!$R$67,0)*'01_Input'!$U$67))+IF('01_Input'!$X$67="Forfait",IF(AM$15&gt;='01_Input'!$V$67,'01_Input'!$Y$67,0),IF('01_Input'!$X$67="Palier",IF(AND(AM$15&gt;='01_Input'!$V$67,AM$15&lt;'01_Input'!$W$67),'01_Input'!$Y$67,0),MAX(MIN(AM$15,'01_Input'!$W$67)-'01_Input'!$V$67,0)*'01_Input'!$Y$67))+IF('01_Input'!$AB$67="Forfait",IF(AM$15&gt;='01_Input'!$Z$67,'01_Input'!$AC$67,0),IF('01_Input'!$AB$67="Palier",IF(AND(AM$15&gt;='01_Input'!$Z$67,AM$15&lt;'01_Input'!$AA$67),'01_Input'!$AC$67,0),MAX(MIN(AM$15,'01_Input'!$AA$67)-'01_Input'!$Z$67,0)*'01_Input'!$AC$67))))))))))</f>
        <v/>
      </c>
    </row>
    <row r="59" ht="15.75" customHeight="1">
      <c r="B59" s="68" t="str">
        <f t="shared" si="1"/>
        <v>Dépositaire — Admission Euroclear (par ISIN)</v>
      </c>
      <c r="D59" s="83">
        <f>IF(D$15="","",IF('01_Input'!$C$68="Non",0,MIN('01_Input'!$I$68,MAX('01_Input'!$H$68,IF('01_Input'!$G$68="Résiduel vs Gestion",0,IF('01_Input'!$G$68="Taux Classe sélectionnée",Distrib_Global_Classe_Selectionnee*D$15,IF('01_Input'!$G$68="Frais KYC (paliers de 100M€)",MAX(0,Nb_Investisseurs-Nb_KYC_Gratuites_Par_Tranche*(FLOOR(D$15/Taille_Tranche_KYC,1)+1))*Cout_Par_KYC_Supplementaire,(IF('01_Input'!$L$68="Forfait",IF(D$15&gt;='01_Input'!$J$68,'01_Input'!$M$68,0),IF('01_Input'!$L$68="Palier",IF(AND(D$15&gt;='01_Input'!$J$68,D$15&lt;'01_Input'!$K$68),'01_Input'!$M$68,0),MAX(MIN(D$15,'01_Input'!$K$68)-'01_Input'!$J$68,0)*'01_Input'!$M$68))+IF('01_Input'!$P$68="Forfait",IF(D$15&gt;='01_Input'!$N$68,'01_Input'!$Q$68,0),IF('01_Input'!$P$68="Palier",IF(AND(D$15&gt;='01_Input'!$N$68,D$15&lt;'01_Input'!$O$68),'01_Input'!$Q$68,0),MAX(MIN(D$15,'01_Input'!$O$68)-'01_Input'!$N$68,0)*'01_Input'!$Q$68))+IF('01_Input'!$T$68="Forfait",IF(D$15&gt;='01_Input'!$R$68,'01_Input'!$U$68,0),IF('01_Input'!$T$68="Palier",IF(AND(D$15&gt;='01_Input'!$R$68,D$15&lt;'01_Input'!$S$68),'01_Input'!$U$68,0),MAX(MIN(D$15,'01_Input'!$S$68)-'01_Input'!$R$68,0)*'01_Input'!$U$68))+IF('01_Input'!$X$68="Forfait",IF(D$15&gt;='01_Input'!$V$68,'01_Input'!$Y$68,0),IF('01_Input'!$X$68="Palier",IF(AND(D$15&gt;='01_Input'!$V$68,D$15&lt;'01_Input'!$W$68),'01_Input'!$Y$68,0),MAX(MIN(D$15,'01_Input'!$W$68)-'01_Input'!$V$68,0)*'01_Input'!$Y$68))+IF('01_Input'!$AB$68="Forfait",IF(D$15&gt;='01_Input'!$Z$68,'01_Input'!$AC$68,0),IF('01_Input'!$AB$68="Palier",IF(AND(D$15&gt;='01_Input'!$Z$68,D$15&lt;'01_Input'!$AA$68),'01_Input'!$AC$68,0),MAX(MIN(D$15,'01_Input'!$AA$68)-'01_Input'!$Z$68,0)*'01_Input'!$AC$68))))))))))</f>
        <v>0</v>
      </c>
      <c r="E59" s="83">
        <f>IF(E$15="","",IF('01_Input'!$C$68="Non",0,MIN('01_Input'!$I$68,MAX('01_Input'!$H$68,IF('01_Input'!$G$68="Résiduel vs Gestion",0,IF('01_Input'!$G$68="Taux Classe sélectionnée",Distrib_Global_Classe_Selectionnee*E$15,IF('01_Input'!$G$68="Frais KYC (paliers de 100M€)",MAX(0,Nb_Investisseurs-Nb_KYC_Gratuites_Par_Tranche*(FLOOR(E$15/Taille_Tranche_KYC,1)+1))*Cout_Par_KYC_Supplementaire,(IF('01_Input'!$L$68="Forfait",IF(E$15&gt;='01_Input'!$J$68,'01_Input'!$M$68,0),IF('01_Input'!$L$68="Palier",IF(AND(E$15&gt;='01_Input'!$J$68,E$15&lt;'01_Input'!$K$68),'01_Input'!$M$68,0),MAX(MIN(E$15,'01_Input'!$K$68)-'01_Input'!$J$68,0)*'01_Input'!$M$68))+IF('01_Input'!$P$68="Forfait",IF(E$15&gt;='01_Input'!$N$68,'01_Input'!$Q$68,0),IF('01_Input'!$P$68="Palier",IF(AND(E$15&gt;='01_Input'!$N$68,E$15&lt;'01_Input'!$O$68),'01_Input'!$Q$68,0),MAX(MIN(E$15,'01_Input'!$O$68)-'01_Input'!$N$68,0)*'01_Input'!$Q$68))+IF('01_Input'!$T$68="Forfait",IF(E$15&gt;='01_Input'!$R$68,'01_Input'!$U$68,0),IF('01_Input'!$T$68="Palier",IF(AND(E$15&gt;='01_Input'!$R$68,E$15&lt;'01_Input'!$S$68),'01_Input'!$U$68,0),MAX(MIN(E$15,'01_Input'!$S$68)-'01_Input'!$R$68,0)*'01_Input'!$U$68))+IF('01_Input'!$X$68="Forfait",IF(E$15&gt;='01_Input'!$V$68,'01_Input'!$Y$68,0),IF('01_Input'!$X$68="Palier",IF(AND(E$15&gt;='01_Input'!$V$68,E$15&lt;'01_Input'!$W$68),'01_Input'!$Y$68,0),MAX(MIN(E$15,'01_Input'!$W$68)-'01_Input'!$V$68,0)*'01_Input'!$Y$68))+IF('01_Input'!$AB$68="Forfait",IF(E$15&gt;='01_Input'!$Z$68,'01_Input'!$AC$68,0),IF('01_Input'!$AB$68="Palier",IF(AND(E$15&gt;='01_Input'!$Z$68,E$15&lt;'01_Input'!$AA$68),'01_Input'!$AC$68,0),MAX(MIN(E$15,'01_Input'!$AA$68)-'01_Input'!$Z$68,0)*'01_Input'!$AC$68))))))))))</f>
        <v>0</v>
      </c>
      <c r="F59" s="83" t="str">
        <f>IF(F$15="","",IF('01_Input'!$C$68="Non",0,MIN('01_Input'!$I$68,MAX('01_Input'!$H$68,IF('01_Input'!$G$68="Résiduel vs Gestion",0,IF('01_Input'!$G$68="Taux Classe sélectionnée",Distrib_Global_Classe_Selectionnee*F$15,IF('01_Input'!$G$68="Frais KYC (paliers de 100M€)",MAX(0,Nb_Investisseurs-Nb_KYC_Gratuites_Par_Tranche*(FLOOR(F$15/Taille_Tranche_KYC,1)+1))*Cout_Par_KYC_Supplementaire,(IF('01_Input'!$L$68="Forfait",IF(F$15&gt;='01_Input'!$J$68,'01_Input'!$M$68,0),IF('01_Input'!$L$68="Palier",IF(AND(F$15&gt;='01_Input'!$J$68,F$15&lt;'01_Input'!$K$68),'01_Input'!$M$68,0),MAX(MIN(F$15,'01_Input'!$K$68)-'01_Input'!$J$68,0)*'01_Input'!$M$68))+IF('01_Input'!$P$68="Forfait",IF(F$15&gt;='01_Input'!$N$68,'01_Input'!$Q$68,0),IF('01_Input'!$P$68="Palier",IF(AND(F$15&gt;='01_Input'!$N$68,F$15&lt;'01_Input'!$O$68),'01_Input'!$Q$68,0),MAX(MIN(F$15,'01_Input'!$O$68)-'01_Input'!$N$68,0)*'01_Input'!$Q$68))+IF('01_Input'!$T$68="Forfait",IF(F$15&gt;='01_Input'!$R$68,'01_Input'!$U$68,0),IF('01_Input'!$T$68="Palier",IF(AND(F$15&gt;='01_Input'!$R$68,F$15&lt;'01_Input'!$S$68),'01_Input'!$U$68,0),MAX(MIN(F$15,'01_Input'!$S$68)-'01_Input'!$R$68,0)*'01_Input'!$U$68))+IF('01_Input'!$X$68="Forfait",IF(F$15&gt;='01_Input'!$V$68,'01_Input'!$Y$68,0),IF('01_Input'!$X$68="Palier",IF(AND(F$15&gt;='01_Input'!$V$68,F$15&lt;'01_Input'!$W$68),'01_Input'!$Y$68,0),MAX(MIN(F$15,'01_Input'!$W$68)-'01_Input'!$V$68,0)*'01_Input'!$Y$68))+IF('01_Input'!$AB$68="Forfait",IF(F$15&gt;='01_Input'!$Z$68,'01_Input'!$AC$68,0),IF('01_Input'!$AB$68="Palier",IF(AND(F$15&gt;='01_Input'!$Z$68,F$15&lt;'01_Input'!$AA$68),'01_Input'!$AC$68,0),MAX(MIN(F$15,'01_Input'!$AA$68)-'01_Input'!$Z$68,0)*'01_Input'!$AC$68))))))))))</f>
        <v/>
      </c>
      <c r="G59" s="83" t="str">
        <f>IF(G$15="","",IF('01_Input'!$C$68="Non",0,MIN('01_Input'!$I$68,MAX('01_Input'!$H$68,IF('01_Input'!$G$68="Résiduel vs Gestion",0,IF('01_Input'!$G$68="Taux Classe sélectionnée",Distrib_Global_Classe_Selectionnee*G$15,IF('01_Input'!$G$68="Frais KYC (paliers de 100M€)",MAX(0,Nb_Investisseurs-Nb_KYC_Gratuites_Par_Tranche*(FLOOR(G$15/Taille_Tranche_KYC,1)+1))*Cout_Par_KYC_Supplementaire,(IF('01_Input'!$L$68="Forfait",IF(G$15&gt;='01_Input'!$J$68,'01_Input'!$M$68,0),IF('01_Input'!$L$68="Palier",IF(AND(G$15&gt;='01_Input'!$J$68,G$15&lt;'01_Input'!$K$68),'01_Input'!$M$68,0),MAX(MIN(G$15,'01_Input'!$K$68)-'01_Input'!$J$68,0)*'01_Input'!$M$68))+IF('01_Input'!$P$68="Forfait",IF(G$15&gt;='01_Input'!$N$68,'01_Input'!$Q$68,0),IF('01_Input'!$P$68="Palier",IF(AND(G$15&gt;='01_Input'!$N$68,G$15&lt;'01_Input'!$O$68),'01_Input'!$Q$68,0),MAX(MIN(G$15,'01_Input'!$O$68)-'01_Input'!$N$68,0)*'01_Input'!$Q$68))+IF('01_Input'!$T$68="Forfait",IF(G$15&gt;='01_Input'!$R$68,'01_Input'!$U$68,0),IF('01_Input'!$T$68="Palier",IF(AND(G$15&gt;='01_Input'!$R$68,G$15&lt;'01_Input'!$S$68),'01_Input'!$U$68,0),MAX(MIN(G$15,'01_Input'!$S$68)-'01_Input'!$R$68,0)*'01_Input'!$U$68))+IF('01_Input'!$X$68="Forfait",IF(G$15&gt;='01_Input'!$V$68,'01_Input'!$Y$68,0),IF('01_Input'!$X$68="Palier",IF(AND(G$15&gt;='01_Input'!$V$68,G$15&lt;'01_Input'!$W$68),'01_Input'!$Y$68,0),MAX(MIN(G$15,'01_Input'!$W$68)-'01_Input'!$V$68,0)*'01_Input'!$Y$68))+IF('01_Input'!$AB$68="Forfait",IF(G$15&gt;='01_Input'!$Z$68,'01_Input'!$AC$68,0),IF('01_Input'!$AB$68="Palier",IF(AND(G$15&gt;='01_Input'!$Z$68,G$15&lt;'01_Input'!$AA$68),'01_Input'!$AC$68,0),MAX(MIN(G$15,'01_Input'!$AA$68)-'01_Input'!$Z$68,0)*'01_Input'!$AC$68))))))))))</f>
        <v/>
      </c>
      <c r="H59" s="83" t="str">
        <f>IF(H$15="","",IF('01_Input'!$C$68="Non",0,MIN('01_Input'!$I$68,MAX('01_Input'!$H$68,IF('01_Input'!$G$68="Résiduel vs Gestion",0,IF('01_Input'!$G$68="Taux Classe sélectionnée",Distrib_Global_Classe_Selectionnee*H$15,IF('01_Input'!$G$68="Frais KYC (paliers de 100M€)",MAX(0,Nb_Investisseurs-Nb_KYC_Gratuites_Par_Tranche*(FLOOR(H$15/Taille_Tranche_KYC,1)+1))*Cout_Par_KYC_Supplementaire,(IF('01_Input'!$L$68="Forfait",IF(H$15&gt;='01_Input'!$J$68,'01_Input'!$M$68,0),IF('01_Input'!$L$68="Palier",IF(AND(H$15&gt;='01_Input'!$J$68,H$15&lt;'01_Input'!$K$68),'01_Input'!$M$68,0),MAX(MIN(H$15,'01_Input'!$K$68)-'01_Input'!$J$68,0)*'01_Input'!$M$68))+IF('01_Input'!$P$68="Forfait",IF(H$15&gt;='01_Input'!$N$68,'01_Input'!$Q$68,0),IF('01_Input'!$P$68="Palier",IF(AND(H$15&gt;='01_Input'!$N$68,H$15&lt;'01_Input'!$O$68),'01_Input'!$Q$68,0),MAX(MIN(H$15,'01_Input'!$O$68)-'01_Input'!$N$68,0)*'01_Input'!$Q$68))+IF('01_Input'!$T$68="Forfait",IF(H$15&gt;='01_Input'!$R$68,'01_Input'!$U$68,0),IF('01_Input'!$T$68="Palier",IF(AND(H$15&gt;='01_Input'!$R$68,H$15&lt;'01_Input'!$S$68),'01_Input'!$U$68,0),MAX(MIN(H$15,'01_Input'!$S$68)-'01_Input'!$R$68,0)*'01_Input'!$U$68))+IF('01_Input'!$X$68="Forfait",IF(H$15&gt;='01_Input'!$V$68,'01_Input'!$Y$68,0),IF('01_Input'!$X$68="Palier",IF(AND(H$15&gt;='01_Input'!$V$68,H$15&lt;'01_Input'!$W$68),'01_Input'!$Y$68,0),MAX(MIN(H$15,'01_Input'!$W$68)-'01_Input'!$V$68,0)*'01_Input'!$Y$68))+IF('01_Input'!$AB$68="Forfait",IF(H$15&gt;='01_Input'!$Z$68,'01_Input'!$AC$68,0),IF('01_Input'!$AB$68="Palier",IF(AND(H$15&gt;='01_Input'!$Z$68,H$15&lt;'01_Input'!$AA$68),'01_Input'!$AC$68,0),MAX(MIN(H$15,'01_Input'!$AA$68)-'01_Input'!$Z$68,0)*'01_Input'!$AC$68))))))))))</f>
        <v/>
      </c>
      <c r="I59" s="83" t="str">
        <f>IF(I$15="","",IF('01_Input'!$C$68="Non",0,MIN('01_Input'!$I$68,MAX('01_Input'!$H$68,IF('01_Input'!$G$68="Résiduel vs Gestion",0,IF('01_Input'!$G$68="Taux Classe sélectionnée",Distrib_Global_Classe_Selectionnee*I$15,IF('01_Input'!$G$68="Frais KYC (paliers de 100M€)",MAX(0,Nb_Investisseurs-Nb_KYC_Gratuites_Par_Tranche*(FLOOR(I$15/Taille_Tranche_KYC,1)+1))*Cout_Par_KYC_Supplementaire,(IF('01_Input'!$L$68="Forfait",IF(I$15&gt;='01_Input'!$J$68,'01_Input'!$M$68,0),IF('01_Input'!$L$68="Palier",IF(AND(I$15&gt;='01_Input'!$J$68,I$15&lt;'01_Input'!$K$68),'01_Input'!$M$68,0),MAX(MIN(I$15,'01_Input'!$K$68)-'01_Input'!$J$68,0)*'01_Input'!$M$68))+IF('01_Input'!$P$68="Forfait",IF(I$15&gt;='01_Input'!$N$68,'01_Input'!$Q$68,0),IF('01_Input'!$P$68="Palier",IF(AND(I$15&gt;='01_Input'!$N$68,I$15&lt;'01_Input'!$O$68),'01_Input'!$Q$68,0),MAX(MIN(I$15,'01_Input'!$O$68)-'01_Input'!$N$68,0)*'01_Input'!$Q$68))+IF('01_Input'!$T$68="Forfait",IF(I$15&gt;='01_Input'!$R$68,'01_Input'!$U$68,0),IF('01_Input'!$T$68="Palier",IF(AND(I$15&gt;='01_Input'!$R$68,I$15&lt;'01_Input'!$S$68),'01_Input'!$U$68,0),MAX(MIN(I$15,'01_Input'!$S$68)-'01_Input'!$R$68,0)*'01_Input'!$U$68))+IF('01_Input'!$X$68="Forfait",IF(I$15&gt;='01_Input'!$V$68,'01_Input'!$Y$68,0),IF('01_Input'!$X$68="Palier",IF(AND(I$15&gt;='01_Input'!$V$68,I$15&lt;'01_Input'!$W$68),'01_Input'!$Y$68,0),MAX(MIN(I$15,'01_Input'!$W$68)-'01_Input'!$V$68,0)*'01_Input'!$Y$68))+IF('01_Input'!$AB$68="Forfait",IF(I$15&gt;='01_Input'!$Z$68,'01_Input'!$AC$68,0),IF('01_Input'!$AB$68="Palier",IF(AND(I$15&gt;='01_Input'!$Z$68,I$15&lt;'01_Input'!$AA$68),'01_Input'!$AC$68,0),MAX(MIN(I$15,'01_Input'!$AA$68)-'01_Input'!$Z$68,0)*'01_Input'!$AC$68))))))))))</f>
        <v/>
      </c>
      <c r="J59" s="83" t="str">
        <f>IF(J$15="","",IF('01_Input'!$C$68="Non",0,MIN('01_Input'!$I$68,MAX('01_Input'!$H$68,IF('01_Input'!$G$68="Résiduel vs Gestion",0,IF('01_Input'!$G$68="Taux Classe sélectionnée",Distrib_Global_Classe_Selectionnee*J$15,IF('01_Input'!$G$68="Frais KYC (paliers de 100M€)",MAX(0,Nb_Investisseurs-Nb_KYC_Gratuites_Par_Tranche*(FLOOR(J$15/Taille_Tranche_KYC,1)+1))*Cout_Par_KYC_Supplementaire,(IF('01_Input'!$L$68="Forfait",IF(J$15&gt;='01_Input'!$J$68,'01_Input'!$M$68,0),IF('01_Input'!$L$68="Palier",IF(AND(J$15&gt;='01_Input'!$J$68,J$15&lt;'01_Input'!$K$68),'01_Input'!$M$68,0),MAX(MIN(J$15,'01_Input'!$K$68)-'01_Input'!$J$68,0)*'01_Input'!$M$68))+IF('01_Input'!$P$68="Forfait",IF(J$15&gt;='01_Input'!$N$68,'01_Input'!$Q$68,0),IF('01_Input'!$P$68="Palier",IF(AND(J$15&gt;='01_Input'!$N$68,J$15&lt;'01_Input'!$O$68),'01_Input'!$Q$68,0),MAX(MIN(J$15,'01_Input'!$O$68)-'01_Input'!$N$68,0)*'01_Input'!$Q$68))+IF('01_Input'!$T$68="Forfait",IF(J$15&gt;='01_Input'!$R$68,'01_Input'!$U$68,0),IF('01_Input'!$T$68="Palier",IF(AND(J$15&gt;='01_Input'!$R$68,J$15&lt;'01_Input'!$S$68),'01_Input'!$U$68,0),MAX(MIN(J$15,'01_Input'!$S$68)-'01_Input'!$R$68,0)*'01_Input'!$U$68))+IF('01_Input'!$X$68="Forfait",IF(J$15&gt;='01_Input'!$V$68,'01_Input'!$Y$68,0),IF('01_Input'!$X$68="Palier",IF(AND(J$15&gt;='01_Input'!$V$68,J$15&lt;'01_Input'!$W$68),'01_Input'!$Y$68,0),MAX(MIN(J$15,'01_Input'!$W$68)-'01_Input'!$V$68,0)*'01_Input'!$Y$68))+IF('01_Input'!$AB$68="Forfait",IF(J$15&gt;='01_Input'!$Z$68,'01_Input'!$AC$68,0),IF('01_Input'!$AB$68="Palier",IF(AND(J$15&gt;='01_Input'!$Z$68,J$15&lt;'01_Input'!$AA$68),'01_Input'!$AC$68,0),MAX(MIN(J$15,'01_Input'!$AA$68)-'01_Input'!$Z$68,0)*'01_Input'!$AC$68))))))))))</f>
        <v/>
      </c>
      <c r="K59" s="83" t="str">
        <f>IF(K$15="","",IF('01_Input'!$C$68="Non",0,MIN('01_Input'!$I$68,MAX('01_Input'!$H$68,IF('01_Input'!$G$68="Résiduel vs Gestion",0,IF('01_Input'!$G$68="Taux Classe sélectionnée",Distrib_Global_Classe_Selectionnee*K$15,IF('01_Input'!$G$68="Frais KYC (paliers de 100M€)",MAX(0,Nb_Investisseurs-Nb_KYC_Gratuites_Par_Tranche*(FLOOR(K$15/Taille_Tranche_KYC,1)+1))*Cout_Par_KYC_Supplementaire,(IF('01_Input'!$L$68="Forfait",IF(K$15&gt;='01_Input'!$J$68,'01_Input'!$M$68,0),IF('01_Input'!$L$68="Palier",IF(AND(K$15&gt;='01_Input'!$J$68,K$15&lt;'01_Input'!$K$68),'01_Input'!$M$68,0),MAX(MIN(K$15,'01_Input'!$K$68)-'01_Input'!$J$68,0)*'01_Input'!$M$68))+IF('01_Input'!$P$68="Forfait",IF(K$15&gt;='01_Input'!$N$68,'01_Input'!$Q$68,0),IF('01_Input'!$P$68="Palier",IF(AND(K$15&gt;='01_Input'!$N$68,K$15&lt;'01_Input'!$O$68),'01_Input'!$Q$68,0),MAX(MIN(K$15,'01_Input'!$O$68)-'01_Input'!$N$68,0)*'01_Input'!$Q$68))+IF('01_Input'!$T$68="Forfait",IF(K$15&gt;='01_Input'!$R$68,'01_Input'!$U$68,0),IF('01_Input'!$T$68="Palier",IF(AND(K$15&gt;='01_Input'!$R$68,K$15&lt;'01_Input'!$S$68),'01_Input'!$U$68,0),MAX(MIN(K$15,'01_Input'!$S$68)-'01_Input'!$R$68,0)*'01_Input'!$U$68))+IF('01_Input'!$X$68="Forfait",IF(K$15&gt;='01_Input'!$V$68,'01_Input'!$Y$68,0),IF('01_Input'!$X$68="Palier",IF(AND(K$15&gt;='01_Input'!$V$68,K$15&lt;'01_Input'!$W$68),'01_Input'!$Y$68,0),MAX(MIN(K$15,'01_Input'!$W$68)-'01_Input'!$V$68,0)*'01_Input'!$Y$68))+IF('01_Input'!$AB$68="Forfait",IF(K$15&gt;='01_Input'!$Z$68,'01_Input'!$AC$68,0),IF('01_Input'!$AB$68="Palier",IF(AND(K$15&gt;='01_Input'!$Z$68,K$15&lt;'01_Input'!$AA$68),'01_Input'!$AC$68,0),MAX(MIN(K$15,'01_Input'!$AA$68)-'01_Input'!$Z$68,0)*'01_Input'!$AC$68))))))))))</f>
        <v/>
      </c>
      <c r="L59" s="83" t="str">
        <f>IF(L$15="","",IF('01_Input'!$C$68="Non",0,MIN('01_Input'!$I$68,MAX('01_Input'!$H$68,IF('01_Input'!$G$68="Résiduel vs Gestion",0,IF('01_Input'!$G$68="Taux Classe sélectionnée",Distrib_Global_Classe_Selectionnee*L$15,IF('01_Input'!$G$68="Frais KYC (paliers de 100M€)",MAX(0,Nb_Investisseurs-Nb_KYC_Gratuites_Par_Tranche*(FLOOR(L$15/Taille_Tranche_KYC,1)+1))*Cout_Par_KYC_Supplementaire,(IF('01_Input'!$L$68="Forfait",IF(L$15&gt;='01_Input'!$J$68,'01_Input'!$M$68,0),IF('01_Input'!$L$68="Palier",IF(AND(L$15&gt;='01_Input'!$J$68,L$15&lt;'01_Input'!$K$68),'01_Input'!$M$68,0),MAX(MIN(L$15,'01_Input'!$K$68)-'01_Input'!$J$68,0)*'01_Input'!$M$68))+IF('01_Input'!$P$68="Forfait",IF(L$15&gt;='01_Input'!$N$68,'01_Input'!$Q$68,0),IF('01_Input'!$P$68="Palier",IF(AND(L$15&gt;='01_Input'!$N$68,L$15&lt;'01_Input'!$O$68),'01_Input'!$Q$68,0),MAX(MIN(L$15,'01_Input'!$O$68)-'01_Input'!$N$68,0)*'01_Input'!$Q$68))+IF('01_Input'!$T$68="Forfait",IF(L$15&gt;='01_Input'!$R$68,'01_Input'!$U$68,0),IF('01_Input'!$T$68="Palier",IF(AND(L$15&gt;='01_Input'!$R$68,L$15&lt;'01_Input'!$S$68),'01_Input'!$U$68,0),MAX(MIN(L$15,'01_Input'!$S$68)-'01_Input'!$R$68,0)*'01_Input'!$U$68))+IF('01_Input'!$X$68="Forfait",IF(L$15&gt;='01_Input'!$V$68,'01_Input'!$Y$68,0),IF('01_Input'!$X$68="Palier",IF(AND(L$15&gt;='01_Input'!$V$68,L$15&lt;'01_Input'!$W$68),'01_Input'!$Y$68,0),MAX(MIN(L$15,'01_Input'!$W$68)-'01_Input'!$V$68,0)*'01_Input'!$Y$68))+IF('01_Input'!$AB$68="Forfait",IF(L$15&gt;='01_Input'!$Z$68,'01_Input'!$AC$68,0),IF('01_Input'!$AB$68="Palier",IF(AND(L$15&gt;='01_Input'!$Z$68,L$15&lt;'01_Input'!$AA$68),'01_Input'!$AC$68,0),MAX(MIN(L$15,'01_Input'!$AA$68)-'01_Input'!$Z$68,0)*'01_Input'!$AC$68))))))))))</f>
        <v/>
      </c>
      <c r="M59" s="83" t="str">
        <f>IF(M$15="","",IF('01_Input'!$C$68="Non",0,MIN('01_Input'!$I$68,MAX('01_Input'!$H$68,IF('01_Input'!$G$68="Résiduel vs Gestion",0,IF('01_Input'!$G$68="Taux Classe sélectionnée",Distrib_Global_Classe_Selectionnee*M$15,IF('01_Input'!$G$68="Frais KYC (paliers de 100M€)",MAX(0,Nb_Investisseurs-Nb_KYC_Gratuites_Par_Tranche*(FLOOR(M$15/Taille_Tranche_KYC,1)+1))*Cout_Par_KYC_Supplementaire,(IF('01_Input'!$L$68="Forfait",IF(M$15&gt;='01_Input'!$J$68,'01_Input'!$M$68,0),IF('01_Input'!$L$68="Palier",IF(AND(M$15&gt;='01_Input'!$J$68,M$15&lt;'01_Input'!$K$68),'01_Input'!$M$68,0),MAX(MIN(M$15,'01_Input'!$K$68)-'01_Input'!$J$68,0)*'01_Input'!$M$68))+IF('01_Input'!$P$68="Forfait",IF(M$15&gt;='01_Input'!$N$68,'01_Input'!$Q$68,0),IF('01_Input'!$P$68="Palier",IF(AND(M$15&gt;='01_Input'!$N$68,M$15&lt;'01_Input'!$O$68),'01_Input'!$Q$68,0),MAX(MIN(M$15,'01_Input'!$O$68)-'01_Input'!$N$68,0)*'01_Input'!$Q$68))+IF('01_Input'!$T$68="Forfait",IF(M$15&gt;='01_Input'!$R$68,'01_Input'!$U$68,0),IF('01_Input'!$T$68="Palier",IF(AND(M$15&gt;='01_Input'!$R$68,M$15&lt;'01_Input'!$S$68),'01_Input'!$U$68,0),MAX(MIN(M$15,'01_Input'!$S$68)-'01_Input'!$R$68,0)*'01_Input'!$U$68))+IF('01_Input'!$X$68="Forfait",IF(M$15&gt;='01_Input'!$V$68,'01_Input'!$Y$68,0),IF('01_Input'!$X$68="Palier",IF(AND(M$15&gt;='01_Input'!$V$68,M$15&lt;'01_Input'!$W$68),'01_Input'!$Y$68,0),MAX(MIN(M$15,'01_Input'!$W$68)-'01_Input'!$V$68,0)*'01_Input'!$Y$68))+IF('01_Input'!$AB$68="Forfait",IF(M$15&gt;='01_Input'!$Z$68,'01_Input'!$AC$68,0),IF('01_Input'!$AB$68="Palier",IF(AND(M$15&gt;='01_Input'!$Z$68,M$15&lt;'01_Input'!$AA$68),'01_Input'!$AC$68,0),MAX(MIN(M$15,'01_Input'!$AA$68)-'01_Input'!$Z$68,0)*'01_Input'!$AC$68))))))))))</f>
        <v/>
      </c>
      <c r="N59" s="83" t="str">
        <f>IF(N$15="","",IF('01_Input'!$C$68="Non",0,MIN('01_Input'!$I$68,MAX('01_Input'!$H$68,IF('01_Input'!$G$68="Résiduel vs Gestion",0,IF('01_Input'!$G$68="Taux Classe sélectionnée",Distrib_Global_Classe_Selectionnee*N$15,IF('01_Input'!$G$68="Frais KYC (paliers de 100M€)",MAX(0,Nb_Investisseurs-Nb_KYC_Gratuites_Par_Tranche*(FLOOR(N$15/Taille_Tranche_KYC,1)+1))*Cout_Par_KYC_Supplementaire,(IF('01_Input'!$L$68="Forfait",IF(N$15&gt;='01_Input'!$J$68,'01_Input'!$M$68,0),IF('01_Input'!$L$68="Palier",IF(AND(N$15&gt;='01_Input'!$J$68,N$15&lt;'01_Input'!$K$68),'01_Input'!$M$68,0),MAX(MIN(N$15,'01_Input'!$K$68)-'01_Input'!$J$68,0)*'01_Input'!$M$68))+IF('01_Input'!$P$68="Forfait",IF(N$15&gt;='01_Input'!$N$68,'01_Input'!$Q$68,0),IF('01_Input'!$P$68="Palier",IF(AND(N$15&gt;='01_Input'!$N$68,N$15&lt;'01_Input'!$O$68),'01_Input'!$Q$68,0),MAX(MIN(N$15,'01_Input'!$O$68)-'01_Input'!$N$68,0)*'01_Input'!$Q$68))+IF('01_Input'!$T$68="Forfait",IF(N$15&gt;='01_Input'!$R$68,'01_Input'!$U$68,0),IF('01_Input'!$T$68="Palier",IF(AND(N$15&gt;='01_Input'!$R$68,N$15&lt;'01_Input'!$S$68),'01_Input'!$U$68,0),MAX(MIN(N$15,'01_Input'!$S$68)-'01_Input'!$R$68,0)*'01_Input'!$U$68))+IF('01_Input'!$X$68="Forfait",IF(N$15&gt;='01_Input'!$V$68,'01_Input'!$Y$68,0),IF('01_Input'!$X$68="Palier",IF(AND(N$15&gt;='01_Input'!$V$68,N$15&lt;'01_Input'!$W$68),'01_Input'!$Y$68,0),MAX(MIN(N$15,'01_Input'!$W$68)-'01_Input'!$V$68,0)*'01_Input'!$Y$68))+IF('01_Input'!$AB$68="Forfait",IF(N$15&gt;='01_Input'!$Z$68,'01_Input'!$AC$68,0),IF('01_Input'!$AB$68="Palier",IF(AND(N$15&gt;='01_Input'!$Z$68,N$15&lt;'01_Input'!$AA$68),'01_Input'!$AC$68,0),MAX(MIN(N$15,'01_Input'!$AA$68)-'01_Input'!$Z$68,0)*'01_Input'!$AC$68))))))))))</f>
        <v/>
      </c>
      <c r="O59" s="83" t="str">
        <f>IF(O$15="","",IF('01_Input'!$C$68="Non",0,MIN('01_Input'!$I$68,MAX('01_Input'!$H$68,IF('01_Input'!$G$68="Résiduel vs Gestion",0,IF('01_Input'!$G$68="Taux Classe sélectionnée",Distrib_Global_Classe_Selectionnee*O$15,IF('01_Input'!$G$68="Frais KYC (paliers de 100M€)",MAX(0,Nb_Investisseurs-Nb_KYC_Gratuites_Par_Tranche*(FLOOR(O$15/Taille_Tranche_KYC,1)+1))*Cout_Par_KYC_Supplementaire,(IF('01_Input'!$L$68="Forfait",IF(O$15&gt;='01_Input'!$J$68,'01_Input'!$M$68,0),IF('01_Input'!$L$68="Palier",IF(AND(O$15&gt;='01_Input'!$J$68,O$15&lt;'01_Input'!$K$68),'01_Input'!$M$68,0),MAX(MIN(O$15,'01_Input'!$K$68)-'01_Input'!$J$68,0)*'01_Input'!$M$68))+IF('01_Input'!$P$68="Forfait",IF(O$15&gt;='01_Input'!$N$68,'01_Input'!$Q$68,0),IF('01_Input'!$P$68="Palier",IF(AND(O$15&gt;='01_Input'!$N$68,O$15&lt;'01_Input'!$O$68),'01_Input'!$Q$68,0),MAX(MIN(O$15,'01_Input'!$O$68)-'01_Input'!$N$68,0)*'01_Input'!$Q$68))+IF('01_Input'!$T$68="Forfait",IF(O$15&gt;='01_Input'!$R$68,'01_Input'!$U$68,0),IF('01_Input'!$T$68="Palier",IF(AND(O$15&gt;='01_Input'!$R$68,O$15&lt;'01_Input'!$S$68),'01_Input'!$U$68,0),MAX(MIN(O$15,'01_Input'!$S$68)-'01_Input'!$R$68,0)*'01_Input'!$U$68))+IF('01_Input'!$X$68="Forfait",IF(O$15&gt;='01_Input'!$V$68,'01_Input'!$Y$68,0),IF('01_Input'!$X$68="Palier",IF(AND(O$15&gt;='01_Input'!$V$68,O$15&lt;'01_Input'!$W$68),'01_Input'!$Y$68,0),MAX(MIN(O$15,'01_Input'!$W$68)-'01_Input'!$V$68,0)*'01_Input'!$Y$68))+IF('01_Input'!$AB$68="Forfait",IF(O$15&gt;='01_Input'!$Z$68,'01_Input'!$AC$68,0),IF('01_Input'!$AB$68="Palier",IF(AND(O$15&gt;='01_Input'!$Z$68,O$15&lt;'01_Input'!$AA$68),'01_Input'!$AC$68,0),MAX(MIN(O$15,'01_Input'!$AA$68)-'01_Input'!$Z$68,0)*'01_Input'!$AC$68))))))))))</f>
        <v/>
      </c>
      <c r="P59" s="83" t="str">
        <f>IF(P$15="","",IF('01_Input'!$C$68="Non",0,MIN('01_Input'!$I$68,MAX('01_Input'!$H$68,IF('01_Input'!$G$68="Résiduel vs Gestion",0,IF('01_Input'!$G$68="Taux Classe sélectionnée",Distrib_Global_Classe_Selectionnee*P$15,IF('01_Input'!$G$68="Frais KYC (paliers de 100M€)",MAX(0,Nb_Investisseurs-Nb_KYC_Gratuites_Par_Tranche*(FLOOR(P$15/Taille_Tranche_KYC,1)+1))*Cout_Par_KYC_Supplementaire,(IF('01_Input'!$L$68="Forfait",IF(P$15&gt;='01_Input'!$J$68,'01_Input'!$M$68,0),IF('01_Input'!$L$68="Palier",IF(AND(P$15&gt;='01_Input'!$J$68,P$15&lt;'01_Input'!$K$68),'01_Input'!$M$68,0),MAX(MIN(P$15,'01_Input'!$K$68)-'01_Input'!$J$68,0)*'01_Input'!$M$68))+IF('01_Input'!$P$68="Forfait",IF(P$15&gt;='01_Input'!$N$68,'01_Input'!$Q$68,0),IF('01_Input'!$P$68="Palier",IF(AND(P$15&gt;='01_Input'!$N$68,P$15&lt;'01_Input'!$O$68),'01_Input'!$Q$68,0),MAX(MIN(P$15,'01_Input'!$O$68)-'01_Input'!$N$68,0)*'01_Input'!$Q$68))+IF('01_Input'!$T$68="Forfait",IF(P$15&gt;='01_Input'!$R$68,'01_Input'!$U$68,0),IF('01_Input'!$T$68="Palier",IF(AND(P$15&gt;='01_Input'!$R$68,P$15&lt;'01_Input'!$S$68),'01_Input'!$U$68,0),MAX(MIN(P$15,'01_Input'!$S$68)-'01_Input'!$R$68,0)*'01_Input'!$U$68))+IF('01_Input'!$X$68="Forfait",IF(P$15&gt;='01_Input'!$V$68,'01_Input'!$Y$68,0),IF('01_Input'!$X$68="Palier",IF(AND(P$15&gt;='01_Input'!$V$68,P$15&lt;'01_Input'!$W$68),'01_Input'!$Y$68,0),MAX(MIN(P$15,'01_Input'!$W$68)-'01_Input'!$V$68,0)*'01_Input'!$Y$68))+IF('01_Input'!$AB$68="Forfait",IF(P$15&gt;='01_Input'!$Z$68,'01_Input'!$AC$68,0),IF('01_Input'!$AB$68="Palier",IF(AND(P$15&gt;='01_Input'!$Z$68,P$15&lt;'01_Input'!$AA$68),'01_Input'!$AC$68,0),MAX(MIN(P$15,'01_Input'!$AA$68)-'01_Input'!$Z$68,0)*'01_Input'!$AC$68))))))))))</f>
        <v/>
      </c>
      <c r="Q59" s="83" t="str">
        <f>IF(Q$15="","",IF('01_Input'!$C$68="Non",0,MIN('01_Input'!$I$68,MAX('01_Input'!$H$68,IF('01_Input'!$G$68="Résiduel vs Gestion",0,IF('01_Input'!$G$68="Taux Classe sélectionnée",Distrib_Global_Classe_Selectionnee*Q$15,IF('01_Input'!$G$68="Frais KYC (paliers de 100M€)",MAX(0,Nb_Investisseurs-Nb_KYC_Gratuites_Par_Tranche*(FLOOR(Q$15/Taille_Tranche_KYC,1)+1))*Cout_Par_KYC_Supplementaire,(IF('01_Input'!$L$68="Forfait",IF(Q$15&gt;='01_Input'!$J$68,'01_Input'!$M$68,0),IF('01_Input'!$L$68="Palier",IF(AND(Q$15&gt;='01_Input'!$J$68,Q$15&lt;'01_Input'!$K$68),'01_Input'!$M$68,0),MAX(MIN(Q$15,'01_Input'!$K$68)-'01_Input'!$J$68,0)*'01_Input'!$M$68))+IF('01_Input'!$P$68="Forfait",IF(Q$15&gt;='01_Input'!$N$68,'01_Input'!$Q$68,0),IF('01_Input'!$P$68="Palier",IF(AND(Q$15&gt;='01_Input'!$N$68,Q$15&lt;'01_Input'!$O$68),'01_Input'!$Q$68,0),MAX(MIN(Q$15,'01_Input'!$O$68)-'01_Input'!$N$68,0)*'01_Input'!$Q$68))+IF('01_Input'!$T$68="Forfait",IF(Q$15&gt;='01_Input'!$R$68,'01_Input'!$U$68,0),IF('01_Input'!$T$68="Palier",IF(AND(Q$15&gt;='01_Input'!$R$68,Q$15&lt;'01_Input'!$S$68),'01_Input'!$U$68,0),MAX(MIN(Q$15,'01_Input'!$S$68)-'01_Input'!$R$68,0)*'01_Input'!$U$68))+IF('01_Input'!$X$68="Forfait",IF(Q$15&gt;='01_Input'!$V$68,'01_Input'!$Y$68,0),IF('01_Input'!$X$68="Palier",IF(AND(Q$15&gt;='01_Input'!$V$68,Q$15&lt;'01_Input'!$W$68),'01_Input'!$Y$68,0),MAX(MIN(Q$15,'01_Input'!$W$68)-'01_Input'!$V$68,0)*'01_Input'!$Y$68))+IF('01_Input'!$AB$68="Forfait",IF(Q$15&gt;='01_Input'!$Z$68,'01_Input'!$AC$68,0),IF('01_Input'!$AB$68="Palier",IF(AND(Q$15&gt;='01_Input'!$Z$68,Q$15&lt;'01_Input'!$AA$68),'01_Input'!$AC$68,0),MAX(MIN(Q$15,'01_Input'!$AA$68)-'01_Input'!$Z$68,0)*'01_Input'!$AC$68))))))))))</f>
        <v/>
      </c>
      <c r="R59" s="83" t="str">
        <f>IF(R$15="","",IF('01_Input'!$C$68="Non",0,MIN('01_Input'!$I$68,MAX('01_Input'!$H$68,IF('01_Input'!$G$68="Résiduel vs Gestion",0,IF('01_Input'!$G$68="Taux Classe sélectionnée",Distrib_Global_Classe_Selectionnee*R$15,IF('01_Input'!$G$68="Frais KYC (paliers de 100M€)",MAX(0,Nb_Investisseurs-Nb_KYC_Gratuites_Par_Tranche*(FLOOR(R$15/Taille_Tranche_KYC,1)+1))*Cout_Par_KYC_Supplementaire,(IF('01_Input'!$L$68="Forfait",IF(R$15&gt;='01_Input'!$J$68,'01_Input'!$M$68,0),IF('01_Input'!$L$68="Palier",IF(AND(R$15&gt;='01_Input'!$J$68,R$15&lt;'01_Input'!$K$68),'01_Input'!$M$68,0),MAX(MIN(R$15,'01_Input'!$K$68)-'01_Input'!$J$68,0)*'01_Input'!$M$68))+IF('01_Input'!$P$68="Forfait",IF(R$15&gt;='01_Input'!$N$68,'01_Input'!$Q$68,0),IF('01_Input'!$P$68="Palier",IF(AND(R$15&gt;='01_Input'!$N$68,R$15&lt;'01_Input'!$O$68),'01_Input'!$Q$68,0),MAX(MIN(R$15,'01_Input'!$O$68)-'01_Input'!$N$68,0)*'01_Input'!$Q$68))+IF('01_Input'!$T$68="Forfait",IF(R$15&gt;='01_Input'!$R$68,'01_Input'!$U$68,0),IF('01_Input'!$T$68="Palier",IF(AND(R$15&gt;='01_Input'!$R$68,R$15&lt;'01_Input'!$S$68),'01_Input'!$U$68,0),MAX(MIN(R$15,'01_Input'!$S$68)-'01_Input'!$R$68,0)*'01_Input'!$U$68))+IF('01_Input'!$X$68="Forfait",IF(R$15&gt;='01_Input'!$V$68,'01_Input'!$Y$68,0),IF('01_Input'!$X$68="Palier",IF(AND(R$15&gt;='01_Input'!$V$68,R$15&lt;'01_Input'!$W$68),'01_Input'!$Y$68,0),MAX(MIN(R$15,'01_Input'!$W$68)-'01_Input'!$V$68,0)*'01_Input'!$Y$68))+IF('01_Input'!$AB$68="Forfait",IF(R$15&gt;='01_Input'!$Z$68,'01_Input'!$AC$68,0),IF('01_Input'!$AB$68="Palier",IF(AND(R$15&gt;='01_Input'!$Z$68,R$15&lt;'01_Input'!$AA$68),'01_Input'!$AC$68,0),MAX(MIN(R$15,'01_Input'!$AA$68)-'01_Input'!$Z$68,0)*'01_Input'!$AC$68))))))))))</f>
        <v/>
      </c>
      <c r="S59" s="83" t="str">
        <f>IF(S$15="","",IF('01_Input'!$C$68="Non",0,MIN('01_Input'!$I$68,MAX('01_Input'!$H$68,IF('01_Input'!$G$68="Résiduel vs Gestion",0,IF('01_Input'!$G$68="Taux Classe sélectionnée",Distrib_Global_Classe_Selectionnee*S$15,IF('01_Input'!$G$68="Frais KYC (paliers de 100M€)",MAX(0,Nb_Investisseurs-Nb_KYC_Gratuites_Par_Tranche*(FLOOR(S$15/Taille_Tranche_KYC,1)+1))*Cout_Par_KYC_Supplementaire,(IF('01_Input'!$L$68="Forfait",IF(S$15&gt;='01_Input'!$J$68,'01_Input'!$M$68,0),IF('01_Input'!$L$68="Palier",IF(AND(S$15&gt;='01_Input'!$J$68,S$15&lt;'01_Input'!$K$68),'01_Input'!$M$68,0),MAX(MIN(S$15,'01_Input'!$K$68)-'01_Input'!$J$68,0)*'01_Input'!$M$68))+IF('01_Input'!$P$68="Forfait",IF(S$15&gt;='01_Input'!$N$68,'01_Input'!$Q$68,0),IF('01_Input'!$P$68="Palier",IF(AND(S$15&gt;='01_Input'!$N$68,S$15&lt;'01_Input'!$O$68),'01_Input'!$Q$68,0),MAX(MIN(S$15,'01_Input'!$O$68)-'01_Input'!$N$68,0)*'01_Input'!$Q$68))+IF('01_Input'!$T$68="Forfait",IF(S$15&gt;='01_Input'!$R$68,'01_Input'!$U$68,0),IF('01_Input'!$T$68="Palier",IF(AND(S$15&gt;='01_Input'!$R$68,S$15&lt;'01_Input'!$S$68),'01_Input'!$U$68,0),MAX(MIN(S$15,'01_Input'!$S$68)-'01_Input'!$R$68,0)*'01_Input'!$U$68))+IF('01_Input'!$X$68="Forfait",IF(S$15&gt;='01_Input'!$V$68,'01_Input'!$Y$68,0),IF('01_Input'!$X$68="Palier",IF(AND(S$15&gt;='01_Input'!$V$68,S$15&lt;'01_Input'!$W$68),'01_Input'!$Y$68,0),MAX(MIN(S$15,'01_Input'!$W$68)-'01_Input'!$V$68,0)*'01_Input'!$Y$68))+IF('01_Input'!$AB$68="Forfait",IF(S$15&gt;='01_Input'!$Z$68,'01_Input'!$AC$68,0),IF('01_Input'!$AB$68="Palier",IF(AND(S$15&gt;='01_Input'!$Z$68,S$15&lt;'01_Input'!$AA$68),'01_Input'!$AC$68,0),MAX(MIN(S$15,'01_Input'!$AA$68)-'01_Input'!$Z$68,0)*'01_Input'!$AC$68))))))))))</f>
        <v/>
      </c>
      <c r="T59" s="83" t="str">
        <f>IF(T$15="","",IF('01_Input'!$C$68="Non",0,MIN('01_Input'!$I$68,MAX('01_Input'!$H$68,IF('01_Input'!$G$68="Résiduel vs Gestion",0,IF('01_Input'!$G$68="Taux Classe sélectionnée",Distrib_Global_Classe_Selectionnee*T$15,IF('01_Input'!$G$68="Frais KYC (paliers de 100M€)",MAX(0,Nb_Investisseurs-Nb_KYC_Gratuites_Par_Tranche*(FLOOR(T$15/Taille_Tranche_KYC,1)+1))*Cout_Par_KYC_Supplementaire,(IF('01_Input'!$L$68="Forfait",IF(T$15&gt;='01_Input'!$J$68,'01_Input'!$M$68,0),IF('01_Input'!$L$68="Palier",IF(AND(T$15&gt;='01_Input'!$J$68,T$15&lt;'01_Input'!$K$68),'01_Input'!$M$68,0),MAX(MIN(T$15,'01_Input'!$K$68)-'01_Input'!$J$68,0)*'01_Input'!$M$68))+IF('01_Input'!$P$68="Forfait",IF(T$15&gt;='01_Input'!$N$68,'01_Input'!$Q$68,0),IF('01_Input'!$P$68="Palier",IF(AND(T$15&gt;='01_Input'!$N$68,T$15&lt;'01_Input'!$O$68),'01_Input'!$Q$68,0),MAX(MIN(T$15,'01_Input'!$O$68)-'01_Input'!$N$68,0)*'01_Input'!$Q$68))+IF('01_Input'!$T$68="Forfait",IF(T$15&gt;='01_Input'!$R$68,'01_Input'!$U$68,0),IF('01_Input'!$T$68="Palier",IF(AND(T$15&gt;='01_Input'!$R$68,T$15&lt;'01_Input'!$S$68),'01_Input'!$U$68,0),MAX(MIN(T$15,'01_Input'!$S$68)-'01_Input'!$R$68,0)*'01_Input'!$U$68))+IF('01_Input'!$X$68="Forfait",IF(T$15&gt;='01_Input'!$V$68,'01_Input'!$Y$68,0),IF('01_Input'!$X$68="Palier",IF(AND(T$15&gt;='01_Input'!$V$68,T$15&lt;'01_Input'!$W$68),'01_Input'!$Y$68,0),MAX(MIN(T$15,'01_Input'!$W$68)-'01_Input'!$V$68,0)*'01_Input'!$Y$68))+IF('01_Input'!$AB$68="Forfait",IF(T$15&gt;='01_Input'!$Z$68,'01_Input'!$AC$68,0),IF('01_Input'!$AB$68="Palier",IF(AND(T$15&gt;='01_Input'!$Z$68,T$15&lt;'01_Input'!$AA$68),'01_Input'!$AC$68,0),MAX(MIN(T$15,'01_Input'!$AA$68)-'01_Input'!$Z$68,0)*'01_Input'!$AC$68))))))))))</f>
        <v/>
      </c>
      <c r="U59" s="83" t="str">
        <f>IF(U$15="","",IF('01_Input'!$C$68="Non",0,MIN('01_Input'!$I$68,MAX('01_Input'!$H$68,IF('01_Input'!$G$68="Résiduel vs Gestion",0,IF('01_Input'!$G$68="Taux Classe sélectionnée",Distrib_Global_Classe_Selectionnee*U$15,IF('01_Input'!$G$68="Frais KYC (paliers de 100M€)",MAX(0,Nb_Investisseurs-Nb_KYC_Gratuites_Par_Tranche*(FLOOR(U$15/Taille_Tranche_KYC,1)+1))*Cout_Par_KYC_Supplementaire,(IF('01_Input'!$L$68="Forfait",IF(U$15&gt;='01_Input'!$J$68,'01_Input'!$M$68,0),IF('01_Input'!$L$68="Palier",IF(AND(U$15&gt;='01_Input'!$J$68,U$15&lt;'01_Input'!$K$68),'01_Input'!$M$68,0),MAX(MIN(U$15,'01_Input'!$K$68)-'01_Input'!$J$68,0)*'01_Input'!$M$68))+IF('01_Input'!$P$68="Forfait",IF(U$15&gt;='01_Input'!$N$68,'01_Input'!$Q$68,0),IF('01_Input'!$P$68="Palier",IF(AND(U$15&gt;='01_Input'!$N$68,U$15&lt;'01_Input'!$O$68),'01_Input'!$Q$68,0),MAX(MIN(U$15,'01_Input'!$O$68)-'01_Input'!$N$68,0)*'01_Input'!$Q$68))+IF('01_Input'!$T$68="Forfait",IF(U$15&gt;='01_Input'!$R$68,'01_Input'!$U$68,0),IF('01_Input'!$T$68="Palier",IF(AND(U$15&gt;='01_Input'!$R$68,U$15&lt;'01_Input'!$S$68),'01_Input'!$U$68,0),MAX(MIN(U$15,'01_Input'!$S$68)-'01_Input'!$R$68,0)*'01_Input'!$U$68))+IF('01_Input'!$X$68="Forfait",IF(U$15&gt;='01_Input'!$V$68,'01_Input'!$Y$68,0),IF('01_Input'!$X$68="Palier",IF(AND(U$15&gt;='01_Input'!$V$68,U$15&lt;'01_Input'!$W$68),'01_Input'!$Y$68,0),MAX(MIN(U$15,'01_Input'!$W$68)-'01_Input'!$V$68,0)*'01_Input'!$Y$68))+IF('01_Input'!$AB$68="Forfait",IF(U$15&gt;='01_Input'!$Z$68,'01_Input'!$AC$68,0),IF('01_Input'!$AB$68="Palier",IF(AND(U$15&gt;='01_Input'!$Z$68,U$15&lt;'01_Input'!$AA$68),'01_Input'!$AC$68,0),MAX(MIN(U$15,'01_Input'!$AA$68)-'01_Input'!$Z$68,0)*'01_Input'!$AC$68))))))))))</f>
        <v/>
      </c>
      <c r="V59" s="83" t="str">
        <f>IF(V$15="","",IF('01_Input'!$C$68="Non",0,MIN('01_Input'!$I$68,MAX('01_Input'!$H$68,IF('01_Input'!$G$68="Résiduel vs Gestion",0,IF('01_Input'!$G$68="Taux Classe sélectionnée",Distrib_Global_Classe_Selectionnee*V$15,IF('01_Input'!$G$68="Frais KYC (paliers de 100M€)",MAX(0,Nb_Investisseurs-Nb_KYC_Gratuites_Par_Tranche*(FLOOR(V$15/Taille_Tranche_KYC,1)+1))*Cout_Par_KYC_Supplementaire,(IF('01_Input'!$L$68="Forfait",IF(V$15&gt;='01_Input'!$J$68,'01_Input'!$M$68,0),IF('01_Input'!$L$68="Palier",IF(AND(V$15&gt;='01_Input'!$J$68,V$15&lt;'01_Input'!$K$68),'01_Input'!$M$68,0),MAX(MIN(V$15,'01_Input'!$K$68)-'01_Input'!$J$68,0)*'01_Input'!$M$68))+IF('01_Input'!$P$68="Forfait",IF(V$15&gt;='01_Input'!$N$68,'01_Input'!$Q$68,0),IF('01_Input'!$P$68="Palier",IF(AND(V$15&gt;='01_Input'!$N$68,V$15&lt;'01_Input'!$O$68),'01_Input'!$Q$68,0),MAX(MIN(V$15,'01_Input'!$O$68)-'01_Input'!$N$68,0)*'01_Input'!$Q$68))+IF('01_Input'!$T$68="Forfait",IF(V$15&gt;='01_Input'!$R$68,'01_Input'!$U$68,0),IF('01_Input'!$T$68="Palier",IF(AND(V$15&gt;='01_Input'!$R$68,V$15&lt;'01_Input'!$S$68),'01_Input'!$U$68,0),MAX(MIN(V$15,'01_Input'!$S$68)-'01_Input'!$R$68,0)*'01_Input'!$U$68))+IF('01_Input'!$X$68="Forfait",IF(V$15&gt;='01_Input'!$V$68,'01_Input'!$Y$68,0),IF('01_Input'!$X$68="Palier",IF(AND(V$15&gt;='01_Input'!$V$68,V$15&lt;'01_Input'!$W$68),'01_Input'!$Y$68,0),MAX(MIN(V$15,'01_Input'!$W$68)-'01_Input'!$V$68,0)*'01_Input'!$Y$68))+IF('01_Input'!$AB$68="Forfait",IF(V$15&gt;='01_Input'!$Z$68,'01_Input'!$AC$68,0),IF('01_Input'!$AB$68="Palier",IF(AND(V$15&gt;='01_Input'!$Z$68,V$15&lt;'01_Input'!$AA$68),'01_Input'!$AC$68,0),MAX(MIN(V$15,'01_Input'!$AA$68)-'01_Input'!$Z$68,0)*'01_Input'!$AC$68))))))))))</f>
        <v/>
      </c>
      <c r="W59" s="83" t="str">
        <f>IF(W$15="","",IF('01_Input'!$C$68="Non",0,MIN('01_Input'!$I$68,MAX('01_Input'!$H$68,IF('01_Input'!$G$68="Résiduel vs Gestion",0,IF('01_Input'!$G$68="Taux Classe sélectionnée",Distrib_Global_Classe_Selectionnee*W$15,IF('01_Input'!$G$68="Frais KYC (paliers de 100M€)",MAX(0,Nb_Investisseurs-Nb_KYC_Gratuites_Par_Tranche*(FLOOR(W$15/Taille_Tranche_KYC,1)+1))*Cout_Par_KYC_Supplementaire,(IF('01_Input'!$L$68="Forfait",IF(W$15&gt;='01_Input'!$J$68,'01_Input'!$M$68,0),IF('01_Input'!$L$68="Palier",IF(AND(W$15&gt;='01_Input'!$J$68,W$15&lt;'01_Input'!$K$68),'01_Input'!$M$68,0),MAX(MIN(W$15,'01_Input'!$K$68)-'01_Input'!$J$68,0)*'01_Input'!$M$68))+IF('01_Input'!$P$68="Forfait",IF(W$15&gt;='01_Input'!$N$68,'01_Input'!$Q$68,0),IF('01_Input'!$P$68="Palier",IF(AND(W$15&gt;='01_Input'!$N$68,W$15&lt;'01_Input'!$O$68),'01_Input'!$Q$68,0),MAX(MIN(W$15,'01_Input'!$O$68)-'01_Input'!$N$68,0)*'01_Input'!$Q$68))+IF('01_Input'!$T$68="Forfait",IF(W$15&gt;='01_Input'!$R$68,'01_Input'!$U$68,0),IF('01_Input'!$T$68="Palier",IF(AND(W$15&gt;='01_Input'!$R$68,W$15&lt;'01_Input'!$S$68),'01_Input'!$U$68,0),MAX(MIN(W$15,'01_Input'!$S$68)-'01_Input'!$R$68,0)*'01_Input'!$U$68))+IF('01_Input'!$X$68="Forfait",IF(W$15&gt;='01_Input'!$V$68,'01_Input'!$Y$68,0),IF('01_Input'!$X$68="Palier",IF(AND(W$15&gt;='01_Input'!$V$68,W$15&lt;'01_Input'!$W$68),'01_Input'!$Y$68,0),MAX(MIN(W$15,'01_Input'!$W$68)-'01_Input'!$V$68,0)*'01_Input'!$Y$68))+IF('01_Input'!$AB$68="Forfait",IF(W$15&gt;='01_Input'!$Z$68,'01_Input'!$AC$68,0),IF('01_Input'!$AB$68="Palier",IF(AND(W$15&gt;='01_Input'!$Z$68,W$15&lt;'01_Input'!$AA$68),'01_Input'!$AC$68,0),MAX(MIN(W$15,'01_Input'!$AA$68)-'01_Input'!$Z$68,0)*'01_Input'!$AC$68))))))))))</f>
        <v/>
      </c>
      <c r="X59" s="83" t="str">
        <f>IF(X$15="","",IF('01_Input'!$C$68="Non",0,MIN('01_Input'!$I$68,MAX('01_Input'!$H$68,IF('01_Input'!$G$68="Résiduel vs Gestion",0,IF('01_Input'!$G$68="Taux Classe sélectionnée",Distrib_Global_Classe_Selectionnee*X$15,IF('01_Input'!$G$68="Frais KYC (paliers de 100M€)",MAX(0,Nb_Investisseurs-Nb_KYC_Gratuites_Par_Tranche*(FLOOR(X$15/Taille_Tranche_KYC,1)+1))*Cout_Par_KYC_Supplementaire,(IF('01_Input'!$L$68="Forfait",IF(X$15&gt;='01_Input'!$J$68,'01_Input'!$M$68,0),IF('01_Input'!$L$68="Palier",IF(AND(X$15&gt;='01_Input'!$J$68,X$15&lt;'01_Input'!$K$68),'01_Input'!$M$68,0),MAX(MIN(X$15,'01_Input'!$K$68)-'01_Input'!$J$68,0)*'01_Input'!$M$68))+IF('01_Input'!$P$68="Forfait",IF(X$15&gt;='01_Input'!$N$68,'01_Input'!$Q$68,0),IF('01_Input'!$P$68="Palier",IF(AND(X$15&gt;='01_Input'!$N$68,X$15&lt;'01_Input'!$O$68),'01_Input'!$Q$68,0),MAX(MIN(X$15,'01_Input'!$O$68)-'01_Input'!$N$68,0)*'01_Input'!$Q$68))+IF('01_Input'!$T$68="Forfait",IF(X$15&gt;='01_Input'!$R$68,'01_Input'!$U$68,0),IF('01_Input'!$T$68="Palier",IF(AND(X$15&gt;='01_Input'!$R$68,X$15&lt;'01_Input'!$S$68),'01_Input'!$U$68,0),MAX(MIN(X$15,'01_Input'!$S$68)-'01_Input'!$R$68,0)*'01_Input'!$U$68))+IF('01_Input'!$X$68="Forfait",IF(X$15&gt;='01_Input'!$V$68,'01_Input'!$Y$68,0),IF('01_Input'!$X$68="Palier",IF(AND(X$15&gt;='01_Input'!$V$68,X$15&lt;'01_Input'!$W$68),'01_Input'!$Y$68,0),MAX(MIN(X$15,'01_Input'!$W$68)-'01_Input'!$V$68,0)*'01_Input'!$Y$68))+IF('01_Input'!$AB$68="Forfait",IF(X$15&gt;='01_Input'!$Z$68,'01_Input'!$AC$68,0),IF('01_Input'!$AB$68="Palier",IF(AND(X$15&gt;='01_Input'!$Z$68,X$15&lt;'01_Input'!$AA$68),'01_Input'!$AC$68,0),MAX(MIN(X$15,'01_Input'!$AA$68)-'01_Input'!$Z$68,0)*'01_Input'!$AC$68))))))))))</f>
        <v/>
      </c>
      <c r="Y59" s="83" t="str">
        <f>IF(Y$15="","",IF('01_Input'!$C$68="Non",0,MIN('01_Input'!$I$68,MAX('01_Input'!$H$68,IF('01_Input'!$G$68="Résiduel vs Gestion",0,IF('01_Input'!$G$68="Taux Classe sélectionnée",Distrib_Global_Classe_Selectionnee*Y$15,IF('01_Input'!$G$68="Frais KYC (paliers de 100M€)",MAX(0,Nb_Investisseurs-Nb_KYC_Gratuites_Par_Tranche*(FLOOR(Y$15/Taille_Tranche_KYC,1)+1))*Cout_Par_KYC_Supplementaire,(IF('01_Input'!$L$68="Forfait",IF(Y$15&gt;='01_Input'!$J$68,'01_Input'!$M$68,0),IF('01_Input'!$L$68="Palier",IF(AND(Y$15&gt;='01_Input'!$J$68,Y$15&lt;'01_Input'!$K$68),'01_Input'!$M$68,0),MAX(MIN(Y$15,'01_Input'!$K$68)-'01_Input'!$J$68,0)*'01_Input'!$M$68))+IF('01_Input'!$P$68="Forfait",IF(Y$15&gt;='01_Input'!$N$68,'01_Input'!$Q$68,0),IF('01_Input'!$P$68="Palier",IF(AND(Y$15&gt;='01_Input'!$N$68,Y$15&lt;'01_Input'!$O$68),'01_Input'!$Q$68,0),MAX(MIN(Y$15,'01_Input'!$O$68)-'01_Input'!$N$68,0)*'01_Input'!$Q$68))+IF('01_Input'!$T$68="Forfait",IF(Y$15&gt;='01_Input'!$R$68,'01_Input'!$U$68,0),IF('01_Input'!$T$68="Palier",IF(AND(Y$15&gt;='01_Input'!$R$68,Y$15&lt;'01_Input'!$S$68),'01_Input'!$U$68,0),MAX(MIN(Y$15,'01_Input'!$S$68)-'01_Input'!$R$68,0)*'01_Input'!$U$68))+IF('01_Input'!$X$68="Forfait",IF(Y$15&gt;='01_Input'!$V$68,'01_Input'!$Y$68,0),IF('01_Input'!$X$68="Palier",IF(AND(Y$15&gt;='01_Input'!$V$68,Y$15&lt;'01_Input'!$W$68),'01_Input'!$Y$68,0),MAX(MIN(Y$15,'01_Input'!$W$68)-'01_Input'!$V$68,0)*'01_Input'!$Y$68))+IF('01_Input'!$AB$68="Forfait",IF(Y$15&gt;='01_Input'!$Z$68,'01_Input'!$AC$68,0),IF('01_Input'!$AB$68="Palier",IF(AND(Y$15&gt;='01_Input'!$Z$68,Y$15&lt;'01_Input'!$AA$68),'01_Input'!$AC$68,0),MAX(MIN(Y$15,'01_Input'!$AA$68)-'01_Input'!$Z$68,0)*'01_Input'!$AC$68))))))))))</f>
        <v/>
      </c>
      <c r="Z59" s="83" t="str">
        <f>IF(Z$15="","",IF('01_Input'!$C$68="Non",0,MIN('01_Input'!$I$68,MAX('01_Input'!$H$68,IF('01_Input'!$G$68="Résiduel vs Gestion",0,IF('01_Input'!$G$68="Taux Classe sélectionnée",Distrib_Global_Classe_Selectionnee*Z$15,IF('01_Input'!$G$68="Frais KYC (paliers de 100M€)",MAX(0,Nb_Investisseurs-Nb_KYC_Gratuites_Par_Tranche*(FLOOR(Z$15/Taille_Tranche_KYC,1)+1))*Cout_Par_KYC_Supplementaire,(IF('01_Input'!$L$68="Forfait",IF(Z$15&gt;='01_Input'!$J$68,'01_Input'!$M$68,0),IF('01_Input'!$L$68="Palier",IF(AND(Z$15&gt;='01_Input'!$J$68,Z$15&lt;'01_Input'!$K$68),'01_Input'!$M$68,0),MAX(MIN(Z$15,'01_Input'!$K$68)-'01_Input'!$J$68,0)*'01_Input'!$M$68))+IF('01_Input'!$P$68="Forfait",IF(Z$15&gt;='01_Input'!$N$68,'01_Input'!$Q$68,0),IF('01_Input'!$P$68="Palier",IF(AND(Z$15&gt;='01_Input'!$N$68,Z$15&lt;'01_Input'!$O$68),'01_Input'!$Q$68,0),MAX(MIN(Z$15,'01_Input'!$O$68)-'01_Input'!$N$68,0)*'01_Input'!$Q$68))+IF('01_Input'!$T$68="Forfait",IF(Z$15&gt;='01_Input'!$R$68,'01_Input'!$U$68,0),IF('01_Input'!$T$68="Palier",IF(AND(Z$15&gt;='01_Input'!$R$68,Z$15&lt;'01_Input'!$S$68),'01_Input'!$U$68,0),MAX(MIN(Z$15,'01_Input'!$S$68)-'01_Input'!$R$68,0)*'01_Input'!$U$68))+IF('01_Input'!$X$68="Forfait",IF(Z$15&gt;='01_Input'!$V$68,'01_Input'!$Y$68,0),IF('01_Input'!$X$68="Palier",IF(AND(Z$15&gt;='01_Input'!$V$68,Z$15&lt;'01_Input'!$W$68),'01_Input'!$Y$68,0),MAX(MIN(Z$15,'01_Input'!$W$68)-'01_Input'!$V$68,0)*'01_Input'!$Y$68))+IF('01_Input'!$AB$68="Forfait",IF(Z$15&gt;='01_Input'!$Z$68,'01_Input'!$AC$68,0),IF('01_Input'!$AB$68="Palier",IF(AND(Z$15&gt;='01_Input'!$Z$68,Z$15&lt;'01_Input'!$AA$68),'01_Input'!$AC$68,0),MAX(MIN(Z$15,'01_Input'!$AA$68)-'01_Input'!$Z$68,0)*'01_Input'!$AC$68))))))))))</f>
        <v/>
      </c>
      <c r="AA59" s="83" t="str">
        <f>IF(AA$15="","",IF('01_Input'!$C$68="Non",0,MIN('01_Input'!$I$68,MAX('01_Input'!$H$68,IF('01_Input'!$G$68="Résiduel vs Gestion",0,IF('01_Input'!$G$68="Taux Classe sélectionnée",Distrib_Global_Classe_Selectionnee*AA$15,IF('01_Input'!$G$68="Frais KYC (paliers de 100M€)",MAX(0,Nb_Investisseurs-Nb_KYC_Gratuites_Par_Tranche*(FLOOR(AA$15/Taille_Tranche_KYC,1)+1))*Cout_Par_KYC_Supplementaire,(IF('01_Input'!$L$68="Forfait",IF(AA$15&gt;='01_Input'!$J$68,'01_Input'!$M$68,0),IF('01_Input'!$L$68="Palier",IF(AND(AA$15&gt;='01_Input'!$J$68,AA$15&lt;'01_Input'!$K$68),'01_Input'!$M$68,0),MAX(MIN(AA$15,'01_Input'!$K$68)-'01_Input'!$J$68,0)*'01_Input'!$M$68))+IF('01_Input'!$P$68="Forfait",IF(AA$15&gt;='01_Input'!$N$68,'01_Input'!$Q$68,0),IF('01_Input'!$P$68="Palier",IF(AND(AA$15&gt;='01_Input'!$N$68,AA$15&lt;'01_Input'!$O$68),'01_Input'!$Q$68,0),MAX(MIN(AA$15,'01_Input'!$O$68)-'01_Input'!$N$68,0)*'01_Input'!$Q$68))+IF('01_Input'!$T$68="Forfait",IF(AA$15&gt;='01_Input'!$R$68,'01_Input'!$U$68,0),IF('01_Input'!$T$68="Palier",IF(AND(AA$15&gt;='01_Input'!$R$68,AA$15&lt;'01_Input'!$S$68),'01_Input'!$U$68,0),MAX(MIN(AA$15,'01_Input'!$S$68)-'01_Input'!$R$68,0)*'01_Input'!$U$68))+IF('01_Input'!$X$68="Forfait",IF(AA$15&gt;='01_Input'!$V$68,'01_Input'!$Y$68,0),IF('01_Input'!$X$68="Palier",IF(AND(AA$15&gt;='01_Input'!$V$68,AA$15&lt;'01_Input'!$W$68),'01_Input'!$Y$68,0),MAX(MIN(AA$15,'01_Input'!$W$68)-'01_Input'!$V$68,0)*'01_Input'!$Y$68))+IF('01_Input'!$AB$68="Forfait",IF(AA$15&gt;='01_Input'!$Z$68,'01_Input'!$AC$68,0),IF('01_Input'!$AB$68="Palier",IF(AND(AA$15&gt;='01_Input'!$Z$68,AA$15&lt;'01_Input'!$AA$68),'01_Input'!$AC$68,0),MAX(MIN(AA$15,'01_Input'!$AA$68)-'01_Input'!$Z$68,0)*'01_Input'!$AC$68))))))))))</f>
        <v/>
      </c>
      <c r="AB59" s="83" t="str">
        <f>IF(AB$15="","",IF('01_Input'!$C$68="Non",0,MIN('01_Input'!$I$68,MAX('01_Input'!$H$68,IF('01_Input'!$G$68="Résiduel vs Gestion",0,IF('01_Input'!$G$68="Taux Classe sélectionnée",Distrib_Global_Classe_Selectionnee*AB$15,IF('01_Input'!$G$68="Frais KYC (paliers de 100M€)",MAX(0,Nb_Investisseurs-Nb_KYC_Gratuites_Par_Tranche*(FLOOR(AB$15/Taille_Tranche_KYC,1)+1))*Cout_Par_KYC_Supplementaire,(IF('01_Input'!$L$68="Forfait",IF(AB$15&gt;='01_Input'!$J$68,'01_Input'!$M$68,0),IF('01_Input'!$L$68="Palier",IF(AND(AB$15&gt;='01_Input'!$J$68,AB$15&lt;'01_Input'!$K$68),'01_Input'!$M$68,0),MAX(MIN(AB$15,'01_Input'!$K$68)-'01_Input'!$J$68,0)*'01_Input'!$M$68))+IF('01_Input'!$P$68="Forfait",IF(AB$15&gt;='01_Input'!$N$68,'01_Input'!$Q$68,0),IF('01_Input'!$P$68="Palier",IF(AND(AB$15&gt;='01_Input'!$N$68,AB$15&lt;'01_Input'!$O$68),'01_Input'!$Q$68,0),MAX(MIN(AB$15,'01_Input'!$O$68)-'01_Input'!$N$68,0)*'01_Input'!$Q$68))+IF('01_Input'!$T$68="Forfait",IF(AB$15&gt;='01_Input'!$R$68,'01_Input'!$U$68,0),IF('01_Input'!$T$68="Palier",IF(AND(AB$15&gt;='01_Input'!$R$68,AB$15&lt;'01_Input'!$S$68),'01_Input'!$U$68,0),MAX(MIN(AB$15,'01_Input'!$S$68)-'01_Input'!$R$68,0)*'01_Input'!$U$68))+IF('01_Input'!$X$68="Forfait",IF(AB$15&gt;='01_Input'!$V$68,'01_Input'!$Y$68,0),IF('01_Input'!$X$68="Palier",IF(AND(AB$15&gt;='01_Input'!$V$68,AB$15&lt;'01_Input'!$W$68),'01_Input'!$Y$68,0),MAX(MIN(AB$15,'01_Input'!$W$68)-'01_Input'!$V$68,0)*'01_Input'!$Y$68))+IF('01_Input'!$AB$68="Forfait",IF(AB$15&gt;='01_Input'!$Z$68,'01_Input'!$AC$68,0),IF('01_Input'!$AB$68="Palier",IF(AND(AB$15&gt;='01_Input'!$Z$68,AB$15&lt;'01_Input'!$AA$68),'01_Input'!$AC$68,0),MAX(MIN(AB$15,'01_Input'!$AA$68)-'01_Input'!$Z$68,0)*'01_Input'!$AC$68))))))))))</f>
        <v/>
      </c>
      <c r="AC59" s="83" t="str">
        <f>IF(AC$15="","",IF('01_Input'!$C$68="Non",0,MIN('01_Input'!$I$68,MAX('01_Input'!$H$68,IF('01_Input'!$G$68="Résiduel vs Gestion",0,IF('01_Input'!$G$68="Taux Classe sélectionnée",Distrib_Global_Classe_Selectionnee*AC$15,IF('01_Input'!$G$68="Frais KYC (paliers de 100M€)",MAX(0,Nb_Investisseurs-Nb_KYC_Gratuites_Par_Tranche*(FLOOR(AC$15/Taille_Tranche_KYC,1)+1))*Cout_Par_KYC_Supplementaire,(IF('01_Input'!$L$68="Forfait",IF(AC$15&gt;='01_Input'!$J$68,'01_Input'!$M$68,0),IF('01_Input'!$L$68="Palier",IF(AND(AC$15&gt;='01_Input'!$J$68,AC$15&lt;'01_Input'!$K$68),'01_Input'!$M$68,0),MAX(MIN(AC$15,'01_Input'!$K$68)-'01_Input'!$J$68,0)*'01_Input'!$M$68))+IF('01_Input'!$P$68="Forfait",IF(AC$15&gt;='01_Input'!$N$68,'01_Input'!$Q$68,0),IF('01_Input'!$P$68="Palier",IF(AND(AC$15&gt;='01_Input'!$N$68,AC$15&lt;'01_Input'!$O$68),'01_Input'!$Q$68,0),MAX(MIN(AC$15,'01_Input'!$O$68)-'01_Input'!$N$68,0)*'01_Input'!$Q$68))+IF('01_Input'!$T$68="Forfait",IF(AC$15&gt;='01_Input'!$R$68,'01_Input'!$U$68,0),IF('01_Input'!$T$68="Palier",IF(AND(AC$15&gt;='01_Input'!$R$68,AC$15&lt;'01_Input'!$S$68),'01_Input'!$U$68,0),MAX(MIN(AC$15,'01_Input'!$S$68)-'01_Input'!$R$68,0)*'01_Input'!$U$68))+IF('01_Input'!$X$68="Forfait",IF(AC$15&gt;='01_Input'!$V$68,'01_Input'!$Y$68,0),IF('01_Input'!$X$68="Palier",IF(AND(AC$15&gt;='01_Input'!$V$68,AC$15&lt;'01_Input'!$W$68),'01_Input'!$Y$68,0),MAX(MIN(AC$15,'01_Input'!$W$68)-'01_Input'!$V$68,0)*'01_Input'!$Y$68))+IF('01_Input'!$AB$68="Forfait",IF(AC$15&gt;='01_Input'!$Z$68,'01_Input'!$AC$68,0),IF('01_Input'!$AB$68="Palier",IF(AND(AC$15&gt;='01_Input'!$Z$68,AC$15&lt;'01_Input'!$AA$68),'01_Input'!$AC$68,0),MAX(MIN(AC$15,'01_Input'!$AA$68)-'01_Input'!$Z$68,0)*'01_Input'!$AC$68))))))))))</f>
        <v/>
      </c>
      <c r="AD59" s="83" t="str">
        <f>IF(AD$15="","",IF('01_Input'!$C$68="Non",0,MIN('01_Input'!$I$68,MAX('01_Input'!$H$68,IF('01_Input'!$G$68="Résiduel vs Gestion",0,IF('01_Input'!$G$68="Taux Classe sélectionnée",Distrib_Global_Classe_Selectionnee*AD$15,IF('01_Input'!$G$68="Frais KYC (paliers de 100M€)",MAX(0,Nb_Investisseurs-Nb_KYC_Gratuites_Par_Tranche*(FLOOR(AD$15/Taille_Tranche_KYC,1)+1))*Cout_Par_KYC_Supplementaire,(IF('01_Input'!$L$68="Forfait",IF(AD$15&gt;='01_Input'!$J$68,'01_Input'!$M$68,0),IF('01_Input'!$L$68="Palier",IF(AND(AD$15&gt;='01_Input'!$J$68,AD$15&lt;'01_Input'!$K$68),'01_Input'!$M$68,0),MAX(MIN(AD$15,'01_Input'!$K$68)-'01_Input'!$J$68,0)*'01_Input'!$M$68))+IF('01_Input'!$P$68="Forfait",IF(AD$15&gt;='01_Input'!$N$68,'01_Input'!$Q$68,0),IF('01_Input'!$P$68="Palier",IF(AND(AD$15&gt;='01_Input'!$N$68,AD$15&lt;'01_Input'!$O$68),'01_Input'!$Q$68,0),MAX(MIN(AD$15,'01_Input'!$O$68)-'01_Input'!$N$68,0)*'01_Input'!$Q$68))+IF('01_Input'!$T$68="Forfait",IF(AD$15&gt;='01_Input'!$R$68,'01_Input'!$U$68,0),IF('01_Input'!$T$68="Palier",IF(AND(AD$15&gt;='01_Input'!$R$68,AD$15&lt;'01_Input'!$S$68),'01_Input'!$U$68,0),MAX(MIN(AD$15,'01_Input'!$S$68)-'01_Input'!$R$68,0)*'01_Input'!$U$68))+IF('01_Input'!$X$68="Forfait",IF(AD$15&gt;='01_Input'!$V$68,'01_Input'!$Y$68,0),IF('01_Input'!$X$68="Palier",IF(AND(AD$15&gt;='01_Input'!$V$68,AD$15&lt;'01_Input'!$W$68),'01_Input'!$Y$68,0),MAX(MIN(AD$15,'01_Input'!$W$68)-'01_Input'!$V$68,0)*'01_Input'!$Y$68))+IF('01_Input'!$AB$68="Forfait",IF(AD$15&gt;='01_Input'!$Z$68,'01_Input'!$AC$68,0),IF('01_Input'!$AB$68="Palier",IF(AND(AD$15&gt;='01_Input'!$Z$68,AD$15&lt;'01_Input'!$AA$68),'01_Input'!$AC$68,0),MAX(MIN(AD$15,'01_Input'!$AA$68)-'01_Input'!$Z$68,0)*'01_Input'!$AC$68))))))))))</f>
        <v/>
      </c>
      <c r="AE59" s="83" t="str">
        <f>IF(AE$15="","",IF('01_Input'!$C$68="Non",0,MIN('01_Input'!$I$68,MAX('01_Input'!$H$68,IF('01_Input'!$G$68="Résiduel vs Gestion",0,IF('01_Input'!$G$68="Taux Classe sélectionnée",Distrib_Global_Classe_Selectionnee*AE$15,IF('01_Input'!$G$68="Frais KYC (paliers de 100M€)",MAX(0,Nb_Investisseurs-Nb_KYC_Gratuites_Par_Tranche*(FLOOR(AE$15/Taille_Tranche_KYC,1)+1))*Cout_Par_KYC_Supplementaire,(IF('01_Input'!$L$68="Forfait",IF(AE$15&gt;='01_Input'!$J$68,'01_Input'!$M$68,0),IF('01_Input'!$L$68="Palier",IF(AND(AE$15&gt;='01_Input'!$J$68,AE$15&lt;'01_Input'!$K$68),'01_Input'!$M$68,0),MAX(MIN(AE$15,'01_Input'!$K$68)-'01_Input'!$J$68,0)*'01_Input'!$M$68))+IF('01_Input'!$P$68="Forfait",IF(AE$15&gt;='01_Input'!$N$68,'01_Input'!$Q$68,0),IF('01_Input'!$P$68="Palier",IF(AND(AE$15&gt;='01_Input'!$N$68,AE$15&lt;'01_Input'!$O$68),'01_Input'!$Q$68,0),MAX(MIN(AE$15,'01_Input'!$O$68)-'01_Input'!$N$68,0)*'01_Input'!$Q$68))+IF('01_Input'!$T$68="Forfait",IF(AE$15&gt;='01_Input'!$R$68,'01_Input'!$U$68,0),IF('01_Input'!$T$68="Palier",IF(AND(AE$15&gt;='01_Input'!$R$68,AE$15&lt;'01_Input'!$S$68),'01_Input'!$U$68,0),MAX(MIN(AE$15,'01_Input'!$S$68)-'01_Input'!$R$68,0)*'01_Input'!$U$68))+IF('01_Input'!$X$68="Forfait",IF(AE$15&gt;='01_Input'!$V$68,'01_Input'!$Y$68,0),IF('01_Input'!$X$68="Palier",IF(AND(AE$15&gt;='01_Input'!$V$68,AE$15&lt;'01_Input'!$W$68),'01_Input'!$Y$68,0),MAX(MIN(AE$15,'01_Input'!$W$68)-'01_Input'!$V$68,0)*'01_Input'!$Y$68))+IF('01_Input'!$AB$68="Forfait",IF(AE$15&gt;='01_Input'!$Z$68,'01_Input'!$AC$68,0),IF('01_Input'!$AB$68="Palier",IF(AND(AE$15&gt;='01_Input'!$Z$68,AE$15&lt;'01_Input'!$AA$68),'01_Input'!$AC$68,0),MAX(MIN(AE$15,'01_Input'!$AA$68)-'01_Input'!$Z$68,0)*'01_Input'!$AC$68))))))))))</f>
        <v/>
      </c>
      <c r="AF59" s="83" t="str">
        <f>IF(AF$15="","",IF('01_Input'!$C$68="Non",0,MIN('01_Input'!$I$68,MAX('01_Input'!$H$68,IF('01_Input'!$G$68="Résiduel vs Gestion",0,IF('01_Input'!$G$68="Taux Classe sélectionnée",Distrib_Global_Classe_Selectionnee*AF$15,IF('01_Input'!$G$68="Frais KYC (paliers de 100M€)",MAX(0,Nb_Investisseurs-Nb_KYC_Gratuites_Par_Tranche*(FLOOR(AF$15/Taille_Tranche_KYC,1)+1))*Cout_Par_KYC_Supplementaire,(IF('01_Input'!$L$68="Forfait",IF(AF$15&gt;='01_Input'!$J$68,'01_Input'!$M$68,0),IF('01_Input'!$L$68="Palier",IF(AND(AF$15&gt;='01_Input'!$J$68,AF$15&lt;'01_Input'!$K$68),'01_Input'!$M$68,0),MAX(MIN(AF$15,'01_Input'!$K$68)-'01_Input'!$J$68,0)*'01_Input'!$M$68))+IF('01_Input'!$P$68="Forfait",IF(AF$15&gt;='01_Input'!$N$68,'01_Input'!$Q$68,0),IF('01_Input'!$P$68="Palier",IF(AND(AF$15&gt;='01_Input'!$N$68,AF$15&lt;'01_Input'!$O$68),'01_Input'!$Q$68,0),MAX(MIN(AF$15,'01_Input'!$O$68)-'01_Input'!$N$68,0)*'01_Input'!$Q$68))+IF('01_Input'!$T$68="Forfait",IF(AF$15&gt;='01_Input'!$R$68,'01_Input'!$U$68,0),IF('01_Input'!$T$68="Palier",IF(AND(AF$15&gt;='01_Input'!$R$68,AF$15&lt;'01_Input'!$S$68),'01_Input'!$U$68,0),MAX(MIN(AF$15,'01_Input'!$S$68)-'01_Input'!$R$68,0)*'01_Input'!$U$68))+IF('01_Input'!$X$68="Forfait",IF(AF$15&gt;='01_Input'!$V$68,'01_Input'!$Y$68,0),IF('01_Input'!$X$68="Palier",IF(AND(AF$15&gt;='01_Input'!$V$68,AF$15&lt;'01_Input'!$W$68),'01_Input'!$Y$68,0),MAX(MIN(AF$15,'01_Input'!$W$68)-'01_Input'!$V$68,0)*'01_Input'!$Y$68))+IF('01_Input'!$AB$68="Forfait",IF(AF$15&gt;='01_Input'!$Z$68,'01_Input'!$AC$68,0),IF('01_Input'!$AB$68="Palier",IF(AND(AF$15&gt;='01_Input'!$Z$68,AF$15&lt;'01_Input'!$AA$68),'01_Input'!$AC$68,0),MAX(MIN(AF$15,'01_Input'!$AA$68)-'01_Input'!$Z$68,0)*'01_Input'!$AC$68))))))))))</f>
        <v/>
      </c>
      <c r="AG59" s="83" t="str">
        <f>IF(AG$15="","",IF('01_Input'!$C$68="Non",0,MIN('01_Input'!$I$68,MAX('01_Input'!$H$68,IF('01_Input'!$G$68="Résiduel vs Gestion",0,IF('01_Input'!$G$68="Taux Classe sélectionnée",Distrib_Global_Classe_Selectionnee*AG$15,IF('01_Input'!$G$68="Frais KYC (paliers de 100M€)",MAX(0,Nb_Investisseurs-Nb_KYC_Gratuites_Par_Tranche*(FLOOR(AG$15/Taille_Tranche_KYC,1)+1))*Cout_Par_KYC_Supplementaire,(IF('01_Input'!$L$68="Forfait",IF(AG$15&gt;='01_Input'!$J$68,'01_Input'!$M$68,0),IF('01_Input'!$L$68="Palier",IF(AND(AG$15&gt;='01_Input'!$J$68,AG$15&lt;'01_Input'!$K$68),'01_Input'!$M$68,0),MAX(MIN(AG$15,'01_Input'!$K$68)-'01_Input'!$J$68,0)*'01_Input'!$M$68))+IF('01_Input'!$P$68="Forfait",IF(AG$15&gt;='01_Input'!$N$68,'01_Input'!$Q$68,0),IF('01_Input'!$P$68="Palier",IF(AND(AG$15&gt;='01_Input'!$N$68,AG$15&lt;'01_Input'!$O$68),'01_Input'!$Q$68,0),MAX(MIN(AG$15,'01_Input'!$O$68)-'01_Input'!$N$68,0)*'01_Input'!$Q$68))+IF('01_Input'!$T$68="Forfait",IF(AG$15&gt;='01_Input'!$R$68,'01_Input'!$U$68,0),IF('01_Input'!$T$68="Palier",IF(AND(AG$15&gt;='01_Input'!$R$68,AG$15&lt;'01_Input'!$S$68),'01_Input'!$U$68,0),MAX(MIN(AG$15,'01_Input'!$S$68)-'01_Input'!$R$68,0)*'01_Input'!$U$68))+IF('01_Input'!$X$68="Forfait",IF(AG$15&gt;='01_Input'!$V$68,'01_Input'!$Y$68,0),IF('01_Input'!$X$68="Palier",IF(AND(AG$15&gt;='01_Input'!$V$68,AG$15&lt;'01_Input'!$W$68),'01_Input'!$Y$68,0),MAX(MIN(AG$15,'01_Input'!$W$68)-'01_Input'!$V$68,0)*'01_Input'!$Y$68))+IF('01_Input'!$AB$68="Forfait",IF(AG$15&gt;='01_Input'!$Z$68,'01_Input'!$AC$68,0),IF('01_Input'!$AB$68="Palier",IF(AND(AG$15&gt;='01_Input'!$Z$68,AG$15&lt;'01_Input'!$AA$68),'01_Input'!$AC$68,0),MAX(MIN(AG$15,'01_Input'!$AA$68)-'01_Input'!$Z$68,0)*'01_Input'!$AC$68))))))))))</f>
        <v/>
      </c>
      <c r="AH59" s="83" t="str">
        <f>IF(AH$15="","",IF('01_Input'!$C$68="Non",0,MIN('01_Input'!$I$68,MAX('01_Input'!$H$68,IF('01_Input'!$G$68="Résiduel vs Gestion",0,IF('01_Input'!$G$68="Taux Classe sélectionnée",Distrib_Global_Classe_Selectionnee*AH$15,IF('01_Input'!$G$68="Frais KYC (paliers de 100M€)",MAX(0,Nb_Investisseurs-Nb_KYC_Gratuites_Par_Tranche*(FLOOR(AH$15/Taille_Tranche_KYC,1)+1))*Cout_Par_KYC_Supplementaire,(IF('01_Input'!$L$68="Forfait",IF(AH$15&gt;='01_Input'!$J$68,'01_Input'!$M$68,0),IF('01_Input'!$L$68="Palier",IF(AND(AH$15&gt;='01_Input'!$J$68,AH$15&lt;'01_Input'!$K$68),'01_Input'!$M$68,0),MAX(MIN(AH$15,'01_Input'!$K$68)-'01_Input'!$J$68,0)*'01_Input'!$M$68))+IF('01_Input'!$P$68="Forfait",IF(AH$15&gt;='01_Input'!$N$68,'01_Input'!$Q$68,0),IF('01_Input'!$P$68="Palier",IF(AND(AH$15&gt;='01_Input'!$N$68,AH$15&lt;'01_Input'!$O$68),'01_Input'!$Q$68,0),MAX(MIN(AH$15,'01_Input'!$O$68)-'01_Input'!$N$68,0)*'01_Input'!$Q$68))+IF('01_Input'!$T$68="Forfait",IF(AH$15&gt;='01_Input'!$R$68,'01_Input'!$U$68,0),IF('01_Input'!$T$68="Palier",IF(AND(AH$15&gt;='01_Input'!$R$68,AH$15&lt;'01_Input'!$S$68),'01_Input'!$U$68,0),MAX(MIN(AH$15,'01_Input'!$S$68)-'01_Input'!$R$68,0)*'01_Input'!$U$68))+IF('01_Input'!$X$68="Forfait",IF(AH$15&gt;='01_Input'!$V$68,'01_Input'!$Y$68,0),IF('01_Input'!$X$68="Palier",IF(AND(AH$15&gt;='01_Input'!$V$68,AH$15&lt;'01_Input'!$W$68),'01_Input'!$Y$68,0),MAX(MIN(AH$15,'01_Input'!$W$68)-'01_Input'!$V$68,0)*'01_Input'!$Y$68))+IF('01_Input'!$AB$68="Forfait",IF(AH$15&gt;='01_Input'!$Z$68,'01_Input'!$AC$68,0),IF('01_Input'!$AB$68="Palier",IF(AND(AH$15&gt;='01_Input'!$Z$68,AH$15&lt;'01_Input'!$AA$68),'01_Input'!$AC$68,0),MAX(MIN(AH$15,'01_Input'!$AA$68)-'01_Input'!$Z$68,0)*'01_Input'!$AC$68))))))))))</f>
        <v/>
      </c>
      <c r="AI59" s="83" t="str">
        <f>IF(AI$15="","",IF('01_Input'!$C$68="Non",0,MIN('01_Input'!$I$68,MAX('01_Input'!$H$68,IF('01_Input'!$G$68="Résiduel vs Gestion",0,IF('01_Input'!$G$68="Taux Classe sélectionnée",Distrib_Global_Classe_Selectionnee*AI$15,IF('01_Input'!$G$68="Frais KYC (paliers de 100M€)",MAX(0,Nb_Investisseurs-Nb_KYC_Gratuites_Par_Tranche*(FLOOR(AI$15/Taille_Tranche_KYC,1)+1))*Cout_Par_KYC_Supplementaire,(IF('01_Input'!$L$68="Forfait",IF(AI$15&gt;='01_Input'!$J$68,'01_Input'!$M$68,0),IF('01_Input'!$L$68="Palier",IF(AND(AI$15&gt;='01_Input'!$J$68,AI$15&lt;'01_Input'!$K$68),'01_Input'!$M$68,0),MAX(MIN(AI$15,'01_Input'!$K$68)-'01_Input'!$J$68,0)*'01_Input'!$M$68))+IF('01_Input'!$P$68="Forfait",IF(AI$15&gt;='01_Input'!$N$68,'01_Input'!$Q$68,0),IF('01_Input'!$P$68="Palier",IF(AND(AI$15&gt;='01_Input'!$N$68,AI$15&lt;'01_Input'!$O$68),'01_Input'!$Q$68,0),MAX(MIN(AI$15,'01_Input'!$O$68)-'01_Input'!$N$68,0)*'01_Input'!$Q$68))+IF('01_Input'!$T$68="Forfait",IF(AI$15&gt;='01_Input'!$R$68,'01_Input'!$U$68,0),IF('01_Input'!$T$68="Palier",IF(AND(AI$15&gt;='01_Input'!$R$68,AI$15&lt;'01_Input'!$S$68),'01_Input'!$U$68,0),MAX(MIN(AI$15,'01_Input'!$S$68)-'01_Input'!$R$68,0)*'01_Input'!$U$68))+IF('01_Input'!$X$68="Forfait",IF(AI$15&gt;='01_Input'!$V$68,'01_Input'!$Y$68,0),IF('01_Input'!$X$68="Palier",IF(AND(AI$15&gt;='01_Input'!$V$68,AI$15&lt;'01_Input'!$W$68),'01_Input'!$Y$68,0),MAX(MIN(AI$15,'01_Input'!$W$68)-'01_Input'!$V$68,0)*'01_Input'!$Y$68))+IF('01_Input'!$AB$68="Forfait",IF(AI$15&gt;='01_Input'!$Z$68,'01_Input'!$AC$68,0),IF('01_Input'!$AB$68="Palier",IF(AND(AI$15&gt;='01_Input'!$Z$68,AI$15&lt;'01_Input'!$AA$68),'01_Input'!$AC$68,0),MAX(MIN(AI$15,'01_Input'!$AA$68)-'01_Input'!$Z$68,0)*'01_Input'!$AC$68))))))))))</f>
        <v/>
      </c>
      <c r="AJ59" s="83" t="str">
        <f>IF(AJ$15="","",IF('01_Input'!$C$68="Non",0,MIN('01_Input'!$I$68,MAX('01_Input'!$H$68,IF('01_Input'!$G$68="Résiduel vs Gestion",0,IF('01_Input'!$G$68="Taux Classe sélectionnée",Distrib_Global_Classe_Selectionnee*AJ$15,IF('01_Input'!$G$68="Frais KYC (paliers de 100M€)",MAX(0,Nb_Investisseurs-Nb_KYC_Gratuites_Par_Tranche*(FLOOR(AJ$15/Taille_Tranche_KYC,1)+1))*Cout_Par_KYC_Supplementaire,(IF('01_Input'!$L$68="Forfait",IF(AJ$15&gt;='01_Input'!$J$68,'01_Input'!$M$68,0),IF('01_Input'!$L$68="Palier",IF(AND(AJ$15&gt;='01_Input'!$J$68,AJ$15&lt;'01_Input'!$K$68),'01_Input'!$M$68,0),MAX(MIN(AJ$15,'01_Input'!$K$68)-'01_Input'!$J$68,0)*'01_Input'!$M$68))+IF('01_Input'!$P$68="Forfait",IF(AJ$15&gt;='01_Input'!$N$68,'01_Input'!$Q$68,0),IF('01_Input'!$P$68="Palier",IF(AND(AJ$15&gt;='01_Input'!$N$68,AJ$15&lt;'01_Input'!$O$68),'01_Input'!$Q$68,0),MAX(MIN(AJ$15,'01_Input'!$O$68)-'01_Input'!$N$68,0)*'01_Input'!$Q$68))+IF('01_Input'!$T$68="Forfait",IF(AJ$15&gt;='01_Input'!$R$68,'01_Input'!$U$68,0),IF('01_Input'!$T$68="Palier",IF(AND(AJ$15&gt;='01_Input'!$R$68,AJ$15&lt;'01_Input'!$S$68),'01_Input'!$U$68,0),MAX(MIN(AJ$15,'01_Input'!$S$68)-'01_Input'!$R$68,0)*'01_Input'!$U$68))+IF('01_Input'!$X$68="Forfait",IF(AJ$15&gt;='01_Input'!$V$68,'01_Input'!$Y$68,0),IF('01_Input'!$X$68="Palier",IF(AND(AJ$15&gt;='01_Input'!$V$68,AJ$15&lt;'01_Input'!$W$68),'01_Input'!$Y$68,0),MAX(MIN(AJ$15,'01_Input'!$W$68)-'01_Input'!$V$68,0)*'01_Input'!$Y$68))+IF('01_Input'!$AB$68="Forfait",IF(AJ$15&gt;='01_Input'!$Z$68,'01_Input'!$AC$68,0),IF('01_Input'!$AB$68="Palier",IF(AND(AJ$15&gt;='01_Input'!$Z$68,AJ$15&lt;'01_Input'!$AA$68),'01_Input'!$AC$68,0),MAX(MIN(AJ$15,'01_Input'!$AA$68)-'01_Input'!$Z$68,0)*'01_Input'!$AC$68))))))))))</f>
        <v/>
      </c>
      <c r="AK59" s="83" t="str">
        <f>IF(AK$15="","",IF('01_Input'!$C$68="Non",0,MIN('01_Input'!$I$68,MAX('01_Input'!$H$68,IF('01_Input'!$G$68="Résiduel vs Gestion",0,IF('01_Input'!$G$68="Taux Classe sélectionnée",Distrib_Global_Classe_Selectionnee*AK$15,IF('01_Input'!$G$68="Frais KYC (paliers de 100M€)",MAX(0,Nb_Investisseurs-Nb_KYC_Gratuites_Par_Tranche*(FLOOR(AK$15/Taille_Tranche_KYC,1)+1))*Cout_Par_KYC_Supplementaire,(IF('01_Input'!$L$68="Forfait",IF(AK$15&gt;='01_Input'!$J$68,'01_Input'!$M$68,0),IF('01_Input'!$L$68="Palier",IF(AND(AK$15&gt;='01_Input'!$J$68,AK$15&lt;'01_Input'!$K$68),'01_Input'!$M$68,0),MAX(MIN(AK$15,'01_Input'!$K$68)-'01_Input'!$J$68,0)*'01_Input'!$M$68))+IF('01_Input'!$P$68="Forfait",IF(AK$15&gt;='01_Input'!$N$68,'01_Input'!$Q$68,0),IF('01_Input'!$P$68="Palier",IF(AND(AK$15&gt;='01_Input'!$N$68,AK$15&lt;'01_Input'!$O$68),'01_Input'!$Q$68,0),MAX(MIN(AK$15,'01_Input'!$O$68)-'01_Input'!$N$68,0)*'01_Input'!$Q$68))+IF('01_Input'!$T$68="Forfait",IF(AK$15&gt;='01_Input'!$R$68,'01_Input'!$U$68,0),IF('01_Input'!$T$68="Palier",IF(AND(AK$15&gt;='01_Input'!$R$68,AK$15&lt;'01_Input'!$S$68),'01_Input'!$U$68,0),MAX(MIN(AK$15,'01_Input'!$S$68)-'01_Input'!$R$68,0)*'01_Input'!$U$68))+IF('01_Input'!$X$68="Forfait",IF(AK$15&gt;='01_Input'!$V$68,'01_Input'!$Y$68,0),IF('01_Input'!$X$68="Palier",IF(AND(AK$15&gt;='01_Input'!$V$68,AK$15&lt;'01_Input'!$W$68),'01_Input'!$Y$68,0),MAX(MIN(AK$15,'01_Input'!$W$68)-'01_Input'!$V$68,0)*'01_Input'!$Y$68))+IF('01_Input'!$AB$68="Forfait",IF(AK$15&gt;='01_Input'!$Z$68,'01_Input'!$AC$68,0),IF('01_Input'!$AB$68="Palier",IF(AND(AK$15&gt;='01_Input'!$Z$68,AK$15&lt;'01_Input'!$AA$68),'01_Input'!$AC$68,0),MAX(MIN(AK$15,'01_Input'!$AA$68)-'01_Input'!$Z$68,0)*'01_Input'!$AC$68))))))))))</f>
        <v/>
      </c>
      <c r="AL59" s="83" t="str">
        <f>IF(AL$15="","",IF('01_Input'!$C$68="Non",0,MIN('01_Input'!$I$68,MAX('01_Input'!$H$68,IF('01_Input'!$G$68="Résiduel vs Gestion",0,IF('01_Input'!$G$68="Taux Classe sélectionnée",Distrib_Global_Classe_Selectionnee*AL$15,IF('01_Input'!$G$68="Frais KYC (paliers de 100M€)",MAX(0,Nb_Investisseurs-Nb_KYC_Gratuites_Par_Tranche*(FLOOR(AL$15/Taille_Tranche_KYC,1)+1))*Cout_Par_KYC_Supplementaire,(IF('01_Input'!$L$68="Forfait",IF(AL$15&gt;='01_Input'!$J$68,'01_Input'!$M$68,0),IF('01_Input'!$L$68="Palier",IF(AND(AL$15&gt;='01_Input'!$J$68,AL$15&lt;'01_Input'!$K$68),'01_Input'!$M$68,0),MAX(MIN(AL$15,'01_Input'!$K$68)-'01_Input'!$J$68,0)*'01_Input'!$M$68))+IF('01_Input'!$P$68="Forfait",IF(AL$15&gt;='01_Input'!$N$68,'01_Input'!$Q$68,0),IF('01_Input'!$P$68="Palier",IF(AND(AL$15&gt;='01_Input'!$N$68,AL$15&lt;'01_Input'!$O$68),'01_Input'!$Q$68,0),MAX(MIN(AL$15,'01_Input'!$O$68)-'01_Input'!$N$68,0)*'01_Input'!$Q$68))+IF('01_Input'!$T$68="Forfait",IF(AL$15&gt;='01_Input'!$R$68,'01_Input'!$U$68,0),IF('01_Input'!$T$68="Palier",IF(AND(AL$15&gt;='01_Input'!$R$68,AL$15&lt;'01_Input'!$S$68),'01_Input'!$U$68,0),MAX(MIN(AL$15,'01_Input'!$S$68)-'01_Input'!$R$68,0)*'01_Input'!$U$68))+IF('01_Input'!$X$68="Forfait",IF(AL$15&gt;='01_Input'!$V$68,'01_Input'!$Y$68,0),IF('01_Input'!$X$68="Palier",IF(AND(AL$15&gt;='01_Input'!$V$68,AL$15&lt;'01_Input'!$W$68),'01_Input'!$Y$68,0),MAX(MIN(AL$15,'01_Input'!$W$68)-'01_Input'!$V$68,0)*'01_Input'!$Y$68))+IF('01_Input'!$AB$68="Forfait",IF(AL$15&gt;='01_Input'!$Z$68,'01_Input'!$AC$68,0),IF('01_Input'!$AB$68="Palier",IF(AND(AL$15&gt;='01_Input'!$Z$68,AL$15&lt;'01_Input'!$AA$68),'01_Input'!$AC$68,0),MAX(MIN(AL$15,'01_Input'!$AA$68)-'01_Input'!$Z$68,0)*'01_Input'!$AC$68))))))))))</f>
        <v/>
      </c>
      <c r="AM59" s="83" t="str">
        <f>IF(AM$15="","",IF('01_Input'!$C$68="Non",0,MIN('01_Input'!$I$68,MAX('01_Input'!$H$68,IF('01_Input'!$G$68="Résiduel vs Gestion",0,IF('01_Input'!$G$68="Taux Classe sélectionnée",Distrib_Global_Classe_Selectionnee*AM$15,IF('01_Input'!$G$68="Frais KYC (paliers de 100M€)",MAX(0,Nb_Investisseurs-Nb_KYC_Gratuites_Par_Tranche*(FLOOR(AM$15/Taille_Tranche_KYC,1)+1))*Cout_Par_KYC_Supplementaire,(IF('01_Input'!$L$68="Forfait",IF(AM$15&gt;='01_Input'!$J$68,'01_Input'!$M$68,0),IF('01_Input'!$L$68="Palier",IF(AND(AM$15&gt;='01_Input'!$J$68,AM$15&lt;'01_Input'!$K$68),'01_Input'!$M$68,0),MAX(MIN(AM$15,'01_Input'!$K$68)-'01_Input'!$J$68,0)*'01_Input'!$M$68))+IF('01_Input'!$P$68="Forfait",IF(AM$15&gt;='01_Input'!$N$68,'01_Input'!$Q$68,0),IF('01_Input'!$P$68="Palier",IF(AND(AM$15&gt;='01_Input'!$N$68,AM$15&lt;'01_Input'!$O$68),'01_Input'!$Q$68,0),MAX(MIN(AM$15,'01_Input'!$O$68)-'01_Input'!$N$68,0)*'01_Input'!$Q$68))+IF('01_Input'!$T$68="Forfait",IF(AM$15&gt;='01_Input'!$R$68,'01_Input'!$U$68,0),IF('01_Input'!$T$68="Palier",IF(AND(AM$15&gt;='01_Input'!$R$68,AM$15&lt;'01_Input'!$S$68),'01_Input'!$U$68,0),MAX(MIN(AM$15,'01_Input'!$S$68)-'01_Input'!$R$68,0)*'01_Input'!$U$68))+IF('01_Input'!$X$68="Forfait",IF(AM$15&gt;='01_Input'!$V$68,'01_Input'!$Y$68,0),IF('01_Input'!$X$68="Palier",IF(AND(AM$15&gt;='01_Input'!$V$68,AM$15&lt;'01_Input'!$W$68),'01_Input'!$Y$68,0),MAX(MIN(AM$15,'01_Input'!$W$68)-'01_Input'!$V$68,0)*'01_Input'!$Y$68))+IF('01_Input'!$AB$68="Forfait",IF(AM$15&gt;='01_Input'!$Z$68,'01_Input'!$AC$68,0),IF('01_Input'!$AB$68="Palier",IF(AND(AM$15&gt;='01_Input'!$Z$68,AM$15&lt;'01_Input'!$AA$68),'01_Input'!$AC$68,0),MAX(MIN(AM$15,'01_Input'!$AA$68)-'01_Input'!$Z$68,0)*'01_Input'!$AC$68))))))))))</f>
        <v/>
      </c>
    </row>
    <row r="60" ht="15.75" customHeight="1">
      <c r="B60" s="40" t="str">
        <f t="shared" si="1"/>
        <v>Reporting — Solvabilité II (optionnel)</v>
      </c>
      <c r="D60" s="25">
        <f>IF(D$15="","",IF('01_Input'!$C$69="Non",0,MIN('01_Input'!$I$69,MAX('01_Input'!$H$69,IF('01_Input'!$G$69="Résiduel vs Gestion",0,IF('01_Input'!$G$69="Taux Classe sélectionnée",Distrib_Global_Classe_Selectionnee*D$15,IF('01_Input'!$G$69="Frais KYC (paliers de 100M€)",MAX(0,Nb_Investisseurs-Nb_KYC_Gratuites_Par_Tranche*(FLOOR(D$15/Taille_Tranche_KYC,1)+1))*Cout_Par_KYC_Supplementaire,(IF('01_Input'!$L$69="Forfait",IF(D$15&gt;='01_Input'!$J$69,'01_Input'!$M$69,0),IF('01_Input'!$L$69="Palier",IF(AND(D$15&gt;='01_Input'!$J$69,D$15&lt;'01_Input'!$K$69),'01_Input'!$M$69,0),MAX(MIN(D$15,'01_Input'!$K$69)-'01_Input'!$J$69,0)*'01_Input'!$M$69))+IF('01_Input'!$P$69="Forfait",IF(D$15&gt;='01_Input'!$N$69,'01_Input'!$Q$69,0),IF('01_Input'!$P$69="Palier",IF(AND(D$15&gt;='01_Input'!$N$69,D$15&lt;'01_Input'!$O$69),'01_Input'!$Q$69,0),MAX(MIN(D$15,'01_Input'!$O$69)-'01_Input'!$N$69,0)*'01_Input'!$Q$69))+IF('01_Input'!$T$69="Forfait",IF(D$15&gt;='01_Input'!$R$69,'01_Input'!$U$69,0),IF('01_Input'!$T$69="Palier",IF(AND(D$15&gt;='01_Input'!$R$69,D$15&lt;'01_Input'!$S$69),'01_Input'!$U$69,0),MAX(MIN(D$15,'01_Input'!$S$69)-'01_Input'!$R$69,0)*'01_Input'!$U$69))+IF('01_Input'!$X$69="Forfait",IF(D$15&gt;='01_Input'!$V$69,'01_Input'!$Y$69,0),IF('01_Input'!$X$69="Palier",IF(AND(D$15&gt;='01_Input'!$V$69,D$15&lt;'01_Input'!$W$69),'01_Input'!$Y$69,0),MAX(MIN(D$15,'01_Input'!$W$69)-'01_Input'!$V$69,0)*'01_Input'!$Y$69))+IF('01_Input'!$AB$69="Forfait",IF(D$15&gt;='01_Input'!$Z$69,'01_Input'!$AC$69,0),IF('01_Input'!$AB$69="Palier",IF(AND(D$15&gt;='01_Input'!$Z$69,D$15&lt;'01_Input'!$AA$69),'01_Input'!$AC$69,0),MAX(MIN(D$15,'01_Input'!$AA$69)-'01_Input'!$Z$69,0)*'01_Input'!$AC$69))))))))))</f>
        <v>0</v>
      </c>
      <c r="E60" s="25">
        <f>IF(E$15="","",IF('01_Input'!$C$69="Non",0,MIN('01_Input'!$I$69,MAX('01_Input'!$H$69,IF('01_Input'!$G$69="Résiduel vs Gestion",0,IF('01_Input'!$G$69="Taux Classe sélectionnée",Distrib_Global_Classe_Selectionnee*E$15,IF('01_Input'!$G$69="Frais KYC (paliers de 100M€)",MAX(0,Nb_Investisseurs-Nb_KYC_Gratuites_Par_Tranche*(FLOOR(E$15/Taille_Tranche_KYC,1)+1))*Cout_Par_KYC_Supplementaire,(IF('01_Input'!$L$69="Forfait",IF(E$15&gt;='01_Input'!$J$69,'01_Input'!$M$69,0),IF('01_Input'!$L$69="Palier",IF(AND(E$15&gt;='01_Input'!$J$69,E$15&lt;'01_Input'!$K$69),'01_Input'!$M$69,0),MAX(MIN(E$15,'01_Input'!$K$69)-'01_Input'!$J$69,0)*'01_Input'!$M$69))+IF('01_Input'!$P$69="Forfait",IF(E$15&gt;='01_Input'!$N$69,'01_Input'!$Q$69,0),IF('01_Input'!$P$69="Palier",IF(AND(E$15&gt;='01_Input'!$N$69,E$15&lt;'01_Input'!$O$69),'01_Input'!$Q$69,0),MAX(MIN(E$15,'01_Input'!$O$69)-'01_Input'!$N$69,0)*'01_Input'!$Q$69))+IF('01_Input'!$T$69="Forfait",IF(E$15&gt;='01_Input'!$R$69,'01_Input'!$U$69,0),IF('01_Input'!$T$69="Palier",IF(AND(E$15&gt;='01_Input'!$R$69,E$15&lt;'01_Input'!$S$69),'01_Input'!$U$69,0),MAX(MIN(E$15,'01_Input'!$S$69)-'01_Input'!$R$69,0)*'01_Input'!$U$69))+IF('01_Input'!$X$69="Forfait",IF(E$15&gt;='01_Input'!$V$69,'01_Input'!$Y$69,0),IF('01_Input'!$X$69="Palier",IF(AND(E$15&gt;='01_Input'!$V$69,E$15&lt;'01_Input'!$W$69),'01_Input'!$Y$69,0),MAX(MIN(E$15,'01_Input'!$W$69)-'01_Input'!$V$69,0)*'01_Input'!$Y$69))+IF('01_Input'!$AB$69="Forfait",IF(E$15&gt;='01_Input'!$Z$69,'01_Input'!$AC$69,0),IF('01_Input'!$AB$69="Palier",IF(AND(E$15&gt;='01_Input'!$Z$69,E$15&lt;'01_Input'!$AA$69),'01_Input'!$AC$69,0),MAX(MIN(E$15,'01_Input'!$AA$69)-'01_Input'!$Z$69,0)*'01_Input'!$AC$69))))))))))</f>
        <v>0</v>
      </c>
      <c r="F60" s="25" t="str">
        <f>IF(F$15="","",IF('01_Input'!$C$69="Non",0,MIN('01_Input'!$I$69,MAX('01_Input'!$H$69,IF('01_Input'!$G$69="Résiduel vs Gestion",0,IF('01_Input'!$G$69="Taux Classe sélectionnée",Distrib_Global_Classe_Selectionnee*F$15,IF('01_Input'!$G$69="Frais KYC (paliers de 100M€)",MAX(0,Nb_Investisseurs-Nb_KYC_Gratuites_Par_Tranche*(FLOOR(F$15/Taille_Tranche_KYC,1)+1))*Cout_Par_KYC_Supplementaire,(IF('01_Input'!$L$69="Forfait",IF(F$15&gt;='01_Input'!$J$69,'01_Input'!$M$69,0),IF('01_Input'!$L$69="Palier",IF(AND(F$15&gt;='01_Input'!$J$69,F$15&lt;'01_Input'!$K$69),'01_Input'!$M$69,0),MAX(MIN(F$15,'01_Input'!$K$69)-'01_Input'!$J$69,0)*'01_Input'!$M$69))+IF('01_Input'!$P$69="Forfait",IF(F$15&gt;='01_Input'!$N$69,'01_Input'!$Q$69,0),IF('01_Input'!$P$69="Palier",IF(AND(F$15&gt;='01_Input'!$N$69,F$15&lt;'01_Input'!$O$69),'01_Input'!$Q$69,0),MAX(MIN(F$15,'01_Input'!$O$69)-'01_Input'!$N$69,0)*'01_Input'!$Q$69))+IF('01_Input'!$T$69="Forfait",IF(F$15&gt;='01_Input'!$R$69,'01_Input'!$U$69,0),IF('01_Input'!$T$69="Palier",IF(AND(F$15&gt;='01_Input'!$R$69,F$15&lt;'01_Input'!$S$69),'01_Input'!$U$69,0),MAX(MIN(F$15,'01_Input'!$S$69)-'01_Input'!$R$69,0)*'01_Input'!$U$69))+IF('01_Input'!$X$69="Forfait",IF(F$15&gt;='01_Input'!$V$69,'01_Input'!$Y$69,0),IF('01_Input'!$X$69="Palier",IF(AND(F$15&gt;='01_Input'!$V$69,F$15&lt;'01_Input'!$W$69),'01_Input'!$Y$69,0),MAX(MIN(F$15,'01_Input'!$W$69)-'01_Input'!$V$69,0)*'01_Input'!$Y$69))+IF('01_Input'!$AB$69="Forfait",IF(F$15&gt;='01_Input'!$Z$69,'01_Input'!$AC$69,0),IF('01_Input'!$AB$69="Palier",IF(AND(F$15&gt;='01_Input'!$Z$69,F$15&lt;'01_Input'!$AA$69),'01_Input'!$AC$69,0),MAX(MIN(F$15,'01_Input'!$AA$69)-'01_Input'!$Z$69,0)*'01_Input'!$AC$69))))))))))</f>
        <v/>
      </c>
      <c r="G60" s="25" t="str">
        <f>IF(G$15="","",IF('01_Input'!$C$69="Non",0,MIN('01_Input'!$I$69,MAX('01_Input'!$H$69,IF('01_Input'!$G$69="Résiduel vs Gestion",0,IF('01_Input'!$G$69="Taux Classe sélectionnée",Distrib_Global_Classe_Selectionnee*G$15,IF('01_Input'!$G$69="Frais KYC (paliers de 100M€)",MAX(0,Nb_Investisseurs-Nb_KYC_Gratuites_Par_Tranche*(FLOOR(G$15/Taille_Tranche_KYC,1)+1))*Cout_Par_KYC_Supplementaire,(IF('01_Input'!$L$69="Forfait",IF(G$15&gt;='01_Input'!$J$69,'01_Input'!$M$69,0),IF('01_Input'!$L$69="Palier",IF(AND(G$15&gt;='01_Input'!$J$69,G$15&lt;'01_Input'!$K$69),'01_Input'!$M$69,0),MAX(MIN(G$15,'01_Input'!$K$69)-'01_Input'!$J$69,0)*'01_Input'!$M$69))+IF('01_Input'!$P$69="Forfait",IF(G$15&gt;='01_Input'!$N$69,'01_Input'!$Q$69,0),IF('01_Input'!$P$69="Palier",IF(AND(G$15&gt;='01_Input'!$N$69,G$15&lt;'01_Input'!$O$69),'01_Input'!$Q$69,0),MAX(MIN(G$15,'01_Input'!$O$69)-'01_Input'!$N$69,0)*'01_Input'!$Q$69))+IF('01_Input'!$T$69="Forfait",IF(G$15&gt;='01_Input'!$R$69,'01_Input'!$U$69,0),IF('01_Input'!$T$69="Palier",IF(AND(G$15&gt;='01_Input'!$R$69,G$15&lt;'01_Input'!$S$69),'01_Input'!$U$69,0),MAX(MIN(G$15,'01_Input'!$S$69)-'01_Input'!$R$69,0)*'01_Input'!$U$69))+IF('01_Input'!$X$69="Forfait",IF(G$15&gt;='01_Input'!$V$69,'01_Input'!$Y$69,0),IF('01_Input'!$X$69="Palier",IF(AND(G$15&gt;='01_Input'!$V$69,G$15&lt;'01_Input'!$W$69),'01_Input'!$Y$69,0),MAX(MIN(G$15,'01_Input'!$W$69)-'01_Input'!$V$69,0)*'01_Input'!$Y$69))+IF('01_Input'!$AB$69="Forfait",IF(G$15&gt;='01_Input'!$Z$69,'01_Input'!$AC$69,0),IF('01_Input'!$AB$69="Palier",IF(AND(G$15&gt;='01_Input'!$Z$69,G$15&lt;'01_Input'!$AA$69),'01_Input'!$AC$69,0),MAX(MIN(G$15,'01_Input'!$AA$69)-'01_Input'!$Z$69,0)*'01_Input'!$AC$69))))))))))</f>
        <v/>
      </c>
      <c r="H60" s="25" t="str">
        <f>IF(H$15="","",IF('01_Input'!$C$69="Non",0,MIN('01_Input'!$I$69,MAX('01_Input'!$H$69,IF('01_Input'!$G$69="Résiduel vs Gestion",0,IF('01_Input'!$G$69="Taux Classe sélectionnée",Distrib_Global_Classe_Selectionnee*H$15,IF('01_Input'!$G$69="Frais KYC (paliers de 100M€)",MAX(0,Nb_Investisseurs-Nb_KYC_Gratuites_Par_Tranche*(FLOOR(H$15/Taille_Tranche_KYC,1)+1))*Cout_Par_KYC_Supplementaire,(IF('01_Input'!$L$69="Forfait",IF(H$15&gt;='01_Input'!$J$69,'01_Input'!$M$69,0),IF('01_Input'!$L$69="Palier",IF(AND(H$15&gt;='01_Input'!$J$69,H$15&lt;'01_Input'!$K$69),'01_Input'!$M$69,0),MAX(MIN(H$15,'01_Input'!$K$69)-'01_Input'!$J$69,0)*'01_Input'!$M$69))+IF('01_Input'!$P$69="Forfait",IF(H$15&gt;='01_Input'!$N$69,'01_Input'!$Q$69,0),IF('01_Input'!$P$69="Palier",IF(AND(H$15&gt;='01_Input'!$N$69,H$15&lt;'01_Input'!$O$69),'01_Input'!$Q$69,0),MAX(MIN(H$15,'01_Input'!$O$69)-'01_Input'!$N$69,0)*'01_Input'!$Q$69))+IF('01_Input'!$T$69="Forfait",IF(H$15&gt;='01_Input'!$R$69,'01_Input'!$U$69,0),IF('01_Input'!$T$69="Palier",IF(AND(H$15&gt;='01_Input'!$R$69,H$15&lt;'01_Input'!$S$69),'01_Input'!$U$69,0),MAX(MIN(H$15,'01_Input'!$S$69)-'01_Input'!$R$69,0)*'01_Input'!$U$69))+IF('01_Input'!$X$69="Forfait",IF(H$15&gt;='01_Input'!$V$69,'01_Input'!$Y$69,0),IF('01_Input'!$X$69="Palier",IF(AND(H$15&gt;='01_Input'!$V$69,H$15&lt;'01_Input'!$W$69),'01_Input'!$Y$69,0),MAX(MIN(H$15,'01_Input'!$W$69)-'01_Input'!$V$69,0)*'01_Input'!$Y$69))+IF('01_Input'!$AB$69="Forfait",IF(H$15&gt;='01_Input'!$Z$69,'01_Input'!$AC$69,0),IF('01_Input'!$AB$69="Palier",IF(AND(H$15&gt;='01_Input'!$Z$69,H$15&lt;'01_Input'!$AA$69),'01_Input'!$AC$69,0),MAX(MIN(H$15,'01_Input'!$AA$69)-'01_Input'!$Z$69,0)*'01_Input'!$AC$69))))))))))</f>
        <v/>
      </c>
      <c r="I60" s="25" t="str">
        <f>IF(I$15="","",IF('01_Input'!$C$69="Non",0,MIN('01_Input'!$I$69,MAX('01_Input'!$H$69,IF('01_Input'!$G$69="Résiduel vs Gestion",0,IF('01_Input'!$G$69="Taux Classe sélectionnée",Distrib_Global_Classe_Selectionnee*I$15,IF('01_Input'!$G$69="Frais KYC (paliers de 100M€)",MAX(0,Nb_Investisseurs-Nb_KYC_Gratuites_Par_Tranche*(FLOOR(I$15/Taille_Tranche_KYC,1)+1))*Cout_Par_KYC_Supplementaire,(IF('01_Input'!$L$69="Forfait",IF(I$15&gt;='01_Input'!$J$69,'01_Input'!$M$69,0),IF('01_Input'!$L$69="Palier",IF(AND(I$15&gt;='01_Input'!$J$69,I$15&lt;'01_Input'!$K$69),'01_Input'!$M$69,0),MAX(MIN(I$15,'01_Input'!$K$69)-'01_Input'!$J$69,0)*'01_Input'!$M$69))+IF('01_Input'!$P$69="Forfait",IF(I$15&gt;='01_Input'!$N$69,'01_Input'!$Q$69,0),IF('01_Input'!$P$69="Palier",IF(AND(I$15&gt;='01_Input'!$N$69,I$15&lt;'01_Input'!$O$69),'01_Input'!$Q$69,0),MAX(MIN(I$15,'01_Input'!$O$69)-'01_Input'!$N$69,0)*'01_Input'!$Q$69))+IF('01_Input'!$T$69="Forfait",IF(I$15&gt;='01_Input'!$R$69,'01_Input'!$U$69,0),IF('01_Input'!$T$69="Palier",IF(AND(I$15&gt;='01_Input'!$R$69,I$15&lt;'01_Input'!$S$69),'01_Input'!$U$69,0),MAX(MIN(I$15,'01_Input'!$S$69)-'01_Input'!$R$69,0)*'01_Input'!$U$69))+IF('01_Input'!$X$69="Forfait",IF(I$15&gt;='01_Input'!$V$69,'01_Input'!$Y$69,0),IF('01_Input'!$X$69="Palier",IF(AND(I$15&gt;='01_Input'!$V$69,I$15&lt;'01_Input'!$W$69),'01_Input'!$Y$69,0),MAX(MIN(I$15,'01_Input'!$W$69)-'01_Input'!$V$69,0)*'01_Input'!$Y$69))+IF('01_Input'!$AB$69="Forfait",IF(I$15&gt;='01_Input'!$Z$69,'01_Input'!$AC$69,0),IF('01_Input'!$AB$69="Palier",IF(AND(I$15&gt;='01_Input'!$Z$69,I$15&lt;'01_Input'!$AA$69),'01_Input'!$AC$69,0),MAX(MIN(I$15,'01_Input'!$AA$69)-'01_Input'!$Z$69,0)*'01_Input'!$AC$69))))))))))</f>
        <v/>
      </c>
      <c r="J60" s="25" t="str">
        <f>IF(J$15="","",IF('01_Input'!$C$69="Non",0,MIN('01_Input'!$I$69,MAX('01_Input'!$H$69,IF('01_Input'!$G$69="Résiduel vs Gestion",0,IF('01_Input'!$G$69="Taux Classe sélectionnée",Distrib_Global_Classe_Selectionnee*J$15,IF('01_Input'!$G$69="Frais KYC (paliers de 100M€)",MAX(0,Nb_Investisseurs-Nb_KYC_Gratuites_Par_Tranche*(FLOOR(J$15/Taille_Tranche_KYC,1)+1))*Cout_Par_KYC_Supplementaire,(IF('01_Input'!$L$69="Forfait",IF(J$15&gt;='01_Input'!$J$69,'01_Input'!$M$69,0),IF('01_Input'!$L$69="Palier",IF(AND(J$15&gt;='01_Input'!$J$69,J$15&lt;'01_Input'!$K$69),'01_Input'!$M$69,0),MAX(MIN(J$15,'01_Input'!$K$69)-'01_Input'!$J$69,0)*'01_Input'!$M$69))+IF('01_Input'!$P$69="Forfait",IF(J$15&gt;='01_Input'!$N$69,'01_Input'!$Q$69,0),IF('01_Input'!$P$69="Palier",IF(AND(J$15&gt;='01_Input'!$N$69,J$15&lt;'01_Input'!$O$69),'01_Input'!$Q$69,0),MAX(MIN(J$15,'01_Input'!$O$69)-'01_Input'!$N$69,0)*'01_Input'!$Q$69))+IF('01_Input'!$T$69="Forfait",IF(J$15&gt;='01_Input'!$R$69,'01_Input'!$U$69,0),IF('01_Input'!$T$69="Palier",IF(AND(J$15&gt;='01_Input'!$R$69,J$15&lt;'01_Input'!$S$69),'01_Input'!$U$69,0),MAX(MIN(J$15,'01_Input'!$S$69)-'01_Input'!$R$69,0)*'01_Input'!$U$69))+IF('01_Input'!$X$69="Forfait",IF(J$15&gt;='01_Input'!$V$69,'01_Input'!$Y$69,0),IF('01_Input'!$X$69="Palier",IF(AND(J$15&gt;='01_Input'!$V$69,J$15&lt;'01_Input'!$W$69),'01_Input'!$Y$69,0),MAX(MIN(J$15,'01_Input'!$W$69)-'01_Input'!$V$69,0)*'01_Input'!$Y$69))+IF('01_Input'!$AB$69="Forfait",IF(J$15&gt;='01_Input'!$Z$69,'01_Input'!$AC$69,0),IF('01_Input'!$AB$69="Palier",IF(AND(J$15&gt;='01_Input'!$Z$69,J$15&lt;'01_Input'!$AA$69),'01_Input'!$AC$69,0),MAX(MIN(J$15,'01_Input'!$AA$69)-'01_Input'!$Z$69,0)*'01_Input'!$AC$69))))))))))</f>
        <v/>
      </c>
      <c r="K60" s="25" t="str">
        <f>IF(K$15="","",IF('01_Input'!$C$69="Non",0,MIN('01_Input'!$I$69,MAX('01_Input'!$H$69,IF('01_Input'!$G$69="Résiduel vs Gestion",0,IF('01_Input'!$G$69="Taux Classe sélectionnée",Distrib_Global_Classe_Selectionnee*K$15,IF('01_Input'!$G$69="Frais KYC (paliers de 100M€)",MAX(0,Nb_Investisseurs-Nb_KYC_Gratuites_Par_Tranche*(FLOOR(K$15/Taille_Tranche_KYC,1)+1))*Cout_Par_KYC_Supplementaire,(IF('01_Input'!$L$69="Forfait",IF(K$15&gt;='01_Input'!$J$69,'01_Input'!$M$69,0),IF('01_Input'!$L$69="Palier",IF(AND(K$15&gt;='01_Input'!$J$69,K$15&lt;'01_Input'!$K$69),'01_Input'!$M$69,0),MAX(MIN(K$15,'01_Input'!$K$69)-'01_Input'!$J$69,0)*'01_Input'!$M$69))+IF('01_Input'!$P$69="Forfait",IF(K$15&gt;='01_Input'!$N$69,'01_Input'!$Q$69,0),IF('01_Input'!$P$69="Palier",IF(AND(K$15&gt;='01_Input'!$N$69,K$15&lt;'01_Input'!$O$69),'01_Input'!$Q$69,0),MAX(MIN(K$15,'01_Input'!$O$69)-'01_Input'!$N$69,0)*'01_Input'!$Q$69))+IF('01_Input'!$T$69="Forfait",IF(K$15&gt;='01_Input'!$R$69,'01_Input'!$U$69,0),IF('01_Input'!$T$69="Palier",IF(AND(K$15&gt;='01_Input'!$R$69,K$15&lt;'01_Input'!$S$69),'01_Input'!$U$69,0),MAX(MIN(K$15,'01_Input'!$S$69)-'01_Input'!$R$69,0)*'01_Input'!$U$69))+IF('01_Input'!$X$69="Forfait",IF(K$15&gt;='01_Input'!$V$69,'01_Input'!$Y$69,0),IF('01_Input'!$X$69="Palier",IF(AND(K$15&gt;='01_Input'!$V$69,K$15&lt;'01_Input'!$W$69),'01_Input'!$Y$69,0),MAX(MIN(K$15,'01_Input'!$W$69)-'01_Input'!$V$69,0)*'01_Input'!$Y$69))+IF('01_Input'!$AB$69="Forfait",IF(K$15&gt;='01_Input'!$Z$69,'01_Input'!$AC$69,0),IF('01_Input'!$AB$69="Palier",IF(AND(K$15&gt;='01_Input'!$Z$69,K$15&lt;'01_Input'!$AA$69),'01_Input'!$AC$69,0),MAX(MIN(K$15,'01_Input'!$AA$69)-'01_Input'!$Z$69,0)*'01_Input'!$AC$69))))))))))</f>
        <v/>
      </c>
      <c r="L60" s="25" t="str">
        <f>IF(L$15="","",IF('01_Input'!$C$69="Non",0,MIN('01_Input'!$I$69,MAX('01_Input'!$H$69,IF('01_Input'!$G$69="Résiduel vs Gestion",0,IF('01_Input'!$G$69="Taux Classe sélectionnée",Distrib_Global_Classe_Selectionnee*L$15,IF('01_Input'!$G$69="Frais KYC (paliers de 100M€)",MAX(0,Nb_Investisseurs-Nb_KYC_Gratuites_Par_Tranche*(FLOOR(L$15/Taille_Tranche_KYC,1)+1))*Cout_Par_KYC_Supplementaire,(IF('01_Input'!$L$69="Forfait",IF(L$15&gt;='01_Input'!$J$69,'01_Input'!$M$69,0),IF('01_Input'!$L$69="Palier",IF(AND(L$15&gt;='01_Input'!$J$69,L$15&lt;'01_Input'!$K$69),'01_Input'!$M$69,0),MAX(MIN(L$15,'01_Input'!$K$69)-'01_Input'!$J$69,0)*'01_Input'!$M$69))+IF('01_Input'!$P$69="Forfait",IF(L$15&gt;='01_Input'!$N$69,'01_Input'!$Q$69,0),IF('01_Input'!$P$69="Palier",IF(AND(L$15&gt;='01_Input'!$N$69,L$15&lt;'01_Input'!$O$69),'01_Input'!$Q$69,0),MAX(MIN(L$15,'01_Input'!$O$69)-'01_Input'!$N$69,0)*'01_Input'!$Q$69))+IF('01_Input'!$T$69="Forfait",IF(L$15&gt;='01_Input'!$R$69,'01_Input'!$U$69,0),IF('01_Input'!$T$69="Palier",IF(AND(L$15&gt;='01_Input'!$R$69,L$15&lt;'01_Input'!$S$69),'01_Input'!$U$69,0),MAX(MIN(L$15,'01_Input'!$S$69)-'01_Input'!$R$69,0)*'01_Input'!$U$69))+IF('01_Input'!$X$69="Forfait",IF(L$15&gt;='01_Input'!$V$69,'01_Input'!$Y$69,0),IF('01_Input'!$X$69="Palier",IF(AND(L$15&gt;='01_Input'!$V$69,L$15&lt;'01_Input'!$W$69),'01_Input'!$Y$69,0),MAX(MIN(L$15,'01_Input'!$W$69)-'01_Input'!$V$69,0)*'01_Input'!$Y$69))+IF('01_Input'!$AB$69="Forfait",IF(L$15&gt;='01_Input'!$Z$69,'01_Input'!$AC$69,0),IF('01_Input'!$AB$69="Palier",IF(AND(L$15&gt;='01_Input'!$Z$69,L$15&lt;'01_Input'!$AA$69),'01_Input'!$AC$69,0),MAX(MIN(L$15,'01_Input'!$AA$69)-'01_Input'!$Z$69,0)*'01_Input'!$AC$69))))))))))</f>
        <v/>
      </c>
      <c r="M60" s="25" t="str">
        <f>IF(M$15="","",IF('01_Input'!$C$69="Non",0,MIN('01_Input'!$I$69,MAX('01_Input'!$H$69,IF('01_Input'!$G$69="Résiduel vs Gestion",0,IF('01_Input'!$G$69="Taux Classe sélectionnée",Distrib_Global_Classe_Selectionnee*M$15,IF('01_Input'!$G$69="Frais KYC (paliers de 100M€)",MAX(0,Nb_Investisseurs-Nb_KYC_Gratuites_Par_Tranche*(FLOOR(M$15/Taille_Tranche_KYC,1)+1))*Cout_Par_KYC_Supplementaire,(IF('01_Input'!$L$69="Forfait",IF(M$15&gt;='01_Input'!$J$69,'01_Input'!$M$69,0),IF('01_Input'!$L$69="Palier",IF(AND(M$15&gt;='01_Input'!$J$69,M$15&lt;'01_Input'!$K$69),'01_Input'!$M$69,0),MAX(MIN(M$15,'01_Input'!$K$69)-'01_Input'!$J$69,0)*'01_Input'!$M$69))+IF('01_Input'!$P$69="Forfait",IF(M$15&gt;='01_Input'!$N$69,'01_Input'!$Q$69,0),IF('01_Input'!$P$69="Palier",IF(AND(M$15&gt;='01_Input'!$N$69,M$15&lt;'01_Input'!$O$69),'01_Input'!$Q$69,0),MAX(MIN(M$15,'01_Input'!$O$69)-'01_Input'!$N$69,0)*'01_Input'!$Q$69))+IF('01_Input'!$T$69="Forfait",IF(M$15&gt;='01_Input'!$R$69,'01_Input'!$U$69,0),IF('01_Input'!$T$69="Palier",IF(AND(M$15&gt;='01_Input'!$R$69,M$15&lt;'01_Input'!$S$69),'01_Input'!$U$69,0),MAX(MIN(M$15,'01_Input'!$S$69)-'01_Input'!$R$69,0)*'01_Input'!$U$69))+IF('01_Input'!$X$69="Forfait",IF(M$15&gt;='01_Input'!$V$69,'01_Input'!$Y$69,0),IF('01_Input'!$X$69="Palier",IF(AND(M$15&gt;='01_Input'!$V$69,M$15&lt;'01_Input'!$W$69),'01_Input'!$Y$69,0),MAX(MIN(M$15,'01_Input'!$W$69)-'01_Input'!$V$69,0)*'01_Input'!$Y$69))+IF('01_Input'!$AB$69="Forfait",IF(M$15&gt;='01_Input'!$Z$69,'01_Input'!$AC$69,0),IF('01_Input'!$AB$69="Palier",IF(AND(M$15&gt;='01_Input'!$Z$69,M$15&lt;'01_Input'!$AA$69),'01_Input'!$AC$69,0),MAX(MIN(M$15,'01_Input'!$AA$69)-'01_Input'!$Z$69,0)*'01_Input'!$AC$69))))))))))</f>
        <v/>
      </c>
      <c r="N60" s="25" t="str">
        <f>IF(N$15="","",IF('01_Input'!$C$69="Non",0,MIN('01_Input'!$I$69,MAX('01_Input'!$H$69,IF('01_Input'!$G$69="Résiduel vs Gestion",0,IF('01_Input'!$G$69="Taux Classe sélectionnée",Distrib_Global_Classe_Selectionnee*N$15,IF('01_Input'!$G$69="Frais KYC (paliers de 100M€)",MAX(0,Nb_Investisseurs-Nb_KYC_Gratuites_Par_Tranche*(FLOOR(N$15/Taille_Tranche_KYC,1)+1))*Cout_Par_KYC_Supplementaire,(IF('01_Input'!$L$69="Forfait",IF(N$15&gt;='01_Input'!$J$69,'01_Input'!$M$69,0),IF('01_Input'!$L$69="Palier",IF(AND(N$15&gt;='01_Input'!$J$69,N$15&lt;'01_Input'!$K$69),'01_Input'!$M$69,0),MAX(MIN(N$15,'01_Input'!$K$69)-'01_Input'!$J$69,0)*'01_Input'!$M$69))+IF('01_Input'!$P$69="Forfait",IF(N$15&gt;='01_Input'!$N$69,'01_Input'!$Q$69,0),IF('01_Input'!$P$69="Palier",IF(AND(N$15&gt;='01_Input'!$N$69,N$15&lt;'01_Input'!$O$69),'01_Input'!$Q$69,0),MAX(MIN(N$15,'01_Input'!$O$69)-'01_Input'!$N$69,0)*'01_Input'!$Q$69))+IF('01_Input'!$T$69="Forfait",IF(N$15&gt;='01_Input'!$R$69,'01_Input'!$U$69,0),IF('01_Input'!$T$69="Palier",IF(AND(N$15&gt;='01_Input'!$R$69,N$15&lt;'01_Input'!$S$69),'01_Input'!$U$69,0),MAX(MIN(N$15,'01_Input'!$S$69)-'01_Input'!$R$69,0)*'01_Input'!$U$69))+IF('01_Input'!$X$69="Forfait",IF(N$15&gt;='01_Input'!$V$69,'01_Input'!$Y$69,0),IF('01_Input'!$X$69="Palier",IF(AND(N$15&gt;='01_Input'!$V$69,N$15&lt;'01_Input'!$W$69),'01_Input'!$Y$69,0),MAX(MIN(N$15,'01_Input'!$W$69)-'01_Input'!$V$69,0)*'01_Input'!$Y$69))+IF('01_Input'!$AB$69="Forfait",IF(N$15&gt;='01_Input'!$Z$69,'01_Input'!$AC$69,0),IF('01_Input'!$AB$69="Palier",IF(AND(N$15&gt;='01_Input'!$Z$69,N$15&lt;'01_Input'!$AA$69),'01_Input'!$AC$69,0),MAX(MIN(N$15,'01_Input'!$AA$69)-'01_Input'!$Z$69,0)*'01_Input'!$AC$69))))))))))</f>
        <v/>
      </c>
      <c r="O60" s="25" t="str">
        <f>IF(O$15="","",IF('01_Input'!$C$69="Non",0,MIN('01_Input'!$I$69,MAX('01_Input'!$H$69,IF('01_Input'!$G$69="Résiduel vs Gestion",0,IF('01_Input'!$G$69="Taux Classe sélectionnée",Distrib_Global_Classe_Selectionnee*O$15,IF('01_Input'!$G$69="Frais KYC (paliers de 100M€)",MAX(0,Nb_Investisseurs-Nb_KYC_Gratuites_Par_Tranche*(FLOOR(O$15/Taille_Tranche_KYC,1)+1))*Cout_Par_KYC_Supplementaire,(IF('01_Input'!$L$69="Forfait",IF(O$15&gt;='01_Input'!$J$69,'01_Input'!$M$69,0),IF('01_Input'!$L$69="Palier",IF(AND(O$15&gt;='01_Input'!$J$69,O$15&lt;'01_Input'!$K$69),'01_Input'!$M$69,0),MAX(MIN(O$15,'01_Input'!$K$69)-'01_Input'!$J$69,0)*'01_Input'!$M$69))+IF('01_Input'!$P$69="Forfait",IF(O$15&gt;='01_Input'!$N$69,'01_Input'!$Q$69,0),IF('01_Input'!$P$69="Palier",IF(AND(O$15&gt;='01_Input'!$N$69,O$15&lt;'01_Input'!$O$69),'01_Input'!$Q$69,0),MAX(MIN(O$15,'01_Input'!$O$69)-'01_Input'!$N$69,0)*'01_Input'!$Q$69))+IF('01_Input'!$T$69="Forfait",IF(O$15&gt;='01_Input'!$R$69,'01_Input'!$U$69,0),IF('01_Input'!$T$69="Palier",IF(AND(O$15&gt;='01_Input'!$R$69,O$15&lt;'01_Input'!$S$69),'01_Input'!$U$69,0),MAX(MIN(O$15,'01_Input'!$S$69)-'01_Input'!$R$69,0)*'01_Input'!$U$69))+IF('01_Input'!$X$69="Forfait",IF(O$15&gt;='01_Input'!$V$69,'01_Input'!$Y$69,0),IF('01_Input'!$X$69="Palier",IF(AND(O$15&gt;='01_Input'!$V$69,O$15&lt;'01_Input'!$W$69),'01_Input'!$Y$69,0),MAX(MIN(O$15,'01_Input'!$W$69)-'01_Input'!$V$69,0)*'01_Input'!$Y$69))+IF('01_Input'!$AB$69="Forfait",IF(O$15&gt;='01_Input'!$Z$69,'01_Input'!$AC$69,0),IF('01_Input'!$AB$69="Palier",IF(AND(O$15&gt;='01_Input'!$Z$69,O$15&lt;'01_Input'!$AA$69),'01_Input'!$AC$69,0),MAX(MIN(O$15,'01_Input'!$AA$69)-'01_Input'!$Z$69,0)*'01_Input'!$AC$69))))))))))</f>
        <v/>
      </c>
      <c r="P60" s="25" t="str">
        <f>IF(P$15="","",IF('01_Input'!$C$69="Non",0,MIN('01_Input'!$I$69,MAX('01_Input'!$H$69,IF('01_Input'!$G$69="Résiduel vs Gestion",0,IF('01_Input'!$G$69="Taux Classe sélectionnée",Distrib_Global_Classe_Selectionnee*P$15,IF('01_Input'!$G$69="Frais KYC (paliers de 100M€)",MAX(0,Nb_Investisseurs-Nb_KYC_Gratuites_Par_Tranche*(FLOOR(P$15/Taille_Tranche_KYC,1)+1))*Cout_Par_KYC_Supplementaire,(IF('01_Input'!$L$69="Forfait",IF(P$15&gt;='01_Input'!$J$69,'01_Input'!$M$69,0),IF('01_Input'!$L$69="Palier",IF(AND(P$15&gt;='01_Input'!$J$69,P$15&lt;'01_Input'!$K$69),'01_Input'!$M$69,0),MAX(MIN(P$15,'01_Input'!$K$69)-'01_Input'!$J$69,0)*'01_Input'!$M$69))+IF('01_Input'!$P$69="Forfait",IF(P$15&gt;='01_Input'!$N$69,'01_Input'!$Q$69,0),IF('01_Input'!$P$69="Palier",IF(AND(P$15&gt;='01_Input'!$N$69,P$15&lt;'01_Input'!$O$69),'01_Input'!$Q$69,0),MAX(MIN(P$15,'01_Input'!$O$69)-'01_Input'!$N$69,0)*'01_Input'!$Q$69))+IF('01_Input'!$T$69="Forfait",IF(P$15&gt;='01_Input'!$R$69,'01_Input'!$U$69,0),IF('01_Input'!$T$69="Palier",IF(AND(P$15&gt;='01_Input'!$R$69,P$15&lt;'01_Input'!$S$69),'01_Input'!$U$69,0),MAX(MIN(P$15,'01_Input'!$S$69)-'01_Input'!$R$69,0)*'01_Input'!$U$69))+IF('01_Input'!$X$69="Forfait",IF(P$15&gt;='01_Input'!$V$69,'01_Input'!$Y$69,0),IF('01_Input'!$X$69="Palier",IF(AND(P$15&gt;='01_Input'!$V$69,P$15&lt;'01_Input'!$W$69),'01_Input'!$Y$69,0),MAX(MIN(P$15,'01_Input'!$W$69)-'01_Input'!$V$69,0)*'01_Input'!$Y$69))+IF('01_Input'!$AB$69="Forfait",IF(P$15&gt;='01_Input'!$Z$69,'01_Input'!$AC$69,0),IF('01_Input'!$AB$69="Palier",IF(AND(P$15&gt;='01_Input'!$Z$69,P$15&lt;'01_Input'!$AA$69),'01_Input'!$AC$69,0),MAX(MIN(P$15,'01_Input'!$AA$69)-'01_Input'!$Z$69,0)*'01_Input'!$AC$69))))))))))</f>
        <v/>
      </c>
      <c r="Q60" s="25" t="str">
        <f>IF(Q$15="","",IF('01_Input'!$C$69="Non",0,MIN('01_Input'!$I$69,MAX('01_Input'!$H$69,IF('01_Input'!$G$69="Résiduel vs Gestion",0,IF('01_Input'!$G$69="Taux Classe sélectionnée",Distrib_Global_Classe_Selectionnee*Q$15,IF('01_Input'!$G$69="Frais KYC (paliers de 100M€)",MAX(0,Nb_Investisseurs-Nb_KYC_Gratuites_Par_Tranche*(FLOOR(Q$15/Taille_Tranche_KYC,1)+1))*Cout_Par_KYC_Supplementaire,(IF('01_Input'!$L$69="Forfait",IF(Q$15&gt;='01_Input'!$J$69,'01_Input'!$M$69,0),IF('01_Input'!$L$69="Palier",IF(AND(Q$15&gt;='01_Input'!$J$69,Q$15&lt;'01_Input'!$K$69),'01_Input'!$M$69,0),MAX(MIN(Q$15,'01_Input'!$K$69)-'01_Input'!$J$69,0)*'01_Input'!$M$69))+IF('01_Input'!$P$69="Forfait",IF(Q$15&gt;='01_Input'!$N$69,'01_Input'!$Q$69,0),IF('01_Input'!$P$69="Palier",IF(AND(Q$15&gt;='01_Input'!$N$69,Q$15&lt;'01_Input'!$O$69),'01_Input'!$Q$69,0),MAX(MIN(Q$15,'01_Input'!$O$69)-'01_Input'!$N$69,0)*'01_Input'!$Q$69))+IF('01_Input'!$T$69="Forfait",IF(Q$15&gt;='01_Input'!$R$69,'01_Input'!$U$69,0),IF('01_Input'!$T$69="Palier",IF(AND(Q$15&gt;='01_Input'!$R$69,Q$15&lt;'01_Input'!$S$69),'01_Input'!$U$69,0),MAX(MIN(Q$15,'01_Input'!$S$69)-'01_Input'!$R$69,0)*'01_Input'!$U$69))+IF('01_Input'!$X$69="Forfait",IF(Q$15&gt;='01_Input'!$V$69,'01_Input'!$Y$69,0),IF('01_Input'!$X$69="Palier",IF(AND(Q$15&gt;='01_Input'!$V$69,Q$15&lt;'01_Input'!$W$69),'01_Input'!$Y$69,0),MAX(MIN(Q$15,'01_Input'!$W$69)-'01_Input'!$V$69,0)*'01_Input'!$Y$69))+IF('01_Input'!$AB$69="Forfait",IF(Q$15&gt;='01_Input'!$Z$69,'01_Input'!$AC$69,0),IF('01_Input'!$AB$69="Palier",IF(AND(Q$15&gt;='01_Input'!$Z$69,Q$15&lt;'01_Input'!$AA$69),'01_Input'!$AC$69,0),MAX(MIN(Q$15,'01_Input'!$AA$69)-'01_Input'!$Z$69,0)*'01_Input'!$AC$69))))))))))</f>
        <v/>
      </c>
      <c r="R60" s="25" t="str">
        <f>IF(R$15="","",IF('01_Input'!$C$69="Non",0,MIN('01_Input'!$I$69,MAX('01_Input'!$H$69,IF('01_Input'!$G$69="Résiduel vs Gestion",0,IF('01_Input'!$G$69="Taux Classe sélectionnée",Distrib_Global_Classe_Selectionnee*R$15,IF('01_Input'!$G$69="Frais KYC (paliers de 100M€)",MAX(0,Nb_Investisseurs-Nb_KYC_Gratuites_Par_Tranche*(FLOOR(R$15/Taille_Tranche_KYC,1)+1))*Cout_Par_KYC_Supplementaire,(IF('01_Input'!$L$69="Forfait",IF(R$15&gt;='01_Input'!$J$69,'01_Input'!$M$69,0),IF('01_Input'!$L$69="Palier",IF(AND(R$15&gt;='01_Input'!$J$69,R$15&lt;'01_Input'!$K$69),'01_Input'!$M$69,0),MAX(MIN(R$15,'01_Input'!$K$69)-'01_Input'!$J$69,0)*'01_Input'!$M$69))+IF('01_Input'!$P$69="Forfait",IF(R$15&gt;='01_Input'!$N$69,'01_Input'!$Q$69,0),IF('01_Input'!$P$69="Palier",IF(AND(R$15&gt;='01_Input'!$N$69,R$15&lt;'01_Input'!$O$69),'01_Input'!$Q$69,0),MAX(MIN(R$15,'01_Input'!$O$69)-'01_Input'!$N$69,0)*'01_Input'!$Q$69))+IF('01_Input'!$T$69="Forfait",IF(R$15&gt;='01_Input'!$R$69,'01_Input'!$U$69,0),IF('01_Input'!$T$69="Palier",IF(AND(R$15&gt;='01_Input'!$R$69,R$15&lt;'01_Input'!$S$69),'01_Input'!$U$69,0),MAX(MIN(R$15,'01_Input'!$S$69)-'01_Input'!$R$69,0)*'01_Input'!$U$69))+IF('01_Input'!$X$69="Forfait",IF(R$15&gt;='01_Input'!$V$69,'01_Input'!$Y$69,0),IF('01_Input'!$X$69="Palier",IF(AND(R$15&gt;='01_Input'!$V$69,R$15&lt;'01_Input'!$W$69),'01_Input'!$Y$69,0),MAX(MIN(R$15,'01_Input'!$W$69)-'01_Input'!$V$69,0)*'01_Input'!$Y$69))+IF('01_Input'!$AB$69="Forfait",IF(R$15&gt;='01_Input'!$Z$69,'01_Input'!$AC$69,0),IF('01_Input'!$AB$69="Palier",IF(AND(R$15&gt;='01_Input'!$Z$69,R$15&lt;'01_Input'!$AA$69),'01_Input'!$AC$69,0),MAX(MIN(R$15,'01_Input'!$AA$69)-'01_Input'!$Z$69,0)*'01_Input'!$AC$69))))))))))</f>
        <v/>
      </c>
      <c r="S60" s="25" t="str">
        <f>IF(S$15="","",IF('01_Input'!$C$69="Non",0,MIN('01_Input'!$I$69,MAX('01_Input'!$H$69,IF('01_Input'!$G$69="Résiduel vs Gestion",0,IF('01_Input'!$G$69="Taux Classe sélectionnée",Distrib_Global_Classe_Selectionnee*S$15,IF('01_Input'!$G$69="Frais KYC (paliers de 100M€)",MAX(0,Nb_Investisseurs-Nb_KYC_Gratuites_Par_Tranche*(FLOOR(S$15/Taille_Tranche_KYC,1)+1))*Cout_Par_KYC_Supplementaire,(IF('01_Input'!$L$69="Forfait",IF(S$15&gt;='01_Input'!$J$69,'01_Input'!$M$69,0),IF('01_Input'!$L$69="Palier",IF(AND(S$15&gt;='01_Input'!$J$69,S$15&lt;'01_Input'!$K$69),'01_Input'!$M$69,0),MAX(MIN(S$15,'01_Input'!$K$69)-'01_Input'!$J$69,0)*'01_Input'!$M$69))+IF('01_Input'!$P$69="Forfait",IF(S$15&gt;='01_Input'!$N$69,'01_Input'!$Q$69,0),IF('01_Input'!$P$69="Palier",IF(AND(S$15&gt;='01_Input'!$N$69,S$15&lt;'01_Input'!$O$69),'01_Input'!$Q$69,0),MAX(MIN(S$15,'01_Input'!$O$69)-'01_Input'!$N$69,0)*'01_Input'!$Q$69))+IF('01_Input'!$T$69="Forfait",IF(S$15&gt;='01_Input'!$R$69,'01_Input'!$U$69,0),IF('01_Input'!$T$69="Palier",IF(AND(S$15&gt;='01_Input'!$R$69,S$15&lt;'01_Input'!$S$69),'01_Input'!$U$69,0),MAX(MIN(S$15,'01_Input'!$S$69)-'01_Input'!$R$69,0)*'01_Input'!$U$69))+IF('01_Input'!$X$69="Forfait",IF(S$15&gt;='01_Input'!$V$69,'01_Input'!$Y$69,0),IF('01_Input'!$X$69="Palier",IF(AND(S$15&gt;='01_Input'!$V$69,S$15&lt;'01_Input'!$W$69),'01_Input'!$Y$69,0),MAX(MIN(S$15,'01_Input'!$W$69)-'01_Input'!$V$69,0)*'01_Input'!$Y$69))+IF('01_Input'!$AB$69="Forfait",IF(S$15&gt;='01_Input'!$Z$69,'01_Input'!$AC$69,0),IF('01_Input'!$AB$69="Palier",IF(AND(S$15&gt;='01_Input'!$Z$69,S$15&lt;'01_Input'!$AA$69),'01_Input'!$AC$69,0),MAX(MIN(S$15,'01_Input'!$AA$69)-'01_Input'!$Z$69,0)*'01_Input'!$AC$69))))))))))</f>
        <v/>
      </c>
      <c r="T60" s="25" t="str">
        <f>IF(T$15="","",IF('01_Input'!$C$69="Non",0,MIN('01_Input'!$I$69,MAX('01_Input'!$H$69,IF('01_Input'!$G$69="Résiduel vs Gestion",0,IF('01_Input'!$G$69="Taux Classe sélectionnée",Distrib_Global_Classe_Selectionnee*T$15,IF('01_Input'!$G$69="Frais KYC (paliers de 100M€)",MAX(0,Nb_Investisseurs-Nb_KYC_Gratuites_Par_Tranche*(FLOOR(T$15/Taille_Tranche_KYC,1)+1))*Cout_Par_KYC_Supplementaire,(IF('01_Input'!$L$69="Forfait",IF(T$15&gt;='01_Input'!$J$69,'01_Input'!$M$69,0),IF('01_Input'!$L$69="Palier",IF(AND(T$15&gt;='01_Input'!$J$69,T$15&lt;'01_Input'!$K$69),'01_Input'!$M$69,0),MAX(MIN(T$15,'01_Input'!$K$69)-'01_Input'!$J$69,0)*'01_Input'!$M$69))+IF('01_Input'!$P$69="Forfait",IF(T$15&gt;='01_Input'!$N$69,'01_Input'!$Q$69,0),IF('01_Input'!$P$69="Palier",IF(AND(T$15&gt;='01_Input'!$N$69,T$15&lt;'01_Input'!$O$69),'01_Input'!$Q$69,0),MAX(MIN(T$15,'01_Input'!$O$69)-'01_Input'!$N$69,0)*'01_Input'!$Q$69))+IF('01_Input'!$T$69="Forfait",IF(T$15&gt;='01_Input'!$R$69,'01_Input'!$U$69,0),IF('01_Input'!$T$69="Palier",IF(AND(T$15&gt;='01_Input'!$R$69,T$15&lt;'01_Input'!$S$69),'01_Input'!$U$69,0),MAX(MIN(T$15,'01_Input'!$S$69)-'01_Input'!$R$69,0)*'01_Input'!$U$69))+IF('01_Input'!$X$69="Forfait",IF(T$15&gt;='01_Input'!$V$69,'01_Input'!$Y$69,0),IF('01_Input'!$X$69="Palier",IF(AND(T$15&gt;='01_Input'!$V$69,T$15&lt;'01_Input'!$W$69),'01_Input'!$Y$69,0),MAX(MIN(T$15,'01_Input'!$W$69)-'01_Input'!$V$69,0)*'01_Input'!$Y$69))+IF('01_Input'!$AB$69="Forfait",IF(T$15&gt;='01_Input'!$Z$69,'01_Input'!$AC$69,0),IF('01_Input'!$AB$69="Palier",IF(AND(T$15&gt;='01_Input'!$Z$69,T$15&lt;'01_Input'!$AA$69),'01_Input'!$AC$69,0),MAX(MIN(T$15,'01_Input'!$AA$69)-'01_Input'!$Z$69,0)*'01_Input'!$AC$69))))))))))</f>
        <v/>
      </c>
      <c r="U60" s="25" t="str">
        <f>IF(U$15="","",IF('01_Input'!$C$69="Non",0,MIN('01_Input'!$I$69,MAX('01_Input'!$H$69,IF('01_Input'!$G$69="Résiduel vs Gestion",0,IF('01_Input'!$G$69="Taux Classe sélectionnée",Distrib_Global_Classe_Selectionnee*U$15,IF('01_Input'!$G$69="Frais KYC (paliers de 100M€)",MAX(0,Nb_Investisseurs-Nb_KYC_Gratuites_Par_Tranche*(FLOOR(U$15/Taille_Tranche_KYC,1)+1))*Cout_Par_KYC_Supplementaire,(IF('01_Input'!$L$69="Forfait",IF(U$15&gt;='01_Input'!$J$69,'01_Input'!$M$69,0),IF('01_Input'!$L$69="Palier",IF(AND(U$15&gt;='01_Input'!$J$69,U$15&lt;'01_Input'!$K$69),'01_Input'!$M$69,0),MAX(MIN(U$15,'01_Input'!$K$69)-'01_Input'!$J$69,0)*'01_Input'!$M$69))+IF('01_Input'!$P$69="Forfait",IF(U$15&gt;='01_Input'!$N$69,'01_Input'!$Q$69,0),IF('01_Input'!$P$69="Palier",IF(AND(U$15&gt;='01_Input'!$N$69,U$15&lt;'01_Input'!$O$69),'01_Input'!$Q$69,0),MAX(MIN(U$15,'01_Input'!$O$69)-'01_Input'!$N$69,0)*'01_Input'!$Q$69))+IF('01_Input'!$T$69="Forfait",IF(U$15&gt;='01_Input'!$R$69,'01_Input'!$U$69,0),IF('01_Input'!$T$69="Palier",IF(AND(U$15&gt;='01_Input'!$R$69,U$15&lt;'01_Input'!$S$69),'01_Input'!$U$69,0),MAX(MIN(U$15,'01_Input'!$S$69)-'01_Input'!$R$69,0)*'01_Input'!$U$69))+IF('01_Input'!$X$69="Forfait",IF(U$15&gt;='01_Input'!$V$69,'01_Input'!$Y$69,0),IF('01_Input'!$X$69="Palier",IF(AND(U$15&gt;='01_Input'!$V$69,U$15&lt;'01_Input'!$W$69),'01_Input'!$Y$69,0),MAX(MIN(U$15,'01_Input'!$W$69)-'01_Input'!$V$69,0)*'01_Input'!$Y$69))+IF('01_Input'!$AB$69="Forfait",IF(U$15&gt;='01_Input'!$Z$69,'01_Input'!$AC$69,0),IF('01_Input'!$AB$69="Palier",IF(AND(U$15&gt;='01_Input'!$Z$69,U$15&lt;'01_Input'!$AA$69),'01_Input'!$AC$69,0),MAX(MIN(U$15,'01_Input'!$AA$69)-'01_Input'!$Z$69,0)*'01_Input'!$AC$69))))))))))</f>
        <v/>
      </c>
      <c r="V60" s="25" t="str">
        <f>IF(V$15="","",IF('01_Input'!$C$69="Non",0,MIN('01_Input'!$I$69,MAX('01_Input'!$H$69,IF('01_Input'!$G$69="Résiduel vs Gestion",0,IF('01_Input'!$G$69="Taux Classe sélectionnée",Distrib_Global_Classe_Selectionnee*V$15,IF('01_Input'!$G$69="Frais KYC (paliers de 100M€)",MAX(0,Nb_Investisseurs-Nb_KYC_Gratuites_Par_Tranche*(FLOOR(V$15/Taille_Tranche_KYC,1)+1))*Cout_Par_KYC_Supplementaire,(IF('01_Input'!$L$69="Forfait",IF(V$15&gt;='01_Input'!$J$69,'01_Input'!$M$69,0),IF('01_Input'!$L$69="Palier",IF(AND(V$15&gt;='01_Input'!$J$69,V$15&lt;'01_Input'!$K$69),'01_Input'!$M$69,0),MAX(MIN(V$15,'01_Input'!$K$69)-'01_Input'!$J$69,0)*'01_Input'!$M$69))+IF('01_Input'!$P$69="Forfait",IF(V$15&gt;='01_Input'!$N$69,'01_Input'!$Q$69,0),IF('01_Input'!$P$69="Palier",IF(AND(V$15&gt;='01_Input'!$N$69,V$15&lt;'01_Input'!$O$69),'01_Input'!$Q$69,0),MAX(MIN(V$15,'01_Input'!$O$69)-'01_Input'!$N$69,0)*'01_Input'!$Q$69))+IF('01_Input'!$T$69="Forfait",IF(V$15&gt;='01_Input'!$R$69,'01_Input'!$U$69,0),IF('01_Input'!$T$69="Palier",IF(AND(V$15&gt;='01_Input'!$R$69,V$15&lt;'01_Input'!$S$69),'01_Input'!$U$69,0),MAX(MIN(V$15,'01_Input'!$S$69)-'01_Input'!$R$69,0)*'01_Input'!$U$69))+IF('01_Input'!$X$69="Forfait",IF(V$15&gt;='01_Input'!$V$69,'01_Input'!$Y$69,0),IF('01_Input'!$X$69="Palier",IF(AND(V$15&gt;='01_Input'!$V$69,V$15&lt;'01_Input'!$W$69),'01_Input'!$Y$69,0),MAX(MIN(V$15,'01_Input'!$W$69)-'01_Input'!$V$69,0)*'01_Input'!$Y$69))+IF('01_Input'!$AB$69="Forfait",IF(V$15&gt;='01_Input'!$Z$69,'01_Input'!$AC$69,0),IF('01_Input'!$AB$69="Palier",IF(AND(V$15&gt;='01_Input'!$Z$69,V$15&lt;'01_Input'!$AA$69),'01_Input'!$AC$69,0),MAX(MIN(V$15,'01_Input'!$AA$69)-'01_Input'!$Z$69,0)*'01_Input'!$AC$69))))))))))</f>
        <v/>
      </c>
      <c r="W60" s="25" t="str">
        <f>IF(W$15="","",IF('01_Input'!$C$69="Non",0,MIN('01_Input'!$I$69,MAX('01_Input'!$H$69,IF('01_Input'!$G$69="Résiduel vs Gestion",0,IF('01_Input'!$G$69="Taux Classe sélectionnée",Distrib_Global_Classe_Selectionnee*W$15,IF('01_Input'!$G$69="Frais KYC (paliers de 100M€)",MAX(0,Nb_Investisseurs-Nb_KYC_Gratuites_Par_Tranche*(FLOOR(W$15/Taille_Tranche_KYC,1)+1))*Cout_Par_KYC_Supplementaire,(IF('01_Input'!$L$69="Forfait",IF(W$15&gt;='01_Input'!$J$69,'01_Input'!$M$69,0),IF('01_Input'!$L$69="Palier",IF(AND(W$15&gt;='01_Input'!$J$69,W$15&lt;'01_Input'!$K$69),'01_Input'!$M$69,0),MAX(MIN(W$15,'01_Input'!$K$69)-'01_Input'!$J$69,0)*'01_Input'!$M$69))+IF('01_Input'!$P$69="Forfait",IF(W$15&gt;='01_Input'!$N$69,'01_Input'!$Q$69,0),IF('01_Input'!$P$69="Palier",IF(AND(W$15&gt;='01_Input'!$N$69,W$15&lt;'01_Input'!$O$69),'01_Input'!$Q$69,0),MAX(MIN(W$15,'01_Input'!$O$69)-'01_Input'!$N$69,0)*'01_Input'!$Q$69))+IF('01_Input'!$T$69="Forfait",IF(W$15&gt;='01_Input'!$R$69,'01_Input'!$U$69,0),IF('01_Input'!$T$69="Palier",IF(AND(W$15&gt;='01_Input'!$R$69,W$15&lt;'01_Input'!$S$69),'01_Input'!$U$69,0),MAX(MIN(W$15,'01_Input'!$S$69)-'01_Input'!$R$69,0)*'01_Input'!$U$69))+IF('01_Input'!$X$69="Forfait",IF(W$15&gt;='01_Input'!$V$69,'01_Input'!$Y$69,0),IF('01_Input'!$X$69="Palier",IF(AND(W$15&gt;='01_Input'!$V$69,W$15&lt;'01_Input'!$W$69),'01_Input'!$Y$69,0),MAX(MIN(W$15,'01_Input'!$W$69)-'01_Input'!$V$69,0)*'01_Input'!$Y$69))+IF('01_Input'!$AB$69="Forfait",IF(W$15&gt;='01_Input'!$Z$69,'01_Input'!$AC$69,0),IF('01_Input'!$AB$69="Palier",IF(AND(W$15&gt;='01_Input'!$Z$69,W$15&lt;'01_Input'!$AA$69),'01_Input'!$AC$69,0),MAX(MIN(W$15,'01_Input'!$AA$69)-'01_Input'!$Z$69,0)*'01_Input'!$AC$69))))))))))</f>
        <v/>
      </c>
      <c r="X60" s="25" t="str">
        <f>IF(X$15="","",IF('01_Input'!$C$69="Non",0,MIN('01_Input'!$I$69,MAX('01_Input'!$H$69,IF('01_Input'!$G$69="Résiduel vs Gestion",0,IF('01_Input'!$G$69="Taux Classe sélectionnée",Distrib_Global_Classe_Selectionnee*X$15,IF('01_Input'!$G$69="Frais KYC (paliers de 100M€)",MAX(0,Nb_Investisseurs-Nb_KYC_Gratuites_Par_Tranche*(FLOOR(X$15/Taille_Tranche_KYC,1)+1))*Cout_Par_KYC_Supplementaire,(IF('01_Input'!$L$69="Forfait",IF(X$15&gt;='01_Input'!$J$69,'01_Input'!$M$69,0),IF('01_Input'!$L$69="Palier",IF(AND(X$15&gt;='01_Input'!$J$69,X$15&lt;'01_Input'!$K$69),'01_Input'!$M$69,0),MAX(MIN(X$15,'01_Input'!$K$69)-'01_Input'!$J$69,0)*'01_Input'!$M$69))+IF('01_Input'!$P$69="Forfait",IF(X$15&gt;='01_Input'!$N$69,'01_Input'!$Q$69,0),IF('01_Input'!$P$69="Palier",IF(AND(X$15&gt;='01_Input'!$N$69,X$15&lt;'01_Input'!$O$69),'01_Input'!$Q$69,0),MAX(MIN(X$15,'01_Input'!$O$69)-'01_Input'!$N$69,0)*'01_Input'!$Q$69))+IF('01_Input'!$T$69="Forfait",IF(X$15&gt;='01_Input'!$R$69,'01_Input'!$U$69,0),IF('01_Input'!$T$69="Palier",IF(AND(X$15&gt;='01_Input'!$R$69,X$15&lt;'01_Input'!$S$69),'01_Input'!$U$69,0),MAX(MIN(X$15,'01_Input'!$S$69)-'01_Input'!$R$69,0)*'01_Input'!$U$69))+IF('01_Input'!$X$69="Forfait",IF(X$15&gt;='01_Input'!$V$69,'01_Input'!$Y$69,0),IF('01_Input'!$X$69="Palier",IF(AND(X$15&gt;='01_Input'!$V$69,X$15&lt;'01_Input'!$W$69),'01_Input'!$Y$69,0),MAX(MIN(X$15,'01_Input'!$W$69)-'01_Input'!$V$69,0)*'01_Input'!$Y$69))+IF('01_Input'!$AB$69="Forfait",IF(X$15&gt;='01_Input'!$Z$69,'01_Input'!$AC$69,0),IF('01_Input'!$AB$69="Palier",IF(AND(X$15&gt;='01_Input'!$Z$69,X$15&lt;'01_Input'!$AA$69),'01_Input'!$AC$69,0),MAX(MIN(X$15,'01_Input'!$AA$69)-'01_Input'!$Z$69,0)*'01_Input'!$AC$69))))))))))</f>
        <v/>
      </c>
      <c r="Y60" s="25" t="str">
        <f>IF(Y$15="","",IF('01_Input'!$C$69="Non",0,MIN('01_Input'!$I$69,MAX('01_Input'!$H$69,IF('01_Input'!$G$69="Résiduel vs Gestion",0,IF('01_Input'!$G$69="Taux Classe sélectionnée",Distrib_Global_Classe_Selectionnee*Y$15,IF('01_Input'!$G$69="Frais KYC (paliers de 100M€)",MAX(0,Nb_Investisseurs-Nb_KYC_Gratuites_Par_Tranche*(FLOOR(Y$15/Taille_Tranche_KYC,1)+1))*Cout_Par_KYC_Supplementaire,(IF('01_Input'!$L$69="Forfait",IF(Y$15&gt;='01_Input'!$J$69,'01_Input'!$M$69,0),IF('01_Input'!$L$69="Palier",IF(AND(Y$15&gt;='01_Input'!$J$69,Y$15&lt;'01_Input'!$K$69),'01_Input'!$M$69,0),MAX(MIN(Y$15,'01_Input'!$K$69)-'01_Input'!$J$69,0)*'01_Input'!$M$69))+IF('01_Input'!$P$69="Forfait",IF(Y$15&gt;='01_Input'!$N$69,'01_Input'!$Q$69,0),IF('01_Input'!$P$69="Palier",IF(AND(Y$15&gt;='01_Input'!$N$69,Y$15&lt;'01_Input'!$O$69),'01_Input'!$Q$69,0),MAX(MIN(Y$15,'01_Input'!$O$69)-'01_Input'!$N$69,0)*'01_Input'!$Q$69))+IF('01_Input'!$T$69="Forfait",IF(Y$15&gt;='01_Input'!$R$69,'01_Input'!$U$69,0),IF('01_Input'!$T$69="Palier",IF(AND(Y$15&gt;='01_Input'!$R$69,Y$15&lt;'01_Input'!$S$69),'01_Input'!$U$69,0),MAX(MIN(Y$15,'01_Input'!$S$69)-'01_Input'!$R$69,0)*'01_Input'!$U$69))+IF('01_Input'!$X$69="Forfait",IF(Y$15&gt;='01_Input'!$V$69,'01_Input'!$Y$69,0),IF('01_Input'!$X$69="Palier",IF(AND(Y$15&gt;='01_Input'!$V$69,Y$15&lt;'01_Input'!$W$69),'01_Input'!$Y$69,0),MAX(MIN(Y$15,'01_Input'!$W$69)-'01_Input'!$V$69,0)*'01_Input'!$Y$69))+IF('01_Input'!$AB$69="Forfait",IF(Y$15&gt;='01_Input'!$Z$69,'01_Input'!$AC$69,0),IF('01_Input'!$AB$69="Palier",IF(AND(Y$15&gt;='01_Input'!$Z$69,Y$15&lt;'01_Input'!$AA$69),'01_Input'!$AC$69,0),MAX(MIN(Y$15,'01_Input'!$AA$69)-'01_Input'!$Z$69,0)*'01_Input'!$AC$69))))))))))</f>
        <v/>
      </c>
      <c r="Z60" s="25" t="str">
        <f>IF(Z$15="","",IF('01_Input'!$C$69="Non",0,MIN('01_Input'!$I$69,MAX('01_Input'!$H$69,IF('01_Input'!$G$69="Résiduel vs Gestion",0,IF('01_Input'!$G$69="Taux Classe sélectionnée",Distrib_Global_Classe_Selectionnee*Z$15,IF('01_Input'!$G$69="Frais KYC (paliers de 100M€)",MAX(0,Nb_Investisseurs-Nb_KYC_Gratuites_Par_Tranche*(FLOOR(Z$15/Taille_Tranche_KYC,1)+1))*Cout_Par_KYC_Supplementaire,(IF('01_Input'!$L$69="Forfait",IF(Z$15&gt;='01_Input'!$J$69,'01_Input'!$M$69,0),IF('01_Input'!$L$69="Palier",IF(AND(Z$15&gt;='01_Input'!$J$69,Z$15&lt;'01_Input'!$K$69),'01_Input'!$M$69,0),MAX(MIN(Z$15,'01_Input'!$K$69)-'01_Input'!$J$69,0)*'01_Input'!$M$69))+IF('01_Input'!$P$69="Forfait",IF(Z$15&gt;='01_Input'!$N$69,'01_Input'!$Q$69,0),IF('01_Input'!$P$69="Palier",IF(AND(Z$15&gt;='01_Input'!$N$69,Z$15&lt;'01_Input'!$O$69),'01_Input'!$Q$69,0),MAX(MIN(Z$15,'01_Input'!$O$69)-'01_Input'!$N$69,0)*'01_Input'!$Q$69))+IF('01_Input'!$T$69="Forfait",IF(Z$15&gt;='01_Input'!$R$69,'01_Input'!$U$69,0),IF('01_Input'!$T$69="Palier",IF(AND(Z$15&gt;='01_Input'!$R$69,Z$15&lt;'01_Input'!$S$69),'01_Input'!$U$69,0),MAX(MIN(Z$15,'01_Input'!$S$69)-'01_Input'!$R$69,0)*'01_Input'!$U$69))+IF('01_Input'!$X$69="Forfait",IF(Z$15&gt;='01_Input'!$V$69,'01_Input'!$Y$69,0),IF('01_Input'!$X$69="Palier",IF(AND(Z$15&gt;='01_Input'!$V$69,Z$15&lt;'01_Input'!$W$69),'01_Input'!$Y$69,0),MAX(MIN(Z$15,'01_Input'!$W$69)-'01_Input'!$V$69,0)*'01_Input'!$Y$69))+IF('01_Input'!$AB$69="Forfait",IF(Z$15&gt;='01_Input'!$Z$69,'01_Input'!$AC$69,0),IF('01_Input'!$AB$69="Palier",IF(AND(Z$15&gt;='01_Input'!$Z$69,Z$15&lt;'01_Input'!$AA$69),'01_Input'!$AC$69,0),MAX(MIN(Z$15,'01_Input'!$AA$69)-'01_Input'!$Z$69,0)*'01_Input'!$AC$69))))))))))</f>
        <v/>
      </c>
      <c r="AA60" s="25" t="str">
        <f>IF(AA$15="","",IF('01_Input'!$C$69="Non",0,MIN('01_Input'!$I$69,MAX('01_Input'!$H$69,IF('01_Input'!$G$69="Résiduel vs Gestion",0,IF('01_Input'!$G$69="Taux Classe sélectionnée",Distrib_Global_Classe_Selectionnee*AA$15,IF('01_Input'!$G$69="Frais KYC (paliers de 100M€)",MAX(0,Nb_Investisseurs-Nb_KYC_Gratuites_Par_Tranche*(FLOOR(AA$15/Taille_Tranche_KYC,1)+1))*Cout_Par_KYC_Supplementaire,(IF('01_Input'!$L$69="Forfait",IF(AA$15&gt;='01_Input'!$J$69,'01_Input'!$M$69,0),IF('01_Input'!$L$69="Palier",IF(AND(AA$15&gt;='01_Input'!$J$69,AA$15&lt;'01_Input'!$K$69),'01_Input'!$M$69,0),MAX(MIN(AA$15,'01_Input'!$K$69)-'01_Input'!$J$69,0)*'01_Input'!$M$69))+IF('01_Input'!$P$69="Forfait",IF(AA$15&gt;='01_Input'!$N$69,'01_Input'!$Q$69,0),IF('01_Input'!$P$69="Palier",IF(AND(AA$15&gt;='01_Input'!$N$69,AA$15&lt;'01_Input'!$O$69),'01_Input'!$Q$69,0),MAX(MIN(AA$15,'01_Input'!$O$69)-'01_Input'!$N$69,0)*'01_Input'!$Q$69))+IF('01_Input'!$T$69="Forfait",IF(AA$15&gt;='01_Input'!$R$69,'01_Input'!$U$69,0),IF('01_Input'!$T$69="Palier",IF(AND(AA$15&gt;='01_Input'!$R$69,AA$15&lt;'01_Input'!$S$69),'01_Input'!$U$69,0),MAX(MIN(AA$15,'01_Input'!$S$69)-'01_Input'!$R$69,0)*'01_Input'!$U$69))+IF('01_Input'!$X$69="Forfait",IF(AA$15&gt;='01_Input'!$V$69,'01_Input'!$Y$69,0),IF('01_Input'!$X$69="Palier",IF(AND(AA$15&gt;='01_Input'!$V$69,AA$15&lt;'01_Input'!$W$69),'01_Input'!$Y$69,0),MAX(MIN(AA$15,'01_Input'!$W$69)-'01_Input'!$V$69,0)*'01_Input'!$Y$69))+IF('01_Input'!$AB$69="Forfait",IF(AA$15&gt;='01_Input'!$Z$69,'01_Input'!$AC$69,0),IF('01_Input'!$AB$69="Palier",IF(AND(AA$15&gt;='01_Input'!$Z$69,AA$15&lt;'01_Input'!$AA$69),'01_Input'!$AC$69,0),MAX(MIN(AA$15,'01_Input'!$AA$69)-'01_Input'!$Z$69,0)*'01_Input'!$AC$69))))))))))</f>
        <v/>
      </c>
      <c r="AB60" s="25" t="str">
        <f>IF(AB$15="","",IF('01_Input'!$C$69="Non",0,MIN('01_Input'!$I$69,MAX('01_Input'!$H$69,IF('01_Input'!$G$69="Résiduel vs Gestion",0,IF('01_Input'!$G$69="Taux Classe sélectionnée",Distrib_Global_Classe_Selectionnee*AB$15,IF('01_Input'!$G$69="Frais KYC (paliers de 100M€)",MAX(0,Nb_Investisseurs-Nb_KYC_Gratuites_Par_Tranche*(FLOOR(AB$15/Taille_Tranche_KYC,1)+1))*Cout_Par_KYC_Supplementaire,(IF('01_Input'!$L$69="Forfait",IF(AB$15&gt;='01_Input'!$J$69,'01_Input'!$M$69,0),IF('01_Input'!$L$69="Palier",IF(AND(AB$15&gt;='01_Input'!$J$69,AB$15&lt;'01_Input'!$K$69),'01_Input'!$M$69,0),MAX(MIN(AB$15,'01_Input'!$K$69)-'01_Input'!$J$69,0)*'01_Input'!$M$69))+IF('01_Input'!$P$69="Forfait",IF(AB$15&gt;='01_Input'!$N$69,'01_Input'!$Q$69,0),IF('01_Input'!$P$69="Palier",IF(AND(AB$15&gt;='01_Input'!$N$69,AB$15&lt;'01_Input'!$O$69),'01_Input'!$Q$69,0),MAX(MIN(AB$15,'01_Input'!$O$69)-'01_Input'!$N$69,0)*'01_Input'!$Q$69))+IF('01_Input'!$T$69="Forfait",IF(AB$15&gt;='01_Input'!$R$69,'01_Input'!$U$69,0),IF('01_Input'!$T$69="Palier",IF(AND(AB$15&gt;='01_Input'!$R$69,AB$15&lt;'01_Input'!$S$69),'01_Input'!$U$69,0),MAX(MIN(AB$15,'01_Input'!$S$69)-'01_Input'!$R$69,0)*'01_Input'!$U$69))+IF('01_Input'!$X$69="Forfait",IF(AB$15&gt;='01_Input'!$V$69,'01_Input'!$Y$69,0),IF('01_Input'!$X$69="Palier",IF(AND(AB$15&gt;='01_Input'!$V$69,AB$15&lt;'01_Input'!$W$69),'01_Input'!$Y$69,0),MAX(MIN(AB$15,'01_Input'!$W$69)-'01_Input'!$V$69,0)*'01_Input'!$Y$69))+IF('01_Input'!$AB$69="Forfait",IF(AB$15&gt;='01_Input'!$Z$69,'01_Input'!$AC$69,0),IF('01_Input'!$AB$69="Palier",IF(AND(AB$15&gt;='01_Input'!$Z$69,AB$15&lt;'01_Input'!$AA$69),'01_Input'!$AC$69,0),MAX(MIN(AB$15,'01_Input'!$AA$69)-'01_Input'!$Z$69,0)*'01_Input'!$AC$69))))))))))</f>
        <v/>
      </c>
      <c r="AC60" s="25" t="str">
        <f>IF(AC$15="","",IF('01_Input'!$C$69="Non",0,MIN('01_Input'!$I$69,MAX('01_Input'!$H$69,IF('01_Input'!$G$69="Résiduel vs Gestion",0,IF('01_Input'!$G$69="Taux Classe sélectionnée",Distrib_Global_Classe_Selectionnee*AC$15,IF('01_Input'!$G$69="Frais KYC (paliers de 100M€)",MAX(0,Nb_Investisseurs-Nb_KYC_Gratuites_Par_Tranche*(FLOOR(AC$15/Taille_Tranche_KYC,1)+1))*Cout_Par_KYC_Supplementaire,(IF('01_Input'!$L$69="Forfait",IF(AC$15&gt;='01_Input'!$J$69,'01_Input'!$M$69,0),IF('01_Input'!$L$69="Palier",IF(AND(AC$15&gt;='01_Input'!$J$69,AC$15&lt;'01_Input'!$K$69),'01_Input'!$M$69,0),MAX(MIN(AC$15,'01_Input'!$K$69)-'01_Input'!$J$69,0)*'01_Input'!$M$69))+IF('01_Input'!$P$69="Forfait",IF(AC$15&gt;='01_Input'!$N$69,'01_Input'!$Q$69,0),IF('01_Input'!$P$69="Palier",IF(AND(AC$15&gt;='01_Input'!$N$69,AC$15&lt;'01_Input'!$O$69),'01_Input'!$Q$69,0),MAX(MIN(AC$15,'01_Input'!$O$69)-'01_Input'!$N$69,0)*'01_Input'!$Q$69))+IF('01_Input'!$T$69="Forfait",IF(AC$15&gt;='01_Input'!$R$69,'01_Input'!$U$69,0),IF('01_Input'!$T$69="Palier",IF(AND(AC$15&gt;='01_Input'!$R$69,AC$15&lt;'01_Input'!$S$69),'01_Input'!$U$69,0),MAX(MIN(AC$15,'01_Input'!$S$69)-'01_Input'!$R$69,0)*'01_Input'!$U$69))+IF('01_Input'!$X$69="Forfait",IF(AC$15&gt;='01_Input'!$V$69,'01_Input'!$Y$69,0),IF('01_Input'!$X$69="Palier",IF(AND(AC$15&gt;='01_Input'!$V$69,AC$15&lt;'01_Input'!$W$69),'01_Input'!$Y$69,0),MAX(MIN(AC$15,'01_Input'!$W$69)-'01_Input'!$V$69,0)*'01_Input'!$Y$69))+IF('01_Input'!$AB$69="Forfait",IF(AC$15&gt;='01_Input'!$Z$69,'01_Input'!$AC$69,0),IF('01_Input'!$AB$69="Palier",IF(AND(AC$15&gt;='01_Input'!$Z$69,AC$15&lt;'01_Input'!$AA$69),'01_Input'!$AC$69,0),MAX(MIN(AC$15,'01_Input'!$AA$69)-'01_Input'!$Z$69,0)*'01_Input'!$AC$69))))))))))</f>
        <v/>
      </c>
      <c r="AD60" s="25" t="str">
        <f>IF(AD$15="","",IF('01_Input'!$C$69="Non",0,MIN('01_Input'!$I$69,MAX('01_Input'!$H$69,IF('01_Input'!$G$69="Résiduel vs Gestion",0,IF('01_Input'!$G$69="Taux Classe sélectionnée",Distrib_Global_Classe_Selectionnee*AD$15,IF('01_Input'!$G$69="Frais KYC (paliers de 100M€)",MAX(0,Nb_Investisseurs-Nb_KYC_Gratuites_Par_Tranche*(FLOOR(AD$15/Taille_Tranche_KYC,1)+1))*Cout_Par_KYC_Supplementaire,(IF('01_Input'!$L$69="Forfait",IF(AD$15&gt;='01_Input'!$J$69,'01_Input'!$M$69,0),IF('01_Input'!$L$69="Palier",IF(AND(AD$15&gt;='01_Input'!$J$69,AD$15&lt;'01_Input'!$K$69),'01_Input'!$M$69,0),MAX(MIN(AD$15,'01_Input'!$K$69)-'01_Input'!$J$69,0)*'01_Input'!$M$69))+IF('01_Input'!$P$69="Forfait",IF(AD$15&gt;='01_Input'!$N$69,'01_Input'!$Q$69,0),IF('01_Input'!$P$69="Palier",IF(AND(AD$15&gt;='01_Input'!$N$69,AD$15&lt;'01_Input'!$O$69),'01_Input'!$Q$69,0),MAX(MIN(AD$15,'01_Input'!$O$69)-'01_Input'!$N$69,0)*'01_Input'!$Q$69))+IF('01_Input'!$T$69="Forfait",IF(AD$15&gt;='01_Input'!$R$69,'01_Input'!$U$69,0),IF('01_Input'!$T$69="Palier",IF(AND(AD$15&gt;='01_Input'!$R$69,AD$15&lt;'01_Input'!$S$69),'01_Input'!$U$69,0),MAX(MIN(AD$15,'01_Input'!$S$69)-'01_Input'!$R$69,0)*'01_Input'!$U$69))+IF('01_Input'!$X$69="Forfait",IF(AD$15&gt;='01_Input'!$V$69,'01_Input'!$Y$69,0),IF('01_Input'!$X$69="Palier",IF(AND(AD$15&gt;='01_Input'!$V$69,AD$15&lt;'01_Input'!$W$69),'01_Input'!$Y$69,0),MAX(MIN(AD$15,'01_Input'!$W$69)-'01_Input'!$V$69,0)*'01_Input'!$Y$69))+IF('01_Input'!$AB$69="Forfait",IF(AD$15&gt;='01_Input'!$Z$69,'01_Input'!$AC$69,0),IF('01_Input'!$AB$69="Palier",IF(AND(AD$15&gt;='01_Input'!$Z$69,AD$15&lt;'01_Input'!$AA$69),'01_Input'!$AC$69,0),MAX(MIN(AD$15,'01_Input'!$AA$69)-'01_Input'!$Z$69,0)*'01_Input'!$AC$69))))))))))</f>
        <v/>
      </c>
      <c r="AE60" s="25" t="str">
        <f>IF(AE$15="","",IF('01_Input'!$C$69="Non",0,MIN('01_Input'!$I$69,MAX('01_Input'!$H$69,IF('01_Input'!$G$69="Résiduel vs Gestion",0,IF('01_Input'!$G$69="Taux Classe sélectionnée",Distrib_Global_Classe_Selectionnee*AE$15,IF('01_Input'!$G$69="Frais KYC (paliers de 100M€)",MAX(0,Nb_Investisseurs-Nb_KYC_Gratuites_Par_Tranche*(FLOOR(AE$15/Taille_Tranche_KYC,1)+1))*Cout_Par_KYC_Supplementaire,(IF('01_Input'!$L$69="Forfait",IF(AE$15&gt;='01_Input'!$J$69,'01_Input'!$M$69,0),IF('01_Input'!$L$69="Palier",IF(AND(AE$15&gt;='01_Input'!$J$69,AE$15&lt;'01_Input'!$K$69),'01_Input'!$M$69,0),MAX(MIN(AE$15,'01_Input'!$K$69)-'01_Input'!$J$69,0)*'01_Input'!$M$69))+IF('01_Input'!$P$69="Forfait",IF(AE$15&gt;='01_Input'!$N$69,'01_Input'!$Q$69,0),IF('01_Input'!$P$69="Palier",IF(AND(AE$15&gt;='01_Input'!$N$69,AE$15&lt;'01_Input'!$O$69),'01_Input'!$Q$69,0),MAX(MIN(AE$15,'01_Input'!$O$69)-'01_Input'!$N$69,0)*'01_Input'!$Q$69))+IF('01_Input'!$T$69="Forfait",IF(AE$15&gt;='01_Input'!$R$69,'01_Input'!$U$69,0),IF('01_Input'!$T$69="Palier",IF(AND(AE$15&gt;='01_Input'!$R$69,AE$15&lt;'01_Input'!$S$69),'01_Input'!$U$69,0),MAX(MIN(AE$15,'01_Input'!$S$69)-'01_Input'!$R$69,0)*'01_Input'!$U$69))+IF('01_Input'!$X$69="Forfait",IF(AE$15&gt;='01_Input'!$V$69,'01_Input'!$Y$69,0),IF('01_Input'!$X$69="Palier",IF(AND(AE$15&gt;='01_Input'!$V$69,AE$15&lt;'01_Input'!$W$69),'01_Input'!$Y$69,0),MAX(MIN(AE$15,'01_Input'!$W$69)-'01_Input'!$V$69,0)*'01_Input'!$Y$69))+IF('01_Input'!$AB$69="Forfait",IF(AE$15&gt;='01_Input'!$Z$69,'01_Input'!$AC$69,0),IF('01_Input'!$AB$69="Palier",IF(AND(AE$15&gt;='01_Input'!$Z$69,AE$15&lt;'01_Input'!$AA$69),'01_Input'!$AC$69,0),MAX(MIN(AE$15,'01_Input'!$AA$69)-'01_Input'!$Z$69,0)*'01_Input'!$AC$69))))))))))</f>
        <v/>
      </c>
      <c r="AF60" s="25" t="str">
        <f>IF(AF$15="","",IF('01_Input'!$C$69="Non",0,MIN('01_Input'!$I$69,MAX('01_Input'!$H$69,IF('01_Input'!$G$69="Résiduel vs Gestion",0,IF('01_Input'!$G$69="Taux Classe sélectionnée",Distrib_Global_Classe_Selectionnee*AF$15,IF('01_Input'!$G$69="Frais KYC (paliers de 100M€)",MAX(0,Nb_Investisseurs-Nb_KYC_Gratuites_Par_Tranche*(FLOOR(AF$15/Taille_Tranche_KYC,1)+1))*Cout_Par_KYC_Supplementaire,(IF('01_Input'!$L$69="Forfait",IF(AF$15&gt;='01_Input'!$J$69,'01_Input'!$M$69,0),IF('01_Input'!$L$69="Palier",IF(AND(AF$15&gt;='01_Input'!$J$69,AF$15&lt;'01_Input'!$K$69),'01_Input'!$M$69,0),MAX(MIN(AF$15,'01_Input'!$K$69)-'01_Input'!$J$69,0)*'01_Input'!$M$69))+IF('01_Input'!$P$69="Forfait",IF(AF$15&gt;='01_Input'!$N$69,'01_Input'!$Q$69,0),IF('01_Input'!$P$69="Palier",IF(AND(AF$15&gt;='01_Input'!$N$69,AF$15&lt;'01_Input'!$O$69),'01_Input'!$Q$69,0),MAX(MIN(AF$15,'01_Input'!$O$69)-'01_Input'!$N$69,0)*'01_Input'!$Q$69))+IF('01_Input'!$T$69="Forfait",IF(AF$15&gt;='01_Input'!$R$69,'01_Input'!$U$69,0),IF('01_Input'!$T$69="Palier",IF(AND(AF$15&gt;='01_Input'!$R$69,AF$15&lt;'01_Input'!$S$69),'01_Input'!$U$69,0),MAX(MIN(AF$15,'01_Input'!$S$69)-'01_Input'!$R$69,0)*'01_Input'!$U$69))+IF('01_Input'!$X$69="Forfait",IF(AF$15&gt;='01_Input'!$V$69,'01_Input'!$Y$69,0),IF('01_Input'!$X$69="Palier",IF(AND(AF$15&gt;='01_Input'!$V$69,AF$15&lt;'01_Input'!$W$69),'01_Input'!$Y$69,0),MAX(MIN(AF$15,'01_Input'!$W$69)-'01_Input'!$V$69,0)*'01_Input'!$Y$69))+IF('01_Input'!$AB$69="Forfait",IF(AF$15&gt;='01_Input'!$Z$69,'01_Input'!$AC$69,0),IF('01_Input'!$AB$69="Palier",IF(AND(AF$15&gt;='01_Input'!$Z$69,AF$15&lt;'01_Input'!$AA$69),'01_Input'!$AC$69,0),MAX(MIN(AF$15,'01_Input'!$AA$69)-'01_Input'!$Z$69,0)*'01_Input'!$AC$69))))))))))</f>
        <v/>
      </c>
      <c r="AG60" s="25" t="str">
        <f>IF(AG$15="","",IF('01_Input'!$C$69="Non",0,MIN('01_Input'!$I$69,MAX('01_Input'!$H$69,IF('01_Input'!$G$69="Résiduel vs Gestion",0,IF('01_Input'!$G$69="Taux Classe sélectionnée",Distrib_Global_Classe_Selectionnee*AG$15,IF('01_Input'!$G$69="Frais KYC (paliers de 100M€)",MAX(0,Nb_Investisseurs-Nb_KYC_Gratuites_Par_Tranche*(FLOOR(AG$15/Taille_Tranche_KYC,1)+1))*Cout_Par_KYC_Supplementaire,(IF('01_Input'!$L$69="Forfait",IF(AG$15&gt;='01_Input'!$J$69,'01_Input'!$M$69,0),IF('01_Input'!$L$69="Palier",IF(AND(AG$15&gt;='01_Input'!$J$69,AG$15&lt;'01_Input'!$K$69),'01_Input'!$M$69,0),MAX(MIN(AG$15,'01_Input'!$K$69)-'01_Input'!$J$69,0)*'01_Input'!$M$69))+IF('01_Input'!$P$69="Forfait",IF(AG$15&gt;='01_Input'!$N$69,'01_Input'!$Q$69,0),IF('01_Input'!$P$69="Palier",IF(AND(AG$15&gt;='01_Input'!$N$69,AG$15&lt;'01_Input'!$O$69),'01_Input'!$Q$69,0),MAX(MIN(AG$15,'01_Input'!$O$69)-'01_Input'!$N$69,0)*'01_Input'!$Q$69))+IF('01_Input'!$T$69="Forfait",IF(AG$15&gt;='01_Input'!$R$69,'01_Input'!$U$69,0),IF('01_Input'!$T$69="Palier",IF(AND(AG$15&gt;='01_Input'!$R$69,AG$15&lt;'01_Input'!$S$69),'01_Input'!$U$69,0),MAX(MIN(AG$15,'01_Input'!$S$69)-'01_Input'!$R$69,0)*'01_Input'!$U$69))+IF('01_Input'!$X$69="Forfait",IF(AG$15&gt;='01_Input'!$V$69,'01_Input'!$Y$69,0),IF('01_Input'!$X$69="Palier",IF(AND(AG$15&gt;='01_Input'!$V$69,AG$15&lt;'01_Input'!$W$69),'01_Input'!$Y$69,0),MAX(MIN(AG$15,'01_Input'!$W$69)-'01_Input'!$V$69,0)*'01_Input'!$Y$69))+IF('01_Input'!$AB$69="Forfait",IF(AG$15&gt;='01_Input'!$Z$69,'01_Input'!$AC$69,0),IF('01_Input'!$AB$69="Palier",IF(AND(AG$15&gt;='01_Input'!$Z$69,AG$15&lt;'01_Input'!$AA$69),'01_Input'!$AC$69,0),MAX(MIN(AG$15,'01_Input'!$AA$69)-'01_Input'!$Z$69,0)*'01_Input'!$AC$69))))))))))</f>
        <v/>
      </c>
      <c r="AH60" s="25" t="str">
        <f>IF(AH$15="","",IF('01_Input'!$C$69="Non",0,MIN('01_Input'!$I$69,MAX('01_Input'!$H$69,IF('01_Input'!$G$69="Résiduel vs Gestion",0,IF('01_Input'!$G$69="Taux Classe sélectionnée",Distrib_Global_Classe_Selectionnee*AH$15,IF('01_Input'!$G$69="Frais KYC (paliers de 100M€)",MAX(0,Nb_Investisseurs-Nb_KYC_Gratuites_Par_Tranche*(FLOOR(AH$15/Taille_Tranche_KYC,1)+1))*Cout_Par_KYC_Supplementaire,(IF('01_Input'!$L$69="Forfait",IF(AH$15&gt;='01_Input'!$J$69,'01_Input'!$M$69,0),IF('01_Input'!$L$69="Palier",IF(AND(AH$15&gt;='01_Input'!$J$69,AH$15&lt;'01_Input'!$K$69),'01_Input'!$M$69,0),MAX(MIN(AH$15,'01_Input'!$K$69)-'01_Input'!$J$69,0)*'01_Input'!$M$69))+IF('01_Input'!$P$69="Forfait",IF(AH$15&gt;='01_Input'!$N$69,'01_Input'!$Q$69,0),IF('01_Input'!$P$69="Palier",IF(AND(AH$15&gt;='01_Input'!$N$69,AH$15&lt;'01_Input'!$O$69),'01_Input'!$Q$69,0),MAX(MIN(AH$15,'01_Input'!$O$69)-'01_Input'!$N$69,0)*'01_Input'!$Q$69))+IF('01_Input'!$T$69="Forfait",IF(AH$15&gt;='01_Input'!$R$69,'01_Input'!$U$69,0),IF('01_Input'!$T$69="Palier",IF(AND(AH$15&gt;='01_Input'!$R$69,AH$15&lt;'01_Input'!$S$69),'01_Input'!$U$69,0),MAX(MIN(AH$15,'01_Input'!$S$69)-'01_Input'!$R$69,0)*'01_Input'!$U$69))+IF('01_Input'!$X$69="Forfait",IF(AH$15&gt;='01_Input'!$V$69,'01_Input'!$Y$69,0),IF('01_Input'!$X$69="Palier",IF(AND(AH$15&gt;='01_Input'!$V$69,AH$15&lt;'01_Input'!$W$69),'01_Input'!$Y$69,0),MAX(MIN(AH$15,'01_Input'!$W$69)-'01_Input'!$V$69,0)*'01_Input'!$Y$69))+IF('01_Input'!$AB$69="Forfait",IF(AH$15&gt;='01_Input'!$Z$69,'01_Input'!$AC$69,0),IF('01_Input'!$AB$69="Palier",IF(AND(AH$15&gt;='01_Input'!$Z$69,AH$15&lt;'01_Input'!$AA$69),'01_Input'!$AC$69,0),MAX(MIN(AH$15,'01_Input'!$AA$69)-'01_Input'!$Z$69,0)*'01_Input'!$AC$69))))))))))</f>
        <v/>
      </c>
      <c r="AI60" s="25" t="str">
        <f>IF(AI$15="","",IF('01_Input'!$C$69="Non",0,MIN('01_Input'!$I$69,MAX('01_Input'!$H$69,IF('01_Input'!$G$69="Résiduel vs Gestion",0,IF('01_Input'!$G$69="Taux Classe sélectionnée",Distrib_Global_Classe_Selectionnee*AI$15,IF('01_Input'!$G$69="Frais KYC (paliers de 100M€)",MAX(0,Nb_Investisseurs-Nb_KYC_Gratuites_Par_Tranche*(FLOOR(AI$15/Taille_Tranche_KYC,1)+1))*Cout_Par_KYC_Supplementaire,(IF('01_Input'!$L$69="Forfait",IF(AI$15&gt;='01_Input'!$J$69,'01_Input'!$M$69,0),IF('01_Input'!$L$69="Palier",IF(AND(AI$15&gt;='01_Input'!$J$69,AI$15&lt;'01_Input'!$K$69),'01_Input'!$M$69,0),MAX(MIN(AI$15,'01_Input'!$K$69)-'01_Input'!$J$69,0)*'01_Input'!$M$69))+IF('01_Input'!$P$69="Forfait",IF(AI$15&gt;='01_Input'!$N$69,'01_Input'!$Q$69,0),IF('01_Input'!$P$69="Palier",IF(AND(AI$15&gt;='01_Input'!$N$69,AI$15&lt;'01_Input'!$O$69),'01_Input'!$Q$69,0),MAX(MIN(AI$15,'01_Input'!$O$69)-'01_Input'!$N$69,0)*'01_Input'!$Q$69))+IF('01_Input'!$T$69="Forfait",IF(AI$15&gt;='01_Input'!$R$69,'01_Input'!$U$69,0),IF('01_Input'!$T$69="Palier",IF(AND(AI$15&gt;='01_Input'!$R$69,AI$15&lt;'01_Input'!$S$69),'01_Input'!$U$69,0),MAX(MIN(AI$15,'01_Input'!$S$69)-'01_Input'!$R$69,0)*'01_Input'!$U$69))+IF('01_Input'!$X$69="Forfait",IF(AI$15&gt;='01_Input'!$V$69,'01_Input'!$Y$69,0),IF('01_Input'!$X$69="Palier",IF(AND(AI$15&gt;='01_Input'!$V$69,AI$15&lt;'01_Input'!$W$69),'01_Input'!$Y$69,0),MAX(MIN(AI$15,'01_Input'!$W$69)-'01_Input'!$V$69,0)*'01_Input'!$Y$69))+IF('01_Input'!$AB$69="Forfait",IF(AI$15&gt;='01_Input'!$Z$69,'01_Input'!$AC$69,0),IF('01_Input'!$AB$69="Palier",IF(AND(AI$15&gt;='01_Input'!$Z$69,AI$15&lt;'01_Input'!$AA$69),'01_Input'!$AC$69,0),MAX(MIN(AI$15,'01_Input'!$AA$69)-'01_Input'!$Z$69,0)*'01_Input'!$AC$69))))))))))</f>
        <v/>
      </c>
      <c r="AJ60" s="25" t="str">
        <f>IF(AJ$15="","",IF('01_Input'!$C$69="Non",0,MIN('01_Input'!$I$69,MAX('01_Input'!$H$69,IF('01_Input'!$G$69="Résiduel vs Gestion",0,IF('01_Input'!$G$69="Taux Classe sélectionnée",Distrib_Global_Classe_Selectionnee*AJ$15,IF('01_Input'!$G$69="Frais KYC (paliers de 100M€)",MAX(0,Nb_Investisseurs-Nb_KYC_Gratuites_Par_Tranche*(FLOOR(AJ$15/Taille_Tranche_KYC,1)+1))*Cout_Par_KYC_Supplementaire,(IF('01_Input'!$L$69="Forfait",IF(AJ$15&gt;='01_Input'!$J$69,'01_Input'!$M$69,0),IF('01_Input'!$L$69="Palier",IF(AND(AJ$15&gt;='01_Input'!$J$69,AJ$15&lt;'01_Input'!$K$69),'01_Input'!$M$69,0),MAX(MIN(AJ$15,'01_Input'!$K$69)-'01_Input'!$J$69,0)*'01_Input'!$M$69))+IF('01_Input'!$P$69="Forfait",IF(AJ$15&gt;='01_Input'!$N$69,'01_Input'!$Q$69,0),IF('01_Input'!$P$69="Palier",IF(AND(AJ$15&gt;='01_Input'!$N$69,AJ$15&lt;'01_Input'!$O$69),'01_Input'!$Q$69,0),MAX(MIN(AJ$15,'01_Input'!$O$69)-'01_Input'!$N$69,0)*'01_Input'!$Q$69))+IF('01_Input'!$T$69="Forfait",IF(AJ$15&gt;='01_Input'!$R$69,'01_Input'!$U$69,0),IF('01_Input'!$T$69="Palier",IF(AND(AJ$15&gt;='01_Input'!$R$69,AJ$15&lt;'01_Input'!$S$69),'01_Input'!$U$69,0),MAX(MIN(AJ$15,'01_Input'!$S$69)-'01_Input'!$R$69,0)*'01_Input'!$U$69))+IF('01_Input'!$X$69="Forfait",IF(AJ$15&gt;='01_Input'!$V$69,'01_Input'!$Y$69,0),IF('01_Input'!$X$69="Palier",IF(AND(AJ$15&gt;='01_Input'!$V$69,AJ$15&lt;'01_Input'!$W$69),'01_Input'!$Y$69,0),MAX(MIN(AJ$15,'01_Input'!$W$69)-'01_Input'!$V$69,0)*'01_Input'!$Y$69))+IF('01_Input'!$AB$69="Forfait",IF(AJ$15&gt;='01_Input'!$Z$69,'01_Input'!$AC$69,0),IF('01_Input'!$AB$69="Palier",IF(AND(AJ$15&gt;='01_Input'!$Z$69,AJ$15&lt;'01_Input'!$AA$69),'01_Input'!$AC$69,0),MAX(MIN(AJ$15,'01_Input'!$AA$69)-'01_Input'!$Z$69,0)*'01_Input'!$AC$69))))))))))</f>
        <v/>
      </c>
      <c r="AK60" s="25" t="str">
        <f>IF(AK$15="","",IF('01_Input'!$C$69="Non",0,MIN('01_Input'!$I$69,MAX('01_Input'!$H$69,IF('01_Input'!$G$69="Résiduel vs Gestion",0,IF('01_Input'!$G$69="Taux Classe sélectionnée",Distrib_Global_Classe_Selectionnee*AK$15,IF('01_Input'!$G$69="Frais KYC (paliers de 100M€)",MAX(0,Nb_Investisseurs-Nb_KYC_Gratuites_Par_Tranche*(FLOOR(AK$15/Taille_Tranche_KYC,1)+1))*Cout_Par_KYC_Supplementaire,(IF('01_Input'!$L$69="Forfait",IF(AK$15&gt;='01_Input'!$J$69,'01_Input'!$M$69,0),IF('01_Input'!$L$69="Palier",IF(AND(AK$15&gt;='01_Input'!$J$69,AK$15&lt;'01_Input'!$K$69),'01_Input'!$M$69,0),MAX(MIN(AK$15,'01_Input'!$K$69)-'01_Input'!$J$69,0)*'01_Input'!$M$69))+IF('01_Input'!$P$69="Forfait",IF(AK$15&gt;='01_Input'!$N$69,'01_Input'!$Q$69,0),IF('01_Input'!$P$69="Palier",IF(AND(AK$15&gt;='01_Input'!$N$69,AK$15&lt;'01_Input'!$O$69),'01_Input'!$Q$69,0),MAX(MIN(AK$15,'01_Input'!$O$69)-'01_Input'!$N$69,0)*'01_Input'!$Q$69))+IF('01_Input'!$T$69="Forfait",IF(AK$15&gt;='01_Input'!$R$69,'01_Input'!$U$69,0),IF('01_Input'!$T$69="Palier",IF(AND(AK$15&gt;='01_Input'!$R$69,AK$15&lt;'01_Input'!$S$69),'01_Input'!$U$69,0),MAX(MIN(AK$15,'01_Input'!$S$69)-'01_Input'!$R$69,0)*'01_Input'!$U$69))+IF('01_Input'!$X$69="Forfait",IF(AK$15&gt;='01_Input'!$V$69,'01_Input'!$Y$69,0),IF('01_Input'!$X$69="Palier",IF(AND(AK$15&gt;='01_Input'!$V$69,AK$15&lt;'01_Input'!$W$69),'01_Input'!$Y$69,0),MAX(MIN(AK$15,'01_Input'!$W$69)-'01_Input'!$V$69,0)*'01_Input'!$Y$69))+IF('01_Input'!$AB$69="Forfait",IF(AK$15&gt;='01_Input'!$Z$69,'01_Input'!$AC$69,0),IF('01_Input'!$AB$69="Palier",IF(AND(AK$15&gt;='01_Input'!$Z$69,AK$15&lt;'01_Input'!$AA$69),'01_Input'!$AC$69,0),MAX(MIN(AK$15,'01_Input'!$AA$69)-'01_Input'!$Z$69,0)*'01_Input'!$AC$69))))))))))</f>
        <v/>
      </c>
      <c r="AL60" s="25" t="str">
        <f>IF(AL$15="","",IF('01_Input'!$C$69="Non",0,MIN('01_Input'!$I$69,MAX('01_Input'!$H$69,IF('01_Input'!$G$69="Résiduel vs Gestion",0,IF('01_Input'!$G$69="Taux Classe sélectionnée",Distrib_Global_Classe_Selectionnee*AL$15,IF('01_Input'!$G$69="Frais KYC (paliers de 100M€)",MAX(0,Nb_Investisseurs-Nb_KYC_Gratuites_Par_Tranche*(FLOOR(AL$15/Taille_Tranche_KYC,1)+1))*Cout_Par_KYC_Supplementaire,(IF('01_Input'!$L$69="Forfait",IF(AL$15&gt;='01_Input'!$J$69,'01_Input'!$M$69,0),IF('01_Input'!$L$69="Palier",IF(AND(AL$15&gt;='01_Input'!$J$69,AL$15&lt;'01_Input'!$K$69),'01_Input'!$M$69,0),MAX(MIN(AL$15,'01_Input'!$K$69)-'01_Input'!$J$69,0)*'01_Input'!$M$69))+IF('01_Input'!$P$69="Forfait",IF(AL$15&gt;='01_Input'!$N$69,'01_Input'!$Q$69,0),IF('01_Input'!$P$69="Palier",IF(AND(AL$15&gt;='01_Input'!$N$69,AL$15&lt;'01_Input'!$O$69),'01_Input'!$Q$69,0),MAX(MIN(AL$15,'01_Input'!$O$69)-'01_Input'!$N$69,0)*'01_Input'!$Q$69))+IF('01_Input'!$T$69="Forfait",IF(AL$15&gt;='01_Input'!$R$69,'01_Input'!$U$69,0),IF('01_Input'!$T$69="Palier",IF(AND(AL$15&gt;='01_Input'!$R$69,AL$15&lt;'01_Input'!$S$69),'01_Input'!$U$69,0),MAX(MIN(AL$15,'01_Input'!$S$69)-'01_Input'!$R$69,0)*'01_Input'!$U$69))+IF('01_Input'!$X$69="Forfait",IF(AL$15&gt;='01_Input'!$V$69,'01_Input'!$Y$69,0),IF('01_Input'!$X$69="Palier",IF(AND(AL$15&gt;='01_Input'!$V$69,AL$15&lt;'01_Input'!$W$69),'01_Input'!$Y$69,0),MAX(MIN(AL$15,'01_Input'!$W$69)-'01_Input'!$V$69,0)*'01_Input'!$Y$69))+IF('01_Input'!$AB$69="Forfait",IF(AL$15&gt;='01_Input'!$Z$69,'01_Input'!$AC$69,0),IF('01_Input'!$AB$69="Palier",IF(AND(AL$15&gt;='01_Input'!$Z$69,AL$15&lt;'01_Input'!$AA$69),'01_Input'!$AC$69,0),MAX(MIN(AL$15,'01_Input'!$AA$69)-'01_Input'!$Z$69,0)*'01_Input'!$AC$69))))))))))</f>
        <v/>
      </c>
      <c r="AM60" s="25" t="str">
        <f>IF(AM$15="","",IF('01_Input'!$C$69="Non",0,MIN('01_Input'!$I$69,MAX('01_Input'!$H$69,IF('01_Input'!$G$69="Résiduel vs Gestion",0,IF('01_Input'!$G$69="Taux Classe sélectionnée",Distrib_Global_Classe_Selectionnee*AM$15,IF('01_Input'!$G$69="Frais KYC (paliers de 100M€)",MAX(0,Nb_Investisseurs-Nb_KYC_Gratuites_Par_Tranche*(FLOOR(AM$15/Taille_Tranche_KYC,1)+1))*Cout_Par_KYC_Supplementaire,(IF('01_Input'!$L$69="Forfait",IF(AM$15&gt;='01_Input'!$J$69,'01_Input'!$M$69,0),IF('01_Input'!$L$69="Palier",IF(AND(AM$15&gt;='01_Input'!$J$69,AM$15&lt;'01_Input'!$K$69),'01_Input'!$M$69,0),MAX(MIN(AM$15,'01_Input'!$K$69)-'01_Input'!$J$69,0)*'01_Input'!$M$69))+IF('01_Input'!$P$69="Forfait",IF(AM$15&gt;='01_Input'!$N$69,'01_Input'!$Q$69,0),IF('01_Input'!$P$69="Palier",IF(AND(AM$15&gt;='01_Input'!$N$69,AM$15&lt;'01_Input'!$O$69),'01_Input'!$Q$69,0),MAX(MIN(AM$15,'01_Input'!$O$69)-'01_Input'!$N$69,0)*'01_Input'!$Q$69))+IF('01_Input'!$T$69="Forfait",IF(AM$15&gt;='01_Input'!$R$69,'01_Input'!$U$69,0),IF('01_Input'!$T$69="Palier",IF(AND(AM$15&gt;='01_Input'!$R$69,AM$15&lt;'01_Input'!$S$69),'01_Input'!$U$69,0),MAX(MIN(AM$15,'01_Input'!$S$69)-'01_Input'!$R$69,0)*'01_Input'!$U$69))+IF('01_Input'!$X$69="Forfait",IF(AM$15&gt;='01_Input'!$V$69,'01_Input'!$Y$69,0),IF('01_Input'!$X$69="Palier",IF(AND(AM$15&gt;='01_Input'!$V$69,AM$15&lt;'01_Input'!$W$69),'01_Input'!$Y$69,0),MAX(MIN(AM$15,'01_Input'!$W$69)-'01_Input'!$V$69,0)*'01_Input'!$Y$69))+IF('01_Input'!$AB$69="Forfait",IF(AM$15&gt;='01_Input'!$Z$69,'01_Input'!$AC$69,0),IF('01_Input'!$AB$69="Palier",IF(AND(AM$15&gt;='01_Input'!$Z$69,AM$15&lt;'01_Input'!$AA$69),'01_Input'!$AC$69,0),MAX(MIN(AM$15,'01_Input'!$AA$69)-'01_Input'!$Z$69,0)*'01_Input'!$AC$69))))))))))</f>
        <v/>
      </c>
    </row>
    <row r="61" ht="15.75" hidden="1" customHeight="1" outlineLevel="1">
      <c r="B61" s="68" t="str">
        <f t="shared" si="1"/>
        <v>(inactif)</v>
      </c>
      <c r="D61" s="83">
        <f>IF(D$15="","",IF('01_Input'!$C$70="Non",0,MIN('01_Input'!$I$70,MAX('01_Input'!$H$70,IF('01_Input'!$G$70="Résiduel vs Gestion",0,IF('01_Input'!$G$70="Taux Classe sélectionnée",Distrib_Global_Classe_Selectionnee*D$15,IF('01_Input'!$G$70="Frais KYC (paliers de 100M€)",MAX(0,Nb_Investisseurs-Nb_KYC_Gratuites_Par_Tranche*(FLOOR(D$15/Taille_Tranche_KYC,1)+1))*Cout_Par_KYC_Supplementaire,(IF('01_Input'!$L$70="Forfait",IF(D$15&gt;='01_Input'!$J$70,'01_Input'!$M$70,0),IF('01_Input'!$L$70="Palier",IF(AND(D$15&gt;='01_Input'!$J$70,D$15&lt;'01_Input'!$K$70),'01_Input'!$M$70,0),MAX(MIN(D$15,'01_Input'!$K$70)-'01_Input'!$J$70,0)*'01_Input'!$M$70))+IF('01_Input'!$P$70="Forfait",IF(D$15&gt;='01_Input'!$N$70,'01_Input'!$Q$70,0),IF('01_Input'!$P$70="Palier",IF(AND(D$15&gt;='01_Input'!$N$70,D$15&lt;'01_Input'!$O$70),'01_Input'!$Q$70,0),MAX(MIN(D$15,'01_Input'!$O$70)-'01_Input'!$N$70,0)*'01_Input'!$Q$70))+IF('01_Input'!$T$70="Forfait",IF(D$15&gt;='01_Input'!$R$70,'01_Input'!$U$70,0),IF('01_Input'!$T$70="Palier",IF(AND(D$15&gt;='01_Input'!$R$70,D$15&lt;'01_Input'!$S$70),'01_Input'!$U$70,0),MAX(MIN(D$15,'01_Input'!$S$70)-'01_Input'!$R$70,0)*'01_Input'!$U$70))+IF('01_Input'!$X$70="Forfait",IF(D$15&gt;='01_Input'!$V$70,'01_Input'!$Y$70,0),IF('01_Input'!$X$70="Palier",IF(AND(D$15&gt;='01_Input'!$V$70,D$15&lt;'01_Input'!$W$70),'01_Input'!$Y$70,0),MAX(MIN(D$15,'01_Input'!$W$70)-'01_Input'!$V$70,0)*'01_Input'!$Y$70))+IF('01_Input'!$AB$70="Forfait",IF(D$15&gt;='01_Input'!$Z$70,'01_Input'!$AC$70,0),IF('01_Input'!$AB$70="Palier",IF(AND(D$15&gt;='01_Input'!$Z$70,D$15&lt;'01_Input'!$AA$70),'01_Input'!$AC$70,0),MAX(MIN(D$15,'01_Input'!$AA$70)-'01_Input'!$Z$70,0)*'01_Input'!$AC$70))))))))))</f>
        <v>0</v>
      </c>
      <c r="E61" s="83">
        <f>IF(E$15="","",IF('01_Input'!$C$70="Non",0,MIN('01_Input'!$I$70,MAX('01_Input'!$H$70,IF('01_Input'!$G$70="Résiduel vs Gestion",0,IF('01_Input'!$G$70="Taux Classe sélectionnée",Distrib_Global_Classe_Selectionnee*E$15,IF('01_Input'!$G$70="Frais KYC (paliers de 100M€)",MAX(0,Nb_Investisseurs-Nb_KYC_Gratuites_Par_Tranche*(FLOOR(E$15/Taille_Tranche_KYC,1)+1))*Cout_Par_KYC_Supplementaire,(IF('01_Input'!$L$70="Forfait",IF(E$15&gt;='01_Input'!$J$70,'01_Input'!$M$70,0),IF('01_Input'!$L$70="Palier",IF(AND(E$15&gt;='01_Input'!$J$70,E$15&lt;'01_Input'!$K$70),'01_Input'!$M$70,0),MAX(MIN(E$15,'01_Input'!$K$70)-'01_Input'!$J$70,0)*'01_Input'!$M$70))+IF('01_Input'!$P$70="Forfait",IF(E$15&gt;='01_Input'!$N$70,'01_Input'!$Q$70,0),IF('01_Input'!$P$70="Palier",IF(AND(E$15&gt;='01_Input'!$N$70,E$15&lt;'01_Input'!$O$70),'01_Input'!$Q$70,0),MAX(MIN(E$15,'01_Input'!$O$70)-'01_Input'!$N$70,0)*'01_Input'!$Q$70))+IF('01_Input'!$T$70="Forfait",IF(E$15&gt;='01_Input'!$R$70,'01_Input'!$U$70,0),IF('01_Input'!$T$70="Palier",IF(AND(E$15&gt;='01_Input'!$R$70,E$15&lt;'01_Input'!$S$70),'01_Input'!$U$70,0),MAX(MIN(E$15,'01_Input'!$S$70)-'01_Input'!$R$70,0)*'01_Input'!$U$70))+IF('01_Input'!$X$70="Forfait",IF(E$15&gt;='01_Input'!$V$70,'01_Input'!$Y$70,0),IF('01_Input'!$X$70="Palier",IF(AND(E$15&gt;='01_Input'!$V$70,E$15&lt;'01_Input'!$W$70),'01_Input'!$Y$70,0),MAX(MIN(E$15,'01_Input'!$W$70)-'01_Input'!$V$70,0)*'01_Input'!$Y$70))+IF('01_Input'!$AB$70="Forfait",IF(E$15&gt;='01_Input'!$Z$70,'01_Input'!$AC$70,0),IF('01_Input'!$AB$70="Palier",IF(AND(E$15&gt;='01_Input'!$Z$70,E$15&lt;'01_Input'!$AA$70),'01_Input'!$AC$70,0),MAX(MIN(E$15,'01_Input'!$AA$70)-'01_Input'!$Z$70,0)*'01_Input'!$AC$70))))))))))</f>
        <v>0</v>
      </c>
      <c r="F61" s="83" t="str">
        <f>IF(F$15="","",IF('01_Input'!$C$70="Non",0,MIN('01_Input'!$I$70,MAX('01_Input'!$H$70,IF('01_Input'!$G$70="Résiduel vs Gestion",0,IF('01_Input'!$G$70="Taux Classe sélectionnée",Distrib_Global_Classe_Selectionnee*F$15,IF('01_Input'!$G$70="Frais KYC (paliers de 100M€)",MAX(0,Nb_Investisseurs-Nb_KYC_Gratuites_Par_Tranche*(FLOOR(F$15/Taille_Tranche_KYC,1)+1))*Cout_Par_KYC_Supplementaire,(IF('01_Input'!$L$70="Forfait",IF(F$15&gt;='01_Input'!$J$70,'01_Input'!$M$70,0),IF('01_Input'!$L$70="Palier",IF(AND(F$15&gt;='01_Input'!$J$70,F$15&lt;'01_Input'!$K$70),'01_Input'!$M$70,0),MAX(MIN(F$15,'01_Input'!$K$70)-'01_Input'!$J$70,0)*'01_Input'!$M$70))+IF('01_Input'!$P$70="Forfait",IF(F$15&gt;='01_Input'!$N$70,'01_Input'!$Q$70,0),IF('01_Input'!$P$70="Palier",IF(AND(F$15&gt;='01_Input'!$N$70,F$15&lt;'01_Input'!$O$70),'01_Input'!$Q$70,0),MAX(MIN(F$15,'01_Input'!$O$70)-'01_Input'!$N$70,0)*'01_Input'!$Q$70))+IF('01_Input'!$T$70="Forfait",IF(F$15&gt;='01_Input'!$R$70,'01_Input'!$U$70,0),IF('01_Input'!$T$70="Palier",IF(AND(F$15&gt;='01_Input'!$R$70,F$15&lt;'01_Input'!$S$70),'01_Input'!$U$70,0),MAX(MIN(F$15,'01_Input'!$S$70)-'01_Input'!$R$70,0)*'01_Input'!$U$70))+IF('01_Input'!$X$70="Forfait",IF(F$15&gt;='01_Input'!$V$70,'01_Input'!$Y$70,0),IF('01_Input'!$X$70="Palier",IF(AND(F$15&gt;='01_Input'!$V$70,F$15&lt;'01_Input'!$W$70),'01_Input'!$Y$70,0),MAX(MIN(F$15,'01_Input'!$W$70)-'01_Input'!$V$70,0)*'01_Input'!$Y$70))+IF('01_Input'!$AB$70="Forfait",IF(F$15&gt;='01_Input'!$Z$70,'01_Input'!$AC$70,0),IF('01_Input'!$AB$70="Palier",IF(AND(F$15&gt;='01_Input'!$Z$70,F$15&lt;'01_Input'!$AA$70),'01_Input'!$AC$70,0),MAX(MIN(F$15,'01_Input'!$AA$70)-'01_Input'!$Z$70,0)*'01_Input'!$AC$70))))))))))</f>
        <v/>
      </c>
      <c r="G61" s="83" t="str">
        <f>IF(G$15="","",IF('01_Input'!$C$70="Non",0,MIN('01_Input'!$I$70,MAX('01_Input'!$H$70,IF('01_Input'!$G$70="Résiduel vs Gestion",0,IF('01_Input'!$G$70="Taux Classe sélectionnée",Distrib_Global_Classe_Selectionnee*G$15,IF('01_Input'!$G$70="Frais KYC (paliers de 100M€)",MAX(0,Nb_Investisseurs-Nb_KYC_Gratuites_Par_Tranche*(FLOOR(G$15/Taille_Tranche_KYC,1)+1))*Cout_Par_KYC_Supplementaire,(IF('01_Input'!$L$70="Forfait",IF(G$15&gt;='01_Input'!$J$70,'01_Input'!$M$70,0),IF('01_Input'!$L$70="Palier",IF(AND(G$15&gt;='01_Input'!$J$70,G$15&lt;'01_Input'!$K$70),'01_Input'!$M$70,0),MAX(MIN(G$15,'01_Input'!$K$70)-'01_Input'!$J$70,0)*'01_Input'!$M$70))+IF('01_Input'!$P$70="Forfait",IF(G$15&gt;='01_Input'!$N$70,'01_Input'!$Q$70,0),IF('01_Input'!$P$70="Palier",IF(AND(G$15&gt;='01_Input'!$N$70,G$15&lt;'01_Input'!$O$70),'01_Input'!$Q$70,0),MAX(MIN(G$15,'01_Input'!$O$70)-'01_Input'!$N$70,0)*'01_Input'!$Q$70))+IF('01_Input'!$T$70="Forfait",IF(G$15&gt;='01_Input'!$R$70,'01_Input'!$U$70,0),IF('01_Input'!$T$70="Palier",IF(AND(G$15&gt;='01_Input'!$R$70,G$15&lt;'01_Input'!$S$70),'01_Input'!$U$70,0),MAX(MIN(G$15,'01_Input'!$S$70)-'01_Input'!$R$70,0)*'01_Input'!$U$70))+IF('01_Input'!$X$70="Forfait",IF(G$15&gt;='01_Input'!$V$70,'01_Input'!$Y$70,0),IF('01_Input'!$X$70="Palier",IF(AND(G$15&gt;='01_Input'!$V$70,G$15&lt;'01_Input'!$W$70),'01_Input'!$Y$70,0),MAX(MIN(G$15,'01_Input'!$W$70)-'01_Input'!$V$70,0)*'01_Input'!$Y$70))+IF('01_Input'!$AB$70="Forfait",IF(G$15&gt;='01_Input'!$Z$70,'01_Input'!$AC$70,0),IF('01_Input'!$AB$70="Palier",IF(AND(G$15&gt;='01_Input'!$Z$70,G$15&lt;'01_Input'!$AA$70),'01_Input'!$AC$70,0),MAX(MIN(G$15,'01_Input'!$AA$70)-'01_Input'!$Z$70,0)*'01_Input'!$AC$70))))))))))</f>
        <v/>
      </c>
      <c r="H61" s="83" t="str">
        <f>IF(H$15="","",IF('01_Input'!$C$70="Non",0,MIN('01_Input'!$I$70,MAX('01_Input'!$H$70,IF('01_Input'!$G$70="Résiduel vs Gestion",0,IF('01_Input'!$G$70="Taux Classe sélectionnée",Distrib_Global_Classe_Selectionnee*H$15,IF('01_Input'!$G$70="Frais KYC (paliers de 100M€)",MAX(0,Nb_Investisseurs-Nb_KYC_Gratuites_Par_Tranche*(FLOOR(H$15/Taille_Tranche_KYC,1)+1))*Cout_Par_KYC_Supplementaire,(IF('01_Input'!$L$70="Forfait",IF(H$15&gt;='01_Input'!$J$70,'01_Input'!$M$70,0),IF('01_Input'!$L$70="Palier",IF(AND(H$15&gt;='01_Input'!$J$70,H$15&lt;'01_Input'!$K$70),'01_Input'!$M$70,0),MAX(MIN(H$15,'01_Input'!$K$70)-'01_Input'!$J$70,0)*'01_Input'!$M$70))+IF('01_Input'!$P$70="Forfait",IF(H$15&gt;='01_Input'!$N$70,'01_Input'!$Q$70,0),IF('01_Input'!$P$70="Palier",IF(AND(H$15&gt;='01_Input'!$N$70,H$15&lt;'01_Input'!$O$70),'01_Input'!$Q$70,0),MAX(MIN(H$15,'01_Input'!$O$70)-'01_Input'!$N$70,0)*'01_Input'!$Q$70))+IF('01_Input'!$T$70="Forfait",IF(H$15&gt;='01_Input'!$R$70,'01_Input'!$U$70,0),IF('01_Input'!$T$70="Palier",IF(AND(H$15&gt;='01_Input'!$R$70,H$15&lt;'01_Input'!$S$70),'01_Input'!$U$70,0),MAX(MIN(H$15,'01_Input'!$S$70)-'01_Input'!$R$70,0)*'01_Input'!$U$70))+IF('01_Input'!$X$70="Forfait",IF(H$15&gt;='01_Input'!$V$70,'01_Input'!$Y$70,0),IF('01_Input'!$X$70="Palier",IF(AND(H$15&gt;='01_Input'!$V$70,H$15&lt;'01_Input'!$W$70),'01_Input'!$Y$70,0),MAX(MIN(H$15,'01_Input'!$W$70)-'01_Input'!$V$70,0)*'01_Input'!$Y$70))+IF('01_Input'!$AB$70="Forfait",IF(H$15&gt;='01_Input'!$Z$70,'01_Input'!$AC$70,0),IF('01_Input'!$AB$70="Palier",IF(AND(H$15&gt;='01_Input'!$Z$70,H$15&lt;'01_Input'!$AA$70),'01_Input'!$AC$70,0),MAX(MIN(H$15,'01_Input'!$AA$70)-'01_Input'!$Z$70,0)*'01_Input'!$AC$70))))))))))</f>
        <v/>
      </c>
      <c r="I61" s="83" t="str">
        <f>IF(I$15="","",IF('01_Input'!$C$70="Non",0,MIN('01_Input'!$I$70,MAX('01_Input'!$H$70,IF('01_Input'!$G$70="Résiduel vs Gestion",0,IF('01_Input'!$G$70="Taux Classe sélectionnée",Distrib_Global_Classe_Selectionnee*I$15,IF('01_Input'!$G$70="Frais KYC (paliers de 100M€)",MAX(0,Nb_Investisseurs-Nb_KYC_Gratuites_Par_Tranche*(FLOOR(I$15/Taille_Tranche_KYC,1)+1))*Cout_Par_KYC_Supplementaire,(IF('01_Input'!$L$70="Forfait",IF(I$15&gt;='01_Input'!$J$70,'01_Input'!$M$70,0),IF('01_Input'!$L$70="Palier",IF(AND(I$15&gt;='01_Input'!$J$70,I$15&lt;'01_Input'!$K$70),'01_Input'!$M$70,0),MAX(MIN(I$15,'01_Input'!$K$70)-'01_Input'!$J$70,0)*'01_Input'!$M$70))+IF('01_Input'!$P$70="Forfait",IF(I$15&gt;='01_Input'!$N$70,'01_Input'!$Q$70,0),IF('01_Input'!$P$70="Palier",IF(AND(I$15&gt;='01_Input'!$N$70,I$15&lt;'01_Input'!$O$70),'01_Input'!$Q$70,0),MAX(MIN(I$15,'01_Input'!$O$70)-'01_Input'!$N$70,0)*'01_Input'!$Q$70))+IF('01_Input'!$T$70="Forfait",IF(I$15&gt;='01_Input'!$R$70,'01_Input'!$U$70,0),IF('01_Input'!$T$70="Palier",IF(AND(I$15&gt;='01_Input'!$R$70,I$15&lt;'01_Input'!$S$70),'01_Input'!$U$70,0),MAX(MIN(I$15,'01_Input'!$S$70)-'01_Input'!$R$70,0)*'01_Input'!$U$70))+IF('01_Input'!$X$70="Forfait",IF(I$15&gt;='01_Input'!$V$70,'01_Input'!$Y$70,0),IF('01_Input'!$X$70="Palier",IF(AND(I$15&gt;='01_Input'!$V$70,I$15&lt;'01_Input'!$W$70),'01_Input'!$Y$70,0),MAX(MIN(I$15,'01_Input'!$W$70)-'01_Input'!$V$70,0)*'01_Input'!$Y$70))+IF('01_Input'!$AB$70="Forfait",IF(I$15&gt;='01_Input'!$Z$70,'01_Input'!$AC$70,0),IF('01_Input'!$AB$70="Palier",IF(AND(I$15&gt;='01_Input'!$Z$70,I$15&lt;'01_Input'!$AA$70),'01_Input'!$AC$70,0),MAX(MIN(I$15,'01_Input'!$AA$70)-'01_Input'!$Z$70,0)*'01_Input'!$AC$70))))))))))</f>
        <v/>
      </c>
      <c r="J61" s="83" t="str">
        <f>IF(J$15="","",IF('01_Input'!$C$70="Non",0,MIN('01_Input'!$I$70,MAX('01_Input'!$H$70,IF('01_Input'!$G$70="Résiduel vs Gestion",0,IF('01_Input'!$G$70="Taux Classe sélectionnée",Distrib_Global_Classe_Selectionnee*J$15,IF('01_Input'!$G$70="Frais KYC (paliers de 100M€)",MAX(0,Nb_Investisseurs-Nb_KYC_Gratuites_Par_Tranche*(FLOOR(J$15/Taille_Tranche_KYC,1)+1))*Cout_Par_KYC_Supplementaire,(IF('01_Input'!$L$70="Forfait",IF(J$15&gt;='01_Input'!$J$70,'01_Input'!$M$70,0),IF('01_Input'!$L$70="Palier",IF(AND(J$15&gt;='01_Input'!$J$70,J$15&lt;'01_Input'!$K$70),'01_Input'!$M$70,0),MAX(MIN(J$15,'01_Input'!$K$70)-'01_Input'!$J$70,0)*'01_Input'!$M$70))+IF('01_Input'!$P$70="Forfait",IF(J$15&gt;='01_Input'!$N$70,'01_Input'!$Q$70,0),IF('01_Input'!$P$70="Palier",IF(AND(J$15&gt;='01_Input'!$N$70,J$15&lt;'01_Input'!$O$70),'01_Input'!$Q$70,0),MAX(MIN(J$15,'01_Input'!$O$70)-'01_Input'!$N$70,0)*'01_Input'!$Q$70))+IF('01_Input'!$T$70="Forfait",IF(J$15&gt;='01_Input'!$R$70,'01_Input'!$U$70,0),IF('01_Input'!$T$70="Palier",IF(AND(J$15&gt;='01_Input'!$R$70,J$15&lt;'01_Input'!$S$70),'01_Input'!$U$70,0),MAX(MIN(J$15,'01_Input'!$S$70)-'01_Input'!$R$70,0)*'01_Input'!$U$70))+IF('01_Input'!$X$70="Forfait",IF(J$15&gt;='01_Input'!$V$70,'01_Input'!$Y$70,0),IF('01_Input'!$X$70="Palier",IF(AND(J$15&gt;='01_Input'!$V$70,J$15&lt;'01_Input'!$W$70),'01_Input'!$Y$70,0),MAX(MIN(J$15,'01_Input'!$W$70)-'01_Input'!$V$70,0)*'01_Input'!$Y$70))+IF('01_Input'!$AB$70="Forfait",IF(J$15&gt;='01_Input'!$Z$70,'01_Input'!$AC$70,0),IF('01_Input'!$AB$70="Palier",IF(AND(J$15&gt;='01_Input'!$Z$70,J$15&lt;'01_Input'!$AA$70),'01_Input'!$AC$70,0),MAX(MIN(J$15,'01_Input'!$AA$70)-'01_Input'!$Z$70,0)*'01_Input'!$AC$70))))))))))</f>
        <v/>
      </c>
      <c r="K61" s="83" t="str">
        <f>IF(K$15="","",IF('01_Input'!$C$70="Non",0,MIN('01_Input'!$I$70,MAX('01_Input'!$H$70,IF('01_Input'!$G$70="Résiduel vs Gestion",0,IF('01_Input'!$G$70="Taux Classe sélectionnée",Distrib_Global_Classe_Selectionnee*K$15,IF('01_Input'!$G$70="Frais KYC (paliers de 100M€)",MAX(0,Nb_Investisseurs-Nb_KYC_Gratuites_Par_Tranche*(FLOOR(K$15/Taille_Tranche_KYC,1)+1))*Cout_Par_KYC_Supplementaire,(IF('01_Input'!$L$70="Forfait",IF(K$15&gt;='01_Input'!$J$70,'01_Input'!$M$70,0),IF('01_Input'!$L$70="Palier",IF(AND(K$15&gt;='01_Input'!$J$70,K$15&lt;'01_Input'!$K$70),'01_Input'!$M$70,0),MAX(MIN(K$15,'01_Input'!$K$70)-'01_Input'!$J$70,0)*'01_Input'!$M$70))+IF('01_Input'!$P$70="Forfait",IF(K$15&gt;='01_Input'!$N$70,'01_Input'!$Q$70,0),IF('01_Input'!$P$70="Palier",IF(AND(K$15&gt;='01_Input'!$N$70,K$15&lt;'01_Input'!$O$70),'01_Input'!$Q$70,0),MAX(MIN(K$15,'01_Input'!$O$70)-'01_Input'!$N$70,0)*'01_Input'!$Q$70))+IF('01_Input'!$T$70="Forfait",IF(K$15&gt;='01_Input'!$R$70,'01_Input'!$U$70,0),IF('01_Input'!$T$70="Palier",IF(AND(K$15&gt;='01_Input'!$R$70,K$15&lt;'01_Input'!$S$70),'01_Input'!$U$70,0),MAX(MIN(K$15,'01_Input'!$S$70)-'01_Input'!$R$70,0)*'01_Input'!$U$70))+IF('01_Input'!$X$70="Forfait",IF(K$15&gt;='01_Input'!$V$70,'01_Input'!$Y$70,0),IF('01_Input'!$X$70="Palier",IF(AND(K$15&gt;='01_Input'!$V$70,K$15&lt;'01_Input'!$W$70),'01_Input'!$Y$70,0),MAX(MIN(K$15,'01_Input'!$W$70)-'01_Input'!$V$70,0)*'01_Input'!$Y$70))+IF('01_Input'!$AB$70="Forfait",IF(K$15&gt;='01_Input'!$Z$70,'01_Input'!$AC$70,0),IF('01_Input'!$AB$70="Palier",IF(AND(K$15&gt;='01_Input'!$Z$70,K$15&lt;'01_Input'!$AA$70),'01_Input'!$AC$70,0),MAX(MIN(K$15,'01_Input'!$AA$70)-'01_Input'!$Z$70,0)*'01_Input'!$AC$70))))))))))</f>
        <v/>
      </c>
      <c r="L61" s="83" t="str">
        <f>IF(L$15="","",IF('01_Input'!$C$70="Non",0,MIN('01_Input'!$I$70,MAX('01_Input'!$H$70,IF('01_Input'!$G$70="Résiduel vs Gestion",0,IF('01_Input'!$G$70="Taux Classe sélectionnée",Distrib_Global_Classe_Selectionnee*L$15,IF('01_Input'!$G$70="Frais KYC (paliers de 100M€)",MAX(0,Nb_Investisseurs-Nb_KYC_Gratuites_Par_Tranche*(FLOOR(L$15/Taille_Tranche_KYC,1)+1))*Cout_Par_KYC_Supplementaire,(IF('01_Input'!$L$70="Forfait",IF(L$15&gt;='01_Input'!$J$70,'01_Input'!$M$70,0),IF('01_Input'!$L$70="Palier",IF(AND(L$15&gt;='01_Input'!$J$70,L$15&lt;'01_Input'!$K$70),'01_Input'!$M$70,0),MAX(MIN(L$15,'01_Input'!$K$70)-'01_Input'!$J$70,0)*'01_Input'!$M$70))+IF('01_Input'!$P$70="Forfait",IF(L$15&gt;='01_Input'!$N$70,'01_Input'!$Q$70,0),IF('01_Input'!$P$70="Palier",IF(AND(L$15&gt;='01_Input'!$N$70,L$15&lt;'01_Input'!$O$70),'01_Input'!$Q$70,0),MAX(MIN(L$15,'01_Input'!$O$70)-'01_Input'!$N$70,0)*'01_Input'!$Q$70))+IF('01_Input'!$T$70="Forfait",IF(L$15&gt;='01_Input'!$R$70,'01_Input'!$U$70,0),IF('01_Input'!$T$70="Palier",IF(AND(L$15&gt;='01_Input'!$R$70,L$15&lt;'01_Input'!$S$70),'01_Input'!$U$70,0),MAX(MIN(L$15,'01_Input'!$S$70)-'01_Input'!$R$70,0)*'01_Input'!$U$70))+IF('01_Input'!$X$70="Forfait",IF(L$15&gt;='01_Input'!$V$70,'01_Input'!$Y$70,0),IF('01_Input'!$X$70="Palier",IF(AND(L$15&gt;='01_Input'!$V$70,L$15&lt;'01_Input'!$W$70),'01_Input'!$Y$70,0),MAX(MIN(L$15,'01_Input'!$W$70)-'01_Input'!$V$70,0)*'01_Input'!$Y$70))+IF('01_Input'!$AB$70="Forfait",IF(L$15&gt;='01_Input'!$Z$70,'01_Input'!$AC$70,0),IF('01_Input'!$AB$70="Palier",IF(AND(L$15&gt;='01_Input'!$Z$70,L$15&lt;'01_Input'!$AA$70),'01_Input'!$AC$70,0),MAX(MIN(L$15,'01_Input'!$AA$70)-'01_Input'!$Z$70,0)*'01_Input'!$AC$70))))))))))</f>
        <v/>
      </c>
      <c r="M61" s="83" t="str">
        <f>IF(M$15="","",IF('01_Input'!$C$70="Non",0,MIN('01_Input'!$I$70,MAX('01_Input'!$H$70,IF('01_Input'!$G$70="Résiduel vs Gestion",0,IF('01_Input'!$G$70="Taux Classe sélectionnée",Distrib_Global_Classe_Selectionnee*M$15,IF('01_Input'!$G$70="Frais KYC (paliers de 100M€)",MAX(0,Nb_Investisseurs-Nb_KYC_Gratuites_Par_Tranche*(FLOOR(M$15/Taille_Tranche_KYC,1)+1))*Cout_Par_KYC_Supplementaire,(IF('01_Input'!$L$70="Forfait",IF(M$15&gt;='01_Input'!$J$70,'01_Input'!$M$70,0),IF('01_Input'!$L$70="Palier",IF(AND(M$15&gt;='01_Input'!$J$70,M$15&lt;'01_Input'!$K$70),'01_Input'!$M$70,0),MAX(MIN(M$15,'01_Input'!$K$70)-'01_Input'!$J$70,0)*'01_Input'!$M$70))+IF('01_Input'!$P$70="Forfait",IF(M$15&gt;='01_Input'!$N$70,'01_Input'!$Q$70,0),IF('01_Input'!$P$70="Palier",IF(AND(M$15&gt;='01_Input'!$N$70,M$15&lt;'01_Input'!$O$70),'01_Input'!$Q$70,0),MAX(MIN(M$15,'01_Input'!$O$70)-'01_Input'!$N$70,0)*'01_Input'!$Q$70))+IF('01_Input'!$T$70="Forfait",IF(M$15&gt;='01_Input'!$R$70,'01_Input'!$U$70,0),IF('01_Input'!$T$70="Palier",IF(AND(M$15&gt;='01_Input'!$R$70,M$15&lt;'01_Input'!$S$70),'01_Input'!$U$70,0),MAX(MIN(M$15,'01_Input'!$S$70)-'01_Input'!$R$70,0)*'01_Input'!$U$70))+IF('01_Input'!$X$70="Forfait",IF(M$15&gt;='01_Input'!$V$70,'01_Input'!$Y$70,0),IF('01_Input'!$X$70="Palier",IF(AND(M$15&gt;='01_Input'!$V$70,M$15&lt;'01_Input'!$W$70),'01_Input'!$Y$70,0),MAX(MIN(M$15,'01_Input'!$W$70)-'01_Input'!$V$70,0)*'01_Input'!$Y$70))+IF('01_Input'!$AB$70="Forfait",IF(M$15&gt;='01_Input'!$Z$70,'01_Input'!$AC$70,0),IF('01_Input'!$AB$70="Palier",IF(AND(M$15&gt;='01_Input'!$Z$70,M$15&lt;'01_Input'!$AA$70),'01_Input'!$AC$70,0),MAX(MIN(M$15,'01_Input'!$AA$70)-'01_Input'!$Z$70,0)*'01_Input'!$AC$70))))))))))</f>
        <v/>
      </c>
      <c r="N61" s="83" t="str">
        <f>IF(N$15="","",IF('01_Input'!$C$70="Non",0,MIN('01_Input'!$I$70,MAX('01_Input'!$H$70,IF('01_Input'!$G$70="Résiduel vs Gestion",0,IF('01_Input'!$G$70="Taux Classe sélectionnée",Distrib_Global_Classe_Selectionnee*N$15,IF('01_Input'!$G$70="Frais KYC (paliers de 100M€)",MAX(0,Nb_Investisseurs-Nb_KYC_Gratuites_Par_Tranche*(FLOOR(N$15/Taille_Tranche_KYC,1)+1))*Cout_Par_KYC_Supplementaire,(IF('01_Input'!$L$70="Forfait",IF(N$15&gt;='01_Input'!$J$70,'01_Input'!$M$70,0),IF('01_Input'!$L$70="Palier",IF(AND(N$15&gt;='01_Input'!$J$70,N$15&lt;'01_Input'!$K$70),'01_Input'!$M$70,0),MAX(MIN(N$15,'01_Input'!$K$70)-'01_Input'!$J$70,0)*'01_Input'!$M$70))+IF('01_Input'!$P$70="Forfait",IF(N$15&gt;='01_Input'!$N$70,'01_Input'!$Q$70,0),IF('01_Input'!$P$70="Palier",IF(AND(N$15&gt;='01_Input'!$N$70,N$15&lt;'01_Input'!$O$70),'01_Input'!$Q$70,0),MAX(MIN(N$15,'01_Input'!$O$70)-'01_Input'!$N$70,0)*'01_Input'!$Q$70))+IF('01_Input'!$T$70="Forfait",IF(N$15&gt;='01_Input'!$R$70,'01_Input'!$U$70,0),IF('01_Input'!$T$70="Palier",IF(AND(N$15&gt;='01_Input'!$R$70,N$15&lt;'01_Input'!$S$70),'01_Input'!$U$70,0),MAX(MIN(N$15,'01_Input'!$S$70)-'01_Input'!$R$70,0)*'01_Input'!$U$70))+IF('01_Input'!$X$70="Forfait",IF(N$15&gt;='01_Input'!$V$70,'01_Input'!$Y$70,0),IF('01_Input'!$X$70="Palier",IF(AND(N$15&gt;='01_Input'!$V$70,N$15&lt;'01_Input'!$W$70),'01_Input'!$Y$70,0),MAX(MIN(N$15,'01_Input'!$W$70)-'01_Input'!$V$70,0)*'01_Input'!$Y$70))+IF('01_Input'!$AB$70="Forfait",IF(N$15&gt;='01_Input'!$Z$70,'01_Input'!$AC$70,0),IF('01_Input'!$AB$70="Palier",IF(AND(N$15&gt;='01_Input'!$Z$70,N$15&lt;'01_Input'!$AA$70),'01_Input'!$AC$70,0),MAX(MIN(N$15,'01_Input'!$AA$70)-'01_Input'!$Z$70,0)*'01_Input'!$AC$70))))))))))</f>
        <v/>
      </c>
      <c r="O61" s="83" t="str">
        <f>IF(O$15="","",IF('01_Input'!$C$70="Non",0,MIN('01_Input'!$I$70,MAX('01_Input'!$H$70,IF('01_Input'!$G$70="Résiduel vs Gestion",0,IF('01_Input'!$G$70="Taux Classe sélectionnée",Distrib_Global_Classe_Selectionnee*O$15,IF('01_Input'!$G$70="Frais KYC (paliers de 100M€)",MAX(0,Nb_Investisseurs-Nb_KYC_Gratuites_Par_Tranche*(FLOOR(O$15/Taille_Tranche_KYC,1)+1))*Cout_Par_KYC_Supplementaire,(IF('01_Input'!$L$70="Forfait",IF(O$15&gt;='01_Input'!$J$70,'01_Input'!$M$70,0),IF('01_Input'!$L$70="Palier",IF(AND(O$15&gt;='01_Input'!$J$70,O$15&lt;'01_Input'!$K$70),'01_Input'!$M$70,0),MAX(MIN(O$15,'01_Input'!$K$70)-'01_Input'!$J$70,0)*'01_Input'!$M$70))+IF('01_Input'!$P$70="Forfait",IF(O$15&gt;='01_Input'!$N$70,'01_Input'!$Q$70,0),IF('01_Input'!$P$70="Palier",IF(AND(O$15&gt;='01_Input'!$N$70,O$15&lt;'01_Input'!$O$70),'01_Input'!$Q$70,0),MAX(MIN(O$15,'01_Input'!$O$70)-'01_Input'!$N$70,0)*'01_Input'!$Q$70))+IF('01_Input'!$T$70="Forfait",IF(O$15&gt;='01_Input'!$R$70,'01_Input'!$U$70,0),IF('01_Input'!$T$70="Palier",IF(AND(O$15&gt;='01_Input'!$R$70,O$15&lt;'01_Input'!$S$70),'01_Input'!$U$70,0),MAX(MIN(O$15,'01_Input'!$S$70)-'01_Input'!$R$70,0)*'01_Input'!$U$70))+IF('01_Input'!$X$70="Forfait",IF(O$15&gt;='01_Input'!$V$70,'01_Input'!$Y$70,0),IF('01_Input'!$X$70="Palier",IF(AND(O$15&gt;='01_Input'!$V$70,O$15&lt;'01_Input'!$W$70),'01_Input'!$Y$70,0),MAX(MIN(O$15,'01_Input'!$W$70)-'01_Input'!$V$70,0)*'01_Input'!$Y$70))+IF('01_Input'!$AB$70="Forfait",IF(O$15&gt;='01_Input'!$Z$70,'01_Input'!$AC$70,0),IF('01_Input'!$AB$70="Palier",IF(AND(O$15&gt;='01_Input'!$Z$70,O$15&lt;'01_Input'!$AA$70),'01_Input'!$AC$70,0),MAX(MIN(O$15,'01_Input'!$AA$70)-'01_Input'!$Z$70,0)*'01_Input'!$AC$70))))))))))</f>
        <v/>
      </c>
      <c r="P61" s="83" t="str">
        <f>IF(P$15="","",IF('01_Input'!$C$70="Non",0,MIN('01_Input'!$I$70,MAX('01_Input'!$H$70,IF('01_Input'!$G$70="Résiduel vs Gestion",0,IF('01_Input'!$G$70="Taux Classe sélectionnée",Distrib_Global_Classe_Selectionnee*P$15,IF('01_Input'!$G$70="Frais KYC (paliers de 100M€)",MAX(0,Nb_Investisseurs-Nb_KYC_Gratuites_Par_Tranche*(FLOOR(P$15/Taille_Tranche_KYC,1)+1))*Cout_Par_KYC_Supplementaire,(IF('01_Input'!$L$70="Forfait",IF(P$15&gt;='01_Input'!$J$70,'01_Input'!$M$70,0),IF('01_Input'!$L$70="Palier",IF(AND(P$15&gt;='01_Input'!$J$70,P$15&lt;'01_Input'!$K$70),'01_Input'!$M$70,0),MAX(MIN(P$15,'01_Input'!$K$70)-'01_Input'!$J$70,0)*'01_Input'!$M$70))+IF('01_Input'!$P$70="Forfait",IF(P$15&gt;='01_Input'!$N$70,'01_Input'!$Q$70,0),IF('01_Input'!$P$70="Palier",IF(AND(P$15&gt;='01_Input'!$N$70,P$15&lt;'01_Input'!$O$70),'01_Input'!$Q$70,0),MAX(MIN(P$15,'01_Input'!$O$70)-'01_Input'!$N$70,0)*'01_Input'!$Q$70))+IF('01_Input'!$T$70="Forfait",IF(P$15&gt;='01_Input'!$R$70,'01_Input'!$U$70,0),IF('01_Input'!$T$70="Palier",IF(AND(P$15&gt;='01_Input'!$R$70,P$15&lt;'01_Input'!$S$70),'01_Input'!$U$70,0),MAX(MIN(P$15,'01_Input'!$S$70)-'01_Input'!$R$70,0)*'01_Input'!$U$70))+IF('01_Input'!$X$70="Forfait",IF(P$15&gt;='01_Input'!$V$70,'01_Input'!$Y$70,0),IF('01_Input'!$X$70="Palier",IF(AND(P$15&gt;='01_Input'!$V$70,P$15&lt;'01_Input'!$W$70),'01_Input'!$Y$70,0),MAX(MIN(P$15,'01_Input'!$W$70)-'01_Input'!$V$70,0)*'01_Input'!$Y$70))+IF('01_Input'!$AB$70="Forfait",IF(P$15&gt;='01_Input'!$Z$70,'01_Input'!$AC$70,0),IF('01_Input'!$AB$70="Palier",IF(AND(P$15&gt;='01_Input'!$Z$70,P$15&lt;'01_Input'!$AA$70),'01_Input'!$AC$70,0),MAX(MIN(P$15,'01_Input'!$AA$70)-'01_Input'!$Z$70,0)*'01_Input'!$AC$70))))))))))</f>
        <v/>
      </c>
      <c r="Q61" s="83" t="str">
        <f>IF(Q$15="","",IF('01_Input'!$C$70="Non",0,MIN('01_Input'!$I$70,MAX('01_Input'!$H$70,IF('01_Input'!$G$70="Résiduel vs Gestion",0,IF('01_Input'!$G$70="Taux Classe sélectionnée",Distrib_Global_Classe_Selectionnee*Q$15,IF('01_Input'!$G$70="Frais KYC (paliers de 100M€)",MAX(0,Nb_Investisseurs-Nb_KYC_Gratuites_Par_Tranche*(FLOOR(Q$15/Taille_Tranche_KYC,1)+1))*Cout_Par_KYC_Supplementaire,(IF('01_Input'!$L$70="Forfait",IF(Q$15&gt;='01_Input'!$J$70,'01_Input'!$M$70,0),IF('01_Input'!$L$70="Palier",IF(AND(Q$15&gt;='01_Input'!$J$70,Q$15&lt;'01_Input'!$K$70),'01_Input'!$M$70,0),MAX(MIN(Q$15,'01_Input'!$K$70)-'01_Input'!$J$70,0)*'01_Input'!$M$70))+IF('01_Input'!$P$70="Forfait",IF(Q$15&gt;='01_Input'!$N$70,'01_Input'!$Q$70,0),IF('01_Input'!$P$70="Palier",IF(AND(Q$15&gt;='01_Input'!$N$70,Q$15&lt;'01_Input'!$O$70),'01_Input'!$Q$70,0),MAX(MIN(Q$15,'01_Input'!$O$70)-'01_Input'!$N$70,0)*'01_Input'!$Q$70))+IF('01_Input'!$T$70="Forfait",IF(Q$15&gt;='01_Input'!$R$70,'01_Input'!$U$70,0),IF('01_Input'!$T$70="Palier",IF(AND(Q$15&gt;='01_Input'!$R$70,Q$15&lt;'01_Input'!$S$70),'01_Input'!$U$70,0),MAX(MIN(Q$15,'01_Input'!$S$70)-'01_Input'!$R$70,0)*'01_Input'!$U$70))+IF('01_Input'!$X$70="Forfait",IF(Q$15&gt;='01_Input'!$V$70,'01_Input'!$Y$70,0),IF('01_Input'!$X$70="Palier",IF(AND(Q$15&gt;='01_Input'!$V$70,Q$15&lt;'01_Input'!$W$70),'01_Input'!$Y$70,0),MAX(MIN(Q$15,'01_Input'!$W$70)-'01_Input'!$V$70,0)*'01_Input'!$Y$70))+IF('01_Input'!$AB$70="Forfait",IF(Q$15&gt;='01_Input'!$Z$70,'01_Input'!$AC$70,0),IF('01_Input'!$AB$70="Palier",IF(AND(Q$15&gt;='01_Input'!$Z$70,Q$15&lt;'01_Input'!$AA$70),'01_Input'!$AC$70,0),MAX(MIN(Q$15,'01_Input'!$AA$70)-'01_Input'!$Z$70,0)*'01_Input'!$AC$70))))))))))</f>
        <v/>
      </c>
      <c r="R61" s="83" t="str">
        <f>IF(R$15="","",IF('01_Input'!$C$70="Non",0,MIN('01_Input'!$I$70,MAX('01_Input'!$H$70,IF('01_Input'!$G$70="Résiduel vs Gestion",0,IF('01_Input'!$G$70="Taux Classe sélectionnée",Distrib_Global_Classe_Selectionnee*R$15,IF('01_Input'!$G$70="Frais KYC (paliers de 100M€)",MAX(0,Nb_Investisseurs-Nb_KYC_Gratuites_Par_Tranche*(FLOOR(R$15/Taille_Tranche_KYC,1)+1))*Cout_Par_KYC_Supplementaire,(IF('01_Input'!$L$70="Forfait",IF(R$15&gt;='01_Input'!$J$70,'01_Input'!$M$70,0),IF('01_Input'!$L$70="Palier",IF(AND(R$15&gt;='01_Input'!$J$70,R$15&lt;'01_Input'!$K$70),'01_Input'!$M$70,0),MAX(MIN(R$15,'01_Input'!$K$70)-'01_Input'!$J$70,0)*'01_Input'!$M$70))+IF('01_Input'!$P$70="Forfait",IF(R$15&gt;='01_Input'!$N$70,'01_Input'!$Q$70,0),IF('01_Input'!$P$70="Palier",IF(AND(R$15&gt;='01_Input'!$N$70,R$15&lt;'01_Input'!$O$70),'01_Input'!$Q$70,0),MAX(MIN(R$15,'01_Input'!$O$70)-'01_Input'!$N$70,0)*'01_Input'!$Q$70))+IF('01_Input'!$T$70="Forfait",IF(R$15&gt;='01_Input'!$R$70,'01_Input'!$U$70,0),IF('01_Input'!$T$70="Palier",IF(AND(R$15&gt;='01_Input'!$R$70,R$15&lt;'01_Input'!$S$70),'01_Input'!$U$70,0),MAX(MIN(R$15,'01_Input'!$S$70)-'01_Input'!$R$70,0)*'01_Input'!$U$70))+IF('01_Input'!$X$70="Forfait",IF(R$15&gt;='01_Input'!$V$70,'01_Input'!$Y$70,0),IF('01_Input'!$X$70="Palier",IF(AND(R$15&gt;='01_Input'!$V$70,R$15&lt;'01_Input'!$W$70),'01_Input'!$Y$70,0),MAX(MIN(R$15,'01_Input'!$W$70)-'01_Input'!$V$70,0)*'01_Input'!$Y$70))+IF('01_Input'!$AB$70="Forfait",IF(R$15&gt;='01_Input'!$Z$70,'01_Input'!$AC$70,0),IF('01_Input'!$AB$70="Palier",IF(AND(R$15&gt;='01_Input'!$Z$70,R$15&lt;'01_Input'!$AA$70),'01_Input'!$AC$70,0),MAX(MIN(R$15,'01_Input'!$AA$70)-'01_Input'!$Z$70,0)*'01_Input'!$AC$70))))))))))</f>
        <v/>
      </c>
      <c r="S61" s="83" t="str">
        <f>IF(S$15="","",IF('01_Input'!$C$70="Non",0,MIN('01_Input'!$I$70,MAX('01_Input'!$H$70,IF('01_Input'!$G$70="Résiduel vs Gestion",0,IF('01_Input'!$G$70="Taux Classe sélectionnée",Distrib_Global_Classe_Selectionnee*S$15,IF('01_Input'!$G$70="Frais KYC (paliers de 100M€)",MAX(0,Nb_Investisseurs-Nb_KYC_Gratuites_Par_Tranche*(FLOOR(S$15/Taille_Tranche_KYC,1)+1))*Cout_Par_KYC_Supplementaire,(IF('01_Input'!$L$70="Forfait",IF(S$15&gt;='01_Input'!$J$70,'01_Input'!$M$70,0),IF('01_Input'!$L$70="Palier",IF(AND(S$15&gt;='01_Input'!$J$70,S$15&lt;'01_Input'!$K$70),'01_Input'!$M$70,0),MAX(MIN(S$15,'01_Input'!$K$70)-'01_Input'!$J$70,0)*'01_Input'!$M$70))+IF('01_Input'!$P$70="Forfait",IF(S$15&gt;='01_Input'!$N$70,'01_Input'!$Q$70,0),IF('01_Input'!$P$70="Palier",IF(AND(S$15&gt;='01_Input'!$N$70,S$15&lt;'01_Input'!$O$70),'01_Input'!$Q$70,0),MAX(MIN(S$15,'01_Input'!$O$70)-'01_Input'!$N$70,0)*'01_Input'!$Q$70))+IF('01_Input'!$T$70="Forfait",IF(S$15&gt;='01_Input'!$R$70,'01_Input'!$U$70,0),IF('01_Input'!$T$70="Palier",IF(AND(S$15&gt;='01_Input'!$R$70,S$15&lt;'01_Input'!$S$70),'01_Input'!$U$70,0),MAX(MIN(S$15,'01_Input'!$S$70)-'01_Input'!$R$70,0)*'01_Input'!$U$70))+IF('01_Input'!$X$70="Forfait",IF(S$15&gt;='01_Input'!$V$70,'01_Input'!$Y$70,0),IF('01_Input'!$X$70="Palier",IF(AND(S$15&gt;='01_Input'!$V$70,S$15&lt;'01_Input'!$W$70),'01_Input'!$Y$70,0),MAX(MIN(S$15,'01_Input'!$W$70)-'01_Input'!$V$70,0)*'01_Input'!$Y$70))+IF('01_Input'!$AB$70="Forfait",IF(S$15&gt;='01_Input'!$Z$70,'01_Input'!$AC$70,0),IF('01_Input'!$AB$70="Palier",IF(AND(S$15&gt;='01_Input'!$Z$70,S$15&lt;'01_Input'!$AA$70),'01_Input'!$AC$70,0),MAX(MIN(S$15,'01_Input'!$AA$70)-'01_Input'!$Z$70,0)*'01_Input'!$AC$70))))))))))</f>
        <v/>
      </c>
      <c r="T61" s="83" t="str">
        <f>IF(T$15="","",IF('01_Input'!$C$70="Non",0,MIN('01_Input'!$I$70,MAX('01_Input'!$H$70,IF('01_Input'!$G$70="Résiduel vs Gestion",0,IF('01_Input'!$G$70="Taux Classe sélectionnée",Distrib_Global_Classe_Selectionnee*T$15,IF('01_Input'!$G$70="Frais KYC (paliers de 100M€)",MAX(0,Nb_Investisseurs-Nb_KYC_Gratuites_Par_Tranche*(FLOOR(T$15/Taille_Tranche_KYC,1)+1))*Cout_Par_KYC_Supplementaire,(IF('01_Input'!$L$70="Forfait",IF(T$15&gt;='01_Input'!$J$70,'01_Input'!$M$70,0),IF('01_Input'!$L$70="Palier",IF(AND(T$15&gt;='01_Input'!$J$70,T$15&lt;'01_Input'!$K$70),'01_Input'!$M$70,0),MAX(MIN(T$15,'01_Input'!$K$70)-'01_Input'!$J$70,0)*'01_Input'!$M$70))+IF('01_Input'!$P$70="Forfait",IF(T$15&gt;='01_Input'!$N$70,'01_Input'!$Q$70,0),IF('01_Input'!$P$70="Palier",IF(AND(T$15&gt;='01_Input'!$N$70,T$15&lt;'01_Input'!$O$70),'01_Input'!$Q$70,0),MAX(MIN(T$15,'01_Input'!$O$70)-'01_Input'!$N$70,0)*'01_Input'!$Q$70))+IF('01_Input'!$T$70="Forfait",IF(T$15&gt;='01_Input'!$R$70,'01_Input'!$U$70,0),IF('01_Input'!$T$70="Palier",IF(AND(T$15&gt;='01_Input'!$R$70,T$15&lt;'01_Input'!$S$70),'01_Input'!$U$70,0),MAX(MIN(T$15,'01_Input'!$S$70)-'01_Input'!$R$70,0)*'01_Input'!$U$70))+IF('01_Input'!$X$70="Forfait",IF(T$15&gt;='01_Input'!$V$70,'01_Input'!$Y$70,0),IF('01_Input'!$X$70="Palier",IF(AND(T$15&gt;='01_Input'!$V$70,T$15&lt;'01_Input'!$W$70),'01_Input'!$Y$70,0),MAX(MIN(T$15,'01_Input'!$W$70)-'01_Input'!$V$70,0)*'01_Input'!$Y$70))+IF('01_Input'!$AB$70="Forfait",IF(T$15&gt;='01_Input'!$Z$70,'01_Input'!$AC$70,0),IF('01_Input'!$AB$70="Palier",IF(AND(T$15&gt;='01_Input'!$Z$70,T$15&lt;'01_Input'!$AA$70),'01_Input'!$AC$70,0),MAX(MIN(T$15,'01_Input'!$AA$70)-'01_Input'!$Z$70,0)*'01_Input'!$AC$70))))))))))</f>
        <v/>
      </c>
      <c r="U61" s="83" t="str">
        <f>IF(U$15="","",IF('01_Input'!$C$70="Non",0,MIN('01_Input'!$I$70,MAX('01_Input'!$H$70,IF('01_Input'!$G$70="Résiduel vs Gestion",0,IF('01_Input'!$G$70="Taux Classe sélectionnée",Distrib_Global_Classe_Selectionnee*U$15,IF('01_Input'!$G$70="Frais KYC (paliers de 100M€)",MAX(0,Nb_Investisseurs-Nb_KYC_Gratuites_Par_Tranche*(FLOOR(U$15/Taille_Tranche_KYC,1)+1))*Cout_Par_KYC_Supplementaire,(IF('01_Input'!$L$70="Forfait",IF(U$15&gt;='01_Input'!$J$70,'01_Input'!$M$70,0),IF('01_Input'!$L$70="Palier",IF(AND(U$15&gt;='01_Input'!$J$70,U$15&lt;'01_Input'!$K$70),'01_Input'!$M$70,0),MAX(MIN(U$15,'01_Input'!$K$70)-'01_Input'!$J$70,0)*'01_Input'!$M$70))+IF('01_Input'!$P$70="Forfait",IF(U$15&gt;='01_Input'!$N$70,'01_Input'!$Q$70,0),IF('01_Input'!$P$70="Palier",IF(AND(U$15&gt;='01_Input'!$N$70,U$15&lt;'01_Input'!$O$70),'01_Input'!$Q$70,0),MAX(MIN(U$15,'01_Input'!$O$70)-'01_Input'!$N$70,0)*'01_Input'!$Q$70))+IF('01_Input'!$T$70="Forfait",IF(U$15&gt;='01_Input'!$R$70,'01_Input'!$U$70,0),IF('01_Input'!$T$70="Palier",IF(AND(U$15&gt;='01_Input'!$R$70,U$15&lt;'01_Input'!$S$70),'01_Input'!$U$70,0),MAX(MIN(U$15,'01_Input'!$S$70)-'01_Input'!$R$70,0)*'01_Input'!$U$70))+IF('01_Input'!$X$70="Forfait",IF(U$15&gt;='01_Input'!$V$70,'01_Input'!$Y$70,0),IF('01_Input'!$X$70="Palier",IF(AND(U$15&gt;='01_Input'!$V$70,U$15&lt;'01_Input'!$W$70),'01_Input'!$Y$70,0),MAX(MIN(U$15,'01_Input'!$W$70)-'01_Input'!$V$70,0)*'01_Input'!$Y$70))+IF('01_Input'!$AB$70="Forfait",IF(U$15&gt;='01_Input'!$Z$70,'01_Input'!$AC$70,0),IF('01_Input'!$AB$70="Palier",IF(AND(U$15&gt;='01_Input'!$Z$70,U$15&lt;'01_Input'!$AA$70),'01_Input'!$AC$70,0),MAX(MIN(U$15,'01_Input'!$AA$70)-'01_Input'!$Z$70,0)*'01_Input'!$AC$70))))))))))</f>
        <v/>
      </c>
      <c r="V61" s="83" t="str">
        <f>IF(V$15="","",IF('01_Input'!$C$70="Non",0,MIN('01_Input'!$I$70,MAX('01_Input'!$H$70,IF('01_Input'!$G$70="Résiduel vs Gestion",0,IF('01_Input'!$G$70="Taux Classe sélectionnée",Distrib_Global_Classe_Selectionnee*V$15,IF('01_Input'!$G$70="Frais KYC (paliers de 100M€)",MAX(0,Nb_Investisseurs-Nb_KYC_Gratuites_Par_Tranche*(FLOOR(V$15/Taille_Tranche_KYC,1)+1))*Cout_Par_KYC_Supplementaire,(IF('01_Input'!$L$70="Forfait",IF(V$15&gt;='01_Input'!$J$70,'01_Input'!$M$70,0),IF('01_Input'!$L$70="Palier",IF(AND(V$15&gt;='01_Input'!$J$70,V$15&lt;'01_Input'!$K$70),'01_Input'!$M$70,0),MAX(MIN(V$15,'01_Input'!$K$70)-'01_Input'!$J$70,0)*'01_Input'!$M$70))+IF('01_Input'!$P$70="Forfait",IF(V$15&gt;='01_Input'!$N$70,'01_Input'!$Q$70,0),IF('01_Input'!$P$70="Palier",IF(AND(V$15&gt;='01_Input'!$N$70,V$15&lt;'01_Input'!$O$70),'01_Input'!$Q$70,0),MAX(MIN(V$15,'01_Input'!$O$70)-'01_Input'!$N$70,0)*'01_Input'!$Q$70))+IF('01_Input'!$T$70="Forfait",IF(V$15&gt;='01_Input'!$R$70,'01_Input'!$U$70,0),IF('01_Input'!$T$70="Palier",IF(AND(V$15&gt;='01_Input'!$R$70,V$15&lt;'01_Input'!$S$70),'01_Input'!$U$70,0),MAX(MIN(V$15,'01_Input'!$S$70)-'01_Input'!$R$70,0)*'01_Input'!$U$70))+IF('01_Input'!$X$70="Forfait",IF(V$15&gt;='01_Input'!$V$70,'01_Input'!$Y$70,0),IF('01_Input'!$X$70="Palier",IF(AND(V$15&gt;='01_Input'!$V$70,V$15&lt;'01_Input'!$W$70),'01_Input'!$Y$70,0),MAX(MIN(V$15,'01_Input'!$W$70)-'01_Input'!$V$70,0)*'01_Input'!$Y$70))+IF('01_Input'!$AB$70="Forfait",IF(V$15&gt;='01_Input'!$Z$70,'01_Input'!$AC$70,0),IF('01_Input'!$AB$70="Palier",IF(AND(V$15&gt;='01_Input'!$Z$70,V$15&lt;'01_Input'!$AA$70),'01_Input'!$AC$70,0),MAX(MIN(V$15,'01_Input'!$AA$70)-'01_Input'!$Z$70,0)*'01_Input'!$AC$70))))))))))</f>
        <v/>
      </c>
      <c r="W61" s="83" t="str">
        <f>IF(W$15="","",IF('01_Input'!$C$70="Non",0,MIN('01_Input'!$I$70,MAX('01_Input'!$H$70,IF('01_Input'!$G$70="Résiduel vs Gestion",0,IF('01_Input'!$G$70="Taux Classe sélectionnée",Distrib_Global_Classe_Selectionnee*W$15,IF('01_Input'!$G$70="Frais KYC (paliers de 100M€)",MAX(0,Nb_Investisseurs-Nb_KYC_Gratuites_Par_Tranche*(FLOOR(W$15/Taille_Tranche_KYC,1)+1))*Cout_Par_KYC_Supplementaire,(IF('01_Input'!$L$70="Forfait",IF(W$15&gt;='01_Input'!$J$70,'01_Input'!$M$70,0),IF('01_Input'!$L$70="Palier",IF(AND(W$15&gt;='01_Input'!$J$70,W$15&lt;'01_Input'!$K$70),'01_Input'!$M$70,0),MAX(MIN(W$15,'01_Input'!$K$70)-'01_Input'!$J$70,0)*'01_Input'!$M$70))+IF('01_Input'!$P$70="Forfait",IF(W$15&gt;='01_Input'!$N$70,'01_Input'!$Q$70,0),IF('01_Input'!$P$70="Palier",IF(AND(W$15&gt;='01_Input'!$N$70,W$15&lt;'01_Input'!$O$70),'01_Input'!$Q$70,0),MAX(MIN(W$15,'01_Input'!$O$70)-'01_Input'!$N$70,0)*'01_Input'!$Q$70))+IF('01_Input'!$T$70="Forfait",IF(W$15&gt;='01_Input'!$R$70,'01_Input'!$U$70,0),IF('01_Input'!$T$70="Palier",IF(AND(W$15&gt;='01_Input'!$R$70,W$15&lt;'01_Input'!$S$70),'01_Input'!$U$70,0),MAX(MIN(W$15,'01_Input'!$S$70)-'01_Input'!$R$70,0)*'01_Input'!$U$70))+IF('01_Input'!$X$70="Forfait",IF(W$15&gt;='01_Input'!$V$70,'01_Input'!$Y$70,0),IF('01_Input'!$X$70="Palier",IF(AND(W$15&gt;='01_Input'!$V$70,W$15&lt;'01_Input'!$W$70),'01_Input'!$Y$70,0),MAX(MIN(W$15,'01_Input'!$W$70)-'01_Input'!$V$70,0)*'01_Input'!$Y$70))+IF('01_Input'!$AB$70="Forfait",IF(W$15&gt;='01_Input'!$Z$70,'01_Input'!$AC$70,0),IF('01_Input'!$AB$70="Palier",IF(AND(W$15&gt;='01_Input'!$Z$70,W$15&lt;'01_Input'!$AA$70),'01_Input'!$AC$70,0),MAX(MIN(W$15,'01_Input'!$AA$70)-'01_Input'!$Z$70,0)*'01_Input'!$AC$70))))))))))</f>
        <v/>
      </c>
      <c r="X61" s="83" t="str">
        <f>IF(X$15="","",IF('01_Input'!$C$70="Non",0,MIN('01_Input'!$I$70,MAX('01_Input'!$H$70,IF('01_Input'!$G$70="Résiduel vs Gestion",0,IF('01_Input'!$G$70="Taux Classe sélectionnée",Distrib_Global_Classe_Selectionnee*X$15,IF('01_Input'!$G$70="Frais KYC (paliers de 100M€)",MAX(0,Nb_Investisseurs-Nb_KYC_Gratuites_Par_Tranche*(FLOOR(X$15/Taille_Tranche_KYC,1)+1))*Cout_Par_KYC_Supplementaire,(IF('01_Input'!$L$70="Forfait",IF(X$15&gt;='01_Input'!$J$70,'01_Input'!$M$70,0),IF('01_Input'!$L$70="Palier",IF(AND(X$15&gt;='01_Input'!$J$70,X$15&lt;'01_Input'!$K$70),'01_Input'!$M$70,0),MAX(MIN(X$15,'01_Input'!$K$70)-'01_Input'!$J$70,0)*'01_Input'!$M$70))+IF('01_Input'!$P$70="Forfait",IF(X$15&gt;='01_Input'!$N$70,'01_Input'!$Q$70,0),IF('01_Input'!$P$70="Palier",IF(AND(X$15&gt;='01_Input'!$N$70,X$15&lt;'01_Input'!$O$70),'01_Input'!$Q$70,0),MAX(MIN(X$15,'01_Input'!$O$70)-'01_Input'!$N$70,0)*'01_Input'!$Q$70))+IF('01_Input'!$T$70="Forfait",IF(X$15&gt;='01_Input'!$R$70,'01_Input'!$U$70,0),IF('01_Input'!$T$70="Palier",IF(AND(X$15&gt;='01_Input'!$R$70,X$15&lt;'01_Input'!$S$70),'01_Input'!$U$70,0),MAX(MIN(X$15,'01_Input'!$S$70)-'01_Input'!$R$70,0)*'01_Input'!$U$70))+IF('01_Input'!$X$70="Forfait",IF(X$15&gt;='01_Input'!$V$70,'01_Input'!$Y$70,0),IF('01_Input'!$X$70="Palier",IF(AND(X$15&gt;='01_Input'!$V$70,X$15&lt;'01_Input'!$W$70),'01_Input'!$Y$70,0),MAX(MIN(X$15,'01_Input'!$W$70)-'01_Input'!$V$70,0)*'01_Input'!$Y$70))+IF('01_Input'!$AB$70="Forfait",IF(X$15&gt;='01_Input'!$Z$70,'01_Input'!$AC$70,0),IF('01_Input'!$AB$70="Palier",IF(AND(X$15&gt;='01_Input'!$Z$70,X$15&lt;'01_Input'!$AA$70),'01_Input'!$AC$70,0),MAX(MIN(X$15,'01_Input'!$AA$70)-'01_Input'!$Z$70,0)*'01_Input'!$AC$70))))))))))</f>
        <v/>
      </c>
      <c r="Y61" s="83" t="str">
        <f>IF(Y$15="","",IF('01_Input'!$C$70="Non",0,MIN('01_Input'!$I$70,MAX('01_Input'!$H$70,IF('01_Input'!$G$70="Résiduel vs Gestion",0,IF('01_Input'!$G$70="Taux Classe sélectionnée",Distrib_Global_Classe_Selectionnee*Y$15,IF('01_Input'!$G$70="Frais KYC (paliers de 100M€)",MAX(0,Nb_Investisseurs-Nb_KYC_Gratuites_Par_Tranche*(FLOOR(Y$15/Taille_Tranche_KYC,1)+1))*Cout_Par_KYC_Supplementaire,(IF('01_Input'!$L$70="Forfait",IF(Y$15&gt;='01_Input'!$J$70,'01_Input'!$M$70,0),IF('01_Input'!$L$70="Palier",IF(AND(Y$15&gt;='01_Input'!$J$70,Y$15&lt;'01_Input'!$K$70),'01_Input'!$M$70,0),MAX(MIN(Y$15,'01_Input'!$K$70)-'01_Input'!$J$70,0)*'01_Input'!$M$70))+IF('01_Input'!$P$70="Forfait",IF(Y$15&gt;='01_Input'!$N$70,'01_Input'!$Q$70,0),IF('01_Input'!$P$70="Palier",IF(AND(Y$15&gt;='01_Input'!$N$70,Y$15&lt;'01_Input'!$O$70),'01_Input'!$Q$70,0),MAX(MIN(Y$15,'01_Input'!$O$70)-'01_Input'!$N$70,0)*'01_Input'!$Q$70))+IF('01_Input'!$T$70="Forfait",IF(Y$15&gt;='01_Input'!$R$70,'01_Input'!$U$70,0),IF('01_Input'!$T$70="Palier",IF(AND(Y$15&gt;='01_Input'!$R$70,Y$15&lt;'01_Input'!$S$70),'01_Input'!$U$70,0),MAX(MIN(Y$15,'01_Input'!$S$70)-'01_Input'!$R$70,0)*'01_Input'!$U$70))+IF('01_Input'!$X$70="Forfait",IF(Y$15&gt;='01_Input'!$V$70,'01_Input'!$Y$70,0),IF('01_Input'!$X$70="Palier",IF(AND(Y$15&gt;='01_Input'!$V$70,Y$15&lt;'01_Input'!$W$70),'01_Input'!$Y$70,0),MAX(MIN(Y$15,'01_Input'!$W$70)-'01_Input'!$V$70,0)*'01_Input'!$Y$70))+IF('01_Input'!$AB$70="Forfait",IF(Y$15&gt;='01_Input'!$Z$70,'01_Input'!$AC$70,0),IF('01_Input'!$AB$70="Palier",IF(AND(Y$15&gt;='01_Input'!$Z$70,Y$15&lt;'01_Input'!$AA$70),'01_Input'!$AC$70,0),MAX(MIN(Y$15,'01_Input'!$AA$70)-'01_Input'!$Z$70,0)*'01_Input'!$AC$70))))))))))</f>
        <v/>
      </c>
      <c r="Z61" s="83" t="str">
        <f>IF(Z$15="","",IF('01_Input'!$C$70="Non",0,MIN('01_Input'!$I$70,MAX('01_Input'!$H$70,IF('01_Input'!$G$70="Résiduel vs Gestion",0,IF('01_Input'!$G$70="Taux Classe sélectionnée",Distrib_Global_Classe_Selectionnee*Z$15,IF('01_Input'!$G$70="Frais KYC (paliers de 100M€)",MAX(0,Nb_Investisseurs-Nb_KYC_Gratuites_Par_Tranche*(FLOOR(Z$15/Taille_Tranche_KYC,1)+1))*Cout_Par_KYC_Supplementaire,(IF('01_Input'!$L$70="Forfait",IF(Z$15&gt;='01_Input'!$J$70,'01_Input'!$M$70,0),IF('01_Input'!$L$70="Palier",IF(AND(Z$15&gt;='01_Input'!$J$70,Z$15&lt;'01_Input'!$K$70),'01_Input'!$M$70,0),MAX(MIN(Z$15,'01_Input'!$K$70)-'01_Input'!$J$70,0)*'01_Input'!$M$70))+IF('01_Input'!$P$70="Forfait",IF(Z$15&gt;='01_Input'!$N$70,'01_Input'!$Q$70,0),IF('01_Input'!$P$70="Palier",IF(AND(Z$15&gt;='01_Input'!$N$70,Z$15&lt;'01_Input'!$O$70),'01_Input'!$Q$70,0),MAX(MIN(Z$15,'01_Input'!$O$70)-'01_Input'!$N$70,0)*'01_Input'!$Q$70))+IF('01_Input'!$T$70="Forfait",IF(Z$15&gt;='01_Input'!$R$70,'01_Input'!$U$70,0),IF('01_Input'!$T$70="Palier",IF(AND(Z$15&gt;='01_Input'!$R$70,Z$15&lt;'01_Input'!$S$70),'01_Input'!$U$70,0),MAX(MIN(Z$15,'01_Input'!$S$70)-'01_Input'!$R$70,0)*'01_Input'!$U$70))+IF('01_Input'!$X$70="Forfait",IF(Z$15&gt;='01_Input'!$V$70,'01_Input'!$Y$70,0),IF('01_Input'!$X$70="Palier",IF(AND(Z$15&gt;='01_Input'!$V$70,Z$15&lt;'01_Input'!$W$70),'01_Input'!$Y$70,0),MAX(MIN(Z$15,'01_Input'!$W$70)-'01_Input'!$V$70,0)*'01_Input'!$Y$70))+IF('01_Input'!$AB$70="Forfait",IF(Z$15&gt;='01_Input'!$Z$70,'01_Input'!$AC$70,0),IF('01_Input'!$AB$70="Palier",IF(AND(Z$15&gt;='01_Input'!$Z$70,Z$15&lt;'01_Input'!$AA$70),'01_Input'!$AC$70,0),MAX(MIN(Z$15,'01_Input'!$AA$70)-'01_Input'!$Z$70,0)*'01_Input'!$AC$70))))))))))</f>
        <v/>
      </c>
      <c r="AA61" s="83" t="str">
        <f>IF(AA$15="","",IF('01_Input'!$C$70="Non",0,MIN('01_Input'!$I$70,MAX('01_Input'!$H$70,IF('01_Input'!$G$70="Résiduel vs Gestion",0,IF('01_Input'!$G$70="Taux Classe sélectionnée",Distrib_Global_Classe_Selectionnee*AA$15,IF('01_Input'!$G$70="Frais KYC (paliers de 100M€)",MAX(0,Nb_Investisseurs-Nb_KYC_Gratuites_Par_Tranche*(FLOOR(AA$15/Taille_Tranche_KYC,1)+1))*Cout_Par_KYC_Supplementaire,(IF('01_Input'!$L$70="Forfait",IF(AA$15&gt;='01_Input'!$J$70,'01_Input'!$M$70,0),IF('01_Input'!$L$70="Palier",IF(AND(AA$15&gt;='01_Input'!$J$70,AA$15&lt;'01_Input'!$K$70),'01_Input'!$M$70,0),MAX(MIN(AA$15,'01_Input'!$K$70)-'01_Input'!$J$70,0)*'01_Input'!$M$70))+IF('01_Input'!$P$70="Forfait",IF(AA$15&gt;='01_Input'!$N$70,'01_Input'!$Q$70,0),IF('01_Input'!$P$70="Palier",IF(AND(AA$15&gt;='01_Input'!$N$70,AA$15&lt;'01_Input'!$O$70),'01_Input'!$Q$70,0),MAX(MIN(AA$15,'01_Input'!$O$70)-'01_Input'!$N$70,0)*'01_Input'!$Q$70))+IF('01_Input'!$T$70="Forfait",IF(AA$15&gt;='01_Input'!$R$70,'01_Input'!$U$70,0),IF('01_Input'!$T$70="Palier",IF(AND(AA$15&gt;='01_Input'!$R$70,AA$15&lt;'01_Input'!$S$70),'01_Input'!$U$70,0),MAX(MIN(AA$15,'01_Input'!$S$70)-'01_Input'!$R$70,0)*'01_Input'!$U$70))+IF('01_Input'!$X$70="Forfait",IF(AA$15&gt;='01_Input'!$V$70,'01_Input'!$Y$70,0),IF('01_Input'!$X$70="Palier",IF(AND(AA$15&gt;='01_Input'!$V$70,AA$15&lt;'01_Input'!$W$70),'01_Input'!$Y$70,0),MAX(MIN(AA$15,'01_Input'!$W$70)-'01_Input'!$V$70,0)*'01_Input'!$Y$70))+IF('01_Input'!$AB$70="Forfait",IF(AA$15&gt;='01_Input'!$Z$70,'01_Input'!$AC$70,0),IF('01_Input'!$AB$70="Palier",IF(AND(AA$15&gt;='01_Input'!$Z$70,AA$15&lt;'01_Input'!$AA$70),'01_Input'!$AC$70,0),MAX(MIN(AA$15,'01_Input'!$AA$70)-'01_Input'!$Z$70,0)*'01_Input'!$AC$70))))))))))</f>
        <v/>
      </c>
      <c r="AB61" s="83" t="str">
        <f>IF(AB$15="","",IF('01_Input'!$C$70="Non",0,MIN('01_Input'!$I$70,MAX('01_Input'!$H$70,IF('01_Input'!$G$70="Résiduel vs Gestion",0,IF('01_Input'!$G$70="Taux Classe sélectionnée",Distrib_Global_Classe_Selectionnee*AB$15,IF('01_Input'!$G$70="Frais KYC (paliers de 100M€)",MAX(0,Nb_Investisseurs-Nb_KYC_Gratuites_Par_Tranche*(FLOOR(AB$15/Taille_Tranche_KYC,1)+1))*Cout_Par_KYC_Supplementaire,(IF('01_Input'!$L$70="Forfait",IF(AB$15&gt;='01_Input'!$J$70,'01_Input'!$M$70,0),IF('01_Input'!$L$70="Palier",IF(AND(AB$15&gt;='01_Input'!$J$70,AB$15&lt;'01_Input'!$K$70),'01_Input'!$M$70,0),MAX(MIN(AB$15,'01_Input'!$K$70)-'01_Input'!$J$70,0)*'01_Input'!$M$70))+IF('01_Input'!$P$70="Forfait",IF(AB$15&gt;='01_Input'!$N$70,'01_Input'!$Q$70,0),IF('01_Input'!$P$70="Palier",IF(AND(AB$15&gt;='01_Input'!$N$70,AB$15&lt;'01_Input'!$O$70),'01_Input'!$Q$70,0),MAX(MIN(AB$15,'01_Input'!$O$70)-'01_Input'!$N$70,0)*'01_Input'!$Q$70))+IF('01_Input'!$T$70="Forfait",IF(AB$15&gt;='01_Input'!$R$70,'01_Input'!$U$70,0),IF('01_Input'!$T$70="Palier",IF(AND(AB$15&gt;='01_Input'!$R$70,AB$15&lt;'01_Input'!$S$70),'01_Input'!$U$70,0),MAX(MIN(AB$15,'01_Input'!$S$70)-'01_Input'!$R$70,0)*'01_Input'!$U$70))+IF('01_Input'!$X$70="Forfait",IF(AB$15&gt;='01_Input'!$V$70,'01_Input'!$Y$70,0),IF('01_Input'!$X$70="Palier",IF(AND(AB$15&gt;='01_Input'!$V$70,AB$15&lt;'01_Input'!$W$70),'01_Input'!$Y$70,0),MAX(MIN(AB$15,'01_Input'!$W$70)-'01_Input'!$V$70,0)*'01_Input'!$Y$70))+IF('01_Input'!$AB$70="Forfait",IF(AB$15&gt;='01_Input'!$Z$70,'01_Input'!$AC$70,0),IF('01_Input'!$AB$70="Palier",IF(AND(AB$15&gt;='01_Input'!$Z$70,AB$15&lt;'01_Input'!$AA$70),'01_Input'!$AC$70,0),MAX(MIN(AB$15,'01_Input'!$AA$70)-'01_Input'!$Z$70,0)*'01_Input'!$AC$70))))))))))</f>
        <v/>
      </c>
      <c r="AC61" s="83" t="str">
        <f>IF(AC$15="","",IF('01_Input'!$C$70="Non",0,MIN('01_Input'!$I$70,MAX('01_Input'!$H$70,IF('01_Input'!$G$70="Résiduel vs Gestion",0,IF('01_Input'!$G$70="Taux Classe sélectionnée",Distrib_Global_Classe_Selectionnee*AC$15,IF('01_Input'!$G$70="Frais KYC (paliers de 100M€)",MAX(0,Nb_Investisseurs-Nb_KYC_Gratuites_Par_Tranche*(FLOOR(AC$15/Taille_Tranche_KYC,1)+1))*Cout_Par_KYC_Supplementaire,(IF('01_Input'!$L$70="Forfait",IF(AC$15&gt;='01_Input'!$J$70,'01_Input'!$M$70,0),IF('01_Input'!$L$70="Palier",IF(AND(AC$15&gt;='01_Input'!$J$70,AC$15&lt;'01_Input'!$K$70),'01_Input'!$M$70,0),MAX(MIN(AC$15,'01_Input'!$K$70)-'01_Input'!$J$70,0)*'01_Input'!$M$70))+IF('01_Input'!$P$70="Forfait",IF(AC$15&gt;='01_Input'!$N$70,'01_Input'!$Q$70,0),IF('01_Input'!$P$70="Palier",IF(AND(AC$15&gt;='01_Input'!$N$70,AC$15&lt;'01_Input'!$O$70),'01_Input'!$Q$70,0),MAX(MIN(AC$15,'01_Input'!$O$70)-'01_Input'!$N$70,0)*'01_Input'!$Q$70))+IF('01_Input'!$T$70="Forfait",IF(AC$15&gt;='01_Input'!$R$70,'01_Input'!$U$70,0),IF('01_Input'!$T$70="Palier",IF(AND(AC$15&gt;='01_Input'!$R$70,AC$15&lt;'01_Input'!$S$70),'01_Input'!$U$70,0),MAX(MIN(AC$15,'01_Input'!$S$70)-'01_Input'!$R$70,0)*'01_Input'!$U$70))+IF('01_Input'!$X$70="Forfait",IF(AC$15&gt;='01_Input'!$V$70,'01_Input'!$Y$70,0),IF('01_Input'!$X$70="Palier",IF(AND(AC$15&gt;='01_Input'!$V$70,AC$15&lt;'01_Input'!$W$70),'01_Input'!$Y$70,0),MAX(MIN(AC$15,'01_Input'!$W$70)-'01_Input'!$V$70,0)*'01_Input'!$Y$70))+IF('01_Input'!$AB$70="Forfait",IF(AC$15&gt;='01_Input'!$Z$70,'01_Input'!$AC$70,0),IF('01_Input'!$AB$70="Palier",IF(AND(AC$15&gt;='01_Input'!$Z$70,AC$15&lt;'01_Input'!$AA$70),'01_Input'!$AC$70,0),MAX(MIN(AC$15,'01_Input'!$AA$70)-'01_Input'!$Z$70,0)*'01_Input'!$AC$70))))))))))</f>
        <v/>
      </c>
      <c r="AD61" s="83" t="str">
        <f>IF(AD$15="","",IF('01_Input'!$C$70="Non",0,MIN('01_Input'!$I$70,MAX('01_Input'!$H$70,IF('01_Input'!$G$70="Résiduel vs Gestion",0,IF('01_Input'!$G$70="Taux Classe sélectionnée",Distrib_Global_Classe_Selectionnee*AD$15,IF('01_Input'!$G$70="Frais KYC (paliers de 100M€)",MAX(0,Nb_Investisseurs-Nb_KYC_Gratuites_Par_Tranche*(FLOOR(AD$15/Taille_Tranche_KYC,1)+1))*Cout_Par_KYC_Supplementaire,(IF('01_Input'!$L$70="Forfait",IF(AD$15&gt;='01_Input'!$J$70,'01_Input'!$M$70,0),IF('01_Input'!$L$70="Palier",IF(AND(AD$15&gt;='01_Input'!$J$70,AD$15&lt;'01_Input'!$K$70),'01_Input'!$M$70,0),MAX(MIN(AD$15,'01_Input'!$K$70)-'01_Input'!$J$70,0)*'01_Input'!$M$70))+IF('01_Input'!$P$70="Forfait",IF(AD$15&gt;='01_Input'!$N$70,'01_Input'!$Q$70,0),IF('01_Input'!$P$70="Palier",IF(AND(AD$15&gt;='01_Input'!$N$70,AD$15&lt;'01_Input'!$O$70),'01_Input'!$Q$70,0),MAX(MIN(AD$15,'01_Input'!$O$70)-'01_Input'!$N$70,0)*'01_Input'!$Q$70))+IF('01_Input'!$T$70="Forfait",IF(AD$15&gt;='01_Input'!$R$70,'01_Input'!$U$70,0),IF('01_Input'!$T$70="Palier",IF(AND(AD$15&gt;='01_Input'!$R$70,AD$15&lt;'01_Input'!$S$70),'01_Input'!$U$70,0),MAX(MIN(AD$15,'01_Input'!$S$70)-'01_Input'!$R$70,0)*'01_Input'!$U$70))+IF('01_Input'!$X$70="Forfait",IF(AD$15&gt;='01_Input'!$V$70,'01_Input'!$Y$70,0),IF('01_Input'!$X$70="Palier",IF(AND(AD$15&gt;='01_Input'!$V$70,AD$15&lt;'01_Input'!$W$70),'01_Input'!$Y$70,0),MAX(MIN(AD$15,'01_Input'!$W$70)-'01_Input'!$V$70,0)*'01_Input'!$Y$70))+IF('01_Input'!$AB$70="Forfait",IF(AD$15&gt;='01_Input'!$Z$70,'01_Input'!$AC$70,0),IF('01_Input'!$AB$70="Palier",IF(AND(AD$15&gt;='01_Input'!$Z$70,AD$15&lt;'01_Input'!$AA$70),'01_Input'!$AC$70,0),MAX(MIN(AD$15,'01_Input'!$AA$70)-'01_Input'!$Z$70,0)*'01_Input'!$AC$70))))))))))</f>
        <v/>
      </c>
      <c r="AE61" s="83" t="str">
        <f>IF(AE$15="","",IF('01_Input'!$C$70="Non",0,MIN('01_Input'!$I$70,MAX('01_Input'!$H$70,IF('01_Input'!$G$70="Résiduel vs Gestion",0,IF('01_Input'!$G$70="Taux Classe sélectionnée",Distrib_Global_Classe_Selectionnee*AE$15,IF('01_Input'!$G$70="Frais KYC (paliers de 100M€)",MAX(0,Nb_Investisseurs-Nb_KYC_Gratuites_Par_Tranche*(FLOOR(AE$15/Taille_Tranche_KYC,1)+1))*Cout_Par_KYC_Supplementaire,(IF('01_Input'!$L$70="Forfait",IF(AE$15&gt;='01_Input'!$J$70,'01_Input'!$M$70,0),IF('01_Input'!$L$70="Palier",IF(AND(AE$15&gt;='01_Input'!$J$70,AE$15&lt;'01_Input'!$K$70),'01_Input'!$M$70,0),MAX(MIN(AE$15,'01_Input'!$K$70)-'01_Input'!$J$70,0)*'01_Input'!$M$70))+IF('01_Input'!$P$70="Forfait",IF(AE$15&gt;='01_Input'!$N$70,'01_Input'!$Q$70,0),IF('01_Input'!$P$70="Palier",IF(AND(AE$15&gt;='01_Input'!$N$70,AE$15&lt;'01_Input'!$O$70),'01_Input'!$Q$70,0),MAX(MIN(AE$15,'01_Input'!$O$70)-'01_Input'!$N$70,0)*'01_Input'!$Q$70))+IF('01_Input'!$T$70="Forfait",IF(AE$15&gt;='01_Input'!$R$70,'01_Input'!$U$70,0),IF('01_Input'!$T$70="Palier",IF(AND(AE$15&gt;='01_Input'!$R$70,AE$15&lt;'01_Input'!$S$70),'01_Input'!$U$70,0),MAX(MIN(AE$15,'01_Input'!$S$70)-'01_Input'!$R$70,0)*'01_Input'!$U$70))+IF('01_Input'!$X$70="Forfait",IF(AE$15&gt;='01_Input'!$V$70,'01_Input'!$Y$70,0),IF('01_Input'!$X$70="Palier",IF(AND(AE$15&gt;='01_Input'!$V$70,AE$15&lt;'01_Input'!$W$70),'01_Input'!$Y$70,0),MAX(MIN(AE$15,'01_Input'!$W$70)-'01_Input'!$V$70,0)*'01_Input'!$Y$70))+IF('01_Input'!$AB$70="Forfait",IF(AE$15&gt;='01_Input'!$Z$70,'01_Input'!$AC$70,0),IF('01_Input'!$AB$70="Palier",IF(AND(AE$15&gt;='01_Input'!$Z$70,AE$15&lt;'01_Input'!$AA$70),'01_Input'!$AC$70,0),MAX(MIN(AE$15,'01_Input'!$AA$70)-'01_Input'!$Z$70,0)*'01_Input'!$AC$70))))))))))</f>
        <v/>
      </c>
      <c r="AF61" s="83" t="str">
        <f>IF(AF$15="","",IF('01_Input'!$C$70="Non",0,MIN('01_Input'!$I$70,MAX('01_Input'!$H$70,IF('01_Input'!$G$70="Résiduel vs Gestion",0,IF('01_Input'!$G$70="Taux Classe sélectionnée",Distrib_Global_Classe_Selectionnee*AF$15,IF('01_Input'!$G$70="Frais KYC (paliers de 100M€)",MAX(0,Nb_Investisseurs-Nb_KYC_Gratuites_Par_Tranche*(FLOOR(AF$15/Taille_Tranche_KYC,1)+1))*Cout_Par_KYC_Supplementaire,(IF('01_Input'!$L$70="Forfait",IF(AF$15&gt;='01_Input'!$J$70,'01_Input'!$M$70,0),IF('01_Input'!$L$70="Palier",IF(AND(AF$15&gt;='01_Input'!$J$70,AF$15&lt;'01_Input'!$K$70),'01_Input'!$M$70,0),MAX(MIN(AF$15,'01_Input'!$K$70)-'01_Input'!$J$70,0)*'01_Input'!$M$70))+IF('01_Input'!$P$70="Forfait",IF(AF$15&gt;='01_Input'!$N$70,'01_Input'!$Q$70,0),IF('01_Input'!$P$70="Palier",IF(AND(AF$15&gt;='01_Input'!$N$70,AF$15&lt;'01_Input'!$O$70),'01_Input'!$Q$70,0),MAX(MIN(AF$15,'01_Input'!$O$70)-'01_Input'!$N$70,0)*'01_Input'!$Q$70))+IF('01_Input'!$T$70="Forfait",IF(AF$15&gt;='01_Input'!$R$70,'01_Input'!$U$70,0),IF('01_Input'!$T$70="Palier",IF(AND(AF$15&gt;='01_Input'!$R$70,AF$15&lt;'01_Input'!$S$70),'01_Input'!$U$70,0),MAX(MIN(AF$15,'01_Input'!$S$70)-'01_Input'!$R$70,0)*'01_Input'!$U$70))+IF('01_Input'!$X$70="Forfait",IF(AF$15&gt;='01_Input'!$V$70,'01_Input'!$Y$70,0),IF('01_Input'!$X$70="Palier",IF(AND(AF$15&gt;='01_Input'!$V$70,AF$15&lt;'01_Input'!$W$70),'01_Input'!$Y$70,0),MAX(MIN(AF$15,'01_Input'!$W$70)-'01_Input'!$V$70,0)*'01_Input'!$Y$70))+IF('01_Input'!$AB$70="Forfait",IF(AF$15&gt;='01_Input'!$Z$70,'01_Input'!$AC$70,0),IF('01_Input'!$AB$70="Palier",IF(AND(AF$15&gt;='01_Input'!$Z$70,AF$15&lt;'01_Input'!$AA$70),'01_Input'!$AC$70,0),MAX(MIN(AF$15,'01_Input'!$AA$70)-'01_Input'!$Z$70,0)*'01_Input'!$AC$70))))))))))</f>
        <v/>
      </c>
      <c r="AG61" s="83" t="str">
        <f>IF(AG$15="","",IF('01_Input'!$C$70="Non",0,MIN('01_Input'!$I$70,MAX('01_Input'!$H$70,IF('01_Input'!$G$70="Résiduel vs Gestion",0,IF('01_Input'!$G$70="Taux Classe sélectionnée",Distrib_Global_Classe_Selectionnee*AG$15,IF('01_Input'!$G$70="Frais KYC (paliers de 100M€)",MAX(0,Nb_Investisseurs-Nb_KYC_Gratuites_Par_Tranche*(FLOOR(AG$15/Taille_Tranche_KYC,1)+1))*Cout_Par_KYC_Supplementaire,(IF('01_Input'!$L$70="Forfait",IF(AG$15&gt;='01_Input'!$J$70,'01_Input'!$M$70,0),IF('01_Input'!$L$70="Palier",IF(AND(AG$15&gt;='01_Input'!$J$70,AG$15&lt;'01_Input'!$K$70),'01_Input'!$M$70,0),MAX(MIN(AG$15,'01_Input'!$K$70)-'01_Input'!$J$70,0)*'01_Input'!$M$70))+IF('01_Input'!$P$70="Forfait",IF(AG$15&gt;='01_Input'!$N$70,'01_Input'!$Q$70,0),IF('01_Input'!$P$70="Palier",IF(AND(AG$15&gt;='01_Input'!$N$70,AG$15&lt;'01_Input'!$O$70),'01_Input'!$Q$70,0),MAX(MIN(AG$15,'01_Input'!$O$70)-'01_Input'!$N$70,0)*'01_Input'!$Q$70))+IF('01_Input'!$T$70="Forfait",IF(AG$15&gt;='01_Input'!$R$70,'01_Input'!$U$70,0),IF('01_Input'!$T$70="Palier",IF(AND(AG$15&gt;='01_Input'!$R$70,AG$15&lt;'01_Input'!$S$70),'01_Input'!$U$70,0),MAX(MIN(AG$15,'01_Input'!$S$70)-'01_Input'!$R$70,0)*'01_Input'!$U$70))+IF('01_Input'!$X$70="Forfait",IF(AG$15&gt;='01_Input'!$V$70,'01_Input'!$Y$70,0),IF('01_Input'!$X$70="Palier",IF(AND(AG$15&gt;='01_Input'!$V$70,AG$15&lt;'01_Input'!$W$70),'01_Input'!$Y$70,0),MAX(MIN(AG$15,'01_Input'!$W$70)-'01_Input'!$V$70,0)*'01_Input'!$Y$70))+IF('01_Input'!$AB$70="Forfait",IF(AG$15&gt;='01_Input'!$Z$70,'01_Input'!$AC$70,0),IF('01_Input'!$AB$70="Palier",IF(AND(AG$15&gt;='01_Input'!$Z$70,AG$15&lt;'01_Input'!$AA$70),'01_Input'!$AC$70,0),MAX(MIN(AG$15,'01_Input'!$AA$70)-'01_Input'!$Z$70,0)*'01_Input'!$AC$70))))))))))</f>
        <v/>
      </c>
      <c r="AH61" s="83" t="str">
        <f>IF(AH$15="","",IF('01_Input'!$C$70="Non",0,MIN('01_Input'!$I$70,MAX('01_Input'!$H$70,IF('01_Input'!$G$70="Résiduel vs Gestion",0,IF('01_Input'!$G$70="Taux Classe sélectionnée",Distrib_Global_Classe_Selectionnee*AH$15,IF('01_Input'!$G$70="Frais KYC (paliers de 100M€)",MAX(0,Nb_Investisseurs-Nb_KYC_Gratuites_Par_Tranche*(FLOOR(AH$15/Taille_Tranche_KYC,1)+1))*Cout_Par_KYC_Supplementaire,(IF('01_Input'!$L$70="Forfait",IF(AH$15&gt;='01_Input'!$J$70,'01_Input'!$M$70,0),IF('01_Input'!$L$70="Palier",IF(AND(AH$15&gt;='01_Input'!$J$70,AH$15&lt;'01_Input'!$K$70),'01_Input'!$M$70,0),MAX(MIN(AH$15,'01_Input'!$K$70)-'01_Input'!$J$70,0)*'01_Input'!$M$70))+IF('01_Input'!$P$70="Forfait",IF(AH$15&gt;='01_Input'!$N$70,'01_Input'!$Q$70,0),IF('01_Input'!$P$70="Palier",IF(AND(AH$15&gt;='01_Input'!$N$70,AH$15&lt;'01_Input'!$O$70),'01_Input'!$Q$70,0),MAX(MIN(AH$15,'01_Input'!$O$70)-'01_Input'!$N$70,0)*'01_Input'!$Q$70))+IF('01_Input'!$T$70="Forfait",IF(AH$15&gt;='01_Input'!$R$70,'01_Input'!$U$70,0),IF('01_Input'!$T$70="Palier",IF(AND(AH$15&gt;='01_Input'!$R$70,AH$15&lt;'01_Input'!$S$70),'01_Input'!$U$70,0),MAX(MIN(AH$15,'01_Input'!$S$70)-'01_Input'!$R$70,0)*'01_Input'!$U$70))+IF('01_Input'!$X$70="Forfait",IF(AH$15&gt;='01_Input'!$V$70,'01_Input'!$Y$70,0),IF('01_Input'!$X$70="Palier",IF(AND(AH$15&gt;='01_Input'!$V$70,AH$15&lt;'01_Input'!$W$70),'01_Input'!$Y$70,0),MAX(MIN(AH$15,'01_Input'!$W$70)-'01_Input'!$V$70,0)*'01_Input'!$Y$70))+IF('01_Input'!$AB$70="Forfait",IF(AH$15&gt;='01_Input'!$Z$70,'01_Input'!$AC$70,0),IF('01_Input'!$AB$70="Palier",IF(AND(AH$15&gt;='01_Input'!$Z$70,AH$15&lt;'01_Input'!$AA$70),'01_Input'!$AC$70,0),MAX(MIN(AH$15,'01_Input'!$AA$70)-'01_Input'!$Z$70,0)*'01_Input'!$AC$70))))))))))</f>
        <v/>
      </c>
      <c r="AI61" s="83" t="str">
        <f>IF(AI$15="","",IF('01_Input'!$C$70="Non",0,MIN('01_Input'!$I$70,MAX('01_Input'!$H$70,IF('01_Input'!$G$70="Résiduel vs Gestion",0,IF('01_Input'!$G$70="Taux Classe sélectionnée",Distrib_Global_Classe_Selectionnee*AI$15,IF('01_Input'!$G$70="Frais KYC (paliers de 100M€)",MAX(0,Nb_Investisseurs-Nb_KYC_Gratuites_Par_Tranche*(FLOOR(AI$15/Taille_Tranche_KYC,1)+1))*Cout_Par_KYC_Supplementaire,(IF('01_Input'!$L$70="Forfait",IF(AI$15&gt;='01_Input'!$J$70,'01_Input'!$M$70,0),IF('01_Input'!$L$70="Palier",IF(AND(AI$15&gt;='01_Input'!$J$70,AI$15&lt;'01_Input'!$K$70),'01_Input'!$M$70,0),MAX(MIN(AI$15,'01_Input'!$K$70)-'01_Input'!$J$70,0)*'01_Input'!$M$70))+IF('01_Input'!$P$70="Forfait",IF(AI$15&gt;='01_Input'!$N$70,'01_Input'!$Q$70,0),IF('01_Input'!$P$70="Palier",IF(AND(AI$15&gt;='01_Input'!$N$70,AI$15&lt;'01_Input'!$O$70),'01_Input'!$Q$70,0),MAX(MIN(AI$15,'01_Input'!$O$70)-'01_Input'!$N$70,0)*'01_Input'!$Q$70))+IF('01_Input'!$T$70="Forfait",IF(AI$15&gt;='01_Input'!$R$70,'01_Input'!$U$70,0),IF('01_Input'!$T$70="Palier",IF(AND(AI$15&gt;='01_Input'!$R$70,AI$15&lt;'01_Input'!$S$70),'01_Input'!$U$70,0),MAX(MIN(AI$15,'01_Input'!$S$70)-'01_Input'!$R$70,0)*'01_Input'!$U$70))+IF('01_Input'!$X$70="Forfait",IF(AI$15&gt;='01_Input'!$V$70,'01_Input'!$Y$70,0),IF('01_Input'!$X$70="Palier",IF(AND(AI$15&gt;='01_Input'!$V$70,AI$15&lt;'01_Input'!$W$70),'01_Input'!$Y$70,0),MAX(MIN(AI$15,'01_Input'!$W$70)-'01_Input'!$V$70,0)*'01_Input'!$Y$70))+IF('01_Input'!$AB$70="Forfait",IF(AI$15&gt;='01_Input'!$Z$70,'01_Input'!$AC$70,0),IF('01_Input'!$AB$70="Palier",IF(AND(AI$15&gt;='01_Input'!$Z$70,AI$15&lt;'01_Input'!$AA$70),'01_Input'!$AC$70,0),MAX(MIN(AI$15,'01_Input'!$AA$70)-'01_Input'!$Z$70,0)*'01_Input'!$AC$70))))))))))</f>
        <v/>
      </c>
      <c r="AJ61" s="83" t="str">
        <f>IF(AJ$15="","",IF('01_Input'!$C$70="Non",0,MIN('01_Input'!$I$70,MAX('01_Input'!$H$70,IF('01_Input'!$G$70="Résiduel vs Gestion",0,IF('01_Input'!$G$70="Taux Classe sélectionnée",Distrib_Global_Classe_Selectionnee*AJ$15,IF('01_Input'!$G$70="Frais KYC (paliers de 100M€)",MAX(0,Nb_Investisseurs-Nb_KYC_Gratuites_Par_Tranche*(FLOOR(AJ$15/Taille_Tranche_KYC,1)+1))*Cout_Par_KYC_Supplementaire,(IF('01_Input'!$L$70="Forfait",IF(AJ$15&gt;='01_Input'!$J$70,'01_Input'!$M$70,0),IF('01_Input'!$L$70="Palier",IF(AND(AJ$15&gt;='01_Input'!$J$70,AJ$15&lt;'01_Input'!$K$70),'01_Input'!$M$70,0),MAX(MIN(AJ$15,'01_Input'!$K$70)-'01_Input'!$J$70,0)*'01_Input'!$M$70))+IF('01_Input'!$P$70="Forfait",IF(AJ$15&gt;='01_Input'!$N$70,'01_Input'!$Q$70,0),IF('01_Input'!$P$70="Palier",IF(AND(AJ$15&gt;='01_Input'!$N$70,AJ$15&lt;'01_Input'!$O$70),'01_Input'!$Q$70,0),MAX(MIN(AJ$15,'01_Input'!$O$70)-'01_Input'!$N$70,0)*'01_Input'!$Q$70))+IF('01_Input'!$T$70="Forfait",IF(AJ$15&gt;='01_Input'!$R$70,'01_Input'!$U$70,0),IF('01_Input'!$T$70="Palier",IF(AND(AJ$15&gt;='01_Input'!$R$70,AJ$15&lt;'01_Input'!$S$70),'01_Input'!$U$70,0),MAX(MIN(AJ$15,'01_Input'!$S$70)-'01_Input'!$R$70,0)*'01_Input'!$U$70))+IF('01_Input'!$X$70="Forfait",IF(AJ$15&gt;='01_Input'!$V$70,'01_Input'!$Y$70,0),IF('01_Input'!$X$70="Palier",IF(AND(AJ$15&gt;='01_Input'!$V$70,AJ$15&lt;'01_Input'!$W$70),'01_Input'!$Y$70,0),MAX(MIN(AJ$15,'01_Input'!$W$70)-'01_Input'!$V$70,0)*'01_Input'!$Y$70))+IF('01_Input'!$AB$70="Forfait",IF(AJ$15&gt;='01_Input'!$Z$70,'01_Input'!$AC$70,0),IF('01_Input'!$AB$70="Palier",IF(AND(AJ$15&gt;='01_Input'!$Z$70,AJ$15&lt;'01_Input'!$AA$70),'01_Input'!$AC$70,0),MAX(MIN(AJ$15,'01_Input'!$AA$70)-'01_Input'!$Z$70,0)*'01_Input'!$AC$70))))))))))</f>
        <v/>
      </c>
      <c r="AK61" s="83" t="str">
        <f>IF(AK$15="","",IF('01_Input'!$C$70="Non",0,MIN('01_Input'!$I$70,MAX('01_Input'!$H$70,IF('01_Input'!$G$70="Résiduel vs Gestion",0,IF('01_Input'!$G$70="Taux Classe sélectionnée",Distrib_Global_Classe_Selectionnee*AK$15,IF('01_Input'!$G$70="Frais KYC (paliers de 100M€)",MAX(0,Nb_Investisseurs-Nb_KYC_Gratuites_Par_Tranche*(FLOOR(AK$15/Taille_Tranche_KYC,1)+1))*Cout_Par_KYC_Supplementaire,(IF('01_Input'!$L$70="Forfait",IF(AK$15&gt;='01_Input'!$J$70,'01_Input'!$M$70,0),IF('01_Input'!$L$70="Palier",IF(AND(AK$15&gt;='01_Input'!$J$70,AK$15&lt;'01_Input'!$K$70),'01_Input'!$M$70,0),MAX(MIN(AK$15,'01_Input'!$K$70)-'01_Input'!$J$70,0)*'01_Input'!$M$70))+IF('01_Input'!$P$70="Forfait",IF(AK$15&gt;='01_Input'!$N$70,'01_Input'!$Q$70,0),IF('01_Input'!$P$70="Palier",IF(AND(AK$15&gt;='01_Input'!$N$70,AK$15&lt;'01_Input'!$O$70),'01_Input'!$Q$70,0),MAX(MIN(AK$15,'01_Input'!$O$70)-'01_Input'!$N$70,0)*'01_Input'!$Q$70))+IF('01_Input'!$T$70="Forfait",IF(AK$15&gt;='01_Input'!$R$70,'01_Input'!$U$70,0),IF('01_Input'!$T$70="Palier",IF(AND(AK$15&gt;='01_Input'!$R$70,AK$15&lt;'01_Input'!$S$70),'01_Input'!$U$70,0),MAX(MIN(AK$15,'01_Input'!$S$70)-'01_Input'!$R$70,0)*'01_Input'!$U$70))+IF('01_Input'!$X$70="Forfait",IF(AK$15&gt;='01_Input'!$V$70,'01_Input'!$Y$70,0),IF('01_Input'!$X$70="Palier",IF(AND(AK$15&gt;='01_Input'!$V$70,AK$15&lt;'01_Input'!$W$70),'01_Input'!$Y$70,0),MAX(MIN(AK$15,'01_Input'!$W$70)-'01_Input'!$V$70,0)*'01_Input'!$Y$70))+IF('01_Input'!$AB$70="Forfait",IF(AK$15&gt;='01_Input'!$Z$70,'01_Input'!$AC$70,0),IF('01_Input'!$AB$70="Palier",IF(AND(AK$15&gt;='01_Input'!$Z$70,AK$15&lt;'01_Input'!$AA$70),'01_Input'!$AC$70,0),MAX(MIN(AK$15,'01_Input'!$AA$70)-'01_Input'!$Z$70,0)*'01_Input'!$AC$70))))))))))</f>
        <v/>
      </c>
      <c r="AL61" s="83" t="str">
        <f>IF(AL$15="","",IF('01_Input'!$C$70="Non",0,MIN('01_Input'!$I$70,MAX('01_Input'!$H$70,IF('01_Input'!$G$70="Résiduel vs Gestion",0,IF('01_Input'!$G$70="Taux Classe sélectionnée",Distrib_Global_Classe_Selectionnee*AL$15,IF('01_Input'!$G$70="Frais KYC (paliers de 100M€)",MAX(0,Nb_Investisseurs-Nb_KYC_Gratuites_Par_Tranche*(FLOOR(AL$15/Taille_Tranche_KYC,1)+1))*Cout_Par_KYC_Supplementaire,(IF('01_Input'!$L$70="Forfait",IF(AL$15&gt;='01_Input'!$J$70,'01_Input'!$M$70,0),IF('01_Input'!$L$70="Palier",IF(AND(AL$15&gt;='01_Input'!$J$70,AL$15&lt;'01_Input'!$K$70),'01_Input'!$M$70,0),MAX(MIN(AL$15,'01_Input'!$K$70)-'01_Input'!$J$70,0)*'01_Input'!$M$70))+IF('01_Input'!$P$70="Forfait",IF(AL$15&gt;='01_Input'!$N$70,'01_Input'!$Q$70,0),IF('01_Input'!$P$70="Palier",IF(AND(AL$15&gt;='01_Input'!$N$70,AL$15&lt;'01_Input'!$O$70),'01_Input'!$Q$70,0),MAX(MIN(AL$15,'01_Input'!$O$70)-'01_Input'!$N$70,0)*'01_Input'!$Q$70))+IF('01_Input'!$T$70="Forfait",IF(AL$15&gt;='01_Input'!$R$70,'01_Input'!$U$70,0),IF('01_Input'!$T$70="Palier",IF(AND(AL$15&gt;='01_Input'!$R$70,AL$15&lt;'01_Input'!$S$70),'01_Input'!$U$70,0),MAX(MIN(AL$15,'01_Input'!$S$70)-'01_Input'!$R$70,0)*'01_Input'!$U$70))+IF('01_Input'!$X$70="Forfait",IF(AL$15&gt;='01_Input'!$V$70,'01_Input'!$Y$70,0),IF('01_Input'!$X$70="Palier",IF(AND(AL$15&gt;='01_Input'!$V$70,AL$15&lt;'01_Input'!$W$70),'01_Input'!$Y$70,0),MAX(MIN(AL$15,'01_Input'!$W$70)-'01_Input'!$V$70,0)*'01_Input'!$Y$70))+IF('01_Input'!$AB$70="Forfait",IF(AL$15&gt;='01_Input'!$Z$70,'01_Input'!$AC$70,0),IF('01_Input'!$AB$70="Palier",IF(AND(AL$15&gt;='01_Input'!$Z$70,AL$15&lt;'01_Input'!$AA$70),'01_Input'!$AC$70,0),MAX(MIN(AL$15,'01_Input'!$AA$70)-'01_Input'!$Z$70,0)*'01_Input'!$AC$70))))))))))</f>
        <v/>
      </c>
      <c r="AM61" s="83" t="str">
        <f>IF(AM$15="","",IF('01_Input'!$C$70="Non",0,MIN('01_Input'!$I$70,MAX('01_Input'!$H$70,IF('01_Input'!$G$70="Résiduel vs Gestion",0,IF('01_Input'!$G$70="Taux Classe sélectionnée",Distrib_Global_Classe_Selectionnee*AM$15,IF('01_Input'!$G$70="Frais KYC (paliers de 100M€)",MAX(0,Nb_Investisseurs-Nb_KYC_Gratuites_Par_Tranche*(FLOOR(AM$15/Taille_Tranche_KYC,1)+1))*Cout_Par_KYC_Supplementaire,(IF('01_Input'!$L$70="Forfait",IF(AM$15&gt;='01_Input'!$J$70,'01_Input'!$M$70,0),IF('01_Input'!$L$70="Palier",IF(AND(AM$15&gt;='01_Input'!$J$70,AM$15&lt;'01_Input'!$K$70),'01_Input'!$M$70,0),MAX(MIN(AM$15,'01_Input'!$K$70)-'01_Input'!$J$70,0)*'01_Input'!$M$70))+IF('01_Input'!$P$70="Forfait",IF(AM$15&gt;='01_Input'!$N$70,'01_Input'!$Q$70,0),IF('01_Input'!$P$70="Palier",IF(AND(AM$15&gt;='01_Input'!$N$70,AM$15&lt;'01_Input'!$O$70),'01_Input'!$Q$70,0),MAX(MIN(AM$15,'01_Input'!$O$70)-'01_Input'!$N$70,0)*'01_Input'!$Q$70))+IF('01_Input'!$T$70="Forfait",IF(AM$15&gt;='01_Input'!$R$70,'01_Input'!$U$70,0),IF('01_Input'!$T$70="Palier",IF(AND(AM$15&gt;='01_Input'!$R$70,AM$15&lt;'01_Input'!$S$70),'01_Input'!$U$70,0),MAX(MIN(AM$15,'01_Input'!$S$70)-'01_Input'!$R$70,0)*'01_Input'!$U$70))+IF('01_Input'!$X$70="Forfait",IF(AM$15&gt;='01_Input'!$V$70,'01_Input'!$Y$70,0),IF('01_Input'!$X$70="Palier",IF(AND(AM$15&gt;='01_Input'!$V$70,AM$15&lt;'01_Input'!$W$70),'01_Input'!$Y$70,0),MAX(MIN(AM$15,'01_Input'!$W$70)-'01_Input'!$V$70,0)*'01_Input'!$Y$70))+IF('01_Input'!$AB$70="Forfait",IF(AM$15&gt;='01_Input'!$Z$70,'01_Input'!$AC$70,0),IF('01_Input'!$AB$70="Palier",IF(AND(AM$15&gt;='01_Input'!$Z$70,AM$15&lt;'01_Input'!$AA$70),'01_Input'!$AC$70,0),MAX(MIN(AM$15,'01_Input'!$AA$70)-'01_Input'!$Z$70,0)*'01_Input'!$AC$70))))))))))</f>
        <v/>
      </c>
    </row>
    <row r="62" ht="15.75" hidden="1" customHeight="1" outlineLevel="1">
      <c r="B62" s="40" t="str">
        <f t="shared" si="1"/>
        <v>(inactif)</v>
      </c>
      <c r="D62" s="25">
        <f>IF(D$15="","",IF('01_Input'!$C$71="Non",0,MIN('01_Input'!$I$71,MAX('01_Input'!$H$71,IF('01_Input'!$G$71="Résiduel vs Gestion",0,IF('01_Input'!$G$71="Taux Classe sélectionnée",Distrib_Global_Classe_Selectionnee*D$15,IF('01_Input'!$G$71="Frais KYC (paliers de 100M€)",MAX(0,Nb_Investisseurs-Nb_KYC_Gratuites_Par_Tranche*(FLOOR(D$15/Taille_Tranche_KYC,1)+1))*Cout_Par_KYC_Supplementaire,(IF('01_Input'!$L$71="Forfait",IF(D$15&gt;='01_Input'!$J$71,'01_Input'!$M$71,0),IF('01_Input'!$L$71="Palier",IF(AND(D$15&gt;='01_Input'!$J$71,D$15&lt;'01_Input'!$K$71),'01_Input'!$M$71,0),MAX(MIN(D$15,'01_Input'!$K$71)-'01_Input'!$J$71,0)*'01_Input'!$M$71))+IF('01_Input'!$P$71="Forfait",IF(D$15&gt;='01_Input'!$N$71,'01_Input'!$Q$71,0),IF('01_Input'!$P$71="Palier",IF(AND(D$15&gt;='01_Input'!$N$71,D$15&lt;'01_Input'!$O$71),'01_Input'!$Q$71,0),MAX(MIN(D$15,'01_Input'!$O$71)-'01_Input'!$N$71,0)*'01_Input'!$Q$71))+IF('01_Input'!$T$71="Forfait",IF(D$15&gt;='01_Input'!$R$71,'01_Input'!$U$71,0),IF('01_Input'!$T$71="Palier",IF(AND(D$15&gt;='01_Input'!$R$71,D$15&lt;'01_Input'!$S$71),'01_Input'!$U$71,0),MAX(MIN(D$15,'01_Input'!$S$71)-'01_Input'!$R$71,0)*'01_Input'!$U$71))+IF('01_Input'!$X$71="Forfait",IF(D$15&gt;='01_Input'!$V$71,'01_Input'!$Y$71,0),IF('01_Input'!$X$71="Palier",IF(AND(D$15&gt;='01_Input'!$V$71,D$15&lt;'01_Input'!$W$71),'01_Input'!$Y$71,0),MAX(MIN(D$15,'01_Input'!$W$71)-'01_Input'!$V$71,0)*'01_Input'!$Y$71))+IF('01_Input'!$AB$71="Forfait",IF(D$15&gt;='01_Input'!$Z$71,'01_Input'!$AC$71,0),IF('01_Input'!$AB$71="Palier",IF(AND(D$15&gt;='01_Input'!$Z$71,D$15&lt;'01_Input'!$AA$71),'01_Input'!$AC$71,0),MAX(MIN(D$15,'01_Input'!$AA$71)-'01_Input'!$Z$71,0)*'01_Input'!$AC$71))))))))))</f>
        <v>0</v>
      </c>
      <c r="E62" s="25">
        <f>IF(E$15="","",IF('01_Input'!$C$71="Non",0,MIN('01_Input'!$I$71,MAX('01_Input'!$H$71,IF('01_Input'!$G$71="Résiduel vs Gestion",0,IF('01_Input'!$G$71="Taux Classe sélectionnée",Distrib_Global_Classe_Selectionnee*E$15,IF('01_Input'!$G$71="Frais KYC (paliers de 100M€)",MAX(0,Nb_Investisseurs-Nb_KYC_Gratuites_Par_Tranche*(FLOOR(E$15/Taille_Tranche_KYC,1)+1))*Cout_Par_KYC_Supplementaire,(IF('01_Input'!$L$71="Forfait",IF(E$15&gt;='01_Input'!$J$71,'01_Input'!$M$71,0),IF('01_Input'!$L$71="Palier",IF(AND(E$15&gt;='01_Input'!$J$71,E$15&lt;'01_Input'!$K$71),'01_Input'!$M$71,0),MAX(MIN(E$15,'01_Input'!$K$71)-'01_Input'!$J$71,0)*'01_Input'!$M$71))+IF('01_Input'!$P$71="Forfait",IF(E$15&gt;='01_Input'!$N$71,'01_Input'!$Q$71,0),IF('01_Input'!$P$71="Palier",IF(AND(E$15&gt;='01_Input'!$N$71,E$15&lt;'01_Input'!$O$71),'01_Input'!$Q$71,0),MAX(MIN(E$15,'01_Input'!$O$71)-'01_Input'!$N$71,0)*'01_Input'!$Q$71))+IF('01_Input'!$T$71="Forfait",IF(E$15&gt;='01_Input'!$R$71,'01_Input'!$U$71,0),IF('01_Input'!$T$71="Palier",IF(AND(E$15&gt;='01_Input'!$R$71,E$15&lt;'01_Input'!$S$71),'01_Input'!$U$71,0),MAX(MIN(E$15,'01_Input'!$S$71)-'01_Input'!$R$71,0)*'01_Input'!$U$71))+IF('01_Input'!$X$71="Forfait",IF(E$15&gt;='01_Input'!$V$71,'01_Input'!$Y$71,0),IF('01_Input'!$X$71="Palier",IF(AND(E$15&gt;='01_Input'!$V$71,E$15&lt;'01_Input'!$W$71),'01_Input'!$Y$71,0),MAX(MIN(E$15,'01_Input'!$W$71)-'01_Input'!$V$71,0)*'01_Input'!$Y$71))+IF('01_Input'!$AB$71="Forfait",IF(E$15&gt;='01_Input'!$Z$71,'01_Input'!$AC$71,0),IF('01_Input'!$AB$71="Palier",IF(AND(E$15&gt;='01_Input'!$Z$71,E$15&lt;'01_Input'!$AA$71),'01_Input'!$AC$71,0),MAX(MIN(E$15,'01_Input'!$AA$71)-'01_Input'!$Z$71,0)*'01_Input'!$AC$71))))))))))</f>
        <v>0</v>
      </c>
      <c r="F62" s="25" t="str">
        <f>IF(F$15="","",IF('01_Input'!$C$71="Non",0,MIN('01_Input'!$I$71,MAX('01_Input'!$H$71,IF('01_Input'!$G$71="Résiduel vs Gestion",0,IF('01_Input'!$G$71="Taux Classe sélectionnée",Distrib_Global_Classe_Selectionnee*F$15,IF('01_Input'!$G$71="Frais KYC (paliers de 100M€)",MAX(0,Nb_Investisseurs-Nb_KYC_Gratuites_Par_Tranche*(FLOOR(F$15/Taille_Tranche_KYC,1)+1))*Cout_Par_KYC_Supplementaire,(IF('01_Input'!$L$71="Forfait",IF(F$15&gt;='01_Input'!$J$71,'01_Input'!$M$71,0),IF('01_Input'!$L$71="Palier",IF(AND(F$15&gt;='01_Input'!$J$71,F$15&lt;'01_Input'!$K$71),'01_Input'!$M$71,0),MAX(MIN(F$15,'01_Input'!$K$71)-'01_Input'!$J$71,0)*'01_Input'!$M$71))+IF('01_Input'!$P$71="Forfait",IF(F$15&gt;='01_Input'!$N$71,'01_Input'!$Q$71,0),IF('01_Input'!$P$71="Palier",IF(AND(F$15&gt;='01_Input'!$N$71,F$15&lt;'01_Input'!$O$71),'01_Input'!$Q$71,0),MAX(MIN(F$15,'01_Input'!$O$71)-'01_Input'!$N$71,0)*'01_Input'!$Q$71))+IF('01_Input'!$T$71="Forfait",IF(F$15&gt;='01_Input'!$R$71,'01_Input'!$U$71,0),IF('01_Input'!$T$71="Palier",IF(AND(F$15&gt;='01_Input'!$R$71,F$15&lt;'01_Input'!$S$71),'01_Input'!$U$71,0),MAX(MIN(F$15,'01_Input'!$S$71)-'01_Input'!$R$71,0)*'01_Input'!$U$71))+IF('01_Input'!$X$71="Forfait",IF(F$15&gt;='01_Input'!$V$71,'01_Input'!$Y$71,0),IF('01_Input'!$X$71="Palier",IF(AND(F$15&gt;='01_Input'!$V$71,F$15&lt;'01_Input'!$W$71),'01_Input'!$Y$71,0),MAX(MIN(F$15,'01_Input'!$W$71)-'01_Input'!$V$71,0)*'01_Input'!$Y$71))+IF('01_Input'!$AB$71="Forfait",IF(F$15&gt;='01_Input'!$Z$71,'01_Input'!$AC$71,0),IF('01_Input'!$AB$71="Palier",IF(AND(F$15&gt;='01_Input'!$Z$71,F$15&lt;'01_Input'!$AA$71),'01_Input'!$AC$71,0),MAX(MIN(F$15,'01_Input'!$AA$71)-'01_Input'!$Z$71,0)*'01_Input'!$AC$71))))))))))</f>
        <v/>
      </c>
      <c r="G62" s="25" t="str">
        <f>IF(G$15="","",IF('01_Input'!$C$71="Non",0,MIN('01_Input'!$I$71,MAX('01_Input'!$H$71,IF('01_Input'!$G$71="Résiduel vs Gestion",0,IF('01_Input'!$G$71="Taux Classe sélectionnée",Distrib_Global_Classe_Selectionnee*G$15,IF('01_Input'!$G$71="Frais KYC (paliers de 100M€)",MAX(0,Nb_Investisseurs-Nb_KYC_Gratuites_Par_Tranche*(FLOOR(G$15/Taille_Tranche_KYC,1)+1))*Cout_Par_KYC_Supplementaire,(IF('01_Input'!$L$71="Forfait",IF(G$15&gt;='01_Input'!$J$71,'01_Input'!$M$71,0),IF('01_Input'!$L$71="Palier",IF(AND(G$15&gt;='01_Input'!$J$71,G$15&lt;'01_Input'!$K$71),'01_Input'!$M$71,0),MAX(MIN(G$15,'01_Input'!$K$71)-'01_Input'!$J$71,0)*'01_Input'!$M$71))+IF('01_Input'!$P$71="Forfait",IF(G$15&gt;='01_Input'!$N$71,'01_Input'!$Q$71,0),IF('01_Input'!$P$71="Palier",IF(AND(G$15&gt;='01_Input'!$N$71,G$15&lt;'01_Input'!$O$71),'01_Input'!$Q$71,0),MAX(MIN(G$15,'01_Input'!$O$71)-'01_Input'!$N$71,0)*'01_Input'!$Q$71))+IF('01_Input'!$T$71="Forfait",IF(G$15&gt;='01_Input'!$R$71,'01_Input'!$U$71,0),IF('01_Input'!$T$71="Palier",IF(AND(G$15&gt;='01_Input'!$R$71,G$15&lt;'01_Input'!$S$71),'01_Input'!$U$71,0),MAX(MIN(G$15,'01_Input'!$S$71)-'01_Input'!$R$71,0)*'01_Input'!$U$71))+IF('01_Input'!$X$71="Forfait",IF(G$15&gt;='01_Input'!$V$71,'01_Input'!$Y$71,0),IF('01_Input'!$X$71="Palier",IF(AND(G$15&gt;='01_Input'!$V$71,G$15&lt;'01_Input'!$W$71),'01_Input'!$Y$71,0),MAX(MIN(G$15,'01_Input'!$W$71)-'01_Input'!$V$71,0)*'01_Input'!$Y$71))+IF('01_Input'!$AB$71="Forfait",IF(G$15&gt;='01_Input'!$Z$71,'01_Input'!$AC$71,0),IF('01_Input'!$AB$71="Palier",IF(AND(G$15&gt;='01_Input'!$Z$71,G$15&lt;'01_Input'!$AA$71),'01_Input'!$AC$71,0),MAX(MIN(G$15,'01_Input'!$AA$71)-'01_Input'!$Z$71,0)*'01_Input'!$AC$71))))))))))</f>
        <v/>
      </c>
      <c r="H62" s="25" t="str">
        <f>IF(H$15="","",IF('01_Input'!$C$71="Non",0,MIN('01_Input'!$I$71,MAX('01_Input'!$H$71,IF('01_Input'!$G$71="Résiduel vs Gestion",0,IF('01_Input'!$G$71="Taux Classe sélectionnée",Distrib_Global_Classe_Selectionnee*H$15,IF('01_Input'!$G$71="Frais KYC (paliers de 100M€)",MAX(0,Nb_Investisseurs-Nb_KYC_Gratuites_Par_Tranche*(FLOOR(H$15/Taille_Tranche_KYC,1)+1))*Cout_Par_KYC_Supplementaire,(IF('01_Input'!$L$71="Forfait",IF(H$15&gt;='01_Input'!$J$71,'01_Input'!$M$71,0),IF('01_Input'!$L$71="Palier",IF(AND(H$15&gt;='01_Input'!$J$71,H$15&lt;'01_Input'!$K$71),'01_Input'!$M$71,0),MAX(MIN(H$15,'01_Input'!$K$71)-'01_Input'!$J$71,0)*'01_Input'!$M$71))+IF('01_Input'!$P$71="Forfait",IF(H$15&gt;='01_Input'!$N$71,'01_Input'!$Q$71,0),IF('01_Input'!$P$71="Palier",IF(AND(H$15&gt;='01_Input'!$N$71,H$15&lt;'01_Input'!$O$71),'01_Input'!$Q$71,0),MAX(MIN(H$15,'01_Input'!$O$71)-'01_Input'!$N$71,0)*'01_Input'!$Q$71))+IF('01_Input'!$T$71="Forfait",IF(H$15&gt;='01_Input'!$R$71,'01_Input'!$U$71,0),IF('01_Input'!$T$71="Palier",IF(AND(H$15&gt;='01_Input'!$R$71,H$15&lt;'01_Input'!$S$71),'01_Input'!$U$71,0),MAX(MIN(H$15,'01_Input'!$S$71)-'01_Input'!$R$71,0)*'01_Input'!$U$71))+IF('01_Input'!$X$71="Forfait",IF(H$15&gt;='01_Input'!$V$71,'01_Input'!$Y$71,0),IF('01_Input'!$X$71="Palier",IF(AND(H$15&gt;='01_Input'!$V$71,H$15&lt;'01_Input'!$W$71),'01_Input'!$Y$71,0),MAX(MIN(H$15,'01_Input'!$W$71)-'01_Input'!$V$71,0)*'01_Input'!$Y$71))+IF('01_Input'!$AB$71="Forfait",IF(H$15&gt;='01_Input'!$Z$71,'01_Input'!$AC$71,0),IF('01_Input'!$AB$71="Palier",IF(AND(H$15&gt;='01_Input'!$Z$71,H$15&lt;'01_Input'!$AA$71),'01_Input'!$AC$71,0),MAX(MIN(H$15,'01_Input'!$AA$71)-'01_Input'!$Z$71,0)*'01_Input'!$AC$71))))))))))</f>
        <v/>
      </c>
      <c r="I62" s="25" t="str">
        <f>IF(I$15="","",IF('01_Input'!$C$71="Non",0,MIN('01_Input'!$I$71,MAX('01_Input'!$H$71,IF('01_Input'!$G$71="Résiduel vs Gestion",0,IF('01_Input'!$G$71="Taux Classe sélectionnée",Distrib_Global_Classe_Selectionnee*I$15,IF('01_Input'!$G$71="Frais KYC (paliers de 100M€)",MAX(0,Nb_Investisseurs-Nb_KYC_Gratuites_Par_Tranche*(FLOOR(I$15/Taille_Tranche_KYC,1)+1))*Cout_Par_KYC_Supplementaire,(IF('01_Input'!$L$71="Forfait",IF(I$15&gt;='01_Input'!$J$71,'01_Input'!$M$71,0),IF('01_Input'!$L$71="Palier",IF(AND(I$15&gt;='01_Input'!$J$71,I$15&lt;'01_Input'!$K$71),'01_Input'!$M$71,0),MAX(MIN(I$15,'01_Input'!$K$71)-'01_Input'!$J$71,0)*'01_Input'!$M$71))+IF('01_Input'!$P$71="Forfait",IF(I$15&gt;='01_Input'!$N$71,'01_Input'!$Q$71,0),IF('01_Input'!$P$71="Palier",IF(AND(I$15&gt;='01_Input'!$N$71,I$15&lt;'01_Input'!$O$71),'01_Input'!$Q$71,0),MAX(MIN(I$15,'01_Input'!$O$71)-'01_Input'!$N$71,0)*'01_Input'!$Q$71))+IF('01_Input'!$T$71="Forfait",IF(I$15&gt;='01_Input'!$R$71,'01_Input'!$U$71,0),IF('01_Input'!$T$71="Palier",IF(AND(I$15&gt;='01_Input'!$R$71,I$15&lt;'01_Input'!$S$71),'01_Input'!$U$71,0),MAX(MIN(I$15,'01_Input'!$S$71)-'01_Input'!$R$71,0)*'01_Input'!$U$71))+IF('01_Input'!$X$71="Forfait",IF(I$15&gt;='01_Input'!$V$71,'01_Input'!$Y$71,0),IF('01_Input'!$X$71="Palier",IF(AND(I$15&gt;='01_Input'!$V$71,I$15&lt;'01_Input'!$W$71),'01_Input'!$Y$71,0),MAX(MIN(I$15,'01_Input'!$W$71)-'01_Input'!$V$71,0)*'01_Input'!$Y$71))+IF('01_Input'!$AB$71="Forfait",IF(I$15&gt;='01_Input'!$Z$71,'01_Input'!$AC$71,0),IF('01_Input'!$AB$71="Palier",IF(AND(I$15&gt;='01_Input'!$Z$71,I$15&lt;'01_Input'!$AA$71),'01_Input'!$AC$71,0),MAX(MIN(I$15,'01_Input'!$AA$71)-'01_Input'!$Z$71,0)*'01_Input'!$AC$71))))))))))</f>
        <v/>
      </c>
      <c r="J62" s="25" t="str">
        <f>IF(J$15="","",IF('01_Input'!$C$71="Non",0,MIN('01_Input'!$I$71,MAX('01_Input'!$H$71,IF('01_Input'!$G$71="Résiduel vs Gestion",0,IF('01_Input'!$G$71="Taux Classe sélectionnée",Distrib_Global_Classe_Selectionnee*J$15,IF('01_Input'!$G$71="Frais KYC (paliers de 100M€)",MAX(0,Nb_Investisseurs-Nb_KYC_Gratuites_Par_Tranche*(FLOOR(J$15/Taille_Tranche_KYC,1)+1))*Cout_Par_KYC_Supplementaire,(IF('01_Input'!$L$71="Forfait",IF(J$15&gt;='01_Input'!$J$71,'01_Input'!$M$71,0),IF('01_Input'!$L$71="Palier",IF(AND(J$15&gt;='01_Input'!$J$71,J$15&lt;'01_Input'!$K$71),'01_Input'!$M$71,0),MAX(MIN(J$15,'01_Input'!$K$71)-'01_Input'!$J$71,0)*'01_Input'!$M$71))+IF('01_Input'!$P$71="Forfait",IF(J$15&gt;='01_Input'!$N$71,'01_Input'!$Q$71,0),IF('01_Input'!$P$71="Palier",IF(AND(J$15&gt;='01_Input'!$N$71,J$15&lt;'01_Input'!$O$71),'01_Input'!$Q$71,0),MAX(MIN(J$15,'01_Input'!$O$71)-'01_Input'!$N$71,0)*'01_Input'!$Q$71))+IF('01_Input'!$T$71="Forfait",IF(J$15&gt;='01_Input'!$R$71,'01_Input'!$U$71,0),IF('01_Input'!$T$71="Palier",IF(AND(J$15&gt;='01_Input'!$R$71,J$15&lt;'01_Input'!$S$71),'01_Input'!$U$71,0),MAX(MIN(J$15,'01_Input'!$S$71)-'01_Input'!$R$71,0)*'01_Input'!$U$71))+IF('01_Input'!$X$71="Forfait",IF(J$15&gt;='01_Input'!$V$71,'01_Input'!$Y$71,0),IF('01_Input'!$X$71="Palier",IF(AND(J$15&gt;='01_Input'!$V$71,J$15&lt;'01_Input'!$W$71),'01_Input'!$Y$71,0),MAX(MIN(J$15,'01_Input'!$W$71)-'01_Input'!$V$71,0)*'01_Input'!$Y$71))+IF('01_Input'!$AB$71="Forfait",IF(J$15&gt;='01_Input'!$Z$71,'01_Input'!$AC$71,0),IF('01_Input'!$AB$71="Palier",IF(AND(J$15&gt;='01_Input'!$Z$71,J$15&lt;'01_Input'!$AA$71),'01_Input'!$AC$71,0),MAX(MIN(J$15,'01_Input'!$AA$71)-'01_Input'!$Z$71,0)*'01_Input'!$AC$71))))))))))</f>
        <v/>
      </c>
      <c r="K62" s="25" t="str">
        <f>IF(K$15="","",IF('01_Input'!$C$71="Non",0,MIN('01_Input'!$I$71,MAX('01_Input'!$H$71,IF('01_Input'!$G$71="Résiduel vs Gestion",0,IF('01_Input'!$G$71="Taux Classe sélectionnée",Distrib_Global_Classe_Selectionnee*K$15,IF('01_Input'!$G$71="Frais KYC (paliers de 100M€)",MAX(0,Nb_Investisseurs-Nb_KYC_Gratuites_Par_Tranche*(FLOOR(K$15/Taille_Tranche_KYC,1)+1))*Cout_Par_KYC_Supplementaire,(IF('01_Input'!$L$71="Forfait",IF(K$15&gt;='01_Input'!$J$71,'01_Input'!$M$71,0),IF('01_Input'!$L$71="Palier",IF(AND(K$15&gt;='01_Input'!$J$71,K$15&lt;'01_Input'!$K$71),'01_Input'!$M$71,0),MAX(MIN(K$15,'01_Input'!$K$71)-'01_Input'!$J$71,0)*'01_Input'!$M$71))+IF('01_Input'!$P$71="Forfait",IF(K$15&gt;='01_Input'!$N$71,'01_Input'!$Q$71,0),IF('01_Input'!$P$71="Palier",IF(AND(K$15&gt;='01_Input'!$N$71,K$15&lt;'01_Input'!$O$71),'01_Input'!$Q$71,0),MAX(MIN(K$15,'01_Input'!$O$71)-'01_Input'!$N$71,0)*'01_Input'!$Q$71))+IF('01_Input'!$T$71="Forfait",IF(K$15&gt;='01_Input'!$R$71,'01_Input'!$U$71,0),IF('01_Input'!$T$71="Palier",IF(AND(K$15&gt;='01_Input'!$R$71,K$15&lt;'01_Input'!$S$71),'01_Input'!$U$71,0),MAX(MIN(K$15,'01_Input'!$S$71)-'01_Input'!$R$71,0)*'01_Input'!$U$71))+IF('01_Input'!$X$71="Forfait",IF(K$15&gt;='01_Input'!$V$71,'01_Input'!$Y$71,0),IF('01_Input'!$X$71="Palier",IF(AND(K$15&gt;='01_Input'!$V$71,K$15&lt;'01_Input'!$W$71),'01_Input'!$Y$71,0),MAX(MIN(K$15,'01_Input'!$W$71)-'01_Input'!$V$71,0)*'01_Input'!$Y$71))+IF('01_Input'!$AB$71="Forfait",IF(K$15&gt;='01_Input'!$Z$71,'01_Input'!$AC$71,0),IF('01_Input'!$AB$71="Palier",IF(AND(K$15&gt;='01_Input'!$Z$71,K$15&lt;'01_Input'!$AA$71),'01_Input'!$AC$71,0),MAX(MIN(K$15,'01_Input'!$AA$71)-'01_Input'!$Z$71,0)*'01_Input'!$AC$71))))))))))</f>
        <v/>
      </c>
      <c r="L62" s="25" t="str">
        <f>IF(L$15="","",IF('01_Input'!$C$71="Non",0,MIN('01_Input'!$I$71,MAX('01_Input'!$H$71,IF('01_Input'!$G$71="Résiduel vs Gestion",0,IF('01_Input'!$G$71="Taux Classe sélectionnée",Distrib_Global_Classe_Selectionnee*L$15,IF('01_Input'!$G$71="Frais KYC (paliers de 100M€)",MAX(0,Nb_Investisseurs-Nb_KYC_Gratuites_Par_Tranche*(FLOOR(L$15/Taille_Tranche_KYC,1)+1))*Cout_Par_KYC_Supplementaire,(IF('01_Input'!$L$71="Forfait",IF(L$15&gt;='01_Input'!$J$71,'01_Input'!$M$71,0),IF('01_Input'!$L$71="Palier",IF(AND(L$15&gt;='01_Input'!$J$71,L$15&lt;'01_Input'!$K$71),'01_Input'!$M$71,0),MAX(MIN(L$15,'01_Input'!$K$71)-'01_Input'!$J$71,0)*'01_Input'!$M$71))+IF('01_Input'!$P$71="Forfait",IF(L$15&gt;='01_Input'!$N$71,'01_Input'!$Q$71,0),IF('01_Input'!$P$71="Palier",IF(AND(L$15&gt;='01_Input'!$N$71,L$15&lt;'01_Input'!$O$71),'01_Input'!$Q$71,0),MAX(MIN(L$15,'01_Input'!$O$71)-'01_Input'!$N$71,0)*'01_Input'!$Q$71))+IF('01_Input'!$T$71="Forfait",IF(L$15&gt;='01_Input'!$R$71,'01_Input'!$U$71,0),IF('01_Input'!$T$71="Palier",IF(AND(L$15&gt;='01_Input'!$R$71,L$15&lt;'01_Input'!$S$71),'01_Input'!$U$71,0),MAX(MIN(L$15,'01_Input'!$S$71)-'01_Input'!$R$71,0)*'01_Input'!$U$71))+IF('01_Input'!$X$71="Forfait",IF(L$15&gt;='01_Input'!$V$71,'01_Input'!$Y$71,0),IF('01_Input'!$X$71="Palier",IF(AND(L$15&gt;='01_Input'!$V$71,L$15&lt;'01_Input'!$W$71),'01_Input'!$Y$71,0),MAX(MIN(L$15,'01_Input'!$W$71)-'01_Input'!$V$71,0)*'01_Input'!$Y$71))+IF('01_Input'!$AB$71="Forfait",IF(L$15&gt;='01_Input'!$Z$71,'01_Input'!$AC$71,0),IF('01_Input'!$AB$71="Palier",IF(AND(L$15&gt;='01_Input'!$Z$71,L$15&lt;'01_Input'!$AA$71),'01_Input'!$AC$71,0),MAX(MIN(L$15,'01_Input'!$AA$71)-'01_Input'!$Z$71,0)*'01_Input'!$AC$71))))))))))</f>
        <v/>
      </c>
      <c r="M62" s="25" t="str">
        <f>IF(M$15="","",IF('01_Input'!$C$71="Non",0,MIN('01_Input'!$I$71,MAX('01_Input'!$H$71,IF('01_Input'!$G$71="Résiduel vs Gestion",0,IF('01_Input'!$G$71="Taux Classe sélectionnée",Distrib_Global_Classe_Selectionnee*M$15,IF('01_Input'!$G$71="Frais KYC (paliers de 100M€)",MAX(0,Nb_Investisseurs-Nb_KYC_Gratuites_Par_Tranche*(FLOOR(M$15/Taille_Tranche_KYC,1)+1))*Cout_Par_KYC_Supplementaire,(IF('01_Input'!$L$71="Forfait",IF(M$15&gt;='01_Input'!$J$71,'01_Input'!$M$71,0),IF('01_Input'!$L$71="Palier",IF(AND(M$15&gt;='01_Input'!$J$71,M$15&lt;'01_Input'!$K$71),'01_Input'!$M$71,0),MAX(MIN(M$15,'01_Input'!$K$71)-'01_Input'!$J$71,0)*'01_Input'!$M$71))+IF('01_Input'!$P$71="Forfait",IF(M$15&gt;='01_Input'!$N$71,'01_Input'!$Q$71,0),IF('01_Input'!$P$71="Palier",IF(AND(M$15&gt;='01_Input'!$N$71,M$15&lt;'01_Input'!$O$71),'01_Input'!$Q$71,0),MAX(MIN(M$15,'01_Input'!$O$71)-'01_Input'!$N$71,0)*'01_Input'!$Q$71))+IF('01_Input'!$T$71="Forfait",IF(M$15&gt;='01_Input'!$R$71,'01_Input'!$U$71,0),IF('01_Input'!$T$71="Palier",IF(AND(M$15&gt;='01_Input'!$R$71,M$15&lt;'01_Input'!$S$71),'01_Input'!$U$71,0),MAX(MIN(M$15,'01_Input'!$S$71)-'01_Input'!$R$71,0)*'01_Input'!$U$71))+IF('01_Input'!$X$71="Forfait",IF(M$15&gt;='01_Input'!$V$71,'01_Input'!$Y$71,0),IF('01_Input'!$X$71="Palier",IF(AND(M$15&gt;='01_Input'!$V$71,M$15&lt;'01_Input'!$W$71),'01_Input'!$Y$71,0),MAX(MIN(M$15,'01_Input'!$W$71)-'01_Input'!$V$71,0)*'01_Input'!$Y$71))+IF('01_Input'!$AB$71="Forfait",IF(M$15&gt;='01_Input'!$Z$71,'01_Input'!$AC$71,0),IF('01_Input'!$AB$71="Palier",IF(AND(M$15&gt;='01_Input'!$Z$71,M$15&lt;'01_Input'!$AA$71),'01_Input'!$AC$71,0),MAX(MIN(M$15,'01_Input'!$AA$71)-'01_Input'!$Z$71,0)*'01_Input'!$AC$71))))))))))</f>
        <v/>
      </c>
      <c r="N62" s="25" t="str">
        <f>IF(N$15="","",IF('01_Input'!$C$71="Non",0,MIN('01_Input'!$I$71,MAX('01_Input'!$H$71,IF('01_Input'!$G$71="Résiduel vs Gestion",0,IF('01_Input'!$G$71="Taux Classe sélectionnée",Distrib_Global_Classe_Selectionnee*N$15,IF('01_Input'!$G$71="Frais KYC (paliers de 100M€)",MAX(0,Nb_Investisseurs-Nb_KYC_Gratuites_Par_Tranche*(FLOOR(N$15/Taille_Tranche_KYC,1)+1))*Cout_Par_KYC_Supplementaire,(IF('01_Input'!$L$71="Forfait",IF(N$15&gt;='01_Input'!$J$71,'01_Input'!$M$71,0),IF('01_Input'!$L$71="Palier",IF(AND(N$15&gt;='01_Input'!$J$71,N$15&lt;'01_Input'!$K$71),'01_Input'!$M$71,0),MAX(MIN(N$15,'01_Input'!$K$71)-'01_Input'!$J$71,0)*'01_Input'!$M$71))+IF('01_Input'!$P$71="Forfait",IF(N$15&gt;='01_Input'!$N$71,'01_Input'!$Q$71,0),IF('01_Input'!$P$71="Palier",IF(AND(N$15&gt;='01_Input'!$N$71,N$15&lt;'01_Input'!$O$71),'01_Input'!$Q$71,0),MAX(MIN(N$15,'01_Input'!$O$71)-'01_Input'!$N$71,0)*'01_Input'!$Q$71))+IF('01_Input'!$T$71="Forfait",IF(N$15&gt;='01_Input'!$R$71,'01_Input'!$U$71,0),IF('01_Input'!$T$71="Palier",IF(AND(N$15&gt;='01_Input'!$R$71,N$15&lt;'01_Input'!$S$71),'01_Input'!$U$71,0),MAX(MIN(N$15,'01_Input'!$S$71)-'01_Input'!$R$71,0)*'01_Input'!$U$71))+IF('01_Input'!$X$71="Forfait",IF(N$15&gt;='01_Input'!$V$71,'01_Input'!$Y$71,0),IF('01_Input'!$X$71="Palier",IF(AND(N$15&gt;='01_Input'!$V$71,N$15&lt;'01_Input'!$W$71),'01_Input'!$Y$71,0),MAX(MIN(N$15,'01_Input'!$W$71)-'01_Input'!$V$71,0)*'01_Input'!$Y$71))+IF('01_Input'!$AB$71="Forfait",IF(N$15&gt;='01_Input'!$Z$71,'01_Input'!$AC$71,0),IF('01_Input'!$AB$71="Palier",IF(AND(N$15&gt;='01_Input'!$Z$71,N$15&lt;'01_Input'!$AA$71),'01_Input'!$AC$71,0),MAX(MIN(N$15,'01_Input'!$AA$71)-'01_Input'!$Z$71,0)*'01_Input'!$AC$71))))))))))</f>
        <v/>
      </c>
      <c r="O62" s="25" t="str">
        <f>IF(O$15="","",IF('01_Input'!$C$71="Non",0,MIN('01_Input'!$I$71,MAX('01_Input'!$H$71,IF('01_Input'!$G$71="Résiduel vs Gestion",0,IF('01_Input'!$G$71="Taux Classe sélectionnée",Distrib_Global_Classe_Selectionnee*O$15,IF('01_Input'!$G$71="Frais KYC (paliers de 100M€)",MAX(0,Nb_Investisseurs-Nb_KYC_Gratuites_Par_Tranche*(FLOOR(O$15/Taille_Tranche_KYC,1)+1))*Cout_Par_KYC_Supplementaire,(IF('01_Input'!$L$71="Forfait",IF(O$15&gt;='01_Input'!$J$71,'01_Input'!$M$71,0),IF('01_Input'!$L$71="Palier",IF(AND(O$15&gt;='01_Input'!$J$71,O$15&lt;'01_Input'!$K$71),'01_Input'!$M$71,0),MAX(MIN(O$15,'01_Input'!$K$71)-'01_Input'!$J$71,0)*'01_Input'!$M$71))+IF('01_Input'!$P$71="Forfait",IF(O$15&gt;='01_Input'!$N$71,'01_Input'!$Q$71,0),IF('01_Input'!$P$71="Palier",IF(AND(O$15&gt;='01_Input'!$N$71,O$15&lt;'01_Input'!$O$71),'01_Input'!$Q$71,0),MAX(MIN(O$15,'01_Input'!$O$71)-'01_Input'!$N$71,0)*'01_Input'!$Q$71))+IF('01_Input'!$T$71="Forfait",IF(O$15&gt;='01_Input'!$R$71,'01_Input'!$U$71,0),IF('01_Input'!$T$71="Palier",IF(AND(O$15&gt;='01_Input'!$R$71,O$15&lt;'01_Input'!$S$71),'01_Input'!$U$71,0),MAX(MIN(O$15,'01_Input'!$S$71)-'01_Input'!$R$71,0)*'01_Input'!$U$71))+IF('01_Input'!$X$71="Forfait",IF(O$15&gt;='01_Input'!$V$71,'01_Input'!$Y$71,0),IF('01_Input'!$X$71="Palier",IF(AND(O$15&gt;='01_Input'!$V$71,O$15&lt;'01_Input'!$W$71),'01_Input'!$Y$71,0),MAX(MIN(O$15,'01_Input'!$W$71)-'01_Input'!$V$71,0)*'01_Input'!$Y$71))+IF('01_Input'!$AB$71="Forfait",IF(O$15&gt;='01_Input'!$Z$71,'01_Input'!$AC$71,0),IF('01_Input'!$AB$71="Palier",IF(AND(O$15&gt;='01_Input'!$Z$71,O$15&lt;'01_Input'!$AA$71),'01_Input'!$AC$71,0),MAX(MIN(O$15,'01_Input'!$AA$71)-'01_Input'!$Z$71,0)*'01_Input'!$AC$71))))))))))</f>
        <v/>
      </c>
      <c r="P62" s="25" t="str">
        <f>IF(P$15="","",IF('01_Input'!$C$71="Non",0,MIN('01_Input'!$I$71,MAX('01_Input'!$H$71,IF('01_Input'!$G$71="Résiduel vs Gestion",0,IF('01_Input'!$G$71="Taux Classe sélectionnée",Distrib_Global_Classe_Selectionnee*P$15,IF('01_Input'!$G$71="Frais KYC (paliers de 100M€)",MAX(0,Nb_Investisseurs-Nb_KYC_Gratuites_Par_Tranche*(FLOOR(P$15/Taille_Tranche_KYC,1)+1))*Cout_Par_KYC_Supplementaire,(IF('01_Input'!$L$71="Forfait",IF(P$15&gt;='01_Input'!$J$71,'01_Input'!$M$71,0),IF('01_Input'!$L$71="Palier",IF(AND(P$15&gt;='01_Input'!$J$71,P$15&lt;'01_Input'!$K$71),'01_Input'!$M$71,0),MAX(MIN(P$15,'01_Input'!$K$71)-'01_Input'!$J$71,0)*'01_Input'!$M$71))+IF('01_Input'!$P$71="Forfait",IF(P$15&gt;='01_Input'!$N$71,'01_Input'!$Q$71,0),IF('01_Input'!$P$71="Palier",IF(AND(P$15&gt;='01_Input'!$N$71,P$15&lt;'01_Input'!$O$71),'01_Input'!$Q$71,0),MAX(MIN(P$15,'01_Input'!$O$71)-'01_Input'!$N$71,0)*'01_Input'!$Q$71))+IF('01_Input'!$T$71="Forfait",IF(P$15&gt;='01_Input'!$R$71,'01_Input'!$U$71,0),IF('01_Input'!$T$71="Palier",IF(AND(P$15&gt;='01_Input'!$R$71,P$15&lt;'01_Input'!$S$71),'01_Input'!$U$71,0),MAX(MIN(P$15,'01_Input'!$S$71)-'01_Input'!$R$71,0)*'01_Input'!$U$71))+IF('01_Input'!$X$71="Forfait",IF(P$15&gt;='01_Input'!$V$71,'01_Input'!$Y$71,0),IF('01_Input'!$X$71="Palier",IF(AND(P$15&gt;='01_Input'!$V$71,P$15&lt;'01_Input'!$W$71),'01_Input'!$Y$71,0),MAX(MIN(P$15,'01_Input'!$W$71)-'01_Input'!$V$71,0)*'01_Input'!$Y$71))+IF('01_Input'!$AB$71="Forfait",IF(P$15&gt;='01_Input'!$Z$71,'01_Input'!$AC$71,0),IF('01_Input'!$AB$71="Palier",IF(AND(P$15&gt;='01_Input'!$Z$71,P$15&lt;'01_Input'!$AA$71),'01_Input'!$AC$71,0),MAX(MIN(P$15,'01_Input'!$AA$71)-'01_Input'!$Z$71,0)*'01_Input'!$AC$71))))))))))</f>
        <v/>
      </c>
      <c r="Q62" s="25" t="str">
        <f>IF(Q$15="","",IF('01_Input'!$C$71="Non",0,MIN('01_Input'!$I$71,MAX('01_Input'!$H$71,IF('01_Input'!$G$71="Résiduel vs Gestion",0,IF('01_Input'!$G$71="Taux Classe sélectionnée",Distrib_Global_Classe_Selectionnee*Q$15,IF('01_Input'!$G$71="Frais KYC (paliers de 100M€)",MAX(0,Nb_Investisseurs-Nb_KYC_Gratuites_Par_Tranche*(FLOOR(Q$15/Taille_Tranche_KYC,1)+1))*Cout_Par_KYC_Supplementaire,(IF('01_Input'!$L$71="Forfait",IF(Q$15&gt;='01_Input'!$J$71,'01_Input'!$M$71,0),IF('01_Input'!$L$71="Palier",IF(AND(Q$15&gt;='01_Input'!$J$71,Q$15&lt;'01_Input'!$K$71),'01_Input'!$M$71,0),MAX(MIN(Q$15,'01_Input'!$K$71)-'01_Input'!$J$71,0)*'01_Input'!$M$71))+IF('01_Input'!$P$71="Forfait",IF(Q$15&gt;='01_Input'!$N$71,'01_Input'!$Q$71,0),IF('01_Input'!$P$71="Palier",IF(AND(Q$15&gt;='01_Input'!$N$71,Q$15&lt;'01_Input'!$O$71),'01_Input'!$Q$71,0),MAX(MIN(Q$15,'01_Input'!$O$71)-'01_Input'!$N$71,0)*'01_Input'!$Q$71))+IF('01_Input'!$T$71="Forfait",IF(Q$15&gt;='01_Input'!$R$71,'01_Input'!$U$71,0),IF('01_Input'!$T$71="Palier",IF(AND(Q$15&gt;='01_Input'!$R$71,Q$15&lt;'01_Input'!$S$71),'01_Input'!$U$71,0),MAX(MIN(Q$15,'01_Input'!$S$71)-'01_Input'!$R$71,0)*'01_Input'!$U$71))+IF('01_Input'!$X$71="Forfait",IF(Q$15&gt;='01_Input'!$V$71,'01_Input'!$Y$71,0),IF('01_Input'!$X$71="Palier",IF(AND(Q$15&gt;='01_Input'!$V$71,Q$15&lt;'01_Input'!$W$71),'01_Input'!$Y$71,0),MAX(MIN(Q$15,'01_Input'!$W$71)-'01_Input'!$V$71,0)*'01_Input'!$Y$71))+IF('01_Input'!$AB$71="Forfait",IF(Q$15&gt;='01_Input'!$Z$71,'01_Input'!$AC$71,0),IF('01_Input'!$AB$71="Palier",IF(AND(Q$15&gt;='01_Input'!$Z$71,Q$15&lt;'01_Input'!$AA$71),'01_Input'!$AC$71,0),MAX(MIN(Q$15,'01_Input'!$AA$71)-'01_Input'!$Z$71,0)*'01_Input'!$AC$71))))))))))</f>
        <v/>
      </c>
      <c r="R62" s="25" t="str">
        <f>IF(R$15="","",IF('01_Input'!$C$71="Non",0,MIN('01_Input'!$I$71,MAX('01_Input'!$H$71,IF('01_Input'!$G$71="Résiduel vs Gestion",0,IF('01_Input'!$G$71="Taux Classe sélectionnée",Distrib_Global_Classe_Selectionnee*R$15,IF('01_Input'!$G$71="Frais KYC (paliers de 100M€)",MAX(0,Nb_Investisseurs-Nb_KYC_Gratuites_Par_Tranche*(FLOOR(R$15/Taille_Tranche_KYC,1)+1))*Cout_Par_KYC_Supplementaire,(IF('01_Input'!$L$71="Forfait",IF(R$15&gt;='01_Input'!$J$71,'01_Input'!$M$71,0),IF('01_Input'!$L$71="Palier",IF(AND(R$15&gt;='01_Input'!$J$71,R$15&lt;'01_Input'!$K$71),'01_Input'!$M$71,0),MAX(MIN(R$15,'01_Input'!$K$71)-'01_Input'!$J$71,0)*'01_Input'!$M$71))+IF('01_Input'!$P$71="Forfait",IF(R$15&gt;='01_Input'!$N$71,'01_Input'!$Q$71,0),IF('01_Input'!$P$71="Palier",IF(AND(R$15&gt;='01_Input'!$N$71,R$15&lt;'01_Input'!$O$71),'01_Input'!$Q$71,0),MAX(MIN(R$15,'01_Input'!$O$71)-'01_Input'!$N$71,0)*'01_Input'!$Q$71))+IF('01_Input'!$T$71="Forfait",IF(R$15&gt;='01_Input'!$R$71,'01_Input'!$U$71,0),IF('01_Input'!$T$71="Palier",IF(AND(R$15&gt;='01_Input'!$R$71,R$15&lt;'01_Input'!$S$71),'01_Input'!$U$71,0),MAX(MIN(R$15,'01_Input'!$S$71)-'01_Input'!$R$71,0)*'01_Input'!$U$71))+IF('01_Input'!$X$71="Forfait",IF(R$15&gt;='01_Input'!$V$71,'01_Input'!$Y$71,0),IF('01_Input'!$X$71="Palier",IF(AND(R$15&gt;='01_Input'!$V$71,R$15&lt;'01_Input'!$W$71),'01_Input'!$Y$71,0),MAX(MIN(R$15,'01_Input'!$W$71)-'01_Input'!$V$71,0)*'01_Input'!$Y$71))+IF('01_Input'!$AB$71="Forfait",IF(R$15&gt;='01_Input'!$Z$71,'01_Input'!$AC$71,0),IF('01_Input'!$AB$71="Palier",IF(AND(R$15&gt;='01_Input'!$Z$71,R$15&lt;'01_Input'!$AA$71),'01_Input'!$AC$71,0),MAX(MIN(R$15,'01_Input'!$AA$71)-'01_Input'!$Z$71,0)*'01_Input'!$AC$71))))))))))</f>
        <v/>
      </c>
      <c r="S62" s="25" t="str">
        <f>IF(S$15="","",IF('01_Input'!$C$71="Non",0,MIN('01_Input'!$I$71,MAX('01_Input'!$H$71,IF('01_Input'!$G$71="Résiduel vs Gestion",0,IF('01_Input'!$G$71="Taux Classe sélectionnée",Distrib_Global_Classe_Selectionnee*S$15,IF('01_Input'!$G$71="Frais KYC (paliers de 100M€)",MAX(0,Nb_Investisseurs-Nb_KYC_Gratuites_Par_Tranche*(FLOOR(S$15/Taille_Tranche_KYC,1)+1))*Cout_Par_KYC_Supplementaire,(IF('01_Input'!$L$71="Forfait",IF(S$15&gt;='01_Input'!$J$71,'01_Input'!$M$71,0),IF('01_Input'!$L$71="Palier",IF(AND(S$15&gt;='01_Input'!$J$71,S$15&lt;'01_Input'!$K$71),'01_Input'!$M$71,0),MAX(MIN(S$15,'01_Input'!$K$71)-'01_Input'!$J$71,0)*'01_Input'!$M$71))+IF('01_Input'!$P$71="Forfait",IF(S$15&gt;='01_Input'!$N$71,'01_Input'!$Q$71,0),IF('01_Input'!$P$71="Palier",IF(AND(S$15&gt;='01_Input'!$N$71,S$15&lt;'01_Input'!$O$71),'01_Input'!$Q$71,0),MAX(MIN(S$15,'01_Input'!$O$71)-'01_Input'!$N$71,0)*'01_Input'!$Q$71))+IF('01_Input'!$T$71="Forfait",IF(S$15&gt;='01_Input'!$R$71,'01_Input'!$U$71,0),IF('01_Input'!$T$71="Palier",IF(AND(S$15&gt;='01_Input'!$R$71,S$15&lt;'01_Input'!$S$71),'01_Input'!$U$71,0),MAX(MIN(S$15,'01_Input'!$S$71)-'01_Input'!$R$71,0)*'01_Input'!$U$71))+IF('01_Input'!$X$71="Forfait",IF(S$15&gt;='01_Input'!$V$71,'01_Input'!$Y$71,0),IF('01_Input'!$X$71="Palier",IF(AND(S$15&gt;='01_Input'!$V$71,S$15&lt;'01_Input'!$W$71),'01_Input'!$Y$71,0),MAX(MIN(S$15,'01_Input'!$W$71)-'01_Input'!$V$71,0)*'01_Input'!$Y$71))+IF('01_Input'!$AB$71="Forfait",IF(S$15&gt;='01_Input'!$Z$71,'01_Input'!$AC$71,0),IF('01_Input'!$AB$71="Palier",IF(AND(S$15&gt;='01_Input'!$Z$71,S$15&lt;'01_Input'!$AA$71),'01_Input'!$AC$71,0),MAX(MIN(S$15,'01_Input'!$AA$71)-'01_Input'!$Z$71,0)*'01_Input'!$AC$71))))))))))</f>
        <v/>
      </c>
      <c r="T62" s="25" t="str">
        <f>IF(T$15="","",IF('01_Input'!$C$71="Non",0,MIN('01_Input'!$I$71,MAX('01_Input'!$H$71,IF('01_Input'!$G$71="Résiduel vs Gestion",0,IF('01_Input'!$G$71="Taux Classe sélectionnée",Distrib_Global_Classe_Selectionnee*T$15,IF('01_Input'!$G$71="Frais KYC (paliers de 100M€)",MAX(0,Nb_Investisseurs-Nb_KYC_Gratuites_Par_Tranche*(FLOOR(T$15/Taille_Tranche_KYC,1)+1))*Cout_Par_KYC_Supplementaire,(IF('01_Input'!$L$71="Forfait",IF(T$15&gt;='01_Input'!$J$71,'01_Input'!$M$71,0),IF('01_Input'!$L$71="Palier",IF(AND(T$15&gt;='01_Input'!$J$71,T$15&lt;'01_Input'!$K$71),'01_Input'!$M$71,0),MAX(MIN(T$15,'01_Input'!$K$71)-'01_Input'!$J$71,0)*'01_Input'!$M$71))+IF('01_Input'!$P$71="Forfait",IF(T$15&gt;='01_Input'!$N$71,'01_Input'!$Q$71,0),IF('01_Input'!$P$71="Palier",IF(AND(T$15&gt;='01_Input'!$N$71,T$15&lt;'01_Input'!$O$71),'01_Input'!$Q$71,0),MAX(MIN(T$15,'01_Input'!$O$71)-'01_Input'!$N$71,0)*'01_Input'!$Q$71))+IF('01_Input'!$T$71="Forfait",IF(T$15&gt;='01_Input'!$R$71,'01_Input'!$U$71,0),IF('01_Input'!$T$71="Palier",IF(AND(T$15&gt;='01_Input'!$R$71,T$15&lt;'01_Input'!$S$71),'01_Input'!$U$71,0),MAX(MIN(T$15,'01_Input'!$S$71)-'01_Input'!$R$71,0)*'01_Input'!$U$71))+IF('01_Input'!$X$71="Forfait",IF(T$15&gt;='01_Input'!$V$71,'01_Input'!$Y$71,0),IF('01_Input'!$X$71="Palier",IF(AND(T$15&gt;='01_Input'!$V$71,T$15&lt;'01_Input'!$W$71),'01_Input'!$Y$71,0),MAX(MIN(T$15,'01_Input'!$W$71)-'01_Input'!$V$71,0)*'01_Input'!$Y$71))+IF('01_Input'!$AB$71="Forfait",IF(T$15&gt;='01_Input'!$Z$71,'01_Input'!$AC$71,0),IF('01_Input'!$AB$71="Palier",IF(AND(T$15&gt;='01_Input'!$Z$71,T$15&lt;'01_Input'!$AA$71),'01_Input'!$AC$71,0),MAX(MIN(T$15,'01_Input'!$AA$71)-'01_Input'!$Z$71,0)*'01_Input'!$AC$71))))))))))</f>
        <v/>
      </c>
      <c r="U62" s="25" t="str">
        <f>IF(U$15="","",IF('01_Input'!$C$71="Non",0,MIN('01_Input'!$I$71,MAX('01_Input'!$H$71,IF('01_Input'!$G$71="Résiduel vs Gestion",0,IF('01_Input'!$G$71="Taux Classe sélectionnée",Distrib_Global_Classe_Selectionnee*U$15,IF('01_Input'!$G$71="Frais KYC (paliers de 100M€)",MAX(0,Nb_Investisseurs-Nb_KYC_Gratuites_Par_Tranche*(FLOOR(U$15/Taille_Tranche_KYC,1)+1))*Cout_Par_KYC_Supplementaire,(IF('01_Input'!$L$71="Forfait",IF(U$15&gt;='01_Input'!$J$71,'01_Input'!$M$71,0),IF('01_Input'!$L$71="Palier",IF(AND(U$15&gt;='01_Input'!$J$71,U$15&lt;'01_Input'!$K$71),'01_Input'!$M$71,0),MAX(MIN(U$15,'01_Input'!$K$71)-'01_Input'!$J$71,0)*'01_Input'!$M$71))+IF('01_Input'!$P$71="Forfait",IF(U$15&gt;='01_Input'!$N$71,'01_Input'!$Q$71,0),IF('01_Input'!$P$71="Palier",IF(AND(U$15&gt;='01_Input'!$N$71,U$15&lt;'01_Input'!$O$71),'01_Input'!$Q$71,0),MAX(MIN(U$15,'01_Input'!$O$71)-'01_Input'!$N$71,0)*'01_Input'!$Q$71))+IF('01_Input'!$T$71="Forfait",IF(U$15&gt;='01_Input'!$R$71,'01_Input'!$U$71,0),IF('01_Input'!$T$71="Palier",IF(AND(U$15&gt;='01_Input'!$R$71,U$15&lt;'01_Input'!$S$71),'01_Input'!$U$71,0),MAX(MIN(U$15,'01_Input'!$S$71)-'01_Input'!$R$71,0)*'01_Input'!$U$71))+IF('01_Input'!$X$71="Forfait",IF(U$15&gt;='01_Input'!$V$71,'01_Input'!$Y$71,0),IF('01_Input'!$X$71="Palier",IF(AND(U$15&gt;='01_Input'!$V$71,U$15&lt;'01_Input'!$W$71),'01_Input'!$Y$71,0),MAX(MIN(U$15,'01_Input'!$W$71)-'01_Input'!$V$71,0)*'01_Input'!$Y$71))+IF('01_Input'!$AB$71="Forfait",IF(U$15&gt;='01_Input'!$Z$71,'01_Input'!$AC$71,0),IF('01_Input'!$AB$71="Palier",IF(AND(U$15&gt;='01_Input'!$Z$71,U$15&lt;'01_Input'!$AA$71),'01_Input'!$AC$71,0),MAX(MIN(U$15,'01_Input'!$AA$71)-'01_Input'!$Z$71,0)*'01_Input'!$AC$71))))))))))</f>
        <v/>
      </c>
      <c r="V62" s="25" t="str">
        <f>IF(V$15="","",IF('01_Input'!$C$71="Non",0,MIN('01_Input'!$I$71,MAX('01_Input'!$H$71,IF('01_Input'!$G$71="Résiduel vs Gestion",0,IF('01_Input'!$G$71="Taux Classe sélectionnée",Distrib_Global_Classe_Selectionnee*V$15,IF('01_Input'!$G$71="Frais KYC (paliers de 100M€)",MAX(0,Nb_Investisseurs-Nb_KYC_Gratuites_Par_Tranche*(FLOOR(V$15/Taille_Tranche_KYC,1)+1))*Cout_Par_KYC_Supplementaire,(IF('01_Input'!$L$71="Forfait",IF(V$15&gt;='01_Input'!$J$71,'01_Input'!$M$71,0),IF('01_Input'!$L$71="Palier",IF(AND(V$15&gt;='01_Input'!$J$71,V$15&lt;'01_Input'!$K$71),'01_Input'!$M$71,0),MAX(MIN(V$15,'01_Input'!$K$71)-'01_Input'!$J$71,0)*'01_Input'!$M$71))+IF('01_Input'!$P$71="Forfait",IF(V$15&gt;='01_Input'!$N$71,'01_Input'!$Q$71,0),IF('01_Input'!$P$71="Palier",IF(AND(V$15&gt;='01_Input'!$N$71,V$15&lt;'01_Input'!$O$71),'01_Input'!$Q$71,0),MAX(MIN(V$15,'01_Input'!$O$71)-'01_Input'!$N$71,0)*'01_Input'!$Q$71))+IF('01_Input'!$T$71="Forfait",IF(V$15&gt;='01_Input'!$R$71,'01_Input'!$U$71,0),IF('01_Input'!$T$71="Palier",IF(AND(V$15&gt;='01_Input'!$R$71,V$15&lt;'01_Input'!$S$71),'01_Input'!$U$71,0),MAX(MIN(V$15,'01_Input'!$S$71)-'01_Input'!$R$71,0)*'01_Input'!$U$71))+IF('01_Input'!$X$71="Forfait",IF(V$15&gt;='01_Input'!$V$71,'01_Input'!$Y$71,0),IF('01_Input'!$X$71="Palier",IF(AND(V$15&gt;='01_Input'!$V$71,V$15&lt;'01_Input'!$W$71),'01_Input'!$Y$71,0),MAX(MIN(V$15,'01_Input'!$W$71)-'01_Input'!$V$71,0)*'01_Input'!$Y$71))+IF('01_Input'!$AB$71="Forfait",IF(V$15&gt;='01_Input'!$Z$71,'01_Input'!$AC$71,0),IF('01_Input'!$AB$71="Palier",IF(AND(V$15&gt;='01_Input'!$Z$71,V$15&lt;'01_Input'!$AA$71),'01_Input'!$AC$71,0),MAX(MIN(V$15,'01_Input'!$AA$71)-'01_Input'!$Z$71,0)*'01_Input'!$AC$71))))))))))</f>
        <v/>
      </c>
      <c r="W62" s="25" t="str">
        <f>IF(W$15="","",IF('01_Input'!$C$71="Non",0,MIN('01_Input'!$I$71,MAX('01_Input'!$H$71,IF('01_Input'!$G$71="Résiduel vs Gestion",0,IF('01_Input'!$G$71="Taux Classe sélectionnée",Distrib_Global_Classe_Selectionnee*W$15,IF('01_Input'!$G$71="Frais KYC (paliers de 100M€)",MAX(0,Nb_Investisseurs-Nb_KYC_Gratuites_Par_Tranche*(FLOOR(W$15/Taille_Tranche_KYC,1)+1))*Cout_Par_KYC_Supplementaire,(IF('01_Input'!$L$71="Forfait",IF(W$15&gt;='01_Input'!$J$71,'01_Input'!$M$71,0),IF('01_Input'!$L$71="Palier",IF(AND(W$15&gt;='01_Input'!$J$71,W$15&lt;'01_Input'!$K$71),'01_Input'!$M$71,0),MAX(MIN(W$15,'01_Input'!$K$71)-'01_Input'!$J$71,0)*'01_Input'!$M$71))+IF('01_Input'!$P$71="Forfait",IF(W$15&gt;='01_Input'!$N$71,'01_Input'!$Q$71,0),IF('01_Input'!$P$71="Palier",IF(AND(W$15&gt;='01_Input'!$N$71,W$15&lt;'01_Input'!$O$71),'01_Input'!$Q$71,0),MAX(MIN(W$15,'01_Input'!$O$71)-'01_Input'!$N$71,0)*'01_Input'!$Q$71))+IF('01_Input'!$T$71="Forfait",IF(W$15&gt;='01_Input'!$R$71,'01_Input'!$U$71,0),IF('01_Input'!$T$71="Palier",IF(AND(W$15&gt;='01_Input'!$R$71,W$15&lt;'01_Input'!$S$71),'01_Input'!$U$71,0),MAX(MIN(W$15,'01_Input'!$S$71)-'01_Input'!$R$71,0)*'01_Input'!$U$71))+IF('01_Input'!$X$71="Forfait",IF(W$15&gt;='01_Input'!$V$71,'01_Input'!$Y$71,0),IF('01_Input'!$X$71="Palier",IF(AND(W$15&gt;='01_Input'!$V$71,W$15&lt;'01_Input'!$W$71),'01_Input'!$Y$71,0),MAX(MIN(W$15,'01_Input'!$W$71)-'01_Input'!$V$71,0)*'01_Input'!$Y$71))+IF('01_Input'!$AB$71="Forfait",IF(W$15&gt;='01_Input'!$Z$71,'01_Input'!$AC$71,0),IF('01_Input'!$AB$71="Palier",IF(AND(W$15&gt;='01_Input'!$Z$71,W$15&lt;'01_Input'!$AA$71),'01_Input'!$AC$71,0),MAX(MIN(W$15,'01_Input'!$AA$71)-'01_Input'!$Z$71,0)*'01_Input'!$AC$71))))))))))</f>
        <v/>
      </c>
      <c r="X62" s="25" t="str">
        <f>IF(X$15="","",IF('01_Input'!$C$71="Non",0,MIN('01_Input'!$I$71,MAX('01_Input'!$H$71,IF('01_Input'!$G$71="Résiduel vs Gestion",0,IF('01_Input'!$G$71="Taux Classe sélectionnée",Distrib_Global_Classe_Selectionnee*X$15,IF('01_Input'!$G$71="Frais KYC (paliers de 100M€)",MAX(0,Nb_Investisseurs-Nb_KYC_Gratuites_Par_Tranche*(FLOOR(X$15/Taille_Tranche_KYC,1)+1))*Cout_Par_KYC_Supplementaire,(IF('01_Input'!$L$71="Forfait",IF(X$15&gt;='01_Input'!$J$71,'01_Input'!$M$71,0),IF('01_Input'!$L$71="Palier",IF(AND(X$15&gt;='01_Input'!$J$71,X$15&lt;'01_Input'!$K$71),'01_Input'!$M$71,0),MAX(MIN(X$15,'01_Input'!$K$71)-'01_Input'!$J$71,0)*'01_Input'!$M$71))+IF('01_Input'!$P$71="Forfait",IF(X$15&gt;='01_Input'!$N$71,'01_Input'!$Q$71,0),IF('01_Input'!$P$71="Palier",IF(AND(X$15&gt;='01_Input'!$N$71,X$15&lt;'01_Input'!$O$71),'01_Input'!$Q$71,0),MAX(MIN(X$15,'01_Input'!$O$71)-'01_Input'!$N$71,0)*'01_Input'!$Q$71))+IF('01_Input'!$T$71="Forfait",IF(X$15&gt;='01_Input'!$R$71,'01_Input'!$U$71,0),IF('01_Input'!$T$71="Palier",IF(AND(X$15&gt;='01_Input'!$R$71,X$15&lt;'01_Input'!$S$71),'01_Input'!$U$71,0),MAX(MIN(X$15,'01_Input'!$S$71)-'01_Input'!$R$71,0)*'01_Input'!$U$71))+IF('01_Input'!$X$71="Forfait",IF(X$15&gt;='01_Input'!$V$71,'01_Input'!$Y$71,0),IF('01_Input'!$X$71="Palier",IF(AND(X$15&gt;='01_Input'!$V$71,X$15&lt;'01_Input'!$W$71),'01_Input'!$Y$71,0),MAX(MIN(X$15,'01_Input'!$W$71)-'01_Input'!$V$71,0)*'01_Input'!$Y$71))+IF('01_Input'!$AB$71="Forfait",IF(X$15&gt;='01_Input'!$Z$71,'01_Input'!$AC$71,0),IF('01_Input'!$AB$71="Palier",IF(AND(X$15&gt;='01_Input'!$Z$71,X$15&lt;'01_Input'!$AA$71),'01_Input'!$AC$71,0),MAX(MIN(X$15,'01_Input'!$AA$71)-'01_Input'!$Z$71,0)*'01_Input'!$AC$71))))))))))</f>
        <v/>
      </c>
      <c r="Y62" s="25" t="str">
        <f>IF(Y$15="","",IF('01_Input'!$C$71="Non",0,MIN('01_Input'!$I$71,MAX('01_Input'!$H$71,IF('01_Input'!$G$71="Résiduel vs Gestion",0,IF('01_Input'!$G$71="Taux Classe sélectionnée",Distrib_Global_Classe_Selectionnee*Y$15,IF('01_Input'!$G$71="Frais KYC (paliers de 100M€)",MAX(0,Nb_Investisseurs-Nb_KYC_Gratuites_Par_Tranche*(FLOOR(Y$15/Taille_Tranche_KYC,1)+1))*Cout_Par_KYC_Supplementaire,(IF('01_Input'!$L$71="Forfait",IF(Y$15&gt;='01_Input'!$J$71,'01_Input'!$M$71,0),IF('01_Input'!$L$71="Palier",IF(AND(Y$15&gt;='01_Input'!$J$71,Y$15&lt;'01_Input'!$K$71),'01_Input'!$M$71,0),MAX(MIN(Y$15,'01_Input'!$K$71)-'01_Input'!$J$71,0)*'01_Input'!$M$71))+IF('01_Input'!$P$71="Forfait",IF(Y$15&gt;='01_Input'!$N$71,'01_Input'!$Q$71,0),IF('01_Input'!$P$71="Palier",IF(AND(Y$15&gt;='01_Input'!$N$71,Y$15&lt;'01_Input'!$O$71),'01_Input'!$Q$71,0),MAX(MIN(Y$15,'01_Input'!$O$71)-'01_Input'!$N$71,0)*'01_Input'!$Q$71))+IF('01_Input'!$T$71="Forfait",IF(Y$15&gt;='01_Input'!$R$71,'01_Input'!$U$71,0),IF('01_Input'!$T$71="Palier",IF(AND(Y$15&gt;='01_Input'!$R$71,Y$15&lt;'01_Input'!$S$71),'01_Input'!$U$71,0),MAX(MIN(Y$15,'01_Input'!$S$71)-'01_Input'!$R$71,0)*'01_Input'!$U$71))+IF('01_Input'!$X$71="Forfait",IF(Y$15&gt;='01_Input'!$V$71,'01_Input'!$Y$71,0),IF('01_Input'!$X$71="Palier",IF(AND(Y$15&gt;='01_Input'!$V$71,Y$15&lt;'01_Input'!$W$71),'01_Input'!$Y$71,0),MAX(MIN(Y$15,'01_Input'!$W$71)-'01_Input'!$V$71,0)*'01_Input'!$Y$71))+IF('01_Input'!$AB$71="Forfait",IF(Y$15&gt;='01_Input'!$Z$71,'01_Input'!$AC$71,0),IF('01_Input'!$AB$71="Palier",IF(AND(Y$15&gt;='01_Input'!$Z$71,Y$15&lt;'01_Input'!$AA$71),'01_Input'!$AC$71,0),MAX(MIN(Y$15,'01_Input'!$AA$71)-'01_Input'!$Z$71,0)*'01_Input'!$AC$71))))))))))</f>
        <v/>
      </c>
      <c r="Z62" s="25" t="str">
        <f>IF(Z$15="","",IF('01_Input'!$C$71="Non",0,MIN('01_Input'!$I$71,MAX('01_Input'!$H$71,IF('01_Input'!$G$71="Résiduel vs Gestion",0,IF('01_Input'!$G$71="Taux Classe sélectionnée",Distrib_Global_Classe_Selectionnee*Z$15,IF('01_Input'!$G$71="Frais KYC (paliers de 100M€)",MAX(0,Nb_Investisseurs-Nb_KYC_Gratuites_Par_Tranche*(FLOOR(Z$15/Taille_Tranche_KYC,1)+1))*Cout_Par_KYC_Supplementaire,(IF('01_Input'!$L$71="Forfait",IF(Z$15&gt;='01_Input'!$J$71,'01_Input'!$M$71,0),IF('01_Input'!$L$71="Palier",IF(AND(Z$15&gt;='01_Input'!$J$71,Z$15&lt;'01_Input'!$K$71),'01_Input'!$M$71,0),MAX(MIN(Z$15,'01_Input'!$K$71)-'01_Input'!$J$71,0)*'01_Input'!$M$71))+IF('01_Input'!$P$71="Forfait",IF(Z$15&gt;='01_Input'!$N$71,'01_Input'!$Q$71,0),IF('01_Input'!$P$71="Palier",IF(AND(Z$15&gt;='01_Input'!$N$71,Z$15&lt;'01_Input'!$O$71),'01_Input'!$Q$71,0),MAX(MIN(Z$15,'01_Input'!$O$71)-'01_Input'!$N$71,0)*'01_Input'!$Q$71))+IF('01_Input'!$T$71="Forfait",IF(Z$15&gt;='01_Input'!$R$71,'01_Input'!$U$71,0),IF('01_Input'!$T$71="Palier",IF(AND(Z$15&gt;='01_Input'!$R$71,Z$15&lt;'01_Input'!$S$71),'01_Input'!$U$71,0),MAX(MIN(Z$15,'01_Input'!$S$71)-'01_Input'!$R$71,0)*'01_Input'!$U$71))+IF('01_Input'!$X$71="Forfait",IF(Z$15&gt;='01_Input'!$V$71,'01_Input'!$Y$71,0),IF('01_Input'!$X$71="Palier",IF(AND(Z$15&gt;='01_Input'!$V$71,Z$15&lt;'01_Input'!$W$71),'01_Input'!$Y$71,0),MAX(MIN(Z$15,'01_Input'!$W$71)-'01_Input'!$V$71,0)*'01_Input'!$Y$71))+IF('01_Input'!$AB$71="Forfait",IF(Z$15&gt;='01_Input'!$Z$71,'01_Input'!$AC$71,0),IF('01_Input'!$AB$71="Palier",IF(AND(Z$15&gt;='01_Input'!$Z$71,Z$15&lt;'01_Input'!$AA$71),'01_Input'!$AC$71,0),MAX(MIN(Z$15,'01_Input'!$AA$71)-'01_Input'!$Z$71,0)*'01_Input'!$AC$71))))))))))</f>
        <v/>
      </c>
      <c r="AA62" s="25" t="str">
        <f>IF(AA$15="","",IF('01_Input'!$C$71="Non",0,MIN('01_Input'!$I$71,MAX('01_Input'!$H$71,IF('01_Input'!$G$71="Résiduel vs Gestion",0,IF('01_Input'!$G$71="Taux Classe sélectionnée",Distrib_Global_Classe_Selectionnee*AA$15,IF('01_Input'!$G$71="Frais KYC (paliers de 100M€)",MAX(0,Nb_Investisseurs-Nb_KYC_Gratuites_Par_Tranche*(FLOOR(AA$15/Taille_Tranche_KYC,1)+1))*Cout_Par_KYC_Supplementaire,(IF('01_Input'!$L$71="Forfait",IF(AA$15&gt;='01_Input'!$J$71,'01_Input'!$M$71,0),IF('01_Input'!$L$71="Palier",IF(AND(AA$15&gt;='01_Input'!$J$71,AA$15&lt;'01_Input'!$K$71),'01_Input'!$M$71,0),MAX(MIN(AA$15,'01_Input'!$K$71)-'01_Input'!$J$71,0)*'01_Input'!$M$71))+IF('01_Input'!$P$71="Forfait",IF(AA$15&gt;='01_Input'!$N$71,'01_Input'!$Q$71,0),IF('01_Input'!$P$71="Palier",IF(AND(AA$15&gt;='01_Input'!$N$71,AA$15&lt;'01_Input'!$O$71),'01_Input'!$Q$71,0),MAX(MIN(AA$15,'01_Input'!$O$71)-'01_Input'!$N$71,0)*'01_Input'!$Q$71))+IF('01_Input'!$T$71="Forfait",IF(AA$15&gt;='01_Input'!$R$71,'01_Input'!$U$71,0),IF('01_Input'!$T$71="Palier",IF(AND(AA$15&gt;='01_Input'!$R$71,AA$15&lt;'01_Input'!$S$71),'01_Input'!$U$71,0),MAX(MIN(AA$15,'01_Input'!$S$71)-'01_Input'!$R$71,0)*'01_Input'!$U$71))+IF('01_Input'!$X$71="Forfait",IF(AA$15&gt;='01_Input'!$V$71,'01_Input'!$Y$71,0),IF('01_Input'!$X$71="Palier",IF(AND(AA$15&gt;='01_Input'!$V$71,AA$15&lt;'01_Input'!$W$71),'01_Input'!$Y$71,0),MAX(MIN(AA$15,'01_Input'!$W$71)-'01_Input'!$V$71,0)*'01_Input'!$Y$71))+IF('01_Input'!$AB$71="Forfait",IF(AA$15&gt;='01_Input'!$Z$71,'01_Input'!$AC$71,0),IF('01_Input'!$AB$71="Palier",IF(AND(AA$15&gt;='01_Input'!$Z$71,AA$15&lt;'01_Input'!$AA$71),'01_Input'!$AC$71,0),MAX(MIN(AA$15,'01_Input'!$AA$71)-'01_Input'!$Z$71,0)*'01_Input'!$AC$71))))))))))</f>
        <v/>
      </c>
      <c r="AB62" s="25" t="str">
        <f>IF(AB$15="","",IF('01_Input'!$C$71="Non",0,MIN('01_Input'!$I$71,MAX('01_Input'!$H$71,IF('01_Input'!$G$71="Résiduel vs Gestion",0,IF('01_Input'!$G$71="Taux Classe sélectionnée",Distrib_Global_Classe_Selectionnee*AB$15,IF('01_Input'!$G$71="Frais KYC (paliers de 100M€)",MAX(0,Nb_Investisseurs-Nb_KYC_Gratuites_Par_Tranche*(FLOOR(AB$15/Taille_Tranche_KYC,1)+1))*Cout_Par_KYC_Supplementaire,(IF('01_Input'!$L$71="Forfait",IF(AB$15&gt;='01_Input'!$J$71,'01_Input'!$M$71,0),IF('01_Input'!$L$71="Palier",IF(AND(AB$15&gt;='01_Input'!$J$71,AB$15&lt;'01_Input'!$K$71),'01_Input'!$M$71,0),MAX(MIN(AB$15,'01_Input'!$K$71)-'01_Input'!$J$71,0)*'01_Input'!$M$71))+IF('01_Input'!$P$71="Forfait",IF(AB$15&gt;='01_Input'!$N$71,'01_Input'!$Q$71,0),IF('01_Input'!$P$71="Palier",IF(AND(AB$15&gt;='01_Input'!$N$71,AB$15&lt;'01_Input'!$O$71),'01_Input'!$Q$71,0),MAX(MIN(AB$15,'01_Input'!$O$71)-'01_Input'!$N$71,0)*'01_Input'!$Q$71))+IF('01_Input'!$T$71="Forfait",IF(AB$15&gt;='01_Input'!$R$71,'01_Input'!$U$71,0),IF('01_Input'!$T$71="Palier",IF(AND(AB$15&gt;='01_Input'!$R$71,AB$15&lt;'01_Input'!$S$71),'01_Input'!$U$71,0),MAX(MIN(AB$15,'01_Input'!$S$71)-'01_Input'!$R$71,0)*'01_Input'!$U$71))+IF('01_Input'!$X$71="Forfait",IF(AB$15&gt;='01_Input'!$V$71,'01_Input'!$Y$71,0),IF('01_Input'!$X$71="Palier",IF(AND(AB$15&gt;='01_Input'!$V$71,AB$15&lt;'01_Input'!$W$71),'01_Input'!$Y$71,0),MAX(MIN(AB$15,'01_Input'!$W$71)-'01_Input'!$V$71,0)*'01_Input'!$Y$71))+IF('01_Input'!$AB$71="Forfait",IF(AB$15&gt;='01_Input'!$Z$71,'01_Input'!$AC$71,0),IF('01_Input'!$AB$71="Palier",IF(AND(AB$15&gt;='01_Input'!$Z$71,AB$15&lt;'01_Input'!$AA$71),'01_Input'!$AC$71,0),MAX(MIN(AB$15,'01_Input'!$AA$71)-'01_Input'!$Z$71,0)*'01_Input'!$AC$71))))))))))</f>
        <v/>
      </c>
      <c r="AC62" s="25" t="str">
        <f>IF(AC$15="","",IF('01_Input'!$C$71="Non",0,MIN('01_Input'!$I$71,MAX('01_Input'!$H$71,IF('01_Input'!$G$71="Résiduel vs Gestion",0,IF('01_Input'!$G$71="Taux Classe sélectionnée",Distrib_Global_Classe_Selectionnee*AC$15,IF('01_Input'!$G$71="Frais KYC (paliers de 100M€)",MAX(0,Nb_Investisseurs-Nb_KYC_Gratuites_Par_Tranche*(FLOOR(AC$15/Taille_Tranche_KYC,1)+1))*Cout_Par_KYC_Supplementaire,(IF('01_Input'!$L$71="Forfait",IF(AC$15&gt;='01_Input'!$J$71,'01_Input'!$M$71,0),IF('01_Input'!$L$71="Palier",IF(AND(AC$15&gt;='01_Input'!$J$71,AC$15&lt;'01_Input'!$K$71),'01_Input'!$M$71,0),MAX(MIN(AC$15,'01_Input'!$K$71)-'01_Input'!$J$71,0)*'01_Input'!$M$71))+IF('01_Input'!$P$71="Forfait",IF(AC$15&gt;='01_Input'!$N$71,'01_Input'!$Q$71,0),IF('01_Input'!$P$71="Palier",IF(AND(AC$15&gt;='01_Input'!$N$71,AC$15&lt;'01_Input'!$O$71),'01_Input'!$Q$71,0),MAX(MIN(AC$15,'01_Input'!$O$71)-'01_Input'!$N$71,0)*'01_Input'!$Q$71))+IF('01_Input'!$T$71="Forfait",IF(AC$15&gt;='01_Input'!$R$71,'01_Input'!$U$71,0),IF('01_Input'!$T$71="Palier",IF(AND(AC$15&gt;='01_Input'!$R$71,AC$15&lt;'01_Input'!$S$71),'01_Input'!$U$71,0),MAX(MIN(AC$15,'01_Input'!$S$71)-'01_Input'!$R$71,0)*'01_Input'!$U$71))+IF('01_Input'!$X$71="Forfait",IF(AC$15&gt;='01_Input'!$V$71,'01_Input'!$Y$71,0),IF('01_Input'!$X$71="Palier",IF(AND(AC$15&gt;='01_Input'!$V$71,AC$15&lt;'01_Input'!$W$71),'01_Input'!$Y$71,0),MAX(MIN(AC$15,'01_Input'!$W$71)-'01_Input'!$V$71,0)*'01_Input'!$Y$71))+IF('01_Input'!$AB$71="Forfait",IF(AC$15&gt;='01_Input'!$Z$71,'01_Input'!$AC$71,0),IF('01_Input'!$AB$71="Palier",IF(AND(AC$15&gt;='01_Input'!$Z$71,AC$15&lt;'01_Input'!$AA$71),'01_Input'!$AC$71,0),MAX(MIN(AC$15,'01_Input'!$AA$71)-'01_Input'!$Z$71,0)*'01_Input'!$AC$71))))))))))</f>
        <v/>
      </c>
      <c r="AD62" s="25" t="str">
        <f>IF(AD$15="","",IF('01_Input'!$C$71="Non",0,MIN('01_Input'!$I$71,MAX('01_Input'!$H$71,IF('01_Input'!$G$71="Résiduel vs Gestion",0,IF('01_Input'!$G$71="Taux Classe sélectionnée",Distrib_Global_Classe_Selectionnee*AD$15,IF('01_Input'!$G$71="Frais KYC (paliers de 100M€)",MAX(0,Nb_Investisseurs-Nb_KYC_Gratuites_Par_Tranche*(FLOOR(AD$15/Taille_Tranche_KYC,1)+1))*Cout_Par_KYC_Supplementaire,(IF('01_Input'!$L$71="Forfait",IF(AD$15&gt;='01_Input'!$J$71,'01_Input'!$M$71,0),IF('01_Input'!$L$71="Palier",IF(AND(AD$15&gt;='01_Input'!$J$71,AD$15&lt;'01_Input'!$K$71),'01_Input'!$M$71,0),MAX(MIN(AD$15,'01_Input'!$K$71)-'01_Input'!$J$71,0)*'01_Input'!$M$71))+IF('01_Input'!$P$71="Forfait",IF(AD$15&gt;='01_Input'!$N$71,'01_Input'!$Q$71,0),IF('01_Input'!$P$71="Palier",IF(AND(AD$15&gt;='01_Input'!$N$71,AD$15&lt;'01_Input'!$O$71),'01_Input'!$Q$71,0),MAX(MIN(AD$15,'01_Input'!$O$71)-'01_Input'!$N$71,0)*'01_Input'!$Q$71))+IF('01_Input'!$T$71="Forfait",IF(AD$15&gt;='01_Input'!$R$71,'01_Input'!$U$71,0),IF('01_Input'!$T$71="Palier",IF(AND(AD$15&gt;='01_Input'!$R$71,AD$15&lt;'01_Input'!$S$71),'01_Input'!$U$71,0),MAX(MIN(AD$15,'01_Input'!$S$71)-'01_Input'!$R$71,0)*'01_Input'!$U$71))+IF('01_Input'!$X$71="Forfait",IF(AD$15&gt;='01_Input'!$V$71,'01_Input'!$Y$71,0),IF('01_Input'!$X$71="Palier",IF(AND(AD$15&gt;='01_Input'!$V$71,AD$15&lt;'01_Input'!$W$71),'01_Input'!$Y$71,0),MAX(MIN(AD$15,'01_Input'!$W$71)-'01_Input'!$V$71,0)*'01_Input'!$Y$71))+IF('01_Input'!$AB$71="Forfait",IF(AD$15&gt;='01_Input'!$Z$71,'01_Input'!$AC$71,0),IF('01_Input'!$AB$71="Palier",IF(AND(AD$15&gt;='01_Input'!$Z$71,AD$15&lt;'01_Input'!$AA$71),'01_Input'!$AC$71,0),MAX(MIN(AD$15,'01_Input'!$AA$71)-'01_Input'!$Z$71,0)*'01_Input'!$AC$71))))))))))</f>
        <v/>
      </c>
      <c r="AE62" s="25" t="str">
        <f>IF(AE$15="","",IF('01_Input'!$C$71="Non",0,MIN('01_Input'!$I$71,MAX('01_Input'!$H$71,IF('01_Input'!$G$71="Résiduel vs Gestion",0,IF('01_Input'!$G$71="Taux Classe sélectionnée",Distrib_Global_Classe_Selectionnee*AE$15,IF('01_Input'!$G$71="Frais KYC (paliers de 100M€)",MAX(0,Nb_Investisseurs-Nb_KYC_Gratuites_Par_Tranche*(FLOOR(AE$15/Taille_Tranche_KYC,1)+1))*Cout_Par_KYC_Supplementaire,(IF('01_Input'!$L$71="Forfait",IF(AE$15&gt;='01_Input'!$J$71,'01_Input'!$M$71,0),IF('01_Input'!$L$71="Palier",IF(AND(AE$15&gt;='01_Input'!$J$71,AE$15&lt;'01_Input'!$K$71),'01_Input'!$M$71,0),MAX(MIN(AE$15,'01_Input'!$K$71)-'01_Input'!$J$71,0)*'01_Input'!$M$71))+IF('01_Input'!$P$71="Forfait",IF(AE$15&gt;='01_Input'!$N$71,'01_Input'!$Q$71,0),IF('01_Input'!$P$71="Palier",IF(AND(AE$15&gt;='01_Input'!$N$71,AE$15&lt;'01_Input'!$O$71),'01_Input'!$Q$71,0),MAX(MIN(AE$15,'01_Input'!$O$71)-'01_Input'!$N$71,0)*'01_Input'!$Q$71))+IF('01_Input'!$T$71="Forfait",IF(AE$15&gt;='01_Input'!$R$71,'01_Input'!$U$71,0),IF('01_Input'!$T$71="Palier",IF(AND(AE$15&gt;='01_Input'!$R$71,AE$15&lt;'01_Input'!$S$71),'01_Input'!$U$71,0),MAX(MIN(AE$15,'01_Input'!$S$71)-'01_Input'!$R$71,0)*'01_Input'!$U$71))+IF('01_Input'!$X$71="Forfait",IF(AE$15&gt;='01_Input'!$V$71,'01_Input'!$Y$71,0),IF('01_Input'!$X$71="Palier",IF(AND(AE$15&gt;='01_Input'!$V$71,AE$15&lt;'01_Input'!$W$71),'01_Input'!$Y$71,0),MAX(MIN(AE$15,'01_Input'!$W$71)-'01_Input'!$V$71,0)*'01_Input'!$Y$71))+IF('01_Input'!$AB$71="Forfait",IF(AE$15&gt;='01_Input'!$Z$71,'01_Input'!$AC$71,0),IF('01_Input'!$AB$71="Palier",IF(AND(AE$15&gt;='01_Input'!$Z$71,AE$15&lt;'01_Input'!$AA$71),'01_Input'!$AC$71,0),MAX(MIN(AE$15,'01_Input'!$AA$71)-'01_Input'!$Z$71,0)*'01_Input'!$AC$71))))))))))</f>
        <v/>
      </c>
      <c r="AF62" s="25" t="str">
        <f>IF(AF$15="","",IF('01_Input'!$C$71="Non",0,MIN('01_Input'!$I$71,MAX('01_Input'!$H$71,IF('01_Input'!$G$71="Résiduel vs Gestion",0,IF('01_Input'!$G$71="Taux Classe sélectionnée",Distrib_Global_Classe_Selectionnee*AF$15,IF('01_Input'!$G$71="Frais KYC (paliers de 100M€)",MAX(0,Nb_Investisseurs-Nb_KYC_Gratuites_Par_Tranche*(FLOOR(AF$15/Taille_Tranche_KYC,1)+1))*Cout_Par_KYC_Supplementaire,(IF('01_Input'!$L$71="Forfait",IF(AF$15&gt;='01_Input'!$J$71,'01_Input'!$M$71,0),IF('01_Input'!$L$71="Palier",IF(AND(AF$15&gt;='01_Input'!$J$71,AF$15&lt;'01_Input'!$K$71),'01_Input'!$M$71,0),MAX(MIN(AF$15,'01_Input'!$K$71)-'01_Input'!$J$71,0)*'01_Input'!$M$71))+IF('01_Input'!$P$71="Forfait",IF(AF$15&gt;='01_Input'!$N$71,'01_Input'!$Q$71,0),IF('01_Input'!$P$71="Palier",IF(AND(AF$15&gt;='01_Input'!$N$71,AF$15&lt;'01_Input'!$O$71),'01_Input'!$Q$71,0),MAX(MIN(AF$15,'01_Input'!$O$71)-'01_Input'!$N$71,0)*'01_Input'!$Q$71))+IF('01_Input'!$T$71="Forfait",IF(AF$15&gt;='01_Input'!$R$71,'01_Input'!$U$71,0),IF('01_Input'!$T$71="Palier",IF(AND(AF$15&gt;='01_Input'!$R$71,AF$15&lt;'01_Input'!$S$71),'01_Input'!$U$71,0),MAX(MIN(AF$15,'01_Input'!$S$71)-'01_Input'!$R$71,0)*'01_Input'!$U$71))+IF('01_Input'!$X$71="Forfait",IF(AF$15&gt;='01_Input'!$V$71,'01_Input'!$Y$71,0),IF('01_Input'!$X$71="Palier",IF(AND(AF$15&gt;='01_Input'!$V$71,AF$15&lt;'01_Input'!$W$71),'01_Input'!$Y$71,0),MAX(MIN(AF$15,'01_Input'!$W$71)-'01_Input'!$V$71,0)*'01_Input'!$Y$71))+IF('01_Input'!$AB$71="Forfait",IF(AF$15&gt;='01_Input'!$Z$71,'01_Input'!$AC$71,0),IF('01_Input'!$AB$71="Palier",IF(AND(AF$15&gt;='01_Input'!$Z$71,AF$15&lt;'01_Input'!$AA$71),'01_Input'!$AC$71,0),MAX(MIN(AF$15,'01_Input'!$AA$71)-'01_Input'!$Z$71,0)*'01_Input'!$AC$71))))))))))</f>
        <v/>
      </c>
      <c r="AG62" s="25" t="str">
        <f>IF(AG$15="","",IF('01_Input'!$C$71="Non",0,MIN('01_Input'!$I$71,MAX('01_Input'!$H$71,IF('01_Input'!$G$71="Résiduel vs Gestion",0,IF('01_Input'!$G$71="Taux Classe sélectionnée",Distrib_Global_Classe_Selectionnee*AG$15,IF('01_Input'!$G$71="Frais KYC (paliers de 100M€)",MAX(0,Nb_Investisseurs-Nb_KYC_Gratuites_Par_Tranche*(FLOOR(AG$15/Taille_Tranche_KYC,1)+1))*Cout_Par_KYC_Supplementaire,(IF('01_Input'!$L$71="Forfait",IF(AG$15&gt;='01_Input'!$J$71,'01_Input'!$M$71,0),IF('01_Input'!$L$71="Palier",IF(AND(AG$15&gt;='01_Input'!$J$71,AG$15&lt;'01_Input'!$K$71),'01_Input'!$M$71,0),MAX(MIN(AG$15,'01_Input'!$K$71)-'01_Input'!$J$71,0)*'01_Input'!$M$71))+IF('01_Input'!$P$71="Forfait",IF(AG$15&gt;='01_Input'!$N$71,'01_Input'!$Q$71,0),IF('01_Input'!$P$71="Palier",IF(AND(AG$15&gt;='01_Input'!$N$71,AG$15&lt;'01_Input'!$O$71),'01_Input'!$Q$71,0),MAX(MIN(AG$15,'01_Input'!$O$71)-'01_Input'!$N$71,0)*'01_Input'!$Q$71))+IF('01_Input'!$T$71="Forfait",IF(AG$15&gt;='01_Input'!$R$71,'01_Input'!$U$71,0),IF('01_Input'!$T$71="Palier",IF(AND(AG$15&gt;='01_Input'!$R$71,AG$15&lt;'01_Input'!$S$71),'01_Input'!$U$71,0),MAX(MIN(AG$15,'01_Input'!$S$71)-'01_Input'!$R$71,0)*'01_Input'!$U$71))+IF('01_Input'!$X$71="Forfait",IF(AG$15&gt;='01_Input'!$V$71,'01_Input'!$Y$71,0),IF('01_Input'!$X$71="Palier",IF(AND(AG$15&gt;='01_Input'!$V$71,AG$15&lt;'01_Input'!$W$71),'01_Input'!$Y$71,0),MAX(MIN(AG$15,'01_Input'!$W$71)-'01_Input'!$V$71,0)*'01_Input'!$Y$71))+IF('01_Input'!$AB$71="Forfait",IF(AG$15&gt;='01_Input'!$Z$71,'01_Input'!$AC$71,0),IF('01_Input'!$AB$71="Palier",IF(AND(AG$15&gt;='01_Input'!$Z$71,AG$15&lt;'01_Input'!$AA$71),'01_Input'!$AC$71,0),MAX(MIN(AG$15,'01_Input'!$AA$71)-'01_Input'!$Z$71,0)*'01_Input'!$AC$71))))))))))</f>
        <v/>
      </c>
      <c r="AH62" s="25" t="str">
        <f>IF(AH$15="","",IF('01_Input'!$C$71="Non",0,MIN('01_Input'!$I$71,MAX('01_Input'!$H$71,IF('01_Input'!$G$71="Résiduel vs Gestion",0,IF('01_Input'!$G$71="Taux Classe sélectionnée",Distrib_Global_Classe_Selectionnee*AH$15,IF('01_Input'!$G$71="Frais KYC (paliers de 100M€)",MAX(0,Nb_Investisseurs-Nb_KYC_Gratuites_Par_Tranche*(FLOOR(AH$15/Taille_Tranche_KYC,1)+1))*Cout_Par_KYC_Supplementaire,(IF('01_Input'!$L$71="Forfait",IF(AH$15&gt;='01_Input'!$J$71,'01_Input'!$M$71,0),IF('01_Input'!$L$71="Palier",IF(AND(AH$15&gt;='01_Input'!$J$71,AH$15&lt;'01_Input'!$K$71),'01_Input'!$M$71,0),MAX(MIN(AH$15,'01_Input'!$K$71)-'01_Input'!$J$71,0)*'01_Input'!$M$71))+IF('01_Input'!$P$71="Forfait",IF(AH$15&gt;='01_Input'!$N$71,'01_Input'!$Q$71,0),IF('01_Input'!$P$71="Palier",IF(AND(AH$15&gt;='01_Input'!$N$71,AH$15&lt;'01_Input'!$O$71),'01_Input'!$Q$71,0),MAX(MIN(AH$15,'01_Input'!$O$71)-'01_Input'!$N$71,0)*'01_Input'!$Q$71))+IF('01_Input'!$T$71="Forfait",IF(AH$15&gt;='01_Input'!$R$71,'01_Input'!$U$71,0),IF('01_Input'!$T$71="Palier",IF(AND(AH$15&gt;='01_Input'!$R$71,AH$15&lt;'01_Input'!$S$71),'01_Input'!$U$71,0),MAX(MIN(AH$15,'01_Input'!$S$71)-'01_Input'!$R$71,0)*'01_Input'!$U$71))+IF('01_Input'!$X$71="Forfait",IF(AH$15&gt;='01_Input'!$V$71,'01_Input'!$Y$71,0),IF('01_Input'!$X$71="Palier",IF(AND(AH$15&gt;='01_Input'!$V$71,AH$15&lt;'01_Input'!$W$71),'01_Input'!$Y$71,0),MAX(MIN(AH$15,'01_Input'!$W$71)-'01_Input'!$V$71,0)*'01_Input'!$Y$71))+IF('01_Input'!$AB$71="Forfait",IF(AH$15&gt;='01_Input'!$Z$71,'01_Input'!$AC$71,0),IF('01_Input'!$AB$71="Palier",IF(AND(AH$15&gt;='01_Input'!$Z$71,AH$15&lt;'01_Input'!$AA$71),'01_Input'!$AC$71,0),MAX(MIN(AH$15,'01_Input'!$AA$71)-'01_Input'!$Z$71,0)*'01_Input'!$AC$71))))))))))</f>
        <v/>
      </c>
      <c r="AI62" s="25" t="str">
        <f>IF(AI$15="","",IF('01_Input'!$C$71="Non",0,MIN('01_Input'!$I$71,MAX('01_Input'!$H$71,IF('01_Input'!$G$71="Résiduel vs Gestion",0,IF('01_Input'!$G$71="Taux Classe sélectionnée",Distrib_Global_Classe_Selectionnee*AI$15,IF('01_Input'!$G$71="Frais KYC (paliers de 100M€)",MAX(0,Nb_Investisseurs-Nb_KYC_Gratuites_Par_Tranche*(FLOOR(AI$15/Taille_Tranche_KYC,1)+1))*Cout_Par_KYC_Supplementaire,(IF('01_Input'!$L$71="Forfait",IF(AI$15&gt;='01_Input'!$J$71,'01_Input'!$M$71,0),IF('01_Input'!$L$71="Palier",IF(AND(AI$15&gt;='01_Input'!$J$71,AI$15&lt;'01_Input'!$K$71),'01_Input'!$M$71,0),MAX(MIN(AI$15,'01_Input'!$K$71)-'01_Input'!$J$71,0)*'01_Input'!$M$71))+IF('01_Input'!$P$71="Forfait",IF(AI$15&gt;='01_Input'!$N$71,'01_Input'!$Q$71,0),IF('01_Input'!$P$71="Palier",IF(AND(AI$15&gt;='01_Input'!$N$71,AI$15&lt;'01_Input'!$O$71),'01_Input'!$Q$71,0),MAX(MIN(AI$15,'01_Input'!$O$71)-'01_Input'!$N$71,0)*'01_Input'!$Q$71))+IF('01_Input'!$T$71="Forfait",IF(AI$15&gt;='01_Input'!$R$71,'01_Input'!$U$71,0),IF('01_Input'!$T$71="Palier",IF(AND(AI$15&gt;='01_Input'!$R$71,AI$15&lt;'01_Input'!$S$71),'01_Input'!$U$71,0),MAX(MIN(AI$15,'01_Input'!$S$71)-'01_Input'!$R$71,0)*'01_Input'!$U$71))+IF('01_Input'!$X$71="Forfait",IF(AI$15&gt;='01_Input'!$V$71,'01_Input'!$Y$71,0),IF('01_Input'!$X$71="Palier",IF(AND(AI$15&gt;='01_Input'!$V$71,AI$15&lt;'01_Input'!$W$71),'01_Input'!$Y$71,0),MAX(MIN(AI$15,'01_Input'!$W$71)-'01_Input'!$V$71,0)*'01_Input'!$Y$71))+IF('01_Input'!$AB$71="Forfait",IF(AI$15&gt;='01_Input'!$Z$71,'01_Input'!$AC$71,0),IF('01_Input'!$AB$71="Palier",IF(AND(AI$15&gt;='01_Input'!$Z$71,AI$15&lt;'01_Input'!$AA$71),'01_Input'!$AC$71,0),MAX(MIN(AI$15,'01_Input'!$AA$71)-'01_Input'!$Z$71,0)*'01_Input'!$AC$71))))))))))</f>
        <v/>
      </c>
      <c r="AJ62" s="25" t="str">
        <f>IF(AJ$15="","",IF('01_Input'!$C$71="Non",0,MIN('01_Input'!$I$71,MAX('01_Input'!$H$71,IF('01_Input'!$G$71="Résiduel vs Gestion",0,IF('01_Input'!$G$71="Taux Classe sélectionnée",Distrib_Global_Classe_Selectionnee*AJ$15,IF('01_Input'!$G$71="Frais KYC (paliers de 100M€)",MAX(0,Nb_Investisseurs-Nb_KYC_Gratuites_Par_Tranche*(FLOOR(AJ$15/Taille_Tranche_KYC,1)+1))*Cout_Par_KYC_Supplementaire,(IF('01_Input'!$L$71="Forfait",IF(AJ$15&gt;='01_Input'!$J$71,'01_Input'!$M$71,0),IF('01_Input'!$L$71="Palier",IF(AND(AJ$15&gt;='01_Input'!$J$71,AJ$15&lt;'01_Input'!$K$71),'01_Input'!$M$71,0),MAX(MIN(AJ$15,'01_Input'!$K$71)-'01_Input'!$J$71,0)*'01_Input'!$M$71))+IF('01_Input'!$P$71="Forfait",IF(AJ$15&gt;='01_Input'!$N$71,'01_Input'!$Q$71,0),IF('01_Input'!$P$71="Palier",IF(AND(AJ$15&gt;='01_Input'!$N$71,AJ$15&lt;'01_Input'!$O$71),'01_Input'!$Q$71,0),MAX(MIN(AJ$15,'01_Input'!$O$71)-'01_Input'!$N$71,0)*'01_Input'!$Q$71))+IF('01_Input'!$T$71="Forfait",IF(AJ$15&gt;='01_Input'!$R$71,'01_Input'!$U$71,0),IF('01_Input'!$T$71="Palier",IF(AND(AJ$15&gt;='01_Input'!$R$71,AJ$15&lt;'01_Input'!$S$71),'01_Input'!$U$71,0),MAX(MIN(AJ$15,'01_Input'!$S$71)-'01_Input'!$R$71,0)*'01_Input'!$U$71))+IF('01_Input'!$X$71="Forfait",IF(AJ$15&gt;='01_Input'!$V$71,'01_Input'!$Y$71,0),IF('01_Input'!$X$71="Palier",IF(AND(AJ$15&gt;='01_Input'!$V$71,AJ$15&lt;'01_Input'!$W$71),'01_Input'!$Y$71,0),MAX(MIN(AJ$15,'01_Input'!$W$71)-'01_Input'!$V$71,0)*'01_Input'!$Y$71))+IF('01_Input'!$AB$71="Forfait",IF(AJ$15&gt;='01_Input'!$Z$71,'01_Input'!$AC$71,0),IF('01_Input'!$AB$71="Palier",IF(AND(AJ$15&gt;='01_Input'!$Z$71,AJ$15&lt;'01_Input'!$AA$71),'01_Input'!$AC$71,0),MAX(MIN(AJ$15,'01_Input'!$AA$71)-'01_Input'!$Z$71,0)*'01_Input'!$AC$71))))))))))</f>
        <v/>
      </c>
      <c r="AK62" s="25" t="str">
        <f>IF(AK$15="","",IF('01_Input'!$C$71="Non",0,MIN('01_Input'!$I$71,MAX('01_Input'!$H$71,IF('01_Input'!$G$71="Résiduel vs Gestion",0,IF('01_Input'!$G$71="Taux Classe sélectionnée",Distrib_Global_Classe_Selectionnee*AK$15,IF('01_Input'!$G$71="Frais KYC (paliers de 100M€)",MAX(0,Nb_Investisseurs-Nb_KYC_Gratuites_Par_Tranche*(FLOOR(AK$15/Taille_Tranche_KYC,1)+1))*Cout_Par_KYC_Supplementaire,(IF('01_Input'!$L$71="Forfait",IF(AK$15&gt;='01_Input'!$J$71,'01_Input'!$M$71,0),IF('01_Input'!$L$71="Palier",IF(AND(AK$15&gt;='01_Input'!$J$71,AK$15&lt;'01_Input'!$K$71),'01_Input'!$M$71,0),MAX(MIN(AK$15,'01_Input'!$K$71)-'01_Input'!$J$71,0)*'01_Input'!$M$71))+IF('01_Input'!$P$71="Forfait",IF(AK$15&gt;='01_Input'!$N$71,'01_Input'!$Q$71,0),IF('01_Input'!$P$71="Palier",IF(AND(AK$15&gt;='01_Input'!$N$71,AK$15&lt;'01_Input'!$O$71),'01_Input'!$Q$71,0),MAX(MIN(AK$15,'01_Input'!$O$71)-'01_Input'!$N$71,0)*'01_Input'!$Q$71))+IF('01_Input'!$T$71="Forfait",IF(AK$15&gt;='01_Input'!$R$71,'01_Input'!$U$71,0),IF('01_Input'!$T$71="Palier",IF(AND(AK$15&gt;='01_Input'!$R$71,AK$15&lt;'01_Input'!$S$71),'01_Input'!$U$71,0),MAX(MIN(AK$15,'01_Input'!$S$71)-'01_Input'!$R$71,0)*'01_Input'!$U$71))+IF('01_Input'!$X$71="Forfait",IF(AK$15&gt;='01_Input'!$V$71,'01_Input'!$Y$71,0),IF('01_Input'!$X$71="Palier",IF(AND(AK$15&gt;='01_Input'!$V$71,AK$15&lt;'01_Input'!$W$71),'01_Input'!$Y$71,0),MAX(MIN(AK$15,'01_Input'!$W$71)-'01_Input'!$V$71,0)*'01_Input'!$Y$71))+IF('01_Input'!$AB$71="Forfait",IF(AK$15&gt;='01_Input'!$Z$71,'01_Input'!$AC$71,0),IF('01_Input'!$AB$71="Palier",IF(AND(AK$15&gt;='01_Input'!$Z$71,AK$15&lt;'01_Input'!$AA$71),'01_Input'!$AC$71,0),MAX(MIN(AK$15,'01_Input'!$AA$71)-'01_Input'!$Z$71,0)*'01_Input'!$AC$71))))))))))</f>
        <v/>
      </c>
      <c r="AL62" s="25" t="str">
        <f>IF(AL$15="","",IF('01_Input'!$C$71="Non",0,MIN('01_Input'!$I$71,MAX('01_Input'!$H$71,IF('01_Input'!$G$71="Résiduel vs Gestion",0,IF('01_Input'!$G$71="Taux Classe sélectionnée",Distrib_Global_Classe_Selectionnee*AL$15,IF('01_Input'!$G$71="Frais KYC (paliers de 100M€)",MAX(0,Nb_Investisseurs-Nb_KYC_Gratuites_Par_Tranche*(FLOOR(AL$15/Taille_Tranche_KYC,1)+1))*Cout_Par_KYC_Supplementaire,(IF('01_Input'!$L$71="Forfait",IF(AL$15&gt;='01_Input'!$J$71,'01_Input'!$M$71,0),IF('01_Input'!$L$71="Palier",IF(AND(AL$15&gt;='01_Input'!$J$71,AL$15&lt;'01_Input'!$K$71),'01_Input'!$M$71,0),MAX(MIN(AL$15,'01_Input'!$K$71)-'01_Input'!$J$71,0)*'01_Input'!$M$71))+IF('01_Input'!$P$71="Forfait",IF(AL$15&gt;='01_Input'!$N$71,'01_Input'!$Q$71,0),IF('01_Input'!$P$71="Palier",IF(AND(AL$15&gt;='01_Input'!$N$71,AL$15&lt;'01_Input'!$O$71),'01_Input'!$Q$71,0),MAX(MIN(AL$15,'01_Input'!$O$71)-'01_Input'!$N$71,0)*'01_Input'!$Q$71))+IF('01_Input'!$T$71="Forfait",IF(AL$15&gt;='01_Input'!$R$71,'01_Input'!$U$71,0),IF('01_Input'!$T$71="Palier",IF(AND(AL$15&gt;='01_Input'!$R$71,AL$15&lt;'01_Input'!$S$71),'01_Input'!$U$71,0),MAX(MIN(AL$15,'01_Input'!$S$71)-'01_Input'!$R$71,0)*'01_Input'!$U$71))+IF('01_Input'!$X$71="Forfait",IF(AL$15&gt;='01_Input'!$V$71,'01_Input'!$Y$71,0),IF('01_Input'!$X$71="Palier",IF(AND(AL$15&gt;='01_Input'!$V$71,AL$15&lt;'01_Input'!$W$71),'01_Input'!$Y$71,0),MAX(MIN(AL$15,'01_Input'!$W$71)-'01_Input'!$V$71,0)*'01_Input'!$Y$71))+IF('01_Input'!$AB$71="Forfait",IF(AL$15&gt;='01_Input'!$Z$71,'01_Input'!$AC$71,0),IF('01_Input'!$AB$71="Palier",IF(AND(AL$15&gt;='01_Input'!$Z$71,AL$15&lt;'01_Input'!$AA$71),'01_Input'!$AC$71,0),MAX(MIN(AL$15,'01_Input'!$AA$71)-'01_Input'!$Z$71,0)*'01_Input'!$AC$71))))))))))</f>
        <v/>
      </c>
      <c r="AM62" s="25" t="str">
        <f>IF(AM$15="","",IF('01_Input'!$C$71="Non",0,MIN('01_Input'!$I$71,MAX('01_Input'!$H$71,IF('01_Input'!$G$71="Résiduel vs Gestion",0,IF('01_Input'!$G$71="Taux Classe sélectionnée",Distrib_Global_Classe_Selectionnee*AM$15,IF('01_Input'!$G$71="Frais KYC (paliers de 100M€)",MAX(0,Nb_Investisseurs-Nb_KYC_Gratuites_Par_Tranche*(FLOOR(AM$15/Taille_Tranche_KYC,1)+1))*Cout_Par_KYC_Supplementaire,(IF('01_Input'!$L$71="Forfait",IF(AM$15&gt;='01_Input'!$J$71,'01_Input'!$M$71,0),IF('01_Input'!$L$71="Palier",IF(AND(AM$15&gt;='01_Input'!$J$71,AM$15&lt;'01_Input'!$K$71),'01_Input'!$M$71,0),MAX(MIN(AM$15,'01_Input'!$K$71)-'01_Input'!$J$71,0)*'01_Input'!$M$71))+IF('01_Input'!$P$71="Forfait",IF(AM$15&gt;='01_Input'!$N$71,'01_Input'!$Q$71,0),IF('01_Input'!$P$71="Palier",IF(AND(AM$15&gt;='01_Input'!$N$71,AM$15&lt;'01_Input'!$O$71),'01_Input'!$Q$71,0),MAX(MIN(AM$15,'01_Input'!$O$71)-'01_Input'!$N$71,0)*'01_Input'!$Q$71))+IF('01_Input'!$T$71="Forfait",IF(AM$15&gt;='01_Input'!$R$71,'01_Input'!$U$71,0),IF('01_Input'!$T$71="Palier",IF(AND(AM$15&gt;='01_Input'!$R$71,AM$15&lt;'01_Input'!$S$71),'01_Input'!$U$71,0),MAX(MIN(AM$15,'01_Input'!$S$71)-'01_Input'!$R$71,0)*'01_Input'!$U$71))+IF('01_Input'!$X$71="Forfait",IF(AM$15&gt;='01_Input'!$V$71,'01_Input'!$Y$71,0),IF('01_Input'!$X$71="Palier",IF(AND(AM$15&gt;='01_Input'!$V$71,AM$15&lt;'01_Input'!$W$71),'01_Input'!$Y$71,0),MAX(MIN(AM$15,'01_Input'!$W$71)-'01_Input'!$V$71,0)*'01_Input'!$Y$71))+IF('01_Input'!$AB$71="Forfait",IF(AM$15&gt;='01_Input'!$Z$71,'01_Input'!$AC$71,0),IF('01_Input'!$AB$71="Palier",IF(AND(AM$15&gt;='01_Input'!$Z$71,AM$15&lt;'01_Input'!$AA$71),'01_Input'!$AC$71,0),MAX(MIN(AM$15,'01_Input'!$AA$71)-'01_Input'!$Z$71,0)*'01_Input'!$AC$71))))))))))</f>
        <v/>
      </c>
    </row>
    <row r="63" ht="15.75" hidden="1" customHeight="1" outlineLevel="1">
      <c r="B63" s="68" t="str">
        <f t="shared" si="1"/>
        <v>(inactif)</v>
      </c>
      <c r="D63" s="83">
        <f>IF(D$15="","",IF('01_Input'!$C$72="Non",0,MIN('01_Input'!$I$72,MAX('01_Input'!$H$72,IF('01_Input'!$G$72="Résiduel vs Gestion",0,IF('01_Input'!$G$72="Taux Classe sélectionnée",Distrib_Global_Classe_Selectionnee*D$15,IF('01_Input'!$G$72="Frais KYC (paliers de 100M€)",MAX(0,Nb_Investisseurs-Nb_KYC_Gratuites_Par_Tranche*(FLOOR(D$15/Taille_Tranche_KYC,1)+1))*Cout_Par_KYC_Supplementaire,(IF('01_Input'!$L$72="Forfait",IF(D$15&gt;='01_Input'!$J$72,'01_Input'!$M$72,0),IF('01_Input'!$L$72="Palier",IF(AND(D$15&gt;='01_Input'!$J$72,D$15&lt;'01_Input'!$K$72),'01_Input'!$M$72,0),MAX(MIN(D$15,'01_Input'!$K$72)-'01_Input'!$J$72,0)*'01_Input'!$M$72))+IF('01_Input'!$P$72="Forfait",IF(D$15&gt;='01_Input'!$N$72,'01_Input'!$Q$72,0),IF('01_Input'!$P$72="Palier",IF(AND(D$15&gt;='01_Input'!$N$72,D$15&lt;'01_Input'!$O$72),'01_Input'!$Q$72,0),MAX(MIN(D$15,'01_Input'!$O$72)-'01_Input'!$N$72,0)*'01_Input'!$Q$72))+IF('01_Input'!$T$72="Forfait",IF(D$15&gt;='01_Input'!$R$72,'01_Input'!$U$72,0),IF('01_Input'!$T$72="Palier",IF(AND(D$15&gt;='01_Input'!$R$72,D$15&lt;'01_Input'!$S$72),'01_Input'!$U$72,0),MAX(MIN(D$15,'01_Input'!$S$72)-'01_Input'!$R$72,0)*'01_Input'!$U$72))+IF('01_Input'!$X$72="Forfait",IF(D$15&gt;='01_Input'!$V$72,'01_Input'!$Y$72,0),IF('01_Input'!$X$72="Palier",IF(AND(D$15&gt;='01_Input'!$V$72,D$15&lt;'01_Input'!$W$72),'01_Input'!$Y$72,0),MAX(MIN(D$15,'01_Input'!$W$72)-'01_Input'!$V$72,0)*'01_Input'!$Y$72))+IF('01_Input'!$AB$72="Forfait",IF(D$15&gt;='01_Input'!$Z$72,'01_Input'!$AC$72,0),IF('01_Input'!$AB$72="Palier",IF(AND(D$15&gt;='01_Input'!$Z$72,D$15&lt;'01_Input'!$AA$72),'01_Input'!$AC$72,0),MAX(MIN(D$15,'01_Input'!$AA$72)-'01_Input'!$Z$72,0)*'01_Input'!$AC$72))))))))))</f>
        <v>0</v>
      </c>
      <c r="E63" s="83">
        <f>IF(E$15="","",IF('01_Input'!$C$72="Non",0,MIN('01_Input'!$I$72,MAX('01_Input'!$H$72,IF('01_Input'!$G$72="Résiduel vs Gestion",0,IF('01_Input'!$G$72="Taux Classe sélectionnée",Distrib_Global_Classe_Selectionnee*E$15,IF('01_Input'!$G$72="Frais KYC (paliers de 100M€)",MAX(0,Nb_Investisseurs-Nb_KYC_Gratuites_Par_Tranche*(FLOOR(E$15/Taille_Tranche_KYC,1)+1))*Cout_Par_KYC_Supplementaire,(IF('01_Input'!$L$72="Forfait",IF(E$15&gt;='01_Input'!$J$72,'01_Input'!$M$72,0),IF('01_Input'!$L$72="Palier",IF(AND(E$15&gt;='01_Input'!$J$72,E$15&lt;'01_Input'!$K$72),'01_Input'!$M$72,0),MAX(MIN(E$15,'01_Input'!$K$72)-'01_Input'!$J$72,0)*'01_Input'!$M$72))+IF('01_Input'!$P$72="Forfait",IF(E$15&gt;='01_Input'!$N$72,'01_Input'!$Q$72,0),IF('01_Input'!$P$72="Palier",IF(AND(E$15&gt;='01_Input'!$N$72,E$15&lt;'01_Input'!$O$72),'01_Input'!$Q$72,0),MAX(MIN(E$15,'01_Input'!$O$72)-'01_Input'!$N$72,0)*'01_Input'!$Q$72))+IF('01_Input'!$T$72="Forfait",IF(E$15&gt;='01_Input'!$R$72,'01_Input'!$U$72,0),IF('01_Input'!$T$72="Palier",IF(AND(E$15&gt;='01_Input'!$R$72,E$15&lt;'01_Input'!$S$72),'01_Input'!$U$72,0),MAX(MIN(E$15,'01_Input'!$S$72)-'01_Input'!$R$72,0)*'01_Input'!$U$72))+IF('01_Input'!$X$72="Forfait",IF(E$15&gt;='01_Input'!$V$72,'01_Input'!$Y$72,0),IF('01_Input'!$X$72="Palier",IF(AND(E$15&gt;='01_Input'!$V$72,E$15&lt;'01_Input'!$W$72),'01_Input'!$Y$72,0),MAX(MIN(E$15,'01_Input'!$W$72)-'01_Input'!$V$72,0)*'01_Input'!$Y$72))+IF('01_Input'!$AB$72="Forfait",IF(E$15&gt;='01_Input'!$Z$72,'01_Input'!$AC$72,0),IF('01_Input'!$AB$72="Palier",IF(AND(E$15&gt;='01_Input'!$Z$72,E$15&lt;'01_Input'!$AA$72),'01_Input'!$AC$72,0),MAX(MIN(E$15,'01_Input'!$AA$72)-'01_Input'!$Z$72,0)*'01_Input'!$AC$72))))))))))</f>
        <v>0</v>
      </c>
      <c r="F63" s="83" t="str">
        <f>IF(F$15="","",IF('01_Input'!$C$72="Non",0,MIN('01_Input'!$I$72,MAX('01_Input'!$H$72,IF('01_Input'!$G$72="Résiduel vs Gestion",0,IF('01_Input'!$G$72="Taux Classe sélectionnée",Distrib_Global_Classe_Selectionnee*F$15,IF('01_Input'!$G$72="Frais KYC (paliers de 100M€)",MAX(0,Nb_Investisseurs-Nb_KYC_Gratuites_Par_Tranche*(FLOOR(F$15/Taille_Tranche_KYC,1)+1))*Cout_Par_KYC_Supplementaire,(IF('01_Input'!$L$72="Forfait",IF(F$15&gt;='01_Input'!$J$72,'01_Input'!$M$72,0),IF('01_Input'!$L$72="Palier",IF(AND(F$15&gt;='01_Input'!$J$72,F$15&lt;'01_Input'!$K$72),'01_Input'!$M$72,0),MAX(MIN(F$15,'01_Input'!$K$72)-'01_Input'!$J$72,0)*'01_Input'!$M$72))+IF('01_Input'!$P$72="Forfait",IF(F$15&gt;='01_Input'!$N$72,'01_Input'!$Q$72,0),IF('01_Input'!$P$72="Palier",IF(AND(F$15&gt;='01_Input'!$N$72,F$15&lt;'01_Input'!$O$72),'01_Input'!$Q$72,0),MAX(MIN(F$15,'01_Input'!$O$72)-'01_Input'!$N$72,0)*'01_Input'!$Q$72))+IF('01_Input'!$T$72="Forfait",IF(F$15&gt;='01_Input'!$R$72,'01_Input'!$U$72,0),IF('01_Input'!$T$72="Palier",IF(AND(F$15&gt;='01_Input'!$R$72,F$15&lt;'01_Input'!$S$72),'01_Input'!$U$72,0),MAX(MIN(F$15,'01_Input'!$S$72)-'01_Input'!$R$72,0)*'01_Input'!$U$72))+IF('01_Input'!$X$72="Forfait",IF(F$15&gt;='01_Input'!$V$72,'01_Input'!$Y$72,0),IF('01_Input'!$X$72="Palier",IF(AND(F$15&gt;='01_Input'!$V$72,F$15&lt;'01_Input'!$W$72),'01_Input'!$Y$72,0),MAX(MIN(F$15,'01_Input'!$W$72)-'01_Input'!$V$72,0)*'01_Input'!$Y$72))+IF('01_Input'!$AB$72="Forfait",IF(F$15&gt;='01_Input'!$Z$72,'01_Input'!$AC$72,0),IF('01_Input'!$AB$72="Palier",IF(AND(F$15&gt;='01_Input'!$Z$72,F$15&lt;'01_Input'!$AA$72),'01_Input'!$AC$72,0),MAX(MIN(F$15,'01_Input'!$AA$72)-'01_Input'!$Z$72,0)*'01_Input'!$AC$72))))))))))</f>
        <v/>
      </c>
      <c r="G63" s="83" t="str">
        <f>IF(G$15="","",IF('01_Input'!$C$72="Non",0,MIN('01_Input'!$I$72,MAX('01_Input'!$H$72,IF('01_Input'!$G$72="Résiduel vs Gestion",0,IF('01_Input'!$G$72="Taux Classe sélectionnée",Distrib_Global_Classe_Selectionnee*G$15,IF('01_Input'!$G$72="Frais KYC (paliers de 100M€)",MAX(0,Nb_Investisseurs-Nb_KYC_Gratuites_Par_Tranche*(FLOOR(G$15/Taille_Tranche_KYC,1)+1))*Cout_Par_KYC_Supplementaire,(IF('01_Input'!$L$72="Forfait",IF(G$15&gt;='01_Input'!$J$72,'01_Input'!$M$72,0),IF('01_Input'!$L$72="Palier",IF(AND(G$15&gt;='01_Input'!$J$72,G$15&lt;'01_Input'!$K$72),'01_Input'!$M$72,0),MAX(MIN(G$15,'01_Input'!$K$72)-'01_Input'!$J$72,0)*'01_Input'!$M$72))+IF('01_Input'!$P$72="Forfait",IF(G$15&gt;='01_Input'!$N$72,'01_Input'!$Q$72,0),IF('01_Input'!$P$72="Palier",IF(AND(G$15&gt;='01_Input'!$N$72,G$15&lt;'01_Input'!$O$72),'01_Input'!$Q$72,0),MAX(MIN(G$15,'01_Input'!$O$72)-'01_Input'!$N$72,0)*'01_Input'!$Q$72))+IF('01_Input'!$T$72="Forfait",IF(G$15&gt;='01_Input'!$R$72,'01_Input'!$U$72,0),IF('01_Input'!$T$72="Palier",IF(AND(G$15&gt;='01_Input'!$R$72,G$15&lt;'01_Input'!$S$72),'01_Input'!$U$72,0),MAX(MIN(G$15,'01_Input'!$S$72)-'01_Input'!$R$72,0)*'01_Input'!$U$72))+IF('01_Input'!$X$72="Forfait",IF(G$15&gt;='01_Input'!$V$72,'01_Input'!$Y$72,0),IF('01_Input'!$X$72="Palier",IF(AND(G$15&gt;='01_Input'!$V$72,G$15&lt;'01_Input'!$W$72),'01_Input'!$Y$72,0),MAX(MIN(G$15,'01_Input'!$W$72)-'01_Input'!$V$72,0)*'01_Input'!$Y$72))+IF('01_Input'!$AB$72="Forfait",IF(G$15&gt;='01_Input'!$Z$72,'01_Input'!$AC$72,0),IF('01_Input'!$AB$72="Palier",IF(AND(G$15&gt;='01_Input'!$Z$72,G$15&lt;'01_Input'!$AA$72),'01_Input'!$AC$72,0),MAX(MIN(G$15,'01_Input'!$AA$72)-'01_Input'!$Z$72,0)*'01_Input'!$AC$72))))))))))</f>
        <v/>
      </c>
      <c r="H63" s="83" t="str">
        <f>IF(H$15="","",IF('01_Input'!$C$72="Non",0,MIN('01_Input'!$I$72,MAX('01_Input'!$H$72,IF('01_Input'!$G$72="Résiduel vs Gestion",0,IF('01_Input'!$G$72="Taux Classe sélectionnée",Distrib_Global_Classe_Selectionnee*H$15,IF('01_Input'!$G$72="Frais KYC (paliers de 100M€)",MAX(0,Nb_Investisseurs-Nb_KYC_Gratuites_Par_Tranche*(FLOOR(H$15/Taille_Tranche_KYC,1)+1))*Cout_Par_KYC_Supplementaire,(IF('01_Input'!$L$72="Forfait",IF(H$15&gt;='01_Input'!$J$72,'01_Input'!$M$72,0),IF('01_Input'!$L$72="Palier",IF(AND(H$15&gt;='01_Input'!$J$72,H$15&lt;'01_Input'!$K$72),'01_Input'!$M$72,0),MAX(MIN(H$15,'01_Input'!$K$72)-'01_Input'!$J$72,0)*'01_Input'!$M$72))+IF('01_Input'!$P$72="Forfait",IF(H$15&gt;='01_Input'!$N$72,'01_Input'!$Q$72,0),IF('01_Input'!$P$72="Palier",IF(AND(H$15&gt;='01_Input'!$N$72,H$15&lt;'01_Input'!$O$72),'01_Input'!$Q$72,0),MAX(MIN(H$15,'01_Input'!$O$72)-'01_Input'!$N$72,0)*'01_Input'!$Q$72))+IF('01_Input'!$T$72="Forfait",IF(H$15&gt;='01_Input'!$R$72,'01_Input'!$U$72,0),IF('01_Input'!$T$72="Palier",IF(AND(H$15&gt;='01_Input'!$R$72,H$15&lt;'01_Input'!$S$72),'01_Input'!$U$72,0),MAX(MIN(H$15,'01_Input'!$S$72)-'01_Input'!$R$72,0)*'01_Input'!$U$72))+IF('01_Input'!$X$72="Forfait",IF(H$15&gt;='01_Input'!$V$72,'01_Input'!$Y$72,0),IF('01_Input'!$X$72="Palier",IF(AND(H$15&gt;='01_Input'!$V$72,H$15&lt;'01_Input'!$W$72),'01_Input'!$Y$72,0),MAX(MIN(H$15,'01_Input'!$W$72)-'01_Input'!$V$72,0)*'01_Input'!$Y$72))+IF('01_Input'!$AB$72="Forfait",IF(H$15&gt;='01_Input'!$Z$72,'01_Input'!$AC$72,0),IF('01_Input'!$AB$72="Palier",IF(AND(H$15&gt;='01_Input'!$Z$72,H$15&lt;'01_Input'!$AA$72),'01_Input'!$AC$72,0),MAX(MIN(H$15,'01_Input'!$AA$72)-'01_Input'!$Z$72,0)*'01_Input'!$AC$72))))))))))</f>
        <v/>
      </c>
      <c r="I63" s="83" t="str">
        <f>IF(I$15="","",IF('01_Input'!$C$72="Non",0,MIN('01_Input'!$I$72,MAX('01_Input'!$H$72,IF('01_Input'!$G$72="Résiduel vs Gestion",0,IF('01_Input'!$G$72="Taux Classe sélectionnée",Distrib_Global_Classe_Selectionnee*I$15,IF('01_Input'!$G$72="Frais KYC (paliers de 100M€)",MAX(0,Nb_Investisseurs-Nb_KYC_Gratuites_Par_Tranche*(FLOOR(I$15/Taille_Tranche_KYC,1)+1))*Cout_Par_KYC_Supplementaire,(IF('01_Input'!$L$72="Forfait",IF(I$15&gt;='01_Input'!$J$72,'01_Input'!$M$72,0),IF('01_Input'!$L$72="Palier",IF(AND(I$15&gt;='01_Input'!$J$72,I$15&lt;'01_Input'!$K$72),'01_Input'!$M$72,0),MAX(MIN(I$15,'01_Input'!$K$72)-'01_Input'!$J$72,0)*'01_Input'!$M$72))+IF('01_Input'!$P$72="Forfait",IF(I$15&gt;='01_Input'!$N$72,'01_Input'!$Q$72,0),IF('01_Input'!$P$72="Palier",IF(AND(I$15&gt;='01_Input'!$N$72,I$15&lt;'01_Input'!$O$72),'01_Input'!$Q$72,0),MAX(MIN(I$15,'01_Input'!$O$72)-'01_Input'!$N$72,0)*'01_Input'!$Q$72))+IF('01_Input'!$T$72="Forfait",IF(I$15&gt;='01_Input'!$R$72,'01_Input'!$U$72,0),IF('01_Input'!$T$72="Palier",IF(AND(I$15&gt;='01_Input'!$R$72,I$15&lt;'01_Input'!$S$72),'01_Input'!$U$72,0),MAX(MIN(I$15,'01_Input'!$S$72)-'01_Input'!$R$72,0)*'01_Input'!$U$72))+IF('01_Input'!$X$72="Forfait",IF(I$15&gt;='01_Input'!$V$72,'01_Input'!$Y$72,0),IF('01_Input'!$X$72="Palier",IF(AND(I$15&gt;='01_Input'!$V$72,I$15&lt;'01_Input'!$W$72),'01_Input'!$Y$72,0),MAX(MIN(I$15,'01_Input'!$W$72)-'01_Input'!$V$72,0)*'01_Input'!$Y$72))+IF('01_Input'!$AB$72="Forfait",IF(I$15&gt;='01_Input'!$Z$72,'01_Input'!$AC$72,0),IF('01_Input'!$AB$72="Palier",IF(AND(I$15&gt;='01_Input'!$Z$72,I$15&lt;'01_Input'!$AA$72),'01_Input'!$AC$72,0),MAX(MIN(I$15,'01_Input'!$AA$72)-'01_Input'!$Z$72,0)*'01_Input'!$AC$72))))))))))</f>
        <v/>
      </c>
      <c r="J63" s="83" t="str">
        <f>IF(J$15="","",IF('01_Input'!$C$72="Non",0,MIN('01_Input'!$I$72,MAX('01_Input'!$H$72,IF('01_Input'!$G$72="Résiduel vs Gestion",0,IF('01_Input'!$G$72="Taux Classe sélectionnée",Distrib_Global_Classe_Selectionnee*J$15,IF('01_Input'!$G$72="Frais KYC (paliers de 100M€)",MAX(0,Nb_Investisseurs-Nb_KYC_Gratuites_Par_Tranche*(FLOOR(J$15/Taille_Tranche_KYC,1)+1))*Cout_Par_KYC_Supplementaire,(IF('01_Input'!$L$72="Forfait",IF(J$15&gt;='01_Input'!$J$72,'01_Input'!$M$72,0),IF('01_Input'!$L$72="Palier",IF(AND(J$15&gt;='01_Input'!$J$72,J$15&lt;'01_Input'!$K$72),'01_Input'!$M$72,0),MAX(MIN(J$15,'01_Input'!$K$72)-'01_Input'!$J$72,0)*'01_Input'!$M$72))+IF('01_Input'!$P$72="Forfait",IF(J$15&gt;='01_Input'!$N$72,'01_Input'!$Q$72,0),IF('01_Input'!$P$72="Palier",IF(AND(J$15&gt;='01_Input'!$N$72,J$15&lt;'01_Input'!$O$72),'01_Input'!$Q$72,0),MAX(MIN(J$15,'01_Input'!$O$72)-'01_Input'!$N$72,0)*'01_Input'!$Q$72))+IF('01_Input'!$T$72="Forfait",IF(J$15&gt;='01_Input'!$R$72,'01_Input'!$U$72,0),IF('01_Input'!$T$72="Palier",IF(AND(J$15&gt;='01_Input'!$R$72,J$15&lt;'01_Input'!$S$72),'01_Input'!$U$72,0),MAX(MIN(J$15,'01_Input'!$S$72)-'01_Input'!$R$72,0)*'01_Input'!$U$72))+IF('01_Input'!$X$72="Forfait",IF(J$15&gt;='01_Input'!$V$72,'01_Input'!$Y$72,0),IF('01_Input'!$X$72="Palier",IF(AND(J$15&gt;='01_Input'!$V$72,J$15&lt;'01_Input'!$W$72),'01_Input'!$Y$72,0),MAX(MIN(J$15,'01_Input'!$W$72)-'01_Input'!$V$72,0)*'01_Input'!$Y$72))+IF('01_Input'!$AB$72="Forfait",IF(J$15&gt;='01_Input'!$Z$72,'01_Input'!$AC$72,0),IF('01_Input'!$AB$72="Palier",IF(AND(J$15&gt;='01_Input'!$Z$72,J$15&lt;'01_Input'!$AA$72),'01_Input'!$AC$72,0),MAX(MIN(J$15,'01_Input'!$AA$72)-'01_Input'!$Z$72,0)*'01_Input'!$AC$72))))))))))</f>
        <v/>
      </c>
      <c r="K63" s="83" t="str">
        <f>IF(K$15="","",IF('01_Input'!$C$72="Non",0,MIN('01_Input'!$I$72,MAX('01_Input'!$H$72,IF('01_Input'!$G$72="Résiduel vs Gestion",0,IF('01_Input'!$G$72="Taux Classe sélectionnée",Distrib_Global_Classe_Selectionnee*K$15,IF('01_Input'!$G$72="Frais KYC (paliers de 100M€)",MAX(0,Nb_Investisseurs-Nb_KYC_Gratuites_Par_Tranche*(FLOOR(K$15/Taille_Tranche_KYC,1)+1))*Cout_Par_KYC_Supplementaire,(IF('01_Input'!$L$72="Forfait",IF(K$15&gt;='01_Input'!$J$72,'01_Input'!$M$72,0),IF('01_Input'!$L$72="Palier",IF(AND(K$15&gt;='01_Input'!$J$72,K$15&lt;'01_Input'!$K$72),'01_Input'!$M$72,0),MAX(MIN(K$15,'01_Input'!$K$72)-'01_Input'!$J$72,0)*'01_Input'!$M$72))+IF('01_Input'!$P$72="Forfait",IF(K$15&gt;='01_Input'!$N$72,'01_Input'!$Q$72,0),IF('01_Input'!$P$72="Palier",IF(AND(K$15&gt;='01_Input'!$N$72,K$15&lt;'01_Input'!$O$72),'01_Input'!$Q$72,0),MAX(MIN(K$15,'01_Input'!$O$72)-'01_Input'!$N$72,0)*'01_Input'!$Q$72))+IF('01_Input'!$T$72="Forfait",IF(K$15&gt;='01_Input'!$R$72,'01_Input'!$U$72,0),IF('01_Input'!$T$72="Palier",IF(AND(K$15&gt;='01_Input'!$R$72,K$15&lt;'01_Input'!$S$72),'01_Input'!$U$72,0),MAX(MIN(K$15,'01_Input'!$S$72)-'01_Input'!$R$72,0)*'01_Input'!$U$72))+IF('01_Input'!$X$72="Forfait",IF(K$15&gt;='01_Input'!$V$72,'01_Input'!$Y$72,0),IF('01_Input'!$X$72="Palier",IF(AND(K$15&gt;='01_Input'!$V$72,K$15&lt;'01_Input'!$W$72),'01_Input'!$Y$72,0),MAX(MIN(K$15,'01_Input'!$W$72)-'01_Input'!$V$72,0)*'01_Input'!$Y$72))+IF('01_Input'!$AB$72="Forfait",IF(K$15&gt;='01_Input'!$Z$72,'01_Input'!$AC$72,0),IF('01_Input'!$AB$72="Palier",IF(AND(K$15&gt;='01_Input'!$Z$72,K$15&lt;'01_Input'!$AA$72),'01_Input'!$AC$72,0),MAX(MIN(K$15,'01_Input'!$AA$72)-'01_Input'!$Z$72,0)*'01_Input'!$AC$72))))))))))</f>
        <v/>
      </c>
      <c r="L63" s="83" t="str">
        <f>IF(L$15="","",IF('01_Input'!$C$72="Non",0,MIN('01_Input'!$I$72,MAX('01_Input'!$H$72,IF('01_Input'!$G$72="Résiduel vs Gestion",0,IF('01_Input'!$G$72="Taux Classe sélectionnée",Distrib_Global_Classe_Selectionnee*L$15,IF('01_Input'!$G$72="Frais KYC (paliers de 100M€)",MAX(0,Nb_Investisseurs-Nb_KYC_Gratuites_Par_Tranche*(FLOOR(L$15/Taille_Tranche_KYC,1)+1))*Cout_Par_KYC_Supplementaire,(IF('01_Input'!$L$72="Forfait",IF(L$15&gt;='01_Input'!$J$72,'01_Input'!$M$72,0),IF('01_Input'!$L$72="Palier",IF(AND(L$15&gt;='01_Input'!$J$72,L$15&lt;'01_Input'!$K$72),'01_Input'!$M$72,0),MAX(MIN(L$15,'01_Input'!$K$72)-'01_Input'!$J$72,0)*'01_Input'!$M$72))+IF('01_Input'!$P$72="Forfait",IF(L$15&gt;='01_Input'!$N$72,'01_Input'!$Q$72,0),IF('01_Input'!$P$72="Palier",IF(AND(L$15&gt;='01_Input'!$N$72,L$15&lt;'01_Input'!$O$72),'01_Input'!$Q$72,0),MAX(MIN(L$15,'01_Input'!$O$72)-'01_Input'!$N$72,0)*'01_Input'!$Q$72))+IF('01_Input'!$T$72="Forfait",IF(L$15&gt;='01_Input'!$R$72,'01_Input'!$U$72,0),IF('01_Input'!$T$72="Palier",IF(AND(L$15&gt;='01_Input'!$R$72,L$15&lt;'01_Input'!$S$72),'01_Input'!$U$72,0),MAX(MIN(L$15,'01_Input'!$S$72)-'01_Input'!$R$72,0)*'01_Input'!$U$72))+IF('01_Input'!$X$72="Forfait",IF(L$15&gt;='01_Input'!$V$72,'01_Input'!$Y$72,0),IF('01_Input'!$X$72="Palier",IF(AND(L$15&gt;='01_Input'!$V$72,L$15&lt;'01_Input'!$W$72),'01_Input'!$Y$72,0),MAX(MIN(L$15,'01_Input'!$W$72)-'01_Input'!$V$72,0)*'01_Input'!$Y$72))+IF('01_Input'!$AB$72="Forfait",IF(L$15&gt;='01_Input'!$Z$72,'01_Input'!$AC$72,0),IF('01_Input'!$AB$72="Palier",IF(AND(L$15&gt;='01_Input'!$Z$72,L$15&lt;'01_Input'!$AA$72),'01_Input'!$AC$72,0),MAX(MIN(L$15,'01_Input'!$AA$72)-'01_Input'!$Z$72,0)*'01_Input'!$AC$72))))))))))</f>
        <v/>
      </c>
      <c r="M63" s="83" t="str">
        <f>IF(M$15="","",IF('01_Input'!$C$72="Non",0,MIN('01_Input'!$I$72,MAX('01_Input'!$H$72,IF('01_Input'!$G$72="Résiduel vs Gestion",0,IF('01_Input'!$G$72="Taux Classe sélectionnée",Distrib_Global_Classe_Selectionnee*M$15,IF('01_Input'!$G$72="Frais KYC (paliers de 100M€)",MAX(0,Nb_Investisseurs-Nb_KYC_Gratuites_Par_Tranche*(FLOOR(M$15/Taille_Tranche_KYC,1)+1))*Cout_Par_KYC_Supplementaire,(IF('01_Input'!$L$72="Forfait",IF(M$15&gt;='01_Input'!$J$72,'01_Input'!$M$72,0),IF('01_Input'!$L$72="Palier",IF(AND(M$15&gt;='01_Input'!$J$72,M$15&lt;'01_Input'!$K$72),'01_Input'!$M$72,0),MAX(MIN(M$15,'01_Input'!$K$72)-'01_Input'!$J$72,0)*'01_Input'!$M$72))+IF('01_Input'!$P$72="Forfait",IF(M$15&gt;='01_Input'!$N$72,'01_Input'!$Q$72,0),IF('01_Input'!$P$72="Palier",IF(AND(M$15&gt;='01_Input'!$N$72,M$15&lt;'01_Input'!$O$72),'01_Input'!$Q$72,0),MAX(MIN(M$15,'01_Input'!$O$72)-'01_Input'!$N$72,0)*'01_Input'!$Q$72))+IF('01_Input'!$T$72="Forfait",IF(M$15&gt;='01_Input'!$R$72,'01_Input'!$U$72,0),IF('01_Input'!$T$72="Palier",IF(AND(M$15&gt;='01_Input'!$R$72,M$15&lt;'01_Input'!$S$72),'01_Input'!$U$72,0),MAX(MIN(M$15,'01_Input'!$S$72)-'01_Input'!$R$72,0)*'01_Input'!$U$72))+IF('01_Input'!$X$72="Forfait",IF(M$15&gt;='01_Input'!$V$72,'01_Input'!$Y$72,0),IF('01_Input'!$X$72="Palier",IF(AND(M$15&gt;='01_Input'!$V$72,M$15&lt;'01_Input'!$W$72),'01_Input'!$Y$72,0),MAX(MIN(M$15,'01_Input'!$W$72)-'01_Input'!$V$72,0)*'01_Input'!$Y$72))+IF('01_Input'!$AB$72="Forfait",IF(M$15&gt;='01_Input'!$Z$72,'01_Input'!$AC$72,0),IF('01_Input'!$AB$72="Palier",IF(AND(M$15&gt;='01_Input'!$Z$72,M$15&lt;'01_Input'!$AA$72),'01_Input'!$AC$72,0),MAX(MIN(M$15,'01_Input'!$AA$72)-'01_Input'!$Z$72,0)*'01_Input'!$AC$72))))))))))</f>
        <v/>
      </c>
      <c r="N63" s="83" t="str">
        <f>IF(N$15="","",IF('01_Input'!$C$72="Non",0,MIN('01_Input'!$I$72,MAX('01_Input'!$H$72,IF('01_Input'!$G$72="Résiduel vs Gestion",0,IF('01_Input'!$G$72="Taux Classe sélectionnée",Distrib_Global_Classe_Selectionnee*N$15,IF('01_Input'!$G$72="Frais KYC (paliers de 100M€)",MAX(0,Nb_Investisseurs-Nb_KYC_Gratuites_Par_Tranche*(FLOOR(N$15/Taille_Tranche_KYC,1)+1))*Cout_Par_KYC_Supplementaire,(IF('01_Input'!$L$72="Forfait",IF(N$15&gt;='01_Input'!$J$72,'01_Input'!$M$72,0),IF('01_Input'!$L$72="Palier",IF(AND(N$15&gt;='01_Input'!$J$72,N$15&lt;'01_Input'!$K$72),'01_Input'!$M$72,0),MAX(MIN(N$15,'01_Input'!$K$72)-'01_Input'!$J$72,0)*'01_Input'!$M$72))+IF('01_Input'!$P$72="Forfait",IF(N$15&gt;='01_Input'!$N$72,'01_Input'!$Q$72,0),IF('01_Input'!$P$72="Palier",IF(AND(N$15&gt;='01_Input'!$N$72,N$15&lt;'01_Input'!$O$72),'01_Input'!$Q$72,0),MAX(MIN(N$15,'01_Input'!$O$72)-'01_Input'!$N$72,0)*'01_Input'!$Q$72))+IF('01_Input'!$T$72="Forfait",IF(N$15&gt;='01_Input'!$R$72,'01_Input'!$U$72,0),IF('01_Input'!$T$72="Palier",IF(AND(N$15&gt;='01_Input'!$R$72,N$15&lt;'01_Input'!$S$72),'01_Input'!$U$72,0),MAX(MIN(N$15,'01_Input'!$S$72)-'01_Input'!$R$72,0)*'01_Input'!$U$72))+IF('01_Input'!$X$72="Forfait",IF(N$15&gt;='01_Input'!$V$72,'01_Input'!$Y$72,0),IF('01_Input'!$X$72="Palier",IF(AND(N$15&gt;='01_Input'!$V$72,N$15&lt;'01_Input'!$W$72),'01_Input'!$Y$72,0),MAX(MIN(N$15,'01_Input'!$W$72)-'01_Input'!$V$72,0)*'01_Input'!$Y$72))+IF('01_Input'!$AB$72="Forfait",IF(N$15&gt;='01_Input'!$Z$72,'01_Input'!$AC$72,0),IF('01_Input'!$AB$72="Palier",IF(AND(N$15&gt;='01_Input'!$Z$72,N$15&lt;'01_Input'!$AA$72),'01_Input'!$AC$72,0),MAX(MIN(N$15,'01_Input'!$AA$72)-'01_Input'!$Z$72,0)*'01_Input'!$AC$72))))))))))</f>
        <v/>
      </c>
      <c r="O63" s="83" t="str">
        <f>IF(O$15="","",IF('01_Input'!$C$72="Non",0,MIN('01_Input'!$I$72,MAX('01_Input'!$H$72,IF('01_Input'!$G$72="Résiduel vs Gestion",0,IF('01_Input'!$G$72="Taux Classe sélectionnée",Distrib_Global_Classe_Selectionnee*O$15,IF('01_Input'!$G$72="Frais KYC (paliers de 100M€)",MAX(0,Nb_Investisseurs-Nb_KYC_Gratuites_Par_Tranche*(FLOOR(O$15/Taille_Tranche_KYC,1)+1))*Cout_Par_KYC_Supplementaire,(IF('01_Input'!$L$72="Forfait",IF(O$15&gt;='01_Input'!$J$72,'01_Input'!$M$72,0),IF('01_Input'!$L$72="Palier",IF(AND(O$15&gt;='01_Input'!$J$72,O$15&lt;'01_Input'!$K$72),'01_Input'!$M$72,0),MAX(MIN(O$15,'01_Input'!$K$72)-'01_Input'!$J$72,0)*'01_Input'!$M$72))+IF('01_Input'!$P$72="Forfait",IF(O$15&gt;='01_Input'!$N$72,'01_Input'!$Q$72,0),IF('01_Input'!$P$72="Palier",IF(AND(O$15&gt;='01_Input'!$N$72,O$15&lt;'01_Input'!$O$72),'01_Input'!$Q$72,0),MAX(MIN(O$15,'01_Input'!$O$72)-'01_Input'!$N$72,0)*'01_Input'!$Q$72))+IF('01_Input'!$T$72="Forfait",IF(O$15&gt;='01_Input'!$R$72,'01_Input'!$U$72,0),IF('01_Input'!$T$72="Palier",IF(AND(O$15&gt;='01_Input'!$R$72,O$15&lt;'01_Input'!$S$72),'01_Input'!$U$72,0),MAX(MIN(O$15,'01_Input'!$S$72)-'01_Input'!$R$72,0)*'01_Input'!$U$72))+IF('01_Input'!$X$72="Forfait",IF(O$15&gt;='01_Input'!$V$72,'01_Input'!$Y$72,0),IF('01_Input'!$X$72="Palier",IF(AND(O$15&gt;='01_Input'!$V$72,O$15&lt;'01_Input'!$W$72),'01_Input'!$Y$72,0),MAX(MIN(O$15,'01_Input'!$W$72)-'01_Input'!$V$72,0)*'01_Input'!$Y$72))+IF('01_Input'!$AB$72="Forfait",IF(O$15&gt;='01_Input'!$Z$72,'01_Input'!$AC$72,0),IF('01_Input'!$AB$72="Palier",IF(AND(O$15&gt;='01_Input'!$Z$72,O$15&lt;'01_Input'!$AA$72),'01_Input'!$AC$72,0),MAX(MIN(O$15,'01_Input'!$AA$72)-'01_Input'!$Z$72,0)*'01_Input'!$AC$72))))))))))</f>
        <v/>
      </c>
      <c r="P63" s="83" t="str">
        <f>IF(P$15="","",IF('01_Input'!$C$72="Non",0,MIN('01_Input'!$I$72,MAX('01_Input'!$H$72,IF('01_Input'!$G$72="Résiduel vs Gestion",0,IF('01_Input'!$G$72="Taux Classe sélectionnée",Distrib_Global_Classe_Selectionnee*P$15,IF('01_Input'!$G$72="Frais KYC (paliers de 100M€)",MAX(0,Nb_Investisseurs-Nb_KYC_Gratuites_Par_Tranche*(FLOOR(P$15/Taille_Tranche_KYC,1)+1))*Cout_Par_KYC_Supplementaire,(IF('01_Input'!$L$72="Forfait",IF(P$15&gt;='01_Input'!$J$72,'01_Input'!$M$72,0),IF('01_Input'!$L$72="Palier",IF(AND(P$15&gt;='01_Input'!$J$72,P$15&lt;'01_Input'!$K$72),'01_Input'!$M$72,0),MAX(MIN(P$15,'01_Input'!$K$72)-'01_Input'!$J$72,0)*'01_Input'!$M$72))+IF('01_Input'!$P$72="Forfait",IF(P$15&gt;='01_Input'!$N$72,'01_Input'!$Q$72,0),IF('01_Input'!$P$72="Palier",IF(AND(P$15&gt;='01_Input'!$N$72,P$15&lt;'01_Input'!$O$72),'01_Input'!$Q$72,0),MAX(MIN(P$15,'01_Input'!$O$72)-'01_Input'!$N$72,0)*'01_Input'!$Q$72))+IF('01_Input'!$T$72="Forfait",IF(P$15&gt;='01_Input'!$R$72,'01_Input'!$U$72,0),IF('01_Input'!$T$72="Palier",IF(AND(P$15&gt;='01_Input'!$R$72,P$15&lt;'01_Input'!$S$72),'01_Input'!$U$72,0),MAX(MIN(P$15,'01_Input'!$S$72)-'01_Input'!$R$72,0)*'01_Input'!$U$72))+IF('01_Input'!$X$72="Forfait",IF(P$15&gt;='01_Input'!$V$72,'01_Input'!$Y$72,0),IF('01_Input'!$X$72="Palier",IF(AND(P$15&gt;='01_Input'!$V$72,P$15&lt;'01_Input'!$W$72),'01_Input'!$Y$72,0),MAX(MIN(P$15,'01_Input'!$W$72)-'01_Input'!$V$72,0)*'01_Input'!$Y$72))+IF('01_Input'!$AB$72="Forfait",IF(P$15&gt;='01_Input'!$Z$72,'01_Input'!$AC$72,0),IF('01_Input'!$AB$72="Palier",IF(AND(P$15&gt;='01_Input'!$Z$72,P$15&lt;'01_Input'!$AA$72),'01_Input'!$AC$72,0),MAX(MIN(P$15,'01_Input'!$AA$72)-'01_Input'!$Z$72,0)*'01_Input'!$AC$72))))))))))</f>
        <v/>
      </c>
      <c r="Q63" s="83" t="str">
        <f>IF(Q$15="","",IF('01_Input'!$C$72="Non",0,MIN('01_Input'!$I$72,MAX('01_Input'!$H$72,IF('01_Input'!$G$72="Résiduel vs Gestion",0,IF('01_Input'!$G$72="Taux Classe sélectionnée",Distrib_Global_Classe_Selectionnee*Q$15,IF('01_Input'!$G$72="Frais KYC (paliers de 100M€)",MAX(0,Nb_Investisseurs-Nb_KYC_Gratuites_Par_Tranche*(FLOOR(Q$15/Taille_Tranche_KYC,1)+1))*Cout_Par_KYC_Supplementaire,(IF('01_Input'!$L$72="Forfait",IF(Q$15&gt;='01_Input'!$J$72,'01_Input'!$M$72,0),IF('01_Input'!$L$72="Palier",IF(AND(Q$15&gt;='01_Input'!$J$72,Q$15&lt;'01_Input'!$K$72),'01_Input'!$M$72,0),MAX(MIN(Q$15,'01_Input'!$K$72)-'01_Input'!$J$72,0)*'01_Input'!$M$72))+IF('01_Input'!$P$72="Forfait",IF(Q$15&gt;='01_Input'!$N$72,'01_Input'!$Q$72,0),IF('01_Input'!$P$72="Palier",IF(AND(Q$15&gt;='01_Input'!$N$72,Q$15&lt;'01_Input'!$O$72),'01_Input'!$Q$72,0),MAX(MIN(Q$15,'01_Input'!$O$72)-'01_Input'!$N$72,0)*'01_Input'!$Q$72))+IF('01_Input'!$T$72="Forfait",IF(Q$15&gt;='01_Input'!$R$72,'01_Input'!$U$72,0),IF('01_Input'!$T$72="Palier",IF(AND(Q$15&gt;='01_Input'!$R$72,Q$15&lt;'01_Input'!$S$72),'01_Input'!$U$72,0),MAX(MIN(Q$15,'01_Input'!$S$72)-'01_Input'!$R$72,0)*'01_Input'!$U$72))+IF('01_Input'!$X$72="Forfait",IF(Q$15&gt;='01_Input'!$V$72,'01_Input'!$Y$72,0),IF('01_Input'!$X$72="Palier",IF(AND(Q$15&gt;='01_Input'!$V$72,Q$15&lt;'01_Input'!$W$72),'01_Input'!$Y$72,0),MAX(MIN(Q$15,'01_Input'!$W$72)-'01_Input'!$V$72,0)*'01_Input'!$Y$72))+IF('01_Input'!$AB$72="Forfait",IF(Q$15&gt;='01_Input'!$Z$72,'01_Input'!$AC$72,0),IF('01_Input'!$AB$72="Palier",IF(AND(Q$15&gt;='01_Input'!$Z$72,Q$15&lt;'01_Input'!$AA$72),'01_Input'!$AC$72,0),MAX(MIN(Q$15,'01_Input'!$AA$72)-'01_Input'!$Z$72,0)*'01_Input'!$AC$72))))))))))</f>
        <v/>
      </c>
      <c r="R63" s="83" t="str">
        <f>IF(R$15="","",IF('01_Input'!$C$72="Non",0,MIN('01_Input'!$I$72,MAX('01_Input'!$H$72,IF('01_Input'!$G$72="Résiduel vs Gestion",0,IF('01_Input'!$G$72="Taux Classe sélectionnée",Distrib_Global_Classe_Selectionnee*R$15,IF('01_Input'!$G$72="Frais KYC (paliers de 100M€)",MAX(0,Nb_Investisseurs-Nb_KYC_Gratuites_Par_Tranche*(FLOOR(R$15/Taille_Tranche_KYC,1)+1))*Cout_Par_KYC_Supplementaire,(IF('01_Input'!$L$72="Forfait",IF(R$15&gt;='01_Input'!$J$72,'01_Input'!$M$72,0),IF('01_Input'!$L$72="Palier",IF(AND(R$15&gt;='01_Input'!$J$72,R$15&lt;'01_Input'!$K$72),'01_Input'!$M$72,0),MAX(MIN(R$15,'01_Input'!$K$72)-'01_Input'!$J$72,0)*'01_Input'!$M$72))+IF('01_Input'!$P$72="Forfait",IF(R$15&gt;='01_Input'!$N$72,'01_Input'!$Q$72,0),IF('01_Input'!$P$72="Palier",IF(AND(R$15&gt;='01_Input'!$N$72,R$15&lt;'01_Input'!$O$72),'01_Input'!$Q$72,0),MAX(MIN(R$15,'01_Input'!$O$72)-'01_Input'!$N$72,0)*'01_Input'!$Q$72))+IF('01_Input'!$T$72="Forfait",IF(R$15&gt;='01_Input'!$R$72,'01_Input'!$U$72,0),IF('01_Input'!$T$72="Palier",IF(AND(R$15&gt;='01_Input'!$R$72,R$15&lt;'01_Input'!$S$72),'01_Input'!$U$72,0),MAX(MIN(R$15,'01_Input'!$S$72)-'01_Input'!$R$72,0)*'01_Input'!$U$72))+IF('01_Input'!$X$72="Forfait",IF(R$15&gt;='01_Input'!$V$72,'01_Input'!$Y$72,0),IF('01_Input'!$X$72="Palier",IF(AND(R$15&gt;='01_Input'!$V$72,R$15&lt;'01_Input'!$W$72),'01_Input'!$Y$72,0),MAX(MIN(R$15,'01_Input'!$W$72)-'01_Input'!$V$72,0)*'01_Input'!$Y$72))+IF('01_Input'!$AB$72="Forfait",IF(R$15&gt;='01_Input'!$Z$72,'01_Input'!$AC$72,0),IF('01_Input'!$AB$72="Palier",IF(AND(R$15&gt;='01_Input'!$Z$72,R$15&lt;'01_Input'!$AA$72),'01_Input'!$AC$72,0),MAX(MIN(R$15,'01_Input'!$AA$72)-'01_Input'!$Z$72,0)*'01_Input'!$AC$72))))))))))</f>
        <v/>
      </c>
      <c r="S63" s="83" t="str">
        <f>IF(S$15="","",IF('01_Input'!$C$72="Non",0,MIN('01_Input'!$I$72,MAX('01_Input'!$H$72,IF('01_Input'!$G$72="Résiduel vs Gestion",0,IF('01_Input'!$G$72="Taux Classe sélectionnée",Distrib_Global_Classe_Selectionnee*S$15,IF('01_Input'!$G$72="Frais KYC (paliers de 100M€)",MAX(0,Nb_Investisseurs-Nb_KYC_Gratuites_Par_Tranche*(FLOOR(S$15/Taille_Tranche_KYC,1)+1))*Cout_Par_KYC_Supplementaire,(IF('01_Input'!$L$72="Forfait",IF(S$15&gt;='01_Input'!$J$72,'01_Input'!$M$72,0),IF('01_Input'!$L$72="Palier",IF(AND(S$15&gt;='01_Input'!$J$72,S$15&lt;'01_Input'!$K$72),'01_Input'!$M$72,0),MAX(MIN(S$15,'01_Input'!$K$72)-'01_Input'!$J$72,0)*'01_Input'!$M$72))+IF('01_Input'!$P$72="Forfait",IF(S$15&gt;='01_Input'!$N$72,'01_Input'!$Q$72,0),IF('01_Input'!$P$72="Palier",IF(AND(S$15&gt;='01_Input'!$N$72,S$15&lt;'01_Input'!$O$72),'01_Input'!$Q$72,0),MAX(MIN(S$15,'01_Input'!$O$72)-'01_Input'!$N$72,0)*'01_Input'!$Q$72))+IF('01_Input'!$T$72="Forfait",IF(S$15&gt;='01_Input'!$R$72,'01_Input'!$U$72,0),IF('01_Input'!$T$72="Palier",IF(AND(S$15&gt;='01_Input'!$R$72,S$15&lt;'01_Input'!$S$72),'01_Input'!$U$72,0),MAX(MIN(S$15,'01_Input'!$S$72)-'01_Input'!$R$72,0)*'01_Input'!$U$72))+IF('01_Input'!$X$72="Forfait",IF(S$15&gt;='01_Input'!$V$72,'01_Input'!$Y$72,0),IF('01_Input'!$X$72="Palier",IF(AND(S$15&gt;='01_Input'!$V$72,S$15&lt;'01_Input'!$W$72),'01_Input'!$Y$72,0),MAX(MIN(S$15,'01_Input'!$W$72)-'01_Input'!$V$72,0)*'01_Input'!$Y$72))+IF('01_Input'!$AB$72="Forfait",IF(S$15&gt;='01_Input'!$Z$72,'01_Input'!$AC$72,0),IF('01_Input'!$AB$72="Palier",IF(AND(S$15&gt;='01_Input'!$Z$72,S$15&lt;'01_Input'!$AA$72),'01_Input'!$AC$72,0),MAX(MIN(S$15,'01_Input'!$AA$72)-'01_Input'!$Z$72,0)*'01_Input'!$AC$72))))))))))</f>
        <v/>
      </c>
      <c r="T63" s="83" t="str">
        <f>IF(T$15="","",IF('01_Input'!$C$72="Non",0,MIN('01_Input'!$I$72,MAX('01_Input'!$H$72,IF('01_Input'!$G$72="Résiduel vs Gestion",0,IF('01_Input'!$G$72="Taux Classe sélectionnée",Distrib_Global_Classe_Selectionnee*T$15,IF('01_Input'!$G$72="Frais KYC (paliers de 100M€)",MAX(0,Nb_Investisseurs-Nb_KYC_Gratuites_Par_Tranche*(FLOOR(T$15/Taille_Tranche_KYC,1)+1))*Cout_Par_KYC_Supplementaire,(IF('01_Input'!$L$72="Forfait",IF(T$15&gt;='01_Input'!$J$72,'01_Input'!$M$72,0),IF('01_Input'!$L$72="Palier",IF(AND(T$15&gt;='01_Input'!$J$72,T$15&lt;'01_Input'!$K$72),'01_Input'!$M$72,0),MAX(MIN(T$15,'01_Input'!$K$72)-'01_Input'!$J$72,0)*'01_Input'!$M$72))+IF('01_Input'!$P$72="Forfait",IF(T$15&gt;='01_Input'!$N$72,'01_Input'!$Q$72,0),IF('01_Input'!$P$72="Palier",IF(AND(T$15&gt;='01_Input'!$N$72,T$15&lt;'01_Input'!$O$72),'01_Input'!$Q$72,0),MAX(MIN(T$15,'01_Input'!$O$72)-'01_Input'!$N$72,0)*'01_Input'!$Q$72))+IF('01_Input'!$T$72="Forfait",IF(T$15&gt;='01_Input'!$R$72,'01_Input'!$U$72,0),IF('01_Input'!$T$72="Palier",IF(AND(T$15&gt;='01_Input'!$R$72,T$15&lt;'01_Input'!$S$72),'01_Input'!$U$72,0),MAX(MIN(T$15,'01_Input'!$S$72)-'01_Input'!$R$72,0)*'01_Input'!$U$72))+IF('01_Input'!$X$72="Forfait",IF(T$15&gt;='01_Input'!$V$72,'01_Input'!$Y$72,0),IF('01_Input'!$X$72="Palier",IF(AND(T$15&gt;='01_Input'!$V$72,T$15&lt;'01_Input'!$W$72),'01_Input'!$Y$72,0),MAX(MIN(T$15,'01_Input'!$W$72)-'01_Input'!$V$72,0)*'01_Input'!$Y$72))+IF('01_Input'!$AB$72="Forfait",IF(T$15&gt;='01_Input'!$Z$72,'01_Input'!$AC$72,0),IF('01_Input'!$AB$72="Palier",IF(AND(T$15&gt;='01_Input'!$Z$72,T$15&lt;'01_Input'!$AA$72),'01_Input'!$AC$72,0),MAX(MIN(T$15,'01_Input'!$AA$72)-'01_Input'!$Z$72,0)*'01_Input'!$AC$72))))))))))</f>
        <v/>
      </c>
      <c r="U63" s="83" t="str">
        <f>IF(U$15="","",IF('01_Input'!$C$72="Non",0,MIN('01_Input'!$I$72,MAX('01_Input'!$H$72,IF('01_Input'!$G$72="Résiduel vs Gestion",0,IF('01_Input'!$G$72="Taux Classe sélectionnée",Distrib_Global_Classe_Selectionnee*U$15,IF('01_Input'!$G$72="Frais KYC (paliers de 100M€)",MAX(0,Nb_Investisseurs-Nb_KYC_Gratuites_Par_Tranche*(FLOOR(U$15/Taille_Tranche_KYC,1)+1))*Cout_Par_KYC_Supplementaire,(IF('01_Input'!$L$72="Forfait",IF(U$15&gt;='01_Input'!$J$72,'01_Input'!$M$72,0),IF('01_Input'!$L$72="Palier",IF(AND(U$15&gt;='01_Input'!$J$72,U$15&lt;'01_Input'!$K$72),'01_Input'!$M$72,0),MAX(MIN(U$15,'01_Input'!$K$72)-'01_Input'!$J$72,0)*'01_Input'!$M$72))+IF('01_Input'!$P$72="Forfait",IF(U$15&gt;='01_Input'!$N$72,'01_Input'!$Q$72,0),IF('01_Input'!$P$72="Palier",IF(AND(U$15&gt;='01_Input'!$N$72,U$15&lt;'01_Input'!$O$72),'01_Input'!$Q$72,0),MAX(MIN(U$15,'01_Input'!$O$72)-'01_Input'!$N$72,0)*'01_Input'!$Q$72))+IF('01_Input'!$T$72="Forfait",IF(U$15&gt;='01_Input'!$R$72,'01_Input'!$U$72,0),IF('01_Input'!$T$72="Palier",IF(AND(U$15&gt;='01_Input'!$R$72,U$15&lt;'01_Input'!$S$72),'01_Input'!$U$72,0),MAX(MIN(U$15,'01_Input'!$S$72)-'01_Input'!$R$72,0)*'01_Input'!$U$72))+IF('01_Input'!$X$72="Forfait",IF(U$15&gt;='01_Input'!$V$72,'01_Input'!$Y$72,0),IF('01_Input'!$X$72="Palier",IF(AND(U$15&gt;='01_Input'!$V$72,U$15&lt;'01_Input'!$W$72),'01_Input'!$Y$72,0),MAX(MIN(U$15,'01_Input'!$W$72)-'01_Input'!$V$72,0)*'01_Input'!$Y$72))+IF('01_Input'!$AB$72="Forfait",IF(U$15&gt;='01_Input'!$Z$72,'01_Input'!$AC$72,0),IF('01_Input'!$AB$72="Palier",IF(AND(U$15&gt;='01_Input'!$Z$72,U$15&lt;'01_Input'!$AA$72),'01_Input'!$AC$72,0),MAX(MIN(U$15,'01_Input'!$AA$72)-'01_Input'!$Z$72,0)*'01_Input'!$AC$72))))))))))</f>
        <v/>
      </c>
      <c r="V63" s="83" t="str">
        <f>IF(V$15="","",IF('01_Input'!$C$72="Non",0,MIN('01_Input'!$I$72,MAX('01_Input'!$H$72,IF('01_Input'!$G$72="Résiduel vs Gestion",0,IF('01_Input'!$G$72="Taux Classe sélectionnée",Distrib_Global_Classe_Selectionnee*V$15,IF('01_Input'!$G$72="Frais KYC (paliers de 100M€)",MAX(0,Nb_Investisseurs-Nb_KYC_Gratuites_Par_Tranche*(FLOOR(V$15/Taille_Tranche_KYC,1)+1))*Cout_Par_KYC_Supplementaire,(IF('01_Input'!$L$72="Forfait",IF(V$15&gt;='01_Input'!$J$72,'01_Input'!$M$72,0),IF('01_Input'!$L$72="Palier",IF(AND(V$15&gt;='01_Input'!$J$72,V$15&lt;'01_Input'!$K$72),'01_Input'!$M$72,0),MAX(MIN(V$15,'01_Input'!$K$72)-'01_Input'!$J$72,0)*'01_Input'!$M$72))+IF('01_Input'!$P$72="Forfait",IF(V$15&gt;='01_Input'!$N$72,'01_Input'!$Q$72,0),IF('01_Input'!$P$72="Palier",IF(AND(V$15&gt;='01_Input'!$N$72,V$15&lt;'01_Input'!$O$72),'01_Input'!$Q$72,0),MAX(MIN(V$15,'01_Input'!$O$72)-'01_Input'!$N$72,0)*'01_Input'!$Q$72))+IF('01_Input'!$T$72="Forfait",IF(V$15&gt;='01_Input'!$R$72,'01_Input'!$U$72,0),IF('01_Input'!$T$72="Palier",IF(AND(V$15&gt;='01_Input'!$R$72,V$15&lt;'01_Input'!$S$72),'01_Input'!$U$72,0),MAX(MIN(V$15,'01_Input'!$S$72)-'01_Input'!$R$72,0)*'01_Input'!$U$72))+IF('01_Input'!$X$72="Forfait",IF(V$15&gt;='01_Input'!$V$72,'01_Input'!$Y$72,0),IF('01_Input'!$X$72="Palier",IF(AND(V$15&gt;='01_Input'!$V$72,V$15&lt;'01_Input'!$W$72),'01_Input'!$Y$72,0),MAX(MIN(V$15,'01_Input'!$W$72)-'01_Input'!$V$72,0)*'01_Input'!$Y$72))+IF('01_Input'!$AB$72="Forfait",IF(V$15&gt;='01_Input'!$Z$72,'01_Input'!$AC$72,0),IF('01_Input'!$AB$72="Palier",IF(AND(V$15&gt;='01_Input'!$Z$72,V$15&lt;'01_Input'!$AA$72),'01_Input'!$AC$72,0),MAX(MIN(V$15,'01_Input'!$AA$72)-'01_Input'!$Z$72,0)*'01_Input'!$AC$72))))))))))</f>
        <v/>
      </c>
      <c r="W63" s="83" t="str">
        <f>IF(W$15="","",IF('01_Input'!$C$72="Non",0,MIN('01_Input'!$I$72,MAX('01_Input'!$H$72,IF('01_Input'!$G$72="Résiduel vs Gestion",0,IF('01_Input'!$G$72="Taux Classe sélectionnée",Distrib_Global_Classe_Selectionnee*W$15,IF('01_Input'!$G$72="Frais KYC (paliers de 100M€)",MAX(0,Nb_Investisseurs-Nb_KYC_Gratuites_Par_Tranche*(FLOOR(W$15/Taille_Tranche_KYC,1)+1))*Cout_Par_KYC_Supplementaire,(IF('01_Input'!$L$72="Forfait",IF(W$15&gt;='01_Input'!$J$72,'01_Input'!$M$72,0),IF('01_Input'!$L$72="Palier",IF(AND(W$15&gt;='01_Input'!$J$72,W$15&lt;'01_Input'!$K$72),'01_Input'!$M$72,0),MAX(MIN(W$15,'01_Input'!$K$72)-'01_Input'!$J$72,0)*'01_Input'!$M$72))+IF('01_Input'!$P$72="Forfait",IF(W$15&gt;='01_Input'!$N$72,'01_Input'!$Q$72,0),IF('01_Input'!$P$72="Palier",IF(AND(W$15&gt;='01_Input'!$N$72,W$15&lt;'01_Input'!$O$72),'01_Input'!$Q$72,0),MAX(MIN(W$15,'01_Input'!$O$72)-'01_Input'!$N$72,0)*'01_Input'!$Q$72))+IF('01_Input'!$T$72="Forfait",IF(W$15&gt;='01_Input'!$R$72,'01_Input'!$U$72,0),IF('01_Input'!$T$72="Palier",IF(AND(W$15&gt;='01_Input'!$R$72,W$15&lt;'01_Input'!$S$72),'01_Input'!$U$72,0),MAX(MIN(W$15,'01_Input'!$S$72)-'01_Input'!$R$72,0)*'01_Input'!$U$72))+IF('01_Input'!$X$72="Forfait",IF(W$15&gt;='01_Input'!$V$72,'01_Input'!$Y$72,0),IF('01_Input'!$X$72="Palier",IF(AND(W$15&gt;='01_Input'!$V$72,W$15&lt;'01_Input'!$W$72),'01_Input'!$Y$72,0),MAX(MIN(W$15,'01_Input'!$W$72)-'01_Input'!$V$72,0)*'01_Input'!$Y$72))+IF('01_Input'!$AB$72="Forfait",IF(W$15&gt;='01_Input'!$Z$72,'01_Input'!$AC$72,0),IF('01_Input'!$AB$72="Palier",IF(AND(W$15&gt;='01_Input'!$Z$72,W$15&lt;'01_Input'!$AA$72),'01_Input'!$AC$72,0),MAX(MIN(W$15,'01_Input'!$AA$72)-'01_Input'!$Z$72,0)*'01_Input'!$AC$72))))))))))</f>
        <v/>
      </c>
      <c r="X63" s="83" t="str">
        <f>IF(X$15="","",IF('01_Input'!$C$72="Non",0,MIN('01_Input'!$I$72,MAX('01_Input'!$H$72,IF('01_Input'!$G$72="Résiduel vs Gestion",0,IF('01_Input'!$G$72="Taux Classe sélectionnée",Distrib_Global_Classe_Selectionnee*X$15,IF('01_Input'!$G$72="Frais KYC (paliers de 100M€)",MAX(0,Nb_Investisseurs-Nb_KYC_Gratuites_Par_Tranche*(FLOOR(X$15/Taille_Tranche_KYC,1)+1))*Cout_Par_KYC_Supplementaire,(IF('01_Input'!$L$72="Forfait",IF(X$15&gt;='01_Input'!$J$72,'01_Input'!$M$72,0),IF('01_Input'!$L$72="Palier",IF(AND(X$15&gt;='01_Input'!$J$72,X$15&lt;'01_Input'!$K$72),'01_Input'!$M$72,0),MAX(MIN(X$15,'01_Input'!$K$72)-'01_Input'!$J$72,0)*'01_Input'!$M$72))+IF('01_Input'!$P$72="Forfait",IF(X$15&gt;='01_Input'!$N$72,'01_Input'!$Q$72,0),IF('01_Input'!$P$72="Palier",IF(AND(X$15&gt;='01_Input'!$N$72,X$15&lt;'01_Input'!$O$72),'01_Input'!$Q$72,0),MAX(MIN(X$15,'01_Input'!$O$72)-'01_Input'!$N$72,0)*'01_Input'!$Q$72))+IF('01_Input'!$T$72="Forfait",IF(X$15&gt;='01_Input'!$R$72,'01_Input'!$U$72,0),IF('01_Input'!$T$72="Palier",IF(AND(X$15&gt;='01_Input'!$R$72,X$15&lt;'01_Input'!$S$72),'01_Input'!$U$72,0),MAX(MIN(X$15,'01_Input'!$S$72)-'01_Input'!$R$72,0)*'01_Input'!$U$72))+IF('01_Input'!$X$72="Forfait",IF(X$15&gt;='01_Input'!$V$72,'01_Input'!$Y$72,0),IF('01_Input'!$X$72="Palier",IF(AND(X$15&gt;='01_Input'!$V$72,X$15&lt;'01_Input'!$W$72),'01_Input'!$Y$72,0),MAX(MIN(X$15,'01_Input'!$W$72)-'01_Input'!$V$72,0)*'01_Input'!$Y$72))+IF('01_Input'!$AB$72="Forfait",IF(X$15&gt;='01_Input'!$Z$72,'01_Input'!$AC$72,0),IF('01_Input'!$AB$72="Palier",IF(AND(X$15&gt;='01_Input'!$Z$72,X$15&lt;'01_Input'!$AA$72),'01_Input'!$AC$72,0),MAX(MIN(X$15,'01_Input'!$AA$72)-'01_Input'!$Z$72,0)*'01_Input'!$AC$72))))))))))</f>
        <v/>
      </c>
      <c r="Y63" s="83" t="str">
        <f>IF(Y$15="","",IF('01_Input'!$C$72="Non",0,MIN('01_Input'!$I$72,MAX('01_Input'!$H$72,IF('01_Input'!$G$72="Résiduel vs Gestion",0,IF('01_Input'!$G$72="Taux Classe sélectionnée",Distrib_Global_Classe_Selectionnee*Y$15,IF('01_Input'!$G$72="Frais KYC (paliers de 100M€)",MAX(0,Nb_Investisseurs-Nb_KYC_Gratuites_Par_Tranche*(FLOOR(Y$15/Taille_Tranche_KYC,1)+1))*Cout_Par_KYC_Supplementaire,(IF('01_Input'!$L$72="Forfait",IF(Y$15&gt;='01_Input'!$J$72,'01_Input'!$M$72,0),IF('01_Input'!$L$72="Palier",IF(AND(Y$15&gt;='01_Input'!$J$72,Y$15&lt;'01_Input'!$K$72),'01_Input'!$M$72,0),MAX(MIN(Y$15,'01_Input'!$K$72)-'01_Input'!$J$72,0)*'01_Input'!$M$72))+IF('01_Input'!$P$72="Forfait",IF(Y$15&gt;='01_Input'!$N$72,'01_Input'!$Q$72,0),IF('01_Input'!$P$72="Palier",IF(AND(Y$15&gt;='01_Input'!$N$72,Y$15&lt;'01_Input'!$O$72),'01_Input'!$Q$72,0),MAX(MIN(Y$15,'01_Input'!$O$72)-'01_Input'!$N$72,0)*'01_Input'!$Q$72))+IF('01_Input'!$T$72="Forfait",IF(Y$15&gt;='01_Input'!$R$72,'01_Input'!$U$72,0),IF('01_Input'!$T$72="Palier",IF(AND(Y$15&gt;='01_Input'!$R$72,Y$15&lt;'01_Input'!$S$72),'01_Input'!$U$72,0),MAX(MIN(Y$15,'01_Input'!$S$72)-'01_Input'!$R$72,0)*'01_Input'!$U$72))+IF('01_Input'!$X$72="Forfait",IF(Y$15&gt;='01_Input'!$V$72,'01_Input'!$Y$72,0),IF('01_Input'!$X$72="Palier",IF(AND(Y$15&gt;='01_Input'!$V$72,Y$15&lt;'01_Input'!$W$72),'01_Input'!$Y$72,0),MAX(MIN(Y$15,'01_Input'!$W$72)-'01_Input'!$V$72,0)*'01_Input'!$Y$72))+IF('01_Input'!$AB$72="Forfait",IF(Y$15&gt;='01_Input'!$Z$72,'01_Input'!$AC$72,0),IF('01_Input'!$AB$72="Palier",IF(AND(Y$15&gt;='01_Input'!$Z$72,Y$15&lt;'01_Input'!$AA$72),'01_Input'!$AC$72,0),MAX(MIN(Y$15,'01_Input'!$AA$72)-'01_Input'!$Z$72,0)*'01_Input'!$AC$72))))))))))</f>
        <v/>
      </c>
      <c r="Z63" s="83" t="str">
        <f>IF(Z$15="","",IF('01_Input'!$C$72="Non",0,MIN('01_Input'!$I$72,MAX('01_Input'!$H$72,IF('01_Input'!$G$72="Résiduel vs Gestion",0,IF('01_Input'!$G$72="Taux Classe sélectionnée",Distrib_Global_Classe_Selectionnee*Z$15,IF('01_Input'!$G$72="Frais KYC (paliers de 100M€)",MAX(0,Nb_Investisseurs-Nb_KYC_Gratuites_Par_Tranche*(FLOOR(Z$15/Taille_Tranche_KYC,1)+1))*Cout_Par_KYC_Supplementaire,(IF('01_Input'!$L$72="Forfait",IF(Z$15&gt;='01_Input'!$J$72,'01_Input'!$M$72,0),IF('01_Input'!$L$72="Palier",IF(AND(Z$15&gt;='01_Input'!$J$72,Z$15&lt;'01_Input'!$K$72),'01_Input'!$M$72,0),MAX(MIN(Z$15,'01_Input'!$K$72)-'01_Input'!$J$72,0)*'01_Input'!$M$72))+IF('01_Input'!$P$72="Forfait",IF(Z$15&gt;='01_Input'!$N$72,'01_Input'!$Q$72,0),IF('01_Input'!$P$72="Palier",IF(AND(Z$15&gt;='01_Input'!$N$72,Z$15&lt;'01_Input'!$O$72),'01_Input'!$Q$72,0),MAX(MIN(Z$15,'01_Input'!$O$72)-'01_Input'!$N$72,0)*'01_Input'!$Q$72))+IF('01_Input'!$T$72="Forfait",IF(Z$15&gt;='01_Input'!$R$72,'01_Input'!$U$72,0),IF('01_Input'!$T$72="Palier",IF(AND(Z$15&gt;='01_Input'!$R$72,Z$15&lt;'01_Input'!$S$72),'01_Input'!$U$72,0),MAX(MIN(Z$15,'01_Input'!$S$72)-'01_Input'!$R$72,0)*'01_Input'!$U$72))+IF('01_Input'!$X$72="Forfait",IF(Z$15&gt;='01_Input'!$V$72,'01_Input'!$Y$72,0),IF('01_Input'!$X$72="Palier",IF(AND(Z$15&gt;='01_Input'!$V$72,Z$15&lt;'01_Input'!$W$72),'01_Input'!$Y$72,0),MAX(MIN(Z$15,'01_Input'!$W$72)-'01_Input'!$V$72,0)*'01_Input'!$Y$72))+IF('01_Input'!$AB$72="Forfait",IF(Z$15&gt;='01_Input'!$Z$72,'01_Input'!$AC$72,0),IF('01_Input'!$AB$72="Palier",IF(AND(Z$15&gt;='01_Input'!$Z$72,Z$15&lt;'01_Input'!$AA$72),'01_Input'!$AC$72,0),MAX(MIN(Z$15,'01_Input'!$AA$72)-'01_Input'!$Z$72,0)*'01_Input'!$AC$72))))))))))</f>
        <v/>
      </c>
      <c r="AA63" s="83" t="str">
        <f>IF(AA$15="","",IF('01_Input'!$C$72="Non",0,MIN('01_Input'!$I$72,MAX('01_Input'!$H$72,IF('01_Input'!$G$72="Résiduel vs Gestion",0,IF('01_Input'!$G$72="Taux Classe sélectionnée",Distrib_Global_Classe_Selectionnee*AA$15,IF('01_Input'!$G$72="Frais KYC (paliers de 100M€)",MAX(0,Nb_Investisseurs-Nb_KYC_Gratuites_Par_Tranche*(FLOOR(AA$15/Taille_Tranche_KYC,1)+1))*Cout_Par_KYC_Supplementaire,(IF('01_Input'!$L$72="Forfait",IF(AA$15&gt;='01_Input'!$J$72,'01_Input'!$M$72,0),IF('01_Input'!$L$72="Palier",IF(AND(AA$15&gt;='01_Input'!$J$72,AA$15&lt;'01_Input'!$K$72),'01_Input'!$M$72,0),MAX(MIN(AA$15,'01_Input'!$K$72)-'01_Input'!$J$72,0)*'01_Input'!$M$72))+IF('01_Input'!$P$72="Forfait",IF(AA$15&gt;='01_Input'!$N$72,'01_Input'!$Q$72,0),IF('01_Input'!$P$72="Palier",IF(AND(AA$15&gt;='01_Input'!$N$72,AA$15&lt;'01_Input'!$O$72),'01_Input'!$Q$72,0),MAX(MIN(AA$15,'01_Input'!$O$72)-'01_Input'!$N$72,0)*'01_Input'!$Q$72))+IF('01_Input'!$T$72="Forfait",IF(AA$15&gt;='01_Input'!$R$72,'01_Input'!$U$72,0),IF('01_Input'!$T$72="Palier",IF(AND(AA$15&gt;='01_Input'!$R$72,AA$15&lt;'01_Input'!$S$72),'01_Input'!$U$72,0),MAX(MIN(AA$15,'01_Input'!$S$72)-'01_Input'!$R$72,0)*'01_Input'!$U$72))+IF('01_Input'!$X$72="Forfait",IF(AA$15&gt;='01_Input'!$V$72,'01_Input'!$Y$72,0),IF('01_Input'!$X$72="Palier",IF(AND(AA$15&gt;='01_Input'!$V$72,AA$15&lt;'01_Input'!$W$72),'01_Input'!$Y$72,0),MAX(MIN(AA$15,'01_Input'!$W$72)-'01_Input'!$V$72,0)*'01_Input'!$Y$72))+IF('01_Input'!$AB$72="Forfait",IF(AA$15&gt;='01_Input'!$Z$72,'01_Input'!$AC$72,0),IF('01_Input'!$AB$72="Palier",IF(AND(AA$15&gt;='01_Input'!$Z$72,AA$15&lt;'01_Input'!$AA$72),'01_Input'!$AC$72,0),MAX(MIN(AA$15,'01_Input'!$AA$72)-'01_Input'!$Z$72,0)*'01_Input'!$AC$72))))))))))</f>
        <v/>
      </c>
      <c r="AB63" s="83" t="str">
        <f>IF(AB$15="","",IF('01_Input'!$C$72="Non",0,MIN('01_Input'!$I$72,MAX('01_Input'!$H$72,IF('01_Input'!$G$72="Résiduel vs Gestion",0,IF('01_Input'!$G$72="Taux Classe sélectionnée",Distrib_Global_Classe_Selectionnee*AB$15,IF('01_Input'!$G$72="Frais KYC (paliers de 100M€)",MAX(0,Nb_Investisseurs-Nb_KYC_Gratuites_Par_Tranche*(FLOOR(AB$15/Taille_Tranche_KYC,1)+1))*Cout_Par_KYC_Supplementaire,(IF('01_Input'!$L$72="Forfait",IF(AB$15&gt;='01_Input'!$J$72,'01_Input'!$M$72,0),IF('01_Input'!$L$72="Palier",IF(AND(AB$15&gt;='01_Input'!$J$72,AB$15&lt;'01_Input'!$K$72),'01_Input'!$M$72,0),MAX(MIN(AB$15,'01_Input'!$K$72)-'01_Input'!$J$72,0)*'01_Input'!$M$72))+IF('01_Input'!$P$72="Forfait",IF(AB$15&gt;='01_Input'!$N$72,'01_Input'!$Q$72,0),IF('01_Input'!$P$72="Palier",IF(AND(AB$15&gt;='01_Input'!$N$72,AB$15&lt;'01_Input'!$O$72),'01_Input'!$Q$72,0),MAX(MIN(AB$15,'01_Input'!$O$72)-'01_Input'!$N$72,0)*'01_Input'!$Q$72))+IF('01_Input'!$T$72="Forfait",IF(AB$15&gt;='01_Input'!$R$72,'01_Input'!$U$72,0),IF('01_Input'!$T$72="Palier",IF(AND(AB$15&gt;='01_Input'!$R$72,AB$15&lt;'01_Input'!$S$72),'01_Input'!$U$72,0),MAX(MIN(AB$15,'01_Input'!$S$72)-'01_Input'!$R$72,0)*'01_Input'!$U$72))+IF('01_Input'!$X$72="Forfait",IF(AB$15&gt;='01_Input'!$V$72,'01_Input'!$Y$72,0),IF('01_Input'!$X$72="Palier",IF(AND(AB$15&gt;='01_Input'!$V$72,AB$15&lt;'01_Input'!$W$72),'01_Input'!$Y$72,0),MAX(MIN(AB$15,'01_Input'!$W$72)-'01_Input'!$V$72,0)*'01_Input'!$Y$72))+IF('01_Input'!$AB$72="Forfait",IF(AB$15&gt;='01_Input'!$Z$72,'01_Input'!$AC$72,0),IF('01_Input'!$AB$72="Palier",IF(AND(AB$15&gt;='01_Input'!$Z$72,AB$15&lt;'01_Input'!$AA$72),'01_Input'!$AC$72,0),MAX(MIN(AB$15,'01_Input'!$AA$72)-'01_Input'!$Z$72,0)*'01_Input'!$AC$72))))))))))</f>
        <v/>
      </c>
      <c r="AC63" s="83" t="str">
        <f>IF(AC$15="","",IF('01_Input'!$C$72="Non",0,MIN('01_Input'!$I$72,MAX('01_Input'!$H$72,IF('01_Input'!$G$72="Résiduel vs Gestion",0,IF('01_Input'!$G$72="Taux Classe sélectionnée",Distrib_Global_Classe_Selectionnee*AC$15,IF('01_Input'!$G$72="Frais KYC (paliers de 100M€)",MAX(0,Nb_Investisseurs-Nb_KYC_Gratuites_Par_Tranche*(FLOOR(AC$15/Taille_Tranche_KYC,1)+1))*Cout_Par_KYC_Supplementaire,(IF('01_Input'!$L$72="Forfait",IF(AC$15&gt;='01_Input'!$J$72,'01_Input'!$M$72,0),IF('01_Input'!$L$72="Palier",IF(AND(AC$15&gt;='01_Input'!$J$72,AC$15&lt;'01_Input'!$K$72),'01_Input'!$M$72,0),MAX(MIN(AC$15,'01_Input'!$K$72)-'01_Input'!$J$72,0)*'01_Input'!$M$72))+IF('01_Input'!$P$72="Forfait",IF(AC$15&gt;='01_Input'!$N$72,'01_Input'!$Q$72,0),IF('01_Input'!$P$72="Palier",IF(AND(AC$15&gt;='01_Input'!$N$72,AC$15&lt;'01_Input'!$O$72),'01_Input'!$Q$72,0),MAX(MIN(AC$15,'01_Input'!$O$72)-'01_Input'!$N$72,0)*'01_Input'!$Q$72))+IF('01_Input'!$T$72="Forfait",IF(AC$15&gt;='01_Input'!$R$72,'01_Input'!$U$72,0),IF('01_Input'!$T$72="Palier",IF(AND(AC$15&gt;='01_Input'!$R$72,AC$15&lt;'01_Input'!$S$72),'01_Input'!$U$72,0),MAX(MIN(AC$15,'01_Input'!$S$72)-'01_Input'!$R$72,0)*'01_Input'!$U$72))+IF('01_Input'!$X$72="Forfait",IF(AC$15&gt;='01_Input'!$V$72,'01_Input'!$Y$72,0),IF('01_Input'!$X$72="Palier",IF(AND(AC$15&gt;='01_Input'!$V$72,AC$15&lt;'01_Input'!$W$72),'01_Input'!$Y$72,0),MAX(MIN(AC$15,'01_Input'!$W$72)-'01_Input'!$V$72,0)*'01_Input'!$Y$72))+IF('01_Input'!$AB$72="Forfait",IF(AC$15&gt;='01_Input'!$Z$72,'01_Input'!$AC$72,0),IF('01_Input'!$AB$72="Palier",IF(AND(AC$15&gt;='01_Input'!$Z$72,AC$15&lt;'01_Input'!$AA$72),'01_Input'!$AC$72,0),MAX(MIN(AC$15,'01_Input'!$AA$72)-'01_Input'!$Z$72,0)*'01_Input'!$AC$72))))))))))</f>
        <v/>
      </c>
      <c r="AD63" s="83" t="str">
        <f>IF(AD$15="","",IF('01_Input'!$C$72="Non",0,MIN('01_Input'!$I$72,MAX('01_Input'!$H$72,IF('01_Input'!$G$72="Résiduel vs Gestion",0,IF('01_Input'!$G$72="Taux Classe sélectionnée",Distrib_Global_Classe_Selectionnee*AD$15,IF('01_Input'!$G$72="Frais KYC (paliers de 100M€)",MAX(0,Nb_Investisseurs-Nb_KYC_Gratuites_Par_Tranche*(FLOOR(AD$15/Taille_Tranche_KYC,1)+1))*Cout_Par_KYC_Supplementaire,(IF('01_Input'!$L$72="Forfait",IF(AD$15&gt;='01_Input'!$J$72,'01_Input'!$M$72,0),IF('01_Input'!$L$72="Palier",IF(AND(AD$15&gt;='01_Input'!$J$72,AD$15&lt;'01_Input'!$K$72),'01_Input'!$M$72,0),MAX(MIN(AD$15,'01_Input'!$K$72)-'01_Input'!$J$72,0)*'01_Input'!$M$72))+IF('01_Input'!$P$72="Forfait",IF(AD$15&gt;='01_Input'!$N$72,'01_Input'!$Q$72,0),IF('01_Input'!$P$72="Palier",IF(AND(AD$15&gt;='01_Input'!$N$72,AD$15&lt;'01_Input'!$O$72),'01_Input'!$Q$72,0),MAX(MIN(AD$15,'01_Input'!$O$72)-'01_Input'!$N$72,0)*'01_Input'!$Q$72))+IF('01_Input'!$T$72="Forfait",IF(AD$15&gt;='01_Input'!$R$72,'01_Input'!$U$72,0),IF('01_Input'!$T$72="Palier",IF(AND(AD$15&gt;='01_Input'!$R$72,AD$15&lt;'01_Input'!$S$72),'01_Input'!$U$72,0),MAX(MIN(AD$15,'01_Input'!$S$72)-'01_Input'!$R$72,0)*'01_Input'!$U$72))+IF('01_Input'!$X$72="Forfait",IF(AD$15&gt;='01_Input'!$V$72,'01_Input'!$Y$72,0),IF('01_Input'!$X$72="Palier",IF(AND(AD$15&gt;='01_Input'!$V$72,AD$15&lt;'01_Input'!$W$72),'01_Input'!$Y$72,0),MAX(MIN(AD$15,'01_Input'!$W$72)-'01_Input'!$V$72,0)*'01_Input'!$Y$72))+IF('01_Input'!$AB$72="Forfait",IF(AD$15&gt;='01_Input'!$Z$72,'01_Input'!$AC$72,0),IF('01_Input'!$AB$72="Palier",IF(AND(AD$15&gt;='01_Input'!$Z$72,AD$15&lt;'01_Input'!$AA$72),'01_Input'!$AC$72,0),MAX(MIN(AD$15,'01_Input'!$AA$72)-'01_Input'!$Z$72,0)*'01_Input'!$AC$72))))))))))</f>
        <v/>
      </c>
      <c r="AE63" s="83" t="str">
        <f>IF(AE$15="","",IF('01_Input'!$C$72="Non",0,MIN('01_Input'!$I$72,MAX('01_Input'!$H$72,IF('01_Input'!$G$72="Résiduel vs Gestion",0,IF('01_Input'!$G$72="Taux Classe sélectionnée",Distrib_Global_Classe_Selectionnee*AE$15,IF('01_Input'!$G$72="Frais KYC (paliers de 100M€)",MAX(0,Nb_Investisseurs-Nb_KYC_Gratuites_Par_Tranche*(FLOOR(AE$15/Taille_Tranche_KYC,1)+1))*Cout_Par_KYC_Supplementaire,(IF('01_Input'!$L$72="Forfait",IF(AE$15&gt;='01_Input'!$J$72,'01_Input'!$M$72,0),IF('01_Input'!$L$72="Palier",IF(AND(AE$15&gt;='01_Input'!$J$72,AE$15&lt;'01_Input'!$K$72),'01_Input'!$M$72,0),MAX(MIN(AE$15,'01_Input'!$K$72)-'01_Input'!$J$72,0)*'01_Input'!$M$72))+IF('01_Input'!$P$72="Forfait",IF(AE$15&gt;='01_Input'!$N$72,'01_Input'!$Q$72,0),IF('01_Input'!$P$72="Palier",IF(AND(AE$15&gt;='01_Input'!$N$72,AE$15&lt;'01_Input'!$O$72),'01_Input'!$Q$72,0),MAX(MIN(AE$15,'01_Input'!$O$72)-'01_Input'!$N$72,0)*'01_Input'!$Q$72))+IF('01_Input'!$T$72="Forfait",IF(AE$15&gt;='01_Input'!$R$72,'01_Input'!$U$72,0),IF('01_Input'!$T$72="Palier",IF(AND(AE$15&gt;='01_Input'!$R$72,AE$15&lt;'01_Input'!$S$72),'01_Input'!$U$72,0),MAX(MIN(AE$15,'01_Input'!$S$72)-'01_Input'!$R$72,0)*'01_Input'!$U$72))+IF('01_Input'!$X$72="Forfait",IF(AE$15&gt;='01_Input'!$V$72,'01_Input'!$Y$72,0),IF('01_Input'!$X$72="Palier",IF(AND(AE$15&gt;='01_Input'!$V$72,AE$15&lt;'01_Input'!$W$72),'01_Input'!$Y$72,0),MAX(MIN(AE$15,'01_Input'!$W$72)-'01_Input'!$V$72,0)*'01_Input'!$Y$72))+IF('01_Input'!$AB$72="Forfait",IF(AE$15&gt;='01_Input'!$Z$72,'01_Input'!$AC$72,0),IF('01_Input'!$AB$72="Palier",IF(AND(AE$15&gt;='01_Input'!$Z$72,AE$15&lt;'01_Input'!$AA$72),'01_Input'!$AC$72,0),MAX(MIN(AE$15,'01_Input'!$AA$72)-'01_Input'!$Z$72,0)*'01_Input'!$AC$72))))))))))</f>
        <v/>
      </c>
      <c r="AF63" s="83" t="str">
        <f>IF(AF$15="","",IF('01_Input'!$C$72="Non",0,MIN('01_Input'!$I$72,MAX('01_Input'!$H$72,IF('01_Input'!$G$72="Résiduel vs Gestion",0,IF('01_Input'!$G$72="Taux Classe sélectionnée",Distrib_Global_Classe_Selectionnee*AF$15,IF('01_Input'!$G$72="Frais KYC (paliers de 100M€)",MAX(0,Nb_Investisseurs-Nb_KYC_Gratuites_Par_Tranche*(FLOOR(AF$15/Taille_Tranche_KYC,1)+1))*Cout_Par_KYC_Supplementaire,(IF('01_Input'!$L$72="Forfait",IF(AF$15&gt;='01_Input'!$J$72,'01_Input'!$M$72,0),IF('01_Input'!$L$72="Palier",IF(AND(AF$15&gt;='01_Input'!$J$72,AF$15&lt;'01_Input'!$K$72),'01_Input'!$M$72,0),MAX(MIN(AF$15,'01_Input'!$K$72)-'01_Input'!$J$72,0)*'01_Input'!$M$72))+IF('01_Input'!$P$72="Forfait",IF(AF$15&gt;='01_Input'!$N$72,'01_Input'!$Q$72,0),IF('01_Input'!$P$72="Palier",IF(AND(AF$15&gt;='01_Input'!$N$72,AF$15&lt;'01_Input'!$O$72),'01_Input'!$Q$72,0),MAX(MIN(AF$15,'01_Input'!$O$72)-'01_Input'!$N$72,0)*'01_Input'!$Q$72))+IF('01_Input'!$T$72="Forfait",IF(AF$15&gt;='01_Input'!$R$72,'01_Input'!$U$72,0),IF('01_Input'!$T$72="Palier",IF(AND(AF$15&gt;='01_Input'!$R$72,AF$15&lt;'01_Input'!$S$72),'01_Input'!$U$72,0),MAX(MIN(AF$15,'01_Input'!$S$72)-'01_Input'!$R$72,0)*'01_Input'!$U$72))+IF('01_Input'!$X$72="Forfait",IF(AF$15&gt;='01_Input'!$V$72,'01_Input'!$Y$72,0),IF('01_Input'!$X$72="Palier",IF(AND(AF$15&gt;='01_Input'!$V$72,AF$15&lt;'01_Input'!$W$72),'01_Input'!$Y$72,0),MAX(MIN(AF$15,'01_Input'!$W$72)-'01_Input'!$V$72,0)*'01_Input'!$Y$72))+IF('01_Input'!$AB$72="Forfait",IF(AF$15&gt;='01_Input'!$Z$72,'01_Input'!$AC$72,0),IF('01_Input'!$AB$72="Palier",IF(AND(AF$15&gt;='01_Input'!$Z$72,AF$15&lt;'01_Input'!$AA$72),'01_Input'!$AC$72,0),MAX(MIN(AF$15,'01_Input'!$AA$72)-'01_Input'!$Z$72,0)*'01_Input'!$AC$72))))))))))</f>
        <v/>
      </c>
      <c r="AG63" s="83" t="str">
        <f>IF(AG$15="","",IF('01_Input'!$C$72="Non",0,MIN('01_Input'!$I$72,MAX('01_Input'!$H$72,IF('01_Input'!$G$72="Résiduel vs Gestion",0,IF('01_Input'!$G$72="Taux Classe sélectionnée",Distrib_Global_Classe_Selectionnee*AG$15,IF('01_Input'!$G$72="Frais KYC (paliers de 100M€)",MAX(0,Nb_Investisseurs-Nb_KYC_Gratuites_Par_Tranche*(FLOOR(AG$15/Taille_Tranche_KYC,1)+1))*Cout_Par_KYC_Supplementaire,(IF('01_Input'!$L$72="Forfait",IF(AG$15&gt;='01_Input'!$J$72,'01_Input'!$M$72,0),IF('01_Input'!$L$72="Palier",IF(AND(AG$15&gt;='01_Input'!$J$72,AG$15&lt;'01_Input'!$K$72),'01_Input'!$M$72,0),MAX(MIN(AG$15,'01_Input'!$K$72)-'01_Input'!$J$72,0)*'01_Input'!$M$72))+IF('01_Input'!$P$72="Forfait",IF(AG$15&gt;='01_Input'!$N$72,'01_Input'!$Q$72,0),IF('01_Input'!$P$72="Palier",IF(AND(AG$15&gt;='01_Input'!$N$72,AG$15&lt;'01_Input'!$O$72),'01_Input'!$Q$72,0),MAX(MIN(AG$15,'01_Input'!$O$72)-'01_Input'!$N$72,0)*'01_Input'!$Q$72))+IF('01_Input'!$T$72="Forfait",IF(AG$15&gt;='01_Input'!$R$72,'01_Input'!$U$72,0),IF('01_Input'!$T$72="Palier",IF(AND(AG$15&gt;='01_Input'!$R$72,AG$15&lt;'01_Input'!$S$72),'01_Input'!$U$72,0),MAX(MIN(AG$15,'01_Input'!$S$72)-'01_Input'!$R$72,0)*'01_Input'!$U$72))+IF('01_Input'!$X$72="Forfait",IF(AG$15&gt;='01_Input'!$V$72,'01_Input'!$Y$72,0),IF('01_Input'!$X$72="Palier",IF(AND(AG$15&gt;='01_Input'!$V$72,AG$15&lt;'01_Input'!$W$72),'01_Input'!$Y$72,0),MAX(MIN(AG$15,'01_Input'!$W$72)-'01_Input'!$V$72,0)*'01_Input'!$Y$72))+IF('01_Input'!$AB$72="Forfait",IF(AG$15&gt;='01_Input'!$Z$72,'01_Input'!$AC$72,0),IF('01_Input'!$AB$72="Palier",IF(AND(AG$15&gt;='01_Input'!$Z$72,AG$15&lt;'01_Input'!$AA$72),'01_Input'!$AC$72,0),MAX(MIN(AG$15,'01_Input'!$AA$72)-'01_Input'!$Z$72,0)*'01_Input'!$AC$72))))))))))</f>
        <v/>
      </c>
      <c r="AH63" s="83" t="str">
        <f>IF(AH$15="","",IF('01_Input'!$C$72="Non",0,MIN('01_Input'!$I$72,MAX('01_Input'!$H$72,IF('01_Input'!$G$72="Résiduel vs Gestion",0,IF('01_Input'!$G$72="Taux Classe sélectionnée",Distrib_Global_Classe_Selectionnee*AH$15,IF('01_Input'!$G$72="Frais KYC (paliers de 100M€)",MAX(0,Nb_Investisseurs-Nb_KYC_Gratuites_Par_Tranche*(FLOOR(AH$15/Taille_Tranche_KYC,1)+1))*Cout_Par_KYC_Supplementaire,(IF('01_Input'!$L$72="Forfait",IF(AH$15&gt;='01_Input'!$J$72,'01_Input'!$M$72,0),IF('01_Input'!$L$72="Palier",IF(AND(AH$15&gt;='01_Input'!$J$72,AH$15&lt;'01_Input'!$K$72),'01_Input'!$M$72,0),MAX(MIN(AH$15,'01_Input'!$K$72)-'01_Input'!$J$72,0)*'01_Input'!$M$72))+IF('01_Input'!$P$72="Forfait",IF(AH$15&gt;='01_Input'!$N$72,'01_Input'!$Q$72,0),IF('01_Input'!$P$72="Palier",IF(AND(AH$15&gt;='01_Input'!$N$72,AH$15&lt;'01_Input'!$O$72),'01_Input'!$Q$72,0),MAX(MIN(AH$15,'01_Input'!$O$72)-'01_Input'!$N$72,0)*'01_Input'!$Q$72))+IF('01_Input'!$T$72="Forfait",IF(AH$15&gt;='01_Input'!$R$72,'01_Input'!$U$72,0),IF('01_Input'!$T$72="Palier",IF(AND(AH$15&gt;='01_Input'!$R$72,AH$15&lt;'01_Input'!$S$72),'01_Input'!$U$72,0),MAX(MIN(AH$15,'01_Input'!$S$72)-'01_Input'!$R$72,0)*'01_Input'!$U$72))+IF('01_Input'!$X$72="Forfait",IF(AH$15&gt;='01_Input'!$V$72,'01_Input'!$Y$72,0),IF('01_Input'!$X$72="Palier",IF(AND(AH$15&gt;='01_Input'!$V$72,AH$15&lt;'01_Input'!$W$72),'01_Input'!$Y$72,0),MAX(MIN(AH$15,'01_Input'!$W$72)-'01_Input'!$V$72,0)*'01_Input'!$Y$72))+IF('01_Input'!$AB$72="Forfait",IF(AH$15&gt;='01_Input'!$Z$72,'01_Input'!$AC$72,0),IF('01_Input'!$AB$72="Palier",IF(AND(AH$15&gt;='01_Input'!$Z$72,AH$15&lt;'01_Input'!$AA$72),'01_Input'!$AC$72,0),MAX(MIN(AH$15,'01_Input'!$AA$72)-'01_Input'!$Z$72,0)*'01_Input'!$AC$72))))))))))</f>
        <v/>
      </c>
      <c r="AI63" s="83" t="str">
        <f>IF(AI$15="","",IF('01_Input'!$C$72="Non",0,MIN('01_Input'!$I$72,MAX('01_Input'!$H$72,IF('01_Input'!$G$72="Résiduel vs Gestion",0,IF('01_Input'!$G$72="Taux Classe sélectionnée",Distrib_Global_Classe_Selectionnee*AI$15,IF('01_Input'!$G$72="Frais KYC (paliers de 100M€)",MAX(0,Nb_Investisseurs-Nb_KYC_Gratuites_Par_Tranche*(FLOOR(AI$15/Taille_Tranche_KYC,1)+1))*Cout_Par_KYC_Supplementaire,(IF('01_Input'!$L$72="Forfait",IF(AI$15&gt;='01_Input'!$J$72,'01_Input'!$M$72,0),IF('01_Input'!$L$72="Palier",IF(AND(AI$15&gt;='01_Input'!$J$72,AI$15&lt;'01_Input'!$K$72),'01_Input'!$M$72,0),MAX(MIN(AI$15,'01_Input'!$K$72)-'01_Input'!$J$72,0)*'01_Input'!$M$72))+IF('01_Input'!$P$72="Forfait",IF(AI$15&gt;='01_Input'!$N$72,'01_Input'!$Q$72,0),IF('01_Input'!$P$72="Palier",IF(AND(AI$15&gt;='01_Input'!$N$72,AI$15&lt;'01_Input'!$O$72),'01_Input'!$Q$72,0),MAX(MIN(AI$15,'01_Input'!$O$72)-'01_Input'!$N$72,0)*'01_Input'!$Q$72))+IF('01_Input'!$T$72="Forfait",IF(AI$15&gt;='01_Input'!$R$72,'01_Input'!$U$72,0),IF('01_Input'!$T$72="Palier",IF(AND(AI$15&gt;='01_Input'!$R$72,AI$15&lt;'01_Input'!$S$72),'01_Input'!$U$72,0),MAX(MIN(AI$15,'01_Input'!$S$72)-'01_Input'!$R$72,0)*'01_Input'!$U$72))+IF('01_Input'!$X$72="Forfait",IF(AI$15&gt;='01_Input'!$V$72,'01_Input'!$Y$72,0),IF('01_Input'!$X$72="Palier",IF(AND(AI$15&gt;='01_Input'!$V$72,AI$15&lt;'01_Input'!$W$72),'01_Input'!$Y$72,0),MAX(MIN(AI$15,'01_Input'!$W$72)-'01_Input'!$V$72,0)*'01_Input'!$Y$72))+IF('01_Input'!$AB$72="Forfait",IF(AI$15&gt;='01_Input'!$Z$72,'01_Input'!$AC$72,0),IF('01_Input'!$AB$72="Palier",IF(AND(AI$15&gt;='01_Input'!$Z$72,AI$15&lt;'01_Input'!$AA$72),'01_Input'!$AC$72,0),MAX(MIN(AI$15,'01_Input'!$AA$72)-'01_Input'!$Z$72,0)*'01_Input'!$AC$72))))))))))</f>
        <v/>
      </c>
      <c r="AJ63" s="83" t="str">
        <f>IF(AJ$15="","",IF('01_Input'!$C$72="Non",0,MIN('01_Input'!$I$72,MAX('01_Input'!$H$72,IF('01_Input'!$G$72="Résiduel vs Gestion",0,IF('01_Input'!$G$72="Taux Classe sélectionnée",Distrib_Global_Classe_Selectionnee*AJ$15,IF('01_Input'!$G$72="Frais KYC (paliers de 100M€)",MAX(0,Nb_Investisseurs-Nb_KYC_Gratuites_Par_Tranche*(FLOOR(AJ$15/Taille_Tranche_KYC,1)+1))*Cout_Par_KYC_Supplementaire,(IF('01_Input'!$L$72="Forfait",IF(AJ$15&gt;='01_Input'!$J$72,'01_Input'!$M$72,0),IF('01_Input'!$L$72="Palier",IF(AND(AJ$15&gt;='01_Input'!$J$72,AJ$15&lt;'01_Input'!$K$72),'01_Input'!$M$72,0),MAX(MIN(AJ$15,'01_Input'!$K$72)-'01_Input'!$J$72,0)*'01_Input'!$M$72))+IF('01_Input'!$P$72="Forfait",IF(AJ$15&gt;='01_Input'!$N$72,'01_Input'!$Q$72,0),IF('01_Input'!$P$72="Palier",IF(AND(AJ$15&gt;='01_Input'!$N$72,AJ$15&lt;'01_Input'!$O$72),'01_Input'!$Q$72,0),MAX(MIN(AJ$15,'01_Input'!$O$72)-'01_Input'!$N$72,0)*'01_Input'!$Q$72))+IF('01_Input'!$T$72="Forfait",IF(AJ$15&gt;='01_Input'!$R$72,'01_Input'!$U$72,0),IF('01_Input'!$T$72="Palier",IF(AND(AJ$15&gt;='01_Input'!$R$72,AJ$15&lt;'01_Input'!$S$72),'01_Input'!$U$72,0),MAX(MIN(AJ$15,'01_Input'!$S$72)-'01_Input'!$R$72,0)*'01_Input'!$U$72))+IF('01_Input'!$X$72="Forfait",IF(AJ$15&gt;='01_Input'!$V$72,'01_Input'!$Y$72,0),IF('01_Input'!$X$72="Palier",IF(AND(AJ$15&gt;='01_Input'!$V$72,AJ$15&lt;'01_Input'!$W$72),'01_Input'!$Y$72,0),MAX(MIN(AJ$15,'01_Input'!$W$72)-'01_Input'!$V$72,0)*'01_Input'!$Y$72))+IF('01_Input'!$AB$72="Forfait",IF(AJ$15&gt;='01_Input'!$Z$72,'01_Input'!$AC$72,0),IF('01_Input'!$AB$72="Palier",IF(AND(AJ$15&gt;='01_Input'!$Z$72,AJ$15&lt;'01_Input'!$AA$72),'01_Input'!$AC$72,0),MAX(MIN(AJ$15,'01_Input'!$AA$72)-'01_Input'!$Z$72,0)*'01_Input'!$AC$72))))))))))</f>
        <v/>
      </c>
      <c r="AK63" s="83" t="str">
        <f>IF(AK$15="","",IF('01_Input'!$C$72="Non",0,MIN('01_Input'!$I$72,MAX('01_Input'!$H$72,IF('01_Input'!$G$72="Résiduel vs Gestion",0,IF('01_Input'!$G$72="Taux Classe sélectionnée",Distrib_Global_Classe_Selectionnee*AK$15,IF('01_Input'!$G$72="Frais KYC (paliers de 100M€)",MAX(0,Nb_Investisseurs-Nb_KYC_Gratuites_Par_Tranche*(FLOOR(AK$15/Taille_Tranche_KYC,1)+1))*Cout_Par_KYC_Supplementaire,(IF('01_Input'!$L$72="Forfait",IF(AK$15&gt;='01_Input'!$J$72,'01_Input'!$M$72,0),IF('01_Input'!$L$72="Palier",IF(AND(AK$15&gt;='01_Input'!$J$72,AK$15&lt;'01_Input'!$K$72),'01_Input'!$M$72,0),MAX(MIN(AK$15,'01_Input'!$K$72)-'01_Input'!$J$72,0)*'01_Input'!$M$72))+IF('01_Input'!$P$72="Forfait",IF(AK$15&gt;='01_Input'!$N$72,'01_Input'!$Q$72,0),IF('01_Input'!$P$72="Palier",IF(AND(AK$15&gt;='01_Input'!$N$72,AK$15&lt;'01_Input'!$O$72),'01_Input'!$Q$72,0),MAX(MIN(AK$15,'01_Input'!$O$72)-'01_Input'!$N$72,0)*'01_Input'!$Q$72))+IF('01_Input'!$T$72="Forfait",IF(AK$15&gt;='01_Input'!$R$72,'01_Input'!$U$72,0),IF('01_Input'!$T$72="Palier",IF(AND(AK$15&gt;='01_Input'!$R$72,AK$15&lt;'01_Input'!$S$72),'01_Input'!$U$72,0),MAX(MIN(AK$15,'01_Input'!$S$72)-'01_Input'!$R$72,0)*'01_Input'!$U$72))+IF('01_Input'!$X$72="Forfait",IF(AK$15&gt;='01_Input'!$V$72,'01_Input'!$Y$72,0),IF('01_Input'!$X$72="Palier",IF(AND(AK$15&gt;='01_Input'!$V$72,AK$15&lt;'01_Input'!$W$72),'01_Input'!$Y$72,0),MAX(MIN(AK$15,'01_Input'!$W$72)-'01_Input'!$V$72,0)*'01_Input'!$Y$72))+IF('01_Input'!$AB$72="Forfait",IF(AK$15&gt;='01_Input'!$Z$72,'01_Input'!$AC$72,0),IF('01_Input'!$AB$72="Palier",IF(AND(AK$15&gt;='01_Input'!$Z$72,AK$15&lt;'01_Input'!$AA$72),'01_Input'!$AC$72,0),MAX(MIN(AK$15,'01_Input'!$AA$72)-'01_Input'!$Z$72,0)*'01_Input'!$AC$72))))))))))</f>
        <v/>
      </c>
      <c r="AL63" s="83" t="str">
        <f>IF(AL$15="","",IF('01_Input'!$C$72="Non",0,MIN('01_Input'!$I$72,MAX('01_Input'!$H$72,IF('01_Input'!$G$72="Résiduel vs Gestion",0,IF('01_Input'!$G$72="Taux Classe sélectionnée",Distrib_Global_Classe_Selectionnee*AL$15,IF('01_Input'!$G$72="Frais KYC (paliers de 100M€)",MAX(0,Nb_Investisseurs-Nb_KYC_Gratuites_Par_Tranche*(FLOOR(AL$15/Taille_Tranche_KYC,1)+1))*Cout_Par_KYC_Supplementaire,(IF('01_Input'!$L$72="Forfait",IF(AL$15&gt;='01_Input'!$J$72,'01_Input'!$M$72,0),IF('01_Input'!$L$72="Palier",IF(AND(AL$15&gt;='01_Input'!$J$72,AL$15&lt;'01_Input'!$K$72),'01_Input'!$M$72,0),MAX(MIN(AL$15,'01_Input'!$K$72)-'01_Input'!$J$72,0)*'01_Input'!$M$72))+IF('01_Input'!$P$72="Forfait",IF(AL$15&gt;='01_Input'!$N$72,'01_Input'!$Q$72,0),IF('01_Input'!$P$72="Palier",IF(AND(AL$15&gt;='01_Input'!$N$72,AL$15&lt;'01_Input'!$O$72),'01_Input'!$Q$72,0),MAX(MIN(AL$15,'01_Input'!$O$72)-'01_Input'!$N$72,0)*'01_Input'!$Q$72))+IF('01_Input'!$T$72="Forfait",IF(AL$15&gt;='01_Input'!$R$72,'01_Input'!$U$72,0),IF('01_Input'!$T$72="Palier",IF(AND(AL$15&gt;='01_Input'!$R$72,AL$15&lt;'01_Input'!$S$72),'01_Input'!$U$72,0),MAX(MIN(AL$15,'01_Input'!$S$72)-'01_Input'!$R$72,0)*'01_Input'!$U$72))+IF('01_Input'!$X$72="Forfait",IF(AL$15&gt;='01_Input'!$V$72,'01_Input'!$Y$72,0),IF('01_Input'!$X$72="Palier",IF(AND(AL$15&gt;='01_Input'!$V$72,AL$15&lt;'01_Input'!$W$72),'01_Input'!$Y$72,0),MAX(MIN(AL$15,'01_Input'!$W$72)-'01_Input'!$V$72,0)*'01_Input'!$Y$72))+IF('01_Input'!$AB$72="Forfait",IF(AL$15&gt;='01_Input'!$Z$72,'01_Input'!$AC$72,0),IF('01_Input'!$AB$72="Palier",IF(AND(AL$15&gt;='01_Input'!$Z$72,AL$15&lt;'01_Input'!$AA$72),'01_Input'!$AC$72,0),MAX(MIN(AL$15,'01_Input'!$AA$72)-'01_Input'!$Z$72,0)*'01_Input'!$AC$72))))))))))</f>
        <v/>
      </c>
      <c r="AM63" s="83" t="str">
        <f>IF(AM$15="","",IF('01_Input'!$C$72="Non",0,MIN('01_Input'!$I$72,MAX('01_Input'!$H$72,IF('01_Input'!$G$72="Résiduel vs Gestion",0,IF('01_Input'!$G$72="Taux Classe sélectionnée",Distrib_Global_Classe_Selectionnee*AM$15,IF('01_Input'!$G$72="Frais KYC (paliers de 100M€)",MAX(0,Nb_Investisseurs-Nb_KYC_Gratuites_Par_Tranche*(FLOOR(AM$15/Taille_Tranche_KYC,1)+1))*Cout_Par_KYC_Supplementaire,(IF('01_Input'!$L$72="Forfait",IF(AM$15&gt;='01_Input'!$J$72,'01_Input'!$M$72,0),IF('01_Input'!$L$72="Palier",IF(AND(AM$15&gt;='01_Input'!$J$72,AM$15&lt;'01_Input'!$K$72),'01_Input'!$M$72,0),MAX(MIN(AM$15,'01_Input'!$K$72)-'01_Input'!$J$72,0)*'01_Input'!$M$72))+IF('01_Input'!$P$72="Forfait",IF(AM$15&gt;='01_Input'!$N$72,'01_Input'!$Q$72,0),IF('01_Input'!$P$72="Palier",IF(AND(AM$15&gt;='01_Input'!$N$72,AM$15&lt;'01_Input'!$O$72),'01_Input'!$Q$72,0),MAX(MIN(AM$15,'01_Input'!$O$72)-'01_Input'!$N$72,0)*'01_Input'!$Q$72))+IF('01_Input'!$T$72="Forfait",IF(AM$15&gt;='01_Input'!$R$72,'01_Input'!$U$72,0),IF('01_Input'!$T$72="Palier",IF(AND(AM$15&gt;='01_Input'!$R$72,AM$15&lt;'01_Input'!$S$72),'01_Input'!$U$72,0),MAX(MIN(AM$15,'01_Input'!$S$72)-'01_Input'!$R$72,0)*'01_Input'!$U$72))+IF('01_Input'!$X$72="Forfait",IF(AM$15&gt;='01_Input'!$V$72,'01_Input'!$Y$72,0),IF('01_Input'!$X$72="Palier",IF(AND(AM$15&gt;='01_Input'!$V$72,AM$15&lt;'01_Input'!$W$72),'01_Input'!$Y$72,0),MAX(MIN(AM$15,'01_Input'!$W$72)-'01_Input'!$V$72,0)*'01_Input'!$Y$72))+IF('01_Input'!$AB$72="Forfait",IF(AM$15&gt;='01_Input'!$Z$72,'01_Input'!$AC$72,0),IF('01_Input'!$AB$72="Palier",IF(AND(AM$15&gt;='01_Input'!$Z$72,AM$15&lt;'01_Input'!$AA$72),'01_Input'!$AC$72,0),MAX(MIN(AM$15,'01_Input'!$AA$72)-'01_Input'!$Z$72,0)*'01_Input'!$AC$72))))))))))</f>
        <v/>
      </c>
    </row>
    <row r="64" ht="15.75" customHeight="1"/>
    <row r="65" ht="18.0" customHeight="1">
      <c r="B65" s="12" t="s">
        <v>237</v>
      </c>
      <c r="C65" s="12"/>
      <c r="D65" s="12"/>
      <c r="E65" s="12"/>
      <c r="F65" s="12"/>
    </row>
    <row r="66" ht="18.0" customHeight="1">
      <c r="B66" s="65" t="s">
        <v>238</v>
      </c>
      <c r="D66" s="66">
        <f>IF(0&lt;$E$7,EDATE($E$5,0),"")</f>
        <v>46247</v>
      </c>
      <c r="E66" s="66">
        <f>IF(1&lt;$E$7,EDATE($E$5,1),"")</f>
        <v>46278</v>
      </c>
      <c r="F66" s="66">
        <f>IF(2&lt;$E$7,EDATE($E$5,2),"")</f>
        <v>46308</v>
      </c>
      <c r="G66" s="66">
        <f>IF(3&lt;$E$7,EDATE($E$5,3),"")</f>
        <v>46339</v>
      </c>
      <c r="H66" s="66">
        <f>IF(4&lt;$E$7,EDATE($E$5,4),"")</f>
        <v>46369</v>
      </c>
      <c r="I66" s="66">
        <f>IF(5&lt;$E$7,EDATE($E$5,5),"")</f>
        <v>46400</v>
      </c>
      <c r="J66" s="66">
        <f>IF(6&lt;$E$7,EDATE($E$5,6),"")</f>
        <v>46431</v>
      </c>
      <c r="K66" s="66">
        <f>IF(7&lt;$E$7,EDATE($E$5,7),"")</f>
        <v>46459</v>
      </c>
      <c r="L66" s="66">
        <f>IF(8&lt;$E$7,EDATE($E$5,8),"")</f>
        <v>46490</v>
      </c>
      <c r="M66" s="66">
        <f>IF(9&lt;$E$7,EDATE($E$5,9),"")</f>
        <v>46520</v>
      </c>
      <c r="N66" s="66">
        <f>IF(10&lt;$E$7,EDATE($E$5,10),"")</f>
        <v>46551</v>
      </c>
      <c r="O66" s="66">
        <f>IF(11&lt;$E$7,EDATE($E$5,11),"")</f>
        <v>46581</v>
      </c>
      <c r="P66" s="66">
        <f>IF(12&lt;$E$7,EDATE($E$5,12),"")</f>
        <v>46612</v>
      </c>
      <c r="Q66" s="66">
        <f>IF(13&lt;$E$7,EDATE($E$5,13),"")</f>
        <v>46643</v>
      </c>
      <c r="R66" s="66">
        <f>IF(14&lt;$E$7,EDATE($E$5,14),"")</f>
        <v>46673</v>
      </c>
      <c r="S66" s="66">
        <f>IF(15&lt;$E$7,EDATE($E$5,15),"")</f>
        <v>46704</v>
      </c>
      <c r="T66" s="66">
        <f>IF(16&lt;$E$7,EDATE($E$5,16),"")</f>
        <v>46734</v>
      </c>
      <c r="U66" s="66">
        <f>IF(17&lt;$E$7,EDATE($E$5,17),"")</f>
        <v>46765</v>
      </c>
      <c r="V66" s="66">
        <f>IF(18&lt;$E$7,EDATE($E$5,18),"")</f>
        <v>46796</v>
      </c>
      <c r="W66" s="66">
        <f>IF(19&lt;$E$7,EDATE($E$5,19),"")</f>
        <v>46825</v>
      </c>
      <c r="X66" s="66">
        <f>IF(20&lt;$E$7,EDATE($E$5,20),"")</f>
        <v>46856</v>
      </c>
      <c r="Y66" s="66">
        <f>IF(21&lt;$E$7,EDATE($E$5,21),"")</f>
        <v>46886</v>
      </c>
      <c r="Z66" s="66">
        <f>IF(22&lt;$E$7,EDATE($E$5,22),"")</f>
        <v>46917</v>
      </c>
      <c r="AA66" s="66">
        <f>IF(23&lt;$E$7,EDATE($E$5,23),"")</f>
        <v>46947</v>
      </c>
      <c r="AB66" s="66" t="str">
        <f>IF(24&lt;$E$7,EDATE($E$5,24),"")</f>
        <v/>
      </c>
      <c r="AC66" s="66" t="str">
        <f>IF(25&lt;$E$7,EDATE($E$5,25),"")</f>
        <v/>
      </c>
      <c r="AD66" s="66" t="str">
        <f>IF(26&lt;$E$7,EDATE($E$5,26),"")</f>
        <v/>
      </c>
      <c r="AE66" s="66" t="str">
        <f>IF(27&lt;$E$7,EDATE($E$5,27),"")</f>
        <v/>
      </c>
      <c r="AF66" s="66" t="str">
        <f>IF(28&lt;$E$7,EDATE($E$5,28),"")</f>
        <v/>
      </c>
      <c r="AG66" s="66" t="str">
        <f>IF(29&lt;$E$7,EDATE($E$5,29),"")</f>
        <v/>
      </c>
      <c r="AH66" s="66" t="str">
        <f>IF(30&lt;$E$7,EDATE($E$5,30),"")</f>
        <v/>
      </c>
      <c r="AI66" s="66" t="str">
        <f>IF(31&lt;$E$7,EDATE($E$5,31),"")</f>
        <v/>
      </c>
      <c r="AJ66" s="66" t="str">
        <f>IF(32&lt;$E$7,EDATE($E$5,32),"")</f>
        <v/>
      </c>
      <c r="AK66" s="66" t="str">
        <f>IF(33&lt;$E$7,EDATE($E$5,33),"")</f>
        <v/>
      </c>
      <c r="AL66" s="66" t="str">
        <f>IF(34&lt;$E$7,EDATE($E$5,34),"")</f>
        <v/>
      </c>
      <c r="AM66" s="66" t="str">
        <f>IF(35&lt;$E$7,EDATE($E$5,35),"")</f>
        <v/>
      </c>
    </row>
    <row r="67" ht="15.75" customHeight="1">
      <c r="B67" s="40" t="str">
        <f t="shared" ref="B67:B86" si="3">B20</f>
        <v>Commission de Gestion</v>
      </c>
      <c r="D67" s="25">
        <f>IF(D$66="",0,IF(D$44="","",D$44/12*$E$10))</f>
        <v>3095.238095</v>
      </c>
      <c r="E67" s="25">
        <f t="shared" ref="E67:AM67" si="2">IF(E$66="",0,IF(E$44="","",E$44/12))</f>
        <v>5000</v>
      </c>
      <c r="F67" s="25" t="str">
        <f t="shared" si="2"/>
        <v/>
      </c>
      <c r="G67" s="25" t="str">
        <f t="shared" si="2"/>
        <v/>
      </c>
      <c r="H67" s="25" t="str">
        <f t="shared" si="2"/>
        <v/>
      </c>
      <c r="I67" s="25" t="str">
        <f t="shared" si="2"/>
        <v/>
      </c>
      <c r="J67" s="25" t="str">
        <f t="shared" si="2"/>
        <v/>
      </c>
      <c r="K67" s="25" t="str">
        <f t="shared" si="2"/>
        <v/>
      </c>
      <c r="L67" s="25" t="str">
        <f t="shared" si="2"/>
        <v/>
      </c>
      <c r="M67" s="25" t="str">
        <f t="shared" si="2"/>
        <v/>
      </c>
      <c r="N67" s="25" t="str">
        <f t="shared" si="2"/>
        <v/>
      </c>
      <c r="O67" s="25" t="str">
        <f t="shared" si="2"/>
        <v/>
      </c>
      <c r="P67" s="25" t="str">
        <f t="shared" si="2"/>
        <v/>
      </c>
      <c r="Q67" s="25" t="str">
        <f t="shared" si="2"/>
        <v/>
      </c>
      <c r="R67" s="25" t="str">
        <f t="shared" si="2"/>
        <v/>
      </c>
      <c r="S67" s="25" t="str">
        <f t="shared" si="2"/>
        <v/>
      </c>
      <c r="T67" s="25" t="str">
        <f t="shared" si="2"/>
        <v/>
      </c>
      <c r="U67" s="25" t="str">
        <f t="shared" si="2"/>
        <v/>
      </c>
      <c r="V67" s="25" t="str">
        <f t="shared" si="2"/>
        <v/>
      </c>
      <c r="W67" s="25" t="str">
        <f t="shared" si="2"/>
        <v/>
      </c>
      <c r="X67" s="25" t="str">
        <f t="shared" si="2"/>
        <v/>
      </c>
      <c r="Y67" s="25" t="str">
        <f t="shared" si="2"/>
        <v/>
      </c>
      <c r="Z67" s="25" t="str">
        <f t="shared" si="2"/>
        <v/>
      </c>
      <c r="AA67" s="25" t="str">
        <f t="shared" si="2"/>
        <v/>
      </c>
      <c r="AB67" s="25">
        <f t="shared" si="2"/>
        <v>0</v>
      </c>
      <c r="AC67" s="25">
        <f t="shared" si="2"/>
        <v>0</v>
      </c>
      <c r="AD67" s="25">
        <f t="shared" si="2"/>
        <v>0</v>
      </c>
      <c r="AE67" s="25">
        <f t="shared" si="2"/>
        <v>0</v>
      </c>
      <c r="AF67" s="25">
        <f t="shared" si="2"/>
        <v>0</v>
      </c>
      <c r="AG67" s="25">
        <f t="shared" si="2"/>
        <v>0</v>
      </c>
      <c r="AH67" s="25">
        <f t="shared" si="2"/>
        <v>0</v>
      </c>
      <c r="AI67" s="25">
        <f t="shared" si="2"/>
        <v>0</v>
      </c>
      <c r="AJ67" s="25">
        <f t="shared" si="2"/>
        <v>0</v>
      </c>
      <c r="AK67" s="25">
        <f t="shared" si="2"/>
        <v>0</v>
      </c>
      <c r="AL67" s="25">
        <f t="shared" si="2"/>
        <v>0</v>
      </c>
      <c r="AM67" s="25">
        <f t="shared" si="2"/>
        <v>0</v>
      </c>
    </row>
    <row r="68" ht="15.75" customHeight="1">
      <c r="B68" s="68" t="str">
        <f t="shared" si="3"/>
        <v>Commission de Conseil</v>
      </c>
      <c r="D68" s="83">
        <f>IF(D$66="",0,IF(D$45="","",D$45/12*$E$10))</f>
        <v>1420.714286</v>
      </c>
      <c r="E68" s="83">
        <f t="shared" ref="E68:AM68" si="4">IF(E$66="",0,IF(E$45="","",E$45/12))</f>
        <v>3881.25</v>
      </c>
      <c r="F68" s="83" t="str">
        <f t="shared" si="4"/>
        <v/>
      </c>
      <c r="G68" s="83" t="str">
        <f t="shared" si="4"/>
        <v/>
      </c>
      <c r="H68" s="83" t="str">
        <f t="shared" si="4"/>
        <v/>
      </c>
      <c r="I68" s="83" t="str">
        <f t="shared" si="4"/>
        <v/>
      </c>
      <c r="J68" s="83" t="str">
        <f t="shared" si="4"/>
        <v/>
      </c>
      <c r="K68" s="83" t="str">
        <f t="shared" si="4"/>
        <v/>
      </c>
      <c r="L68" s="83" t="str">
        <f t="shared" si="4"/>
        <v/>
      </c>
      <c r="M68" s="83" t="str">
        <f t="shared" si="4"/>
        <v/>
      </c>
      <c r="N68" s="83" t="str">
        <f t="shared" si="4"/>
        <v/>
      </c>
      <c r="O68" s="83" t="str">
        <f t="shared" si="4"/>
        <v/>
      </c>
      <c r="P68" s="83" t="str">
        <f t="shared" si="4"/>
        <v/>
      </c>
      <c r="Q68" s="83" t="str">
        <f t="shared" si="4"/>
        <v/>
      </c>
      <c r="R68" s="83" t="str">
        <f t="shared" si="4"/>
        <v/>
      </c>
      <c r="S68" s="83" t="str">
        <f t="shared" si="4"/>
        <v/>
      </c>
      <c r="T68" s="83" t="str">
        <f t="shared" si="4"/>
        <v/>
      </c>
      <c r="U68" s="83" t="str">
        <f t="shared" si="4"/>
        <v/>
      </c>
      <c r="V68" s="83" t="str">
        <f t="shared" si="4"/>
        <v/>
      </c>
      <c r="W68" s="83" t="str">
        <f t="shared" si="4"/>
        <v/>
      </c>
      <c r="X68" s="83" t="str">
        <f t="shared" si="4"/>
        <v/>
      </c>
      <c r="Y68" s="83" t="str">
        <f t="shared" si="4"/>
        <v/>
      </c>
      <c r="Z68" s="83" t="str">
        <f t="shared" si="4"/>
        <v/>
      </c>
      <c r="AA68" s="83" t="str">
        <f t="shared" si="4"/>
        <v/>
      </c>
      <c r="AB68" s="83">
        <f t="shared" si="4"/>
        <v>0</v>
      </c>
      <c r="AC68" s="83">
        <f t="shared" si="4"/>
        <v>0</v>
      </c>
      <c r="AD68" s="83">
        <f t="shared" si="4"/>
        <v>0</v>
      </c>
      <c r="AE68" s="83">
        <f t="shared" si="4"/>
        <v>0</v>
      </c>
      <c r="AF68" s="83">
        <f t="shared" si="4"/>
        <v>0</v>
      </c>
      <c r="AG68" s="83">
        <f t="shared" si="4"/>
        <v>0</v>
      </c>
      <c r="AH68" s="83">
        <f t="shared" si="4"/>
        <v>0</v>
      </c>
      <c r="AI68" s="83">
        <f t="shared" si="4"/>
        <v>0</v>
      </c>
      <c r="AJ68" s="83">
        <f t="shared" si="4"/>
        <v>0</v>
      </c>
      <c r="AK68" s="83">
        <f t="shared" si="4"/>
        <v>0</v>
      </c>
      <c r="AL68" s="83">
        <f t="shared" si="4"/>
        <v>0</v>
      </c>
      <c r="AM68" s="83">
        <f t="shared" si="4"/>
        <v>0</v>
      </c>
    </row>
    <row r="69" ht="15.75" customHeight="1">
      <c r="B69" s="40" t="str">
        <f t="shared" si="3"/>
        <v>Distribution — Distributeur Global</v>
      </c>
      <c r="D69" s="25">
        <f>IF(D$66="",0,IF(D$46="","",D$46/12*$E$10))</f>
        <v>315.7142857</v>
      </c>
      <c r="E69" s="25">
        <f t="shared" ref="E69:AM69" si="5">IF(E$66="",0,IF(E$46="","",E$46/12))</f>
        <v>862.5</v>
      </c>
      <c r="F69" s="25" t="str">
        <f t="shared" si="5"/>
        <v/>
      </c>
      <c r="G69" s="25" t="str">
        <f t="shared" si="5"/>
        <v/>
      </c>
      <c r="H69" s="25" t="str">
        <f t="shared" si="5"/>
        <v/>
      </c>
      <c r="I69" s="25" t="str">
        <f t="shared" si="5"/>
        <v/>
      </c>
      <c r="J69" s="25" t="str">
        <f t="shared" si="5"/>
        <v/>
      </c>
      <c r="K69" s="25" t="str">
        <f t="shared" si="5"/>
        <v/>
      </c>
      <c r="L69" s="25" t="str">
        <f t="shared" si="5"/>
        <v/>
      </c>
      <c r="M69" s="25" t="str">
        <f t="shared" si="5"/>
        <v/>
      </c>
      <c r="N69" s="25" t="str">
        <f t="shared" si="5"/>
        <v/>
      </c>
      <c r="O69" s="25" t="str">
        <f t="shared" si="5"/>
        <v/>
      </c>
      <c r="P69" s="25" t="str">
        <f t="shared" si="5"/>
        <v/>
      </c>
      <c r="Q69" s="25" t="str">
        <f t="shared" si="5"/>
        <v/>
      </c>
      <c r="R69" s="25" t="str">
        <f t="shared" si="5"/>
        <v/>
      </c>
      <c r="S69" s="25" t="str">
        <f t="shared" si="5"/>
        <v/>
      </c>
      <c r="T69" s="25" t="str">
        <f t="shared" si="5"/>
        <v/>
      </c>
      <c r="U69" s="25" t="str">
        <f t="shared" si="5"/>
        <v/>
      </c>
      <c r="V69" s="25" t="str">
        <f t="shared" si="5"/>
        <v/>
      </c>
      <c r="W69" s="25" t="str">
        <f t="shared" si="5"/>
        <v/>
      </c>
      <c r="X69" s="25" t="str">
        <f t="shared" si="5"/>
        <v/>
      </c>
      <c r="Y69" s="25" t="str">
        <f t="shared" si="5"/>
        <v/>
      </c>
      <c r="Z69" s="25" t="str">
        <f t="shared" si="5"/>
        <v/>
      </c>
      <c r="AA69" s="25" t="str">
        <f t="shared" si="5"/>
        <v/>
      </c>
      <c r="AB69" s="25">
        <f t="shared" si="5"/>
        <v>0</v>
      </c>
      <c r="AC69" s="25">
        <f t="shared" si="5"/>
        <v>0</v>
      </c>
      <c r="AD69" s="25">
        <f t="shared" si="5"/>
        <v>0</v>
      </c>
      <c r="AE69" s="25">
        <f t="shared" si="5"/>
        <v>0</v>
      </c>
      <c r="AF69" s="25">
        <f t="shared" si="5"/>
        <v>0</v>
      </c>
      <c r="AG69" s="25">
        <f t="shared" si="5"/>
        <v>0</v>
      </c>
      <c r="AH69" s="25">
        <f t="shared" si="5"/>
        <v>0</v>
      </c>
      <c r="AI69" s="25">
        <f t="shared" si="5"/>
        <v>0</v>
      </c>
      <c r="AJ69" s="25">
        <f t="shared" si="5"/>
        <v>0</v>
      </c>
      <c r="AK69" s="25">
        <f t="shared" si="5"/>
        <v>0</v>
      </c>
      <c r="AL69" s="25">
        <f t="shared" si="5"/>
        <v>0</v>
      </c>
      <c r="AM69" s="25">
        <f t="shared" si="5"/>
        <v>0</v>
      </c>
    </row>
    <row r="70" ht="15.75" customHeight="1">
      <c r="B70" s="68" t="str">
        <f t="shared" si="3"/>
        <v>Distribution — Sous-distributeurs</v>
      </c>
      <c r="D70" s="83">
        <f>IF(D$66="",0,IF(D$47="","",D$47/12*$E$10))</f>
        <v>2841.428571</v>
      </c>
      <c r="E70" s="83">
        <f t="shared" ref="E70:AM70" si="6">IF(E$66="",0,IF(E$47="","",E$47/12))</f>
        <v>7762.5</v>
      </c>
      <c r="F70" s="83" t="str">
        <f t="shared" si="6"/>
        <v/>
      </c>
      <c r="G70" s="83" t="str">
        <f t="shared" si="6"/>
        <v/>
      </c>
      <c r="H70" s="83" t="str">
        <f t="shared" si="6"/>
        <v/>
      </c>
      <c r="I70" s="83" t="str">
        <f t="shared" si="6"/>
        <v/>
      </c>
      <c r="J70" s="83" t="str">
        <f t="shared" si="6"/>
        <v/>
      </c>
      <c r="K70" s="83" t="str">
        <f t="shared" si="6"/>
        <v/>
      </c>
      <c r="L70" s="83" t="str">
        <f t="shared" si="6"/>
        <v/>
      </c>
      <c r="M70" s="83" t="str">
        <f t="shared" si="6"/>
        <v/>
      </c>
      <c r="N70" s="83" t="str">
        <f t="shared" si="6"/>
        <v/>
      </c>
      <c r="O70" s="83" t="str">
        <f t="shared" si="6"/>
        <v/>
      </c>
      <c r="P70" s="83" t="str">
        <f t="shared" si="6"/>
        <v/>
      </c>
      <c r="Q70" s="83" t="str">
        <f t="shared" si="6"/>
        <v/>
      </c>
      <c r="R70" s="83" t="str">
        <f t="shared" si="6"/>
        <v/>
      </c>
      <c r="S70" s="83" t="str">
        <f t="shared" si="6"/>
        <v/>
      </c>
      <c r="T70" s="83" t="str">
        <f t="shared" si="6"/>
        <v/>
      </c>
      <c r="U70" s="83" t="str">
        <f t="shared" si="6"/>
        <v/>
      </c>
      <c r="V70" s="83" t="str">
        <f t="shared" si="6"/>
        <v/>
      </c>
      <c r="W70" s="83" t="str">
        <f t="shared" si="6"/>
        <v/>
      </c>
      <c r="X70" s="83" t="str">
        <f t="shared" si="6"/>
        <v/>
      </c>
      <c r="Y70" s="83" t="str">
        <f t="shared" si="6"/>
        <v/>
      </c>
      <c r="Z70" s="83" t="str">
        <f t="shared" si="6"/>
        <v/>
      </c>
      <c r="AA70" s="83" t="str">
        <f t="shared" si="6"/>
        <v/>
      </c>
      <c r="AB70" s="83">
        <f t="shared" si="6"/>
        <v>0</v>
      </c>
      <c r="AC70" s="83">
        <f t="shared" si="6"/>
        <v>0</v>
      </c>
      <c r="AD70" s="83">
        <f t="shared" si="6"/>
        <v>0</v>
      </c>
      <c r="AE70" s="83">
        <f t="shared" si="6"/>
        <v>0</v>
      </c>
      <c r="AF70" s="83">
        <f t="shared" si="6"/>
        <v>0</v>
      </c>
      <c r="AG70" s="83">
        <f t="shared" si="6"/>
        <v>0</v>
      </c>
      <c r="AH70" s="83">
        <f t="shared" si="6"/>
        <v>0</v>
      </c>
      <c r="AI70" s="83">
        <f t="shared" si="6"/>
        <v>0</v>
      </c>
      <c r="AJ70" s="83">
        <f t="shared" si="6"/>
        <v>0</v>
      </c>
      <c r="AK70" s="83">
        <f t="shared" si="6"/>
        <v>0</v>
      </c>
      <c r="AL70" s="83">
        <f t="shared" si="6"/>
        <v>0</v>
      </c>
      <c r="AM70" s="83">
        <f t="shared" si="6"/>
        <v>0</v>
      </c>
    </row>
    <row r="71" ht="15.75" customHeight="1">
      <c r="B71" s="40" t="str">
        <f t="shared" si="3"/>
        <v>Commission Dépositaire (BFCM)</v>
      </c>
      <c r="D71" s="25">
        <f>IF(D$66="",0,IF(D$48="","",D$48/12*$E$10))</f>
        <v>619.047619</v>
      </c>
      <c r="E71" s="25">
        <f t="shared" ref="E71:AM71" si="7">IF(E$66="",0,IF(E$48="","",E$48/12))</f>
        <v>1000</v>
      </c>
      <c r="F71" s="25" t="str">
        <f t="shared" si="7"/>
        <v/>
      </c>
      <c r="G71" s="25" t="str">
        <f t="shared" si="7"/>
        <v/>
      </c>
      <c r="H71" s="25" t="str">
        <f t="shared" si="7"/>
        <v/>
      </c>
      <c r="I71" s="25" t="str">
        <f t="shared" si="7"/>
        <v/>
      </c>
      <c r="J71" s="25" t="str">
        <f t="shared" si="7"/>
        <v/>
      </c>
      <c r="K71" s="25" t="str">
        <f t="shared" si="7"/>
        <v/>
      </c>
      <c r="L71" s="25" t="str">
        <f t="shared" si="7"/>
        <v/>
      </c>
      <c r="M71" s="25" t="str">
        <f t="shared" si="7"/>
        <v/>
      </c>
      <c r="N71" s="25" t="str">
        <f t="shared" si="7"/>
        <v/>
      </c>
      <c r="O71" s="25" t="str">
        <f t="shared" si="7"/>
        <v/>
      </c>
      <c r="P71" s="25" t="str">
        <f t="shared" si="7"/>
        <v/>
      </c>
      <c r="Q71" s="25" t="str">
        <f t="shared" si="7"/>
        <v/>
      </c>
      <c r="R71" s="25" t="str">
        <f t="shared" si="7"/>
        <v/>
      </c>
      <c r="S71" s="25" t="str">
        <f t="shared" si="7"/>
        <v/>
      </c>
      <c r="T71" s="25" t="str">
        <f t="shared" si="7"/>
        <v/>
      </c>
      <c r="U71" s="25" t="str">
        <f t="shared" si="7"/>
        <v/>
      </c>
      <c r="V71" s="25" t="str">
        <f t="shared" si="7"/>
        <v/>
      </c>
      <c r="W71" s="25" t="str">
        <f t="shared" si="7"/>
        <v/>
      </c>
      <c r="X71" s="25" t="str">
        <f t="shared" si="7"/>
        <v/>
      </c>
      <c r="Y71" s="25" t="str">
        <f t="shared" si="7"/>
        <v/>
      </c>
      <c r="Z71" s="25" t="str">
        <f t="shared" si="7"/>
        <v/>
      </c>
      <c r="AA71" s="25" t="str">
        <f t="shared" si="7"/>
        <v/>
      </c>
      <c r="AB71" s="25">
        <f t="shared" si="7"/>
        <v>0</v>
      </c>
      <c r="AC71" s="25">
        <f t="shared" si="7"/>
        <v>0</v>
      </c>
      <c r="AD71" s="25">
        <f t="shared" si="7"/>
        <v>0</v>
      </c>
      <c r="AE71" s="25">
        <f t="shared" si="7"/>
        <v>0</v>
      </c>
      <c r="AF71" s="25">
        <f t="shared" si="7"/>
        <v>0</v>
      </c>
      <c r="AG71" s="25">
        <f t="shared" si="7"/>
        <v>0</v>
      </c>
      <c r="AH71" s="25">
        <f t="shared" si="7"/>
        <v>0</v>
      </c>
      <c r="AI71" s="25">
        <f t="shared" si="7"/>
        <v>0</v>
      </c>
      <c r="AJ71" s="25">
        <f t="shared" si="7"/>
        <v>0</v>
      </c>
      <c r="AK71" s="25">
        <f t="shared" si="7"/>
        <v>0</v>
      </c>
      <c r="AL71" s="25">
        <f t="shared" si="7"/>
        <v>0</v>
      </c>
      <c r="AM71" s="25">
        <f t="shared" si="7"/>
        <v>0</v>
      </c>
    </row>
    <row r="72" ht="15.75" customHeight="1">
      <c r="B72" s="68" t="str">
        <f t="shared" si="3"/>
        <v>Commissaire aux Comptes</v>
      </c>
      <c r="D72" s="83">
        <f>IF(D$66="",0,IF(D$49="","",D$49/12*$E$10))</f>
        <v>283.7301587</v>
      </c>
      <c r="E72" s="83">
        <f t="shared" ref="E72:AM72" si="8">IF(E$66="",0,IF(E$49="","",E$49/12))</f>
        <v>458.3333333</v>
      </c>
      <c r="F72" s="83" t="str">
        <f t="shared" si="8"/>
        <v/>
      </c>
      <c r="G72" s="83" t="str">
        <f t="shared" si="8"/>
        <v/>
      </c>
      <c r="H72" s="83" t="str">
        <f t="shared" si="8"/>
        <v/>
      </c>
      <c r="I72" s="83" t="str">
        <f t="shared" si="8"/>
        <v/>
      </c>
      <c r="J72" s="83" t="str">
        <f t="shared" si="8"/>
        <v/>
      </c>
      <c r="K72" s="83" t="str">
        <f t="shared" si="8"/>
        <v/>
      </c>
      <c r="L72" s="83" t="str">
        <f t="shared" si="8"/>
        <v/>
      </c>
      <c r="M72" s="83" t="str">
        <f t="shared" si="8"/>
        <v/>
      </c>
      <c r="N72" s="83" t="str">
        <f t="shared" si="8"/>
        <v/>
      </c>
      <c r="O72" s="83" t="str">
        <f t="shared" si="8"/>
        <v/>
      </c>
      <c r="P72" s="83" t="str">
        <f t="shared" si="8"/>
        <v/>
      </c>
      <c r="Q72" s="83" t="str">
        <f t="shared" si="8"/>
        <v/>
      </c>
      <c r="R72" s="83" t="str">
        <f t="shared" si="8"/>
        <v/>
      </c>
      <c r="S72" s="83" t="str">
        <f t="shared" si="8"/>
        <v/>
      </c>
      <c r="T72" s="83" t="str">
        <f t="shared" si="8"/>
        <v/>
      </c>
      <c r="U72" s="83" t="str">
        <f t="shared" si="8"/>
        <v/>
      </c>
      <c r="V72" s="83" t="str">
        <f t="shared" si="8"/>
        <v/>
      </c>
      <c r="W72" s="83" t="str">
        <f t="shared" si="8"/>
        <v/>
      </c>
      <c r="X72" s="83" t="str">
        <f t="shared" si="8"/>
        <v/>
      </c>
      <c r="Y72" s="83" t="str">
        <f t="shared" si="8"/>
        <v/>
      </c>
      <c r="Z72" s="83" t="str">
        <f t="shared" si="8"/>
        <v/>
      </c>
      <c r="AA72" s="83" t="str">
        <f t="shared" si="8"/>
        <v/>
      </c>
      <c r="AB72" s="83">
        <f t="shared" si="8"/>
        <v>0</v>
      </c>
      <c r="AC72" s="83">
        <f t="shared" si="8"/>
        <v>0</v>
      </c>
      <c r="AD72" s="83">
        <f t="shared" si="8"/>
        <v>0</v>
      </c>
      <c r="AE72" s="83">
        <f t="shared" si="8"/>
        <v>0</v>
      </c>
      <c r="AF72" s="83">
        <f t="shared" si="8"/>
        <v>0</v>
      </c>
      <c r="AG72" s="83">
        <f t="shared" si="8"/>
        <v>0</v>
      </c>
      <c r="AH72" s="83">
        <f t="shared" si="8"/>
        <v>0</v>
      </c>
      <c r="AI72" s="83">
        <f t="shared" si="8"/>
        <v>0</v>
      </c>
      <c r="AJ72" s="83">
        <f t="shared" si="8"/>
        <v>0</v>
      </c>
      <c r="AK72" s="83">
        <f t="shared" si="8"/>
        <v>0</v>
      </c>
      <c r="AL72" s="83">
        <f t="shared" si="8"/>
        <v>0</v>
      </c>
      <c r="AM72" s="83">
        <f t="shared" si="8"/>
        <v>0</v>
      </c>
    </row>
    <row r="73" ht="15.75" customHeight="1">
      <c r="B73" s="40" t="str">
        <f t="shared" si="3"/>
        <v>CAC — Frais par Distribution</v>
      </c>
      <c r="D73" s="25">
        <f>IF(D$66="",0,IF(D$50="","",D$50/12*$E$10))</f>
        <v>0</v>
      </c>
      <c r="E73" s="25">
        <f t="shared" ref="E73:AM73" si="9">IF(E$66="",0,IF(E$50="","",E$50/12))</f>
        <v>0</v>
      </c>
      <c r="F73" s="25" t="str">
        <f t="shared" si="9"/>
        <v/>
      </c>
      <c r="G73" s="25" t="str">
        <f t="shared" si="9"/>
        <v/>
      </c>
      <c r="H73" s="25" t="str">
        <f t="shared" si="9"/>
        <v/>
      </c>
      <c r="I73" s="25" t="str">
        <f t="shared" si="9"/>
        <v/>
      </c>
      <c r="J73" s="25" t="str">
        <f t="shared" si="9"/>
        <v/>
      </c>
      <c r="K73" s="25" t="str">
        <f t="shared" si="9"/>
        <v/>
      </c>
      <c r="L73" s="25" t="str">
        <f t="shared" si="9"/>
        <v/>
      </c>
      <c r="M73" s="25" t="str">
        <f t="shared" si="9"/>
        <v/>
      </c>
      <c r="N73" s="25" t="str">
        <f t="shared" si="9"/>
        <v/>
      </c>
      <c r="O73" s="25" t="str">
        <f t="shared" si="9"/>
        <v/>
      </c>
      <c r="P73" s="25" t="str">
        <f t="shared" si="9"/>
        <v/>
      </c>
      <c r="Q73" s="25" t="str">
        <f t="shared" si="9"/>
        <v/>
      </c>
      <c r="R73" s="25" t="str">
        <f t="shared" si="9"/>
        <v/>
      </c>
      <c r="S73" s="25" t="str">
        <f t="shared" si="9"/>
        <v/>
      </c>
      <c r="T73" s="25" t="str">
        <f t="shared" si="9"/>
        <v/>
      </c>
      <c r="U73" s="25" t="str">
        <f t="shared" si="9"/>
        <v/>
      </c>
      <c r="V73" s="25" t="str">
        <f t="shared" si="9"/>
        <v/>
      </c>
      <c r="W73" s="25" t="str">
        <f t="shared" si="9"/>
        <v/>
      </c>
      <c r="X73" s="25" t="str">
        <f t="shared" si="9"/>
        <v/>
      </c>
      <c r="Y73" s="25" t="str">
        <f t="shared" si="9"/>
        <v/>
      </c>
      <c r="Z73" s="25" t="str">
        <f t="shared" si="9"/>
        <v/>
      </c>
      <c r="AA73" s="25" t="str">
        <f t="shared" si="9"/>
        <v/>
      </c>
      <c r="AB73" s="25">
        <f t="shared" si="9"/>
        <v>0</v>
      </c>
      <c r="AC73" s="25">
        <f t="shared" si="9"/>
        <v>0</v>
      </c>
      <c r="AD73" s="25">
        <f t="shared" si="9"/>
        <v>0</v>
      </c>
      <c r="AE73" s="25">
        <f t="shared" si="9"/>
        <v>0</v>
      </c>
      <c r="AF73" s="25">
        <f t="shared" si="9"/>
        <v>0</v>
      </c>
      <c r="AG73" s="25">
        <f t="shared" si="9"/>
        <v>0</v>
      </c>
      <c r="AH73" s="25">
        <f t="shared" si="9"/>
        <v>0</v>
      </c>
      <c r="AI73" s="25">
        <f t="shared" si="9"/>
        <v>0</v>
      </c>
      <c r="AJ73" s="25">
        <f t="shared" si="9"/>
        <v>0</v>
      </c>
      <c r="AK73" s="25">
        <f t="shared" si="9"/>
        <v>0</v>
      </c>
      <c r="AL73" s="25">
        <f t="shared" si="9"/>
        <v>0</v>
      </c>
      <c r="AM73" s="25">
        <f t="shared" si="9"/>
        <v>0</v>
      </c>
    </row>
    <row r="74" ht="15.75" customHeight="1">
      <c r="B74" s="68" t="str">
        <f t="shared" si="3"/>
        <v>Reporting — Rapport Annuel (CIC)</v>
      </c>
      <c r="D74" s="83">
        <f>IF(D$66="",0,IF(D$51="","",D$51/12*$E$10))</f>
        <v>41.26984127</v>
      </c>
      <c r="E74" s="83">
        <f t="shared" ref="E74:AM74" si="10">IF(E$66="",0,IF(E$51="","",E$51/12))</f>
        <v>66.66666667</v>
      </c>
      <c r="F74" s="83" t="str">
        <f t="shared" si="10"/>
        <v/>
      </c>
      <c r="G74" s="83" t="str">
        <f t="shared" si="10"/>
        <v/>
      </c>
      <c r="H74" s="83" t="str">
        <f t="shared" si="10"/>
        <v/>
      </c>
      <c r="I74" s="83" t="str">
        <f t="shared" si="10"/>
        <v/>
      </c>
      <c r="J74" s="83" t="str">
        <f t="shared" si="10"/>
        <v/>
      </c>
      <c r="K74" s="83" t="str">
        <f t="shared" si="10"/>
        <v/>
      </c>
      <c r="L74" s="83" t="str">
        <f t="shared" si="10"/>
        <v/>
      </c>
      <c r="M74" s="83" t="str">
        <f t="shared" si="10"/>
        <v/>
      </c>
      <c r="N74" s="83" t="str">
        <f t="shared" si="10"/>
        <v/>
      </c>
      <c r="O74" s="83" t="str">
        <f t="shared" si="10"/>
        <v/>
      </c>
      <c r="P74" s="83" t="str">
        <f t="shared" si="10"/>
        <v/>
      </c>
      <c r="Q74" s="83" t="str">
        <f t="shared" si="10"/>
        <v/>
      </c>
      <c r="R74" s="83" t="str">
        <f t="shared" si="10"/>
        <v/>
      </c>
      <c r="S74" s="83" t="str">
        <f t="shared" si="10"/>
        <v/>
      </c>
      <c r="T74" s="83" t="str">
        <f t="shared" si="10"/>
        <v/>
      </c>
      <c r="U74" s="83" t="str">
        <f t="shared" si="10"/>
        <v/>
      </c>
      <c r="V74" s="83" t="str">
        <f t="shared" si="10"/>
        <v/>
      </c>
      <c r="W74" s="83" t="str">
        <f t="shared" si="10"/>
        <v/>
      </c>
      <c r="X74" s="83" t="str">
        <f t="shared" si="10"/>
        <v/>
      </c>
      <c r="Y74" s="83" t="str">
        <f t="shared" si="10"/>
        <v/>
      </c>
      <c r="Z74" s="83" t="str">
        <f t="shared" si="10"/>
        <v/>
      </c>
      <c r="AA74" s="83" t="str">
        <f t="shared" si="10"/>
        <v/>
      </c>
      <c r="AB74" s="83">
        <f t="shared" si="10"/>
        <v>0</v>
      </c>
      <c r="AC74" s="83">
        <f t="shared" si="10"/>
        <v>0</v>
      </c>
      <c r="AD74" s="83">
        <f t="shared" si="10"/>
        <v>0</v>
      </c>
      <c r="AE74" s="83">
        <f t="shared" si="10"/>
        <v>0</v>
      </c>
      <c r="AF74" s="83">
        <f t="shared" si="10"/>
        <v>0</v>
      </c>
      <c r="AG74" s="83">
        <f t="shared" si="10"/>
        <v>0</v>
      </c>
      <c r="AH74" s="83">
        <f t="shared" si="10"/>
        <v>0</v>
      </c>
      <c r="AI74" s="83">
        <f t="shared" si="10"/>
        <v>0</v>
      </c>
      <c r="AJ74" s="83">
        <f t="shared" si="10"/>
        <v>0</v>
      </c>
      <c r="AK74" s="83">
        <f t="shared" si="10"/>
        <v>0</v>
      </c>
      <c r="AL74" s="83">
        <f t="shared" si="10"/>
        <v>0</v>
      </c>
      <c r="AM74" s="83">
        <f t="shared" si="10"/>
        <v>0</v>
      </c>
    </row>
    <row r="75" ht="15.75" customHeight="1">
      <c r="B75" s="40" t="str">
        <f t="shared" si="3"/>
        <v>Valorisation (CIC)</v>
      </c>
      <c r="D75" s="25">
        <f>IF(D$66="",0,IF(D$52="","",D$52/12*$E$10))</f>
        <v>619.047619</v>
      </c>
      <c r="E75" s="25">
        <f t="shared" ref="E75:AM75" si="11">IF(E$66="",0,IF(E$52="","",E$52/12))</f>
        <v>1000</v>
      </c>
      <c r="F75" s="25" t="str">
        <f t="shared" si="11"/>
        <v/>
      </c>
      <c r="G75" s="25" t="str">
        <f t="shared" si="11"/>
        <v/>
      </c>
      <c r="H75" s="25" t="str">
        <f t="shared" si="11"/>
        <v/>
      </c>
      <c r="I75" s="25" t="str">
        <f t="shared" si="11"/>
        <v/>
      </c>
      <c r="J75" s="25" t="str">
        <f t="shared" si="11"/>
        <v/>
      </c>
      <c r="K75" s="25" t="str">
        <f t="shared" si="11"/>
        <v/>
      </c>
      <c r="L75" s="25" t="str">
        <f t="shared" si="11"/>
        <v/>
      </c>
      <c r="M75" s="25" t="str">
        <f t="shared" si="11"/>
        <v/>
      </c>
      <c r="N75" s="25" t="str">
        <f t="shared" si="11"/>
        <v/>
      </c>
      <c r="O75" s="25" t="str">
        <f t="shared" si="11"/>
        <v/>
      </c>
      <c r="P75" s="25" t="str">
        <f t="shared" si="11"/>
        <v/>
      </c>
      <c r="Q75" s="25" t="str">
        <f t="shared" si="11"/>
        <v/>
      </c>
      <c r="R75" s="25" t="str">
        <f t="shared" si="11"/>
        <v/>
      </c>
      <c r="S75" s="25" t="str">
        <f t="shared" si="11"/>
        <v/>
      </c>
      <c r="T75" s="25" t="str">
        <f t="shared" si="11"/>
        <v/>
      </c>
      <c r="U75" s="25" t="str">
        <f t="shared" si="11"/>
        <v/>
      </c>
      <c r="V75" s="25" t="str">
        <f t="shared" si="11"/>
        <v/>
      </c>
      <c r="W75" s="25" t="str">
        <f t="shared" si="11"/>
        <v/>
      </c>
      <c r="X75" s="25" t="str">
        <f t="shared" si="11"/>
        <v/>
      </c>
      <c r="Y75" s="25" t="str">
        <f t="shared" si="11"/>
        <v/>
      </c>
      <c r="Z75" s="25" t="str">
        <f t="shared" si="11"/>
        <v/>
      </c>
      <c r="AA75" s="25" t="str">
        <f t="shared" si="11"/>
        <v/>
      </c>
      <c r="AB75" s="25">
        <f t="shared" si="11"/>
        <v>0</v>
      </c>
      <c r="AC75" s="25">
        <f t="shared" si="11"/>
        <v>0</v>
      </c>
      <c r="AD75" s="25">
        <f t="shared" si="11"/>
        <v>0</v>
      </c>
      <c r="AE75" s="25">
        <f t="shared" si="11"/>
        <v>0</v>
      </c>
      <c r="AF75" s="25">
        <f t="shared" si="11"/>
        <v>0</v>
      </c>
      <c r="AG75" s="25">
        <f t="shared" si="11"/>
        <v>0</v>
      </c>
      <c r="AH75" s="25">
        <f t="shared" si="11"/>
        <v>0</v>
      </c>
      <c r="AI75" s="25">
        <f t="shared" si="11"/>
        <v>0</v>
      </c>
      <c r="AJ75" s="25">
        <f t="shared" si="11"/>
        <v>0</v>
      </c>
      <c r="AK75" s="25">
        <f t="shared" si="11"/>
        <v>0</v>
      </c>
      <c r="AL75" s="25">
        <f t="shared" si="11"/>
        <v>0</v>
      </c>
      <c r="AM75" s="25">
        <f t="shared" si="11"/>
        <v>0</v>
      </c>
    </row>
    <row r="76" ht="15.75" customHeight="1">
      <c r="B76" s="68" t="str">
        <f t="shared" si="3"/>
        <v>Reporting AIFM (part refacturée au fonds)</v>
      </c>
      <c r="D76" s="83">
        <f>IF(D$66="",0,IF(D$53="","",D$53/12*$E$10))</f>
        <v>0</v>
      </c>
      <c r="E76" s="83">
        <f t="shared" ref="E76:AM76" si="12">IF(E$66="",0,IF(E$53="","",E$53/12))</f>
        <v>0</v>
      </c>
      <c r="F76" s="83" t="str">
        <f t="shared" si="12"/>
        <v/>
      </c>
      <c r="G76" s="83" t="str">
        <f t="shared" si="12"/>
        <v/>
      </c>
      <c r="H76" s="83" t="str">
        <f t="shared" si="12"/>
        <v/>
      </c>
      <c r="I76" s="83" t="str">
        <f t="shared" si="12"/>
        <v/>
      </c>
      <c r="J76" s="83" t="str">
        <f t="shared" si="12"/>
        <v/>
      </c>
      <c r="K76" s="83" t="str">
        <f t="shared" si="12"/>
        <v/>
      </c>
      <c r="L76" s="83" t="str">
        <f t="shared" si="12"/>
        <v/>
      </c>
      <c r="M76" s="83" t="str">
        <f t="shared" si="12"/>
        <v/>
      </c>
      <c r="N76" s="83" t="str">
        <f t="shared" si="12"/>
        <v/>
      </c>
      <c r="O76" s="83" t="str">
        <f t="shared" si="12"/>
        <v/>
      </c>
      <c r="P76" s="83" t="str">
        <f t="shared" si="12"/>
        <v/>
      </c>
      <c r="Q76" s="83" t="str">
        <f t="shared" si="12"/>
        <v/>
      </c>
      <c r="R76" s="83" t="str">
        <f t="shared" si="12"/>
        <v/>
      </c>
      <c r="S76" s="83" t="str">
        <f t="shared" si="12"/>
        <v/>
      </c>
      <c r="T76" s="83" t="str">
        <f t="shared" si="12"/>
        <v/>
      </c>
      <c r="U76" s="83" t="str">
        <f t="shared" si="12"/>
        <v/>
      </c>
      <c r="V76" s="83" t="str">
        <f t="shared" si="12"/>
        <v/>
      </c>
      <c r="W76" s="83" t="str">
        <f t="shared" si="12"/>
        <v/>
      </c>
      <c r="X76" s="83" t="str">
        <f t="shared" si="12"/>
        <v/>
      </c>
      <c r="Y76" s="83" t="str">
        <f t="shared" si="12"/>
        <v/>
      </c>
      <c r="Z76" s="83" t="str">
        <f t="shared" si="12"/>
        <v/>
      </c>
      <c r="AA76" s="83" t="str">
        <f t="shared" si="12"/>
        <v/>
      </c>
      <c r="AB76" s="83">
        <f t="shared" si="12"/>
        <v>0</v>
      </c>
      <c r="AC76" s="83">
        <f t="shared" si="12"/>
        <v>0</v>
      </c>
      <c r="AD76" s="83">
        <f t="shared" si="12"/>
        <v>0</v>
      </c>
      <c r="AE76" s="83">
        <f t="shared" si="12"/>
        <v>0</v>
      </c>
      <c r="AF76" s="83">
        <f t="shared" si="12"/>
        <v>0</v>
      </c>
      <c r="AG76" s="83">
        <f t="shared" si="12"/>
        <v>0</v>
      </c>
      <c r="AH76" s="83">
        <f t="shared" si="12"/>
        <v>0</v>
      </c>
      <c r="AI76" s="83">
        <f t="shared" si="12"/>
        <v>0</v>
      </c>
      <c r="AJ76" s="83">
        <f t="shared" si="12"/>
        <v>0</v>
      </c>
      <c r="AK76" s="83">
        <f t="shared" si="12"/>
        <v>0</v>
      </c>
      <c r="AL76" s="83">
        <f t="shared" si="12"/>
        <v>0</v>
      </c>
      <c r="AM76" s="83">
        <f t="shared" si="12"/>
        <v>0</v>
      </c>
    </row>
    <row r="77" ht="15.75" customHeight="1">
      <c r="B77" s="40" t="str">
        <f t="shared" si="3"/>
        <v>Tenue du Passif</v>
      </c>
      <c r="D77" s="25">
        <f>IF(D$66="",0,IF(D$54="","",D$54/12*$E$10))</f>
        <v>98.01587302</v>
      </c>
      <c r="E77" s="25">
        <f t="shared" ref="E77:AM77" si="13">IF(E$66="",0,IF(E$54="","",E$54/12))</f>
        <v>158.3333333</v>
      </c>
      <c r="F77" s="25" t="str">
        <f t="shared" si="13"/>
        <v/>
      </c>
      <c r="G77" s="25" t="str">
        <f t="shared" si="13"/>
        <v/>
      </c>
      <c r="H77" s="25" t="str">
        <f t="shared" si="13"/>
        <v/>
      </c>
      <c r="I77" s="25" t="str">
        <f t="shared" si="13"/>
        <v/>
      </c>
      <c r="J77" s="25" t="str">
        <f t="shared" si="13"/>
        <v/>
      </c>
      <c r="K77" s="25" t="str">
        <f t="shared" si="13"/>
        <v/>
      </c>
      <c r="L77" s="25" t="str">
        <f t="shared" si="13"/>
        <v/>
      </c>
      <c r="M77" s="25" t="str">
        <f t="shared" si="13"/>
        <v/>
      </c>
      <c r="N77" s="25" t="str">
        <f t="shared" si="13"/>
        <v/>
      </c>
      <c r="O77" s="25" t="str">
        <f t="shared" si="13"/>
        <v/>
      </c>
      <c r="P77" s="25" t="str">
        <f t="shared" si="13"/>
        <v/>
      </c>
      <c r="Q77" s="25" t="str">
        <f t="shared" si="13"/>
        <v/>
      </c>
      <c r="R77" s="25" t="str">
        <f t="shared" si="13"/>
        <v/>
      </c>
      <c r="S77" s="25" t="str">
        <f t="shared" si="13"/>
        <v/>
      </c>
      <c r="T77" s="25" t="str">
        <f t="shared" si="13"/>
        <v/>
      </c>
      <c r="U77" s="25" t="str">
        <f t="shared" si="13"/>
        <v/>
      </c>
      <c r="V77" s="25" t="str">
        <f t="shared" si="13"/>
        <v/>
      </c>
      <c r="W77" s="25" t="str">
        <f t="shared" si="13"/>
        <v/>
      </c>
      <c r="X77" s="25" t="str">
        <f t="shared" si="13"/>
        <v/>
      </c>
      <c r="Y77" s="25" t="str">
        <f t="shared" si="13"/>
        <v/>
      </c>
      <c r="Z77" s="25" t="str">
        <f t="shared" si="13"/>
        <v/>
      </c>
      <c r="AA77" s="25" t="str">
        <f t="shared" si="13"/>
        <v/>
      </c>
      <c r="AB77" s="25">
        <f t="shared" si="13"/>
        <v>0</v>
      </c>
      <c r="AC77" s="25">
        <f t="shared" si="13"/>
        <v>0</v>
      </c>
      <c r="AD77" s="25">
        <f t="shared" si="13"/>
        <v>0</v>
      </c>
      <c r="AE77" s="25">
        <f t="shared" si="13"/>
        <v>0</v>
      </c>
      <c r="AF77" s="25">
        <f t="shared" si="13"/>
        <v>0</v>
      </c>
      <c r="AG77" s="25">
        <f t="shared" si="13"/>
        <v>0</v>
      </c>
      <c r="AH77" s="25">
        <f t="shared" si="13"/>
        <v>0</v>
      </c>
      <c r="AI77" s="25">
        <f t="shared" si="13"/>
        <v>0</v>
      </c>
      <c r="AJ77" s="25">
        <f t="shared" si="13"/>
        <v>0</v>
      </c>
      <c r="AK77" s="25">
        <f t="shared" si="13"/>
        <v>0</v>
      </c>
      <c r="AL77" s="25">
        <f t="shared" si="13"/>
        <v>0</v>
      </c>
      <c r="AM77" s="25">
        <f t="shared" si="13"/>
        <v>0</v>
      </c>
    </row>
    <row r="78" ht="15.75" customHeight="1">
      <c r="B78" s="68" t="str">
        <f t="shared" si="3"/>
        <v>Finologee</v>
      </c>
      <c r="D78" s="83">
        <f t="shared" ref="D78:AM78" si="14">IF(D$66="",0,IF(D$55="","",D$55/12))</f>
        <v>116</v>
      </c>
      <c r="E78" s="83">
        <f t="shared" si="14"/>
        <v>116</v>
      </c>
      <c r="F78" s="83" t="str">
        <f t="shared" si="14"/>
        <v/>
      </c>
      <c r="G78" s="83" t="str">
        <f t="shared" si="14"/>
        <v/>
      </c>
      <c r="H78" s="83" t="str">
        <f t="shared" si="14"/>
        <v/>
      </c>
      <c r="I78" s="83" t="str">
        <f t="shared" si="14"/>
        <v/>
      </c>
      <c r="J78" s="83" t="str">
        <f t="shared" si="14"/>
        <v/>
      </c>
      <c r="K78" s="83" t="str">
        <f t="shared" si="14"/>
        <v/>
      </c>
      <c r="L78" s="83" t="str">
        <f t="shared" si="14"/>
        <v/>
      </c>
      <c r="M78" s="83" t="str">
        <f t="shared" si="14"/>
        <v/>
      </c>
      <c r="N78" s="83" t="str">
        <f t="shared" si="14"/>
        <v/>
      </c>
      <c r="O78" s="83" t="str">
        <f t="shared" si="14"/>
        <v/>
      </c>
      <c r="P78" s="83" t="str">
        <f t="shared" si="14"/>
        <v/>
      </c>
      <c r="Q78" s="83" t="str">
        <f t="shared" si="14"/>
        <v/>
      </c>
      <c r="R78" s="83" t="str">
        <f t="shared" si="14"/>
        <v/>
      </c>
      <c r="S78" s="83" t="str">
        <f t="shared" si="14"/>
        <v/>
      </c>
      <c r="T78" s="83" t="str">
        <f t="shared" si="14"/>
        <v/>
      </c>
      <c r="U78" s="83" t="str">
        <f t="shared" si="14"/>
        <v/>
      </c>
      <c r="V78" s="83" t="str">
        <f t="shared" si="14"/>
        <v/>
      </c>
      <c r="W78" s="83" t="str">
        <f t="shared" si="14"/>
        <v/>
      </c>
      <c r="X78" s="83" t="str">
        <f t="shared" si="14"/>
        <v/>
      </c>
      <c r="Y78" s="83" t="str">
        <f t="shared" si="14"/>
        <v/>
      </c>
      <c r="Z78" s="83" t="str">
        <f t="shared" si="14"/>
        <v/>
      </c>
      <c r="AA78" s="83" t="str">
        <f t="shared" si="14"/>
        <v/>
      </c>
      <c r="AB78" s="83">
        <f t="shared" si="14"/>
        <v>0</v>
      </c>
      <c r="AC78" s="83">
        <f t="shared" si="14"/>
        <v>0</v>
      </c>
      <c r="AD78" s="83">
        <f t="shared" si="14"/>
        <v>0</v>
      </c>
      <c r="AE78" s="83">
        <f t="shared" si="14"/>
        <v>0</v>
      </c>
      <c r="AF78" s="83">
        <f t="shared" si="14"/>
        <v>0</v>
      </c>
      <c r="AG78" s="83">
        <f t="shared" si="14"/>
        <v>0</v>
      </c>
      <c r="AH78" s="83">
        <f t="shared" si="14"/>
        <v>0</v>
      </c>
      <c r="AI78" s="83">
        <f t="shared" si="14"/>
        <v>0</v>
      </c>
      <c r="AJ78" s="83">
        <f t="shared" si="14"/>
        <v>0</v>
      </c>
      <c r="AK78" s="83">
        <f t="shared" si="14"/>
        <v>0</v>
      </c>
      <c r="AL78" s="83">
        <f t="shared" si="14"/>
        <v>0</v>
      </c>
      <c r="AM78" s="83">
        <f t="shared" si="14"/>
        <v>0</v>
      </c>
    </row>
    <row r="79" ht="15.75" customHeight="1">
      <c r="B79" s="40" t="str">
        <f t="shared" si="3"/>
        <v>Frais KYC (au-delà du forfait inclus)</v>
      </c>
      <c r="D79" s="25">
        <f>IF(D$66="",0,IF(D$56="","",D$56/12*$E$10))</f>
        <v>0</v>
      </c>
      <c r="E79" s="25">
        <f t="shared" ref="E79:AM79" si="15">IF(E$66="",0,IF(E$56="","",E$56/12))</f>
        <v>0</v>
      </c>
      <c r="F79" s="25" t="str">
        <f t="shared" si="15"/>
        <v/>
      </c>
      <c r="G79" s="25" t="str">
        <f t="shared" si="15"/>
        <v/>
      </c>
      <c r="H79" s="25" t="str">
        <f t="shared" si="15"/>
        <v/>
      </c>
      <c r="I79" s="25" t="str">
        <f t="shared" si="15"/>
        <v/>
      </c>
      <c r="J79" s="25" t="str">
        <f t="shared" si="15"/>
        <v/>
      </c>
      <c r="K79" s="25" t="str">
        <f t="shared" si="15"/>
        <v/>
      </c>
      <c r="L79" s="25" t="str">
        <f t="shared" si="15"/>
        <v/>
      </c>
      <c r="M79" s="25" t="str">
        <f t="shared" si="15"/>
        <v/>
      </c>
      <c r="N79" s="25" t="str">
        <f t="shared" si="15"/>
        <v/>
      </c>
      <c r="O79" s="25" t="str">
        <f t="shared" si="15"/>
        <v/>
      </c>
      <c r="P79" s="25" t="str">
        <f t="shared" si="15"/>
        <v/>
      </c>
      <c r="Q79" s="25" t="str">
        <f t="shared" si="15"/>
        <v/>
      </c>
      <c r="R79" s="25" t="str">
        <f t="shared" si="15"/>
        <v/>
      </c>
      <c r="S79" s="25" t="str">
        <f t="shared" si="15"/>
        <v/>
      </c>
      <c r="T79" s="25" t="str">
        <f t="shared" si="15"/>
        <v/>
      </c>
      <c r="U79" s="25" t="str">
        <f t="shared" si="15"/>
        <v/>
      </c>
      <c r="V79" s="25" t="str">
        <f t="shared" si="15"/>
        <v/>
      </c>
      <c r="W79" s="25" t="str">
        <f t="shared" si="15"/>
        <v/>
      </c>
      <c r="X79" s="25" t="str">
        <f t="shared" si="15"/>
        <v/>
      </c>
      <c r="Y79" s="25" t="str">
        <f t="shared" si="15"/>
        <v/>
      </c>
      <c r="Z79" s="25" t="str">
        <f t="shared" si="15"/>
        <v/>
      </c>
      <c r="AA79" s="25" t="str">
        <f t="shared" si="15"/>
        <v/>
      </c>
      <c r="AB79" s="25">
        <f t="shared" si="15"/>
        <v>0</v>
      </c>
      <c r="AC79" s="25">
        <f t="shared" si="15"/>
        <v>0</v>
      </c>
      <c r="AD79" s="25">
        <f t="shared" si="15"/>
        <v>0</v>
      </c>
      <c r="AE79" s="25">
        <f t="shared" si="15"/>
        <v>0</v>
      </c>
      <c r="AF79" s="25">
        <f t="shared" si="15"/>
        <v>0</v>
      </c>
      <c r="AG79" s="25">
        <f t="shared" si="15"/>
        <v>0</v>
      </c>
      <c r="AH79" s="25">
        <f t="shared" si="15"/>
        <v>0</v>
      </c>
      <c r="AI79" s="25">
        <f t="shared" si="15"/>
        <v>0</v>
      </c>
      <c r="AJ79" s="25">
        <f t="shared" si="15"/>
        <v>0</v>
      </c>
      <c r="AK79" s="25">
        <f t="shared" si="15"/>
        <v>0</v>
      </c>
      <c r="AL79" s="25">
        <f t="shared" si="15"/>
        <v>0</v>
      </c>
      <c r="AM79" s="25">
        <f t="shared" si="15"/>
        <v>0</v>
      </c>
    </row>
    <row r="80" ht="15.75" customHeight="1">
      <c r="B80" s="68" t="str">
        <f t="shared" si="3"/>
        <v>Frais de Constitution (hors barème — actif par défaut, voir 05_Tresorerie)</v>
      </c>
      <c r="D80" s="83">
        <f>IF(D$66="",0,IF(D$57="","",D$57/12*$E$10))</f>
        <v>0</v>
      </c>
      <c r="E80" s="83">
        <f t="shared" ref="E80:AM80" si="16">IF(E$66="",0,IF(E$57="","",E$57/12))</f>
        <v>0</v>
      </c>
      <c r="F80" s="83" t="str">
        <f t="shared" si="16"/>
        <v/>
      </c>
      <c r="G80" s="83" t="str">
        <f t="shared" si="16"/>
        <v/>
      </c>
      <c r="H80" s="83" t="str">
        <f t="shared" si="16"/>
        <v/>
      </c>
      <c r="I80" s="83" t="str">
        <f t="shared" si="16"/>
        <v/>
      </c>
      <c r="J80" s="83" t="str">
        <f t="shared" si="16"/>
        <v/>
      </c>
      <c r="K80" s="83" t="str">
        <f t="shared" si="16"/>
        <v/>
      </c>
      <c r="L80" s="83" t="str">
        <f t="shared" si="16"/>
        <v/>
      </c>
      <c r="M80" s="83" t="str">
        <f t="shared" si="16"/>
        <v/>
      </c>
      <c r="N80" s="83" t="str">
        <f t="shared" si="16"/>
        <v/>
      </c>
      <c r="O80" s="83" t="str">
        <f t="shared" si="16"/>
        <v/>
      </c>
      <c r="P80" s="83" t="str">
        <f t="shared" si="16"/>
        <v/>
      </c>
      <c r="Q80" s="83" t="str">
        <f t="shared" si="16"/>
        <v/>
      </c>
      <c r="R80" s="83" t="str">
        <f t="shared" si="16"/>
        <v/>
      </c>
      <c r="S80" s="83" t="str">
        <f t="shared" si="16"/>
        <v/>
      </c>
      <c r="T80" s="83" t="str">
        <f t="shared" si="16"/>
        <v/>
      </c>
      <c r="U80" s="83" t="str">
        <f t="shared" si="16"/>
        <v/>
      </c>
      <c r="V80" s="83" t="str">
        <f t="shared" si="16"/>
        <v/>
      </c>
      <c r="W80" s="83" t="str">
        <f t="shared" si="16"/>
        <v/>
      </c>
      <c r="X80" s="83" t="str">
        <f t="shared" si="16"/>
        <v/>
      </c>
      <c r="Y80" s="83" t="str">
        <f t="shared" si="16"/>
        <v/>
      </c>
      <c r="Z80" s="83" t="str">
        <f t="shared" si="16"/>
        <v/>
      </c>
      <c r="AA80" s="83" t="str">
        <f t="shared" si="16"/>
        <v/>
      </c>
      <c r="AB80" s="83">
        <f t="shared" si="16"/>
        <v>0</v>
      </c>
      <c r="AC80" s="83">
        <f t="shared" si="16"/>
        <v>0</v>
      </c>
      <c r="AD80" s="83">
        <f t="shared" si="16"/>
        <v>0</v>
      </c>
      <c r="AE80" s="83">
        <f t="shared" si="16"/>
        <v>0</v>
      </c>
      <c r="AF80" s="83">
        <f t="shared" si="16"/>
        <v>0</v>
      </c>
      <c r="AG80" s="83">
        <f t="shared" si="16"/>
        <v>0</v>
      </c>
      <c r="AH80" s="83">
        <f t="shared" si="16"/>
        <v>0</v>
      </c>
      <c r="AI80" s="83">
        <f t="shared" si="16"/>
        <v>0</v>
      </c>
      <c r="AJ80" s="83">
        <f t="shared" si="16"/>
        <v>0</v>
      </c>
      <c r="AK80" s="83">
        <f t="shared" si="16"/>
        <v>0</v>
      </c>
      <c r="AL80" s="83">
        <f t="shared" si="16"/>
        <v>0</v>
      </c>
      <c r="AM80" s="83">
        <f t="shared" si="16"/>
        <v>0</v>
      </c>
    </row>
    <row r="81" ht="15.75" customHeight="1">
      <c r="B81" s="40" t="str">
        <f t="shared" si="3"/>
        <v>Dépositaire — Forfait liquidation (ANC&lt;5M€)</v>
      </c>
      <c r="D81" s="25">
        <f>IF(D$66="",0,IF(D$58="","",D$58/12*$E$10))</f>
        <v>0</v>
      </c>
      <c r="E81" s="25">
        <f t="shared" ref="E81:AM81" si="17">IF(E$66="",0,IF(E$58="","",E$58/12))</f>
        <v>0</v>
      </c>
      <c r="F81" s="25" t="str">
        <f t="shared" si="17"/>
        <v/>
      </c>
      <c r="G81" s="25" t="str">
        <f t="shared" si="17"/>
        <v/>
      </c>
      <c r="H81" s="25" t="str">
        <f t="shared" si="17"/>
        <v/>
      </c>
      <c r="I81" s="25" t="str">
        <f t="shared" si="17"/>
        <v/>
      </c>
      <c r="J81" s="25" t="str">
        <f t="shared" si="17"/>
        <v/>
      </c>
      <c r="K81" s="25" t="str">
        <f t="shared" si="17"/>
        <v/>
      </c>
      <c r="L81" s="25" t="str">
        <f t="shared" si="17"/>
        <v/>
      </c>
      <c r="M81" s="25" t="str">
        <f t="shared" si="17"/>
        <v/>
      </c>
      <c r="N81" s="25" t="str">
        <f t="shared" si="17"/>
        <v/>
      </c>
      <c r="O81" s="25" t="str">
        <f t="shared" si="17"/>
        <v/>
      </c>
      <c r="P81" s="25" t="str">
        <f t="shared" si="17"/>
        <v/>
      </c>
      <c r="Q81" s="25" t="str">
        <f t="shared" si="17"/>
        <v/>
      </c>
      <c r="R81" s="25" t="str">
        <f t="shared" si="17"/>
        <v/>
      </c>
      <c r="S81" s="25" t="str">
        <f t="shared" si="17"/>
        <v/>
      </c>
      <c r="T81" s="25" t="str">
        <f t="shared" si="17"/>
        <v/>
      </c>
      <c r="U81" s="25" t="str">
        <f t="shared" si="17"/>
        <v/>
      </c>
      <c r="V81" s="25" t="str">
        <f t="shared" si="17"/>
        <v/>
      </c>
      <c r="W81" s="25" t="str">
        <f t="shared" si="17"/>
        <v/>
      </c>
      <c r="X81" s="25" t="str">
        <f t="shared" si="17"/>
        <v/>
      </c>
      <c r="Y81" s="25" t="str">
        <f t="shared" si="17"/>
        <v/>
      </c>
      <c r="Z81" s="25" t="str">
        <f t="shared" si="17"/>
        <v/>
      </c>
      <c r="AA81" s="25" t="str">
        <f t="shared" si="17"/>
        <v/>
      </c>
      <c r="AB81" s="25">
        <f t="shared" si="17"/>
        <v>0</v>
      </c>
      <c r="AC81" s="25">
        <f t="shared" si="17"/>
        <v>0</v>
      </c>
      <c r="AD81" s="25">
        <f t="shared" si="17"/>
        <v>0</v>
      </c>
      <c r="AE81" s="25">
        <f t="shared" si="17"/>
        <v>0</v>
      </c>
      <c r="AF81" s="25">
        <f t="shared" si="17"/>
        <v>0</v>
      </c>
      <c r="AG81" s="25">
        <f t="shared" si="17"/>
        <v>0</v>
      </c>
      <c r="AH81" s="25">
        <f t="shared" si="17"/>
        <v>0</v>
      </c>
      <c r="AI81" s="25">
        <f t="shared" si="17"/>
        <v>0</v>
      </c>
      <c r="AJ81" s="25">
        <f t="shared" si="17"/>
        <v>0</v>
      </c>
      <c r="AK81" s="25">
        <f t="shared" si="17"/>
        <v>0</v>
      </c>
      <c r="AL81" s="25">
        <f t="shared" si="17"/>
        <v>0</v>
      </c>
      <c r="AM81" s="25">
        <f t="shared" si="17"/>
        <v>0</v>
      </c>
    </row>
    <row r="82" ht="15.75" customHeight="1">
      <c r="B82" s="68" t="str">
        <f t="shared" si="3"/>
        <v>Dépositaire — Admission Euroclear (par ISIN)</v>
      </c>
      <c r="D82" s="83">
        <f>IF(D$66="",0,IF(D$59="","",D$59/12*$E$10))</f>
        <v>0</v>
      </c>
      <c r="E82" s="83">
        <f t="shared" ref="E82:AM82" si="18">IF(E$66="",0,IF(E$59="","",E$59/12))</f>
        <v>0</v>
      </c>
      <c r="F82" s="83" t="str">
        <f t="shared" si="18"/>
        <v/>
      </c>
      <c r="G82" s="83" t="str">
        <f t="shared" si="18"/>
        <v/>
      </c>
      <c r="H82" s="83" t="str">
        <f t="shared" si="18"/>
        <v/>
      </c>
      <c r="I82" s="83" t="str">
        <f t="shared" si="18"/>
        <v/>
      </c>
      <c r="J82" s="83" t="str">
        <f t="shared" si="18"/>
        <v/>
      </c>
      <c r="K82" s="83" t="str">
        <f t="shared" si="18"/>
        <v/>
      </c>
      <c r="L82" s="83" t="str">
        <f t="shared" si="18"/>
        <v/>
      </c>
      <c r="M82" s="83" t="str">
        <f t="shared" si="18"/>
        <v/>
      </c>
      <c r="N82" s="83" t="str">
        <f t="shared" si="18"/>
        <v/>
      </c>
      <c r="O82" s="83" t="str">
        <f t="shared" si="18"/>
        <v/>
      </c>
      <c r="P82" s="83" t="str">
        <f t="shared" si="18"/>
        <v/>
      </c>
      <c r="Q82" s="83" t="str">
        <f t="shared" si="18"/>
        <v/>
      </c>
      <c r="R82" s="83" t="str">
        <f t="shared" si="18"/>
        <v/>
      </c>
      <c r="S82" s="83" t="str">
        <f t="shared" si="18"/>
        <v/>
      </c>
      <c r="T82" s="83" t="str">
        <f t="shared" si="18"/>
        <v/>
      </c>
      <c r="U82" s="83" t="str">
        <f t="shared" si="18"/>
        <v/>
      </c>
      <c r="V82" s="83" t="str">
        <f t="shared" si="18"/>
        <v/>
      </c>
      <c r="W82" s="83" t="str">
        <f t="shared" si="18"/>
        <v/>
      </c>
      <c r="X82" s="83" t="str">
        <f t="shared" si="18"/>
        <v/>
      </c>
      <c r="Y82" s="83" t="str">
        <f t="shared" si="18"/>
        <v/>
      </c>
      <c r="Z82" s="83" t="str">
        <f t="shared" si="18"/>
        <v/>
      </c>
      <c r="AA82" s="83" t="str">
        <f t="shared" si="18"/>
        <v/>
      </c>
      <c r="AB82" s="83">
        <f t="shared" si="18"/>
        <v>0</v>
      </c>
      <c r="AC82" s="83">
        <f t="shared" si="18"/>
        <v>0</v>
      </c>
      <c r="AD82" s="83">
        <f t="shared" si="18"/>
        <v>0</v>
      </c>
      <c r="AE82" s="83">
        <f t="shared" si="18"/>
        <v>0</v>
      </c>
      <c r="AF82" s="83">
        <f t="shared" si="18"/>
        <v>0</v>
      </c>
      <c r="AG82" s="83">
        <f t="shared" si="18"/>
        <v>0</v>
      </c>
      <c r="AH82" s="83">
        <f t="shared" si="18"/>
        <v>0</v>
      </c>
      <c r="AI82" s="83">
        <f t="shared" si="18"/>
        <v>0</v>
      </c>
      <c r="AJ82" s="83">
        <f t="shared" si="18"/>
        <v>0</v>
      </c>
      <c r="AK82" s="83">
        <f t="shared" si="18"/>
        <v>0</v>
      </c>
      <c r="AL82" s="83">
        <f t="shared" si="18"/>
        <v>0</v>
      </c>
      <c r="AM82" s="83">
        <f t="shared" si="18"/>
        <v>0</v>
      </c>
    </row>
    <row r="83" ht="15.75" customHeight="1">
      <c r="B83" s="40" t="str">
        <f t="shared" si="3"/>
        <v>Reporting — Solvabilité II (optionnel)</v>
      </c>
      <c r="D83" s="25">
        <f>IF(D$66="",0,IF(D$60="","",D$60/12*$E$10))</f>
        <v>0</v>
      </c>
      <c r="E83" s="25">
        <f t="shared" ref="E83:AM83" si="19">IF(E$66="",0,IF(E$60="","",E$60/12))</f>
        <v>0</v>
      </c>
      <c r="F83" s="25" t="str">
        <f t="shared" si="19"/>
        <v/>
      </c>
      <c r="G83" s="25" t="str">
        <f t="shared" si="19"/>
        <v/>
      </c>
      <c r="H83" s="25" t="str">
        <f t="shared" si="19"/>
        <v/>
      </c>
      <c r="I83" s="25" t="str">
        <f t="shared" si="19"/>
        <v/>
      </c>
      <c r="J83" s="25" t="str">
        <f t="shared" si="19"/>
        <v/>
      </c>
      <c r="K83" s="25" t="str">
        <f t="shared" si="19"/>
        <v/>
      </c>
      <c r="L83" s="25" t="str">
        <f t="shared" si="19"/>
        <v/>
      </c>
      <c r="M83" s="25" t="str">
        <f t="shared" si="19"/>
        <v/>
      </c>
      <c r="N83" s="25" t="str">
        <f t="shared" si="19"/>
        <v/>
      </c>
      <c r="O83" s="25" t="str">
        <f t="shared" si="19"/>
        <v/>
      </c>
      <c r="P83" s="25" t="str">
        <f t="shared" si="19"/>
        <v/>
      </c>
      <c r="Q83" s="25" t="str">
        <f t="shared" si="19"/>
        <v/>
      </c>
      <c r="R83" s="25" t="str">
        <f t="shared" si="19"/>
        <v/>
      </c>
      <c r="S83" s="25" t="str">
        <f t="shared" si="19"/>
        <v/>
      </c>
      <c r="T83" s="25" t="str">
        <f t="shared" si="19"/>
        <v/>
      </c>
      <c r="U83" s="25" t="str">
        <f t="shared" si="19"/>
        <v/>
      </c>
      <c r="V83" s="25" t="str">
        <f t="shared" si="19"/>
        <v/>
      </c>
      <c r="W83" s="25" t="str">
        <f t="shared" si="19"/>
        <v/>
      </c>
      <c r="X83" s="25" t="str">
        <f t="shared" si="19"/>
        <v/>
      </c>
      <c r="Y83" s="25" t="str">
        <f t="shared" si="19"/>
        <v/>
      </c>
      <c r="Z83" s="25" t="str">
        <f t="shared" si="19"/>
        <v/>
      </c>
      <c r="AA83" s="25" t="str">
        <f t="shared" si="19"/>
        <v/>
      </c>
      <c r="AB83" s="25">
        <f t="shared" si="19"/>
        <v>0</v>
      </c>
      <c r="AC83" s="25">
        <f t="shared" si="19"/>
        <v>0</v>
      </c>
      <c r="AD83" s="25">
        <f t="shared" si="19"/>
        <v>0</v>
      </c>
      <c r="AE83" s="25">
        <f t="shared" si="19"/>
        <v>0</v>
      </c>
      <c r="AF83" s="25">
        <f t="shared" si="19"/>
        <v>0</v>
      </c>
      <c r="AG83" s="25">
        <f t="shared" si="19"/>
        <v>0</v>
      </c>
      <c r="AH83" s="25">
        <f t="shared" si="19"/>
        <v>0</v>
      </c>
      <c r="AI83" s="25">
        <f t="shared" si="19"/>
        <v>0</v>
      </c>
      <c r="AJ83" s="25">
        <f t="shared" si="19"/>
        <v>0</v>
      </c>
      <c r="AK83" s="25">
        <f t="shared" si="19"/>
        <v>0</v>
      </c>
      <c r="AL83" s="25">
        <f t="shared" si="19"/>
        <v>0</v>
      </c>
      <c r="AM83" s="25">
        <f t="shared" si="19"/>
        <v>0</v>
      </c>
    </row>
    <row r="84" ht="15.75" hidden="1" customHeight="1" outlineLevel="1">
      <c r="B84" s="68" t="str">
        <f t="shared" si="3"/>
        <v>(inactif)</v>
      </c>
      <c r="D84" s="83">
        <f>IF(D$66="",0,IF(D$61="","",D$61/12*$E$10))</f>
        <v>0</v>
      </c>
      <c r="E84" s="83">
        <f t="shared" ref="E84:AM84" si="20">IF(E$66="",0,IF(E$61="","",E$61/12))</f>
        <v>0</v>
      </c>
      <c r="F84" s="83" t="str">
        <f t="shared" si="20"/>
        <v/>
      </c>
      <c r="G84" s="83" t="str">
        <f t="shared" si="20"/>
        <v/>
      </c>
      <c r="H84" s="83" t="str">
        <f t="shared" si="20"/>
        <v/>
      </c>
      <c r="I84" s="83" t="str">
        <f t="shared" si="20"/>
        <v/>
      </c>
      <c r="J84" s="83" t="str">
        <f t="shared" si="20"/>
        <v/>
      </c>
      <c r="K84" s="83" t="str">
        <f t="shared" si="20"/>
        <v/>
      </c>
      <c r="L84" s="83" t="str">
        <f t="shared" si="20"/>
        <v/>
      </c>
      <c r="M84" s="83" t="str">
        <f t="shared" si="20"/>
        <v/>
      </c>
      <c r="N84" s="83" t="str">
        <f t="shared" si="20"/>
        <v/>
      </c>
      <c r="O84" s="83" t="str">
        <f t="shared" si="20"/>
        <v/>
      </c>
      <c r="P84" s="83" t="str">
        <f t="shared" si="20"/>
        <v/>
      </c>
      <c r="Q84" s="83" t="str">
        <f t="shared" si="20"/>
        <v/>
      </c>
      <c r="R84" s="83" t="str">
        <f t="shared" si="20"/>
        <v/>
      </c>
      <c r="S84" s="83" t="str">
        <f t="shared" si="20"/>
        <v/>
      </c>
      <c r="T84" s="83" t="str">
        <f t="shared" si="20"/>
        <v/>
      </c>
      <c r="U84" s="83" t="str">
        <f t="shared" si="20"/>
        <v/>
      </c>
      <c r="V84" s="83" t="str">
        <f t="shared" si="20"/>
        <v/>
      </c>
      <c r="W84" s="83" t="str">
        <f t="shared" si="20"/>
        <v/>
      </c>
      <c r="X84" s="83" t="str">
        <f t="shared" si="20"/>
        <v/>
      </c>
      <c r="Y84" s="83" t="str">
        <f t="shared" si="20"/>
        <v/>
      </c>
      <c r="Z84" s="83" t="str">
        <f t="shared" si="20"/>
        <v/>
      </c>
      <c r="AA84" s="83" t="str">
        <f t="shared" si="20"/>
        <v/>
      </c>
      <c r="AB84" s="83">
        <f t="shared" si="20"/>
        <v>0</v>
      </c>
      <c r="AC84" s="83">
        <f t="shared" si="20"/>
        <v>0</v>
      </c>
      <c r="AD84" s="83">
        <f t="shared" si="20"/>
        <v>0</v>
      </c>
      <c r="AE84" s="83">
        <f t="shared" si="20"/>
        <v>0</v>
      </c>
      <c r="AF84" s="83">
        <f t="shared" si="20"/>
        <v>0</v>
      </c>
      <c r="AG84" s="83">
        <f t="shared" si="20"/>
        <v>0</v>
      </c>
      <c r="AH84" s="83">
        <f t="shared" si="20"/>
        <v>0</v>
      </c>
      <c r="AI84" s="83">
        <f t="shared" si="20"/>
        <v>0</v>
      </c>
      <c r="AJ84" s="83">
        <f t="shared" si="20"/>
        <v>0</v>
      </c>
      <c r="AK84" s="83">
        <f t="shared" si="20"/>
        <v>0</v>
      </c>
      <c r="AL84" s="83">
        <f t="shared" si="20"/>
        <v>0</v>
      </c>
      <c r="AM84" s="83">
        <f t="shared" si="20"/>
        <v>0</v>
      </c>
    </row>
    <row r="85" ht="15.75" hidden="1" customHeight="1" outlineLevel="1">
      <c r="B85" s="40" t="str">
        <f t="shared" si="3"/>
        <v>(inactif)</v>
      </c>
      <c r="D85" s="25">
        <f>IF(D$66="",0,IF(D$62="","",D$62/12*$E$10))</f>
        <v>0</v>
      </c>
      <c r="E85" s="25">
        <f t="shared" ref="E85:AM85" si="21">IF(E$66="",0,IF(E$62="","",E$62/12))</f>
        <v>0</v>
      </c>
      <c r="F85" s="25" t="str">
        <f t="shared" si="21"/>
        <v/>
      </c>
      <c r="G85" s="25" t="str">
        <f t="shared" si="21"/>
        <v/>
      </c>
      <c r="H85" s="25" t="str">
        <f t="shared" si="21"/>
        <v/>
      </c>
      <c r="I85" s="25" t="str">
        <f t="shared" si="21"/>
        <v/>
      </c>
      <c r="J85" s="25" t="str">
        <f t="shared" si="21"/>
        <v/>
      </c>
      <c r="K85" s="25" t="str">
        <f t="shared" si="21"/>
        <v/>
      </c>
      <c r="L85" s="25" t="str">
        <f t="shared" si="21"/>
        <v/>
      </c>
      <c r="M85" s="25" t="str">
        <f t="shared" si="21"/>
        <v/>
      </c>
      <c r="N85" s="25" t="str">
        <f t="shared" si="21"/>
        <v/>
      </c>
      <c r="O85" s="25" t="str">
        <f t="shared" si="21"/>
        <v/>
      </c>
      <c r="P85" s="25" t="str">
        <f t="shared" si="21"/>
        <v/>
      </c>
      <c r="Q85" s="25" t="str">
        <f t="shared" si="21"/>
        <v/>
      </c>
      <c r="R85" s="25" t="str">
        <f t="shared" si="21"/>
        <v/>
      </c>
      <c r="S85" s="25" t="str">
        <f t="shared" si="21"/>
        <v/>
      </c>
      <c r="T85" s="25" t="str">
        <f t="shared" si="21"/>
        <v/>
      </c>
      <c r="U85" s="25" t="str">
        <f t="shared" si="21"/>
        <v/>
      </c>
      <c r="V85" s="25" t="str">
        <f t="shared" si="21"/>
        <v/>
      </c>
      <c r="W85" s="25" t="str">
        <f t="shared" si="21"/>
        <v/>
      </c>
      <c r="X85" s="25" t="str">
        <f t="shared" si="21"/>
        <v/>
      </c>
      <c r="Y85" s="25" t="str">
        <f t="shared" si="21"/>
        <v/>
      </c>
      <c r="Z85" s="25" t="str">
        <f t="shared" si="21"/>
        <v/>
      </c>
      <c r="AA85" s="25" t="str">
        <f t="shared" si="21"/>
        <v/>
      </c>
      <c r="AB85" s="25">
        <f t="shared" si="21"/>
        <v>0</v>
      </c>
      <c r="AC85" s="25">
        <f t="shared" si="21"/>
        <v>0</v>
      </c>
      <c r="AD85" s="25">
        <f t="shared" si="21"/>
        <v>0</v>
      </c>
      <c r="AE85" s="25">
        <f t="shared" si="21"/>
        <v>0</v>
      </c>
      <c r="AF85" s="25">
        <f t="shared" si="21"/>
        <v>0</v>
      </c>
      <c r="AG85" s="25">
        <f t="shared" si="21"/>
        <v>0</v>
      </c>
      <c r="AH85" s="25">
        <f t="shared" si="21"/>
        <v>0</v>
      </c>
      <c r="AI85" s="25">
        <f t="shared" si="21"/>
        <v>0</v>
      </c>
      <c r="AJ85" s="25">
        <f t="shared" si="21"/>
        <v>0</v>
      </c>
      <c r="AK85" s="25">
        <f t="shared" si="21"/>
        <v>0</v>
      </c>
      <c r="AL85" s="25">
        <f t="shared" si="21"/>
        <v>0</v>
      </c>
      <c r="AM85" s="25">
        <f t="shared" si="21"/>
        <v>0</v>
      </c>
    </row>
    <row r="86" ht="15.75" hidden="1" customHeight="1" outlineLevel="1">
      <c r="B86" s="68" t="str">
        <f t="shared" si="3"/>
        <v>(inactif)</v>
      </c>
      <c r="D86" s="83">
        <f>IF(D$66="",0,IF(D$63="","",D$63/12*$E$10))</f>
        <v>0</v>
      </c>
      <c r="E86" s="83">
        <f t="shared" ref="E86:AM86" si="22">IF(E$66="",0,IF(E$63="","",E$63/12))</f>
        <v>0</v>
      </c>
      <c r="F86" s="83" t="str">
        <f t="shared" si="22"/>
        <v/>
      </c>
      <c r="G86" s="83" t="str">
        <f t="shared" si="22"/>
        <v/>
      </c>
      <c r="H86" s="83" t="str">
        <f t="shared" si="22"/>
        <v/>
      </c>
      <c r="I86" s="83" t="str">
        <f t="shared" si="22"/>
        <v/>
      </c>
      <c r="J86" s="83" t="str">
        <f t="shared" si="22"/>
        <v/>
      </c>
      <c r="K86" s="83" t="str">
        <f t="shared" si="22"/>
        <v/>
      </c>
      <c r="L86" s="83" t="str">
        <f t="shared" si="22"/>
        <v/>
      </c>
      <c r="M86" s="83" t="str">
        <f t="shared" si="22"/>
        <v/>
      </c>
      <c r="N86" s="83" t="str">
        <f t="shared" si="22"/>
        <v/>
      </c>
      <c r="O86" s="83" t="str">
        <f t="shared" si="22"/>
        <v/>
      </c>
      <c r="P86" s="83" t="str">
        <f t="shared" si="22"/>
        <v/>
      </c>
      <c r="Q86" s="83" t="str">
        <f t="shared" si="22"/>
        <v/>
      </c>
      <c r="R86" s="83" t="str">
        <f t="shared" si="22"/>
        <v/>
      </c>
      <c r="S86" s="83" t="str">
        <f t="shared" si="22"/>
        <v/>
      </c>
      <c r="T86" s="83" t="str">
        <f t="shared" si="22"/>
        <v/>
      </c>
      <c r="U86" s="83" t="str">
        <f t="shared" si="22"/>
        <v/>
      </c>
      <c r="V86" s="83" t="str">
        <f t="shared" si="22"/>
        <v/>
      </c>
      <c r="W86" s="83" t="str">
        <f t="shared" si="22"/>
        <v/>
      </c>
      <c r="X86" s="83" t="str">
        <f t="shared" si="22"/>
        <v/>
      </c>
      <c r="Y86" s="83" t="str">
        <f t="shared" si="22"/>
        <v/>
      </c>
      <c r="Z86" s="83" t="str">
        <f t="shared" si="22"/>
        <v/>
      </c>
      <c r="AA86" s="83" t="str">
        <f t="shared" si="22"/>
        <v/>
      </c>
      <c r="AB86" s="83">
        <f t="shared" si="22"/>
        <v>0</v>
      </c>
      <c r="AC86" s="83">
        <f t="shared" si="22"/>
        <v>0</v>
      </c>
      <c r="AD86" s="83">
        <f t="shared" si="22"/>
        <v>0</v>
      </c>
      <c r="AE86" s="83">
        <f t="shared" si="22"/>
        <v>0</v>
      </c>
      <c r="AF86" s="83">
        <f t="shared" si="22"/>
        <v>0</v>
      </c>
      <c r="AG86" s="83">
        <f t="shared" si="22"/>
        <v>0</v>
      </c>
      <c r="AH86" s="83">
        <f t="shared" si="22"/>
        <v>0</v>
      </c>
      <c r="AI86" s="83">
        <f t="shared" si="22"/>
        <v>0</v>
      </c>
      <c r="AJ86" s="83">
        <f t="shared" si="22"/>
        <v>0</v>
      </c>
      <c r="AK86" s="83">
        <f t="shared" si="22"/>
        <v>0</v>
      </c>
      <c r="AL86" s="83">
        <f t="shared" si="22"/>
        <v>0</v>
      </c>
      <c r="AM86" s="83">
        <f t="shared" si="22"/>
        <v>0</v>
      </c>
    </row>
    <row r="87" ht="15.75" customHeight="1">
      <c r="B87" s="87" t="s">
        <v>239</v>
      </c>
      <c r="D87" s="88">
        <f t="shared" ref="D87:AM87" si="23">D182</f>
        <v>10000</v>
      </c>
      <c r="E87" s="88">
        <f t="shared" si="23"/>
        <v>12500</v>
      </c>
      <c r="F87" s="88">
        <f t="shared" si="23"/>
        <v>2500</v>
      </c>
      <c r="G87" s="88">
        <f t="shared" si="23"/>
        <v>2500</v>
      </c>
      <c r="H87" s="88">
        <f t="shared" si="23"/>
        <v>2500</v>
      </c>
      <c r="I87" s="88">
        <f t="shared" si="23"/>
        <v>2500</v>
      </c>
      <c r="J87" s="88">
        <f t="shared" si="23"/>
        <v>2500</v>
      </c>
      <c r="K87" s="88">
        <f t="shared" si="23"/>
        <v>2500</v>
      </c>
      <c r="L87" s="88">
        <f t="shared" si="23"/>
        <v>2500</v>
      </c>
      <c r="M87" s="88">
        <f t="shared" si="23"/>
        <v>2500</v>
      </c>
      <c r="N87" s="88">
        <f t="shared" si="23"/>
        <v>2500</v>
      </c>
      <c r="O87" s="88">
        <f t="shared" si="23"/>
        <v>2500</v>
      </c>
      <c r="P87" s="88">
        <f t="shared" si="23"/>
        <v>2500</v>
      </c>
      <c r="Q87" s="88">
        <f t="shared" si="23"/>
        <v>2500</v>
      </c>
      <c r="R87" s="88">
        <f t="shared" si="23"/>
        <v>2500</v>
      </c>
      <c r="S87" s="88">
        <f t="shared" si="23"/>
        <v>2500</v>
      </c>
      <c r="T87" s="88">
        <f t="shared" si="23"/>
        <v>2500</v>
      </c>
      <c r="U87" s="88">
        <f t="shared" si="23"/>
        <v>0</v>
      </c>
      <c r="V87" s="88">
        <f t="shared" si="23"/>
        <v>0</v>
      </c>
      <c r="W87" s="88">
        <f t="shared" si="23"/>
        <v>0</v>
      </c>
      <c r="X87" s="88">
        <f t="shared" si="23"/>
        <v>0</v>
      </c>
      <c r="Y87" s="88">
        <f t="shared" si="23"/>
        <v>0</v>
      </c>
      <c r="Z87" s="88">
        <f t="shared" si="23"/>
        <v>0</v>
      </c>
      <c r="AA87" s="88">
        <f t="shared" si="23"/>
        <v>0</v>
      </c>
      <c r="AB87" s="88">
        <f t="shared" si="23"/>
        <v>0</v>
      </c>
      <c r="AC87" s="88">
        <f t="shared" si="23"/>
        <v>0</v>
      </c>
      <c r="AD87" s="88">
        <f t="shared" si="23"/>
        <v>0</v>
      </c>
      <c r="AE87" s="88">
        <f t="shared" si="23"/>
        <v>0</v>
      </c>
      <c r="AF87" s="88">
        <f t="shared" si="23"/>
        <v>0</v>
      </c>
      <c r="AG87" s="88">
        <f t="shared" si="23"/>
        <v>0</v>
      </c>
      <c r="AH87" s="88">
        <f t="shared" si="23"/>
        <v>0</v>
      </c>
      <c r="AI87" s="88">
        <f t="shared" si="23"/>
        <v>0</v>
      </c>
      <c r="AJ87" s="88">
        <f t="shared" si="23"/>
        <v>0</v>
      </c>
      <c r="AK87" s="88">
        <f t="shared" si="23"/>
        <v>0</v>
      </c>
      <c r="AL87" s="88">
        <f t="shared" si="23"/>
        <v>0</v>
      </c>
      <c r="AM87" s="88">
        <f t="shared" si="23"/>
        <v>0</v>
      </c>
    </row>
    <row r="88" ht="15.75" customHeight="1">
      <c r="B88" s="79" t="s">
        <v>240</v>
      </c>
      <c r="D88" s="89">
        <f t="shared" ref="D88:AM88" si="24">SUM(D67:D86)+D87</f>
        <v>19450.20635</v>
      </c>
      <c r="E88" s="89">
        <f t="shared" si="24"/>
        <v>32805.58333</v>
      </c>
      <c r="F88" s="89">
        <f t="shared" si="24"/>
        <v>2500</v>
      </c>
      <c r="G88" s="89">
        <f t="shared" si="24"/>
        <v>2500</v>
      </c>
      <c r="H88" s="89">
        <f t="shared" si="24"/>
        <v>2500</v>
      </c>
      <c r="I88" s="89">
        <f t="shared" si="24"/>
        <v>2500</v>
      </c>
      <c r="J88" s="89">
        <f t="shared" si="24"/>
        <v>2500</v>
      </c>
      <c r="K88" s="89">
        <f t="shared" si="24"/>
        <v>2500</v>
      </c>
      <c r="L88" s="89">
        <f t="shared" si="24"/>
        <v>2500</v>
      </c>
      <c r="M88" s="89">
        <f t="shared" si="24"/>
        <v>2500</v>
      </c>
      <c r="N88" s="89">
        <f t="shared" si="24"/>
        <v>2500</v>
      </c>
      <c r="O88" s="89">
        <f t="shared" si="24"/>
        <v>2500</v>
      </c>
      <c r="P88" s="89">
        <f t="shared" si="24"/>
        <v>2500</v>
      </c>
      <c r="Q88" s="89">
        <f t="shared" si="24"/>
        <v>2500</v>
      </c>
      <c r="R88" s="89">
        <f t="shared" si="24"/>
        <v>2500</v>
      </c>
      <c r="S88" s="89">
        <f t="shared" si="24"/>
        <v>2500</v>
      </c>
      <c r="T88" s="89">
        <f t="shared" si="24"/>
        <v>2500</v>
      </c>
      <c r="U88" s="89">
        <f t="shared" si="24"/>
        <v>0</v>
      </c>
      <c r="V88" s="89">
        <f t="shared" si="24"/>
        <v>0</v>
      </c>
      <c r="W88" s="89">
        <f t="shared" si="24"/>
        <v>0</v>
      </c>
      <c r="X88" s="89">
        <f t="shared" si="24"/>
        <v>0</v>
      </c>
      <c r="Y88" s="89">
        <f t="shared" si="24"/>
        <v>0</v>
      </c>
      <c r="Z88" s="89">
        <f t="shared" si="24"/>
        <v>0</v>
      </c>
      <c r="AA88" s="89">
        <f t="shared" si="24"/>
        <v>0</v>
      </c>
      <c r="AB88" s="89">
        <f t="shared" si="24"/>
        <v>0</v>
      </c>
      <c r="AC88" s="89">
        <f t="shared" si="24"/>
        <v>0</v>
      </c>
      <c r="AD88" s="89">
        <f t="shared" si="24"/>
        <v>0</v>
      </c>
      <c r="AE88" s="89">
        <f t="shared" si="24"/>
        <v>0</v>
      </c>
      <c r="AF88" s="89">
        <f t="shared" si="24"/>
        <v>0</v>
      </c>
      <c r="AG88" s="89">
        <f t="shared" si="24"/>
        <v>0</v>
      </c>
      <c r="AH88" s="89">
        <f t="shared" si="24"/>
        <v>0</v>
      </c>
      <c r="AI88" s="89">
        <f t="shared" si="24"/>
        <v>0</v>
      </c>
      <c r="AJ88" s="89">
        <f t="shared" si="24"/>
        <v>0</v>
      </c>
      <c r="AK88" s="89">
        <f t="shared" si="24"/>
        <v>0</v>
      </c>
      <c r="AL88" s="89">
        <f t="shared" si="24"/>
        <v>0</v>
      </c>
      <c r="AM88" s="89">
        <f t="shared" si="24"/>
        <v>0</v>
      </c>
    </row>
    <row r="89" ht="15.75" customHeight="1"/>
    <row r="90" ht="18.0" customHeight="1">
      <c r="B90" s="12" t="s">
        <v>241</v>
      </c>
      <c r="C90" s="12"/>
      <c r="D90" s="12"/>
      <c r="E90" s="12"/>
      <c r="F90" s="12"/>
    </row>
    <row r="91" ht="66.0" customHeight="1">
      <c r="B91" s="52" t="s">
        <v>242</v>
      </c>
    </row>
    <row r="92" ht="18.0" customHeight="1">
      <c r="B92" s="65" t="s">
        <v>243</v>
      </c>
      <c r="D92" s="66">
        <f>IF(0&lt;$E$7,EDATE($E$5,0),"")</f>
        <v>46247</v>
      </c>
      <c r="E92" s="66">
        <f>IF(1&lt;$E$7,EDATE($E$5,1),"")</f>
        <v>46278</v>
      </c>
      <c r="F92" s="66">
        <f>IF(2&lt;$E$7,EDATE($E$5,2),"")</f>
        <v>46308</v>
      </c>
      <c r="G92" s="66">
        <f>IF(3&lt;$E$7,EDATE($E$5,3),"")</f>
        <v>46339</v>
      </c>
      <c r="H92" s="66">
        <f>IF(4&lt;$E$7,EDATE($E$5,4),"")</f>
        <v>46369</v>
      </c>
      <c r="I92" s="66">
        <f>IF(5&lt;$E$7,EDATE($E$5,5),"")</f>
        <v>46400</v>
      </c>
      <c r="J92" s="66">
        <f>IF(6&lt;$E$7,EDATE($E$5,6),"")</f>
        <v>46431</v>
      </c>
      <c r="K92" s="66">
        <f>IF(7&lt;$E$7,EDATE($E$5,7),"")</f>
        <v>46459</v>
      </c>
      <c r="L92" s="66">
        <f>IF(8&lt;$E$7,EDATE($E$5,8),"")</f>
        <v>46490</v>
      </c>
      <c r="M92" s="66">
        <f>IF(9&lt;$E$7,EDATE($E$5,9),"")</f>
        <v>46520</v>
      </c>
      <c r="N92" s="66">
        <f>IF(10&lt;$E$7,EDATE($E$5,10),"")</f>
        <v>46551</v>
      </c>
      <c r="O92" s="66">
        <f>IF(11&lt;$E$7,EDATE($E$5,11),"")</f>
        <v>46581</v>
      </c>
      <c r="P92" s="66">
        <f>IF(12&lt;$E$7,EDATE($E$5,12),"")</f>
        <v>46612</v>
      </c>
      <c r="Q92" s="66">
        <f>IF(13&lt;$E$7,EDATE($E$5,13),"")</f>
        <v>46643</v>
      </c>
      <c r="R92" s="66">
        <f>IF(14&lt;$E$7,EDATE($E$5,14),"")</f>
        <v>46673</v>
      </c>
      <c r="S92" s="66">
        <f>IF(15&lt;$E$7,EDATE($E$5,15),"")</f>
        <v>46704</v>
      </c>
      <c r="T92" s="66">
        <f>IF(16&lt;$E$7,EDATE($E$5,16),"")</f>
        <v>46734</v>
      </c>
      <c r="U92" s="66">
        <f>IF(17&lt;$E$7,EDATE($E$5,17),"")</f>
        <v>46765</v>
      </c>
      <c r="V92" s="66">
        <f>IF(18&lt;$E$7,EDATE($E$5,18),"")</f>
        <v>46796</v>
      </c>
      <c r="W92" s="66">
        <f>IF(19&lt;$E$7,EDATE($E$5,19),"")</f>
        <v>46825</v>
      </c>
      <c r="X92" s="66">
        <f>IF(20&lt;$E$7,EDATE($E$5,20),"")</f>
        <v>46856</v>
      </c>
      <c r="Y92" s="66">
        <f>IF(21&lt;$E$7,EDATE($E$5,21),"")</f>
        <v>46886</v>
      </c>
      <c r="Z92" s="66">
        <f>IF(22&lt;$E$7,EDATE($E$5,22),"")</f>
        <v>46917</v>
      </c>
      <c r="AA92" s="66">
        <f>IF(23&lt;$E$7,EDATE($E$5,23),"")</f>
        <v>46947</v>
      </c>
      <c r="AB92" s="66" t="str">
        <f>IF(24&lt;$E$7,EDATE($E$5,24),"")</f>
        <v/>
      </c>
      <c r="AC92" s="66" t="str">
        <f>IF(25&lt;$E$7,EDATE($E$5,25),"")</f>
        <v/>
      </c>
      <c r="AD92" s="66" t="str">
        <f>IF(26&lt;$E$7,EDATE($E$5,26),"")</f>
        <v/>
      </c>
      <c r="AE92" s="66" t="str">
        <f>IF(27&lt;$E$7,EDATE($E$5,27),"")</f>
        <v/>
      </c>
      <c r="AF92" s="66" t="str">
        <f>IF(28&lt;$E$7,EDATE($E$5,28),"")</f>
        <v/>
      </c>
      <c r="AG92" s="66" t="str">
        <f>IF(29&lt;$E$7,EDATE($E$5,29),"")</f>
        <v/>
      </c>
      <c r="AH92" s="66" t="str">
        <f>IF(30&lt;$E$7,EDATE($E$5,30),"")</f>
        <v/>
      </c>
      <c r="AI92" s="66" t="str">
        <f>IF(31&lt;$E$7,EDATE($E$5,31),"")</f>
        <v/>
      </c>
      <c r="AJ92" s="66" t="str">
        <f>IF(32&lt;$E$7,EDATE($E$5,32),"")</f>
        <v/>
      </c>
      <c r="AK92" s="66" t="str">
        <f>IF(33&lt;$E$7,EDATE($E$5,33),"")</f>
        <v/>
      </c>
      <c r="AL92" s="66" t="str">
        <f>IF(34&lt;$E$7,EDATE($E$5,34),"")</f>
        <v/>
      </c>
      <c r="AM92" s="66" t="str">
        <f>IF(35&lt;$E$7,EDATE($E$5,35),"")</f>
        <v/>
      </c>
    </row>
    <row r="93" ht="15.75" customHeight="1" outlineLevel="1">
      <c r="B93" s="40" t="str">
        <f t="shared" ref="B93:B112" si="25">B20</f>
        <v>Commission de Gestion</v>
      </c>
      <c r="D93" s="25">
        <f>IF(D$92="",0,IF(MOD(MONTH(D$92),IF($D$20="Mensuel",1,IF($D$20="Trimestriel",3,IF($D$20="Semestriel",6,12))))=0,SUMPRODUCT((D$92:AM$92&gt;=MAX($E$5,EDATE(D$92,-(IF($D$20="Mensuel",1,IF($D$20="Trimestriel",3,IF($D$20="Semestriel",6,12)))-1))))*(D$92:AM$92&lt;=D$92)*N(D$67:AM$67)),0))</f>
        <v>3095.238095</v>
      </c>
      <c r="E93" s="25">
        <f>IF(E$92="",0,IF(MOD(MONTH(E$92),IF($D$20="Mensuel",1,IF($D$20="Trimestriel",3,IF($D$20="Semestriel",6,12))))=0,SUMPRODUCT((D$92:AM$92&gt;=MAX($E$5,EDATE(E$92,-(IF($D$20="Mensuel",1,IF($D$20="Trimestriel",3,IF($D$20="Semestriel",6,12)))-1))))*(D$92:AM$92&lt;=E$92)*N(D$67:AM$67)),0))</f>
        <v>5000</v>
      </c>
      <c r="F93" s="25">
        <f>IF(F$92="",0,IF(MOD(MONTH(F$92),IF($D$20="Mensuel",1,IF($D$20="Trimestriel",3,IF($D$20="Semestriel",6,12))))=0,SUMPRODUCT((D$92:AM$92&gt;=MAX($E$5,EDATE(F$92,-(IF($D$20="Mensuel",1,IF($D$20="Trimestriel",3,IF($D$20="Semestriel",6,12)))-1))))*(D$92:AM$92&lt;=F$92)*N(D$67:AM$67)),0))</f>
        <v>0</v>
      </c>
      <c r="G93" s="25">
        <f>IF(G$92="",0,IF(MOD(MONTH(G$92),IF($D$20="Mensuel",1,IF($D$20="Trimestriel",3,IF($D$20="Semestriel",6,12))))=0,SUMPRODUCT((D$92:AM$92&gt;=MAX($E$5,EDATE(G$92,-(IF($D$20="Mensuel",1,IF($D$20="Trimestriel",3,IF($D$20="Semestriel",6,12)))-1))))*(D$92:AM$92&lt;=G$92)*N(D$67:AM$67)),0))</f>
        <v>0</v>
      </c>
      <c r="H93" s="25">
        <f>IF(H$92="",0,IF(MOD(MONTH(H$92),IF($D$20="Mensuel",1,IF($D$20="Trimestriel",3,IF($D$20="Semestriel",6,12))))=0,SUMPRODUCT((D$92:AM$92&gt;=MAX($E$5,EDATE(H$92,-(IF($D$20="Mensuel",1,IF($D$20="Trimestriel",3,IF($D$20="Semestriel",6,12)))-1))))*(D$92:AM$92&lt;=H$92)*N(D$67:AM$67)),0))</f>
        <v>0</v>
      </c>
      <c r="I93" s="25">
        <f>IF(I$92="",0,IF(MOD(MONTH(I$92),IF($D$20="Mensuel",1,IF($D$20="Trimestriel",3,IF($D$20="Semestriel",6,12))))=0,SUMPRODUCT((D$92:AM$92&gt;=MAX($E$5,EDATE(I$92,-(IF($D$20="Mensuel",1,IF($D$20="Trimestriel",3,IF($D$20="Semestriel",6,12)))-1))))*(D$92:AM$92&lt;=I$92)*N(D$67:AM$67)),0))</f>
        <v>0</v>
      </c>
      <c r="J93" s="25">
        <f>IF(J$92="",0,IF(MOD(MONTH(J$92),IF($D$20="Mensuel",1,IF($D$20="Trimestriel",3,IF($D$20="Semestriel",6,12))))=0,SUMPRODUCT((D$92:AM$92&gt;=MAX($E$5,EDATE(J$92,-(IF($D$20="Mensuel",1,IF($D$20="Trimestriel",3,IF($D$20="Semestriel",6,12)))-1))))*(D$92:AM$92&lt;=J$92)*N(D$67:AM$67)),0))</f>
        <v>0</v>
      </c>
      <c r="K93" s="25">
        <f>IF(K$92="",0,IF(MOD(MONTH(K$92),IF($D$20="Mensuel",1,IF($D$20="Trimestriel",3,IF($D$20="Semestriel",6,12))))=0,SUMPRODUCT((D$92:AM$92&gt;=MAX($E$5,EDATE(K$92,-(IF($D$20="Mensuel",1,IF($D$20="Trimestriel",3,IF($D$20="Semestriel",6,12)))-1))))*(D$92:AM$92&lt;=K$92)*N(D$67:AM$67)),0))</f>
        <v>0</v>
      </c>
      <c r="L93" s="25">
        <f>IF(L$92="",0,IF(MOD(MONTH(L$92),IF($D$20="Mensuel",1,IF($D$20="Trimestriel",3,IF($D$20="Semestriel",6,12))))=0,SUMPRODUCT((D$92:AM$92&gt;=MAX($E$5,EDATE(L$92,-(IF($D$20="Mensuel",1,IF($D$20="Trimestriel",3,IF($D$20="Semestriel",6,12)))-1))))*(D$92:AM$92&lt;=L$92)*N(D$67:AM$67)),0))</f>
        <v>0</v>
      </c>
      <c r="M93" s="25">
        <f>IF(M$92="",0,IF(MOD(MONTH(M$92),IF($D$20="Mensuel",1,IF($D$20="Trimestriel",3,IF($D$20="Semestriel",6,12))))=0,SUMPRODUCT((D$92:AM$92&gt;=MAX($E$5,EDATE(M$92,-(IF($D$20="Mensuel",1,IF($D$20="Trimestriel",3,IF($D$20="Semestriel",6,12)))-1))))*(D$92:AM$92&lt;=M$92)*N(D$67:AM$67)),0))</f>
        <v>0</v>
      </c>
      <c r="N93" s="25">
        <f>IF(N$92="",0,IF(MOD(MONTH(N$92),IF($D$20="Mensuel",1,IF($D$20="Trimestriel",3,IF($D$20="Semestriel",6,12))))=0,SUMPRODUCT((D$92:AM$92&gt;=MAX($E$5,EDATE(N$92,-(IF($D$20="Mensuel",1,IF($D$20="Trimestriel",3,IF($D$20="Semestriel",6,12)))-1))))*(D$92:AM$92&lt;=N$92)*N(D$67:AM$67)),0))</f>
        <v>0</v>
      </c>
      <c r="O93" s="25">
        <f>IF(O$92="",0,IF(MOD(MONTH(O$92),IF($D$20="Mensuel",1,IF($D$20="Trimestriel",3,IF($D$20="Semestriel",6,12))))=0,SUMPRODUCT((D$92:AM$92&gt;=MAX($E$5,EDATE(O$92,-(IF($D$20="Mensuel",1,IF($D$20="Trimestriel",3,IF($D$20="Semestriel",6,12)))-1))))*(D$92:AM$92&lt;=O$92)*N(D$67:AM$67)),0))</f>
        <v>0</v>
      </c>
      <c r="P93" s="25">
        <f>IF(P$92="",0,IF(MOD(MONTH(P$92),IF($D$20="Mensuel",1,IF($D$20="Trimestriel",3,IF($D$20="Semestriel",6,12))))=0,SUMPRODUCT((D$92:AM$92&gt;=MAX($E$5,EDATE(P$92,-(IF($D$20="Mensuel",1,IF($D$20="Trimestriel",3,IF($D$20="Semestriel",6,12)))-1))))*(D$92:AM$92&lt;=P$92)*N(D$67:AM$67)),0))</f>
        <v>0</v>
      </c>
      <c r="Q93" s="25">
        <f>IF(Q$92="",0,IF(MOD(MONTH(Q$92),IF($D$20="Mensuel",1,IF($D$20="Trimestriel",3,IF($D$20="Semestriel",6,12))))=0,SUMPRODUCT((D$92:AM$92&gt;=MAX($E$5,EDATE(Q$92,-(IF($D$20="Mensuel",1,IF($D$20="Trimestriel",3,IF($D$20="Semestriel",6,12)))-1))))*(D$92:AM$92&lt;=Q$92)*N(D$67:AM$67)),0))</f>
        <v>0</v>
      </c>
      <c r="R93" s="25">
        <f>IF(R$92="",0,IF(MOD(MONTH(R$92),IF($D$20="Mensuel",1,IF($D$20="Trimestriel",3,IF($D$20="Semestriel",6,12))))=0,SUMPRODUCT((D$92:AM$92&gt;=MAX($E$5,EDATE(R$92,-(IF($D$20="Mensuel",1,IF($D$20="Trimestriel",3,IF($D$20="Semestriel",6,12)))-1))))*(D$92:AM$92&lt;=R$92)*N(D$67:AM$67)),0))</f>
        <v>0</v>
      </c>
      <c r="S93" s="25">
        <f>IF(S$92="",0,IF(MOD(MONTH(S$92),IF($D$20="Mensuel",1,IF($D$20="Trimestriel",3,IF($D$20="Semestriel",6,12))))=0,SUMPRODUCT((D$92:AM$92&gt;=MAX($E$5,EDATE(S$92,-(IF($D$20="Mensuel",1,IF($D$20="Trimestriel",3,IF($D$20="Semestriel",6,12)))-1))))*(D$92:AM$92&lt;=S$92)*N(D$67:AM$67)),0))</f>
        <v>0</v>
      </c>
      <c r="T93" s="25">
        <f>IF(T$92="",0,IF(MOD(MONTH(T$92),IF($D$20="Mensuel",1,IF($D$20="Trimestriel",3,IF($D$20="Semestriel",6,12))))=0,SUMPRODUCT((D$92:AM$92&gt;=MAX($E$5,EDATE(T$92,-(IF($D$20="Mensuel",1,IF($D$20="Trimestriel",3,IF($D$20="Semestriel",6,12)))-1))))*(D$92:AM$92&lt;=T$92)*N(D$67:AM$67)),0))</f>
        <v>0</v>
      </c>
      <c r="U93" s="25">
        <f>IF(U$92="",0,IF(MOD(MONTH(U$92),IF($D$20="Mensuel",1,IF($D$20="Trimestriel",3,IF($D$20="Semestriel",6,12))))=0,SUMPRODUCT((D$92:AM$92&gt;=MAX($E$5,EDATE(U$92,-(IF($D$20="Mensuel",1,IF($D$20="Trimestriel",3,IF($D$20="Semestriel",6,12)))-1))))*(D$92:AM$92&lt;=U$92)*N(D$67:AM$67)),0))</f>
        <v>0</v>
      </c>
      <c r="V93" s="25">
        <f>IF(V$92="",0,IF(MOD(MONTH(V$92),IF($D$20="Mensuel",1,IF($D$20="Trimestriel",3,IF($D$20="Semestriel",6,12))))=0,SUMPRODUCT((D$92:AM$92&gt;=MAX($E$5,EDATE(V$92,-(IF($D$20="Mensuel",1,IF($D$20="Trimestriel",3,IF($D$20="Semestriel",6,12)))-1))))*(D$92:AM$92&lt;=V$92)*N(D$67:AM$67)),0))</f>
        <v>0</v>
      </c>
      <c r="W93" s="25">
        <f>IF(W$92="",0,IF(MOD(MONTH(W$92),IF($D$20="Mensuel",1,IF($D$20="Trimestriel",3,IF($D$20="Semestriel",6,12))))=0,SUMPRODUCT((D$92:AM$92&gt;=MAX($E$5,EDATE(W$92,-(IF($D$20="Mensuel",1,IF($D$20="Trimestriel",3,IF($D$20="Semestriel",6,12)))-1))))*(D$92:AM$92&lt;=W$92)*N(D$67:AM$67)),0))</f>
        <v>0</v>
      </c>
      <c r="X93" s="25">
        <f>IF(X$92="",0,IF(MOD(MONTH(X$92),IF($D$20="Mensuel",1,IF($D$20="Trimestriel",3,IF($D$20="Semestriel",6,12))))=0,SUMPRODUCT((D$92:AM$92&gt;=MAX($E$5,EDATE(X$92,-(IF($D$20="Mensuel",1,IF($D$20="Trimestriel",3,IF($D$20="Semestriel",6,12)))-1))))*(D$92:AM$92&lt;=X$92)*N(D$67:AM$67)),0))</f>
        <v>0</v>
      </c>
      <c r="Y93" s="25">
        <f>IF(Y$92="",0,IF(MOD(MONTH(Y$92),IF($D$20="Mensuel",1,IF($D$20="Trimestriel",3,IF($D$20="Semestriel",6,12))))=0,SUMPRODUCT((D$92:AM$92&gt;=MAX($E$5,EDATE(Y$92,-(IF($D$20="Mensuel",1,IF($D$20="Trimestriel",3,IF($D$20="Semestriel",6,12)))-1))))*(D$92:AM$92&lt;=Y$92)*N(D$67:AM$67)),0))</f>
        <v>0</v>
      </c>
      <c r="Z93" s="25">
        <f>IF(Z$92="",0,IF(MOD(MONTH(Z$92),IF($D$20="Mensuel",1,IF($D$20="Trimestriel",3,IF($D$20="Semestriel",6,12))))=0,SUMPRODUCT((D$92:AM$92&gt;=MAX($E$5,EDATE(Z$92,-(IF($D$20="Mensuel",1,IF($D$20="Trimestriel",3,IF($D$20="Semestriel",6,12)))-1))))*(D$92:AM$92&lt;=Z$92)*N(D$67:AM$67)),0))</f>
        <v>0</v>
      </c>
      <c r="AA93" s="25">
        <f>IF(AA$92="",0,IF(MOD(MONTH(AA$92),IF($D$20="Mensuel",1,IF($D$20="Trimestriel",3,IF($D$20="Semestriel",6,12))))=0,SUMPRODUCT((D$92:AM$92&gt;=MAX($E$5,EDATE(AA$92,-(IF($D$20="Mensuel",1,IF($D$20="Trimestriel",3,IF($D$20="Semestriel",6,12)))-1))))*(D$92:AM$92&lt;=AA$92)*N(D$67:AM$67)),0))</f>
        <v>0</v>
      </c>
      <c r="AB93" s="25">
        <f>IF(AB$92="",0,IF(MOD(MONTH(AB$92),IF($D$20="Mensuel",1,IF($D$20="Trimestriel",3,IF($D$20="Semestriel",6,12))))=0,SUMPRODUCT((D$92:AM$92&gt;=MAX($E$5,EDATE(AB$92,-(IF($D$20="Mensuel",1,IF($D$20="Trimestriel",3,IF($D$20="Semestriel",6,12)))-1))))*(D$92:AM$92&lt;=AB$92)*N(D$67:AM$67)),0))</f>
        <v>0</v>
      </c>
      <c r="AC93" s="25">
        <f>IF(AC$92="",0,IF(MOD(MONTH(AC$92),IF($D$20="Mensuel",1,IF($D$20="Trimestriel",3,IF($D$20="Semestriel",6,12))))=0,SUMPRODUCT((D$92:AM$92&gt;=MAX($E$5,EDATE(AC$92,-(IF($D$20="Mensuel",1,IF($D$20="Trimestriel",3,IF($D$20="Semestriel",6,12)))-1))))*(D$92:AM$92&lt;=AC$92)*N(D$67:AM$67)),0))</f>
        <v>0</v>
      </c>
      <c r="AD93" s="25">
        <f>IF(AD$92="",0,IF(MOD(MONTH(AD$92),IF($D$20="Mensuel",1,IF($D$20="Trimestriel",3,IF($D$20="Semestriel",6,12))))=0,SUMPRODUCT((D$92:AM$92&gt;=MAX($E$5,EDATE(AD$92,-(IF($D$20="Mensuel",1,IF($D$20="Trimestriel",3,IF($D$20="Semestriel",6,12)))-1))))*(D$92:AM$92&lt;=AD$92)*N(D$67:AM$67)),0))</f>
        <v>0</v>
      </c>
      <c r="AE93" s="25">
        <f>IF(AE$92="",0,IF(MOD(MONTH(AE$92),IF($D$20="Mensuel",1,IF($D$20="Trimestriel",3,IF($D$20="Semestriel",6,12))))=0,SUMPRODUCT((D$92:AM$92&gt;=MAX($E$5,EDATE(AE$92,-(IF($D$20="Mensuel",1,IF($D$20="Trimestriel",3,IF($D$20="Semestriel",6,12)))-1))))*(D$92:AM$92&lt;=AE$92)*N(D$67:AM$67)),0))</f>
        <v>0</v>
      </c>
      <c r="AF93" s="25">
        <f>IF(AF$92="",0,IF(MOD(MONTH(AF$92),IF($D$20="Mensuel",1,IF($D$20="Trimestriel",3,IF($D$20="Semestriel",6,12))))=0,SUMPRODUCT((D$92:AM$92&gt;=MAX($E$5,EDATE(AF$92,-(IF($D$20="Mensuel",1,IF($D$20="Trimestriel",3,IF($D$20="Semestriel",6,12)))-1))))*(D$92:AM$92&lt;=AF$92)*N(D$67:AM$67)),0))</f>
        <v>0</v>
      </c>
      <c r="AG93" s="25">
        <f>IF(AG$92="",0,IF(MOD(MONTH(AG$92),IF($D$20="Mensuel",1,IF($D$20="Trimestriel",3,IF($D$20="Semestriel",6,12))))=0,SUMPRODUCT((D$92:AM$92&gt;=MAX($E$5,EDATE(AG$92,-(IF($D$20="Mensuel",1,IF($D$20="Trimestriel",3,IF($D$20="Semestriel",6,12)))-1))))*(D$92:AM$92&lt;=AG$92)*N(D$67:AM$67)),0))</f>
        <v>0</v>
      </c>
      <c r="AH93" s="25">
        <f>IF(AH$92="",0,IF(MOD(MONTH(AH$92),IF($D$20="Mensuel",1,IF($D$20="Trimestriel",3,IF($D$20="Semestriel",6,12))))=0,SUMPRODUCT((D$92:AM$92&gt;=MAX($E$5,EDATE(AH$92,-(IF($D$20="Mensuel",1,IF($D$20="Trimestriel",3,IF($D$20="Semestriel",6,12)))-1))))*(D$92:AM$92&lt;=AH$92)*N(D$67:AM$67)),0))</f>
        <v>0</v>
      </c>
      <c r="AI93" s="25">
        <f>IF(AI$92="",0,IF(MOD(MONTH(AI$92),IF($D$20="Mensuel",1,IF($D$20="Trimestriel",3,IF($D$20="Semestriel",6,12))))=0,SUMPRODUCT((D$92:AM$92&gt;=MAX($E$5,EDATE(AI$92,-(IF($D$20="Mensuel",1,IF($D$20="Trimestriel",3,IF($D$20="Semestriel",6,12)))-1))))*(D$92:AM$92&lt;=AI$92)*N(D$67:AM$67)),0))</f>
        <v>0</v>
      </c>
      <c r="AJ93" s="25">
        <f>IF(AJ$92="",0,IF(MOD(MONTH(AJ$92),IF($D$20="Mensuel",1,IF($D$20="Trimestriel",3,IF($D$20="Semestriel",6,12))))=0,SUMPRODUCT((D$92:AM$92&gt;=MAX($E$5,EDATE(AJ$92,-(IF($D$20="Mensuel",1,IF($D$20="Trimestriel",3,IF($D$20="Semestriel",6,12)))-1))))*(D$92:AM$92&lt;=AJ$92)*N(D$67:AM$67)),0))</f>
        <v>0</v>
      </c>
      <c r="AK93" s="25">
        <f>IF(AK$92="",0,IF(MOD(MONTH(AK$92),IF($D$20="Mensuel",1,IF($D$20="Trimestriel",3,IF($D$20="Semestriel",6,12))))=0,SUMPRODUCT((D$92:AM$92&gt;=MAX($E$5,EDATE(AK$92,-(IF($D$20="Mensuel",1,IF($D$20="Trimestriel",3,IF($D$20="Semestriel",6,12)))-1))))*(D$92:AM$92&lt;=AK$92)*N(D$67:AM$67)),0))</f>
        <v>0</v>
      </c>
      <c r="AL93" s="25">
        <f>IF(AL$92="",0,IF(MOD(MONTH(AL$92),IF($D$20="Mensuel",1,IF($D$20="Trimestriel",3,IF($D$20="Semestriel",6,12))))=0,SUMPRODUCT((D$92:AM$92&gt;=MAX($E$5,EDATE(AL$92,-(IF($D$20="Mensuel",1,IF($D$20="Trimestriel",3,IF($D$20="Semestriel",6,12)))-1))))*(D$92:AM$92&lt;=AL$92)*N(D$67:AM$67)),0))</f>
        <v>0</v>
      </c>
      <c r="AM93" s="25">
        <f>IF(AM$92="",0,IF(MOD(MONTH(AM$92),IF($D$20="Mensuel",1,IF($D$20="Trimestriel",3,IF($D$20="Semestriel",6,12))))=0,SUMPRODUCT((D$92:AM$92&gt;=MAX($E$5,EDATE(AM$92,-(IF($D$20="Mensuel",1,IF($D$20="Trimestriel",3,IF($D$20="Semestriel",6,12)))-1))))*(D$92:AM$92&lt;=AM$92)*N(D$67:AM$67)),0))</f>
        <v>0</v>
      </c>
    </row>
    <row r="94" ht="15.75" customHeight="1" outlineLevel="1">
      <c r="B94" s="40" t="str">
        <f t="shared" si="25"/>
        <v>Commission de Conseil</v>
      </c>
      <c r="D94" s="25">
        <f>IF(D$92="",0,IF(MOD(MONTH(D$92),IF($D$21="Mensuel",1,IF($D$21="Trimestriel",3,IF($D$21="Semestriel",6,12))))=0,SUMPRODUCT((D$92:AM$92&gt;=MAX($E$5,EDATE(D$92,-(IF($D$21="Mensuel",1,IF($D$21="Trimestriel",3,IF($D$21="Semestriel",6,12)))-1))))*(D$92:AM$92&lt;=D$92)*N(D$68:AM$68)),0))</f>
        <v>1420.714286</v>
      </c>
      <c r="E94" s="25">
        <f>IF(E$92="",0,IF(MOD(MONTH(E$92),IF($D$21="Mensuel",1,IF($D$21="Trimestriel",3,IF($D$21="Semestriel",6,12))))=0,SUMPRODUCT((D$92:AM$92&gt;=MAX($E$5,EDATE(E$92,-(IF($D$21="Mensuel",1,IF($D$21="Trimestriel",3,IF($D$21="Semestriel",6,12)))-1))))*(D$92:AM$92&lt;=E$92)*N(D$68:AM$68)),0))</f>
        <v>3881.25</v>
      </c>
      <c r="F94" s="25">
        <f>IF(F$92="",0,IF(MOD(MONTH(F$92),IF($D$21="Mensuel",1,IF($D$21="Trimestriel",3,IF($D$21="Semestriel",6,12))))=0,SUMPRODUCT((D$92:AM$92&gt;=MAX($E$5,EDATE(F$92,-(IF($D$21="Mensuel",1,IF($D$21="Trimestriel",3,IF($D$21="Semestriel",6,12)))-1))))*(D$92:AM$92&lt;=F$92)*N(D$68:AM$68)),0))</f>
        <v>0</v>
      </c>
      <c r="G94" s="25">
        <f>IF(G$92="",0,IF(MOD(MONTH(G$92),IF($D$21="Mensuel",1,IF($D$21="Trimestriel",3,IF($D$21="Semestriel",6,12))))=0,SUMPRODUCT((D$92:AM$92&gt;=MAX($E$5,EDATE(G$92,-(IF($D$21="Mensuel",1,IF($D$21="Trimestriel",3,IF($D$21="Semestriel",6,12)))-1))))*(D$92:AM$92&lt;=G$92)*N(D$68:AM$68)),0))</f>
        <v>0</v>
      </c>
      <c r="H94" s="25">
        <f>IF(H$92="",0,IF(MOD(MONTH(H$92),IF($D$21="Mensuel",1,IF($D$21="Trimestriel",3,IF($D$21="Semestriel",6,12))))=0,SUMPRODUCT((D$92:AM$92&gt;=MAX($E$5,EDATE(H$92,-(IF($D$21="Mensuel",1,IF($D$21="Trimestriel",3,IF($D$21="Semestriel",6,12)))-1))))*(D$92:AM$92&lt;=H$92)*N(D$68:AM$68)),0))</f>
        <v>0</v>
      </c>
      <c r="I94" s="25">
        <f>IF(I$92="",0,IF(MOD(MONTH(I$92),IF($D$21="Mensuel",1,IF($D$21="Trimestriel",3,IF($D$21="Semestriel",6,12))))=0,SUMPRODUCT((D$92:AM$92&gt;=MAX($E$5,EDATE(I$92,-(IF($D$21="Mensuel",1,IF($D$21="Trimestriel",3,IF($D$21="Semestriel",6,12)))-1))))*(D$92:AM$92&lt;=I$92)*N(D$68:AM$68)),0))</f>
        <v>0</v>
      </c>
      <c r="J94" s="25">
        <f>IF(J$92="",0,IF(MOD(MONTH(J$92),IF($D$21="Mensuel",1,IF($D$21="Trimestriel",3,IF($D$21="Semestriel",6,12))))=0,SUMPRODUCT((D$92:AM$92&gt;=MAX($E$5,EDATE(J$92,-(IF($D$21="Mensuel",1,IF($D$21="Trimestriel",3,IF($D$21="Semestriel",6,12)))-1))))*(D$92:AM$92&lt;=J$92)*N(D$68:AM$68)),0))</f>
        <v>0</v>
      </c>
      <c r="K94" s="25">
        <f>IF(K$92="",0,IF(MOD(MONTH(K$92),IF($D$21="Mensuel",1,IF($D$21="Trimestriel",3,IF($D$21="Semestriel",6,12))))=0,SUMPRODUCT((D$92:AM$92&gt;=MAX($E$5,EDATE(K$92,-(IF($D$21="Mensuel",1,IF($D$21="Trimestriel",3,IF($D$21="Semestriel",6,12)))-1))))*(D$92:AM$92&lt;=K$92)*N(D$68:AM$68)),0))</f>
        <v>0</v>
      </c>
      <c r="L94" s="25">
        <f>IF(L$92="",0,IF(MOD(MONTH(L$92),IF($D$21="Mensuel",1,IF($D$21="Trimestriel",3,IF($D$21="Semestriel",6,12))))=0,SUMPRODUCT((D$92:AM$92&gt;=MAX($E$5,EDATE(L$92,-(IF($D$21="Mensuel",1,IF($D$21="Trimestriel",3,IF($D$21="Semestriel",6,12)))-1))))*(D$92:AM$92&lt;=L$92)*N(D$68:AM$68)),0))</f>
        <v>0</v>
      </c>
      <c r="M94" s="25">
        <f>IF(M$92="",0,IF(MOD(MONTH(M$92),IF($D$21="Mensuel",1,IF($D$21="Trimestriel",3,IF($D$21="Semestriel",6,12))))=0,SUMPRODUCT((D$92:AM$92&gt;=MAX($E$5,EDATE(M$92,-(IF($D$21="Mensuel",1,IF($D$21="Trimestriel",3,IF($D$21="Semestriel",6,12)))-1))))*(D$92:AM$92&lt;=M$92)*N(D$68:AM$68)),0))</f>
        <v>0</v>
      </c>
      <c r="N94" s="25">
        <f>IF(N$92="",0,IF(MOD(MONTH(N$92),IF($D$21="Mensuel",1,IF($D$21="Trimestriel",3,IF($D$21="Semestriel",6,12))))=0,SUMPRODUCT((D$92:AM$92&gt;=MAX($E$5,EDATE(N$92,-(IF($D$21="Mensuel",1,IF($D$21="Trimestriel",3,IF($D$21="Semestriel",6,12)))-1))))*(D$92:AM$92&lt;=N$92)*N(D$68:AM$68)),0))</f>
        <v>0</v>
      </c>
      <c r="O94" s="25">
        <f>IF(O$92="",0,IF(MOD(MONTH(O$92),IF($D$21="Mensuel",1,IF($D$21="Trimestriel",3,IF($D$21="Semestriel",6,12))))=0,SUMPRODUCT((D$92:AM$92&gt;=MAX($E$5,EDATE(O$92,-(IF($D$21="Mensuel",1,IF($D$21="Trimestriel",3,IF($D$21="Semestriel",6,12)))-1))))*(D$92:AM$92&lt;=O$92)*N(D$68:AM$68)),0))</f>
        <v>0</v>
      </c>
      <c r="P94" s="25">
        <f>IF(P$92="",0,IF(MOD(MONTH(P$92),IF($D$21="Mensuel",1,IF($D$21="Trimestriel",3,IF($D$21="Semestriel",6,12))))=0,SUMPRODUCT((D$92:AM$92&gt;=MAX($E$5,EDATE(P$92,-(IF($D$21="Mensuel",1,IF($D$21="Trimestriel",3,IF($D$21="Semestriel",6,12)))-1))))*(D$92:AM$92&lt;=P$92)*N(D$68:AM$68)),0))</f>
        <v>0</v>
      </c>
      <c r="Q94" s="25">
        <f>IF(Q$92="",0,IF(MOD(MONTH(Q$92),IF($D$21="Mensuel",1,IF($D$21="Trimestriel",3,IF($D$21="Semestriel",6,12))))=0,SUMPRODUCT((D$92:AM$92&gt;=MAX($E$5,EDATE(Q$92,-(IF($D$21="Mensuel",1,IF($D$21="Trimestriel",3,IF($D$21="Semestriel",6,12)))-1))))*(D$92:AM$92&lt;=Q$92)*N(D$68:AM$68)),0))</f>
        <v>0</v>
      </c>
      <c r="R94" s="25">
        <f>IF(R$92="",0,IF(MOD(MONTH(R$92),IF($D$21="Mensuel",1,IF($D$21="Trimestriel",3,IF($D$21="Semestriel",6,12))))=0,SUMPRODUCT((D$92:AM$92&gt;=MAX($E$5,EDATE(R$92,-(IF($D$21="Mensuel",1,IF($D$21="Trimestriel",3,IF($D$21="Semestriel",6,12)))-1))))*(D$92:AM$92&lt;=R$92)*N(D$68:AM$68)),0))</f>
        <v>0</v>
      </c>
      <c r="S94" s="25">
        <f>IF(S$92="",0,IF(MOD(MONTH(S$92),IF($D$21="Mensuel",1,IF($D$21="Trimestriel",3,IF($D$21="Semestriel",6,12))))=0,SUMPRODUCT((D$92:AM$92&gt;=MAX($E$5,EDATE(S$92,-(IF($D$21="Mensuel",1,IF($D$21="Trimestriel",3,IF($D$21="Semestriel",6,12)))-1))))*(D$92:AM$92&lt;=S$92)*N(D$68:AM$68)),0))</f>
        <v>0</v>
      </c>
      <c r="T94" s="25">
        <f>IF(T$92="",0,IF(MOD(MONTH(T$92),IF($D$21="Mensuel",1,IF($D$21="Trimestriel",3,IF($D$21="Semestriel",6,12))))=0,SUMPRODUCT((D$92:AM$92&gt;=MAX($E$5,EDATE(T$92,-(IF($D$21="Mensuel",1,IF($D$21="Trimestriel",3,IF($D$21="Semestriel",6,12)))-1))))*(D$92:AM$92&lt;=T$92)*N(D$68:AM$68)),0))</f>
        <v>0</v>
      </c>
      <c r="U94" s="25">
        <f>IF(U$92="",0,IF(MOD(MONTH(U$92),IF($D$21="Mensuel",1,IF($D$21="Trimestriel",3,IF($D$21="Semestriel",6,12))))=0,SUMPRODUCT((D$92:AM$92&gt;=MAX($E$5,EDATE(U$92,-(IF($D$21="Mensuel",1,IF($D$21="Trimestriel",3,IF($D$21="Semestriel",6,12)))-1))))*(D$92:AM$92&lt;=U$92)*N(D$68:AM$68)),0))</f>
        <v>0</v>
      </c>
      <c r="V94" s="25">
        <f>IF(V$92="",0,IF(MOD(MONTH(V$92),IF($D$21="Mensuel",1,IF($D$21="Trimestriel",3,IF($D$21="Semestriel",6,12))))=0,SUMPRODUCT((D$92:AM$92&gt;=MAX($E$5,EDATE(V$92,-(IF($D$21="Mensuel",1,IF($D$21="Trimestriel",3,IF($D$21="Semestriel",6,12)))-1))))*(D$92:AM$92&lt;=V$92)*N(D$68:AM$68)),0))</f>
        <v>0</v>
      </c>
      <c r="W94" s="25">
        <f>IF(W$92="",0,IF(MOD(MONTH(W$92),IF($D$21="Mensuel",1,IF($D$21="Trimestriel",3,IF($D$21="Semestriel",6,12))))=0,SUMPRODUCT((D$92:AM$92&gt;=MAX($E$5,EDATE(W$92,-(IF($D$21="Mensuel",1,IF($D$21="Trimestriel",3,IF($D$21="Semestriel",6,12)))-1))))*(D$92:AM$92&lt;=W$92)*N(D$68:AM$68)),0))</f>
        <v>0</v>
      </c>
      <c r="X94" s="25">
        <f>IF(X$92="",0,IF(MOD(MONTH(X$92),IF($D$21="Mensuel",1,IF($D$21="Trimestriel",3,IF($D$21="Semestriel",6,12))))=0,SUMPRODUCT((D$92:AM$92&gt;=MAX($E$5,EDATE(X$92,-(IF($D$21="Mensuel",1,IF($D$21="Trimestriel",3,IF($D$21="Semestriel",6,12)))-1))))*(D$92:AM$92&lt;=X$92)*N(D$68:AM$68)),0))</f>
        <v>0</v>
      </c>
      <c r="Y94" s="25">
        <f>IF(Y$92="",0,IF(MOD(MONTH(Y$92),IF($D$21="Mensuel",1,IF($D$21="Trimestriel",3,IF($D$21="Semestriel",6,12))))=0,SUMPRODUCT((D$92:AM$92&gt;=MAX($E$5,EDATE(Y$92,-(IF($D$21="Mensuel",1,IF($D$21="Trimestriel",3,IF($D$21="Semestriel",6,12)))-1))))*(D$92:AM$92&lt;=Y$92)*N(D$68:AM$68)),0))</f>
        <v>0</v>
      </c>
      <c r="Z94" s="25">
        <f>IF(Z$92="",0,IF(MOD(MONTH(Z$92),IF($D$21="Mensuel",1,IF($D$21="Trimestriel",3,IF($D$21="Semestriel",6,12))))=0,SUMPRODUCT((D$92:AM$92&gt;=MAX($E$5,EDATE(Z$92,-(IF($D$21="Mensuel",1,IF($D$21="Trimestriel",3,IF($D$21="Semestriel",6,12)))-1))))*(D$92:AM$92&lt;=Z$92)*N(D$68:AM$68)),0))</f>
        <v>0</v>
      </c>
      <c r="AA94" s="25">
        <f>IF(AA$92="",0,IF(MOD(MONTH(AA$92),IF($D$21="Mensuel",1,IF($D$21="Trimestriel",3,IF($D$21="Semestriel",6,12))))=0,SUMPRODUCT((D$92:AM$92&gt;=MAX($E$5,EDATE(AA$92,-(IF($D$21="Mensuel",1,IF($D$21="Trimestriel",3,IF($D$21="Semestriel",6,12)))-1))))*(D$92:AM$92&lt;=AA$92)*N(D$68:AM$68)),0))</f>
        <v>0</v>
      </c>
      <c r="AB94" s="25">
        <f>IF(AB$92="",0,IF(MOD(MONTH(AB$92),IF($D$21="Mensuel",1,IF($D$21="Trimestriel",3,IF($D$21="Semestriel",6,12))))=0,SUMPRODUCT((D$92:AM$92&gt;=MAX($E$5,EDATE(AB$92,-(IF($D$21="Mensuel",1,IF($D$21="Trimestriel",3,IF($D$21="Semestriel",6,12)))-1))))*(D$92:AM$92&lt;=AB$92)*N(D$68:AM$68)),0))</f>
        <v>0</v>
      </c>
      <c r="AC94" s="25">
        <f>IF(AC$92="",0,IF(MOD(MONTH(AC$92),IF($D$21="Mensuel",1,IF($D$21="Trimestriel",3,IF($D$21="Semestriel",6,12))))=0,SUMPRODUCT((D$92:AM$92&gt;=MAX($E$5,EDATE(AC$92,-(IF($D$21="Mensuel",1,IF($D$21="Trimestriel",3,IF($D$21="Semestriel",6,12)))-1))))*(D$92:AM$92&lt;=AC$92)*N(D$68:AM$68)),0))</f>
        <v>0</v>
      </c>
      <c r="AD94" s="25">
        <f>IF(AD$92="",0,IF(MOD(MONTH(AD$92),IF($D$21="Mensuel",1,IF($D$21="Trimestriel",3,IF($D$21="Semestriel",6,12))))=0,SUMPRODUCT((D$92:AM$92&gt;=MAX($E$5,EDATE(AD$92,-(IF($D$21="Mensuel",1,IF($D$21="Trimestriel",3,IF($D$21="Semestriel",6,12)))-1))))*(D$92:AM$92&lt;=AD$92)*N(D$68:AM$68)),0))</f>
        <v>0</v>
      </c>
      <c r="AE94" s="25">
        <f>IF(AE$92="",0,IF(MOD(MONTH(AE$92),IF($D$21="Mensuel",1,IF($D$21="Trimestriel",3,IF($D$21="Semestriel",6,12))))=0,SUMPRODUCT((D$92:AM$92&gt;=MAX($E$5,EDATE(AE$92,-(IF($D$21="Mensuel",1,IF($D$21="Trimestriel",3,IF($D$21="Semestriel",6,12)))-1))))*(D$92:AM$92&lt;=AE$92)*N(D$68:AM$68)),0))</f>
        <v>0</v>
      </c>
      <c r="AF94" s="25">
        <f>IF(AF$92="",0,IF(MOD(MONTH(AF$92),IF($D$21="Mensuel",1,IF($D$21="Trimestriel",3,IF($D$21="Semestriel",6,12))))=0,SUMPRODUCT((D$92:AM$92&gt;=MAX($E$5,EDATE(AF$92,-(IF($D$21="Mensuel",1,IF($D$21="Trimestriel",3,IF($D$21="Semestriel",6,12)))-1))))*(D$92:AM$92&lt;=AF$92)*N(D$68:AM$68)),0))</f>
        <v>0</v>
      </c>
      <c r="AG94" s="25">
        <f>IF(AG$92="",0,IF(MOD(MONTH(AG$92),IF($D$21="Mensuel",1,IF($D$21="Trimestriel",3,IF($D$21="Semestriel",6,12))))=0,SUMPRODUCT((D$92:AM$92&gt;=MAX($E$5,EDATE(AG$92,-(IF($D$21="Mensuel",1,IF($D$21="Trimestriel",3,IF($D$21="Semestriel",6,12)))-1))))*(D$92:AM$92&lt;=AG$92)*N(D$68:AM$68)),0))</f>
        <v>0</v>
      </c>
      <c r="AH94" s="25">
        <f>IF(AH$92="",0,IF(MOD(MONTH(AH$92),IF($D$21="Mensuel",1,IF($D$21="Trimestriel",3,IF($D$21="Semestriel",6,12))))=0,SUMPRODUCT((D$92:AM$92&gt;=MAX($E$5,EDATE(AH$92,-(IF($D$21="Mensuel",1,IF($D$21="Trimestriel",3,IF($D$21="Semestriel",6,12)))-1))))*(D$92:AM$92&lt;=AH$92)*N(D$68:AM$68)),0))</f>
        <v>0</v>
      </c>
      <c r="AI94" s="25">
        <f>IF(AI$92="",0,IF(MOD(MONTH(AI$92),IF($D$21="Mensuel",1,IF($D$21="Trimestriel",3,IF($D$21="Semestriel",6,12))))=0,SUMPRODUCT((D$92:AM$92&gt;=MAX($E$5,EDATE(AI$92,-(IF($D$21="Mensuel",1,IF($D$21="Trimestriel",3,IF($D$21="Semestriel",6,12)))-1))))*(D$92:AM$92&lt;=AI$92)*N(D$68:AM$68)),0))</f>
        <v>0</v>
      </c>
      <c r="AJ94" s="25">
        <f>IF(AJ$92="",0,IF(MOD(MONTH(AJ$92),IF($D$21="Mensuel",1,IF($D$21="Trimestriel",3,IF($D$21="Semestriel",6,12))))=0,SUMPRODUCT((D$92:AM$92&gt;=MAX($E$5,EDATE(AJ$92,-(IF($D$21="Mensuel",1,IF($D$21="Trimestriel",3,IF($D$21="Semestriel",6,12)))-1))))*(D$92:AM$92&lt;=AJ$92)*N(D$68:AM$68)),0))</f>
        <v>0</v>
      </c>
      <c r="AK94" s="25">
        <f>IF(AK$92="",0,IF(MOD(MONTH(AK$92),IF($D$21="Mensuel",1,IF($D$21="Trimestriel",3,IF($D$21="Semestriel",6,12))))=0,SUMPRODUCT((D$92:AM$92&gt;=MAX($E$5,EDATE(AK$92,-(IF($D$21="Mensuel",1,IF($D$21="Trimestriel",3,IF($D$21="Semestriel",6,12)))-1))))*(D$92:AM$92&lt;=AK$92)*N(D$68:AM$68)),0))</f>
        <v>0</v>
      </c>
      <c r="AL94" s="25">
        <f>IF(AL$92="",0,IF(MOD(MONTH(AL$92),IF($D$21="Mensuel",1,IF($D$21="Trimestriel",3,IF($D$21="Semestriel",6,12))))=0,SUMPRODUCT((D$92:AM$92&gt;=MAX($E$5,EDATE(AL$92,-(IF($D$21="Mensuel",1,IF($D$21="Trimestriel",3,IF($D$21="Semestriel",6,12)))-1))))*(D$92:AM$92&lt;=AL$92)*N(D$68:AM$68)),0))</f>
        <v>0</v>
      </c>
      <c r="AM94" s="25">
        <f>IF(AM$92="",0,IF(MOD(MONTH(AM$92),IF($D$21="Mensuel",1,IF($D$21="Trimestriel",3,IF($D$21="Semestriel",6,12))))=0,SUMPRODUCT((D$92:AM$92&gt;=MAX($E$5,EDATE(AM$92,-(IF($D$21="Mensuel",1,IF($D$21="Trimestriel",3,IF($D$21="Semestriel",6,12)))-1))))*(D$92:AM$92&lt;=AM$92)*N(D$68:AM$68)),0))</f>
        <v>0</v>
      </c>
    </row>
    <row r="95" ht="15.75" customHeight="1" outlineLevel="1">
      <c r="B95" s="40" t="str">
        <f t="shared" si="25"/>
        <v>Distribution — Distributeur Global</v>
      </c>
      <c r="D95" s="25">
        <f>IF(D$92="",0,IF(MOD(MONTH(D$92),IF($D$22="Mensuel",1,IF($D$22="Trimestriel",3,IF($D$22="Semestriel",6,12))))=0,SUMPRODUCT((D$92:AM$92&gt;=MAX($E$5,EDATE(D$92,-(IF($D$22="Mensuel",1,IF($D$22="Trimestriel",3,IF($D$22="Semestriel",6,12)))-1))))*(D$92:AM$92&lt;=D$92)*N(D$69:AM$69)),0))</f>
        <v>315.7142857</v>
      </c>
      <c r="E95" s="25">
        <f>IF(E$92="",0,IF(MOD(MONTH(E$92),IF($D$22="Mensuel",1,IF($D$22="Trimestriel",3,IF($D$22="Semestriel",6,12))))=0,SUMPRODUCT((D$92:AM$92&gt;=MAX($E$5,EDATE(E$92,-(IF($D$22="Mensuel",1,IF($D$22="Trimestriel",3,IF($D$22="Semestriel",6,12)))-1))))*(D$92:AM$92&lt;=E$92)*N(D$69:AM$69)),0))</f>
        <v>862.5</v>
      </c>
      <c r="F95" s="25">
        <f>IF(F$92="",0,IF(MOD(MONTH(F$92),IF($D$22="Mensuel",1,IF($D$22="Trimestriel",3,IF($D$22="Semestriel",6,12))))=0,SUMPRODUCT((D$92:AM$92&gt;=MAX($E$5,EDATE(F$92,-(IF($D$22="Mensuel",1,IF($D$22="Trimestriel",3,IF($D$22="Semestriel",6,12)))-1))))*(D$92:AM$92&lt;=F$92)*N(D$69:AM$69)),0))</f>
        <v>0</v>
      </c>
      <c r="G95" s="25">
        <f>IF(G$92="",0,IF(MOD(MONTH(G$92),IF($D$22="Mensuel",1,IF($D$22="Trimestriel",3,IF($D$22="Semestriel",6,12))))=0,SUMPRODUCT((D$92:AM$92&gt;=MAX($E$5,EDATE(G$92,-(IF($D$22="Mensuel",1,IF($D$22="Trimestriel",3,IF($D$22="Semestriel",6,12)))-1))))*(D$92:AM$92&lt;=G$92)*N(D$69:AM$69)),0))</f>
        <v>0</v>
      </c>
      <c r="H95" s="25">
        <f>IF(H$92="",0,IF(MOD(MONTH(H$92),IF($D$22="Mensuel",1,IF($D$22="Trimestriel",3,IF($D$22="Semestriel",6,12))))=0,SUMPRODUCT((D$92:AM$92&gt;=MAX($E$5,EDATE(H$92,-(IF($D$22="Mensuel",1,IF($D$22="Trimestriel",3,IF($D$22="Semestriel",6,12)))-1))))*(D$92:AM$92&lt;=H$92)*N(D$69:AM$69)),0))</f>
        <v>0</v>
      </c>
      <c r="I95" s="25">
        <f>IF(I$92="",0,IF(MOD(MONTH(I$92),IF($D$22="Mensuel",1,IF($D$22="Trimestriel",3,IF($D$22="Semestriel",6,12))))=0,SUMPRODUCT((D$92:AM$92&gt;=MAX($E$5,EDATE(I$92,-(IF($D$22="Mensuel",1,IF($D$22="Trimestriel",3,IF($D$22="Semestriel",6,12)))-1))))*(D$92:AM$92&lt;=I$92)*N(D$69:AM$69)),0))</f>
        <v>0</v>
      </c>
      <c r="J95" s="25">
        <f>IF(J$92="",0,IF(MOD(MONTH(J$92),IF($D$22="Mensuel",1,IF($D$22="Trimestriel",3,IF($D$22="Semestriel",6,12))))=0,SUMPRODUCT((D$92:AM$92&gt;=MAX($E$5,EDATE(J$92,-(IF($D$22="Mensuel",1,IF($D$22="Trimestriel",3,IF($D$22="Semestriel",6,12)))-1))))*(D$92:AM$92&lt;=J$92)*N(D$69:AM$69)),0))</f>
        <v>0</v>
      </c>
      <c r="K95" s="25">
        <f>IF(K$92="",0,IF(MOD(MONTH(K$92),IF($D$22="Mensuel",1,IF($D$22="Trimestriel",3,IF($D$22="Semestriel",6,12))))=0,SUMPRODUCT((D$92:AM$92&gt;=MAX($E$5,EDATE(K$92,-(IF($D$22="Mensuel",1,IF($D$22="Trimestriel",3,IF($D$22="Semestriel",6,12)))-1))))*(D$92:AM$92&lt;=K$92)*N(D$69:AM$69)),0))</f>
        <v>0</v>
      </c>
      <c r="L95" s="25">
        <f>IF(L$92="",0,IF(MOD(MONTH(L$92),IF($D$22="Mensuel",1,IF($D$22="Trimestriel",3,IF($D$22="Semestriel",6,12))))=0,SUMPRODUCT((D$92:AM$92&gt;=MAX($E$5,EDATE(L$92,-(IF($D$22="Mensuel",1,IF($D$22="Trimestriel",3,IF($D$22="Semestriel",6,12)))-1))))*(D$92:AM$92&lt;=L$92)*N(D$69:AM$69)),0))</f>
        <v>0</v>
      </c>
      <c r="M95" s="25">
        <f>IF(M$92="",0,IF(MOD(MONTH(M$92),IF($D$22="Mensuel",1,IF($D$22="Trimestriel",3,IF($D$22="Semestriel",6,12))))=0,SUMPRODUCT((D$92:AM$92&gt;=MAX($E$5,EDATE(M$92,-(IF($D$22="Mensuel",1,IF($D$22="Trimestriel",3,IF($D$22="Semestriel",6,12)))-1))))*(D$92:AM$92&lt;=M$92)*N(D$69:AM$69)),0))</f>
        <v>0</v>
      </c>
      <c r="N95" s="25">
        <f>IF(N$92="",0,IF(MOD(MONTH(N$92),IF($D$22="Mensuel",1,IF($D$22="Trimestriel",3,IF($D$22="Semestriel",6,12))))=0,SUMPRODUCT((D$92:AM$92&gt;=MAX($E$5,EDATE(N$92,-(IF($D$22="Mensuel",1,IF($D$22="Trimestriel",3,IF($D$22="Semestriel",6,12)))-1))))*(D$92:AM$92&lt;=N$92)*N(D$69:AM$69)),0))</f>
        <v>0</v>
      </c>
      <c r="O95" s="25">
        <f>IF(O$92="",0,IF(MOD(MONTH(O$92),IF($D$22="Mensuel",1,IF($D$22="Trimestriel",3,IF($D$22="Semestriel",6,12))))=0,SUMPRODUCT((D$92:AM$92&gt;=MAX($E$5,EDATE(O$92,-(IF($D$22="Mensuel",1,IF($D$22="Trimestriel",3,IF($D$22="Semestriel",6,12)))-1))))*(D$92:AM$92&lt;=O$92)*N(D$69:AM$69)),0))</f>
        <v>0</v>
      </c>
      <c r="P95" s="25">
        <f>IF(P$92="",0,IF(MOD(MONTH(P$92),IF($D$22="Mensuel",1,IF($D$22="Trimestriel",3,IF($D$22="Semestriel",6,12))))=0,SUMPRODUCT((D$92:AM$92&gt;=MAX($E$5,EDATE(P$92,-(IF($D$22="Mensuel",1,IF($D$22="Trimestriel",3,IF($D$22="Semestriel",6,12)))-1))))*(D$92:AM$92&lt;=P$92)*N(D$69:AM$69)),0))</f>
        <v>0</v>
      </c>
      <c r="Q95" s="25">
        <f>IF(Q$92="",0,IF(MOD(MONTH(Q$92),IF($D$22="Mensuel",1,IF($D$22="Trimestriel",3,IF($D$22="Semestriel",6,12))))=0,SUMPRODUCT((D$92:AM$92&gt;=MAX($E$5,EDATE(Q$92,-(IF($D$22="Mensuel",1,IF($D$22="Trimestriel",3,IF($D$22="Semestriel",6,12)))-1))))*(D$92:AM$92&lt;=Q$92)*N(D$69:AM$69)),0))</f>
        <v>0</v>
      </c>
      <c r="R95" s="25">
        <f>IF(R$92="",0,IF(MOD(MONTH(R$92),IF($D$22="Mensuel",1,IF($D$22="Trimestriel",3,IF($D$22="Semestriel",6,12))))=0,SUMPRODUCT((D$92:AM$92&gt;=MAX($E$5,EDATE(R$92,-(IF($D$22="Mensuel",1,IF($D$22="Trimestriel",3,IF($D$22="Semestriel",6,12)))-1))))*(D$92:AM$92&lt;=R$92)*N(D$69:AM$69)),0))</f>
        <v>0</v>
      </c>
      <c r="S95" s="25">
        <f>IF(S$92="",0,IF(MOD(MONTH(S$92),IF($D$22="Mensuel",1,IF($D$22="Trimestriel",3,IF($D$22="Semestriel",6,12))))=0,SUMPRODUCT((D$92:AM$92&gt;=MAX($E$5,EDATE(S$92,-(IF($D$22="Mensuel",1,IF($D$22="Trimestriel",3,IF($D$22="Semestriel",6,12)))-1))))*(D$92:AM$92&lt;=S$92)*N(D$69:AM$69)),0))</f>
        <v>0</v>
      </c>
      <c r="T95" s="25">
        <f>IF(T$92="",0,IF(MOD(MONTH(T$92),IF($D$22="Mensuel",1,IF($D$22="Trimestriel",3,IF($D$22="Semestriel",6,12))))=0,SUMPRODUCT((D$92:AM$92&gt;=MAX($E$5,EDATE(T$92,-(IF($D$22="Mensuel",1,IF($D$22="Trimestriel",3,IF($D$22="Semestriel",6,12)))-1))))*(D$92:AM$92&lt;=T$92)*N(D$69:AM$69)),0))</f>
        <v>0</v>
      </c>
      <c r="U95" s="25">
        <f>IF(U$92="",0,IF(MOD(MONTH(U$92),IF($D$22="Mensuel",1,IF($D$22="Trimestriel",3,IF($D$22="Semestriel",6,12))))=0,SUMPRODUCT((D$92:AM$92&gt;=MAX($E$5,EDATE(U$92,-(IF($D$22="Mensuel",1,IF($D$22="Trimestriel",3,IF($D$22="Semestriel",6,12)))-1))))*(D$92:AM$92&lt;=U$92)*N(D$69:AM$69)),0))</f>
        <v>0</v>
      </c>
      <c r="V95" s="25">
        <f>IF(V$92="",0,IF(MOD(MONTH(V$92),IF($D$22="Mensuel",1,IF($D$22="Trimestriel",3,IF($D$22="Semestriel",6,12))))=0,SUMPRODUCT((D$92:AM$92&gt;=MAX($E$5,EDATE(V$92,-(IF($D$22="Mensuel",1,IF($D$22="Trimestriel",3,IF($D$22="Semestriel",6,12)))-1))))*(D$92:AM$92&lt;=V$92)*N(D$69:AM$69)),0))</f>
        <v>0</v>
      </c>
      <c r="W95" s="25">
        <f>IF(W$92="",0,IF(MOD(MONTH(W$92),IF($D$22="Mensuel",1,IF($D$22="Trimestriel",3,IF($D$22="Semestriel",6,12))))=0,SUMPRODUCT((D$92:AM$92&gt;=MAX($E$5,EDATE(W$92,-(IF($D$22="Mensuel",1,IF($D$22="Trimestriel",3,IF($D$22="Semestriel",6,12)))-1))))*(D$92:AM$92&lt;=W$92)*N(D$69:AM$69)),0))</f>
        <v>0</v>
      </c>
      <c r="X95" s="25">
        <f>IF(X$92="",0,IF(MOD(MONTH(X$92),IF($D$22="Mensuel",1,IF($D$22="Trimestriel",3,IF($D$22="Semestriel",6,12))))=0,SUMPRODUCT((D$92:AM$92&gt;=MAX($E$5,EDATE(X$92,-(IF($D$22="Mensuel",1,IF($D$22="Trimestriel",3,IF($D$22="Semestriel",6,12)))-1))))*(D$92:AM$92&lt;=X$92)*N(D$69:AM$69)),0))</f>
        <v>0</v>
      </c>
      <c r="Y95" s="25">
        <f>IF(Y$92="",0,IF(MOD(MONTH(Y$92),IF($D$22="Mensuel",1,IF($D$22="Trimestriel",3,IF($D$22="Semestriel",6,12))))=0,SUMPRODUCT((D$92:AM$92&gt;=MAX($E$5,EDATE(Y$92,-(IF($D$22="Mensuel",1,IF($D$22="Trimestriel",3,IF($D$22="Semestriel",6,12)))-1))))*(D$92:AM$92&lt;=Y$92)*N(D$69:AM$69)),0))</f>
        <v>0</v>
      </c>
      <c r="Z95" s="25">
        <f>IF(Z$92="",0,IF(MOD(MONTH(Z$92),IF($D$22="Mensuel",1,IF($D$22="Trimestriel",3,IF($D$22="Semestriel",6,12))))=0,SUMPRODUCT((D$92:AM$92&gt;=MAX($E$5,EDATE(Z$92,-(IF($D$22="Mensuel",1,IF($D$22="Trimestriel",3,IF($D$22="Semestriel",6,12)))-1))))*(D$92:AM$92&lt;=Z$92)*N(D$69:AM$69)),0))</f>
        <v>0</v>
      </c>
      <c r="AA95" s="25">
        <f>IF(AA$92="",0,IF(MOD(MONTH(AA$92),IF($D$22="Mensuel",1,IF($D$22="Trimestriel",3,IF($D$22="Semestriel",6,12))))=0,SUMPRODUCT((D$92:AM$92&gt;=MAX($E$5,EDATE(AA$92,-(IF($D$22="Mensuel",1,IF($D$22="Trimestriel",3,IF($D$22="Semestriel",6,12)))-1))))*(D$92:AM$92&lt;=AA$92)*N(D$69:AM$69)),0))</f>
        <v>0</v>
      </c>
      <c r="AB95" s="25">
        <f>IF(AB$92="",0,IF(MOD(MONTH(AB$92),IF($D$22="Mensuel",1,IF($D$22="Trimestriel",3,IF($D$22="Semestriel",6,12))))=0,SUMPRODUCT((D$92:AM$92&gt;=MAX($E$5,EDATE(AB$92,-(IF($D$22="Mensuel",1,IF($D$22="Trimestriel",3,IF($D$22="Semestriel",6,12)))-1))))*(D$92:AM$92&lt;=AB$92)*N(D$69:AM$69)),0))</f>
        <v>0</v>
      </c>
      <c r="AC95" s="25">
        <f>IF(AC$92="",0,IF(MOD(MONTH(AC$92),IF($D$22="Mensuel",1,IF($D$22="Trimestriel",3,IF($D$22="Semestriel",6,12))))=0,SUMPRODUCT((D$92:AM$92&gt;=MAX($E$5,EDATE(AC$92,-(IF($D$22="Mensuel",1,IF($D$22="Trimestriel",3,IF($D$22="Semestriel",6,12)))-1))))*(D$92:AM$92&lt;=AC$92)*N(D$69:AM$69)),0))</f>
        <v>0</v>
      </c>
      <c r="AD95" s="25">
        <f>IF(AD$92="",0,IF(MOD(MONTH(AD$92),IF($D$22="Mensuel",1,IF($D$22="Trimestriel",3,IF($D$22="Semestriel",6,12))))=0,SUMPRODUCT((D$92:AM$92&gt;=MAX($E$5,EDATE(AD$92,-(IF($D$22="Mensuel",1,IF($D$22="Trimestriel",3,IF($D$22="Semestriel",6,12)))-1))))*(D$92:AM$92&lt;=AD$92)*N(D$69:AM$69)),0))</f>
        <v>0</v>
      </c>
      <c r="AE95" s="25">
        <f>IF(AE$92="",0,IF(MOD(MONTH(AE$92),IF($D$22="Mensuel",1,IF($D$22="Trimestriel",3,IF($D$22="Semestriel",6,12))))=0,SUMPRODUCT((D$92:AM$92&gt;=MAX($E$5,EDATE(AE$92,-(IF($D$22="Mensuel",1,IF($D$22="Trimestriel",3,IF($D$22="Semestriel",6,12)))-1))))*(D$92:AM$92&lt;=AE$92)*N(D$69:AM$69)),0))</f>
        <v>0</v>
      </c>
      <c r="AF95" s="25">
        <f>IF(AF$92="",0,IF(MOD(MONTH(AF$92),IF($D$22="Mensuel",1,IF($D$22="Trimestriel",3,IF($D$22="Semestriel",6,12))))=0,SUMPRODUCT((D$92:AM$92&gt;=MAX($E$5,EDATE(AF$92,-(IF($D$22="Mensuel",1,IF($D$22="Trimestriel",3,IF($D$22="Semestriel",6,12)))-1))))*(D$92:AM$92&lt;=AF$92)*N(D$69:AM$69)),0))</f>
        <v>0</v>
      </c>
      <c r="AG95" s="25">
        <f>IF(AG$92="",0,IF(MOD(MONTH(AG$92),IF($D$22="Mensuel",1,IF($D$22="Trimestriel",3,IF($D$22="Semestriel",6,12))))=0,SUMPRODUCT((D$92:AM$92&gt;=MAX($E$5,EDATE(AG$92,-(IF($D$22="Mensuel",1,IF($D$22="Trimestriel",3,IF($D$22="Semestriel",6,12)))-1))))*(D$92:AM$92&lt;=AG$92)*N(D$69:AM$69)),0))</f>
        <v>0</v>
      </c>
      <c r="AH95" s="25">
        <f>IF(AH$92="",0,IF(MOD(MONTH(AH$92),IF($D$22="Mensuel",1,IF($D$22="Trimestriel",3,IF($D$22="Semestriel",6,12))))=0,SUMPRODUCT((D$92:AM$92&gt;=MAX($E$5,EDATE(AH$92,-(IF($D$22="Mensuel",1,IF($D$22="Trimestriel",3,IF($D$22="Semestriel",6,12)))-1))))*(D$92:AM$92&lt;=AH$92)*N(D$69:AM$69)),0))</f>
        <v>0</v>
      </c>
      <c r="AI95" s="25">
        <f>IF(AI$92="",0,IF(MOD(MONTH(AI$92),IF($D$22="Mensuel",1,IF($D$22="Trimestriel",3,IF($D$22="Semestriel",6,12))))=0,SUMPRODUCT((D$92:AM$92&gt;=MAX($E$5,EDATE(AI$92,-(IF($D$22="Mensuel",1,IF($D$22="Trimestriel",3,IF($D$22="Semestriel",6,12)))-1))))*(D$92:AM$92&lt;=AI$92)*N(D$69:AM$69)),0))</f>
        <v>0</v>
      </c>
      <c r="AJ95" s="25">
        <f>IF(AJ$92="",0,IF(MOD(MONTH(AJ$92),IF($D$22="Mensuel",1,IF($D$22="Trimestriel",3,IF($D$22="Semestriel",6,12))))=0,SUMPRODUCT((D$92:AM$92&gt;=MAX($E$5,EDATE(AJ$92,-(IF($D$22="Mensuel",1,IF($D$22="Trimestriel",3,IF($D$22="Semestriel",6,12)))-1))))*(D$92:AM$92&lt;=AJ$92)*N(D$69:AM$69)),0))</f>
        <v>0</v>
      </c>
      <c r="AK95" s="25">
        <f>IF(AK$92="",0,IF(MOD(MONTH(AK$92),IF($D$22="Mensuel",1,IF($D$22="Trimestriel",3,IF($D$22="Semestriel",6,12))))=0,SUMPRODUCT((D$92:AM$92&gt;=MAX($E$5,EDATE(AK$92,-(IF($D$22="Mensuel",1,IF($D$22="Trimestriel",3,IF($D$22="Semestriel",6,12)))-1))))*(D$92:AM$92&lt;=AK$92)*N(D$69:AM$69)),0))</f>
        <v>0</v>
      </c>
      <c r="AL95" s="25">
        <f>IF(AL$92="",0,IF(MOD(MONTH(AL$92),IF($D$22="Mensuel",1,IF($D$22="Trimestriel",3,IF($D$22="Semestriel",6,12))))=0,SUMPRODUCT((D$92:AM$92&gt;=MAX($E$5,EDATE(AL$92,-(IF($D$22="Mensuel",1,IF($D$22="Trimestriel",3,IF($D$22="Semestriel",6,12)))-1))))*(D$92:AM$92&lt;=AL$92)*N(D$69:AM$69)),0))</f>
        <v>0</v>
      </c>
      <c r="AM95" s="25">
        <f>IF(AM$92="",0,IF(MOD(MONTH(AM$92),IF($D$22="Mensuel",1,IF($D$22="Trimestriel",3,IF($D$22="Semestriel",6,12))))=0,SUMPRODUCT((D$92:AM$92&gt;=MAX($E$5,EDATE(AM$92,-(IF($D$22="Mensuel",1,IF($D$22="Trimestriel",3,IF($D$22="Semestriel",6,12)))-1))))*(D$92:AM$92&lt;=AM$92)*N(D$69:AM$69)),0))</f>
        <v>0</v>
      </c>
    </row>
    <row r="96" ht="15.75" customHeight="1" outlineLevel="1">
      <c r="B96" s="40" t="str">
        <f t="shared" si="25"/>
        <v>Distribution — Sous-distributeurs</v>
      </c>
      <c r="D96" s="25">
        <f>IF(D$92="",0,IF(MOD(MONTH(D$92),IF($D$23="Mensuel",1,IF($D$23="Trimestriel",3,IF($D$23="Semestriel",6,12))))=0,SUMPRODUCT((D$92:AM$92&gt;=MAX($E$5,EDATE(D$92,-(IF($D$23="Mensuel",1,IF($D$23="Trimestriel",3,IF($D$23="Semestriel",6,12)))-1))))*(D$92:AM$92&lt;=D$92)*N(D$70:AM$70)),0))</f>
        <v>2841.428571</v>
      </c>
      <c r="E96" s="25">
        <f>IF(E$92="",0,IF(MOD(MONTH(E$92),IF($D$23="Mensuel",1,IF($D$23="Trimestriel",3,IF($D$23="Semestriel",6,12))))=0,SUMPRODUCT((D$92:AM$92&gt;=MAX($E$5,EDATE(E$92,-(IF($D$23="Mensuel",1,IF($D$23="Trimestriel",3,IF($D$23="Semestriel",6,12)))-1))))*(D$92:AM$92&lt;=E$92)*N(D$70:AM$70)),0))</f>
        <v>7762.5</v>
      </c>
      <c r="F96" s="25">
        <f>IF(F$92="",0,IF(MOD(MONTH(F$92),IF($D$23="Mensuel",1,IF($D$23="Trimestriel",3,IF($D$23="Semestriel",6,12))))=0,SUMPRODUCT((D$92:AM$92&gt;=MAX($E$5,EDATE(F$92,-(IF($D$23="Mensuel",1,IF($D$23="Trimestriel",3,IF($D$23="Semestriel",6,12)))-1))))*(D$92:AM$92&lt;=F$92)*N(D$70:AM$70)),0))</f>
        <v>0</v>
      </c>
      <c r="G96" s="25">
        <f>IF(G$92="",0,IF(MOD(MONTH(G$92),IF($D$23="Mensuel",1,IF($D$23="Trimestriel",3,IF($D$23="Semestriel",6,12))))=0,SUMPRODUCT((D$92:AM$92&gt;=MAX($E$5,EDATE(G$92,-(IF($D$23="Mensuel",1,IF($D$23="Trimestriel",3,IF($D$23="Semestriel",6,12)))-1))))*(D$92:AM$92&lt;=G$92)*N(D$70:AM$70)),0))</f>
        <v>0</v>
      </c>
      <c r="H96" s="25">
        <f>IF(H$92="",0,IF(MOD(MONTH(H$92),IF($D$23="Mensuel",1,IF($D$23="Trimestriel",3,IF($D$23="Semestriel",6,12))))=0,SUMPRODUCT((D$92:AM$92&gt;=MAX($E$5,EDATE(H$92,-(IF($D$23="Mensuel",1,IF($D$23="Trimestriel",3,IF($D$23="Semestriel",6,12)))-1))))*(D$92:AM$92&lt;=H$92)*N(D$70:AM$70)),0))</f>
        <v>0</v>
      </c>
      <c r="I96" s="25">
        <f>IF(I$92="",0,IF(MOD(MONTH(I$92),IF($D$23="Mensuel",1,IF($D$23="Trimestriel",3,IF($D$23="Semestriel",6,12))))=0,SUMPRODUCT((D$92:AM$92&gt;=MAX($E$5,EDATE(I$92,-(IF($D$23="Mensuel",1,IF($D$23="Trimestriel",3,IF($D$23="Semestriel",6,12)))-1))))*(D$92:AM$92&lt;=I$92)*N(D$70:AM$70)),0))</f>
        <v>0</v>
      </c>
      <c r="J96" s="25">
        <f>IF(J$92="",0,IF(MOD(MONTH(J$92),IF($D$23="Mensuel",1,IF($D$23="Trimestriel",3,IF($D$23="Semestriel",6,12))))=0,SUMPRODUCT((D$92:AM$92&gt;=MAX($E$5,EDATE(J$92,-(IF($D$23="Mensuel",1,IF($D$23="Trimestriel",3,IF($D$23="Semestriel",6,12)))-1))))*(D$92:AM$92&lt;=J$92)*N(D$70:AM$70)),0))</f>
        <v>0</v>
      </c>
      <c r="K96" s="25">
        <f>IF(K$92="",0,IF(MOD(MONTH(K$92),IF($D$23="Mensuel",1,IF($D$23="Trimestriel",3,IF($D$23="Semestriel",6,12))))=0,SUMPRODUCT((D$92:AM$92&gt;=MAX($E$5,EDATE(K$92,-(IF($D$23="Mensuel",1,IF($D$23="Trimestriel",3,IF($D$23="Semestriel",6,12)))-1))))*(D$92:AM$92&lt;=K$92)*N(D$70:AM$70)),0))</f>
        <v>0</v>
      </c>
      <c r="L96" s="25">
        <f>IF(L$92="",0,IF(MOD(MONTH(L$92),IF($D$23="Mensuel",1,IF($D$23="Trimestriel",3,IF($D$23="Semestriel",6,12))))=0,SUMPRODUCT((D$92:AM$92&gt;=MAX($E$5,EDATE(L$92,-(IF($D$23="Mensuel",1,IF($D$23="Trimestriel",3,IF($D$23="Semestriel",6,12)))-1))))*(D$92:AM$92&lt;=L$92)*N(D$70:AM$70)),0))</f>
        <v>0</v>
      </c>
      <c r="M96" s="25">
        <f>IF(M$92="",0,IF(MOD(MONTH(M$92),IF($D$23="Mensuel",1,IF($D$23="Trimestriel",3,IF($D$23="Semestriel",6,12))))=0,SUMPRODUCT((D$92:AM$92&gt;=MAX($E$5,EDATE(M$92,-(IF($D$23="Mensuel",1,IF($D$23="Trimestriel",3,IF($D$23="Semestriel",6,12)))-1))))*(D$92:AM$92&lt;=M$92)*N(D$70:AM$70)),0))</f>
        <v>0</v>
      </c>
      <c r="N96" s="25">
        <f>IF(N$92="",0,IF(MOD(MONTH(N$92),IF($D$23="Mensuel",1,IF($D$23="Trimestriel",3,IF($D$23="Semestriel",6,12))))=0,SUMPRODUCT((D$92:AM$92&gt;=MAX($E$5,EDATE(N$92,-(IF($D$23="Mensuel",1,IF($D$23="Trimestriel",3,IF($D$23="Semestriel",6,12)))-1))))*(D$92:AM$92&lt;=N$92)*N(D$70:AM$70)),0))</f>
        <v>0</v>
      </c>
      <c r="O96" s="25">
        <f>IF(O$92="",0,IF(MOD(MONTH(O$92),IF($D$23="Mensuel",1,IF($D$23="Trimestriel",3,IF($D$23="Semestriel",6,12))))=0,SUMPRODUCT((D$92:AM$92&gt;=MAX($E$5,EDATE(O$92,-(IF($D$23="Mensuel",1,IF($D$23="Trimestriel",3,IF($D$23="Semestriel",6,12)))-1))))*(D$92:AM$92&lt;=O$92)*N(D$70:AM$70)),0))</f>
        <v>0</v>
      </c>
      <c r="P96" s="25">
        <f>IF(P$92="",0,IF(MOD(MONTH(P$92),IF($D$23="Mensuel",1,IF($D$23="Trimestriel",3,IF($D$23="Semestriel",6,12))))=0,SUMPRODUCT((D$92:AM$92&gt;=MAX($E$5,EDATE(P$92,-(IF($D$23="Mensuel",1,IF($D$23="Trimestriel",3,IF($D$23="Semestriel",6,12)))-1))))*(D$92:AM$92&lt;=P$92)*N(D$70:AM$70)),0))</f>
        <v>0</v>
      </c>
      <c r="Q96" s="25">
        <f>IF(Q$92="",0,IF(MOD(MONTH(Q$92),IF($D$23="Mensuel",1,IF($D$23="Trimestriel",3,IF($D$23="Semestriel",6,12))))=0,SUMPRODUCT((D$92:AM$92&gt;=MAX($E$5,EDATE(Q$92,-(IF($D$23="Mensuel",1,IF($D$23="Trimestriel",3,IF($D$23="Semestriel",6,12)))-1))))*(D$92:AM$92&lt;=Q$92)*N(D$70:AM$70)),0))</f>
        <v>0</v>
      </c>
      <c r="R96" s="25">
        <f>IF(R$92="",0,IF(MOD(MONTH(R$92),IF($D$23="Mensuel",1,IF($D$23="Trimestriel",3,IF($D$23="Semestriel",6,12))))=0,SUMPRODUCT((D$92:AM$92&gt;=MAX($E$5,EDATE(R$92,-(IF($D$23="Mensuel",1,IF($D$23="Trimestriel",3,IF($D$23="Semestriel",6,12)))-1))))*(D$92:AM$92&lt;=R$92)*N(D$70:AM$70)),0))</f>
        <v>0</v>
      </c>
      <c r="S96" s="25">
        <f>IF(S$92="",0,IF(MOD(MONTH(S$92),IF($D$23="Mensuel",1,IF($D$23="Trimestriel",3,IF($D$23="Semestriel",6,12))))=0,SUMPRODUCT((D$92:AM$92&gt;=MAX($E$5,EDATE(S$92,-(IF($D$23="Mensuel",1,IF($D$23="Trimestriel",3,IF($D$23="Semestriel",6,12)))-1))))*(D$92:AM$92&lt;=S$92)*N(D$70:AM$70)),0))</f>
        <v>0</v>
      </c>
      <c r="T96" s="25">
        <f>IF(T$92="",0,IF(MOD(MONTH(T$92),IF($D$23="Mensuel",1,IF($D$23="Trimestriel",3,IF($D$23="Semestriel",6,12))))=0,SUMPRODUCT((D$92:AM$92&gt;=MAX($E$5,EDATE(T$92,-(IF($D$23="Mensuel",1,IF($D$23="Trimestriel",3,IF($D$23="Semestriel",6,12)))-1))))*(D$92:AM$92&lt;=T$92)*N(D$70:AM$70)),0))</f>
        <v>0</v>
      </c>
      <c r="U96" s="25">
        <f>IF(U$92="",0,IF(MOD(MONTH(U$92),IF($D$23="Mensuel",1,IF($D$23="Trimestriel",3,IF($D$23="Semestriel",6,12))))=0,SUMPRODUCT((D$92:AM$92&gt;=MAX($E$5,EDATE(U$92,-(IF($D$23="Mensuel",1,IF($D$23="Trimestriel",3,IF($D$23="Semestriel",6,12)))-1))))*(D$92:AM$92&lt;=U$92)*N(D$70:AM$70)),0))</f>
        <v>0</v>
      </c>
      <c r="V96" s="25">
        <f>IF(V$92="",0,IF(MOD(MONTH(V$92),IF($D$23="Mensuel",1,IF($D$23="Trimestriel",3,IF($D$23="Semestriel",6,12))))=0,SUMPRODUCT((D$92:AM$92&gt;=MAX($E$5,EDATE(V$92,-(IF($D$23="Mensuel",1,IF($D$23="Trimestriel",3,IF($D$23="Semestriel",6,12)))-1))))*(D$92:AM$92&lt;=V$92)*N(D$70:AM$70)),0))</f>
        <v>0</v>
      </c>
      <c r="W96" s="25">
        <f>IF(W$92="",0,IF(MOD(MONTH(W$92),IF($D$23="Mensuel",1,IF($D$23="Trimestriel",3,IF($D$23="Semestriel",6,12))))=0,SUMPRODUCT((D$92:AM$92&gt;=MAX($E$5,EDATE(W$92,-(IF($D$23="Mensuel",1,IF($D$23="Trimestriel",3,IF($D$23="Semestriel",6,12)))-1))))*(D$92:AM$92&lt;=W$92)*N(D$70:AM$70)),0))</f>
        <v>0</v>
      </c>
      <c r="X96" s="25">
        <f>IF(X$92="",0,IF(MOD(MONTH(X$92),IF($D$23="Mensuel",1,IF($D$23="Trimestriel",3,IF($D$23="Semestriel",6,12))))=0,SUMPRODUCT((D$92:AM$92&gt;=MAX($E$5,EDATE(X$92,-(IF($D$23="Mensuel",1,IF($D$23="Trimestriel",3,IF($D$23="Semestriel",6,12)))-1))))*(D$92:AM$92&lt;=X$92)*N(D$70:AM$70)),0))</f>
        <v>0</v>
      </c>
      <c r="Y96" s="25">
        <f>IF(Y$92="",0,IF(MOD(MONTH(Y$92),IF($D$23="Mensuel",1,IF($D$23="Trimestriel",3,IF($D$23="Semestriel",6,12))))=0,SUMPRODUCT((D$92:AM$92&gt;=MAX($E$5,EDATE(Y$92,-(IF($D$23="Mensuel",1,IF($D$23="Trimestriel",3,IF($D$23="Semestriel",6,12)))-1))))*(D$92:AM$92&lt;=Y$92)*N(D$70:AM$70)),0))</f>
        <v>0</v>
      </c>
      <c r="Z96" s="25">
        <f>IF(Z$92="",0,IF(MOD(MONTH(Z$92),IF($D$23="Mensuel",1,IF($D$23="Trimestriel",3,IF($D$23="Semestriel",6,12))))=0,SUMPRODUCT((D$92:AM$92&gt;=MAX($E$5,EDATE(Z$92,-(IF($D$23="Mensuel",1,IF($D$23="Trimestriel",3,IF($D$23="Semestriel",6,12)))-1))))*(D$92:AM$92&lt;=Z$92)*N(D$70:AM$70)),0))</f>
        <v>0</v>
      </c>
      <c r="AA96" s="25">
        <f>IF(AA$92="",0,IF(MOD(MONTH(AA$92),IF($D$23="Mensuel",1,IF($D$23="Trimestriel",3,IF($D$23="Semestriel",6,12))))=0,SUMPRODUCT((D$92:AM$92&gt;=MAX($E$5,EDATE(AA$92,-(IF($D$23="Mensuel",1,IF($D$23="Trimestriel",3,IF($D$23="Semestriel",6,12)))-1))))*(D$92:AM$92&lt;=AA$92)*N(D$70:AM$70)),0))</f>
        <v>0</v>
      </c>
      <c r="AB96" s="25">
        <f>IF(AB$92="",0,IF(MOD(MONTH(AB$92),IF($D$23="Mensuel",1,IF($D$23="Trimestriel",3,IF($D$23="Semestriel",6,12))))=0,SUMPRODUCT((D$92:AM$92&gt;=MAX($E$5,EDATE(AB$92,-(IF($D$23="Mensuel",1,IF($D$23="Trimestriel",3,IF($D$23="Semestriel",6,12)))-1))))*(D$92:AM$92&lt;=AB$92)*N(D$70:AM$70)),0))</f>
        <v>0</v>
      </c>
      <c r="AC96" s="25">
        <f>IF(AC$92="",0,IF(MOD(MONTH(AC$92),IF($D$23="Mensuel",1,IF($D$23="Trimestriel",3,IF($D$23="Semestriel",6,12))))=0,SUMPRODUCT((D$92:AM$92&gt;=MAX($E$5,EDATE(AC$92,-(IF($D$23="Mensuel",1,IF($D$23="Trimestriel",3,IF($D$23="Semestriel",6,12)))-1))))*(D$92:AM$92&lt;=AC$92)*N(D$70:AM$70)),0))</f>
        <v>0</v>
      </c>
      <c r="AD96" s="25">
        <f>IF(AD$92="",0,IF(MOD(MONTH(AD$92),IF($D$23="Mensuel",1,IF($D$23="Trimestriel",3,IF($D$23="Semestriel",6,12))))=0,SUMPRODUCT((D$92:AM$92&gt;=MAX($E$5,EDATE(AD$92,-(IF($D$23="Mensuel",1,IF($D$23="Trimestriel",3,IF($D$23="Semestriel",6,12)))-1))))*(D$92:AM$92&lt;=AD$92)*N(D$70:AM$70)),0))</f>
        <v>0</v>
      </c>
      <c r="AE96" s="25">
        <f>IF(AE$92="",0,IF(MOD(MONTH(AE$92),IF($D$23="Mensuel",1,IF($D$23="Trimestriel",3,IF($D$23="Semestriel",6,12))))=0,SUMPRODUCT((D$92:AM$92&gt;=MAX($E$5,EDATE(AE$92,-(IF($D$23="Mensuel",1,IF($D$23="Trimestriel",3,IF($D$23="Semestriel",6,12)))-1))))*(D$92:AM$92&lt;=AE$92)*N(D$70:AM$70)),0))</f>
        <v>0</v>
      </c>
      <c r="AF96" s="25">
        <f>IF(AF$92="",0,IF(MOD(MONTH(AF$92),IF($D$23="Mensuel",1,IF($D$23="Trimestriel",3,IF($D$23="Semestriel",6,12))))=0,SUMPRODUCT((D$92:AM$92&gt;=MAX($E$5,EDATE(AF$92,-(IF($D$23="Mensuel",1,IF($D$23="Trimestriel",3,IF($D$23="Semestriel",6,12)))-1))))*(D$92:AM$92&lt;=AF$92)*N(D$70:AM$70)),0))</f>
        <v>0</v>
      </c>
      <c r="AG96" s="25">
        <f>IF(AG$92="",0,IF(MOD(MONTH(AG$92),IF($D$23="Mensuel",1,IF($D$23="Trimestriel",3,IF($D$23="Semestriel",6,12))))=0,SUMPRODUCT((D$92:AM$92&gt;=MAX($E$5,EDATE(AG$92,-(IF($D$23="Mensuel",1,IF($D$23="Trimestriel",3,IF($D$23="Semestriel",6,12)))-1))))*(D$92:AM$92&lt;=AG$92)*N(D$70:AM$70)),0))</f>
        <v>0</v>
      </c>
      <c r="AH96" s="25">
        <f>IF(AH$92="",0,IF(MOD(MONTH(AH$92),IF($D$23="Mensuel",1,IF($D$23="Trimestriel",3,IF($D$23="Semestriel",6,12))))=0,SUMPRODUCT((D$92:AM$92&gt;=MAX($E$5,EDATE(AH$92,-(IF($D$23="Mensuel",1,IF($D$23="Trimestriel",3,IF($D$23="Semestriel",6,12)))-1))))*(D$92:AM$92&lt;=AH$92)*N(D$70:AM$70)),0))</f>
        <v>0</v>
      </c>
      <c r="AI96" s="25">
        <f>IF(AI$92="",0,IF(MOD(MONTH(AI$92),IF($D$23="Mensuel",1,IF($D$23="Trimestriel",3,IF($D$23="Semestriel",6,12))))=0,SUMPRODUCT((D$92:AM$92&gt;=MAX($E$5,EDATE(AI$92,-(IF($D$23="Mensuel",1,IF($D$23="Trimestriel",3,IF($D$23="Semestriel",6,12)))-1))))*(D$92:AM$92&lt;=AI$92)*N(D$70:AM$70)),0))</f>
        <v>0</v>
      </c>
      <c r="AJ96" s="25">
        <f>IF(AJ$92="",0,IF(MOD(MONTH(AJ$92),IF($D$23="Mensuel",1,IF($D$23="Trimestriel",3,IF($D$23="Semestriel",6,12))))=0,SUMPRODUCT((D$92:AM$92&gt;=MAX($E$5,EDATE(AJ$92,-(IF($D$23="Mensuel",1,IF($D$23="Trimestriel",3,IF($D$23="Semestriel",6,12)))-1))))*(D$92:AM$92&lt;=AJ$92)*N(D$70:AM$70)),0))</f>
        <v>0</v>
      </c>
      <c r="AK96" s="25">
        <f>IF(AK$92="",0,IF(MOD(MONTH(AK$92),IF($D$23="Mensuel",1,IF($D$23="Trimestriel",3,IF($D$23="Semestriel",6,12))))=0,SUMPRODUCT((D$92:AM$92&gt;=MAX($E$5,EDATE(AK$92,-(IF($D$23="Mensuel",1,IF($D$23="Trimestriel",3,IF($D$23="Semestriel",6,12)))-1))))*(D$92:AM$92&lt;=AK$92)*N(D$70:AM$70)),0))</f>
        <v>0</v>
      </c>
      <c r="AL96" s="25">
        <f>IF(AL$92="",0,IF(MOD(MONTH(AL$92),IF($D$23="Mensuel",1,IF($D$23="Trimestriel",3,IF($D$23="Semestriel",6,12))))=0,SUMPRODUCT((D$92:AM$92&gt;=MAX($E$5,EDATE(AL$92,-(IF($D$23="Mensuel",1,IF($D$23="Trimestriel",3,IF($D$23="Semestriel",6,12)))-1))))*(D$92:AM$92&lt;=AL$92)*N(D$70:AM$70)),0))</f>
        <v>0</v>
      </c>
      <c r="AM96" s="25">
        <f>IF(AM$92="",0,IF(MOD(MONTH(AM$92),IF($D$23="Mensuel",1,IF($D$23="Trimestriel",3,IF($D$23="Semestriel",6,12))))=0,SUMPRODUCT((D$92:AM$92&gt;=MAX($E$5,EDATE(AM$92,-(IF($D$23="Mensuel",1,IF($D$23="Trimestriel",3,IF($D$23="Semestriel",6,12)))-1))))*(D$92:AM$92&lt;=AM$92)*N(D$70:AM$70)),0))</f>
        <v>0</v>
      </c>
    </row>
    <row r="97" ht="15.75" customHeight="1" outlineLevel="1">
      <c r="B97" s="40" t="str">
        <f t="shared" si="25"/>
        <v>Commission Dépositaire (BFCM)</v>
      </c>
      <c r="D97" s="25">
        <f>IF(D$92="",0,IF(MOD(MONTH(D$92),IF($D$24="Mensuel",1,IF($D$24="Trimestriel",3,IF($D$24="Semestriel",6,12))))=0,SUMPRODUCT((D$92:AM$92&gt;=MAX($E$5,EDATE(D$92,-(IF($D$24="Mensuel",1,IF($D$24="Trimestriel",3,IF($D$24="Semestriel",6,12)))-1))))*(D$92:AM$92&lt;=D$92)*N(D$71:AM$71)),0))</f>
        <v>0</v>
      </c>
      <c r="E97" s="25">
        <f>IF(E$92="",0,IF(MOD(MONTH(E$92),IF($D$24="Mensuel",1,IF($D$24="Trimestriel",3,IF($D$24="Semestriel",6,12))))=0,SUMPRODUCT((D$92:AM$92&gt;=MAX($E$5,EDATE(E$92,-(IF($D$24="Mensuel",1,IF($D$24="Trimestriel",3,IF($D$24="Semestriel",6,12)))-1))))*(D$92:AM$92&lt;=E$92)*N(D$71:AM$71)),0))</f>
        <v>0</v>
      </c>
      <c r="F97" s="25">
        <f>IF(F$92="",0,IF(MOD(MONTH(F$92),IF($D$24="Mensuel",1,IF($D$24="Trimestriel",3,IF($D$24="Semestriel",6,12))))=0,SUMPRODUCT((D$92:AM$92&gt;=MAX($E$5,EDATE(F$92,-(IF($D$24="Mensuel",1,IF($D$24="Trimestriel",3,IF($D$24="Semestriel",6,12)))-1))))*(D$92:AM$92&lt;=F$92)*N(D$71:AM$71)),0))</f>
        <v>0</v>
      </c>
      <c r="G97" s="25">
        <f>IF(G$92="",0,IF(MOD(MONTH(G$92),IF($D$24="Mensuel",1,IF($D$24="Trimestriel",3,IF($D$24="Semestriel",6,12))))=0,SUMPRODUCT((D$92:AM$92&gt;=MAX($E$5,EDATE(G$92,-(IF($D$24="Mensuel",1,IF($D$24="Trimestriel",3,IF($D$24="Semestriel",6,12)))-1))))*(D$92:AM$92&lt;=G$92)*N(D$71:AM$71)),0))</f>
        <v>0</v>
      </c>
      <c r="H97" s="25">
        <f>IF(H$92="",0,IF(MOD(MONTH(H$92),IF($D$24="Mensuel",1,IF($D$24="Trimestriel",3,IF($D$24="Semestriel",6,12))))=0,SUMPRODUCT((D$92:AM$92&gt;=MAX($E$5,EDATE(H$92,-(IF($D$24="Mensuel",1,IF($D$24="Trimestriel",3,IF($D$24="Semestriel",6,12)))-1))))*(D$92:AM$92&lt;=H$92)*N(D$71:AM$71)),0))</f>
        <v>1619.047619</v>
      </c>
      <c r="I97" s="25">
        <f>IF(I$92="",0,IF(MOD(MONTH(I$92),IF($D$24="Mensuel",1,IF($D$24="Trimestriel",3,IF($D$24="Semestriel",6,12))))=0,SUMPRODUCT((D$92:AM$92&gt;=MAX($E$5,EDATE(I$92,-(IF($D$24="Mensuel",1,IF($D$24="Trimestriel",3,IF($D$24="Semestriel",6,12)))-1))))*(D$92:AM$92&lt;=I$92)*N(D$71:AM$71)),0))</f>
        <v>0</v>
      </c>
      <c r="J97" s="25">
        <f>IF(J$92="",0,IF(MOD(MONTH(J$92),IF($D$24="Mensuel",1,IF($D$24="Trimestriel",3,IF($D$24="Semestriel",6,12))))=0,SUMPRODUCT((D$92:AM$92&gt;=MAX($E$5,EDATE(J$92,-(IF($D$24="Mensuel",1,IF($D$24="Trimestriel",3,IF($D$24="Semestriel",6,12)))-1))))*(D$92:AM$92&lt;=J$92)*N(D$71:AM$71)),0))</f>
        <v>0</v>
      </c>
      <c r="K97" s="25">
        <f>IF(K$92="",0,IF(MOD(MONTH(K$92),IF($D$24="Mensuel",1,IF($D$24="Trimestriel",3,IF($D$24="Semestriel",6,12))))=0,SUMPRODUCT((D$92:AM$92&gt;=MAX($E$5,EDATE(K$92,-(IF($D$24="Mensuel",1,IF($D$24="Trimestriel",3,IF($D$24="Semestriel",6,12)))-1))))*(D$92:AM$92&lt;=K$92)*N(D$71:AM$71)),0))</f>
        <v>0</v>
      </c>
      <c r="L97" s="25">
        <f>IF(L$92="",0,IF(MOD(MONTH(L$92),IF($D$24="Mensuel",1,IF($D$24="Trimestriel",3,IF($D$24="Semestriel",6,12))))=0,SUMPRODUCT((D$92:AM$92&gt;=MAX($E$5,EDATE(L$92,-(IF($D$24="Mensuel",1,IF($D$24="Trimestriel",3,IF($D$24="Semestriel",6,12)))-1))))*(D$92:AM$92&lt;=L$92)*N(D$71:AM$71)),0))</f>
        <v>0</v>
      </c>
      <c r="M97" s="25">
        <f>IF(M$92="",0,IF(MOD(MONTH(M$92),IF($D$24="Mensuel",1,IF($D$24="Trimestriel",3,IF($D$24="Semestriel",6,12))))=0,SUMPRODUCT((D$92:AM$92&gt;=MAX($E$5,EDATE(M$92,-(IF($D$24="Mensuel",1,IF($D$24="Trimestriel",3,IF($D$24="Semestriel",6,12)))-1))))*(D$92:AM$92&lt;=M$92)*N(D$71:AM$71)),0))</f>
        <v>0</v>
      </c>
      <c r="N97" s="25">
        <f>IF(N$92="",0,IF(MOD(MONTH(N$92),IF($D$24="Mensuel",1,IF($D$24="Trimestriel",3,IF($D$24="Semestriel",6,12))))=0,SUMPRODUCT((D$92:AM$92&gt;=MAX($E$5,EDATE(N$92,-(IF($D$24="Mensuel",1,IF($D$24="Trimestriel",3,IF($D$24="Semestriel",6,12)))-1))))*(D$92:AM$92&lt;=N$92)*N(D$71:AM$71)),0))</f>
        <v>0</v>
      </c>
      <c r="O97" s="25">
        <f>IF(O$92="",0,IF(MOD(MONTH(O$92),IF($D$24="Mensuel",1,IF($D$24="Trimestriel",3,IF($D$24="Semestriel",6,12))))=0,SUMPRODUCT((D$92:AM$92&gt;=MAX($E$5,EDATE(O$92,-(IF($D$24="Mensuel",1,IF($D$24="Trimestriel",3,IF($D$24="Semestriel",6,12)))-1))))*(D$92:AM$92&lt;=O$92)*N(D$71:AM$71)),0))</f>
        <v>0</v>
      </c>
      <c r="P97" s="25">
        <f>IF(P$92="",0,IF(MOD(MONTH(P$92),IF($D$24="Mensuel",1,IF($D$24="Trimestriel",3,IF($D$24="Semestriel",6,12))))=0,SUMPRODUCT((D$92:AM$92&gt;=MAX($E$5,EDATE(P$92,-(IF($D$24="Mensuel",1,IF($D$24="Trimestriel",3,IF($D$24="Semestriel",6,12)))-1))))*(D$92:AM$92&lt;=P$92)*N(D$71:AM$71)),0))</f>
        <v>0</v>
      </c>
      <c r="Q97" s="25">
        <f>IF(Q$92="",0,IF(MOD(MONTH(Q$92),IF($D$24="Mensuel",1,IF($D$24="Trimestriel",3,IF($D$24="Semestriel",6,12))))=0,SUMPRODUCT((D$92:AM$92&gt;=MAX($E$5,EDATE(Q$92,-(IF($D$24="Mensuel",1,IF($D$24="Trimestriel",3,IF($D$24="Semestriel",6,12)))-1))))*(D$92:AM$92&lt;=Q$92)*N(D$71:AM$71)),0))</f>
        <v>0</v>
      </c>
      <c r="R97" s="25">
        <f>IF(R$92="",0,IF(MOD(MONTH(R$92),IF($D$24="Mensuel",1,IF($D$24="Trimestriel",3,IF($D$24="Semestriel",6,12))))=0,SUMPRODUCT((D$92:AM$92&gt;=MAX($E$5,EDATE(R$92,-(IF($D$24="Mensuel",1,IF($D$24="Trimestriel",3,IF($D$24="Semestriel",6,12)))-1))))*(D$92:AM$92&lt;=R$92)*N(D$71:AM$71)),0))</f>
        <v>0</v>
      </c>
      <c r="S97" s="25">
        <f>IF(S$92="",0,IF(MOD(MONTH(S$92),IF($D$24="Mensuel",1,IF($D$24="Trimestriel",3,IF($D$24="Semestriel",6,12))))=0,SUMPRODUCT((D$92:AM$92&gt;=MAX($E$5,EDATE(S$92,-(IF($D$24="Mensuel",1,IF($D$24="Trimestriel",3,IF($D$24="Semestriel",6,12)))-1))))*(D$92:AM$92&lt;=S$92)*N(D$71:AM$71)),0))</f>
        <v>0</v>
      </c>
      <c r="T97" s="25">
        <f>IF(T$92="",0,IF(MOD(MONTH(T$92),IF($D$24="Mensuel",1,IF($D$24="Trimestriel",3,IF($D$24="Semestriel",6,12))))=0,SUMPRODUCT((D$92:AM$92&gt;=MAX($E$5,EDATE(T$92,-(IF($D$24="Mensuel",1,IF($D$24="Trimestriel",3,IF($D$24="Semestriel",6,12)))-1))))*(D$92:AM$92&lt;=T$92)*N(D$71:AM$71)),0))</f>
        <v>0</v>
      </c>
      <c r="U97" s="25">
        <f>IF(U$92="",0,IF(MOD(MONTH(U$92),IF($D$24="Mensuel",1,IF($D$24="Trimestriel",3,IF($D$24="Semestriel",6,12))))=0,SUMPRODUCT((D$92:AM$92&gt;=MAX($E$5,EDATE(U$92,-(IF($D$24="Mensuel",1,IF($D$24="Trimestriel",3,IF($D$24="Semestriel",6,12)))-1))))*(D$92:AM$92&lt;=U$92)*N(D$71:AM$71)),0))</f>
        <v>0</v>
      </c>
      <c r="V97" s="25">
        <f>IF(V$92="",0,IF(MOD(MONTH(V$92),IF($D$24="Mensuel",1,IF($D$24="Trimestriel",3,IF($D$24="Semestriel",6,12))))=0,SUMPRODUCT((D$92:AM$92&gt;=MAX($E$5,EDATE(V$92,-(IF($D$24="Mensuel",1,IF($D$24="Trimestriel",3,IF($D$24="Semestriel",6,12)))-1))))*(D$92:AM$92&lt;=V$92)*N(D$71:AM$71)),0))</f>
        <v>0</v>
      </c>
      <c r="W97" s="25">
        <f>IF(W$92="",0,IF(MOD(MONTH(W$92),IF($D$24="Mensuel",1,IF($D$24="Trimestriel",3,IF($D$24="Semestriel",6,12))))=0,SUMPRODUCT((D$92:AM$92&gt;=MAX($E$5,EDATE(W$92,-(IF($D$24="Mensuel",1,IF($D$24="Trimestriel",3,IF($D$24="Semestriel",6,12)))-1))))*(D$92:AM$92&lt;=W$92)*N(D$71:AM$71)),0))</f>
        <v>0</v>
      </c>
      <c r="X97" s="25">
        <f>IF(X$92="",0,IF(MOD(MONTH(X$92),IF($D$24="Mensuel",1,IF($D$24="Trimestriel",3,IF($D$24="Semestriel",6,12))))=0,SUMPRODUCT((D$92:AM$92&gt;=MAX($E$5,EDATE(X$92,-(IF($D$24="Mensuel",1,IF($D$24="Trimestriel",3,IF($D$24="Semestriel",6,12)))-1))))*(D$92:AM$92&lt;=X$92)*N(D$71:AM$71)),0))</f>
        <v>0</v>
      </c>
      <c r="Y97" s="25">
        <f>IF(Y$92="",0,IF(MOD(MONTH(Y$92),IF($D$24="Mensuel",1,IF($D$24="Trimestriel",3,IF($D$24="Semestriel",6,12))))=0,SUMPRODUCT((D$92:AM$92&gt;=MAX($E$5,EDATE(Y$92,-(IF($D$24="Mensuel",1,IF($D$24="Trimestriel",3,IF($D$24="Semestriel",6,12)))-1))))*(D$92:AM$92&lt;=Y$92)*N(D$71:AM$71)),0))</f>
        <v>0</v>
      </c>
      <c r="Z97" s="25">
        <f>IF(Z$92="",0,IF(MOD(MONTH(Z$92),IF($D$24="Mensuel",1,IF($D$24="Trimestriel",3,IF($D$24="Semestriel",6,12))))=0,SUMPRODUCT((D$92:AM$92&gt;=MAX($E$5,EDATE(Z$92,-(IF($D$24="Mensuel",1,IF($D$24="Trimestriel",3,IF($D$24="Semestriel",6,12)))-1))))*(D$92:AM$92&lt;=Z$92)*N(D$71:AM$71)),0))</f>
        <v>0</v>
      </c>
      <c r="AA97" s="25">
        <f>IF(AA$92="",0,IF(MOD(MONTH(AA$92),IF($D$24="Mensuel",1,IF($D$24="Trimestriel",3,IF($D$24="Semestriel",6,12))))=0,SUMPRODUCT((D$92:AM$92&gt;=MAX($E$5,EDATE(AA$92,-(IF($D$24="Mensuel",1,IF($D$24="Trimestriel",3,IF($D$24="Semestriel",6,12)))-1))))*(D$92:AM$92&lt;=AA$92)*N(D$71:AM$71)),0))</f>
        <v>0</v>
      </c>
      <c r="AB97" s="25">
        <f>IF(AB$92="",0,IF(MOD(MONTH(AB$92),IF($D$24="Mensuel",1,IF($D$24="Trimestriel",3,IF($D$24="Semestriel",6,12))))=0,SUMPRODUCT((D$92:AM$92&gt;=MAX($E$5,EDATE(AB$92,-(IF($D$24="Mensuel",1,IF($D$24="Trimestriel",3,IF($D$24="Semestriel",6,12)))-1))))*(D$92:AM$92&lt;=AB$92)*N(D$71:AM$71)),0))</f>
        <v>0</v>
      </c>
      <c r="AC97" s="25">
        <f>IF(AC$92="",0,IF(MOD(MONTH(AC$92),IF($D$24="Mensuel",1,IF($D$24="Trimestriel",3,IF($D$24="Semestriel",6,12))))=0,SUMPRODUCT((D$92:AM$92&gt;=MAX($E$5,EDATE(AC$92,-(IF($D$24="Mensuel",1,IF($D$24="Trimestriel",3,IF($D$24="Semestriel",6,12)))-1))))*(D$92:AM$92&lt;=AC$92)*N(D$71:AM$71)),0))</f>
        <v>0</v>
      </c>
      <c r="AD97" s="25">
        <f>IF(AD$92="",0,IF(MOD(MONTH(AD$92),IF($D$24="Mensuel",1,IF($D$24="Trimestriel",3,IF($D$24="Semestriel",6,12))))=0,SUMPRODUCT((D$92:AM$92&gt;=MAX($E$5,EDATE(AD$92,-(IF($D$24="Mensuel",1,IF($D$24="Trimestriel",3,IF($D$24="Semestriel",6,12)))-1))))*(D$92:AM$92&lt;=AD$92)*N(D$71:AM$71)),0))</f>
        <v>0</v>
      </c>
      <c r="AE97" s="25">
        <f>IF(AE$92="",0,IF(MOD(MONTH(AE$92),IF($D$24="Mensuel",1,IF($D$24="Trimestriel",3,IF($D$24="Semestriel",6,12))))=0,SUMPRODUCT((D$92:AM$92&gt;=MAX($E$5,EDATE(AE$92,-(IF($D$24="Mensuel",1,IF($D$24="Trimestriel",3,IF($D$24="Semestriel",6,12)))-1))))*(D$92:AM$92&lt;=AE$92)*N(D$71:AM$71)),0))</f>
        <v>0</v>
      </c>
      <c r="AF97" s="25">
        <f>IF(AF$92="",0,IF(MOD(MONTH(AF$92),IF($D$24="Mensuel",1,IF($D$24="Trimestriel",3,IF($D$24="Semestriel",6,12))))=0,SUMPRODUCT((D$92:AM$92&gt;=MAX($E$5,EDATE(AF$92,-(IF($D$24="Mensuel",1,IF($D$24="Trimestriel",3,IF($D$24="Semestriel",6,12)))-1))))*(D$92:AM$92&lt;=AF$92)*N(D$71:AM$71)),0))</f>
        <v>0</v>
      </c>
      <c r="AG97" s="25">
        <f>IF(AG$92="",0,IF(MOD(MONTH(AG$92),IF($D$24="Mensuel",1,IF($D$24="Trimestriel",3,IF($D$24="Semestriel",6,12))))=0,SUMPRODUCT((D$92:AM$92&gt;=MAX($E$5,EDATE(AG$92,-(IF($D$24="Mensuel",1,IF($D$24="Trimestriel",3,IF($D$24="Semestriel",6,12)))-1))))*(D$92:AM$92&lt;=AG$92)*N(D$71:AM$71)),0))</f>
        <v>0</v>
      </c>
      <c r="AH97" s="25">
        <f>IF(AH$92="",0,IF(MOD(MONTH(AH$92),IF($D$24="Mensuel",1,IF($D$24="Trimestriel",3,IF($D$24="Semestriel",6,12))))=0,SUMPRODUCT((D$92:AM$92&gt;=MAX($E$5,EDATE(AH$92,-(IF($D$24="Mensuel",1,IF($D$24="Trimestriel",3,IF($D$24="Semestriel",6,12)))-1))))*(D$92:AM$92&lt;=AH$92)*N(D$71:AM$71)),0))</f>
        <v>0</v>
      </c>
      <c r="AI97" s="25">
        <f>IF(AI$92="",0,IF(MOD(MONTH(AI$92),IF($D$24="Mensuel",1,IF($D$24="Trimestriel",3,IF($D$24="Semestriel",6,12))))=0,SUMPRODUCT((D$92:AM$92&gt;=MAX($E$5,EDATE(AI$92,-(IF($D$24="Mensuel",1,IF($D$24="Trimestriel",3,IF($D$24="Semestriel",6,12)))-1))))*(D$92:AM$92&lt;=AI$92)*N(D$71:AM$71)),0))</f>
        <v>0</v>
      </c>
      <c r="AJ97" s="25">
        <f>IF(AJ$92="",0,IF(MOD(MONTH(AJ$92),IF($D$24="Mensuel",1,IF($D$24="Trimestriel",3,IF($D$24="Semestriel",6,12))))=0,SUMPRODUCT((D$92:AM$92&gt;=MAX($E$5,EDATE(AJ$92,-(IF($D$24="Mensuel",1,IF($D$24="Trimestriel",3,IF($D$24="Semestriel",6,12)))-1))))*(D$92:AM$92&lt;=AJ$92)*N(D$71:AM$71)),0))</f>
        <v>0</v>
      </c>
      <c r="AK97" s="25">
        <f>IF(AK$92="",0,IF(MOD(MONTH(AK$92),IF($D$24="Mensuel",1,IF($D$24="Trimestriel",3,IF($D$24="Semestriel",6,12))))=0,SUMPRODUCT((D$92:AM$92&gt;=MAX($E$5,EDATE(AK$92,-(IF($D$24="Mensuel",1,IF($D$24="Trimestriel",3,IF($D$24="Semestriel",6,12)))-1))))*(D$92:AM$92&lt;=AK$92)*N(D$71:AM$71)),0))</f>
        <v>0</v>
      </c>
      <c r="AL97" s="25">
        <f>IF(AL$92="",0,IF(MOD(MONTH(AL$92),IF($D$24="Mensuel",1,IF($D$24="Trimestriel",3,IF($D$24="Semestriel",6,12))))=0,SUMPRODUCT((D$92:AM$92&gt;=MAX($E$5,EDATE(AL$92,-(IF($D$24="Mensuel",1,IF($D$24="Trimestriel",3,IF($D$24="Semestriel",6,12)))-1))))*(D$92:AM$92&lt;=AL$92)*N(D$71:AM$71)),0))</f>
        <v>0</v>
      </c>
      <c r="AM97" s="25">
        <f>IF(AM$92="",0,IF(MOD(MONTH(AM$92),IF($D$24="Mensuel",1,IF($D$24="Trimestriel",3,IF($D$24="Semestriel",6,12))))=0,SUMPRODUCT((D$92:AM$92&gt;=MAX($E$5,EDATE(AM$92,-(IF($D$24="Mensuel",1,IF($D$24="Trimestriel",3,IF($D$24="Semestriel",6,12)))-1))))*(D$92:AM$92&lt;=AM$92)*N(D$71:AM$71)),0))</f>
        <v>0</v>
      </c>
    </row>
    <row r="98" ht="15.75" customHeight="1" outlineLevel="1">
      <c r="B98" s="40" t="str">
        <f t="shared" si="25"/>
        <v>Commissaire aux Comptes</v>
      </c>
      <c r="D98" s="25">
        <f>IF(D$92="",0,IF(MOD(MONTH(D$92),IF($D$25="Mensuel",1,IF($D$25="Trimestriel",3,IF($D$25="Semestriel",6,12))))=0,SUMPRODUCT((D$92:AM$92&gt;=MAX($E$5,EDATE(D$92,-(IF($D$25="Mensuel",1,IF($D$25="Trimestriel",3,IF($D$25="Semestriel",6,12)))-1))))*(D$92:AM$92&lt;=D$92)*N(D$72:AM$72)),0))</f>
        <v>0</v>
      </c>
      <c r="E98" s="25">
        <f>IF(E$92="",0,IF(MOD(MONTH(E$92),IF($D$25="Mensuel",1,IF($D$25="Trimestriel",3,IF($D$25="Semestriel",6,12))))=0,SUMPRODUCT((D$92:AM$92&gt;=MAX($E$5,EDATE(E$92,-(IF($D$25="Mensuel",1,IF($D$25="Trimestriel",3,IF($D$25="Semestriel",6,12)))-1))))*(D$92:AM$92&lt;=E$92)*N(D$72:AM$72)),0))</f>
        <v>0</v>
      </c>
      <c r="F98" s="25">
        <f>IF(F$92="",0,IF(MOD(MONTH(F$92),IF($D$25="Mensuel",1,IF($D$25="Trimestriel",3,IF($D$25="Semestriel",6,12))))=0,SUMPRODUCT((D$92:AM$92&gt;=MAX($E$5,EDATE(F$92,-(IF($D$25="Mensuel",1,IF($D$25="Trimestriel",3,IF($D$25="Semestriel",6,12)))-1))))*(D$92:AM$92&lt;=F$92)*N(D$72:AM$72)),0))</f>
        <v>0</v>
      </c>
      <c r="G98" s="25">
        <f>IF(G$92="",0,IF(MOD(MONTH(G$92),IF($D$25="Mensuel",1,IF($D$25="Trimestriel",3,IF($D$25="Semestriel",6,12))))=0,SUMPRODUCT((D$92:AM$92&gt;=MAX($E$5,EDATE(G$92,-(IF($D$25="Mensuel",1,IF($D$25="Trimestriel",3,IF($D$25="Semestriel",6,12)))-1))))*(D$92:AM$92&lt;=G$92)*N(D$72:AM$72)),0))</f>
        <v>0</v>
      </c>
      <c r="H98" s="25">
        <f>IF(H$92="",0,IF(MOD(MONTH(H$92),IF($D$25="Mensuel",1,IF($D$25="Trimestriel",3,IF($D$25="Semestriel",6,12))))=0,SUMPRODUCT((D$92:AM$92&gt;=MAX($E$5,EDATE(H$92,-(IF($D$25="Mensuel",1,IF($D$25="Trimestriel",3,IF($D$25="Semestriel",6,12)))-1))))*(D$92:AM$92&lt;=H$92)*N(D$72:AM$72)),0))</f>
        <v>742.0634921</v>
      </c>
      <c r="I98" s="25">
        <f>IF(I$92="",0,IF(MOD(MONTH(I$92),IF($D$25="Mensuel",1,IF($D$25="Trimestriel",3,IF($D$25="Semestriel",6,12))))=0,SUMPRODUCT((D$92:AM$92&gt;=MAX($E$5,EDATE(I$92,-(IF($D$25="Mensuel",1,IF($D$25="Trimestriel",3,IF($D$25="Semestriel",6,12)))-1))))*(D$92:AM$92&lt;=I$92)*N(D$72:AM$72)),0))</f>
        <v>0</v>
      </c>
      <c r="J98" s="25">
        <f>IF(J$92="",0,IF(MOD(MONTH(J$92),IF($D$25="Mensuel",1,IF($D$25="Trimestriel",3,IF($D$25="Semestriel",6,12))))=0,SUMPRODUCT((D$92:AM$92&gt;=MAX($E$5,EDATE(J$92,-(IF($D$25="Mensuel",1,IF($D$25="Trimestriel",3,IF($D$25="Semestriel",6,12)))-1))))*(D$92:AM$92&lt;=J$92)*N(D$72:AM$72)),0))</f>
        <v>0</v>
      </c>
      <c r="K98" s="25">
        <f>IF(K$92="",0,IF(MOD(MONTH(K$92),IF($D$25="Mensuel",1,IF($D$25="Trimestriel",3,IF($D$25="Semestriel",6,12))))=0,SUMPRODUCT((D$92:AM$92&gt;=MAX($E$5,EDATE(K$92,-(IF($D$25="Mensuel",1,IF($D$25="Trimestriel",3,IF($D$25="Semestriel",6,12)))-1))))*(D$92:AM$92&lt;=K$92)*N(D$72:AM$72)),0))</f>
        <v>0</v>
      </c>
      <c r="L98" s="25">
        <f>IF(L$92="",0,IF(MOD(MONTH(L$92),IF($D$25="Mensuel",1,IF($D$25="Trimestriel",3,IF($D$25="Semestriel",6,12))))=0,SUMPRODUCT((D$92:AM$92&gt;=MAX($E$5,EDATE(L$92,-(IF($D$25="Mensuel",1,IF($D$25="Trimestriel",3,IF($D$25="Semestriel",6,12)))-1))))*(D$92:AM$92&lt;=L$92)*N(D$72:AM$72)),0))</f>
        <v>0</v>
      </c>
      <c r="M98" s="25">
        <f>IF(M$92="",0,IF(MOD(MONTH(M$92),IF($D$25="Mensuel",1,IF($D$25="Trimestriel",3,IF($D$25="Semestriel",6,12))))=0,SUMPRODUCT((D$92:AM$92&gt;=MAX($E$5,EDATE(M$92,-(IF($D$25="Mensuel",1,IF($D$25="Trimestriel",3,IF($D$25="Semestriel",6,12)))-1))))*(D$92:AM$92&lt;=M$92)*N(D$72:AM$72)),0))</f>
        <v>0</v>
      </c>
      <c r="N98" s="25">
        <f>IF(N$92="",0,IF(MOD(MONTH(N$92),IF($D$25="Mensuel",1,IF($D$25="Trimestriel",3,IF($D$25="Semestriel",6,12))))=0,SUMPRODUCT((D$92:AM$92&gt;=MAX($E$5,EDATE(N$92,-(IF($D$25="Mensuel",1,IF($D$25="Trimestriel",3,IF($D$25="Semestriel",6,12)))-1))))*(D$92:AM$92&lt;=N$92)*N(D$72:AM$72)),0))</f>
        <v>0</v>
      </c>
      <c r="O98" s="25">
        <f>IF(O$92="",0,IF(MOD(MONTH(O$92),IF($D$25="Mensuel",1,IF($D$25="Trimestriel",3,IF($D$25="Semestriel",6,12))))=0,SUMPRODUCT((D$92:AM$92&gt;=MAX($E$5,EDATE(O$92,-(IF($D$25="Mensuel",1,IF($D$25="Trimestriel",3,IF($D$25="Semestriel",6,12)))-1))))*(D$92:AM$92&lt;=O$92)*N(D$72:AM$72)),0))</f>
        <v>0</v>
      </c>
      <c r="P98" s="25">
        <f>IF(P$92="",0,IF(MOD(MONTH(P$92),IF($D$25="Mensuel",1,IF($D$25="Trimestriel",3,IF($D$25="Semestriel",6,12))))=0,SUMPRODUCT((D$92:AM$92&gt;=MAX($E$5,EDATE(P$92,-(IF($D$25="Mensuel",1,IF($D$25="Trimestriel",3,IF($D$25="Semestriel",6,12)))-1))))*(D$92:AM$92&lt;=P$92)*N(D$72:AM$72)),0))</f>
        <v>0</v>
      </c>
      <c r="Q98" s="25">
        <f>IF(Q$92="",0,IF(MOD(MONTH(Q$92),IF($D$25="Mensuel",1,IF($D$25="Trimestriel",3,IF($D$25="Semestriel",6,12))))=0,SUMPRODUCT((D$92:AM$92&gt;=MAX($E$5,EDATE(Q$92,-(IF($D$25="Mensuel",1,IF($D$25="Trimestriel",3,IF($D$25="Semestriel",6,12)))-1))))*(D$92:AM$92&lt;=Q$92)*N(D$72:AM$72)),0))</f>
        <v>0</v>
      </c>
      <c r="R98" s="25">
        <f>IF(R$92="",0,IF(MOD(MONTH(R$92),IF($D$25="Mensuel",1,IF($D$25="Trimestriel",3,IF($D$25="Semestriel",6,12))))=0,SUMPRODUCT((D$92:AM$92&gt;=MAX($E$5,EDATE(R$92,-(IF($D$25="Mensuel",1,IF($D$25="Trimestriel",3,IF($D$25="Semestriel",6,12)))-1))))*(D$92:AM$92&lt;=R$92)*N(D$72:AM$72)),0))</f>
        <v>0</v>
      </c>
      <c r="S98" s="25">
        <f>IF(S$92="",0,IF(MOD(MONTH(S$92),IF($D$25="Mensuel",1,IF($D$25="Trimestriel",3,IF($D$25="Semestriel",6,12))))=0,SUMPRODUCT((D$92:AM$92&gt;=MAX($E$5,EDATE(S$92,-(IF($D$25="Mensuel",1,IF($D$25="Trimestriel",3,IF($D$25="Semestriel",6,12)))-1))))*(D$92:AM$92&lt;=S$92)*N(D$72:AM$72)),0))</f>
        <v>0</v>
      </c>
      <c r="T98" s="25">
        <f>IF(T$92="",0,IF(MOD(MONTH(T$92),IF($D$25="Mensuel",1,IF($D$25="Trimestriel",3,IF($D$25="Semestriel",6,12))))=0,SUMPRODUCT((D$92:AM$92&gt;=MAX($E$5,EDATE(T$92,-(IF($D$25="Mensuel",1,IF($D$25="Trimestriel",3,IF($D$25="Semestriel",6,12)))-1))))*(D$92:AM$92&lt;=T$92)*N(D$72:AM$72)),0))</f>
        <v>0</v>
      </c>
      <c r="U98" s="25">
        <f>IF(U$92="",0,IF(MOD(MONTH(U$92),IF($D$25="Mensuel",1,IF($D$25="Trimestriel",3,IF($D$25="Semestriel",6,12))))=0,SUMPRODUCT((D$92:AM$92&gt;=MAX($E$5,EDATE(U$92,-(IF($D$25="Mensuel",1,IF($D$25="Trimestriel",3,IF($D$25="Semestriel",6,12)))-1))))*(D$92:AM$92&lt;=U$92)*N(D$72:AM$72)),0))</f>
        <v>0</v>
      </c>
      <c r="V98" s="25">
        <f>IF(V$92="",0,IF(MOD(MONTH(V$92),IF($D$25="Mensuel",1,IF($D$25="Trimestriel",3,IF($D$25="Semestriel",6,12))))=0,SUMPRODUCT((D$92:AM$92&gt;=MAX($E$5,EDATE(V$92,-(IF($D$25="Mensuel",1,IF($D$25="Trimestriel",3,IF($D$25="Semestriel",6,12)))-1))))*(D$92:AM$92&lt;=V$92)*N(D$72:AM$72)),0))</f>
        <v>0</v>
      </c>
      <c r="W98" s="25">
        <f>IF(W$92="",0,IF(MOD(MONTH(W$92),IF($D$25="Mensuel",1,IF($D$25="Trimestriel",3,IF($D$25="Semestriel",6,12))))=0,SUMPRODUCT((D$92:AM$92&gt;=MAX($E$5,EDATE(W$92,-(IF($D$25="Mensuel",1,IF($D$25="Trimestriel",3,IF($D$25="Semestriel",6,12)))-1))))*(D$92:AM$92&lt;=W$92)*N(D$72:AM$72)),0))</f>
        <v>0</v>
      </c>
      <c r="X98" s="25">
        <f>IF(X$92="",0,IF(MOD(MONTH(X$92),IF($D$25="Mensuel",1,IF($D$25="Trimestriel",3,IF($D$25="Semestriel",6,12))))=0,SUMPRODUCT((D$92:AM$92&gt;=MAX($E$5,EDATE(X$92,-(IF($D$25="Mensuel",1,IF($D$25="Trimestriel",3,IF($D$25="Semestriel",6,12)))-1))))*(D$92:AM$92&lt;=X$92)*N(D$72:AM$72)),0))</f>
        <v>0</v>
      </c>
      <c r="Y98" s="25">
        <f>IF(Y$92="",0,IF(MOD(MONTH(Y$92),IF($D$25="Mensuel",1,IF($D$25="Trimestriel",3,IF($D$25="Semestriel",6,12))))=0,SUMPRODUCT((D$92:AM$92&gt;=MAX($E$5,EDATE(Y$92,-(IF($D$25="Mensuel",1,IF($D$25="Trimestriel",3,IF($D$25="Semestriel",6,12)))-1))))*(D$92:AM$92&lt;=Y$92)*N(D$72:AM$72)),0))</f>
        <v>0</v>
      </c>
      <c r="Z98" s="25">
        <f>IF(Z$92="",0,IF(MOD(MONTH(Z$92),IF($D$25="Mensuel",1,IF($D$25="Trimestriel",3,IF($D$25="Semestriel",6,12))))=0,SUMPRODUCT((D$92:AM$92&gt;=MAX($E$5,EDATE(Z$92,-(IF($D$25="Mensuel",1,IF($D$25="Trimestriel",3,IF($D$25="Semestriel",6,12)))-1))))*(D$92:AM$92&lt;=Z$92)*N(D$72:AM$72)),0))</f>
        <v>0</v>
      </c>
      <c r="AA98" s="25">
        <f>IF(AA$92="",0,IF(MOD(MONTH(AA$92),IF($D$25="Mensuel",1,IF($D$25="Trimestriel",3,IF($D$25="Semestriel",6,12))))=0,SUMPRODUCT((D$92:AM$92&gt;=MAX($E$5,EDATE(AA$92,-(IF($D$25="Mensuel",1,IF($D$25="Trimestriel",3,IF($D$25="Semestriel",6,12)))-1))))*(D$92:AM$92&lt;=AA$92)*N(D$72:AM$72)),0))</f>
        <v>0</v>
      </c>
      <c r="AB98" s="25">
        <f>IF(AB$92="",0,IF(MOD(MONTH(AB$92),IF($D$25="Mensuel",1,IF($D$25="Trimestriel",3,IF($D$25="Semestriel",6,12))))=0,SUMPRODUCT((D$92:AM$92&gt;=MAX($E$5,EDATE(AB$92,-(IF($D$25="Mensuel",1,IF($D$25="Trimestriel",3,IF($D$25="Semestriel",6,12)))-1))))*(D$92:AM$92&lt;=AB$92)*N(D$72:AM$72)),0))</f>
        <v>0</v>
      </c>
      <c r="AC98" s="25">
        <f>IF(AC$92="",0,IF(MOD(MONTH(AC$92),IF($D$25="Mensuel",1,IF($D$25="Trimestriel",3,IF($D$25="Semestriel",6,12))))=0,SUMPRODUCT((D$92:AM$92&gt;=MAX($E$5,EDATE(AC$92,-(IF($D$25="Mensuel",1,IF($D$25="Trimestriel",3,IF($D$25="Semestriel",6,12)))-1))))*(D$92:AM$92&lt;=AC$92)*N(D$72:AM$72)),0))</f>
        <v>0</v>
      </c>
      <c r="AD98" s="25">
        <f>IF(AD$92="",0,IF(MOD(MONTH(AD$92),IF($D$25="Mensuel",1,IF($D$25="Trimestriel",3,IF($D$25="Semestriel",6,12))))=0,SUMPRODUCT((D$92:AM$92&gt;=MAX($E$5,EDATE(AD$92,-(IF($D$25="Mensuel",1,IF($D$25="Trimestriel",3,IF($D$25="Semestriel",6,12)))-1))))*(D$92:AM$92&lt;=AD$92)*N(D$72:AM$72)),0))</f>
        <v>0</v>
      </c>
      <c r="AE98" s="25">
        <f>IF(AE$92="",0,IF(MOD(MONTH(AE$92),IF($D$25="Mensuel",1,IF($D$25="Trimestriel",3,IF($D$25="Semestriel",6,12))))=0,SUMPRODUCT((D$92:AM$92&gt;=MAX($E$5,EDATE(AE$92,-(IF($D$25="Mensuel",1,IF($D$25="Trimestriel",3,IF($D$25="Semestriel",6,12)))-1))))*(D$92:AM$92&lt;=AE$92)*N(D$72:AM$72)),0))</f>
        <v>0</v>
      </c>
      <c r="AF98" s="25">
        <f>IF(AF$92="",0,IF(MOD(MONTH(AF$92),IF($D$25="Mensuel",1,IF($D$25="Trimestriel",3,IF($D$25="Semestriel",6,12))))=0,SUMPRODUCT((D$92:AM$92&gt;=MAX($E$5,EDATE(AF$92,-(IF($D$25="Mensuel",1,IF($D$25="Trimestriel",3,IF($D$25="Semestriel",6,12)))-1))))*(D$92:AM$92&lt;=AF$92)*N(D$72:AM$72)),0))</f>
        <v>0</v>
      </c>
      <c r="AG98" s="25">
        <f>IF(AG$92="",0,IF(MOD(MONTH(AG$92),IF($D$25="Mensuel",1,IF($D$25="Trimestriel",3,IF($D$25="Semestriel",6,12))))=0,SUMPRODUCT((D$92:AM$92&gt;=MAX($E$5,EDATE(AG$92,-(IF($D$25="Mensuel",1,IF($D$25="Trimestriel",3,IF($D$25="Semestriel",6,12)))-1))))*(D$92:AM$92&lt;=AG$92)*N(D$72:AM$72)),0))</f>
        <v>0</v>
      </c>
      <c r="AH98" s="25">
        <f>IF(AH$92="",0,IF(MOD(MONTH(AH$92),IF($D$25="Mensuel",1,IF($D$25="Trimestriel",3,IF($D$25="Semestriel",6,12))))=0,SUMPRODUCT((D$92:AM$92&gt;=MAX($E$5,EDATE(AH$92,-(IF($D$25="Mensuel",1,IF($D$25="Trimestriel",3,IF($D$25="Semestriel",6,12)))-1))))*(D$92:AM$92&lt;=AH$92)*N(D$72:AM$72)),0))</f>
        <v>0</v>
      </c>
      <c r="AI98" s="25">
        <f>IF(AI$92="",0,IF(MOD(MONTH(AI$92),IF($D$25="Mensuel",1,IF($D$25="Trimestriel",3,IF($D$25="Semestriel",6,12))))=0,SUMPRODUCT((D$92:AM$92&gt;=MAX($E$5,EDATE(AI$92,-(IF($D$25="Mensuel",1,IF($D$25="Trimestriel",3,IF($D$25="Semestriel",6,12)))-1))))*(D$92:AM$92&lt;=AI$92)*N(D$72:AM$72)),0))</f>
        <v>0</v>
      </c>
      <c r="AJ98" s="25">
        <f>IF(AJ$92="",0,IF(MOD(MONTH(AJ$92),IF($D$25="Mensuel",1,IF($D$25="Trimestriel",3,IF($D$25="Semestriel",6,12))))=0,SUMPRODUCT((D$92:AM$92&gt;=MAX($E$5,EDATE(AJ$92,-(IF($D$25="Mensuel",1,IF($D$25="Trimestriel",3,IF($D$25="Semestriel",6,12)))-1))))*(D$92:AM$92&lt;=AJ$92)*N(D$72:AM$72)),0))</f>
        <v>0</v>
      </c>
      <c r="AK98" s="25">
        <f>IF(AK$92="",0,IF(MOD(MONTH(AK$92),IF($D$25="Mensuel",1,IF($D$25="Trimestriel",3,IF($D$25="Semestriel",6,12))))=0,SUMPRODUCT((D$92:AM$92&gt;=MAX($E$5,EDATE(AK$92,-(IF($D$25="Mensuel",1,IF($D$25="Trimestriel",3,IF($D$25="Semestriel",6,12)))-1))))*(D$92:AM$92&lt;=AK$92)*N(D$72:AM$72)),0))</f>
        <v>0</v>
      </c>
      <c r="AL98" s="25">
        <f>IF(AL$92="",0,IF(MOD(MONTH(AL$92),IF($D$25="Mensuel",1,IF($D$25="Trimestriel",3,IF($D$25="Semestriel",6,12))))=0,SUMPRODUCT((D$92:AM$92&gt;=MAX($E$5,EDATE(AL$92,-(IF($D$25="Mensuel",1,IF($D$25="Trimestriel",3,IF($D$25="Semestriel",6,12)))-1))))*(D$92:AM$92&lt;=AL$92)*N(D$72:AM$72)),0))</f>
        <v>0</v>
      </c>
      <c r="AM98" s="25">
        <f>IF(AM$92="",0,IF(MOD(MONTH(AM$92),IF($D$25="Mensuel",1,IF($D$25="Trimestriel",3,IF($D$25="Semestriel",6,12))))=0,SUMPRODUCT((D$92:AM$92&gt;=MAX($E$5,EDATE(AM$92,-(IF($D$25="Mensuel",1,IF($D$25="Trimestriel",3,IF($D$25="Semestriel",6,12)))-1))))*(D$92:AM$92&lt;=AM$92)*N(D$72:AM$72)),0))</f>
        <v>0</v>
      </c>
    </row>
    <row r="99" ht="15.75" customHeight="1" outlineLevel="1">
      <c r="B99" s="40" t="str">
        <f t="shared" si="25"/>
        <v>CAC — Frais par Distribution</v>
      </c>
      <c r="D99" s="25">
        <f t="shared" ref="D99:AM99" si="26">IF(D$92="",0,IF(D$50="","",(IF(AND(MONTH(D$92)&gt;=2,MOD(MONTH(D$92)-1,IF($D$26="Mensuel",1,IF($D$26="Trimestriel",3,IF($D$26="Semestriel",6,12))))=0),1,0)+IF(MONTH(D$92)=12,1,0))*D$50*IF($D$26="Mensuel",1,IF($D$26="Trimestriel",3,IF($D$26="Semestriel",6,12)))/12))</f>
        <v>0</v>
      </c>
      <c r="E99" s="25">
        <f t="shared" si="26"/>
        <v>0</v>
      </c>
      <c r="F99" s="25" t="str">
        <f t="shared" si="26"/>
        <v/>
      </c>
      <c r="G99" s="25" t="str">
        <f t="shared" si="26"/>
        <v/>
      </c>
      <c r="H99" s="25" t="str">
        <f t="shared" si="26"/>
        <v/>
      </c>
      <c r="I99" s="25" t="str">
        <f t="shared" si="26"/>
        <v/>
      </c>
      <c r="J99" s="25" t="str">
        <f t="shared" si="26"/>
        <v/>
      </c>
      <c r="K99" s="25" t="str">
        <f t="shared" si="26"/>
        <v/>
      </c>
      <c r="L99" s="25" t="str">
        <f t="shared" si="26"/>
        <v/>
      </c>
      <c r="M99" s="25" t="str">
        <f t="shared" si="26"/>
        <v/>
      </c>
      <c r="N99" s="25" t="str">
        <f t="shared" si="26"/>
        <v/>
      </c>
      <c r="O99" s="25" t="str">
        <f t="shared" si="26"/>
        <v/>
      </c>
      <c r="P99" s="25" t="str">
        <f t="shared" si="26"/>
        <v/>
      </c>
      <c r="Q99" s="25" t="str">
        <f t="shared" si="26"/>
        <v/>
      </c>
      <c r="R99" s="25" t="str">
        <f t="shared" si="26"/>
        <v/>
      </c>
      <c r="S99" s="25" t="str">
        <f t="shared" si="26"/>
        <v/>
      </c>
      <c r="T99" s="25" t="str">
        <f t="shared" si="26"/>
        <v/>
      </c>
      <c r="U99" s="25" t="str">
        <f t="shared" si="26"/>
        <v/>
      </c>
      <c r="V99" s="25" t="str">
        <f t="shared" si="26"/>
        <v/>
      </c>
      <c r="W99" s="25" t="str">
        <f t="shared" si="26"/>
        <v/>
      </c>
      <c r="X99" s="25" t="str">
        <f t="shared" si="26"/>
        <v/>
      </c>
      <c r="Y99" s="25" t="str">
        <f t="shared" si="26"/>
        <v/>
      </c>
      <c r="Z99" s="25" t="str">
        <f t="shared" si="26"/>
        <v/>
      </c>
      <c r="AA99" s="25" t="str">
        <f t="shared" si="26"/>
        <v/>
      </c>
      <c r="AB99" s="25">
        <f t="shared" si="26"/>
        <v>0</v>
      </c>
      <c r="AC99" s="25">
        <f t="shared" si="26"/>
        <v>0</v>
      </c>
      <c r="AD99" s="25">
        <f t="shared" si="26"/>
        <v>0</v>
      </c>
      <c r="AE99" s="25">
        <f t="shared" si="26"/>
        <v>0</v>
      </c>
      <c r="AF99" s="25">
        <f t="shared" si="26"/>
        <v>0</v>
      </c>
      <c r="AG99" s="25">
        <f t="shared" si="26"/>
        <v>0</v>
      </c>
      <c r="AH99" s="25">
        <f t="shared" si="26"/>
        <v>0</v>
      </c>
      <c r="AI99" s="25">
        <f t="shared" si="26"/>
        <v>0</v>
      </c>
      <c r="AJ99" s="25">
        <f t="shared" si="26"/>
        <v>0</v>
      </c>
      <c r="AK99" s="25">
        <f t="shared" si="26"/>
        <v>0</v>
      </c>
      <c r="AL99" s="25">
        <f t="shared" si="26"/>
        <v>0</v>
      </c>
      <c r="AM99" s="25">
        <f t="shared" si="26"/>
        <v>0</v>
      </c>
    </row>
    <row r="100" ht="15.75" customHeight="1" outlineLevel="1">
      <c r="B100" s="40" t="str">
        <f t="shared" si="25"/>
        <v>Reporting — Rapport Annuel (CIC)</v>
      </c>
      <c r="D100" s="25">
        <f>IF(D$92="",0,IF(MOD(MONTH(D$92),IF($D$27="Mensuel",1,IF($D$27="Trimestriel",3,IF($D$27="Semestriel",6,12))))=0,SUMPRODUCT((D$92:AM$92&gt;=MAX($E$5,EDATE(D$92,-(IF($D$27="Mensuel",1,IF($D$27="Trimestriel",3,IF($D$27="Semestriel",6,12)))-1))))*(D$92:AM$92&lt;=D$92)*N(D$74:AM$74)),0))</f>
        <v>0</v>
      </c>
      <c r="E100" s="25">
        <f>IF(E$92="",0,IF(MOD(MONTH(E$92),IF($D$27="Mensuel",1,IF($D$27="Trimestriel",3,IF($D$27="Semestriel",6,12))))=0,SUMPRODUCT((D$92:AM$92&gt;=MAX($E$5,EDATE(E$92,-(IF($D$27="Mensuel",1,IF($D$27="Trimestriel",3,IF($D$27="Semestriel",6,12)))-1))))*(D$92:AM$92&lt;=E$92)*N(D$74:AM$74)),0))</f>
        <v>0</v>
      </c>
      <c r="F100" s="25">
        <f>IF(F$92="",0,IF(MOD(MONTH(F$92),IF($D$27="Mensuel",1,IF($D$27="Trimestriel",3,IF($D$27="Semestriel",6,12))))=0,SUMPRODUCT((D$92:AM$92&gt;=MAX($E$5,EDATE(F$92,-(IF($D$27="Mensuel",1,IF($D$27="Trimestriel",3,IF($D$27="Semestriel",6,12)))-1))))*(D$92:AM$92&lt;=F$92)*N(D$74:AM$74)),0))</f>
        <v>0</v>
      </c>
      <c r="G100" s="25">
        <f>IF(G$92="",0,IF(MOD(MONTH(G$92),IF($D$27="Mensuel",1,IF($D$27="Trimestriel",3,IF($D$27="Semestriel",6,12))))=0,SUMPRODUCT((D$92:AM$92&gt;=MAX($E$5,EDATE(G$92,-(IF($D$27="Mensuel",1,IF($D$27="Trimestriel",3,IF($D$27="Semestriel",6,12)))-1))))*(D$92:AM$92&lt;=G$92)*N(D$74:AM$74)),0))</f>
        <v>0</v>
      </c>
      <c r="H100" s="25">
        <f>IF(H$92="",0,IF(MOD(MONTH(H$92),IF($D$27="Mensuel",1,IF($D$27="Trimestriel",3,IF($D$27="Semestriel",6,12))))=0,SUMPRODUCT((D$92:AM$92&gt;=MAX($E$5,EDATE(H$92,-(IF($D$27="Mensuel",1,IF($D$27="Trimestriel",3,IF($D$27="Semestriel",6,12)))-1))))*(D$92:AM$92&lt;=H$92)*N(D$74:AM$74)),0))</f>
        <v>107.9365079</v>
      </c>
      <c r="I100" s="25">
        <f>IF(I$92="",0,IF(MOD(MONTH(I$92),IF($D$27="Mensuel",1,IF($D$27="Trimestriel",3,IF($D$27="Semestriel",6,12))))=0,SUMPRODUCT((D$92:AM$92&gt;=MAX($E$5,EDATE(I$92,-(IF($D$27="Mensuel",1,IF($D$27="Trimestriel",3,IF($D$27="Semestriel",6,12)))-1))))*(D$92:AM$92&lt;=I$92)*N(D$74:AM$74)),0))</f>
        <v>0</v>
      </c>
      <c r="J100" s="25">
        <f>IF(J$92="",0,IF(MOD(MONTH(J$92),IF($D$27="Mensuel",1,IF($D$27="Trimestriel",3,IF($D$27="Semestriel",6,12))))=0,SUMPRODUCT((D$92:AM$92&gt;=MAX($E$5,EDATE(J$92,-(IF($D$27="Mensuel",1,IF($D$27="Trimestriel",3,IF($D$27="Semestriel",6,12)))-1))))*(D$92:AM$92&lt;=J$92)*N(D$74:AM$74)),0))</f>
        <v>0</v>
      </c>
      <c r="K100" s="25">
        <f>IF(K$92="",0,IF(MOD(MONTH(K$92),IF($D$27="Mensuel",1,IF($D$27="Trimestriel",3,IF($D$27="Semestriel",6,12))))=0,SUMPRODUCT((D$92:AM$92&gt;=MAX($E$5,EDATE(K$92,-(IF($D$27="Mensuel",1,IF($D$27="Trimestriel",3,IF($D$27="Semestriel",6,12)))-1))))*(D$92:AM$92&lt;=K$92)*N(D$74:AM$74)),0))</f>
        <v>0</v>
      </c>
      <c r="L100" s="25">
        <f>IF(L$92="",0,IF(MOD(MONTH(L$92),IF($D$27="Mensuel",1,IF($D$27="Trimestriel",3,IF($D$27="Semestriel",6,12))))=0,SUMPRODUCT((D$92:AM$92&gt;=MAX($E$5,EDATE(L$92,-(IF($D$27="Mensuel",1,IF($D$27="Trimestriel",3,IF($D$27="Semestriel",6,12)))-1))))*(D$92:AM$92&lt;=L$92)*N(D$74:AM$74)),0))</f>
        <v>0</v>
      </c>
      <c r="M100" s="25">
        <f>IF(M$92="",0,IF(MOD(MONTH(M$92),IF($D$27="Mensuel",1,IF($D$27="Trimestriel",3,IF($D$27="Semestriel",6,12))))=0,SUMPRODUCT((D$92:AM$92&gt;=MAX($E$5,EDATE(M$92,-(IF($D$27="Mensuel",1,IF($D$27="Trimestriel",3,IF($D$27="Semestriel",6,12)))-1))))*(D$92:AM$92&lt;=M$92)*N(D$74:AM$74)),0))</f>
        <v>0</v>
      </c>
      <c r="N100" s="25">
        <f>IF(N$92="",0,IF(MOD(MONTH(N$92),IF($D$27="Mensuel",1,IF($D$27="Trimestriel",3,IF($D$27="Semestriel",6,12))))=0,SUMPRODUCT((D$92:AM$92&gt;=MAX($E$5,EDATE(N$92,-(IF($D$27="Mensuel",1,IF($D$27="Trimestriel",3,IF($D$27="Semestriel",6,12)))-1))))*(D$92:AM$92&lt;=N$92)*N(D$74:AM$74)),0))</f>
        <v>0</v>
      </c>
      <c r="O100" s="25">
        <f>IF(O$92="",0,IF(MOD(MONTH(O$92),IF($D$27="Mensuel",1,IF($D$27="Trimestriel",3,IF($D$27="Semestriel",6,12))))=0,SUMPRODUCT((D$92:AM$92&gt;=MAX($E$5,EDATE(O$92,-(IF($D$27="Mensuel",1,IF($D$27="Trimestriel",3,IF($D$27="Semestriel",6,12)))-1))))*(D$92:AM$92&lt;=O$92)*N(D$74:AM$74)),0))</f>
        <v>0</v>
      </c>
      <c r="P100" s="25">
        <f>IF(P$92="",0,IF(MOD(MONTH(P$92),IF($D$27="Mensuel",1,IF($D$27="Trimestriel",3,IF($D$27="Semestriel",6,12))))=0,SUMPRODUCT((D$92:AM$92&gt;=MAX($E$5,EDATE(P$92,-(IF($D$27="Mensuel",1,IF($D$27="Trimestriel",3,IF($D$27="Semestriel",6,12)))-1))))*(D$92:AM$92&lt;=P$92)*N(D$74:AM$74)),0))</f>
        <v>0</v>
      </c>
      <c r="Q100" s="25">
        <f>IF(Q$92="",0,IF(MOD(MONTH(Q$92),IF($D$27="Mensuel",1,IF($D$27="Trimestriel",3,IF($D$27="Semestriel",6,12))))=0,SUMPRODUCT((D$92:AM$92&gt;=MAX($E$5,EDATE(Q$92,-(IF($D$27="Mensuel",1,IF($D$27="Trimestriel",3,IF($D$27="Semestriel",6,12)))-1))))*(D$92:AM$92&lt;=Q$92)*N(D$74:AM$74)),0))</f>
        <v>0</v>
      </c>
      <c r="R100" s="25">
        <f>IF(R$92="",0,IF(MOD(MONTH(R$92),IF($D$27="Mensuel",1,IF($D$27="Trimestriel",3,IF($D$27="Semestriel",6,12))))=0,SUMPRODUCT((D$92:AM$92&gt;=MAX($E$5,EDATE(R$92,-(IF($D$27="Mensuel",1,IF($D$27="Trimestriel",3,IF($D$27="Semestriel",6,12)))-1))))*(D$92:AM$92&lt;=R$92)*N(D$74:AM$74)),0))</f>
        <v>0</v>
      </c>
      <c r="S100" s="25">
        <f>IF(S$92="",0,IF(MOD(MONTH(S$92),IF($D$27="Mensuel",1,IF($D$27="Trimestriel",3,IF($D$27="Semestriel",6,12))))=0,SUMPRODUCT((D$92:AM$92&gt;=MAX($E$5,EDATE(S$92,-(IF($D$27="Mensuel",1,IF($D$27="Trimestriel",3,IF($D$27="Semestriel",6,12)))-1))))*(D$92:AM$92&lt;=S$92)*N(D$74:AM$74)),0))</f>
        <v>0</v>
      </c>
      <c r="T100" s="25">
        <f>IF(T$92="",0,IF(MOD(MONTH(T$92),IF($D$27="Mensuel",1,IF($D$27="Trimestriel",3,IF($D$27="Semestriel",6,12))))=0,SUMPRODUCT((D$92:AM$92&gt;=MAX($E$5,EDATE(T$92,-(IF($D$27="Mensuel",1,IF($D$27="Trimestriel",3,IF($D$27="Semestriel",6,12)))-1))))*(D$92:AM$92&lt;=T$92)*N(D$74:AM$74)),0))</f>
        <v>0</v>
      </c>
      <c r="U100" s="25">
        <f>IF(U$92="",0,IF(MOD(MONTH(U$92),IF($D$27="Mensuel",1,IF($D$27="Trimestriel",3,IF($D$27="Semestriel",6,12))))=0,SUMPRODUCT((D$92:AM$92&gt;=MAX($E$5,EDATE(U$92,-(IF($D$27="Mensuel",1,IF($D$27="Trimestriel",3,IF($D$27="Semestriel",6,12)))-1))))*(D$92:AM$92&lt;=U$92)*N(D$74:AM$74)),0))</f>
        <v>0</v>
      </c>
      <c r="V100" s="25">
        <f>IF(V$92="",0,IF(MOD(MONTH(V$92),IF($D$27="Mensuel",1,IF($D$27="Trimestriel",3,IF($D$27="Semestriel",6,12))))=0,SUMPRODUCT((D$92:AM$92&gt;=MAX($E$5,EDATE(V$92,-(IF($D$27="Mensuel",1,IF($D$27="Trimestriel",3,IF($D$27="Semestriel",6,12)))-1))))*(D$92:AM$92&lt;=V$92)*N(D$74:AM$74)),0))</f>
        <v>0</v>
      </c>
      <c r="W100" s="25">
        <f>IF(W$92="",0,IF(MOD(MONTH(W$92),IF($D$27="Mensuel",1,IF($D$27="Trimestriel",3,IF($D$27="Semestriel",6,12))))=0,SUMPRODUCT((D$92:AM$92&gt;=MAX($E$5,EDATE(W$92,-(IF($D$27="Mensuel",1,IF($D$27="Trimestriel",3,IF($D$27="Semestriel",6,12)))-1))))*(D$92:AM$92&lt;=W$92)*N(D$74:AM$74)),0))</f>
        <v>0</v>
      </c>
      <c r="X100" s="25">
        <f>IF(X$92="",0,IF(MOD(MONTH(X$92),IF($D$27="Mensuel",1,IF($D$27="Trimestriel",3,IF($D$27="Semestriel",6,12))))=0,SUMPRODUCT((D$92:AM$92&gt;=MAX($E$5,EDATE(X$92,-(IF($D$27="Mensuel",1,IF($D$27="Trimestriel",3,IF($D$27="Semestriel",6,12)))-1))))*(D$92:AM$92&lt;=X$92)*N(D$74:AM$74)),0))</f>
        <v>0</v>
      </c>
      <c r="Y100" s="25">
        <f>IF(Y$92="",0,IF(MOD(MONTH(Y$92),IF($D$27="Mensuel",1,IF($D$27="Trimestriel",3,IF($D$27="Semestriel",6,12))))=0,SUMPRODUCT((D$92:AM$92&gt;=MAX($E$5,EDATE(Y$92,-(IF($D$27="Mensuel",1,IF($D$27="Trimestriel",3,IF($D$27="Semestriel",6,12)))-1))))*(D$92:AM$92&lt;=Y$92)*N(D$74:AM$74)),0))</f>
        <v>0</v>
      </c>
      <c r="Z100" s="25">
        <f>IF(Z$92="",0,IF(MOD(MONTH(Z$92),IF($D$27="Mensuel",1,IF($D$27="Trimestriel",3,IF($D$27="Semestriel",6,12))))=0,SUMPRODUCT((D$92:AM$92&gt;=MAX($E$5,EDATE(Z$92,-(IF($D$27="Mensuel",1,IF($D$27="Trimestriel",3,IF($D$27="Semestriel",6,12)))-1))))*(D$92:AM$92&lt;=Z$92)*N(D$74:AM$74)),0))</f>
        <v>0</v>
      </c>
      <c r="AA100" s="25">
        <f>IF(AA$92="",0,IF(MOD(MONTH(AA$92),IF($D$27="Mensuel",1,IF($D$27="Trimestriel",3,IF($D$27="Semestriel",6,12))))=0,SUMPRODUCT((D$92:AM$92&gt;=MAX($E$5,EDATE(AA$92,-(IF($D$27="Mensuel",1,IF($D$27="Trimestriel",3,IF($D$27="Semestriel",6,12)))-1))))*(D$92:AM$92&lt;=AA$92)*N(D$74:AM$74)),0))</f>
        <v>0</v>
      </c>
      <c r="AB100" s="25">
        <f>IF(AB$92="",0,IF(MOD(MONTH(AB$92),IF($D$27="Mensuel",1,IF($D$27="Trimestriel",3,IF($D$27="Semestriel",6,12))))=0,SUMPRODUCT((D$92:AM$92&gt;=MAX($E$5,EDATE(AB$92,-(IF($D$27="Mensuel",1,IF($D$27="Trimestriel",3,IF($D$27="Semestriel",6,12)))-1))))*(D$92:AM$92&lt;=AB$92)*N(D$74:AM$74)),0))</f>
        <v>0</v>
      </c>
      <c r="AC100" s="25">
        <f>IF(AC$92="",0,IF(MOD(MONTH(AC$92),IF($D$27="Mensuel",1,IF($D$27="Trimestriel",3,IF($D$27="Semestriel",6,12))))=0,SUMPRODUCT((D$92:AM$92&gt;=MAX($E$5,EDATE(AC$92,-(IF($D$27="Mensuel",1,IF($D$27="Trimestriel",3,IF($D$27="Semestriel",6,12)))-1))))*(D$92:AM$92&lt;=AC$92)*N(D$74:AM$74)),0))</f>
        <v>0</v>
      </c>
      <c r="AD100" s="25">
        <f>IF(AD$92="",0,IF(MOD(MONTH(AD$92),IF($D$27="Mensuel",1,IF($D$27="Trimestriel",3,IF($D$27="Semestriel",6,12))))=0,SUMPRODUCT((D$92:AM$92&gt;=MAX($E$5,EDATE(AD$92,-(IF($D$27="Mensuel",1,IF($D$27="Trimestriel",3,IF($D$27="Semestriel",6,12)))-1))))*(D$92:AM$92&lt;=AD$92)*N(D$74:AM$74)),0))</f>
        <v>0</v>
      </c>
      <c r="AE100" s="25">
        <f>IF(AE$92="",0,IF(MOD(MONTH(AE$92),IF($D$27="Mensuel",1,IF($D$27="Trimestriel",3,IF($D$27="Semestriel",6,12))))=0,SUMPRODUCT((D$92:AM$92&gt;=MAX($E$5,EDATE(AE$92,-(IF($D$27="Mensuel",1,IF($D$27="Trimestriel",3,IF($D$27="Semestriel",6,12)))-1))))*(D$92:AM$92&lt;=AE$92)*N(D$74:AM$74)),0))</f>
        <v>0</v>
      </c>
      <c r="AF100" s="25">
        <f>IF(AF$92="",0,IF(MOD(MONTH(AF$92),IF($D$27="Mensuel",1,IF($D$27="Trimestriel",3,IF($D$27="Semestriel",6,12))))=0,SUMPRODUCT((D$92:AM$92&gt;=MAX($E$5,EDATE(AF$92,-(IF($D$27="Mensuel",1,IF($D$27="Trimestriel",3,IF($D$27="Semestriel",6,12)))-1))))*(D$92:AM$92&lt;=AF$92)*N(D$74:AM$74)),0))</f>
        <v>0</v>
      </c>
      <c r="AG100" s="25">
        <f>IF(AG$92="",0,IF(MOD(MONTH(AG$92),IF($D$27="Mensuel",1,IF($D$27="Trimestriel",3,IF($D$27="Semestriel",6,12))))=0,SUMPRODUCT((D$92:AM$92&gt;=MAX($E$5,EDATE(AG$92,-(IF($D$27="Mensuel",1,IF($D$27="Trimestriel",3,IF($D$27="Semestriel",6,12)))-1))))*(D$92:AM$92&lt;=AG$92)*N(D$74:AM$74)),0))</f>
        <v>0</v>
      </c>
      <c r="AH100" s="25">
        <f>IF(AH$92="",0,IF(MOD(MONTH(AH$92),IF($D$27="Mensuel",1,IF($D$27="Trimestriel",3,IF($D$27="Semestriel",6,12))))=0,SUMPRODUCT((D$92:AM$92&gt;=MAX($E$5,EDATE(AH$92,-(IF($D$27="Mensuel",1,IF($D$27="Trimestriel",3,IF($D$27="Semestriel",6,12)))-1))))*(D$92:AM$92&lt;=AH$92)*N(D$74:AM$74)),0))</f>
        <v>0</v>
      </c>
      <c r="AI100" s="25">
        <f>IF(AI$92="",0,IF(MOD(MONTH(AI$92),IF($D$27="Mensuel",1,IF($D$27="Trimestriel",3,IF($D$27="Semestriel",6,12))))=0,SUMPRODUCT((D$92:AM$92&gt;=MAX($E$5,EDATE(AI$92,-(IF($D$27="Mensuel",1,IF($D$27="Trimestriel",3,IF($D$27="Semestriel",6,12)))-1))))*(D$92:AM$92&lt;=AI$92)*N(D$74:AM$74)),0))</f>
        <v>0</v>
      </c>
      <c r="AJ100" s="25">
        <f>IF(AJ$92="",0,IF(MOD(MONTH(AJ$92),IF($D$27="Mensuel",1,IF($D$27="Trimestriel",3,IF($D$27="Semestriel",6,12))))=0,SUMPRODUCT((D$92:AM$92&gt;=MAX($E$5,EDATE(AJ$92,-(IF($D$27="Mensuel",1,IF($D$27="Trimestriel",3,IF($D$27="Semestriel",6,12)))-1))))*(D$92:AM$92&lt;=AJ$92)*N(D$74:AM$74)),0))</f>
        <v>0</v>
      </c>
      <c r="AK100" s="25">
        <f>IF(AK$92="",0,IF(MOD(MONTH(AK$92),IF($D$27="Mensuel",1,IF($D$27="Trimestriel",3,IF($D$27="Semestriel",6,12))))=0,SUMPRODUCT((D$92:AM$92&gt;=MAX($E$5,EDATE(AK$92,-(IF($D$27="Mensuel",1,IF($D$27="Trimestriel",3,IF($D$27="Semestriel",6,12)))-1))))*(D$92:AM$92&lt;=AK$92)*N(D$74:AM$74)),0))</f>
        <v>0</v>
      </c>
      <c r="AL100" s="25">
        <f>IF(AL$92="",0,IF(MOD(MONTH(AL$92),IF($D$27="Mensuel",1,IF($D$27="Trimestriel",3,IF($D$27="Semestriel",6,12))))=0,SUMPRODUCT((D$92:AM$92&gt;=MAX($E$5,EDATE(AL$92,-(IF($D$27="Mensuel",1,IF($D$27="Trimestriel",3,IF($D$27="Semestriel",6,12)))-1))))*(D$92:AM$92&lt;=AL$92)*N(D$74:AM$74)),0))</f>
        <v>0</v>
      </c>
      <c r="AM100" s="25">
        <f>IF(AM$92="",0,IF(MOD(MONTH(AM$92),IF($D$27="Mensuel",1,IF($D$27="Trimestriel",3,IF($D$27="Semestriel",6,12))))=0,SUMPRODUCT((D$92:AM$92&gt;=MAX($E$5,EDATE(AM$92,-(IF($D$27="Mensuel",1,IF($D$27="Trimestriel",3,IF($D$27="Semestriel",6,12)))-1))))*(D$92:AM$92&lt;=AM$92)*N(D$74:AM$74)),0))</f>
        <v>0</v>
      </c>
    </row>
    <row r="101" ht="15.75" customHeight="1" outlineLevel="1">
      <c r="B101" s="40" t="str">
        <f t="shared" si="25"/>
        <v>Valorisation (CIC)</v>
      </c>
      <c r="D101" s="25">
        <f>IF(D$92="",0,IF(MOD(MONTH(D$92),IF($D$28="Mensuel",1,IF($D$28="Trimestriel",3,IF($D$28="Semestriel",6,12))))=0,SUMPRODUCT((D$92:AM$92&gt;=MAX($E$5,EDATE(D$92,-(IF($D$28="Mensuel",1,IF($D$28="Trimestriel",3,IF($D$28="Semestriel",6,12)))-1))))*(D$92:AM$92&lt;=D$92)*N(D$75:AM$75)),0))</f>
        <v>0</v>
      </c>
      <c r="E101" s="25">
        <f>IF(E$92="",0,IF(MOD(MONTH(E$92),IF($D$28="Mensuel",1,IF($D$28="Trimestriel",3,IF($D$28="Semestriel",6,12))))=0,SUMPRODUCT((D$92:AM$92&gt;=MAX($E$5,EDATE(E$92,-(IF($D$28="Mensuel",1,IF($D$28="Trimestriel",3,IF($D$28="Semestriel",6,12)))-1))))*(D$92:AM$92&lt;=E$92)*N(D$75:AM$75)),0))</f>
        <v>0</v>
      </c>
      <c r="F101" s="25">
        <f>IF(F$92="",0,IF(MOD(MONTH(F$92),IF($D$28="Mensuel",1,IF($D$28="Trimestriel",3,IF($D$28="Semestriel",6,12))))=0,SUMPRODUCT((D$92:AM$92&gt;=MAX($E$5,EDATE(F$92,-(IF($D$28="Mensuel",1,IF($D$28="Trimestriel",3,IF($D$28="Semestriel",6,12)))-1))))*(D$92:AM$92&lt;=F$92)*N(D$75:AM$75)),0))</f>
        <v>0</v>
      </c>
      <c r="G101" s="25">
        <f>IF(G$92="",0,IF(MOD(MONTH(G$92),IF($D$28="Mensuel",1,IF($D$28="Trimestriel",3,IF($D$28="Semestriel",6,12))))=0,SUMPRODUCT((D$92:AM$92&gt;=MAX($E$5,EDATE(G$92,-(IF($D$28="Mensuel",1,IF($D$28="Trimestriel",3,IF($D$28="Semestriel",6,12)))-1))))*(D$92:AM$92&lt;=G$92)*N(D$75:AM$75)),0))</f>
        <v>0</v>
      </c>
      <c r="H101" s="25">
        <f>IF(H$92="",0,IF(MOD(MONTH(H$92),IF($D$28="Mensuel",1,IF($D$28="Trimestriel",3,IF($D$28="Semestriel",6,12))))=0,SUMPRODUCT((D$92:AM$92&gt;=MAX($E$5,EDATE(H$92,-(IF($D$28="Mensuel",1,IF($D$28="Trimestriel",3,IF($D$28="Semestriel",6,12)))-1))))*(D$92:AM$92&lt;=H$92)*N(D$75:AM$75)),0))</f>
        <v>1619.047619</v>
      </c>
      <c r="I101" s="25">
        <f>IF(I$92="",0,IF(MOD(MONTH(I$92),IF($D$28="Mensuel",1,IF($D$28="Trimestriel",3,IF($D$28="Semestriel",6,12))))=0,SUMPRODUCT((D$92:AM$92&gt;=MAX($E$5,EDATE(I$92,-(IF($D$28="Mensuel",1,IF($D$28="Trimestriel",3,IF($D$28="Semestriel",6,12)))-1))))*(D$92:AM$92&lt;=I$92)*N(D$75:AM$75)),0))</f>
        <v>0</v>
      </c>
      <c r="J101" s="25">
        <f>IF(J$92="",0,IF(MOD(MONTH(J$92),IF($D$28="Mensuel",1,IF($D$28="Trimestriel",3,IF($D$28="Semestriel",6,12))))=0,SUMPRODUCT((D$92:AM$92&gt;=MAX($E$5,EDATE(J$92,-(IF($D$28="Mensuel",1,IF($D$28="Trimestriel",3,IF($D$28="Semestriel",6,12)))-1))))*(D$92:AM$92&lt;=J$92)*N(D$75:AM$75)),0))</f>
        <v>0</v>
      </c>
      <c r="K101" s="25">
        <f>IF(K$92="",0,IF(MOD(MONTH(K$92),IF($D$28="Mensuel",1,IF($D$28="Trimestriel",3,IF($D$28="Semestriel",6,12))))=0,SUMPRODUCT((D$92:AM$92&gt;=MAX($E$5,EDATE(K$92,-(IF($D$28="Mensuel",1,IF($D$28="Trimestriel",3,IF($D$28="Semestriel",6,12)))-1))))*(D$92:AM$92&lt;=K$92)*N(D$75:AM$75)),0))</f>
        <v>0</v>
      </c>
      <c r="L101" s="25">
        <f>IF(L$92="",0,IF(MOD(MONTH(L$92),IF($D$28="Mensuel",1,IF($D$28="Trimestriel",3,IF($D$28="Semestriel",6,12))))=0,SUMPRODUCT((D$92:AM$92&gt;=MAX($E$5,EDATE(L$92,-(IF($D$28="Mensuel",1,IF($D$28="Trimestriel",3,IF($D$28="Semestriel",6,12)))-1))))*(D$92:AM$92&lt;=L$92)*N(D$75:AM$75)),0))</f>
        <v>0</v>
      </c>
      <c r="M101" s="25">
        <f>IF(M$92="",0,IF(MOD(MONTH(M$92),IF($D$28="Mensuel",1,IF($D$28="Trimestriel",3,IF($D$28="Semestriel",6,12))))=0,SUMPRODUCT((D$92:AM$92&gt;=MAX($E$5,EDATE(M$92,-(IF($D$28="Mensuel",1,IF($D$28="Trimestriel",3,IF($D$28="Semestriel",6,12)))-1))))*(D$92:AM$92&lt;=M$92)*N(D$75:AM$75)),0))</f>
        <v>0</v>
      </c>
      <c r="N101" s="25">
        <f>IF(N$92="",0,IF(MOD(MONTH(N$92),IF($D$28="Mensuel",1,IF($D$28="Trimestriel",3,IF($D$28="Semestriel",6,12))))=0,SUMPRODUCT((D$92:AM$92&gt;=MAX($E$5,EDATE(N$92,-(IF($D$28="Mensuel",1,IF($D$28="Trimestriel",3,IF($D$28="Semestriel",6,12)))-1))))*(D$92:AM$92&lt;=N$92)*N(D$75:AM$75)),0))</f>
        <v>0</v>
      </c>
      <c r="O101" s="25">
        <f>IF(O$92="",0,IF(MOD(MONTH(O$92),IF($D$28="Mensuel",1,IF($D$28="Trimestriel",3,IF($D$28="Semestriel",6,12))))=0,SUMPRODUCT((D$92:AM$92&gt;=MAX($E$5,EDATE(O$92,-(IF($D$28="Mensuel",1,IF($D$28="Trimestriel",3,IF($D$28="Semestriel",6,12)))-1))))*(D$92:AM$92&lt;=O$92)*N(D$75:AM$75)),0))</f>
        <v>0</v>
      </c>
      <c r="P101" s="25">
        <f>IF(P$92="",0,IF(MOD(MONTH(P$92),IF($D$28="Mensuel",1,IF($D$28="Trimestriel",3,IF($D$28="Semestriel",6,12))))=0,SUMPRODUCT((D$92:AM$92&gt;=MAX($E$5,EDATE(P$92,-(IF($D$28="Mensuel",1,IF($D$28="Trimestriel",3,IF($D$28="Semestriel",6,12)))-1))))*(D$92:AM$92&lt;=P$92)*N(D$75:AM$75)),0))</f>
        <v>0</v>
      </c>
      <c r="Q101" s="25">
        <f>IF(Q$92="",0,IF(MOD(MONTH(Q$92),IF($D$28="Mensuel",1,IF($D$28="Trimestriel",3,IF($D$28="Semestriel",6,12))))=0,SUMPRODUCT((D$92:AM$92&gt;=MAX($E$5,EDATE(Q$92,-(IF($D$28="Mensuel",1,IF($D$28="Trimestriel",3,IF($D$28="Semestriel",6,12)))-1))))*(D$92:AM$92&lt;=Q$92)*N(D$75:AM$75)),0))</f>
        <v>0</v>
      </c>
      <c r="R101" s="25">
        <f>IF(R$92="",0,IF(MOD(MONTH(R$92),IF($D$28="Mensuel",1,IF($D$28="Trimestriel",3,IF($D$28="Semestriel",6,12))))=0,SUMPRODUCT((D$92:AM$92&gt;=MAX($E$5,EDATE(R$92,-(IF($D$28="Mensuel",1,IF($D$28="Trimestriel",3,IF($D$28="Semestriel",6,12)))-1))))*(D$92:AM$92&lt;=R$92)*N(D$75:AM$75)),0))</f>
        <v>0</v>
      </c>
      <c r="S101" s="25">
        <f>IF(S$92="",0,IF(MOD(MONTH(S$92),IF($D$28="Mensuel",1,IF($D$28="Trimestriel",3,IF($D$28="Semestriel",6,12))))=0,SUMPRODUCT((D$92:AM$92&gt;=MAX($E$5,EDATE(S$92,-(IF($D$28="Mensuel",1,IF($D$28="Trimestriel",3,IF($D$28="Semestriel",6,12)))-1))))*(D$92:AM$92&lt;=S$92)*N(D$75:AM$75)),0))</f>
        <v>0</v>
      </c>
      <c r="T101" s="25">
        <f>IF(T$92="",0,IF(MOD(MONTH(T$92),IF($D$28="Mensuel",1,IF($D$28="Trimestriel",3,IF($D$28="Semestriel",6,12))))=0,SUMPRODUCT((D$92:AM$92&gt;=MAX($E$5,EDATE(T$92,-(IF($D$28="Mensuel",1,IF($D$28="Trimestriel",3,IF($D$28="Semestriel",6,12)))-1))))*(D$92:AM$92&lt;=T$92)*N(D$75:AM$75)),0))</f>
        <v>0</v>
      </c>
      <c r="U101" s="25">
        <f>IF(U$92="",0,IF(MOD(MONTH(U$92),IF($D$28="Mensuel",1,IF($D$28="Trimestriel",3,IF($D$28="Semestriel",6,12))))=0,SUMPRODUCT((D$92:AM$92&gt;=MAX($E$5,EDATE(U$92,-(IF($D$28="Mensuel",1,IF($D$28="Trimestriel",3,IF($D$28="Semestriel",6,12)))-1))))*(D$92:AM$92&lt;=U$92)*N(D$75:AM$75)),0))</f>
        <v>0</v>
      </c>
      <c r="V101" s="25">
        <f>IF(V$92="",0,IF(MOD(MONTH(V$92),IF($D$28="Mensuel",1,IF($D$28="Trimestriel",3,IF($D$28="Semestriel",6,12))))=0,SUMPRODUCT((D$92:AM$92&gt;=MAX($E$5,EDATE(V$92,-(IF($D$28="Mensuel",1,IF($D$28="Trimestriel",3,IF($D$28="Semestriel",6,12)))-1))))*(D$92:AM$92&lt;=V$92)*N(D$75:AM$75)),0))</f>
        <v>0</v>
      </c>
      <c r="W101" s="25">
        <f>IF(W$92="",0,IF(MOD(MONTH(W$92),IF($D$28="Mensuel",1,IF($D$28="Trimestriel",3,IF($D$28="Semestriel",6,12))))=0,SUMPRODUCT((D$92:AM$92&gt;=MAX($E$5,EDATE(W$92,-(IF($D$28="Mensuel",1,IF($D$28="Trimestriel",3,IF($D$28="Semestriel",6,12)))-1))))*(D$92:AM$92&lt;=W$92)*N(D$75:AM$75)),0))</f>
        <v>0</v>
      </c>
      <c r="X101" s="25">
        <f>IF(X$92="",0,IF(MOD(MONTH(X$92),IF($D$28="Mensuel",1,IF($D$28="Trimestriel",3,IF($D$28="Semestriel",6,12))))=0,SUMPRODUCT((D$92:AM$92&gt;=MAX($E$5,EDATE(X$92,-(IF($D$28="Mensuel",1,IF($D$28="Trimestriel",3,IF($D$28="Semestriel",6,12)))-1))))*(D$92:AM$92&lt;=X$92)*N(D$75:AM$75)),0))</f>
        <v>0</v>
      </c>
      <c r="Y101" s="25">
        <f>IF(Y$92="",0,IF(MOD(MONTH(Y$92),IF($D$28="Mensuel",1,IF($D$28="Trimestriel",3,IF($D$28="Semestriel",6,12))))=0,SUMPRODUCT((D$92:AM$92&gt;=MAX($E$5,EDATE(Y$92,-(IF($D$28="Mensuel",1,IF($D$28="Trimestriel",3,IF($D$28="Semestriel",6,12)))-1))))*(D$92:AM$92&lt;=Y$92)*N(D$75:AM$75)),0))</f>
        <v>0</v>
      </c>
      <c r="Z101" s="25">
        <f>IF(Z$92="",0,IF(MOD(MONTH(Z$92),IF($D$28="Mensuel",1,IF($D$28="Trimestriel",3,IF($D$28="Semestriel",6,12))))=0,SUMPRODUCT((D$92:AM$92&gt;=MAX($E$5,EDATE(Z$92,-(IF($D$28="Mensuel",1,IF($D$28="Trimestriel",3,IF($D$28="Semestriel",6,12)))-1))))*(D$92:AM$92&lt;=Z$92)*N(D$75:AM$75)),0))</f>
        <v>0</v>
      </c>
      <c r="AA101" s="25">
        <f>IF(AA$92="",0,IF(MOD(MONTH(AA$92),IF($D$28="Mensuel",1,IF($D$28="Trimestriel",3,IF($D$28="Semestriel",6,12))))=0,SUMPRODUCT((D$92:AM$92&gt;=MAX($E$5,EDATE(AA$92,-(IF($D$28="Mensuel",1,IF($D$28="Trimestriel",3,IF($D$28="Semestriel",6,12)))-1))))*(D$92:AM$92&lt;=AA$92)*N(D$75:AM$75)),0))</f>
        <v>0</v>
      </c>
      <c r="AB101" s="25">
        <f>IF(AB$92="",0,IF(MOD(MONTH(AB$92),IF($D$28="Mensuel",1,IF($D$28="Trimestriel",3,IF($D$28="Semestriel",6,12))))=0,SUMPRODUCT((D$92:AM$92&gt;=MAX($E$5,EDATE(AB$92,-(IF($D$28="Mensuel",1,IF($D$28="Trimestriel",3,IF($D$28="Semestriel",6,12)))-1))))*(D$92:AM$92&lt;=AB$92)*N(D$75:AM$75)),0))</f>
        <v>0</v>
      </c>
      <c r="AC101" s="25">
        <f>IF(AC$92="",0,IF(MOD(MONTH(AC$92),IF($D$28="Mensuel",1,IF($D$28="Trimestriel",3,IF($D$28="Semestriel",6,12))))=0,SUMPRODUCT((D$92:AM$92&gt;=MAX($E$5,EDATE(AC$92,-(IF($D$28="Mensuel",1,IF($D$28="Trimestriel",3,IF($D$28="Semestriel",6,12)))-1))))*(D$92:AM$92&lt;=AC$92)*N(D$75:AM$75)),0))</f>
        <v>0</v>
      </c>
      <c r="AD101" s="25">
        <f>IF(AD$92="",0,IF(MOD(MONTH(AD$92),IF($D$28="Mensuel",1,IF($D$28="Trimestriel",3,IF($D$28="Semestriel",6,12))))=0,SUMPRODUCT((D$92:AM$92&gt;=MAX($E$5,EDATE(AD$92,-(IF($D$28="Mensuel",1,IF($D$28="Trimestriel",3,IF($D$28="Semestriel",6,12)))-1))))*(D$92:AM$92&lt;=AD$92)*N(D$75:AM$75)),0))</f>
        <v>0</v>
      </c>
      <c r="AE101" s="25">
        <f>IF(AE$92="",0,IF(MOD(MONTH(AE$92),IF($D$28="Mensuel",1,IF($D$28="Trimestriel",3,IF($D$28="Semestriel",6,12))))=0,SUMPRODUCT((D$92:AM$92&gt;=MAX($E$5,EDATE(AE$92,-(IF($D$28="Mensuel",1,IF($D$28="Trimestriel",3,IF($D$28="Semestriel",6,12)))-1))))*(D$92:AM$92&lt;=AE$92)*N(D$75:AM$75)),0))</f>
        <v>0</v>
      </c>
      <c r="AF101" s="25">
        <f>IF(AF$92="",0,IF(MOD(MONTH(AF$92),IF($D$28="Mensuel",1,IF($D$28="Trimestriel",3,IF($D$28="Semestriel",6,12))))=0,SUMPRODUCT((D$92:AM$92&gt;=MAX($E$5,EDATE(AF$92,-(IF($D$28="Mensuel",1,IF($D$28="Trimestriel",3,IF($D$28="Semestriel",6,12)))-1))))*(D$92:AM$92&lt;=AF$92)*N(D$75:AM$75)),0))</f>
        <v>0</v>
      </c>
      <c r="AG101" s="25">
        <f>IF(AG$92="",0,IF(MOD(MONTH(AG$92),IF($D$28="Mensuel",1,IF($D$28="Trimestriel",3,IF($D$28="Semestriel",6,12))))=0,SUMPRODUCT((D$92:AM$92&gt;=MAX($E$5,EDATE(AG$92,-(IF($D$28="Mensuel",1,IF($D$28="Trimestriel",3,IF($D$28="Semestriel",6,12)))-1))))*(D$92:AM$92&lt;=AG$92)*N(D$75:AM$75)),0))</f>
        <v>0</v>
      </c>
      <c r="AH101" s="25">
        <f>IF(AH$92="",0,IF(MOD(MONTH(AH$92),IF($D$28="Mensuel",1,IF($D$28="Trimestriel",3,IF($D$28="Semestriel",6,12))))=0,SUMPRODUCT((D$92:AM$92&gt;=MAX($E$5,EDATE(AH$92,-(IF($D$28="Mensuel",1,IF($D$28="Trimestriel",3,IF($D$28="Semestriel",6,12)))-1))))*(D$92:AM$92&lt;=AH$92)*N(D$75:AM$75)),0))</f>
        <v>0</v>
      </c>
      <c r="AI101" s="25">
        <f>IF(AI$92="",0,IF(MOD(MONTH(AI$92),IF($D$28="Mensuel",1,IF($D$28="Trimestriel",3,IF($D$28="Semestriel",6,12))))=0,SUMPRODUCT((D$92:AM$92&gt;=MAX($E$5,EDATE(AI$92,-(IF($D$28="Mensuel",1,IF($D$28="Trimestriel",3,IF($D$28="Semestriel",6,12)))-1))))*(D$92:AM$92&lt;=AI$92)*N(D$75:AM$75)),0))</f>
        <v>0</v>
      </c>
      <c r="AJ101" s="25">
        <f>IF(AJ$92="",0,IF(MOD(MONTH(AJ$92),IF($D$28="Mensuel",1,IF($D$28="Trimestriel",3,IF($D$28="Semestriel",6,12))))=0,SUMPRODUCT((D$92:AM$92&gt;=MAX($E$5,EDATE(AJ$92,-(IF($D$28="Mensuel",1,IF($D$28="Trimestriel",3,IF($D$28="Semestriel",6,12)))-1))))*(D$92:AM$92&lt;=AJ$92)*N(D$75:AM$75)),0))</f>
        <v>0</v>
      </c>
      <c r="AK101" s="25">
        <f>IF(AK$92="",0,IF(MOD(MONTH(AK$92),IF($D$28="Mensuel",1,IF($D$28="Trimestriel",3,IF($D$28="Semestriel",6,12))))=0,SUMPRODUCT((D$92:AM$92&gt;=MAX($E$5,EDATE(AK$92,-(IF($D$28="Mensuel",1,IF($D$28="Trimestriel",3,IF($D$28="Semestriel",6,12)))-1))))*(D$92:AM$92&lt;=AK$92)*N(D$75:AM$75)),0))</f>
        <v>0</v>
      </c>
      <c r="AL101" s="25">
        <f>IF(AL$92="",0,IF(MOD(MONTH(AL$92),IF($D$28="Mensuel",1,IF($D$28="Trimestriel",3,IF($D$28="Semestriel",6,12))))=0,SUMPRODUCT((D$92:AM$92&gt;=MAX($E$5,EDATE(AL$92,-(IF($D$28="Mensuel",1,IF($D$28="Trimestriel",3,IF($D$28="Semestriel",6,12)))-1))))*(D$92:AM$92&lt;=AL$92)*N(D$75:AM$75)),0))</f>
        <v>0</v>
      </c>
      <c r="AM101" s="25">
        <f>IF(AM$92="",0,IF(MOD(MONTH(AM$92),IF($D$28="Mensuel",1,IF($D$28="Trimestriel",3,IF($D$28="Semestriel",6,12))))=0,SUMPRODUCT((D$92:AM$92&gt;=MAX($E$5,EDATE(AM$92,-(IF($D$28="Mensuel",1,IF($D$28="Trimestriel",3,IF($D$28="Semestriel",6,12)))-1))))*(D$92:AM$92&lt;=AM$92)*N(D$75:AM$75)),0))</f>
        <v>0</v>
      </c>
    </row>
    <row r="102" ht="15.75" customHeight="1" outlineLevel="1">
      <c r="B102" s="40" t="str">
        <f t="shared" si="25"/>
        <v>Reporting AIFM (part refacturée au fonds)</v>
      </c>
      <c r="D102" s="25">
        <f>IF(D$92="",0,IF(MOD(MONTH(D$92),IF($D$29="Mensuel",1,IF($D$29="Trimestriel",3,IF($D$29="Semestriel",6,12))))=0,SUMPRODUCT((D$92:AM$92&gt;=MAX($E$5,EDATE(D$92,-(IF($D$29="Mensuel",1,IF($D$29="Trimestriel",3,IF($D$29="Semestriel",6,12)))-1))))*(D$92:AM$92&lt;=D$92)*N(D$76:AM$76)),0))</f>
        <v>0</v>
      </c>
      <c r="E102" s="25">
        <f>IF(E$92="",0,IF(MOD(MONTH(E$92),IF($D$29="Mensuel",1,IF($D$29="Trimestriel",3,IF($D$29="Semestriel",6,12))))=0,SUMPRODUCT((D$92:AM$92&gt;=MAX($E$5,EDATE(E$92,-(IF($D$29="Mensuel",1,IF($D$29="Trimestriel",3,IF($D$29="Semestriel",6,12)))-1))))*(D$92:AM$92&lt;=E$92)*N(D$76:AM$76)),0))</f>
        <v>0</v>
      </c>
      <c r="F102" s="25">
        <f>IF(F$92="",0,IF(MOD(MONTH(F$92),IF($D$29="Mensuel",1,IF($D$29="Trimestriel",3,IF($D$29="Semestriel",6,12))))=0,SUMPRODUCT((D$92:AM$92&gt;=MAX($E$5,EDATE(F$92,-(IF($D$29="Mensuel",1,IF($D$29="Trimestriel",3,IF($D$29="Semestriel",6,12)))-1))))*(D$92:AM$92&lt;=F$92)*N(D$76:AM$76)),0))</f>
        <v>0</v>
      </c>
      <c r="G102" s="25">
        <f>IF(G$92="",0,IF(MOD(MONTH(G$92),IF($D$29="Mensuel",1,IF($D$29="Trimestriel",3,IF($D$29="Semestriel",6,12))))=0,SUMPRODUCT((D$92:AM$92&gt;=MAX($E$5,EDATE(G$92,-(IF($D$29="Mensuel",1,IF($D$29="Trimestriel",3,IF($D$29="Semestriel",6,12)))-1))))*(D$92:AM$92&lt;=G$92)*N(D$76:AM$76)),0))</f>
        <v>0</v>
      </c>
      <c r="H102" s="25">
        <f>IF(H$92="",0,IF(MOD(MONTH(H$92),IF($D$29="Mensuel",1,IF($D$29="Trimestriel",3,IF($D$29="Semestriel",6,12))))=0,SUMPRODUCT((D$92:AM$92&gt;=MAX($E$5,EDATE(H$92,-(IF($D$29="Mensuel",1,IF($D$29="Trimestriel",3,IF($D$29="Semestriel",6,12)))-1))))*(D$92:AM$92&lt;=H$92)*N(D$76:AM$76)),0))</f>
        <v>0</v>
      </c>
      <c r="I102" s="25">
        <f>IF(I$92="",0,IF(MOD(MONTH(I$92),IF($D$29="Mensuel",1,IF($D$29="Trimestriel",3,IF($D$29="Semestriel",6,12))))=0,SUMPRODUCT((D$92:AM$92&gt;=MAX($E$5,EDATE(I$92,-(IF($D$29="Mensuel",1,IF($D$29="Trimestriel",3,IF($D$29="Semestriel",6,12)))-1))))*(D$92:AM$92&lt;=I$92)*N(D$76:AM$76)),0))</f>
        <v>0</v>
      </c>
      <c r="J102" s="25">
        <f>IF(J$92="",0,IF(MOD(MONTH(J$92),IF($D$29="Mensuel",1,IF($D$29="Trimestriel",3,IF($D$29="Semestriel",6,12))))=0,SUMPRODUCT((D$92:AM$92&gt;=MAX($E$5,EDATE(J$92,-(IF($D$29="Mensuel",1,IF($D$29="Trimestriel",3,IF($D$29="Semestriel",6,12)))-1))))*(D$92:AM$92&lt;=J$92)*N(D$76:AM$76)),0))</f>
        <v>0</v>
      </c>
      <c r="K102" s="25">
        <f>IF(K$92="",0,IF(MOD(MONTH(K$92),IF($D$29="Mensuel",1,IF($D$29="Trimestriel",3,IF($D$29="Semestriel",6,12))))=0,SUMPRODUCT((D$92:AM$92&gt;=MAX($E$5,EDATE(K$92,-(IF($D$29="Mensuel",1,IF($D$29="Trimestriel",3,IF($D$29="Semestriel",6,12)))-1))))*(D$92:AM$92&lt;=K$92)*N(D$76:AM$76)),0))</f>
        <v>0</v>
      </c>
      <c r="L102" s="25">
        <f>IF(L$92="",0,IF(MOD(MONTH(L$92),IF($D$29="Mensuel",1,IF($D$29="Trimestriel",3,IF($D$29="Semestriel",6,12))))=0,SUMPRODUCT((D$92:AM$92&gt;=MAX($E$5,EDATE(L$92,-(IF($D$29="Mensuel",1,IF($D$29="Trimestriel",3,IF($D$29="Semestriel",6,12)))-1))))*(D$92:AM$92&lt;=L$92)*N(D$76:AM$76)),0))</f>
        <v>0</v>
      </c>
      <c r="M102" s="25">
        <f>IF(M$92="",0,IF(MOD(MONTH(M$92),IF($D$29="Mensuel",1,IF($D$29="Trimestriel",3,IF($D$29="Semestriel",6,12))))=0,SUMPRODUCT((D$92:AM$92&gt;=MAX($E$5,EDATE(M$92,-(IF($D$29="Mensuel",1,IF($D$29="Trimestriel",3,IF($D$29="Semestriel",6,12)))-1))))*(D$92:AM$92&lt;=M$92)*N(D$76:AM$76)),0))</f>
        <v>0</v>
      </c>
      <c r="N102" s="25">
        <f>IF(N$92="",0,IF(MOD(MONTH(N$92),IF($D$29="Mensuel",1,IF($D$29="Trimestriel",3,IF($D$29="Semestriel",6,12))))=0,SUMPRODUCT((D$92:AM$92&gt;=MAX($E$5,EDATE(N$92,-(IF($D$29="Mensuel",1,IF($D$29="Trimestriel",3,IF($D$29="Semestriel",6,12)))-1))))*(D$92:AM$92&lt;=N$92)*N(D$76:AM$76)),0))</f>
        <v>0</v>
      </c>
      <c r="O102" s="25">
        <f>IF(O$92="",0,IF(MOD(MONTH(O$92),IF($D$29="Mensuel",1,IF($D$29="Trimestriel",3,IF($D$29="Semestriel",6,12))))=0,SUMPRODUCT((D$92:AM$92&gt;=MAX($E$5,EDATE(O$92,-(IF($D$29="Mensuel",1,IF($D$29="Trimestriel",3,IF($D$29="Semestriel",6,12)))-1))))*(D$92:AM$92&lt;=O$92)*N(D$76:AM$76)),0))</f>
        <v>0</v>
      </c>
      <c r="P102" s="25">
        <f>IF(P$92="",0,IF(MOD(MONTH(P$92),IF($D$29="Mensuel",1,IF($D$29="Trimestriel",3,IF($D$29="Semestriel",6,12))))=0,SUMPRODUCT((D$92:AM$92&gt;=MAX($E$5,EDATE(P$92,-(IF($D$29="Mensuel",1,IF($D$29="Trimestriel",3,IF($D$29="Semestriel",6,12)))-1))))*(D$92:AM$92&lt;=P$92)*N(D$76:AM$76)),0))</f>
        <v>0</v>
      </c>
      <c r="Q102" s="25">
        <f>IF(Q$92="",0,IF(MOD(MONTH(Q$92),IF($D$29="Mensuel",1,IF($D$29="Trimestriel",3,IF($D$29="Semestriel",6,12))))=0,SUMPRODUCT((D$92:AM$92&gt;=MAX($E$5,EDATE(Q$92,-(IF($D$29="Mensuel",1,IF($D$29="Trimestriel",3,IF($D$29="Semestriel",6,12)))-1))))*(D$92:AM$92&lt;=Q$92)*N(D$76:AM$76)),0))</f>
        <v>0</v>
      </c>
      <c r="R102" s="25">
        <f>IF(R$92="",0,IF(MOD(MONTH(R$92),IF($D$29="Mensuel",1,IF($D$29="Trimestriel",3,IF($D$29="Semestriel",6,12))))=0,SUMPRODUCT((D$92:AM$92&gt;=MAX($E$5,EDATE(R$92,-(IF($D$29="Mensuel",1,IF($D$29="Trimestriel",3,IF($D$29="Semestriel",6,12)))-1))))*(D$92:AM$92&lt;=R$92)*N(D$76:AM$76)),0))</f>
        <v>0</v>
      </c>
      <c r="S102" s="25">
        <f>IF(S$92="",0,IF(MOD(MONTH(S$92),IF($D$29="Mensuel",1,IF($D$29="Trimestriel",3,IF($D$29="Semestriel",6,12))))=0,SUMPRODUCT((D$92:AM$92&gt;=MAX($E$5,EDATE(S$92,-(IF($D$29="Mensuel",1,IF($D$29="Trimestriel",3,IF($D$29="Semestriel",6,12)))-1))))*(D$92:AM$92&lt;=S$92)*N(D$76:AM$76)),0))</f>
        <v>0</v>
      </c>
      <c r="T102" s="25">
        <f>IF(T$92="",0,IF(MOD(MONTH(T$92),IF($D$29="Mensuel",1,IF($D$29="Trimestriel",3,IF($D$29="Semestriel",6,12))))=0,SUMPRODUCT((D$92:AM$92&gt;=MAX($E$5,EDATE(T$92,-(IF($D$29="Mensuel",1,IF($D$29="Trimestriel",3,IF($D$29="Semestriel",6,12)))-1))))*(D$92:AM$92&lt;=T$92)*N(D$76:AM$76)),0))</f>
        <v>0</v>
      </c>
      <c r="U102" s="25">
        <f>IF(U$92="",0,IF(MOD(MONTH(U$92),IF($D$29="Mensuel",1,IF($D$29="Trimestriel",3,IF($D$29="Semestriel",6,12))))=0,SUMPRODUCT((D$92:AM$92&gt;=MAX($E$5,EDATE(U$92,-(IF($D$29="Mensuel",1,IF($D$29="Trimestriel",3,IF($D$29="Semestriel",6,12)))-1))))*(D$92:AM$92&lt;=U$92)*N(D$76:AM$76)),0))</f>
        <v>0</v>
      </c>
      <c r="V102" s="25">
        <f>IF(V$92="",0,IF(MOD(MONTH(V$92),IF($D$29="Mensuel",1,IF($D$29="Trimestriel",3,IF($D$29="Semestriel",6,12))))=0,SUMPRODUCT((D$92:AM$92&gt;=MAX($E$5,EDATE(V$92,-(IF($D$29="Mensuel",1,IF($D$29="Trimestriel",3,IF($D$29="Semestriel",6,12)))-1))))*(D$92:AM$92&lt;=V$92)*N(D$76:AM$76)),0))</f>
        <v>0</v>
      </c>
      <c r="W102" s="25">
        <f>IF(W$92="",0,IF(MOD(MONTH(W$92),IF($D$29="Mensuel",1,IF($D$29="Trimestriel",3,IF($D$29="Semestriel",6,12))))=0,SUMPRODUCT((D$92:AM$92&gt;=MAX($E$5,EDATE(W$92,-(IF($D$29="Mensuel",1,IF($D$29="Trimestriel",3,IF($D$29="Semestriel",6,12)))-1))))*(D$92:AM$92&lt;=W$92)*N(D$76:AM$76)),0))</f>
        <v>0</v>
      </c>
      <c r="X102" s="25">
        <f>IF(X$92="",0,IF(MOD(MONTH(X$92),IF($D$29="Mensuel",1,IF($D$29="Trimestriel",3,IF($D$29="Semestriel",6,12))))=0,SUMPRODUCT((D$92:AM$92&gt;=MAX($E$5,EDATE(X$92,-(IF($D$29="Mensuel",1,IF($D$29="Trimestriel",3,IF($D$29="Semestriel",6,12)))-1))))*(D$92:AM$92&lt;=X$92)*N(D$76:AM$76)),0))</f>
        <v>0</v>
      </c>
      <c r="Y102" s="25">
        <f>IF(Y$92="",0,IF(MOD(MONTH(Y$92),IF($D$29="Mensuel",1,IF($D$29="Trimestriel",3,IF($D$29="Semestriel",6,12))))=0,SUMPRODUCT((D$92:AM$92&gt;=MAX($E$5,EDATE(Y$92,-(IF($D$29="Mensuel",1,IF($D$29="Trimestriel",3,IF($D$29="Semestriel",6,12)))-1))))*(D$92:AM$92&lt;=Y$92)*N(D$76:AM$76)),0))</f>
        <v>0</v>
      </c>
      <c r="Z102" s="25">
        <f>IF(Z$92="",0,IF(MOD(MONTH(Z$92),IF($D$29="Mensuel",1,IF($D$29="Trimestriel",3,IF($D$29="Semestriel",6,12))))=0,SUMPRODUCT((D$92:AM$92&gt;=MAX($E$5,EDATE(Z$92,-(IF($D$29="Mensuel",1,IF($D$29="Trimestriel",3,IF($D$29="Semestriel",6,12)))-1))))*(D$92:AM$92&lt;=Z$92)*N(D$76:AM$76)),0))</f>
        <v>0</v>
      </c>
      <c r="AA102" s="25">
        <f>IF(AA$92="",0,IF(MOD(MONTH(AA$92),IF($D$29="Mensuel",1,IF($D$29="Trimestriel",3,IF($D$29="Semestriel",6,12))))=0,SUMPRODUCT((D$92:AM$92&gt;=MAX($E$5,EDATE(AA$92,-(IF($D$29="Mensuel",1,IF($D$29="Trimestriel",3,IF($D$29="Semestriel",6,12)))-1))))*(D$92:AM$92&lt;=AA$92)*N(D$76:AM$76)),0))</f>
        <v>0</v>
      </c>
      <c r="AB102" s="25">
        <f>IF(AB$92="",0,IF(MOD(MONTH(AB$92),IF($D$29="Mensuel",1,IF($D$29="Trimestriel",3,IF($D$29="Semestriel",6,12))))=0,SUMPRODUCT((D$92:AM$92&gt;=MAX($E$5,EDATE(AB$92,-(IF($D$29="Mensuel",1,IF($D$29="Trimestriel",3,IF($D$29="Semestriel",6,12)))-1))))*(D$92:AM$92&lt;=AB$92)*N(D$76:AM$76)),0))</f>
        <v>0</v>
      </c>
      <c r="AC102" s="25">
        <f>IF(AC$92="",0,IF(MOD(MONTH(AC$92),IF($D$29="Mensuel",1,IF($D$29="Trimestriel",3,IF($D$29="Semestriel",6,12))))=0,SUMPRODUCT((D$92:AM$92&gt;=MAX($E$5,EDATE(AC$92,-(IF($D$29="Mensuel",1,IF($D$29="Trimestriel",3,IF($D$29="Semestriel",6,12)))-1))))*(D$92:AM$92&lt;=AC$92)*N(D$76:AM$76)),0))</f>
        <v>0</v>
      </c>
      <c r="AD102" s="25">
        <f>IF(AD$92="",0,IF(MOD(MONTH(AD$92),IF($D$29="Mensuel",1,IF($D$29="Trimestriel",3,IF($D$29="Semestriel",6,12))))=0,SUMPRODUCT((D$92:AM$92&gt;=MAX($E$5,EDATE(AD$92,-(IF($D$29="Mensuel",1,IF($D$29="Trimestriel",3,IF($D$29="Semestriel",6,12)))-1))))*(D$92:AM$92&lt;=AD$92)*N(D$76:AM$76)),0))</f>
        <v>0</v>
      </c>
      <c r="AE102" s="25">
        <f>IF(AE$92="",0,IF(MOD(MONTH(AE$92),IF($D$29="Mensuel",1,IF($D$29="Trimestriel",3,IF($D$29="Semestriel",6,12))))=0,SUMPRODUCT((D$92:AM$92&gt;=MAX($E$5,EDATE(AE$92,-(IF($D$29="Mensuel",1,IF($D$29="Trimestriel",3,IF($D$29="Semestriel",6,12)))-1))))*(D$92:AM$92&lt;=AE$92)*N(D$76:AM$76)),0))</f>
        <v>0</v>
      </c>
      <c r="AF102" s="25">
        <f>IF(AF$92="",0,IF(MOD(MONTH(AF$92),IF($D$29="Mensuel",1,IF($D$29="Trimestriel",3,IF($D$29="Semestriel",6,12))))=0,SUMPRODUCT((D$92:AM$92&gt;=MAX($E$5,EDATE(AF$92,-(IF($D$29="Mensuel",1,IF($D$29="Trimestriel",3,IF($D$29="Semestriel",6,12)))-1))))*(D$92:AM$92&lt;=AF$92)*N(D$76:AM$76)),0))</f>
        <v>0</v>
      </c>
      <c r="AG102" s="25">
        <f>IF(AG$92="",0,IF(MOD(MONTH(AG$92),IF($D$29="Mensuel",1,IF($D$29="Trimestriel",3,IF($D$29="Semestriel",6,12))))=0,SUMPRODUCT((D$92:AM$92&gt;=MAX($E$5,EDATE(AG$92,-(IF($D$29="Mensuel",1,IF($D$29="Trimestriel",3,IF($D$29="Semestriel",6,12)))-1))))*(D$92:AM$92&lt;=AG$92)*N(D$76:AM$76)),0))</f>
        <v>0</v>
      </c>
      <c r="AH102" s="25">
        <f>IF(AH$92="",0,IF(MOD(MONTH(AH$92),IF($D$29="Mensuel",1,IF($D$29="Trimestriel",3,IF($D$29="Semestriel",6,12))))=0,SUMPRODUCT((D$92:AM$92&gt;=MAX($E$5,EDATE(AH$92,-(IF($D$29="Mensuel",1,IF($D$29="Trimestriel",3,IF($D$29="Semestriel",6,12)))-1))))*(D$92:AM$92&lt;=AH$92)*N(D$76:AM$76)),0))</f>
        <v>0</v>
      </c>
      <c r="AI102" s="25">
        <f>IF(AI$92="",0,IF(MOD(MONTH(AI$92),IF($D$29="Mensuel",1,IF($D$29="Trimestriel",3,IF($D$29="Semestriel",6,12))))=0,SUMPRODUCT((D$92:AM$92&gt;=MAX($E$5,EDATE(AI$92,-(IF($D$29="Mensuel",1,IF($D$29="Trimestriel",3,IF($D$29="Semestriel",6,12)))-1))))*(D$92:AM$92&lt;=AI$92)*N(D$76:AM$76)),0))</f>
        <v>0</v>
      </c>
      <c r="AJ102" s="25">
        <f>IF(AJ$92="",0,IF(MOD(MONTH(AJ$92),IF($D$29="Mensuel",1,IF($D$29="Trimestriel",3,IF($D$29="Semestriel",6,12))))=0,SUMPRODUCT((D$92:AM$92&gt;=MAX($E$5,EDATE(AJ$92,-(IF($D$29="Mensuel",1,IF($D$29="Trimestriel",3,IF($D$29="Semestriel",6,12)))-1))))*(D$92:AM$92&lt;=AJ$92)*N(D$76:AM$76)),0))</f>
        <v>0</v>
      </c>
      <c r="AK102" s="25">
        <f>IF(AK$92="",0,IF(MOD(MONTH(AK$92),IF($D$29="Mensuel",1,IF($D$29="Trimestriel",3,IF($D$29="Semestriel",6,12))))=0,SUMPRODUCT((D$92:AM$92&gt;=MAX($E$5,EDATE(AK$92,-(IF($D$29="Mensuel",1,IF($D$29="Trimestriel",3,IF($D$29="Semestriel",6,12)))-1))))*(D$92:AM$92&lt;=AK$92)*N(D$76:AM$76)),0))</f>
        <v>0</v>
      </c>
      <c r="AL102" s="25">
        <f>IF(AL$92="",0,IF(MOD(MONTH(AL$92),IF($D$29="Mensuel",1,IF($D$29="Trimestriel",3,IF($D$29="Semestriel",6,12))))=0,SUMPRODUCT((D$92:AM$92&gt;=MAX($E$5,EDATE(AL$92,-(IF($D$29="Mensuel",1,IF($D$29="Trimestriel",3,IF($D$29="Semestriel",6,12)))-1))))*(D$92:AM$92&lt;=AL$92)*N(D$76:AM$76)),0))</f>
        <v>0</v>
      </c>
      <c r="AM102" s="25">
        <f>IF(AM$92="",0,IF(MOD(MONTH(AM$92),IF($D$29="Mensuel",1,IF($D$29="Trimestriel",3,IF($D$29="Semestriel",6,12))))=0,SUMPRODUCT((D$92:AM$92&gt;=MAX($E$5,EDATE(AM$92,-(IF($D$29="Mensuel",1,IF($D$29="Trimestriel",3,IF($D$29="Semestriel",6,12)))-1))))*(D$92:AM$92&lt;=AM$92)*N(D$76:AM$76)),0))</f>
        <v>0</v>
      </c>
    </row>
    <row r="103" ht="15.75" customHeight="1" outlineLevel="1">
      <c r="B103" s="40" t="str">
        <f t="shared" si="25"/>
        <v>Tenue du Passif</v>
      </c>
      <c r="D103" s="25">
        <f>IF(D$92="",0,IF(MOD(MONTH(D$92),IF($D$30="Mensuel",1,IF($D$30="Trimestriel",3,IF($D$30="Semestriel",6,12))))=0,SUMPRODUCT((D$92:AM$92&gt;=MAX($E$5,EDATE(D$92,-(IF($D$30="Mensuel",1,IF($D$30="Trimestriel",3,IF($D$30="Semestriel",6,12)))-1))))*(D$92:AM$92&lt;=D$92)*N(D$77:AM$77)),0))</f>
        <v>0</v>
      </c>
      <c r="E103" s="25">
        <f>IF(E$92="",0,IF(MOD(MONTH(E$92),IF($D$30="Mensuel",1,IF($D$30="Trimestriel",3,IF($D$30="Semestriel",6,12))))=0,SUMPRODUCT((D$92:AM$92&gt;=MAX($E$5,EDATE(E$92,-(IF($D$30="Mensuel",1,IF($D$30="Trimestriel",3,IF($D$30="Semestriel",6,12)))-1))))*(D$92:AM$92&lt;=E$92)*N(D$77:AM$77)),0))</f>
        <v>0</v>
      </c>
      <c r="F103" s="25">
        <f>IF(F$92="",0,IF(MOD(MONTH(F$92),IF($D$30="Mensuel",1,IF($D$30="Trimestriel",3,IF($D$30="Semestriel",6,12))))=0,SUMPRODUCT((D$92:AM$92&gt;=MAX($E$5,EDATE(F$92,-(IF($D$30="Mensuel",1,IF($D$30="Trimestriel",3,IF($D$30="Semestriel",6,12)))-1))))*(D$92:AM$92&lt;=F$92)*N(D$77:AM$77)),0))</f>
        <v>0</v>
      </c>
      <c r="G103" s="25">
        <f>IF(G$92="",0,IF(MOD(MONTH(G$92),IF($D$30="Mensuel",1,IF($D$30="Trimestriel",3,IF($D$30="Semestriel",6,12))))=0,SUMPRODUCT((D$92:AM$92&gt;=MAX($E$5,EDATE(G$92,-(IF($D$30="Mensuel",1,IF($D$30="Trimestriel",3,IF($D$30="Semestriel",6,12)))-1))))*(D$92:AM$92&lt;=G$92)*N(D$77:AM$77)),0))</f>
        <v>0</v>
      </c>
      <c r="H103" s="25">
        <f>IF(H$92="",0,IF(MOD(MONTH(H$92),IF($D$30="Mensuel",1,IF($D$30="Trimestriel",3,IF($D$30="Semestriel",6,12))))=0,SUMPRODUCT((D$92:AM$92&gt;=MAX($E$5,EDATE(H$92,-(IF($D$30="Mensuel",1,IF($D$30="Trimestriel",3,IF($D$30="Semestriel",6,12)))-1))))*(D$92:AM$92&lt;=H$92)*N(D$77:AM$77)),0))</f>
        <v>256.3492063</v>
      </c>
      <c r="I103" s="25">
        <f>IF(I$92="",0,IF(MOD(MONTH(I$92),IF($D$30="Mensuel",1,IF($D$30="Trimestriel",3,IF($D$30="Semestriel",6,12))))=0,SUMPRODUCT((D$92:AM$92&gt;=MAX($E$5,EDATE(I$92,-(IF($D$30="Mensuel",1,IF($D$30="Trimestriel",3,IF($D$30="Semestriel",6,12)))-1))))*(D$92:AM$92&lt;=I$92)*N(D$77:AM$77)),0))</f>
        <v>0</v>
      </c>
      <c r="J103" s="25">
        <f>IF(J$92="",0,IF(MOD(MONTH(J$92),IF($D$30="Mensuel",1,IF($D$30="Trimestriel",3,IF($D$30="Semestriel",6,12))))=0,SUMPRODUCT((D$92:AM$92&gt;=MAX($E$5,EDATE(J$92,-(IF($D$30="Mensuel",1,IF($D$30="Trimestriel",3,IF($D$30="Semestriel",6,12)))-1))))*(D$92:AM$92&lt;=J$92)*N(D$77:AM$77)),0))</f>
        <v>0</v>
      </c>
      <c r="K103" s="25">
        <f>IF(K$92="",0,IF(MOD(MONTH(K$92),IF($D$30="Mensuel",1,IF($D$30="Trimestriel",3,IF($D$30="Semestriel",6,12))))=0,SUMPRODUCT((D$92:AM$92&gt;=MAX($E$5,EDATE(K$92,-(IF($D$30="Mensuel",1,IF($D$30="Trimestriel",3,IF($D$30="Semestriel",6,12)))-1))))*(D$92:AM$92&lt;=K$92)*N(D$77:AM$77)),0))</f>
        <v>0</v>
      </c>
      <c r="L103" s="25">
        <f>IF(L$92="",0,IF(MOD(MONTH(L$92),IF($D$30="Mensuel",1,IF($D$30="Trimestriel",3,IF($D$30="Semestriel",6,12))))=0,SUMPRODUCT((D$92:AM$92&gt;=MAX($E$5,EDATE(L$92,-(IF($D$30="Mensuel",1,IF($D$30="Trimestriel",3,IF($D$30="Semestriel",6,12)))-1))))*(D$92:AM$92&lt;=L$92)*N(D$77:AM$77)),0))</f>
        <v>0</v>
      </c>
      <c r="M103" s="25">
        <f>IF(M$92="",0,IF(MOD(MONTH(M$92),IF($D$30="Mensuel",1,IF($D$30="Trimestriel",3,IF($D$30="Semestriel",6,12))))=0,SUMPRODUCT((D$92:AM$92&gt;=MAX($E$5,EDATE(M$92,-(IF($D$30="Mensuel",1,IF($D$30="Trimestriel",3,IF($D$30="Semestriel",6,12)))-1))))*(D$92:AM$92&lt;=M$92)*N(D$77:AM$77)),0))</f>
        <v>0</v>
      </c>
      <c r="N103" s="25">
        <f>IF(N$92="",0,IF(MOD(MONTH(N$92),IF($D$30="Mensuel",1,IF($D$30="Trimestriel",3,IF($D$30="Semestriel",6,12))))=0,SUMPRODUCT((D$92:AM$92&gt;=MAX($E$5,EDATE(N$92,-(IF($D$30="Mensuel",1,IF($D$30="Trimestriel",3,IF($D$30="Semestriel",6,12)))-1))))*(D$92:AM$92&lt;=N$92)*N(D$77:AM$77)),0))</f>
        <v>0</v>
      </c>
      <c r="O103" s="25">
        <f>IF(O$92="",0,IF(MOD(MONTH(O$92),IF($D$30="Mensuel",1,IF($D$30="Trimestriel",3,IF($D$30="Semestriel",6,12))))=0,SUMPRODUCT((D$92:AM$92&gt;=MAX($E$5,EDATE(O$92,-(IF($D$30="Mensuel",1,IF($D$30="Trimestriel",3,IF($D$30="Semestriel",6,12)))-1))))*(D$92:AM$92&lt;=O$92)*N(D$77:AM$77)),0))</f>
        <v>0</v>
      </c>
      <c r="P103" s="25">
        <f>IF(P$92="",0,IF(MOD(MONTH(P$92),IF($D$30="Mensuel",1,IF($D$30="Trimestriel",3,IF($D$30="Semestriel",6,12))))=0,SUMPRODUCT((D$92:AM$92&gt;=MAX($E$5,EDATE(P$92,-(IF($D$30="Mensuel",1,IF($D$30="Trimestriel",3,IF($D$30="Semestriel",6,12)))-1))))*(D$92:AM$92&lt;=P$92)*N(D$77:AM$77)),0))</f>
        <v>0</v>
      </c>
      <c r="Q103" s="25">
        <f>IF(Q$92="",0,IF(MOD(MONTH(Q$92),IF($D$30="Mensuel",1,IF($D$30="Trimestriel",3,IF($D$30="Semestriel",6,12))))=0,SUMPRODUCT((D$92:AM$92&gt;=MAX($E$5,EDATE(Q$92,-(IF($D$30="Mensuel",1,IF($D$30="Trimestriel",3,IF($D$30="Semestriel",6,12)))-1))))*(D$92:AM$92&lt;=Q$92)*N(D$77:AM$77)),0))</f>
        <v>0</v>
      </c>
      <c r="R103" s="25">
        <f>IF(R$92="",0,IF(MOD(MONTH(R$92),IF($D$30="Mensuel",1,IF($D$30="Trimestriel",3,IF($D$30="Semestriel",6,12))))=0,SUMPRODUCT((D$92:AM$92&gt;=MAX($E$5,EDATE(R$92,-(IF($D$30="Mensuel",1,IF($D$30="Trimestriel",3,IF($D$30="Semestriel",6,12)))-1))))*(D$92:AM$92&lt;=R$92)*N(D$77:AM$77)),0))</f>
        <v>0</v>
      </c>
      <c r="S103" s="25">
        <f>IF(S$92="",0,IF(MOD(MONTH(S$92),IF($D$30="Mensuel",1,IF($D$30="Trimestriel",3,IF($D$30="Semestriel",6,12))))=0,SUMPRODUCT((D$92:AM$92&gt;=MAX($E$5,EDATE(S$92,-(IF($D$30="Mensuel",1,IF($D$30="Trimestriel",3,IF($D$30="Semestriel",6,12)))-1))))*(D$92:AM$92&lt;=S$92)*N(D$77:AM$77)),0))</f>
        <v>0</v>
      </c>
      <c r="T103" s="25">
        <f>IF(T$92="",0,IF(MOD(MONTH(T$92),IF($D$30="Mensuel",1,IF($D$30="Trimestriel",3,IF($D$30="Semestriel",6,12))))=0,SUMPRODUCT((D$92:AM$92&gt;=MAX($E$5,EDATE(T$92,-(IF($D$30="Mensuel",1,IF($D$30="Trimestriel",3,IF($D$30="Semestriel",6,12)))-1))))*(D$92:AM$92&lt;=T$92)*N(D$77:AM$77)),0))</f>
        <v>0</v>
      </c>
      <c r="U103" s="25">
        <f>IF(U$92="",0,IF(MOD(MONTH(U$92),IF($D$30="Mensuel",1,IF($D$30="Trimestriel",3,IF($D$30="Semestriel",6,12))))=0,SUMPRODUCT((D$92:AM$92&gt;=MAX($E$5,EDATE(U$92,-(IF($D$30="Mensuel",1,IF($D$30="Trimestriel",3,IF($D$30="Semestriel",6,12)))-1))))*(D$92:AM$92&lt;=U$92)*N(D$77:AM$77)),0))</f>
        <v>0</v>
      </c>
      <c r="V103" s="25">
        <f>IF(V$92="",0,IF(MOD(MONTH(V$92),IF($D$30="Mensuel",1,IF($D$30="Trimestriel",3,IF($D$30="Semestriel",6,12))))=0,SUMPRODUCT((D$92:AM$92&gt;=MAX($E$5,EDATE(V$92,-(IF($D$30="Mensuel",1,IF($D$30="Trimestriel",3,IF($D$30="Semestriel",6,12)))-1))))*(D$92:AM$92&lt;=V$92)*N(D$77:AM$77)),0))</f>
        <v>0</v>
      </c>
      <c r="W103" s="25">
        <f>IF(W$92="",0,IF(MOD(MONTH(W$92),IF($D$30="Mensuel",1,IF($D$30="Trimestriel",3,IF($D$30="Semestriel",6,12))))=0,SUMPRODUCT((D$92:AM$92&gt;=MAX($E$5,EDATE(W$92,-(IF($D$30="Mensuel",1,IF($D$30="Trimestriel",3,IF($D$30="Semestriel",6,12)))-1))))*(D$92:AM$92&lt;=W$92)*N(D$77:AM$77)),0))</f>
        <v>0</v>
      </c>
      <c r="X103" s="25">
        <f>IF(X$92="",0,IF(MOD(MONTH(X$92),IF($D$30="Mensuel",1,IF($D$30="Trimestriel",3,IF($D$30="Semestriel",6,12))))=0,SUMPRODUCT((D$92:AM$92&gt;=MAX($E$5,EDATE(X$92,-(IF($D$30="Mensuel",1,IF($D$30="Trimestriel",3,IF($D$30="Semestriel",6,12)))-1))))*(D$92:AM$92&lt;=X$92)*N(D$77:AM$77)),0))</f>
        <v>0</v>
      </c>
      <c r="Y103" s="25">
        <f>IF(Y$92="",0,IF(MOD(MONTH(Y$92),IF($D$30="Mensuel",1,IF($D$30="Trimestriel",3,IF($D$30="Semestriel",6,12))))=0,SUMPRODUCT((D$92:AM$92&gt;=MAX($E$5,EDATE(Y$92,-(IF($D$30="Mensuel",1,IF($D$30="Trimestriel",3,IF($D$30="Semestriel",6,12)))-1))))*(D$92:AM$92&lt;=Y$92)*N(D$77:AM$77)),0))</f>
        <v>0</v>
      </c>
      <c r="Z103" s="25">
        <f>IF(Z$92="",0,IF(MOD(MONTH(Z$92),IF($D$30="Mensuel",1,IF($D$30="Trimestriel",3,IF($D$30="Semestriel",6,12))))=0,SUMPRODUCT((D$92:AM$92&gt;=MAX($E$5,EDATE(Z$92,-(IF($D$30="Mensuel",1,IF($D$30="Trimestriel",3,IF($D$30="Semestriel",6,12)))-1))))*(D$92:AM$92&lt;=Z$92)*N(D$77:AM$77)),0))</f>
        <v>0</v>
      </c>
      <c r="AA103" s="25">
        <f>IF(AA$92="",0,IF(MOD(MONTH(AA$92),IF($D$30="Mensuel",1,IF($D$30="Trimestriel",3,IF($D$30="Semestriel",6,12))))=0,SUMPRODUCT((D$92:AM$92&gt;=MAX($E$5,EDATE(AA$92,-(IF($D$30="Mensuel",1,IF($D$30="Trimestriel",3,IF($D$30="Semestriel",6,12)))-1))))*(D$92:AM$92&lt;=AA$92)*N(D$77:AM$77)),0))</f>
        <v>0</v>
      </c>
      <c r="AB103" s="25">
        <f>IF(AB$92="",0,IF(MOD(MONTH(AB$92),IF($D$30="Mensuel",1,IF($D$30="Trimestriel",3,IF($D$30="Semestriel",6,12))))=0,SUMPRODUCT((D$92:AM$92&gt;=MAX($E$5,EDATE(AB$92,-(IF($D$30="Mensuel",1,IF($D$30="Trimestriel",3,IF($D$30="Semestriel",6,12)))-1))))*(D$92:AM$92&lt;=AB$92)*N(D$77:AM$77)),0))</f>
        <v>0</v>
      </c>
      <c r="AC103" s="25">
        <f>IF(AC$92="",0,IF(MOD(MONTH(AC$92),IF($D$30="Mensuel",1,IF($D$30="Trimestriel",3,IF($D$30="Semestriel",6,12))))=0,SUMPRODUCT((D$92:AM$92&gt;=MAX($E$5,EDATE(AC$92,-(IF($D$30="Mensuel",1,IF($D$30="Trimestriel",3,IF($D$30="Semestriel",6,12)))-1))))*(D$92:AM$92&lt;=AC$92)*N(D$77:AM$77)),0))</f>
        <v>0</v>
      </c>
      <c r="AD103" s="25">
        <f>IF(AD$92="",0,IF(MOD(MONTH(AD$92),IF($D$30="Mensuel",1,IF($D$30="Trimestriel",3,IF($D$30="Semestriel",6,12))))=0,SUMPRODUCT((D$92:AM$92&gt;=MAX($E$5,EDATE(AD$92,-(IF($D$30="Mensuel",1,IF($D$30="Trimestriel",3,IF($D$30="Semestriel",6,12)))-1))))*(D$92:AM$92&lt;=AD$92)*N(D$77:AM$77)),0))</f>
        <v>0</v>
      </c>
      <c r="AE103" s="25">
        <f>IF(AE$92="",0,IF(MOD(MONTH(AE$92),IF($D$30="Mensuel",1,IF($D$30="Trimestriel",3,IF($D$30="Semestriel",6,12))))=0,SUMPRODUCT((D$92:AM$92&gt;=MAX($E$5,EDATE(AE$92,-(IF($D$30="Mensuel",1,IF($D$30="Trimestriel",3,IF($D$30="Semestriel",6,12)))-1))))*(D$92:AM$92&lt;=AE$92)*N(D$77:AM$77)),0))</f>
        <v>0</v>
      </c>
      <c r="AF103" s="25">
        <f>IF(AF$92="",0,IF(MOD(MONTH(AF$92),IF($D$30="Mensuel",1,IF($D$30="Trimestriel",3,IF($D$30="Semestriel",6,12))))=0,SUMPRODUCT((D$92:AM$92&gt;=MAX($E$5,EDATE(AF$92,-(IF($D$30="Mensuel",1,IF($D$30="Trimestriel",3,IF($D$30="Semestriel",6,12)))-1))))*(D$92:AM$92&lt;=AF$92)*N(D$77:AM$77)),0))</f>
        <v>0</v>
      </c>
      <c r="AG103" s="25">
        <f>IF(AG$92="",0,IF(MOD(MONTH(AG$92),IF($D$30="Mensuel",1,IF($D$30="Trimestriel",3,IF($D$30="Semestriel",6,12))))=0,SUMPRODUCT((D$92:AM$92&gt;=MAX($E$5,EDATE(AG$92,-(IF($D$30="Mensuel",1,IF($D$30="Trimestriel",3,IF($D$30="Semestriel",6,12)))-1))))*(D$92:AM$92&lt;=AG$92)*N(D$77:AM$77)),0))</f>
        <v>0</v>
      </c>
      <c r="AH103" s="25">
        <f>IF(AH$92="",0,IF(MOD(MONTH(AH$92),IF($D$30="Mensuel",1,IF($D$30="Trimestriel",3,IF($D$30="Semestriel",6,12))))=0,SUMPRODUCT((D$92:AM$92&gt;=MAX($E$5,EDATE(AH$92,-(IF($D$30="Mensuel",1,IF($D$30="Trimestriel",3,IF($D$30="Semestriel",6,12)))-1))))*(D$92:AM$92&lt;=AH$92)*N(D$77:AM$77)),0))</f>
        <v>0</v>
      </c>
      <c r="AI103" s="25">
        <f>IF(AI$92="",0,IF(MOD(MONTH(AI$92),IF($D$30="Mensuel",1,IF($D$30="Trimestriel",3,IF($D$30="Semestriel",6,12))))=0,SUMPRODUCT((D$92:AM$92&gt;=MAX($E$5,EDATE(AI$92,-(IF($D$30="Mensuel",1,IF($D$30="Trimestriel",3,IF($D$30="Semestriel",6,12)))-1))))*(D$92:AM$92&lt;=AI$92)*N(D$77:AM$77)),0))</f>
        <v>0</v>
      </c>
      <c r="AJ103" s="25">
        <f>IF(AJ$92="",0,IF(MOD(MONTH(AJ$92),IF($D$30="Mensuel",1,IF($D$30="Trimestriel",3,IF($D$30="Semestriel",6,12))))=0,SUMPRODUCT((D$92:AM$92&gt;=MAX($E$5,EDATE(AJ$92,-(IF($D$30="Mensuel",1,IF($D$30="Trimestriel",3,IF($D$30="Semestriel",6,12)))-1))))*(D$92:AM$92&lt;=AJ$92)*N(D$77:AM$77)),0))</f>
        <v>0</v>
      </c>
      <c r="AK103" s="25">
        <f>IF(AK$92="",0,IF(MOD(MONTH(AK$92),IF($D$30="Mensuel",1,IF($D$30="Trimestriel",3,IF($D$30="Semestriel",6,12))))=0,SUMPRODUCT((D$92:AM$92&gt;=MAX($E$5,EDATE(AK$92,-(IF($D$30="Mensuel",1,IF($D$30="Trimestriel",3,IF($D$30="Semestriel",6,12)))-1))))*(D$92:AM$92&lt;=AK$92)*N(D$77:AM$77)),0))</f>
        <v>0</v>
      </c>
      <c r="AL103" s="25">
        <f>IF(AL$92="",0,IF(MOD(MONTH(AL$92),IF($D$30="Mensuel",1,IF($D$30="Trimestriel",3,IF($D$30="Semestriel",6,12))))=0,SUMPRODUCT((D$92:AM$92&gt;=MAX($E$5,EDATE(AL$92,-(IF($D$30="Mensuel",1,IF($D$30="Trimestriel",3,IF($D$30="Semestriel",6,12)))-1))))*(D$92:AM$92&lt;=AL$92)*N(D$77:AM$77)),0))</f>
        <v>0</v>
      </c>
      <c r="AM103" s="25">
        <f>IF(AM$92="",0,IF(MOD(MONTH(AM$92),IF($D$30="Mensuel",1,IF($D$30="Trimestriel",3,IF($D$30="Semestriel",6,12))))=0,SUMPRODUCT((D$92:AM$92&gt;=MAX($E$5,EDATE(AM$92,-(IF($D$30="Mensuel",1,IF($D$30="Trimestriel",3,IF($D$30="Semestriel",6,12)))-1))))*(D$92:AM$92&lt;=AM$92)*N(D$77:AM$77)),0))</f>
        <v>0</v>
      </c>
    </row>
    <row r="104" ht="15.75" customHeight="1" outlineLevel="1">
      <c r="B104" s="40" t="str">
        <f t="shared" si="25"/>
        <v>Finologee</v>
      </c>
      <c r="D104" s="25">
        <f>IF(D$92="",0,IF(MOD(MONTH(D$92),IF($D$31="Mensuel",1,IF($D$31="Trimestriel",3,IF($D$31="Semestriel",6,12))))=0,SUMPRODUCT((D$92:AM$92&gt;=MAX($E$5,EDATE(D$92,-(IF($D$31="Mensuel",1,IF($D$31="Trimestriel",3,IF($D$31="Semestriel",6,12)))-1))))*(D$92:AM$92&lt;=D$92)*N(D$78:AM$78)),0))</f>
        <v>116</v>
      </c>
      <c r="E104" s="25">
        <f>IF(E$92="",0,IF(MOD(MONTH(E$92),IF($D$31="Mensuel",1,IF($D$31="Trimestriel",3,IF($D$31="Semestriel",6,12))))=0,SUMPRODUCT((D$92:AM$92&gt;=MAX($E$5,EDATE(E$92,-(IF($D$31="Mensuel",1,IF($D$31="Trimestriel",3,IF($D$31="Semestriel",6,12)))-1))))*(D$92:AM$92&lt;=E$92)*N(D$78:AM$78)),0))</f>
        <v>116</v>
      </c>
      <c r="F104" s="25">
        <f>IF(F$92="",0,IF(MOD(MONTH(F$92),IF($D$31="Mensuel",1,IF($D$31="Trimestriel",3,IF($D$31="Semestriel",6,12))))=0,SUMPRODUCT((D$92:AM$92&gt;=MAX($E$5,EDATE(F$92,-(IF($D$31="Mensuel",1,IF($D$31="Trimestriel",3,IF($D$31="Semestriel",6,12)))-1))))*(D$92:AM$92&lt;=F$92)*N(D$78:AM$78)),0))</f>
        <v>0</v>
      </c>
      <c r="G104" s="25">
        <f>IF(G$92="",0,IF(MOD(MONTH(G$92),IF($D$31="Mensuel",1,IF($D$31="Trimestriel",3,IF($D$31="Semestriel",6,12))))=0,SUMPRODUCT((D$92:AM$92&gt;=MAX($E$5,EDATE(G$92,-(IF($D$31="Mensuel",1,IF($D$31="Trimestriel",3,IF($D$31="Semestriel",6,12)))-1))))*(D$92:AM$92&lt;=G$92)*N(D$78:AM$78)),0))</f>
        <v>0</v>
      </c>
      <c r="H104" s="25">
        <f>IF(H$92="",0,IF(MOD(MONTH(H$92),IF($D$31="Mensuel",1,IF($D$31="Trimestriel",3,IF($D$31="Semestriel",6,12))))=0,SUMPRODUCT((D$92:AM$92&gt;=MAX($E$5,EDATE(H$92,-(IF($D$31="Mensuel",1,IF($D$31="Trimestriel",3,IF($D$31="Semestriel",6,12)))-1))))*(D$92:AM$92&lt;=H$92)*N(D$78:AM$78)),0))</f>
        <v>0</v>
      </c>
      <c r="I104" s="25">
        <f>IF(I$92="",0,IF(MOD(MONTH(I$92),IF($D$31="Mensuel",1,IF($D$31="Trimestriel",3,IF($D$31="Semestriel",6,12))))=0,SUMPRODUCT((D$92:AM$92&gt;=MAX($E$5,EDATE(I$92,-(IF($D$31="Mensuel",1,IF($D$31="Trimestriel",3,IF($D$31="Semestriel",6,12)))-1))))*(D$92:AM$92&lt;=I$92)*N(D$78:AM$78)),0))</f>
        <v>0</v>
      </c>
      <c r="J104" s="25">
        <f>IF(J$92="",0,IF(MOD(MONTH(J$92),IF($D$31="Mensuel",1,IF($D$31="Trimestriel",3,IF($D$31="Semestriel",6,12))))=0,SUMPRODUCT((D$92:AM$92&gt;=MAX($E$5,EDATE(J$92,-(IF($D$31="Mensuel",1,IF($D$31="Trimestriel",3,IF($D$31="Semestriel",6,12)))-1))))*(D$92:AM$92&lt;=J$92)*N(D$78:AM$78)),0))</f>
        <v>0</v>
      </c>
      <c r="K104" s="25">
        <f>IF(K$92="",0,IF(MOD(MONTH(K$92),IF($D$31="Mensuel",1,IF($D$31="Trimestriel",3,IF($D$31="Semestriel",6,12))))=0,SUMPRODUCT((D$92:AM$92&gt;=MAX($E$5,EDATE(K$92,-(IF($D$31="Mensuel",1,IF($D$31="Trimestriel",3,IF($D$31="Semestriel",6,12)))-1))))*(D$92:AM$92&lt;=K$92)*N(D$78:AM$78)),0))</f>
        <v>0</v>
      </c>
      <c r="L104" s="25">
        <f>IF(L$92="",0,IF(MOD(MONTH(L$92),IF($D$31="Mensuel",1,IF($D$31="Trimestriel",3,IF($D$31="Semestriel",6,12))))=0,SUMPRODUCT((D$92:AM$92&gt;=MAX($E$5,EDATE(L$92,-(IF($D$31="Mensuel",1,IF($D$31="Trimestriel",3,IF($D$31="Semestriel",6,12)))-1))))*(D$92:AM$92&lt;=L$92)*N(D$78:AM$78)),0))</f>
        <v>0</v>
      </c>
      <c r="M104" s="25">
        <f>IF(M$92="",0,IF(MOD(MONTH(M$92),IF($D$31="Mensuel",1,IF($D$31="Trimestriel",3,IF($D$31="Semestriel",6,12))))=0,SUMPRODUCT((D$92:AM$92&gt;=MAX($E$5,EDATE(M$92,-(IF($D$31="Mensuel",1,IF($D$31="Trimestriel",3,IF($D$31="Semestriel",6,12)))-1))))*(D$92:AM$92&lt;=M$92)*N(D$78:AM$78)),0))</f>
        <v>0</v>
      </c>
      <c r="N104" s="25">
        <f>IF(N$92="",0,IF(MOD(MONTH(N$92),IF($D$31="Mensuel",1,IF($D$31="Trimestriel",3,IF($D$31="Semestriel",6,12))))=0,SUMPRODUCT((D$92:AM$92&gt;=MAX($E$5,EDATE(N$92,-(IF($D$31="Mensuel",1,IF($D$31="Trimestriel",3,IF($D$31="Semestriel",6,12)))-1))))*(D$92:AM$92&lt;=N$92)*N(D$78:AM$78)),0))</f>
        <v>0</v>
      </c>
      <c r="O104" s="25">
        <f>IF(O$92="",0,IF(MOD(MONTH(O$92),IF($D$31="Mensuel",1,IF($D$31="Trimestriel",3,IF($D$31="Semestriel",6,12))))=0,SUMPRODUCT((D$92:AM$92&gt;=MAX($E$5,EDATE(O$92,-(IF($D$31="Mensuel",1,IF($D$31="Trimestriel",3,IF($D$31="Semestriel",6,12)))-1))))*(D$92:AM$92&lt;=O$92)*N(D$78:AM$78)),0))</f>
        <v>0</v>
      </c>
      <c r="P104" s="25">
        <f>IF(P$92="",0,IF(MOD(MONTH(P$92),IF($D$31="Mensuel",1,IF($D$31="Trimestriel",3,IF($D$31="Semestriel",6,12))))=0,SUMPRODUCT((D$92:AM$92&gt;=MAX($E$5,EDATE(P$92,-(IF($D$31="Mensuel",1,IF($D$31="Trimestriel",3,IF($D$31="Semestriel",6,12)))-1))))*(D$92:AM$92&lt;=P$92)*N(D$78:AM$78)),0))</f>
        <v>0</v>
      </c>
      <c r="Q104" s="25">
        <f>IF(Q$92="",0,IF(MOD(MONTH(Q$92),IF($D$31="Mensuel",1,IF($D$31="Trimestriel",3,IF($D$31="Semestriel",6,12))))=0,SUMPRODUCT((D$92:AM$92&gt;=MAX($E$5,EDATE(Q$92,-(IF($D$31="Mensuel",1,IF($D$31="Trimestriel",3,IF($D$31="Semestriel",6,12)))-1))))*(D$92:AM$92&lt;=Q$92)*N(D$78:AM$78)),0))</f>
        <v>0</v>
      </c>
      <c r="R104" s="25">
        <f>IF(R$92="",0,IF(MOD(MONTH(R$92),IF($D$31="Mensuel",1,IF($D$31="Trimestriel",3,IF($D$31="Semestriel",6,12))))=0,SUMPRODUCT((D$92:AM$92&gt;=MAX($E$5,EDATE(R$92,-(IF($D$31="Mensuel",1,IF($D$31="Trimestriel",3,IF($D$31="Semestriel",6,12)))-1))))*(D$92:AM$92&lt;=R$92)*N(D$78:AM$78)),0))</f>
        <v>0</v>
      </c>
      <c r="S104" s="25">
        <f>IF(S$92="",0,IF(MOD(MONTH(S$92),IF($D$31="Mensuel",1,IF($D$31="Trimestriel",3,IF($D$31="Semestriel",6,12))))=0,SUMPRODUCT((D$92:AM$92&gt;=MAX($E$5,EDATE(S$92,-(IF($D$31="Mensuel",1,IF($D$31="Trimestriel",3,IF($D$31="Semestriel",6,12)))-1))))*(D$92:AM$92&lt;=S$92)*N(D$78:AM$78)),0))</f>
        <v>0</v>
      </c>
      <c r="T104" s="25">
        <f>IF(T$92="",0,IF(MOD(MONTH(T$92),IF($D$31="Mensuel",1,IF($D$31="Trimestriel",3,IF($D$31="Semestriel",6,12))))=0,SUMPRODUCT((D$92:AM$92&gt;=MAX($E$5,EDATE(T$92,-(IF($D$31="Mensuel",1,IF($D$31="Trimestriel",3,IF($D$31="Semestriel",6,12)))-1))))*(D$92:AM$92&lt;=T$92)*N(D$78:AM$78)),0))</f>
        <v>0</v>
      </c>
      <c r="U104" s="25">
        <f>IF(U$92="",0,IF(MOD(MONTH(U$92),IF($D$31="Mensuel",1,IF($D$31="Trimestriel",3,IF($D$31="Semestriel",6,12))))=0,SUMPRODUCT((D$92:AM$92&gt;=MAX($E$5,EDATE(U$92,-(IF($D$31="Mensuel",1,IF($D$31="Trimestriel",3,IF($D$31="Semestriel",6,12)))-1))))*(D$92:AM$92&lt;=U$92)*N(D$78:AM$78)),0))</f>
        <v>0</v>
      </c>
      <c r="V104" s="25">
        <f>IF(V$92="",0,IF(MOD(MONTH(V$92),IF($D$31="Mensuel",1,IF($D$31="Trimestriel",3,IF($D$31="Semestriel",6,12))))=0,SUMPRODUCT((D$92:AM$92&gt;=MAX($E$5,EDATE(V$92,-(IF($D$31="Mensuel",1,IF($D$31="Trimestriel",3,IF($D$31="Semestriel",6,12)))-1))))*(D$92:AM$92&lt;=V$92)*N(D$78:AM$78)),0))</f>
        <v>0</v>
      </c>
      <c r="W104" s="25">
        <f>IF(W$92="",0,IF(MOD(MONTH(W$92),IF($D$31="Mensuel",1,IF($D$31="Trimestriel",3,IF($D$31="Semestriel",6,12))))=0,SUMPRODUCT((D$92:AM$92&gt;=MAX($E$5,EDATE(W$92,-(IF($D$31="Mensuel",1,IF($D$31="Trimestriel",3,IF($D$31="Semestriel",6,12)))-1))))*(D$92:AM$92&lt;=W$92)*N(D$78:AM$78)),0))</f>
        <v>0</v>
      </c>
      <c r="X104" s="25">
        <f>IF(X$92="",0,IF(MOD(MONTH(X$92),IF($D$31="Mensuel",1,IF($D$31="Trimestriel",3,IF($D$31="Semestriel",6,12))))=0,SUMPRODUCT((D$92:AM$92&gt;=MAX($E$5,EDATE(X$92,-(IF($D$31="Mensuel",1,IF($D$31="Trimestriel",3,IF($D$31="Semestriel",6,12)))-1))))*(D$92:AM$92&lt;=X$92)*N(D$78:AM$78)),0))</f>
        <v>0</v>
      </c>
      <c r="Y104" s="25">
        <f>IF(Y$92="",0,IF(MOD(MONTH(Y$92),IF($D$31="Mensuel",1,IF($D$31="Trimestriel",3,IF($D$31="Semestriel",6,12))))=0,SUMPRODUCT((D$92:AM$92&gt;=MAX($E$5,EDATE(Y$92,-(IF($D$31="Mensuel",1,IF($D$31="Trimestriel",3,IF($D$31="Semestriel",6,12)))-1))))*(D$92:AM$92&lt;=Y$92)*N(D$78:AM$78)),0))</f>
        <v>0</v>
      </c>
      <c r="Z104" s="25">
        <f>IF(Z$92="",0,IF(MOD(MONTH(Z$92),IF($D$31="Mensuel",1,IF($D$31="Trimestriel",3,IF($D$31="Semestriel",6,12))))=0,SUMPRODUCT((D$92:AM$92&gt;=MAX($E$5,EDATE(Z$92,-(IF($D$31="Mensuel",1,IF($D$31="Trimestriel",3,IF($D$31="Semestriel",6,12)))-1))))*(D$92:AM$92&lt;=Z$92)*N(D$78:AM$78)),0))</f>
        <v>0</v>
      </c>
      <c r="AA104" s="25">
        <f>IF(AA$92="",0,IF(MOD(MONTH(AA$92),IF($D$31="Mensuel",1,IF($D$31="Trimestriel",3,IF($D$31="Semestriel",6,12))))=0,SUMPRODUCT((D$92:AM$92&gt;=MAX($E$5,EDATE(AA$92,-(IF($D$31="Mensuel",1,IF($D$31="Trimestriel",3,IF($D$31="Semestriel",6,12)))-1))))*(D$92:AM$92&lt;=AA$92)*N(D$78:AM$78)),0))</f>
        <v>0</v>
      </c>
      <c r="AB104" s="25">
        <f>IF(AB$92="",0,IF(MOD(MONTH(AB$92),IF($D$31="Mensuel",1,IF($D$31="Trimestriel",3,IF($D$31="Semestriel",6,12))))=0,SUMPRODUCT((D$92:AM$92&gt;=MAX($E$5,EDATE(AB$92,-(IF($D$31="Mensuel",1,IF($D$31="Trimestriel",3,IF($D$31="Semestriel",6,12)))-1))))*(D$92:AM$92&lt;=AB$92)*N(D$78:AM$78)),0))</f>
        <v>0</v>
      </c>
      <c r="AC104" s="25">
        <f>IF(AC$92="",0,IF(MOD(MONTH(AC$92),IF($D$31="Mensuel",1,IF($D$31="Trimestriel",3,IF($D$31="Semestriel",6,12))))=0,SUMPRODUCT((D$92:AM$92&gt;=MAX($E$5,EDATE(AC$92,-(IF($D$31="Mensuel",1,IF($D$31="Trimestriel",3,IF($D$31="Semestriel",6,12)))-1))))*(D$92:AM$92&lt;=AC$92)*N(D$78:AM$78)),0))</f>
        <v>0</v>
      </c>
      <c r="AD104" s="25">
        <f>IF(AD$92="",0,IF(MOD(MONTH(AD$92),IF($D$31="Mensuel",1,IF($D$31="Trimestriel",3,IF($D$31="Semestriel",6,12))))=0,SUMPRODUCT((D$92:AM$92&gt;=MAX($E$5,EDATE(AD$92,-(IF($D$31="Mensuel",1,IF($D$31="Trimestriel",3,IF($D$31="Semestriel",6,12)))-1))))*(D$92:AM$92&lt;=AD$92)*N(D$78:AM$78)),0))</f>
        <v>0</v>
      </c>
      <c r="AE104" s="25">
        <f>IF(AE$92="",0,IF(MOD(MONTH(AE$92),IF($D$31="Mensuel",1,IF($D$31="Trimestriel",3,IF($D$31="Semestriel",6,12))))=0,SUMPRODUCT((D$92:AM$92&gt;=MAX($E$5,EDATE(AE$92,-(IF($D$31="Mensuel",1,IF($D$31="Trimestriel",3,IF($D$31="Semestriel",6,12)))-1))))*(D$92:AM$92&lt;=AE$92)*N(D$78:AM$78)),0))</f>
        <v>0</v>
      </c>
      <c r="AF104" s="25">
        <f>IF(AF$92="",0,IF(MOD(MONTH(AF$92),IF($D$31="Mensuel",1,IF($D$31="Trimestriel",3,IF($D$31="Semestriel",6,12))))=0,SUMPRODUCT((D$92:AM$92&gt;=MAX($E$5,EDATE(AF$92,-(IF($D$31="Mensuel",1,IF($D$31="Trimestriel",3,IF($D$31="Semestriel",6,12)))-1))))*(D$92:AM$92&lt;=AF$92)*N(D$78:AM$78)),0))</f>
        <v>0</v>
      </c>
      <c r="AG104" s="25">
        <f>IF(AG$92="",0,IF(MOD(MONTH(AG$92),IF($D$31="Mensuel",1,IF($D$31="Trimestriel",3,IF($D$31="Semestriel",6,12))))=0,SUMPRODUCT((D$92:AM$92&gt;=MAX($E$5,EDATE(AG$92,-(IF($D$31="Mensuel",1,IF($D$31="Trimestriel",3,IF($D$31="Semestriel",6,12)))-1))))*(D$92:AM$92&lt;=AG$92)*N(D$78:AM$78)),0))</f>
        <v>0</v>
      </c>
      <c r="AH104" s="25">
        <f>IF(AH$92="",0,IF(MOD(MONTH(AH$92),IF($D$31="Mensuel",1,IF($D$31="Trimestriel",3,IF($D$31="Semestriel",6,12))))=0,SUMPRODUCT((D$92:AM$92&gt;=MAX($E$5,EDATE(AH$92,-(IF($D$31="Mensuel",1,IF($D$31="Trimestriel",3,IF($D$31="Semestriel",6,12)))-1))))*(D$92:AM$92&lt;=AH$92)*N(D$78:AM$78)),0))</f>
        <v>0</v>
      </c>
      <c r="AI104" s="25">
        <f>IF(AI$92="",0,IF(MOD(MONTH(AI$92),IF($D$31="Mensuel",1,IF($D$31="Trimestriel",3,IF($D$31="Semestriel",6,12))))=0,SUMPRODUCT((D$92:AM$92&gt;=MAX($E$5,EDATE(AI$92,-(IF($D$31="Mensuel",1,IF($D$31="Trimestriel",3,IF($D$31="Semestriel",6,12)))-1))))*(D$92:AM$92&lt;=AI$92)*N(D$78:AM$78)),0))</f>
        <v>0</v>
      </c>
      <c r="AJ104" s="25">
        <f>IF(AJ$92="",0,IF(MOD(MONTH(AJ$92),IF($D$31="Mensuel",1,IF($D$31="Trimestriel",3,IF($D$31="Semestriel",6,12))))=0,SUMPRODUCT((D$92:AM$92&gt;=MAX($E$5,EDATE(AJ$92,-(IF($D$31="Mensuel",1,IF($D$31="Trimestriel",3,IF($D$31="Semestriel",6,12)))-1))))*(D$92:AM$92&lt;=AJ$92)*N(D$78:AM$78)),0))</f>
        <v>0</v>
      </c>
      <c r="AK104" s="25">
        <f>IF(AK$92="",0,IF(MOD(MONTH(AK$92),IF($D$31="Mensuel",1,IF($D$31="Trimestriel",3,IF($D$31="Semestriel",6,12))))=0,SUMPRODUCT((D$92:AM$92&gt;=MAX($E$5,EDATE(AK$92,-(IF($D$31="Mensuel",1,IF($D$31="Trimestriel",3,IF($D$31="Semestriel",6,12)))-1))))*(D$92:AM$92&lt;=AK$92)*N(D$78:AM$78)),0))</f>
        <v>0</v>
      </c>
      <c r="AL104" s="25">
        <f>IF(AL$92="",0,IF(MOD(MONTH(AL$92),IF($D$31="Mensuel",1,IF($D$31="Trimestriel",3,IF($D$31="Semestriel",6,12))))=0,SUMPRODUCT((D$92:AM$92&gt;=MAX($E$5,EDATE(AL$92,-(IF($D$31="Mensuel",1,IF($D$31="Trimestriel",3,IF($D$31="Semestriel",6,12)))-1))))*(D$92:AM$92&lt;=AL$92)*N(D$78:AM$78)),0))</f>
        <v>0</v>
      </c>
      <c r="AM104" s="25">
        <f>IF(AM$92="",0,IF(MOD(MONTH(AM$92),IF($D$31="Mensuel",1,IF($D$31="Trimestriel",3,IF($D$31="Semestriel",6,12))))=0,SUMPRODUCT((D$92:AM$92&gt;=MAX($E$5,EDATE(AM$92,-(IF($D$31="Mensuel",1,IF($D$31="Trimestriel",3,IF($D$31="Semestriel",6,12)))-1))))*(D$92:AM$92&lt;=AM$92)*N(D$78:AM$78)),0))</f>
        <v>0</v>
      </c>
    </row>
    <row r="105" ht="15.75" customHeight="1" outlineLevel="1">
      <c r="B105" s="40" t="str">
        <f t="shared" si="25"/>
        <v>Frais KYC (au-delà du forfait inclus)</v>
      </c>
      <c r="D105" s="25">
        <f>IF(D$92="",0,IF(MOD(MONTH(D$92),IF($D$32="Mensuel",1,IF($D$32="Trimestriel",3,IF($D$32="Semestriel",6,12))))=0,SUMPRODUCT((D$92:AM$92&gt;=MAX($E$5,EDATE(D$92,-(IF($D$32="Mensuel",1,IF($D$32="Trimestriel",3,IF($D$32="Semestriel",6,12)))-1))))*(D$92:AM$92&lt;=D$92)*N(D$79:AM$79)),0))</f>
        <v>0</v>
      </c>
      <c r="E105" s="25">
        <f>IF(E$92="",0,IF(MOD(MONTH(E$92),IF($D$32="Mensuel",1,IF($D$32="Trimestriel",3,IF($D$32="Semestriel",6,12))))=0,SUMPRODUCT((D$92:AM$92&gt;=MAX($E$5,EDATE(E$92,-(IF($D$32="Mensuel",1,IF($D$32="Trimestriel",3,IF($D$32="Semestriel",6,12)))-1))))*(D$92:AM$92&lt;=E$92)*N(D$79:AM$79)),0))</f>
        <v>0</v>
      </c>
      <c r="F105" s="25">
        <f>IF(F$92="",0,IF(MOD(MONTH(F$92),IF($D$32="Mensuel",1,IF($D$32="Trimestriel",3,IF($D$32="Semestriel",6,12))))=0,SUMPRODUCT((D$92:AM$92&gt;=MAX($E$5,EDATE(F$92,-(IF($D$32="Mensuel",1,IF($D$32="Trimestriel",3,IF($D$32="Semestriel",6,12)))-1))))*(D$92:AM$92&lt;=F$92)*N(D$79:AM$79)),0))</f>
        <v>0</v>
      </c>
      <c r="G105" s="25">
        <f>IF(G$92="",0,IF(MOD(MONTH(G$92),IF($D$32="Mensuel",1,IF($D$32="Trimestriel",3,IF($D$32="Semestriel",6,12))))=0,SUMPRODUCT((D$92:AM$92&gt;=MAX($E$5,EDATE(G$92,-(IF($D$32="Mensuel",1,IF($D$32="Trimestriel",3,IF($D$32="Semestriel",6,12)))-1))))*(D$92:AM$92&lt;=G$92)*N(D$79:AM$79)),0))</f>
        <v>0</v>
      </c>
      <c r="H105" s="25">
        <f>IF(H$92="",0,IF(MOD(MONTH(H$92),IF($D$32="Mensuel",1,IF($D$32="Trimestriel",3,IF($D$32="Semestriel",6,12))))=0,SUMPRODUCT((D$92:AM$92&gt;=MAX($E$5,EDATE(H$92,-(IF($D$32="Mensuel",1,IF($D$32="Trimestriel",3,IF($D$32="Semestriel",6,12)))-1))))*(D$92:AM$92&lt;=H$92)*N(D$79:AM$79)),0))</f>
        <v>0</v>
      </c>
      <c r="I105" s="25">
        <f>IF(I$92="",0,IF(MOD(MONTH(I$92),IF($D$32="Mensuel",1,IF($D$32="Trimestriel",3,IF($D$32="Semestriel",6,12))))=0,SUMPRODUCT((D$92:AM$92&gt;=MAX($E$5,EDATE(I$92,-(IF($D$32="Mensuel",1,IF($D$32="Trimestriel",3,IF($D$32="Semestriel",6,12)))-1))))*(D$92:AM$92&lt;=I$92)*N(D$79:AM$79)),0))</f>
        <v>0</v>
      </c>
      <c r="J105" s="25">
        <f>IF(J$92="",0,IF(MOD(MONTH(J$92),IF($D$32="Mensuel",1,IF($D$32="Trimestriel",3,IF($D$32="Semestriel",6,12))))=0,SUMPRODUCT((D$92:AM$92&gt;=MAX($E$5,EDATE(J$92,-(IF($D$32="Mensuel",1,IF($D$32="Trimestriel",3,IF($D$32="Semestriel",6,12)))-1))))*(D$92:AM$92&lt;=J$92)*N(D$79:AM$79)),0))</f>
        <v>0</v>
      </c>
      <c r="K105" s="25">
        <f>IF(K$92="",0,IF(MOD(MONTH(K$92),IF($D$32="Mensuel",1,IF($D$32="Trimestriel",3,IF($D$32="Semestriel",6,12))))=0,SUMPRODUCT((D$92:AM$92&gt;=MAX($E$5,EDATE(K$92,-(IF($D$32="Mensuel",1,IF($D$32="Trimestriel",3,IF($D$32="Semestriel",6,12)))-1))))*(D$92:AM$92&lt;=K$92)*N(D$79:AM$79)),0))</f>
        <v>0</v>
      </c>
      <c r="L105" s="25">
        <f>IF(L$92="",0,IF(MOD(MONTH(L$92),IF($D$32="Mensuel",1,IF($D$32="Trimestriel",3,IF($D$32="Semestriel",6,12))))=0,SUMPRODUCT((D$92:AM$92&gt;=MAX($E$5,EDATE(L$92,-(IF($D$32="Mensuel",1,IF($D$32="Trimestriel",3,IF($D$32="Semestriel",6,12)))-1))))*(D$92:AM$92&lt;=L$92)*N(D$79:AM$79)),0))</f>
        <v>0</v>
      </c>
      <c r="M105" s="25">
        <f>IF(M$92="",0,IF(MOD(MONTH(M$92),IF($D$32="Mensuel",1,IF($D$32="Trimestriel",3,IF($D$32="Semestriel",6,12))))=0,SUMPRODUCT((D$92:AM$92&gt;=MAX($E$5,EDATE(M$92,-(IF($D$32="Mensuel",1,IF($D$32="Trimestriel",3,IF($D$32="Semestriel",6,12)))-1))))*(D$92:AM$92&lt;=M$92)*N(D$79:AM$79)),0))</f>
        <v>0</v>
      </c>
      <c r="N105" s="25">
        <f>IF(N$92="",0,IF(MOD(MONTH(N$92),IF($D$32="Mensuel",1,IF($D$32="Trimestriel",3,IF($D$32="Semestriel",6,12))))=0,SUMPRODUCT((D$92:AM$92&gt;=MAX($E$5,EDATE(N$92,-(IF($D$32="Mensuel",1,IF($D$32="Trimestriel",3,IF($D$32="Semestriel",6,12)))-1))))*(D$92:AM$92&lt;=N$92)*N(D$79:AM$79)),0))</f>
        <v>0</v>
      </c>
      <c r="O105" s="25">
        <f>IF(O$92="",0,IF(MOD(MONTH(O$92),IF($D$32="Mensuel",1,IF($D$32="Trimestriel",3,IF($D$32="Semestriel",6,12))))=0,SUMPRODUCT((D$92:AM$92&gt;=MAX($E$5,EDATE(O$92,-(IF($D$32="Mensuel",1,IF($D$32="Trimestriel",3,IF($D$32="Semestriel",6,12)))-1))))*(D$92:AM$92&lt;=O$92)*N(D$79:AM$79)),0))</f>
        <v>0</v>
      </c>
      <c r="P105" s="25">
        <f>IF(P$92="",0,IF(MOD(MONTH(P$92),IF($D$32="Mensuel",1,IF($D$32="Trimestriel",3,IF($D$32="Semestriel",6,12))))=0,SUMPRODUCT((D$92:AM$92&gt;=MAX($E$5,EDATE(P$92,-(IF($D$32="Mensuel",1,IF($D$32="Trimestriel",3,IF($D$32="Semestriel",6,12)))-1))))*(D$92:AM$92&lt;=P$92)*N(D$79:AM$79)),0))</f>
        <v>0</v>
      </c>
      <c r="Q105" s="25">
        <f>IF(Q$92="",0,IF(MOD(MONTH(Q$92),IF($D$32="Mensuel",1,IF($D$32="Trimestriel",3,IF($D$32="Semestriel",6,12))))=0,SUMPRODUCT((D$92:AM$92&gt;=MAX($E$5,EDATE(Q$92,-(IF($D$32="Mensuel",1,IF($D$32="Trimestriel",3,IF($D$32="Semestriel",6,12)))-1))))*(D$92:AM$92&lt;=Q$92)*N(D$79:AM$79)),0))</f>
        <v>0</v>
      </c>
      <c r="R105" s="25">
        <f>IF(R$92="",0,IF(MOD(MONTH(R$92),IF($D$32="Mensuel",1,IF($D$32="Trimestriel",3,IF($D$32="Semestriel",6,12))))=0,SUMPRODUCT((D$92:AM$92&gt;=MAX($E$5,EDATE(R$92,-(IF($D$32="Mensuel",1,IF($D$32="Trimestriel",3,IF($D$32="Semestriel",6,12)))-1))))*(D$92:AM$92&lt;=R$92)*N(D$79:AM$79)),0))</f>
        <v>0</v>
      </c>
      <c r="S105" s="25">
        <f>IF(S$92="",0,IF(MOD(MONTH(S$92),IF($D$32="Mensuel",1,IF($D$32="Trimestriel",3,IF($D$32="Semestriel",6,12))))=0,SUMPRODUCT((D$92:AM$92&gt;=MAX($E$5,EDATE(S$92,-(IF($D$32="Mensuel",1,IF($D$32="Trimestriel",3,IF($D$32="Semestriel",6,12)))-1))))*(D$92:AM$92&lt;=S$92)*N(D$79:AM$79)),0))</f>
        <v>0</v>
      </c>
      <c r="T105" s="25">
        <f>IF(T$92="",0,IF(MOD(MONTH(T$92),IF($D$32="Mensuel",1,IF($D$32="Trimestriel",3,IF($D$32="Semestriel",6,12))))=0,SUMPRODUCT((D$92:AM$92&gt;=MAX($E$5,EDATE(T$92,-(IF($D$32="Mensuel",1,IF($D$32="Trimestriel",3,IF($D$32="Semestriel",6,12)))-1))))*(D$92:AM$92&lt;=T$92)*N(D$79:AM$79)),0))</f>
        <v>0</v>
      </c>
      <c r="U105" s="25">
        <f>IF(U$92="",0,IF(MOD(MONTH(U$92),IF($D$32="Mensuel",1,IF($D$32="Trimestriel",3,IF($D$32="Semestriel",6,12))))=0,SUMPRODUCT((D$92:AM$92&gt;=MAX($E$5,EDATE(U$92,-(IF($D$32="Mensuel",1,IF($D$32="Trimestriel",3,IF($D$32="Semestriel",6,12)))-1))))*(D$92:AM$92&lt;=U$92)*N(D$79:AM$79)),0))</f>
        <v>0</v>
      </c>
      <c r="V105" s="25">
        <f>IF(V$92="",0,IF(MOD(MONTH(V$92),IF($D$32="Mensuel",1,IF($D$32="Trimestriel",3,IF($D$32="Semestriel",6,12))))=0,SUMPRODUCT((D$92:AM$92&gt;=MAX($E$5,EDATE(V$92,-(IF($D$32="Mensuel",1,IF($D$32="Trimestriel",3,IF($D$32="Semestriel",6,12)))-1))))*(D$92:AM$92&lt;=V$92)*N(D$79:AM$79)),0))</f>
        <v>0</v>
      </c>
      <c r="W105" s="25">
        <f>IF(W$92="",0,IF(MOD(MONTH(W$92),IF($D$32="Mensuel",1,IF($D$32="Trimestriel",3,IF($D$32="Semestriel",6,12))))=0,SUMPRODUCT((D$92:AM$92&gt;=MAX($E$5,EDATE(W$92,-(IF($D$32="Mensuel",1,IF($D$32="Trimestriel",3,IF($D$32="Semestriel",6,12)))-1))))*(D$92:AM$92&lt;=W$92)*N(D$79:AM$79)),0))</f>
        <v>0</v>
      </c>
      <c r="X105" s="25">
        <f>IF(X$92="",0,IF(MOD(MONTH(X$92),IF($D$32="Mensuel",1,IF($D$32="Trimestriel",3,IF($D$32="Semestriel",6,12))))=0,SUMPRODUCT((D$92:AM$92&gt;=MAX($E$5,EDATE(X$92,-(IF($D$32="Mensuel",1,IF($D$32="Trimestriel",3,IF($D$32="Semestriel",6,12)))-1))))*(D$92:AM$92&lt;=X$92)*N(D$79:AM$79)),0))</f>
        <v>0</v>
      </c>
      <c r="Y105" s="25">
        <f>IF(Y$92="",0,IF(MOD(MONTH(Y$92),IF($D$32="Mensuel",1,IF($D$32="Trimestriel",3,IF($D$32="Semestriel",6,12))))=0,SUMPRODUCT((D$92:AM$92&gt;=MAX($E$5,EDATE(Y$92,-(IF($D$32="Mensuel",1,IF($D$32="Trimestriel",3,IF($D$32="Semestriel",6,12)))-1))))*(D$92:AM$92&lt;=Y$92)*N(D$79:AM$79)),0))</f>
        <v>0</v>
      </c>
      <c r="Z105" s="25">
        <f>IF(Z$92="",0,IF(MOD(MONTH(Z$92),IF($D$32="Mensuel",1,IF($D$32="Trimestriel",3,IF($D$32="Semestriel",6,12))))=0,SUMPRODUCT((D$92:AM$92&gt;=MAX($E$5,EDATE(Z$92,-(IF($D$32="Mensuel",1,IF($D$32="Trimestriel",3,IF($D$32="Semestriel",6,12)))-1))))*(D$92:AM$92&lt;=Z$92)*N(D$79:AM$79)),0))</f>
        <v>0</v>
      </c>
      <c r="AA105" s="25">
        <f>IF(AA$92="",0,IF(MOD(MONTH(AA$92),IF($D$32="Mensuel",1,IF($D$32="Trimestriel",3,IF($D$32="Semestriel",6,12))))=0,SUMPRODUCT((D$92:AM$92&gt;=MAX($E$5,EDATE(AA$92,-(IF($D$32="Mensuel",1,IF($D$32="Trimestriel",3,IF($D$32="Semestriel",6,12)))-1))))*(D$92:AM$92&lt;=AA$92)*N(D$79:AM$79)),0))</f>
        <v>0</v>
      </c>
      <c r="AB105" s="25">
        <f>IF(AB$92="",0,IF(MOD(MONTH(AB$92),IF($D$32="Mensuel",1,IF($D$32="Trimestriel",3,IF($D$32="Semestriel",6,12))))=0,SUMPRODUCT((D$92:AM$92&gt;=MAX($E$5,EDATE(AB$92,-(IF($D$32="Mensuel",1,IF($D$32="Trimestriel",3,IF($D$32="Semestriel",6,12)))-1))))*(D$92:AM$92&lt;=AB$92)*N(D$79:AM$79)),0))</f>
        <v>0</v>
      </c>
      <c r="AC105" s="25">
        <f>IF(AC$92="",0,IF(MOD(MONTH(AC$92),IF($D$32="Mensuel",1,IF($D$32="Trimestriel",3,IF($D$32="Semestriel",6,12))))=0,SUMPRODUCT((D$92:AM$92&gt;=MAX($E$5,EDATE(AC$92,-(IF($D$32="Mensuel",1,IF($D$32="Trimestriel",3,IF($D$32="Semestriel",6,12)))-1))))*(D$92:AM$92&lt;=AC$92)*N(D$79:AM$79)),0))</f>
        <v>0</v>
      </c>
      <c r="AD105" s="25">
        <f>IF(AD$92="",0,IF(MOD(MONTH(AD$92),IF($D$32="Mensuel",1,IF($D$32="Trimestriel",3,IF($D$32="Semestriel",6,12))))=0,SUMPRODUCT((D$92:AM$92&gt;=MAX($E$5,EDATE(AD$92,-(IF($D$32="Mensuel",1,IF($D$32="Trimestriel",3,IF($D$32="Semestriel",6,12)))-1))))*(D$92:AM$92&lt;=AD$92)*N(D$79:AM$79)),0))</f>
        <v>0</v>
      </c>
      <c r="AE105" s="25">
        <f>IF(AE$92="",0,IF(MOD(MONTH(AE$92),IF($D$32="Mensuel",1,IF($D$32="Trimestriel",3,IF($D$32="Semestriel",6,12))))=0,SUMPRODUCT((D$92:AM$92&gt;=MAX($E$5,EDATE(AE$92,-(IF($D$32="Mensuel",1,IF($D$32="Trimestriel",3,IF($D$32="Semestriel",6,12)))-1))))*(D$92:AM$92&lt;=AE$92)*N(D$79:AM$79)),0))</f>
        <v>0</v>
      </c>
      <c r="AF105" s="25">
        <f>IF(AF$92="",0,IF(MOD(MONTH(AF$92),IF($D$32="Mensuel",1,IF($D$32="Trimestriel",3,IF($D$32="Semestriel",6,12))))=0,SUMPRODUCT((D$92:AM$92&gt;=MAX($E$5,EDATE(AF$92,-(IF($D$32="Mensuel",1,IF($D$32="Trimestriel",3,IF($D$32="Semestriel",6,12)))-1))))*(D$92:AM$92&lt;=AF$92)*N(D$79:AM$79)),0))</f>
        <v>0</v>
      </c>
      <c r="AG105" s="25">
        <f>IF(AG$92="",0,IF(MOD(MONTH(AG$92),IF($D$32="Mensuel",1,IF($D$32="Trimestriel",3,IF($D$32="Semestriel",6,12))))=0,SUMPRODUCT((D$92:AM$92&gt;=MAX($E$5,EDATE(AG$92,-(IF($D$32="Mensuel",1,IF($D$32="Trimestriel",3,IF($D$32="Semestriel",6,12)))-1))))*(D$92:AM$92&lt;=AG$92)*N(D$79:AM$79)),0))</f>
        <v>0</v>
      </c>
      <c r="AH105" s="25">
        <f>IF(AH$92="",0,IF(MOD(MONTH(AH$92),IF($D$32="Mensuel",1,IF($D$32="Trimestriel",3,IF($D$32="Semestriel",6,12))))=0,SUMPRODUCT((D$92:AM$92&gt;=MAX($E$5,EDATE(AH$92,-(IF($D$32="Mensuel",1,IF($D$32="Trimestriel",3,IF($D$32="Semestriel",6,12)))-1))))*(D$92:AM$92&lt;=AH$92)*N(D$79:AM$79)),0))</f>
        <v>0</v>
      </c>
      <c r="AI105" s="25">
        <f>IF(AI$92="",0,IF(MOD(MONTH(AI$92),IF($D$32="Mensuel",1,IF($D$32="Trimestriel",3,IF($D$32="Semestriel",6,12))))=0,SUMPRODUCT((D$92:AM$92&gt;=MAX($E$5,EDATE(AI$92,-(IF($D$32="Mensuel",1,IF($D$32="Trimestriel",3,IF($D$32="Semestriel",6,12)))-1))))*(D$92:AM$92&lt;=AI$92)*N(D$79:AM$79)),0))</f>
        <v>0</v>
      </c>
      <c r="AJ105" s="25">
        <f>IF(AJ$92="",0,IF(MOD(MONTH(AJ$92),IF($D$32="Mensuel",1,IF($D$32="Trimestriel",3,IF($D$32="Semestriel",6,12))))=0,SUMPRODUCT((D$92:AM$92&gt;=MAX($E$5,EDATE(AJ$92,-(IF($D$32="Mensuel",1,IF($D$32="Trimestriel",3,IF($D$32="Semestriel",6,12)))-1))))*(D$92:AM$92&lt;=AJ$92)*N(D$79:AM$79)),0))</f>
        <v>0</v>
      </c>
      <c r="AK105" s="25">
        <f>IF(AK$92="",0,IF(MOD(MONTH(AK$92),IF($D$32="Mensuel",1,IF($D$32="Trimestriel",3,IF($D$32="Semestriel",6,12))))=0,SUMPRODUCT((D$92:AM$92&gt;=MAX($E$5,EDATE(AK$92,-(IF($D$32="Mensuel",1,IF($D$32="Trimestriel",3,IF($D$32="Semestriel",6,12)))-1))))*(D$92:AM$92&lt;=AK$92)*N(D$79:AM$79)),0))</f>
        <v>0</v>
      </c>
      <c r="AL105" s="25">
        <f>IF(AL$92="",0,IF(MOD(MONTH(AL$92),IF($D$32="Mensuel",1,IF($D$32="Trimestriel",3,IF($D$32="Semestriel",6,12))))=0,SUMPRODUCT((D$92:AM$92&gt;=MAX($E$5,EDATE(AL$92,-(IF($D$32="Mensuel",1,IF($D$32="Trimestriel",3,IF($D$32="Semestriel",6,12)))-1))))*(D$92:AM$92&lt;=AL$92)*N(D$79:AM$79)),0))</f>
        <v>0</v>
      </c>
      <c r="AM105" s="25">
        <f>IF(AM$92="",0,IF(MOD(MONTH(AM$92),IF($D$32="Mensuel",1,IF($D$32="Trimestriel",3,IF($D$32="Semestriel",6,12))))=0,SUMPRODUCT((D$92:AM$92&gt;=MAX($E$5,EDATE(AM$92,-(IF($D$32="Mensuel",1,IF($D$32="Trimestriel",3,IF($D$32="Semestriel",6,12)))-1))))*(D$92:AM$92&lt;=AM$92)*N(D$79:AM$79)),0))</f>
        <v>0</v>
      </c>
    </row>
    <row r="106" ht="15.75" customHeight="1" outlineLevel="1">
      <c r="B106" s="40" t="str">
        <f t="shared" si="25"/>
        <v>Frais de Constitution (hors barème — actif par défaut, voir 05_Tresorerie)</v>
      </c>
      <c r="D106" s="25">
        <f>IF(D$92="",0,IF(MOD(MONTH(D$92),IF($D$33="Mensuel",1,IF($D$33="Trimestriel",3,IF($D$33="Semestriel",6,12))))=0,SUMPRODUCT((D$92:AM$92&gt;=MAX($E$5,EDATE(D$92,-(IF($D$33="Mensuel",1,IF($D$33="Trimestriel",3,IF($D$33="Semestriel",6,12)))-1))))*(D$92:AM$92&lt;=D$92)*N(D$80:AM$80)),0))</f>
        <v>0</v>
      </c>
      <c r="E106" s="25">
        <f>IF(E$92="",0,IF(MOD(MONTH(E$92),IF($D$33="Mensuel",1,IF($D$33="Trimestriel",3,IF($D$33="Semestriel",6,12))))=0,SUMPRODUCT((D$92:AM$92&gt;=MAX($E$5,EDATE(E$92,-(IF($D$33="Mensuel",1,IF($D$33="Trimestriel",3,IF($D$33="Semestriel",6,12)))-1))))*(D$92:AM$92&lt;=E$92)*N(D$80:AM$80)),0))</f>
        <v>0</v>
      </c>
      <c r="F106" s="25">
        <f>IF(F$92="",0,IF(MOD(MONTH(F$92),IF($D$33="Mensuel",1,IF($D$33="Trimestriel",3,IF($D$33="Semestriel",6,12))))=0,SUMPRODUCT((D$92:AM$92&gt;=MAX($E$5,EDATE(F$92,-(IF($D$33="Mensuel",1,IF($D$33="Trimestriel",3,IF($D$33="Semestriel",6,12)))-1))))*(D$92:AM$92&lt;=F$92)*N(D$80:AM$80)),0))</f>
        <v>0</v>
      </c>
      <c r="G106" s="25">
        <f>IF(G$92="",0,IF(MOD(MONTH(G$92),IF($D$33="Mensuel",1,IF($D$33="Trimestriel",3,IF($D$33="Semestriel",6,12))))=0,SUMPRODUCT((D$92:AM$92&gt;=MAX($E$5,EDATE(G$92,-(IF($D$33="Mensuel",1,IF($D$33="Trimestriel",3,IF($D$33="Semestriel",6,12)))-1))))*(D$92:AM$92&lt;=G$92)*N(D$80:AM$80)),0))</f>
        <v>0</v>
      </c>
      <c r="H106" s="25">
        <f>IF(H$92="",0,IF(MOD(MONTH(H$92),IF($D$33="Mensuel",1,IF($D$33="Trimestriel",3,IF($D$33="Semestriel",6,12))))=0,SUMPRODUCT((D$92:AM$92&gt;=MAX($E$5,EDATE(H$92,-(IF($D$33="Mensuel",1,IF($D$33="Trimestriel",3,IF($D$33="Semestriel",6,12)))-1))))*(D$92:AM$92&lt;=H$92)*N(D$80:AM$80)),0))</f>
        <v>0</v>
      </c>
      <c r="I106" s="25">
        <f>IF(I$92="",0,IF(MOD(MONTH(I$92),IF($D$33="Mensuel",1,IF($D$33="Trimestriel",3,IF($D$33="Semestriel",6,12))))=0,SUMPRODUCT((D$92:AM$92&gt;=MAX($E$5,EDATE(I$92,-(IF($D$33="Mensuel",1,IF($D$33="Trimestriel",3,IF($D$33="Semestriel",6,12)))-1))))*(D$92:AM$92&lt;=I$92)*N(D$80:AM$80)),0))</f>
        <v>0</v>
      </c>
      <c r="J106" s="25">
        <f>IF(J$92="",0,IF(MOD(MONTH(J$92),IF($D$33="Mensuel",1,IF($D$33="Trimestriel",3,IF($D$33="Semestriel",6,12))))=0,SUMPRODUCT((D$92:AM$92&gt;=MAX($E$5,EDATE(J$92,-(IF($D$33="Mensuel",1,IF($D$33="Trimestriel",3,IF($D$33="Semestriel",6,12)))-1))))*(D$92:AM$92&lt;=J$92)*N(D$80:AM$80)),0))</f>
        <v>0</v>
      </c>
      <c r="K106" s="25">
        <f>IF(K$92="",0,IF(MOD(MONTH(K$92),IF($D$33="Mensuel",1,IF($D$33="Trimestriel",3,IF($D$33="Semestriel",6,12))))=0,SUMPRODUCT((D$92:AM$92&gt;=MAX($E$5,EDATE(K$92,-(IF($D$33="Mensuel",1,IF($D$33="Trimestriel",3,IF($D$33="Semestriel",6,12)))-1))))*(D$92:AM$92&lt;=K$92)*N(D$80:AM$80)),0))</f>
        <v>0</v>
      </c>
      <c r="L106" s="25">
        <f>IF(L$92="",0,IF(MOD(MONTH(L$92),IF($D$33="Mensuel",1,IF($D$33="Trimestriel",3,IF($D$33="Semestriel",6,12))))=0,SUMPRODUCT((D$92:AM$92&gt;=MAX($E$5,EDATE(L$92,-(IF($D$33="Mensuel",1,IF($D$33="Trimestriel",3,IF($D$33="Semestriel",6,12)))-1))))*(D$92:AM$92&lt;=L$92)*N(D$80:AM$80)),0))</f>
        <v>0</v>
      </c>
      <c r="M106" s="25">
        <f>IF(M$92="",0,IF(MOD(MONTH(M$92),IF($D$33="Mensuel",1,IF($D$33="Trimestriel",3,IF($D$33="Semestriel",6,12))))=0,SUMPRODUCT((D$92:AM$92&gt;=MAX($E$5,EDATE(M$92,-(IF($D$33="Mensuel",1,IF($D$33="Trimestriel",3,IF($D$33="Semestriel",6,12)))-1))))*(D$92:AM$92&lt;=M$92)*N(D$80:AM$80)),0))</f>
        <v>0</v>
      </c>
      <c r="N106" s="25">
        <f>IF(N$92="",0,IF(MOD(MONTH(N$92),IF($D$33="Mensuel",1,IF($D$33="Trimestriel",3,IF($D$33="Semestriel",6,12))))=0,SUMPRODUCT((D$92:AM$92&gt;=MAX($E$5,EDATE(N$92,-(IF($D$33="Mensuel",1,IF($D$33="Trimestriel",3,IF($D$33="Semestriel",6,12)))-1))))*(D$92:AM$92&lt;=N$92)*N(D$80:AM$80)),0))</f>
        <v>0</v>
      </c>
      <c r="O106" s="25">
        <f>IF(O$92="",0,IF(MOD(MONTH(O$92),IF($D$33="Mensuel",1,IF($D$33="Trimestriel",3,IF($D$33="Semestriel",6,12))))=0,SUMPRODUCT((D$92:AM$92&gt;=MAX($E$5,EDATE(O$92,-(IF($D$33="Mensuel",1,IF($D$33="Trimestriel",3,IF($D$33="Semestriel",6,12)))-1))))*(D$92:AM$92&lt;=O$92)*N(D$80:AM$80)),0))</f>
        <v>0</v>
      </c>
      <c r="P106" s="25">
        <f>IF(P$92="",0,IF(MOD(MONTH(P$92),IF($D$33="Mensuel",1,IF($D$33="Trimestriel",3,IF($D$33="Semestriel",6,12))))=0,SUMPRODUCT((D$92:AM$92&gt;=MAX($E$5,EDATE(P$92,-(IF($D$33="Mensuel",1,IF($D$33="Trimestriel",3,IF($D$33="Semestriel",6,12)))-1))))*(D$92:AM$92&lt;=P$92)*N(D$80:AM$80)),0))</f>
        <v>0</v>
      </c>
      <c r="Q106" s="25">
        <f>IF(Q$92="",0,IF(MOD(MONTH(Q$92),IF($D$33="Mensuel",1,IF($D$33="Trimestriel",3,IF($D$33="Semestriel",6,12))))=0,SUMPRODUCT((D$92:AM$92&gt;=MAX($E$5,EDATE(Q$92,-(IF($D$33="Mensuel",1,IF($D$33="Trimestriel",3,IF($D$33="Semestriel",6,12)))-1))))*(D$92:AM$92&lt;=Q$92)*N(D$80:AM$80)),0))</f>
        <v>0</v>
      </c>
      <c r="R106" s="25">
        <f>IF(R$92="",0,IF(MOD(MONTH(R$92),IF($D$33="Mensuel",1,IF($D$33="Trimestriel",3,IF($D$33="Semestriel",6,12))))=0,SUMPRODUCT((D$92:AM$92&gt;=MAX($E$5,EDATE(R$92,-(IF($D$33="Mensuel",1,IF($D$33="Trimestriel",3,IF($D$33="Semestriel",6,12)))-1))))*(D$92:AM$92&lt;=R$92)*N(D$80:AM$80)),0))</f>
        <v>0</v>
      </c>
      <c r="S106" s="25">
        <f>IF(S$92="",0,IF(MOD(MONTH(S$92),IF($D$33="Mensuel",1,IF($D$33="Trimestriel",3,IF($D$33="Semestriel",6,12))))=0,SUMPRODUCT((D$92:AM$92&gt;=MAX($E$5,EDATE(S$92,-(IF($D$33="Mensuel",1,IF($D$33="Trimestriel",3,IF($D$33="Semestriel",6,12)))-1))))*(D$92:AM$92&lt;=S$92)*N(D$80:AM$80)),0))</f>
        <v>0</v>
      </c>
      <c r="T106" s="25">
        <f>IF(T$92="",0,IF(MOD(MONTH(T$92),IF($D$33="Mensuel",1,IF($D$33="Trimestriel",3,IF($D$33="Semestriel",6,12))))=0,SUMPRODUCT((D$92:AM$92&gt;=MAX($E$5,EDATE(T$92,-(IF($D$33="Mensuel",1,IF($D$33="Trimestriel",3,IF($D$33="Semestriel",6,12)))-1))))*(D$92:AM$92&lt;=T$92)*N(D$80:AM$80)),0))</f>
        <v>0</v>
      </c>
      <c r="U106" s="25">
        <f>IF(U$92="",0,IF(MOD(MONTH(U$92),IF($D$33="Mensuel",1,IF($D$33="Trimestriel",3,IF($D$33="Semestriel",6,12))))=0,SUMPRODUCT((D$92:AM$92&gt;=MAX($E$5,EDATE(U$92,-(IF($D$33="Mensuel",1,IF($D$33="Trimestriel",3,IF($D$33="Semestriel",6,12)))-1))))*(D$92:AM$92&lt;=U$92)*N(D$80:AM$80)),0))</f>
        <v>0</v>
      </c>
      <c r="V106" s="25">
        <f>IF(V$92="",0,IF(MOD(MONTH(V$92),IF($D$33="Mensuel",1,IF($D$33="Trimestriel",3,IF($D$33="Semestriel",6,12))))=0,SUMPRODUCT((D$92:AM$92&gt;=MAX($E$5,EDATE(V$92,-(IF($D$33="Mensuel",1,IF($D$33="Trimestriel",3,IF($D$33="Semestriel",6,12)))-1))))*(D$92:AM$92&lt;=V$92)*N(D$80:AM$80)),0))</f>
        <v>0</v>
      </c>
      <c r="W106" s="25">
        <f>IF(W$92="",0,IF(MOD(MONTH(W$92),IF($D$33="Mensuel",1,IF($D$33="Trimestriel",3,IF($D$33="Semestriel",6,12))))=0,SUMPRODUCT((D$92:AM$92&gt;=MAX($E$5,EDATE(W$92,-(IF($D$33="Mensuel",1,IF($D$33="Trimestriel",3,IF($D$33="Semestriel",6,12)))-1))))*(D$92:AM$92&lt;=W$92)*N(D$80:AM$80)),0))</f>
        <v>0</v>
      </c>
      <c r="X106" s="25">
        <f>IF(X$92="",0,IF(MOD(MONTH(X$92),IF($D$33="Mensuel",1,IF($D$33="Trimestriel",3,IF($D$33="Semestriel",6,12))))=0,SUMPRODUCT((D$92:AM$92&gt;=MAX($E$5,EDATE(X$92,-(IF($D$33="Mensuel",1,IF($D$33="Trimestriel",3,IF($D$33="Semestriel",6,12)))-1))))*(D$92:AM$92&lt;=X$92)*N(D$80:AM$80)),0))</f>
        <v>0</v>
      </c>
      <c r="Y106" s="25">
        <f>IF(Y$92="",0,IF(MOD(MONTH(Y$92),IF($D$33="Mensuel",1,IF($D$33="Trimestriel",3,IF($D$33="Semestriel",6,12))))=0,SUMPRODUCT((D$92:AM$92&gt;=MAX($E$5,EDATE(Y$92,-(IF($D$33="Mensuel",1,IF($D$33="Trimestriel",3,IF($D$33="Semestriel",6,12)))-1))))*(D$92:AM$92&lt;=Y$92)*N(D$80:AM$80)),0))</f>
        <v>0</v>
      </c>
      <c r="Z106" s="25">
        <f>IF(Z$92="",0,IF(MOD(MONTH(Z$92),IF($D$33="Mensuel",1,IF($D$33="Trimestriel",3,IF($D$33="Semestriel",6,12))))=0,SUMPRODUCT((D$92:AM$92&gt;=MAX($E$5,EDATE(Z$92,-(IF($D$33="Mensuel",1,IF($D$33="Trimestriel",3,IF($D$33="Semestriel",6,12)))-1))))*(D$92:AM$92&lt;=Z$92)*N(D$80:AM$80)),0))</f>
        <v>0</v>
      </c>
      <c r="AA106" s="25">
        <f>IF(AA$92="",0,IF(MOD(MONTH(AA$92),IF($D$33="Mensuel",1,IF($D$33="Trimestriel",3,IF($D$33="Semestriel",6,12))))=0,SUMPRODUCT((D$92:AM$92&gt;=MAX($E$5,EDATE(AA$92,-(IF($D$33="Mensuel",1,IF($D$33="Trimestriel",3,IF($D$33="Semestriel",6,12)))-1))))*(D$92:AM$92&lt;=AA$92)*N(D$80:AM$80)),0))</f>
        <v>0</v>
      </c>
      <c r="AB106" s="25">
        <f>IF(AB$92="",0,IF(MOD(MONTH(AB$92),IF($D$33="Mensuel",1,IF($D$33="Trimestriel",3,IF($D$33="Semestriel",6,12))))=0,SUMPRODUCT((D$92:AM$92&gt;=MAX($E$5,EDATE(AB$92,-(IF($D$33="Mensuel",1,IF($D$33="Trimestriel",3,IF($D$33="Semestriel",6,12)))-1))))*(D$92:AM$92&lt;=AB$92)*N(D$80:AM$80)),0))</f>
        <v>0</v>
      </c>
      <c r="AC106" s="25">
        <f>IF(AC$92="",0,IF(MOD(MONTH(AC$92),IF($D$33="Mensuel",1,IF($D$33="Trimestriel",3,IF($D$33="Semestriel",6,12))))=0,SUMPRODUCT((D$92:AM$92&gt;=MAX($E$5,EDATE(AC$92,-(IF($D$33="Mensuel",1,IF($D$33="Trimestriel",3,IF($D$33="Semestriel",6,12)))-1))))*(D$92:AM$92&lt;=AC$92)*N(D$80:AM$80)),0))</f>
        <v>0</v>
      </c>
      <c r="AD106" s="25">
        <f>IF(AD$92="",0,IF(MOD(MONTH(AD$92),IF($D$33="Mensuel",1,IF($D$33="Trimestriel",3,IF($D$33="Semestriel",6,12))))=0,SUMPRODUCT((D$92:AM$92&gt;=MAX($E$5,EDATE(AD$92,-(IF($D$33="Mensuel",1,IF($D$33="Trimestriel",3,IF($D$33="Semestriel",6,12)))-1))))*(D$92:AM$92&lt;=AD$92)*N(D$80:AM$80)),0))</f>
        <v>0</v>
      </c>
      <c r="AE106" s="25">
        <f>IF(AE$92="",0,IF(MOD(MONTH(AE$92),IF($D$33="Mensuel",1,IF($D$33="Trimestriel",3,IF($D$33="Semestriel",6,12))))=0,SUMPRODUCT((D$92:AM$92&gt;=MAX($E$5,EDATE(AE$92,-(IF($D$33="Mensuel",1,IF($D$33="Trimestriel",3,IF($D$33="Semestriel",6,12)))-1))))*(D$92:AM$92&lt;=AE$92)*N(D$80:AM$80)),0))</f>
        <v>0</v>
      </c>
      <c r="AF106" s="25">
        <f>IF(AF$92="",0,IF(MOD(MONTH(AF$92),IF($D$33="Mensuel",1,IF($D$33="Trimestriel",3,IF($D$33="Semestriel",6,12))))=0,SUMPRODUCT((D$92:AM$92&gt;=MAX($E$5,EDATE(AF$92,-(IF($D$33="Mensuel",1,IF($D$33="Trimestriel",3,IF($D$33="Semestriel",6,12)))-1))))*(D$92:AM$92&lt;=AF$92)*N(D$80:AM$80)),0))</f>
        <v>0</v>
      </c>
      <c r="AG106" s="25">
        <f>IF(AG$92="",0,IF(MOD(MONTH(AG$92),IF($D$33="Mensuel",1,IF($D$33="Trimestriel",3,IF($D$33="Semestriel",6,12))))=0,SUMPRODUCT((D$92:AM$92&gt;=MAX($E$5,EDATE(AG$92,-(IF($D$33="Mensuel",1,IF($D$33="Trimestriel",3,IF($D$33="Semestriel",6,12)))-1))))*(D$92:AM$92&lt;=AG$92)*N(D$80:AM$80)),0))</f>
        <v>0</v>
      </c>
      <c r="AH106" s="25">
        <f>IF(AH$92="",0,IF(MOD(MONTH(AH$92),IF($D$33="Mensuel",1,IF($D$33="Trimestriel",3,IF($D$33="Semestriel",6,12))))=0,SUMPRODUCT((D$92:AM$92&gt;=MAX($E$5,EDATE(AH$92,-(IF($D$33="Mensuel",1,IF($D$33="Trimestriel",3,IF($D$33="Semestriel",6,12)))-1))))*(D$92:AM$92&lt;=AH$92)*N(D$80:AM$80)),0))</f>
        <v>0</v>
      </c>
      <c r="AI106" s="25">
        <f>IF(AI$92="",0,IF(MOD(MONTH(AI$92),IF($D$33="Mensuel",1,IF($D$33="Trimestriel",3,IF($D$33="Semestriel",6,12))))=0,SUMPRODUCT((D$92:AM$92&gt;=MAX($E$5,EDATE(AI$92,-(IF($D$33="Mensuel",1,IF($D$33="Trimestriel",3,IF($D$33="Semestriel",6,12)))-1))))*(D$92:AM$92&lt;=AI$92)*N(D$80:AM$80)),0))</f>
        <v>0</v>
      </c>
      <c r="AJ106" s="25">
        <f>IF(AJ$92="",0,IF(MOD(MONTH(AJ$92),IF($D$33="Mensuel",1,IF($D$33="Trimestriel",3,IF($D$33="Semestriel",6,12))))=0,SUMPRODUCT((D$92:AM$92&gt;=MAX($E$5,EDATE(AJ$92,-(IF($D$33="Mensuel",1,IF($D$33="Trimestriel",3,IF($D$33="Semestriel",6,12)))-1))))*(D$92:AM$92&lt;=AJ$92)*N(D$80:AM$80)),0))</f>
        <v>0</v>
      </c>
      <c r="AK106" s="25">
        <f>IF(AK$92="",0,IF(MOD(MONTH(AK$92),IF($D$33="Mensuel",1,IF($D$33="Trimestriel",3,IF($D$33="Semestriel",6,12))))=0,SUMPRODUCT((D$92:AM$92&gt;=MAX($E$5,EDATE(AK$92,-(IF($D$33="Mensuel",1,IF($D$33="Trimestriel",3,IF($D$33="Semestriel",6,12)))-1))))*(D$92:AM$92&lt;=AK$92)*N(D$80:AM$80)),0))</f>
        <v>0</v>
      </c>
      <c r="AL106" s="25">
        <f>IF(AL$92="",0,IF(MOD(MONTH(AL$92),IF($D$33="Mensuel",1,IF($D$33="Trimestriel",3,IF($D$33="Semestriel",6,12))))=0,SUMPRODUCT((D$92:AM$92&gt;=MAX($E$5,EDATE(AL$92,-(IF($D$33="Mensuel",1,IF($D$33="Trimestriel",3,IF($D$33="Semestriel",6,12)))-1))))*(D$92:AM$92&lt;=AL$92)*N(D$80:AM$80)),0))</f>
        <v>0</v>
      </c>
      <c r="AM106" s="25">
        <f>IF(AM$92="",0,IF(MOD(MONTH(AM$92),IF($D$33="Mensuel",1,IF($D$33="Trimestriel",3,IF($D$33="Semestriel",6,12))))=0,SUMPRODUCT((D$92:AM$92&gt;=MAX($E$5,EDATE(AM$92,-(IF($D$33="Mensuel",1,IF($D$33="Trimestriel",3,IF($D$33="Semestriel",6,12)))-1))))*(D$92:AM$92&lt;=AM$92)*N(D$80:AM$80)),0))</f>
        <v>0</v>
      </c>
    </row>
    <row r="107" ht="15.75" customHeight="1" outlineLevel="1">
      <c r="B107" s="40" t="str">
        <f t="shared" si="25"/>
        <v>Dépositaire — Forfait liquidation (ANC&lt;5M€)</v>
      </c>
      <c r="D107" s="25">
        <f>IF(D$92="",0,IF(MOD(MONTH(D$92),IF($D$34="Mensuel",1,IF($D$34="Trimestriel",3,IF($D$34="Semestriel",6,12))))=0,SUMPRODUCT((D$92:AM$92&gt;=MAX($E$5,EDATE(D$92,-(IF($D$34="Mensuel",1,IF($D$34="Trimestriel",3,IF($D$34="Semestriel",6,12)))-1))))*(D$92:AM$92&lt;=D$92)*N(D$81:AM$81)),0))</f>
        <v>0</v>
      </c>
      <c r="E107" s="25">
        <f>IF(E$92="",0,IF(MOD(MONTH(E$92),IF($D$34="Mensuel",1,IF($D$34="Trimestriel",3,IF($D$34="Semestriel",6,12))))=0,SUMPRODUCT((D$92:AM$92&gt;=MAX($E$5,EDATE(E$92,-(IF($D$34="Mensuel",1,IF($D$34="Trimestriel",3,IF($D$34="Semestriel",6,12)))-1))))*(D$92:AM$92&lt;=E$92)*N(D$81:AM$81)),0))</f>
        <v>0</v>
      </c>
      <c r="F107" s="25">
        <f>IF(F$92="",0,IF(MOD(MONTH(F$92),IF($D$34="Mensuel",1,IF($D$34="Trimestriel",3,IF($D$34="Semestriel",6,12))))=0,SUMPRODUCT((D$92:AM$92&gt;=MAX($E$5,EDATE(F$92,-(IF($D$34="Mensuel",1,IF($D$34="Trimestriel",3,IF($D$34="Semestriel",6,12)))-1))))*(D$92:AM$92&lt;=F$92)*N(D$81:AM$81)),0))</f>
        <v>0</v>
      </c>
      <c r="G107" s="25">
        <f>IF(G$92="",0,IF(MOD(MONTH(G$92),IF($D$34="Mensuel",1,IF($D$34="Trimestriel",3,IF($D$34="Semestriel",6,12))))=0,SUMPRODUCT((D$92:AM$92&gt;=MAX($E$5,EDATE(G$92,-(IF($D$34="Mensuel",1,IF($D$34="Trimestriel",3,IF($D$34="Semestriel",6,12)))-1))))*(D$92:AM$92&lt;=G$92)*N(D$81:AM$81)),0))</f>
        <v>0</v>
      </c>
      <c r="H107" s="25">
        <f>IF(H$92="",0,IF(MOD(MONTH(H$92),IF($D$34="Mensuel",1,IF($D$34="Trimestriel",3,IF($D$34="Semestriel",6,12))))=0,SUMPRODUCT((D$92:AM$92&gt;=MAX($E$5,EDATE(H$92,-(IF($D$34="Mensuel",1,IF($D$34="Trimestriel",3,IF($D$34="Semestriel",6,12)))-1))))*(D$92:AM$92&lt;=H$92)*N(D$81:AM$81)),0))</f>
        <v>0</v>
      </c>
      <c r="I107" s="25">
        <f>IF(I$92="",0,IF(MOD(MONTH(I$92),IF($D$34="Mensuel",1,IF($D$34="Trimestriel",3,IF($D$34="Semestriel",6,12))))=0,SUMPRODUCT((D$92:AM$92&gt;=MAX($E$5,EDATE(I$92,-(IF($D$34="Mensuel",1,IF($D$34="Trimestriel",3,IF($D$34="Semestriel",6,12)))-1))))*(D$92:AM$92&lt;=I$92)*N(D$81:AM$81)),0))</f>
        <v>0</v>
      </c>
      <c r="J107" s="25">
        <f>IF(J$92="",0,IF(MOD(MONTH(J$92),IF($D$34="Mensuel",1,IF($D$34="Trimestriel",3,IF($D$34="Semestriel",6,12))))=0,SUMPRODUCT((D$92:AM$92&gt;=MAX($E$5,EDATE(J$92,-(IF($D$34="Mensuel",1,IF($D$34="Trimestriel",3,IF($D$34="Semestriel",6,12)))-1))))*(D$92:AM$92&lt;=J$92)*N(D$81:AM$81)),0))</f>
        <v>0</v>
      </c>
      <c r="K107" s="25">
        <f>IF(K$92="",0,IF(MOD(MONTH(K$92),IF($D$34="Mensuel",1,IF($D$34="Trimestriel",3,IF($D$34="Semestriel",6,12))))=0,SUMPRODUCT((D$92:AM$92&gt;=MAX($E$5,EDATE(K$92,-(IF($D$34="Mensuel",1,IF($D$34="Trimestriel",3,IF($D$34="Semestriel",6,12)))-1))))*(D$92:AM$92&lt;=K$92)*N(D$81:AM$81)),0))</f>
        <v>0</v>
      </c>
      <c r="L107" s="25">
        <f>IF(L$92="",0,IF(MOD(MONTH(L$92),IF($D$34="Mensuel",1,IF($D$34="Trimestriel",3,IF($D$34="Semestriel",6,12))))=0,SUMPRODUCT((D$92:AM$92&gt;=MAX($E$5,EDATE(L$92,-(IF($D$34="Mensuel",1,IF($D$34="Trimestriel",3,IF($D$34="Semestriel",6,12)))-1))))*(D$92:AM$92&lt;=L$92)*N(D$81:AM$81)),0))</f>
        <v>0</v>
      </c>
      <c r="M107" s="25">
        <f>IF(M$92="",0,IF(MOD(MONTH(M$92),IF($D$34="Mensuel",1,IF($D$34="Trimestriel",3,IF($D$34="Semestriel",6,12))))=0,SUMPRODUCT((D$92:AM$92&gt;=MAX($E$5,EDATE(M$92,-(IF($D$34="Mensuel",1,IF($D$34="Trimestriel",3,IF($D$34="Semestriel",6,12)))-1))))*(D$92:AM$92&lt;=M$92)*N(D$81:AM$81)),0))</f>
        <v>0</v>
      </c>
      <c r="N107" s="25">
        <f>IF(N$92="",0,IF(MOD(MONTH(N$92),IF($D$34="Mensuel",1,IF($D$34="Trimestriel",3,IF($D$34="Semestriel",6,12))))=0,SUMPRODUCT((D$92:AM$92&gt;=MAX($E$5,EDATE(N$92,-(IF($D$34="Mensuel",1,IF($D$34="Trimestriel",3,IF($D$34="Semestriel",6,12)))-1))))*(D$92:AM$92&lt;=N$92)*N(D$81:AM$81)),0))</f>
        <v>0</v>
      </c>
      <c r="O107" s="25">
        <f>IF(O$92="",0,IF(MOD(MONTH(O$92),IF($D$34="Mensuel",1,IF($D$34="Trimestriel",3,IF($D$34="Semestriel",6,12))))=0,SUMPRODUCT((D$92:AM$92&gt;=MAX($E$5,EDATE(O$92,-(IF($D$34="Mensuel",1,IF($D$34="Trimestriel",3,IF($D$34="Semestriel",6,12)))-1))))*(D$92:AM$92&lt;=O$92)*N(D$81:AM$81)),0))</f>
        <v>0</v>
      </c>
      <c r="P107" s="25">
        <f>IF(P$92="",0,IF(MOD(MONTH(P$92),IF($D$34="Mensuel",1,IF($D$34="Trimestriel",3,IF($D$34="Semestriel",6,12))))=0,SUMPRODUCT((D$92:AM$92&gt;=MAX($E$5,EDATE(P$92,-(IF($D$34="Mensuel",1,IF($D$34="Trimestriel",3,IF($D$34="Semestriel",6,12)))-1))))*(D$92:AM$92&lt;=P$92)*N(D$81:AM$81)),0))</f>
        <v>0</v>
      </c>
      <c r="Q107" s="25">
        <f>IF(Q$92="",0,IF(MOD(MONTH(Q$92),IF($D$34="Mensuel",1,IF($D$34="Trimestriel",3,IF($D$34="Semestriel",6,12))))=0,SUMPRODUCT((D$92:AM$92&gt;=MAX($E$5,EDATE(Q$92,-(IF($D$34="Mensuel",1,IF($D$34="Trimestriel",3,IF($D$34="Semestriel",6,12)))-1))))*(D$92:AM$92&lt;=Q$92)*N(D$81:AM$81)),0))</f>
        <v>0</v>
      </c>
      <c r="R107" s="25">
        <f>IF(R$92="",0,IF(MOD(MONTH(R$92),IF($D$34="Mensuel",1,IF($D$34="Trimestriel",3,IF($D$34="Semestriel",6,12))))=0,SUMPRODUCT((D$92:AM$92&gt;=MAX($E$5,EDATE(R$92,-(IF($D$34="Mensuel",1,IF($D$34="Trimestriel",3,IF($D$34="Semestriel",6,12)))-1))))*(D$92:AM$92&lt;=R$92)*N(D$81:AM$81)),0))</f>
        <v>0</v>
      </c>
      <c r="S107" s="25">
        <f>IF(S$92="",0,IF(MOD(MONTH(S$92),IF($D$34="Mensuel",1,IF($D$34="Trimestriel",3,IF($D$34="Semestriel",6,12))))=0,SUMPRODUCT((D$92:AM$92&gt;=MAX($E$5,EDATE(S$92,-(IF($D$34="Mensuel",1,IF($D$34="Trimestriel",3,IF($D$34="Semestriel",6,12)))-1))))*(D$92:AM$92&lt;=S$92)*N(D$81:AM$81)),0))</f>
        <v>0</v>
      </c>
      <c r="T107" s="25">
        <f>IF(T$92="",0,IF(MOD(MONTH(T$92),IF($D$34="Mensuel",1,IF($D$34="Trimestriel",3,IF($D$34="Semestriel",6,12))))=0,SUMPRODUCT((D$92:AM$92&gt;=MAX($E$5,EDATE(T$92,-(IF($D$34="Mensuel",1,IF($D$34="Trimestriel",3,IF($D$34="Semestriel",6,12)))-1))))*(D$92:AM$92&lt;=T$92)*N(D$81:AM$81)),0))</f>
        <v>0</v>
      </c>
      <c r="U107" s="25">
        <f>IF(U$92="",0,IF(MOD(MONTH(U$92),IF($D$34="Mensuel",1,IF($D$34="Trimestriel",3,IF($D$34="Semestriel",6,12))))=0,SUMPRODUCT((D$92:AM$92&gt;=MAX($E$5,EDATE(U$92,-(IF($D$34="Mensuel",1,IF($D$34="Trimestriel",3,IF($D$34="Semestriel",6,12)))-1))))*(D$92:AM$92&lt;=U$92)*N(D$81:AM$81)),0))</f>
        <v>0</v>
      </c>
      <c r="V107" s="25">
        <f>IF(V$92="",0,IF(MOD(MONTH(V$92),IF($D$34="Mensuel",1,IF($D$34="Trimestriel",3,IF($D$34="Semestriel",6,12))))=0,SUMPRODUCT((D$92:AM$92&gt;=MAX($E$5,EDATE(V$92,-(IF($D$34="Mensuel",1,IF($D$34="Trimestriel",3,IF($D$34="Semestriel",6,12)))-1))))*(D$92:AM$92&lt;=V$92)*N(D$81:AM$81)),0))</f>
        <v>0</v>
      </c>
      <c r="W107" s="25">
        <f>IF(W$92="",0,IF(MOD(MONTH(W$92),IF($D$34="Mensuel",1,IF($D$34="Trimestriel",3,IF($D$34="Semestriel",6,12))))=0,SUMPRODUCT((D$92:AM$92&gt;=MAX($E$5,EDATE(W$92,-(IF($D$34="Mensuel",1,IF($D$34="Trimestriel",3,IF($D$34="Semestriel",6,12)))-1))))*(D$92:AM$92&lt;=W$92)*N(D$81:AM$81)),0))</f>
        <v>0</v>
      </c>
      <c r="X107" s="25">
        <f>IF(X$92="",0,IF(MOD(MONTH(X$92),IF($D$34="Mensuel",1,IF($D$34="Trimestriel",3,IF($D$34="Semestriel",6,12))))=0,SUMPRODUCT((D$92:AM$92&gt;=MAX($E$5,EDATE(X$92,-(IF($D$34="Mensuel",1,IF($D$34="Trimestriel",3,IF($D$34="Semestriel",6,12)))-1))))*(D$92:AM$92&lt;=X$92)*N(D$81:AM$81)),0))</f>
        <v>0</v>
      </c>
      <c r="Y107" s="25">
        <f>IF(Y$92="",0,IF(MOD(MONTH(Y$92),IF($D$34="Mensuel",1,IF($D$34="Trimestriel",3,IF($D$34="Semestriel",6,12))))=0,SUMPRODUCT((D$92:AM$92&gt;=MAX($E$5,EDATE(Y$92,-(IF($D$34="Mensuel",1,IF($D$34="Trimestriel",3,IF($D$34="Semestriel",6,12)))-1))))*(D$92:AM$92&lt;=Y$92)*N(D$81:AM$81)),0))</f>
        <v>0</v>
      </c>
      <c r="Z107" s="25">
        <f>IF(Z$92="",0,IF(MOD(MONTH(Z$92),IF($D$34="Mensuel",1,IF($D$34="Trimestriel",3,IF($D$34="Semestriel",6,12))))=0,SUMPRODUCT((D$92:AM$92&gt;=MAX($E$5,EDATE(Z$92,-(IF($D$34="Mensuel",1,IF($D$34="Trimestriel",3,IF($D$34="Semestriel",6,12)))-1))))*(D$92:AM$92&lt;=Z$92)*N(D$81:AM$81)),0))</f>
        <v>0</v>
      </c>
      <c r="AA107" s="25">
        <f>IF(AA$92="",0,IF(MOD(MONTH(AA$92),IF($D$34="Mensuel",1,IF($D$34="Trimestriel",3,IF($D$34="Semestriel",6,12))))=0,SUMPRODUCT((D$92:AM$92&gt;=MAX($E$5,EDATE(AA$92,-(IF($D$34="Mensuel",1,IF($D$34="Trimestriel",3,IF($D$34="Semestriel",6,12)))-1))))*(D$92:AM$92&lt;=AA$92)*N(D$81:AM$81)),0))</f>
        <v>0</v>
      </c>
      <c r="AB107" s="25">
        <f>IF(AB$92="",0,IF(MOD(MONTH(AB$92),IF($D$34="Mensuel",1,IF($D$34="Trimestriel",3,IF($D$34="Semestriel",6,12))))=0,SUMPRODUCT((D$92:AM$92&gt;=MAX($E$5,EDATE(AB$92,-(IF($D$34="Mensuel",1,IF($D$34="Trimestriel",3,IF($D$34="Semestriel",6,12)))-1))))*(D$92:AM$92&lt;=AB$92)*N(D$81:AM$81)),0))</f>
        <v>0</v>
      </c>
      <c r="AC107" s="25">
        <f>IF(AC$92="",0,IF(MOD(MONTH(AC$92),IF($D$34="Mensuel",1,IF($D$34="Trimestriel",3,IF($D$34="Semestriel",6,12))))=0,SUMPRODUCT((D$92:AM$92&gt;=MAX($E$5,EDATE(AC$92,-(IF($D$34="Mensuel",1,IF($D$34="Trimestriel",3,IF($D$34="Semestriel",6,12)))-1))))*(D$92:AM$92&lt;=AC$92)*N(D$81:AM$81)),0))</f>
        <v>0</v>
      </c>
      <c r="AD107" s="25">
        <f>IF(AD$92="",0,IF(MOD(MONTH(AD$92),IF($D$34="Mensuel",1,IF($D$34="Trimestriel",3,IF($D$34="Semestriel",6,12))))=0,SUMPRODUCT((D$92:AM$92&gt;=MAX($E$5,EDATE(AD$92,-(IF($D$34="Mensuel",1,IF($D$34="Trimestriel",3,IF($D$34="Semestriel",6,12)))-1))))*(D$92:AM$92&lt;=AD$92)*N(D$81:AM$81)),0))</f>
        <v>0</v>
      </c>
      <c r="AE107" s="25">
        <f>IF(AE$92="",0,IF(MOD(MONTH(AE$92),IF($D$34="Mensuel",1,IF($D$34="Trimestriel",3,IF($D$34="Semestriel",6,12))))=0,SUMPRODUCT((D$92:AM$92&gt;=MAX($E$5,EDATE(AE$92,-(IF($D$34="Mensuel",1,IF($D$34="Trimestriel",3,IF($D$34="Semestriel",6,12)))-1))))*(D$92:AM$92&lt;=AE$92)*N(D$81:AM$81)),0))</f>
        <v>0</v>
      </c>
      <c r="AF107" s="25">
        <f>IF(AF$92="",0,IF(MOD(MONTH(AF$92),IF($D$34="Mensuel",1,IF($D$34="Trimestriel",3,IF($D$34="Semestriel",6,12))))=0,SUMPRODUCT((D$92:AM$92&gt;=MAX($E$5,EDATE(AF$92,-(IF($D$34="Mensuel",1,IF($D$34="Trimestriel",3,IF($D$34="Semestriel",6,12)))-1))))*(D$92:AM$92&lt;=AF$92)*N(D$81:AM$81)),0))</f>
        <v>0</v>
      </c>
      <c r="AG107" s="25">
        <f>IF(AG$92="",0,IF(MOD(MONTH(AG$92),IF($D$34="Mensuel",1,IF($D$34="Trimestriel",3,IF($D$34="Semestriel",6,12))))=0,SUMPRODUCT((D$92:AM$92&gt;=MAX($E$5,EDATE(AG$92,-(IF($D$34="Mensuel",1,IF($D$34="Trimestriel",3,IF($D$34="Semestriel",6,12)))-1))))*(D$92:AM$92&lt;=AG$92)*N(D$81:AM$81)),0))</f>
        <v>0</v>
      </c>
      <c r="AH107" s="25">
        <f>IF(AH$92="",0,IF(MOD(MONTH(AH$92),IF($D$34="Mensuel",1,IF($D$34="Trimestriel",3,IF($D$34="Semestriel",6,12))))=0,SUMPRODUCT((D$92:AM$92&gt;=MAX($E$5,EDATE(AH$92,-(IF($D$34="Mensuel",1,IF($D$34="Trimestriel",3,IF($D$34="Semestriel",6,12)))-1))))*(D$92:AM$92&lt;=AH$92)*N(D$81:AM$81)),0))</f>
        <v>0</v>
      </c>
      <c r="AI107" s="25">
        <f>IF(AI$92="",0,IF(MOD(MONTH(AI$92),IF($D$34="Mensuel",1,IF($D$34="Trimestriel",3,IF($D$34="Semestriel",6,12))))=0,SUMPRODUCT((D$92:AM$92&gt;=MAX($E$5,EDATE(AI$92,-(IF($D$34="Mensuel",1,IF($D$34="Trimestriel",3,IF($D$34="Semestriel",6,12)))-1))))*(D$92:AM$92&lt;=AI$92)*N(D$81:AM$81)),0))</f>
        <v>0</v>
      </c>
      <c r="AJ107" s="25">
        <f>IF(AJ$92="",0,IF(MOD(MONTH(AJ$92),IF($D$34="Mensuel",1,IF($D$34="Trimestriel",3,IF($D$34="Semestriel",6,12))))=0,SUMPRODUCT((D$92:AM$92&gt;=MAX($E$5,EDATE(AJ$92,-(IF($D$34="Mensuel",1,IF($D$34="Trimestriel",3,IF($D$34="Semestriel",6,12)))-1))))*(D$92:AM$92&lt;=AJ$92)*N(D$81:AM$81)),0))</f>
        <v>0</v>
      </c>
      <c r="AK107" s="25">
        <f>IF(AK$92="",0,IF(MOD(MONTH(AK$92),IF($D$34="Mensuel",1,IF($D$34="Trimestriel",3,IF($D$34="Semestriel",6,12))))=0,SUMPRODUCT((D$92:AM$92&gt;=MAX($E$5,EDATE(AK$92,-(IF($D$34="Mensuel",1,IF($D$34="Trimestriel",3,IF($D$34="Semestriel",6,12)))-1))))*(D$92:AM$92&lt;=AK$92)*N(D$81:AM$81)),0))</f>
        <v>0</v>
      </c>
      <c r="AL107" s="25">
        <f>IF(AL$92="",0,IF(MOD(MONTH(AL$92),IF($D$34="Mensuel",1,IF($D$34="Trimestriel",3,IF($D$34="Semestriel",6,12))))=0,SUMPRODUCT((D$92:AM$92&gt;=MAX($E$5,EDATE(AL$92,-(IF($D$34="Mensuel",1,IF($D$34="Trimestriel",3,IF($D$34="Semestriel",6,12)))-1))))*(D$92:AM$92&lt;=AL$92)*N(D$81:AM$81)),0))</f>
        <v>0</v>
      </c>
      <c r="AM107" s="25">
        <f>IF(AM$92="",0,IF(MOD(MONTH(AM$92),IF($D$34="Mensuel",1,IF($D$34="Trimestriel",3,IF($D$34="Semestriel",6,12))))=0,SUMPRODUCT((D$92:AM$92&gt;=MAX($E$5,EDATE(AM$92,-(IF($D$34="Mensuel",1,IF($D$34="Trimestriel",3,IF($D$34="Semestriel",6,12)))-1))))*(D$92:AM$92&lt;=AM$92)*N(D$81:AM$81)),0))</f>
        <v>0</v>
      </c>
    </row>
    <row r="108" ht="15.75" customHeight="1" outlineLevel="1">
      <c r="B108" s="40" t="str">
        <f t="shared" si="25"/>
        <v>Dépositaire — Admission Euroclear (par ISIN)</v>
      </c>
      <c r="D108" s="25">
        <f>IF(D$92="",0,IF(MOD(MONTH(D$92),IF($D$35="Mensuel",1,IF($D$35="Trimestriel",3,IF($D$35="Semestriel",6,12))))=0,SUMPRODUCT((D$92:AM$92&gt;=MAX($E$5,EDATE(D$92,-(IF($D$35="Mensuel",1,IF($D$35="Trimestriel",3,IF($D$35="Semestriel",6,12)))-1))))*(D$92:AM$92&lt;=D$92)*N(D$82:AM$82)),0))</f>
        <v>0</v>
      </c>
      <c r="E108" s="25">
        <f>IF(E$92="",0,IF(MOD(MONTH(E$92),IF($D$35="Mensuel",1,IF($D$35="Trimestriel",3,IF($D$35="Semestriel",6,12))))=0,SUMPRODUCT((D$92:AM$92&gt;=MAX($E$5,EDATE(E$92,-(IF($D$35="Mensuel",1,IF($D$35="Trimestriel",3,IF($D$35="Semestriel",6,12)))-1))))*(D$92:AM$92&lt;=E$92)*N(D$82:AM$82)),0))</f>
        <v>0</v>
      </c>
      <c r="F108" s="25">
        <f>IF(F$92="",0,IF(MOD(MONTH(F$92),IF($D$35="Mensuel",1,IF($D$35="Trimestriel",3,IF($D$35="Semestriel",6,12))))=0,SUMPRODUCT((D$92:AM$92&gt;=MAX($E$5,EDATE(F$92,-(IF($D$35="Mensuel",1,IF($D$35="Trimestriel",3,IF($D$35="Semestriel",6,12)))-1))))*(D$92:AM$92&lt;=F$92)*N(D$82:AM$82)),0))</f>
        <v>0</v>
      </c>
      <c r="G108" s="25">
        <f>IF(G$92="",0,IF(MOD(MONTH(G$92),IF($D$35="Mensuel",1,IF($D$35="Trimestriel",3,IF($D$35="Semestriel",6,12))))=0,SUMPRODUCT((D$92:AM$92&gt;=MAX($E$5,EDATE(G$92,-(IF($D$35="Mensuel",1,IF($D$35="Trimestriel",3,IF($D$35="Semestriel",6,12)))-1))))*(D$92:AM$92&lt;=G$92)*N(D$82:AM$82)),0))</f>
        <v>0</v>
      </c>
      <c r="H108" s="25">
        <f>IF(H$92="",0,IF(MOD(MONTH(H$92),IF($D$35="Mensuel",1,IF($D$35="Trimestriel",3,IF($D$35="Semestriel",6,12))))=0,SUMPRODUCT((D$92:AM$92&gt;=MAX($E$5,EDATE(H$92,-(IF($D$35="Mensuel",1,IF($D$35="Trimestriel",3,IF($D$35="Semestriel",6,12)))-1))))*(D$92:AM$92&lt;=H$92)*N(D$82:AM$82)),0))</f>
        <v>0</v>
      </c>
      <c r="I108" s="25">
        <f>IF(I$92="",0,IF(MOD(MONTH(I$92),IF($D$35="Mensuel",1,IF($D$35="Trimestriel",3,IF($D$35="Semestriel",6,12))))=0,SUMPRODUCT((D$92:AM$92&gt;=MAX($E$5,EDATE(I$92,-(IF($D$35="Mensuel",1,IF($D$35="Trimestriel",3,IF($D$35="Semestriel",6,12)))-1))))*(D$92:AM$92&lt;=I$92)*N(D$82:AM$82)),0))</f>
        <v>0</v>
      </c>
      <c r="J108" s="25">
        <f>IF(J$92="",0,IF(MOD(MONTH(J$92),IF($D$35="Mensuel",1,IF($D$35="Trimestriel",3,IF($D$35="Semestriel",6,12))))=0,SUMPRODUCT((D$92:AM$92&gt;=MAX($E$5,EDATE(J$92,-(IF($D$35="Mensuel",1,IF($D$35="Trimestriel",3,IF($D$35="Semestriel",6,12)))-1))))*(D$92:AM$92&lt;=J$92)*N(D$82:AM$82)),0))</f>
        <v>0</v>
      </c>
      <c r="K108" s="25">
        <f>IF(K$92="",0,IF(MOD(MONTH(K$92),IF($D$35="Mensuel",1,IF($D$35="Trimestriel",3,IF($D$35="Semestriel",6,12))))=0,SUMPRODUCT((D$92:AM$92&gt;=MAX($E$5,EDATE(K$92,-(IF($D$35="Mensuel",1,IF($D$35="Trimestriel",3,IF($D$35="Semestriel",6,12)))-1))))*(D$92:AM$92&lt;=K$92)*N(D$82:AM$82)),0))</f>
        <v>0</v>
      </c>
      <c r="L108" s="25">
        <f>IF(L$92="",0,IF(MOD(MONTH(L$92),IF($D$35="Mensuel",1,IF($D$35="Trimestriel",3,IF($D$35="Semestriel",6,12))))=0,SUMPRODUCT((D$92:AM$92&gt;=MAX($E$5,EDATE(L$92,-(IF($D$35="Mensuel",1,IF($D$35="Trimestriel",3,IF($D$35="Semestriel",6,12)))-1))))*(D$92:AM$92&lt;=L$92)*N(D$82:AM$82)),0))</f>
        <v>0</v>
      </c>
      <c r="M108" s="25">
        <f>IF(M$92="",0,IF(MOD(MONTH(M$92),IF($D$35="Mensuel",1,IF($D$35="Trimestriel",3,IF($D$35="Semestriel",6,12))))=0,SUMPRODUCT((D$92:AM$92&gt;=MAX($E$5,EDATE(M$92,-(IF($D$35="Mensuel",1,IF($D$35="Trimestriel",3,IF($D$35="Semestriel",6,12)))-1))))*(D$92:AM$92&lt;=M$92)*N(D$82:AM$82)),0))</f>
        <v>0</v>
      </c>
      <c r="N108" s="25">
        <f>IF(N$92="",0,IF(MOD(MONTH(N$92),IF($D$35="Mensuel",1,IF($D$35="Trimestriel",3,IF($D$35="Semestriel",6,12))))=0,SUMPRODUCT((D$92:AM$92&gt;=MAX($E$5,EDATE(N$92,-(IF($D$35="Mensuel",1,IF($D$35="Trimestriel",3,IF($D$35="Semestriel",6,12)))-1))))*(D$92:AM$92&lt;=N$92)*N(D$82:AM$82)),0))</f>
        <v>0</v>
      </c>
      <c r="O108" s="25">
        <f>IF(O$92="",0,IF(MOD(MONTH(O$92),IF($D$35="Mensuel",1,IF($D$35="Trimestriel",3,IF($D$35="Semestriel",6,12))))=0,SUMPRODUCT((D$92:AM$92&gt;=MAX($E$5,EDATE(O$92,-(IF($D$35="Mensuel",1,IF($D$35="Trimestriel",3,IF($D$35="Semestriel",6,12)))-1))))*(D$92:AM$92&lt;=O$92)*N(D$82:AM$82)),0))</f>
        <v>0</v>
      </c>
      <c r="P108" s="25">
        <f>IF(P$92="",0,IF(MOD(MONTH(P$92),IF($D$35="Mensuel",1,IF($D$35="Trimestriel",3,IF($D$35="Semestriel",6,12))))=0,SUMPRODUCT((D$92:AM$92&gt;=MAX($E$5,EDATE(P$92,-(IF($D$35="Mensuel",1,IF($D$35="Trimestriel",3,IF($D$35="Semestriel",6,12)))-1))))*(D$92:AM$92&lt;=P$92)*N(D$82:AM$82)),0))</f>
        <v>0</v>
      </c>
      <c r="Q108" s="25">
        <f>IF(Q$92="",0,IF(MOD(MONTH(Q$92),IF($D$35="Mensuel",1,IF($D$35="Trimestriel",3,IF($D$35="Semestriel",6,12))))=0,SUMPRODUCT((D$92:AM$92&gt;=MAX($E$5,EDATE(Q$92,-(IF($D$35="Mensuel",1,IF($D$35="Trimestriel",3,IF($D$35="Semestriel",6,12)))-1))))*(D$92:AM$92&lt;=Q$92)*N(D$82:AM$82)),0))</f>
        <v>0</v>
      </c>
      <c r="R108" s="25">
        <f>IF(R$92="",0,IF(MOD(MONTH(R$92),IF($D$35="Mensuel",1,IF($D$35="Trimestriel",3,IF($D$35="Semestriel",6,12))))=0,SUMPRODUCT((D$92:AM$92&gt;=MAX($E$5,EDATE(R$92,-(IF($D$35="Mensuel",1,IF($D$35="Trimestriel",3,IF($D$35="Semestriel",6,12)))-1))))*(D$92:AM$92&lt;=R$92)*N(D$82:AM$82)),0))</f>
        <v>0</v>
      </c>
      <c r="S108" s="25">
        <f>IF(S$92="",0,IF(MOD(MONTH(S$92),IF($D$35="Mensuel",1,IF($D$35="Trimestriel",3,IF($D$35="Semestriel",6,12))))=0,SUMPRODUCT((D$92:AM$92&gt;=MAX($E$5,EDATE(S$92,-(IF($D$35="Mensuel",1,IF($D$35="Trimestriel",3,IF($D$35="Semestriel",6,12)))-1))))*(D$92:AM$92&lt;=S$92)*N(D$82:AM$82)),0))</f>
        <v>0</v>
      </c>
      <c r="T108" s="25">
        <f>IF(T$92="",0,IF(MOD(MONTH(T$92),IF($D$35="Mensuel",1,IF($D$35="Trimestriel",3,IF($D$35="Semestriel",6,12))))=0,SUMPRODUCT((D$92:AM$92&gt;=MAX($E$5,EDATE(T$92,-(IF($D$35="Mensuel",1,IF($D$35="Trimestriel",3,IF($D$35="Semestriel",6,12)))-1))))*(D$92:AM$92&lt;=T$92)*N(D$82:AM$82)),0))</f>
        <v>0</v>
      </c>
      <c r="U108" s="25">
        <f>IF(U$92="",0,IF(MOD(MONTH(U$92),IF($D$35="Mensuel",1,IF($D$35="Trimestriel",3,IF($D$35="Semestriel",6,12))))=0,SUMPRODUCT((D$92:AM$92&gt;=MAX($E$5,EDATE(U$92,-(IF($D$35="Mensuel",1,IF($D$35="Trimestriel",3,IF($D$35="Semestriel",6,12)))-1))))*(D$92:AM$92&lt;=U$92)*N(D$82:AM$82)),0))</f>
        <v>0</v>
      </c>
      <c r="V108" s="25">
        <f>IF(V$92="",0,IF(MOD(MONTH(V$92),IF($D$35="Mensuel",1,IF($D$35="Trimestriel",3,IF($D$35="Semestriel",6,12))))=0,SUMPRODUCT((D$92:AM$92&gt;=MAX($E$5,EDATE(V$92,-(IF($D$35="Mensuel",1,IF($D$35="Trimestriel",3,IF($D$35="Semestriel",6,12)))-1))))*(D$92:AM$92&lt;=V$92)*N(D$82:AM$82)),0))</f>
        <v>0</v>
      </c>
      <c r="W108" s="25">
        <f>IF(W$92="",0,IF(MOD(MONTH(W$92),IF($D$35="Mensuel",1,IF($D$35="Trimestriel",3,IF($D$35="Semestriel",6,12))))=0,SUMPRODUCT((D$92:AM$92&gt;=MAX($E$5,EDATE(W$92,-(IF($D$35="Mensuel",1,IF($D$35="Trimestriel",3,IF($D$35="Semestriel",6,12)))-1))))*(D$92:AM$92&lt;=W$92)*N(D$82:AM$82)),0))</f>
        <v>0</v>
      </c>
      <c r="X108" s="25">
        <f>IF(X$92="",0,IF(MOD(MONTH(X$92),IF($D$35="Mensuel",1,IF($D$35="Trimestriel",3,IF($D$35="Semestriel",6,12))))=0,SUMPRODUCT((D$92:AM$92&gt;=MAX($E$5,EDATE(X$92,-(IF($D$35="Mensuel",1,IF($D$35="Trimestriel",3,IF($D$35="Semestriel",6,12)))-1))))*(D$92:AM$92&lt;=X$92)*N(D$82:AM$82)),0))</f>
        <v>0</v>
      </c>
      <c r="Y108" s="25">
        <f>IF(Y$92="",0,IF(MOD(MONTH(Y$92),IF($D$35="Mensuel",1,IF($D$35="Trimestriel",3,IF($D$35="Semestriel",6,12))))=0,SUMPRODUCT((D$92:AM$92&gt;=MAX($E$5,EDATE(Y$92,-(IF($D$35="Mensuel",1,IF($D$35="Trimestriel",3,IF($D$35="Semestriel",6,12)))-1))))*(D$92:AM$92&lt;=Y$92)*N(D$82:AM$82)),0))</f>
        <v>0</v>
      </c>
      <c r="Z108" s="25">
        <f>IF(Z$92="",0,IF(MOD(MONTH(Z$92),IF($D$35="Mensuel",1,IF($D$35="Trimestriel",3,IF($D$35="Semestriel",6,12))))=0,SUMPRODUCT((D$92:AM$92&gt;=MAX($E$5,EDATE(Z$92,-(IF($D$35="Mensuel",1,IF($D$35="Trimestriel",3,IF($D$35="Semestriel",6,12)))-1))))*(D$92:AM$92&lt;=Z$92)*N(D$82:AM$82)),0))</f>
        <v>0</v>
      </c>
      <c r="AA108" s="25">
        <f>IF(AA$92="",0,IF(MOD(MONTH(AA$92),IF($D$35="Mensuel",1,IF($D$35="Trimestriel",3,IF($D$35="Semestriel",6,12))))=0,SUMPRODUCT((D$92:AM$92&gt;=MAX($E$5,EDATE(AA$92,-(IF($D$35="Mensuel",1,IF($D$35="Trimestriel",3,IF($D$35="Semestriel",6,12)))-1))))*(D$92:AM$92&lt;=AA$92)*N(D$82:AM$82)),0))</f>
        <v>0</v>
      </c>
      <c r="AB108" s="25">
        <f>IF(AB$92="",0,IF(MOD(MONTH(AB$92),IF($D$35="Mensuel",1,IF($D$35="Trimestriel",3,IF($D$35="Semestriel",6,12))))=0,SUMPRODUCT((D$92:AM$92&gt;=MAX($E$5,EDATE(AB$92,-(IF($D$35="Mensuel",1,IF($D$35="Trimestriel",3,IF($D$35="Semestriel",6,12)))-1))))*(D$92:AM$92&lt;=AB$92)*N(D$82:AM$82)),0))</f>
        <v>0</v>
      </c>
      <c r="AC108" s="25">
        <f>IF(AC$92="",0,IF(MOD(MONTH(AC$92),IF($D$35="Mensuel",1,IF($D$35="Trimestriel",3,IF($D$35="Semestriel",6,12))))=0,SUMPRODUCT((D$92:AM$92&gt;=MAX($E$5,EDATE(AC$92,-(IF($D$35="Mensuel",1,IF($D$35="Trimestriel",3,IF($D$35="Semestriel",6,12)))-1))))*(D$92:AM$92&lt;=AC$92)*N(D$82:AM$82)),0))</f>
        <v>0</v>
      </c>
      <c r="AD108" s="25">
        <f>IF(AD$92="",0,IF(MOD(MONTH(AD$92),IF($D$35="Mensuel",1,IF($D$35="Trimestriel",3,IF($D$35="Semestriel",6,12))))=0,SUMPRODUCT((D$92:AM$92&gt;=MAX($E$5,EDATE(AD$92,-(IF($D$35="Mensuel",1,IF($D$35="Trimestriel",3,IF($D$35="Semestriel",6,12)))-1))))*(D$92:AM$92&lt;=AD$92)*N(D$82:AM$82)),0))</f>
        <v>0</v>
      </c>
      <c r="AE108" s="25">
        <f>IF(AE$92="",0,IF(MOD(MONTH(AE$92),IF($D$35="Mensuel",1,IF($D$35="Trimestriel",3,IF($D$35="Semestriel",6,12))))=0,SUMPRODUCT((D$92:AM$92&gt;=MAX($E$5,EDATE(AE$92,-(IF($D$35="Mensuel",1,IF($D$35="Trimestriel",3,IF($D$35="Semestriel",6,12)))-1))))*(D$92:AM$92&lt;=AE$92)*N(D$82:AM$82)),0))</f>
        <v>0</v>
      </c>
      <c r="AF108" s="25">
        <f>IF(AF$92="",0,IF(MOD(MONTH(AF$92),IF($D$35="Mensuel",1,IF($D$35="Trimestriel",3,IF($D$35="Semestriel",6,12))))=0,SUMPRODUCT((D$92:AM$92&gt;=MAX($E$5,EDATE(AF$92,-(IF($D$35="Mensuel",1,IF($D$35="Trimestriel",3,IF($D$35="Semestriel",6,12)))-1))))*(D$92:AM$92&lt;=AF$92)*N(D$82:AM$82)),0))</f>
        <v>0</v>
      </c>
      <c r="AG108" s="25">
        <f>IF(AG$92="",0,IF(MOD(MONTH(AG$92),IF($D$35="Mensuel",1,IF($D$35="Trimestriel",3,IF($D$35="Semestriel",6,12))))=0,SUMPRODUCT((D$92:AM$92&gt;=MAX($E$5,EDATE(AG$92,-(IF($D$35="Mensuel",1,IF($D$35="Trimestriel",3,IF($D$35="Semestriel",6,12)))-1))))*(D$92:AM$92&lt;=AG$92)*N(D$82:AM$82)),0))</f>
        <v>0</v>
      </c>
      <c r="AH108" s="25">
        <f>IF(AH$92="",0,IF(MOD(MONTH(AH$92),IF($D$35="Mensuel",1,IF($D$35="Trimestriel",3,IF($D$35="Semestriel",6,12))))=0,SUMPRODUCT((D$92:AM$92&gt;=MAX($E$5,EDATE(AH$92,-(IF($D$35="Mensuel",1,IF($D$35="Trimestriel",3,IF($D$35="Semestriel",6,12)))-1))))*(D$92:AM$92&lt;=AH$92)*N(D$82:AM$82)),0))</f>
        <v>0</v>
      </c>
      <c r="AI108" s="25">
        <f>IF(AI$92="",0,IF(MOD(MONTH(AI$92),IF($D$35="Mensuel",1,IF($D$35="Trimestriel",3,IF($D$35="Semestriel",6,12))))=0,SUMPRODUCT((D$92:AM$92&gt;=MAX($E$5,EDATE(AI$92,-(IF($D$35="Mensuel",1,IF($D$35="Trimestriel",3,IF($D$35="Semestriel",6,12)))-1))))*(D$92:AM$92&lt;=AI$92)*N(D$82:AM$82)),0))</f>
        <v>0</v>
      </c>
      <c r="AJ108" s="25">
        <f>IF(AJ$92="",0,IF(MOD(MONTH(AJ$92),IF($D$35="Mensuel",1,IF($D$35="Trimestriel",3,IF($D$35="Semestriel",6,12))))=0,SUMPRODUCT((D$92:AM$92&gt;=MAX($E$5,EDATE(AJ$92,-(IF($D$35="Mensuel",1,IF($D$35="Trimestriel",3,IF($D$35="Semestriel",6,12)))-1))))*(D$92:AM$92&lt;=AJ$92)*N(D$82:AM$82)),0))</f>
        <v>0</v>
      </c>
      <c r="AK108" s="25">
        <f>IF(AK$92="",0,IF(MOD(MONTH(AK$92),IF($D$35="Mensuel",1,IF($D$35="Trimestriel",3,IF($D$35="Semestriel",6,12))))=0,SUMPRODUCT((D$92:AM$92&gt;=MAX($E$5,EDATE(AK$92,-(IF($D$35="Mensuel",1,IF($D$35="Trimestriel",3,IF($D$35="Semestriel",6,12)))-1))))*(D$92:AM$92&lt;=AK$92)*N(D$82:AM$82)),0))</f>
        <v>0</v>
      </c>
      <c r="AL108" s="25">
        <f>IF(AL$92="",0,IF(MOD(MONTH(AL$92),IF($D$35="Mensuel",1,IF($D$35="Trimestriel",3,IF($D$35="Semestriel",6,12))))=0,SUMPRODUCT((D$92:AM$92&gt;=MAX($E$5,EDATE(AL$92,-(IF($D$35="Mensuel",1,IF($D$35="Trimestriel",3,IF($D$35="Semestriel",6,12)))-1))))*(D$92:AM$92&lt;=AL$92)*N(D$82:AM$82)),0))</f>
        <v>0</v>
      </c>
      <c r="AM108" s="25">
        <f>IF(AM$92="",0,IF(MOD(MONTH(AM$92),IF($D$35="Mensuel",1,IF($D$35="Trimestriel",3,IF($D$35="Semestriel",6,12))))=0,SUMPRODUCT((D$92:AM$92&gt;=MAX($E$5,EDATE(AM$92,-(IF($D$35="Mensuel",1,IF($D$35="Trimestriel",3,IF($D$35="Semestriel",6,12)))-1))))*(D$92:AM$92&lt;=AM$92)*N(D$82:AM$82)),0))</f>
        <v>0</v>
      </c>
    </row>
    <row r="109" ht="15.75" customHeight="1" outlineLevel="1">
      <c r="B109" s="40" t="str">
        <f t="shared" si="25"/>
        <v>Reporting — Solvabilité II (optionnel)</v>
      </c>
      <c r="D109" s="25">
        <f>IF(D$92="",0,IF(MOD(MONTH(D$92),IF($D$36="Mensuel",1,IF($D$36="Trimestriel",3,IF($D$36="Semestriel",6,12))))=0,SUMPRODUCT((D$92:AM$92&gt;=MAX($E$5,EDATE(D$92,-(IF($D$36="Mensuel",1,IF($D$36="Trimestriel",3,IF($D$36="Semestriel",6,12)))-1))))*(D$92:AM$92&lt;=D$92)*N(D$83:AM$83)),0))</f>
        <v>0</v>
      </c>
      <c r="E109" s="25">
        <f>IF(E$92="",0,IF(MOD(MONTH(E$92),IF($D$36="Mensuel",1,IF($D$36="Trimestriel",3,IF($D$36="Semestriel",6,12))))=0,SUMPRODUCT((D$92:AM$92&gt;=MAX($E$5,EDATE(E$92,-(IF($D$36="Mensuel",1,IF($D$36="Trimestriel",3,IF($D$36="Semestriel",6,12)))-1))))*(D$92:AM$92&lt;=E$92)*N(D$83:AM$83)),0))</f>
        <v>0</v>
      </c>
      <c r="F109" s="25">
        <f>IF(F$92="",0,IF(MOD(MONTH(F$92),IF($D$36="Mensuel",1,IF($D$36="Trimestriel",3,IF($D$36="Semestriel",6,12))))=0,SUMPRODUCT((D$92:AM$92&gt;=MAX($E$5,EDATE(F$92,-(IF($D$36="Mensuel",1,IF($D$36="Trimestriel",3,IF($D$36="Semestriel",6,12)))-1))))*(D$92:AM$92&lt;=F$92)*N(D$83:AM$83)),0))</f>
        <v>0</v>
      </c>
      <c r="G109" s="25">
        <f>IF(G$92="",0,IF(MOD(MONTH(G$92),IF($D$36="Mensuel",1,IF($D$36="Trimestriel",3,IF($D$36="Semestriel",6,12))))=0,SUMPRODUCT((D$92:AM$92&gt;=MAX($E$5,EDATE(G$92,-(IF($D$36="Mensuel",1,IF($D$36="Trimestriel",3,IF($D$36="Semestriel",6,12)))-1))))*(D$92:AM$92&lt;=G$92)*N(D$83:AM$83)),0))</f>
        <v>0</v>
      </c>
      <c r="H109" s="25">
        <f>IF(H$92="",0,IF(MOD(MONTH(H$92),IF($D$36="Mensuel",1,IF($D$36="Trimestriel",3,IF($D$36="Semestriel",6,12))))=0,SUMPRODUCT((D$92:AM$92&gt;=MAX($E$5,EDATE(H$92,-(IF($D$36="Mensuel",1,IF($D$36="Trimestriel",3,IF($D$36="Semestriel",6,12)))-1))))*(D$92:AM$92&lt;=H$92)*N(D$83:AM$83)),0))</f>
        <v>0</v>
      </c>
      <c r="I109" s="25">
        <f>IF(I$92="",0,IF(MOD(MONTH(I$92),IF($D$36="Mensuel",1,IF($D$36="Trimestriel",3,IF($D$36="Semestriel",6,12))))=0,SUMPRODUCT((D$92:AM$92&gt;=MAX($E$5,EDATE(I$92,-(IF($D$36="Mensuel",1,IF($D$36="Trimestriel",3,IF($D$36="Semestriel",6,12)))-1))))*(D$92:AM$92&lt;=I$92)*N(D$83:AM$83)),0))</f>
        <v>0</v>
      </c>
      <c r="J109" s="25">
        <f>IF(J$92="",0,IF(MOD(MONTH(J$92),IF($D$36="Mensuel",1,IF($D$36="Trimestriel",3,IF($D$36="Semestriel",6,12))))=0,SUMPRODUCT((D$92:AM$92&gt;=MAX($E$5,EDATE(J$92,-(IF($D$36="Mensuel",1,IF($D$36="Trimestriel",3,IF($D$36="Semestriel",6,12)))-1))))*(D$92:AM$92&lt;=J$92)*N(D$83:AM$83)),0))</f>
        <v>0</v>
      </c>
      <c r="K109" s="25">
        <f>IF(K$92="",0,IF(MOD(MONTH(K$92),IF($D$36="Mensuel",1,IF($D$36="Trimestriel",3,IF($D$36="Semestriel",6,12))))=0,SUMPRODUCT((D$92:AM$92&gt;=MAX($E$5,EDATE(K$92,-(IF($D$36="Mensuel",1,IF($D$36="Trimestriel",3,IF($D$36="Semestriel",6,12)))-1))))*(D$92:AM$92&lt;=K$92)*N(D$83:AM$83)),0))</f>
        <v>0</v>
      </c>
      <c r="L109" s="25">
        <f>IF(L$92="",0,IF(MOD(MONTH(L$92),IF($D$36="Mensuel",1,IF($D$36="Trimestriel",3,IF($D$36="Semestriel",6,12))))=0,SUMPRODUCT((D$92:AM$92&gt;=MAX($E$5,EDATE(L$92,-(IF($D$36="Mensuel",1,IF($D$36="Trimestriel",3,IF($D$36="Semestriel",6,12)))-1))))*(D$92:AM$92&lt;=L$92)*N(D$83:AM$83)),0))</f>
        <v>0</v>
      </c>
      <c r="M109" s="25">
        <f>IF(M$92="",0,IF(MOD(MONTH(M$92),IF($D$36="Mensuel",1,IF($D$36="Trimestriel",3,IF($D$36="Semestriel",6,12))))=0,SUMPRODUCT((D$92:AM$92&gt;=MAX($E$5,EDATE(M$92,-(IF($D$36="Mensuel",1,IF($D$36="Trimestriel",3,IF($D$36="Semestriel",6,12)))-1))))*(D$92:AM$92&lt;=M$92)*N(D$83:AM$83)),0))</f>
        <v>0</v>
      </c>
      <c r="N109" s="25">
        <f>IF(N$92="",0,IF(MOD(MONTH(N$92),IF($D$36="Mensuel",1,IF($D$36="Trimestriel",3,IF($D$36="Semestriel",6,12))))=0,SUMPRODUCT((D$92:AM$92&gt;=MAX($E$5,EDATE(N$92,-(IF($D$36="Mensuel",1,IF($D$36="Trimestriel",3,IF($D$36="Semestriel",6,12)))-1))))*(D$92:AM$92&lt;=N$92)*N(D$83:AM$83)),0))</f>
        <v>0</v>
      </c>
      <c r="O109" s="25">
        <f>IF(O$92="",0,IF(MOD(MONTH(O$92),IF($D$36="Mensuel",1,IF($D$36="Trimestriel",3,IF($D$36="Semestriel",6,12))))=0,SUMPRODUCT((D$92:AM$92&gt;=MAX($E$5,EDATE(O$92,-(IF($D$36="Mensuel",1,IF($D$36="Trimestriel",3,IF($D$36="Semestriel",6,12)))-1))))*(D$92:AM$92&lt;=O$92)*N(D$83:AM$83)),0))</f>
        <v>0</v>
      </c>
      <c r="P109" s="25">
        <f>IF(P$92="",0,IF(MOD(MONTH(P$92),IF($D$36="Mensuel",1,IF($D$36="Trimestriel",3,IF($D$36="Semestriel",6,12))))=0,SUMPRODUCT((D$92:AM$92&gt;=MAX($E$5,EDATE(P$92,-(IF($D$36="Mensuel",1,IF($D$36="Trimestriel",3,IF($D$36="Semestriel",6,12)))-1))))*(D$92:AM$92&lt;=P$92)*N(D$83:AM$83)),0))</f>
        <v>0</v>
      </c>
      <c r="Q109" s="25">
        <f>IF(Q$92="",0,IF(MOD(MONTH(Q$92),IF($D$36="Mensuel",1,IF($D$36="Trimestriel",3,IF($D$36="Semestriel",6,12))))=0,SUMPRODUCT((D$92:AM$92&gt;=MAX($E$5,EDATE(Q$92,-(IF($D$36="Mensuel",1,IF($D$36="Trimestriel",3,IF($D$36="Semestriel",6,12)))-1))))*(D$92:AM$92&lt;=Q$92)*N(D$83:AM$83)),0))</f>
        <v>0</v>
      </c>
      <c r="R109" s="25">
        <f>IF(R$92="",0,IF(MOD(MONTH(R$92),IF($D$36="Mensuel",1,IF($D$36="Trimestriel",3,IF($D$36="Semestriel",6,12))))=0,SUMPRODUCT((D$92:AM$92&gt;=MAX($E$5,EDATE(R$92,-(IF($D$36="Mensuel",1,IF($D$36="Trimestriel",3,IF($D$36="Semestriel",6,12)))-1))))*(D$92:AM$92&lt;=R$92)*N(D$83:AM$83)),0))</f>
        <v>0</v>
      </c>
      <c r="S109" s="25">
        <f>IF(S$92="",0,IF(MOD(MONTH(S$92),IF($D$36="Mensuel",1,IF($D$36="Trimestriel",3,IF($D$36="Semestriel",6,12))))=0,SUMPRODUCT((D$92:AM$92&gt;=MAX($E$5,EDATE(S$92,-(IF($D$36="Mensuel",1,IF($D$36="Trimestriel",3,IF($D$36="Semestriel",6,12)))-1))))*(D$92:AM$92&lt;=S$92)*N(D$83:AM$83)),0))</f>
        <v>0</v>
      </c>
      <c r="T109" s="25">
        <f>IF(T$92="",0,IF(MOD(MONTH(T$92),IF($D$36="Mensuel",1,IF($D$36="Trimestriel",3,IF($D$36="Semestriel",6,12))))=0,SUMPRODUCT((D$92:AM$92&gt;=MAX($E$5,EDATE(T$92,-(IF($D$36="Mensuel",1,IF($D$36="Trimestriel",3,IF($D$36="Semestriel",6,12)))-1))))*(D$92:AM$92&lt;=T$92)*N(D$83:AM$83)),0))</f>
        <v>0</v>
      </c>
      <c r="U109" s="25">
        <f>IF(U$92="",0,IF(MOD(MONTH(U$92),IF($D$36="Mensuel",1,IF($D$36="Trimestriel",3,IF($D$36="Semestriel",6,12))))=0,SUMPRODUCT((D$92:AM$92&gt;=MAX($E$5,EDATE(U$92,-(IF($D$36="Mensuel",1,IF($D$36="Trimestriel",3,IF($D$36="Semestriel",6,12)))-1))))*(D$92:AM$92&lt;=U$92)*N(D$83:AM$83)),0))</f>
        <v>0</v>
      </c>
      <c r="V109" s="25">
        <f>IF(V$92="",0,IF(MOD(MONTH(V$92),IF($D$36="Mensuel",1,IF($D$36="Trimestriel",3,IF($D$36="Semestriel",6,12))))=0,SUMPRODUCT((D$92:AM$92&gt;=MAX($E$5,EDATE(V$92,-(IF($D$36="Mensuel",1,IF($D$36="Trimestriel",3,IF($D$36="Semestriel",6,12)))-1))))*(D$92:AM$92&lt;=V$92)*N(D$83:AM$83)),0))</f>
        <v>0</v>
      </c>
      <c r="W109" s="25">
        <f>IF(W$92="",0,IF(MOD(MONTH(W$92),IF($D$36="Mensuel",1,IF($D$36="Trimestriel",3,IF($D$36="Semestriel",6,12))))=0,SUMPRODUCT((D$92:AM$92&gt;=MAX($E$5,EDATE(W$92,-(IF($D$36="Mensuel",1,IF($D$36="Trimestriel",3,IF($D$36="Semestriel",6,12)))-1))))*(D$92:AM$92&lt;=W$92)*N(D$83:AM$83)),0))</f>
        <v>0</v>
      </c>
      <c r="X109" s="25">
        <f>IF(X$92="",0,IF(MOD(MONTH(X$92),IF($D$36="Mensuel",1,IF($D$36="Trimestriel",3,IF($D$36="Semestriel",6,12))))=0,SUMPRODUCT((D$92:AM$92&gt;=MAX($E$5,EDATE(X$92,-(IF($D$36="Mensuel",1,IF($D$36="Trimestriel",3,IF($D$36="Semestriel",6,12)))-1))))*(D$92:AM$92&lt;=X$92)*N(D$83:AM$83)),0))</f>
        <v>0</v>
      </c>
      <c r="Y109" s="25">
        <f>IF(Y$92="",0,IF(MOD(MONTH(Y$92),IF($D$36="Mensuel",1,IF($D$36="Trimestriel",3,IF($D$36="Semestriel",6,12))))=0,SUMPRODUCT((D$92:AM$92&gt;=MAX($E$5,EDATE(Y$92,-(IF($D$36="Mensuel",1,IF($D$36="Trimestriel",3,IF($D$36="Semestriel",6,12)))-1))))*(D$92:AM$92&lt;=Y$92)*N(D$83:AM$83)),0))</f>
        <v>0</v>
      </c>
      <c r="Z109" s="25">
        <f>IF(Z$92="",0,IF(MOD(MONTH(Z$92),IF($D$36="Mensuel",1,IF($D$36="Trimestriel",3,IF($D$36="Semestriel",6,12))))=0,SUMPRODUCT((D$92:AM$92&gt;=MAX($E$5,EDATE(Z$92,-(IF($D$36="Mensuel",1,IF($D$36="Trimestriel",3,IF($D$36="Semestriel",6,12)))-1))))*(D$92:AM$92&lt;=Z$92)*N(D$83:AM$83)),0))</f>
        <v>0</v>
      </c>
      <c r="AA109" s="25">
        <f>IF(AA$92="",0,IF(MOD(MONTH(AA$92),IF($D$36="Mensuel",1,IF($D$36="Trimestriel",3,IF($D$36="Semestriel",6,12))))=0,SUMPRODUCT((D$92:AM$92&gt;=MAX($E$5,EDATE(AA$92,-(IF($D$36="Mensuel",1,IF($D$36="Trimestriel",3,IF($D$36="Semestriel",6,12)))-1))))*(D$92:AM$92&lt;=AA$92)*N(D$83:AM$83)),0))</f>
        <v>0</v>
      </c>
      <c r="AB109" s="25">
        <f>IF(AB$92="",0,IF(MOD(MONTH(AB$92),IF($D$36="Mensuel",1,IF($D$36="Trimestriel",3,IF($D$36="Semestriel",6,12))))=0,SUMPRODUCT((D$92:AM$92&gt;=MAX($E$5,EDATE(AB$92,-(IF($D$36="Mensuel",1,IF($D$36="Trimestriel",3,IF($D$36="Semestriel",6,12)))-1))))*(D$92:AM$92&lt;=AB$92)*N(D$83:AM$83)),0))</f>
        <v>0</v>
      </c>
      <c r="AC109" s="25">
        <f>IF(AC$92="",0,IF(MOD(MONTH(AC$92),IF($D$36="Mensuel",1,IF($D$36="Trimestriel",3,IF($D$36="Semestriel",6,12))))=0,SUMPRODUCT((D$92:AM$92&gt;=MAX($E$5,EDATE(AC$92,-(IF($D$36="Mensuel",1,IF($D$36="Trimestriel",3,IF($D$36="Semestriel",6,12)))-1))))*(D$92:AM$92&lt;=AC$92)*N(D$83:AM$83)),0))</f>
        <v>0</v>
      </c>
      <c r="AD109" s="25">
        <f>IF(AD$92="",0,IF(MOD(MONTH(AD$92),IF($D$36="Mensuel",1,IF($D$36="Trimestriel",3,IF($D$36="Semestriel",6,12))))=0,SUMPRODUCT((D$92:AM$92&gt;=MAX($E$5,EDATE(AD$92,-(IF($D$36="Mensuel",1,IF($D$36="Trimestriel",3,IF($D$36="Semestriel",6,12)))-1))))*(D$92:AM$92&lt;=AD$92)*N(D$83:AM$83)),0))</f>
        <v>0</v>
      </c>
      <c r="AE109" s="25">
        <f>IF(AE$92="",0,IF(MOD(MONTH(AE$92),IF($D$36="Mensuel",1,IF($D$36="Trimestriel",3,IF($D$36="Semestriel",6,12))))=0,SUMPRODUCT((D$92:AM$92&gt;=MAX($E$5,EDATE(AE$92,-(IF($D$36="Mensuel",1,IF($D$36="Trimestriel",3,IF($D$36="Semestriel",6,12)))-1))))*(D$92:AM$92&lt;=AE$92)*N(D$83:AM$83)),0))</f>
        <v>0</v>
      </c>
      <c r="AF109" s="25">
        <f>IF(AF$92="",0,IF(MOD(MONTH(AF$92),IF($D$36="Mensuel",1,IF($D$36="Trimestriel",3,IF($D$36="Semestriel",6,12))))=0,SUMPRODUCT((D$92:AM$92&gt;=MAX($E$5,EDATE(AF$92,-(IF($D$36="Mensuel",1,IF($D$36="Trimestriel",3,IF($D$36="Semestriel",6,12)))-1))))*(D$92:AM$92&lt;=AF$92)*N(D$83:AM$83)),0))</f>
        <v>0</v>
      </c>
      <c r="AG109" s="25">
        <f>IF(AG$92="",0,IF(MOD(MONTH(AG$92),IF($D$36="Mensuel",1,IF($D$36="Trimestriel",3,IF($D$36="Semestriel",6,12))))=0,SUMPRODUCT((D$92:AM$92&gt;=MAX($E$5,EDATE(AG$92,-(IF($D$36="Mensuel",1,IF($D$36="Trimestriel",3,IF($D$36="Semestriel",6,12)))-1))))*(D$92:AM$92&lt;=AG$92)*N(D$83:AM$83)),0))</f>
        <v>0</v>
      </c>
      <c r="AH109" s="25">
        <f>IF(AH$92="",0,IF(MOD(MONTH(AH$92),IF($D$36="Mensuel",1,IF($D$36="Trimestriel",3,IF($D$36="Semestriel",6,12))))=0,SUMPRODUCT((D$92:AM$92&gt;=MAX($E$5,EDATE(AH$92,-(IF($D$36="Mensuel",1,IF($D$36="Trimestriel",3,IF($D$36="Semestriel",6,12)))-1))))*(D$92:AM$92&lt;=AH$92)*N(D$83:AM$83)),0))</f>
        <v>0</v>
      </c>
      <c r="AI109" s="25">
        <f>IF(AI$92="",0,IF(MOD(MONTH(AI$92),IF($D$36="Mensuel",1,IF($D$36="Trimestriel",3,IF($D$36="Semestriel",6,12))))=0,SUMPRODUCT((D$92:AM$92&gt;=MAX($E$5,EDATE(AI$92,-(IF($D$36="Mensuel",1,IF($D$36="Trimestriel",3,IF($D$36="Semestriel",6,12)))-1))))*(D$92:AM$92&lt;=AI$92)*N(D$83:AM$83)),0))</f>
        <v>0</v>
      </c>
      <c r="AJ109" s="25">
        <f>IF(AJ$92="",0,IF(MOD(MONTH(AJ$92),IF($D$36="Mensuel",1,IF($D$36="Trimestriel",3,IF($D$36="Semestriel",6,12))))=0,SUMPRODUCT((D$92:AM$92&gt;=MAX($E$5,EDATE(AJ$92,-(IF($D$36="Mensuel",1,IF($D$36="Trimestriel",3,IF($D$36="Semestriel",6,12)))-1))))*(D$92:AM$92&lt;=AJ$92)*N(D$83:AM$83)),0))</f>
        <v>0</v>
      </c>
      <c r="AK109" s="25">
        <f>IF(AK$92="",0,IF(MOD(MONTH(AK$92),IF($D$36="Mensuel",1,IF($D$36="Trimestriel",3,IF($D$36="Semestriel",6,12))))=0,SUMPRODUCT((D$92:AM$92&gt;=MAX($E$5,EDATE(AK$92,-(IF($D$36="Mensuel",1,IF($D$36="Trimestriel",3,IF($D$36="Semestriel",6,12)))-1))))*(D$92:AM$92&lt;=AK$92)*N(D$83:AM$83)),0))</f>
        <v>0</v>
      </c>
      <c r="AL109" s="25">
        <f>IF(AL$92="",0,IF(MOD(MONTH(AL$92),IF($D$36="Mensuel",1,IF($D$36="Trimestriel",3,IF($D$36="Semestriel",6,12))))=0,SUMPRODUCT((D$92:AM$92&gt;=MAX($E$5,EDATE(AL$92,-(IF($D$36="Mensuel",1,IF($D$36="Trimestriel",3,IF($D$36="Semestriel",6,12)))-1))))*(D$92:AM$92&lt;=AL$92)*N(D$83:AM$83)),0))</f>
        <v>0</v>
      </c>
      <c r="AM109" s="25">
        <f>IF(AM$92="",0,IF(MOD(MONTH(AM$92),IF($D$36="Mensuel",1,IF($D$36="Trimestriel",3,IF($D$36="Semestriel",6,12))))=0,SUMPRODUCT((D$92:AM$92&gt;=MAX($E$5,EDATE(AM$92,-(IF($D$36="Mensuel",1,IF($D$36="Trimestriel",3,IF($D$36="Semestriel",6,12)))-1))))*(D$92:AM$92&lt;=AM$92)*N(D$83:AM$83)),0))</f>
        <v>0</v>
      </c>
    </row>
    <row r="110" ht="15.75" hidden="1" customHeight="1" outlineLevel="1">
      <c r="B110" s="40" t="str">
        <f t="shared" si="25"/>
        <v>(inactif)</v>
      </c>
      <c r="D110" s="25">
        <f>IF(D$92="",0,IF(MOD(MONTH(D$92),IF($D$37="Mensuel",1,IF($D$37="Trimestriel",3,IF($D$37="Semestriel",6,12))))=0,SUMPRODUCT((D$92:AM$92&gt;=MAX($E$5,EDATE(D$92,-(IF($D$37="Mensuel",1,IF($D$37="Trimestriel",3,IF($D$37="Semestriel",6,12)))-1))))*(D$92:AM$92&lt;=D$92)*N(D$84:AM$84)),0))</f>
        <v>0</v>
      </c>
      <c r="E110" s="25">
        <f>IF(E$92="",0,IF(MOD(MONTH(E$92),IF($D$37="Mensuel",1,IF($D$37="Trimestriel",3,IF($D$37="Semestriel",6,12))))=0,SUMPRODUCT((D$92:AM$92&gt;=MAX($E$5,EDATE(E$92,-(IF($D$37="Mensuel",1,IF($D$37="Trimestriel",3,IF($D$37="Semestriel",6,12)))-1))))*(D$92:AM$92&lt;=E$92)*N(D$84:AM$84)),0))</f>
        <v>0</v>
      </c>
      <c r="F110" s="25">
        <f>IF(F$92="",0,IF(MOD(MONTH(F$92),IF($D$37="Mensuel",1,IF($D$37="Trimestriel",3,IF($D$37="Semestriel",6,12))))=0,SUMPRODUCT((D$92:AM$92&gt;=MAX($E$5,EDATE(F$92,-(IF($D$37="Mensuel",1,IF($D$37="Trimestriel",3,IF($D$37="Semestriel",6,12)))-1))))*(D$92:AM$92&lt;=F$92)*N(D$84:AM$84)),0))</f>
        <v>0</v>
      </c>
      <c r="G110" s="25">
        <f>IF(G$92="",0,IF(MOD(MONTH(G$92),IF($D$37="Mensuel",1,IF($D$37="Trimestriel",3,IF($D$37="Semestriel",6,12))))=0,SUMPRODUCT((D$92:AM$92&gt;=MAX($E$5,EDATE(G$92,-(IF($D$37="Mensuel",1,IF($D$37="Trimestriel",3,IF($D$37="Semestriel",6,12)))-1))))*(D$92:AM$92&lt;=G$92)*N(D$84:AM$84)),0))</f>
        <v>0</v>
      </c>
      <c r="H110" s="25">
        <f>IF(H$92="",0,IF(MOD(MONTH(H$92),IF($D$37="Mensuel",1,IF($D$37="Trimestriel",3,IF($D$37="Semestriel",6,12))))=0,SUMPRODUCT((D$92:AM$92&gt;=MAX($E$5,EDATE(H$92,-(IF($D$37="Mensuel",1,IF($D$37="Trimestriel",3,IF($D$37="Semestriel",6,12)))-1))))*(D$92:AM$92&lt;=H$92)*N(D$84:AM$84)),0))</f>
        <v>0</v>
      </c>
      <c r="I110" s="25">
        <f>IF(I$92="",0,IF(MOD(MONTH(I$92),IF($D$37="Mensuel",1,IF($D$37="Trimestriel",3,IF($D$37="Semestriel",6,12))))=0,SUMPRODUCT((D$92:AM$92&gt;=MAX($E$5,EDATE(I$92,-(IF($D$37="Mensuel",1,IF($D$37="Trimestriel",3,IF($D$37="Semestriel",6,12)))-1))))*(D$92:AM$92&lt;=I$92)*N(D$84:AM$84)),0))</f>
        <v>0</v>
      </c>
      <c r="J110" s="25">
        <f>IF(J$92="",0,IF(MOD(MONTH(J$92),IF($D$37="Mensuel",1,IF($D$37="Trimestriel",3,IF($D$37="Semestriel",6,12))))=0,SUMPRODUCT((D$92:AM$92&gt;=MAX($E$5,EDATE(J$92,-(IF($D$37="Mensuel",1,IF($D$37="Trimestriel",3,IF($D$37="Semestriel",6,12)))-1))))*(D$92:AM$92&lt;=J$92)*N(D$84:AM$84)),0))</f>
        <v>0</v>
      </c>
      <c r="K110" s="25">
        <f>IF(K$92="",0,IF(MOD(MONTH(K$92),IF($D$37="Mensuel",1,IF($D$37="Trimestriel",3,IF($D$37="Semestriel",6,12))))=0,SUMPRODUCT((D$92:AM$92&gt;=MAX($E$5,EDATE(K$92,-(IF($D$37="Mensuel",1,IF($D$37="Trimestriel",3,IF($D$37="Semestriel",6,12)))-1))))*(D$92:AM$92&lt;=K$92)*N(D$84:AM$84)),0))</f>
        <v>0</v>
      </c>
      <c r="L110" s="25">
        <f>IF(L$92="",0,IF(MOD(MONTH(L$92),IF($D$37="Mensuel",1,IF($D$37="Trimestriel",3,IF($D$37="Semestriel",6,12))))=0,SUMPRODUCT((D$92:AM$92&gt;=MAX($E$5,EDATE(L$92,-(IF($D$37="Mensuel",1,IF($D$37="Trimestriel",3,IF($D$37="Semestriel",6,12)))-1))))*(D$92:AM$92&lt;=L$92)*N(D$84:AM$84)),0))</f>
        <v>0</v>
      </c>
      <c r="M110" s="25">
        <f>IF(M$92="",0,IF(MOD(MONTH(M$92),IF($D$37="Mensuel",1,IF($D$37="Trimestriel",3,IF($D$37="Semestriel",6,12))))=0,SUMPRODUCT((D$92:AM$92&gt;=MAX($E$5,EDATE(M$92,-(IF($D$37="Mensuel",1,IF($D$37="Trimestriel",3,IF($D$37="Semestriel",6,12)))-1))))*(D$92:AM$92&lt;=M$92)*N(D$84:AM$84)),0))</f>
        <v>0</v>
      </c>
      <c r="N110" s="25">
        <f>IF(N$92="",0,IF(MOD(MONTH(N$92),IF($D$37="Mensuel",1,IF($D$37="Trimestriel",3,IF($D$37="Semestriel",6,12))))=0,SUMPRODUCT((D$92:AM$92&gt;=MAX($E$5,EDATE(N$92,-(IF($D$37="Mensuel",1,IF($D$37="Trimestriel",3,IF($D$37="Semestriel",6,12)))-1))))*(D$92:AM$92&lt;=N$92)*N(D$84:AM$84)),0))</f>
        <v>0</v>
      </c>
      <c r="O110" s="25">
        <f>IF(O$92="",0,IF(MOD(MONTH(O$92),IF($D$37="Mensuel",1,IF($D$37="Trimestriel",3,IF($D$37="Semestriel",6,12))))=0,SUMPRODUCT((D$92:AM$92&gt;=MAX($E$5,EDATE(O$92,-(IF($D$37="Mensuel",1,IF($D$37="Trimestriel",3,IF($D$37="Semestriel",6,12)))-1))))*(D$92:AM$92&lt;=O$92)*N(D$84:AM$84)),0))</f>
        <v>0</v>
      </c>
      <c r="P110" s="25">
        <f>IF(P$92="",0,IF(MOD(MONTH(P$92),IF($D$37="Mensuel",1,IF($D$37="Trimestriel",3,IF($D$37="Semestriel",6,12))))=0,SUMPRODUCT((D$92:AM$92&gt;=MAX($E$5,EDATE(P$92,-(IF($D$37="Mensuel",1,IF($D$37="Trimestriel",3,IF($D$37="Semestriel",6,12)))-1))))*(D$92:AM$92&lt;=P$92)*N(D$84:AM$84)),0))</f>
        <v>0</v>
      </c>
      <c r="Q110" s="25">
        <f>IF(Q$92="",0,IF(MOD(MONTH(Q$92),IF($D$37="Mensuel",1,IF($D$37="Trimestriel",3,IF($D$37="Semestriel",6,12))))=0,SUMPRODUCT((D$92:AM$92&gt;=MAX($E$5,EDATE(Q$92,-(IF($D$37="Mensuel",1,IF($D$37="Trimestriel",3,IF($D$37="Semestriel",6,12)))-1))))*(D$92:AM$92&lt;=Q$92)*N(D$84:AM$84)),0))</f>
        <v>0</v>
      </c>
      <c r="R110" s="25">
        <f>IF(R$92="",0,IF(MOD(MONTH(R$92),IF($D$37="Mensuel",1,IF($D$37="Trimestriel",3,IF($D$37="Semestriel",6,12))))=0,SUMPRODUCT((D$92:AM$92&gt;=MAX($E$5,EDATE(R$92,-(IF($D$37="Mensuel",1,IF($D$37="Trimestriel",3,IF($D$37="Semestriel",6,12)))-1))))*(D$92:AM$92&lt;=R$92)*N(D$84:AM$84)),0))</f>
        <v>0</v>
      </c>
      <c r="S110" s="25">
        <f>IF(S$92="",0,IF(MOD(MONTH(S$92),IF($D$37="Mensuel",1,IF($D$37="Trimestriel",3,IF($D$37="Semestriel",6,12))))=0,SUMPRODUCT((D$92:AM$92&gt;=MAX($E$5,EDATE(S$92,-(IF($D$37="Mensuel",1,IF($D$37="Trimestriel",3,IF($D$37="Semestriel",6,12)))-1))))*(D$92:AM$92&lt;=S$92)*N(D$84:AM$84)),0))</f>
        <v>0</v>
      </c>
      <c r="T110" s="25">
        <f>IF(T$92="",0,IF(MOD(MONTH(T$92),IF($D$37="Mensuel",1,IF($D$37="Trimestriel",3,IF($D$37="Semestriel",6,12))))=0,SUMPRODUCT((D$92:AM$92&gt;=MAX($E$5,EDATE(T$92,-(IF($D$37="Mensuel",1,IF($D$37="Trimestriel",3,IF($D$37="Semestriel",6,12)))-1))))*(D$92:AM$92&lt;=T$92)*N(D$84:AM$84)),0))</f>
        <v>0</v>
      </c>
      <c r="U110" s="25">
        <f>IF(U$92="",0,IF(MOD(MONTH(U$92),IF($D$37="Mensuel",1,IF($D$37="Trimestriel",3,IF($D$37="Semestriel",6,12))))=0,SUMPRODUCT((D$92:AM$92&gt;=MAX($E$5,EDATE(U$92,-(IF($D$37="Mensuel",1,IF($D$37="Trimestriel",3,IF($D$37="Semestriel",6,12)))-1))))*(D$92:AM$92&lt;=U$92)*N(D$84:AM$84)),0))</f>
        <v>0</v>
      </c>
      <c r="V110" s="25">
        <f>IF(V$92="",0,IF(MOD(MONTH(V$92),IF($D$37="Mensuel",1,IF($D$37="Trimestriel",3,IF($D$37="Semestriel",6,12))))=0,SUMPRODUCT((D$92:AM$92&gt;=MAX($E$5,EDATE(V$92,-(IF($D$37="Mensuel",1,IF($D$37="Trimestriel",3,IF($D$37="Semestriel",6,12)))-1))))*(D$92:AM$92&lt;=V$92)*N(D$84:AM$84)),0))</f>
        <v>0</v>
      </c>
      <c r="W110" s="25">
        <f>IF(W$92="",0,IF(MOD(MONTH(W$92),IF($D$37="Mensuel",1,IF($D$37="Trimestriel",3,IF($D$37="Semestriel",6,12))))=0,SUMPRODUCT((D$92:AM$92&gt;=MAX($E$5,EDATE(W$92,-(IF($D$37="Mensuel",1,IF($D$37="Trimestriel",3,IF($D$37="Semestriel",6,12)))-1))))*(D$92:AM$92&lt;=W$92)*N(D$84:AM$84)),0))</f>
        <v>0</v>
      </c>
      <c r="X110" s="25">
        <f>IF(X$92="",0,IF(MOD(MONTH(X$92),IF($D$37="Mensuel",1,IF($D$37="Trimestriel",3,IF($D$37="Semestriel",6,12))))=0,SUMPRODUCT((D$92:AM$92&gt;=MAX($E$5,EDATE(X$92,-(IF($D$37="Mensuel",1,IF($D$37="Trimestriel",3,IF($D$37="Semestriel",6,12)))-1))))*(D$92:AM$92&lt;=X$92)*N(D$84:AM$84)),0))</f>
        <v>0</v>
      </c>
      <c r="Y110" s="25">
        <f>IF(Y$92="",0,IF(MOD(MONTH(Y$92),IF($D$37="Mensuel",1,IF($D$37="Trimestriel",3,IF($D$37="Semestriel",6,12))))=0,SUMPRODUCT((D$92:AM$92&gt;=MAX($E$5,EDATE(Y$92,-(IF($D$37="Mensuel",1,IF($D$37="Trimestriel",3,IF($D$37="Semestriel",6,12)))-1))))*(D$92:AM$92&lt;=Y$92)*N(D$84:AM$84)),0))</f>
        <v>0</v>
      </c>
      <c r="Z110" s="25">
        <f>IF(Z$92="",0,IF(MOD(MONTH(Z$92),IF($D$37="Mensuel",1,IF($D$37="Trimestriel",3,IF($D$37="Semestriel",6,12))))=0,SUMPRODUCT((D$92:AM$92&gt;=MAX($E$5,EDATE(Z$92,-(IF($D$37="Mensuel",1,IF($D$37="Trimestriel",3,IF($D$37="Semestriel",6,12)))-1))))*(D$92:AM$92&lt;=Z$92)*N(D$84:AM$84)),0))</f>
        <v>0</v>
      </c>
      <c r="AA110" s="25">
        <f>IF(AA$92="",0,IF(MOD(MONTH(AA$92),IF($D$37="Mensuel",1,IF($D$37="Trimestriel",3,IF($D$37="Semestriel",6,12))))=0,SUMPRODUCT((D$92:AM$92&gt;=MAX($E$5,EDATE(AA$92,-(IF($D$37="Mensuel",1,IF($D$37="Trimestriel",3,IF($D$37="Semestriel",6,12)))-1))))*(D$92:AM$92&lt;=AA$92)*N(D$84:AM$84)),0))</f>
        <v>0</v>
      </c>
      <c r="AB110" s="25">
        <f>IF(AB$92="",0,IF(MOD(MONTH(AB$92),IF($D$37="Mensuel",1,IF($D$37="Trimestriel",3,IF($D$37="Semestriel",6,12))))=0,SUMPRODUCT((D$92:AM$92&gt;=MAX($E$5,EDATE(AB$92,-(IF($D$37="Mensuel",1,IF($D$37="Trimestriel",3,IF($D$37="Semestriel",6,12)))-1))))*(D$92:AM$92&lt;=AB$92)*N(D$84:AM$84)),0))</f>
        <v>0</v>
      </c>
      <c r="AC110" s="25">
        <f>IF(AC$92="",0,IF(MOD(MONTH(AC$92),IF($D$37="Mensuel",1,IF($D$37="Trimestriel",3,IF($D$37="Semestriel",6,12))))=0,SUMPRODUCT((D$92:AM$92&gt;=MAX($E$5,EDATE(AC$92,-(IF($D$37="Mensuel",1,IF($D$37="Trimestriel",3,IF($D$37="Semestriel",6,12)))-1))))*(D$92:AM$92&lt;=AC$92)*N(D$84:AM$84)),0))</f>
        <v>0</v>
      </c>
      <c r="AD110" s="25">
        <f>IF(AD$92="",0,IF(MOD(MONTH(AD$92),IF($D$37="Mensuel",1,IF($D$37="Trimestriel",3,IF($D$37="Semestriel",6,12))))=0,SUMPRODUCT((D$92:AM$92&gt;=MAX($E$5,EDATE(AD$92,-(IF($D$37="Mensuel",1,IF($D$37="Trimestriel",3,IF($D$37="Semestriel",6,12)))-1))))*(D$92:AM$92&lt;=AD$92)*N(D$84:AM$84)),0))</f>
        <v>0</v>
      </c>
      <c r="AE110" s="25">
        <f>IF(AE$92="",0,IF(MOD(MONTH(AE$92),IF($D$37="Mensuel",1,IF($D$37="Trimestriel",3,IF($D$37="Semestriel",6,12))))=0,SUMPRODUCT((D$92:AM$92&gt;=MAX($E$5,EDATE(AE$92,-(IF($D$37="Mensuel",1,IF($D$37="Trimestriel",3,IF($D$37="Semestriel",6,12)))-1))))*(D$92:AM$92&lt;=AE$92)*N(D$84:AM$84)),0))</f>
        <v>0</v>
      </c>
      <c r="AF110" s="25">
        <f>IF(AF$92="",0,IF(MOD(MONTH(AF$92),IF($D$37="Mensuel",1,IF($D$37="Trimestriel",3,IF($D$37="Semestriel",6,12))))=0,SUMPRODUCT((D$92:AM$92&gt;=MAX($E$5,EDATE(AF$92,-(IF($D$37="Mensuel",1,IF($D$37="Trimestriel",3,IF($D$37="Semestriel",6,12)))-1))))*(D$92:AM$92&lt;=AF$92)*N(D$84:AM$84)),0))</f>
        <v>0</v>
      </c>
      <c r="AG110" s="25">
        <f>IF(AG$92="",0,IF(MOD(MONTH(AG$92),IF($D$37="Mensuel",1,IF($D$37="Trimestriel",3,IF($D$37="Semestriel",6,12))))=0,SUMPRODUCT((D$92:AM$92&gt;=MAX($E$5,EDATE(AG$92,-(IF($D$37="Mensuel",1,IF($D$37="Trimestriel",3,IF($D$37="Semestriel",6,12)))-1))))*(D$92:AM$92&lt;=AG$92)*N(D$84:AM$84)),0))</f>
        <v>0</v>
      </c>
      <c r="AH110" s="25">
        <f>IF(AH$92="",0,IF(MOD(MONTH(AH$92),IF($D$37="Mensuel",1,IF($D$37="Trimestriel",3,IF($D$37="Semestriel",6,12))))=0,SUMPRODUCT((D$92:AM$92&gt;=MAX($E$5,EDATE(AH$92,-(IF($D$37="Mensuel",1,IF($D$37="Trimestriel",3,IF($D$37="Semestriel",6,12)))-1))))*(D$92:AM$92&lt;=AH$92)*N(D$84:AM$84)),0))</f>
        <v>0</v>
      </c>
      <c r="AI110" s="25">
        <f>IF(AI$92="",0,IF(MOD(MONTH(AI$92),IF($D$37="Mensuel",1,IF($D$37="Trimestriel",3,IF($D$37="Semestriel",6,12))))=0,SUMPRODUCT((D$92:AM$92&gt;=MAX($E$5,EDATE(AI$92,-(IF($D$37="Mensuel",1,IF($D$37="Trimestriel",3,IF($D$37="Semestriel",6,12)))-1))))*(D$92:AM$92&lt;=AI$92)*N(D$84:AM$84)),0))</f>
        <v>0</v>
      </c>
      <c r="AJ110" s="25">
        <f>IF(AJ$92="",0,IF(MOD(MONTH(AJ$92),IF($D$37="Mensuel",1,IF($D$37="Trimestriel",3,IF($D$37="Semestriel",6,12))))=0,SUMPRODUCT((D$92:AM$92&gt;=MAX($E$5,EDATE(AJ$92,-(IF($D$37="Mensuel",1,IF($D$37="Trimestriel",3,IF($D$37="Semestriel",6,12)))-1))))*(D$92:AM$92&lt;=AJ$92)*N(D$84:AM$84)),0))</f>
        <v>0</v>
      </c>
      <c r="AK110" s="25">
        <f>IF(AK$92="",0,IF(MOD(MONTH(AK$92),IF($D$37="Mensuel",1,IF($D$37="Trimestriel",3,IF($D$37="Semestriel",6,12))))=0,SUMPRODUCT((D$92:AM$92&gt;=MAX($E$5,EDATE(AK$92,-(IF($D$37="Mensuel",1,IF($D$37="Trimestriel",3,IF($D$37="Semestriel",6,12)))-1))))*(D$92:AM$92&lt;=AK$92)*N(D$84:AM$84)),0))</f>
        <v>0</v>
      </c>
      <c r="AL110" s="25">
        <f>IF(AL$92="",0,IF(MOD(MONTH(AL$92),IF($D$37="Mensuel",1,IF($D$37="Trimestriel",3,IF($D$37="Semestriel",6,12))))=0,SUMPRODUCT((D$92:AM$92&gt;=MAX($E$5,EDATE(AL$92,-(IF($D$37="Mensuel",1,IF($D$37="Trimestriel",3,IF($D$37="Semestriel",6,12)))-1))))*(D$92:AM$92&lt;=AL$92)*N(D$84:AM$84)),0))</f>
        <v>0</v>
      </c>
      <c r="AM110" s="25">
        <f>IF(AM$92="",0,IF(MOD(MONTH(AM$92),IF($D$37="Mensuel",1,IF($D$37="Trimestriel",3,IF($D$37="Semestriel",6,12))))=0,SUMPRODUCT((D$92:AM$92&gt;=MAX($E$5,EDATE(AM$92,-(IF($D$37="Mensuel",1,IF($D$37="Trimestriel",3,IF($D$37="Semestriel",6,12)))-1))))*(D$92:AM$92&lt;=AM$92)*N(D$84:AM$84)),0))</f>
        <v>0</v>
      </c>
    </row>
    <row r="111" ht="15.75" hidden="1" customHeight="1" outlineLevel="1">
      <c r="B111" s="40" t="str">
        <f t="shared" si="25"/>
        <v>(inactif)</v>
      </c>
      <c r="D111" s="25">
        <f>IF(D$92="",0,IF(MOD(MONTH(D$92),IF($D$38="Mensuel",1,IF($D$38="Trimestriel",3,IF($D$38="Semestriel",6,12))))=0,SUMPRODUCT((D$92:AM$92&gt;=MAX($E$5,EDATE(D$92,-(IF($D$38="Mensuel",1,IF($D$38="Trimestriel",3,IF($D$38="Semestriel",6,12)))-1))))*(D$92:AM$92&lt;=D$92)*N(D$85:AM$85)),0))</f>
        <v>0</v>
      </c>
      <c r="E111" s="25">
        <f>IF(E$92="",0,IF(MOD(MONTH(E$92),IF($D$38="Mensuel",1,IF($D$38="Trimestriel",3,IF($D$38="Semestriel",6,12))))=0,SUMPRODUCT((D$92:AM$92&gt;=MAX($E$5,EDATE(E$92,-(IF($D$38="Mensuel",1,IF($D$38="Trimestriel",3,IF($D$38="Semestriel",6,12)))-1))))*(D$92:AM$92&lt;=E$92)*N(D$85:AM$85)),0))</f>
        <v>0</v>
      </c>
      <c r="F111" s="25">
        <f>IF(F$92="",0,IF(MOD(MONTH(F$92),IF($D$38="Mensuel",1,IF($D$38="Trimestriel",3,IF($D$38="Semestriel",6,12))))=0,SUMPRODUCT((D$92:AM$92&gt;=MAX($E$5,EDATE(F$92,-(IF($D$38="Mensuel",1,IF($D$38="Trimestriel",3,IF($D$38="Semestriel",6,12)))-1))))*(D$92:AM$92&lt;=F$92)*N(D$85:AM$85)),0))</f>
        <v>0</v>
      </c>
      <c r="G111" s="25">
        <f>IF(G$92="",0,IF(MOD(MONTH(G$92),IF($D$38="Mensuel",1,IF($D$38="Trimestriel",3,IF($D$38="Semestriel",6,12))))=0,SUMPRODUCT((D$92:AM$92&gt;=MAX($E$5,EDATE(G$92,-(IF($D$38="Mensuel",1,IF($D$38="Trimestriel",3,IF($D$38="Semestriel",6,12)))-1))))*(D$92:AM$92&lt;=G$92)*N(D$85:AM$85)),0))</f>
        <v>0</v>
      </c>
      <c r="H111" s="25">
        <f>IF(H$92="",0,IF(MOD(MONTH(H$92),IF($D$38="Mensuel",1,IF($D$38="Trimestriel",3,IF($D$38="Semestriel",6,12))))=0,SUMPRODUCT((D$92:AM$92&gt;=MAX($E$5,EDATE(H$92,-(IF($D$38="Mensuel",1,IF($D$38="Trimestriel",3,IF($D$38="Semestriel",6,12)))-1))))*(D$92:AM$92&lt;=H$92)*N(D$85:AM$85)),0))</f>
        <v>0</v>
      </c>
      <c r="I111" s="25">
        <f>IF(I$92="",0,IF(MOD(MONTH(I$92),IF($D$38="Mensuel",1,IF($D$38="Trimestriel",3,IF($D$38="Semestriel",6,12))))=0,SUMPRODUCT((D$92:AM$92&gt;=MAX($E$5,EDATE(I$92,-(IF($D$38="Mensuel",1,IF($D$38="Trimestriel",3,IF($D$38="Semestriel",6,12)))-1))))*(D$92:AM$92&lt;=I$92)*N(D$85:AM$85)),0))</f>
        <v>0</v>
      </c>
      <c r="J111" s="25">
        <f>IF(J$92="",0,IF(MOD(MONTH(J$92),IF($D$38="Mensuel",1,IF($D$38="Trimestriel",3,IF($D$38="Semestriel",6,12))))=0,SUMPRODUCT((D$92:AM$92&gt;=MAX($E$5,EDATE(J$92,-(IF($D$38="Mensuel",1,IF($D$38="Trimestriel",3,IF($D$38="Semestriel",6,12)))-1))))*(D$92:AM$92&lt;=J$92)*N(D$85:AM$85)),0))</f>
        <v>0</v>
      </c>
      <c r="K111" s="25">
        <f>IF(K$92="",0,IF(MOD(MONTH(K$92),IF($D$38="Mensuel",1,IF($D$38="Trimestriel",3,IF($D$38="Semestriel",6,12))))=0,SUMPRODUCT((D$92:AM$92&gt;=MAX($E$5,EDATE(K$92,-(IF($D$38="Mensuel",1,IF($D$38="Trimestriel",3,IF($D$38="Semestriel",6,12)))-1))))*(D$92:AM$92&lt;=K$92)*N(D$85:AM$85)),0))</f>
        <v>0</v>
      </c>
      <c r="L111" s="25">
        <f>IF(L$92="",0,IF(MOD(MONTH(L$92),IF($D$38="Mensuel",1,IF($D$38="Trimestriel",3,IF($D$38="Semestriel",6,12))))=0,SUMPRODUCT((D$92:AM$92&gt;=MAX($E$5,EDATE(L$92,-(IF($D$38="Mensuel",1,IF($D$38="Trimestriel",3,IF($D$38="Semestriel",6,12)))-1))))*(D$92:AM$92&lt;=L$92)*N(D$85:AM$85)),0))</f>
        <v>0</v>
      </c>
      <c r="M111" s="25">
        <f>IF(M$92="",0,IF(MOD(MONTH(M$92),IF($D$38="Mensuel",1,IF($D$38="Trimestriel",3,IF($D$38="Semestriel",6,12))))=0,SUMPRODUCT((D$92:AM$92&gt;=MAX($E$5,EDATE(M$92,-(IF($D$38="Mensuel",1,IF($D$38="Trimestriel",3,IF($D$38="Semestriel",6,12)))-1))))*(D$92:AM$92&lt;=M$92)*N(D$85:AM$85)),0))</f>
        <v>0</v>
      </c>
      <c r="N111" s="25">
        <f>IF(N$92="",0,IF(MOD(MONTH(N$92),IF($D$38="Mensuel",1,IF($D$38="Trimestriel",3,IF($D$38="Semestriel",6,12))))=0,SUMPRODUCT((D$92:AM$92&gt;=MAX($E$5,EDATE(N$92,-(IF($D$38="Mensuel",1,IF($D$38="Trimestriel",3,IF($D$38="Semestriel",6,12)))-1))))*(D$92:AM$92&lt;=N$92)*N(D$85:AM$85)),0))</f>
        <v>0</v>
      </c>
      <c r="O111" s="25">
        <f>IF(O$92="",0,IF(MOD(MONTH(O$92),IF($D$38="Mensuel",1,IF($D$38="Trimestriel",3,IF($D$38="Semestriel",6,12))))=0,SUMPRODUCT((D$92:AM$92&gt;=MAX($E$5,EDATE(O$92,-(IF($D$38="Mensuel",1,IF($D$38="Trimestriel",3,IF($D$38="Semestriel",6,12)))-1))))*(D$92:AM$92&lt;=O$92)*N(D$85:AM$85)),0))</f>
        <v>0</v>
      </c>
      <c r="P111" s="25">
        <f>IF(P$92="",0,IF(MOD(MONTH(P$92),IF($D$38="Mensuel",1,IF($D$38="Trimestriel",3,IF($D$38="Semestriel",6,12))))=0,SUMPRODUCT((D$92:AM$92&gt;=MAX($E$5,EDATE(P$92,-(IF($D$38="Mensuel",1,IF($D$38="Trimestriel",3,IF($D$38="Semestriel",6,12)))-1))))*(D$92:AM$92&lt;=P$92)*N(D$85:AM$85)),0))</f>
        <v>0</v>
      </c>
      <c r="Q111" s="25">
        <f>IF(Q$92="",0,IF(MOD(MONTH(Q$92),IF($D$38="Mensuel",1,IF($D$38="Trimestriel",3,IF($D$38="Semestriel",6,12))))=0,SUMPRODUCT((D$92:AM$92&gt;=MAX($E$5,EDATE(Q$92,-(IF($D$38="Mensuel",1,IF($D$38="Trimestriel",3,IF($D$38="Semestriel",6,12)))-1))))*(D$92:AM$92&lt;=Q$92)*N(D$85:AM$85)),0))</f>
        <v>0</v>
      </c>
      <c r="R111" s="25">
        <f>IF(R$92="",0,IF(MOD(MONTH(R$92),IF($D$38="Mensuel",1,IF($D$38="Trimestriel",3,IF($D$38="Semestriel",6,12))))=0,SUMPRODUCT((D$92:AM$92&gt;=MAX($E$5,EDATE(R$92,-(IF($D$38="Mensuel",1,IF($D$38="Trimestriel",3,IF($D$38="Semestriel",6,12)))-1))))*(D$92:AM$92&lt;=R$92)*N(D$85:AM$85)),0))</f>
        <v>0</v>
      </c>
      <c r="S111" s="25">
        <f>IF(S$92="",0,IF(MOD(MONTH(S$92),IF($D$38="Mensuel",1,IF($D$38="Trimestriel",3,IF($D$38="Semestriel",6,12))))=0,SUMPRODUCT((D$92:AM$92&gt;=MAX($E$5,EDATE(S$92,-(IF($D$38="Mensuel",1,IF($D$38="Trimestriel",3,IF($D$38="Semestriel",6,12)))-1))))*(D$92:AM$92&lt;=S$92)*N(D$85:AM$85)),0))</f>
        <v>0</v>
      </c>
      <c r="T111" s="25">
        <f>IF(T$92="",0,IF(MOD(MONTH(T$92),IF($D$38="Mensuel",1,IF($D$38="Trimestriel",3,IF($D$38="Semestriel",6,12))))=0,SUMPRODUCT((D$92:AM$92&gt;=MAX($E$5,EDATE(T$92,-(IF($D$38="Mensuel",1,IF($D$38="Trimestriel",3,IF($D$38="Semestriel",6,12)))-1))))*(D$92:AM$92&lt;=T$92)*N(D$85:AM$85)),0))</f>
        <v>0</v>
      </c>
      <c r="U111" s="25">
        <f>IF(U$92="",0,IF(MOD(MONTH(U$92),IF($D$38="Mensuel",1,IF($D$38="Trimestriel",3,IF($D$38="Semestriel",6,12))))=0,SUMPRODUCT((D$92:AM$92&gt;=MAX($E$5,EDATE(U$92,-(IF($D$38="Mensuel",1,IF($D$38="Trimestriel",3,IF($D$38="Semestriel",6,12)))-1))))*(D$92:AM$92&lt;=U$92)*N(D$85:AM$85)),0))</f>
        <v>0</v>
      </c>
      <c r="V111" s="25">
        <f>IF(V$92="",0,IF(MOD(MONTH(V$92),IF($D$38="Mensuel",1,IF($D$38="Trimestriel",3,IF($D$38="Semestriel",6,12))))=0,SUMPRODUCT((D$92:AM$92&gt;=MAX($E$5,EDATE(V$92,-(IF($D$38="Mensuel",1,IF($D$38="Trimestriel",3,IF($D$38="Semestriel",6,12)))-1))))*(D$92:AM$92&lt;=V$92)*N(D$85:AM$85)),0))</f>
        <v>0</v>
      </c>
      <c r="W111" s="25">
        <f>IF(W$92="",0,IF(MOD(MONTH(W$92),IF($D$38="Mensuel",1,IF($D$38="Trimestriel",3,IF($D$38="Semestriel",6,12))))=0,SUMPRODUCT((D$92:AM$92&gt;=MAX($E$5,EDATE(W$92,-(IF($D$38="Mensuel",1,IF($D$38="Trimestriel",3,IF($D$38="Semestriel",6,12)))-1))))*(D$92:AM$92&lt;=W$92)*N(D$85:AM$85)),0))</f>
        <v>0</v>
      </c>
      <c r="X111" s="25">
        <f>IF(X$92="",0,IF(MOD(MONTH(X$92),IF($D$38="Mensuel",1,IF($D$38="Trimestriel",3,IF($D$38="Semestriel",6,12))))=0,SUMPRODUCT((D$92:AM$92&gt;=MAX($E$5,EDATE(X$92,-(IF($D$38="Mensuel",1,IF($D$38="Trimestriel",3,IF($D$38="Semestriel",6,12)))-1))))*(D$92:AM$92&lt;=X$92)*N(D$85:AM$85)),0))</f>
        <v>0</v>
      </c>
      <c r="Y111" s="25">
        <f>IF(Y$92="",0,IF(MOD(MONTH(Y$92),IF($D$38="Mensuel",1,IF($D$38="Trimestriel",3,IF($D$38="Semestriel",6,12))))=0,SUMPRODUCT((D$92:AM$92&gt;=MAX($E$5,EDATE(Y$92,-(IF($D$38="Mensuel",1,IF($D$38="Trimestriel",3,IF($D$38="Semestriel",6,12)))-1))))*(D$92:AM$92&lt;=Y$92)*N(D$85:AM$85)),0))</f>
        <v>0</v>
      </c>
      <c r="Z111" s="25">
        <f>IF(Z$92="",0,IF(MOD(MONTH(Z$92),IF($D$38="Mensuel",1,IF($D$38="Trimestriel",3,IF($D$38="Semestriel",6,12))))=0,SUMPRODUCT((D$92:AM$92&gt;=MAX($E$5,EDATE(Z$92,-(IF($D$38="Mensuel",1,IF($D$38="Trimestriel",3,IF($D$38="Semestriel",6,12)))-1))))*(D$92:AM$92&lt;=Z$92)*N(D$85:AM$85)),0))</f>
        <v>0</v>
      </c>
      <c r="AA111" s="25">
        <f>IF(AA$92="",0,IF(MOD(MONTH(AA$92),IF($D$38="Mensuel",1,IF($D$38="Trimestriel",3,IF($D$38="Semestriel",6,12))))=0,SUMPRODUCT((D$92:AM$92&gt;=MAX($E$5,EDATE(AA$92,-(IF($D$38="Mensuel",1,IF($D$38="Trimestriel",3,IF($D$38="Semestriel",6,12)))-1))))*(D$92:AM$92&lt;=AA$92)*N(D$85:AM$85)),0))</f>
        <v>0</v>
      </c>
      <c r="AB111" s="25">
        <f>IF(AB$92="",0,IF(MOD(MONTH(AB$92),IF($D$38="Mensuel",1,IF($D$38="Trimestriel",3,IF($D$38="Semestriel",6,12))))=0,SUMPRODUCT((D$92:AM$92&gt;=MAX($E$5,EDATE(AB$92,-(IF($D$38="Mensuel",1,IF($D$38="Trimestriel",3,IF($D$38="Semestriel",6,12)))-1))))*(D$92:AM$92&lt;=AB$92)*N(D$85:AM$85)),0))</f>
        <v>0</v>
      </c>
      <c r="AC111" s="25">
        <f>IF(AC$92="",0,IF(MOD(MONTH(AC$92),IF($D$38="Mensuel",1,IF($D$38="Trimestriel",3,IF($D$38="Semestriel",6,12))))=0,SUMPRODUCT((D$92:AM$92&gt;=MAX($E$5,EDATE(AC$92,-(IF($D$38="Mensuel",1,IF($D$38="Trimestriel",3,IF($D$38="Semestriel",6,12)))-1))))*(D$92:AM$92&lt;=AC$92)*N(D$85:AM$85)),0))</f>
        <v>0</v>
      </c>
      <c r="AD111" s="25">
        <f>IF(AD$92="",0,IF(MOD(MONTH(AD$92),IF($D$38="Mensuel",1,IF($D$38="Trimestriel",3,IF($D$38="Semestriel",6,12))))=0,SUMPRODUCT((D$92:AM$92&gt;=MAX($E$5,EDATE(AD$92,-(IF($D$38="Mensuel",1,IF($D$38="Trimestriel",3,IF($D$38="Semestriel",6,12)))-1))))*(D$92:AM$92&lt;=AD$92)*N(D$85:AM$85)),0))</f>
        <v>0</v>
      </c>
      <c r="AE111" s="25">
        <f>IF(AE$92="",0,IF(MOD(MONTH(AE$92),IF($D$38="Mensuel",1,IF($D$38="Trimestriel",3,IF($D$38="Semestriel",6,12))))=0,SUMPRODUCT((D$92:AM$92&gt;=MAX($E$5,EDATE(AE$92,-(IF($D$38="Mensuel",1,IF($D$38="Trimestriel",3,IF($D$38="Semestriel",6,12)))-1))))*(D$92:AM$92&lt;=AE$92)*N(D$85:AM$85)),0))</f>
        <v>0</v>
      </c>
      <c r="AF111" s="25">
        <f>IF(AF$92="",0,IF(MOD(MONTH(AF$92),IF($D$38="Mensuel",1,IF($D$38="Trimestriel",3,IF($D$38="Semestriel",6,12))))=0,SUMPRODUCT((D$92:AM$92&gt;=MAX($E$5,EDATE(AF$92,-(IF($D$38="Mensuel",1,IF($D$38="Trimestriel",3,IF($D$38="Semestriel",6,12)))-1))))*(D$92:AM$92&lt;=AF$92)*N(D$85:AM$85)),0))</f>
        <v>0</v>
      </c>
      <c r="AG111" s="25">
        <f>IF(AG$92="",0,IF(MOD(MONTH(AG$92),IF($D$38="Mensuel",1,IF($D$38="Trimestriel",3,IF($D$38="Semestriel",6,12))))=0,SUMPRODUCT((D$92:AM$92&gt;=MAX($E$5,EDATE(AG$92,-(IF($D$38="Mensuel",1,IF($D$38="Trimestriel",3,IF($D$38="Semestriel",6,12)))-1))))*(D$92:AM$92&lt;=AG$92)*N(D$85:AM$85)),0))</f>
        <v>0</v>
      </c>
      <c r="AH111" s="25">
        <f>IF(AH$92="",0,IF(MOD(MONTH(AH$92),IF($D$38="Mensuel",1,IF($D$38="Trimestriel",3,IF($D$38="Semestriel",6,12))))=0,SUMPRODUCT((D$92:AM$92&gt;=MAX($E$5,EDATE(AH$92,-(IF($D$38="Mensuel",1,IF($D$38="Trimestriel",3,IF($D$38="Semestriel",6,12)))-1))))*(D$92:AM$92&lt;=AH$92)*N(D$85:AM$85)),0))</f>
        <v>0</v>
      </c>
      <c r="AI111" s="25">
        <f>IF(AI$92="",0,IF(MOD(MONTH(AI$92),IF($D$38="Mensuel",1,IF($D$38="Trimestriel",3,IF($D$38="Semestriel",6,12))))=0,SUMPRODUCT((D$92:AM$92&gt;=MAX($E$5,EDATE(AI$92,-(IF($D$38="Mensuel",1,IF($D$38="Trimestriel",3,IF($D$38="Semestriel",6,12)))-1))))*(D$92:AM$92&lt;=AI$92)*N(D$85:AM$85)),0))</f>
        <v>0</v>
      </c>
      <c r="AJ111" s="25">
        <f>IF(AJ$92="",0,IF(MOD(MONTH(AJ$92),IF($D$38="Mensuel",1,IF($D$38="Trimestriel",3,IF($D$38="Semestriel",6,12))))=0,SUMPRODUCT((D$92:AM$92&gt;=MAX($E$5,EDATE(AJ$92,-(IF($D$38="Mensuel",1,IF($D$38="Trimestriel",3,IF($D$38="Semestriel",6,12)))-1))))*(D$92:AM$92&lt;=AJ$92)*N(D$85:AM$85)),0))</f>
        <v>0</v>
      </c>
      <c r="AK111" s="25">
        <f>IF(AK$92="",0,IF(MOD(MONTH(AK$92),IF($D$38="Mensuel",1,IF($D$38="Trimestriel",3,IF($D$38="Semestriel",6,12))))=0,SUMPRODUCT((D$92:AM$92&gt;=MAX($E$5,EDATE(AK$92,-(IF($D$38="Mensuel",1,IF($D$38="Trimestriel",3,IF($D$38="Semestriel",6,12)))-1))))*(D$92:AM$92&lt;=AK$92)*N(D$85:AM$85)),0))</f>
        <v>0</v>
      </c>
      <c r="AL111" s="25">
        <f>IF(AL$92="",0,IF(MOD(MONTH(AL$92),IF($D$38="Mensuel",1,IF($D$38="Trimestriel",3,IF($D$38="Semestriel",6,12))))=0,SUMPRODUCT((D$92:AM$92&gt;=MAX($E$5,EDATE(AL$92,-(IF($D$38="Mensuel",1,IF($D$38="Trimestriel",3,IF($D$38="Semestriel",6,12)))-1))))*(D$92:AM$92&lt;=AL$92)*N(D$85:AM$85)),0))</f>
        <v>0</v>
      </c>
      <c r="AM111" s="25">
        <f>IF(AM$92="",0,IF(MOD(MONTH(AM$92),IF($D$38="Mensuel",1,IF($D$38="Trimestriel",3,IF($D$38="Semestriel",6,12))))=0,SUMPRODUCT((D$92:AM$92&gt;=MAX($E$5,EDATE(AM$92,-(IF($D$38="Mensuel",1,IF($D$38="Trimestriel",3,IF($D$38="Semestriel",6,12)))-1))))*(D$92:AM$92&lt;=AM$92)*N(D$85:AM$85)),0))</f>
        <v>0</v>
      </c>
    </row>
    <row r="112" ht="15.75" hidden="1" customHeight="1" outlineLevel="1">
      <c r="B112" s="40" t="str">
        <f t="shared" si="25"/>
        <v>(inactif)</v>
      </c>
      <c r="D112" s="25">
        <f>IF(D$92="",0,IF(MOD(MONTH(D$92),IF($D$39="Mensuel",1,IF($D$39="Trimestriel",3,IF($D$39="Semestriel",6,12))))=0,SUMPRODUCT((D$92:AM$92&gt;=MAX($E$5,EDATE(D$92,-(IF($D$39="Mensuel",1,IF($D$39="Trimestriel",3,IF($D$39="Semestriel",6,12)))-1))))*(D$92:AM$92&lt;=D$92)*N(D$86:AM$86)),0))</f>
        <v>0</v>
      </c>
      <c r="E112" s="25">
        <f>IF(E$92="",0,IF(MOD(MONTH(E$92),IF($D$39="Mensuel",1,IF($D$39="Trimestriel",3,IF($D$39="Semestriel",6,12))))=0,SUMPRODUCT((D$92:AM$92&gt;=MAX($E$5,EDATE(E$92,-(IF($D$39="Mensuel",1,IF($D$39="Trimestriel",3,IF($D$39="Semestriel",6,12)))-1))))*(D$92:AM$92&lt;=E$92)*N(D$86:AM$86)),0))</f>
        <v>0</v>
      </c>
      <c r="F112" s="25">
        <f>IF(F$92="",0,IF(MOD(MONTH(F$92),IF($D$39="Mensuel",1,IF($D$39="Trimestriel",3,IF($D$39="Semestriel",6,12))))=0,SUMPRODUCT((D$92:AM$92&gt;=MAX($E$5,EDATE(F$92,-(IF($D$39="Mensuel",1,IF($D$39="Trimestriel",3,IF($D$39="Semestriel",6,12)))-1))))*(D$92:AM$92&lt;=F$92)*N(D$86:AM$86)),0))</f>
        <v>0</v>
      </c>
      <c r="G112" s="25">
        <f>IF(G$92="",0,IF(MOD(MONTH(G$92),IF($D$39="Mensuel",1,IF($D$39="Trimestriel",3,IF($D$39="Semestriel",6,12))))=0,SUMPRODUCT((D$92:AM$92&gt;=MAX($E$5,EDATE(G$92,-(IF($D$39="Mensuel",1,IF($D$39="Trimestriel",3,IF($D$39="Semestriel",6,12)))-1))))*(D$92:AM$92&lt;=G$92)*N(D$86:AM$86)),0))</f>
        <v>0</v>
      </c>
      <c r="H112" s="25">
        <f>IF(H$92="",0,IF(MOD(MONTH(H$92),IF($D$39="Mensuel",1,IF($D$39="Trimestriel",3,IF($D$39="Semestriel",6,12))))=0,SUMPRODUCT((D$92:AM$92&gt;=MAX($E$5,EDATE(H$92,-(IF($D$39="Mensuel",1,IF($D$39="Trimestriel",3,IF($D$39="Semestriel",6,12)))-1))))*(D$92:AM$92&lt;=H$92)*N(D$86:AM$86)),0))</f>
        <v>0</v>
      </c>
      <c r="I112" s="25">
        <f>IF(I$92="",0,IF(MOD(MONTH(I$92),IF($D$39="Mensuel",1,IF($D$39="Trimestriel",3,IF($D$39="Semestriel",6,12))))=0,SUMPRODUCT((D$92:AM$92&gt;=MAX($E$5,EDATE(I$92,-(IF($D$39="Mensuel",1,IF($D$39="Trimestriel",3,IF($D$39="Semestriel",6,12)))-1))))*(D$92:AM$92&lt;=I$92)*N(D$86:AM$86)),0))</f>
        <v>0</v>
      </c>
      <c r="J112" s="25">
        <f>IF(J$92="",0,IF(MOD(MONTH(J$92),IF($D$39="Mensuel",1,IF($D$39="Trimestriel",3,IF($D$39="Semestriel",6,12))))=0,SUMPRODUCT((D$92:AM$92&gt;=MAX($E$5,EDATE(J$92,-(IF($D$39="Mensuel",1,IF($D$39="Trimestriel",3,IF($D$39="Semestriel",6,12)))-1))))*(D$92:AM$92&lt;=J$92)*N(D$86:AM$86)),0))</f>
        <v>0</v>
      </c>
      <c r="K112" s="25">
        <f>IF(K$92="",0,IF(MOD(MONTH(K$92),IF($D$39="Mensuel",1,IF($D$39="Trimestriel",3,IF($D$39="Semestriel",6,12))))=0,SUMPRODUCT((D$92:AM$92&gt;=MAX($E$5,EDATE(K$92,-(IF($D$39="Mensuel",1,IF($D$39="Trimestriel",3,IF($D$39="Semestriel",6,12)))-1))))*(D$92:AM$92&lt;=K$92)*N(D$86:AM$86)),0))</f>
        <v>0</v>
      </c>
      <c r="L112" s="25">
        <f>IF(L$92="",0,IF(MOD(MONTH(L$92),IF($D$39="Mensuel",1,IF($D$39="Trimestriel",3,IF($D$39="Semestriel",6,12))))=0,SUMPRODUCT((D$92:AM$92&gt;=MAX($E$5,EDATE(L$92,-(IF($D$39="Mensuel",1,IF($D$39="Trimestriel",3,IF($D$39="Semestriel",6,12)))-1))))*(D$92:AM$92&lt;=L$92)*N(D$86:AM$86)),0))</f>
        <v>0</v>
      </c>
      <c r="M112" s="25">
        <f>IF(M$92="",0,IF(MOD(MONTH(M$92),IF($D$39="Mensuel",1,IF($D$39="Trimestriel",3,IF($D$39="Semestriel",6,12))))=0,SUMPRODUCT((D$92:AM$92&gt;=MAX($E$5,EDATE(M$92,-(IF($D$39="Mensuel",1,IF($D$39="Trimestriel",3,IF($D$39="Semestriel",6,12)))-1))))*(D$92:AM$92&lt;=M$92)*N(D$86:AM$86)),0))</f>
        <v>0</v>
      </c>
      <c r="N112" s="25">
        <f>IF(N$92="",0,IF(MOD(MONTH(N$92),IF($D$39="Mensuel",1,IF($D$39="Trimestriel",3,IF($D$39="Semestriel",6,12))))=0,SUMPRODUCT((D$92:AM$92&gt;=MAX($E$5,EDATE(N$92,-(IF($D$39="Mensuel",1,IF($D$39="Trimestriel",3,IF($D$39="Semestriel",6,12)))-1))))*(D$92:AM$92&lt;=N$92)*N(D$86:AM$86)),0))</f>
        <v>0</v>
      </c>
      <c r="O112" s="25">
        <f>IF(O$92="",0,IF(MOD(MONTH(O$92),IF($D$39="Mensuel",1,IF($D$39="Trimestriel",3,IF($D$39="Semestriel",6,12))))=0,SUMPRODUCT((D$92:AM$92&gt;=MAX($E$5,EDATE(O$92,-(IF($D$39="Mensuel",1,IF($D$39="Trimestriel",3,IF($D$39="Semestriel",6,12)))-1))))*(D$92:AM$92&lt;=O$92)*N(D$86:AM$86)),0))</f>
        <v>0</v>
      </c>
      <c r="P112" s="25">
        <f>IF(P$92="",0,IF(MOD(MONTH(P$92),IF($D$39="Mensuel",1,IF($D$39="Trimestriel",3,IF($D$39="Semestriel",6,12))))=0,SUMPRODUCT((D$92:AM$92&gt;=MAX($E$5,EDATE(P$92,-(IF($D$39="Mensuel",1,IF($D$39="Trimestriel",3,IF($D$39="Semestriel",6,12)))-1))))*(D$92:AM$92&lt;=P$92)*N(D$86:AM$86)),0))</f>
        <v>0</v>
      </c>
      <c r="Q112" s="25">
        <f>IF(Q$92="",0,IF(MOD(MONTH(Q$92),IF($D$39="Mensuel",1,IF($D$39="Trimestriel",3,IF($D$39="Semestriel",6,12))))=0,SUMPRODUCT((D$92:AM$92&gt;=MAX($E$5,EDATE(Q$92,-(IF($D$39="Mensuel",1,IF($D$39="Trimestriel",3,IF($D$39="Semestriel",6,12)))-1))))*(D$92:AM$92&lt;=Q$92)*N(D$86:AM$86)),0))</f>
        <v>0</v>
      </c>
      <c r="R112" s="25">
        <f>IF(R$92="",0,IF(MOD(MONTH(R$92),IF($D$39="Mensuel",1,IF($D$39="Trimestriel",3,IF($D$39="Semestriel",6,12))))=0,SUMPRODUCT((D$92:AM$92&gt;=MAX($E$5,EDATE(R$92,-(IF($D$39="Mensuel",1,IF($D$39="Trimestriel",3,IF($D$39="Semestriel",6,12)))-1))))*(D$92:AM$92&lt;=R$92)*N(D$86:AM$86)),0))</f>
        <v>0</v>
      </c>
      <c r="S112" s="25">
        <f>IF(S$92="",0,IF(MOD(MONTH(S$92),IF($D$39="Mensuel",1,IF($D$39="Trimestriel",3,IF($D$39="Semestriel",6,12))))=0,SUMPRODUCT((D$92:AM$92&gt;=MAX($E$5,EDATE(S$92,-(IF($D$39="Mensuel",1,IF($D$39="Trimestriel",3,IF($D$39="Semestriel",6,12)))-1))))*(D$92:AM$92&lt;=S$92)*N(D$86:AM$86)),0))</f>
        <v>0</v>
      </c>
      <c r="T112" s="25">
        <f>IF(T$92="",0,IF(MOD(MONTH(T$92),IF($D$39="Mensuel",1,IF($D$39="Trimestriel",3,IF($D$39="Semestriel",6,12))))=0,SUMPRODUCT((D$92:AM$92&gt;=MAX($E$5,EDATE(T$92,-(IF($D$39="Mensuel",1,IF($D$39="Trimestriel",3,IF($D$39="Semestriel",6,12)))-1))))*(D$92:AM$92&lt;=T$92)*N(D$86:AM$86)),0))</f>
        <v>0</v>
      </c>
      <c r="U112" s="25">
        <f>IF(U$92="",0,IF(MOD(MONTH(U$92),IF($D$39="Mensuel",1,IF($D$39="Trimestriel",3,IF($D$39="Semestriel",6,12))))=0,SUMPRODUCT((D$92:AM$92&gt;=MAX($E$5,EDATE(U$92,-(IF($D$39="Mensuel",1,IF($D$39="Trimestriel",3,IF($D$39="Semestriel",6,12)))-1))))*(D$92:AM$92&lt;=U$92)*N(D$86:AM$86)),0))</f>
        <v>0</v>
      </c>
      <c r="V112" s="25">
        <f>IF(V$92="",0,IF(MOD(MONTH(V$92),IF($D$39="Mensuel",1,IF($D$39="Trimestriel",3,IF($D$39="Semestriel",6,12))))=0,SUMPRODUCT((D$92:AM$92&gt;=MAX($E$5,EDATE(V$92,-(IF($D$39="Mensuel",1,IF($D$39="Trimestriel",3,IF($D$39="Semestriel",6,12)))-1))))*(D$92:AM$92&lt;=V$92)*N(D$86:AM$86)),0))</f>
        <v>0</v>
      </c>
      <c r="W112" s="25">
        <f>IF(W$92="",0,IF(MOD(MONTH(W$92),IF($D$39="Mensuel",1,IF($D$39="Trimestriel",3,IF($D$39="Semestriel",6,12))))=0,SUMPRODUCT((D$92:AM$92&gt;=MAX($E$5,EDATE(W$92,-(IF($D$39="Mensuel",1,IF($D$39="Trimestriel",3,IF($D$39="Semestriel",6,12)))-1))))*(D$92:AM$92&lt;=W$92)*N(D$86:AM$86)),0))</f>
        <v>0</v>
      </c>
      <c r="X112" s="25">
        <f>IF(X$92="",0,IF(MOD(MONTH(X$92),IF($D$39="Mensuel",1,IF($D$39="Trimestriel",3,IF($D$39="Semestriel",6,12))))=0,SUMPRODUCT((D$92:AM$92&gt;=MAX($E$5,EDATE(X$92,-(IF($D$39="Mensuel",1,IF($D$39="Trimestriel",3,IF($D$39="Semestriel",6,12)))-1))))*(D$92:AM$92&lt;=X$92)*N(D$86:AM$86)),0))</f>
        <v>0</v>
      </c>
      <c r="Y112" s="25">
        <f>IF(Y$92="",0,IF(MOD(MONTH(Y$92),IF($D$39="Mensuel",1,IF($D$39="Trimestriel",3,IF($D$39="Semestriel",6,12))))=0,SUMPRODUCT((D$92:AM$92&gt;=MAX($E$5,EDATE(Y$92,-(IF($D$39="Mensuel",1,IF($D$39="Trimestriel",3,IF($D$39="Semestriel",6,12)))-1))))*(D$92:AM$92&lt;=Y$92)*N(D$86:AM$86)),0))</f>
        <v>0</v>
      </c>
      <c r="Z112" s="25">
        <f>IF(Z$92="",0,IF(MOD(MONTH(Z$92),IF($D$39="Mensuel",1,IF($D$39="Trimestriel",3,IF($D$39="Semestriel",6,12))))=0,SUMPRODUCT((D$92:AM$92&gt;=MAX($E$5,EDATE(Z$92,-(IF($D$39="Mensuel",1,IF($D$39="Trimestriel",3,IF($D$39="Semestriel",6,12)))-1))))*(D$92:AM$92&lt;=Z$92)*N(D$86:AM$86)),0))</f>
        <v>0</v>
      </c>
      <c r="AA112" s="25">
        <f>IF(AA$92="",0,IF(MOD(MONTH(AA$92),IF($D$39="Mensuel",1,IF($D$39="Trimestriel",3,IF($D$39="Semestriel",6,12))))=0,SUMPRODUCT((D$92:AM$92&gt;=MAX($E$5,EDATE(AA$92,-(IF($D$39="Mensuel",1,IF($D$39="Trimestriel",3,IF($D$39="Semestriel",6,12)))-1))))*(D$92:AM$92&lt;=AA$92)*N(D$86:AM$86)),0))</f>
        <v>0</v>
      </c>
      <c r="AB112" s="25">
        <f>IF(AB$92="",0,IF(MOD(MONTH(AB$92),IF($D$39="Mensuel",1,IF($D$39="Trimestriel",3,IF($D$39="Semestriel",6,12))))=0,SUMPRODUCT((D$92:AM$92&gt;=MAX($E$5,EDATE(AB$92,-(IF($D$39="Mensuel",1,IF($D$39="Trimestriel",3,IF($D$39="Semestriel",6,12)))-1))))*(D$92:AM$92&lt;=AB$92)*N(D$86:AM$86)),0))</f>
        <v>0</v>
      </c>
      <c r="AC112" s="25">
        <f>IF(AC$92="",0,IF(MOD(MONTH(AC$92),IF($D$39="Mensuel",1,IF($D$39="Trimestriel",3,IF($D$39="Semestriel",6,12))))=0,SUMPRODUCT((D$92:AM$92&gt;=MAX($E$5,EDATE(AC$92,-(IF($D$39="Mensuel",1,IF($D$39="Trimestriel",3,IF($D$39="Semestriel",6,12)))-1))))*(D$92:AM$92&lt;=AC$92)*N(D$86:AM$86)),0))</f>
        <v>0</v>
      </c>
      <c r="AD112" s="25">
        <f>IF(AD$92="",0,IF(MOD(MONTH(AD$92),IF($D$39="Mensuel",1,IF($D$39="Trimestriel",3,IF($D$39="Semestriel",6,12))))=0,SUMPRODUCT((D$92:AM$92&gt;=MAX($E$5,EDATE(AD$92,-(IF($D$39="Mensuel",1,IF($D$39="Trimestriel",3,IF($D$39="Semestriel",6,12)))-1))))*(D$92:AM$92&lt;=AD$92)*N(D$86:AM$86)),0))</f>
        <v>0</v>
      </c>
      <c r="AE112" s="25">
        <f>IF(AE$92="",0,IF(MOD(MONTH(AE$92),IF($D$39="Mensuel",1,IF($D$39="Trimestriel",3,IF($D$39="Semestriel",6,12))))=0,SUMPRODUCT((D$92:AM$92&gt;=MAX($E$5,EDATE(AE$92,-(IF($D$39="Mensuel",1,IF($D$39="Trimestriel",3,IF($D$39="Semestriel",6,12)))-1))))*(D$92:AM$92&lt;=AE$92)*N(D$86:AM$86)),0))</f>
        <v>0</v>
      </c>
      <c r="AF112" s="25">
        <f>IF(AF$92="",0,IF(MOD(MONTH(AF$92),IF($D$39="Mensuel",1,IF($D$39="Trimestriel",3,IF($D$39="Semestriel",6,12))))=0,SUMPRODUCT((D$92:AM$92&gt;=MAX($E$5,EDATE(AF$92,-(IF($D$39="Mensuel",1,IF($D$39="Trimestriel",3,IF($D$39="Semestriel",6,12)))-1))))*(D$92:AM$92&lt;=AF$92)*N(D$86:AM$86)),0))</f>
        <v>0</v>
      </c>
      <c r="AG112" s="25">
        <f>IF(AG$92="",0,IF(MOD(MONTH(AG$92),IF($D$39="Mensuel",1,IF($D$39="Trimestriel",3,IF($D$39="Semestriel",6,12))))=0,SUMPRODUCT((D$92:AM$92&gt;=MAX($E$5,EDATE(AG$92,-(IF($D$39="Mensuel",1,IF($D$39="Trimestriel",3,IF($D$39="Semestriel",6,12)))-1))))*(D$92:AM$92&lt;=AG$92)*N(D$86:AM$86)),0))</f>
        <v>0</v>
      </c>
      <c r="AH112" s="25">
        <f>IF(AH$92="",0,IF(MOD(MONTH(AH$92),IF($D$39="Mensuel",1,IF($D$39="Trimestriel",3,IF($D$39="Semestriel",6,12))))=0,SUMPRODUCT((D$92:AM$92&gt;=MAX($E$5,EDATE(AH$92,-(IF($D$39="Mensuel",1,IF($D$39="Trimestriel",3,IF($D$39="Semestriel",6,12)))-1))))*(D$92:AM$92&lt;=AH$92)*N(D$86:AM$86)),0))</f>
        <v>0</v>
      </c>
      <c r="AI112" s="25">
        <f>IF(AI$92="",0,IF(MOD(MONTH(AI$92),IF($D$39="Mensuel",1,IF($D$39="Trimestriel",3,IF($D$39="Semestriel",6,12))))=0,SUMPRODUCT((D$92:AM$92&gt;=MAX($E$5,EDATE(AI$92,-(IF($D$39="Mensuel",1,IF($D$39="Trimestriel",3,IF($D$39="Semestriel",6,12)))-1))))*(D$92:AM$92&lt;=AI$92)*N(D$86:AM$86)),0))</f>
        <v>0</v>
      </c>
      <c r="AJ112" s="25">
        <f>IF(AJ$92="",0,IF(MOD(MONTH(AJ$92),IF($D$39="Mensuel",1,IF($D$39="Trimestriel",3,IF($D$39="Semestriel",6,12))))=0,SUMPRODUCT((D$92:AM$92&gt;=MAX($E$5,EDATE(AJ$92,-(IF($D$39="Mensuel",1,IF($D$39="Trimestriel",3,IF($D$39="Semestriel",6,12)))-1))))*(D$92:AM$92&lt;=AJ$92)*N(D$86:AM$86)),0))</f>
        <v>0</v>
      </c>
      <c r="AK112" s="25">
        <f>IF(AK$92="",0,IF(MOD(MONTH(AK$92),IF($D$39="Mensuel",1,IF($D$39="Trimestriel",3,IF($D$39="Semestriel",6,12))))=0,SUMPRODUCT((D$92:AM$92&gt;=MAX($E$5,EDATE(AK$92,-(IF($D$39="Mensuel",1,IF($D$39="Trimestriel",3,IF($D$39="Semestriel",6,12)))-1))))*(D$92:AM$92&lt;=AK$92)*N(D$86:AM$86)),0))</f>
        <v>0</v>
      </c>
      <c r="AL112" s="25">
        <f>IF(AL$92="",0,IF(MOD(MONTH(AL$92),IF($D$39="Mensuel",1,IF($D$39="Trimestriel",3,IF($D$39="Semestriel",6,12))))=0,SUMPRODUCT((D$92:AM$92&gt;=MAX($E$5,EDATE(AL$92,-(IF($D$39="Mensuel",1,IF($D$39="Trimestriel",3,IF($D$39="Semestriel",6,12)))-1))))*(D$92:AM$92&lt;=AL$92)*N(D$86:AM$86)),0))</f>
        <v>0</v>
      </c>
      <c r="AM112" s="25">
        <f>IF(AM$92="",0,IF(MOD(MONTH(AM$92),IF($D$39="Mensuel",1,IF($D$39="Trimestriel",3,IF($D$39="Semestriel",6,12))))=0,SUMPRODUCT((D$92:AM$92&gt;=MAX($E$5,EDATE(AM$92,-(IF($D$39="Mensuel",1,IF($D$39="Trimestriel",3,IF($D$39="Semestriel",6,12)))-1))))*(D$92:AM$92&lt;=AM$92)*N(D$86:AM$86)),0))</f>
        <v>0</v>
      </c>
    </row>
    <row r="113" ht="15.75" customHeight="1" outlineLevel="1">
      <c r="B113" s="79" t="s">
        <v>244</v>
      </c>
      <c r="D113" s="89">
        <f t="shared" ref="D113:AM113" si="27">SUM(D93:D112)</f>
        <v>7789.095238</v>
      </c>
      <c r="E113" s="89">
        <f t="shared" si="27"/>
        <v>17622.25</v>
      </c>
      <c r="F113" s="89">
        <f t="shared" si="27"/>
        <v>0</v>
      </c>
      <c r="G113" s="89">
        <f t="shared" si="27"/>
        <v>0</v>
      </c>
      <c r="H113" s="89">
        <f t="shared" si="27"/>
        <v>4344.444444</v>
      </c>
      <c r="I113" s="89">
        <f t="shared" si="27"/>
        <v>0</v>
      </c>
      <c r="J113" s="89">
        <f t="shared" si="27"/>
        <v>0</v>
      </c>
      <c r="K113" s="89">
        <f t="shared" si="27"/>
        <v>0</v>
      </c>
      <c r="L113" s="89">
        <f t="shared" si="27"/>
        <v>0</v>
      </c>
      <c r="M113" s="89">
        <f t="shared" si="27"/>
        <v>0</v>
      </c>
      <c r="N113" s="89">
        <f t="shared" si="27"/>
        <v>0</v>
      </c>
      <c r="O113" s="89">
        <f t="shared" si="27"/>
        <v>0</v>
      </c>
      <c r="P113" s="89">
        <f t="shared" si="27"/>
        <v>0</v>
      </c>
      <c r="Q113" s="89">
        <f t="shared" si="27"/>
        <v>0</v>
      </c>
      <c r="R113" s="89">
        <f t="shared" si="27"/>
        <v>0</v>
      </c>
      <c r="S113" s="89">
        <f t="shared" si="27"/>
        <v>0</v>
      </c>
      <c r="T113" s="89">
        <f t="shared" si="27"/>
        <v>0</v>
      </c>
      <c r="U113" s="89">
        <f t="shared" si="27"/>
        <v>0</v>
      </c>
      <c r="V113" s="89">
        <f t="shared" si="27"/>
        <v>0</v>
      </c>
      <c r="W113" s="89">
        <f t="shared" si="27"/>
        <v>0</v>
      </c>
      <c r="X113" s="89">
        <f t="shared" si="27"/>
        <v>0</v>
      </c>
      <c r="Y113" s="89">
        <f t="shared" si="27"/>
        <v>0</v>
      </c>
      <c r="Z113" s="89">
        <f t="shared" si="27"/>
        <v>0</v>
      </c>
      <c r="AA113" s="89">
        <f t="shared" si="27"/>
        <v>0</v>
      </c>
      <c r="AB113" s="89">
        <f t="shared" si="27"/>
        <v>0</v>
      </c>
      <c r="AC113" s="89">
        <f t="shared" si="27"/>
        <v>0</v>
      </c>
      <c r="AD113" s="89">
        <f t="shared" si="27"/>
        <v>0</v>
      </c>
      <c r="AE113" s="89">
        <f t="shared" si="27"/>
        <v>0</v>
      </c>
      <c r="AF113" s="89">
        <f t="shared" si="27"/>
        <v>0</v>
      </c>
      <c r="AG113" s="89">
        <f t="shared" si="27"/>
        <v>0</v>
      </c>
      <c r="AH113" s="89">
        <f t="shared" si="27"/>
        <v>0</v>
      </c>
      <c r="AI113" s="89">
        <f t="shared" si="27"/>
        <v>0</v>
      </c>
      <c r="AJ113" s="89">
        <f t="shared" si="27"/>
        <v>0</v>
      </c>
      <c r="AK113" s="89">
        <f t="shared" si="27"/>
        <v>0</v>
      </c>
      <c r="AL113" s="89">
        <f t="shared" si="27"/>
        <v>0</v>
      </c>
      <c r="AM113" s="89">
        <f t="shared" si="27"/>
        <v>0</v>
      </c>
    </row>
    <row r="114" ht="15.75" customHeight="1"/>
    <row r="115" ht="18.0" customHeight="1">
      <c r="B115" s="12" t="s">
        <v>245</v>
      </c>
      <c r="C115" s="12"/>
      <c r="D115" s="12"/>
      <c r="E115" s="12"/>
      <c r="F115" s="12"/>
    </row>
    <row r="116" ht="18.0" customHeight="1">
      <c r="B116" s="65" t="s">
        <v>246</v>
      </c>
      <c r="D116" s="66">
        <f>IF(0&lt;$E$7,EDATE($E$5,0),"")</f>
        <v>46247</v>
      </c>
      <c r="E116" s="66">
        <f>IF(1&lt;$E$7,EDATE($E$5,1),"")</f>
        <v>46278</v>
      </c>
      <c r="F116" s="66">
        <f>IF(2&lt;$E$7,EDATE($E$5,2),"")</f>
        <v>46308</v>
      </c>
      <c r="G116" s="66">
        <f>IF(3&lt;$E$7,EDATE($E$5,3),"")</f>
        <v>46339</v>
      </c>
      <c r="H116" s="66">
        <f>IF(4&lt;$E$7,EDATE($E$5,4),"")</f>
        <v>46369</v>
      </c>
      <c r="I116" s="66">
        <f>IF(5&lt;$E$7,EDATE($E$5,5),"")</f>
        <v>46400</v>
      </c>
      <c r="J116" s="66">
        <f>IF(6&lt;$E$7,EDATE($E$5,6),"")</f>
        <v>46431</v>
      </c>
      <c r="K116" s="66">
        <f>IF(7&lt;$E$7,EDATE($E$5,7),"")</f>
        <v>46459</v>
      </c>
      <c r="L116" s="66">
        <f>IF(8&lt;$E$7,EDATE($E$5,8),"")</f>
        <v>46490</v>
      </c>
      <c r="M116" s="66">
        <f>IF(9&lt;$E$7,EDATE($E$5,9),"")</f>
        <v>46520</v>
      </c>
      <c r="N116" s="66">
        <f>IF(10&lt;$E$7,EDATE($E$5,10),"")</f>
        <v>46551</v>
      </c>
      <c r="O116" s="66">
        <f>IF(11&lt;$E$7,EDATE($E$5,11),"")</f>
        <v>46581</v>
      </c>
      <c r="P116" s="66">
        <f>IF(12&lt;$E$7,EDATE($E$5,12),"")</f>
        <v>46612</v>
      </c>
      <c r="Q116" s="66">
        <f>IF(13&lt;$E$7,EDATE($E$5,13),"")</f>
        <v>46643</v>
      </c>
      <c r="R116" s="66">
        <f>IF(14&lt;$E$7,EDATE($E$5,14),"")</f>
        <v>46673</v>
      </c>
      <c r="S116" s="66">
        <f>IF(15&lt;$E$7,EDATE($E$5,15),"")</f>
        <v>46704</v>
      </c>
      <c r="T116" s="66">
        <f>IF(16&lt;$E$7,EDATE($E$5,16),"")</f>
        <v>46734</v>
      </c>
      <c r="U116" s="66">
        <f>IF(17&lt;$E$7,EDATE($E$5,17),"")</f>
        <v>46765</v>
      </c>
      <c r="V116" s="66">
        <f>IF(18&lt;$E$7,EDATE($E$5,18),"")</f>
        <v>46796</v>
      </c>
      <c r="W116" s="66">
        <f>IF(19&lt;$E$7,EDATE($E$5,19),"")</f>
        <v>46825</v>
      </c>
      <c r="X116" s="66">
        <f>IF(20&lt;$E$7,EDATE($E$5,20),"")</f>
        <v>46856</v>
      </c>
      <c r="Y116" s="66">
        <f>IF(21&lt;$E$7,EDATE($E$5,21),"")</f>
        <v>46886</v>
      </c>
      <c r="Z116" s="66">
        <f>IF(22&lt;$E$7,EDATE($E$5,22),"")</f>
        <v>46917</v>
      </c>
      <c r="AA116" s="66">
        <f>IF(23&lt;$E$7,EDATE($E$5,23),"")</f>
        <v>46947</v>
      </c>
      <c r="AB116" s="66" t="str">
        <f>IF(24&lt;$E$7,EDATE($E$5,24),"")</f>
        <v/>
      </c>
      <c r="AC116" s="66" t="str">
        <f>IF(25&lt;$E$7,EDATE($E$5,25),"")</f>
        <v/>
      </c>
      <c r="AD116" s="66" t="str">
        <f>IF(26&lt;$E$7,EDATE($E$5,26),"")</f>
        <v/>
      </c>
      <c r="AE116" s="66" t="str">
        <f>IF(27&lt;$E$7,EDATE($E$5,27),"")</f>
        <v/>
      </c>
      <c r="AF116" s="66" t="str">
        <f>IF(28&lt;$E$7,EDATE($E$5,28),"")</f>
        <v/>
      </c>
      <c r="AG116" s="66" t="str">
        <f>IF(29&lt;$E$7,EDATE($E$5,29),"")</f>
        <v/>
      </c>
      <c r="AH116" s="66" t="str">
        <f>IF(30&lt;$E$7,EDATE($E$5,30),"")</f>
        <v/>
      </c>
      <c r="AI116" s="66" t="str">
        <f>IF(31&lt;$E$7,EDATE($E$5,31),"")</f>
        <v/>
      </c>
      <c r="AJ116" s="66" t="str">
        <f>IF(32&lt;$E$7,EDATE($E$5,32),"")</f>
        <v/>
      </c>
      <c r="AK116" s="66" t="str">
        <f>IF(33&lt;$E$7,EDATE($E$5,33),"")</f>
        <v/>
      </c>
      <c r="AL116" s="66" t="str">
        <f>IF(34&lt;$E$7,EDATE($E$5,34),"")</f>
        <v/>
      </c>
      <c r="AM116" s="66" t="str">
        <f>IF(35&lt;$E$7,EDATE($E$5,35),"")</f>
        <v/>
      </c>
    </row>
    <row r="117" ht="15.75" customHeight="1">
      <c r="B117" s="40" t="str">
        <f t="shared" ref="B117:B136" si="29">B20</f>
        <v>Commission de Gestion</v>
      </c>
      <c r="D117" s="25">
        <v>0.0</v>
      </c>
      <c r="E117" s="25">
        <f t="shared" ref="E117:AM117" si="28">D93</f>
        <v>3095.238095</v>
      </c>
      <c r="F117" s="25">
        <f t="shared" si="28"/>
        <v>5000</v>
      </c>
      <c r="G117" s="25">
        <f t="shared" si="28"/>
        <v>0</v>
      </c>
      <c r="H117" s="25">
        <f t="shared" si="28"/>
        <v>0</v>
      </c>
      <c r="I117" s="25">
        <f t="shared" si="28"/>
        <v>0</v>
      </c>
      <c r="J117" s="25">
        <f t="shared" si="28"/>
        <v>0</v>
      </c>
      <c r="K117" s="25">
        <f t="shared" si="28"/>
        <v>0</v>
      </c>
      <c r="L117" s="25">
        <f t="shared" si="28"/>
        <v>0</v>
      </c>
      <c r="M117" s="25">
        <f t="shared" si="28"/>
        <v>0</v>
      </c>
      <c r="N117" s="25">
        <f t="shared" si="28"/>
        <v>0</v>
      </c>
      <c r="O117" s="25">
        <f t="shared" si="28"/>
        <v>0</v>
      </c>
      <c r="P117" s="25">
        <f t="shared" si="28"/>
        <v>0</v>
      </c>
      <c r="Q117" s="25">
        <f t="shared" si="28"/>
        <v>0</v>
      </c>
      <c r="R117" s="25">
        <f t="shared" si="28"/>
        <v>0</v>
      </c>
      <c r="S117" s="25">
        <f t="shared" si="28"/>
        <v>0</v>
      </c>
      <c r="T117" s="25">
        <f t="shared" si="28"/>
        <v>0</v>
      </c>
      <c r="U117" s="25">
        <f t="shared" si="28"/>
        <v>0</v>
      </c>
      <c r="V117" s="25">
        <f t="shared" si="28"/>
        <v>0</v>
      </c>
      <c r="W117" s="25">
        <f t="shared" si="28"/>
        <v>0</v>
      </c>
      <c r="X117" s="25">
        <f t="shared" si="28"/>
        <v>0</v>
      </c>
      <c r="Y117" s="25">
        <f t="shared" si="28"/>
        <v>0</v>
      </c>
      <c r="Z117" s="25">
        <f t="shared" si="28"/>
        <v>0</v>
      </c>
      <c r="AA117" s="25">
        <f t="shared" si="28"/>
        <v>0</v>
      </c>
      <c r="AB117" s="25">
        <f t="shared" si="28"/>
        <v>0</v>
      </c>
      <c r="AC117" s="25">
        <f t="shared" si="28"/>
        <v>0</v>
      </c>
      <c r="AD117" s="25">
        <f t="shared" si="28"/>
        <v>0</v>
      </c>
      <c r="AE117" s="25">
        <f t="shared" si="28"/>
        <v>0</v>
      </c>
      <c r="AF117" s="25">
        <f t="shared" si="28"/>
        <v>0</v>
      </c>
      <c r="AG117" s="25">
        <f t="shared" si="28"/>
        <v>0</v>
      </c>
      <c r="AH117" s="25">
        <f t="shared" si="28"/>
        <v>0</v>
      </c>
      <c r="AI117" s="25">
        <f t="shared" si="28"/>
        <v>0</v>
      </c>
      <c r="AJ117" s="25">
        <f t="shared" si="28"/>
        <v>0</v>
      </c>
      <c r="AK117" s="25">
        <f t="shared" si="28"/>
        <v>0</v>
      </c>
      <c r="AL117" s="25">
        <f t="shared" si="28"/>
        <v>0</v>
      </c>
      <c r="AM117" s="25">
        <f t="shared" si="28"/>
        <v>0</v>
      </c>
    </row>
    <row r="118" ht="15.75" customHeight="1">
      <c r="B118" s="68" t="str">
        <f t="shared" si="29"/>
        <v>Commission de Conseil</v>
      </c>
      <c r="D118" s="83">
        <v>0.0</v>
      </c>
      <c r="E118" s="83">
        <f t="shared" ref="E118:AM118" si="30">D94</f>
        <v>1420.714286</v>
      </c>
      <c r="F118" s="83">
        <f t="shared" si="30"/>
        <v>3881.25</v>
      </c>
      <c r="G118" s="83">
        <f t="shared" si="30"/>
        <v>0</v>
      </c>
      <c r="H118" s="83">
        <f t="shared" si="30"/>
        <v>0</v>
      </c>
      <c r="I118" s="83">
        <f t="shared" si="30"/>
        <v>0</v>
      </c>
      <c r="J118" s="83">
        <f t="shared" si="30"/>
        <v>0</v>
      </c>
      <c r="K118" s="83">
        <f t="shared" si="30"/>
        <v>0</v>
      </c>
      <c r="L118" s="83">
        <f t="shared" si="30"/>
        <v>0</v>
      </c>
      <c r="M118" s="83">
        <f t="shared" si="30"/>
        <v>0</v>
      </c>
      <c r="N118" s="83">
        <f t="shared" si="30"/>
        <v>0</v>
      </c>
      <c r="O118" s="83">
        <f t="shared" si="30"/>
        <v>0</v>
      </c>
      <c r="P118" s="83">
        <f t="shared" si="30"/>
        <v>0</v>
      </c>
      <c r="Q118" s="83">
        <f t="shared" si="30"/>
        <v>0</v>
      </c>
      <c r="R118" s="83">
        <f t="shared" si="30"/>
        <v>0</v>
      </c>
      <c r="S118" s="83">
        <f t="shared" si="30"/>
        <v>0</v>
      </c>
      <c r="T118" s="83">
        <f t="shared" si="30"/>
        <v>0</v>
      </c>
      <c r="U118" s="83">
        <f t="shared" si="30"/>
        <v>0</v>
      </c>
      <c r="V118" s="83">
        <f t="shared" si="30"/>
        <v>0</v>
      </c>
      <c r="W118" s="83">
        <f t="shared" si="30"/>
        <v>0</v>
      </c>
      <c r="X118" s="83">
        <f t="shared" si="30"/>
        <v>0</v>
      </c>
      <c r="Y118" s="83">
        <f t="shared" si="30"/>
        <v>0</v>
      </c>
      <c r="Z118" s="83">
        <f t="shared" si="30"/>
        <v>0</v>
      </c>
      <c r="AA118" s="83">
        <f t="shared" si="30"/>
        <v>0</v>
      </c>
      <c r="AB118" s="83">
        <f t="shared" si="30"/>
        <v>0</v>
      </c>
      <c r="AC118" s="83">
        <f t="shared" si="30"/>
        <v>0</v>
      </c>
      <c r="AD118" s="83">
        <f t="shared" si="30"/>
        <v>0</v>
      </c>
      <c r="AE118" s="83">
        <f t="shared" si="30"/>
        <v>0</v>
      </c>
      <c r="AF118" s="83">
        <f t="shared" si="30"/>
        <v>0</v>
      </c>
      <c r="AG118" s="83">
        <f t="shared" si="30"/>
        <v>0</v>
      </c>
      <c r="AH118" s="83">
        <f t="shared" si="30"/>
        <v>0</v>
      </c>
      <c r="AI118" s="83">
        <f t="shared" si="30"/>
        <v>0</v>
      </c>
      <c r="AJ118" s="83">
        <f t="shared" si="30"/>
        <v>0</v>
      </c>
      <c r="AK118" s="83">
        <f t="shared" si="30"/>
        <v>0</v>
      </c>
      <c r="AL118" s="83">
        <f t="shared" si="30"/>
        <v>0</v>
      </c>
      <c r="AM118" s="83">
        <f t="shared" si="30"/>
        <v>0</v>
      </c>
    </row>
    <row r="119" ht="15.75" customHeight="1">
      <c r="B119" s="40" t="str">
        <f t="shared" si="29"/>
        <v>Distribution — Distributeur Global</v>
      </c>
      <c r="D119" s="25">
        <v>0.0</v>
      </c>
      <c r="E119" s="25">
        <f t="shared" ref="E119:AM119" si="31">D95</f>
        <v>315.7142857</v>
      </c>
      <c r="F119" s="25">
        <f t="shared" si="31"/>
        <v>862.5</v>
      </c>
      <c r="G119" s="25">
        <f t="shared" si="31"/>
        <v>0</v>
      </c>
      <c r="H119" s="25">
        <f t="shared" si="31"/>
        <v>0</v>
      </c>
      <c r="I119" s="25">
        <f t="shared" si="31"/>
        <v>0</v>
      </c>
      <c r="J119" s="25">
        <f t="shared" si="31"/>
        <v>0</v>
      </c>
      <c r="K119" s="25">
        <f t="shared" si="31"/>
        <v>0</v>
      </c>
      <c r="L119" s="25">
        <f t="shared" si="31"/>
        <v>0</v>
      </c>
      <c r="M119" s="25">
        <f t="shared" si="31"/>
        <v>0</v>
      </c>
      <c r="N119" s="25">
        <f t="shared" si="31"/>
        <v>0</v>
      </c>
      <c r="O119" s="25">
        <f t="shared" si="31"/>
        <v>0</v>
      </c>
      <c r="P119" s="25">
        <f t="shared" si="31"/>
        <v>0</v>
      </c>
      <c r="Q119" s="25">
        <f t="shared" si="31"/>
        <v>0</v>
      </c>
      <c r="R119" s="25">
        <f t="shared" si="31"/>
        <v>0</v>
      </c>
      <c r="S119" s="25">
        <f t="shared" si="31"/>
        <v>0</v>
      </c>
      <c r="T119" s="25">
        <f t="shared" si="31"/>
        <v>0</v>
      </c>
      <c r="U119" s="25">
        <f t="shared" si="31"/>
        <v>0</v>
      </c>
      <c r="V119" s="25">
        <f t="shared" si="31"/>
        <v>0</v>
      </c>
      <c r="W119" s="25">
        <f t="shared" si="31"/>
        <v>0</v>
      </c>
      <c r="X119" s="25">
        <f t="shared" si="31"/>
        <v>0</v>
      </c>
      <c r="Y119" s="25">
        <f t="shared" si="31"/>
        <v>0</v>
      </c>
      <c r="Z119" s="25">
        <f t="shared" si="31"/>
        <v>0</v>
      </c>
      <c r="AA119" s="25">
        <f t="shared" si="31"/>
        <v>0</v>
      </c>
      <c r="AB119" s="25">
        <f t="shared" si="31"/>
        <v>0</v>
      </c>
      <c r="AC119" s="25">
        <f t="shared" si="31"/>
        <v>0</v>
      </c>
      <c r="AD119" s="25">
        <f t="shared" si="31"/>
        <v>0</v>
      </c>
      <c r="AE119" s="25">
        <f t="shared" si="31"/>
        <v>0</v>
      </c>
      <c r="AF119" s="25">
        <f t="shared" si="31"/>
        <v>0</v>
      </c>
      <c r="AG119" s="25">
        <f t="shared" si="31"/>
        <v>0</v>
      </c>
      <c r="AH119" s="25">
        <f t="shared" si="31"/>
        <v>0</v>
      </c>
      <c r="AI119" s="25">
        <f t="shared" si="31"/>
        <v>0</v>
      </c>
      <c r="AJ119" s="25">
        <f t="shared" si="31"/>
        <v>0</v>
      </c>
      <c r="AK119" s="25">
        <f t="shared" si="31"/>
        <v>0</v>
      </c>
      <c r="AL119" s="25">
        <f t="shared" si="31"/>
        <v>0</v>
      </c>
      <c r="AM119" s="25">
        <f t="shared" si="31"/>
        <v>0</v>
      </c>
    </row>
    <row r="120" ht="15.75" customHeight="1">
      <c r="B120" s="68" t="str">
        <f t="shared" si="29"/>
        <v>Distribution — Sous-distributeurs</v>
      </c>
      <c r="D120" s="83">
        <v>0.0</v>
      </c>
      <c r="E120" s="83">
        <f t="shared" ref="E120:AM120" si="32">D96</f>
        <v>2841.428571</v>
      </c>
      <c r="F120" s="83">
        <f t="shared" si="32"/>
        <v>7762.5</v>
      </c>
      <c r="G120" s="83">
        <f t="shared" si="32"/>
        <v>0</v>
      </c>
      <c r="H120" s="83">
        <f t="shared" si="32"/>
        <v>0</v>
      </c>
      <c r="I120" s="83">
        <f t="shared" si="32"/>
        <v>0</v>
      </c>
      <c r="J120" s="83">
        <f t="shared" si="32"/>
        <v>0</v>
      </c>
      <c r="K120" s="83">
        <f t="shared" si="32"/>
        <v>0</v>
      </c>
      <c r="L120" s="83">
        <f t="shared" si="32"/>
        <v>0</v>
      </c>
      <c r="M120" s="83">
        <f t="shared" si="32"/>
        <v>0</v>
      </c>
      <c r="N120" s="83">
        <f t="shared" si="32"/>
        <v>0</v>
      </c>
      <c r="O120" s="83">
        <f t="shared" si="32"/>
        <v>0</v>
      </c>
      <c r="P120" s="83">
        <f t="shared" si="32"/>
        <v>0</v>
      </c>
      <c r="Q120" s="83">
        <f t="shared" si="32"/>
        <v>0</v>
      </c>
      <c r="R120" s="83">
        <f t="shared" si="32"/>
        <v>0</v>
      </c>
      <c r="S120" s="83">
        <f t="shared" si="32"/>
        <v>0</v>
      </c>
      <c r="T120" s="83">
        <f t="shared" si="32"/>
        <v>0</v>
      </c>
      <c r="U120" s="83">
        <f t="shared" si="32"/>
        <v>0</v>
      </c>
      <c r="V120" s="83">
        <f t="shared" si="32"/>
        <v>0</v>
      </c>
      <c r="W120" s="83">
        <f t="shared" si="32"/>
        <v>0</v>
      </c>
      <c r="X120" s="83">
        <f t="shared" si="32"/>
        <v>0</v>
      </c>
      <c r="Y120" s="83">
        <f t="shared" si="32"/>
        <v>0</v>
      </c>
      <c r="Z120" s="83">
        <f t="shared" si="32"/>
        <v>0</v>
      </c>
      <c r="AA120" s="83">
        <f t="shared" si="32"/>
        <v>0</v>
      </c>
      <c r="AB120" s="83">
        <f t="shared" si="32"/>
        <v>0</v>
      </c>
      <c r="AC120" s="83">
        <f t="shared" si="32"/>
        <v>0</v>
      </c>
      <c r="AD120" s="83">
        <f t="shared" si="32"/>
        <v>0</v>
      </c>
      <c r="AE120" s="83">
        <f t="shared" si="32"/>
        <v>0</v>
      </c>
      <c r="AF120" s="83">
        <f t="shared" si="32"/>
        <v>0</v>
      </c>
      <c r="AG120" s="83">
        <f t="shared" si="32"/>
        <v>0</v>
      </c>
      <c r="AH120" s="83">
        <f t="shared" si="32"/>
        <v>0</v>
      </c>
      <c r="AI120" s="83">
        <f t="shared" si="32"/>
        <v>0</v>
      </c>
      <c r="AJ120" s="83">
        <f t="shared" si="32"/>
        <v>0</v>
      </c>
      <c r="AK120" s="83">
        <f t="shared" si="32"/>
        <v>0</v>
      </c>
      <c r="AL120" s="83">
        <f t="shared" si="32"/>
        <v>0</v>
      </c>
      <c r="AM120" s="83">
        <f t="shared" si="32"/>
        <v>0</v>
      </c>
    </row>
    <row r="121" ht="15.75" customHeight="1">
      <c r="B121" s="40" t="str">
        <f t="shared" si="29"/>
        <v>Commission Dépositaire (BFCM)</v>
      </c>
      <c r="D121" s="25">
        <v>0.0</v>
      </c>
      <c r="E121" s="25">
        <f t="shared" ref="E121:AM121" si="33">D97</f>
        <v>0</v>
      </c>
      <c r="F121" s="25">
        <f t="shared" si="33"/>
        <v>0</v>
      </c>
      <c r="G121" s="25">
        <f t="shared" si="33"/>
        <v>0</v>
      </c>
      <c r="H121" s="25">
        <f t="shared" si="33"/>
        <v>0</v>
      </c>
      <c r="I121" s="25">
        <f t="shared" si="33"/>
        <v>1619.047619</v>
      </c>
      <c r="J121" s="25">
        <f t="shared" si="33"/>
        <v>0</v>
      </c>
      <c r="K121" s="25">
        <f t="shared" si="33"/>
        <v>0</v>
      </c>
      <c r="L121" s="25">
        <f t="shared" si="33"/>
        <v>0</v>
      </c>
      <c r="M121" s="25">
        <f t="shared" si="33"/>
        <v>0</v>
      </c>
      <c r="N121" s="25">
        <f t="shared" si="33"/>
        <v>0</v>
      </c>
      <c r="O121" s="25">
        <f t="shared" si="33"/>
        <v>0</v>
      </c>
      <c r="P121" s="25">
        <f t="shared" si="33"/>
        <v>0</v>
      </c>
      <c r="Q121" s="25">
        <f t="shared" si="33"/>
        <v>0</v>
      </c>
      <c r="R121" s="25">
        <f t="shared" si="33"/>
        <v>0</v>
      </c>
      <c r="S121" s="25">
        <f t="shared" si="33"/>
        <v>0</v>
      </c>
      <c r="T121" s="25">
        <f t="shared" si="33"/>
        <v>0</v>
      </c>
      <c r="U121" s="25">
        <f t="shared" si="33"/>
        <v>0</v>
      </c>
      <c r="V121" s="25">
        <f t="shared" si="33"/>
        <v>0</v>
      </c>
      <c r="W121" s="25">
        <f t="shared" si="33"/>
        <v>0</v>
      </c>
      <c r="X121" s="25">
        <f t="shared" si="33"/>
        <v>0</v>
      </c>
      <c r="Y121" s="25">
        <f t="shared" si="33"/>
        <v>0</v>
      </c>
      <c r="Z121" s="25">
        <f t="shared" si="33"/>
        <v>0</v>
      </c>
      <c r="AA121" s="25">
        <f t="shared" si="33"/>
        <v>0</v>
      </c>
      <c r="AB121" s="25">
        <f t="shared" si="33"/>
        <v>0</v>
      </c>
      <c r="AC121" s="25">
        <f t="shared" si="33"/>
        <v>0</v>
      </c>
      <c r="AD121" s="25">
        <f t="shared" si="33"/>
        <v>0</v>
      </c>
      <c r="AE121" s="25">
        <f t="shared" si="33"/>
        <v>0</v>
      </c>
      <c r="AF121" s="25">
        <f t="shared" si="33"/>
        <v>0</v>
      </c>
      <c r="AG121" s="25">
        <f t="shared" si="33"/>
        <v>0</v>
      </c>
      <c r="AH121" s="25">
        <f t="shared" si="33"/>
        <v>0</v>
      </c>
      <c r="AI121" s="25">
        <f t="shared" si="33"/>
        <v>0</v>
      </c>
      <c r="AJ121" s="25">
        <f t="shared" si="33"/>
        <v>0</v>
      </c>
      <c r="AK121" s="25">
        <f t="shared" si="33"/>
        <v>0</v>
      </c>
      <c r="AL121" s="25">
        <f t="shared" si="33"/>
        <v>0</v>
      </c>
      <c r="AM121" s="25">
        <f t="shared" si="33"/>
        <v>0</v>
      </c>
    </row>
    <row r="122" ht="15.75" customHeight="1">
      <c r="B122" s="68" t="str">
        <f t="shared" si="29"/>
        <v>Commissaire aux Comptes</v>
      </c>
      <c r="D122" s="83">
        <v>0.0</v>
      </c>
      <c r="E122" s="83">
        <f t="shared" ref="E122:AM122" si="34">D98</f>
        <v>0</v>
      </c>
      <c r="F122" s="83">
        <f t="shared" si="34"/>
        <v>0</v>
      </c>
      <c r="G122" s="83">
        <f t="shared" si="34"/>
        <v>0</v>
      </c>
      <c r="H122" s="83">
        <f t="shared" si="34"/>
        <v>0</v>
      </c>
      <c r="I122" s="83">
        <f t="shared" si="34"/>
        <v>742.0634921</v>
      </c>
      <c r="J122" s="83">
        <f t="shared" si="34"/>
        <v>0</v>
      </c>
      <c r="K122" s="83">
        <f t="shared" si="34"/>
        <v>0</v>
      </c>
      <c r="L122" s="83">
        <f t="shared" si="34"/>
        <v>0</v>
      </c>
      <c r="M122" s="83">
        <f t="shared" si="34"/>
        <v>0</v>
      </c>
      <c r="N122" s="83">
        <f t="shared" si="34"/>
        <v>0</v>
      </c>
      <c r="O122" s="83">
        <f t="shared" si="34"/>
        <v>0</v>
      </c>
      <c r="P122" s="83">
        <f t="shared" si="34"/>
        <v>0</v>
      </c>
      <c r="Q122" s="83">
        <f t="shared" si="34"/>
        <v>0</v>
      </c>
      <c r="R122" s="83">
        <f t="shared" si="34"/>
        <v>0</v>
      </c>
      <c r="S122" s="83">
        <f t="shared" si="34"/>
        <v>0</v>
      </c>
      <c r="T122" s="83">
        <f t="shared" si="34"/>
        <v>0</v>
      </c>
      <c r="U122" s="83">
        <f t="shared" si="34"/>
        <v>0</v>
      </c>
      <c r="V122" s="83">
        <f t="shared" si="34"/>
        <v>0</v>
      </c>
      <c r="W122" s="83">
        <f t="shared" si="34"/>
        <v>0</v>
      </c>
      <c r="X122" s="83">
        <f t="shared" si="34"/>
        <v>0</v>
      </c>
      <c r="Y122" s="83">
        <f t="shared" si="34"/>
        <v>0</v>
      </c>
      <c r="Z122" s="83">
        <f t="shared" si="34"/>
        <v>0</v>
      </c>
      <c r="AA122" s="83">
        <f t="shared" si="34"/>
        <v>0</v>
      </c>
      <c r="AB122" s="83">
        <f t="shared" si="34"/>
        <v>0</v>
      </c>
      <c r="AC122" s="83">
        <f t="shared" si="34"/>
        <v>0</v>
      </c>
      <c r="AD122" s="83">
        <f t="shared" si="34"/>
        <v>0</v>
      </c>
      <c r="AE122" s="83">
        <f t="shared" si="34"/>
        <v>0</v>
      </c>
      <c r="AF122" s="83">
        <f t="shared" si="34"/>
        <v>0</v>
      </c>
      <c r="AG122" s="83">
        <f t="shared" si="34"/>
        <v>0</v>
      </c>
      <c r="AH122" s="83">
        <f t="shared" si="34"/>
        <v>0</v>
      </c>
      <c r="AI122" s="83">
        <f t="shared" si="34"/>
        <v>0</v>
      </c>
      <c r="AJ122" s="83">
        <f t="shared" si="34"/>
        <v>0</v>
      </c>
      <c r="AK122" s="83">
        <f t="shared" si="34"/>
        <v>0</v>
      </c>
      <c r="AL122" s="83">
        <f t="shared" si="34"/>
        <v>0</v>
      </c>
      <c r="AM122" s="83">
        <f t="shared" si="34"/>
        <v>0</v>
      </c>
    </row>
    <row r="123" ht="15.75" customHeight="1">
      <c r="B123" s="40" t="str">
        <f t="shared" si="29"/>
        <v>CAC — Frais par Distribution</v>
      </c>
      <c r="D123" s="25">
        <v>0.0</v>
      </c>
      <c r="E123" s="25">
        <f t="shared" ref="E123:AM123" si="35">D99</f>
        <v>0</v>
      </c>
      <c r="F123" s="25">
        <f t="shared" si="35"/>
        <v>0</v>
      </c>
      <c r="G123" s="25" t="str">
        <f t="shared" si="35"/>
        <v/>
      </c>
      <c r="H123" s="25" t="str">
        <f t="shared" si="35"/>
        <v/>
      </c>
      <c r="I123" s="25" t="str">
        <f t="shared" si="35"/>
        <v/>
      </c>
      <c r="J123" s="25" t="str">
        <f t="shared" si="35"/>
        <v/>
      </c>
      <c r="K123" s="25" t="str">
        <f t="shared" si="35"/>
        <v/>
      </c>
      <c r="L123" s="25" t="str">
        <f t="shared" si="35"/>
        <v/>
      </c>
      <c r="M123" s="25" t="str">
        <f t="shared" si="35"/>
        <v/>
      </c>
      <c r="N123" s="25" t="str">
        <f t="shared" si="35"/>
        <v/>
      </c>
      <c r="O123" s="25" t="str">
        <f t="shared" si="35"/>
        <v/>
      </c>
      <c r="P123" s="25" t="str">
        <f t="shared" si="35"/>
        <v/>
      </c>
      <c r="Q123" s="25" t="str">
        <f t="shared" si="35"/>
        <v/>
      </c>
      <c r="R123" s="25" t="str">
        <f t="shared" si="35"/>
        <v/>
      </c>
      <c r="S123" s="25" t="str">
        <f t="shared" si="35"/>
        <v/>
      </c>
      <c r="T123" s="25" t="str">
        <f t="shared" si="35"/>
        <v/>
      </c>
      <c r="U123" s="25" t="str">
        <f t="shared" si="35"/>
        <v/>
      </c>
      <c r="V123" s="25" t="str">
        <f t="shared" si="35"/>
        <v/>
      </c>
      <c r="W123" s="25" t="str">
        <f t="shared" si="35"/>
        <v/>
      </c>
      <c r="X123" s="25" t="str">
        <f t="shared" si="35"/>
        <v/>
      </c>
      <c r="Y123" s="25" t="str">
        <f t="shared" si="35"/>
        <v/>
      </c>
      <c r="Z123" s="25" t="str">
        <f t="shared" si="35"/>
        <v/>
      </c>
      <c r="AA123" s="25" t="str">
        <f t="shared" si="35"/>
        <v/>
      </c>
      <c r="AB123" s="25" t="str">
        <f t="shared" si="35"/>
        <v/>
      </c>
      <c r="AC123" s="25">
        <f t="shared" si="35"/>
        <v>0</v>
      </c>
      <c r="AD123" s="25">
        <f t="shared" si="35"/>
        <v>0</v>
      </c>
      <c r="AE123" s="25">
        <f t="shared" si="35"/>
        <v>0</v>
      </c>
      <c r="AF123" s="25">
        <f t="shared" si="35"/>
        <v>0</v>
      </c>
      <c r="AG123" s="25">
        <f t="shared" si="35"/>
        <v>0</v>
      </c>
      <c r="AH123" s="25">
        <f t="shared" si="35"/>
        <v>0</v>
      </c>
      <c r="AI123" s="25">
        <f t="shared" si="35"/>
        <v>0</v>
      </c>
      <c r="AJ123" s="25">
        <f t="shared" si="35"/>
        <v>0</v>
      </c>
      <c r="AK123" s="25">
        <f t="shared" si="35"/>
        <v>0</v>
      </c>
      <c r="AL123" s="25">
        <f t="shared" si="35"/>
        <v>0</v>
      </c>
      <c r="AM123" s="25">
        <f t="shared" si="35"/>
        <v>0</v>
      </c>
    </row>
    <row r="124" ht="15.75" customHeight="1">
      <c r="B124" s="68" t="str">
        <f t="shared" si="29"/>
        <v>Reporting — Rapport Annuel (CIC)</v>
      </c>
      <c r="D124" s="83">
        <v>0.0</v>
      </c>
      <c r="E124" s="83">
        <f t="shared" ref="E124:AM124" si="36">D100</f>
        <v>0</v>
      </c>
      <c r="F124" s="83">
        <f t="shared" si="36"/>
        <v>0</v>
      </c>
      <c r="G124" s="83">
        <f t="shared" si="36"/>
        <v>0</v>
      </c>
      <c r="H124" s="83">
        <f t="shared" si="36"/>
        <v>0</v>
      </c>
      <c r="I124" s="83">
        <f t="shared" si="36"/>
        <v>107.9365079</v>
      </c>
      <c r="J124" s="83">
        <f t="shared" si="36"/>
        <v>0</v>
      </c>
      <c r="K124" s="83">
        <f t="shared" si="36"/>
        <v>0</v>
      </c>
      <c r="L124" s="83">
        <f t="shared" si="36"/>
        <v>0</v>
      </c>
      <c r="M124" s="83">
        <f t="shared" si="36"/>
        <v>0</v>
      </c>
      <c r="N124" s="83">
        <f t="shared" si="36"/>
        <v>0</v>
      </c>
      <c r="O124" s="83">
        <f t="shared" si="36"/>
        <v>0</v>
      </c>
      <c r="P124" s="83">
        <f t="shared" si="36"/>
        <v>0</v>
      </c>
      <c r="Q124" s="83">
        <f t="shared" si="36"/>
        <v>0</v>
      </c>
      <c r="R124" s="83">
        <f t="shared" si="36"/>
        <v>0</v>
      </c>
      <c r="S124" s="83">
        <f t="shared" si="36"/>
        <v>0</v>
      </c>
      <c r="T124" s="83">
        <f t="shared" si="36"/>
        <v>0</v>
      </c>
      <c r="U124" s="83">
        <f t="shared" si="36"/>
        <v>0</v>
      </c>
      <c r="V124" s="83">
        <f t="shared" si="36"/>
        <v>0</v>
      </c>
      <c r="W124" s="83">
        <f t="shared" si="36"/>
        <v>0</v>
      </c>
      <c r="X124" s="83">
        <f t="shared" si="36"/>
        <v>0</v>
      </c>
      <c r="Y124" s="83">
        <f t="shared" si="36"/>
        <v>0</v>
      </c>
      <c r="Z124" s="83">
        <f t="shared" si="36"/>
        <v>0</v>
      </c>
      <c r="AA124" s="83">
        <f t="shared" si="36"/>
        <v>0</v>
      </c>
      <c r="AB124" s="83">
        <f t="shared" si="36"/>
        <v>0</v>
      </c>
      <c r="AC124" s="83">
        <f t="shared" si="36"/>
        <v>0</v>
      </c>
      <c r="AD124" s="83">
        <f t="shared" si="36"/>
        <v>0</v>
      </c>
      <c r="AE124" s="83">
        <f t="shared" si="36"/>
        <v>0</v>
      </c>
      <c r="AF124" s="83">
        <f t="shared" si="36"/>
        <v>0</v>
      </c>
      <c r="AG124" s="83">
        <f t="shared" si="36"/>
        <v>0</v>
      </c>
      <c r="AH124" s="83">
        <f t="shared" si="36"/>
        <v>0</v>
      </c>
      <c r="AI124" s="83">
        <f t="shared" si="36"/>
        <v>0</v>
      </c>
      <c r="AJ124" s="83">
        <f t="shared" si="36"/>
        <v>0</v>
      </c>
      <c r="AK124" s="83">
        <f t="shared" si="36"/>
        <v>0</v>
      </c>
      <c r="AL124" s="83">
        <f t="shared" si="36"/>
        <v>0</v>
      </c>
      <c r="AM124" s="83">
        <f t="shared" si="36"/>
        <v>0</v>
      </c>
    </row>
    <row r="125" ht="15.75" customHeight="1">
      <c r="B125" s="40" t="str">
        <f t="shared" si="29"/>
        <v>Valorisation (CIC)</v>
      </c>
      <c r="D125" s="25">
        <v>0.0</v>
      </c>
      <c r="E125" s="25">
        <f t="shared" ref="E125:AM125" si="37">D101</f>
        <v>0</v>
      </c>
      <c r="F125" s="25">
        <f t="shared" si="37"/>
        <v>0</v>
      </c>
      <c r="G125" s="25">
        <f t="shared" si="37"/>
        <v>0</v>
      </c>
      <c r="H125" s="25">
        <f t="shared" si="37"/>
        <v>0</v>
      </c>
      <c r="I125" s="25">
        <f t="shared" si="37"/>
        <v>1619.047619</v>
      </c>
      <c r="J125" s="25">
        <f t="shared" si="37"/>
        <v>0</v>
      </c>
      <c r="K125" s="25">
        <f t="shared" si="37"/>
        <v>0</v>
      </c>
      <c r="L125" s="25">
        <f t="shared" si="37"/>
        <v>0</v>
      </c>
      <c r="M125" s="25">
        <f t="shared" si="37"/>
        <v>0</v>
      </c>
      <c r="N125" s="25">
        <f t="shared" si="37"/>
        <v>0</v>
      </c>
      <c r="O125" s="25">
        <f t="shared" si="37"/>
        <v>0</v>
      </c>
      <c r="P125" s="25">
        <f t="shared" si="37"/>
        <v>0</v>
      </c>
      <c r="Q125" s="25">
        <f t="shared" si="37"/>
        <v>0</v>
      </c>
      <c r="R125" s="25">
        <f t="shared" si="37"/>
        <v>0</v>
      </c>
      <c r="S125" s="25">
        <f t="shared" si="37"/>
        <v>0</v>
      </c>
      <c r="T125" s="25">
        <f t="shared" si="37"/>
        <v>0</v>
      </c>
      <c r="U125" s="25">
        <f t="shared" si="37"/>
        <v>0</v>
      </c>
      <c r="V125" s="25">
        <f t="shared" si="37"/>
        <v>0</v>
      </c>
      <c r="W125" s="25">
        <f t="shared" si="37"/>
        <v>0</v>
      </c>
      <c r="X125" s="25">
        <f t="shared" si="37"/>
        <v>0</v>
      </c>
      <c r="Y125" s="25">
        <f t="shared" si="37"/>
        <v>0</v>
      </c>
      <c r="Z125" s="25">
        <f t="shared" si="37"/>
        <v>0</v>
      </c>
      <c r="AA125" s="25">
        <f t="shared" si="37"/>
        <v>0</v>
      </c>
      <c r="AB125" s="25">
        <f t="shared" si="37"/>
        <v>0</v>
      </c>
      <c r="AC125" s="25">
        <f t="shared" si="37"/>
        <v>0</v>
      </c>
      <c r="AD125" s="25">
        <f t="shared" si="37"/>
        <v>0</v>
      </c>
      <c r="AE125" s="25">
        <f t="shared" si="37"/>
        <v>0</v>
      </c>
      <c r="AF125" s="25">
        <f t="shared" si="37"/>
        <v>0</v>
      </c>
      <c r="AG125" s="25">
        <f t="shared" si="37"/>
        <v>0</v>
      </c>
      <c r="AH125" s="25">
        <f t="shared" si="37"/>
        <v>0</v>
      </c>
      <c r="AI125" s="25">
        <f t="shared" si="37"/>
        <v>0</v>
      </c>
      <c r="AJ125" s="25">
        <f t="shared" si="37"/>
        <v>0</v>
      </c>
      <c r="AK125" s="25">
        <f t="shared" si="37"/>
        <v>0</v>
      </c>
      <c r="AL125" s="25">
        <f t="shared" si="37"/>
        <v>0</v>
      </c>
      <c r="AM125" s="25">
        <f t="shared" si="37"/>
        <v>0</v>
      </c>
    </row>
    <row r="126" ht="15.75" customHeight="1">
      <c r="B126" s="68" t="str">
        <f t="shared" si="29"/>
        <v>Reporting AIFM (part refacturée au fonds)</v>
      </c>
      <c r="D126" s="83">
        <v>0.0</v>
      </c>
      <c r="E126" s="83">
        <f t="shared" ref="E126:AM126" si="38">D102</f>
        <v>0</v>
      </c>
      <c r="F126" s="83">
        <f t="shared" si="38"/>
        <v>0</v>
      </c>
      <c r="G126" s="83">
        <f t="shared" si="38"/>
        <v>0</v>
      </c>
      <c r="H126" s="83">
        <f t="shared" si="38"/>
        <v>0</v>
      </c>
      <c r="I126" s="83">
        <f t="shared" si="38"/>
        <v>0</v>
      </c>
      <c r="J126" s="83">
        <f t="shared" si="38"/>
        <v>0</v>
      </c>
      <c r="K126" s="83">
        <f t="shared" si="38"/>
        <v>0</v>
      </c>
      <c r="L126" s="83">
        <f t="shared" si="38"/>
        <v>0</v>
      </c>
      <c r="M126" s="83">
        <f t="shared" si="38"/>
        <v>0</v>
      </c>
      <c r="N126" s="83">
        <f t="shared" si="38"/>
        <v>0</v>
      </c>
      <c r="O126" s="83">
        <f t="shared" si="38"/>
        <v>0</v>
      </c>
      <c r="P126" s="83">
        <f t="shared" si="38"/>
        <v>0</v>
      </c>
      <c r="Q126" s="83">
        <f t="shared" si="38"/>
        <v>0</v>
      </c>
      <c r="R126" s="83">
        <f t="shared" si="38"/>
        <v>0</v>
      </c>
      <c r="S126" s="83">
        <f t="shared" si="38"/>
        <v>0</v>
      </c>
      <c r="T126" s="83">
        <f t="shared" si="38"/>
        <v>0</v>
      </c>
      <c r="U126" s="83">
        <f t="shared" si="38"/>
        <v>0</v>
      </c>
      <c r="V126" s="83">
        <f t="shared" si="38"/>
        <v>0</v>
      </c>
      <c r="W126" s="83">
        <f t="shared" si="38"/>
        <v>0</v>
      </c>
      <c r="X126" s="83">
        <f t="shared" si="38"/>
        <v>0</v>
      </c>
      <c r="Y126" s="83">
        <f t="shared" si="38"/>
        <v>0</v>
      </c>
      <c r="Z126" s="83">
        <f t="shared" si="38"/>
        <v>0</v>
      </c>
      <c r="AA126" s="83">
        <f t="shared" si="38"/>
        <v>0</v>
      </c>
      <c r="AB126" s="83">
        <f t="shared" si="38"/>
        <v>0</v>
      </c>
      <c r="AC126" s="83">
        <f t="shared" si="38"/>
        <v>0</v>
      </c>
      <c r="AD126" s="83">
        <f t="shared" si="38"/>
        <v>0</v>
      </c>
      <c r="AE126" s="83">
        <f t="shared" si="38"/>
        <v>0</v>
      </c>
      <c r="AF126" s="83">
        <f t="shared" si="38"/>
        <v>0</v>
      </c>
      <c r="AG126" s="83">
        <f t="shared" si="38"/>
        <v>0</v>
      </c>
      <c r="AH126" s="83">
        <f t="shared" si="38"/>
        <v>0</v>
      </c>
      <c r="AI126" s="83">
        <f t="shared" si="38"/>
        <v>0</v>
      </c>
      <c r="AJ126" s="83">
        <f t="shared" si="38"/>
        <v>0</v>
      </c>
      <c r="AK126" s="83">
        <f t="shared" si="38"/>
        <v>0</v>
      </c>
      <c r="AL126" s="83">
        <f t="shared" si="38"/>
        <v>0</v>
      </c>
      <c r="AM126" s="83">
        <f t="shared" si="38"/>
        <v>0</v>
      </c>
    </row>
    <row r="127" ht="15.75" customHeight="1">
      <c r="B127" s="40" t="str">
        <f t="shared" si="29"/>
        <v>Tenue du Passif</v>
      </c>
      <c r="D127" s="25">
        <v>0.0</v>
      </c>
      <c r="E127" s="25">
        <f t="shared" ref="E127:AM127" si="39">D103</f>
        <v>0</v>
      </c>
      <c r="F127" s="25">
        <f t="shared" si="39"/>
        <v>0</v>
      </c>
      <c r="G127" s="25">
        <f t="shared" si="39"/>
        <v>0</v>
      </c>
      <c r="H127" s="25">
        <f t="shared" si="39"/>
        <v>0</v>
      </c>
      <c r="I127" s="25">
        <f t="shared" si="39"/>
        <v>256.3492063</v>
      </c>
      <c r="J127" s="25">
        <f t="shared" si="39"/>
        <v>0</v>
      </c>
      <c r="K127" s="25">
        <f t="shared" si="39"/>
        <v>0</v>
      </c>
      <c r="L127" s="25">
        <f t="shared" si="39"/>
        <v>0</v>
      </c>
      <c r="M127" s="25">
        <f t="shared" si="39"/>
        <v>0</v>
      </c>
      <c r="N127" s="25">
        <f t="shared" si="39"/>
        <v>0</v>
      </c>
      <c r="O127" s="25">
        <f t="shared" si="39"/>
        <v>0</v>
      </c>
      <c r="P127" s="25">
        <f t="shared" si="39"/>
        <v>0</v>
      </c>
      <c r="Q127" s="25">
        <f t="shared" si="39"/>
        <v>0</v>
      </c>
      <c r="R127" s="25">
        <f t="shared" si="39"/>
        <v>0</v>
      </c>
      <c r="S127" s="25">
        <f t="shared" si="39"/>
        <v>0</v>
      </c>
      <c r="T127" s="25">
        <f t="shared" si="39"/>
        <v>0</v>
      </c>
      <c r="U127" s="25">
        <f t="shared" si="39"/>
        <v>0</v>
      </c>
      <c r="V127" s="25">
        <f t="shared" si="39"/>
        <v>0</v>
      </c>
      <c r="W127" s="25">
        <f t="shared" si="39"/>
        <v>0</v>
      </c>
      <c r="X127" s="25">
        <f t="shared" si="39"/>
        <v>0</v>
      </c>
      <c r="Y127" s="25">
        <f t="shared" si="39"/>
        <v>0</v>
      </c>
      <c r="Z127" s="25">
        <f t="shared" si="39"/>
        <v>0</v>
      </c>
      <c r="AA127" s="25">
        <f t="shared" si="39"/>
        <v>0</v>
      </c>
      <c r="AB127" s="25">
        <f t="shared" si="39"/>
        <v>0</v>
      </c>
      <c r="AC127" s="25">
        <f t="shared" si="39"/>
        <v>0</v>
      </c>
      <c r="AD127" s="25">
        <f t="shared" si="39"/>
        <v>0</v>
      </c>
      <c r="AE127" s="25">
        <f t="shared" si="39"/>
        <v>0</v>
      </c>
      <c r="AF127" s="25">
        <f t="shared" si="39"/>
        <v>0</v>
      </c>
      <c r="AG127" s="25">
        <f t="shared" si="39"/>
        <v>0</v>
      </c>
      <c r="AH127" s="25">
        <f t="shared" si="39"/>
        <v>0</v>
      </c>
      <c r="AI127" s="25">
        <f t="shared" si="39"/>
        <v>0</v>
      </c>
      <c r="AJ127" s="25">
        <f t="shared" si="39"/>
        <v>0</v>
      </c>
      <c r="AK127" s="25">
        <f t="shared" si="39"/>
        <v>0</v>
      </c>
      <c r="AL127" s="25">
        <f t="shared" si="39"/>
        <v>0</v>
      </c>
      <c r="AM127" s="25">
        <f t="shared" si="39"/>
        <v>0</v>
      </c>
    </row>
    <row r="128" ht="15.75" customHeight="1">
      <c r="B128" s="68" t="str">
        <f t="shared" si="29"/>
        <v>Finologee</v>
      </c>
      <c r="D128" s="83">
        <v>0.0</v>
      </c>
      <c r="E128" s="83">
        <f t="shared" ref="E128:AM128" si="40">D104</f>
        <v>116</v>
      </c>
      <c r="F128" s="83">
        <f t="shared" si="40"/>
        <v>116</v>
      </c>
      <c r="G128" s="83">
        <f t="shared" si="40"/>
        <v>0</v>
      </c>
      <c r="H128" s="83">
        <f t="shared" si="40"/>
        <v>0</v>
      </c>
      <c r="I128" s="83">
        <f t="shared" si="40"/>
        <v>0</v>
      </c>
      <c r="J128" s="83">
        <f t="shared" si="40"/>
        <v>0</v>
      </c>
      <c r="K128" s="83">
        <f t="shared" si="40"/>
        <v>0</v>
      </c>
      <c r="L128" s="83">
        <f t="shared" si="40"/>
        <v>0</v>
      </c>
      <c r="M128" s="83">
        <f t="shared" si="40"/>
        <v>0</v>
      </c>
      <c r="N128" s="83">
        <f t="shared" si="40"/>
        <v>0</v>
      </c>
      <c r="O128" s="83">
        <f t="shared" si="40"/>
        <v>0</v>
      </c>
      <c r="P128" s="83">
        <f t="shared" si="40"/>
        <v>0</v>
      </c>
      <c r="Q128" s="83">
        <f t="shared" si="40"/>
        <v>0</v>
      </c>
      <c r="R128" s="83">
        <f t="shared" si="40"/>
        <v>0</v>
      </c>
      <c r="S128" s="83">
        <f t="shared" si="40"/>
        <v>0</v>
      </c>
      <c r="T128" s="83">
        <f t="shared" si="40"/>
        <v>0</v>
      </c>
      <c r="U128" s="83">
        <f t="shared" si="40"/>
        <v>0</v>
      </c>
      <c r="V128" s="83">
        <f t="shared" si="40"/>
        <v>0</v>
      </c>
      <c r="W128" s="83">
        <f t="shared" si="40"/>
        <v>0</v>
      </c>
      <c r="X128" s="83">
        <f t="shared" si="40"/>
        <v>0</v>
      </c>
      <c r="Y128" s="83">
        <f t="shared" si="40"/>
        <v>0</v>
      </c>
      <c r="Z128" s="83">
        <f t="shared" si="40"/>
        <v>0</v>
      </c>
      <c r="AA128" s="83">
        <f t="shared" si="40"/>
        <v>0</v>
      </c>
      <c r="AB128" s="83">
        <f t="shared" si="40"/>
        <v>0</v>
      </c>
      <c r="AC128" s="83">
        <f t="shared" si="40"/>
        <v>0</v>
      </c>
      <c r="AD128" s="83">
        <f t="shared" si="40"/>
        <v>0</v>
      </c>
      <c r="AE128" s="83">
        <f t="shared" si="40"/>
        <v>0</v>
      </c>
      <c r="AF128" s="83">
        <f t="shared" si="40"/>
        <v>0</v>
      </c>
      <c r="AG128" s="83">
        <f t="shared" si="40"/>
        <v>0</v>
      </c>
      <c r="AH128" s="83">
        <f t="shared" si="40"/>
        <v>0</v>
      </c>
      <c r="AI128" s="83">
        <f t="shared" si="40"/>
        <v>0</v>
      </c>
      <c r="AJ128" s="83">
        <f t="shared" si="40"/>
        <v>0</v>
      </c>
      <c r="AK128" s="83">
        <f t="shared" si="40"/>
        <v>0</v>
      </c>
      <c r="AL128" s="83">
        <f t="shared" si="40"/>
        <v>0</v>
      </c>
      <c r="AM128" s="83">
        <f t="shared" si="40"/>
        <v>0</v>
      </c>
    </row>
    <row r="129" ht="15.75" customHeight="1">
      <c r="B129" s="40" t="str">
        <f t="shared" si="29"/>
        <v>Frais KYC (au-delà du forfait inclus)</v>
      </c>
      <c r="D129" s="25">
        <v>0.0</v>
      </c>
      <c r="E129" s="25">
        <f t="shared" ref="E129:AM129" si="41">D105</f>
        <v>0</v>
      </c>
      <c r="F129" s="25">
        <f t="shared" si="41"/>
        <v>0</v>
      </c>
      <c r="G129" s="25">
        <f t="shared" si="41"/>
        <v>0</v>
      </c>
      <c r="H129" s="25">
        <f t="shared" si="41"/>
        <v>0</v>
      </c>
      <c r="I129" s="25">
        <f t="shared" si="41"/>
        <v>0</v>
      </c>
      <c r="J129" s="25">
        <f t="shared" si="41"/>
        <v>0</v>
      </c>
      <c r="K129" s="25">
        <f t="shared" si="41"/>
        <v>0</v>
      </c>
      <c r="L129" s="25">
        <f t="shared" si="41"/>
        <v>0</v>
      </c>
      <c r="M129" s="25">
        <f t="shared" si="41"/>
        <v>0</v>
      </c>
      <c r="N129" s="25">
        <f t="shared" si="41"/>
        <v>0</v>
      </c>
      <c r="O129" s="25">
        <f t="shared" si="41"/>
        <v>0</v>
      </c>
      <c r="P129" s="25">
        <f t="shared" si="41"/>
        <v>0</v>
      </c>
      <c r="Q129" s="25">
        <f t="shared" si="41"/>
        <v>0</v>
      </c>
      <c r="R129" s="25">
        <f t="shared" si="41"/>
        <v>0</v>
      </c>
      <c r="S129" s="25">
        <f t="shared" si="41"/>
        <v>0</v>
      </c>
      <c r="T129" s="25">
        <f t="shared" si="41"/>
        <v>0</v>
      </c>
      <c r="U129" s="25">
        <f t="shared" si="41"/>
        <v>0</v>
      </c>
      <c r="V129" s="25">
        <f t="shared" si="41"/>
        <v>0</v>
      </c>
      <c r="W129" s="25">
        <f t="shared" si="41"/>
        <v>0</v>
      </c>
      <c r="X129" s="25">
        <f t="shared" si="41"/>
        <v>0</v>
      </c>
      <c r="Y129" s="25">
        <f t="shared" si="41"/>
        <v>0</v>
      </c>
      <c r="Z129" s="25">
        <f t="shared" si="41"/>
        <v>0</v>
      </c>
      <c r="AA129" s="25">
        <f t="shared" si="41"/>
        <v>0</v>
      </c>
      <c r="AB129" s="25">
        <f t="shared" si="41"/>
        <v>0</v>
      </c>
      <c r="AC129" s="25">
        <f t="shared" si="41"/>
        <v>0</v>
      </c>
      <c r="AD129" s="25">
        <f t="shared" si="41"/>
        <v>0</v>
      </c>
      <c r="AE129" s="25">
        <f t="shared" si="41"/>
        <v>0</v>
      </c>
      <c r="AF129" s="25">
        <f t="shared" si="41"/>
        <v>0</v>
      </c>
      <c r="AG129" s="25">
        <f t="shared" si="41"/>
        <v>0</v>
      </c>
      <c r="AH129" s="25">
        <f t="shared" si="41"/>
        <v>0</v>
      </c>
      <c r="AI129" s="25">
        <f t="shared" si="41"/>
        <v>0</v>
      </c>
      <c r="AJ129" s="25">
        <f t="shared" si="41"/>
        <v>0</v>
      </c>
      <c r="AK129" s="25">
        <f t="shared" si="41"/>
        <v>0</v>
      </c>
      <c r="AL129" s="25">
        <f t="shared" si="41"/>
        <v>0</v>
      </c>
      <c r="AM129" s="25">
        <f t="shared" si="41"/>
        <v>0</v>
      </c>
    </row>
    <row r="130" ht="15.75" customHeight="1">
      <c r="B130" s="68" t="str">
        <f t="shared" si="29"/>
        <v>Frais de Constitution (hors barème — actif par défaut, voir 05_Tresorerie)</v>
      </c>
      <c r="D130" s="83">
        <v>0.0</v>
      </c>
      <c r="E130" s="83">
        <f t="shared" ref="E130:AM130" si="42">D106</f>
        <v>0</v>
      </c>
      <c r="F130" s="83">
        <f t="shared" si="42"/>
        <v>0</v>
      </c>
      <c r="G130" s="83">
        <f t="shared" si="42"/>
        <v>0</v>
      </c>
      <c r="H130" s="83">
        <f t="shared" si="42"/>
        <v>0</v>
      </c>
      <c r="I130" s="83">
        <f t="shared" si="42"/>
        <v>0</v>
      </c>
      <c r="J130" s="83">
        <f t="shared" si="42"/>
        <v>0</v>
      </c>
      <c r="K130" s="83">
        <f t="shared" si="42"/>
        <v>0</v>
      </c>
      <c r="L130" s="83">
        <f t="shared" si="42"/>
        <v>0</v>
      </c>
      <c r="M130" s="83">
        <f t="shared" si="42"/>
        <v>0</v>
      </c>
      <c r="N130" s="83">
        <f t="shared" si="42"/>
        <v>0</v>
      </c>
      <c r="O130" s="83">
        <f t="shared" si="42"/>
        <v>0</v>
      </c>
      <c r="P130" s="83">
        <f t="shared" si="42"/>
        <v>0</v>
      </c>
      <c r="Q130" s="83">
        <f t="shared" si="42"/>
        <v>0</v>
      </c>
      <c r="R130" s="83">
        <f t="shared" si="42"/>
        <v>0</v>
      </c>
      <c r="S130" s="83">
        <f t="shared" si="42"/>
        <v>0</v>
      </c>
      <c r="T130" s="83">
        <f t="shared" si="42"/>
        <v>0</v>
      </c>
      <c r="U130" s="83">
        <f t="shared" si="42"/>
        <v>0</v>
      </c>
      <c r="V130" s="83">
        <f t="shared" si="42"/>
        <v>0</v>
      </c>
      <c r="W130" s="83">
        <f t="shared" si="42"/>
        <v>0</v>
      </c>
      <c r="X130" s="83">
        <f t="shared" si="42"/>
        <v>0</v>
      </c>
      <c r="Y130" s="83">
        <f t="shared" si="42"/>
        <v>0</v>
      </c>
      <c r="Z130" s="83">
        <f t="shared" si="42"/>
        <v>0</v>
      </c>
      <c r="AA130" s="83">
        <f t="shared" si="42"/>
        <v>0</v>
      </c>
      <c r="AB130" s="83">
        <f t="shared" si="42"/>
        <v>0</v>
      </c>
      <c r="AC130" s="83">
        <f t="shared" si="42"/>
        <v>0</v>
      </c>
      <c r="AD130" s="83">
        <f t="shared" si="42"/>
        <v>0</v>
      </c>
      <c r="AE130" s="83">
        <f t="shared" si="42"/>
        <v>0</v>
      </c>
      <c r="AF130" s="83">
        <f t="shared" si="42"/>
        <v>0</v>
      </c>
      <c r="AG130" s="83">
        <f t="shared" si="42"/>
        <v>0</v>
      </c>
      <c r="AH130" s="83">
        <f t="shared" si="42"/>
        <v>0</v>
      </c>
      <c r="AI130" s="83">
        <f t="shared" si="42"/>
        <v>0</v>
      </c>
      <c r="AJ130" s="83">
        <f t="shared" si="42"/>
        <v>0</v>
      </c>
      <c r="AK130" s="83">
        <f t="shared" si="42"/>
        <v>0</v>
      </c>
      <c r="AL130" s="83">
        <f t="shared" si="42"/>
        <v>0</v>
      </c>
      <c r="AM130" s="83">
        <f t="shared" si="42"/>
        <v>0</v>
      </c>
    </row>
    <row r="131" ht="15.75" customHeight="1">
      <c r="B131" s="40" t="str">
        <f t="shared" si="29"/>
        <v>Dépositaire — Forfait liquidation (ANC&lt;5M€)</v>
      </c>
      <c r="D131" s="25">
        <v>0.0</v>
      </c>
      <c r="E131" s="25">
        <f t="shared" ref="E131:AM131" si="43">D107</f>
        <v>0</v>
      </c>
      <c r="F131" s="25">
        <f t="shared" si="43"/>
        <v>0</v>
      </c>
      <c r="G131" s="25">
        <f t="shared" si="43"/>
        <v>0</v>
      </c>
      <c r="H131" s="25">
        <f t="shared" si="43"/>
        <v>0</v>
      </c>
      <c r="I131" s="25">
        <f t="shared" si="43"/>
        <v>0</v>
      </c>
      <c r="J131" s="25">
        <f t="shared" si="43"/>
        <v>0</v>
      </c>
      <c r="K131" s="25">
        <f t="shared" si="43"/>
        <v>0</v>
      </c>
      <c r="L131" s="25">
        <f t="shared" si="43"/>
        <v>0</v>
      </c>
      <c r="M131" s="25">
        <f t="shared" si="43"/>
        <v>0</v>
      </c>
      <c r="N131" s="25">
        <f t="shared" si="43"/>
        <v>0</v>
      </c>
      <c r="O131" s="25">
        <f t="shared" si="43"/>
        <v>0</v>
      </c>
      <c r="P131" s="25">
        <f t="shared" si="43"/>
        <v>0</v>
      </c>
      <c r="Q131" s="25">
        <f t="shared" si="43"/>
        <v>0</v>
      </c>
      <c r="R131" s="25">
        <f t="shared" si="43"/>
        <v>0</v>
      </c>
      <c r="S131" s="25">
        <f t="shared" si="43"/>
        <v>0</v>
      </c>
      <c r="T131" s="25">
        <f t="shared" si="43"/>
        <v>0</v>
      </c>
      <c r="U131" s="25">
        <f t="shared" si="43"/>
        <v>0</v>
      </c>
      <c r="V131" s="25">
        <f t="shared" si="43"/>
        <v>0</v>
      </c>
      <c r="W131" s="25">
        <f t="shared" si="43"/>
        <v>0</v>
      </c>
      <c r="X131" s="25">
        <f t="shared" si="43"/>
        <v>0</v>
      </c>
      <c r="Y131" s="25">
        <f t="shared" si="43"/>
        <v>0</v>
      </c>
      <c r="Z131" s="25">
        <f t="shared" si="43"/>
        <v>0</v>
      </c>
      <c r="AA131" s="25">
        <f t="shared" si="43"/>
        <v>0</v>
      </c>
      <c r="AB131" s="25">
        <f t="shared" si="43"/>
        <v>0</v>
      </c>
      <c r="AC131" s="25">
        <f t="shared" si="43"/>
        <v>0</v>
      </c>
      <c r="AD131" s="25">
        <f t="shared" si="43"/>
        <v>0</v>
      </c>
      <c r="AE131" s="25">
        <f t="shared" si="43"/>
        <v>0</v>
      </c>
      <c r="AF131" s="25">
        <f t="shared" si="43"/>
        <v>0</v>
      </c>
      <c r="AG131" s="25">
        <f t="shared" si="43"/>
        <v>0</v>
      </c>
      <c r="AH131" s="25">
        <f t="shared" si="43"/>
        <v>0</v>
      </c>
      <c r="AI131" s="25">
        <f t="shared" si="43"/>
        <v>0</v>
      </c>
      <c r="AJ131" s="25">
        <f t="shared" si="43"/>
        <v>0</v>
      </c>
      <c r="AK131" s="25">
        <f t="shared" si="43"/>
        <v>0</v>
      </c>
      <c r="AL131" s="25">
        <f t="shared" si="43"/>
        <v>0</v>
      </c>
      <c r="AM131" s="25">
        <f t="shared" si="43"/>
        <v>0</v>
      </c>
    </row>
    <row r="132" ht="15.75" customHeight="1">
      <c r="B132" s="68" t="str">
        <f t="shared" si="29"/>
        <v>Dépositaire — Admission Euroclear (par ISIN)</v>
      </c>
      <c r="D132" s="83">
        <v>0.0</v>
      </c>
      <c r="E132" s="83">
        <f t="shared" ref="E132:AM132" si="44">D108</f>
        <v>0</v>
      </c>
      <c r="F132" s="83">
        <f t="shared" si="44"/>
        <v>0</v>
      </c>
      <c r="G132" s="83">
        <f t="shared" si="44"/>
        <v>0</v>
      </c>
      <c r="H132" s="83">
        <f t="shared" si="44"/>
        <v>0</v>
      </c>
      <c r="I132" s="83">
        <f t="shared" si="44"/>
        <v>0</v>
      </c>
      <c r="J132" s="83">
        <f t="shared" si="44"/>
        <v>0</v>
      </c>
      <c r="K132" s="83">
        <f t="shared" si="44"/>
        <v>0</v>
      </c>
      <c r="L132" s="83">
        <f t="shared" si="44"/>
        <v>0</v>
      </c>
      <c r="M132" s="83">
        <f t="shared" si="44"/>
        <v>0</v>
      </c>
      <c r="N132" s="83">
        <f t="shared" si="44"/>
        <v>0</v>
      </c>
      <c r="O132" s="83">
        <f t="shared" si="44"/>
        <v>0</v>
      </c>
      <c r="P132" s="83">
        <f t="shared" si="44"/>
        <v>0</v>
      </c>
      <c r="Q132" s="83">
        <f t="shared" si="44"/>
        <v>0</v>
      </c>
      <c r="R132" s="83">
        <f t="shared" si="44"/>
        <v>0</v>
      </c>
      <c r="S132" s="83">
        <f t="shared" si="44"/>
        <v>0</v>
      </c>
      <c r="T132" s="83">
        <f t="shared" si="44"/>
        <v>0</v>
      </c>
      <c r="U132" s="83">
        <f t="shared" si="44"/>
        <v>0</v>
      </c>
      <c r="V132" s="83">
        <f t="shared" si="44"/>
        <v>0</v>
      </c>
      <c r="W132" s="83">
        <f t="shared" si="44"/>
        <v>0</v>
      </c>
      <c r="X132" s="83">
        <f t="shared" si="44"/>
        <v>0</v>
      </c>
      <c r="Y132" s="83">
        <f t="shared" si="44"/>
        <v>0</v>
      </c>
      <c r="Z132" s="83">
        <f t="shared" si="44"/>
        <v>0</v>
      </c>
      <c r="AA132" s="83">
        <f t="shared" si="44"/>
        <v>0</v>
      </c>
      <c r="AB132" s="83">
        <f t="shared" si="44"/>
        <v>0</v>
      </c>
      <c r="AC132" s="83">
        <f t="shared" si="44"/>
        <v>0</v>
      </c>
      <c r="AD132" s="83">
        <f t="shared" si="44"/>
        <v>0</v>
      </c>
      <c r="AE132" s="83">
        <f t="shared" si="44"/>
        <v>0</v>
      </c>
      <c r="AF132" s="83">
        <f t="shared" si="44"/>
        <v>0</v>
      </c>
      <c r="AG132" s="83">
        <f t="shared" si="44"/>
        <v>0</v>
      </c>
      <c r="AH132" s="83">
        <f t="shared" si="44"/>
        <v>0</v>
      </c>
      <c r="AI132" s="83">
        <f t="shared" si="44"/>
        <v>0</v>
      </c>
      <c r="AJ132" s="83">
        <f t="shared" si="44"/>
        <v>0</v>
      </c>
      <c r="AK132" s="83">
        <f t="shared" si="44"/>
        <v>0</v>
      </c>
      <c r="AL132" s="83">
        <f t="shared" si="44"/>
        <v>0</v>
      </c>
      <c r="AM132" s="83">
        <f t="shared" si="44"/>
        <v>0</v>
      </c>
    </row>
    <row r="133" ht="15.75" customHeight="1">
      <c r="B133" s="40" t="str">
        <f t="shared" si="29"/>
        <v>Reporting — Solvabilité II (optionnel)</v>
      </c>
      <c r="D133" s="25">
        <v>0.0</v>
      </c>
      <c r="E133" s="25">
        <f t="shared" ref="E133:AM133" si="45">D109</f>
        <v>0</v>
      </c>
      <c r="F133" s="25">
        <f t="shared" si="45"/>
        <v>0</v>
      </c>
      <c r="G133" s="25">
        <f t="shared" si="45"/>
        <v>0</v>
      </c>
      <c r="H133" s="25">
        <f t="shared" si="45"/>
        <v>0</v>
      </c>
      <c r="I133" s="25">
        <f t="shared" si="45"/>
        <v>0</v>
      </c>
      <c r="J133" s="25">
        <f t="shared" si="45"/>
        <v>0</v>
      </c>
      <c r="K133" s="25">
        <f t="shared" si="45"/>
        <v>0</v>
      </c>
      <c r="L133" s="25">
        <f t="shared" si="45"/>
        <v>0</v>
      </c>
      <c r="M133" s="25">
        <f t="shared" si="45"/>
        <v>0</v>
      </c>
      <c r="N133" s="25">
        <f t="shared" si="45"/>
        <v>0</v>
      </c>
      <c r="O133" s="25">
        <f t="shared" si="45"/>
        <v>0</v>
      </c>
      <c r="P133" s="25">
        <f t="shared" si="45"/>
        <v>0</v>
      </c>
      <c r="Q133" s="25">
        <f t="shared" si="45"/>
        <v>0</v>
      </c>
      <c r="R133" s="25">
        <f t="shared" si="45"/>
        <v>0</v>
      </c>
      <c r="S133" s="25">
        <f t="shared" si="45"/>
        <v>0</v>
      </c>
      <c r="T133" s="25">
        <f t="shared" si="45"/>
        <v>0</v>
      </c>
      <c r="U133" s="25">
        <f t="shared" si="45"/>
        <v>0</v>
      </c>
      <c r="V133" s="25">
        <f t="shared" si="45"/>
        <v>0</v>
      </c>
      <c r="W133" s="25">
        <f t="shared" si="45"/>
        <v>0</v>
      </c>
      <c r="X133" s="25">
        <f t="shared" si="45"/>
        <v>0</v>
      </c>
      <c r="Y133" s="25">
        <f t="shared" si="45"/>
        <v>0</v>
      </c>
      <c r="Z133" s="25">
        <f t="shared" si="45"/>
        <v>0</v>
      </c>
      <c r="AA133" s="25">
        <f t="shared" si="45"/>
        <v>0</v>
      </c>
      <c r="AB133" s="25">
        <f t="shared" si="45"/>
        <v>0</v>
      </c>
      <c r="AC133" s="25">
        <f t="shared" si="45"/>
        <v>0</v>
      </c>
      <c r="AD133" s="25">
        <f t="shared" si="45"/>
        <v>0</v>
      </c>
      <c r="AE133" s="25">
        <f t="shared" si="45"/>
        <v>0</v>
      </c>
      <c r="AF133" s="25">
        <f t="shared" si="45"/>
        <v>0</v>
      </c>
      <c r="AG133" s="25">
        <f t="shared" si="45"/>
        <v>0</v>
      </c>
      <c r="AH133" s="25">
        <f t="shared" si="45"/>
        <v>0</v>
      </c>
      <c r="AI133" s="25">
        <f t="shared" si="45"/>
        <v>0</v>
      </c>
      <c r="AJ133" s="25">
        <f t="shared" si="45"/>
        <v>0</v>
      </c>
      <c r="AK133" s="25">
        <f t="shared" si="45"/>
        <v>0</v>
      </c>
      <c r="AL133" s="25">
        <f t="shared" si="45"/>
        <v>0</v>
      </c>
      <c r="AM133" s="25">
        <f t="shared" si="45"/>
        <v>0</v>
      </c>
    </row>
    <row r="134" ht="15.75" hidden="1" customHeight="1" outlineLevel="1">
      <c r="B134" s="68" t="str">
        <f t="shared" si="29"/>
        <v>(inactif)</v>
      </c>
      <c r="D134" s="83">
        <v>0.0</v>
      </c>
      <c r="E134" s="83">
        <f t="shared" ref="E134:AM134" si="46">D110</f>
        <v>0</v>
      </c>
      <c r="F134" s="83">
        <f t="shared" si="46"/>
        <v>0</v>
      </c>
      <c r="G134" s="83">
        <f t="shared" si="46"/>
        <v>0</v>
      </c>
      <c r="H134" s="83">
        <f t="shared" si="46"/>
        <v>0</v>
      </c>
      <c r="I134" s="83">
        <f t="shared" si="46"/>
        <v>0</v>
      </c>
      <c r="J134" s="83">
        <f t="shared" si="46"/>
        <v>0</v>
      </c>
      <c r="K134" s="83">
        <f t="shared" si="46"/>
        <v>0</v>
      </c>
      <c r="L134" s="83">
        <f t="shared" si="46"/>
        <v>0</v>
      </c>
      <c r="M134" s="83">
        <f t="shared" si="46"/>
        <v>0</v>
      </c>
      <c r="N134" s="83">
        <f t="shared" si="46"/>
        <v>0</v>
      </c>
      <c r="O134" s="83">
        <f t="shared" si="46"/>
        <v>0</v>
      </c>
      <c r="P134" s="83">
        <f t="shared" si="46"/>
        <v>0</v>
      </c>
      <c r="Q134" s="83">
        <f t="shared" si="46"/>
        <v>0</v>
      </c>
      <c r="R134" s="83">
        <f t="shared" si="46"/>
        <v>0</v>
      </c>
      <c r="S134" s="83">
        <f t="shared" si="46"/>
        <v>0</v>
      </c>
      <c r="T134" s="83">
        <f t="shared" si="46"/>
        <v>0</v>
      </c>
      <c r="U134" s="83">
        <f t="shared" si="46"/>
        <v>0</v>
      </c>
      <c r="V134" s="83">
        <f t="shared" si="46"/>
        <v>0</v>
      </c>
      <c r="W134" s="83">
        <f t="shared" si="46"/>
        <v>0</v>
      </c>
      <c r="X134" s="83">
        <f t="shared" si="46"/>
        <v>0</v>
      </c>
      <c r="Y134" s="83">
        <f t="shared" si="46"/>
        <v>0</v>
      </c>
      <c r="Z134" s="83">
        <f t="shared" si="46"/>
        <v>0</v>
      </c>
      <c r="AA134" s="83">
        <f t="shared" si="46"/>
        <v>0</v>
      </c>
      <c r="AB134" s="83">
        <f t="shared" si="46"/>
        <v>0</v>
      </c>
      <c r="AC134" s="83">
        <f t="shared" si="46"/>
        <v>0</v>
      </c>
      <c r="AD134" s="83">
        <f t="shared" si="46"/>
        <v>0</v>
      </c>
      <c r="AE134" s="83">
        <f t="shared" si="46"/>
        <v>0</v>
      </c>
      <c r="AF134" s="83">
        <f t="shared" si="46"/>
        <v>0</v>
      </c>
      <c r="AG134" s="83">
        <f t="shared" si="46"/>
        <v>0</v>
      </c>
      <c r="AH134" s="83">
        <f t="shared" si="46"/>
        <v>0</v>
      </c>
      <c r="AI134" s="83">
        <f t="shared" si="46"/>
        <v>0</v>
      </c>
      <c r="AJ134" s="83">
        <f t="shared" si="46"/>
        <v>0</v>
      </c>
      <c r="AK134" s="83">
        <f t="shared" si="46"/>
        <v>0</v>
      </c>
      <c r="AL134" s="83">
        <f t="shared" si="46"/>
        <v>0</v>
      </c>
      <c r="AM134" s="83">
        <f t="shared" si="46"/>
        <v>0</v>
      </c>
    </row>
    <row r="135" ht="15.75" hidden="1" customHeight="1" outlineLevel="1">
      <c r="B135" s="40" t="str">
        <f t="shared" si="29"/>
        <v>(inactif)</v>
      </c>
      <c r="D135" s="25">
        <v>0.0</v>
      </c>
      <c r="E135" s="25">
        <f t="shared" ref="E135:AM135" si="47">D111</f>
        <v>0</v>
      </c>
      <c r="F135" s="25">
        <f t="shared" si="47"/>
        <v>0</v>
      </c>
      <c r="G135" s="25">
        <f t="shared" si="47"/>
        <v>0</v>
      </c>
      <c r="H135" s="25">
        <f t="shared" si="47"/>
        <v>0</v>
      </c>
      <c r="I135" s="25">
        <f t="shared" si="47"/>
        <v>0</v>
      </c>
      <c r="J135" s="25">
        <f t="shared" si="47"/>
        <v>0</v>
      </c>
      <c r="K135" s="25">
        <f t="shared" si="47"/>
        <v>0</v>
      </c>
      <c r="L135" s="25">
        <f t="shared" si="47"/>
        <v>0</v>
      </c>
      <c r="M135" s="25">
        <f t="shared" si="47"/>
        <v>0</v>
      </c>
      <c r="N135" s="25">
        <f t="shared" si="47"/>
        <v>0</v>
      </c>
      <c r="O135" s="25">
        <f t="shared" si="47"/>
        <v>0</v>
      </c>
      <c r="P135" s="25">
        <f t="shared" si="47"/>
        <v>0</v>
      </c>
      <c r="Q135" s="25">
        <f t="shared" si="47"/>
        <v>0</v>
      </c>
      <c r="R135" s="25">
        <f t="shared" si="47"/>
        <v>0</v>
      </c>
      <c r="S135" s="25">
        <f t="shared" si="47"/>
        <v>0</v>
      </c>
      <c r="T135" s="25">
        <f t="shared" si="47"/>
        <v>0</v>
      </c>
      <c r="U135" s="25">
        <f t="shared" si="47"/>
        <v>0</v>
      </c>
      <c r="V135" s="25">
        <f t="shared" si="47"/>
        <v>0</v>
      </c>
      <c r="W135" s="25">
        <f t="shared" si="47"/>
        <v>0</v>
      </c>
      <c r="X135" s="25">
        <f t="shared" si="47"/>
        <v>0</v>
      </c>
      <c r="Y135" s="25">
        <f t="shared" si="47"/>
        <v>0</v>
      </c>
      <c r="Z135" s="25">
        <f t="shared" si="47"/>
        <v>0</v>
      </c>
      <c r="AA135" s="25">
        <f t="shared" si="47"/>
        <v>0</v>
      </c>
      <c r="AB135" s="25">
        <f t="shared" si="47"/>
        <v>0</v>
      </c>
      <c r="AC135" s="25">
        <f t="shared" si="47"/>
        <v>0</v>
      </c>
      <c r="AD135" s="25">
        <f t="shared" si="47"/>
        <v>0</v>
      </c>
      <c r="AE135" s="25">
        <f t="shared" si="47"/>
        <v>0</v>
      </c>
      <c r="AF135" s="25">
        <f t="shared" si="47"/>
        <v>0</v>
      </c>
      <c r="AG135" s="25">
        <f t="shared" si="47"/>
        <v>0</v>
      </c>
      <c r="AH135" s="25">
        <f t="shared" si="47"/>
        <v>0</v>
      </c>
      <c r="AI135" s="25">
        <f t="shared" si="47"/>
        <v>0</v>
      </c>
      <c r="AJ135" s="25">
        <f t="shared" si="47"/>
        <v>0</v>
      </c>
      <c r="AK135" s="25">
        <f t="shared" si="47"/>
        <v>0</v>
      </c>
      <c r="AL135" s="25">
        <f t="shared" si="47"/>
        <v>0</v>
      </c>
      <c r="AM135" s="25">
        <f t="shared" si="47"/>
        <v>0</v>
      </c>
    </row>
    <row r="136" ht="15.75" hidden="1" customHeight="1" outlineLevel="1">
      <c r="B136" s="68" t="str">
        <f t="shared" si="29"/>
        <v>(inactif)</v>
      </c>
      <c r="D136" s="83">
        <v>0.0</v>
      </c>
      <c r="E136" s="83">
        <f t="shared" ref="E136:AM136" si="48">D112</f>
        <v>0</v>
      </c>
      <c r="F136" s="83">
        <f t="shared" si="48"/>
        <v>0</v>
      </c>
      <c r="G136" s="83">
        <f t="shared" si="48"/>
        <v>0</v>
      </c>
      <c r="H136" s="83">
        <f t="shared" si="48"/>
        <v>0</v>
      </c>
      <c r="I136" s="83">
        <f t="shared" si="48"/>
        <v>0</v>
      </c>
      <c r="J136" s="83">
        <f t="shared" si="48"/>
        <v>0</v>
      </c>
      <c r="K136" s="83">
        <f t="shared" si="48"/>
        <v>0</v>
      </c>
      <c r="L136" s="83">
        <f t="shared" si="48"/>
        <v>0</v>
      </c>
      <c r="M136" s="83">
        <f t="shared" si="48"/>
        <v>0</v>
      </c>
      <c r="N136" s="83">
        <f t="shared" si="48"/>
        <v>0</v>
      </c>
      <c r="O136" s="83">
        <f t="shared" si="48"/>
        <v>0</v>
      </c>
      <c r="P136" s="83">
        <f t="shared" si="48"/>
        <v>0</v>
      </c>
      <c r="Q136" s="83">
        <f t="shared" si="48"/>
        <v>0</v>
      </c>
      <c r="R136" s="83">
        <f t="shared" si="48"/>
        <v>0</v>
      </c>
      <c r="S136" s="83">
        <f t="shared" si="48"/>
        <v>0</v>
      </c>
      <c r="T136" s="83">
        <f t="shared" si="48"/>
        <v>0</v>
      </c>
      <c r="U136" s="83">
        <f t="shared" si="48"/>
        <v>0</v>
      </c>
      <c r="V136" s="83">
        <f t="shared" si="48"/>
        <v>0</v>
      </c>
      <c r="W136" s="83">
        <f t="shared" si="48"/>
        <v>0</v>
      </c>
      <c r="X136" s="83">
        <f t="shared" si="48"/>
        <v>0</v>
      </c>
      <c r="Y136" s="83">
        <f t="shared" si="48"/>
        <v>0</v>
      </c>
      <c r="Z136" s="83">
        <f t="shared" si="48"/>
        <v>0</v>
      </c>
      <c r="AA136" s="83">
        <f t="shared" si="48"/>
        <v>0</v>
      </c>
      <c r="AB136" s="83">
        <f t="shared" si="48"/>
        <v>0</v>
      </c>
      <c r="AC136" s="83">
        <f t="shared" si="48"/>
        <v>0</v>
      </c>
      <c r="AD136" s="83">
        <f t="shared" si="48"/>
        <v>0</v>
      </c>
      <c r="AE136" s="83">
        <f t="shared" si="48"/>
        <v>0</v>
      </c>
      <c r="AF136" s="83">
        <f t="shared" si="48"/>
        <v>0</v>
      </c>
      <c r="AG136" s="83">
        <f t="shared" si="48"/>
        <v>0</v>
      </c>
      <c r="AH136" s="83">
        <f t="shared" si="48"/>
        <v>0</v>
      </c>
      <c r="AI136" s="83">
        <f t="shared" si="48"/>
        <v>0</v>
      </c>
      <c r="AJ136" s="83">
        <f t="shared" si="48"/>
        <v>0</v>
      </c>
      <c r="AK136" s="83">
        <f t="shared" si="48"/>
        <v>0</v>
      </c>
      <c r="AL136" s="83">
        <f t="shared" si="48"/>
        <v>0</v>
      </c>
      <c r="AM136" s="83">
        <f t="shared" si="48"/>
        <v>0</v>
      </c>
    </row>
    <row r="137" ht="15.75" customHeight="1" collapsed="1">
      <c r="B137" s="87" t="s">
        <v>247</v>
      </c>
      <c r="D137" s="88">
        <f t="shared" ref="D137:AM137" si="49">D186</f>
        <v>0</v>
      </c>
      <c r="E137" s="88">
        <f t="shared" si="49"/>
        <v>10000</v>
      </c>
      <c r="F137" s="88">
        <f t="shared" si="49"/>
        <v>12500</v>
      </c>
      <c r="G137" s="88">
        <f t="shared" si="49"/>
        <v>0</v>
      </c>
      <c r="H137" s="88">
        <f t="shared" si="49"/>
        <v>0</v>
      </c>
      <c r="I137" s="88">
        <f t="shared" si="49"/>
        <v>0</v>
      </c>
      <c r="J137" s="88">
        <f t="shared" si="49"/>
        <v>0</v>
      </c>
      <c r="K137" s="88">
        <f t="shared" si="49"/>
        <v>0</v>
      </c>
      <c r="L137" s="88">
        <f t="shared" si="49"/>
        <v>0</v>
      </c>
      <c r="M137" s="88">
        <f t="shared" si="49"/>
        <v>0</v>
      </c>
      <c r="N137" s="88">
        <f t="shared" si="49"/>
        <v>0</v>
      </c>
      <c r="O137" s="88">
        <f t="shared" si="49"/>
        <v>0</v>
      </c>
      <c r="P137" s="88">
        <f t="shared" si="49"/>
        <v>0</v>
      </c>
      <c r="Q137" s="88">
        <f t="shared" si="49"/>
        <v>0</v>
      </c>
      <c r="R137" s="88">
        <f t="shared" si="49"/>
        <v>0</v>
      </c>
      <c r="S137" s="88">
        <f t="shared" si="49"/>
        <v>0</v>
      </c>
      <c r="T137" s="88">
        <f t="shared" si="49"/>
        <v>0</v>
      </c>
      <c r="U137" s="88">
        <f t="shared" si="49"/>
        <v>0</v>
      </c>
      <c r="V137" s="88">
        <f t="shared" si="49"/>
        <v>0</v>
      </c>
      <c r="W137" s="88">
        <f t="shared" si="49"/>
        <v>0</v>
      </c>
      <c r="X137" s="88">
        <f t="shared" si="49"/>
        <v>0</v>
      </c>
      <c r="Y137" s="88">
        <f t="shared" si="49"/>
        <v>0</v>
      </c>
      <c r="Z137" s="88">
        <f t="shared" si="49"/>
        <v>0</v>
      </c>
      <c r="AA137" s="88">
        <f t="shared" si="49"/>
        <v>0</v>
      </c>
      <c r="AB137" s="88">
        <f t="shared" si="49"/>
        <v>0</v>
      </c>
      <c r="AC137" s="88">
        <f t="shared" si="49"/>
        <v>0</v>
      </c>
      <c r="AD137" s="88">
        <f t="shared" si="49"/>
        <v>0</v>
      </c>
      <c r="AE137" s="88">
        <f t="shared" si="49"/>
        <v>0</v>
      </c>
      <c r="AF137" s="88">
        <f t="shared" si="49"/>
        <v>0</v>
      </c>
      <c r="AG137" s="88">
        <f t="shared" si="49"/>
        <v>0</v>
      </c>
      <c r="AH137" s="88">
        <f t="shared" si="49"/>
        <v>0</v>
      </c>
      <c r="AI137" s="88">
        <f t="shared" si="49"/>
        <v>0</v>
      </c>
      <c r="AJ137" s="88">
        <f t="shared" si="49"/>
        <v>0</v>
      </c>
      <c r="AK137" s="88">
        <f t="shared" si="49"/>
        <v>0</v>
      </c>
      <c r="AL137" s="88">
        <f t="shared" si="49"/>
        <v>0</v>
      </c>
      <c r="AM137" s="88">
        <f t="shared" si="49"/>
        <v>0</v>
      </c>
    </row>
    <row r="138" ht="15.75" customHeight="1">
      <c r="B138" s="79" t="s">
        <v>248</v>
      </c>
      <c r="D138" s="89">
        <f t="shared" ref="D138:AM138" si="50">SUM(D117:D136)+D137</f>
        <v>0</v>
      </c>
      <c r="E138" s="89">
        <f t="shared" si="50"/>
        <v>17789.09524</v>
      </c>
      <c r="F138" s="89">
        <f t="shared" si="50"/>
        <v>30122.25</v>
      </c>
      <c r="G138" s="89">
        <f t="shared" si="50"/>
        <v>0</v>
      </c>
      <c r="H138" s="89">
        <f t="shared" si="50"/>
        <v>0</v>
      </c>
      <c r="I138" s="89">
        <f t="shared" si="50"/>
        <v>4344.444444</v>
      </c>
      <c r="J138" s="89">
        <f t="shared" si="50"/>
        <v>0</v>
      </c>
      <c r="K138" s="89">
        <f t="shared" si="50"/>
        <v>0</v>
      </c>
      <c r="L138" s="89">
        <f t="shared" si="50"/>
        <v>0</v>
      </c>
      <c r="M138" s="89">
        <f t="shared" si="50"/>
        <v>0</v>
      </c>
      <c r="N138" s="89">
        <f t="shared" si="50"/>
        <v>0</v>
      </c>
      <c r="O138" s="89">
        <f t="shared" si="50"/>
        <v>0</v>
      </c>
      <c r="P138" s="89">
        <f t="shared" si="50"/>
        <v>0</v>
      </c>
      <c r="Q138" s="89">
        <f t="shared" si="50"/>
        <v>0</v>
      </c>
      <c r="R138" s="89">
        <f t="shared" si="50"/>
        <v>0</v>
      </c>
      <c r="S138" s="89">
        <f t="shared" si="50"/>
        <v>0</v>
      </c>
      <c r="T138" s="89">
        <f t="shared" si="50"/>
        <v>0</v>
      </c>
      <c r="U138" s="89">
        <f t="shared" si="50"/>
        <v>0</v>
      </c>
      <c r="V138" s="89">
        <f t="shared" si="50"/>
        <v>0</v>
      </c>
      <c r="W138" s="89">
        <f t="shared" si="50"/>
        <v>0</v>
      </c>
      <c r="X138" s="89">
        <f t="shared" si="50"/>
        <v>0</v>
      </c>
      <c r="Y138" s="89">
        <f t="shared" si="50"/>
        <v>0</v>
      </c>
      <c r="Z138" s="89">
        <f t="shared" si="50"/>
        <v>0</v>
      </c>
      <c r="AA138" s="89">
        <f t="shared" si="50"/>
        <v>0</v>
      </c>
      <c r="AB138" s="89">
        <f t="shared" si="50"/>
        <v>0</v>
      </c>
      <c r="AC138" s="89">
        <f t="shared" si="50"/>
        <v>0</v>
      </c>
      <c r="AD138" s="89">
        <f t="shared" si="50"/>
        <v>0</v>
      </c>
      <c r="AE138" s="89">
        <f t="shared" si="50"/>
        <v>0</v>
      </c>
      <c r="AF138" s="89">
        <f t="shared" si="50"/>
        <v>0</v>
      </c>
      <c r="AG138" s="89">
        <f t="shared" si="50"/>
        <v>0</v>
      </c>
      <c r="AH138" s="89">
        <f t="shared" si="50"/>
        <v>0</v>
      </c>
      <c r="AI138" s="89">
        <f t="shared" si="50"/>
        <v>0</v>
      </c>
      <c r="AJ138" s="89">
        <f t="shared" si="50"/>
        <v>0</v>
      </c>
      <c r="AK138" s="89">
        <f t="shared" si="50"/>
        <v>0</v>
      </c>
      <c r="AL138" s="89">
        <f t="shared" si="50"/>
        <v>0</v>
      </c>
      <c r="AM138" s="89">
        <f t="shared" si="50"/>
        <v>0</v>
      </c>
    </row>
    <row r="139" ht="15.75" customHeight="1"/>
    <row r="140" ht="18.0" customHeight="1">
      <c r="B140" s="12" t="s">
        <v>249</v>
      </c>
      <c r="C140" s="12"/>
      <c r="D140" s="12"/>
      <c r="E140" s="12"/>
      <c r="F140" s="12"/>
    </row>
    <row r="141" ht="135.75" customHeight="1">
      <c r="B141" s="52" t="s">
        <v>250</v>
      </c>
    </row>
    <row r="142" ht="15.75" customHeight="1"/>
    <row r="143" ht="15.75" customHeight="1">
      <c r="B143" s="16" t="s">
        <v>251</v>
      </c>
      <c r="C143" s="16" t="s">
        <v>252</v>
      </c>
      <c r="D143" s="16" t="s">
        <v>253</v>
      </c>
      <c r="E143" s="16" t="s">
        <v>254</v>
      </c>
    </row>
    <row r="144" ht="15.75" customHeight="1">
      <c r="B144" s="45" t="s">
        <v>255</v>
      </c>
      <c r="C144" s="90">
        <f>$E$5</f>
        <v>46247</v>
      </c>
      <c r="D144" s="90">
        <f>$E$6</f>
        <v>46752</v>
      </c>
      <c r="E144" s="45">
        <f t="shared" ref="E144:E148" si="51">DATEDIF(C144,D144,"m")+1</f>
        <v>17</v>
      </c>
    </row>
    <row r="145" ht="15.75" hidden="1" customHeight="1" outlineLevel="1">
      <c r="B145" s="45" t="s">
        <v>256</v>
      </c>
      <c r="C145" s="90">
        <f t="shared" ref="C145:C148" si="52">D144+1</f>
        <v>46753</v>
      </c>
      <c r="D145" s="90">
        <f t="shared" ref="D145:D148" si="53">EDATE(C145,12)-1</f>
        <v>47118</v>
      </c>
      <c r="E145" s="45">
        <f t="shared" si="51"/>
        <v>12</v>
      </c>
    </row>
    <row r="146" ht="15.75" hidden="1" customHeight="1" outlineLevel="1">
      <c r="B146" s="45" t="s">
        <v>257</v>
      </c>
      <c r="C146" s="90">
        <f t="shared" si="52"/>
        <v>47119</v>
      </c>
      <c r="D146" s="90">
        <f t="shared" si="53"/>
        <v>47483</v>
      </c>
      <c r="E146" s="45">
        <f t="shared" si="51"/>
        <v>12</v>
      </c>
    </row>
    <row r="147" ht="15.75" hidden="1" customHeight="1" outlineLevel="1">
      <c r="B147" s="45" t="s">
        <v>258</v>
      </c>
      <c r="C147" s="90">
        <f t="shared" si="52"/>
        <v>47484</v>
      </c>
      <c r="D147" s="90">
        <f t="shared" si="53"/>
        <v>47848</v>
      </c>
      <c r="E147" s="45">
        <f t="shared" si="51"/>
        <v>12</v>
      </c>
    </row>
    <row r="148" ht="15.75" hidden="1" customHeight="1" outlineLevel="1">
      <c r="B148" s="45" t="s">
        <v>259</v>
      </c>
      <c r="C148" s="90">
        <f t="shared" si="52"/>
        <v>47849</v>
      </c>
      <c r="D148" s="90">
        <f t="shared" si="53"/>
        <v>48213</v>
      </c>
      <c r="E148" s="45">
        <f t="shared" si="51"/>
        <v>12</v>
      </c>
    </row>
    <row r="149" ht="15.75" customHeight="1"/>
    <row r="150" ht="15.75" customHeight="1">
      <c r="B150" s="44" t="s">
        <v>260</v>
      </c>
      <c r="D150" s="61">
        <f>EDATE($E$5,12)</f>
        <v>46612</v>
      </c>
    </row>
    <row r="151" ht="15.75" customHeight="1">
      <c r="B151" s="44" t="s">
        <v>261</v>
      </c>
      <c r="D151" s="61">
        <f>IF(AND($D$150&gt;=C144,$D$150&lt;=D144),C144,IF(AND($D$150&gt;=C145,$D$150&lt;=D145),C145,IF(AND($D$150&gt;=C146,$D$150&lt;=D146),C146,IF(AND($D$150&gt;=C147,$D$150&lt;=D147),C147,IF(AND($D$150&gt;=C148,$D$150&lt;=D148),C148,0)))))</f>
        <v>46247</v>
      </c>
      <c r="E151" s="61">
        <f>IF(AND($D$150&gt;=C144,$D$150&lt;=D144),D144,IF(AND($D$150&gt;=C145,$D$150&lt;=D145),D145,IF(AND($D$150&gt;=C146,$D$150&lt;=D146),D146,IF(AND($D$150&gt;=C147,$D$150&lt;=D147),D147,IF(AND($D$150&gt;=C148,$D$150&lt;=D148),D148,0)))))</f>
        <v>46752</v>
      </c>
    </row>
    <row r="152" ht="15.75" customHeight="1">
      <c r="B152" s="44" t="s">
        <v>262</v>
      </c>
      <c r="D152" s="42">
        <f>IF(D151=0,0,DATEDIF(D151,E151,"m")+1)</f>
        <v>17</v>
      </c>
    </row>
    <row r="153" ht="15.75" customHeight="1"/>
    <row r="154" ht="15.75" customHeight="1">
      <c r="B154" s="44" t="s">
        <v>263</v>
      </c>
      <c r="D154" s="30">
        <f>MAX(Plancher_Constitution,Taux_Constitution*ActifNet_Prev_An1)</f>
        <v>60000</v>
      </c>
    </row>
    <row r="155" ht="15.75" customHeight="1">
      <c r="B155" s="44" t="s">
        <v>264</v>
      </c>
      <c r="D155" s="30">
        <f>IF(D150&lt;=D144,D154,Plancher_Constitution)</f>
        <v>60000</v>
      </c>
    </row>
    <row r="156" ht="15.75" customHeight="1">
      <c r="B156" s="44" t="s">
        <v>265</v>
      </c>
      <c r="D156" s="30">
        <f>IF(D150&lt;=D144,0,MAX(0,D154-Plancher_Constitution))</f>
        <v>0</v>
      </c>
    </row>
    <row r="157" ht="15.75" customHeight="1"/>
    <row r="158" ht="18.0" customHeight="1">
      <c r="B158" s="12" t="s">
        <v>266</v>
      </c>
      <c r="C158" s="12"/>
      <c r="D158" s="12"/>
      <c r="E158" s="12"/>
      <c r="F158" s="12"/>
    </row>
    <row r="159" ht="91.5" customHeight="1">
      <c r="B159" s="52" t="s">
        <v>267</v>
      </c>
    </row>
    <row r="160" ht="33.75" customHeight="1">
      <c r="B160" s="11" t="s">
        <v>268</v>
      </c>
      <c r="C160" s="11" t="s">
        <v>269</v>
      </c>
      <c r="D160" s="11" t="s">
        <v>270</v>
      </c>
      <c r="E160" s="11" t="s">
        <v>271</v>
      </c>
      <c r="F160" s="11" t="s">
        <v>272</v>
      </c>
    </row>
    <row r="161" ht="15.75" customHeight="1">
      <c r="B161" s="14" t="s">
        <v>273</v>
      </c>
      <c r="C161" s="41">
        <v>10000.0</v>
      </c>
      <c r="D161" s="57">
        <v>46265.0</v>
      </c>
      <c r="E161" s="58"/>
      <c r="F161" s="61">
        <f t="shared" ref="F161:F170" si="54">IF(D161="","",IF(E161&lt;&gt;"",E161,EDATE(D161,1)))</f>
        <v>46295</v>
      </c>
    </row>
    <row r="162" ht="15.75" customHeight="1">
      <c r="B162" s="14" t="s">
        <v>274</v>
      </c>
      <c r="C162" s="41">
        <v>2500.0</v>
      </c>
      <c r="D162" s="57">
        <v>46295.0</v>
      </c>
      <c r="E162" s="58"/>
      <c r="F162" s="61">
        <f t="shared" si="54"/>
        <v>46325</v>
      </c>
    </row>
    <row r="163" ht="15.75" customHeight="1">
      <c r="B163" s="14" t="s">
        <v>275</v>
      </c>
      <c r="C163" s="41">
        <v>10000.0</v>
      </c>
      <c r="D163" s="91">
        <v>46295.0</v>
      </c>
      <c r="E163" s="58"/>
      <c r="F163" s="61">
        <f t="shared" si="54"/>
        <v>46325</v>
      </c>
    </row>
    <row r="164" ht="15.75" hidden="1" customHeight="1" outlineLevel="1">
      <c r="B164" s="28"/>
      <c r="C164" s="43">
        <v>0.0</v>
      </c>
      <c r="D164" s="58"/>
      <c r="E164" s="58"/>
      <c r="F164" s="61" t="str">
        <f t="shared" si="54"/>
        <v/>
      </c>
    </row>
    <row r="165" ht="15.75" hidden="1" customHeight="1" outlineLevel="1">
      <c r="B165" s="28"/>
      <c r="C165" s="43">
        <v>0.0</v>
      </c>
      <c r="D165" s="58"/>
      <c r="E165" s="58"/>
      <c r="F165" s="61" t="str">
        <f t="shared" si="54"/>
        <v/>
      </c>
    </row>
    <row r="166" ht="15.75" hidden="1" customHeight="1" outlineLevel="1">
      <c r="B166" s="28"/>
      <c r="C166" s="43">
        <v>0.0</v>
      </c>
      <c r="D166" s="58"/>
      <c r="E166" s="58"/>
      <c r="F166" s="61" t="str">
        <f t="shared" si="54"/>
        <v/>
      </c>
    </row>
    <row r="167" ht="15.75" hidden="1" customHeight="1" outlineLevel="1">
      <c r="B167" s="28"/>
      <c r="C167" s="43">
        <v>0.0</v>
      </c>
      <c r="D167" s="58"/>
      <c r="E167" s="58"/>
      <c r="F167" s="61" t="str">
        <f t="shared" si="54"/>
        <v/>
      </c>
    </row>
    <row r="168" ht="15.75" hidden="1" customHeight="1" outlineLevel="1">
      <c r="B168" s="28"/>
      <c r="C168" s="43">
        <v>0.0</v>
      </c>
      <c r="D168" s="58"/>
      <c r="E168" s="58"/>
      <c r="F168" s="61" t="str">
        <f t="shared" si="54"/>
        <v/>
      </c>
    </row>
    <row r="169" ht="15.75" hidden="1" customHeight="1" outlineLevel="1">
      <c r="B169" s="28"/>
      <c r="C169" s="43">
        <v>0.0</v>
      </c>
      <c r="D169" s="58"/>
      <c r="E169" s="58"/>
      <c r="F169" s="61" t="str">
        <f t="shared" si="54"/>
        <v/>
      </c>
    </row>
    <row r="170" ht="15.75" hidden="1" customHeight="1" outlineLevel="1">
      <c r="B170" s="28"/>
      <c r="C170" s="43">
        <v>0.0</v>
      </c>
      <c r="D170" s="58"/>
      <c r="E170" s="58"/>
      <c r="F170" s="61" t="str">
        <f t="shared" si="54"/>
        <v/>
      </c>
    </row>
    <row r="171" ht="15.75" customHeight="1">
      <c r="B171" s="79" t="s">
        <v>276</v>
      </c>
      <c r="C171" s="89">
        <f>SUM(C161:C170)</f>
        <v>22500</v>
      </c>
    </row>
    <row r="172" ht="15.75" customHeight="1">
      <c r="B172" s="44" t="s">
        <v>277</v>
      </c>
      <c r="C172" s="30">
        <f>Plancher_Constitution-C171</f>
        <v>37500</v>
      </c>
    </row>
    <row r="173" ht="15.75" customHeight="1"/>
    <row r="174" ht="18.0" customHeight="1">
      <c r="B174" s="65" t="s">
        <v>278</v>
      </c>
      <c r="D174" s="66">
        <f>IF(0&lt;$E$7,EDATE($E$5,0),"")</f>
        <v>46247</v>
      </c>
      <c r="E174" s="66">
        <f>IF(1&lt;$E$7,EDATE($E$5,1),"")</f>
        <v>46278</v>
      </c>
      <c r="F174" s="66">
        <f>IF(2&lt;$E$7,EDATE($E$5,2),"")</f>
        <v>46308</v>
      </c>
      <c r="G174" s="66">
        <f>IF(3&lt;$E$7,EDATE($E$5,3),"")</f>
        <v>46339</v>
      </c>
      <c r="H174" s="66">
        <f>IF(4&lt;$E$7,EDATE($E$5,4),"")</f>
        <v>46369</v>
      </c>
      <c r="I174" s="66">
        <f>IF(5&lt;$E$7,EDATE($E$5,5),"")</f>
        <v>46400</v>
      </c>
      <c r="J174" s="66">
        <f>IF(6&lt;$E$7,EDATE($E$5,6),"")</f>
        <v>46431</v>
      </c>
      <c r="K174" s="66">
        <f>IF(7&lt;$E$7,EDATE($E$5,7),"")</f>
        <v>46459</v>
      </c>
      <c r="L174" s="66">
        <f>IF(8&lt;$E$7,EDATE($E$5,8),"")</f>
        <v>46490</v>
      </c>
      <c r="M174" s="66">
        <f>IF(9&lt;$E$7,EDATE($E$5,9),"")</f>
        <v>46520</v>
      </c>
      <c r="N174" s="66">
        <f>IF(10&lt;$E$7,EDATE($E$5,10),"")</f>
        <v>46551</v>
      </c>
      <c r="O174" s="66">
        <f>IF(11&lt;$E$7,EDATE($E$5,11),"")</f>
        <v>46581</v>
      </c>
      <c r="P174" s="66">
        <f>IF(12&lt;$E$7,EDATE($E$5,12),"")</f>
        <v>46612</v>
      </c>
      <c r="Q174" s="66">
        <f>IF(13&lt;$E$7,EDATE($E$5,13),"")</f>
        <v>46643</v>
      </c>
      <c r="R174" s="66">
        <f>IF(14&lt;$E$7,EDATE($E$5,14),"")</f>
        <v>46673</v>
      </c>
      <c r="S174" s="66">
        <f>IF(15&lt;$E$7,EDATE($E$5,15),"")</f>
        <v>46704</v>
      </c>
      <c r="T174" s="66">
        <f>IF(16&lt;$E$7,EDATE($E$5,16),"")</f>
        <v>46734</v>
      </c>
      <c r="U174" s="66">
        <f>IF(17&lt;$E$7,EDATE($E$5,17),"")</f>
        <v>46765</v>
      </c>
      <c r="V174" s="66">
        <f>IF(18&lt;$E$7,EDATE($E$5,18),"")</f>
        <v>46796</v>
      </c>
      <c r="W174" s="66">
        <f>IF(19&lt;$E$7,EDATE($E$5,19),"")</f>
        <v>46825</v>
      </c>
      <c r="X174" s="66">
        <f>IF(20&lt;$E$7,EDATE($E$5,20),"")</f>
        <v>46856</v>
      </c>
      <c r="Y174" s="66">
        <f>IF(21&lt;$E$7,EDATE($E$5,21),"")</f>
        <v>46886</v>
      </c>
      <c r="Z174" s="66">
        <f>IF(22&lt;$E$7,EDATE($E$5,22),"")</f>
        <v>46917</v>
      </c>
      <c r="AA174" s="66">
        <f>IF(23&lt;$E$7,EDATE($E$5,23),"")</f>
        <v>46947</v>
      </c>
      <c r="AB174" s="66" t="str">
        <f>IF(24&lt;$E$7,EDATE($E$5,24),"")</f>
        <v/>
      </c>
      <c r="AC174" s="66" t="str">
        <f>IF(25&lt;$E$7,EDATE($E$5,25),"")</f>
        <v/>
      </c>
      <c r="AD174" s="66" t="str">
        <f>IF(26&lt;$E$7,EDATE($E$5,26),"")</f>
        <v/>
      </c>
      <c r="AE174" s="66" t="str">
        <f>IF(27&lt;$E$7,EDATE($E$5,27),"")</f>
        <v/>
      </c>
      <c r="AF174" s="66" t="str">
        <f>IF(28&lt;$E$7,EDATE($E$5,28),"")</f>
        <v/>
      </c>
      <c r="AG174" s="66" t="str">
        <f>IF(29&lt;$E$7,EDATE($E$5,29),"")</f>
        <v/>
      </c>
      <c r="AH174" s="66" t="str">
        <f>IF(30&lt;$E$7,EDATE($E$5,30),"")</f>
        <v/>
      </c>
      <c r="AI174" s="66" t="str">
        <f>IF(31&lt;$E$7,EDATE($E$5,31),"")</f>
        <v/>
      </c>
      <c r="AJ174" s="66" t="str">
        <f>IF(32&lt;$E$7,EDATE($E$5,32),"")</f>
        <v/>
      </c>
      <c r="AK174" s="66" t="str">
        <f>IF(33&lt;$E$7,EDATE($E$5,33),"")</f>
        <v/>
      </c>
      <c r="AL174" s="66" t="str">
        <f>IF(34&lt;$E$7,EDATE($E$5,34),"")</f>
        <v/>
      </c>
      <c r="AM174" s="66" t="str">
        <f>IF(35&lt;$E$7,EDATE($E$5,35),"")</f>
        <v/>
      </c>
    </row>
    <row r="175" ht="15.75" hidden="1" customHeight="1" outlineLevel="1">
      <c r="B175" s="44" t="s">
        <v>279</v>
      </c>
      <c r="D175" s="92">
        <f t="shared" ref="D175:AM175" si="55">IF(D$174="",0,IF(SUMPRODUCT(($D$161:$D$170&lt;&gt;"")*(TEXT($D$161:$D$170,"YYYYMM")=TEXT(D$174,"YYYYMM")))&gt;0,1,0))</f>
        <v>1</v>
      </c>
      <c r="E175" s="92">
        <f t="shared" si="55"/>
        <v>1</v>
      </c>
      <c r="F175" s="92">
        <f t="shared" si="55"/>
        <v>0</v>
      </c>
      <c r="G175" s="92">
        <f t="shared" si="55"/>
        <v>0</v>
      </c>
      <c r="H175" s="92">
        <f t="shared" si="55"/>
        <v>0</v>
      </c>
      <c r="I175" s="92">
        <f t="shared" si="55"/>
        <v>0</v>
      </c>
      <c r="J175" s="92">
        <f t="shared" si="55"/>
        <v>0</v>
      </c>
      <c r="K175" s="92">
        <f t="shared" si="55"/>
        <v>0</v>
      </c>
      <c r="L175" s="92">
        <f t="shared" si="55"/>
        <v>0</v>
      </c>
      <c r="M175" s="92">
        <f t="shared" si="55"/>
        <v>0</v>
      </c>
      <c r="N175" s="92">
        <f t="shared" si="55"/>
        <v>0</v>
      </c>
      <c r="O175" s="92">
        <f t="shared" si="55"/>
        <v>0</v>
      </c>
      <c r="P175" s="92">
        <f t="shared" si="55"/>
        <v>0</v>
      </c>
      <c r="Q175" s="92">
        <f t="shared" si="55"/>
        <v>0</v>
      </c>
      <c r="R175" s="92">
        <f t="shared" si="55"/>
        <v>0</v>
      </c>
      <c r="S175" s="92">
        <f t="shared" si="55"/>
        <v>0</v>
      </c>
      <c r="T175" s="92">
        <f t="shared" si="55"/>
        <v>0</v>
      </c>
      <c r="U175" s="92">
        <f t="shared" si="55"/>
        <v>0</v>
      </c>
      <c r="V175" s="92">
        <f t="shared" si="55"/>
        <v>0</v>
      </c>
      <c r="W175" s="92">
        <f t="shared" si="55"/>
        <v>0</v>
      </c>
      <c r="X175" s="92">
        <f t="shared" si="55"/>
        <v>0</v>
      </c>
      <c r="Y175" s="92">
        <f t="shared" si="55"/>
        <v>0</v>
      </c>
      <c r="Z175" s="92">
        <f t="shared" si="55"/>
        <v>0</v>
      </c>
      <c r="AA175" s="92">
        <f t="shared" si="55"/>
        <v>0</v>
      </c>
      <c r="AB175" s="92">
        <f t="shared" si="55"/>
        <v>0</v>
      </c>
      <c r="AC175" s="92">
        <f t="shared" si="55"/>
        <v>0</v>
      </c>
      <c r="AD175" s="92">
        <f t="shared" si="55"/>
        <v>0</v>
      </c>
      <c r="AE175" s="92">
        <f t="shared" si="55"/>
        <v>0</v>
      </c>
      <c r="AF175" s="92">
        <f t="shared" si="55"/>
        <v>0</v>
      </c>
      <c r="AG175" s="92">
        <f t="shared" si="55"/>
        <v>0</v>
      </c>
      <c r="AH175" s="92">
        <f t="shared" si="55"/>
        <v>0</v>
      </c>
      <c r="AI175" s="92">
        <f t="shared" si="55"/>
        <v>0</v>
      </c>
      <c r="AJ175" s="92">
        <f t="shared" si="55"/>
        <v>0</v>
      </c>
      <c r="AK175" s="92">
        <f t="shared" si="55"/>
        <v>0</v>
      </c>
      <c r="AL175" s="92">
        <f t="shared" si="55"/>
        <v>0</v>
      </c>
      <c r="AM175" s="92">
        <f t="shared" si="55"/>
        <v>0</v>
      </c>
    </row>
    <row r="176" ht="15.75" hidden="1" customHeight="1" outlineLevel="1">
      <c r="B176" s="44" t="s">
        <v>280</v>
      </c>
      <c r="D176" s="93">
        <f t="shared" ref="D176:AM176" si="56">IF(D$174="",0,SUMPRODUCT(($D$161:$D$170&lt;&gt;"")*(TEXT($D$161:$D$170,"YYYYMM")=TEXT(D$174,"YYYYMM"))*($C$161:$C$170)))</f>
        <v>10000</v>
      </c>
      <c r="E176" s="93">
        <f t="shared" si="56"/>
        <v>12500</v>
      </c>
      <c r="F176" s="93">
        <f t="shared" si="56"/>
        <v>0</v>
      </c>
      <c r="G176" s="93">
        <f t="shared" si="56"/>
        <v>0</v>
      </c>
      <c r="H176" s="93">
        <f t="shared" si="56"/>
        <v>0</v>
      </c>
      <c r="I176" s="93">
        <f t="shared" si="56"/>
        <v>0</v>
      </c>
      <c r="J176" s="93">
        <f t="shared" si="56"/>
        <v>0</v>
      </c>
      <c r="K176" s="93">
        <f t="shared" si="56"/>
        <v>0</v>
      </c>
      <c r="L176" s="93">
        <f t="shared" si="56"/>
        <v>0</v>
      </c>
      <c r="M176" s="93">
        <f t="shared" si="56"/>
        <v>0</v>
      </c>
      <c r="N176" s="93">
        <f t="shared" si="56"/>
        <v>0</v>
      </c>
      <c r="O176" s="93">
        <f t="shared" si="56"/>
        <v>0</v>
      </c>
      <c r="P176" s="93">
        <f t="shared" si="56"/>
        <v>0</v>
      </c>
      <c r="Q176" s="93">
        <f t="shared" si="56"/>
        <v>0</v>
      </c>
      <c r="R176" s="93">
        <f t="shared" si="56"/>
        <v>0</v>
      </c>
      <c r="S176" s="93">
        <f t="shared" si="56"/>
        <v>0</v>
      </c>
      <c r="T176" s="93">
        <f t="shared" si="56"/>
        <v>0</v>
      </c>
      <c r="U176" s="93">
        <f t="shared" si="56"/>
        <v>0</v>
      </c>
      <c r="V176" s="93">
        <f t="shared" si="56"/>
        <v>0</v>
      </c>
      <c r="W176" s="93">
        <f t="shared" si="56"/>
        <v>0</v>
      </c>
      <c r="X176" s="93">
        <f t="shared" si="56"/>
        <v>0</v>
      </c>
      <c r="Y176" s="93">
        <f t="shared" si="56"/>
        <v>0</v>
      </c>
      <c r="Z176" s="93">
        <f t="shared" si="56"/>
        <v>0</v>
      </c>
      <c r="AA176" s="93">
        <f t="shared" si="56"/>
        <v>0</v>
      </c>
      <c r="AB176" s="93">
        <f t="shared" si="56"/>
        <v>0</v>
      </c>
      <c r="AC176" s="93">
        <f t="shared" si="56"/>
        <v>0</v>
      </c>
      <c r="AD176" s="93">
        <f t="shared" si="56"/>
        <v>0</v>
      </c>
      <c r="AE176" s="93">
        <f t="shared" si="56"/>
        <v>0</v>
      </c>
      <c r="AF176" s="93">
        <f t="shared" si="56"/>
        <v>0</v>
      </c>
      <c r="AG176" s="93">
        <f t="shared" si="56"/>
        <v>0</v>
      </c>
      <c r="AH176" s="93">
        <f t="shared" si="56"/>
        <v>0</v>
      </c>
      <c r="AI176" s="93">
        <f t="shared" si="56"/>
        <v>0</v>
      </c>
      <c r="AJ176" s="93">
        <f t="shared" si="56"/>
        <v>0</v>
      </c>
      <c r="AK176" s="93">
        <f t="shared" si="56"/>
        <v>0</v>
      </c>
      <c r="AL176" s="93">
        <f t="shared" si="56"/>
        <v>0</v>
      </c>
      <c r="AM176" s="93">
        <f t="shared" si="56"/>
        <v>0</v>
      </c>
    </row>
    <row r="177" ht="15.75" customHeight="1">
      <c r="B177" s="44" t="s">
        <v>281</v>
      </c>
      <c r="D177" s="42">
        <f>SUMPRODUCT((D$174:AM$174&gt;=C144)*(D$174:AM$174&lt;=D144)*(D$175:AM$175))</f>
        <v>2</v>
      </c>
    </row>
    <row r="178" ht="15.75" customHeight="1">
      <c r="B178" s="44" t="s">
        <v>282</v>
      </c>
      <c r="D178" s="30">
        <f>SUMPRODUCT((D$174:AM$174&gt;=C144)*(D$174:AM$174&lt;=D144)*(D$176:AM$176))</f>
        <v>22500</v>
      </c>
    </row>
    <row r="179" ht="15.75" customHeight="1">
      <c r="B179" s="44" t="s">
        <v>283</v>
      </c>
      <c r="D179" s="42">
        <f>IF(D151=0,0,SUMPRODUCT((D$174:AM$174&gt;=D151)*(D$174:AM$174&lt;=E151)*(D$175:AM$175)))</f>
        <v>2</v>
      </c>
    </row>
    <row r="180" ht="15.75" customHeight="1">
      <c r="B180" s="44" t="s">
        <v>284</v>
      </c>
      <c r="D180" s="30">
        <f>IF(D151=0,0,SUMPRODUCT((D$174:AM$174&gt;=D151)*(D$174:AM$174&lt;=E151)*(D$176:AM$176)))</f>
        <v>22500</v>
      </c>
    </row>
    <row r="181" ht="15.75" customHeight="1"/>
    <row r="182" ht="15.75" customHeight="1">
      <c r="B182" s="45" t="s">
        <v>285</v>
      </c>
      <c r="D182" s="25">
        <f>IF(D$174="",0,IF(AND(D$174&gt;=C144,D$174&lt;=D144),IF(D$175=1,D$176,IF((E144-D177)&lt;=0,0,MAX(0,D155-D178)/(E144-D177))),IF(AND(D151&lt;&gt;0,D$174&gt;=D151,D$174&lt;=E151),IF(D$175=1,D$176,IF((D152-D179)&lt;=0,0,MAX(0,D156-D180)/(D152-D179))),0)))</f>
        <v>10000</v>
      </c>
      <c r="E182" s="25">
        <f>IF(E$174="",0,IF(AND(E$174&gt;=C144,E$174&lt;=D144),IF(E$175=1,E$176,IF((E144-D177)&lt;=0,0,MAX(0,D155-D178)/(E144-D177))),IF(AND(D151&lt;&gt;0,E$174&gt;=D151,E$174&lt;=E151),IF(E$175=1,E$176,IF((D152-D179)&lt;=0,0,MAX(0,D156-D180)/(D152-D179))),0)))</f>
        <v>12500</v>
      </c>
      <c r="F182" s="25">
        <f>IF(F$174="",0,IF(AND(F$174&gt;=C144,F$174&lt;=D144),IF(F$175=1,F$176,IF((E144-D177)&lt;=0,0,MAX(0,D155-D178)/(E144-D177))),IF(AND(D151&lt;&gt;0,F$174&gt;=D151,F$174&lt;=E151),IF(F$175=1,F$176,IF((D152-D179)&lt;=0,0,MAX(0,D156-D180)/(D152-D179))),0)))</f>
        <v>2500</v>
      </c>
      <c r="G182" s="25">
        <f>IF(G$174="",0,IF(AND(G$174&gt;=C144,G$174&lt;=D144),IF(G$175=1,G$176,IF((E144-D177)&lt;=0,0,MAX(0,D155-D178)/(E144-D177))),IF(AND(D151&lt;&gt;0,G$174&gt;=D151,G$174&lt;=E151),IF(G$175=1,G$176,IF((D152-D179)&lt;=0,0,MAX(0,D156-D180)/(D152-D179))),0)))</f>
        <v>2500</v>
      </c>
      <c r="H182" s="25">
        <f>IF(H$174="",0,IF(AND(H$174&gt;=C144,H$174&lt;=D144),IF(H$175=1,H$176,IF((E144-D177)&lt;=0,0,MAX(0,D155-D178)/(E144-D177))),IF(AND(D151&lt;&gt;0,H$174&gt;=D151,H$174&lt;=E151),IF(H$175=1,H$176,IF((D152-D179)&lt;=0,0,MAX(0,D156-D180)/(D152-D179))),0)))</f>
        <v>2500</v>
      </c>
      <c r="I182" s="25">
        <f>IF(I$174="",0,IF(AND(I$174&gt;=C144,I$174&lt;=D144),IF(I$175=1,I$176,IF((E144-D177)&lt;=0,0,MAX(0,D155-D178)/(E144-D177))),IF(AND(D151&lt;&gt;0,I$174&gt;=D151,I$174&lt;=E151),IF(I$175=1,I$176,IF((D152-D179)&lt;=0,0,MAX(0,D156-D180)/(D152-D179))),0)))</f>
        <v>2500</v>
      </c>
      <c r="J182" s="25">
        <f>IF(J$174="",0,IF(AND(J$174&gt;=C144,J$174&lt;=D144),IF(J$175=1,J$176,IF((E144-D177)&lt;=0,0,MAX(0,D155-D178)/(E144-D177))),IF(AND(D151&lt;&gt;0,J$174&gt;=D151,J$174&lt;=E151),IF(J$175=1,J$176,IF((D152-D179)&lt;=0,0,MAX(0,D156-D180)/(D152-D179))),0)))</f>
        <v>2500</v>
      </c>
      <c r="K182" s="25">
        <f>IF(K$174="",0,IF(AND(K$174&gt;=C144,K$174&lt;=D144),IF(K$175=1,K$176,IF((E144-D177)&lt;=0,0,MAX(0,D155-D178)/(E144-D177))),IF(AND(D151&lt;&gt;0,K$174&gt;=D151,K$174&lt;=E151),IF(K$175=1,K$176,IF((D152-D179)&lt;=0,0,MAX(0,D156-D180)/(D152-D179))),0)))</f>
        <v>2500</v>
      </c>
      <c r="L182" s="25">
        <f>IF(L$174="",0,IF(AND(L$174&gt;=C144,L$174&lt;=D144),IF(L$175=1,L$176,IF((E144-D177)&lt;=0,0,MAX(0,D155-D178)/(E144-D177))),IF(AND(D151&lt;&gt;0,L$174&gt;=D151,L$174&lt;=E151),IF(L$175=1,L$176,IF((D152-D179)&lt;=0,0,MAX(0,D156-D180)/(D152-D179))),0)))</f>
        <v>2500</v>
      </c>
      <c r="M182" s="25">
        <f>IF(M$174="",0,IF(AND(M$174&gt;=C144,M$174&lt;=D144),IF(M$175=1,M$176,IF((E144-D177)&lt;=0,0,MAX(0,D155-D178)/(E144-D177))),IF(AND(D151&lt;&gt;0,M$174&gt;=D151,M$174&lt;=E151),IF(M$175=1,M$176,IF((D152-D179)&lt;=0,0,MAX(0,D156-D180)/(D152-D179))),0)))</f>
        <v>2500</v>
      </c>
      <c r="N182" s="25">
        <f>IF(N$174="",0,IF(AND(N$174&gt;=C144,N$174&lt;=D144),IF(N$175=1,N$176,IF((E144-D177)&lt;=0,0,MAX(0,D155-D178)/(E144-D177))),IF(AND(D151&lt;&gt;0,N$174&gt;=D151,N$174&lt;=E151),IF(N$175=1,N$176,IF((D152-D179)&lt;=0,0,MAX(0,D156-D180)/(D152-D179))),0)))</f>
        <v>2500</v>
      </c>
      <c r="O182" s="25">
        <f>IF(O$174="",0,IF(AND(O$174&gt;=C144,O$174&lt;=D144),IF(O$175=1,O$176,IF((E144-D177)&lt;=0,0,MAX(0,D155-D178)/(E144-D177))),IF(AND(D151&lt;&gt;0,O$174&gt;=D151,O$174&lt;=E151),IF(O$175=1,O$176,IF((D152-D179)&lt;=0,0,MAX(0,D156-D180)/(D152-D179))),0)))</f>
        <v>2500</v>
      </c>
      <c r="P182" s="25">
        <f>IF(P$174="",0,IF(AND(P$174&gt;=C144,P$174&lt;=D144),IF(P$175=1,P$176,IF((E144-D177)&lt;=0,0,MAX(0,D155-D178)/(E144-D177))),IF(AND(D151&lt;&gt;0,P$174&gt;=D151,P$174&lt;=E151),IF(P$175=1,P$176,IF((D152-D179)&lt;=0,0,MAX(0,D156-D180)/(D152-D179))),0)))</f>
        <v>2500</v>
      </c>
      <c r="Q182" s="25">
        <f>IF(Q$174="",0,IF(AND(Q$174&gt;=C144,Q$174&lt;=D144),IF(Q$175=1,Q$176,IF((E144-D177)&lt;=0,0,MAX(0,D155-D178)/(E144-D177))),IF(AND(D151&lt;&gt;0,Q$174&gt;=D151,Q$174&lt;=E151),IF(Q$175=1,Q$176,IF((D152-D179)&lt;=0,0,MAX(0,D156-D180)/(D152-D179))),0)))</f>
        <v>2500</v>
      </c>
      <c r="R182" s="25">
        <f>IF(R$174="",0,IF(AND(R$174&gt;=C144,R$174&lt;=D144),IF(R$175=1,R$176,IF((E144-D177)&lt;=0,0,MAX(0,D155-D178)/(E144-D177))),IF(AND(D151&lt;&gt;0,R$174&gt;=D151,R$174&lt;=E151),IF(R$175=1,R$176,IF((D152-D179)&lt;=0,0,MAX(0,D156-D180)/(D152-D179))),0)))</f>
        <v>2500</v>
      </c>
      <c r="S182" s="25">
        <f>IF(S$174="",0,IF(AND(S$174&gt;=C144,S$174&lt;=D144),IF(S$175=1,S$176,IF((E144-D177)&lt;=0,0,MAX(0,D155-D178)/(E144-D177))),IF(AND(D151&lt;&gt;0,S$174&gt;=D151,S$174&lt;=E151),IF(S$175=1,S$176,IF((D152-D179)&lt;=0,0,MAX(0,D156-D180)/(D152-D179))),0)))</f>
        <v>2500</v>
      </c>
      <c r="T182" s="25">
        <f>IF(T$174="",0,IF(AND(T$174&gt;=C144,T$174&lt;=D144),IF(T$175=1,T$176,IF((E144-D177)&lt;=0,0,MAX(0,D155-D178)/(E144-D177))),IF(AND(D151&lt;&gt;0,T$174&gt;=D151,T$174&lt;=E151),IF(T$175=1,T$176,IF((D152-D179)&lt;=0,0,MAX(0,D156-D180)/(D152-D179))),0)))</f>
        <v>2500</v>
      </c>
      <c r="U182" s="25">
        <f>IF(U$174="",0,IF(AND(U$174&gt;=C144,U$174&lt;=D144),IF(U$175=1,U$176,IF((E144-D177)&lt;=0,0,MAX(0,D155-D178)/(E144-D177))),IF(AND(D151&lt;&gt;0,U$174&gt;=D151,U$174&lt;=E151),IF(U$175=1,U$176,IF((D152-D179)&lt;=0,0,MAX(0,D156-D180)/(D152-D179))),0)))</f>
        <v>0</v>
      </c>
      <c r="V182" s="25">
        <f>IF(V$174="",0,IF(AND(V$174&gt;=C144,V$174&lt;=D144),IF(V$175=1,V$176,IF((E144-D177)&lt;=0,0,MAX(0,D155-D178)/(E144-D177))),IF(AND(D151&lt;&gt;0,V$174&gt;=D151,V$174&lt;=E151),IF(V$175=1,V$176,IF((D152-D179)&lt;=0,0,MAX(0,D156-D180)/(D152-D179))),0)))</f>
        <v>0</v>
      </c>
      <c r="W182" s="25">
        <f>IF(W$174="",0,IF(AND(W$174&gt;=C144,W$174&lt;=D144),IF(W$175=1,W$176,IF((E144-D177)&lt;=0,0,MAX(0,D155-D178)/(E144-D177))),IF(AND(D151&lt;&gt;0,W$174&gt;=D151,W$174&lt;=E151),IF(W$175=1,W$176,IF((D152-D179)&lt;=0,0,MAX(0,D156-D180)/(D152-D179))),0)))</f>
        <v>0</v>
      </c>
      <c r="X182" s="25">
        <f>IF(X$174="",0,IF(AND(X$174&gt;=C144,X$174&lt;=D144),IF(X$175=1,X$176,IF((E144-D177)&lt;=0,0,MAX(0,D155-D178)/(E144-D177))),IF(AND(D151&lt;&gt;0,X$174&gt;=D151,X$174&lt;=E151),IF(X$175=1,X$176,IF((D152-D179)&lt;=0,0,MAX(0,D156-D180)/(D152-D179))),0)))</f>
        <v>0</v>
      </c>
      <c r="Y182" s="25">
        <f>IF(Y$174="",0,IF(AND(Y$174&gt;=C144,Y$174&lt;=D144),IF(Y$175=1,Y$176,IF((E144-D177)&lt;=0,0,MAX(0,D155-D178)/(E144-D177))),IF(AND(D151&lt;&gt;0,Y$174&gt;=D151,Y$174&lt;=E151),IF(Y$175=1,Y$176,IF((D152-D179)&lt;=0,0,MAX(0,D156-D180)/(D152-D179))),0)))</f>
        <v>0</v>
      </c>
      <c r="Z182" s="25">
        <f>IF(Z$174="",0,IF(AND(Z$174&gt;=C144,Z$174&lt;=D144),IF(Z$175=1,Z$176,IF((E144-D177)&lt;=0,0,MAX(0,D155-D178)/(E144-D177))),IF(AND(D151&lt;&gt;0,Z$174&gt;=D151,Z$174&lt;=E151),IF(Z$175=1,Z$176,IF((D152-D179)&lt;=0,0,MAX(0,D156-D180)/(D152-D179))),0)))</f>
        <v>0</v>
      </c>
      <c r="AA182" s="25">
        <f>IF(AA$174="",0,IF(AND(AA$174&gt;=C144,AA$174&lt;=D144),IF(AA$175=1,AA$176,IF((E144-D177)&lt;=0,0,MAX(0,D155-D178)/(E144-D177))),IF(AND(D151&lt;&gt;0,AA$174&gt;=D151,AA$174&lt;=E151),IF(AA$175=1,AA$176,IF((D152-D179)&lt;=0,0,MAX(0,D156-D180)/(D152-D179))),0)))</f>
        <v>0</v>
      </c>
      <c r="AB182" s="25">
        <f>IF(AB$174="",0,IF(AND(AB$174&gt;=C144,AB$174&lt;=D144),IF(AB$175=1,AB$176,IF((E144-D177)&lt;=0,0,MAX(0,D155-D178)/(E144-D177))),IF(AND(D151&lt;&gt;0,AB$174&gt;=D151,AB$174&lt;=E151),IF(AB$175=1,AB$176,IF((D152-D179)&lt;=0,0,MAX(0,D156-D180)/(D152-D179))),0)))</f>
        <v>0</v>
      </c>
      <c r="AC182" s="25">
        <f>IF(AC$174="",0,IF(AND(AC$174&gt;=C144,AC$174&lt;=D144),IF(AC$175=1,AC$176,IF((E144-D177)&lt;=0,0,MAX(0,D155-D178)/(E144-D177))),IF(AND(D151&lt;&gt;0,AC$174&gt;=D151,AC$174&lt;=E151),IF(AC$175=1,AC$176,IF((D152-D179)&lt;=0,0,MAX(0,D156-D180)/(D152-D179))),0)))</f>
        <v>0</v>
      </c>
      <c r="AD182" s="25">
        <f>IF(AD$174="",0,IF(AND(AD$174&gt;=C144,AD$174&lt;=D144),IF(AD$175=1,AD$176,IF((E144-D177)&lt;=0,0,MAX(0,D155-D178)/(E144-D177))),IF(AND(D151&lt;&gt;0,AD$174&gt;=D151,AD$174&lt;=E151),IF(AD$175=1,AD$176,IF((D152-D179)&lt;=0,0,MAX(0,D156-D180)/(D152-D179))),0)))</f>
        <v>0</v>
      </c>
      <c r="AE182" s="25">
        <f>IF(AE$174="",0,IF(AND(AE$174&gt;=C144,AE$174&lt;=D144),IF(AE$175=1,AE$176,IF((E144-D177)&lt;=0,0,MAX(0,D155-D178)/(E144-D177))),IF(AND(D151&lt;&gt;0,AE$174&gt;=D151,AE$174&lt;=E151),IF(AE$175=1,AE$176,IF((D152-D179)&lt;=0,0,MAX(0,D156-D180)/(D152-D179))),0)))</f>
        <v>0</v>
      </c>
      <c r="AF182" s="25">
        <f>IF(AF$174="",0,IF(AND(AF$174&gt;=C144,AF$174&lt;=D144),IF(AF$175=1,AF$176,IF((E144-D177)&lt;=0,0,MAX(0,D155-D178)/(E144-D177))),IF(AND(D151&lt;&gt;0,AF$174&gt;=D151,AF$174&lt;=E151),IF(AF$175=1,AF$176,IF((D152-D179)&lt;=0,0,MAX(0,D156-D180)/(D152-D179))),0)))</f>
        <v>0</v>
      </c>
      <c r="AG182" s="25">
        <f>IF(AG$174="",0,IF(AND(AG$174&gt;=C144,AG$174&lt;=D144),IF(AG$175=1,AG$176,IF((E144-D177)&lt;=0,0,MAX(0,D155-D178)/(E144-D177))),IF(AND(D151&lt;&gt;0,AG$174&gt;=D151,AG$174&lt;=E151),IF(AG$175=1,AG$176,IF((D152-D179)&lt;=0,0,MAX(0,D156-D180)/(D152-D179))),0)))</f>
        <v>0</v>
      </c>
      <c r="AH182" s="25">
        <f>IF(AH$174="",0,IF(AND(AH$174&gt;=C144,AH$174&lt;=D144),IF(AH$175=1,AH$176,IF((E144-D177)&lt;=0,0,MAX(0,D155-D178)/(E144-D177))),IF(AND(D151&lt;&gt;0,AH$174&gt;=D151,AH$174&lt;=E151),IF(AH$175=1,AH$176,IF((D152-D179)&lt;=0,0,MAX(0,D156-D180)/(D152-D179))),0)))</f>
        <v>0</v>
      </c>
      <c r="AI182" s="25">
        <f>IF(AI$174="",0,IF(AND(AI$174&gt;=C144,AI$174&lt;=D144),IF(AI$175=1,AI$176,IF((E144-D177)&lt;=0,0,MAX(0,D155-D178)/(E144-D177))),IF(AND(D151&lt;&gt;0,AI$174&gt;=D151,AI$174&lt;=E151),IF(AI$175=1,AI$176,IF((D152-D179)&lt;=0,0,MAX(0,D156-D180)/(D152-D179))),0)))</f>
        <v>0</v>
      </c>
      <c r="AJ182" s="25">
        <f>IF(AJ$174="",0,IF(AND(AJ$174&gt;=C144,AJ$174&lt;=D144),IF(AJ$175=1,AJ$176,IF((E144-D177)&lt;=0,0,MAX(0,D155-D178)/(E144-D177))),IF(AND(D151&lt;&gt;0,AJ$174&gt;=D151,AJ$174&lt;=E151),IF(AJ$175=1,AJ$176,IF((D152-D179)&lt;=0,0,MAX(0,D156-D180)/(D152-D179))),0)))</f>
        <v>0</v>
      </c>
      <c r="AK182" s="25">
        <f>IF(AK$174="",0,IF(AND(AK$174&gt;=C144,AK$174&lt;=D144),IF(AK$175=1,AK$176,IF((E144-D177)&lt;=0,0,MAX(0,D155-D178)/(E144-D177))),IF(AND(D151&lt;&gt;0,AK$174&gt;=D151,AK$174&lt;=E151),IF(AK$175=1,AK$176,IF((D152-D179)&lt;=0,0,MAX(0,D156-D180)/(D152-D179))),0)))</f>
        <v>0</v>
      </c>
      <c r="AL182" s="25">
        <f>IF(AL$174="",0,IF(AND(AL$174&gt;=C144,AL$174&lt;=D144),IF(AL$175=1,AL$176,IF((E144-D177)&lt;=0,0,MAX(0,D155-D178)/(E144-D177))),IF(AND(D151&lt;&gt;0,AL$174&gt;=D151,AL$174&lt;=E151),IF(AL$175=1,AL$176,IF((D152-D179)&lt;=0,0,MAX(0,D156-D180)/(D152-D179))),0)))</f>
        <v>0</v>
      </c>
      <c r="AM182" s="25">
        <f>IF(AM$174="",0,IF(AND(AM$174&gt;=C144,AM$174&lt;=D144),IF(AM$175=1,AM$176,IF((E144-D177)&lt;=0,0,MAX(0,D155-D178)/(E144-D177))),IF(AND(D151&lt;&gt;0,AM$174&gt;=D151,AM$174&lt;=E151),IF(AM$175=1,AM$176,IF((D152-D179)&lt;=0,0,MAX(0,D156-D180)/(D152-D179))),0)))</f>
        <v>0</v>
      </c>
    </row>
    <row r="183" ht="15.75" customHeight="1"/>
    <row r="184" ht="51.75" customHeight="1">
      <c r="B184" s="52" t="s">
        <v>286</v>
      </c>
    </row>
    <row r="185" ht="18.0" customHeight="1">
      <c r="B185" s="65" t="s">
        <v>287</v>
      </c>
      <c r="D185" s="66">
        <f>IF(0&lt;$E$7,EDATE($E$5,0),"")</f>
        <v>46247</v>
      </c>
      <c r="E185" s="66">
        <f>IF(1&lt;$E$7,EDATE($E$5,1),"")</f>
        <v>46278</v>
      </c>
      <c r="F185" s="66">
        <f>IF(2&lt;$E$7,EDATE($E$5,2),"")</f>
        <v>46308</v>
      </c>
      <c r="G185" s="66">
        <f>IF(3&lt;$E$7,EDATE($E$5,3),"")</f>
        <v>46339</v>
      </c>
      <c r="H185" s="66">
        <f>IF(4&lt;$E$7,EDATE($E$5,4),"")</f>
        <v>46369</v>
      </c>
      <c r="I185" s="66">
        <f>IF(5&lt;$E$7,EDATE($E$5,5),"")</f>
        <v>46400</v>
      </c>
      <c r="J185" s="66">
        <f>IF(6&lt;$E$7,EDATE($E$5,6),"")</f>
        <v>46431</v>
      </c>
      <c r="K185" s="66">
        <f>IF(7&lt;$E$7,EDATE($E$5,7),"")</f>
        <v>46459</v>
      </c>
      <c r="L185" s="66">
        <f>IF(8&lt;$E$7,EDATE($E$5,8),"")</f>
        <v>46490</v>
      </c>
      <c r="M185" s="66">
        <f>IF(9&lt;$E$7,EDATE($E$5,9),"")</f>
        <v>46520</v>
      </c>
      <c r="N185" s="66">
        <f>IF(10&lt;$E$7,EDATE($E$5,10),"")</f>
        <v>46551</v>
      </c>
      <c r="O185" s="66">
        <f>IF(11&lt;$E$7,EDATE($E$5,11),"")</f>
        <v>46581</v>
      </c>
      <c r="P185" s="66">
        <f>IF(12&lt;$E$7,EDATE($E$5,12),"")</f>
        <v>46612</v>
      </c>
      <c r="Q185" s="66">
        <f>IF(13&lt;$E$7,EDATE($E$5,13),"")</f>
        <v>46643</v>
      </c>
      <c r="R185" s="66">
        <f>IF(14&lt;$E$7,EDATE($E$5,14),"")</f>
        <v>46673</v>
      </c>
      <c r="S185" s="66">
        <f>IF(15&lt;$E$7,EDATE($E$5,15),"")</f>
        <v>46704</v>
      </c>
      <c r="T185" s="66">
        <f>IF(16&lt;$E$7,EDATE($E$5,16),"")</f>
        <v>46734</v>
      </c>
      <c r="U185" s="66">
        <f>IF(17&lt;$E$7,EDATE($E$5,17),"")</f>
        <v>46765</v>
      </c>
      <c r="V185" s="66">
        <f>IF(18&lt;$E$7,EDATE($E$5,18),"")</f>
        <v>46796</v>
      </c>
      <c r="W185" s="66">
        <f>IF(19&lt;$E$7,EDATE($E$5,19),"")</f>
        <v>46825</v>
      </c>
      <c r="X185" s="66">
        <f>IF(20&lt;$E$7,EDATE($E$5,20),"")</f>
        <v>46856</v>
      </c>
      <c r="Y185" s="66">
        <f>IF(21&lt;$E$7,EDATE($E$5,21),"")</f>
        <v>46886</v>
      </c>
      <c r="Z185" s="66">
        <f>IF(22&lt;$E$7,EDATE($E$5,22),"")</f>
        <v>46917</v>
      </c>
      <c r="AA185" s="66">
        <f>IF(23&lt;$E$7,EDATE($E$5,23),"")</f>
        <v>46947</v>
      </c>
      <c r="AB185" s="66" t="str">
        <f>IF(24&lt;$E$7,EDATE($E$5,24),"")</f>
        <v/>
      </c>
      <c r="AC185" s="66" t="str">
        <f>IF(25&lt;$E$7,EDATE($E$5,25),"")</f>
        <v/>
      </c>
      <c r="AD185" s="66" t="str">
        <f>IF(26&lt;$E$7,EDATE($E$5,26),"")</f>
        <v/>
      </c>
      <c r="AE185" s="66" t="str">
        <f>IF(27&lt;$E$7,EDATE($E$5,27),"")</f>
        <v/>
      </c>
      <c r="AF185" s="66" t="str">
        <f>IF(28&lt;$E$7,EDATE($E$5,28),"")</f>
        <v/>
      </c>
      <c r="AG185" s="66" t="str">
        <f>IF(29&lt;$E$7,EDATE($E$5,29),"")</f>
        <v/>
      </c>
      <c r="AH185" s="66" t="str">
        <f>IF(30&lt;$E$7,EDATE($E$5,30),"")</f>
        <v/>
      </c>
      <c r="AI185" s="66" t="str">
        <f>IF(31&lt;$E$7,EDATE($E$5,31),"")</f>
        <v/>
      </c>
      <c r="AJ185" s="66" t="str">
        <f>IF(32&lt;$E$7,EDATE($E$5,32),"")</f>
        <v/>
      </c>
      <c r="AK185" s="66" t="str">
        <f>IF(33&lt;$E$7,EDATE($E$5,33),"")</f>
        <v/>
      </c>
      <c r="AL185" s="66" t="str">
        <f>IF(34&lt;$E$7,EDATE($E$5,34),"")</f>
        <v/>
      </c>
      <c r="AM185" s="66" t="str">
        <f>IF(35&lt;$E$7,EDATE($E$5,35),"")</f>
        <v/>
      </c>
    </row>
    <row r="186" ht="15.75" customHeight="1">
      <c r="B186" s="45" t="s">
        <v>288</v>
      </c>
      <c r="D186" s="25">
        <f>IF(D$185="",0,SUMPRODUCT((TEXT(F161:F170,"YYYYMM")=TEXT(D$185,"YYYYMM"))*(C161:C170)))</f>
        <v>0</v>
      </c>
      <c r="E186" s="25">
        <f>IF(E$185="",0,SUMPRODUCT((TEXT(F161:F170,"YYYYMM")=TEXT(E$185,"YYYYMM"))*(C161:C170)))</f>
        <v>10000</v>
      </c>
      <c r="F186" s="25">
        <f>IF(F$185="",0,SUMPRODUCT((TEXT(F161:F170,"YYYYMM")=TEXT(F$185,"YYYYMM"))*(C161:C170)))</f>
        <v>12500</v>
      </c>
      <c r="G186" s="25">
        <f>IF(G$185="",0,SUMPRODUCT((TEXT(F161:F170,"YYYYMM")=TEXT(G$185,"YYYYMM"))*(C161:C170)))</f>
        <v>0</v>
      </c>
      <c r="H186" s="25">
        <f>IF(H$185="",0,SUMPRODUCT((TEXT(F161:F170,"YYYYMM")=TEXT(H$185,"YYYYMM"))*(C161:C170)))</f>
        <v>0</v>
      </c>
      <c r="I186" s="25">
        <f>IF(I$185="",0,SUMPRODUCT((TEXT(F161:F170,"YYYYMM")=TEXT(I$185,"YYYYMM"))*(C161:C170)))</f>
        <v>0</v>
      </c>
      <c r="J186" s="25">
        <f>IF(J$185="",0,SUMPRODUCT((TEXT(F161:F170,"YYYYMM")=TEXT(J$185,"YYYYMM"))*(C161:C170)))</f>
        <v>0</v>
      </c>
      <c r="K186" s="25">
        <f>IF(K$185="",0,SUMPRODUCT((TEXT(F161:F170,"YYYYMM")=TEXT(K$185,"YYYYMM"))*(C161:C170)))</f>
        <v>0</v>
      </c>
      <c r="L186" s="25">
        <f>IF(L$185="",0,SUMPRODUCT((TEXT(F161:F170,"YYYYMM")=TEXT(L$185,"YYYYMM"))*(C161:C170)))</f>
        <v>0</v>
      </c>
      <c r="M186" s="25">
        <f>IF(M$185="",0,SUMPRODUCT((TEXT(F161:F170,"YYYYMM")=TEXT(M$185,"YYYYMM"))*(C161:C170)))</f>
        <v>0</v>
      </c>
      <c r="N186" s="25">
        <f>IF(N$185="",0,SUMPRODUCT((TEXT(F161:F170,"YYYYMM")=TEXT(N$185,"YYYYMM"))*(C161:C170)))</f>
        <v>0</v>
      </c>
      <c r="O186" s="25">
        <f>IF(O$185="",0,SUMPRODUCT((TEXT(F161:F170,"YYYYMM")=TEXT(O$185,"YYYYMM"))*(C161:C170)))</f>
        <v>0</v>
      </c>
      <c r="P186" s="25">
        <f>IF(P$185="",0,SUMPRODUCT((TEXT(F161:F170,"YYYYMM")=TEXT(P$185,"YYYYMM"))*(C161:C170)))</f>
        <v>0</v>
      </c>
      <c r="Q186" s="25">
        <f>IF(Q$185="",0,SUMPRODUCT((TEXT(F161:F170,"YYYYMM")=TEXT(Q$185,"YYYYMM"))*(C161:C170)))</f>
        <v>0</v>
      </c>
      <c r="R186" s="25">
        <f>IF(R$185="",0,SUMPRODUCT((TEXT(F161:F170,"YYYYMM")=TEXT(R$185,"YYYYMM"))*(C161:C170)))</f>
        <v>0</v>
      </c>
      <c r="S186" s="25">
        <f>IF(S$185="",0,SUMPRODUCT((TEXT(F161:F170,"YYYYMM")=TEXT(S$185,"YYYYMM"))*(C161:C170)))</f>
        <v>0</v>
      </c>
      <c r="T186" s="25">
        <f>IF(T$185="",0,SUMPRODUCT((TEXT(F161:F170,"YYYYMM")=TEXT(T$185,"YYYYMM"))*(C161:C170)))</f>
        <v>0</v>
      </c>
      <c r="U186" s="25">
        <f>IF(U$185="",0,SUMPRODUCT((TEXT(F161:F170,"YYYYMM")=TEXT(U$185,"YYYYMM"))*(C161:C170)))</f>
        <v>0</v>
      </c>
      <c r="V186" s="25">
        <f>IF(V$185="",0,SUMPRODUCT((TEXT(F161:F170,"YYYYMM")=TEXT(V$185,"YYYYMM"))*(C161:C170)))</f>
        <v>0</v>
      </c>
      <c r="W186" s="25">
        <f>IF(W$185="",0,SUMPRODUCT((TEXT(F161:F170,"YYYYMM")=TEXT(W$185,"YYYYMM"))*(C161:C170)))</f>
        <v>0</v>
      </c>
      <c r="X186" s="25">
        <f>IF(X$185="",0,SUMPRODUCT((TEXT(F161:F170,"YYYYMM")=TEXT(X$185,"YYYYMM"))*(C161:C170)))</f>
        <v>0</v>
      </c>
      <c r="Y186" s="25">
        <f>IF(Y$185="",0,SUMPRODUCT((TEXT(F161:F170,"YYYYMM")=TEXT(Y$185,"YYYYMM"))*(C161:C170)))</f>
        <v>0</v>
      </c>
      <c r="Z186" s="25">
        <f>IF(Z$185="",0,SUMPRODUCT((TEXT(F161:F170,"YYYYMM")=TEXT(Z$185,"YYYYMM"))*(C161:C170)))</f>
        <v>0</v>
      </c>
      <c r="AA186" s="25">
        <f>IF(AA$185="",0,SUMPRODUCT((TEXT(F161:F170,"YYYYMM")=TEXT(AA$185,"YYYYMM"))*(C161:C170)))</f>
        <v>0</v>
      </c>
      <c r="AB186" s="25">
        <f>IF(AB$185="",0,SUMPRODUCT((TEXT(F161:F170,"YYYYMM")=TEXT(AB$185,"YYYYMM"))*(C161:C170)))</f>
        <v>0</v>
      </c>
      <c r="AC186" s="25">
        <f>IF(AC$185="",0,SUMPRODUCT((TEXT(F161:F170,"YYYYMM")=TEXT(AC$185,"YYYYMM"))*(C161:C170)))</f>
        <v>0</v>
      </c>
      <c r="AD186" s="25">
        <f>IF(AD$185="",0,SUMPRODUCT((TEXT(F161:F170,"YYYYMM")=TEXT(AD$185,"YYYYMM"))*(C161:C170)))</f>
        <v>0</v>
      </c>
      <c r="AE186" s="25">
        <f>IF(AE$185="",0,SUMPRODUCT((TEXT(F161:F170,"YYYYMM")=TEXT(AE$185,"YYYYMM"))*(C161:C170)))</f>
        <v>0</v>
      </c>
      <c r="AF186" s="25">
        <f>IF(AF$185="",0,SUMPRODUCT((TEXT(F161:F170,"YYYYMM")=TEXT(AF$185,"YYYYMM"))*(C161:C170)))</f>
        <v>0</v>
      </c>
      <c r="AG186" s="25">
        <f>IF(AG$185="",0,SUMPRODUCT((TEXT(F161:F170,"YYYYMM")=TEXT(AG$185,"YYYYMM"))*(C161:C170)))</f>
        <v>0</v>
      </c>
      <c r="AH186" s="25">
        <f>IF(AH$185="",0,SUMPRODUCT((TEXT(F161:F170,"YYYYMM")=TEXT(AH$185,"YYYYMM"))*(C161:C170)))</f>
        <v>0</v>
      </c>
      <c r="AI186" s="25">
        <f>IF(AI$185="",0,SUMPRODUCT((TEXT(F161:F170,"YYYYMM")=TEXT(AI$185,"YYYYMM"))*(C161:C170)))</f>
        <v>0</v>
      </c>
      <c r="AJ186" s="25">
        <f>IF(AJ$185="",0,SUMPRODUCT((TEXT(F161:F170,"YYYYMM")=TEXT(AJ$185,"YYYYMM"))*(C161:C170)))</f>
        <v>0</v>
      </c>
      <c r="AK186" s="25">
        <f>IF(AK$185="",0,SUMPRODUCT((TEXT(F161:F170,"YYYYMM")=TEXT(AK$185,"YYYYMM"))*(C161:C170)))</f>
        <v>0</v>
      </c>
      <c r="AL186" s="25">
        <f>IF(AL$185="",0,SUMPRODUCT((TEXT(F161:F170,"YYYYMM")=TEXT(AL$185,"YYYYMM"))*(C161:C170)))</f>
        <v>0</v>
      </c>
      <c r="AM186" s="25">
        <f>IF(AM$185="",0,SUMPRODUCT((TEXT(F161:F170,"YYYYMM")=TEXT(AM$185,"YYYYMM"))*(C161:C170)))</f>
        <v>0</v>
      </c>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R1"/>
    <mergeCell ref="B2:R2"/>
    <mergeCell ref="B5:D5"/>
    <mergeCell ref="B6:D6"/>
    <mergeCell ref="B7:D7"/>
    <mergeCell ref="B9:D9"/>
    <mergeCell ref="B10:D10"/>
    <mergeCell ref="B13:F13"/>
    <mergeCell ref="B18:F18"/>
    <mergeCell ref="B42:F42"/>
    <mergeCell ref="B91:F91"/>
    <mergeCell ref="B141:F141"/>
    <mergeCell ref="B150:C150"/>
    <mergeCell ref="B151:C151"/>
    <mergeCell ref="B179:C179"/>
    <mergeCell ref="B180:C180"/>
    <mergeCell ref="B184:F184"/>
    <mergeCell ref="B152:C152"/>
    <mergeCell ref="B154:C154"/>
    <mergeCell ref="B155:C155"/>
    <mergeCell ref="B156:C156"/>
    <mergeCell ref="B159:F159"/>
    <mergeCell ref="B177:C177"/>
    <mergeCell ref="B178:C178"/>
  </mergeCells>
  <conditionalFormatting sqref="C172">
    <cfRule type="expression" dxfId="0" priority="1">
      <formula>C172&lt;0</formula>
    </cfRule>
  </conditionalFormatting>
  <dataValidations>
    <dataValidation type="list" allowBlank="1" sqref="D20:D25 D27:D39">
      <formula1>"Mensuel,Trimestriel,Semestriel,Annuel"</formula1>
    </dataValidation>
  </dataValidations>
  <printOptions/>
  <pageMargins bottom="1.0" footer="0.0" header="0.0" left="0.75" right="0.75" top="1.0"/>
  <pageSetup fitToHeight="0"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fitToPage="1"/>
  </sheetPr>
  <sheetViews>
    <sheetView showGridLines="0" workbookViewId="0"/>
  </sheetViews>
  <sheetFormatPr customHeight="1" defaultColWidth="14.43" defaultRowHeight="15.0" outlineLevelRow="1"/>
  <cols>
    <col customWidth="1" min="1" max="1" width="2.0"/>
    <col customWidth="1" min="2" max="2" width="26.0"/>
    <col customWidth="1" min="3" max="3" width="100.0"/>
    <col customWidth="1" min="4" max="26" width="8.71"/>
  </cols>
  <sheetData>
    <row r="1">
      <c r="B1" s="1" t="s">
        <v>186</v>
      </c>
    </row>
    <row r="2" ht="27.75" customHeight="1">
      <c r="B2" s="2" t="s">
        <v>187</v>
      </c>
    </row>
    <row r="4" ht="18.0" customHeight="1">
      <c r="B4" s="12" t="s">
        <v>188</v>
      </c>
      <c r="C4" s="12"/>
    </row>
    <row r="5" ht="90.0" customHeight="1">
      <c r="B5" s="73" t="s">
        <v>189</v>
      </c>
      <c r="C5" s="74" t="s">
        <v>190</v>
      </c>
    </row>
    <row r="6" ht="61.5" customHeight="1">
      <c r="B6" s="73" t="s">
        <v>191</v>
      </c>
      <c r="C6" s="74" t="s">
        <v>192</v>
      </c>
    </row>
    <row r="7" ht="78.0" customHeight="1">
      <c r="B7" s="73" t="s">
        <v>193</v>
      </c>
      <c r="C7" s="74" t="s">
        <v>194</v>
      </c>
    </row>
    <row r="8" ht="33.75" customHeight="1">
      <c r="B8" s="73" t="s">
        <v>195</v>
      </c>
      <c r="C8" s="74" t="s">
        <v>196</v>
      </c>
    </row>
    <row r="11" ht="18.0" customHeight="1">
      <c r="B11" s="12" t="s">
        <v>197</v>
      </c>
      <c r="C11" s="12"/>
    </row>
    <row r="12" ht="87.75" customHeight="1">
      <c r="B12" s="73" t="s">
        <v>189</v>
      </c>
      <c r="C12" s="74" t="s">
        <v>198</v>
      </c>
    </row>
    <row r="13" ht="75.75" customHeight="1">
      <c r="B13" s="73" t="s">
        <v>193</v>
      </c>
      <c r="C13" s="74" t="s">
        <v>199</v>
      </c>
    </row>
    <row r="14" ht="48.0" customHeight="1">
      <c r="B14" s="73" t="s">
        <v>195</v>
      </c>
      <c r="C14" s="74" t="s">
        <v>200</v>
      </c>
    </row>
    <row r="17" ht="18.0" customHeight="1">
      <c r="B17" s="12" t="s">
        <v>201</v>
      </c>
      <c r="C17" s="12"/>
    </row>
    <row r="18" ht="49.5" customHeight="1">
      <c r="B18" s="73" t="s">
        <v>189</v>
      </c>
      <c r="C18" s="74" t="s">
        <v>202</v>
      </c>
    </row>
    <row r="19" ht="55.5" customHeight="1">
      <c r="B19" s="73" t="s">
        <v>193</v>
      </c>
      <c r="C19" s="74" t="s">
        <v>203</v>
      </c>
    </row>
    <row r="20" ht="25.5" customHeight="1">
      <c r="B20" s="73" t="s">
        <v>195</v>
      </c>
      <c r="C20" s="74" t="s">
        <v>204</v>
      </c>
    </row>
    <row r="21" ht="15.75" customHeight="1"/>
    <row r="22" ht="15.75" customHeight="1"/>
    <row r="23" ht="18.0" customHeight="1">
      <c r="B23" s="12" t="s">
        <v>205</v>
      </c>
      <c r="C23" s="12"/>
    </row>
    <row r="24" ht="45.75" customHeight="1">
      <c r="B24" s="73" t="s">
        <v>206</v>
      </c>
      <c r="C24" s="74" t="s">
        <v>207</v>
      </c>
    </row>
    <row r="25" ht="67.5" customHeight="1">
      <c r="B25" s="73" t="s">
        <v>208</v>
      </c>
      <c r="C25" s="74" t="s">
        <v>209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R1"/>
    <mergeCell ref="B2:R2"/>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4.0"/>
    <col customWidth="1" min="2" max="2" width="22.0"/>
    <col customWidth="1" min="3" max="26" width="8.71"/>
  </cols>
  <sheetData>
    <row r="1">
      <c r="A1" s="75" t="s">
        <v>210</v>
      </c>
      <c r="B1" s="75" t="s">
        <v>211</v>
      </c>
    </row>
    <row r="2">
      <c r="A2" s="76">
        <v>43831.0</v>
      </c>
      <c r="B2" s="77" t="s">
        <v>212</v>
      </c>
    </row>
    <row r="3">
      <c r="A3" s="76">
        <v>43934.0</v>
      </c>
      <c r="B3" s="77" t="s">
        <v>213</v>
      </c>
    </row>
    <row r="4">
      <c r="A4" s="76">
        <v>43952.0</v>
      </c>
      <c r="B4" s="77" t="s">
        <v>214</v>
      </c>
    </row>
    <row r="5">
      <c r="A5" s="76">
        <v>43959.0</v>
      </c>
      <c r="B5" s="77" t="s">
        <v>215</v>
      </c>
    </row>
    <row r="6">
      <c r="A6" s="76">
        <v>43972.0</v>
      </c>
      <c r="B6" s="77" t="s">
        <v>216</v>
      </c>
    </row>
    <row r="7">
      <c r="A7" s="76">
        <v>43983.0</v>
      </c>
      <c r="B7" s="77" t="s">
        <v>217</v>
      </c>
    </row>
    <row r="8">
      <c r="A8" s="76">
        <v>44026.0</v>
      </c>
      <c r="B8" s="77" t="s">
        <v>218</v>
      </c>
    </row>
    <row r="9">
      <c r="A9" s="76">
        <v>44058.0</v>
      </c>
      <c r="B9" s="77" t="s">
        <v>219</v>
      </c>
    </row>
    <row r="10">
      <c r="A10" s="76">
        <v>44136.0</v>
      </c>
      <c r="B10" s="77" t="s">
        <v>220</v>
      </c>
    </row>
    <row r="11">
      <c r="A11" s="76">
        <v>44146.0</v>
      </c>
      <c r="B11" s="77" t="s">
        <v>221</v>
      </c>
    </row>
    <row r="12">
      <c r="A12" s="76">
        <v>44190.0</v>
      </c>
      <c r="B12" s="77" t="s">
        <v>222</v>
      </c>
    </row>
    <row r="13">
      <c r="A13" s="76">
        <v>44197.0</v>
      </c>
      <c r="B13" s="77" t="s">
        <v>212</v>
      </c>
    </row>
    <row r="14">
      <c r="A14" s="76">
        <v>44291.0</v>
      </c>
      <c r="B14" s="77" t="s">
        <v>213</v>
      </c>
    </row>
    <row r="15">
      <c r="A15" s="76">
        <v>44317.0</v>
      </c>
      <c r="B15" s="77" t="s">
        <v>214</v>
      </c>
    </row>
    <row r="16">
      <c r="A16" s="76">
        <v>44324.0</v>
      </c>
      <c r="B16" s="77" t="s">
        <v>215</v>
      </c>
    </row>
    <row r="17">
      <c r="A17" s="76">
        <v>44329.0</v>
      </c>
      <c r="B17" s="77" t="s">
        <v>216</v>
      </c>
    </row>
    <row r="18">
      <c r="A18" s="76">
        <v>44340.0</v>
      </c>
      <c r="B18" s="77" t="s">
        <v>217</v>
      </c>
    </row>
    <row r="19">
      <c r="A19" s="76">
        <v>44391.0</v>
      </c>
      <c r="B19" s="77" t="s">
        <v>218</v>
      </c>
    </row>
    <row r="20">
      <c r="A20" s="76">
        <v>44423.0</v>
      </c>
      <c r="B20" s="77" t="s">
        <v>219</v>
      </c>
    </row>
    <row r="21" ht="15.75" customHeight="1">
      <c r="A21" s="76">
        <v>44501.0</v>
      </c>
      <c r="B21" s="77" t="s">
        <v>220</v>
      </c>
    </row>
    <row r="22" ht="15.75" customHeight="1">
      <c r="A22" s="76">
        <v>44511.0</v>
      </c>
      <c r="B22" s="77" t="s">
        <v>221</v>
      </c>
    </row>
    <row r="23" ht="15.75" customHeight="1">
      <c r="A23" s="76">
        <v>44555.0</v>
      </c>
      <c r="B23" s="77" t="s">
        <v>222</v>
      </c>
    </row>
    <row r="24" ht="15.75" customHeight="1">
      <c r="A24" s="76">
        <v>44562.0</v>
      </c>
      <c r="B24" s="77" t="s">
        <v>212</v>
      </c>
    </row>
    <row r="25" ht="15.75" customHeight="1">
      <c r="A25" s="76">
        <v>44669.0</v>
      </c>
      <c r="B25" s="77" t="s">
        <v>213</v>
      </c>
    </row>
    <row r="26" ht="15.75" customHeight="1">
      <c r="A26" s="76">
        <v>44682.0</v>
      </c>
      <c r="B26" s="77" t="s">
        <v>214</v>
      </c>
    </row>
    <row r="27" ht="15.75" customHeight="1">
      <c r="A27" s="76">
        <v>44689.0</v>
      </c>
      <c r="B27" s="77" t="s">
        <v>215</v>
      </c>
    </row>
    <row r="28" ht="15.75" customHeight="1">
      <c r="A28" s="76">
        <v>44707.0</v>
      </c>
      <c r="B28" s="77" t="s">
        <v>216</v>
      </c>
    </row>
    <row r="29" ht="15.75" customHeight="1">
      <c r="A29" s="76">
        <v>44718.0</v>
      </c>
      <c r="B29" s="77" t="s">
        <v>217</v>
      </c>
    </row>
    <row r="30" ht="15.75" customHeight="1">
      <c r="A30" s="76">
        <v>44756.0</v>
      </c>
      <c r="B30" s="77" t="s">
        <v>218</v>
      </c>
    </row>
    <row r="31" ht="15.75" customHeight="1">
      <c r="A31" s="76">
        <v>44788.0</v>
      </c>
      <c r="B31" s="77" t="s">
        <v>219</v>
      </c>
    </row>
    <row r="32" ht="15.75" customHeight="1">
      <c r="A32" s="76">
        <v>44866.0</v>
      </c>
      <c r="B32" s="77" t="s">
        <v>220</v>
      </c>
    </row>
    <row r="33" ht="15.75" customHeight="1">
      <c r="A33" s="76">
        <v>44876.0</v>
      </c>
      <c r="B33" s="77" t="s">
        <v>221</v>
      </c>
    </row>
    <row r="34" ht="15.75" customHeight="1">
      <c r="A34" s="76">
        <v>44920.0</v>
      </c>
      <c r="B34" s="77" t="s">
        <v>222</v>
      </c>
    </row>
    <row r="35" ht="15.75" customHeight="1">
      <c r="A35" s="76">
        <v>44927.0</v>
      </c>
      <c r="B35" s="77" t="s">
        <v>212</v>
      </c>
    </row>
    <row r="36" ht="15.75" customHeight="1">
      <c r="A36" s="76">
        <v>45026.0</v>
      </c>
      <c r="B36" s="77" t="s">
        <v>213</v>
      </c>
    </row>
    <row r="37" ht="15.75" customHeight="1">
      <c r="A37" s="76">
        <v>45047.0</v>
      </c>
      <c r="B37" s="77" t="s">
        <v>214</v>
      </c>
    </row>
    <row r="38" ht="15.75" customHeight="1">
      <c r="A38" s="76">
        <v>45054.0</v>
      </c>
      <c r="B38" s="77" t="s">
        <v>215</v>
      </c>
    </row>
    <row r="39" ht="15.75" customHeight="1">
      <c r="A39" s="76">
        <v>45064.0</v>
      </c>
      <c r="B39" s="77" t="s">
        <v>216</v>
      </c>
    </row>
    <row r="40" ht="15.75" customHeight="1">
      <c r="A40" s="76">
        <v>45075.0</v>
      </c>
      <c r="B40" s="77" t="s">
        <v>217</v>
      </c>
    </row>
    <row r="41" ht="15.75" customHeight="1">
      <c r="A41" s="76">
        <v>45121.0</v>
      </c>
      <c r="B41" s="77" t="s">
        <v>218</v>
      </c>
    </row>
    <row r="42" ht="15.75" customHeight="1">
      <c r="A42" s="76">
        <v>45153.0</v>
      </c>
      <c r="B42" s="77" t="s">
        <v>219</v>
      </c>
    </row>
    <row r="43" ht="15.75" customHeight="1">
      <c r="A43" s="76">
        <v>45231.0</v>
      </c>
      <c r="B43" s="77" t="s">
        <v>220</v>
      </c>
    </row>
    <row r="44" ht="15.75" customHeight="1">
      <c r="A44" s="76">
        <v>45241.0</v>
      </c>
      <c r="B44" s="77" t="s">
        <v>221</v>
      </c>
    </row>
    <row r="45" ht="15.75" customHeight="1">
      <c r="A45" s="76">
        <v>45285.0</v>
      </c>
      <c r="B45" s="77" t="s">
        <v>222</v>
      </c>
    </row>
    <row r="46" ht="15.75" customHeight="1">
      <c r="A46" s="76">
        <v>45292.0</v>
      </c>
      <c r="B46" s="77" t="s">
        <v>212</v>
      </c>
    </row>
    <row r="47" ht="15.75" customHeight="1">
      <c r="A47" s="76">
        <v>45383.0</v>
      </c>
      <c r="B47" s="77" t="s">
        <v>213</v>
      </c>
    </row>
    <row r="48" ht="15.75" customHeight="1">
      <c r="A48" s="76">
        <v>45413.0</v>
      </c>
      <c r="B48" s="77" t="s">
        <v>214</v>
      </c>
    </row>
    <row r="49" ht="15.75" customHeight="1">
      <c r="A49" s="76">
        <v>45420.0</v>
      </c>
      <c r="B49" s="77" t="s">
        <v>215</v>
      </c>
    </row>
    <row r="50" ht="15.75" customHeight="1">
      <c r="A50" s="76">
        <v>45421.0</v>
      </c>
      <c r="B50" s="77" t="s">
        <v>216</v>
      </c>
    </row>
    <row r="51" ht="15.75" customHeight="1">
      <c r="A51" s="76">
        <v>45432.0</v>
      </c>
      <c r="B51" s="77" t="s">
        <v>217</v>
      </c>
    </row>
    <row r="52" ht="15.75" customHeight="1">
      <c r="A52" s="76">
        <v>45487.0</v>
      </c>
      <c r="B52" s="77" t="s">
        <v>218</v>
      </c>
    </row>
    <row r="53" ht="15.75" customHeight="1">
      <c r="A53" s="76">
        <v>45519.0</v>
      </c>
      <c r="B53" s="77" t="s">
        <v>219</v>
      </c>
    </row>
    <row r="54" ht="15.75" customHeight="1">
      <c r="A54" s="76">
        <v>45597.0</v>
      </c>
      <c r="B54" s="77" t="s">
        <v>220</v>
      </c>
    </row>
    <row r="55" ht="15.75" customHeight="1">
      <c r="A55" s="76">
        <v>45607.0</v>
      </c>
      <c r="B55" s="77" t="s">
        <v>221</v>
      </c>
    </row>
    <row r="56" ht="15.75" customHeight="1">
      <c r="A56" s="76">
        <v>45651.0</v>
      </c>
      <c r="B56" s="77" t="s">
        <v>222</v>
      </c>
    </row>
    <row r="57" ht="15.75" customHeight="1">
      <c r="A57" s="76">
        <v>45658.0</v>
      </c>
      <c r="B57" s="77" t="s">
        <v>212</v>
      </c>
    </row>
    <row r="58" ht="15.75" customHeight="1">
      <c r="A58" s="76">
        <v>45768.0</v>
      </c>
      <c r="B58" s="77" t="s">
        <v>213</v>
      </c>
    </row>
    <row r="59" ht="15.75" customHeight="1">
      <c r="A59" s="76">
        <v>45778.0</v>
      </c>
      <c r="B59" s="77" t="s">
        <v>214</v>
      </c>
    </row>
    <row r="60" ht="15.75" customHeight="1">
      <c r="A60" s="76">
        <v>45785.0</v>
      </c>
      <c r="B60" s="77" t="s">
        <v>215</v>
      </c>
    </row>
    <row r="61" ht="15.75" customHeight="1">
      <c r="A61" s="76">
        <v>45806.0</v>
      </c>
      <c r="B61" s="77" t="s">
        <v>216</v>
      </c>
    </row>
    <row r="62" ht="15.75" customHeight="1">
      <c r="A62" s="76">
        <v>45817.0</v>
      </c>
      <c r="B62" s="77" t="s">
        <v>217</v>
      </c>
    </row>
    <row r="63" ht="15.75" customHeight="1">
      <c r="A63" s="76">
        <v>45852.0</v>
      </c>
      <c r="B63" s="77" t="s">
        <v>218</v>
      </c>
    </row>
    <row r="64" ht="15.75" customHeight="1">
      <c r="A64" s="76">
        <v>45884.0</v>
      </c>
      <c r="B64" s="77" t="s">
        <v>219</v>
      </c>
    </row>
    <row r="65" ht="15.75" customHeight="1">
      <c r="A65" s="76">
        <v>45962.0</v>
      </c>
      <c r="B65" s="77" t="s">
        <v>220</v>
      </c>
    </row>
    <row r="66" ht="15.75" customHeight="1">
      <c r="A66" s="76">
        <v>45972.0</v>
      </c>
      <c r="B66" s="77" t="s">
        <v>221</v>
      </c>
    </row>
    <row r="67" ht="15.75" customHeight="1">
      <c r="A67" s="76">
        <v>46016.0</v>
      </c>
      <c r="B67" s="77" t="s">
        <v>222</v>
      </c>
    </row>
    <row r="68" ht="15.75" customHeight="1">
      <c r="A68" s="76">
        <v>46023.0</v>
      </c>
      <c r="B68" s="77" t="s">
        <v>212</v>
      </c>
    </row>
    <row r="69" ht="15.75" customHeight="1">
      <c r="A69" s="76">
        <v>46118.0</v>
      </c>
      <c r="B69" s="77" t="s">
        <v>213</v>
      </c>
    </row>
    <row r="70" ht="15.75" customHeight="1">
      <c r="A70" s="76">
        <v>46143.0</v>
      </c>
      <c r="B70" s="77" t="s">
        <v>214</v>
      </c>
    </row>
    <row r="71" ht="15.75" customHeight="1">
      <c r="A71" s="76">
        <v>46150.0</v>
      </c>
      <c r="B71" s="77" t="s">
        <v>215</v>
      </c>
    </row>
    <row r="72" ht="15.75" customHeight="1">
      <c r="A72" s="76">
        <v>46156.0</v>
      </c>
      <c r="B72" s="77" t="s">
        <v>216</v>
      </c>
    </row>
    <row r="73" ht="15.75" customHeight="1">
      <c r="A73" s="76">
        <v>46167.0</v>
      </c>
      <c r="B73" s="77" t="s">
        <v>217</v>
      </c>
    </row>
    <row r="74" ht="15.75" customHeight="1">
      <c r="A74" s="76">
        <v>46217.0</v>
      </c>
      <c r="B74" s="77" t="s">
        <v>218</v>
      </c>
    </row>
    <row r="75" ht="15.75" customHeight="1">
      <c r="A75" s="76">
        <v>46249.0</v>
      </c>
      <c r="B75" s="77" t="s">
        <v>219</v>
      </c>
    </row>
    <row r="76" ht="15.75" customHeight="1">
      <c r="A76" s="76">
        <v>46327.0</v>
      </c>
      <c r="B76" s="77" t="s">
        <v>220</v>
      </c>
    </row>
    <row r="77" ht="15.75" customHeight="1">
      <c r="A77" s="76">
        <v>46337.0</v>
      </c>
      <c r="B77" s="77" t="s">
        <v>221</v>
      </c>
    </row>
    <row r="78" ht="15.75" customHeight="1">
      <c r="A78" s="76">
        <v>46381.0</v>
      </c>
      <c r="B78" s="77" t="s">
        <v>222</v>
      </c>
    </row>
    <row r="79" ht="15.75" customHeight="1">
      <c r="A79" s="76">
        <v>46388.0</v>
      </c>
      <c r="B79" s="77" t="s">
        <v>212</v>
      </c>
    </row>
    <row r="80" ht="15.75" customHeight="1">
      <c r="A80" s="76">
        <v>46475.0</v>
      </c>
      <c r="B80" s="77" t="s">
        <v>213</v>
      </c>
    </row>
    <row r="81" ht="15.75" customHeight="1">
      <c r="A81" s="76">
        <v>46508.0</v>
      </c>
      <c r="B81" s="77" t="s">
        <v>214</v>
      </c>
    </row>
    <row r="82" ht="15.75" customHeight="1">
      <c r="A82" s="76">
        <v>46515.0</v>
      </c>
      <c r="B82" s="77" t="s">
        <v>215</v>
      </c>
    </row>
    <row r="83" ht="15.75" customHeight="1">
      <c r="A83" s="76">
        <v>46513.0</v>
      </c>
      <c r="B83" s="77" t="s">
        <v>216</v>
      </c>
    </row>
    <row r="84" ht="15.75" customHeight="1">
      <c r="A84" s="76">
        <v>46524.0</v>
      </c>
      <c r="B84" s="77" t="s">
        <v>217</v>
      </c>
    </row>
    <row r="85" ht="15.75" customHeight="1">
      <c r="A85" s="76">
        <v>46582.0</v>
      </c>
      <c r="B85" s="77" t="s">
        <v>218</v>
      </c>
    </row>
    <row r="86" ht="15.75" customHeight="1">
      <c r="A86" s="76">
        <v>46614.0</v>
      </c>
      <c r="B86" s="77" t="s">
        <v>219</v>
      </c>
    </row>
    <row r="87" ht="15.75" customHeight="1">
      <c r="A87" s="76">
        <v>46692.0</v>
      </c>
      <c r="B87" s="77" t="s">
        <v>220</v>
      </c>
    </row>
    <row r="88" ht="15.75" customHeight="1">
      <c r="A88" s="76">
        <v>46702.0</v>
      </c>
      <c r="B88" s="77" t="s">
        <v>221</v>
      </c>
    </row>
    <row r="89" ht="15.75" customHeight="1">
      <c r="A89" s="76">
        <v>46746.0</v>
      </c>
      <c r="B89" s="77" t="s">
        <v>222</v>
      </c>
    </row>
    <row r="90" ht="15.75" customHeight="1">
      <c r="A90" s="76">
        <v>46753.0</v>
      </c>
      <c r="B90" s="77" t="s">
        <v>212</v>
      </c>
    </row>
    <row r="91" ht="15.75" customHeight="1">
      <c r="A91" s="76">
        <v>46860.0</v>
      </c>
      <c r="B91" s="77" t="s">
        <v>213</v>
      </c>
    </row>
    <row r="92" ht="15.75" customHeight="1">
      <c r="A92" s="76">
        <v>46874.0</v>
      </c>
      <c r="B92" s="77" t="s">
        <v>214</v>
      </c>
    </row>
    <row r="93" ht="15.75" customHeight="1">
      <c r="A93" s="76">
        <v>46881.0</v>
      </c>
      <c r="B93" s="77" t="s">
        <v>215</v>
      </c>
    </row>
    <row r="94" ht="15.75" customHeight="1">
      <c r="A94" s="76">
        <v>46898.0</v>
      </c>
      <c r="B94" s="77" t="s">
        <v>216</v>
      </c>
    </row>
    <row r="95" ht="15.75" customHeight="1">
      <c r="A95" s="76">
        <v>46909.0</v>
      </c>
      <c r="B95" s="77" t="s">
        <v>217</v>
      </c>
    </row>
    <row r="96" ht="15.75" customHeight="1">
      <c r="A96" s="76">
        <v>46948.0</v>
      </c>
      <c r="B96" s="77" t="s">
        <v>218</v>
      </c>
    </row>
    <row r="97" ht="15.75" customHeight="1">
      <c r="A97" s="76">
        <v>46980.0</v>
      </c>
      <c r="B97" s="77" t="s">
        <v>219</v>
      </c>
    </row>
    <row r="98" ht="15.75" customHeight="1">
      <c r="A98" s="76">
        <v>47058.0</v>
      </c>
      <c r="B98" s="77" t="s">
        <v>220</v>
      </c>
    </row>
    <row r="99" ht="15.75" customHeight="1">
      <c r="A99" s="76">
        <v>47068.0</v>
      </c>
      <c r="B99" s="77" t="s">
        <v>221</v>
      </c>
    </row>
    <row r="100" ht="15.75" customHeight="1">
      <c r="A100" s="76">
        <v>47112.0</v>
      </c>
      <c r="B100" s="77" t="s">
        <v>222</v>
      </c>
    </row>
    <row r="101" ht="15.75" customHeight="1">
      <c r="A101" s="76">
        <v>47119.0</v>
      </c>
      <c r="B101" s="77" t="s">
        <v>212</v>
      </c>
    </row>
    <row r="102" ht="15.75" customHeight="1">
      <c r="A102" s="76">
        <v>47210.0</v>
      </c>
      <c r="B102" s="77" t="s">
        <v>213</v>
      </c>
    </row>
    <row r="103" ht="15.75" customHeight="1">
      <c r="A103" s="76">
        <v>47239.0</v>
      </c>
      <c r="B103" s="77" t="s">
        <v>214</v>
      </c>
    </row>
    <row r="104" ht="15.75" customHeight="1">
      <c r="A104" s="76">
        <v>47246.0</v>
      </c>
      <c r="B104" s="77" t="s">
        <v>215</v>
      </c>
    </row>
    <row r="105" ht="15.75" customHeight="1">
      <c r="A105" s="76">
        <v>47248.0</v>
      </c>
      <c r="B105" s="77" t="s">
        <v>216</v>
      </c>
    </row>
    <row r="106" ht="15.75" customHeight="1">
      <c r="A106" s="76">
        <v>47259.0</v>
      </c>
      <c r="B106" s="77" t="s">
        <v>217</v>
      </c>
    </row>
    <row r="107" ht="15.75" customHeight="1">
      <c r="A107" s="76">
        <v>47313.0</v>
      </c>
      <c r="B107" s="77" t="s">
        <v>218</v>
      </c>
    </row>
    <row r="108" ht="15.75" customHeight="1">
      <c r="A108" s="76">
        <v>47345.0</v>
      </c>
      <c r="B108" s="77" t="s">
        <v>219</v>
      </c>
    </row>
    <row r="109" ht="15.75" customHeight="1">
      <c r="A109" s="76">
        <v>47423.0</v>
      </c>
      <c r="B109" s="77" t="s">
        <v>220</v>
      </c>
    </row>
    <row r="110" ht="15.75" customHeight="1">
      <c r="A110" s="76">
        <v>47433.0</v>
      </c>
      <c r="B110" s="77" t="s">
        <v>221</v>
      </c>
    </row>
    <row r="111" ht="15.75" customHeight="1">
      <c r="A111" s="76">
        <v>47477.0</v>
      </c>
      <c r="B111" s="77" t="s">
        <v>222</v>
      </c>
    </row>
    <row r="112" ht="15.75" customHeight="1">
      <c r="A112" s="76">
        <v>47484.0</v>
      </c>
      <c r="B112" s="77" t="s">
        <v>212</v>
      </c>
    </row>
    <row r="113" ht="15.75" customHeight="1">
      <c r="A113" s="76">
        <v>47595.0</v>
      </c>
      <c r="B113" s="77" t="s">
        <v>213</v>
      </c>
    </row>
    <row r="114" ht="15.75" customHeight="1">
      <c r="A114" s="76">
        <v>47604.0</v>
      </c>
      <c r="B114" s="77" t="s">
        <v>214</v>
      </c>
    </row>
    <row r="115" ht="15.75" customHeight="1">
      <c r="A115" s="76">
        <v>47611.0</v>
      </c>
      <c r="B115" s="77" t="s">
        <v>215</v>
      </c>
    </row>
    <row r="116" ht="15.75" customHeight="1">
      <c r="A116" s="76">
        <v>47633.0</v>
      </c>
      <c r="B116" s="77" t="s">
        <v>216</v>
      </c>
    </row>
    <row r="117" ht="15.75" customHeight="1">
      <c r="A117" s="76">
        <v>47644.0</v>
      </c>
      <c r="B117" s="77" t="s">
        <v>217</v>
      </c>
    </row>
    <row r="118" ht="15.75" customHeight="1">
      <c r="A118" s="76">
        <v>47678.0</v>
      </c>
      <c r="B118" s="77" t="s">
        <v>218</v>
      </c>
    </row>
    <row r="119" ht="15.75" customHeight="1">
      <c r="A119" s="76">
        <v>47710.0</v>
      </c>
      <c r="B119" s="77" t="s">
        <v>219</v>
      </c>
    </row>
    <row r="120" ht="15.75" customHeight="1">
      <c r="A120" s="76">
        <v>47788.0</v>
      </c>
      <c r="B120" s="77" t="s">
        <v>220</v>
      </c>
    </row>
    <row r="121" ht="15.75" customHeight="1">
      <c r="A121" s="76">
        <v>47798.0</v>
      </c>
      <c r="B121" s="77" t="s">
        <v>221</v>
      </c>
    </row>
    <row r="122" ht="15.75" customHeight="1">
      <c r="A122" s="76">
        <v>47842.0</v>
      </c>
      <c r="B122" s="77" t="s">
        <v>222</v>
      </c>
    </row>
    <row r="123" ht="15.75" customHeight="1">
      <c r="A123" s="76">
        <v>47849.0</v>
      </c>
      <c r="B123" s="77" t="s">
        <v>212</v>
      </c>
    </row>
    <row r="124" ht="15.75" customHeight="1">
      <c r="A124" s="76">
        <v>47952.0</v>
      </c>
      <c r="B124" s="77" t="s">
        <v>213</v>
      </c>
    </row>
    <row r="125" ht="15.75" customHeight="1">
      <c r="A125" s="76">
        <v>47969.0</v>
      </c>
      <c r="B125" s="77" t="s">
        <v>214</v>
      </c>
    </row>
    <row r="126" ht="15.75" customHeight="1">
      <c r="A126" s="76">
        <v>47976.0</v>
      </c>
      <c r="B126" s="77" t="s">
        <v>215</v>
      </c>
    </row>
    <row r="127" ht="15.75" customHeight="1">
      <c r="A127" s="76">
        <v>47990.0</v>
      </c>
      <c r="B127" s="77" t="s">
        <v>216</v>
      </c>
    </row>
    <row r="128" ht="15.75" customHeight="1">
      <c r="A128" s="76">
        <v>48001.0</v>
      </c>
      <c r="B128" s="77" t="s">
        <v>217</v>
      </c>
    </row>
    <row r="129" ht="15.75" customHeight="1">
      <c r="A129" s="76">
        <v>48043.0</v>
      </c>
      <c r="B129" s="77" t="s">
        <v>218</v>
      </c>
    </row>
    <row r="130" ht="15.75" customHeight="1">
      <c r="A130" s="76">
        <v>48075.0</v>
      </c>
      <c r="B130" s="77" t="s">
        <v>219</v>
      </c>
    </row>
    <row r="131" ht="15.75" customHeight="1">
      <c r="A131" s="76">
        <v>48153.0</v>
      </c>
      <c r="B131" s="77" t="s">
        <v>220</v>
      </c>
    </row>
    <row r="132" ht="15.75" customHeight="1">
      <c r="A132" s="76">
        <v>48163.0</v>
      </c>
      <c r="B132" s="77" t="s">
        <v>221</v>
      </c>
    </row>
    <row r="133" ht="15.75" customHeight="1">
      <c r="A133" s="76">
        <v>48207.0</v>
      </c>
      <c r="B133" s="77" t="s">
        <v>222</v>
      </c>
    </row>
    <row r="134" ht="15.75" customHeight="1">
      <c r="A134" s="76">
        <v>48214.0</v>
      </c>
      <c r="B134" s="77" t="s">
        <v>212</v>
      </c>
    </row>
    <row r="135" ht="15.75" customHeight="1">
      <c r="A135" s="76">
        <v>48302.0</v>
      </c>
      <c r="B135" s="77" t="s">
        <v>213</v>
      </c>
    </row>
    <row r="136" ht="15.75" customHeight="1">
      <c r="A136" s="76">
        <v>48335.0</v>
      </c>
      <c r="B136" s="77" t="s">
        <v>214</v>
      </c>
    </row>
    <row r="137" ht="15.75" customHeight="1">
      <c r="A137" s="76">
        <v>48342.0</v>
      </c>
      <c r="B137" s="77" t="s">
        <v>215</v>
      </c>
    </row>
    <row r="138" ht="15.75" customHeight="1">
      <c r="A138" s="76">
        <v>48340.0</v>
      </c>
      <c r="B138" s="77" t="s">
        <v>216</v>
      </c>
    </row>
    <row r="139" ht="15.75" customHeight="1">
      <c r="A139" s="76">
        <v>48351.0</v>
      </c>
      <c r="B139" s="77" t="s">
        <v>217</v>
      </c>
    </row>
    <row r="140" ht="15.75" customHeight="1">
      <c r="A140" s="76">
        <v>48409.0</v>
      </c>
      <c r="B140" s="77" t="s">
        <v>218</v>
      </c>
    </row>
    <row r="141" ht="15.75" customHeight="1">
      <c r="A141" s="76">
        <v>48441.0</v>
      </c>
      <c r="B141" s="77" t="s">
        <v>219</v>
      </c>
    </row>
    <row r="142" ht="15.75" customHeight="1">
      <c r="A142" s="76">
        <v>48519.0</v>
      </c>
      <c r="B142" s="77" t="s">
        <v>220</v>
      </c>
    </row>
    <row r="143" ht="15.75" customHeight="1">
      <c r="A143" s="76">
        <v>48529.0</v>
      </c>
      <c r="B143" s="77" t="s">
        <v>221</v>
      </c>
    </row>
    <row r="144" ht="15.75" customHeight="1">
      <c r="A144" s="76">
        <v>48573.0</v>
      </c>
      <c r="B144" s="77" t="s">
        <v>222</v>
      </c>
    </row>
    <row r="145" ht="15.75" customHeight="1">
      <c r="A145" s="76">
        <v>48580.0</v>
      </c>
      <c r="B145" s="77" t="s">
        <v>212</v>
      </c>
    </row>
    <row r="146" ht="15.75" customHeight="1">
      <c r="A146" s="76">
        <v>48687.0</v>
      </c>
      <c r="B146" s="77" t="s">
        <v>213</v>
      </c>
    </row>
    <row r="147" ht="15.75" customHeight="1">
      <c r="A147" s="76">
        <v>48700.0</v>
      </c>
      <c r="B147" s="77" t="s">
        <v>214</v>
      </c>
    </row>
    <row r="148" ht="15.75" customHeight="1">
      <c r="A148" s="76">
        <v>48707.0</v>
      </c>
      <c r="B148" s="77" t="s">
        <v>215</v>
      </c>
    </row>
    <row r="149" ht="15.75" customHeight="1">
      <c r="A149" s="76">
        <v>48725.0</v>
      </c>
      <c r="B149" s="77" t="s">
        <v>216</v>
      </c>
    </row>
    <row r="150" ht="15.75" customHeight="1">
      <c r="A150" s="76">
        <v>48736.0</v>
      </c>
      <c r="B150" s="77" t="s">
        <v>217</v>
      </c>
    </row>
    <row r="151" ht="15.75" customHeight="1">
      <c r="A151" s="76">
        <v>48774.0</v>
      </c>
      <c r="B151" s="77" t="s">
        <v>218</v>
      </c>
    </row>
    <row r="152" ht="15.75" customHeight="1">
      <c r="A152" s="76">
        <v>48806.0</v>
      </c>
      <c r="B152" s="77" t="s">
        <v>219</v>
      </c>
    </row>
    <row r="153" ht="15.75" customHeight="1">
      <c r="A153" s="76">
        <v>48884.0</v>
      </c>
      <c r="B153" s="77" t="s">
        <v>220</v>
      </c>
    </row>
    <row r="154" ht="15.75" customHeight="1">
      <c r="A154" s="76">
        <v>48894.0</v>
      </c>
      <c r="B154" s="77" t="s">
        <v>221</v>
      </c>
    </row>
    <row r="155" ht="15.75" customHeight="1">
      <c r="A155" s="76">
        <v>48938.0</v>
      </c>
      <c r="B155" s="77" t="s">
        <v>222</v>
      </c>
    </row>
    <row r="156" ht="15.75" customHeight="1">
      <c r="A156" s="76">
        <v>48945.0</v>
      </c>
      <c r="B156" s="77" t="s">
        <v>212</v>
      </c>
    </row>
    <row r="157" ht="15.75" customHeight="1">
      <c r="A157" s="76">
        <v>49044.0</v>
      </c>
      <c r="B157" s="77" t="s">
        <v>213</v>
      </c>
    </row>
    <row r="158" ht="15.75" customHeight="1">
      <c r="A158" s="76">
        <v>49065.0</v>
      </c>
      <c r="B158" s="77" t="s">
        <v>214</v>
      </c>
    </row>
    <row r="159" ht="15.75" customHeight="1">
      <c r="A159" s="76">
        <v>49072.0</v>
      </c>
      <c r="B159" s="77" t="s">
        <v>215</v>
      </c>
    </row>
    <row r="160" ht="15.75" customHeight="1">
      <c r="A160" s="76">
        <v>49082.0</v>
      </c>
      <c r="B160" s="77" t="s">
        <v>216</v>
      </c>
    </row>
    <row r="161" ht="15.75" customHeight="1">
      <c r="A161" s="76">
        <v>49093.0</v>
      </c>
      <c r="B161" s="77" t="s">
        <v>217</v>
      </c>
    </row>
    <row r="162" ht="15.75" customHeight="1">
      <c r="A162" s="76">
        <v>49139.0</v>
      </c>
      <c r="B162" s="77" t="s">
        <v>218</v>
      </c>
    </row>
    <row r="163" ht="15.75" customHeight="1">
      <c r="A163" s="76">
        <v>49171.0</v>
      </c>
      <c r="B163" s="77" t="s">
        <v>219</v>
      </c>
    </row>
    <row r="164" ht="15.75" customHeight="1">
      <c r="A164" s="76">
        <v>49249.0</v>
      </c>
      <c r="B164" s="77" t="s">
        <v>220</v>
      </c>
    </row>
    <row r="165" ht="15.75" customHeight="1">
      <c r="A165" s="76">
        <v>49259.0</v>
      </c>
      <c r="B165" s="77" t="s">
        <v>221</v>
      </c>
    </row>
    <row r="166" ht="15.75" customHeight="1">
      <c r="A166" s="76">
        <v>49303.0</v>
      </c>
      <c r="B166" s="77" t="s">
        <v>222</v>
      </c>
    </row>
    <row r="167" ht="15.75" customHeight="1">
      <c r="A167" s="76">
        <v>49310.0</v>
      </c>
      <c r="B167" s="77" t="s">
        <v>212</v>
      </c>
    </row>
    <row r="168" ht="15.75" customHeight="1">
      <c r="A168" s="76">
        <v>49394.0</v>
      </c>
      <c r="B168" s="77" t="s">
        <v>213</v>
      </c>
    </row>
    <row r="169" ht="15.75" customHeight="1">
      <c r="A169" s="76">
        <v>49430.0</v>
      </c>
      <c r="B169" s="77" t="s">
        <v>214</v>
      </c>
    </row>
    <row r="170" ht="15.75" customHeight="1">
      <c r="A170" s="76">
        <v>49437.0</v>
      </c>
      <c r="B170" s="77" t="s">
        <v>215</v>
      </c>
    </row>
    <row r="171" ht="15.75" customHeight="1">
      <c r="A171" s="76">
        <v>49432.0</v>
      </c>
      <c r="B171" s="77" t="s">
        <v>216</v>
      </c>
    </row>
    <row r="172" ht="15.75" customHeight="1">
      <c r="A172" s="76">
        <v>49443.0</v>
      </c>
      <c r="B172" s="77" t="s">
        <v>217</v>
      </c>
    </row>
    <row r="173" ht="15.75" customHeight="1">
      <c r="A173" s="76">
        <v>49504.0</v>
      </c>
      <c r="B173" s="77" t="s">
        <v>218</v>
      </c>
    </row>
    <row r="174" ht="15.75" customHeight="1">
      <c r="A174" s="76">
        <v>49536.0</v>
      </c>
      <c r="B174" s="77" t="s">
        <v>219</v>
      </c>
    </row>
    <row r="175" ht="15.75" customHeight="1">
      <c r="A175" s="76">
        <v>49614.0</v>
      </c>
      <c r="B175" s="77" t="s">
        <v>220</v>
      </c>
    </row>
    <row r="176" ht="15.75" customHeight="1">
      <c r="A176" s="76">
        <v>49624.0</v>
      </c>
      <c r="B176" s="77" t="s">
        <v>221</v>
      </c>
    </row>
    <row r="177" ht="15.75" customHeight="1">
      <c r="A177" s="76">
        <v>49668.0</v>
      </c>
      <c r="B177" s="77" t="s">
        <v>222</v>
      </c>
    </row>
    <row r="178" ht="15.75" customHeight="1">
      <c r="A178" s="76">
        <v>49675.0</v>
      </c>
      <c r="B178" s="77" t="s">
        <v>212</v>
      </c>
    </row>
    <row r="179" ht="15.75" customHeight="1">
      <c r="A179" s="76">
        <v>49779.0</v>
      </c>
      <c r="B179" s="77" t="s">
        <v>213</v>
      </c>
    </row>
    <row r="180" ht="15.75" customHeight="1">
      <c r="A180" s="76">
        <v>49796.0</v>
      </c>
      <c r="B180" s="77" t="s">
        <v>214</v>
      </c>
    </row>
    <row r="181" ht="15.75" customHeight="1">
      <c r="A181" s="76">
        <v>49803.0</v>
      </c>
      <c r="B181" s="77" t="s">
        <v>215</v>
      </c>
    </row>
    <row r="182" ht="15.75" customHeight="1">
      <c r="A182" s="76">
        <v>49817.0</v>
      </c>
      <c r="B182" s="77" t="s">
        <v>216</v>
      </c>
    </row>
    <row r="183" ht="15.75" customHeight="1">
      <c r="A183" s="76">
        <v>49828.0</v>
      </c>
      <c r="B183" s="77" t="s">
        <v>217</v>
      </c>
    </row>
    <row r="184" ht="15.75" customHeight="1">
      <c r="A184" s="76">
        <v>49870.0</v>
      </c>
      <c r="B184" s="77" t="s">
        <v>218</v>
      </c>
    </row>
    <row r="185" ht="15.75" customHeight="1">
      <c r="A185" s="76">
        <v>49902.0</v>
      </c>
      <c r="B185" s="77" t="s">
        <v>219</v>
      </c>
    </row>
    <row r="186" ht="15.75" customHeight="1">
      <c r="A186" s="76">
        <v>49980.0</v>
      </c>
      <c r="B186" s="77" t="s">
        <v>220</v>
      </c>
    </row>
    <row r="187" ht="15.75" customHeight="1">
      <c r="A187" s="76">
        <v>49990.0</v>
      </c>
      <c r="B187" s="77" t="s">
        <v>221</v>
      </c>
    </row>
    <row r="188" ht="15.75" customHeight="1">
      <c r="A188" s="76">
        <v>50034.0</v>
      </c>
      <c r="B188" s="77" t="s">
        <v>222</v>
      </c>
    </row>
    <row r="189" ht="15.75" customHeight="1">
      <c r="A189" s="76">
        <v>50041.0</v>
      </c>
      <c r="B189" s="77" t="s">
        <v>212</v>
      </c>
    </row>
    <row r="190" ht="15.75" customHeight="1">
      <c r="A190" s="76">
        <v>50136.0</v>
      </c>
      <c r="B190" s="77" t="s">
        <v>213</v>
      </c>
    </row>
    <row r="191" ht="15.75" customHeight="1">
      <c r="A191" s="76">
        <v>50161.0</v>
      </c>
      <c r="B191" s="77" t="s">
        <v>214</v>
      </c>
    </row>
    <row r="192" ht="15.75" customHeight="1">
      <c r="A192" s="76">
        <v>50168.0</v>
      </c>
      <c r="B192" s="77" t="s">
        <v>215</v>
      </c>
    </row>
    <row r="193" ht="15.75" customHeight="1">
      <c r="A193" s="76">
        <v>50174.0</v>
      </c>
      <c r="B193" s="77" t="s">
        <v>216</v>
      </c>
    </row>
    <row r="194" ht="15.75" customHeight="1">
      <c r="A194" s="76">
        <v>50185.0</v>
      </c>
      <c r="B194" s="77" t="s">
        <v>217</v>
      </c>
    </row>
    <row r="195" ht="15.75" customHeight="1">
      <c r="A195" s="76">
        <v>50235.0</v>
      </c>
      <c r="B195" s="77" t="s">
        <v>218</v>
      </c>
    </row>
    <row r="196" ht="15.75" customHeight="1">
      <c r="A196" s="76">
        <v>50267.0</v>
      </c>
      <c r="B196" s="77" t="s">
        <v>219</v>
      </c>
    </row>
    <row r="197" ht="15.75" customHeight="1">
      <c r="A197" s="76">
        <v>50345.0</v>
      </c>
      <c r="B197" s="77" t="s">
        <v>220</v>
      </c>
    </row>
    <row r="198" ht="15.75" customHeight="1">
      <c r="A198" s="76">
        <v>50355.0</v>
      </c>
      <c r="B198" s="77" t="s">
        <v>221</v>
      </c>
    </row>
    <row r="199" ht="15.75" customHeight="1">
      <c r="A199" s="76">
        <v>50399.0</v>
      </c>
      <c r="B199" s="77" t="s">
        <v>222</v>
      </c>
    </row>
    <row r="200" ht="15.75" customHeight="1">
      <c r="A200" s="76">
        <v>50406.0</v>
      </c>
      <c r="B200" s="77" t="s">
        <v>212</v>
      </c>
    </row>
    <row r="201" ht="15.75" customHeight="1">
      <c r="A201" s="76">
        <v>50521.0</v>
      </c>
      <c r="B201" s="77" t="s">
        <v>213</v>
      </c>
    </row>
    <row r="202" ht="15.75" customHeight="1">
      <c r="A202" s="76">
        <v>50526.0</v>
      </c>
      <c r="B202" s="77" t="s">
        <v>214</v>
      </c>
    </row>
    <row r="203" ht="15.75" customHeight="1">
      <c r="A203" s="76">
        <v>50533.0</v>
      </c>
      <c r="B203" s="77" t="s">
        <v>215</v>
      </c>
    </row>
    <row r="204" ht="15.75" customHeight="1">
      <c r="A204" s="76">
        <v>50559.0</v>
      </c>
      <c r="B204" s="77" t="s">
        <v>216</v>
      </c>
    </row>
    <row r="205" ht="15.75" customHeight="1">
      <c r="A205" s="76">
        <v>50570.0</v>
      </c>
      <c r="B205" s="77" t="s">
        <v>217</v>
      </c>
    </row>
    <row r="206" ht="15.75" customHeight="1">
      <c r="A206" s="76">
        <v>50600.0</v>
      </c>
      <c r="B206" s="77" t="s">
        <v>218</v>
      </c>
    </row>
    <row r="207" ht="15.75" customHeight="1">
      <c r="A207" s="76">
        <v>50632.0</v>
      </c>
      <c r="B207" s="77" t="s">
        <v>219</v>
      </c>
    </row>
    <row r="208" ht="15.75" customHeight="1">
      <c r="A208" s="76">
        <v>50710.0</v>
      </c>
      <c r="B208" s="77" t="s">
        <v>220</v>
      </c>
    </row>
    <row r="209" ht="15.75" customHeight="1">
      <c r="A209" s="76">
        <v>50720.0</v>
      </c>
      <c r="B209" s="77" t="s">
        <v>221</v>
      </c>
    </row>
    <row r="210" ht="15.75" customHeight="1">
      <c r="A210" s="76">
        <v>50764.0</v>
      </c>
      <c r="B210" s="77" t="s">
        <v>222</v>
      </c>
    </row>
    <row r="211" ht="15.75" customHeight="1">
      <c r="A211" s="76">
        <v>50771.0</v>
      </c>
      <c r="B211" s="77" t="s">
        <v>212</v>
      </c>
    </row>
    <row r="212" ht="15.75" customHeight="1">
      <c r="A212" s="76">
        <v>50871.0</v>
      </c>
      <c r="B212" s="77" t="s">
        <v>213</v>
      </c>
    </row>
    <row r="213" ht="15.75" customHeight="1">
      <c r="A213" s="76">
        <v>50891.0</v>
      </c>
      <c r="B213" s="77" t="s">
        <v>214</v>
      </c>
    </row>
    <row r="214" ht="15.75" customHeight="1">
      <c r="A214" s="76">
        <v>50898.0</v>
      </c>
      <c r="B214" s="77" t="s">
        <v>215</v>
      </c>
    </row>
    <row r="215" ht="15.75" customHeight="1">
      <c r="A215" s="76">
        <v>50909.0</v>
      </c>
      <c r="B215" s="77" t="s">
        <v>216</v>
      </c>
    </row>
    <row r="216" ht="15.75" customHeight="1">
      <c r="A216" s="76">
        <v>50920.0</v>
      </c>
      <c r="B216" s="77" t="s">
        <v>217</v>
      </c>
    </row>
    <row r="217" ht="15.75" customHeight="1">
      <c r="A217" s="76">
        <v>50965.0</v>
      </c>
      <c r="B217" s="77" t="s">
        <v>218</v>
      </c>
    </row>
    <row r="218" ht="15.75" customHeight="1">
      <c r="A218" s="76">
        <v>50997.0</v>
      </c>
      <c r="B218" s="77" t="s">
        <v>219</v>
      </c>
    </row>
    <row r="219" ht="15.75" customHeight="1">
      <c r="A219" s="76">
        <v>51075.0</v>
      </c>
      <c r="B219" s="77" t="s">
        <v>220</v>
      </c>
    </row>
    <row r="220" ht="15.75" customHeight="1">
      <c r="A220" s="76">
        <v>51085.0</v>
      </c>
      <c r="B220" s="77" t="s">
        <v>221</v>
      </c>
    </row>
    <row r="221" ht="15.75" customHeight="1">
      <c r="A221" s="76">
        <v>51129.0</v>
      </c>
      <c r="B221" s="77" t="s">
        <v>222</v>
      </c>
    </row>
    <row r="222" ht="15.75" customHeight="1">
      <c r="A222" s="76">
        <v>51136.0</v>
      </c>
      <c r="B222" s="77" t="s">
        <v>212</v>
      </c>
    </row>
    <row r="223" ht="15.75" customHeight="1">
      <c r="A223" s="76">
        <v>51228.0</v>
      </c>
      <c r="B223" s="77" t="s">
        <v>213</v>
      </c>
    </row>
    <row r="224" ht="15.75" customHeight="1">
      <c r="A224" s="76">
        <v>51257.0</v>
      </c>
      <c r="B224" s="77" t="s">
        <v>214</v>
      </c>
    </row>
    <row r="225" ht="15.75" customHeight="1">
      <c r="A225" s="76">
        <v>51264.0</v>
      </c>
      <c r="B225" s="77" t="s">
        <v>215</v>
      </c>
    </row>
    <row r="226" ht="15.75" customHeight="1">
      <c r="A226" s="76">
        <v>51266.0</v>
      </c>
      <c r="B226" s="77" t="s">
        <v>216</v>
      </c>
    </row>
    <row r="227" ht="15.75" customHeight="1">
      <c r="A227" s="76">
        <v>51277.0</v>
      </c>
      <c r="B227" s="77" t="s">
        <v>217</v>
      </c>
    </row>
    <row r="228" ht="15.75" customHeight="1">
      <c r="A228" s="76">
        <v>51331.0</v>
      </c>
      <c r="B228" s="77" t="s">
        <v>218</v>
      </c>
    </row>
    <row r="229" ht="15.75" customHeight="1">
      <c r="A229" s="76">
        <v>51363.0</v>
      </c>
      <c r="B229" s="77" t="s">
        <v>219</v>
      </c>
    </row>
    <row r="230" ht="15.75" customHeight="1">
      <c r="A230" s="76">
        <v>51441.0</v>
      </c>
      <c r="B230" s="77" t="s">
        <v>220</v>
      </c>
    </row>
    <row r="231" ht="15.75" customHeight="1">
      <c r="A231" s="76">
        <v>51451.0</v>
      </c>
      <c r="B231" s="77" t="s">
        <v>221</v>
      </c>
    </row>
    <row r="232" ht="15.75" customHeight="1">
      <c r="A232" s="76">
        <v>51495.0</v>
      </c>
      <c r="B232" s="77" t="s">
        <v>222</v>
      </c>
    </row>
    <row r="233" ht="15.75" customHeight="1">
      <c r="A233" s="76">
        <v>51502.0</v>
      </c>
      <c r="B233" s="77" t="s">
        <v>212</v>
      </c>
    </row>
    <row r="234" ht="15.75" customHeight="1">
      <c r="A234" s="76">
        <v>51613.0</v>
      </c>
      <c r="B234" s="77" t="s">
        <v>213</v>
      </c>
    </row>
    <row r="235" ht="15.75" customHeight="1">
      <c r="A235" s="76">
        <v>51622.0</v>
      </c>
      <c r="B235" s="77" t="s">
        <v>214</v>
      </c>
    </row>
    <row r="236" ht="15.75" customHeight="1">
      <c r="A236" s="76">
        <v>51629.0</v>
      </c>
      <c r="B236" s="77" t="s">
        <v>215</v>
      </c>
    </row>
    <row r="237" ht="15.75" customHeight="1">
      <c r="A237" s="76">
        <v>51651.0</v>
      </c>
      <c r="B237" s="77" t="s">
        <v>216</v>
      </c>
    </row>
    <row r="238" ht="15.75" customHeight="1">
      <c r="A238" s="76">
        <v>51662.0</v>
      </c>
      <c r="B238" s="77" t="s">
        <v>217</v>
      </c>
    </row>
    <row r="239" ht="15.75" customHeight="1">
      <c r="A239" s="76">
        <v>51696.0</v>
      </c>
      <c r="B239" s="77" t="s">
        <v>218</v>
      </c>
    </row>
    <row r="240" ht="15.75" customHeight="1">
      <c r="A240" s="76">
        <v>51728.0</v>
      </c>
      <c r="B240" s="77" t="s">
        <v>219</v>
      </c>
    </row>
    <row r="241" ht="15.75" customHeight="1">
      <c r="A241" s="76">
        <v>51806.0</v>
      </c>
      <c r="B241" s="77" t="s">
        <v>220</v>
      </c>
    </row>
    <row r="242" ht="15.75" customHeight="1">
      <c r="A242" s="76">
        <v>51816.0</v>
      </c>
      <c r="B242" s="77" t="s">
        <v>221</v>
      </c>
    </row>
    <row r="243" ht="15.75" customHeight="1">
      <c r="A243" s="76">
        <v>51860.0</v>
      </c>
      <c r="B243" s="77" t="s">
        <v>222</v>
      </c>
    </row>
    <row r="244" ht="15.75" customHeight="1">
      <c r="A244" s="76">
        <v>51867.0</v>
      </c>
      <c r="B244" s="77" t="s">
        <v>212</v>
      </c>
    </row>
    <row r="245" ht="15.75" customHeight="1">
      <c r="A245" s="76">
        <v>51963.0</v>
      </c>
      <c r="B245" s="77" t="s">
        <v>213</v>
      </c>
    </row>
    <row r="246" ht="15.75" customHeight="1">
      <c r="A246" s="76">
        <v>51987.0</v>
      </c>
      <c r="B246" s="77" t="s">
        <v>214</v>
      </c>
    </row>
    <row r="247" ht="15.75" customHeight="1">
      <c r="A247" s="76">
        <v>51994.0</v>
      </c>
      <c r="B247" s="77" t="s">
        <v>215</v>
      </c>
    </row>
    <row r="248" ht="15.75" customHeight="1">
      <c r="A248" s="76">
        <v>52001.0</v>
      </c>
      <c r="B248" s="77" t="s">
        <v>216</v>
      </c>
    </row>
    <row r="249" ht="15.75" customHeight="1">
      <c r="A249" s="76">
        <v>52012.0</v>
      </c>
      <c r="B249" s="77" t="s">
        <v>217</v>
      </c>
    </row>
    <row r="250" ht="15.75" customHeight="1">
      <c r="A250" s="76">
        <v>52061.0</v>
      </c>
      <c r="B250" s="77" t="s">
        <v>218</v>
      </c>
    </row>
    <row r="251" ht="15.75" customHeight="1">
      <c r="A251" s="76">
        <v>52093.0</v>
      </c>
      <c r="B251" s="77" t="s">
        <v>219</v>
      </c>
    </row>
    <row r="252" ht="15.75" customHeight="1">
      <c r="A252" s="76">
        <v>52171.0</v>
      </c>
      <c r="B252" s="77" t="s">
        <v>220</v>
      </c>
    </row>
    <row r="253" ht="15.75" customHeight="1">
      <c r="A253" s="76">
        <v>52181.0</v>
      </c>
      <c r="B253" s="77" t="s">
        <v>221</v>
      </c>
    </row>
    <row r="254" ht="15.75" customHeight="1">
      <c r="A254" s="76">
        <v>52225.0</v>
      </c>
      <c r="B254" s="77" t="s">
        <v>222</v>
      </c>
    </row>
    <row r="255" ht="15.75" customHeight="1">
      <c r="A255" s="76">
        <v>52232.0</v>
      </c>
      <c r="B255" s="77" t="s">
        <v>212</v>
      </c>
    </row>
    <row r="256" ht="15.75" customHeight="1">
      <c r="A256" s="76">
        <v>52320.0</v>
      </c>
      <c r="B256" s="77" t="s">
        <v>213</v>
      </c>
    </row>
    <row r="257" ht="15.75" customHeight="1">
      <c r="A257" s="76">
        <v>52352.0</v>
      </c>
      <c r="B257" s="77" t="s">
        <v>214</v>
      </c>
    </row>
    <row r="258" ht="15.75" customHeight="1">
      <c r="A258" s="76">
        <v>52359.0</v>
      </c>
      <c r="B258" s="77" t="s">
        <v>215</v>
      </c>
    </row>
    <row r="259" ht="15.75" customHeight="1">
      <c r="A259" s="76">
        <v>52358.0</v>
      </c>
      <c r="B259" s="77" t="s">
        <v>216</v>
      </c>
    </row>
    <row r="260" ht="15.75" customHeight="1">
      <c r="A260" s="76">
        <v>52369.0</v>
      </c>
      <c r="B260" s="77" t="s">
        <v>217</v>
      </c>
    </row>
    <row r="261" ht="15.75" customHeight="1">
      <c r="A261" s="76">
        <v>52426.0</v>
      </c>
      <c r="B261" s="77" t="s">
        <v>218</v>
      </c>
    </row>
    <row r="262" ht="15.75" customHeight="1">
      <c r="A262" s="76">
        <v>52458.0</v>
      </c>
      <c r="B262" s="77" t="s">
        <v>219</v>
      </c>
    </row>
    <row r="263" ht="15.75" customHeight="1">
      <c r="A263" s="76">
        <v>52536.0</v>
      </c>
      <c r="B263" s="77" t="s">
        <v>220</v>
      </c>
    </row>
    <row r="264" ht="15.75" customHeight="1">
      <c r="A264" s="76">
        <v>52546.0</v>
      </c>
      <c r="B264" s="77" t="s">
        <v>221</v>
      </c>
    </row>
    <row r="265" ht="15.75" customHeight="1">
      <c r="A265" s="76">
        <v>52590.0</v>
      </c>
      <c r="B265" s="77" t="s">
        <v>222</v>
      </c>
    </row>
    <row r="266" ht="15.75" customHeight="1">
      <c r="A266" s="76">
        <v>52597.0</v>
      </c>
      <c r="B266" s="77" t="s">
        <v>212</v>
      </c>
    </row>
    <row r="267" ht="15.75" customHeight="1">
      <c r="A267" s="76">
        <v>52705.0</v>
      </c>
      <c r="B267" s="77" t="s">
        <v>213</v>
      </c>
    </row>
    <row r="268" ht="15.75" customHeight="1">
      <c r="A268" s="76">
        <v>52718.0</v>
      </c>
      <c r="B268" s="77" t="s">
        <v>214</v>
      </c>
    </row>
    <row r="269" ht="15.75" customHeight="1">
      <c r="A269" s="76">
        <v>52725.0</v>
      </c>
      <c r="B269" s="77" t="s">
        <v>215</v>
      </c>
    </row>
    <row r="270" ht="15.75" customHeight="1">
      <c r="A270" s="76">
        <v>52743.0</v>
      </c>
      <c r="B270" s="77" t="s">
        <v>216</v>
      </c>
    </row>
    <row r="271" ht="15.75" customHeight="1">
      <c r="A271" s="76">
        <v>52754.0</v>
      </c>
      <c r="B271" s="77" t="s">
        <v>217</v>
      </c>
    </row>
    <row r="272" ht="15.75" customHeight="1">
      <c r="A272" s="76">
        <v>52792.0</v>
      </c>
      <c r="B272" s="77" t="s">
        <v>218</v>
      </c>
    </row>
    <row r="273" ht="15.75" customHeight="1">
      <c r="A273" s="76">
        <v>52824.0</v>
      </c>
      <c r="B273" s="77" t="s">
        <v>219</v>
      </c>
    </row>
    <row r="274" ht="15.75" customHeight="1">
      <c r="A274" s="76">
        <v>52902.0</v>
      </c>
      <c r="B274" s="77" t="s">
        <v>220</v>
      </c>
    </row>
    <row r="275" ht="15.75" customHeight="1">
      <c r="A275" s="76">
        <v>52912.0</v>
      </c>
      <c r="B275" s="77" t="s">
        <v>221</v>
      </c>
    </row>
    <row r="276" ht="15.75" customHeight="1">
      <c r="A276" s="76">
        <v>52956.0</v>
      </c>
      <c r="B276" s="77" t="s">
        <v>222</v>
      </c>
    </row>
    <row r="277" ht="15.75" customHeight="1">
      <c r="A277" s="76">
        <v>52963.0</v>
      </c>
      <c r="B277" s="77" t="s">
        <v>212</v>
      </c>
    </row>
    <row r="278" ht="15.75" customHeight="1">
      <c r="A278" s="76">
        <v>53062.0</v>
      </c>
      <c r="B278" s="77" t="s">
        <v>213</v>
      </c>
    </row>
    <row r="279" ht="15.75" customHeight="1">
      <c r="A279" s="76">
        <v>53083.0</v>
      </c>
      <c r="B279" s="77" t="s">
        <v>214</v>
      </c>
    </row>
    <row r="280" ht="15.75" customHeight="1">
      <c r="A280" s="76">
        <v>53090.0</v>
      </c>
      <c r="B280" s="77" t="s">
        <v>215</v>
      </c>
    </row>
    <row r="281" ht="15.75" customHeight="1">
      <c r="A281" s="76">
        <v>53100.0</v>
      </c>
      <c r="B281" s="77" t="s">
        <v>216</v>
      </c>
    </row>
    <row r="282" ht="15.75" customHeight="1">
      <c r="A282" s="76">
        <v>53111.0</v>
      </c>
      <c r="B282" s="77" t="s">
        <v>217</v>
      </c>
    </row>
    <row r="283" ht="15.75" customHeight="1">
      <c r="A283" s="76">
        <v>53157.0</v>
      </c>
      <c r="B283" s="77" t="s">
        <v>218</v>
      </c>
    </row>
    <row r="284" ht="15.75" customHeight="1">
      <c r="A284" s="76">
        <v>53189.0</v>
      </c>
      <c r="B284" s="77" t="s">
        <v>219</v>
      </c>
    </row>
    <row r="285" ht="15.75" customHeight="1">
      <c r="A285" s="76">
        <v>53267.0</v>
      </c>
      <c r="B285" s="77" t="s">
        <v>220</v>
      </c>
    </row>
    <row r="286" ht="15.75" customHeight="1">
      <c r="A286" s="76">
        <v>53277.0</v>
      </c>
      <c r="B286" s="77" t="s">
        <v>221</v>
      </c>
    </row>
    <row r="287" ht="15.75" customHeight="1">
      <c r="A287" s="76">
        <v>53321.0</v>
      </c>
      <c r="B287" s="77" t="s">
        <v>222</v>
      </c>
    </row>
    <row r="288" ht="15.75" customHeight="1">
      <c r="A288" s="76">
        <v>53328.0</v>
      </c>
      <c r="B288" s="77" t="s">
        <v>212</v>
      </c>
    </row>
    <row r="289" ht="15.75" customHeight="1">
      <c r="A289" s="76">
        <v>53412.0</v>
      </c>
      <c r="B289" s="77" t="s">
        <v>213</v>
      </c>
    </row>
    <row r="290" ht="15.75" customHeight="1">
      <c r="A290" s="76">
        <v>53448.0</v>
      </c>
      <c r="B290" s="77" t="s">
        <v>214</v>
      </c>
    </row>
    <row r="291" ht="15.75" customHeight="1">
      <c r="A291" s="76">
        <v>53455.0</v>
      </c>
      <c r="B291" s="77" t="s">
        <v>215</v>
      </c>
    </row>
    <row r="292" ht="15.75" customHeight="1">
      <c r="A292" s="76">
        <v>53450.0</v>
      </c>
      <c r="B292" s="77" t="s">
        <v>216</v>
      </c>
    </row>
    <row r="293" ht="15.75" customHeight="1">
      <c r="A293" s="76">
        <v>53461.0</v>
      </c>
      <c r="B293" s="77" t="s">
        <v>217</v>
      </c>
    </row>
    <row r="294" ht="15.75" customHeight="1">
      <c r="A294" s="76">
        <v>53522.0</v>
      </c>
      <c r="B294" s="77" t="s">
        <v>218</v>
      </c>
    </row>
    <row r="295" ht="15.75" customHeight="1">
      <c r="A295" s="76">
        <v>53554.0</v>
      </c>
      <c r="B295" s="77" t="s">
        <v>219</v>
      </c>
    </row>
    <row r="296" ht="15.75" customHeight="1">
      <c r="A296" s="76">
        <v>53632.0</v>
      </c>
      <c r="B296" s="77" t="s">
        <v>220</v>
      </c>
    </row>
    <row r="297" ht="15.75" customHeight="1">
      <c r="A297" s="76">
        <v>53642.0</v>
      </c>
      <c r="B297" s="77" t="s">
        <v>221</v>
      </c>
    </row>
    <row r="298" ht="15.75" customHeight="1">
      <c r="A298" s="76">
        <v>53686.0</v>
      </c>
      <c r="B298" s="77" t="s">
        <v>222</v>
      </c>
    </row>
    <row r="299" ht="15.75" customHeight="1">
      <c r="A299" s="76">
        <v>53693.0</v>
      </c>
      <c r="B299" s="77" t="s">
        <v>212</v>
      </c>
    </row>
    <row r="300" ht="15.75" customHeight="1">
      <c r="A300" s="76">
        <v>53797.0</v>
      </c>
      <c r="B300" s="77" t="s">
        <v>213</v>
      </c>
    </row>
    <row r="301" ht="15.75" customHeight="1">
      <c r="A301" s="76">
        <v>53813.0</v>
      </c>
      <c r="B301" s="77" t="s">
        <v>214</v>
      </c>
    </row>
    <row r="302" ht="15.75" customHeight="1">
      <c r="A302" s="76">
        <v>53820.0</v>
      </c>
      <c r="B302" s="77" t="s">
        <v>215</v>
      </c>
    </row>
    <row r="303" ht="15.75" customHeight="1">
      <c r="A303" s="76">
        <v>53835.0</v>
      </c>
      <c r="B303" s="77" t="s">
        <v>216</v>
      </c>
    </row>
    <row r="304" ht="15.75" customHeight="1">
      <c r="A304" s="76">
        <v>53846.0</v>
      </c>
      <c r="B304" s="77" t="s">
        <v>217</v>
      </c>
    </row>
    <row r="305" ht="15.75" customHeight="1">
      <c r="A305" s="76">
        <v>53887.0</v>
      </c>
      <c r="B305" s="77" t="s">
        <v>218</v>
      </c>
    </row>
    <row r="306" ht="15.75" customHeight="1">
      <c r="A306" s="76">
        <v>53919.0</v>
      </c>
      <c r="B306" s="77" t="s">
        <v>219</v>
      </c>
    </row>
    <row r="307" ht="15.75" customHeight="1">
      <c r="A307" s="76">
        <v>53997.0</v>
      </c>
      <c r="B307" s="77" t="s">
        <v>220</v>
      </c>
    </row>
    <row r="308" ht="15.75" customHeight="1">
      <c r="A308" s="76">
        <v>54007.0</v>
      </c>
      <c r="B308" s="77" t="s">
        <v>221</v>
      </c>
    </row>
    <row r="309" ht="15.75" customHeight="1">
      <c r="A309" s="76">
        <v>54051.0</v>
      </c>
      <c r="B309" s="77" t="s">
        <v>222</v>
      </c>
    </row>
    <row r="310" ht="15.75" customHeight="1">
      <c r="A310" s="76">
        <v>54058.0</v>
      </c>
      <c r="B310" s="77" t="s">
        <v>212</v>
      </c>
    </row>
    <row r="311" ht="15.75" customHeight="1">
      <c r="A311" s="76">
        <v>54154.0</v>
      </c>
      <c r="B311" s="77" t="s">
        <v>213</v>
      </c>
    </row>
    <row r="312" ht="15.75" customHeight="1">
      <c r="A312" s="76">
        <v>54179.0</v>
      </c>
      <c r="B312" s="77" t="s">
        <v>214</v>
      </c>
    </row>
    <row r="313" ht="15.75" customHeight="1">
      <c r="A313" s="76">
        <v>54186.0</v>
      </c>
      <c r="B313" s="77" t="s">
        <v>215</v>
      </c>
    </row>
    <row r="314" ht="15.75" customHeight="1">
      <c r="A314" s="76">
        <v>54192.0</v>
      </c>
      <c r="B314" s="77" t="s">
        <v>216</v>
      </c>
    </row>
    <row r="315" ht="15.75" customHeight="1">
      <c r="A315" s="76">
        <v>54203.0</v>
      </c>
      <c r="B315" s="77" t="s">
        <v>217</v>
      </c>
    </row>
    <row r="316" ht="15.75" customHeight="1">
      <c r="A316" s="76">
        <v>54253.0</v>
      </c>
      <c r="B316" s="77" t="s">
        <v>218</v>
      </c>
    </row>
    <row r="317" ht="15.75" customHeight="1">
      <c r="A317" s="76">
        <v>54285.0</v>
      </c>
      <c r="B317" s="77" t="s">
        <v>219</v>
      </c>
    </row>
    <row r="318" ht="15.75" customHeight="1">
      <c r="A318" s="76">
        <v>54363.0</v>
      </c>
      <c r="B318" s="77" t="s">
        <v>220</v>
      </c>
    </row>
    <row r="319" ht="15.75" customHeight="1">
      <c r="A319" s="76">
        <v>54373.0</v>
      </c>
      <c r="B319" s="77" t="s">
        <v>221</v>
      </c>
    </row>
    <row r="320" ht="15.75" customHeight="1">
      <c r="A320" s="76">
        <v>54417.0</v>
      </c>
      <c r="B320" s="77" t="s">
        <v>222</v>
      </c>
    </row>
    <row r="321" ht="15.75" customHeight="1">
      <c r="A321" s="76">
        <v>54424.0</v>
      </c>
      <c r="B321" s="77" t="s">
        <v>212</v>
      </c>
    </row>
    <row r="322" ht="15.75" customHeight="1">
      <c r="A322" s="76">
        <v>54532.0</v>
      </c>
      <c r="B322" s="77" t="s">
        <v>213</v>
      </c>
    </row>
    <row r="323" ht="15.75" customHeight="1">
      <c r="A323" s="76">
        <v>54544.0</v>
      </c>
      <c r="B323" s="77" t="s">
        <v>214</v>
      </c>
    </row>
    <row r="324" ht="15.75" customHeight="1">
      <c r="A324" s="76">
        <v>54551.0</v>
      </c>
      <c r="B324" s="77" t="s">
        <v>215</v>
      </c>
    </row>
    <row r="325" ht="15.75" customHeight="1">
      <c r="A325" s="76">
        <v>54570.0</v>
      </c>
      <c r="B325" s="77" t="s">
        <v>216</v>
      </c>
    </row>
    <row r="326" ht="15.75" customHeight="1">
      <c r="A326" s="76">
        <v>54581.0</v>
      </c>
      <c r="B326" s="77" t="s">
        <v>217</v>
      </c>
    </row>
    <row r="327" ht="15.75" customHeight="1">
      <c r="A327" s="76">
        <v>54618.0</v>
      </c>
      <c r="B327" s="77" t="s">
        <v>218</v>
      </c>
    </row>
    <row r="328" ht="15.75" customHeight="1">
      <c r="A328" s="76">
        <v>54650.0</v>
      </c>
      <c r="B328" s="77" t="s">
        <v>219</v>
      </c>
    </row>
    <row r="329" ht="15.75" customHeight="1">
      <c r="A329" s="76">
        <v>54728.0</v>
      </c>
      <c r="B329" s="77" t="s">
        <v>220</v>
      </c>
    </row>
    <row r="330" ht="15.75" customHeight="1">
      <c r="A330" s="76">
        <v>54738.0</v>
      </c>
      <c r="B330" s="77" t="s">
        <v>221</v>
      </c>
    </row>
    <row r="331" ht="15.75" customHeight="1">
      <c r="A331" s="76">
        <v>54782.0</v>
      </c>
      <c r="B331" s="77" t="s">
        <v>222</v>
      </c>
    </row>
    <row r="332" ht="15.75" customHeight="1">
      <c r="A332" s="76">
        <v>54789.0</v>
      </c>
      <c r="B332" s="77" t="s">
        <v>212</v>
      </c>
    </row>
    <row r="333" ht="15.75" customHeight="1">
      <c r="A333" s="76">
        <v>54889.0</v>
      </c>
      <c r="B333" s="77" t="s">
        <v>213</v>
      </c>
    </row>
    <row r="334" ht="15.75" customHeight="1">
      <c r="A334" s="76">
        <v>54909.0</v>
      </c>
      <c r="B334" s="77" t="s">
        <v>214</v>
      </c>
    </row>
    <row r="335" ht="15.75" customHeight="1">
      <c r="A335" s="76">
        <v>54916.0</v>
      </c>
      <c r="B335" s="77" t="s">
        <v>215</v>
      </c>
    </row>
    <row r="336" ht="15.75" customHeight="1">
      <c r="A336" s="76">
        <v>54927.0</v>
      </c>
      <c r="B336" s="77" t="s">
        <v>216</v>
      </c>
    </row>
    <row r="337" ht="15.75" customHeight="1">
      <c r="A337" s="76">
        <v>54938.0</v>
      </c>
      <c r="B337" s="77" t="s">
        <v>217</v>
      </c>
    </row>
    <row r="338" ht="15.75" customHeight="1">
      <c r="A338" s="76">
        <v>54983.0</v>
      </c>
      <c r="B338" s="77" t="s">
        <v>218</v>
      </c>
    </row>
    <row r="339" ht="15.75" customHeight="1">
      <c r="A339" s="76">
        <v>55015.0</v>
      </c>
      <c r="B339" s="77" t="s">
        <v>219</v>
      </c>
    </row>
    <row r="340" ht="15.75" customHeight="1">
      <c r="A340" s="76">
        <v>55093.0</v>
      </c>
      <c r="B340" s="77" t="s">
        <v>220</v>
      </c>
    </row>
    <row r="341" ht="15.75" customHeight="1">
      <c r="A341" s="76">
        <v>55103.0</v>
      </c>
      <c r="B341" s="77" t="s">
        <v>221</v>
      </c>
    </row>
    <row r="342" ht="15.75" customHeight="1">
      <c r="A342" s="76">
        <v>55147.0</v>
      </c>
      <c r="B342" s="77" t="s">
        <v>222</v>
      </c>
    </row>
    <row r="343" ht="15.75" customHeight="1">
      <c r="A343" s="76">
        <v>55154.0</v>
      </c>
      <c r="B343" s="77" t="s">
        <v>212</v>
      </c>
    </row>
    <row r="344" ht="15.75" customHeight="1">
      <c r="A344" s="76">
        <v>55246.0</v>
      </c>
      <c r="B344" s="77" t="s">
        <v>213</v>
      </c>
    </row>
    <row r="345" ht="15.75" customHeight="1">
      <c r="A345" s="76">
        <v>55274.0</v>
      </c>
      <c r="B345" s="77" t="s">
        <v>214</v>
      </c>
    </row>
    <row r="346" ht="15.75" customHeight="1">
      <c r="A346" s="76">
        <v>55281.0</v>
      </c>
      <c r="B346" s="77" t="s">
        <v>215</v>
      </c>
    </row>
    <row r="347" ht="15.75" customHeight="1">
      <c r="A347" s="76">
        <v>55284.0</v>
      </c>
      <c r="B347" s="77" t="s">
        <v>216</v>
      </c>
    </row>
    <row r="348" ht="15.75" customHeight="1">
      <c r="A348" s="76">
        <v>55295.0</v>
      </c>
      <c r="B348" s="77" t="s">
        <v>217</v>
      </c>
    </row>
    <row r="349" ht="15.75" customHeight="1">
      <c r="A349" s="76">
        <v>55348.0</v>
      </c>
      <c r="B349" s="77" t="s">
        <v>218</v>
      </c>
    </row>
    <row r="350" ht="15.75" customHeight="1">
      <c r="A350" s="76">
        <v>55380.0</v>
      </c>
      <c r="B350" s="77" t="s">
        <v>219</v>
      </c>
    </row>
    <row r="351" ht="15.75" customHeight="1">
      <c r="A351" s="76">
        <v>55458.0</v>
      </c>
      <c r="B351" s="77" t="s">
        <v>220</v>
      </c>
    </row>
    <row r="352" ht="15.75" customHeight="1">
      <c r="A352" s="76">
        <v>55468.0</v>
      </c>
      <c r="B352" s="77" t="s">
        <v>221</v>
      </c>
    </row>
    <row r="353" ht="15.75" customHeight="1">
      <c r="A353" s="76">
        <v>55512.0</v>
      </c>
      <c r="B353" s="77" t="s">
        <v>222</v>
      </c>
    </row>
    <row r="354" ht="15.75" customHeight="1">
      <c r="A354" s="76">
        <v>55519.0</v>
      </c>
      <c r="B354" s="77" t="s">
        <v>212</v>
      </c>
    </row>
    <row r="355" ht="15.75" customHeight="1">
      <c r="A355" s="76">
        <v>55631.0</v>
      </c>
      <c r="B355" s="77" t="s">
        <v>213</v>
      </c>
    </row>
    <row r="356" ht="15.75" customHeight="1">
      <c r="A356" s="76">
        <v>55640.0</v>
      </c>
      <c r="B356" s="77" t="s">
        <v>214</v>
      </c>
    </row>
    <row r="357" ht="15.75" customHeight="1">
      <c r="A357" s="76">
        <v>55647.0</v>
      </c>
      <c r="B357" s="77" t="s">
        <v>215</v>
      </c>
    </row>
    <row r="358" ht="15.75" customHeight="1">
      <c r="A358" s="76">
        <v>55669.0</v>
      </c>
      <c r="B358" s="77" t="s">
        <v>216</v>
      </c>
    </row>
    <row r="359" ht="15.75" customHeight="1">
      <c r="A359" s="76">
        <v>55680.0</v>
      </c>
      <c r="B359" s="77" t="s">
        <v>217</v>
      </c>
    </row>
    <row r="360" ht="15.75" customHeight="1">
      <c r="A360" s="76">
        <v>55714.0</v>
      </c>
      <c r="B360" s="77" t="s">
        <v>218</v>
      </c>
    </row>
    <row r="361" ht="15.75" customHeight="1">
      <c r="A361" s="76">
        <v>55746.0</v>
      </c>
      <c r="B361" s="77" t="s">
        <v>219</v>
      </c>
    </row>
    <row r="362" ht="15.75" customHeight="1">
      <c r="A362" s="76">
        <v>55824.0</v>
      </c>
      <c r="B362" s="77" t="s">
        <v>220</v>
      </c>
    </row>
    <row r="363" ht="15.75" customHeight="1">
      <c r="A363" s="76">
        <v>55834.0</v>
      </c>
      <c r="B363" s="77" t="s">
        <v>221</v>
      </c>
    </row>
    <row r="364" ht="15.75" customHeight="1">
      <c r="A364" s="76">
        <v>55878.0</v>
      </c>
      <c r="B364" s="77" t="s">
        <v>222</v>
      </c>
    </row>
    <row r="365" ht="15.75" customHeight="1">
      <c r="A365" s="76">
        <v>55885.0</v>
      </c>
      <c r="B365" s="77" t="s">
        <v>212</v>
      </c>
    </row>
    <row r="366" ht="15.75" customHeight="1">
      <c r="A366" s="76">
        <v>55981.0</v>
      </c>
      <c r="B366" s="77" t="s">
        <v>213</v>
      </c>
    </row>
    <row r="367" ht="15.75" customHeight="1">
      <c r="A367" s="76">
        <v>56005.0</v>
      </c>
      <c r="B367" s="77" t="s">
        <v>214</v>
      </c>
    </row>
    <row r="368" ht="15.75" customHeight="1">
      <c r="A368" s="76">
        <v>56012.0</v>
      </c>
      <c r="B368" s="77" t="s">
        <v>215</v>
      </c>
    </row>
    <row r="369" ht="15.75" customHeight="1">
      <c r="A369" s="76">
        <v>56019.0</v>
      </c>
      <c r="B369" s="77" t="s">
        <v>216</v>
      </c>
    </row>
    <row r="370" ht="15.75" customHeight="1">
      <c r="A370" s="76">
        <v>56030.0</v>
      </c>
      <c r="B370" s="77" t="s">
        <v>217</v>
      </c>
    </row>
    <row r="371" ht="15.75" customHeight="1">
      <c r="A371" s="76">
        <v>56079.0</v>
      </c>
      <c r="B371" s="77" t="s">
        <v>218</v>
      </c>
    </row>
    <row r="372" ht="15.75" customHeight="1">
      <c r="A372" s="76">
        <v>56111.0</v>
      </c>
      <c r="B372" s="77" t="s">
        <v>219</v>
      </c>
    </row>
    <row r="373" ht="15.75" customHeight="1">
      <c r="A373" s="76">
        <v>56189.0</v>
      </c>
      <c r="B373" s="77" t="s">
        <v>220</v>
      </c>
    </row>
    <row r="374" ht="15.75" customHeight="1">
      <c r="A374" s="76">
        <v>56199.0</v>
      </c>
      <c r="B374" s="77" t="s">
        <v>221</v>
      </c>
    </row>
    <row r="375" ht="15.75" customHeight="1">
      <c r="A375" s="76">
        <v>56243.0</v>
      </c>
      <c r="B375" s="77" t="s">
        <v>222</v>
      </c>
    </row>
    <row r="376" ht="15.75" customHeight="1">
      <c r="A376" s="76">
        <v>56250.0</v>
      </c>
      <c r="B376" s="77" t="s">
        <v>212</v>
      </c>
    </row>
    <row r="377" ht="15.75" customHeight="1">
      <c r="A377" s="76">
        <v>56338.0</v>
      </c>
      <c r="B377" s="77" t="s">
        <v>213</v>
      </c>
    </row>
    <row r="378" ht="15.75" customHeight="1">
      <c r="A378" s="76">
        <v>56370.0</v>
      </c>
      <c r="B378" s="77" t="s">
        <v>214</v>
      </c>
    </row>
    <row r="379" ht="15.75" customHeight="1">
      <c r="A379" s="76">
        <v>56377.0</v>
      </c>
      <c r="B379" s="77" t="s">
        <v>215</v>
      </c>
    </row>
    <row r="380" ht="15.75" customHeight="1">
      <c r="A380" s="76">
        <v>56376.0</v>
      </c>
      <c r="B380" s="77" t="s">
        <v>216</v>
      </c>
    </row>
    <row r="381" ht="15.75" customHeight="1">
      <c r="A381" s="76">
        <v>56387.0</v>
      </c>
      <c r="B381" s="77" t="s">
        <v>217</v>
      </c>
    </row>
    <row r="382" ht="15.75" customHeight="1">
      <c r="A382" s="76">
        <v>56444.0</v>
      </c>
      <c r="B382" s="77" t="s">
        <v>218</v>
      </c>
    </row>
    <row r="383" ht="15.75" customHeight="1">
      <c r="A383" s="76">
        <v>56476.0</v>
      </c>
      <c r="B383" s="77" t="s">
        <v>219</v>
      </c>
    </row>
    <row r="384" ht="15.75" customHeight="1">
      <c r="A384" s="76">
        <v>56554.0</v>
      </c>
      <c r="B384" s="77" t="s">
        <v>220</v>
      </c>
    </row>
    <row r="385" ht="15.75" customHeight="1">
      <c r="A385" s="76">
        <v>56564.0</v>
      </c>
      <c r="B385" s="77" t="s">
        <v>221</v>
      </c>
    </row>
    <row r="386" ht="15.75" customHeight="1">
      <c r="A386" s="76">
        <v>56608.0</v>
      </c>
      <c r="B386" s="77" t="s">
        <v>222</v>
      </c>
    </row>
    <row r="387" ht="15.75" customHeight="1">
      <c r="A387" s="76">
        <v>56615.0</v>
      </c>
      <c r="B387" s="77" t="s">
        <v>212</v>
      </c>
    </row>
    <row r="388" ht="15.75" customHeight="1">
      <c r="A388" s="76">
        <v>56723.0</v>
      </c>
      <c r="B388" s="77" t="s">
        <v>213</v>
      </c>
    </row>
    <row r="389" ht="15.75" customHeight="1">
      <c r="A389" s="76">
        <v>56735.0</v>
      </c>
      <c r="B389" s="77" t="s">
        <v>214</v>
      </c>
    </row>
    <row r="390" ht="15.75" customHeight="1">
      <c r="A390" s="76">
        <v>56742.0</v>
      </c>
      <c r="B390" s="77" t="s">
        <v>215</v>
      </c>
    </row>
    <row r="391" ht="15.75" customHeight="1">
      <c r="A391" s="76">
        <v>56761.0</v>
      </c>
      <c r="B391" s="77" t="s">
        <v>216</v>
      </c>
    </row>
    <row r="392" ht="15.75" customHeight="1">
      <c r="A392" s="76">
        <v>56772.0</v>
      </c>
      <c r="B392" s="77" t="s">
        <v>217</v>
      </c>
    </row>
    <row r="393" ht="15.75" customHeight="1">
      <c r="A393" s="76">
        <v>56809.0</v>
      </c>
      <c r="B393" s="77" t="s">
        <v>218</v>
      </c>
    </row>
    <row r="394" ht="15.75" customHeight="1">
      <c r="A394" s="76">
        <v>56841.0</v>
      </c>
      <c r="B394" s="77" t="s">
        <v>219</v>
      </c>
    </row>
    <row r="395" ht="15.75" customHeight="1">
      <c r="A395" s="76">
        <v>56919.0</v>
      </c>
      <c r="B395" s="77" t="s">
        <v>220</v>
      </c>
    </row>
    <row r="396" ht="15.75" customHeight="1">
      <c r="A396" s="76">
        <v>56929.0</v>
      </c>
      <c r="B396" s="77" t="s">
        <v>221</v>
      </c>
    </row>
    <row r="397" ht="15.75" customHeight="1">
      <c r="A397" s="76">
        <v>56973.0</v>
      </c>
      <c r="B397" s="77" t="s">
        <v>222</v>
      </c>
    </row>
    <row r="398" ht="15.75" customHeight="1">
      <c r="A398" s="76">
        <v>56980.0</v>
      </c>
      <c r="B398" s="77" t="s">
        <v>212</v>
      </c>
    </row>
    <row r="399" ht="15.75" customHeight="1">
      <c r="A399" s="76">
        <v>57073.0</v>
      </c>
      <c r="B399" s="77" t="s">
        <v>213</v>
      </c>
    </row>
    <row r="400" ht="15.75" customHeight="1">
      <c r="A400" s="76">
        <v>57101.0</v>
      </c>
      <c r="B400" s="77" t="s">
        <v>214</v>
      </c>
    </row>
    <row r="401" ht="15.75" customHeight="1">
      <c r="A401" s="76">
        <v>57108.0</v>
      </c>
      <c r="B401" s="77" t="s">
        <v>215</v>
      </c>
    </row>
    <row r="402" ht="15.75" customHeight="1">
      <c r="A402" s="76">
        <v>57111.0</v>
      </c>
      <c r="B402" s="77" t="s">
        <v>216</v>
      </c>
    </row>
    <row r="403" ht="15.75" customHeight="1">
      <c r="A403" s="76">
        <v>57122.0</v>
      </c>
      <c r="B403" s="77" t="s">
        <v>217</v>
      </c>
    </row>
    <row r="404" ht="15.75" customHeight="1">
      <c r="A404" s="76">
        <v>57175.0</v>
      </c>
      <c r="B404" s="77" t="s">
        <v>218</v>
      </c>
    </row>
    <row r="405" ht="15.75" customHeight="1">
      <c r="A405" s="76">
        <v>57207.0</v>
      </c>
      <c r="B405" s="77" t="s">
        <v>219</v>
      </c>
    </row>
    <row r="406" ht="15.75" customHeight="1">
      <c r="A406" s="76">
        <v>57285.0</v>
      </c>
      <c r="B406" s="77" t="s">
        <v>220</v>
      </c>
    </row>
    <row r="407" ht="15.75" customHeight="1">
      <c r="A407" s="76">
        <v>57295.0</v>
      </c>
      <c r="B407" s="77" t="s">
        <v>221</v>
      </c>
    </row>
    <row r="408" ht="15.75" customHeight="1">
      <c r="A408" s="76">
        <v>57339.0</v>
      </c>
      <c r="B408" s="77" t="s">
        <v>222</v>
      </c>
    </row>
    <row r="409" ht="15.75" customHeight="1">
      <c r="A409" s="76">
        <v>57346.0</v>
      </c>
      <c r="B409" s="77" t="s">
        <v>212</v>
      </c>
    </row>
    <row r="410" ht="15.75" customHeight="1">
      <c r="A410" s="76">
        <v>57458.0</v>
      </c>
      <c r="B410" s="77" t="s">
        <v>213</v>
      </c>
    </row>
    <row r="411" ht="15.75" customHeight="1">
      <c r="A411" s="76">
        <v>57466.0</v>
      </c>
      <c r="B411" s="77" t="s">
        <v>214</v>
      </c>
    </row>
    <row r="412" ht="15.75" customHeight="1">
      <c r="A412" s="76">
        <v>57473.0</v>
      </c>
      <c r="B412" s="77" t="s">
        <v>215</v>
      </c>
    </row>
    <row r="413" ht="15.75" customHeight="1">
      <c r="A413" s="76">
        <v>57496.0</v>
      </c>
      <c r="B413" s="77" t="s">
        <v>216</v>
      </c>
    </row>
    <row r="414" ht="15.75" customHeight="1">
      <c r="A414" s="76">
        <v>57507.0</v>
      </c>
      <c r="B414" s="77" t="s">
        <v>217</v>
      </c>
    </row>
    <row r="415" ht="15.75" customHeight="1">
      <c r="A415" s="76">
        <v>57540.0</v>
      </c>
      <c r="B415" s="77" t="s">
        <v>218</v>
      </c>
    </row>
    <row r="416" ht="15.75" customHeight="1">
      <c r="A416" s="76">
        <v>57572.0</v>
      </c>
      <c r="B416" s="77" t="s">
        <v>219</v>
      </c>
    </row>
    <row r="417" ht="15.75" customHeight="1">
      <c r="A417" s="76">
        <v>57650.0</v>
      </c>
      <c r="B417" s="77" t="s">
        <v>220</v>
      </c>
    </row>
    <row r="418" ht="15.75" customHeight="1">
      <c r="A418" s="76">
        <v>57660.0</v>
      </c>
      <c r="B418" s="77" t="s">
        <v>221</v>
      </c>
    </row>
    <row r="419" ht="15.75" customHeight="1">
      <c r="A419" s="76">
        <v>57704.0</v>
      </c>
      <c r="B419" s="77" t="s">
        <v>222</v>
      </c>
    </row>
    <row r="420" ht="15.75" customHeight="1">
      <c r="A420" s="76">
        <v>57711.0</v>
      </c>
      <c r="B420" s="77" t="s">
        <v>212</v>
      </c>
    </row>
    <row r="421" ht="15.75" customHeight="1">
      <c r="A421" s="76">
        <v>57815.0</v>
      </c>
      <c r="B421" s="77" t="s">
        <v>213</v>
      </c>
    </row>
    <row r="422" ht="15.75" customHeight="1">
      <c r="A422" s="76">
        <v>57831.0</v>
      </c>
      <c r="B422" s="77" t="s">
        <v>214</v>
      </c>
    </row>
    <row r="423" ht="15.75" customHeight="1">
      <c r="A423" s="76">
        <v>57838.0</v>
      </c>
      <c r="B423" s="77" t="s">
        <v>215</v>
      </c>
    </row>
    <row r="424" ht="15.75" customHeight="1">
      <c r="A424" s="76">
        <v>57853.0</v>
      </c>
      <c r="B424" s="77" t="s">
        <v>216</v>
      </c>
    </row>
    <row r="425" ht="15.75" customHeight="1">
      <c r="A425" s="76">
        <v>57864.0</v>
      </c>
      <c r="B425" s="77" t="s">
        <v>217</v>
      </c>
    </row>
    <row r="426" ht="15.75" customHeight="1">
      <c r="A426" s="76">
        <v>57905.0</v>
      </c>
      <c r="B426" s="77" t="s">
        <v>218</v>
      </c>
    </row>
    <row r="427" ht="15.75" customHeight="1">
      <c r="A427" s="76">
        <v>57937.0</v>
      </c>
      <c r="B427" s="77" t="s">
        <v>219</v>
      </c>
    </row>
    <row r="428" ht="15.75" customHeight="1">
      <c r="A428" s="76">
        <v>58015.0</v>
      </c>
      <c r="B428" s="77" t="s">
        <v>220</v>
      </c>
    </row>
    <row r="429" ht="15.75" customHeight="1">
      <c r="A429" s="76">
        <v>58025.0</v>
      </c>
      <c r="B429" s="77" t="s">
        <v>221</v>
      </c>
    </row>
    <row r="430" ht="15.75" customHeight="1">
      <c r="A430" s="76">
        <v>58069.0</v>
      </c>
      <c r="B430" s="77" t="s">
        <v>222</v>
      </c>
    </row>
    <row r="431" ht="15.75" customHeight="1">
      <c r="A431" s="76">
        <v>58076.0</v>
      </c>
      <c r="B431" s="77" t="s">
        <v>212</v>
      </c>
    </row>
    <row r="432" ht="15.75" customHeight="1">
      <c r="A432" s="76">
        <v>58165.0</v>
      </c>
      <c r="B432" s="77" t="s">
        <v>213</v>
      </c>
    </row>
    <row r="433" ht="15.75" customHeight="1">
      <c r="A433" s="76">
        <v>58196.0</v>
      </c>
      <c r="B433" s="77" t="s">
        <v>214</v>
      </c>
    </row>
    <row r="434" ht="15.75" customHeight="1">
      <c r="A434" s="76">
        <v>58203.0</v>
      </c>
      <c r="B434" s="77" t="s">
        <v>215</v>
      </c>
    </row>
    <row r="435" ht="15.75" customHeight="1">
      <c r="A435" s="76">
        <v>58203.0</v>
      </c>
      <c r="B435" s="77" t="s">
        <v>216</v>
      </c>
    </row>
    <row r="436" ht="15.75" customHeight="1">
      <c r="A436" s="76">
        <v>58214.0</v>
      </c>
      <c r="B436" s="77" t="s">
        <v>217</v>
      </c>
    </row>
    <row r="437" ht="15.75" customHeight="1">
      <c r="A437" s="76">
        <v>58270.0</v>
      </c>
      <c r="B437" s="77" t="s">
        <v>218</v>
      </c>
    </row>
    <row r="438" ht="15.75" customHeight="1">
      <c r="A438" s="76">
        <v>58302.0</v>
      </c>
      <c r="B438" s="77" t="s">
        <v>219</v>
      </c>
    </row>
    <row r="439" ht="15.75" customHeight="1">
      <c r="A439" s="76">
        <v>58380.0</v>
      </c>
      <c r="B439" s="77" t="s">
        <v>220</v>
      </c>
    </row>
    <row r="440" ht="15.75" customHeight="1">
      <c r="A440" s="76">
        <v>58390.0</v>
      </c>
      <c r="B440" s="77" t="s">
        <v>221</v>
      </c>
    </row>
    <row r="441" ht="15.75" customHeight="1">
      <c r="A441" s="76">
        <v>58434.0</v>
      </c>
      <c r="B441" s="77" t="s">
        <v>222</v>
      </c>
    </row>
    <row r="442" ht="15.75" customHeight="1">
      <c r="A442" s="76">
        <v>58441.0</v>
      </c>
      <c r="B442" s="77" t="s">
        <v>212</v>
      </c>
    </row>
    <row r="443" ht="15.75" customHeight="1">
      <c r="A443" s="76">
        <v>58550.0</v>
      </c>
      <c r="B443" s="77" t="s">
        <v>213</v>
      </c>
    </row>
    <row r="444" ht="15.75" customHeight="1">
      <c r="A444" s="76">
        <v>58562.0</v>
      </c>
      <c r="B444" s="77" t="s">
        <v>214</v>
      </c>
    </row>
    <row r="445" ht="15.75" customHeight="1">
      <c r="A445" s="76">
        <v>58569.0</v>
      </c>
      <c r="B445" s="77" t="s">
        <v>215</v>
      </c>
    </row>
    <row r="446" ht="15.75" customHeight="1">
      <c r="A446" s="76">
        <v>58588.0</v>
      </c>
      <c r="B446" s="77" t="s">
        <v>216</v>
      </c>
    </row>
    <row r="447" ht="15.75" customHeight="1">
      <c r="A447" s="76">
        <v>58599.0</v>
      </c>
      <c r="B447" s="77" t="s">
        <v>217</v>
      </c>
    </row>
    <row r="448" ht="15.75" customHeight="1">
      <c r="A448" s="76">
        <v>58636.0</v>
      </c>
      <c r="B448" s="77" t="s">
        <v>218</v>
      </c>
    </row>
    <row r="449" ht="15.75" customHeight="1">
      <c r="A449" s="76">
        <v>58668.0</v>
      </c>
      <c r="B449" s="77" t="s">
        <v>219</v>
      </c>
    </row>
    <row r="450" ht="15.75" customHeight="1">
      <c r="A450" s="76">
        <v>58746.0</v>
      </c>
      <c r="B450" s="77" t="s">
        <v>220</v>
      </c>
    </row>
    <row r="451" ht="15.75" customHeight="1">
      <c r="A451" s="76">
        <v>58756.0</v>
      </c>
      <c r="B451" s="77" t="s">
        <v>221</v>
      </c>
    </row>
    <row r="452" ht="15.75" customHeight="1">
      <c r="A452" s="76">
        <v>58800.0</v>
      </c>
      <c r="B452" s="77" t="s">
        <v>222</v>
      </c>
    </row>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